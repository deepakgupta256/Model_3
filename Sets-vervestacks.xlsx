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NZL_EECA_VerveStacks\"/>
    </mc:Choice>
  </mc:AlternateContent>
  <bookViews>
    <workbookView xWindow="-98" yWindow="-98" windowWidth="28996" windowHeight="17475" activeTab="1"/>
  </bookViews>
  <sheets>
    <sheet name="VEDA_Sets-Comm" sheetId="2" r:id="rId3"/>
    <sheet name="sankey com" sheetId="6" r:id="rId4"/>
    <sheet name="geo_sets" sheetId="3" r:id="rId5"/>
    <sheet name="VEDA_Sets-Proc" sheetId="1" r:id="rId6"/>
    <sheet name="SetsEditor- Proc" sheetId="4" r:id="rId7"/>
    <sheet name="SetsEditor- Comm" sheetId="5" r:id="rId8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<sst xmlns="http://schemas.openxmlformats.org/spreadsheetml/2006/main" count="1392" uniqueCount="796">
  <si>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</si>
  <si>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</si>
  <si>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</si>
  <si>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</si>
  <si>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</si>
  <si>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</si>
  <si>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</si>
  <si>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</si>
  <si>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</si>
  <si>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</si>
  <si>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</si>
  <si>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</si>
  <si>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</si>
  <si>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</si>
  <si>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</si>
  <si>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</si>
  <si>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</si>
  <si>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</si>
  <si>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</si>
  <si>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</si>
  <si>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</si>
  <si>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</si>
  <si>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</si>
  <si>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</si>
  <si>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</si>
  <si>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</si>
  <si>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</si>
  <si>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</si>
  <si>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</si>
  <si>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</si>
  <si>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</si>
  <si>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</si>
  <si>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</si>
  <si>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</si>
  <si>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</si>
  <si>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</si>
  <si>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</si>
  <si>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</si>
  <si>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</si>
  <si>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</si>
  <si>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</si>
  <si>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</si>
  <si>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</si>
  <si>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</si>
  <si>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</si>
  <si>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</si>
  <si>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</si>
  <si>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</si>
  <si>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</si>
  <si>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</si>
  <si>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</si>
  <si>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</si>
  <si>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</si>
  <si>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</si>
  <si>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</si>
  <si>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</si>
  <si>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</si>
  <si>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</si>
  <si>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</si>
  <si>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</si>
  <si>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</si>
  <si>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</si>
  <si>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</si>
  <si>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</si>
  <si>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</si>
  <si>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</si>
  <si>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</si>
  <si>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</si>
  <si>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</si>
  <si>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</si>
  <si>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</si>
  <si>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</si>
  <si>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</si>
  <si>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</si>
  <si>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</si>
  <si>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</si>
  <si>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</si>
  <si>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</si>
  <si>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</si>
  <si>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</si>
  <si>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</si>
  <si>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</si>
  <si>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</si>
  <si>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</si>
  <si>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</si>
  <si>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</si>
  <si>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</si>
  <si>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</si>
  <si>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</si>
  <si>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</si>
  <si>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</si>
  <si>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</si>
  <si>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</si>
  <si>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</si>
  <si>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</si>
  <si>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</si>
  <si>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</si>
  <si>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</si>
  <si>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</si>
  <si>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</si>
  <si>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</si>
  <si>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</si>
  <si>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</si>
  <si>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p_w26671244</t>
  </si>
  <si>
    <t>e_w26671244*</t>
  </si>
  <si>
    <t>OR</t>
  </si>
  <si>
    <t>p_w33795353</t>
  </si>
  <si>
    <t>e_w33795353*</t>
  </si>
  <si>
    <t>p_w61455399</t>
  </si>
  <si>
    <t>e_w61455399*</t>
  </si>
  <si>
    <t>p_w61853727</t>
  </si>
  <si>
    <t>e_w61853727*</t>
  </si>
  <si>
    <t>p_w75609279</t>
  </si>
  <si>
    <t>e_w75609279*</t>
  </si>
  <si>
    <t>p_w82881422</t>
  </si>
  <si>
    <t>e_w82881422*</t>
  </si>
  <si>
    <t>p_w87837416</t>
  </si>
  <si>
    <t>e_w87837416*</t>
  </si>
  <si>
    <t>p_w87897292</t>
  </si>
  <si>
    <t>e_w87897292*</t>
  </si>
  <si>
    <t>p_w87928925</t>
  </si>
  <si>
    <t>e_w87928925*</t>
  </si>
  <si>
    <t>p_w89411122</t>
  </si>
  <si>
    <t>e_w89411122*</t>
  </si>
  <si>
    <t>p_w89635947</t>
  </si>
  <si>
    <t>e_w89635947*</t>
  </si>
  <si>
    <t>p_w89636266</t>
  </si>
  <si>
    <t>e_w89636266*</t>
  </si>
  <si>
    <t>p_w89636510</t>
  </si>
  <si>
    <t>e_w89636510*</t>
  </si>
  <si>
    <t>p_w89637173</t>
  </si>
  <si>
    <t>e_w89637173*</t>
  </si>
  <si>
    <t>p_w89637174</t>
  </si>
  <si>
    <t>e_w89637174*</t>
  </si>
  <si>
    <t>p_w89637277</t>
  </si>
  <si>
    <t>e_w89637277*</t>
  </si>
  <si>
    <t>p_w270521928</t>
  </si>
  <si>
    <t>e_w270521928*</t>
  </si>
  <si>
    <t>p_w89664063</t>
  </si>
  <si>
    <t>e_w89664063*</t>
  </si>
  <si>
    <t>p_w89943957</t>
  </si>
  <si>
    <t>e_w89943957*</t>
  </si>
  <si>
    <t>p_w90092620</t>
  </si>
  <si>
    <t>e_w90092620*</t>
  </si>
  <si>
    <t>p_w90098853</t>
  </si>
  <si>
    <t>e_w90098853*</t>
  </si>
  <si>
    <t>p_w93419960</t>
  </si>
  <si>
    <t>e_w93419960*</t>
  </si>
  <si>
    <t>p_w93556808</t>
  </si>
  <si>
    <t>e_w93556808*</t>
  </si>
  <si>
    <t>p_w93713118</t>
  </si>
  <si>
    <t>e_w93713118*</t>
  </si>
  <si>
    <t>p_w93827784</t>
  </si>
  <si>
    <t>e_w93827784*</t>
  </si>
  <si>
    <t>p_w94053861</t>
  </si>
  <si>
    <t>e_w94053861*</t>
  </si>
  <si>
    <t>p_w94840399</t>
  </si>
  <si>
    <t>e_w94840399*</t>
  </si>
  <si>
    <t>p_w95046918</t>
  </si>
  <si>
    <t>e_w95046918*</t>
  </si>
  <si>
    <t>p_w95048289</t>
  </si>
  <si>
    <t>e_w95048289*</t>
  </si>
  <si>
    <t>p_w95343089</t>
  </si>
  <si>
    <t>e_w95343089*</t>
  </si>
  <si>
    <t>p_w95344674</t>
  </si>
  <si>
    <t>e_w95344674*</t>
  </si>
  <si>
    <t>p_w95512216</t>
  </si>
  <si>
    <t>e_w95512216*</t>
  </si>
  <si>
    <t>p_w100957314</t>
  </si>
  <si>
    <t>e_w100957314*</t>
  </si>
  <si>
    <t>p_w119877500</t>
  </si>
  <si>
    <t>e_w119877500*</t>
  </si>
  <si>
    <t>p_w148300699</t>
  </si>
  <si>
    <t>e_w148300699*</t>
  </si>
  <si>
    <t>p_w156094589</t>
  </si>
  <si>
    <t>e_w156094589*</t>
  </si>
  <si>
    <t>p_w161270797</t>
  </si>
  <si>
    <t>e_w161270797*</t>
  </si>
  <si>
    <t>p_w167177413</t>
  </si>
  <si>
    <t>e_w167177413*</t>
  </si>
  <si>
    <t>p_w167283894</t>
  </si>
  <si>
    <t>e_w167283894*</t>
  </si>
  <si>
    <t>p_w167285260</t>
  </si>
  <si>
    <t>e_w167285260*</t>
  </si>
  <si>
    <t>p_w167285336</t>
  </si>
  <si>
    <t>e_w167285336*</t>
  </si>
  <si>
    <t>p_w167286837</t>
  </si>
  <si>
    <t>e_w167286837*</t>
  </si>
  <si>
    <t>p_w167293888</t>
  </si>
  <si>
    <t>e_w167293888*</t>
  </si>
  <si>
    <t>p_w167300914</t>
  </si>
  <si>
    <t>e_w167300914*</t>
  </si>
  <si>
    <t>p_w167427251</t>
  </si>
  <si>
    <t>e_w167427251*</t>
  </si>
  <si>
    <t>p_w167572576</t>
  </si>
  <si>
    <t>e_w167572576*</t>
  </si>
  <si>
    <t>p_w167705537</t>
  </si>
  <si>
    <t>e_w167705537*</t>
  </si>
  <si>
    <t>p_w169512273</t>
  </si>
  <si>
    <t>e_w169512273*</t>
  </si>
  <si>
    <t>p_w170300247</t>
  </si>
  <si>
    <t>e_w170300247*</t>
  </si>
  <si>
    <t>p_w180514007</t>
  </si>
  <si>
    <t>e_w180514007*</t>
  </si>
  <si>
    <t>p_w180519027</t>
  </si>
  <si>
    <t>e_w180519027*</t>
  </si>
  <si>
    <t>p_w187858674</t>
  </si>
  <si>
    <t>e_w187858674*</t>
  </si>
  <si>
    <t>p_w188180344</t>
  </si>
  <si>
    <t>e_w188180344*</t>
  </si>
  <si>
    <t>p_w191346761</t>
  </si>
  <si>
    <t>e_w191346761*</t>
  </si>
  <si>
    <t>p_w232382576</t>
  </si>
  <si>
    <t>e_w232382576*</t>
  </si>
  <si>
    <t>p_w235066414</t>
  </si>
  <si>
    <t>e_w235066414*</t>
  </si>
  <si>
    <t>p_w255873374</t>
  </si>
  <si>
    <t>e_w255873374*</t>
  </si>
  <si>
    <t>p_w268826084</t>
  </si>
  <si>
    <t>e_w268826084*</t>
  </si>
  <si>
    <t>p_w268841395</t>
  </si>
  <si>
    <t>e_w268841395*</t>
  </si>
  <si>
    <t>p_w270012796</t>
  </si>
  <si>
    <t>e_w270012796*</t>
  </si>
  <si>
    <t>p_w270018358</t>
  </si>
  <si>
    <t>e_w270018358*</t>
  </si>
  <si>
    <t>p_w270022030</t>
  </si>
  <si>
    <t>e_w270022030*</t>
  </si>
  <si>
    <t>p_w270554679</t>
  </si>
  <si>
    <t>e_w270554679*</t>
  </si>
  <si>
    <t>p_w270556206</t>
  </si>
  <si>
    <t>e_w270556206*</t>
  </si>
  <si>
    <t>p_w272195826</t>
  </si>
  <si>
    <t>e_w272195826*</t>
  </si>
  <si>
    <t>p_w272522517</t>
  </si>
  <si>
    <t>e_w272522517*</t>
  </si>
  <si>
    <t>p_w275188676</t>
  </si>
  <si>
    <t>e_w275188676*</t>
  </si>
  <si>
    <t>p_w341099346</t>
  </si>
  <si>
    <t>e_w341099346*</t>
  </si>
  <si>
    <t>p_w359449581</t>
  </si>
  <si>
    <t>e_w359449581*</t>
  </si>
  <si>
    <t>p_w409049317</t>
  </si>
  <si>
    <t>e_w409049317*</t>
  </si>
  <si>
    <t>p_w412588974</t>
  </si>
  <si>
    <t>e_w412588974*</t>
  </si>
  <si>
    <t>p_w412589726</t>
  </si>
  <si>
    <t>e_w412589726*</t>
  </si>
  <si>
    <t>p_w414953388</t>
  </si>
  <si>
    <t>e_w414953388*</t>
  </si>
  <si>
    <t>p_w627162826</t>
  </si>
  <si>
    <t>e_w627162826*</t>
  </si>
  <si>
    <t>p_w849110529</t>
  </si>
  <si>
    <t>e_w849110529*</t>
  </si>
  <si>
    <t>p_w907631032</t>
  </si>
  <si>
    <t>e_w907631032*</t>
  </si>
  <si>
    <t>p_w1018655038</t>
  </si>
  <si>
    <t>e_w1018655038*</t>
  </si>
  <si>
    <t>p_w1026587442</t>
  </si>
  <si>
    <t>e_w1026587442*</t>
  </si>
  <si>
    <t>p_w1034927052</t>
  </si>
  <si>
    <t>e_w1034927052*</t>
  </si>
  <si>
    <t>p_w1099619174</t>
  </si>
  <si>
    <t>e_w1099619174*</t>
  </si>
  <si>
    <t>p_w1167708390</t>
  </si>
  <si>
    <t>e_w1167708390*</t>
  </si>
  <si>
    <t>p_w1363994055</t>
  </si>
  <si>
    <t>e_w1363994055*</t>
  </si>
  <si>
    <t>p_r17609399</t>
  </si>
  <si>
    <t>e_r17609399*</t>
  </si>
  <si>
    <t>p_NZ26</t>
  </si>
  <si>
    <t>e_NZ26*</t>
  </si>
  <si>
    <t>p_NZ28</t>
  </si>
  <si>
    <t>e_NZ28*</t>
  </si>
  <si>
    <t>p_NZ4</t>
  </si>
  <si>
    <t>e_NZ4*</t>
  </si>
  <si>
    <t>p_NZ20</t>
  </si>
  <si>
    <t>e_NZ20*</t>
  </si>
  <si>
    <t>p_NZ19</t>
  </si>
  <si>
    <t>e_NZ19*</t>
  </si>
  <si>
    <t>p_NZ37</t>
  </si>
  <si>
    <t>e_NZ37*</t>
  </si>
  <si>
    <t>p_NZ36</t>
  </si>
  <si>
    <t>e_NZ36*</t>
  </si>
  <si>
    <t>p_NZ34</t>
  </si>
  <si>
    <t>e_NZ34*</t>
  </si>
  <si>
    <t>p_NZ39</t>
  </si>
  <si>
    <t>e_NZ39*</t>
  </si>
  <si>
    <t>p_NZ29</t>
  </si>
  <si>
    <t>e_NZ29*</t>
  </si>
  <si>
    <t>p_NZ42</t>
  </si>
  <si>
    <t>e_NZ42*</t>
  </si>
  <si>
    <t>p_NZ41</t>
  </si>
  <si>
    <t>e_NZ41*</t>
  </si>
  <si>
    <t>p_NZ43</t>
  </si>
  <si>
    <t>e_NZ43*</t>
  </si>
  <si>
    <t>p_NZ10</t>
  </si>
  <si>
    <t>e_NZ10*</t>
  </si>
  <si>
    <t>p_NZ21</t>
  </si>
  <si>
    <t>e_NZ21*</t>
  </si>
  <si>
    <t>p_NZ16</t>
  </si>
  <si>
    <t>e_NZ16*</t>
  </si>
  <si>
    <t>p_NZ32</t>
  </si>
  <si>
    <t>e_NZ32*</t>
  </si>
  <si>
    <t>p_NZ7</t>
  </si>
  <si>
    <t>e_NZ7*</t>
  </si>
  <si>
    <t>p_NZ25</t>
  </si>
  <si>
    <t>e_NZ25*</t>
  </si>
  <si>
    <t>p_NZ24</t>
  </si>
  <si>
    <t>e_NZ24*</t>
  </si>
  <si>
    <t>p_NZ40</t>
  </si>
  <si>
    <t>e_NZ40*</t>
  </si>
  <si>
    <t>p_NZ9</t>
  </si>
  <si>
    <t>e_NZ9*</t>
  </si>
  <si>
    <t>p_NZ11</t>
  </si>
  <si>
    <t>e_NZ11*</t>
  </si>
  <si>
    <t>p_NZ12</t>
  </si>
  <si>
    <t>e_NZ12*</t>
  </si>
  <si>
    <t>p_NZ27</t>
  </si>
  <si>
    <t>e_NZ27*</t>
  </si>
  <si>
    <t>p_NZ5</t>
  </si>
  <si>
    <t>e_NZ5*</t>
  </si>
  <si>
    <t>p_NZ2</t>
  </si>
  <si>
    <t>e_NZ2*</t>
  </si>
  <si>
    <t>p_NZ3</t>
  </si>
  <si>
    <t>e_NZ3*</t>
  </si>
  <si>
    <t>p_NZ18</t>
  </si>
  <si>
    <t>e_NZ18*</t>
  </si>
  <si>
    <t>p_NZ6</t>
  </si>
  <si>
    <t>e_NZ6*</t>
  </si>
  <si>
    <t>p_NZ30</t>
  </si>
  <si>
    <t>e_NZ30*</t>
  </si>
  <si>
    <t>p_NZ1</t>
  </si>
  <si>
    <t>e_NZ1*</t>
  </si>
  <si>
    <t>p_NZ17</t>
  </si>
  <si>
    <t>e_NZ17*</t>
  </si>
  <si>
    <t>p_NZ22</t>
  </si>
  <si>
    <t>e_NZ22*</t>
  </si>
  <si>
    <t>p_NZ31</t>
  </si>
  <si>
    <t>e_NZ31*</t>
  </si>
  <si>
    <t>p_NZ13</t>
  </si>
  <si>
    <t>e_NZ13*</t>
  </si>
  <si>
    <t>p_NZ14</t>
  </si>
  <si>
    <t>e_NZ14*</t>
  </si>
  <si>
    <t>p_NZ23</t>
  </si>
  <si>
    <t>e_NZ23*</t>
  </si>
  <si>
    <t>p_NZ38</t>
  </si>
  <si>
    <t>e_NZ38*</t>
  </si>
  <si>
    <t>p_NZ8</t>
  </si>
  <si>
    <t>e_NZ8*</t>
  </si>
  <si>
    <t>p_NZ35</t>
  </si>
  <si>
    <t>e_NZ35*</t>
  </si>
  <si>
    <t>p_NZ33</t>
  </si>
  <si>
    <t>e_NZ33*</t>
  </si>
  <si>
    <t>p_NZ15</t>
  </si>
  <si>
    <t>e_NZ15*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</si>
  <si>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</si>
  <si>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</si>
  <si>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</si>
  <si>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</si>
  <si>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</si>
  <si>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</si>
  <si>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</si>
  <si>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</si>
  <si>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</si>
  <si>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</si>
  <si>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</si>
  <si>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</si>
  <si>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</si>
  <si>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</si>
  <si>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</si>
  <si>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</si>
  <si>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</si>
  <si>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</si>
  <si>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</si>
  <si>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</si>
  <si>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</si>
  <si>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</si>
  <si>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</si>
  <si>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</si>
  <si>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</si>
  <si>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</si>
  <si>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</si>
  <si>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</si>
  <si>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</si>
  <si>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</si>
  <si>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</si>
  <si>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</si>
  <si>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</si>
  <si>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</si>
  <si>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</si>
  <si>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</si>
  <si>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</si>
  <si>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</si>
  <si>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</si>
  <si>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</si>
  <si>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</si>
  <si>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</si>
  <si>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</si>
  <si>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</si>
  <si>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</si>
  <si>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</si>
  <si>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</si>
  <si>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</si>
  <si>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</si>
  <si>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</si>
  <si>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</si>
  <si>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</si>
  <si>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</si>
  <si>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</si>
  <si>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</si>
  <si>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</si>
  <si>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</si>
  <si>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</si>
  <si>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</si>
  <si>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</si>
  <si>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</si>
  <si>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</si>
  <si>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</si>
  <si>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</si>
  <si>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</si>
  <si>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</si>
  <si>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</si>
  <si>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</si>
  <si>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</si>
  <si>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</si>
  <si>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</si>
  <si>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</si>
  <si>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</si>
  <si>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</si>
  <si>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</si>
  <si>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</si>
  <si>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</si>
  <si>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</si>
  <si>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</si>
  <si>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</si>
  <si>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</si>
  <si>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</si>
  <si>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</si>
  <si>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</si>
  <si>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</si>
  <si>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</si>
  <si>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</si>
  <si>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</si>
  <si>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</si>
  <si>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</si>
  <si>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</si>
  <si>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</si>
  <si>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</si>
  <si>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</si>
  <si>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</si>
  <si>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</si>
  <si>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</si>
  <si>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</si>
  <si>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</si>
  <si>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</si>
  <si>
    <t>rez_wof_020</t>
  </si>
  <si>
    <t>elc_wof_020</t>
  </si>
  <si>
    <t>rez_wof_021</t>
  </si>
  <si>
    <t>elc_wof_021</t>
  </si>
  <si>
    <t>rez_wof_022</t>
  </si>
  <si>
    <t>elc_wof_022</t>
  </si>
  <si>
    <t>rez_wof_023</t>
  </si>
  <si>
    <t>elc_wof_023</t>
  </si>
  <si>
    <t>rez_wof_024</t>
  </si>
  <si>
    <t>elc_wof_024</t>
  </si>
  <si>
    <t>rez_wof_025</t>
  </si>
  <si>
    <t>elc_wof_025</t>
  </si>
  <si>
    <t>rez_wof_026</t>
  </si>
  <si>
    <t>elc_wof_026</t>
  </si>
  <si>
    <t>rez_wof_027</t>
  </si>
  <si>
    <t>elc_wof_027</t>
  </si>
  <si>
    <t>rez_wof_028</t>
  </si>
  <si>
    <t>elc_wof_028</t>
  </si>
  <si>
    <t>rez_wof_029</t>
  </si>
  <si>
    <t>elc_wof_029</t>
  </si>
  <si>
    <t>rez_wof_030</t>
  </si>
  <si>
    <t>elc_wof_030</t>
  </si>
  <si>
    <t>rez_wof_031</t>
  </si>
  <si>
    <t>elc_wof_031</t>
  </si>
  <si>
    <t>rez_wof_032</t>
  </si>
  <si>
    <t>elc_wof_032</t>
  </si>
  <si>
    <t>rez_wof_033</t>
  </si>
  <si>
    <t>elc_wof_033</t>
  </si>
  <si>
    <t>~TFM_PSets</t>
  </si>
  <si>
    <t>t_pos_andor_forsets</t>
  </si>
  <si>
    <t>t_neg_andor_forsets</t>
  </si>
  <si>
    <t>t_neg_andor</t>
  </si>
  <si>
    <t>setdesc</t>
  </si>
  <si>
    <t>pset_set</t>
  </si>
  <si>
    <t>pset_pn</t>
  </si>
  <si>
    <t>pset_pd</t>
  </si>
  <si>
    <t>Bio</t>
  </si>
  <si>
    <t>ELCWOD</t>
  </si>
  <si>
    <t>Biogas</t>
  </si>
  <si>
    <t>ELCBIG</t>
  </si>
  <si>
    <t>Coal</t>
  </si>
  <si>
    <t>ELCCOA</t>
  </si>
  <si>
    <t>Geothermal</t>
  </si>
  <si>
    <t>ELCGEO</t>
  </si>
  <si>
    <t>Hydro</t>
  </si>
  <si>
    <t>ELCHYD</t>
  </si>
  <si>
    <t>Natural Gas</t>
  </si>
  <si>
    <t>ELCNGA</t>
  </si>
  <si>
    <t>Solar</t>
  </si>
  <si>
    <t>ELCSOL</t>
  </si>
  <si>
    <t>E_StgBatt</t>
  </si>
  <si>
    <t>Batt Stg</t>
  </si>
  <si>
    <t>EBAT*</t>
  </si>
  <si>
    <t>E_StgPump</t>
  </si>
  <si>
    <t>Phydro Stg</t>
  </si>
  <si>
    <t>EHYD*</t>
  </si>
  <si>
    <t>Waste</t>
  </si>
  <si>
    <t>MNCWST</t>
  </si>
  <si>
    <t>Wind</t>
  </si>
  <si>
    <t>ELCWIN</t>
  </si>
  <si>
    <t>Aviation</t>
  </si>
  <si>
    <t>T*Jet*</t>
  </si>
  <si>
    <t>Bus</t>
  </si>
  <si>
    <t>T*Bus</t>
  </si>
  <si>
    <t>Cars</t>
  </si>
  <si>
    <t>T*car</t>
  </si>
  <si>
    <t>eu_ClothesDry</t>
  </si>
  <si>
    <t>Clothes dry</t>
  </si>
  <si>
    <t>*-CD*</t>
  </si>
  <si>
    <t>eu_ClothesWash</t>
  </si>
  <si>
    <t>Clothes wash</t>
  </si>
  <si>
    <t>*-CW*</t>
  </si>
  <si>
    <t>eu_Cooking</t>
  </si>
  <si>
    <t>Cooking</t>
  </si>
  <si>
    <t>*-CK*</t>
  </si>
  <si>
    <t>eu_DishWash</t>
  </si>
  <si>
    <t>Dish Wash</t>
  </si>
  <si>
    <t>*-DW*</t>
  </si>
  <si>
    <t>eu_Irrigation</t>
  </si>
  <si>
    <t>Irrigation</t>
  </si>
  <si>
    <t>*-IRG*</t>
  </si>
  <si>
    <t>eu_Lighting</t>
  </si>
  <si>
    <t>Lighting</t>
  </si>
  <si>
    <t>*-LIG*,*-LT*</t>
  </si>
  <si>
    <t>eu_MotivePower</t>
  </si>
  <si>
    <t>Motive Power</t>
  </si>
  <si>
    <t>*-MotP*,*-MP?*</t>
  </si>
  <si>
    <t>Motorcycle</t>
  </si>
  <si>
    <t>T*Mcy</t>
  </si>
  <si>
    <t>eu_ProcessHeat</t>
  </si>
  <si>
    <t>Process Heat</t>
  </si>
  <si>
    <t>*-PH*</t>
  </si>
  <si>
    <t>eu_Pumping</t>
  </si>
  <si>
    <t>Pumping</t>
  </si>
  <si>
    <t>*-pump*,-*-motp*</t>
  </si>
  <si>
    <t>Rail</t>
  </si>
  <si>
    <t>T*Rail</t>
  </si>
  <si>
    <t>eu_Refrigeration</t>
  </si>
  <si>
    <t>Refrigeration</t>
  </si>
  <si>
    <t>*-RF*</t>
  </si>
  <si>
    <t>Ships</t>
  </si>
  <si>
    <t>T*Ship</t>
  </si>
  <si>
    <t>eu_SpaceCool</t>
  </si>
  <si>
    <t>Space Cool</t>
  </si>
  <si>
    <t>*-SC*</t>
  </si>
  <si>
    <t>eu_SpaceHeat</t>
  </si>
  <si>
    <t>Space Heat</t>
  </si>
  <si>
    <t>*-SH*</t>
  </si>
  <si>
    <t>Trucks</t>
  </si>
  <si>
    <t>T*Trk</t>
  </si>
  <si>
    <t>eu_WaterHeat</t>
  </si>
  <si>
    <t>Water Heat</t>
  </si>
  <si>
    <t>*-WH*</t>
  </si>
  <si>
    <t>s_Agriculture</t>
  </si>
  <si>
    <t>Agriculture</t>
  </si>
  <si>
    <t>A*</t>
  </si>
  <si>
    <t>s_BioProc</t>
  </si>
  <si>
    <t>Bio Processing</t>
  </si>
  <si>
    <t>-FTE*</t>
  </si>
  <si>
    <t>*wood*,*waste*</t>
  </si>
  <si>
    <t>s_Commercial</t>
  </si>
  <si>
    <t>Commercial</t>
  </si>
  <si>
    <t>C[_]*</t>
  </si>
  <si>
    <t>s_Hydrogen</t>
  </si>
  <si>
    <t>Hydrogen Prod</t>
  </si>
  <si>
    <t>H2C,H2D,Hydrogen</t>
  </si>
  <si>
    <t>s_Industry</t>
  </si>
  <si>
    <t>Industry</t>
  </si>
  <si>
    <t>IND*</t>
  </si>
  <si>
    <t>s_Power</t>
  </si>
  <si>
    <t>Power</t>
  </si>
  <si>
    <t>ELE,-STG</t>
  </si>
  <si>
    <t>s_PriExp</t>
  </si>
  <si>
    <t>Primary Exports</t>
  </si>
  <si>
    <t>EXP*</t>
  </si>
  <si>
    <t>s_PriImp</t>
  </si>
  <si>
    <t>Primary Imports</t>
  </si>
  <si>
    <t>IMP*</t>
  </si>
  <si>
    <t>s_PriProd</t>
  </si>
  <si>
    <t>Primary Production</t>
  </si>
  <si>
    <t>MIN*,*potential</t>
  </si>
  <si>
    <t>s_Refinery</t>
  </si>
  <si>
    <t>Refinery</t>
  </si>
  <si>
    <t>-FTE*,Ref*</t>
  </si>
  <si>
    <t>s_Residential</t>
  </si>
  <si>
    <t>Residential</t>
  </si>
  <si>
    <t>R[_]*</t>
  </si>
  <si>
    <t>s_Storage</t>
  </si>
  <si>
    <t>Storage</t>
  </si>
  <si>
    <t>s_Transport</t>
  </si>
  <si>
    <t>Transport</t>
  </si>
  <si>
    <t>T[_]*,elc_road*</t>
  </si>
  <si>
    <t>Attached</t>
  </si>
  <si>
    <t>R_JDW*</t>
  </si>
  <si>
    <t>ss_Chemicals</t>
  </si>
  <si>
    <t>Chemicals</t>
  </si>
  <si>
    <t>CHM*</t>
  </si>
  <si>
    <t>ss_Construction</t>
  </si>
  <si>
    <t>Construction</t>
  </si>
  <si>
    <t>CNST*</t>
  </si>
  <si>
    <t>ss_Dairy</t>
  </si>
  <si>
    <t>Dairy</t>
  </si>
  <si>
    <t>DARY*</t>
  </si>
  <si>
    <t>Dairy Cattle Farming</t>
  </si>
  <si>
    <t>ADCF*</t>
  </si>
  <si>
    <t>Detached</t>
  </si>
  <si>
    <t>R_DDW*</t>
  </si>
  <si>
    <t>Education</t>
  </si>
  <si>
    <t>C_EDU-*</t>
  </si>
  <si>
    <t>Fishing</t>
  </si>
  <si>
    <t>AFIS*</t>
  </si>
  <si>
    <t>ss_Food</t>
  </si>
  <si>
    <t>Food</t>
  </si>
  <si>
    <t>FOOD*</t>
  </si>
  <si>
    <t>Forestry</t>
  </si>
  <si>
    <t>AFOR*</t>
  </si>
  <si>
    <t>Healthcare</t>
  </si>
  <si>
    <t>C_HLTH*</t>
  </si>
  <si>
    <t>Horticulture</t>
  </si>
  <si>
    <t>AHOR*</t>
  </si>
  <si>
    <t>Indoor cropping</t>
  </si>
  <si>
    <t>AIND*</t>
  </si>
  <si>
    <t>Livestock</t>
  </si>
  <si>
    <t>ALIV*</t>
  </si>
  <si>
    <t>Meat</t>
  </si>
  <si>
    <t>MEAT*</t>
  </si>
  <si>
    <t>Metals</t>
  </si>
  <si>
    <t>METAL*</t>
  </si>
  <si>
    <t>Methanol</t>
  </si>
  <si>
    <t>MTHOL*</t>
  </si>
  <si>
    <t>Minerals</t>
  </si>
  <si>
    <t>MNRL*</t>
  </si>
  <si>
    <t>Mining</t>
  </si>
  <si>
    <t>MNNG*</t>
  </si>
  <si>
    <t>Office</t>
  </si>
  <si>
    <t>C_OFFC*</t>
  </si>
  <si>
    <t>Other Ind</t>
  </si>
  <si>
    <t>OTH-T</t>
  </si>
  <si>
    <t>Other Agri</t>
  </si>
  <si>
    <t>AOTH*</t>
  </si>
  <si>
    <t>Other Com</t>
  </si>
  <si>
    <t>C_OTH-*</t>
  </si>
  <si>
    <t>ss_Paper</t>
  </si>
  <si>
    <t>Paper</t>
  </si>
  <si>
    <t>PLP*</t>
  </si>
  <si>
    <t>Refining</t>
  </si>
  <si>
    <t>REFI*</t>
  </si>
  <si>
    <t>ss_Steel</t>
  </si>
  <si>
    <t>Steel</t>
  </si>
  <si>
    <t>IIS*</t>
  </si>
  <si>
    <t>Urea</t>
  </si>
  <si>
    <t>UREA*</t>
  </si>
  <si>
    <t>Wood Prod Mfg</t>
  </si>
  <si>
    <t>WOOD*</t>
  </si>
  <si>
    <t>WSR</t>
  </si>
  <si>
    <t>C_WSR-*</t>
  </si>
  <si>
    <t>~TFM_CSets</t>
  </si>
  <si>
    <t>cset_set</t>
  </si>
  <si>
    <t>cset_cn</t>
  </si>
  <si>
    <t>cset_cd</t>
  </si>
  <si>
    <t>c_pos_andor_forsets</t>
  </si>
  <si>
    <t>c_pos_andor</t>
  </si>
  <si>
    <t>c_neg_andor_forsets</t>
  </si>
  <si>
    <t>c_neg_andor</t>
  </si>
  <si>
    <t>NRG</t>
  </si>
  <si>
    <t>COA</t>
  </si>
  <si>
    <t>DSL</t>
  </si>
  <si>
    <t>Diesel</t>
  </si>
  <si>
    <t xml:space="preserve">Electricity </t>
  </si>
  <si>
    <t>FOL</t>
  </si>
  <si>
    <t>Fuel Oil</t>
  </si>
  <si>
    <t>GEO</t>
  </si>
  <si>
    <t>H2R</t>
  </si>
  <si>
    <t>Hydrogen</t>
  </si>
  <si>
    <t>LPG</t>
  </si>
  <si>
    <t>NGA</t>
  </si>
  <si>
    <t>PET</t>
  </si>
  <si>
    <t>Petrol</t>
  </si>
  <si>
    <t>PLT</t>
  </si>
  <si>
    <t>Pellet</t>
  </si>
  <si>
    <t>WOD</t>
  </si>
  <si>
    <t>Wood</t>
  </si>
  <si>
    <t>WST</t>
  </si>
  <si>
    <t>MNR</t>
  </si>
  <si>
    <t>Manure</t>
  </si>
  <si>
    <t>BIG</t>
  </si>
  <si>
    <t>BIL</t>
  </si>
  <si>
    <t>Bioliquid</t>
  </si>
  <si>
    <t>COL</t>
  </si>
  <si>
    <t>Lignite</t>
  </si>
  <si>
    <t>seq</t>
  </si>
  <si>
    <t>CO2 to CCS</t>
  </si>
  <si>
    <t>CO2</t>
  </si>
  <si>
    <t>DID</t>
  </si>
  <si>
    <t>Drop-In Diesel</t>
  </si>
  <si>
    <t>DIJ</t>
  </si>
  <si>
    <t>Drop-In Jet</t>
  </si>
  <si>
    <t>LCD</t>
  </si>
  <si>
    <t>Electricity Production</t>
  </si>
  <si>
    <t>CDD</t>
  </si>
  <si>
    <t>-HV</t>
  </si>
  <si>
    <t>HYD</t>
  </si>
  <si>
    <t>-MV</t>
  </si>
  <si>
    <t>OIL</t>
  </si>
  <si>
    <t>Oil</t>
  </si>
  <si>
    <t>SOL</t>
  </si>
  <si>
    <t>TID</t>
  </si>
  <si>
    <t>Tidal</t>
  </si>
  <si>
    <t>URN</t>
  </si>
  <si>
    <t>Uranium</t>
  </si>
  <si>
    <t>WIN</t>
  </si>
  <si>
    <t>H2C</t>
  </si>
  <si>
    <t>Green Hydrogen Green Hydrogen Fuel</t>
  </si>
  <si>
    <t>H2D</t>
  </si>
  <si>
    <t>JET</t>
  </si>
  <si>
    <t>Jet Fuel</t>
  </si>
  <si>
    <t>LNG</t>
  </si>
  <si>
    <t>ILD</t>
  </si>
  <si>
    <t>Crude Oil (domestic)</t>
  </si>
  <si>
    <t>ILI</t>
  </si>
  <si>
    <t>Crude Oil (imported)</t>
  </si>
  <si>
    <t>OTH</t>
  </si>
  <si>
    <t>Other Oil</t>
  </si>
  <si>
    <t>DEM</t>
  </si>
  <si>
    <t>agriculture</t>
  </si>
  <si>
    <t>A*,meat*,D*</t>
  </si>
  <si>
    <t>commercial</t>
  </si>
  <si>
    <t>C*</t>
  </si>
  <si>
    <t>F*,I*,ref*,M*,-meat*,O*,P*,U*,W*</t>
  </si>
  <si>
    <t>residential</t>
  </si>
  <si>
    <t>R*,-ref*</t>
  </si>
  <si>
    <t>T*</t>
  </si>
  <si>
    <t>sect_commercial</t>
  </si>
  <si>
    <t>COM*</t>
  </si>
  <si>
    <t>sect_residential</t>
  </si>
  <si>
    <t>RES*</t>
  </si>
  <si>
    <t>sect_industry</t>
  </si>
  <si>
    <t>sect_agriculture</t>
  </si>
  <si>
    <t>AGR*</t>
  </si>
  <si>
    <t>sect_transport</t>
  </si>
  <si>
    <t>TRA*,elc_road*</t>
  </si>
  <si>
    <t>-ev*</t>
  </si>
  <si>
    <t>-IRE</t>
  </si>
  <si>
    <t>nrg_ELC</t>
  </si>
  <si>
    <t>Electricity</t>
  </si>
  <si>
    <t>*ELC,elc_road*</t>
  </si>
  <si>
    <t>snky_OilProducts</t>
  </si>
  <si>
    <t>Oil Products</t>
  </si>
  <si>
    <t>snky_NaturalGas</t>
  </si>
  <si>
    <t>*NGA,GAS,ELCNGA</t>
  </si>
  <si>
    <t>snky_Coal</t>
  </si>
  <si>
    <t>*COA,COAL</t>
  </si>
  <si>
    <t>snky_BiomassWood</t>
  </si>
  <si>
    <t>Biomass &amp; Wood</t>
  </si>
  <si>
    <t>*WOD,*WST,*BIG,bioenergy,INDOSWOD</t>
  </si>
  <si>
    <t>snky_Hydro</t>
  </si>
  <si>
    <t>HYD,hydro</t>
  </si>
  <si>
    <t>snky_Geothermal</t>
  </si>
  <si>
    <t>*GEO,geothermal</t>
  </si>
  <si>
    <t>snky_Wind</t>
  </si>
  <si>
    <t>windon,windoff</t>
  </si>
  <si>
    <t>snky_Solar</t>
  </si>
  <si>
    <t>*SOL,solar</t>
  </si>
  <si>
    <t>snky_Hydrogen</t>
  </si>
  <si>
    <t>*H2R,*H2D,*H2C</t>
  </si>
  <si>
    <t>snky_Electricity</t>
  </si>
  <si>
    <t>*ELC,elc[_]*,e[_]*,-elc_road*</t>
  </si>
  <si>
    <t>ELE,CHP</t>
  </si>
  <si>
    <t>Fossil</t>
  </si>
  <si>
    <t>-co2captured</t>
  </si>
  <si>
    <t>Fossil-CCS</t>
  </si>
  <si>
    <t>solar,wind*</t>
  </si>
  <si>
    <t>Var Renewable</t>
  </si>
  <si>
    <t>Firm Renewable</t>
  </si>
  <si>
    <t>*bio*,hydro</t>
  </si>
  <si>
    <t>-A*</t>
  </si>
  <si>
    <t>*DSL,*PET,*FOL,*JET,*LPG</t>
  </si>
  <si>
    <t>snky_OilCrude</t>
  </si>
  <si>
    <t>Crude Oil</t>
  </si>
  <si>
    <t>OIL?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</si>
</sst>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859988689423"/>
      </bottom>
    </border>
    <border>
      <left/>
      <right/>
      <top/>
      <bottom style="medium">
        <color theme="4" tint="0.399980008602142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</cellStyleXfs>
  <cellXfs count="6">
    <xf numFmtId="0" fontId="0" fillId="0" borderId="0" xfId="0"/>
    <xf numFmtId="0" fontId="2" fillId="0" borderId="1" xfId="20"/>
    <xf numFmtId="0" fontId="3" fillId="0" borderId="2" xfId="21"/>
    <xf numFmtId="0" fontId="0" fillId="0" borderId="0" xfId="0" quotePrefix="1"/>
    <xf numFmtId="49" fontId="0" fillId="0" borderId="0" xfId="0" applyNumberFormat="1"/>
    <xf numFmtId="0" fontId="4" fillId="2" borderId="0" xfId="22"/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ing 2" xfId="20" builtinId="17"/>
    <cellStyle name="Heading 3" xfId="21" builtinId="18"/>
    <cellStyle name="Neutral 2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0" Type="http://schemas.openxmlformats.org/officeDocument/2006/relationships/calcChain" Target="calcChain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 topLeftCell="A1"/>
  </sheetViews>
  <sheetFormatPr defaultRowHeight="14.25"/>
  <cols>
    <col min="1" max="1" width="10.1428571428571" bestFit="1" customWidth="1"/>
    <col min="2" max="2" width="14.8571428571429" bestFit="1" customWidth="1"/>
    <col min="3" max="3" width="7.57142857142857" bestFit="1" customWidth="1"/>
    <col min="4" max="4" width="8.57142857142857" bestFit="1" customWidth="1"/>
    <col min="5" max="5" width="6.85714285714286" bestFit="1" customWidth="1"/>
    <col min="6" max="6" width="11.1428571428571" bestFit="1" customWidth="1"/>
    <col min="7" max="7" width="11.5714285714286" bestFit="1" customWidth="1"/>
    <col min="8" max="8" width="8.42857142857143" bestFit="1" customWidth="1"/>
    <col min="11" max="11" width="3.71428571428571" bestFit="1" customWidth="1"/>
  </cols>
  <sheetData>
    <row r="1" spans="1:1" ht="14.25">
      <c r="A1" t="s">
        <v>12</v>
      </c>
    </row>
    <row r="2" spans="1:8" ht="14.2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2:11" ht="14.25">
      <c r="B3" t="str">
        <f>"e_*"&amp;K3</f>
        <v>e_*220</v>
      </c>
      <c r="D3" t="str">
        <f t="shared" si="0" ref="D3:D23">"Elec-"&amp;K3&amp;"V"</f>
        <v>Elec-220V</v>
      </c>
      <c r="K3">
        <v>220</v>
      </c>
    </row>
    <row r="4" spans="2:11" ht="14.25">
      <c r="B4" t="str">
        <f t="shared" si="1" ref="B4:B23">"e_*"&amp;K4</f>
        <v>e_*400</v>
      </c>
      <c r="D4" t="str">
        <f t="shared" si="0"/>
        <v>Elec-400V</v>
      </c>
      <c r="K4">
        <v>400</v>
      </c>
    </row>
    <row r="5" spans="2:11" ht="14.25">
      <c r="B5" t="str">
        <f t="shared" si="1"/>
        <v>e_*380</v>
      </c>
      <c r="D5" t="str">
        <f t="shared" si="0"/>
        <v>Elec-380V</v>
      </c>
      <c r="K5">
        <v>380</v>
      </c>
    </row>
    <row r="6" spans="2:11" ht="14.25">
      <c r="B6" t="str">
        <f t="shared" si="1"/>
        <v>e_*225</v>
      </c>
      <c r="D6" t="str">
        <f t="shared" si="0"/>
        <v>Elec-225V</v>
      </c>
      <c r="K6">
        <v>225</v>
      </c>
    </row>
    <row r="7" spans="2:11" ht="14.25">
      <c r="B7" t="str">
        <f t="shared" si="1"/>
        <v>e_*330</v>
      </c>
      <c r="D7" t="str">
        <f t="shared" si="0"/>
        <v>Elec-330V</v>
      </c>
      <c r="K7">
        <v>330</v>
      </c>
    </row>
    <row r="8" spans="2:11" ht="14.25">
      <c r="B8" t="str">
        <f t="shared" si="1"/>
        <v>e_*275</v>
      </c>
      <c r="D8" t="str">
        <f t="shared" si="0"/>
        <v>Elec-275V</v>
      </c>
      <c r="K8">
        <v>275</v>
      </c>
    </row>
    <row r="9" spans="2:11" ht="14.25">
      <c r="B9" t="str">
        <f t="shared" si="1"/>
        <v>e_*420</v>
      </c>
      <c r="D9" t="str">
        <f t="shared" si="0"/>
        <v>Elec-420V</v>
      </c>
      <c r="K9">
        <v>420</v>
      </c>
    </row>
    <row r="10" spans="2:11" ht="14.25">
      <c r="B10" t="str">
        <f t="shared" si="1"/>
        <v>e_*300</v>
      </c>
      <c r="D10" t="str">
        <f t="shared" si="0"/>
        <v>Elec-300V</v>
      </c>
      <c r="K10">
        <v>300</v>
      </c>
    </row>
    <row r="11" spans="2:11" ht="14.25">
      <c r="B11" t="str">
        <f t="shared" si="1"/>
        <v>e_*500</v>
      </c>
      <c r="D11" t="str">
        <f t="shared" si="0"/>
        <v>Elec-500V</v>
      </c>
      <c r="K11">
        <v>500</v>
      </c>
    </row>
    <row r="12" spans="2:11" ht="14.25">
      <c r="B12" t="str">
        <f t="shared" si="1"/>
        <v>e_*750</v>
      </c>
      <c r="D12" t="str">
        <f t="shared" si="0"/>
        <v>Elec-750V</v>
      </c>
      <c r="K12">
        <v>750</v>
      </c>
    </row>
    <row r="13" spans="2:11" ht="14.25">
      <c r="B13" t="str">
        <f t="shared" si="1"/>
        <v>e_*450</v>
      </c>
      <c r="D13" t="str">
        <f t="shared" si="0"/>
        <v>Elec-450V</v>
      </c>
      <c r="K13">
        <v>450</v>
      </c>
    </row>
    <row r="14" spans="2:11" ht="14.25">
      <c r="B14" t="str">
        <f t="shared" si="1"/>
        <v>e_*515</v>
      </c>
      <c r="D14" t="str">
        <f t="shared" si="0"/>
        <v>Elec-515V</v>
      </c>
      <c r="K14">
        <v>515</v>
      </c>
    </row>
    <row r="15" spans="2:11" ht="14.25">
      <c r="B15" t="str">
        <f t="shared" si="1"/>
        <v>e_*525</v>
      </c>
      <c r="D15" t="str">
        <f t="shared" si="0"/>
        <v>Elec-525V</v>
      </c>
      <c r="K15">
        <v>525</v>
      </c>
    </row>
    <row r="16" spans="2:11" ht="14.25">
      <c r="B16" t="str">
        <f t="shared" si="1"/>
        <v>e_*320</v>
      </c>
      <c r="D16" t="str">
        <f t="shared" si="0"/>
        <v>Elec-320V</v>
      </c>
      <c r="K16">
        <v>320</v>
      </c>
    </row>
    <row r="17" spans="2:11" ht="14.25">
      <c r="B17" t="str">
        <f t="shared" si="1"/>
        <v>e_*150</v>
      </c>
      <c r="D17" t="str">
        <f t="shared" si="0"/>
        <v>Elec-150V</v>
      </c>
      <c r="K17">
        <v>150</v>
      </c>
    </row>
    <row r="18" spans="2:11" ht="14.25">
      <c r="B18" t="str">
        <f t="shared" si="1"/>
        <v>e_*270</v>
      </c>
      <c r="D18" t="str">
        <f t="shared" si="0"/>
        <v>Elec-270V</v>
      </c>
      <c r="K18">
        <v>270</v>
      </c>
    </row>
    <row r="19" spans="2:11" ht="14.25">
      <c r="B19" t="str">
        <f t="shared" si="1"/>
        <v>e_*350</v>
      </c>
      <c r="D19" t="str">
        <f t="shared" si="0"/>
        <v>Elec-350V</v>
      </c>
      <c r="K19">
        <v>350</v>
      </c>
    </row>
    <row r="20" spans="2:11" ht="14.25">
      <c r="B20" t="str">
        <f t="shared" si="1"/>
        <v>e_*250</v>
      </c>
      <c r="D20" t="str">
        <f t="shared" si="0"/>
        <v>Elec-250V</v>
      </c>
      <c r="K20">
        <v>250</v>
      </c>
    </row>
    <row r="21" spans="2:11" ht="14.25">
      <c r="B21" t="str">
        <f t="shared" si="1"/>
        <v>e_*200</v>
      </c>
      <c r="D21" t="str">
        <f t="shared" si="0"/>
        <v>Elec-200V</v>
      </c>
      <c r="K21">
        <v>200</v>
      </c>
    </row>
    <row r="22" spans="2:11" ht="14.25">
      <c r="B22" t="str">
        <f t="shared" si="1"/>
        <v>e_*236</v>
      </c>
      <c r="D22" t="str">
        <f t="shared" si="0"/>
        <v>Elec-236V</v>
      </c>
      <c r="K22">
        <v>236</v>
      </c>
    </row>
    <row r="23" spans="2:11" ht="14.25">
      <c r="B23" t="str">
        <f t="shared" si="1"/>
        <v>e_*600</v>
      </c>
      <c r="D23" t="str">
        <f t="shared" si="0"/>
        <v>Elec-600V</v>
      </c>
      <c r="K23">
        <v>600</v>
      </c>
    </row>
    <row r="24" spans="2:4" ht="14.25">
      <c r="B24" t="s">
        <v>51</v>
      </c>
      <c r="D24" t="s">
        <v>83</v>
      </c>
    </row>
    <row r="25" spans="2:4" ht="14.25">
      <c r="B25" t="s">
        <v>52</v>
      </c>
      <c r="D25" t="s">
        <v>84</v>
      </c>
    </row>
    <row r="26" spans="2:4" ht="14.25">
      <c r="B26" t="s">
        <v>67</v>
      </c>
      <c r="D26" t="s">
        <v>66</v>
      </c>
    </row>
    <row r="27" spans="2:4" ht="14.25">
      <c r="B27" t="s">
        <v>68</v>
      </c>
      <c r="D27" t="s">
        <v>82</v>
      </c>
    </row>
    <row r="28" spans="2:4" ht="14.25">
      <c r="B28" t="s">
        <v>53</v>
      </c>
      <c r="D28" t="str">
        <f>B28</f>
        <v>bioenergy</v>
      </c>
    </row>
    <row r="29" spans="2:4" ht="14.25">
      <c r="B29" t="s">
        <v>54</v>
      </c>
      <c r="D29" t="str">
        <f>B29</f>
        <v>hydrogen</v>
      </c>
    </row>
    <row r="30" spans="2:4" ht="14.25">
      <c r="B30" t="s">
        <v>43</v>
      </c>
      <c r="D30" t="str">
        <f>B30</f>
        <v>nuclear</v>
      </c>
    </row>
    <row r="31" spans="2:4" ht="14.25">
      <c r="B31" t="s">
        <v>55</v>
      </c>
      <c r="D31" t="str">
        <f>B31</f>
        <v>ELC</v>
      </c>
    </row>
    <row r="32" spans="2:4" ht="14.25">
      <c r="B32" t="s">
        <v>56</v>
      </c>
      <c r="D32" t="s">
        <v>62</v>
      </c>
    </row>
    <row r="33" spans="2:4" ht="14.25">
      <c r="B33" t="s">
        <v>57</v>
      </c>
      <c r="D33" t="s">
        <v>63</v>
      </c>
    </row>
    <row r="34" spans="2:4" ht="14.25">
      <c r="B34" t="s">
        <v>58</v>
      </c>
      <c r="D34" t="s">
        <v>64</v>
      </c>
    </row>
    <row r="35" spans="2:4" ht="14.25">
      <c r="B35" t="s">
        <v>59</v>
      </c>
      <c r="D35" t="s">
        <v>65</v>
      </c>
    </row>
    <row r="36" spans="2:4" ht="14.25">
      <c r="B36" t="s">
        <v>60</v>
      </c>
      <c r="D36" t="str">
        <f>B36</f>
        <v>co2</v>
      </c>
    </row>
    <row r="37" spans="2:4" ht="14.25">
      <c r="B37" t="s">
        <v>61</v>
      </c>
      <c r="D37" t="str">
        <f>B37</f>
        <v>co2captured</v>
      </c>
    </row>
  </sheetData>
  <sortState ref="A26:D37">
    <sortCondition sortBy="value"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295604-5A80-4E08-B9B4-DE8DD616662B}">
  <dimension ref="A1:E13"/>
  <sheetViews>
    <sheetView tabSelected="1" workbookViewId="0" topLeftCell="A1">
      <selection pane="topLeft" activeCell="D4" sqref="D4"/>
    </sheetView>
  </sheetViews>
  <sheetFormatPr defaultRowHeight="14.25"/>
  <cols>
    <col min="1" max="1" width="16.4285714285714" bestFit="1" customWidth="1"/>
    <col min="2" max="2" width="14.2857142857143" bestFit="1" customWidth="1"/>
    <col min="3" max="3" width="7.14285714285714" bestFit="1" customWidth="1"/>
    <col min="4" max="4" width="33.2857142857143" bestFit="1" customWidth="1"/>
    <col min="5" max="5" width="6.57142857142857" bestFit="1" customWidth="1"/>
  </cols>
  <sheetData>
    <row r="1" spans="1:1" ht="14.25">
      <c r="A1" t="s">
        <v>672</v>
      </c>
    </row>
    <row r="2" spans="1:5" ht="14.25">
      <c r="A2" t="s">
        <v>99</v>
      </c>
      <c r="B2" t="s">
        <v>488</v>
      </c>
      <c r="C2" t="s">
        <v>673</v>
      </c>
      <c r="D2" t="s">
        <v>674</v>
      </c>
      <c r="E2" t="s">
        <v>675</v>
      </c>
    </row>
    <row r="3" spans="1:4" ht="14.25">
      <c r="A3" t="s">
        <v>793</v>
      </c>
      <c r="B3" t="s">
        <v>794</v>
      </c>
      <c r="C3" t="s">
        <v>680</v>
      </c>
      <c r="D3" t="s">
        <v>795</v>
      </c>
    </row>
    <row r="4" spans="1:4" ht="14.25">
      <c r="A4" t="s">
        <v>762</v>
      </c>
      <c r="B4" t="s">
        <v>763</v>
      </c>
      <c r="C4" t="s">
        <v>680</v>
      </c>
      <c r="D4" t="s">
        <v>792</v>
      </c>
    </row>
    <row r="5" spans="1:4" ht="14.25">
      <c r="A5" t="s">
        <v>764</v>
      </c>
      <c r="B5" t="s">
        <v>502</v>
      </c>
      <c r="C5" t="s">
        <v>680</v>
      </c>
      <c r="D5" t="s">
        <v>765</v>
      </c>
    </row>
    <row r="6" spans="1:4" ht="14.25">
      <c r="A6" t="s">
        <v>766</v>
      </c>
      <c r="B6" t="s">
        <v>496</v>
      </c>
      <c r="C6" t="s">
        <v>680</v>
      </c>
      <c r="D6" t="s">
        <v>767</v>
      </c>
    </row>
    <row r="7" spans="1:4" ht="14.25">
      <c r="A7" t="s">
        <v>768</v>
      </c>
      <c r="B7" t="s">
        <v>769</v>
      </c>
      <c r="C7" t="s">
        <v>680</v>
      </c>
      <c r="D7" t="s">
        <v>770</v>
      </c>
    </row>
    <row r="8" spans="1:4" ht="14.25">
      <c r="A8" t="s">
        <v>771</v>
      </c>
      <c r="B8" t="s">
        <v>500</v>
      </c>
      <c r="C8" t="s">
        <v>680</v>
      </c>
      <c r="D8" t="s">
        <v>772</v>
      </c>
    </row>
    <row r="9" spans="1:4" ht="14.25">
      <c r="A9" t="s">
        <v>773</v>
      </c>
      <c r="B9" t="s">
        <v>498</v>
      </c>
      <c r="C9" t="s">
        <v>680</v>
      </c>
      <c r="D9" t="s">
        <v>774</v>
      </c>
    </row>
    <row r="10" spans="1:4" ht="14.25">
      <c r="A10" t="s">
        <v>775</v>
      </c>
      <c r="B10" t="s">
        <v>514</v>
      </c>
      <c r="C10" t="s">
        <v>680</v>
      </c>
      <c r="D10" t="s">
        <v>776</v>
      </c>
    </row>
    <row r="11" spans="1:4" ht="14.25">
      <c r="A11" t="s">
        <v>777</v>
      </c>
      <c r="B11" t="s">
        <v>504</v>
      </c>
      <c r="C11" t="s">
        <v>680</v>
      </c>
      <c r="D11" t="s">
        <v>778</v>
      </c>
    </row>
    <row r="12" spans="1:4" ht="14.25">
      <c r="A12" t="s">
        <v>779</v>
      </c>
      <c r="B12" t="s">
        <v>689</v>
      </c>
      <c r="C12" t="s">
        <v>680</v>
      </c>
      <c r="D12" t="s">
        <v>780</v>
      </c>
    </row>
    <row r="13" spans="1:5" ht="14.25">
      <c r="A13" t="s">
        <v>781</v>
      </c>
      <c r="B13" t="s">
        <v>760</v>
      </c>
      <c r="C13" t="s">
        <v>680</v>
      </c>
      <c r="D13" t="s">
        <v>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B38C7C-36FF-4DE0-9337-A7E9284495EF}">
  <dimension ref="B9:E200"/>
  <sheetViews>
    <sheetView workbookViewId="0" topLeftCell="A1"/>
  </sheetViews>
  <sheetFormatPr defaultRowHeight="14.25"/>
  <cols>
    <col min="2" max="2" width="14.1428571428571" bestFit="1" customWidth="1"/>
    <col min="3" max="4" width="15" bestFit="1" customWidth="1"/>
    <col min="5" max="5" width="10.5714285714286" bestFit="1" customWidth="1"/>
  </cols>
  <sheetData>
    <row r="9" spans="2:2" ht="14.25">
      <c r="B9" t="s">
        <v>98</v>
      </c>
    </row>
    <row r="10" spans="2:5" ht="14.25">
      <c r="B10" t="s">
        <v>99</v>
      </c>
      <c r="C10" t="s">
        <v>100</v>
      </c>
      <c r="D10" t="s">
        <v>101</v>
      </c>
      <c r="E10" t="s">
        <v>102</v>
      </c>
    </row>
    <row r="11" spans="2:5" ht="14.25">
      <c r="B11" t="s">
        <v>103</v>
      </c>
      <c r="C11" t="s">
        <v>104</v>
      </c>
      <c r="D11" t="s">
        <v>104</v>
      </c>
      <c r="E11" t="s">
        <v>105</v>
      </c>
    </row>
    <row r="12" spans="2:5" ht="14.25">
      <c r="B12" t="s">
        <v>106</v>
      </c>
      <c r="C12" t="s">
        <v>107</v>
      </c>
      <c r="D12" t="s">
        <v>107</v>
      </c>
      <c r="E12" t="s">
        <v>105</v>
      </c>
    </row>
    <row r="13" spans="2:5" ht="14.25">
      <c r="B13" t="s">
        <v>108</v>
      </c>
      <c r="C13" t="s">
        <v>109</v>
      </c>
      <c r="D13" t="s">
        <v>109</v>
      </c>
      <c r="E13" t="s">
        <v>105</v>
      </c>
    </row>
    <row r="14" spans="2:5" ht="14.25">
      <c r="B14" t="s">
        <v>110</v>
      </c>
      <c r="C14" t="s">
        <v>111</v>
      </c>
      <c r="D14" t="s">
        <v>111</v>
      </c>
      <c r="E14" t="s">
        <v>105</v>
      </c>
    </row>
    <row r="15" spans="2:5" ht="14.25">
      <c r="B15" t="s">
        <v>112</v>
      </c>
      <c r="C15" t="s">
        <v>113</v>
      </c>
      <c r="D15" t="s">
        <v>113</v>
      </c>
      <c r="E15" t="s">
        <v>105</v>
      </c>
    </row>
    <row r="16" spans="2:5" ht="14.25">
      <c r="B16" t="s">
        <v>114</v>
      </c>
      <c r="C16" t="s">
        <v>115</v>
      </c>
      <c r="D16" t="s">
        <v>115</v>
      </c>
      <c r="E16" t="s">
        <v>105</v>
      </c>
    </row>
    <row r="17" spans="2:5" ht="14.25">
      <c r="B17" t="s">
        <v>116</v>
      </c>
      <c r="C17" t="s">
        <v>117</v>
      </c>
      <c r="D17" t="s">
        <v>117</v>
      </c>
      <c r="E17" t="s">
        <v>105</v>
      </c>
    </row>
    <row r="18" spans="2:5" ht="14.25">
      <c r="B18" t="s">
        <v>118</v>
      </c>
      <c r="C18" t="s">
        <v>119</v>
      </c>
      <c r="D18" t="s">
        <v>119</v>
      </c>
      <c r="E18" t="s">
        <v>105</v>
      </c>
    </row>
    <row r="19" spans="2:5" ht="14.25">
      <c r="B19" t="s">
        <v>120</v>
      </c>
      <c r="C19" t="s">
        <v>121</v>
      </c>
      <c r="D19" t="s">
        <v>121</v>
      </c>
      <c r="E19" t="s">
        <v>105</v>
      </c>
    </row>
    <row r="20" spans="2:5" ht="14.25">
      <c r="B20" t="s">
        <v>122</v>
      </c>
      <c r="C20" t="s">
        <v>123</v>
      </c>
      <c r="D20" t="s">
        <v>123</v>
      </c>
      <c r="E20" t="s">
        <v>105</v>
      </c>
    </row>
    <row r="21" spans="2:5" ht="14.25">
      <c r="B21" t="s">
        <v>124</v>
      </c>
      <c r="C21" t="s">
        <v>125</v>
      </c>
      <c r="D21" t="s">
        <v>125</v>
      </c>
      <c r="E21" t="s">
        <v>105</v>
      </c>
    </row>
    <row r="22" spans="2:5" ht="14.25">
      <c r="B22" t="s">
        <v>126</v>
      </c>
      <c r="C22" t="s">
        <v>127</v>
      </c>
      <c r="D22" t="s">
        <v>127</v>
      </c>
      <c r="E22" t="s">
        <v>105</v>
      </c>
    </row>
    <row r="23" spans="2:5" ht="14.25">
      <c r="B23" t="s">
        <v>128</v>
      </c>
      <c r="C23" t="s">
        <v>129</v>
      </c>
      <c r="D23" t="s">
        <v>129</v>
      </c>
      <c r="E23" t="s">
        <v>105</v>
      </c>
    </row>
    <row r="24" spans="2:5" ht="14.25">
      <c r="B24" t="s">
        <v>130</v>
      </c>
      <c r="C24" t="s">
        <v>131</v>
      </c>
      <c r="D24" t="s">
        <v>131</v>
      </c>
      <c r="E24" t="s">
        <v>105</v>
      </c>
    </row>
    <row r="25" spans="2:5" ht="14.25">
      <c r="B25" t="s">
        <v>132</v>
      </c>
      <c r="C25" t="s">
        <v>133</v>
      </c>
      <c r="D25" t="s">
        <v>133</v>
      </c>
      <c r="E25" t="s">
        <v>105</v>
      </c>
    </row>
    <row r="26" spans="2:5" ht="14.25">
      <c r="B26" t="s">
        <v>134</v>
      </c>
      <c r="C26" t="s">
        <v>135</v>
      </c>
      <c r="D26" t="s">
        <v>135</v>
      </c>
      <c r="E26" t="s">
        <v>105</v>
      </c>
    </row>
    <row r="27" spans="2:5" ht="14.25">
      <c r="B27" t="s">
        <v>136</v>
      </c>
      <c r="C27" t="s">
        <v>137</v>
      </c>
      <c r="D27" t="s">
        <v>137</v>
      </c>
      <c r="E27" t="s">
        <v>105</v>
      </c>
    </row>
    <row r="28" spans="2:5" ht="14.25">
      <c r="B28" t="s">
        <v>138</v>
      </c>
      <c r="C28" t="s">
        <v>139</v>
      </c>
      <c r="D28" t="s">
        <v>139</v>
      </c>
      <c r="E28" t="s">
        <v>105</v>
      </c>
    </row>
    <row r="29" spans="2:5" ht="14.25">
      <c r="B29" t="s">
        <v>140</v>
      </c>
      <c r="C29" t="s">
        <v>141</v>
      </c>
      <c r="D29" t="s">
        <v>141</v>
      </c>
      <c r="E29" t="s">
        <v>105</v>
      </c>
    </row>
    <row r="30" spans="2:5" ht="14.25">
      <c r="B30" t="s">
        <v>142</v>
      </c>
      <c r="C30" t="s">
        <v>143</v>
      </c>
      <c r="D30" t="s">
        <v>143</v>
      </c>
      <c r="E30" t="s">
        <v>105</v>
      </c>
    </row>
    <row r="31" spans="2:5" ht="14.25">
      <c r="B31" t="s">
        <v>144</v>
      </c>
      <c r="C31" t="s">
        <v>145</v>
      </c>
      <c r="D31" t="s">
        <v>145</v>
      </c>
      <c r="E31" t="s">
        <v>105</v>
      </c>
    </row>
    <row r="32" spans="2:5" ht="14.25">
      <c r="B32" t="s">
        <v>146</v>
      </c>
      <c r="C32" t="s">
        <v>147</v>
      </c>
      <c r="D32" t="s">
        <v>147</v>
      </c>
      <c r="E32" t="s">
        <v>105</v>
      </c>
    </row>
    <row r="33" spans="2:5" ht="14.25">
      <c r="B33" t="s">
        <v>148</v>
      </c>
      <c r="C33" t="s">
        <v>149</v>
      </c>
      <c r="D33" t="s">
        <v>149</v>
      </c>
      <c r="E33" t="s">
        <v>105</v>
      </c>
    </row>
    <row r="34" spans="2:5" ht="14.25">
      <c r="B34" t="s">
        <v>150</v>
      </c>
      <c r="C34" t="s">
        <v>151</v>
      </c>
      <c r="D34" t="s">
        <v>151</v>
      </c>
      <c r="E34" t="s">
        <v>105</v>
      </c>
    </row>
    <row r="35" spans="2:5" ht="14.25">
      <c r="B35" t="s">
        <v>152</v>
      </c>
      <c r="C35" t="s">
        <v>153</v>
      </c>
      <c r="D35" t="s">
        <v>153</v>
      </c>
      <c r="E35" t="s">
        <v>105</v>
      </c>
    </row>
    <row r="36" spans="2:5" ht="14.25">
      <c r="B36" t="s">
        <v>154</v>
      </c>
      <c r="C36" t="s">
        <v>155</v>
      </c>
      <c r="D36" t="s">
        <v>155</v>
      </c>
      <c r="E36" t="s">
        <v>105</v>
      </c>
    </row>
    <row r="37" spans="2:5" ht="14.25">
      <c r="B37" t="s">
        <v>156</v>
      </c>
      <c r="C37" t="s">
        <v>157</v>
      </c>
      <c r="D37" t="s">
        <v>157</v>
      </c>
      <c r="E37" t="s">
        <v>105</v>
      </c>
    </row>
    <row r="38" spans="2:5" ht="14.25">
      <c r="B38" t="s">
        <v>158</v>
      </c>
      <c r="C38" t="s">
        <v>159</v>
      </c>
      <c r="D38" t="s">
        <v>159</v>
      </c>
      <c r="E38" t="s">
        <v>105</v>
      </c>
    </row>
    <row r="39" spans="2:5" ht="14.25">
      <c r="B39" t="s">
        <v>160</v>
      </c>
      <c r="C39" t="s">
        <v>161</v>
      </c>
      <c r="D39" t="s">
        <v>161</v>
      </c>
      <c r="E39" t="s">
        <v>105</v>
      </c>
    </row>
    <row r="40" spans="2:5" ht="14.25">
      <c r="B40" t="s">
        <v>162</v>
      </c>
      <c r="C40" t="s">
        <v>163</v>
      </c>
      <c r="D40" t="s">
        <v>163</v>
      </c>
      <c r="E40" t="s">
        <v>105</v>
      </c>
    </row>
    <row r="41" spans="2:5" ht="14.25">
      <c r="B41" t="s">
        <v>164</v>
      </c>
      <c r="C41" t="s">
        <v>165</v>
      </c>
      <c r="D41" t="s">
        <v>165</v>
      </c>
      <c r="E41" t="s">
        <v>105</v>
      </c>
    </row>
    <row r="42" spans="2:5" ht="14.25">
      <c r="B42" t="s">
        <v>166</v>
      </c>
      <c r="C42" t="s">
        <v>167</v>
      </c>
      <c r="D42" t="s">
        <v>167</v>
      </c>
      <c r="E42" t="s">
        <v>105</v>
      </c>
    </row>
    <row r="43" spans="2:5" ht="14.25">
      <c r="B43" t="s">
        <v>168</v>
      </c>
      <c r="C43" t="s">
        <v>169</v>
      </c>
      <c r="D43" t="s">
        <v>169</v>
      </c>
      <c r="E43" t="s">
        <v>105</v>
      </c>
    </row>
    <row r="44" spans="2:5" ht="14.25">
      <c r="B44" t="s">
        <v>170</v>
      </c>
      <c r="C44" t="s">
        <v>171</v>
      </c>
      <c r="D44" t="s">
        <v>171</v>
      </c>
      <c r="E44" t="s">
        <v>105</v>
      </c>
    </row>
    <row r="45" spans="2:5" ht="14.25">
      <c r="B45" t="s">
        <v>172</v>
      </c>
      <c r="C45" t="s">
        <v>173</v>
      </c>
      <c r="D45" t="s">
        <v>173</v>
      </c>
      <c r="E45" t="s">
        <v>105</v>
      </c>
    </row>
    <row r="46" spans="2:5" ht="14.25">
      <c r="B46" t="s">
        <v>174</v>
      </c>
      <c r="C46" t="s">
        <v>175</v>
      </c>
      <c r="D46" t="s">
        <v>175</v>
      </c>
      <c r="E46" t="s">
        <v>105</v>
      </c>
    </row>
    <row r="47" spans="2:5" ht="14.25">
      <c r="B47" t="s">
        <v>176</v>
      </c>
      <c r="C47" t="s">
        <v>177</v>
      </c>
      <c r="D47" t="s">
        <v>177</v>
      </c>
      <c r="E47" t="s">
        <v>105</v>
      </c>
    </row>
    <row r="48" spans="2:5" ht="14.25">
      <c r="B48" t="s">
        <v>178</v>
      </c>
      <c r="C48" t="s">
        <v>179</v>
      </c>
      <c r="D48" t="s">
        <v>179</v>
      </c>
      <c r="E48" t="s">
        <v>105</v>
      </c>
    </row>
    <row r="49" spans="2:5" ht="14.25">
      <c r="B49" t="s">
        <v>180</v>
      </c>
      <c r="C49" t="s">
        <v>181</v>
      </c>
      <c r="D49" t="s">
        <v>181</v>
      </c>
      <c r="E49" t="s">
        <v>105</v>
      </c>
    </row>
    <row r="50" spans="2:5" ht="14.25">
      <c r="B50" t="s">
        <v>182</v>
      </c>
      <c r="C50" t="s">
        <v>183</v>
      </c>
      <c r="D50" t="s">
        <v>183</v>
      </c>
      <c r="E50" t="s">
        <v>105</v>
      </c>
    </row>
    <row r="51" spans="2:5" ht="14.25">
      <c r="B51" t="s">
        <v>184</v>
      </c>
      <c r="C51" t="s">
        <v>185</v>
      </c>
      <c r="D51" t="s">
        <v>185</v>
      </c>
      <c r="E51" t="s">
        <v>105</v>
      </c>
    </row>
    <row r="52" spans="2:5" ht="14.25">
      <c r="B52" t="s">
        <v>186</v>
      </c>
      <c r="C52" t="s">
        <v>187</v>
      </c>
      <c r="D52" t="s">
        <v>187</v>
      </c>
      <c r="E52" t="s">
        <v>105</v>
      </c>
    </row>
    <row r="53" spans="2:5" ht="14.25">
      <c r="B53" t="s">
        <v>188</v>
      </c>
      <c r="C53" t="s">
        <v>189</v>
      </c>
      <c r="D53" t="s">
        <v>189</v>
      </c>
      <c r="E53" t="s">
        <v>105</v>
      </c>
    </row>
    <row r="54" spans="2:5" ht="14.25">
      <c r="B54" t="s">
        <v>190</v>
      </c>
      <c r="C54" t="s">
        <v>191</v>
      </c>
      <c r="D54" t="s">
        <v>191</v>
      </c>
      <c r="E54" t="s">
        <v>105</v>
      </c>
    </row>
    <row r="55" spans="2:5" ht="14.25">
      <c r="B55" t="s">
        <v>192</v>
      </c>
      <c r="C55" t="s">
        <v>193</v>
      </c>
      <c r="D55" t="s">
        <v>193</v>
      </c>
      <c r="E55" t="s">
        <v>105</v>
      </c>
    </row>
    <row r="56" spans="2:5" ht="14.25">
      <c r="B56" t="s">
        <v>194</v>
      </c>
      <c r="C56" t="s">
        <v>195</v>
      </c>
      <c r="D56" t="s">
        <v>195</v>
      </c>
      <c r="E56" t="s">
        <v>105</v>
      </c>
    </row>
    <row r="57" spans="2:5" ht="14.25">
      <c r="B57" t="s">
        <v>196</v>
      </c>
      <c r="C57" t="s">
        <v>197</v>
      </c>
      <c r="D57" t="s">
        <v>197</v>
      </c>
      <c r="E57" t="s">
        <v>105</v>
      </c>
    </row>
    <row r="58" spans="2:5" ht="14.25">
      <c r="B58" t="s">
        <v>198</v>
      </c>
      <c r="C58" t="s">
        <v>199</v>
      </c>
      <c r="D58" t="s">
        <v>199</v>
      </c>
      <c r="E58" t="s">
        <v>105</v>
      </c>
    </row>
    <row r="59" spans="2:5" ht="14.25">
      <c r="B59" t="s">
        <v>200</v>
      </c>
      <c r="C59" t="s">
        <v>201</v>
      </c>
      <c r="D59" t="s">
        <v>201</v>
      </c>
      <c r="E59" t="s">
        <v>105</v>
      </c>
    </row>
    <row r="60" spans="2:5" ht="14.25">
      <c r="B60" t="s">
        <v>202</v>
      </c>
      <c r="C60" t="s">
        <v>203</v>
      </c>
      <c r="D60" t="s">
        <v>203</v>
      </c>
      <c r="E60" t="s">
        <v>105</v>
      </c>
    </row>
    <row r="61" spans="2:5" ht="14.25">
      <c r="B61" t="s">
        <v>204</v>
      </c>
      <c r="C61" t="s">
        <v>205</v>
      </c>
      <c r="D61" t="s">
        <v>205</v>
      </c>
      <c r="E61" t="s">
        <v>105</v>
      </c>
    </row>
    <row r="62" spans="2:5" ht="14.25">
      <c r="B62" t="s">
        <v>206</v>
      </c>
      <c r="C62" t="s">
        <v>207</v>
      </c>
      <c r="D62" t="s">
        <v>207</v>
      </c>
      <c r="E62" t="s">
        <v>105</v>
      </c>
    </row>
    <row r="63" spans="2:5" ht="14.25">
      <c r="B63" t="s">
        <v>208</v>
      </c>
      <c r="C63" t="s">
        <v>209</v>
      </c>
      <c r="D63" t="s">
        <v>209</v>
      </c>
      <c r="E63" t="s">
        <v>105</v>
      </c>
    </row>
    <row r="64" spans="2:5" ht="14.25">
      <c r="B64" t="s">
        <v>210</v>
      </c>
      <c r="C64" t="s">
        <v>211</v>
      </c>
      <c r="D64" t="s">
        <v>211</v>
      </c>
      <c r="E64" t="s">
        <v>105</v>
      </c>
    </row>
    <row r="65" spans="2:5" ht="14.25">
      <c r="B65" t="s">
        <v>212</v>
      </c>
      <c r="C65" t="s">
        <v>213</v>
      </c>
      <c r="D65" t="s">
        <v>213</v>
      </c>
      <c r="E65" t="s">
        <v>105</v>
      </c>
    </row>
    <row r="66" spans="2:5" ht="14.25">
      <c r="B66" t="s">
        <v>214</v>
      </c>
      <c r="C66" t="s">
        <v>215</v>
      </c>
      <c r="D66" t="s">
        <v>215</v>
      </c>
      <c r="E66" t="s">
        <v>105</v>
      </c>
    </row>
    <row r="67" spans="2:5" ht="14.25">
      <c r="B67" t="s">
        <v>216</v>
      </c>
      <c r="C67" t="s">
        <v>217</v>
      </c>
      <c r="D67" t="s">
        <v>217</v>
      </c>
      <c r="E67" t="s">
        <v>105</v>
      </c>
    </row>
    <row r="68" spans="2:5" ht="14.25">
      <c r="B68" t="s">
        <v>218</v>
      </c>
      <c r="C68" t="s">
        <v>219</v>
      </c>
      <c r="D68" t="s">
        <v>219</v>
      </c>
      <c r="E68" t="s">
        <v>105</v>
      </c>
    </row>
    <row r="69" spans="2:5" ht="14.25">
      <c r="B69" t="s">
        <v>220</v>
      </c>
      <c r="C69" t="s">
        <v>221</v>
      </c>
      <c r="D69" t="s">
        <v>221</v>
      </c>
      <c r="E69" t="s">
        <v>105</v>
      </c>
    </row>
    <row r="70" spans="2:5" ht="14.25">
      <c r="B70" t="s">
        <v>222</v>
      </c>
      <c r="C70" t="s">
        <v>223</v>
      </c>
      <c r="D70" t="s">
        <v>223</v>
      </c>
      <c r="E70" t="s">
        <v>105</v>
      </c>
    </row>
    <row r="71" spans="2:5" ht="14.25">
      <c r="B71" t="s">
        <v>224</v>
      </c>
      <c r="C71" t="s">
        <v>225</v>
      </c>
      <c r="D71" t="s">
        <v>225</v>
      </c>
      <c r="E71" t="s">
        <v>105</v>
      </c>
    </row>
    <row r="72" spans="2:5" ht="14.25">
      <c r="B72" t="s">
        <v>226</v>
      </c>
      <c r="C72" t="s">
        <v>227</v>
      </c>
      <c r="D72" t="s">
        <v>227</v>
      </c>
      <c r="E72" t="s">
        <v>105</v>
      </c>
    </row>
    <row r="73" spans="2:5" ht="14.25">
      <c r="B73" t="s">
        <v>228</v>
      </c>
      <c r="C73" t="s">
        <v>229</v>
      </c>
      <c r="D73" t="s">
        <v>229</v>
      </c>
      <c r="E73" t="s">
        <v>105</v>
      </c>
    </row>
    <row r="74" spans="2:5" ht="14.25">
      <c r="B74" t="s">
        <v>230</v>
      </c>
      <c r="C74" t="s">
        <v>231</v>
      </c>
      <c r="D74" t="s">
        <v>231</v>
      </c>
      <c r="E74" t="s">
        <v>105</v>
      </c>
    </row>
    <row r="75" spans="2:5" ht="14.25">
      <c r="B75" t="s">
        <v>232</v>
      </c>
      <c r="C75" t="s">
        <v>233</v>
      </c>
      <c r="D75" t="s">
        <v>233</v>
      </c>
      <c r="E75" t="s">
        <v>105</v>
      </c>
    </row>
    <row r="76" spans="2:5" ht="14.25">
      <c r="B76" t="s">
        <v>234</v>
      </c>
      <c r="C76" t="s">
        <v>235</v>
      </c>
      <c r="D76" t="s">
        <v>235</v>
      </c>
      <c r="E76" t="s">
        <v>105</v>
      </c>
    </row>
    <row r="77" spans="2:5" ht="14.25">
      <c r="B77" t="s">
        <v>236</v>
      </c>
      <c r="C77" t="s">
        <v>237</v>
      </c>
      <c r="D77" t="s">
        <v>237</v>
      </c>
      <c r="E77" t="s">
        <v>105</v>
      </c>
    </row>
    <row r="78" spans="2:5" ht="14.25">
      <c r="B78" t="s">
        <v>238</v>
      </c>
      <c r="C78" t="s">
        <v>239</v>
      </c>
      <c r="D78" t="s">
        <v>239</v>
      </c>
      <c r="E78" t="s">
        <v>105</v>
      </c>
    </row>
    <row r="79" spans="2:5" ht="14.25">
      <c r="B79" t="s">
        <v>240</v>
      </c>
      <c r="C79" t="s">
        <v>241</v>
      </c>
      <c r="D79" t="s">
        <v>241</v>
      </c>
      <c r="E79" t="s">
        <v>105</v>
      </c>
    </row>
    <row r="80" spans="2:5" ht="14.25">
      <c r="B80" t="s">
        <v>242</v>
      </c>
      <c r="C80" t="s">
        <v>243</v>
      </c>
      <c r="D80" t="s">
        <v>243</v>
      </c>
      <c r="E80" t="s">
        <v>105</v>
      </c>
    </row>
    <row r="81" spans="2:5" ht="14.25">
      <c r="B81" t="s">
        <v>244</v>
      </c>
      <c r="C81" t="s">
        <v>245</v>
      </c>
      <c r="D81" t="s">
        <v>245</v>
      </c>
      <c r="E81" t="s">
        <v>105</v>
      </c>
    </row>
    <row r="82" spans="2:5" ht="14.25">
      <c r="B82" t="s">
        <v>246</v>
      </c>
      <c r="C82" t="s">
        <v>247</v>
      </c>
      <c r="D82" t="s">
        <v>247</v>
      </c>
      <c r="E82" t="s">
        <v>105</v>
      </c>
    </row>
    <row r="83" spans="2:5" ht="14.25">
      <c r="B83" t="s">
        <v>248</v>
      </c>
      <c r="C83" t="s">
        <v>249</v>
      </c>
      <c r="D83" t="s">
        <v>249</v>
      </c>
      <c r="E83" t="s">
        <v>105</v>
      </c>
    </row>
    <row r="84" spans="2:5" ht="14.25">
      <c r="B84" t="s">
        <v>250</v>
      </c>
      <c r="C84" t="s">
        <v>251</v>
      </c>
      <c r="D84" t="s">
        <v>251</v>
      </c>
      <c r="E84" t="s">
        <v>105</v>
      </c>
    </row>
    <row r="85" spans="2:5" ht="14.25">
      <c r="B85" t="s">
        <v>252</v>
      </c>
      <c r="C85" t="s">
        <v>253</v>
      </c>
      <c r="D85" t="s">
        <v>253</v>
      </c>
      <c r="E85" t="s">
        <v>105</v>
      </c>
    </row>
    <row r="86" spans="2:5" ht="14.25">
      <c r="B86" t="s">
        <v>254</v>
      </c>
      <c r="C86" t="s">
        <v>255</v>
      </c>
      <c r="D86" t="s">
        <v>255</v>
      </c>
      <c r="E86" t="s">
        <v>105</v>
      </c>
    </row>
    <row r="87" spans="2:5" ht="14.25">
      <c r="B87" t="s">
        <v>256</v>
      </c>
      <c r="C87" t="s">
        <v>257</v>
      </c>
      <c r="D87" t="s">
        <v>257</v>
      </c>
      <c r="E87" t="s">
        <v>105</v>
      </c>
    </row>
    <row r="88" spans="2:5" ht="14.25">
      <c r="B88" t="s">
        <v>258</v>
      </c>
      <c r="C88" t="s">
        <v>259</v>
      </c>
      <c r="D88" t="s">
        <v>259</v>
      </c>
      <c r="E88" t="s">
        <v>105</v>
      </c>
    </row>
    <row r="89" spans="2:5" ht="14.25">
      <c r="B89" t="s">
        <v>260</v>
      </c>
      <c r="C89" t="s">
        <v>261</v>
      </c>
      <c r="D89" t="s">
        <v>261</v>
      </c>
      <c r="E89" t="s">
        <v>105</v>
      </c>
    </row>
    <row r="90" spans="2:5" ht="14.25">
      <c r="B90" t="s">
        <v>262</v>
      </c>
      <c r="C90" t="s">
        <v>263</v>
      </c>
      <c r="D90" t="s">
        <v>263</v>
      </c>
      <c r="E90" t="s">
        <v>105</v>
      </c>
    </row>
    <row r="91" spans="2:5" ht="14.25">
      <c r="B91" t="s">
        <v>264</v>
      </c>
      <c r="C91" t="s">
        <v>265</v>
      </c>
      <c r="D91" t="s">
        <v>265</v>
      </c>
      <c r="E91" t="s">
        <v>105</v>
      </c>
    </row>
    <row r="92" spans="2:5" ht="14.25">
      <c r="B92" t="s">
        <v>266</v>
      </c>
      <c r="C92" t="s">
        <v>267</v>
      </c>
      <c r="D92" t="s">
        <v>267</v>
      </c>
      <c r="E92" t="s">
        <v>105</v>
      </c>
    </row>
    <row r="93" spans="2:5" ht="14.25">
      <c r="B93" t="s">
        <v>268</v>
      </c>
      <c r="C93" t="s">
        <v>269</v>
      </c>
      <c r="D93" t="s">
        <v>269</v>
      </c>
      <c r="E93" t="s">
        <v>105</v>
      </c>
    </row>
    <row r="94" spans="2:5" ht="14.25">
      <c r="B94" t="s">
        <v>270</v>
      </c>
      <c r="C94" t="s">
        <v>271</v>
      </c>
      <c r="D94" t="s">
        <v>271</v>
      </c>
      <c r="E94" t="s">
        <v>105</v>
      </c>
    </row>
    <row r="95" spans="2:5" ht="14.25">
      <c r="B95" t="s">
        <v>272</v>
      </c>
      <c r="C95" t="s">
        <v>273</v>
      </c>
      <c r="D95" t="s">
        <v>273</v>
      </c>
      <c r="E95" t="s">
        <v>105</v>
      </c>
    </row>
    <row r="96" spans="2:5" ht="14.25">
      <c r="B96" t="s">
        <v>274</v>
      </c>
      <c r="C96" t="s">
        <v>275</v>
      </c>
      <c r="D96" t="s">
        <v>275</v>
      </c>
      <c r="E96" t="s">
        <v>105</v>
      </c>
    </row>
    <row r="97" spans="2:5" ht="14.25">
      <c r="B97" t="s">
        <v>276</v>
      </c>
      <c r="C97" t="s">
        <v>277</v>
      </c>
      <c r="D97" t="s">
        <v>277</v>
      </c>
      <c r="E97" t="s">
        <v>105</v>
      </c>
    </row>
    <row r="98" spans="2:5" ht="14.25">
      <c r="B98" t="s">
        <v>278</v>
      </c>
      <c r="C98" t="s">
        <v>279</v>
      </c>
      <c r="D98" t="s">
        <v>279</v>
      </c>
      <c r="E98" t="s">
        <v>105</v>
      </c>
    </row>
    <row r="99" spans="2:5" ht="14.25">
      <c r="B99" t="s">
        <v>280</v>
      </c>
      <c r="C99" t="s">
        <v>281</v>
      </c>
      <c r="D99" t="s">
        <v>281</v>
      </c>
      <c r="E99" t="s">
        <v>105</v>
      </c>
    </row>
    <row r="100" spans="2:5" ht="14.25">
      <c r="B100" t="s">
        <v>282</v>
      </c>
      <c r="C100" t="s">
        <v>283</v>
      </c>
      <c r="D100" t="s">
        <v>283</v>
      </c>
      <c r="E100" t="s">
        <v>105</v>
      </c>
    </row>
    <row r="101" spans="2:5" ht="14.25">
      <c r="B101" t="s">
        <v>284</v>
      </c>
      <c r="C101" t="s">
        <v>285</v>
      </c>
      <c r="D101" t="s">
        <v>285</v>
      </c>
      <c r="E101" t="s">
        <v>105</v>
      </c>
    </row>
    <row r="102" spans="2:5" ht="14.25">
      <c r="B102" t="s">
        <v>286</v>
      </c>
      <c r="C102" t="s">
        <v>287</v>
      </c>
      <c r="D102" t="s">
        <v>287</v>
      </c>
      <c r="E102" t="s">
        <v>105</v>
      </c>
    </row>
    <row r="103" spans="2:5" ht="14.25">
      <c r="B103" t="s">
        <v>288</v>
      </c>
      <c r="C103" t="s">
        <v>289</v>
      </c>
      <c r="D103" t="s">
        <v>289</v>
      </c>
      <c r="E103" t="s">
        <v>105</v>
      </c>
    </row>
    <row r="104" spans="2:5" ht="14.25">
      <c r="B104" t="s">
        <v>290</v>
      </c>
      <c r="C104" t="s">
        <v>291</v>
      </c>
      <c r="D104" t="s">
        <v>291</v>
      </c>
      <c r="E104" t="s">
        <v>105</v>
      </c>
    </row>
    <row r="105" spans="2:5" ht="14.25">
      <c r="B105" t="s">
        <v>292</v>
      </c>
      <c r="C105" t="s">
        <v>293</v>
      </c>
      <c r="D105" t="s">
        <v>293</v>
      </c>
      <c r="E105" t="s">
        <v>105</v>
      </c>
    </row>
    <row r="106" spans="2:5" ht="14.25">
      <c r="B106" t="s">
        <v>294</v>
      </c>
      <c r="C106" t="s">
        <v>295</v>
      </c>
      <c r="D106" t="s">
        <v>295</v>
      </c>
      <c r="E106" t="s">
        <v>105</v>
      </c>
    </row>
    <row r="107" spans="2:5" ht="14.25">
      <c r="B107" t="s">
        <v>296</v>
      </c>
      <c r="C107" t="s">
        <v>297</v>
      </c>
      <c r="D107" t="s">
        <v>297</v>
      </c>
      <c r="E107" t="s">
        <v>105</v>
      </c>
    </row>
    <row r="108" spans="2:5" ht="14.25">
      <c r="B108" t="s">
        <v>298</v>
      </c>
      <c r="C108" t="s">
        <v>299</v>
      </c>
      <c r="D108" t="s">
        <v>299</v>
      </c>
      <c r="E108" t="s">
        <v>105</v>
      </c>
    </row>
    <row r="109" spans="2:5" ht="14.25">
      <c r="B109" t="s">
        <v>300</v>
      </c>
      <c r="C109" t="s">
        <v>301</v>
      </c>
      <c r="D109" t="s">
        <v>301</v>
      </c>
      <c r="E109" t="s">
        <v>105</v>
      </c>
    </row>
    <row r="110" spans="2:5" ht="14.25">
      <c r="B110" t="s">
        <v>302</v>
      </c>
      <c r="C110" t="s">
        <v>303</v>
      </c>
      <c r="D110" t="s">
        <v>303</v>
      </c>
      <c r="E110" t="s">
        <v>105</v>
      </c>
    </row>
    <row r="111" spans="2:5" ht="14.25">
      <c r="B111" t="s">
        <v>304</v>
      </c>
      <c r="C111" t="s">
        <v>305</v>
      </c>
      <c r="D111" t="s">
        <v>305</v>
      </c>
      <c r="E111" t="s">
        <v>105</v>
      </c>
    </row>
    <row r="112" spans="2:5" ht="14.25">
      <c r="B112" t="s">
        <v>306</v>
      </c>
      <c r="C112" t="s">
        <v>307</v>
      </c>
      <c r="D112" t="s">
        <v>307</v>
      </c>
      <c r="E112" t="s">
        <v>105</v>
      </c>
    </row>
    <row r="113" spans="2:5" ht="14.25">
      <c r="B113" t="s">
        <v>308</v>
      </c>
      <c r="C113" t="s">
        <v>309</v>
      </c>
      <c r="D113" t="s">
        <v>309</v>
      </c>
      <c r="E113" t="s">
        <v>105</v>
      </c>
    </row>
    <row r="114" spans="2:5" ht="14.25">
      <c r="B114" t="s">
        <v>310</v>
      </c>
      <c r="C114" t="s">
        <v>311</v>
      </c>
      <c r="D114" t="s">
        <v>311</v>
      </c>
      <c r="E114" t="s">
        <v>105</v>
      </c>
    </row>
    <row r="115" spans="2:5" ht="14.25">
      <c r="B115" t="s">
        <v>312</v>
      </c>
      <c r="C115" t="s">
        <v>313</v>
      </c>
      <c r="D115" t="s">
        <v>313</v>
      </c>
      <c r="E115" t="s">
        <v>105</v>
      </c>
    </row>
    <row r="116" spans="2:5" ht="14.25">
      <c r="B116" t="s">
        <v>314</v>
      </c>
      <c r="C116" t="s">
        <v>315</v>
      </c>
      <c r="D116" t="s">
        <v>315</v>
      </c>
      <c r="E116" t="s">
        <v>105</v>
      </c>
    </row>
    <row r="117" spans="2:5" ht="14.25">
      <c r="B117" t="s">
        <v>316</v>
      </c>
      <c r="C117" t="s">
        <v>317</v>
      </c>
      <c r="D117" t="s">
        <v>317</v>
      </c>
      <c r="E117" t="s">
        <v>105</v>
      </c>
    </row>
    <row r="118" spans="2:5" ht="14.25">
      <c r="B118" t="s">
        <v>318</v>
      </c>
      <c r="C118" t="s">
        <v>319</v>
      </c>
      <c r="D118" t="s">
        <v>319</v>
      </c>
      <c r="E118" t="s">
        <v>105</v>
      </c>
    </row>
    <row r="119" spans="2:5" ht="14.25">
      <c r="B119" t="s">
        <v>320</v>
      </c>
      <c r="C119" t="s">
        <v>321</v>
      </c>
      <c r="D119" t="s">
        <v>321</v>
      </c>
      <c r="E119" t="s">
        <v>105</v>
      </c>
    </row>
    <row r="120" spans="2:5" ht="14.25">
      <c r="B120" t="s">
        <v>322</v>
      </c>
      <c r="C120" t="s">
        <v>323</v>
      </c>
      <c r="D120" t="s">
        <v>323</v>
      </c>
      <c r="E120" t="s">
        <v>105</v>
      </c>
    </row>
    <row r="121" spans="2:5" ht="14.25">
      <c r="B121" t="s">
        <v>324</v>
      </c>
      <c r="C121" t="s">
        <v>325</v>
      </c>
      <c r="D121" t="s">
        <v>325</v>
      </c>
      <c r="E121" t="s">
        <v>105</v>
      </c>
    </row>
    <row r="122" spans="2:5" ht="14.25">
      <c r="B122" t="s">
        <v>326</v>
      </c>
      <c r="C122" t="s">
        <v>327</v>
      </c>
      <c r="D122" t="s">
        <v>327</v>
      </c>
      <c r="E122" t="s">
        <v>105</v>
      </c>
    </row>
    <row r="123" spans="2:5" ht="14.25">
      <c r="B123" t="s">
        <v>328</v>
      </c>
      <c r="C123" t="s">
        <v>329</v>
      </c>
      <c r="D123" t="s">
        <v>329</v>
      </c>
      <c r="E123" t="s">
        <v>105</v>
      </c>
    </row>
    <row r="124" spans="2:5" ht="14.25">
      <c r="B124" t="s">
        <v>330</v>
      </c>
      <c r="C124" t="s">
        <v>331</v>
      </c>
      <c r="D124" t="s">
        <v>331</v>
      </c>
      <c r="E124" t="s">
        <v>105</v>
      </c>
    </row>
    <row r="125" spans="2:5" ht="14.25">
      <c r="B125" t="s">
        <v>332</v>
      </c>
      <c r="C125" t="s">
        <v>333</v>
      </c>
      <c r="D125" t="s">
        <v>333</v>
      </c>
      <c r="E125" t="s">
        <v>105</v>
      </c>
    </row>
    <row r="126" spans="2:5" ht="14.25">
      <c r="B126" t="s">
        <v>334</v>
      </c>
      <c r="C126" t="s">
        <v>335</v>
      </c>
      <c r="D126" t="s">
        <v>335</v>
      </c>
      <c r="E126" t="s">
        <v>105</v>
      </c>
    </row>
    <row r="127" spans="2:5" ht="14.25">
      <c r="B127" t="s">
        <v>336</v>
      </c>
      <c r="C127" t="s">
        <v>337</v>
      </c>
      <c r="D127" t="s">
        <v>337</v>
      </c>
      <c r="E127" t="s">
        <v>105</v>
      </c>
    </row>
    <row r="128" spans="2:5" ht="14.25">
      <c r="B128" t="s">
        <v>338</v>
      </c>
      <c r="C128" t="s">
        <v>339</v>
      </c>
      <c r="D128" t="s">
        <v>339</v>
      </c>
      <c r="E128" t="s">
        <v>105</v>
      </c>
    </row>
    <row r="129" spans="2:5" ht="14.25">
      <c r="B129" t="s">
        <v>340</v>
      </c>
      <c r="C129" t="s">
        <v>341</v>
      </c>
      <c r="D129" t="s">
        <v>341</v>
      </c>
      <c r="E129" t="s">
        <v>105</v>
      </c>
    </row>
    <row r="130" spans="2:5" ht="14.25">
      <c r="B130" t="s">
        <v>342</v>
      </c>
      <c r="C130" t="s">
        <v>343</v>
      </c>
      <c r="D130" t="s">
        <v>343</v>
      </c>
      <c r="E130" t="s">
        <v>105</v>
      </c>
    </row>
    <row r="131" spans="2:5" ht="14.25">
      <c r="B131" t="s">
        <v>344</v>
      </c>
      <c r="C131" t="s">
        <v>345</v>
      </c>
      <c r="D131" t="s">
        <v>345</v>
      </c>
      <c r="E131" t="s">
        <v>105</v>
      </c>
    </row>
    <row r="132" spans="2:5" ht="14.25">
      <c r="B132" t="s">
        <v>346</v>
      </c>
      <c r="C132" t="s">
        <v>347</v>
      </c>
      <c r="D132" t="s">
        <v>347</v>
      </c>
      <c r="E132" t="s">
        <v>105</v>
      </c>
    </row>
    <row r="133" spans="2:5" ht="14.25">
      <c r="B133" t="s">
        <v>348</v>
      </c>
      <c r="C133" t="s">
        <v>349</v>
      </c>
      <c r="D133" t="s">
        <v>349</v>
      </c>
      <c r="E133" t="s">
        <v>105</v>
      </c>
    </row>
    <row r="134" spans="2:5" ht="14.25">
      <c r="B134" t="s">
        <v>350</v>
      </c>
      <c r="C134" t="s">
        <v>351</v>
      </c>
      <c r="D134" t="s">
        <v>351</v>
      </c>
      <c r="E134" t="s">
        <v>105</v>
      </c>
    </row>
    <row r="135" spans="2:5" ht="14.25">
      <c r="B135" t="s">
        <v>352</v>
      </c>
      <c r="C135" t="s">
        <v>353</v>
      </c>
      <c r="D135" t="s">
        <v>353</v>
      </c>
      <c r="E135" t="s">
        <v>105</v>
      </c>
    </row>
    <row r="136" spans="2:5" ht="14.25">
      <c r="B136" t="s">
        <v>354</v>
      </c>
      <c r="C136" t="s">
        <v>355</v>
      </c>
      <c r="D136" t="s">
        <v>355</v>
      </c>
      <c r="E136" t="s">
        <v>105</v>
      </c>
    </row>
    <row r="137" spans="2:5" ht="14.25">
      <c r="B137" t="s">
        <v>356</v>
      </c>
      <c r="C137" t="s">
        <v>357</v>
      </c>
      <c r="D137" t="s">
        <v>357</v>
      </c>
      <c r="E137" t="s">
        <v>105</v>
      </c>
    </row>
    <row r="138" spans="2:5" ht="14.25">
      <c r="B138" t="s">
        <v>358</v>
      </c>
      <c r="C138" t="s">
        <v>359</v>
      </c>
      <c r="D138" t="s">
        <v>359</v>
      </c>
      <c r="E138" t="s">
        <v>105</v>
      </c>
    </row>
    <row r="139" spans="2:5" ht="14.25">
      <c r="B139" t="s">
        <v>360</v>
      </c>
      <c r="C139" t="s">
        <v>361</v>
      </c>
      <c r="D139" t="s">
        <v>361</v>
      </c>
      <c r="E139" t="s">
        <v>105</v>
      </c>
    </row>
    <row r="140" spans="2:5" ht="14.25">
      <c r="B140" t="s">
        <v>362</v>
      </c>
      <c r="C140" t="s">
        <v>363</v>
      </c>
      <c r="D140" t="s">
        <v>363</v>
      </c>
      <c r="E140" t="s">
        <v>105</v>
      </c>
    </row>
    <row r="141" spans="2:5" ht="14.25">
      <c r="B141" t="s">
        <v>364</v>
      </c>
      <c r="C141" t="s">
        <v>365</v>
      </c>
      <c r="D141" t="s">
        <v>365</v>
      </c>
      <c r="E141" t="s">
        <v>105</v>
      </c>
    </row>
    <row r="142" spans="2:5" ht="14.25">
      <c r="B142" t="s">
        <v>366</v>
      </c>
      <c r="C142" t="s">
        <v>367</v>
      </c>
      <c r="D142" t="s">
        <v>367</v>
      </c>
      <c r="E142" t="s">
        <v>105</v>
      </c>
    </row>
    <row r="143" spans="2:5" ht="14.25">
      <c r="B143" t="s">
        <v>368</v>
      </c>
      <c r="C143" t="s">
        <v>369</v>
      </c>
      <c r="D143" t="s">
        <v>369</v>
      </c>
      <c r="E143" t="s">
        <v>105</v>
      </c>
    </row>
    <row r="144" spans="2:5" ht="14.25">
      <c r="B144" t="s">
        <v>370</v>
      </c>
      <c r="C144" t="s">
        <v>371</v>
      </c>
      <c r="D144" t="s">
        <v>371</v>
      </c>
      <c r="E144" t="s">
        <v>105</v>
      </c>
    </row>
    <row r="145" spans="2:5" ht="14.25">
      <c r="B145" t="s">
        <v>372</v>
      </c>
      <c r="C145" t="s">
        <v>373</v>
      </c>
      <c r="D145" t="s">
        <v>373</v>
      </c>
      <c r="E145" t="s">
        <v>105</v>
      </c>
    </row>
    <row r="146" spans="2:5" ht="14.25">
      <c r="B146" t="s">
        <v>374</v>
      </c>
      <c r="C146" t="s">
        <v>375</v>
      </c>
      <c r="D146" t="s">
        <v>375</v>
      </c>
      <c r="E146" t="s">
        <v>105</v>
      </c>
    </row>
    <row r="147" spans="2:5" ht="14.25">
      <c r="B147" t="s">
        <v>376</v>
      </c>
      <c r="C147" t="s">
        <v>377</v>
      </c>
      <c r="D147" t="s">
        <v>377</v>
      </c>
      <c r="E147" t="s">
        <v>105</v>
      </c>
    </row>
    <row r="148" spans="2:5" ht="14.25">
      <c r="B148" t="s">
        <v>378</v>
      </c>
      <c r="C148" t="s">
        <v>379</v>
      </c>
      <c r="D148" t="s">
        <v>379</v>
      </c>
      <c r="E148" t="s">
        <v>105</v>
      </c>
    </row>
    <row r="149" spans="2:5" ht="14.25">
      <c r="B149" t="s">
        <v>380</v>
      </c>
      <c r="C149" t="s">
        <v>381</v>
      </c>
      <c r="D149" t="s">
        <v>381</v>
      </c>
      <c r="E149" t="s">
        <v>105</v>
      </c>
    </row>
    <row r="150" spans="2:5" ht="14.25">
      <c r="B150" t="s">
        <v>382</v>
      </c>
      <c r="C150" t="s">
        <v>383</v>
      </c>
      <c r="D150" t="s">
        <v>383</v>
      </c>
      <c r="E150" t="s">
        <v>105</v>
      </c>
    </row>
    <row r="151" spans="2:5" ht="14.25">
      <c r="B151" t="s">
        <v>384</v>
      </c>
      <c r="C151" t="s">
        <v>385</v>
      </c>
      <c r="D151" t="s">
        <v>385</v>
      </c>
      <c r="E151" t="s">
        <v>105</v>
      </c>
    </row>
    <row r="152" spans="2:5" ht="14.25">
      <c r="B152" t="s">
        <v>386</v>
      </c>
      <c r="C152" t="s">
        <v>387</v>
      </c>
      <c r="D152" t="s">
        <v>387</v>
      </c>
      <c r="E152" t="s">
        <v>105</v>
      </c>
    </row>
    <row r="153" spans="2:5" ht="14.25">
      <c r="B153" t="s">
        <v>388</v>
      </c>
      <c r="C153" t="s">
        <v>389</v>
      </c>
      <c r="D153" t="s">
        <v>389</v>
      </c>
      <c r="E153" t="s">
        <v>105</v>
      </c>
    </row>
    <row r="154" spans="2:5" ht="14.25">
      <c r="B154" t="s">
        <v>390</v>
      </c>
      <c r="C154" t="s">
        <v>391</v>
      </c>
      <c r="D154" t="s">
        <v>391</v>
      </c>
      <c r="E154" t="s">
        <v>105</v>
      </c>
    </row>
    <row r="155" spans="2:5" ht="14.25">
      <c r="B155" t="s">
        <v>392</v>
      </c>
      <c r="C155" t="s">
        <v>393</v>
      </c>
      <c r="D155" t="s">
        <v>393</v>
      </c>
      <c r="E155" t="s">
        <v>105</v>
      </c>
    </row>
    <row r="156" spans="2:5" ht="14.25">
      <c r="B156" t="s">
        <v>394</v>
      </c>
      <c r="C156" t="s">
        <v>395</v>
      </c>
      <c r="D156" t="s">
        <v>395</v>
      </c>
      <c r="E156" t="s">
        <v>105</v>
      </c>
    </row>
    <row r="157" spans="2:5" ht="14.25">
      <c r="B157" t="s">
        <v>396</v>
      </c>
      <c r="C157" t="s">
        <v>397</v>
      </c>
      <c r="D157" t="s">
        <v>397</v>
      </c>
      <c r="E157" t="s">
        <v>105</v>
      </c>
    </row>
    <row r="158" spans="2:5" ht="14.25">
      <c r="B158" t="s">
        <v>398</v>
      </c>
      <c r="C158" t="s">
        <v>399</v>
      </c>
      <c r="D158" t="s">
        <v>399</v>
      </c>
      <c r="E158" t="s">
        <v>105</v>
      </c>
    </row>
    <row r="159" spans="2:5" ht="14.25">
      <c r="B159" t="s">
        <v>400</v>
      </c>
      <c r="C159" t="s">
        <v>401</v>
      </c>
      <c r="D159" t="s">
        <v>401</v>
      </c>
      <c r="E159" t="s">
        <v>105</v>
      </c>
    </row>
    <row r="160" spans="2:5" ht="14.25">
      <c r="B160" t="s">
        <v>402</v>
      </c>
      <c r="C160" t="s">
        <v>403</v>
      </c>
      <c r="D160" t="s">
        <v>403</v>
      </c>
      <c r="E160" t="s">
        <v>105</v>
      </c>
    </row>
    <row r="161" spans="2:5" ht="14.25">
      <c r="B161" t="s">
        <v>404</v>
      </c>
      <c r="C161" t="s">
        <v>405</v>
      </c>
      <c r="D161" t="s">
        <v>405</v>
      </c>
      <c r="E161" t="s">
        <v>105</v>
      </c>
    </row>
    <row r="162" spans="2:5" ht="14.25">
      <c r="B162" t="s">
        <v>406</v>
      </c>
      <c r="C162" t="s">
        <v>407</v>
      </c>
      <c r="D162" t="s">
        <v>407</v>
      </c>
      <c r="E162" t="s">
        <v>105</v>
      </c>
    </row>
    <row r="163" spans="2:5" ht="14.25">
      <c r="B163" t="s">
        <v>408</v>
      </c>
      <c r="C163" t="s">
        <v>409</v>
      </c>
      <c r="D163" t="s">
        <v>409</v>
      </c>
      <c r="E163" t="s">
        <v>105</v>
      </c>
    </row>
    <row r="164" spans="2:5" ht="14.25">
      <c r="B164" t="s">
        <v>410</v>
      </c>
      <c r="C164" t="s">
        <v>411</v>
      </c>
      <c r="D164" t="s">
        <v>411</v>
      </c>
      <c r="E164" t="s">
        <v>105</v>
      </c>
    </row>
    <row r="165" spans="2:5" ht="14.25">
      <c r="B165" t="s">
        <v>412</v>
      </c>
      <c r="C165" t="s">
        <v>413</v>
      </c>
      <c r="D165" t="s">
        <v>413</v>
      </c>
      <c r="E165" t="s">
        <v>105</v>
      </c>
    </row>
    <row r="166" spans="2:5" ht="14.25">
      <c r="B166" t="s">
        <v>414</v>
      </c>
      <c r="C166" t="s">
        <v>415</v>
      </c>
      <c r="D166" t="s">
        <v>415</v>
      </c>
      <c r="E166" t="s">
        <v>105</v>
      </c>
    </row>
    <row r="167" spans="2:5" ht="14.25">
      <c r="B167" t="s">
        <v>416</v>
      </c>
      <c r="C167" t="s">
        <v>417</v>
      </c>
      <c r="D167" t="s">
        <v>417</v>
      </c>
      <c r="E167" t="s">
        <v>105</v>
      </c>
    </row>
    <row r="168" spans="2:5" ht="14.25">
      <c r="B168" t="s">
        <v>418</v>
      </c>
      <c r="C168" t="s">
        <v>419</v>
      </c>
      <c r="D168" t="s">
        <v>419</v>
      </c>
      <c r="E168" t="s">
        <v>105</v>
      </c>
    </row>
    <row r="169" spans="2:5" ht="14.25">
      <c r="B169" t="s">
        <v>420</v>
      </c>
      <c r="C169" t="s">
        <v>421</v>
      </c>
      <c r="D169" t="s">
        <v>421</v>
      </c>
      <c r="E169" t="s">
        <v>105</v>
      </c>
    </row>
    <row r="170" spans="2:5" ht="14.25">
      <c r="B170" t="s">
        <v>422</v>
      </c>
      <c r="C170" t="s">
        <v>423</v>
      </c>
      <c r="D170" t="s">
        <v>423</v>
      </c>
      <c r="E170" t="s">
        <v>105</v>
      </c>
    </row>
    <row r="171" spans="2:5" ht="14.25">
      <c r="B171" t="s">
        <v>424</v>
      </c>
      <c r="C171" t="s">
        <v>425</v>
      </c>
      <c r="D171" t="s">
        <v>425</v>
      </c>
      <c r="E171" t="s">
        <v>105</v>
      </c>
    </row>
    <row r="172" spans="2:5" ht="14.25">
      <c r="B172" t="s">
        <v>426</v>
      </c>
      <c r="C172" t="s">
        <v>427</v>
      </c>
      <c r="D172" t="s">
        <v>427</v>
      </c>
      <c r="E172" t="s">
        <v>105</v>
      </c>
    </row>
    <row r="173" spans="2:5" ht="14.25">
      <c r="B173" t="s">
        <v>428</v>
      </c>
      <c r="C173" t="s">
        <v>429</v>
      </c>
      <c r="D173" t="s">
        <v>429</v>
      </c>
      <c r="E173" t="s">
        <v>105</v>
      </c>
    </row>
    <row r="174" spans="2:5" ht="14.25">
      <c r="B174" t="s">
        <v>430</v>
      </c>
      <c r="C174" t="s">
        <v>431</v>
      </c>
      <c r="D174" t="s">
        <v>431</v>
      </c>
      <c r="E174" t="s">
        <v>105</v>
      </c>
    </row>
    <row r="175" spans="2:5" ht="14.25">
      <c r="B175" t="s">
        <v>432</v>
      </c>
      <c r="C175" t="s">
        <v>433</v>
      </c>
      <c r="D175" t="s">
        <v>433</v>
      </c>
      <c r="E175" t="s">
        <v>105</v>
      </c>
    </row>
    <row r="176" spans="2:5" ht="14.25">
      <c r="B176" t="s">
        <v>434</v>
      </c>
      <c r="C176" t="s">
        <v>435</v>
      </c>
      <c r="D176" t="s">
        <v>435</v>
      </c>
      <c r="E176" t="s">
        <v>105</v>
      </c>
    </row>
    <row r="177" spans="2:5" ht="14.25">
      <c r="B177" t="s">
        <v>436</v>
      </c>
      <c r="C177" t="s">
        <v>437</v>
      </c>
      <c r="D177" t="s">
        <v>437</v>
      </c>
      <c r="E177" t="s">
        <v>105</v>
      </c>
    </row>
    <row r="178" spans="2:5" ht="14.25">
      <c r="B178" t="s">
        <v>438</v>
      </c>
      <c r="C178" t="s">
        <v>439</v>
      </c>
      <c r="D178" t="s">
        <v>439</v>
      </c>
      <c r="E178" t="s">
        <v>105</v>
      </c>
    </row>
    <row r="179" spans="2:5" ht="14.25">
      <c r="B179" t="s">
        <v>440</v>
      </c>
      <c r="C179" t="s">
        <v>441</v>
      </c>
      <c r="D179" t="s">
        <v>441</v>
      </c>
      <c r="E179" t="s">
        <v>105</v>
      </c>
    </row>
    <row r="180" spans="2:5" ht="14.25">
      <c r="B180" t="s">
        <v>442</v>
      </c>
      <c r="C180" t="s">
        <v>443</v>
      </c>
      <c r="D180" t="s">
        <v>443</v>
      </c>
      <c r="E180" t="s">
        <v>105</v>
      </c>
    </row>
    <row r="181" spans="2:5" ht="14.25">
      <c r="B181" t="s">
        <v>444</v>
      </c>
      <c r="C181" t="s">
        <v>445</v>
      </c>
      <c r="D181" t="s">
        <v>445</v>
      </c>
      <c r="E181" t="s">
        <v>105</v>
      </c>
    </row>
    <row r="182" spans="2:5" ht="14.25">
      <c r="B182" t="s">
        <v>446</v>
      </c>
      <c r="C182" t="s">
        <v>447</v>
      </c>
      <c r="D182" t="s">
        <v>447</v>
      </c>
      <c r="E182" t="s">
        <v>105</v>
      </c>
    </row>
    <row r="183" spans="2:5" ht="14.25">
      <c r="B183" t="s">
        <v>448</v>
      </c>
      <c r="C183" t="s">
        <v>449</v>
      </c>
      <c r="D183" t="s">
        <v>449</v>
      </c>
      <c r="E183" t="s">
        <v>105</v>
      </c>
    </row>
    <row r="184" spans="2:5" ht="14.25">
      <c r="B184" t="s">
        <v>450</v>
      </c>
      <c r="C184" t="s">
        <v>451</v>
      </c>
      <c r="D184" t="s">
        <v>451</v>
      </c>
      <c r="E184" t="s">
        <v>105</v>
      </c>
    </row>
    <row r="185" spans="2:5" ht="14.25">
      <c r="B185" t="s">
        <v>452</v>
      </c>
      <c r="C185" t="s">
        <v>453</v>
      </c>
      <c r="D185" t="s">
        <v>453</v>
      </c>
      <c r="E185" t="s">
        <v>105</v>
      </c>
    </row>
    <row r="186" spans="2:5" ht="14.25">
      <c r="B186" t="s">
        <v>454</v>
      </c>
      <c r="C186" t="s">
        <v>455</v>
      </c>
      <c r="D186" t="s">
        <v>455</v>
      </c>
      <c r="E186" t="s">
        <v>105</v>
      </c>
    </row>
    <row r="187" spans="2:5" ht="14.25">
      <c r="B187" t="s">
        <v>456</v>
      </c>
      <c r="C187" t="s">
        <v>457</v>
      </c>
      <c r="D187" t="s">
        <v>457</v>
      </c>
      <c r="E187" t="s">
        <v>105</v>
      </c>
    </row>
    <row r="188" spans="2:5" ht="14.25">
      <c r="B188" t="s">
        <v>458</v>
      </c>
      <c r="C188" t="s">
        <v>459</v>
      </c>
      <c r="D188" t="s">
        <v>459</v>
      </c>
      <c r="E188" t="s">
        <v>105</v>
      </c>
    </row>
    <row r="189" spans="2:5" ht="14.25">
      <c r="B189" t="s">
        <v>460</v>
      </c>
      <c r="C189" t="s">
        <v>461</v>
      </c>
      <c r="D189" t="s">
        <v>461</v>
      </c>
      <c r="E189" t="s">
        <v>105</v>
      </c>
    </row>
    <row r="190" spans="2:5" ht="14.25">
      <c r="B190" t="s">
        <v>462</v>
      </c>
      <c r="C190" t="s">
        <v>463</v>
      </c>
      <c r="D190" t="s">
        <v>463</v>
      </c>
      <c r="E190" t="s">
        <v>105</v>
      </c>
    </row>
    <row r="191" spans="2:5" ht="14.25">
      <c r="B191" t="s">
        <v>464</v>
      </c>
      <c r="C191" t="s">
        <v>465</v>
      </c>
      <c r="D191" t="s">
        <v>465</v>
      </c>
      <c r="E191" t="s">
        <v>105</v>
      </c>
    </row>
    <row r="192" spans="2:5" ht="14.25">
      <c r="B192" t="s">
        <v>466</v>
      </c>
      <c r="C192" t="s">
        <v>467</v>
      </c>
      <c r="D192" t="s">
        <v>467</v>
      </c>
      <c r="E192" t="s">
        <v>105</v>
      </c>
    </row>
    <row r="193" spans="2:5" ht="14.25">
      <c r="B193" t="s">
        <v>468</v>
      </c>
      <c r="C193" t="s">
        <v>469</v>
      </c>
      <c r="D193" t="s">
        <v>469</v>
      </c>
      <c r="E193" t="s">
        <v>105</v>
      </c>
    </row>
    <row r="194" spans="2:5" ht="14.25">
      <c r="B194" t="s">
        <v>470</v>
      </c>
      <c r="C194" t="s">
        <v>471</v>
      </c>
      <c r="D194" t="s">
        <v>471</v>
      </c>
      <c r="E194" t="s">
        <v>105</v>
      </c>
    </row>
    <row r="195" spans="2:5" ht="14.25">
      <c r="B195" t="s">
        <v>472</v>
      </c>
      <c r="C195" t="s">
        <v>473</v>
      </c>
      <c r="D195" t="s">
        <v>473</v>
      </c>
      <c r="E195" t="s">
        <v>105</v>
      </c>
    </row>
    <row r="196" spans="2:5" ht="14.25">
      <c r="B196" t="s">
        <v>474</v>
      </c>
      <c r="C196" t="s">
        <v>475</v>
      </c>
      <c r="D196" t="s">
        <v>475</v>
      </c>
      <c r="E196" t="s">
        <v>105</v>
      </c>
    </row>
    <row r="197" spans="2:5" ht="14.25">
      <c r="B197" t="s">
        <v>476</v>
      </c>
      <c r="C197" t="s">
        <v>477</v>
      </c>
      <c r="D197" t="s">
        <v>477</v>
      </c>
      <c r="E197" t="s">
        <v>105</v>
      </c>
    </row>
    <row r="198" spans="2:5" ht="14.25">
      <c r="B198" t="s">
        <v>478</v>
      </c>
      <c r="C198" t="s">
        <v>479</v>
      </c>
      <c r="D198" t="s">
        <v>479</v>
      </c>
      <c r="E198" t="s">
        <v>105</v>
      </c>
    </row>
    <row r="199" spans="2:5" ht="14.25">
      <c r="B199" t="s">
        <v>480</v>
      </c>
      <c r="C199" t="s">
        <v>481</v>
      </c>
      <c r="D199" t="s">
        <v>481</v>
      </c>
      <c r="E199" t="s">
        <v>105</v>
      </c>
    </row>
    <row r="200" spans="2:5" ht="14.25">
      <c r="B200" t="s">
        <v>482</v>
      </c>
      <c r="C200" t="s">
        <v>483</v>
      </c>
      <c r="D200" t="s">
        <v>483</v>
      </c>
      <c r="E200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52"/>
  <sheetViews>
    <sheetView workbookViewId="0" topLeftCell="A1">
      <pane ySplit="2" topLeftCell="A3" activePane="bottomLeft" state="frozen"/>
      <selection pane="topLeft" activeCell="A1" sqref="A1"/>
      <selection pane="bottomLeft" activeCell="A3" sqref="A3"/>
    </sheetView>
  </sheetViews>
  <sheetFormatPr defaultRowHeight="14.25"/>
  <cols>
    <col min="2" max="2" width="86" bestFit="1" customWidth="1"/>
    <col min="5" max="5" width="11.1428571428571" bestFit="1" customWidth="1"/>
    <col min="6" max="6" width="12.4285714285714" bestFit="1" customWidth="1"/>
    <col min="7" max="7" width="11.5714285714286" bestFit="1" customWidth="1"/>
    <col min="8" max="8" width="12.8571428571429" bestFit="1" customWidth="1"/>
    <col min="9" max="9" width="13.4285714285714" bestFit="1" customWidth="1"/>
  </cols>
  <sheetData>
    <row r="1" spans="1:1" ht="17.25" thickBot="1">
      <c r="A1" s="1" t="s">
        <v>0</v>
      </c>
    </row>
    <row r="2" spans="1:10" ht="15" thickTop="1" thickBo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2:9" ht="14.2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2:6" ht="14.25">
      <c r="B4" t="s">
        <v>22</v>
      </c>
      <c r="F4" t="s">
        <v>35</v>
      </c>
    </row>
    <row r="5" spans="2:6" ht="14.25">
      <c r="B5" t="s">
        <v>23</v>
      </c>
      <c r="F5" t="s">
        <v>34</v>
      </c>
    </row>
    <row r="6" spans="2:9" ht="14.25">
      <c r="B6" t="s">
        <v>30</v>
      </c>
      <c r="F6" t="s">
        <v>19</v>
      </c>
      <c r="H6" t="s">
        <v>44</v>
      </c>
      <c r="I6" t="s">
        <v>45</v>
      </c>
    </row>
    <row r="7" spans="2:6" ht="14.25">
      <c r="B7" t="s">
        <v>31</v>
      </c>
      <c r="F7" t="s">
        <v>20</v>
      </c>
    </row>
    <row r="8" spans="2:6" ht="14.25">
      <c r="B8" t="s">
        <v>33</v>
      </c>
      <c r="F8" t="s">
        <v>21</v>
      </c>
    </row>
    <row r="9" spans="2:6" ht="14.25">
      <c r="B9" t="s">
        <v>32</v>
      </c>
      <c r="F9" t="s">
        <v>27</v>
      </c>
    </row>
    <row r="10" spans="2:6" ht="14.25">
      <c r="B10" t="s">
        <v>28</v>
      </c>
      <c r="F10" t="s">
        <v>75</v>
      </c>
    </row>
    <row r="11" spans="4:6" ht="14.25">
      <c r="D11" t="s">
        <v>40</v>
      </c>
      <c r="F11" t="s">
        <v>78</v>
      </c>
    </row>
    <row r="12" spans="2:7" ht="14.25">
      <c r="B12" s="3"/>
      <c r="D12" t="s">
        <v>91</v>
      </c>
      <c r="F12" t="s">
        <v>95</v>
      </c>
      <c r="G12" t="s">
        <v>93</v>
      </c>
    </row>
    <row r="13" spans="4:7" ht="14.25">
      <c r="D13" t="s">
        <v>92</v>
      </c>
      <c r="F13" t="s">
        <v>96</v>
      </c>
      <c r="G13" t="s">
        <v>94</v>
      </c>
    </row>
    <row r="14" spans="4:6" ht="14.25">
      <c r="D14" t="s">
        <v>41</v>
      </c>
      <c r="F14" t="s">
        <v>74</v>
      </c>
    </row>
    <row r="15" spans="1:6" ht="14.25">
      <c r="A15" t="s">
        <v>11</v>
      </c>
      <c r="B15" s="3" t="s">
        <v>80</v>
      </c>
      <c r="D15" t="s">
        <v>42</v>
      </c>
      <c r="F15" t="s">
        <v>81</v>
      </c>
    </row>
    <row r="16" spans="1:6" ht="14.25">
      <c r="A16" t="s">
        <v>11</v>
      </c>
      <c r="B16" t="s">
        <v>72</v>
      </c>
      <c r="D16" t="s">
        <v>42</v>
      </c>
      <c r="F16" t="s">
        <v>73</v>
      </c>
    </row>
    <row r="17" spans="2:9" ht="14.2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2:6" ht="14.25">
      <c r="B18" t="s">
        <v>77</v>
      </c>
      <c r="D18" t="s">
        <v>43</v>
      </c>
      <c r="F18" t="s">
        <v>76</v>
      </c>
    </row>
    <row r="19" spans="1:6" ht="14.25">
      <c r="A19" t="s">
        <v>24</v>
      </c>
      <c r="B19" t="s">
        <v>25</v>
      </c>
      <c r="F19" t="s">
        <v>26</v>
      </c>
    </row>
    <row r="20" spans="1:7" ht="14.25">
      <c r="A20" t="s">
        <v>783</v>
      </c>
      <c r="D20" t="s">
        <v>67</v>
      </c>
      <c r="E20" s="3" t="s">
        <v>785</v>
      </c>
      <c r="F20" t="s">
        <v>784</v>
      </c>
      <c r="G20" t="str">
        <f>F20</f>
        <v>Fossil</v>
      </c>
    </row>
    <row r="21" spans="1:7" ht="14.25">
      <c r="A21" t="s">
        <v>783</v>
      </c>
      <c r="D21" t="s">
        <v>67</v>
      </c>
      <c r="E21" s="3" t="s">
        <v>61</v>
      </c>
      <c r="F21" t="s">
        <v>786</v>
      </c>
      <c r="G21" t="str">
        <f t="shared" si="0" ref="G21:G23">F21</f>
        <v>Fossil-CCS</v>
      </c>
    </row>
    <row r="22" spans="1:7" ht="14.25">
      <c r="A22" t="s">
        <v>783</v>
      </c>
      <c r="D22" t="s">
        <v>787</v>
      </c>
      <c r="F22" t="s">
        <v>788</v>
      </c>
      <c r="G22" t="str">
        <f t="shared" si="0"/>
        <v>Var Renewable</v>
      </c>
    </row>
    <row r="23" spans="1:7" ht="14.25">
      <c r="A23" t="s">
        <v>783</v>
      </c>
      <c r="D23" t="s">
        <v>790</v>
      </c>
      <c r="F23" t="s">
        <v>789</v>
      </c>
      <c r="G23" t="str">
        <f t="shared" si="0"/>
        <v>Firm Renewable</v>
      </c>
    </row>
    <row r="24" spans="1:9" ht="14.25">
      <c r="A24" t="s">
        <v>24</v>
      </c>
      <c r="B24" t="s">
        <v>36</v>
      </c>
      <c r="F24" t="s">
        <v>37</v>
      </c>
      <c r="H24" t="s">
        <v>44</v>
      </c>
      <c r="I24" t="s">
        <v>45</v>
      </c>
    </row>
    <row r="25" spans="1:6" ht="14.25">
      <c r="A25" t="s">
        <v>24</v>
      </c>
      <c r="B25" t="s">
        <v>38</v>
      </c>
      <c r="F25" t="s">
        <v>39</v>
      </c>
    </row>
    <row r="26" spans="1:6" ht="14.25">
      <c r="A26" t="s">
        <v>47</v>
      </c>
      <c r="B26" t="s">
        <v>48</v>
      </c>
      <c r="F26" t="s">
        <v>46</v>
      </c>
    </row>
    <row r="27" spans="1:6" ht="14.25">
      <c r="A27" t="s">
        <v>49</v>
      </c>
      <c r="F27" t="s">
        <v>50</v>
      </c>
    </row>
    <row r="28" spans="1:6" ht="14.25">
      <c r="A28" t="s">
        <v>69</v>
      </c>
      <c r="B28" t="s">
        <v>70</v>
      </c>
      <c r="F28" t="s">
        <v>90</v>
      </c>
    </row>
    <row r="29" spans="1:6" ht="14.25">
      <c r="A29" t="s">
        <v>69</v>
      </c>
      <c r="B29" t="s">
        <v>88</v>
      </c>
      <c r="F29" t="s">
        <v>89</v>
      </c>
    </row>
    <row r="30" spans="2:11" ht="14.25">
      <c r="B30" t="str">
        <f>"g[_]*"&amp;K30</f>
        <v>g[_]*220</v>
      </c>
      <c r="F30" t="str">
        <f>"Grid-"&amp;K30&amp;"V"</f>
        <v>Grid-220V</v>
      </c>
      <c r="K30">
        <v>220</v>
      </c>
    </row>
    <row r="31" spans="2:11" ht="14.25">
      <c r="B31" t="str">
        <f t="shared" si="1" ref="B31:B50">"g[_]*"&amp;K31</f>
        <v>g[_]*400</v>
      </c>
      <c r="F31" t="str">
        <f t="shared" si="2" ref="F31:F50">"Grid-"&amp;K31&amp;"V"</f>
        <v>Grid-400V</v>
      </c>
      <c r="K31">
        <v>400</v>
      </c>
    </row>
    <row r="32" spans="2:11" ht="14.25">
      <c r="B32" t="str">
        <f t="shared" si="1"/>
        <v>g[_]*380</v>
      </c>
      <c r="F32" t="str">
        <f t="shared" si="2"/>
        <v>Grid-380V</v>
      </c>
      <c r="K32">
        <v>380</v>
      </c>
    </row>
    <row r="33" spans="2:11" ht="14.25">
      <c r="B33" t="str">
        <f t="shared" si="1"/>
        <v>g[_]*225</v>
      </c>
      <c r="F33" t="str">
        <f t="shared" si="2"/>
        <v>Grid-225V</v>
      </c>
      <c r="K33">
        <v>225</v>
      </c>
    </row>
    <row r="34" spans="2:11" ht="14.25">
      <c r="B34" t="str">
        <f t="shared" si="1"/>
        <v>g[_]*330</v>
      </c>
      <c r="F34" t="str">
        <f t="shared" si="2"/>
        <v>Grid-330V</v>
      </c>
      <c r="K34">
        <v>330</v>
      </c>
    </row>
    <row r="35" spans="2:11" ht="14.25">
      <c r="B35" t="str">
        <f t="shared" si="1"/>
        <v>g[_]*275</v>
      </c>
      <c r="F35" t="str">
        <f t="shared" si="2"/>
        <v>Grid-275V</v>
      </c>
      <c r="K35">
        <v>275</v>
      </c>
    </row>
    <row r="36" spans="2:11" ht="14.25">
      <c r="B36" t="str">
        <f t="shared" si="1"/>
        <v>g[_]*420</v>
      </c>
      <c r="F36" t="str">
        <f t="shared" si="2"/>
        <v>Grid-420V</v>
      </c>
      <c r="K36">
        <v>420</v>
      </c>
    </row>
    <row r="37" spans="2:11" ht="14.25">
      <c r="B37" t="str">
        <f t="shared" si="1"/>
        <v>g[_]*300</v>
      </c>
      <c r="F37" t="str">
        <f t="shared" si="2"/>
        <v>Grid-300V</v>
      </c>
      <c r="K37">
        <v>300</v>
      </c>
    </row>
    <row r="38" spans="2:11" ht="14.25">
      <c r="B38" t="str">
        <f t="shared" si="1"/>
        <v>g[_]*500</v>
      </c>
      <c r="F38" t="str">
        <f t="shared" si="2"/>
        <v>Grid-500V</v>
      </c>
      <c r="K38">
        <v>500</v>
      </c>
    </row>
    <row r="39" spans="2:11" ht="14.25">
      <c r="B39" t="str">
        <f t="shared" si="1"/>
        <v>g[_]*750</v>
      </c>
      <c r="F39" t="str">
        <f t="shared" si="2"/>
        <v>Grid-750V</v>
      </c>
      <c r="K39">
        <v>750</v>
      </c>
    </row>
    <row r="40" spans="2:11" ht="14.25">
      <c r="B40" t="str">
        <f t="shared" si="1"/>
        <v>g[_]*450</v>
      </c>
      <c r="F40" t="str">
        <f t="shared" si="2"/>
        <v>Grid-450V</v>
      </c>
      <c r="K40">
        <v>450</v>
      </c>
    </row>
    <row r="41" spans="2:11" ht="14.25">
      <c r="B41" t="str">
        <f t="shared" si="1"/>
        <v>g[_]*515</v>
      </c>
      <c r="F41" t="str">
        <f t="shared" si="2"/>
        <v>Grid-515V</v>
      </c>
      <c r="K41">
        <v>515</v>
      </c>
    </row>
    <row r="42" spans="2:11" ht="14.25">
      <c r="B42" t="str">
        <f t="shared" si="1"/>
        <v>g[_]*525</v>
      </c>
      <c r="F42" t="str">
        <f t="shared" si="2"/>
        <v>Grid-525V</v>
      </c>
      <c r="K42">
        <v>525</v>
      </c>
    </row>
    <row r="43" spans="2:11" ht="14.25">
      <c r="B43" t="str">
        <f t="shared" si="1"/>
        <v>g[_]*320</v>
      </c>
      <c r="F43" t="str">
        <f t="shared" si="2"/>
        <v>Grid-320V</v>
      </c>
      <c r="K43">
        <v>320</v>
      </c>
    </row>
    <row r="44" spans="2:11" ht="14.25">
      <c r="B44" t="str">
        <f t="shared" si="1"/>
        <v>g[_]*150</v>
      </c>
      <c r="F44" t="str">
        <f t="shared" si="2"/>
        <v>Grid-150V</v>
      </c>
      <c r="K44">
        <v>150</v>
      </c>
    </row>
    <row r="45" spans="2:11" ht="14.25">
      <c r="B45" t="str">
        <f t="shared" si="1"/>
        <v>g[_]*270</v>
      </c>
      <c r="F45" t="str">
        <f t="shared" si="2"/>
        <v>Grid-270V</v>
      </c>
      <c r="K45">
        <v>270</v>
      </c>
    </row>
    <row r="46" spans="2:11" ht="14.25">
      <c r="B46" t="str">
        <f t="shared" si="1"/>
        <v>g[_]*350</v>
      </c>
      <c r="F46" t="str">
        <f t="shared" si="2"/>
        <v>Grid-350V</v>
      </c>
      <c r="K46">
        <v>350</v>
      </c>
    </row>
    <row r="47" spans="2:11" ht="14.25">
      <c r="B47" t="str">
        <f t="shared" si="1"/>
        <v>g[_]*250</v>
      </c>
      <c r="F47" t="str">
        <f t="shared" si="2"/>
        <v>Grid-250V</v>
      </c>
      <c r="K47">
        <v>250</v>
      </c>
    </row>
    <row r="48" spans="2:11" ht="14.25">
      <c r="B48" t="str">
        <f t="shared" si="1"/>
        <v>g[_]*200</v>
      </c>
      <c r="F48" t="str">
        <f t="shared" si="2"/>
        <v>Grid-200V</v>
      </c>
      <c r="K48">
        <v>200</v>
      </c>
    </row>
    <row r="49" spans="2:11" ht="14.25">
      <c r="B49" t="str">
        <f t="shared" si="1"/>
        <v>g[_]*236</v>
      </c>
      <c r="F49" t="str">
        <f t="shared" si="2"/>
        <v>Grid-236V</v>
      </c>
      <c r="K49">
        <v>236</v>
      </c>
    </row>
    <row r="50" spans="2:11" ht="14.25">
      <c r="B50" t="str">
        <f t="shared" si="1"/>
        <v>g[_]*600</v>
      </c>
      <c r="F50" t="str">
        <f t="shared" si="2"/>
        <v>Grid-600V</v>
      </c>
      <c r="K50">
        <v>600</v>
      </c>
    </row>
    <row r="51" spans="2:6" ht="14.25">
      <c r="B51" t="s">
        <v>97</v>
      </c>
      <c r="F51" t="s">
        <v>85</v>
      </c>
    </row>
    <row r="52" spans="2:6" ht="14.25">
      <c r="B52" t="s">
        <v>86</v>
      </c>
      <c r="F52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236EA34-5180-48E7-B945-13E283806401}">
  <dimension ref="A1:K75"/>
  <sheetViews>
    <sheetView workbookViewId="0" topLeftCell="A1"/>
  </sheetViews>
  <sheetFormatPr defaultRowHeight="14.25"/>
  <cols>
    <col min="1" max="1" width="19.4285714285714" bestFit="1" customWidth="1"/>
    <col min="2" max="2" width="12" bestFit="1" customWidth="1"/>
    <col min="3" max="3" width="19.5714285714286" bestFit="1" customWidth="1"/>
    <col min="4" max="4" width="12.1428571428571" bestFit="1" customWidth="1"/>
    <col min="5" max="5" width="16.4285714285714" bestFit="1" customWidth="1"/>
    <col min="6" max="6" width="18.2857142857143" bestFit="1" customWidth="1"/>
    <col min="7" max="7" width="8.57142857142857" bestFit="1" customWidth="1"/>
    <col min="8" max="8" width="10.5714285714286" bestFit="1" customWidth="1"/>
    <col min="9" max="9" width="16" bestFit="1" customWidth="1"/>
    <col min="10" max="10" width="17.8571428571429" bestFit="1" customWidth="1"/>
    <col min="11" max="11" width="9.14285714285714" bestFit="1" customWidth="1"/>
  </cols>
  <sheetData>
    <row r="1" spans="1:1" ht="14.25">
      <c r="A1" t="s">
        <v>484</v>
      </c>
    </row>
    <row r="2" spans="1:11" ht="14.25">
      <c r="A2" t="s">
        <v>485</v>
      </c>
      <c r="B2" t="s">
        <v>102</v>
      </c>
      <c r="C2" t="s">
        <v>486</v>
      </c>
      <c r="D2" t="s">
        <v>487</v>
      </c>
      <c r="E2" t="s">
        <v>99</v>
      </c>
      <c r="F2" t="s">
        <v>488</v>
      </c>
      <c r="G2" t="s">
        <v>489</v>
      </c>
      <c r="H2" t="s">
        <v>490</v>
      </c>
      <c r="I2" t="s">
        <v>491</v>
      </c>
      <c r="J2" t="s">
        <v>100</v>
      </c>
      <c r="K2" t="s">
        <v>101</v>
      </c>
    </row>
    <row r="3" spans="5:11" ht="14.25">
      <c r="E3" t="str">
        <f t="shared" si="0" ref="E3:E9">"E_"&amp;SUBSTITUTE(F3," ","")</f>
        <v>E_Bio</v>
      </c>
      <c r="F3" t="s">
        <v>492</v>
      </c>
      <c r="G3" t="s">
        <v>11</v>
      </c>
      <c r="K3" t="s">
        <v>493</v>
      </c>
    </row>
    <row r="4" spans="5:11" ht="14.25">
      <c r="E4" t="str">
        <f t="shared" si="0"/>
        <v>E_Biogas</v>
      </c>
      <c r="F4" t="s">
        <v>494</v>
      </c>
      <c r="G4" t="s">
        <v>11</v>
      </c>
      <c r="K4" t="s">
        <v>495</v>
      </c>
    </row>
    <row r="5" spans="5:11" ht="14.25">
      <c r="E5" t="str">
        <f t="shared" si="0"/>
        <v>E_Coal</v>
      </c>
      <c r="F5" t="s">
        <v>496</v>
      </c>
      <c r="G5" t="s">
        <v>11</v>
      </c>
      <c r="K5" t="s">
        <v>497</v>
      </c>
    </row>
    <row r="6" spans="5:11" ht="14.25">
      <c r="E6" t="str">
        <f t="shared" si="0"/>
        <v>E_Geothermal</v>
      </c>
      <c r="F6" t="s">
        <v>498</v>
      </c>
      <c r="G6" t="s">
        <v>11</v>
      </c>
      <c r="K6" t="s">
        <v>499</v>
      </c>
    </row>
    <row r="7" spans="5:11" ht="14.25">
      <c r="E7" t="str">
        <f t="shared" si="0"/>
        <v>E_Hydro</v>
      </c>
      <c r="F7" t="s">
        <v>500</v>
      </c>
      <c r="G7" t="s">
        <v>11</v>
      </c>
      <c r="K7" t="s">
        <v>501</v>
      </c>
    </row>
    <row r="8" spans="5:11" ht="14.25">
      <c r="E8" t="str">
        <f t="shared" si="0"/>
        <v>E_NaturalGas</v>
      </c>
      <c r="F8" t="s">
        <v>502</v>
      </c>
      <c r="G8" t="s">
        <v>11</v>
      </c>
      <c r="K8" t="s">
        <v>503</v>
      </c>
    </row>
    <row r="9" spans="5:11" ht="14.25">
      <c r="E9" t="str">
        <f t="shared" si="0"/>
        <v>E_Solar</v>
      </c>
      <c r="F9" t="s">
        <v>504</v>
      </c>
      <c r="G9" t="s">
        <v>11</v>
      </c>
      <c r="K9" t="s">
        <v>505</v>
      </c>
    </row>
    <row r="10" spans="5:8" ht="14.25">
      <c r="E10" t="s">
        <v>506</v>
      </c>
      <c r="F10" t="s">
        <v>507</v>
      </c>
      <c r="G10" t="s">
        <v>24</v>
      </c>
      <c r="H10" t="s">
        <v>508</v>
      </c>
    </row>
    <row r="11" spans="5:8" ht="14.25">
      <c r="E11" t="s">
        <v>509</v>
      </c>
      <c r="F11" t="s">
        <v>510</v>
      </c>
      <c r="G11" t="s">
        <v>24</v>
      </c>
      <c r="H11" t="s">
        <v>511</v>
      </c>
    </row>
    <row r="12" spans="5:11" ht="14.25">
      <c r="E12" t="str">
        <f>"E_"&amp;SUBSTITUTE(F12," ","")</f>
        <v>E_Waste</v>
      </c>
      <c r="F12" t="s">
        <v>512</v>
      </c>
      <c r="G12" t="s">
        <v>11</v>
      </c>
      <c r="K12" t="s">
        <v>513</v>
      </c>
    </row>
    <row r="13" spans="5:11" ht="14.25">
      <c r="E13" t="str">
        <f>"E_"&amp;SUBSTITUTE(F13," ","")</f>
        <v>E_Wind</v>
      </c>
      <c r="F13" t="s">
        <v>514</v>
      </c>
      <c r="G13" t="s">
        <v>11</v>
      </c>
      <c r="K13" t="s">
        <v>515</v>
      </c>
    </row>
    <row r="14" spans="5:10" ht="14.25">
      <c r="E14" t="str">
        <f>"eu_"&amp;F14</f>
        <v>eu_Aviation</v>
      </c>
      <c r="F14" t="s">
        <v>516</v>
      </c>
      <c r="G14" t="s">
        <v>49</v>
      </c>
      <c r="J14" s="4" t="s">
        <v>517</v>
      </c>
    </row>
    <row r="15" spans="5:10" ht="14.25">
      <c r="E15" t="str">
        <f>"eu_"&amp;F15</f>
        <v>eu_Bus</v>
      </c>
      <c r="F15" t="s">
        <v>518</v>
      </c>
      <c r="G15" t="s">
        <v>49</v>
      </c>
      <c r="J15" s="4" t="s">
        <v>519</v>
      </c>
    </row>
    <row r="16" spans="5:10" ht="14.25">
      <c r="E16" t="str">
        <f>"eu_"&amp;F16</f>
        <v>eu_Cars</v>
      </c>
      <c r="F16" t="s">
        <v>520</v>
      </c>
      <c r="G16" t="s">
        <v>49</v>
      </c>
      <c r="J16" s="4" t="s">
        <v>521</v>
      </c>
    </row>
    <row r="17" spans="5:10" ht="14.25">
      <c r="E17" t="s">
        <v>522</v>
      </c>
      <c r="F17" t="s">
        <v>523</v>
      </c>
      <c r="G17" t="s">
        <v>49</v>
      </c>
      <c r="J17" t="s">
        <v>524</v>
      </c>
    </row>
    <row r="18" spans="5:10" ht="14.25">
      <c r="E18" t="s">
        <v>525</v>
      </c>
      <c r="F18" t="s">
        <v>526</v>
      </c>
      <c r="G18" t="s">
        <v>49</v>
      </c>
      <c r="J18" t="s">
        <v>527</v>
      </c>
    </row>
    <row r="19" spans="5:10" ht="14.25">
      <c r="E19" t="s">
        <v>528</v>
      </c>
      <c r="F19" t="s">
        <v>529</v>
      </c>
      <c r="G19" t="s">
        <v>49</v>
      </c>
      <c r="J19" t="s">
        <v>530</v>
      </c>
    </row>
    <row r="20" spans="5:10" ht="14.25">
      <c r="E20" t="s">
        <v>531</v>
      </c>
      <c r="F20" t="s">
        <v>532</v>
      </c>
      <c r="G20" t="s">
        <v>49</v>
      </c>
      <c r="J20" t="s">
        <v>533</v>
      </c>
    </row>
    <row r="21" spans="5:10" ht="14.25">
      <c r="E21" t="s">
        <v>534</v>
      </c>
      <c r="F21" t="s">
        <v>535</v>
      </c>
      <c r="G21" t="s">
        <v>49</v>
      </c>
      <c r="J21" t="s">
        <v>536</v>
      </c>
    </row>
    <row r="22" spans="1:10" ht="14.25">
      <c r="A22" t="s">
        <v>44</v>
      </c>
      <c r="B22" t="s">
        <v>44</v>
      </c>
      <c r="C22" t="s">
        <v>45</v>
      </c>
      <c r="D22" t="s">
        <v>45</v>
      </c>
      <c r="E22" t="s">
        <v>537</v>
      </c>
      <c r="F22" t="s">
        <v>538</v>
      </c>
      <c r="G22" t="s">
        <v>49</v>
      </c>
      <c r="H22" t="s">
        <v>791</v>
      </c>
      <c r="J22" t="s">
        <v>539</v>
      </c>
    </row>
    <row r="23" spans="5:10" ht="14.25">
      <c r="E23" t="s">
        <v>540</v>
      </c>
      <c r="F23" t="s">
        <v>541</v>
      </c>
      <c r="G23" t="s">
        <v>49</v>
      </c>
      <c r="J23" t="s">
        <v>542</v>
      </c>
    </row>
    <row r="24" spans="5:10" ht="14.25">
      <c r="E24" t="str">
        <f>"eu_"&amp;F24</f>
        <v>eu_Motorcycle</v>
      </c>
      <c r="F24" t="s">
        <v>543</v>
      </c>
      <c r="G24" t="s">
        <v>49</v>
      </c>
      <c r="J24" s="4" t="s">
        <v>544</v>
      </c>
    </row>
    <row r="25" spans="5:10" ht="14.25">
      <c r="E25" t="s">
        <v>545</v>
      </c>
      <c r="F25" t="s">
        <v>546</v>
      </c>
      <c r="G25" t="s">
        <v>49</v>
      </c>
      <c r="J25" t="s">
        <v>547</v>
      </c>
    </row>
    <row r="26" spans="5:10" ht="14.25">
      <c r="E26" t="s">
        <v>548</v>
      </c>
      <c r="F26" t="s">
        <v>549</v>
      </c>
      <c r="G26" t="s">
        <v>49</v>
      </c>
      <c r="J26" t="s">
        <v>550</v>
      </c>
    </row>
    <row r="27" spans="5:10" ht="14.25">
      <c r="E27" t="str">
        <f>"eu_"&amp;F27</f>
        <v>eu_Rail</v>
      </c>
      <c r="F27" t="s">
        <v>551</v>
      </c>
      <c r="G27" t="s">
        <v>49</v>
      </c>
      <c r="J27" s="4" t="s">
        <v>552</v>
      </c>
    </row>
    <row r="28" spans="5:10" ht="14.25">
      <c r="E28" t="s">
        <v>553</v>
      </c>
      <c r="F28" t="s">
        <v>554</v>
      </c>
      <c r="G28" t="s">
        <v>49</v>
      </c>
      <c r="J28" t="s">
        <v>555</v>
      </c>
    </row>
    <row r="29" spans="5:10" ht="14.25">
      <c r="E29" t="str">
        <f>"eu_"&amp;F29</f>
        <v>eu_Ships</v>
      </c>
      <c r="F29" t="s">
        <v>556</v>
      </c>
      <c r="G29" t="s">
        <v>49</v>
      </c>
      <c r="J29" s="4" t="s">
        <v>557</v>
      </c>
    </row>
    <row r="30" spans="5:10" ht="14.25">
      <c r="E30" t="s">
        <v>558</v>
      </c>
      <c r="F30" t="s">
        <v>559</v>
      </c>
      <c r="G30" t="s">
        <v>49</v>
      </c>
      <c r="J30" t="s">
        <v>560</v>
      </c>
    </row>
    <row r="31" spans="5:10" ht="14.25">
      <c r="E31" t="s">
        <v>561</v>
      </c>
      <c r="F31" t="s">
        <v>562</v>
      </c>
      <c r="G31" t="s">
        <v>49</v>
      </c>
      <c r="J31" t="s">
        <v>563</v>
      </c>
    </row>
    <row r="32" spans="5:10" ht="14.25">
      <c r="E32" t="str">
        <f>"eu_"&amp;F32</f>
        <v>eu_Trucks</v>
      </c>
      <c r="F32" t="s">
        <v>564</v>
      </c>
      <c r="G32" t="s">
        <v>49</v>
      </c>
      <c r="J32" s="4" t="s">
        <v>565</v>
      </c>
    </row>
    <row r="33" spans="5:10" ht="14.25">
      <c r="E33" t="s">
        <v>566</v>
      </c>
      <c r="F33" t="s">
        <v>567</v>
      </c>
      <c r="G33" t="s">
        <v>49</v>
      </c>
      <c r="J33" t="s">
        <v>568</v>
      </c>
    </row>
    <row r="34" spans="5:10" ht="14.25">
      <c r="E34" t="s">
        <v>569</v>
      </c>
      <c r="F34" t="s">
        <v>570</v>
      </c>
      <c r="G34" t="s">
        <v>49</v>
      </c>
      <c r="J34" t="s">
        <v>571</v>
      </c>
    </row>
    <row r="35" spans="5:9" ht="14.25">
      <c r="E35" t="s">
        <v>572</v>
      </c>
      <c r="F35" t="s">
        <v>573</v>
      </c>
      <c r="G35" t="s">
        <v>69</v>
      </c>
      <c r="H35" t="s">
        <v>574</v>
      </c>
      <c r="I35" t="s">
        <v>575</v>
      </c>
    </row>
    <row r="36" spans="5:10" ht="14.25">
      <c r="E36" t="s">
        <v>576</v>
      </c>
      <c r="F36" t="s">
        <v>577</v>
      </c>
      <c r="G36" t="s">
        <v>49</v>
      </c>
      <c r="J36" t="s">
        <v>578</v>
      </c>
    </row>
    <row r="37" spans="1:10" ht="14.25">
      <c r="A37" t="s">
        <v>44</v>
      </c>
      <c r="B37" t="s">
        <v>44</v>
      </c>
      <c r="C37" t="s">
        <v>45</v>
      </c>
      <c r="D37" t="s">
        <v>45</v>
      </c>
      <c r="E37" t="s">
        <v>579</v>
      </c>
      <c r="F37" t="s">
        <v>580</v>
      </c>
      <c r="G37" t="s">
        <v>69</v>
      </c>
      <c r="J37" t="s">
        <v>581</v>
      </c>
    </row>
    <row r="38" spans="5:11" ht="14.25">
      <c r="E38" t="s">
        <v>582</v>
      </c>
      <c r="F38" t="s">
        <v>583</v>
      </c>
      <c r="G38" t="s">
        <v>49</v>
      </c>
      <c r="K38" t="s">
        <v>584</v>
      </c>
    </row>
    <row r="39" spans="5:7" ht="14.25">
      <c r="E39" t="s">
        <v>585</v>
      </c>
      <c r="F39" t="s">
        <v>586</v>
      </c>
      <c r="G39" t="s">
        <v>587</v>
      </c>
    </row>
    <row r="40" spans="5:8" ht="14.25">
      <c r="E40" t="s">
        <v>588</v>
      </c>
      <c r="F40" t="s">
        <v>589</v>
      </c>
      <c r="G40" t="s">
        <v>47</v>
      </c>
      <c r="H40" t="s">
        <v>590</v>
      </c>
    </row>
    <row r="41" spans="5:8" ht="14.25">
      <c r="E41" t="s">
        <v>591</v>
      </c>
      <c r="F41" t="s">
        <v>592</v>
      </c>
      <c r="G41" t="s">
        <v>47</v>
      </c>
      <c r="H41" t="s">
        <v>593</v>
      </c>
    </row>
    <row r="42" spans="1:8" ht="14.25">
      <c r="A42" t="s">
        <v>44</v>
      </c>
      <c r="B42" t="s">
        <v>44</v>
      </c>
      <c r="C42" t="s">
        <v>45</v>
      </c>
      <c r="D42" t="s">
        <v>45</v>
      </c>
      <c r="E42" t="s">
        <v>594</v>
      </c>
      <c r="F42" t="s">
        <v>595</v>
      </c>
      <c r="G42" t="s">
        <v>47</v>
      </c>
      <c r="H42" t="s">
        <v>596</v>
      </c>
    </row>
    <row r="43" spans="5:8" ht="14.25">
      <c r="E43" t="s">
        <v>597</v>
      </c>
      <c r="F43" t="s">
        <v>598</v>
      </c>
      <c r="G43" t="s">
        <v>69</v>
      </c>
      <c r="H43" t="s">
        <v>599</v>
      </c>
    </row>
    <row r="44" spans="5:10" ht="14.25">
      <c r="E44" t="s">
        <v>600</v>
      </c>
      <c r="F44" t="s">
        <v>601</v>
      </c>
      <c r="G44" t="s">
        <v>49</v>
      </c>
      <c r="J44" t="s">
        <v>602</v>
      </c>
    </row>
    <row r="45" spans="1:8" ht="14.25">
      <c r="A45" t="s">
        <v>44</v>
      </c>
      <c r="B45" t="s">
        <v>44</v>
      </c>
      <c r="C45" t="s">
        <v>45</v>
      </c>
      <c r="D45" t="s">
        <v>45</v>
      </c>
      <c r="E45" t="s">
        <v>603</v>
      </c>
      <c r="F45" t="s">
        <v>604</v>
      </c>
      <c r="G45" t="s">
        <v>24</v>
      </c>
      <c r="H45" t="s">
        <v>757</v>
      </c>
    </row>
    <row r="46" spans="1:10" ht="14.25">
      <c r="A46" t="s">
        <v>44</v>
      </c>
      <c r="B46" t="s">
        <v>44</v>
      </c>
      <c r="C46" t="s">
        <v>45</v>
      </c>
      <c r="D46" t="s">
        <v>45</v>
      </c>
      <c r="E46" t="s">
        <v>605</v>
      </c>
      <c r="F46" t="s">
        <v>606</v>
      </c>
      <c r="G46" t="s">
        <v>758</v>
      </c>
      <c r="J46" t="s">
        <v>607</v>
      </c>
    </row>
    <row r="47" spans="5:10" ht="14.25">
      <c r="E47" t="str">
        <f>"ss_"&amp;SUBSTITUTE(F47," ","")</f>
        <v>ss_Attached</v>
      </c>
      <c r="F47" t="s">
        <v>608</v>
      </c>
      <c r="G47" t="s">
        <v>49</v>
      </c>
      <c r="J47" t="s">
        <v>609</v>
      </c>
    </row>
    <row r="48" spans="5:8" ht="14.25">
      <c r="E48" t="s">
        <v>610</v>
      </c>
      <c r="F48" t="s">
        <v>611</v>
      </c>
      <c r="G48" t="s">
        <v>49</v>
      </c>
      <c r="H48" t="s">
        <v>612</v>
      </c>
    </row>
    <row r="49" spans="5:8" ht="14.25">
      <c r="E49" t="s">
        <v>613</v>
      </c>
      <c r="F49" t="s">
        <v>614</v>
      </c>
      <c r="G49" t="s">
        <v>49</v>
      </c>
      <c r="H49" t="s">
        <v>615</v>
      </c>
    </row>
    <row r="50" spans="5:8" ht="14.25">
      <c r="E50" t="s">
        <v>616</v>
      </c>
      <c r="F50" t="s">
        <v>617</v>
      </c>
      <c r="G50" t="s">
        <v>49</v>
      </c>
      <c r="H50" t="s">
        <v>618</v>
      </c>
    </row>
    <row r="51" spans="5:10" ht="14.25">
      <c r="E51" t="str">
        <f>"ss_"&amp;SUBSTITUTE(F51," ","")</f>
        <v>ss_DairyCattleFarming</v>
      </c>
      <c r="F51" t="s">
        <v>619</v>
      </c>
      <c r="G51" t="s">
        <v>49</v>
      </c>
      <c r="J51" t="s">
        <v>620</v>
      </c>
    </row>
    <row r="52" spans="5:10" ht="14.25">
      <c r="E52" t="str">
        <f>"ss_"&amp;SUBSTITUTE(F52," ","")</f>
        <v>ss_Detached</v>
      </c>
      <c r="F52" t="s">
        <v>621</v>
      </c>
      <c r="G52" t="s">
        <v>49</v>
      </c>
      <c r="J52" t="s">
        <v>622</v>
      </c>
    </row>
    <row r="53" spans="5:10" ht="14.25">
      <c r="E53" t="str">
        <f>"ss_"&amp;SUBSTITUTE(F53," ","")</f>
        <v>ss_Education</v>
      </c>
      <c r="F53" t="s">
        <v>623</v>
      </c>
      <c r="G53" t="s">
        <v>49</v>
      </c>
      <c r="J53" t="s">
        <v>624</v>
      </c>
    </row>
    <row r="54" spans="5:10" ht="14.25">
      <c r="E54" t="str">
        <f>"ss_"&amp;SUBSTITUTE(F54," ","")</f>
        <v>ss_Fishing</v>
      </c>
      <c r="F54" t="s">
        <v>625</v>
      </c>
      <c r="G54" t="s">
        <v>49</v>
      </c>
      <c r="J54" t="s">
        <v>626</v>
      </c>
    </row>
    <row r="55" spans="5:8" ht="14.25">
      <c r="E55" t="s">
        <v>627</v>
      </c>
      <c r="F55" t="s">
        <v>628</v>
      </c>
      <c r="G55" t="s">
        <v>49</v>
      </c>
      <c r="H55" t="s">
        <v>629</v>
      </c>
    </row>
    <row r="56" spans="5:10" ht="14.25">
      <c r="E56" t="str">
        <f t="shared" si="1" ref="E56:E69">"ss_"&amp;SUBSTITUTE(F56," ","")</f>
        <v>ss_Forestry</v>
      </c>
      <c r="F56" t="s">
        <v>630</v>
      </c>
      <c r="G56" t="s">
        <v>49</v>
      </c>
      <c r="J56" t="s">
        <v>631</v>
      </c>
    </row>
    <row r="57" spans="5:10" ht="14.25">
      <c r="E57" t="str">
        <f t="shared" si="1"/>
        <v>ss_Healthcare</v>
      </c>
      <c r="F57" t="s">
        <v>632</v>
      </c>
      <c r="G57" t="s">
        <v>49</v>
      </c>
      <c r="J57" t="s">
        <v>633</v>
      </c>
    </row>
    <row r="58" spans="5:10" ht="14.25">
      <c r="E58" t="str">
        <f t="shared" si="1"/>
        <v>ss_Horticulture</v>
      </c>
      <c r="F58" t="s">
        <v>634</v>
      </c>
      <c r="G58" t="s">
        <v>49</v>
      </c>
      <c r="J58" t="s">
        <v>635</v>
      </c>
    </row>
    <row r="59" spans="5:10" ht="14.25">
      <c r="E59" t="str">
        <f t="shared" si="1"/>
        <v>ss_Indoorcropping</v>
      </c>
      <c r="F59" t="s">
        <v>636</v>
      </c>
      <c r="G59" t="s">
        <v>49</v>
      </c>
      <c r="J59" t="s">
        <v>637</v>
      </c>
    </row>
    <row r="60" spans="5:10" ht="14.25">
      <c r="E60" t="str">
        <f t="shared" si="1"/>
        <v>ss_Livestock</v>
      </c>
      <c r="F60" t="s">
        <v>638</v>
      </c>
      <c r="G60" t="s">
        <v>49</v>
      </c>
      <c r="J60" t="s">
        <v>639</v>
      </c>
    </row>
    <row r="61" spans="5:8" ht="14.25">
      <c r="E61" t="str">
        <f t="shared" si="1"/>
        <v>ss_Meat</v>
      </c>
      <c r="F61" t="s">
        <v>640</v>
      </c>
      <c r="G61" t="s">
        <v>49</v>
      </c>
      <c r="H61" t="s">
        <v>641</v>
      </c>
    </row>
    <row r="62" spans="5:8" ht="14.25">
      <c r="E62" t="str">
        <f t="shared" si="1"/>
        <v>ss_Metals</v>
      </c>
      <c r="F62" t="s">
        <v>642</v>
      </c>
      <c r="G62" t="s">
        <v>49</v>
      </c>
      <c r="H62" t="s">
        <v>643</v>
      </c>
    </row>
    <row r="63" spans="5:8" ht="14.25">
      <c r="E63" t="str">
        <f t="shared" si="1"/>
        <v>ss_Methanol</v>
      </c>
      <c r="F63" t="s">
        <v>644</v>
      </c>
      <c r="G63" t="s">
        <v>49</v>
      </c>
      <c r="H63" t="s">
        <v>645</v>
      </c>
    </row>
    <row r="64" spans="5:8" ht="14.25">
      <c r="E64" t="str">
        <f t="shared" si="1"/>
        <v>ss_Minerals</v>
      </c>
      <c r="F64" t="s">
        <v>646</v>
      </c>
      <c r="G64" t="s">
        <v>49</v>
      </c>
      <c r="H64" t="s">
        <v>647</v>
      </c>
    </row>
    <row r="65" spans="5:8" ht="14.25">
      <c r="E65" t="str">
        <f t="shared" si="1"/>
        <v>ss_Mining</v>
      </c>
      <c r="F65" t="s">
        <v>648</v>
      </c>
      <c r="G65" t="s">
        <v>49</v>
      </c>
      <c r="H65" t="s">
        <v>649</v>
      </c>
    </row>
    <row r="66" spans="5:10" ht="14.25">
      <c r="E66" t="str">
        <f t="shared" si="1"/>
        <v>ss_Office</v>
      </c>
      <c r="F66" t="s">
        <v>650</v>
      </c>
      <c r="G66" t="s">
        <v>49</v>
      </c>
      <c r="J66" t="s">
        <v>651</v>
      </c>
    </row>
    <row r="67" spans="5:8" ht="14.25">
      <c r="E67" t="str">
        <f t="shared" si="1"/>
        <v>ss_OtherInd</v>
      </c>
      <c r="F67" t="s">
        <v>652</v>
      </c>
      <c r="G67" t="s">
        <v>49</v>
      </c>
      <c r="H67" t="s">
        <v>653</v>
      </c>
    </row>
    <row r="68" spans="5:10" ht="14.25">
      <c r="E68" t="str">
        <f t="shared" si="1"/>
        <v>ss_OtherAgri</v>
      </c>
      <c r="F68" t="s">
        <v>654</v>
      </c>
      <c r="G68" t="s">
        <v>49</v>
      </c>
      <c r="J68" t="s">
        <v>655</v>
      </c>
    </row>
    <row r="69" spans="5:10" ht="14.25">
      <c r="E69" t="str">
        <f t="shared" si="1"/>
        <v>ss_OtherCom</v>
      </c>
      <c r="F69" t="s">
        <v>656</v>
      </c>
      <c r="G69" t="s">
        <v>49</v>
      </c>
      <c r="J69" t="s">
        <v>657</v>
      </c>
    </row>
    <row r="70" spans="5:8" ht="14.25">
      <c r="E70" t="s">
        <v>658</v>
      </c>
      <c r="F70" t="s">
        <v>659</v>
      </c>
      <c r="G70" t="s">
        <v>49</v>
      </c>
      <c r="H70" t="s">
        <v>660</v>
      </c>
    </row>
    <row r="71" spans="5:8" ht="14.25">
      <c r="E71" t="str">
        <f>"ss_"&amp;SUBSTITUTE(F71," ","")</f>
        <v>ss_Refining</v>
      </c>
      <c r="F71" t="s">
        <v>661</v>
      </c>
      <c r="G71" t="s">
        <v>49</v>
      </c>
      <c r="H71" t="s">
        <v>662</v>
      </c>
    </row>
    <row r="72" spans="5:8" ht="14.25">
      <c r="E72" t="s">
        <v>663</v>
      </c>
      <c r="F72" t="s">
        <v>664</v>
      </c>
      <c r="G72" t="s">
        <v>49</v>
      </c>
      <c r="H72" t="s">
        <v>665</v>
      </c>
    </row>
    <row r="73" spans="5:8" ht="14.25">
      <c r="E73" t="str">
        <f>"ss_"&amp;SUBSTITUTE(F73," ","")</f>
        <v>ss_Urea</v>
      </c>
      <c r="F73" t="s">
        <v>666</v>
      </c>
      <c r="G73" t="s">
        <v>49</v>
      </c>
      <c r="H73" t="s">
        <v>667</v>
      </c>
    </row>
    <row r="74" spans="5:8" ht="14.25">
      <c r="E74" t="str">
        <f>"ss_"&amp;SUBSTITUTE(F74," ","")</f>
        <v>ss_WoodProdMfg</v>
      </c>
      <c r="F74" t="s">
        <v>668</v>
      </c>
      <c r="G74" t="s">
        <v>49</v>
      </c>
      <c r="H74" t="s">
        <v>669</v>
      </c>
    </row>
    <row r="75" spans="5:10" ht="14.25">
      <c r="E75" t="str">
        <f>"ss_"&amp;SUBSTITUTE(F75," ","")</f>
        <v>ss_WSR</v>
      </c>
      <c r="F75" t="s">
        <v>670</v>
      </c>
      <c r="G75" t="s">
        <v>49</v>
      </c>
      <c r="J75" t="s">
        <v>671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F3D05A-3957-4820-93DE-DB11637970DC}">
  <dimension ref="A1:O49"/>
  <sheetViews>
    <sheetView workbookViewId="0" topLeftCell="A6">
      <selection pane="topLeft" activeCell="A46" sqref="A46"/>
    </sheetView>
  </sheetViews>
  <sheetFormatPr defaultRowHeight="14.25"/>
  <cols>
    <col min="2" max="2" width="35.4285714285714" bestFit="1" customWidth="1"/>
  </cols>
  <sheetData>
    <row r="1" spans="1:1" ht="14.25">
      <c r="A1" t="s">
        <v>672</v>
      </c>
    </row>
    <row r="2" spans="1:9" ht="14.25">
      <c r="A2" t="s">
        <v>99</v>
      </c>
      <c r="B2" t="s">
        <v>488</v>
      </c>
      <c r="C2" t="s">
        <v>673</v>
      </c>
      <c r="D2" t="s">
        <v>674</v>
      </c>
      <c r="E2" t="s">
        <v>675</v>
      </c>
      <c r="F2" t="s">
        <v>676</v>
      </c>
      <c r="G2" t="s">
        <v>677</v>
      </c>
      <c r="H2" t="s">
        <v>678</v>
      </c>
      <c r="I2" t="s">
        <v>679</v>
      </c>
    </row>
    <row r="3" spans="1:15" ht="14.25">
      <c r="A3" t="str">
        <f>"nrg_"&amp;N3</f>
        <v>nrg_COA</v>
      </c>
      <c r="B3" t="str">
        <f>O3</f>
        <v>Coal</v>
      </c>
      <c r="C3" t="s">
        <v>680</v>
      </c>
      <c r="D3" t="str">
        <f>"*"&amp;N3</f>
        <v>*COA</v>
      </c>
      <c r="N3" s="5" t="s">
        <v>681</v>
      </c>
      <c r="O3" s="5" t="s">
        <v>496</v>
      </c>
    </row>
    <row r="4" spans="1:15" ht="14.25">
      <c r="A4" t="str">
        <f t="shared" si="0" ref="A4:A39">"nrg_"&amp;N4</f>
        <v>nrg_DSL</v>
      </c>
      <c r="B4" t="str">
        <f t="shared" si="1" ref="B4:B39">O4</f>
        <v>Diesel</v>
      </c>
      <c r="C4" t="s">
        <v>680</v>
      </c>
      <c r="D4" t="str">
        <f t="shared" si="2" ref="D4:D39">"*"&amp;N4</f>
        <v>*DSL</v>
      </c>
      <c r="N4" s="5" t="s">
        <v>682</v>
      </c>
      <c r="O4" s="5" t="s">
        <v>683</v>
      </c>
    </row>
    <row r="5" spans="1:15" ht="14.25">
      <c r="A5" t="s">
        <v>759</v>
      </c>
      <c r="B5" t="s">
        <v>760</v>
      </c>
      <c r="C5" t="s">
        <v>680</v>
      </c>
      <c r="D5" t="s">
        <v>761</v>
      </c>
      <c r="F5" t="s">
        <v>44</v>
      </c>
      <c r="G5" t="s">
        <v>44</v>
      </c>
      <c r="H5" t="s">
        <v>45</v>
      </c>
      <c r="I5" t="s">
        <v>45</v>
      </c>
      <c r="N5" s="5" t="s">
        <v>55</v>
      </c>
      <c r="O5" s="5" t="s">
        <v>684</v>
      </c>
    </row>
    <row r="6" spans="1:15" ht="14.25">
      <c r="A6" t="str">
        <f t="shared" si="0"/>
        <v>nrg_FOL</v>
      </c>
      <c r="B6" t="str">
        <f t="shared" si="1"/>
        <v>Fuel Oil</v>
      </c>
      <c r="C6" t="s">
        <v>680</v>
      </c>
      <c r="D6" t="str">
        <f t="shared" si="2"/>
        <v>*FOL</v>
      </c>
      <c r="N6" s="5" t="s">
        <v>685</v>
      </c>
      <c r="O6" s="5" t="s">
        <v>686</v>
      </c>
    </row>
    <row r="7" spans="1:15" ht="14.25">
      <c r="A7" t="str">
        <f t="shared" si="0"/>
        <v>nrg_GEO</v>
      </c>
      <c r="B7" t="str">
        <f t="shared" si="1"/>
        <v>Geothermal</v>
      </c>
      <c r="C7" t="s">
        <v>680</v>
      </c>
      <c r="D7" t="str">
        <f t="shared" si="2"/>
        <v>*GEO</v>
      </c>
      <c r="N7" s="5" t="s">
        <v>687</v>
      </c>
      <c r="O7" s="5" t="s">
        <v>498</v>
      </c>
    </row>
    <row r="8" spans="1:15" ht="14.25">
      <c r="A8" t="str">
        <f t="shared" si="0"/>
        <v>nrg_H2R</v>
      </c>
      <c r="B8" t="str">
        <f t="shared" si="1"/>
        <v>Hydrogen</v>
      </c>
      <c r="C8" t="s">
        <v>680</v>
      </c>
      <c r="D8" t="str">
        <f t="shared" si="2"/>
        <v>*H2R</v>
      </c>
      <c r="N8" s="5" t="s">
        <v>688</v>
      </c>
      <c r="O8" s="5" t="s">
        <v>689</v>
      </c>
    </row>
    <row r="9" spans="1:15" ht="14.25">
      <c r="A9" t="str">
        <f t="shared" si="0"/>
        <v>nrg_LPG</v>
      </c>
      <c r="B9" t="str">
        <f t="shared" si="1"/>
        <v>LPG</v>
      </c>
      <c r="C9" t="s">
        <v>680</v>
      </c>
      <c r="D9" t="str">
        <f t="shared" si="2"/>
        <v>*LPG</v>
      </c>
      <c r="N9" s="5" t="s">
        <v>690</v>
      </c>
      <c r="O9" s="5" t="s">
        <v>690</v>
      </c>
    </row>
    <row r="10" spans="1:15" ht="14.25">
      <c r="A10" t="str">
        <f t="shared" si="0"/>
        <v>nrg_NGA</v>
      </c>
      <c r="B10" t="str">
        <f t="shared" si="1"/>
        <v>Natural Gas</v>
      </c>
      <c r="C10" t="s">
        <v>680</v>
      </c>
      <c r="D10" t="str">
        <f t="shared" si="2"/>
        <v>*NGA</v>
      </c>
      <c r="N10" s="5" t="s">
        <v>691</v>
      </c>
      <c r="O10" s="5" t="s">
        <v>502</v>
      </c>
    </row>
    <row r="11" spans="1:15" ht="14.25">
      <c r="A11" t="str">
        <f t="shared" si="0"/>
        <v>nrg_PET</v>
      </c>
      <c r="B11" t="str">
        <f t="shared" si="1"/>
        <v>Petrol</v>
      </c>
      <c r="C11" t="s">
        <v>680</v>
      </c>
      <c r="D11" t="str">
        <f t="shared" si="2"/>
        <v>*PET</v>
      </c>
      <c r="N11" s="5" t="s">
        <v>692</v>
      </c>
      <c r="O11" s="5" t="s">
        <v>693</v>
      </c>
    </row>
    <row r="12" spans="1:15" ht="14.25">
      <c r="A12" t="str">
        <f t="shared" si="0"/>
        <v>nrg_PLT</v>
      </c>
      <c r="B12" t="str">
        <f t="shared" si="1"/>
        <v>Pellet</v>
      </c>
      <c r="C12" t="s">
        <v>680</v>
      </c>
      <c r="D12" t="str">
        <f t="shared" si="2"/>
        <v>*PLT</v>
      </c>
      <c r="N12" s="5" t="s">
        <v>694</v>
      </c>
      <c r="O12" s="5" t="s">
        <v>695</v>
      </c>
    </row>
    <row r="13" spans="1:15" ht="14.25">
      <c r="A13" t="str">
        <f t="shared" si="0"/>
        <v>nrg_WOD</v>
      </c>
      <c r="B13" t="str">
        <f t="shared" si="1"/>
        <v>Wood</v>
      </c>
      <c r="C13" t="s">
        <v>680</v>
      </c>
      <c r="D13" t="str">
        <f t="shared" si="2"/>
        <v>*WOD</v>
      </c>
      <c r="N13" s="5" t="s">
        <v>696</v>
      </c>
      <c r="O13" s="5" t="s">
        <v>697</v>
      </c>
    </row>
    <row r="14" spans="1:15" ht="14.25">
      <c r="A14" t="str">
        <f t="shared" si="0"/>
        <v>nrg_WST</v>
      </c>
      <c r="B14" t="str">
        <f t="shared" si="1"/>
        <v>Waste</v>
      </c>
      <c r="C14" t="s">
        <v>680</v>
      </c>
      <c r="D14" t="str">
        <f t="shared" si="2"/>
        <v>*WST</v>
      </c>
      <c r="N14" s="5" t="s">
        <v>698</v>
      </c>
      <c r="O14" s="5" t="s">
        <v>512</v>
      </c>
    </row>
    <row r="15" spans="1:15" ht="14.25">
      <c r="A15" t="str">
        <f t="shared" si="0"/>
        <v>nrg_MNR</v>
      </c>
      <c r="B15" t="str">
        <f t="shared" si="1"/>
        <v>Manure</v>
      </c>
      <c r="C15" t="s">
        <v>680</v>
      </c>
      <c r="D15" t="str">
        <f t="shared" si="2"/>
        <v>*MNR</v>
      </c>
      <c r="N15" s="5" t="s">
        <v>699</v>
      </c>
      <c r="O15" s="5" t="s">
        <v>700</v>
      </c>
    </row>
    <row r="16" spans="1:15" ht="14.25">
      <c r="A16" t="str">
        <f t="shared" si="0"/>
        <v>nrg_BIG</v>
      </c>
      <c r="B16" t="str">
        <f t="shared" si="1"/>
        <v>Biogas</v>
      </c>
      <c r="C16" t="s">
        <v>680</v>
      </c>
      <c r="D16" t="str">
        <f t="shared" si="2"/>
        <v>*BIG</v>
      </c>
      <c r="N16" s="5" t="s">
        <v>701</v>
      </c>
      <c r="O16" s="5" t="s">
        <v>494</v>
      </c>
    </row>
    <row r="17" spans="1:15" ht="14.25">
      <c r="A17" t="str">
        <f t="shared" si="0"/>
        <v>nrg_BIL</v>
      </c>
      <c r="B17" t="str">
        <f t="shared" si="1"/>
        <v>Bioliquid</v>
      </c>
      <c r="C17" t="s">
        <v>680</v>
      </c>
      <c r="D17" t="str">
        <f t="shared" si="2"/>
        <v>*BIL</v>
      </c>
      <c r="N17" s="5" t="s">
        <v>702</v>
      </c>
      <c r="O17" s="5" t="s">
        <v>703</v>
      </c>
    </row>
    <row r="18" spans="1:15" ht="14.25">
      <c r="A18" t="str">
        <f t="shared" si="0"/>
        <v>nrg_COL</v>
      </c>
      <c r="B18" t="str">
        <f t="shared" si="1"/>
        <v>Lignite</v>
      </c>
      <c r="C18" t="s">
        <v>680</v>
      </c>
      <c r="D18" t="str">
        <f t="shared" si="2"/>
        <v>*COL</v>
      </c>
      <c r="N18" s="5" t="s">
        <v>704</v>
      </c>
      <c r="O18" s="5" t="s">
        <v>705</v>
      </c>
    </row>
    <row r="19" spans="1:15" ht="14.25">
      <c r="A19" t="str">
        <f t="shared" si="0"/>
        <v>nrg_seq</v>
      </c>
      <c r="B19" t="str">
        <f t="shared" si="1"/>
        <v>CO2 to CCS</v>
      </c>
      <c r="C19" t="s">
        <v>680</v>
      </c>
      <c r="D19" t="str">
        <f t="shared" si="2"/>
        <v>*seq</v>
      </c>
      <c r="N19" s="5" t="s">
        <v>706</v>
      </c>
      <c r="O19" s="5" t="s">
        <v>707</v>
      </c>
    </row>
    <row r="20" spans="1:15" ht="14.25">
      <c r="A20" t="str">
        <f t="shared" si="0"/>
        <v>nrg_CO2</v>
      </c>
      <c r="B20" t="str">
        <f t="shared" si="1"/>
        <v>CO2</v>
      </c>
      <c r="C20" t="s">
        <v>680</v>
      </c>
      <c r="D20" t="str">
        <f t="shared" si="2"/>
        <v>*CO2</v>
      </c>
      <c r="N20" s="5" t="s">
        <v>708</v>
      </c>
      <c r="O20" s="5" t="s">
        <v>708</v>
      </c>
    </row>
    <row r="21" spans="1:15" ht="14.25">
      <c r="A21" t="str">
        <f t="shared" si="0"/>
        <v>nrg_DID</v>
      </c>
      <c r="B21" t="str">
        <f t="shared" si="1"/>
        <v>Drop-In Diesel</v>
      </c>
      <c r="C21" t="s">
        <v>680</v>
      </c>
      <c r="D21" t="str">
        <f t="shared" si="2"/>
        <v>*DID</v>
      </c>
      <c r="N21" s="5" t="s">
        <v>709</v>
      </c>
      <c r="O21" s="5" t="s">
        <v>710</v>
      </c>
    </row>
    <row r="22" spans="1:15" ht="14.25">
      <c r="A22" t="str">
        <f t="shared" si="0"/>
        <v>nrg_DIJ</v>
      </c>
      <c r="B22" t="str">
        <f t="shared" si="1"/>
        <v>Drop-In Jet</v>
      </c>
      <c r="C22" t="s">
        <v>680</v>
      </c>
      <c r="D22" t="str">
        <f t="shared" si="2"/>
        <v>*DIJ</v>
      </c>
      <c r="N22" s="5" t="s">
        <v>711</v>
      </c>
      <c r="O22" s="5" t="s">
        <v>712</v>
      </c>
    </row>
    <row r="23" spans="1:15" ht="14.25">
      <c r="A23" t="str">
        <f t="shared" si="0"/>
        <v>nrg_LCD</v>
      </c>
      <c r="B23" t="str">
        <f t="shared" si="1"/>
        <v>Electricity Production</v>
      </c>
      <c r="C23" t="s">
        <v>680</v>
      </c>
      <c r="D23" t="str">
        <f t="shared" si="2"/>
        <v>*LCD</v>
      </c>
      <c r="N23" s="5" t="s">
        <v>713</v>
      </c>
      <c r="O23" s="5" t="s">
        <v>714</v>
      </c>
    </row>
    <row r="24" spans="1:15" ht="14.25">
      <c r="A24" t="str">
        <f t="shared" si="0"/>
        <v>nrg_CDD</v>
      </c>
      <c r="B24" t="str">
        <f t="shared" si="1"/>
        <v>Electricity Production</v>
      </c>
      <c r="C24" t="s">
        <v>680</v>
      </c>
      <c r="D24" t="str">
        <f t="shared" si="2"/>
        <v>*CDD</v>
      </c>
      <c r="N24" s="5" t="s">
        <v>715</v>
      </c>
      <c r="O24" s="5" t="s">
        <v>714</v>
      </c>
    </row>
    <row r="25" spans="1:15" ht="14.25">
      <c r="A25" t="str">
        <f t="shared" si="0"/>
        <v>nrg_-HV</v>
      </c>
      <c r="B25" t="str">
        <f t="shared" si="1"/>
        <v>Electricity Production</v>
      </c>
      <c r="C25" t="s">
        <v>680</v>
      </c>
      <c r="D25" t="str">
        <f t="shared" si="2"/>
        <v>*-HV</v>
      </c>
      <c r="N25" s="5" t="s">
        <v>716</v>
      </c>
      <c r="O25" s="5" t="s">
        <v>714</v>
      </c>
    </row>
    <row r="26" spans="1:15" ht="14.25">
      <c r="A26" t="str">
        <f t="shared" si="0"/>
        <v>nrg_HYD</v>
      </c>
      <c r="B26" t="str">
        <f t="shared" si="1"/>
        <v>Hydro</v>
      </c>
      <c r="C26" t="s">
        <v>680</v>
      </c>
      <c r="D26" t="str">
        <f t="shared" si="2"/>
        <v>*HYD</v>
      </c>
      <c r="N26" s="5" t="s">
        <v>717</v>
      </c>
      <c r="O26" s="5" t="s">
        <v>500</v>
      </c>
    </row>
    <row r="27" spans="1:15" ht="14.25">
      <c r="A27" t="str">
        <f t="shared" si="0"/>
        <v>nrg_-MV</v>
      </c>
      <c r="B27" t="str">
        <f t="shared" si="1"/>
        <v>Electricity Production</v>
      </c>
      <c r="C27" t="s">
        <v>680</v>
      </c>
      <c r="D27" t="str">
        <f t="shared" si="2"/>
        <v>*-MV</v>
      </c>
      <c r="N27" s="5" t="s">
        <v>718</v>
      </c>
      <c r="O27" s="5" t="s">
        <v>714</v>
      </c>
    </row>
    <row r="28" spans="1:15" ht="14.25">
      <c r="A28" t="str">
        <f t="shared" si="0"/>
        <v>nrg_OIL</v>
      </c>
      <c r="B28" t="str">
        <f t="shared" si="1"/>
        <v>Oil</v>
      </c>
      <c r="C28" t="s">
        <v>680</v>
      </c>
      <c r="D28" t="str">
        <f t="shared" si="2"/>
        <v>*OIL</v>
      </c>
      <c r="N28" s="5" t="s">
        <v>719</v>
      </c>
      <c r="O28" s="5" t="s">
        <v>720</v>
      </c>
    </row>
    <row r="29" spans="1:15" ht="14.25">
      <c r="A29" t="str">
        <f t="shared" si="0"/>
        <v>nrg_SOL</v>
      </c>
      <c r="B29" t="str">
        <f t="shared" si="1"/>
        <v>Solar</v>
      </c>
      <c r="C29" t="s">
        <v>680</v>
      </c>
      <c r="D29" t="str">
        <f t="shared" si="2"/>
        <v>*SOL</v>
      </c>
      <c r="N29" s="5" t="s">
        <v>721</v>
      </c>
      <c r="O29" s="5" t="s">
        <v>504</v>
      </c>
    </row>
    <row r="30" spans="1:15" ht="14.25">
      <c r="A30" t="str">
        <f t="shared" si="0"/>
        <v>nrg_TID</v>
      </c>
      <c r="B30" t="str">
        <f t="shared" si="1"/>
        <v>Tidal</v>
      </c>
      <c r="C30" t="s">
        <v>680</v>
      </c>
      <c r="D30" t="str">
        <f t="shared" si="2"/>
        <v>*TID</v>
      </c>
      <c r="N30" s="5" t="s">
        <v>722</v>
      </c>
      <c r="O30" s="5" t="s">
        <v>723</v>
      </c>
    </row>
    <row r="31" spans="1:15" ht="14.25">
      <c r="A31" t="str">
        <f t="shared" si="0"/>
        <v>nrg_URN</v>
      </c>
      <c r="B31" t="str">
        <f t="shared" si="1"/>
        <v>Uranium</v>
      </c>
      <c r="C31" t="s">
        <v>680</v>
      </c>
      <c r="D31" t="str">
        <f t="shared" si="2"/>
        <v>*URN</v>
      </c>
      <c r="N31" s="5" t="s">
        <v>724</v>
      </c>
      <c r="O31" s="5" t="s">
        <v>725</v>
      </c>
    </row>
    <row r="32" spans="1:15" ht="14.25">
      <c r="A32" t="str">
        <f t="shared" si="0"/>
        <v>nrg_WIN</v>
      </c>
      <c r="B32" t="str">
        <f t="shared" si="1"/>
        <v>Wind</v>
      </c>
      <c r="C32" t="s">
        <v>680</v>
      </c>
      <c r="D32" t="str">
        <f t="shared" si="2"/>
        <v>*WIN</v>
      </c>
      <c r="N32" s="5" t="s">
        <v>726</v>
      </c>
      <c r="O32" s="5" t="s">
        <v>514</v>
      </c>
    </row>
    <row r="33" spans="1:15" ht="14.25">
      <c r="A33" t="str">
        <f t="shared" si="0"/>
        <v>nrg_H2C</v>
      </c>
      <c r="B33" t="str">
        <f t="shared" si="1"/>
        <v>Green Hydrogen Green Hydrogen Fuel</v>
      </c>
      <c r="C33" t="s">
        <v>680</v>
      </c>
      <c r="D33" t="str">
        <f t="shared" si="2"/>
        <v>*H2C</v>
      </c>
      <c r="N33" s="5" t="s">
        <v>727</v>
      </c>
      <c r="O33" s="5" t="s">
        <v>728</v>
      </c>
    </row>
    <row r="34" spans="1:15" ht="14.25">
      <c r="A34" t="str">
        <f t="shared" si="0"/>
        <v>nrg_H2D</v>
      </c>
      <c r="B34" t="str">
        <f t="shared" si="1"/>
        <v>Green Hydrogen Green Hydrogen Fuel</v>
      </c>
      <c r="C34" t="s">
        <v>680</v>
      </c>
      <c r="D34" t="str">
        <f t="shared" si="2"/>
        <v>*H2D</v>
      </c>
      <c r="N34" s="5" t="s">
        <v>729</v>
      </c>
      <c r="O34" s="5" t="s">
        <v>728</v>
      </c>
    </row>
    <row r="35" spans="1:15" ht="14.25">
      <c r="A35" t="str">
        <f t="shared" si="0"/>
        <v>nrg_JET</v>
      </c>
      <c r="B35" t="str">
        <f t="shared" si="1"/>
        <v>Jet Fuel</v>
      </c>
      <c r="C35" t="s">
        <v>680</v>
      </c>
      <c r="D35" t="str">
        <f t="shared" si="2"/>
        <v>*JET</v>
      </c>
      <c r="N35" s="5" t="s">
        <v>730</v>
      </c>
      <c r="O35" s="5" t="s">
        <v>731</v>
      </c>
    </row>
    <row r="36" spans="1:15" ht="14.25">
      <c r="A36" t="str">
        <f t="shared" si="0"/>
        <v>nrg_LNG</v>
      </c>
      <c r="B36" t="str">
        <f t="shared" si="1"/>
        <v>LNG</v>
      </c>
      <c r="C36" t="s">
        <v>680</v>
      </c>
      <c r="D36" t="str">
        <f t="shared" si="2"/>
        <v>*LNG</v>
      </c>
      <c r="N36" s="5" t="s">
        <v>732</v>
      </c>
      <c r="O36" s="5" t="s">
        <v>732</v>
      </c>
    </row>
    <row r="37" spans="1:15" ht="14.25">
      <c r="A37" t="str">
        <f t="shared" si="0"/>
        <v>nrg_ILD</v>
      </c>
      <c r="B37" t="str">
        <f t="shared" si="1"/>
        <v>Crude Oil (domestic)</v>
      </c>
      <c r="C37" t="s">
        <v>680</v>
      </c>
      <c r="D37" t="str">
        <f t="shared" si="2"/>
        <v>*ILD</v>
      </c>
      <c r="N37" s="5" t="s">
        <v>733</v>
      </c>
      <c r="O37" s="5" t="s">
        <v>734</v>
      </c>
    </row>
    <row r="38" spans="1:15" ht="14.25">
      <c r="A38" t="str">
        <f t="shared" si="0"/>
        <v>nrg_ILI</v>
      </c>
      <c r="B38" t="str">
        <f t="shared" si="1"/>
        <v>Crude Oil (imported)</v>
      </c>
      <c r="C38" t="s">
        <v>680</v>
      </c>
      <c r="D38" t="str">
        <f t="shared" si="2"/>
        <v>*ILI</v>
      </c>
      <c r="N38" s="5" t="s">
        <v>735</v>
      </c>
      <c r="O38" s="5" t="s">
        <v>736</v>
      </c>
    </row>
    <row r="39" spans="1:15" ht="14.25">
      <c r="A39" t="str">
        <f t="shared" si="0"/>
        <v>nrg_OTH</v>
      </c>
      <c r="B39" t="str">
        <f t="shared" si="1"/>
        <v>Other Oil</v>
      </c>
      <c r="C39" t="s">
        <v>680</v>
      </c>
      <c r="D39" t="str">
        <f t="shared" si="2"/>
        <v>*OTH</v>
      </c>
      <c r="N39" s="5" t="s">
        <v>737</v>
      </c>
      <c r="O39" s="5" t="s">
        <v>738</v>
      </c>
    </row>
    <row r="40" spans="1:15" ht="14.25">
      <c r="A40" t="str">
        <f>"dem_"&amp;N40</f>
        <v>dem_agriculture</v>
      </c>
      <c r="B40" t="str">
        <f>N40</f>
        <v>agriculture</v>
      </c>
      <c r="C40" t="s">
        <v>739</v>
      </c>
      <c r="D40" t="str">
        <f>O40</f>
        <v>A*,meat*,D*</v>
      </c>
      <c r="N40" t="s">
        <v>740</v>
      </c>
      <c r="O40" t="s">
        <v>741</v>
      </c>
    </row>
    <row r="41" spans="1:15" ht="14.25">
      <c r="A41" t="str">
        <f>"dem_"&amp;N41</f>
        <v>dem_commercial</v>
      </c>
      <c r="B41" t="str">
        <f>N41</f>
        <v>commercial</v>
      </c>
      <c r="C41" t="s">
        <v>739</v>
      </c>
      <c r="D41" t="str">
        <f>O41</f>
        <v>C*</v>
      </c>
      <c r="N41" t="s">
        <v>742</v>
      </c>
      <c r="O41" t="s">
        <v>743</v>
      </c>
    </row>
    <row r="42" spans="1:15" ht="14.25">
      <c r="A42" t="str">
        <f>"dem_"&amp;N42</f>
        <v>dem_industry</v>
      </c>
      <c r="B42" t="str">
        <f>N42</f>
        <v>industry</v>
      </c>
      <c r="C42" t="s">
        <v>739</v>
      </c>
      <c r="D42" t="str">
        <f>O42</f>
        <v>F*,I*,ref*,M*,-meat*,O*,P*,U*,W*</v>
      </c>
      <c r="N42" t="s">
        <v>63</v>
      </c>
      <c r="O42" t="s">
        <v>744</v>
      </c>
    </row>
    <row r="43" spans="1:15" ht="14.25">
      <c r="A43" t="str">
        <f>"dem_"&amp;N43</f>
        <v>dem_residential</v>
      </c>
      <c r="B43" t="str">
        <f>N43</f>
        <v>residential</v>
      </c>
      <c r="C43" t="s">
        <v>739</v>
      </c>
      <c r="D43" t="str">
        <f>O43</f>
        <v>R*,-ref*</v>
      </c>
      <c r="N43" t="s">
        <v>745</v>
      </c>
      <c r="O43" t="s">
        <v>746</v>
      </c>
    </row>
    <row r="44" spans="1:15" ht="14.25">
      <c r="A44" t="str">
        <f>"dem_"&amp;N44</f>
        <v>dem_transport</v>
      </c>
      <c r="B44" t="str">
        <f>N44</f>
        <v>transport</v>
      </c>
      <c r="C44" t="s">
        <v>739</v>
      </c>
      <c r="D44" t="str">
        <f>O44</f>
        <v>T*</v>
      </c>
      <c r="N44" t="s">
        <v>64</v>
      </c>
      <c r="O44" t="s">
        <v>747</v>
      </c>
    </row>
    <row r="45" spans="1:4" ht="14.25">
      <c r="A45" t="s">
        <v>748</v>
      </c>
      <c r="B45" t="s">
        <v>742</v>
      </c>
      <c r="D45" t="s">
        <v>749</v>
      </c>
    </row>
    <row r="46" spans="1:4" ht="14.25">
      <c r="A46" t="s">
        <v>750</v>
      </c>
      <c r="B46" t="s">
        <v>745</v>
      </c>
      <c r="D46" t="s">
        <v>751</v>
      </c>
    </row>
    <row r="47" spans="1:4" ht="14.25">
      <c r="A47" t="s">
        <v>752</v>
      </c>
      <c r="B47" t="s">
        <v>63</v>
      </c>
      <c r="D47" t="s">
        <v>584</v>
      </c>
    </row>
    <row r="48" spans="1:4" ht="14.25">
      <c r="A48" t="s">
        <v>753</v>
      </c>
      <c r="B48" t="s">
        <v>740</v>
      </c>
      <c r="D48" t="s">
        <v>754</v>
      </c>
    </row>
    <row r="49" spans="1:9" ht="14.25">
      <c r="A49" t="s">
        <v>755</v>
      </c>
      <c r="B49" t="s">
        <v>64</v>
      </c>
      <c r="D49" t="s">
        <v>756</v>
      </c>
      <c r="F49" t="s">
        <v>44</v>
      </c>
      <c r="G49" t="s">
        <v>44</v>
      </c>
      <c r="H49" t="s">
        <v>45</v>
      </c>
      <c r="I4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VEDA_Sets-Comm</vt:lpstr>
      <vt:lpstr>sankey com</vt:lpstr>
      <vt:lpstr>geo_sets</vt:lpstr>
      <vt:lpstr>VEDA_Sets-Proc</vt:lpstr>
      <vt:lpstr>SetsEditor- Proc</vt:lpstr>
      <vt:lpstr>SetsEditor- Comm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2026-04-15T07:40:56Z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