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AB3791EE-3222-4A96-B6FD-C2E2CB2B6A91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3" l="1"/>
  <c r="I20" i="3"/>
  <c r="I19" i="3"/>
  <c r="I18" i="3"/>
  <c r="I14" i="3"/>
  <c r="F16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14" i="3"/>
  <c r="H16" i="3"/>
  <c r="H17" i="3" s="1"/>
  <c r="H14" i="3"/>
  <c r="I103" i="5"/>
  <c r="H104" i="5"/>
  <c r="I104" i="5"/>
  <c r="I102" i="5"/>
  <c r="I101" i="5"/>
  <c r="H95" i="5"/>
  <c r="I51" i="5"/>
  <c r="G51" i="5"/>
  <c r="F51" i="5"/>
  <c r="G14" i="3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E14" i="3"/>
  <c r="E15" i="3" s="1"/>
  <c r="E16" i="3" s="1"/>
  <c r="E17" i="3" s="1"/>
  <c r="E18" i="3" s="1"/>
  <c r="E19" i="3" s="1"/>
  <c r="E20" i="3" s="1"/>
  <c r="H18" i="3" l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12" i="3"/>
  <c r="F12" i="3"/>
  <c r="E12" i="3" l="1"/>
  <c r="G12" i="3"/>
</calcChain>
</file>

<file path=xl/sharedStrings.xml><?xml version="1.0" encoding="utf-8"?>
<sst xmlns="http://schemas.openxmlformats.org/spreadsheetml/2006/main" count="1905" uniqueCount="619">
  <si>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</si>
  <si>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</si>
  <si>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</si>
  <si>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</si>
  <si>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</si>
  <si>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</si>
  <si>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</si>
  <si>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</si>
  <si>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</si>
  <si>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</si>
  <si>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</si>
  <si>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</si>
  <si>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</si>
  <si>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</si>
  <si>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</si>
  <si>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</si>
  <si>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</si>
  <si>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</si>
  <si>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</si>
  <si>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</si>
  <si>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</si>
  <si>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</si>
  <si>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</si>
  <si>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</si>
  <si>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</si>
  <si>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</si>
  <si>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</si>
  <si>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</si>
  <si>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</si>
  <si>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</si>
  <si>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</si>
  <si>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</si>
  <si>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</si>
  <si>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</si>
  <si>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</si>
  <si>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</si>
  <si>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</si>
  <si>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</si>
  <si>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</si>
  <si>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</si>
  <si>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</si>
  <si>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</si>
  <si>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</si>
  <si>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</si>
  <si>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</si>
  <si>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</si>
  <si>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</si>
  <si>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</si>
  <si>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</si>
  <si>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</si>
  <si>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</si>
  <si>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</si>
  <si>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</si>
  <si>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</si>
  <si>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</si>
  <si>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</si>
  <si>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</si>
  <si>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</si>
  <si>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</si>
  <si>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</si>
  <si>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</si>
  <si>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</si>
  <si>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</si>
  <si>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</si>
  <si>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</si>
  <si>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</si>
  <si>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</si>
  <si>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</si>
  <si>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</si>
  <si>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</si>
  <si>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</si>
  <si>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</si>
  <si>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</si>
  <si>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</si>
  <si>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</si>
  <si>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</si>
  <si>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</si>
  <si>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</si>
  <si>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</si>
  <si>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</si>
  <si>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</si>
  <si>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</si>
  <si>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</si>
  <si>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</si>
  <si>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</si>
  <si>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</si>
  <si>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</si>
  <si>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</si>
  <si>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</si>
  <si>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</si>
  <si>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</si>
  <si>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</si>
  <si>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</si>
  <si>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</si>
  <si>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</si>
  <si>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</si>
  <si>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</si>
  <si>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</si>
  <si>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</si>
  <si>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</si>
  <si>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</si>
  <si>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</si>
  <si>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</si>
  <si>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</si>
  <si>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</si>
  <si>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</si>
  <si>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</si>
  <si>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</si>
  <si>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</si>
  <si>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</si>
  <si>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</si>
  <si>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</si>
  <si>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</si>
  <si>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</si>
  <si>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</si>
  <si>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</si>
  <si>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</si>
  <si>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</si>
  <si>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</si>
  <si>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</si>
  <si>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</si>
  <si>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</si>
  <si>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</si>
  <si>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</si>
  <si>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</si>
  <si>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</si>
  <si>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</si>
  <si>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</si>
  <si>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</si>
  <si>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</si>
  <si>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</si>
  <si>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</si>
  <si>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</si>
  <si>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</si>
  <si>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</si>
  <si>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</si>
  <si>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</si>
  <si>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</si>
  <si>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</si>
  <si>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</si>
  <si>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</si>
  <si>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</si>
  <si>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</si>
  <si>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</si>
  <si>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</si>
  <si>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</si>
  <si>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</si>
  <si>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</si>
  <si>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</si>
  <si>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</si>
  <si>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</si>
  <si>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</si>
  <si>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</si>
  <si>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</si>
  <si>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</si>
  <si>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</si>
  <si>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</si>
  <si>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</si>
  <si>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</si>
  <si>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</si>
  <si>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</si>
  <si>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</si>
  <si>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</si>
  <si>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</si>
  <si>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</si>
  <si>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</si>
  <si>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</si>
  <si>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</si>
  <si>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</si>
  <si>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</si>
  <si>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</si>
  <si>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</si>
  <si>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</si>
  <si>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</si>
  <si>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</si>
  <si>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</si>
  <si>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</si>
  <si>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</si>
  <si>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</si>
  <si>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</si>
  <si>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</si>
  <si>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</si>
  <si>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</si>
  <si>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</si>
  <si>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</si>
  <si>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</si>
  <si>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</si>
  <si>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</si>
  <si>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</si>
  <si>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</si>
  <si>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</si>
  <si>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</si>
  <si>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</si>
  <si>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</si>
  <si>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</si>
  <si>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</si>
  <si>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</si>
  <si>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</si>
  <si>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</si>
  <si>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</si>
  <si>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</si>
  <si>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</si>
  <si>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</si>
  <si>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</si>
  <si>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</si>
  <si>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</si>
  <si>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</si>
  <si>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</si>
  <si>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</si>
  <si>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</si>
  <si>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</si>
  <si>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</si>
  <si>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NZL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</si>
  <si>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</si>
  <si>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</si>
  <si>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</si>
  <si>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</si>
  <si>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</si>
  <si>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</si>
  <si>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</si>
  <si>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</si>
  <si>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</si>
  <si>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</si>
  <si>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</si>
  <si>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</si>
  <si>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</si>
  <si>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</si>
  <si>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</si>
  <si>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</si>
  <si>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</si>
  <si>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</si>
  <si>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</si>
  <si>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</si>
  <si>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</si>
  <si>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</si>
  <si>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</si>
  <si>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</si>
  <si>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</si>
  <si>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</si>
  <si>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</si>
  <si>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</si>
  <si>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</si>
  <si>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</si>
  <si>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</si>
  <si>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</si>
  <si>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</si>
  <si>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</si>
  <si>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</si>
  <si>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</si>
  <si>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</si>
  <si>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</si>
  <si>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</si>
  <si>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</si>
  <si>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</si>
  <si>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</si>
  <si>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</si>
  <si>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</si>
  <si>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</si>
  <si>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</si>
  <si>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</si>
  <si>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</si>
  <si>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</si>
  <si>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</si>
  <si>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</si>
  <si>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</si>
  <si>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</si>
  <si>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</si>
  <si>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</si>
  <si>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</si>
  <si>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</si>
  <si>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</si>
  <si>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</si>
  <si>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</si>
  <si>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</si>
  <si>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</si>
  <si>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</si>
  <si>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</si>
  <si>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</si>
  <si>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</si>
  <si>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</si>
  <si>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</si>
  <si>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</si>
  <si>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</si>
  <si>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</si>
  <si>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</si>
  <si>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</si>
  <si>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</si>
  <si>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</si>
  <si>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</si>
  <si>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</si>
  <si>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</si>
  <si>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</si>
  <si>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</si>
  <si>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</si>
  <si>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</si>
  <si>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</si>
  <si>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</si>
  <si>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</si>
  <si>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</si>
  <si>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</si>
  <si>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</si>
  <si>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</si>
  <si>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</si>
  <si>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</si>
  <si>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</si>
  <si>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</si>
  <si>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</si>
  <si>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</si>
  <si>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</si>
  <si>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</si>
  <si>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</si>
  <si>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</si>
  <si>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</si>
  <si>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</si>
  <si>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</si>
  <si>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</si>
  <si>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</si>
  <si>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</si>
  <si>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</si>
  <si>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</si>
  <si>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</si>
  <si>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</si>
  <si>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</si>
  <si>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</si>
  <si>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</si>
  <si>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</si>
  <si>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</si>
  <si>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</si>
  <si>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</si>
  <si>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</si>
  <si>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</si>
  <si>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</si>
  <si>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</si>
  <si>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</si>
  <si>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</si>
  <si>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</si>
  <si>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</si>
  <si>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</si>
  <si>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</si>
  <si>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</si>
  <si>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</si>
  <si>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</si>
  <si>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</si>
  <si>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~fi_comm</t>
  </si>
  <si>
    <t>e_NZ1-220</t>
  </si>
  <si>
    <t>grid node -- NZ1-220</t>
  </si>
  <si>
    <t>lo</t>
  </si>
  <si>
    <t>e_NZ10-220</t>
  </si>
  <si>
    <t>grid node -- NZ10-220</t>
  </si>
  <si>
    <t>e_NZ11-220</t>
  </si>
  <si>
    <t>grid node -- NZ11-220</t>
  </si>
  <si>
    <t>e_NZ12-220</t>
  </si>
  <si>
    <t>grid node -- NZ12-220</t>
  </si>
  <si>
    <t>e_NZ13-220</t>
  </si>
  <si>
    <t>grid node -- NZ13-220</t>
  </si>
  <si>
    <t>e_NZ14-220</t>
  </si>
  <si>
    <t>grid node -- NZ14-220</t>
  </si>
  <si>
    <t>e_NZ15-220</t>
  </si>
  <si>
    <t>grid node -- NZ15-220</t>
  </si>
  <si>
    <t>e_NZ16-220</t>
  </si>
  <si>
    <t>grid node -- NZ16-220</t>
  </si>
  <si>
    <t>e_NZ17-220</t>
  </si>
  <si>
    <t>grid node -- NZ17-220</t>
  </si>
  <si>
    <t>e_NZ18-220</t>
  </si>
  <si>
    <t>grid node -- NZ18-220</t>
  </si>
  <si>
    <t>e_NZ19-220</t>
  </si>
  <si>
    <t>grid node -- NZ19-220</t>
  </si>
  <si>
    <t>e_NZ2-220</t>
  </si>
  <si>
    <t>grid node -- NZ2-220</t>
  </si>
  <si>
    <t>e_NZ20-220</t>
  </si>
  <si>
    <t>grid node -- NZ20-220</t>
  </si>
  <si>
    <t>e_NZ21-220</t>
  </si>
  <si>
    <t>grid node -- NZ21-220</t>
  </si>
  <si>
    <t>e_NZ22-220</t>
  </si>
  <si>
    <t>grid node -- NZ22-220</t>
  </si>
  <si>
    <t>e_NZ23-220</t>
  </si>
  <si>
    <t>grid node -- NZ23-220</t>
  </si>
  <si>
    <t>e_NZ24-220</t>
  </si>
  <si>
    <t>grid node -- NZ24-220</t>
  </si>
  <si>
    <t>e_NZ25-220</t>
  </si>
  <si>
    <t>grid node -- NZ25-220</t>
  </si>
  <si>
    <t>e_NZ26-220</t>
  </si>
  <si>
    <t>grid node -- NZ26-220</t>
  </si>
  <si>
    <t>e_NZ27-220</t>
  </si>
  <si>
    <t>grid node -- NZ27-220</t>
  </si>
  <si>
    <t>e_NZ28-220</t>
  </si>
  <si>
    <t>grid node -- NZ28-220</t>
  </si>
  <si>
    <t>e_NZ29-220</t>
  </si>
  <si>
    <t>grid node -- NZ29-220</t>
  </si>
  <si>
    <t>e_NZ3-220</t>
  </si>
  <si>
    <t>grid node -- NZ3-220</t>
  </si>
  <si>
    <t>e_NZ30-220</t>
  </si>
  <si>
    <t>grid node -- NZ30-220</t>
  </si>
  <si>
    <t>e_NZ31-220</t>
  </si>
  <si>
    <t>grid node -- NZ31-220</t>
  </si>
  <si>
    <t>e_NZ32-220</t>
  </si>
  <si>
    <t>grid node -- NZ32-220</t>
  </si>
  <si>
    <t>e_NZ33-220</t>
  </si>
  <si>
    <t>grid node -- NZ33-220</t>
  </si>
  <si>
    <t>e_NZ34-220</t>
  </si>
  <si>
    <t>grid node -- NZ34-220</t>
  </si>
  <si>
    <t>e_NZ35-220</t>
  </si>
  <si>
    <t>grid node -- NZ35-220</t>
  </si>
  <si>
    <t>e_NZ36-220</t>
  </si>
  <si>
    <t>grid node -- NZ36-220</t>
  </si>
  <si>
    <t>e_NZ37-220</t>
  </si>
  <si>
    <t>grid node -- NZ37-220</t>
  </si>
  <si>
    <t>e_NZ38-220</t>
  </si>
  <si>
    <t>grid node -- NZ38-220</t>
  </si>
  <si>
    <t>e_NZ39-220</t>
  </si>
  <si>
    <t>grid node -- NZ39-220</t>
  </si>
  <si>
    <t>e_NZ4-220</t>
  </si>
  <si>
    <t>grid node -- NZ4-220</t>
  </si>
  <si>
    <t>e_NZ40-220</t>
  </si>
  <si>
    <t>grid node -- NZ40-220</t>
  </si>
  <si>
    <t>e_NZ41-220</t>
  </si>
  <si>
    <t>grid node -- NZ41-220</t>
  </si>
  <si>
    <t>e_NZ42-220</t>
  </si>
  <si>
    <t>grid node -- NZ42-220</t>
  </si>
  <si>
    <t>e_NZ43-220</t>
  </si>
  <si>
    <t>grid node -- NZ43-220</t>
  </si>
  <si>
    <t>e_NZ5-220</t>
  </si>
  <si>
    <t>grid node -- NZ5-220</t>
  </si>
  <si>
    <t>e_NZ6-220</t>
  </si>
  <si>
    <t>grid node -- NZ6-220</t>
  </si>
  <si>
    <t>e_NZ7-220</t>
  </si>
  <si>
    <t>grid node -- NZ7-220</t>
  </si>
  <si>
    <t>e_NZ8-220</t>
  </si>
  <si>
    <t>grid node -- NZ8-220</t>
  </si>
  <si>
    <t>e_NZ9-220</t>
  </si>
  <si>
    <t>grid node -- NZ9-220</t>
  </si>
  <si>
    <t>e_r17609399-220</t>
  </si>
  <si>
    <t>grid node -- relation/17609399-220</t>
  </si>
  <si>
    <t>e_w100957314-220</t>
  </si>
  <si>
    <t>grid node -- way/100957314-220</t>
  </si>
  <si>
    <t>e_w1018655038-220</t>
  </si>
  <si>
    <t>grid node -- way/1018655038-220</t>
  </si>
  <si>
    <t>e_w1026587442-220</t>
  </si>
  <si>
    <t>grid node -- way/1026587442-220</t>
  </si>
  <si>
    <t>e_w1034927052-220</t>
  </si>
  <si>
    <t>grid node -- way/1034927052-220</t>
  </si>
  <si>
    <t>e_w1099619174-220</t>
  </si>
  <si>
    <t>grid node -- way/1099619174-220</t>
  </si>
  <si>
    <t>e_w1167708390-220</t>
  </si>
  <si>
    <t>grid node -- way/1167708390-220</t>
  </si>
  <si>
    <t>e_w119877500-220</t>
  </si>
  <si>
    <t>grid node -- way/119877500-220</t>
  </si>
  <si>
    <t>e_w1363994055-220</t>
  </si>
  <si>
    <t>grid node -- way/1363994055-220</t>
  </si>
  <si>
    <t>e_w148300699-220</t>
  </si>
  <si>
    <t>grid node -- way/148300699-220</t>
  </si>
  <si>
    <t>e_w156094589-220</t>
  </si>
  <si>
    <t>grid node -- way/156094589-220</t>
  </si>
  <si>
    <t>e_w161270797-220</t>
  </si>
  <si>
    <t>grid node -- way/161270797-220</t>
  </si>
  <si>
    <t>e_w167177413-220</t>
  </si>
  <si>
    <t>grid node -- way/167177413-220</t>
  </si>
  <si>
    <t>e_w167283894-220</t>
  </si>
  <si>
    <t>grid node -- way/167283894-220</t>
  </si>
  <si>
    <t>e_w167285260-220</t>
  </si>
  <si>
    <t>grid node -- way/167285260-220</t>
  </si>
  <si>
    <t>e_w167285336-220</t>
  </si>
  <si>
    <t>grid node -- way/167285336-220</t>
  </si>
  <si>
    <t>e_w167286837-220</t>
  </si>
  <si>
    <t>grid node -- way/167286837-220</t>
  </si>
  <si>
    <t>e_w167293888-220</t>
  </si>
  <si>
    <t>grid node -- way/167293888-220</t>
  </si>
  <si>
    <t>e_w167300914-220</t>
  </si>
  <si>
    <t>grid node -- way/167300914-220</t>
  </si>
  <si>
    <t>e_w167427251-220</t>
  </si>
  <si>
    <t>grid node -- way/167427251-220</t>
  </si>
  <si>
    <t>e_w167572576-220</t>
  </si>
  <si>
    <t>grid node -- way/167572576-220</t>
  </si>
  <si>
    <t>e_w167705537-220</t>
  </si>
  <si>
    <t>grid node -- way/167705537-220</t>
  </si>
  <si>
    <t>e_w169512273-220</t>
  </si>
  <si>
    <t>grid node -- way/169512273-220</t>
  </si>
  <si>
    <t>e_w170300247-220</t>
  </si>
  <si>
    <t>grid node -- way/170300247-220</t>
  </si>
  <si>
    <t>e_w180514007-220</t>
  </si>
  <si>
    <t>grid node -- way/180514007-220</t>
  </si>
  <si>
    <t>e_w180519027-220</t>
  </si>
  <si>
    <t>grid node -- way/180519027-220</t>
  </si>
  <si>
    <t>e_w187858674-220</t>
  </si>
  <si>
    <t>grid node -- way/187858674-220</t>
  </si>
  <si>
    <t>e_w188180344-220</t>
  </si>
  <si>
    <t>grid node -- way/188180344-220</t>
  </si>
  <si>
    <t>e_w191346761-220</t>
  </si>
  <si>
    <t>grid node -- way/191346761-220</t>
  </si>
  <si>
    <t>e_w232382576-220</t>
  </si>
  <si>
    <t>grid node -- way/232382576-220</t>
  </si>
  <si>
    <t>e_w235066414-220</t>
  </si>
  <si>
    <t>grid node -- way/235066414-220</t>
  </si>
  <si>
    <t>e_w255873374-220</t>
  </si>
  <si>
    <t>grid node -- way/255873374-220</t>
  </si>
  <si>
    <t>e_w26671244-220</t>
  </si>
  <si>
    <t>grid node -- way/26671244-220</t>
  </si>
  <si>
    <t>e_w268826084-220</t>
  </si>
  <si>
    <t>grid node -- way/268826084-220</t>
  </si>
  <si>
    <t>e_w268841395-220</t>
  </si>
  <si>
    <t>grid node -- way/268841395-220</t>
  </si>
  <si>
    <t>e_w270012796-220</t>
  </si>
  <si>
    <t>grid node -- way/270012796-220</t>
  </si>
  <si>
    <t>e_w270018358-220</t>
  </si>
  <si>
    <t>grid node -- way/270018358-220</t>
  </si>
  <si>
    <t>e_w270022030-220</t>
  </si>
  <si>
    <t>grid node -- way/270022030-220</t>
  </si>
  <si>
    <t>e_w270521928-220</t>
  </si>
  <si>
    <t>grid node -- way/270521928-220</t>
  </si>
  <si>
    <t>e_w270554679-220</t>
  </si>
  <si>
    <t>grid node -- way/270554679-220</t>
  </si>
  <si>
    <t>e_w270556206-220</t>
  </si>
  <si>
    <t>grid node -- way/270556206-220</t>
  </si>
  <si>
    <t>e_w272195826-220</t>
  </si>
  <si>
    <t>grid node -- way/272195826-220</t>
  </si>
  <si>
    <t>e_w272522517-220</t>
  </si>
  <si>
    <t>grid node -- way/272522517-220</t>
  </si>
  <si>
    <t>e_w275188676-220</t>
  </si>
  <si>
    <t>grid node -- way/275188676-220</t>
  </si>
  <si>
    <t>e_w33795353-220</t>
  </si>
  <si>
    <t>grid node -- way/33795353-220</t>
  </si>
  <si>
    <t>e_w341099346-220</t>
  </si>
  <si>
    <t>grid node -- way/341099346-220</t>
  </si>
  <si>
    <t>e_w359449581-220</t>
  </si>
  <si>
    <t>grid node -- way/359449581-220</t>
  </si>
  <si>
    <t>e_w409049317-220</t>
  </si>
  <si>
    <t>grid node -- way/409049317-220</t>
  </si>
  <si>
    <t>e_w412588974-220</t>
  </si>
  <si>
    <t>grid node -- way/412588974-220</t>
  </si>
  <si>
    <t>e_w412589726-220</t>
  </si>
  <si>
    <t>grid node -- way/412589726-220</t>
  </si>
  <si>
    <t>e_w414953388-220</t>
  </si>
  <si>
    <t>grid node -- way/414953388-220</t>
  </si>
  <si>
    <t>e_w61455399-220</t>
  </si>
  <si>
    <t>grid node -- way/61455399-220</t>
  </si>
  <si>
    <t>e_w61853727-220</t>
  </si>
  <si>
    <t>grid node -- way/61853727-220</t>
  </si>
  <si>
    <t>e_w627162826-220</t>
  </si>
  <si>
    <t>grid node -- way/627162826-220</t>
  </si>
  <si>
    <t>e_w75609279-220</t>
  </si>
  <si>
    <t>grid node -- way/75609279-220</t>
  </si>
  <si>
    <t>e_w82881422-220</t>
  </si>
  <si>
    <t>grid node -- way/82881422-220</t>
  </si>
  <si>
    <t>e_w849110529-220</t>
  </si>
  <si>
    <t>grid node -- way/849110529-220</t>
  </si>
  <si>
    <t>e_w87837416-220</t>
  </si>
  <si>
    <t>grid node -- way/87837416-220</t>
  </si>
  <si>
    <t>e_w87897292-220</t>
  </si>
  <si>
    <t>grid node -- way/87897292-220</t>
  </si>
  <si>
    <t>e_w87928925-220</t>
  </si>
  <si>
    <t>grid node -- way/87928925-220</t>
  </si>
  <si>
    <t>e_w89411122-220</t>
  </si>
  <si>
    <t>grid node -- way/89411122-220</t>
  </si>
  <si>
    <t>e_w89635947-220</t>
  </si>
  <si>
    <t>grid node -- way/89635947-220</t>
  </si>
  <si>
    <t>e_w89636266-220</t>
  </si>
  <si>
    <t>grid node -- way/89636266-220</t>
  </si>
  <si>
    <t>e_w89636510-220</t>
  </si>
  <si>
    <t>grid node -- way/89636510-220</t>
  </si>
  <si>
    <t>e_w89637173-220</t>
  </si>
  <si>
    <t>grid node -- way/89637173-220</t>
  </si>
  <si>
    <t>e_w89637174-220</t>
  </si>
  <si>
    <t>grid node -- way/89637174-220</t>
  </si>
  <si>
    <t>e_w89637277-220</t>
  </si>
  <si>
    <t>grid node -- way/89637277-220</t>
  </si>
  <si>
    <t>e_w89664063-220</t>
  </si>
  <si>
    <t>grid node -- way/89664063-220</t>
  </si>
  <si>
    <t>e_w89943957-220</t>
  </si>
  <si>
    <t>grid node -- way/89943957-220</t>
  </si>
  <si>
    <t>e_w90092620-220</t>
  </si>
  <si>
    <t>grid node -- way/90092620-220</t>
  </si>
  <si>
    <t>e_w90098853-220</t>
  </si>
  <si>
    <t>grid node -- way/90098853-220</t>
  </si>
  <si>
    <t>e_w907631032-220</t>
  </si>
  <si>
    <t>grid node -- way/907631032-220</t>
  </si>
  <si>
    <t>e_w93419960-220</t>
  </si>
  <si>
    <t>grid node -- way/93419960-220</t>
  </si>
  <si>
    <t>e_w93556808-220</t>
  </si>
  <si>
    <t>grid node -- way/93556808-220</t>
  </si>
  <si>
    <t>e_w93713118-220</t>
  </si>
  <si>
    <t>grid node -- way/93713118-220</t>
  </si>
  <si>
    <t>e_w93827784-220</t>
  </si>
  <si>
    <t>grid node -- way/93827784-220</t>
  </si>
  <si>
    <t>e_w94053861-220</t>
  </si>
  <si>
    <t>grid node -- way/94053861-220</t>
  </si>
  <si>
    <t>e_w94840399-220</t>
  </si>
  <si>
    <t>grid node -- way/94840399-220</t>
  </si>
  <si>
    <t>e_w95046918-220</t>
  </si>
  <si>
    <t>grid node -- way/95046918-220</t>
  </si>
  <si>
    <t>e_w95048289-220</t>
  </si>
  <si>
    <t>grid node -- way/95048289-220</t>
  </si>
  <si>
    <t>e_w95343089-220</t>
  </si>
  <si>
    <t>grid node -- way/95343089-220</t>
  </si>
  <si>
    <t>e_w95344674-220</t>
  </si>
  <si>
    <t>grid node -- way/95344674-220</t>
  </si>
  <si>
    <t>e_w95512216-220</t>
  </si>
  <si>
    <t>grid node -- way/95512216-220</t>
  </si>
  <si>
    <t>NI</t>
  </si>
  <si>
    <t>SI</t>
  </si>
  <si>
    <t>Unit</t>
  </si>
  <si>
    <t>AGRELC</t>
  </si>
  <si>
    <t>DAYNITE</t>
  </si>
  <si>
    <t>BATNRG</t>
  </si>
  <si>
    <t>COMELC</t>
  </si>
  <si>
    <t>INDELC</t>
  </si>
  <si>
    <t>RESELC</t>
  </si>
  <si>
    <t>*</t>
  </si>
  <si>
    <t>PhaseII</t>
  </si>
  <si>
    <t>Phase1</t>
  </si>
  <si>
    <t>year2</t>
  </si>
  <si>
    <t>Pset_Set</t>
  </si>
  <si>
    <t>UP,LO</t>
  </si>
  <si>
    <t>ACT_BND</t>
  </si>
  <si>
    <t>MIN,PRE,IMP,EXP,-ELE,-DMD</t>
  </si>
  <si>
    <t>Share-O</t>
  </si>
  <si>
    <t>Share-I</t>
  </si>
  <si>
    <t>DMD</t>
  </si>
  <si>
    <t>R*,C*</t>
  </si>
  <si>
    <t>MioNZDollar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</si>
</sst>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workbookViewId="0">
      <selection activeCell="C6" sqref="C6"/>
    </sheetView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35</v>
      </c>
      <c r="H4" t="s">
        <v>38</v>
      </c>
    </row>
    <row r="5" spans="2:8">
      <c r="B5" t="s">
        <v>597</v>
      </c>
      <c r="C5" t="s">
        <v>597</v>
      </c>
      <c r="F5" t="s">
        <v>36</v>
      </c>
      <c r="H5" t="s">
        <v>37</v>
      </c>
    </row>
    <row r="6" spans="2:8">
      <c r="B6" t="s">
        <v>598</v>
      </c>
      <c r="C6" t="s">
        <v>598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8"/>
  <sheetViews>
    <sheetView workbookViewId="0">
      <selection activeCell="F21" sqref="F21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  <col min="14" max="14" width="10.9296875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34</v>
      </c>
      <c r="R5" t="s">
        <v>216</v>
      </c>
    </row>
    <row r="6" spans="2:18">
      <c r="B6" t="s">
        <v>17</v>
      </c>
      <c r="C6" t="s">
        <v>208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34</v>
      </c>
      <c r="R6" t="s">
        <v>216</v>
      </c>
    </row>
    <row r="7" spans="2:18">
      <c r="B7" t="s">
        <v>17</v>
      </c>
      <c r="C7" t="s">
        <v>209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34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34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34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34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34</v>
      </c>
      <c r="R11" t="s">
        <v>216</v>
      </c>
    </row>
    <row r="12" spans="2:18">
      <c r="B12" t="s">
        <v>17</v>
      </c>
      <c r="C12" t="s">
        <v>210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34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34</v>
      </c>
      <c r="R13" t="s">
        <v>216</v>
      </c>
    </row>
    <row r="14" spans="2:18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34</v>
      </c>
      <c r="R14" t="s">
        <v>216</v>
      </c>
    </row>
    <row r="15" spans="2:18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34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34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34</v>
      </c>
      <c r="R16" t="s">
        <v>216</v>
      </c>
    </row>
    <row r="17" spans="2:18">
      <c r="B17" t="s">
        <v>606</v>
      </c>
      <c r="C17" t="s">
        <v>202</v>
      </c>
      <c r="D17" t="s">
        <v>203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34</v>
      </c>
      <c r="R17" t="s">
        <v>216</v>
      </c>
    </row>
    <row r="18" spans="2:18">
      <c r="B18" t="s">
        <v>606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34</v>
      </c>
      <c r="R18" t="s">
        <v>216</v>
      </c>
    </row>
    <row r="19" spans="2:18">
      <c r="B19" t="s">
        <v>606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34</v>
      </c>
      <c r="R19" t="s">
        <v>216</v>
      </c>
    </row>
    <row r="20" spans="2:18">
      <c r="B20" t="s">
        <v>606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34</v>
      </c>
      <c r="R20" t="s">
        <v>216</v>
      </c>
    </row>
    <row r="21" spans="2:18">
      <c r="B21" t="s">
        <v>17</v>
      </c>
      <c r="C21" t="s">
        <v>196</v>
      </c>
      <c r="D21" t="s">
        <v>197</v>
      </c>
      <c r="E21" t="s">
        <v>18</v>
      </c>
      <c r="F21" t="s">
        <v>34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34</v>
      </c>
      <c r="R21" t="s">
        <v>216</v>
      </c>
    </row>
    <row r="22" spans="2:18">
      <c r="B22" t="s">
        <v>192</v>
      </c>
      <c r="C22" t="s">
        <v>193</v>
      </c>
      <c r="D22" t="s">
        <v>194</v>
      </c>
      <c r="E22" t="s">
        <v>195</v>
      </c>
      <c r="M22" t="s">
        <v>17</v>
      </c>
      <c r="N22" t="s">
        <v>249</v>
      </c>
      <c r="O22" t="s">
        <v>250</v>
      </c>
      <c r="P22" t="s">
        <v>25</v>
      </c>
      <c r="Q22" t="s">
        <v>34</v>
      </c>
      <c r="R22" t="s">
        <v>216</v>
      </c>
    </row>
    <row r="23" spans="2:18">
      <c r="B23" t="s">
        <v>192</v>
      </c>
      <c r="C23" t="s">
        <v>199</v>
      </c>
      <c r="E23" t="s">
        <v>195</v>
      </c>
      <c r="M23" t="s">
        <v>17</v>
      </c>
      <c r="N23" t="s">
        <v>251</v>
      </c>
      <c r="O23" t="s">
        <v>252</v>
      </c>
      <c r="P23" t="s">
        <v>25</v>
      </c>
      <c r="Q23" t="s">
        <v>34</v>
      </c>
      <c r="R23" t="s">
        <v>216</v>
      </c>
    </row>
    <row r="24" spans="2:18">
      <c r="B24" t="s">
        <v>192</v>
      </c>
      <c r="C24" t="s">
        <v>200</v>
      </c>
      <c r="E24" t="s">
        <v>195</v>
      </c>
      <c r="M24" t="s">
        <v>17</v>
      </c>
      <c r="N24" t="s">
        <v>253</v>
      </c>
      <c r="O24" t="s">
        <v>254</v>
      </c>
      <c r="P24" t="s">
        <v>25</v>
      </c>
      <c r="Q24" t="s">
        <v>34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34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34</v>
      </c>
      <c r="R26" t="s">
        <v>216</v>
      </c>
    </row>
    <row r="27" spans="2:18" ht="17.649999999999999" thickBot="1">
      <c r="B27" s="3" t="s">
        <v>8</v>
      </c>
      <c r="C27" s="2"/>
      <c r="D27" s="2"/>
      <c r="M27" t="s">
        <v>17</v>
      </c>
      <c r="N27" t="s">
        <v>259</v>
      </c>
      <c r="O27" t="s">
        <v>260</v>
      </c>
      <c r="P27" t="s">
        <v>25</v>
      </c>
      <c r="Q27" t="s">
        <v>34</v>
      </c>
      <c r="R27" t="s">
        <v>216</v>
      </c>
    </row>
    <row r="28" spans="2:18" ht="15" thickTop="1" thickBot="1">
      <c r="B28" s="5" t="s">
        <v>9</v>
      </c>
      <c r="C28" s="5" t="s">
        <v>10</v>
      </c>
      <c r="D28" s="5" t="s">
        <v>11</v>
      </c>
      <c r="E28" s="5" t="s">
        <v>599</v>
      </c>
      <c r="F28" s="5" t="s">
        <v>44</v>
      </c>
      <c r="G28" s="5" t="s">
        <v>15</v>
      </c>
      <c r="H28" s="5" t="s">
        <v>13</v>
      </c>
      <c r="M28" t="s">
        <v>17</v>
      </c>
      <c r="N28" t="s">
        <v>261</v>
      </c>
      <c r="O28" t="s">
        <v>262</v>
      </c>
      <c r="P28" t="s">
        <v>25</v>
      </c>
      <c r="Q28" t="s">
        <v>34</v>
      </c>
      <c r="R28" t="s">
        <v>216</v>
      </c>
    </row>
    <row r="29" spans="2:18">
      <c r="B29" t="s">
        <v>17</v>
      </c>
      <c r="C29" t="s">
        <v>600</v>
      </c>
      <c r="E29" t="s">
        <v>84</v>
      </c>
      <c r="F29" t="s">
        <v>25</v>
      </c>
      <c r="H29" t="s">
        <v>601</v>
      </c>
      <c r="M29" t="s">
        <v>17</v>
      </c>
      <c r="N29" t="s">
        <v>263</v>
      </c>
      <c r="O29" t="s">
        <v>264</v>
      </c>
      <c r="P29" t="s">
        <v>25</v>
      </c>
      <c r="Q29" t="s">
        <v>34</v>
      </c>
      <c r="R29" t="s">
        <v>216</v>
      </c>
    </row>
    <row r="30" spans="2:18">
      <c r="B30" t="s">
        <v>192</v>
      </c>
      <c r="C30" t="s">
        <v>602</v>
      </c>
      <c r="E30" t="s">
        <v>84</v>
      </c>
      <c r="G30" t="s">
        <v>37</v>
      </c>
      <c r="H30" t="s">
        <v>601</v>
      </c>
      <c r="M30" t="s">
        <v>17</v>
      </c>
      <c r="N30" t="s">
        <v>265</v>
      </c>
      <c r="O30" t="s">
        <v>266</v>
      </c>
      <c r="P30" t="s">
        <v>25</v>
      </c>
      <c r="Q30" t="s">
        <v>34</v>
      </c>
      <c r="R30" t="s">
        <v>216</v>
      </c>
    </row>
    <row r="31" spans="2:18">
      <c r="B31" t="s">
        <v>17</v>
      </c>
      <c r="C31" t="s">
        <v>603</v>
      </c>
      <c r="E31" t="s">
        <v>84</v>
      </c>
      <c r="F31" t="s">
        <v>25</v>
      </c>
      <c r="H31" t="s">
        <v>601</v>
      </c>
      <c r="M31" t="s">
        <v>17</v>
      </c>
      <c r="N31" t="s">
        <v>267</v>
      </c>
      <c r="O31" t="s">
        <v>268</v>
      </c>
      <c r="P31" t="s">
        <v>25</v>
      </c>
      <c r="Q31" t="s">
        <v>34</v>
      </c>
      <c r="R31" t="s">
        <v>216</v>
      </c>
    </row>
    <row r="32" spans="2:18">
      <c r="B32" t="s">
        <v>17</v>
      </c>
      <c r="C32" t="s">
        <v>604</v>
      </c>
      <c r="E32" t="s">
        <v>84</v>
      </c>
      <c r="F32" t="s">
        <v>25</v>
      </c>
      <c r="H32" t="s">
        <v>601</v>
      </c>
      <c r="M32" t="s">
        <v>17</v>
      </c>
      <c r="N32" t="s">
        <v>269</v>
      </c>
      <c r="O32" t="s">
        <v>270</v>
      </c>
      <c r="P32" t="s">
        <v>25</v>
      </c>
      <c r="Q32" t="s">
        <v>34</v>
      </c>
      <c r="R32" t="s">
        <v>216</v>
      </c>
    </row>
    <row r="33" spans="2:18">
      <c r="B33" t="s">
        <v>17</v>
      </c>
      <c r="C33" t="s">
        <v>605</v>
      </c>
      <c r="E33" t="s">
        <v>84</v>
      </c>
      <c r="F33" t="s">
        <v>25</v>
      </c>
      <c r="H33" t="s">
        <v>601</v>
      </c>
      <c r="M33" t="s">
        <v>17</v>
      </c>
      <c r="N33" t="s">
        <v>271</v>
      </c>
      <c r="O33" t="s">
        <v>272</v>
      </c>
      <c r="P33" t="s">
        <v>25</v>
      </c>
      <c r="Q33" t="s">
        <v>34</v>
      </c>
      <c r="R33" t="s">
        <v>216</v>
      </c>
    </row>
    <row r="34" spans="2:18">
      <c r="M34" t="s">
        <v>17</v>
      </c>
      <c r="N34" t="s">
        <v>273</v>
      </c>
      <c r="O34" t="s">
        <v>274</v>
      </c>
      <c r="P34" t="s">
        <v>25</v>
      </c>
      <c r="Q34" t="s">
        <v>34</v>
      </c>
      <c r="R34" t="s">
        <v>216</v>
      </c>
    </row>
    <row r="35" spans="2:18">
      <c r="M35" t="s">
        <v>17</v>
      </c>
      <c r="N35" t="s">
        <v>275</v>
      </c>
      <c r="O35" t="s">
        <v>276</v>
      </c>
      <c r="P35" t="s">
        <v>25</v>
      </c>
      <c r="Q35" t="s">
        <v>34</v>
      </c>
      <c r="R35" t="s">
        <v>216</v>
      </c>
    </row>
    <row r="36" spans="2:18">
      <c r="M36" t="s">
        <v>17</v>
      </c>
      <c r="N36" t="s">
        <v>277</v>
      </c>
      <c r="O36" t="s">
        <v>278</v>
      </c>
      <c r="P36" t="s">
        <v>25</v>
      </c>
      <c r="Q36" t="s">
        <v>34</v>
      </c>
      <c r="R36" t="s">
        <v>216</v>
      </c>
    </row>
    <row r="37" spans="2:18">
      <c r="M37" t="s">
        <v>17</v>
      </c>
      <c r="N37" t="s">
        <v>279</v>
      </c>
      <c r="O37" t="s">
        <v>280</v>
      </c>
      <c r="P37" t="s">
        <v>25</v>
      </c>
      <c r="Q37" t="s">
        <v>34</v>
      </c>
      <c r="R37" t="s">
        <v>216</v>
      </c>
    </row>
    <row r="38" spans="2:18">
      <c r="M38" t="s">
        <v>17</v>
      </c>
      <c r="N38" t="s">
        <v>281</v>
      </c>
      <c r="O38" t="s">
        <v>282</v>
      </c>
      <c r="P38" t="s">
        <v>25</v>
      </c>
      <c r="Q38" t="s">
        <v>34</v>
      </c>
      <c r="R38" t="s">
        <v>216</v>
      </c>
    </row>
    <row r="39" spans="2:18">
      <c r="M39" t="s">
        <v>17</v>
      </c>
      <c r="N39" t="s">
        <v>283</v>
      </c>
      <c r="O39" t="s">
        <v>284</v>
      </c>
      <c r="P39" t="s">
        <v>25</v>
      </c>
      <c r="Q39" t="s">
        <v>34</v>
      </c>
      <c r="R39" t="s">
        <v>216</v>
      </c>
    </row>
    <row r="40" spans="2:18">
      <c r="M40" t="s">
        <v>17</v>
      </c>
      <c r="N40" t="s">
        <v>285</v>
      </c>
      <c r="O40" t="s">
        <v>286</v>
      </c>
      <c r="P40" t="s">
        <v>25</v>
      </c>
      <c r="Q40" t="s">
        <v>34</v>
      </c>
      <c r="R40" t="s">
        <v>216</v>
      </c>
    </row>
    <row r="41" spans="2:18">
      <c r="M41" t="s">
        <v>17</v>
      </c>
      <c r="N41" t="s">
        <v>287</v>
      </c>
      <c r="O41" t="s">
        <v>288</v>
      </c>
      <c r="P41" t="s">
        <v>25</v>
      </c>
      <c r="Q41" t="s">
        <v>34</v>
      </c>
      <c r="R41" t="s">
        <v>216</v>
      </c>
    </row>
    <row r="42" spans="2:18">
      <c r="M42" t="s">
        <v>17</v>
      </c>
      <c r="N42" t="s">
        <v>289</v>
      </c>
      <c r="O42" t="s">
        <v>290</v>
      </c>
      <c r="P42" t="s">
        <v>25</v>
      </c>
      <c r="Q42" t="s">
        <v>34</v>
      </c>
      <c r="R42" t="s">
        <v>216</v>
      </c>
    </row>
    <row r="43" spans="2:18">
      <c r="M43" t="s">
        <v>17</v>
      </c>
      <c r="N43" t="s">
        <v>291</v>
      </c>
      <c r="O43" t="s">
        <v>292</v>
      </c>
      <c r="P43" t="s">
        <v>25</v>
      </c>
      <c r="Q43" t="s">
        <v>34</v>
      </c>
      <c r="R43" t="s">
        <v>216</v>
      </c>
    </row>
    <row r="44" spans="2:18">
      <c r="M44" t="s">
        <v>17</v>
      </c>
      <c r="N44" t="s">
        <v>293</v>
      </c>
      <c r="O44" t="s">
        <v>294</v>
      </c>
      <c r="P44" t="s">
        <v>25</v>
      </c>
      <c r="Q44" t="s">
        <v>34</v>
      </c>
      <c r="R44" t="s">
        <v>216</v>
      </c>
    </row>
    <row r="45" spans="2:18">
      <c r="M45" t="s">
        <v>17</v>
      </c>
      <c r="N45" t="s">
        <v>295</v>
      </c>
      <c r="O45" t="s">
        <v>296</v>
      </c>
      <c r="P45" t="s">
        <v>25</v>
      </c>
      <c r="Q45" t="s">
        <v>34</v>
      </c>
      <c r="R45" t="s">
        <v>216</v>
      </c>
    </row>
    <row r="46" spans="2:18">
      <c r="M46" t="s">
        <v>17</v>
      </c>
      <c r="N46" t="s">
        <v>297</v>
      </c>
      <c r="O46" t="s">
        <v>298</v>
      </c>
      <c r="P46" t="s">
        <v>25</v>
      </c>
      <c r="Q46" t="s">
        <v>34</v>
      </c>
      <c r="R46" t="s">
        <v>216</v>
      </c>
    </row>
    <row r="47" spans="2:18">
      <c r="M47" t="s">
        <v>17</v>
      </c>
      <c r="N47" t="s">
        <v>299</v>
      </c>
      <c r="O47" t="s">
        <v>300</v>
      </c>
      <c r="P47" t="s">
        <v>25</v>
      </c>
      <c r="Q47" t="s">
        <v>34</v>
      </c>
      <c r="R47" t="s">
        <v>216</v>
      </c>
    </row>
    <row r="48" spans="2:18">
      <c r="M48" t="s">
        <v>17</v>
      </c>
      <c r="N48" t="s">
        <v>301</v>
      </c>
      <c r="O48" t="s">
        <v>302</v>
      </c>
      <c r="P48" t="s">
        <v>25</v>
      </c>
      <c r="Q48" t="s">
        <v>34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34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34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34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34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34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34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34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34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34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34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34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34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34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34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34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34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34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34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34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34</v>
      </c>
      <c r="R68" t="s">
        <v>216</v>
      </c>
    </row>
  </sheetData>
  <sortState xmlns:xlrd2="http://schemas.microsoft.com/office/spreadsheetml/2017/richdata2" ref="C8:C315">
    <sortCondition ref="C19:C3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L41"/>
  <sheetViews>
    <sheetView tabSelected="1" workbookViewId="0">
      <selection activeCell="I13" sqref="I13"/>
    </sheetView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8" width="11.3984375" style="6"/>
    <col min="9" max="9" width="9.796875" style="6" bestFit="1" customWidth="1"/>
    <col min="10" max="16384" width="11.3984375" style="6"/>
  </cols>
  <sheetData>
    <row r="3" spans="2:12">
      <c r="B3" s="6" t="s">
        <v>39</v>
      </c>
    </row>
    <row r="4" spans="2:12">
      <c r="B4" s="6">
        <v>2018</v>
      </c>
    </row>
    <row r="7" spans="2:12">
      <c r="B7" s="6" t="s">
        <v>40</v>
      </c>
    </row>
    <row r="8" spans="2:12">
      <c r="B8" s="6" t="s">
        <v>41</v>
      </c>
    </row>
    <row r="11" spans="2:12">
      <c r="B11" s="6" t="s">
        <v>42</v>
      </c>
      <c r="D11" s="6" t="s">
        <v>43</v>
      </c>
      <c r="K11" s="6" t="s">
        <v>42</v>
      </c>
    </row>
    <row r="12" spans="2:12" ht="14.25">
      <c r="B12" s="7" t="s">
        <v>41</v>
      </c>
      <c r="D12" s="8" t="s">
        <v>44</v>
      </c>
      <c r="E12" s="8" t="str">
        <f>"msy"&amp;COUNT(E14:E46)&amp;"_"&amp;MAX(E14:E46)</f>
        <v>msy7_2046</v>
      </c>
      <c r="F12" s="8" t="str">
        <f t="shared" ref="F12:G12" si="0">"msy"&amp;COUNT(F14:F45)&amp;"_"&amp;MAX(F14:F45)</f>
        <v>msy13_2050</v>
      </c>
      <c r="G12" s="8" t="str">
        <f t="shared" si="0"/>
        <v>msy20_2050</v>
      </c>
      <c r="H12" s="8" t="str">
        <f t="shared" ref="H12:I12" si="1">"msy"&amp;COUNT(H14:H45)&amp;"_"&amp;MAX(H14:H45)</f>
        <v>msy28_2050</v>
      </c>
      <c r="I12" s="8" t="str">
        <f t="shared" si="1"/>
        <v>msy7_2030</v>
      </c>
      <c r="K12" s="6" t="s">
        <v>608</v>
      </c>
      <c r="L12" s="6" t="s">
        <v>607</v>
      </c>
    </row>
    <row r="13" spans="2:12" ht="14.25">
      <c r="B13" s="9">
        <v>1</v>
      </c>
      <c r="D13" s="6" t="s">
        <v>45</v>
      </c>
      <c r="K13" s="6">
        <v>1</v>
      </c>
      <c r="L13" s="6">
        <v>1</v>
      </c>
    </row>
    <row r="14" spans="2:12" ht="14.25">
      <c r="B14" s="9">
        <v>5</v>
      </c>
      <c r="D14" s="6" t="s">
        <v>46</v>
      </c>
      <c r="E14" s="6">
        <f t="shared" ref="E14:I14" si="2">$B$4</f>
        <v>2018</v>
      </c>
      <c r="F14" s="6">
        <f t="shared" si="2"/>
        <v>2018</v>
      </c>
      <c r="G14" s="6">
        <f t="shared" si="2"/>
        <v>2018</v>
      </c>
      <c r="H14" s="6">
        <f t="shared" si="2"/>
        <v>2018</v>
      </c>
      <c r="I14" s="6">
        <f t="shared" si="2"/>
        <v>2018</v>
      </c>
      <c r="K14" s="6">
        <v>2</v>
      </c>
      <c r="L14" s="6">
        <v>4</v>
      </c>
    </row>
    <row r="15" spans="2:12" ht="14.25">
      <c r="B15" s="9">
        <v>5</v>
      </c>
      <c r="D15" s="6" t="s">
        <v>46</v>
      </c>
      <c r="E15" s="6">
        <f>E14+3</f>
        <v>2021</v>
      </c>
      <c r="F15" s="6">
        <v>2020</v>
      </c>
      <c r="G15" s="6">
        <v>2020</v>
      </c>
      <c r="H15" s="6">
        <v>2020</v>
      </c>
      <c r="I15" s="6">
        <v>2020</v>
      </c>
      <c r="K15" s="6">
        <v>5</v>
      </c>
      <c r="L15" s="6">
        <v>5</v>
      </c>
    </row>
    <row r="16" spans="2:12" ht="14.25">
      <c r="B16" s="9">
        <v>10</v>
      </c>
      <c r="D16" s="6" t="s">
        <v>46</v>
      </c>
      <c r="E16" s="6">
        <f>E15+5</f>
        <v>2026</v>
      </c>
      <c r="F16" s="6">
        <f>F15+5</f>
        <v>2025</v>
      </c>
      <c r="G16" s="6">
        <f>G15+5</f>
        <v>2025</v>
      </c>
      <c r="H16" s="6">
        <f>H15+5</f>
        <v>2025</v>
      </c>
      <c r="I16" s="6">
        <v>2022</v>
      </c>
      <c r="K16" s="6">
        <v>5</v>
      </c>
      <c r="L16" s="6">
        <v>5</v>
      </c>
    </row>
    <row r="17" spans="2:12" ht="14.25">
      <c r="B17" s="9">
        <v>10</v>
      </c>
      <c r="D17" s="6" t="s">
        <v>46</v>
      </c>
      <c r="E17" s="6">
        <f t="shared" ref="E17:E20" si="3">E16+5</f>
        <v>2031</v>
      </c>
      <c r="F17" s="6">
        <f>F16+2</f>
        <v>2027</v>
      </c>
      <c r="G17" s="6">
        <f>G16+1</f>
        <v>2026</v>
      </c>
      <c r="H17" s="6">
        <f>H16+1</f>
        <v>2026</v>
      </c>
      <c r="I17" s="6">
        <v>2024</v>
      </c>
      <c r="K17" s="6">
        <v>5</v>
      </c>
      <c r="L17" s="6">
        <v>5</v>
      </c>
    </row>
    <row r="18" spans="2:12" ht="14.25">
      <c r="B18" s="9">
        <v>10</v>
      </c>
      <c r="D18" s="6" t="s">
        <v>46</v>
      </c>
      <c r="E18" s="6">
        <f t="shared" si="3"/>
        <v>2036</v>
      </c>
      <c r="F18" s="6">
        <f>F17+3</f>
        <v>2030</v>
      </c>
      <c r="G18" s="6">
        <f t="shared" ref="G18:H26" si="4">G17+1</f>
        <v>2027</v>
      </c>
      <c r="H18" s="6">
        <f t="shared" si="4"/>
        <v>2027</v>
      </c>
      <c r="I18" s="6">
        <f t="shared" ref="I18" si="5">I17+1</f>
        <v>2025</v>
      </c>
      <c r="K18" s="6">
        <v>5</v>
      </c>
      <c r="L18" s="6">
        <v>5</v>
      </c>
    </row>
    <row r="19" spans="2:12" ht="14.25">
      <c r="B19" s="9">
        <v>10</v>
      </c>
      <c r="D19" s="6" t="s">
        <v>46</v>
      </c>
      <c r="E19" s="6">
        <f t="shared" si="3"/>
        <v>2041</v>
      </c>
      <c r="F19" s="6">
        <f>F18+2</f>
        <v>2032</v>
      </c>
      <c r="G19" s="6">
        <f t="shared" si="4"/>
        <v>2028</v>
      </c>
      <c r="H19" s="6">
        <f t="shared" si="4"/>
        <v>2028</v>
      </c>
      <c r="I19" s="6">
        <f>I18+2</f>
        <v>2027</v>
      </c>
      <c r="K19" s="6">
        <v>5</v>
      </c>
      <c r="L19" s="6">
        <v>5</v>
      </c>
    </row>
    <row r="20" spans="2:12" ht="14.25">
      <c r="B20" s="9">
        <v>10</v>
      </c>
      <c r="D20" s="6" t="s">
        <v>46</v>
      </c>
      <c r="E20" s="6">
        <f t="shared" si="3"/>
        <v>2046</v>
      </c>
      <c r="F20" s="6">
        <f>F19+3</f>
        <v>2035</v>
      </c>
      <c r="G20" s="6">
        <f t="shared" si="4"/>
        <v>2029</v>
      </c>
      <c r="H20" s="6">
        <f t="shared" si="4"/>
        <v>2029</v>
      </c>
      <c r="I20" s="6">
        <f>I19+3</f>
        <v>2030</v>
      </c>
      <c r="K20" s="6">
        <v>5</v>
      </c>
      <c r="L20" s="6">
        <v>5</v>
      </c>
    </row>
    <row r="21" spans="2:12" ht="14.25">
      <c r="B21" s="9">
        <v>10</v>
      </c>
      <c r="D21" s="6" t="s">
        <v>46</v>
      </c>
      <c r="F21" s="6">
        <f>F20+2</f>
        <v>2037</v>
      </c>
      <c r="G21" s="6">
        <f t="shared" si="4"/>
        <v>2030</v>
      </c>
      <c r="H21" s="6">
        <f t="shared" si="4"/>
        <v>2030</v>
      </c>
      <c r="K21" s="6">
        <v>5</v>
      </c>
      <c r="L21" s="6">
        <v>5</v>
      </c>
    </row>
    <row r="22" spans="2:12" ht="14.25">
      <c r="B22" s="9">
        <v>10</v>
      </c>
      <c r="D22" s="6" t="s">
        <v>46</v>
      </c>
      <c r="F22" s="6">
        <f>F21+3</f>
        <v>2040</v>
      </c>
      <c r="G22" s="6">
        <f t="shared" si="4"/>
        <v>2031</v>
      </c>
      <c r="H22" s="6">
        <f t="shared" si="4"/>
        <v>2031</v>
      </c>
      <c r="K22" s="6">
        <v>5</v>
      </c>
      <c r="L22" s="6">
        <v>5</v>
      </c>
    </row>
    <row r="23" spans="2:12" ht="14.25">
      <c r="B23" s="9">
        <v>10</v>
      </c>
      <c r="D23" s="6" t="s">
        <v>46</v>
      </c>
      <c r="F23" s="6">
        <f>F22+2</f>
        <v>2042</v>
      </c>
      <c r="G23" s="6">
        <f t="shared" si="4"/>
        <v>2032</v>
      </c>
      <c r="H23" s="6">
        <f t="shared" si="4"/>
        <v>2032</v>
      </c>
      <c r="K23" s="6">
        <v>5</v>
      </c>
    </row>
    <row r="24" spans="2:12" ht="14.25">
      <c r="B24" s="9">
        <v>10</v>
      </c>
      <c r="D24" s="6" t="s">
        <v>46</v>
      </c>
      <c r="F24" s="6">
        <f>F23+3</f>
        <v>2045</v>
      </c>
      <c r="G24" s="6">
        <f t="shared" si="4"/>
        <v>2033</v>
      </c>
      <c r="H24" s="6">
        <f t="shared" si="4"/>
        <v>2033</v>
      </c>
    </row>
    <row r="25" spans="2:12" ht="14.25">
      <c r="B25" s="9"/>
      <c r="D25" s="6" t="s">
        <v>46</v>
      </c>
      <c r="F25" s="6">
        <f>F24+2</f>
        <v>2047</v>
      </c>
      <c r="G25" s="6">
        <f t="shared" si="4"/>
        <v>2034</v>
      </c>
      <c r="H25" s="6">
        <f t="shared" si="4"/>
        <v>2034</v>
      </c>
    </row>
    <row r="26" spans="2:12" ht="14.25">
      <c r="B26" s="9"/>
      <c r="D26" s="6" t="s">
        <v>46</v>
      </c>
      <c r="F26" s="6">
        <f>F25+3</f>
        <v>2050</v>
      </c>
      <c r="G26" s="6">
        <f t="shared" si="4"/>
        <v>2035</v>
      </c>
      <c r="H26" s="6">
        <f t="shared" si="4"/>
        <v>2035</v>
      </c>
    </row>
    <row r="27" spans="2:12" ht="14.25">
      <c r="B27" s="9"/>
      <c r="D27" s="6" t="s">
        <v>46</v>
      </c>
      <c r="G27" s="6">
        <f t="shared" ref="G27:G32" si="6">G26+2</f>
        <v>2037</v>
      </c>
      <c r="H27" s="6">
        <f t="shared" ref="H27" si="7">H26+1</f>
        <v>2036</v>
      </c>
    </row>
    <row r="28" spans="2:12" ht="14.25">
      <c r="B28" s="9"/>
      <c r="D28" s="6" t="s">
        <v>46</v>
      </c>
      <c r="G28" s="6">
        <f t="shared" si="6"/>
        <v>2039</v>
      </c>
      <c r="H28" s="6">
        <f t="shared" ref="H28" si="8">H27+1</f>
        <v>2037</v>
      </c>
    </row>
    <row r="29" spans="2:12" ht="14.25">
      <c r="B29" s="9"/>
      <c r="D29" s="6" t="s">
        <v>46</v>
      </c>
      <c r="G29" s="6">
        <f t="shared" si="6"/>
        <v>2041</v>
      </c>
      <c r="H29" s="6">
        <f t="shared" ref="H29" si="9">H28+1</f>
        <v>2038</v>
      </c>
    </row>
    <row r="30" spans="2:12" ht="14.25">
      <c r="B30" s="9"/>
      <c r="D30" s="6" t="s">
        <v>46</v>
      </c>
      <c r="G30" s="6">
        <f t="shared" si="6"/>
        <v>2043</v>
      </c>
      <c r="H30" s="6">
        <f t="shared" ref="H30" si="10">H29+1</f>
        <v>2039</v>
      </c>
    </row>
    <row r="31" spans="2:12" ht="14.25">
      <c r="B31" s="9"/>
      <c r="D31" s="6" t="s">
        <v>46</v>
      </c>
      <c r="G31" s="6">
        <f t="shared" si="6"/>
        <v>2045</v>
      </c>
      <c r="H31" s="6">
        <f t="shared" ref="H31" si="11">H30+1</f>
        <v>2040</v>
      </c>
    </row>
    <row r="32" spans="2:12" ht="14.25">
      <c r="B32" s="9"/>
      <c r="D32" s="6" t="s">
        <v>46</v>
      </c>
      <c r="G32" s="6">
        <f t="shared" si="6"/>
        <v>2047</v>
      </c>
      <c r="H32" s="6">
        <f t="shared" ref="H32" si="12">H31+1</f>
        <v>2041</v>
      </c>
    </row>
    <row r="33" spans="2:8" ht="14.25">
      <c r="B33" s="9"/>
      <c r="D33" s="6" t="s">
        <v>46</v>
      </c>
      <c r="G33" s="6">
        <f>G32+3</f>
        <v>2050</v>
      </c>
      <c r="H33" s="6">
        <f t="shared" ref="H33" si="13">H32+1</f>
        <v>2042</v>
      </c>
    </row>
    <row r="34" spans="2:8">
      <c r="D34" s="6" t="s">
        <v>46</v>
      </c>
      <c r="H34" s="6">
        <f t="shared" ref="H34" si="14">H33+1</f>
        <v>2043</v>
      </c>
    </row>
    <row r="35" spans="2:8">
      <c r="D35" s="6" t="s">
        <v>46</v>
      </c>
      <c r="H35" s="6">
        <f t="shared" ref="H35" si="15">H34+1</f>
        <v>2044</v>
      </c>
    </row>
    <row r="36" spans="2:8">
      <c r="D36" s="6" t="s">
        <v>46</v>
      </c>
      <c r="H36" s="6">
        <f t="shared" ref="H36" si="16">H35+1</f>
        <v>2045</v>
      </c>
    </row>
    <row r="37" spans="2:8">
      <c r="D37" s="6" t="s">
        <v>46</v>
      </c>
      <c r="H37" s="6">
        <f t="shared" ref="H37" si="17">H36+1</f>
        <v>2046</v>
      </c>
    </row>
    <row r="38" spans="2:8">
      <c r="D38" s="6" t="s">
        <v>46</v>
      </c>
      <c r="H38" s="6">
        <f t="shared" ref="H38" si="18">H37+1</f>
        <v>2047</v>
      </c>
    </row>
    <row r="39" spans="2:8">
      <c r="D39" s="6" t="s">
        <v>46</v>
      </c>
      <c r="H39" s="6">
        <f t="shared" ref="H39" si="19">H38+1</f>
        <v>2048</v>
      </c>
    </row>
    <row r="40" spans="2:8">
      <c r="D40" s="6" t="s">
        <v>46</v>
      </c>
      <c r="H40" s="6">
        <f t="shared" ref="H40" si="20">H39+1</f>
        <v>2049</v>
      </c>
    </row>
    <row r="41" spans="2:8">
      <c r="D41" s="6" t="s">
        <v>46</v>
      </c>
      <c r="H41" s="6">
        <f t="shared" ref="H41" si="21">H40+1</f>
        <v>2050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FF0B-AA8E-42A9-91AC-027707DD955B}">
  <dimension ref="B3:H130"/>
  <sheetViews>
    <sheetView workbookViewId="0">
      <selection activeCell="B3" sqref="B3"/>
    </sheetView>
  </sheetViews>
  <sheetFormatPr defaultRowHeight="14.25"/>
  <cols>
    <col min="2" max="2" width="8.53125" bestFit="1" customWidth="1"/>
    <col min="3" max="3" width="17.46484375" bestFit="1" customWidth="1"/>
    <col min="4" max="4" width="28.265625" bestFit="1" customWidth="1"/>
    <col min="5" max="5" width="13" bestFit="1" customWidth="1"/>
    <col min="6" max="6" width="11.53125" bestFit="1" customWidth="1"/>
    <col min="7" max="7" width="6.53125" bestFit="1" customWidth="1"/>
    <col min="8" max="8" width="4.19921875" bestFit="1" customWidth="1"/>
  </cols>
  <sheetData>
    <row r="3" spans="2:8">
      <c r="B3" t="s">
        <v>343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344</v>
      </c>
      <c r="D5" t="s">
        <v>345</v>
      </c>
      <c r="E5" t="s">
        <v>25</v>
      </c>
      <c r="F5" t="s">
        <v>34</v>
      </c>
      <c r="G5" t="s">
        <v>346</v>
      </c>
      <c r="H5" t="s">
        <v>216</v>
      </c>
    </row>
    <row r="6" spans="2:8">
      <c r="B6" t="s">
        <v>17</v>
      </c>
      <c r="C6" t="s">
        <v>347</v>
      </c>
      <c r="D6" t="s">
        <v>348</v>
      </c>
      <c r="E6" t="s">
        <v>25</v>
      </c>
      <c r="F6" t="s">
        <v>34</v>
      </c>
      <c r="G6" t="s">
        <v>346</v>
      </c>
      <c r="H6" t="s">
        <v>216</v>
      </c>
    </row>
    <row r="7" spans="2:8">
      <c r="B7" t="s">
        <v>17</v>
      </c>
      <c r="C7" t="s">
        <v>349</v>
      </c>
      <c r="D7" t="s">
        <v>350</v>
      </c>
      <c r="E7" t="s">
        <v>25</v>
      </c>
      <c r="F7" t="s">
        <v>34</v>
      </c>
      <c r="G7" t="s">
        <v>346</v>
      </c>
      <c r="H7" t="s">
        <v>216</v>
      </c>
    </row>
    <row r="8" spans="2:8">
      <c r="B8" t="s">
        <v>17</v>
      </c>
      <c r="C8" t="s">
        <v>351</v>
      </c>
      <c r="D8" t="s">
        <v>352</v>
      </c>
      <c r="E8" t="s">
        <v>25</v>
      </c>
      <c r="F8" t="s">
        <v>34</v>
      </c>
      <c r="G8" t="s">
        <v>346</v>
      </c>
      <c r="H8" t="s">
        <v>216</v>
      </c>
    </row>
    <row r="9" spans="2:8">
      <c r="B9" t="s">
        <v>17</v>
      </c>
      <c r="C9" t="s">
        <v>353</v>
      </c>
      <c r="D9" t="s">
        <v>354</v>
      </c>
      <c r="E9" t="s">
        <v>25</v>
      </c>
      <c r="F9" t="s">
        <v>34</v>
      </c>
      <c r="G9" t="s">
        <v>346</v>
      </c>
      <c r="H9" t="s">
        <v>216</v>
      </c>
    </row>
    <row r="10" spans="2:8">
      <c r="B10" t="s">
        <v>17</v>
      </c>
      <c r="C10" t="s">
        <v>355</v>
      </c>
      <c r="D10" t="s">
        <v>356</v>
      </c>
      <c r="E10" t="s">
        <v>25</v>
      </c>
      <c r="F10" t="s">
        <v>34</v>
      </c>
      <c r="G10" t="s">
        <v>346</v>
      </c>
      <c r="H10" t="s">
        <v>216</v>
      </c>
    </row>
    <row r="11" spans="2:8">
      <c r="B11" t="s">
        <v>17</v>
      </c>
      <c r="C11" t="s">
        <v>357</v>
      </c>
      <c r="D11" t="s">
        <v>358</v>
      </c>
      <c r="E11" t="s">
        <v>25</v>
      </c>
      <c r="F11" t="s">
        <v>34</v>
      </c>
      <c r="G11" t="s">
        <v>346</v>
      </c>
      <c r="H11" t="s">
        <v>216</v>
      </c>
    </row>
    <row r="12" spans="2:8">
      <c r="B12" t="s">
        <v>17</v>
      </c>
      <c r="C12" t="s">
        <v>359</v>
      </c>
      <c r="D12" t="s">
        <v>360</v>
      </c>
      <c r="E12" t="s">
        <v>25</v>
      </c>
      <c r="F12" t="s">
        <v>34</v>
      </c>
      <c r="G12" t="s">
        <v>346</v>
      </c>
      <c r="H12" t="s">
        <v>216</v>
      </c>
    </row>
    <row r="13" spans="2:8">
      <c r="B13" t="s">
        <v>17</v>
      </c>
      <c r="C13" t="s">
        <v>361</v>
      </c>
      <c r="D13" t="s">
        <v>362</v>
      </c>
      <c r="E13" t="s">
        <v>25</v>
      </c>
      <c r="F13" t="s">
        <v>34</v>
      </c>
      <c r="G13" t="s">
        <v>346</v>
      </c>
      <c r="H13" t="s">
        <v>216</v>
      </c>
    </row>
    <row r="14" spans="2:8">
      <c r="B14" t="s">
        <v>17</v>
      </c>
      <c r="C14" t="s">
        <v>363</v>
      </c>
      <c r="D14" t="s">
        <v>364</v>
      </c>
      <c r="E14" t="s">
        <v>25</v>
      </c>
      <c r="F14" t="s">
        <v>34</v>
      </c>
      <c r="G14" t="s">
        <v>346</v>
      </c>
      <c r="H14" t="s">
        <v>216</v>
      </c>
    </row>
    <row r="15" spans="2:8">
      <c r="B15" t="s">
        <v>17</v>
      </c>
      <c r="C15" t="s">
        <v>365</v>
      </c>
      <c r="D15" t="s">
        <v>366</v>
      </c>
      <c r="E15" t="s">
        <v>25</v>
      </c>
      <c r="F15" t="s">
        <v>34</v>
      </c>
      <c r="G15" t="s">
        <v>346</v>
      </c>
      <c r="H15" t="s">
        <v>216</v>
      </c>
    </row>
    <row r="16" spans="2:8">
      <c r="B16" t="s">
        <v>17</v>
      </c>
      <c r="C16" t="s">
        <v>367</v>
      </c>
      <c r="D16" t="s">
        <v>368</v>
      </c>
      <c r="E16" t="s">
        <v>25</v>
      </c>
      <c r="F16" t="s">
        <v>34</v>
      </c>
      <c r="G16" t="s">
        <v>346</v>
      </c>
      <c r="H16" t="s">
        <v>216</v>
      </c>
    </row>
    <row r="17" spans="2:8">
      <c r="B17" t="s">
        <v>17</v>
      </c>
      <c r="C17" t="s">
        <v>369</v>
      </c>
      <c r="D17" t="s">
        <v>370</v>
      </c>
      <c r="E17" t="s">
        <v>25</v>
      </c>
      <c r="F17" t="s">
        <v>34</v>
      </c>
      <c r="G17" t="s">
        <v>346</v>
      </c>
      <c r="H17" t="s">
        <v>216</v>
      </c>
    </row>
    <row r="18" spans="2:8">
      <c r="B18" t="s">
        <v>17</v>
      </c>
      <c r="C18" t="s">
        <v>371</v>
      </c>
      <c r="D18" t="s">
        <v>372</v>
      </c>
      <c r="E18" t="s">
        <v>25</v>
      </c>
      <c r="F18" t="s">
        <v>34</v>
      </c>
      <c r="G18" t="s">
        <v>346</v>
      </c>
      <c r="H18" t="s">
        <v>216</v>
      </c>
    </row>
    <row r="19" spans="2:8">
      <c r="B19" t="s">
        <v>17</v>
      </c>
      <c r="C19" t="s">
        <v>373</v>
      </c>
      <c r="D19" t="s">
        <v>374</v>
      </c>
      <c r="E19" t="s">
        <v>25</v>
      </c>
      <c r="F19" t="s">
        <v>34</v>
      </c>
      <c r="G19" t="s">
        <v>346</v>
      </c>
      <c r="H19" t="s">
        <v>216</v>
      </c>
    </row>
    <row r="20" spans="2:8">
      <c r="B20" t="s">
        <v>17</v>
      </c>
      <c r="C20" t="s">
        <v>375</v>
      </c>
      <c r="D20" t="s">
        <v>376</v>
      </c>
      <c r="E20" t="s">
        <v>25</v>
      </c>
      <c r="F20" t="s">
        <v>34</v>
      </c>
      <c r="G20" t="s">
        <v>346</v>
      </c>
      <c r="H20" t="s">
        <v>216</v>
      </c>
    </row>
    <row r="21" spans="2:8">
      <c r="B21" t="s">
        <v>17</v>
      </c>
      <c r="C21" t="s">
        <v>377</v>
      </c>
      <c r="D21" t="s">
        <v>378</v>
      </c>
      <c r="E21" t="s">
        <v>25</v>
      </c>
      <c r="F21" t="s">
        <v>34</v>
      </c>
      <c r="G21" t="s">
        <v>346</v>
      </c>
      <c r="H21" t="s">
        <v>216</v>
      </c>
    </row>
    <row r="22" spans="2:8">
      <c r="B22" t="s">
        <v>17</v>
      </c>
      <c r="C22" t="s">
        <v>379</v>
      </c>
      <c r="D22" t="s">
        <v>380</v>
      </c>
      <c r="E22" t="s">
        <v>25</v>
      </c>
      <c r="F22" t="s">
        <v>34</v>
      </c>
      <c r="G22" t="s">
        <v>346</v>
      </c>
      <c r="H22" t="s">
        <v>216</v>
      </c>
    </row>
    <row r="23" spans="2:8">
      <c r="B23" t="s">
        <v>17</v>
      </c>
      <c r="C23" t="s">
        <v>381</v>
      </c>
      <c r="D23" t="s">
        <v>382</v>
      </c>
      <c r="E23" t="s">
        <v>25</v>
      </c>
      <c r="F23" t="s">
        <v>34</v>
      </c>
      <c r="G23" t="s">
        <v>346</v>
      </c>
      <c r="H23" t="s">
        <v>216</v>
      </c>
    </row>
    <row r="24" spans="2:8">
      <c r="B24" t="s">
        <v>17</v>
      </c>
      <c r="C24" t="s">
        <v>383</v>
      </c>
      <c r="D24" t="s">
        <v>384</v>
      </c>
      <c r="E24" t="s">
        <v>25</v>
      </c>
      <c r="F24" t="s">
        <v>34</v>
      </c>
      <c r="G24" t="s">
        <v>346</v>
      </c>
      <c r="H24" t="s">
        <v>216</v>
      </c>
    </row>
    <row r="25" spans="2:8">
      <c r="B25" t="s">
        <v>17</v>
      </c>
      <c r="C25" t="s">
        <v>385</v>
      </c>
      <c r="D25" t="s">
        <v>386</v>
      </c>
      <c r="E25" t="s">
        <v>25</v>
      </c>
      <c r="F25" t="s">
        <v>34</v>
      </c>
      <c r="G25" t="s">
        <v>346</v>
      </c>
      <c r="H25" t="s">
        <v>216</v>
      </c>
    </row>
    <row r="26" spans="2:8">
      <c r="B26" t="s">
        <v>17</v>
      </c>
      <c r="C26" t="s">
        <v>387</v>
      </c>
      <c r="D26" t="s">
        <v>388</v>
      </c>
      <c r="E26" t="s">
        <v>25</v>
      </c>
      <c r="F26" t="s">
        <v>34</v>
      </c>
      <c r="G26" t="s">
        <v>346</v>
      </c>
      <c r="H26" t="s">
        <v>216</v>
      </c>
    </row>
    <row r="27" spans="2:8">
      <c r="B27" t="s">
        <v>17</v>
      </c>
      <c r="C27" t="s">
        <v>389</v>
      </c>
      <c r="D27" t="s">
        <v>390</v>
      </c>
      <c r="E27" t="s">
        <v>25</v>
      </c>
      <c r="F27" t="s">
        <v>34</v>
      </c>
      <c r="G27" t="s">
        <v>346</v>
      </c>
      <c r="H27" t="s">
        <v>216</v>
      </c>
    </row>
    <row r="28" spans="2:8">
      <c r="B28" t="s">
        <v>17</v>
      </c>
      <c r="C28" t="s">
        <v>391</v>
      </c>
      <c r="D28" t="s">
        <v>392</v>
      </c>
      <c r="E28" t="s">
        <v>25</v>
      </c>
      <c r="F28" t="s">
        <v>34</v>
      </c>
      <c r="G28" t="s">
        <v>346</v>
      </c>
      <c r="H28" t="s">
        <v>216</v>
      </c>
    </row>
    <row r="29" spans="2:8">
      <c r="B29" t="s">
        <v>17</v>
      </c>
      <c r="C29" t="s">
        <v>393</v>
      </c>
      <c r="D29" t="s">
        <v>394</v>
      </c>
      <c r="E29" t="s">
        <v>25</v>
      </c>
      <c r="F29" t="s">
        <v>34</v>
      </c>
      <c r="G29" t="s">
        <v>346</v>
      </c>
      <c r="H29" t="s">
        <v>216</v>
      </c>
    </row>
    <row r="30" spans="2:8">
      <c r="B30" t="s">
        <v>17</v>
      </c>
      <c r="C30" t="s">
        <v>395</v>
      </c>
      <c r="D30" t="s">
        <v>396</v>
      </c>
      <c r="E30" t="s">
        <v>25</v>
      </c>
      <c r="F30" t="s">
        <v>34</v>
      </c>
      <c r="G30" t="s">
        <v>346</v>
      </c>
      <c r="H30" t="s">
        <v>216</v>
      </c>
    </row>
    <row r="31" spans="2:8">
      <c r="B31" t="s">
        <v>17</v>
      </c>
      <c r="C31" t="s">
        <v>397</v>
      </c>
      <c r="D31" t="s">
        <v>398</v>
      </c>
      <c r="E31" t="s">
        <v>25</v>
      </c>
      <c r="F31" t="s">
        <v>34</v>
      </c>
      <c r="G31" t="s">
        <v>346</v>
      </c>
      <c r="H31" t="s">
        <v>216</v>
      </c>
    </row>
    <row r="32" spans="2:8">
      <c r="B32" t="s">
        <v>17</v>
      </c>
      <c r="C32" t="s">
        <v>399</v>
      </c>
      <c r="D32" t="s">
        <v>400</v>
      </c>
      <c r="E32" t="s">
        <v>25</v>
      </c>
      <c r="F32" t="s">
        <v>34</v>
      </c>
      <c r="G32" t="s">
        <v>346</v>
      </c>
      <c r="H32" t="s">
        <v>216</v>
      </c>
    </row>
    <row r="33" spans="2:8">
      <c r="B33" t="s">
        <v>17</v>
      </c>
      <c r="C33" t="s">
        <v>401</v>
      </c>
      <c r="D33" t="s">
        <v>402</v>
      </c>
      <c r="E33" t="s">
        <v>25</v>
      </c>
      <c r="F33" t="s">
        <v>34</v>
      </c>
      <c r="G33" t="s">
        <v>346</v>
      </c>
      <c r="H33" t="s">
        <v>216</v>
      </c>
    </row>
    <row r="34" spans="2:8">
      <c r="B34" t="s">
        <v>17</v>
      </c>
      <c r="C34" t="s">
        <v>403</v>
      </c>
      <c r="D34" t="s">
        <v>404</v>
      </c>
      <c r="E34" t="s">
        <v>25</v>
      </c>
      <c r="F34" t="s">
        <v>34</v>
      </c>
      <c r="G34" t="s">
        <v>346</v>
      </c>
      <c r="H34" t="s">
        <v>216</v>
      </c>
    </row>
    <row r="35" spans="2:8">
      <c r="B35" t="s">
        <v>17</v>
      </c>
      <c r="C35" t="s">
        <v>405</v>
      </c>
      <c r="D35" t="s">
        <v>406</v>
      </c>
      <c r="E35" t="s">
        <v>25</v>
      </c>
      <c r="F35" t="s">
        <v>34</v>
      </c>
      <c r="G35" t="s">
        <v>346</v>
      </c>
      <c r="H35" t="s">
        <v>216</v>
      </c>
    </row>
    <row r="36" spans="2:8">
      <c r="B36" t="s">
        <v>17</v>
      </c>
      <c r="C36" t="s">
        <v>407</v>
      </c>
      <c r="D36" t="s">
        <v>408</v>
      </c>
      <c r="E36" t="s">
        <v>25</v>
      </c>
      <c r="F36" t="s">
        <v>34</v>
      </c>
      <c r="G36" t="s">
        <v>346</v>
      </c>
      <c r="H36" t="s">
        <v>216</v>
      </c>
    </row>
    <row r="37" spans="2:8">
      <c r="B37" t="s">
        <v>17</v>
      </c>
      <c r="C37" t="s">
        <v>409</v>
      </c>
      <c r="D37" t="s">
        <v>410</v>
      </c>
      <c r="E37" t="s">
        <v>25</v>
      </c>
      <c r="F37" t="s">
        <v>34</v>
      </c>
      <c r="G37" t="s">
        <v>346</v>
      </c>
      <c r="H37" t="s">
        <v>216</v>
      </c>
    </row>
    <row r="38" spans="2:8">
      <c r="B38" t="s">
        <v>17</v>
      </c>
      <c r="C38" t="s">
        <v>411</v>
      </c>
      <c r="D38" t="s">
        <v>412</v>
      </c>
      <c r="E38" t="s">
        <v>25</v>
      </c>
      <c r="F38" t="s">
        <v>34</v>
      </c>
      <c r="G38" t="s">
        <v>346</v>
      </c>
      <c r="H38" t="s">
        <v>216</v>
      </c>
    </row>
    <row r="39" spans="2:8">
      <c r="B39" t="s">
        <v>17</v>
      </c>
      <c r="C39" t="s">
        <v>413</v>
      </c>
      <c r="D39" t="s">
        <v>414</v>
      </c>
      <c r="E39" t="s">
        <v>25</v>
      </c>
      <c r="F39" t="s">
        <v>34</v>
      </c>
      <c r="G39" t="s">
        <v>346</v>
      </c>
      <c r="H39" t="s">
        <v>216</v>
      </c>
    </row>
    <row r="40" spans="2:8">
      <c r="B40" t="s">
        <v>17</v>
      </c>
      <c r="C40" t="s">
        <v>415</v>
      </c>
      <c r="D40" t="s">
        <v>416</v>
      </c>
      <c r="E40" t="s">
        <v>25</v>
      </c>
      <c r="F40" t="s">
        <v>34</v>
      </c>
      <c r="G40" t="s">
        <v>346</v>
      </c>
      <c r="H40" t="s">
        <v>216</v>
      </c>
    </row>
    <row r="41" spans="2:8">
      <c r="B41" t="s">
        <v>17</v>
      </c>
      <c r="C41" t="s">
        <v>417</v>
      </c>
      <c r="D41" t="s">
        <v>418</v>
      </c>
      <c r="E41" t="s">
        <v>25</v>
      </c>
      <c r="F41" t="s">
        <v>34</v>
      </c>
      <c r="G41" t="s">
        <v>346</v>
      </c>
      <c r="H41" t="s">
        <v>216</v>
      </c>
    </row>
    <row r="42" spans="2:8">
      <c r="B42" t="s">
        <v>17</v>
      </c>
      <c r="C42" t="s">
        <v>419</v>
      </c>
      <c r="D42" t="s">
        <v>420</v>
      </c>
      <c r="E42" t="s">
        <v>25</v>
      </c>
      <c r="F42" t="s">
        <v>34</v>
      </c>
      <c r="G42" t="s">
        <v>346</v>
      </c>
      <c r="H42" t="s">
        <v>216</v>
      </c>
    </row>
    <row r="43" spans="2:8">
      <c r="B43" t="s">
        <v>17</v>
      </c>
      <c r="C43" t="s">
        <v>421</v>
      </c>
      <c r="D43" t="s">
        <v>422</v>
      </c>
      <c r="E43" t="s">
        <v>25</v>
      </c>
      <c r="F43" t="s">
        <v>34</v>
      </c>
      <c r="G43" t="s">
        <v>346</v>
      </c>
      <c r="H43" t="s">
        <v>216</v>
      </c>
    </row>
    <row r="44" spans="2:8">
      <c r="B44" t="s">
        <v>17</v>
      </c>
      <c r="C44" t="s">
        <v>423</v>
      </c>
      <c r="D44" t="s">
        <v>424</v>
      </c>
      <c r="E44" t="s">
        <v>25</v>
      </c>
      <c r="F44" t="s">
        <v>34</v>
      </c>
      <c r="G44" t="s">
        <v>346</v>
      </c>
      <c r="H44" t="s">
        <v>216</v>
      </c>
    </row>
    <row r="45" spans="2:8">
      <c r="B45" t="s">
        <v>17</v>
      </c>
      <c r="C45" t="s">
        <v>425</v>
      </c>
      <c r="D45" t="s">
        <v>426</v>
      </c>
      <c r="E45" t="s">
        <v>25</v>
      </c>
      <c r="F45" t="s">
        <v>34</v>
      </c>
      <c r="G45" t="s">
        <v>346</v>
      </c>
      <c r="H45" t="s">
        <v>216</v>
      </c>
    </row>
    <row r="46" spans="2:8">
      <c r="B46" t="s">
        <v>17</v>
      </c>
      <c r="C46" t="s">
        <v>427</v>
      </c>
      <c r="D46" t="s">
        <v>428</v>
      </c>
      <c r="E46" t="s">
        <v>25</v>
      </c>
      <c r="F46" t="s">
        <v>34</v>
      </c>
      <c r="G46" t="s">
        <v>346</v>
      </c>
      <c r="H46" t="s">
        <v>216</v>
      </c>
    </row>
    <row r="47" spans="2:8">
      <c r="B47" t="s">
        <v>17</v>
      </c>
      <c r="C47" t="s">
        <v>429</v>
      </c>
      <c r="D47" t="s">
        <v>430</v>
      </c>
      <c r="E47" t="s">
        <v>25</v>
      </c>
      <c r="F47" t="s">
        <v>34</v>
      </c>
      <c r="G47" t="s">
        <v>346</v>
      </c>
      <c r="H47" t="s">
        <v>216</v>
      </c>
    </row>
    <row r="48" spans="2:8">
      <c r="B48" t="s">
        <v>17</v>
      </c>
      <c r="C48" t="s">
        <v>431</v>
      </c>
      <c r="D48" t="s">
        <v>432</v>
      </c>
      <c r="E48" t="s">
        <v>25</v>
      </c>
      <c r="F48" t="s">
        <v>34</v>
      </c>
      <c r="G48" t="s">
        <v>346</v>
      </c>
      <c r="H48" t="s">
        <v>216</v>
      </c>
    </row>
    <row r="49" spans="2:8">
      <c r="B49" t="s">
        <v>17</v>
      </c>
      <c r="C49" t="s">
        <v>433</v>
      </c>
      <c r="D49" t="s">
        <v>434</v>
      </c>
      <c r="E49" t="s">
        <v>25</v>
      </c>
      <c r="F49" t="s">
        <v>34</v>
      </c>
      <c r="G49" t="s">
        <v>346</v>
      </c>
      <c r="H49" t="s">
        <v>216</v>
      </c>
    </row>
    <row r="50" spans="2:8">
      <c r="B50" t="s">
        <v>17</v>
      </c>
      <c r="C50" t="s">
        <v>435</v>
      </c>
      <c r="D50" t="s">
        <v>436</v>
      </c>
      <c r="E50" t="s">
        <v>25</v>
      </c>
      <c r="F50" t="s">
        <v>34</v>
      </c>
      <c r="G50" t="s">
        <v>346</v>
      </c>
      <c r="H50" t="s">
        <v>216</v>
      </c>
    </row>
    <row r="51" spans="2:8">
      <c r="B51" t="s">
        <v>17</v>
      </c>
      <c r="C51" t="s">
        <v>437</v>
      </c>
      <c r="D51" t="s">
        <v>438</v>
      </c>
      <c r="E51" t="s">
        <v>25</v>
      </c>
      <c r="F51" t="s">
        <v>34</v>
      </c>
      <c r="G51" t="s">
        <v>346</v>
      </c>
      <c r="H51" t="s">
        <v>216</v>
      </c>
    </row>
    <row r="52" spans="2:8">
      <c r="B52" t="s">
        <v>17</v>
      </c>
      <c r="C52" t="s">
        <v>439</v>
      </c>
      <c r="D52" t="s">
        <v>440</v>
      </c>
      <c r="E52" t="s">
        <v>25</v>
      </c>
      <c r="F52" t="s">
        <v>34</v>
      </c>
      <c r="G52" t="s">
        <v>346</v>
      </c>
      <c r="H52" t="s">
        <v>216</v>
      </c>
    </row>
    <row r="53" spans="2:8">
      <c r="B53" t="s">
        <v>17</v>
      </c>
      <c r="C53" t="s">
        <v>441</v>
      </c>
      <c r="D53" t="s">
        <v>442</v>
      </c>
      <c r="E53" t="s">
        <v>25</v>
      </c>
      <c r="F53" t="s">
        <v>34</v>
      </c>
      <c r="G53" t="s">
        <v>346</v>
      </c>
      <c r="H53" t="s">
        <v>216</v>
      </c>
    </row>
    <row r="54" spans="2:8">
      <c r="B54" t="s">
        <v>17</v>
      </c>
      <c r="C54" t="s">
        <v>443</v>
      </c>
      <c r="D54" t="s">
        <v>444</v>
      </c>
      <c r="E54" t="s">
        <v>25</v>
      </c>
      <c r="F54" t="s">
        <v>34</v>
      </c>
      <c r="G54" t="s">
        <v>346</v>
      </c>
      <c r="H54" t="s">
        <v>216</v>
      </c>
    </row>
    <row r="55" spans="2:8">
      <c r="B55" t="s">
        <v>17</v>
      </c>
      <c r="C55" t="s">
        <v>445</v>
      </c>
      <c r="D55" t="s">
        <v>446</v>
      </c>
      <c r="E55" t="s">
        <v>25</v>
      </c>
      <c r="F55" t="s">
        <v>34</v>
      </c>
      <c r="G55" t="s">
        <v>346</v>
      </c>
      <c r="H55" t="s">
        <v>216</v>
      </c>
    </row>
    <row r="56" spans="2:8">
      <c r="B56" t="s">
        <v>17</v>
      </c>
      <c r="C56" t="s">
        <v>447</v>
      </c>
      <c r="D56" t="s">
        <v>448</v>
      </c>
      <c r="E56" t="s">
        <v>25</v>
      </c>
      <c r="F56" t="s">
        <v>34</v>
      </c>
      <c r="G56" t="s">
        <v>346</v>
      </c>
      <c r="H56" t="s">
        <v>216</v>
      </c>
    </row>
    <row r="57" spans="2:8">
      <c r="B57" t="s">
        <v>17</v>
      </c>
      <c r="C57" t="s">
        <v>449</v>
      </c>
      <c r="D57" t="s">
        <v>450</v>
      </c>
      <c r="E57" t="s">
        <v>25</v>
      </c>
      <c r="F57" t="s">
        <v>34</v>
      </c>
      <c r="G57" t="s">
        <v>346</v>
      </c>
      <c r="H57" t="s">
        <v>216</v>
      </c>
    </row>
    <row r="58" spans="2:8">
      <c r="B58" t="s">
        <v>17</v>
      </c>
      <c r="C58" t="s">
        <v>451</v>
      </c>
      <c r="D58" t="s">
        <v>452</v>
      </c>
      <c r="E58" t="s">
        <v>25</v>
      </c>
      <c r="F58" t="s">
        <v>34</v>
      </c>
      <c r="G58" t="s">
        <v>346</v>
      </c>
      <c r="H58" t="s">
        <v>216</v>
      </c>
    </row>
    <row r="59" spans="2:8">
      <c r="B59" t="s">
        <v>17</v>
      </c>
      <c r="C59" t="s">
        <v>453</v>
      </c>
      <c r="D59" t="s">
        <v>454</v>
      </c>
      <c r="E59" t="s">
        <v>25</v>
      </c>
      <c r="F59" t="s">
        <v>34</v>
      </c>
      <c r="G59" t="s">
        <v>346</v>
      </c>
      <c r="H59" t="s">
        <v>216</v>
      </c>
    </row>
    <row r="60" spans="2:8">
      <c r="B60" t="s">
        <v>17</v>
      </c>
      <c r="C60" t="s">
        <v>455</v>
      </c>
      <c r="D60" t="s">
        <v>456</v>
      </c>
      <c r="E60" t="s">
        <v>25</v>
      </c>
      <c r="F60" t="s">
        <v>34</v>
      </c>
      <c r="G60" t="s">
        <v>346</v>
      </c>
      <c r="H60" t="s">
        <v>216</v>
      </c>
    </row>
    <row r="61" spans="2:8">
      <c r="B61" t="s">
        <v>17</v>
      </c>
      <c r="C61" t="s">
        <v>457</v>
      </c>
      <c r="D61" t="s">
        <v>458</v>
      </c>
      <c r="E61" t="s">
        <v>25</v>
      </c>
      <c r="F61" t="s">
        <v>34</v>
      </c>
      <c r="G61" t="s">
        <v>346</v>
      </c>
      <c r="H61" t="s">
        <v>216</v>
      </c>
    </row>
    <row r="62" spans="2:8">
      <c r="B62" t="s">
        <v>17</v>
      </c>
      <c r="C62" t="s">
        <v>459</v>
      </c>
      <c r="D62" t="s">
        <v>460</v>
      </c>
      <c r="E62" t="s">
        <v>25</v>
      </c>
      <c r="F62" t="s">
        <v>34</v>
      </c>
      <c r="G62" t="s">
        <v>346</v>
      </c>
      <c r="H62" t="s">
        <v>216</v>
      </c>
    </row>
    <row r="63" spans="2:8">
      <c r="B63" t="s">
        <v>17</v>
      </c>
      <c r="C63" t="s">
        <v>461</v>
      </c>
      <c r="D63" t="s">
        <v>462</v>
      </c>
      <c r="E63" t="s">
        <v>25</v>
      </c>
      <c r="F63" t="s">
        <v>34</v>
      </c>
      <c r="G63" t="s">
        <v>346</v>
      </c>
      <c r="H63" t="s">
        <v>216</v>
      </c>
    </row>
    <row r="64" spans="2:8">
      <c r="B64" t="s">
        <v>17</v>
      </c>
      <c r="C64" t="s">
        <v>463</v>
      </c>
      <c r="D64" t="s">
        <v>464</v>
      </c>
      <c r="E64" t="s">
        <v>25</v>
      </c>
      <c r="F64" t="s">
        <v>34</v>
      </c>
      <c r="G64" t="s">
        <v>346</v>
      </c>
      <c r="H64" t="s">
        <v>216</v>
      </c>
    </row>
    <row r="65" spans="2:8">
      <c r="B65" t="s">
        <v>17</v>
      </c>
      <c r="C65" t="s">
        <v>465</v>
      </c>
      <c r="D65" t="s">
        <v>466</v>
      </c>
      <c r="E65" t="s">
        <v>25</v>
      </c>
      <c r="F65" t="s">
        <v>34</v>
      </c>
      <c r="G65" t="s">
        <v>346</v>
      </c>
      <c r="H65" t="s">
        <v>216</v>
      </c>
    </row>
    <row r="66" spans="2:8">
      <c r="B66" t="s">
        <v>17</v>
      </c>
      <c r="C66" t="s">
        <v>467</v>
      </c>
      <c r="D66" t="s">
        <v>468</v>
      </c>
      <c r="E66" t="s">
        <v>25</v>
      </c>
      <c r="F66" t="s">
        <v>34</v>
      </c>
      <c r="G66" t="s">
        <v>346</v>
      </c>
      <c r="H66" t="s">
        <v>216</v>
      </c>
    </row>
    <row r="67" spans="2:8">
      <c r="B67" t="s">
        <v>17</v>
      </c>
      <c r="C67" t="s">
        <v>469</v>
      </c>
      <c r="D67" t="s">
        <v>470</v>
      </c>
      <c r="E67" t="s">
        <v>25</v>
      </c>
      <c r="F67" t="s">
        <v>34</v>
      </c>
      <c r="G67" t="s">
        <v>346</v>
      </c>
      <c r="H67" t="s">
        <v>216</v>
      </c>
    </row>
    <row r="68" spans="2:8">
      <c r="B68" t="s">
        <v>17</v>
      </c>
      <c r="C68" t="s">
        <v>471</v>
      </c>
      <c r="D68" t="s">
        <v>472</v>
      </c>
      <c r="E68" t="s">
        <v>25</v>
      </c>
      <c r="F68" t="s">
        <v>34</v>
      </c>
      <c r="G68" t="s">
        <v>346</v>
      </c>
      <c r="H68" t="s">
        <v>216</v>
      </c>
    </row>
    <row r="69" spans="2:8">
      <c r="B69" t="s">
        <v>17</v>
      </c>
      <c r="C69" t="s">
        <v>473</v>
      </c>
      <c r="D69" t="s">
        <v>474</v>
      </c>
      <c r="E69" t="s">
        <v>25</v>
      </c>
      <c r="F69" t="s">
        <v>34</v>
      </c>
      <c r="G69" t="s">
        <v>346</v>
      </c>
      <c r="H69" t="s">
        <v>216</v>
      </c>
    </row>
    <row r="70" spans="2:8">
      <c r="B70" t="s">
        <v>17</v>
      </c>
      <c r="C70" t="s">
        <v>475</v>
      </c>
      <c r="D70" t="s">
        <v>476</v>
      </c>
      <c r="E70" t="s">
        <v>25</v>
      </c>
      <c r="F70" t="s">
        <v>34</v>
      </c>
      <c r="G70" t="s">
        <v>346</v>
      </c>
      <c r="H70" t="s">
        <v>216</v>
      </c>
    </row>
    <row r="71" spans="2:8">
      <c r="B71" t="s">
        <v>17</v>
      </c>
      <c r="C71" t="s">
        <v>477</v>
      </c>
      <c r="D71" t="s">
        <v>478</v>
      </c>
      <c r="E71" t="s">
        <v>25</v>
      </c>
      <c r="F71" t="s">
        <v>34</v>
      </c>
      <c r="G71" t="s">
        <v>346</v>
      </c>
      <c r="H71" t="s">
        <v>216</v>
      </c>
    </row>
    <row r="72" spans="2:8">
      <c r="B72" t="s">
        <v>17</v>
      </c>
      <c r="C72" t="s">
        <v>479</v>
      </c>
      <c r="D72" t="s">
        <v>480</v>
      </c>
      <c r="E72" t="s">
        <v>25</v>
      </c>
      <c r="F72" t="s">
        <v>34</v>
      </c>
      <c r="G72" t="s">
        <v>346</v>
      </c>
      <c r="H72" t="s">
        <v>216</v>
      </c>
    </row>
    <row r="73" spans="2:8">
      <c r="B73" t="s">
        <v>17</v>
      </c>
      <c r="C73" t="s">
        <v>481</v>
      </c>
      <c r="D73" t="s">
        <v>482</v>
      </c>
      <c r="E73" t="s">
        <v>25</v>
      </c>
      <c r="F73" t="s">
        <v>34</v>
      </c>
      <c r="G73" t="s">
        <v>346</v>
      </c>
      <c r="H73" t="s">
        <v>216</v>
      </c>
    </row>
    <row r="74" spans="2:8">
      <c r="B74" t="s">
        <v>17</v>
      </c>
      <c r="C74" t="s">
        <v>483</v>
      </c>
      <c r="D74" t="s">
        <v>484</v>
      </c>
      <c r="E74" t="s">
        <v>25</v>
      </c>
      <c r="F74" t="s">
        <v>34</v>
      </c>
      <c r="G74" t="s">
        <v>346</v>
      </c>
      <c r="H74" t="s">
        <v>216</v>
      </c>
    </row>
    <row r="75" spans="2:8">
      <c r="B75" t="s">
        <v>17</v>
      </c>
      <c r="C75" t="s">
        <v>485</v>
      </c>
      <c r="D75" t="s">
        <v>486</v>
      </c>
      <c r="E75" t="s">
        <v>25</v>
      </c>
      <c r="F75" t="s">
        <v>34</v>
      </c>
      <c r="G75" t="s">
        <v>346</v>
      </c>
      <c r="H75" t="s">
        <v>216</v>
      </c>
    </row>
    <row r="76" spans="2:8">
      <c r="B76" t="s">
        <v>17</v>
      </c>
      <c r="C76" t="s">
        <v>487</v>
      </c>
      <c r="D76" t="s">
        <v>488</v>
      </c>
      <c r="E76" t="s">
        <v>25</v>
      </c>
      <c r="F76" t="s">
        <v>34</v>
      </c>
      <c r="G76" t="s">
        <v>346</v>
      </c>
      <c r="H76" t="s">
        <v>216</v>
      </c>
    </row>
    <row r="77" spans="2:8">
      <c r="B77" t="s">
        <v>17</v>
      </c>
      <c r="C77" t="s">
        <v>489</v>
      </c>
      <c r="D77" t="s">
        <v>490</v>
      </c>
      <c r="E77" t="s">
        <v>25</v>
      </c>
      <c r="F77" t="s">
        <v>34</v>
      </c>
      <c r="G77" t="s">
        <v>346</v>
      </c>
      <c r="H77" t="s">
        <v>216</v>
      </c>
    </row>
    <row r="78" spans="2:8">
      <c r="B78" t="s">
        <v>17</v>
      </c>
      <c r="C78" t="s">
        <v>491</v>
      </c>
      <c r="D78" t="s">
        <v>492</v>
      </c>
      <c r="E78" t="s">
        <v>25</v>
      </c>
      <c r="F78" t="s">
        <v>34</v>
      </c>
      <c r="G78" t="s">
        <v>346</v>
      </c>
      <c r="H78" t="s">
        <v>216</v>
      </c>
    </row>
    <row r="79" spans="2:8">
      <c r="B79" t="s">
        <v>17</v>
      </c>
      <c r="C79" t="s">
        <v>493</v>
      </c>
      <c r="D79" t="s">
        <v>494</v>
      </c>
      <c r="E79" t="s">
        <v>25</v>
      </c>
      <c r="F79" t="s">
        <v>34</v>
      </c>
      <c r="G79" t="s">
        <v>346</v>
      </c>
      <c r="H79" t="s">
        <v>216</v>
      </c>
    </row>
    <row r="80" spans="2:8">
      <c r="B80" t="s">
        <v>17</v>
      </c>
      <c r="C80" t="s">
        <v>495</v>
      </c>
      <c r="D80" t="s">
        <v>496</v>
      </c>
      <c r="E80" t="s">
        <v>25</v>
      </c>
      <c r="F80" t="s">
        <v>34</v>
      </c>
      <c r="G80" t="s">
        <v>346</v>
      </c>
      <c r="H80" t="s">
        <v>216</v>
      </c>
    </row>
    <row r="81" spans="2:8">
      <c r="B81" t="s">
        <v>17</v>
      </c>
      <c r="C81" t="s">
        <v>497</v>
      </c>
      <c r="D81" t="s">
        <v>498</v>
      </c>
      <c r="E81" t="s">
        <v>25</v>
      </c>
      <c r="F81" t="s">
        <v>34</v>
      </c>
      <c r="G81" t="s">
        <v>346</v>
      </c>
      <c r="H81" t="s">
        <v>216</v>
      </c>
    </row>
    <row r="82" spans="2:8">
      <c r="B82" t="s">
        <v>17</v>
      </c>
      <c r="C82" t="s">
        <v>499</v>
      </c>
      <c r="D82" t="s">
        <v>500</v>
      </c>
      <c r="E82" t="s">
        <v>25</v>
      </c>
      <c r="F82" t="s">
        <v>34</v>
      </c>
      <c r="G82" t="s">
        <v>346</v>
      </c>
      <c r="H82" t="s">
        <v>216</v>
      </c>
    </row>
    <row r="83" spans="2:8">
      <c r="B83" t="s">
        <v>17</v>
      </c>
      <c r="C83" t="s">
        <v>501</v>
      </c>
      <c r="D83" t="s">
        <v>502</v>
      </c>
      <c r="E83" t="s">
        <v>25</v>
      </c>
      <c r="F83" t="s">
        <v>34</v>
      </c>
      <c r="G83" t="s">
        <v>346</v>
      </c>
      <c r="H83" t="s">
        <v>216</v>
      </c>
    </row>
    <row r="84" spans="2:8">
      <c r="B84" t="s">
        <v>17</v>
      </c>
      <c r="C84" t="s">
        <v>503</v>
      </c>
      <c r="D84" t="s">
        <v>504</v>
      </c>
      <c r="E84" t="s">
        <v>25</v>
      </c>
      <c r="F84" t="s">
        <v>34</v>
      </c>
      <c r="G84" t="s">
        <v>346</v>
      </c>
      <c r="H84" t="s">
        <v>216</v>
      </c>
    </row>
    <row r="85" spans="2:8">
      <c r="B85" t="s">
        <v>17</v>
      </c>
      <c r="C85" t="s">
        <v>505</v>
      </c>
      <c r="D85" t="s">
        <v>506</v>
      </c>
      <c r="E85" t="s">
        <v>25</v>
      </c>
      <c r="F85" t="s">
        <v>34</v>
      </c>
      <c r="G85" t="s">
        <v>346</v>
      </c>
      <c r="H85" t="s">
        <v>216</v>
      </c>
    </row>
    <row r="86" spans="2:8">
      <c r="B86" t="s">
        <v>17</v>
      </c>
      <c r="C86" t="s">
        <v>507</v>
      </c>
      <c r="D86" t="s">
        <v>508</v>
      </c>
      <c r="E86" t="s">
        <v>25</v>
      </c>
      <c r="F86" t="s">
        <v>34</v>
      </c>
      <c r="G86" t="s">
        <v>346</v>
      </c>
      <c r="H86" t="s">
        <v>216</v>
      </c>
    </row>
    <row r="87" spans="2:8">
      <c r="B87" t="s">
        <v>17</v>
      </c>
      <c r="C87" t="s">
        <v>509</v>
      </c>
      <c r="D87" t="s">
        <v>510</v>
      </c>
      <c r="E87" t="s">
        <v>25</v>
      </c>
      <c r="F87" t="s">
        <v>34</v>
      </c>
      <c r="G87" t="s">
        <v>346</v>
      </c>
      <c r="H87" t="s">
        <v>216</v>
      </c>
    </row>
    <row r="88" spans="2:8">
      <c r="B88" t="s">
        <v>17</v>
      </c>
      <c r="C88" t="s">
        <v>511</v>
      </c>
      <c r="D88" t="s">
        <v>512</v>
      </c>
      <c r="E88" t="s">
        <v>25</v>
      </c>
      <c r="F88" t="s">
        <v>34</v>
      </c>
      <c r="G88" t="s">
        <v>346</v>
      </c>
      <c r="H88" t="s">
        <v>216</v>
      </c>
    </row>
    <row r="89" spans="2:8">
      <c r="B89" t="s">
        <v>17</v>
      </c>
      <c r="C89" t="s">
        <v>513</v>
      </c>
      <c r="D89" t="s">
        <v>514</v>
      </c>
      <c r="E89" t="s">
        <v>25</v>
      </c>
      <c r="F89" t="s">
        <v>34</v>
      </c>
      <c r="G89" t="s">
        <v>346</v>
      </c>
      <c r="H89" t="s">
        <v>216</v>
      </c>
    </row>
    <row r="90" spans="2:8">
      <c r="B90" t="s">
        <v>17</v>
      </c>
      <c r="C90" t="s">
        <v>515</v>
      </c>
      <c r="D90" t="s">
        <v>516</v>
      </c>
      <c r="E90" t="s">
        <v>25</v>
      </c>
      <c r="F90" t="s">
        <v>34</v>
      </c>
      <c r="G90" t="s">
        <v>346</v>
      </c>
      <c r="H90" t="s">
        <v>216</v>
      </c>
    </row>
    <row r="91" spans="2:8">
      <c r="B91" t="s">
        <v>17</v>
      </c>
      <c r="C91" t="s">
        <v>517</v>
      </c>
      <c r="D91" t="s">
        <v>518</v>
      </c>
      <c r="E91" t="s">
        <v>25</v>
      </c>
      <c r="F91" t="s">
        <v>34</v>
      </c>
      <c r="G91" t="s">
        <v>346</v>
      </c>
      <c r="H91" t="s">
        <v>216</v>
      </c>
    </row>
    <row r="92" spans="2:8">
      <c r="B92" t="s">
        <v>17</v>
      </c>
      <c r="C92" t="s">
        <v>519</v>
      </c>
      <c r="D92" t="s">
        <v>520</v>
      </c>
      <c r="E92" t="s">
        <v>25</v>
      </c>
      <c r="F92" t="s">
        <v>34</v>
      </c>
      <c r="G92" t="s">
        <v>346</v>
      </c>
      <c r="H92" t="s">
        <v>216</v>
      </c>
    </row>
    <row r="93" spans="2:8">
      <c r="B93" t="s">
        <v>17</v>
      </c>
      <c r="C93" t="s">
        <v>521</v>
      </c>
      <c r="D93" t="s">
        <v>522</v>
      </c>
      <c r="E93" t="s">
        <v>25</v>
      </c>
      <c r="F93" t="s">
        <v>34</v>
      </c>
      <c r="G93" t="s">
        <v>346</v>
      </c>
      <c r="H93" t="s">
        <v>216</v>
      </c>
    </row>
    <row r="94" spans="2:8">
      <c r="B94" t="s">
        <v>17</v>
      </c>
      <c r="C94" t="s">
        <v>523</v>
      </c>
      <c r="D94" t="s">
        <v>524</v>
      </c>
      <c r="E94" t="s">
        <v>25</v>
      </c>
      <c r="F94" t="s">
        <v>34</v>
      </c>
      <c r="G94" t="s">
        <v>346</v>
      </c>
      <c r="H94" t="s">
        <v>216</v>
      </c>
    </row>
    <row r="95" spans="2:8">
      <c r="B95" t="s">
        <v>17</v>
      </c>
      <c r="C95" t="s">
        <v>525</v>
      </c>
      <c r="D95" t="s">
        <v>526</v>
      </c>
      <c r="E95" t="s">
        <v>25</v>
      </c>
      <c r="F95" t="s">
        <v>34</v>
      </c>
      <c r="G95" t="s">
        <v>346</v>
      </c>
      <c r="H95" t="s">
        <v>216</v>
      </c>
    </row>
    <row r="96" spans="2:8">
      <c r="B96" t="s">
        <v>17</v>
      </c>
      <c r="C96" t="s">
        <v>527</v>
      </c>
      <c r="D96" t="s">
        <v>528</v>
      </c>
      <c r="E96" t="s">
        <v>25</v>
      </c>
      <c r="F96" t="s">
        <v>34</v>
      </c>
      <c r="G96" t="s">
        <v>346</v>
      </c>
      <c r="H96" t="s">
        <v>216</v>
      </c>
    </row>
    <row r="97" spans="2:8">
      <c r="B97" t="s">
        <v>17</v>
      </c>
      <c r="C97" t="s">
        <v>529</v>
      </c>
      <c r="D97" t="s">
        <v>530</v>
      </c>
      <c r="E97" t="s">
        <v>25</v>
      </c>
      <c r="F97" t="s">
        <v>34</v>
      </c>
      <c r="G97" t="s">
        <v>346</v>
      </c>
      <c r="H97" t="s">
        <v>216</v>
      </c>
    </row>
    <row r="98" spans="2:8">
      <c r="B98" t="s">
        <v>17</v>
      </c>
      <c r="C98" t="s">
        <v>531</v>
      </c>
      <c r="D98" t="s">
        <v>532</v>
      </c>
      <c r="E98" t="s">
        <v>25</v>
      </c>
      <c r="F98" t="s">
        <v>34</v>
      </c>
      <c r="G98" t="s">
        <v>346</v>
      </c>
      <c r="H98" t="s">
        <v>216</v>
      </c>
    </row>
    <row r="99" spans="2:8">
      <c r="B99" t="s">
        <v>17</v>
      </c>
      <c r="C99" t="s">
        <v>533</v>
      </c>
      <c r="D99" t="s">
        <v>534</v>
      </c>
      <c r="E99" t="s">
        <v>25</v>
      </c>
      <c r="F99" t="s">
        <v>34</v>
      </c>
      <c r="G99" t="s">
        <v>346</v>
      </c>
      <c r="H99" t="s">
        <v>216</v>
      </c>
    </row>
    <row r="100" spans="2:8">
      <c r="B100" t="s">
        <v>17</v>
      </c>
      <c r="C100" t="s">
        <v>535</v>
      </c>
      <c r="D100" t="s">
        <v>536</v>
      </c>
      <c r="E100" t="s">
        <v>25</v>
      </c>
      <c r="F100" t="s">
        <v>34</v>
      </c>
      <c r="G100" t="s">
        <v>346</v>
      </c>
      <c r="H100" t="s">
        <v>216</v>
      </c>
    </row>
    <row r="101" spans="2:8">
      <c r="B101" t="s">
        <v>17</v>
      </c>
      <c r="C101" t="s">
        <v>537</v>
      </c>
      <c r="D101" t="s">
        <v>538</v>
      </c>
      <c r="E101" t="s">
        <v>25</v>
      </c>
      <c r="F101" t="s">
        <v>34</v>
      </c>
      <c r="G101" t="s">
        <v>346</v>
      </c>
      <c r="H101" t="s">
        <v>216</v>
      </c>
    </row>
    <row r="102" spans="2:8">
      <c r="B102" t="s">
        <v>17</v>
      </c>
      <c r="C102" t="s">
        <v>539</v>
      </c>
      <c r="D102" t="s">
        <v>540</v>
      </c>
      <c r="E102" t="s">
        <v>25</v>
      </c>
      <c r="F102" t="s">
        <v>34</v>
      </c>
      <c r="G102" t="s">
        <v>346</v>
      </c>
      <c r="H102" t="s">
        <v>216</v>
      </c>
    </row>
    <row r="103" spans="2:8">
      <c r="B103" t="s">
        <v>17</v>
      </c>
      <c r="C103" t="s">
        <v>541</v>
      </c>
      <c r="D103" t="s">
        <v>542</v>
      </c>
      <c r="E103" t="s">
        <v>25</v>
      </c>
      <c r="F103" t="s">
        <v>34</v>
      </c>
      <c r="G103" t="s">
        <v>346</v>
      </c>
      <c r="H103" t="s">
        <v>216</v>
      </c>
    </row>
    <row r="104" spans="2:8">
      <c r="B104" t="s">
        <v>17</v>
      </c>
      <c r="C104" t="s">
        <v>543</v>
      </c>
      <c r="D104" t="s">
        <v>544</v>
      </c>
      <c r="E104" t="s">
        <v>25</v>
      </c>
      <c r="F104" t="s">
        <v>34</v>
      </c>
      <c r="G104" t="s">
        <v>346</v>
      </c>
      <c r="H104" t="s">
        <v>216</v>
      </c>
    </row>
    <row r="105" spans="2:8">
      <c r="B105" t="s">
        <v>17</v>
      </c>
      <c r="C105" t="s">
        <v>545</v>
      </c>
      <c r="D105" t="s">
        <v>546</v>
      </c>
      <c r="E105" t="s">
        <v>25</v>
      </c>
      <c r="F105" t="s">
        <v>34</v>
      </c>
      <c r="G105" t="s">
        <v>346</v>
      </c>
      <c r="H105" t="s">
        <v>216</v>
      </c>
    </row>
    <row r="106" spans="2:8">
      <c r="B106" t="s">
        <v>17</v>
      </c>
      <c r="C106" t="s">
        <v>547</v>
      </c>
      <c r="D106" t="s">
        <v>548</v>
      </c>
      <c r="E106" t="s">
        <v>25</v>
      </c>
      <c r="F106" t="s">
        <v>34</v>
      </c>
      <c r="G106" t="s">
        <v>346</v>
      </c>
      <c r="H106" t="s">
        <v>216</v>
      </c>
    </row>
    <row r="107" spans="2:8">
      <c r="B107" t="s">
        <v>17</v>
      </c>
      <c r="C107" t="s">
        <v>549</v>
      </c>
      <c r="D107" t="s">
        <v>550</v>
      </c>
      <c r="E107" t="s">
        <v>25</v>
      </c>
      <c r="F107" t="s">
        <v>34</v>
      </c>
      <c r="G107" t="s">
        <v>346</v>
      </c>
      <c r="H107" t="s">
        <v>216</v>
      </c>
    </row>
    <row r="108" spans="2:8">
      <c r="B108" t="s">
        <v>17</v>
      </c>
      <c r="C108" t="s">
        <v>551</v>
      </c>
      <c r="D108" t="s">
        <v>552</v>
      </c>
      <c r="E108" t="s">
        <v>25</v>
      </c>
      <c r="F108" t="s">
        <v>34</v>
      </c>
      <c r="G108" t="s">
        <v>346</v>
      </c>
      <c r="H108" t="s">
        <v>216</v>
      </c>
    </row>
    <row r="109" spans="2:8">
      <c r="B109" t="s">
        <v>17</v>
      </c>
      <c r="C109" t="s">
        <v>553</v>
      </c>
      <c r="D109" t="s">
        <v>554</v>
      </c>
      <c r="E109" t="s">
        <v>25</v>
      </c>
      <c r="F109" t="s">
        <v>34</v>
      </c>
      <c r="G109" t="s">
        <v>346</v>
      </c>
      <c r="H109" t="s">
        <v>216</v>
      </c>
    </row>
    <row r="110" spans="2:8">
      <c r="B110" t="s">
        <v>17</v>
      </c>
      <c r="C110" t="s">
        <v>555</v>
      </c>
      <c r="D110" t="s">
        <v>556</v>
      </c>
      <c r="E110" t="s">
        <v>25</v>
      </c>
      <c r="F110" t="s">
        <v>34</v>
      </c>
      <c r="G110" t="s">
        <v>346</v>
      </c>
      <c r="H110" t="s">
        <v>216</v>
      </c>
    </row>
    <row r="111" spans="2:8">
      <c r="B111" t="s">
        <v>17</v>
      </c>
      <c r="C111" t="s">
        <v>557</v>
      </c>
      <c r="D111" t="s">
        <v>558</v>
      </c>
      <c r="E111" t="s">
        <v>25</v>
      </c>
      <c r="F111" t="s">
        <v>34</v>
      </c>
      <c r="G111" t="s">
        <v>346</v>
      </c>
      <c r="H111" t="s">
        <v>216</v>
      </c>
    </row>
    <row r="112" spans="2:8">
      <c r="B112" t="s">
        <v>17</v>
      </c>
      <c r="C112" t="s">
        <v>559</v>
      </c>
      <c r="D112" t="s">
        <v>560</v>
      </c>
      <c r="E112" t="s">
        <v>25</v>
      </c>
      <c r="F112" t="s">
        <v>34</v>
      </c>
      <c r="G112" t="s">
        <v>346</v>
      </c>
      <c r="H112" t="s">
        <v>216</v>
      </c>
    </row>
    <row r="113" spans="2:8">
      <c r="B113" t="s">
        <v>17</v>
      </c>
      <c r="C113" t="s">
        <v>561</v>
      </c>
      <c r="D113" t="s">
        <v>562</v>
      </c>
      <c r="E113" t="s">
        <v>25</v>
      </c>
      <c r="F113" t="s">
        <v>34</v>
      </c>
      <c r="G113" t="s">
        <v>346</v>
      </c>
      <c r="H113" t="s">
        <v>216</v>
      </c>
    </row>
    <row r="114" spans="2:8">
      <c r="B114" t="s">
        <v>17</v>
      </c>
      <c r="C114" t="s">
        <v>563</v>
      </c>
      <c r="D114" t="s">
        <v>564</v>
      </c>
      <c r="E114" t="s">
        <v>25</v>
      </c>
      <c r="F114" t="s">
        <v>34</v>
      </c>
      <c r="G114" t="s">
        <v>346</v>
      </c>
      <c r="H114" t="s">
        <v>216</v>
      </c>
    </row>
    <row r="115" spans="2:8">
      <c r="B115" t="s">
        <v>17</v>
      </c>
      <c r="C115" t="s">
        <v>565</v>
      </c>
      <c r="D115" t="s">
        <v>566</v>
      </c>
      <c r="E115" t="s">
        <v>25</v>
      </c>
      <c r="F115" t="s">
        <v>34</v>
      </c>
      <c r="G115" t="s">
        <v>346</v>
      </c>
      <c r="H115" t="s">
        <v>216</v>
      </c>
    </row>
    <row r="116" spans="2:8">
      <c r="B116" t="s">
        <v>17</v>
      </c>
      <c r="C116" t="s">
        <v>567</v>
      </c>
      <c r="D116" t="s">
        <v>568</v>
      </c>
      <c r="E116" t="s">
        <v>25</v>
      </c>
      <c r="F116" t="s">
        <v>34</v>
      </c>
      <c r="G116" t="s">
        <v>346</v>
      </c>
      <c r="H116" t="s">
        <v>216</v>
      </c>
    </row>
    <row r="117" spans="2:8">
      <c r="B117" t="s">
        <v>17</v>
      </c>
      <c r="C117" t="s">
        <v>569</v>
      </c>
      <c r="D117" t="s">
        <v>570</v>
      </c>
      <c r="E117" t="s">
        <v>25</v>
      </c>
      <c r="F117" t="s">
        <v>34</v>
      </c>
      <c r="G117" t="s">
        <v>346</v>
      </c>
      <c r="H117" t="s">
        <v>216</v>
      </c>
    </row>
    <row r="118" spans="2:8">
      <c r="B118" t="s">
        <v>17</v>
      </c>
      <c r="C118" t="s">
        <v>571</v>
      </c>
      <c r="D118" t="s">
        <v>572</v>
      </c>
      <c r="E118" t="s">
        <v>25</v>
      </c>
      <c r="F118" t="s">
        <v>34</v>
      </c>
      <c r="G118" t="s">
        <v>346</v>
      </c>
      <c r="H118" t="s">
        <v>216</v>
      </c>
    </row>
    <row r="119" spans="2:8">
      <c r="B119" t="s">
        <v>17</v>
      </c>
      <c r="C119" t="s">
        <v>573</v>
      </c>
      <c r="D119" t="s">
        <v>574</v>
      </c>
      <c r="E119" t="s">
        <v>25</v>
      </c>
      <c r="F119" t="s">
        <v>34</v>
      </c>
      <c r="G119" t="s">
        <v>346</v>
      </c>
      <c r="H119" t="s">
        <v>216</v>
      </c>
    </row>
    <row r="120" spans="2:8">
      <c r="B120" t="s">
        <v>17</v>
      </c>
      <c r="C120" t="s">
        <v>575</v>
      </c>
      <c r="D120" t="s">
        <v>576</v>
      </c>
      <c r="E120" t="s">
        <v>25</v>
      </c>
      <c r="F120" t="s">
        <v>34</v>
      </c>
      <c r="G120" t="s">
        <v>346</v>
      </c>
      <c r="H120" t="s">
        <v>216</v>
      </c>
    </row>
    <row r="121" spans="2:8">
      <c r="B121" t="s">
        <v>17</v>
      </c>
      <c r="C121" t="s">
        <v>577</v>
      </c>
      <c r="D121" t="s">
        <v>578</v>
      </c>
      <c r="E121" t="s">
        <v>25</v>
      </c>
      <c r="F121" t="s">
        <v>34</v>
      </c>
      <c r="G121" t="s">
        <v>346</v>
      </c>
      <c r="H121" t="s">
        <v>216</v>
      </c>
    </row>
    <row r="122" spans="2:8">
      <c r="B122" t="s">
        <v>17</v>
      </c>
      <c r="C122" t="s">
        <v>579</v>
      </c>
      <c r="D122" t="s">
        <v>580</v>
      </c>
      <c r="E122" t="s">
        <v>25</v>
      </c>
      <c r="F122" t="s">
        <v>34</v>
      </c>
      <c r="G122" t="s">
        <v>346</v>
      </c>
      <c r="H122" t="s">
        <v>216</v>
      </c>
    </row>
    <row r="123" spans="2:8">
      <c r="B123" t="s">
        <v>17</v>
      </c>
      <c r="C123" t="s">
        <v>581</v>
      </c>
      <c r="D123" t="s">
        <v>582</v>
      </c>
      <c r="E123" t="s">
        <v>25</v>
      </c>
      <c r="F123" t="s">
        <v>34</v>
      </c>
      <c r="G123" t="s">
        <v>346</v>
      </c>
      <c r="H123" t="s">
        <v>216</v>
      </c>
    </row>
    <row r="124" spans="2:8">
      <c r="B124" t="s">
        <v>17</v>
      </c>
      <c r="C124" t="s">
        <v>583</v>
      </c>
      <c r="D124" t="s">
        <v>584</v>
      </c>
      <c r="E124" t="s">
        <v>25</v>
      </c>
      <c r="F124" t="s">
        <v>34</v>
      </c>
      <c r="G124" t="s">
        <v>346</v>
      </c>
      <c r="H124" t="s">
        <v>216</v>
      </c>
    </row>
    <row r="125" spans="2:8">
      <c r="B125" t="s">
        <v>17</v>
      </c>
      <c r="C125" t="s">
        <v>585</v>
      </c>
      <c r="D125" t="s">
        <v>586</v>
      </c>
      <c r="E125" t="s">
        <v>25</v>
      </c>
      <c r="F125" t="s">
        <v>34</v>
      </c>
      <c r="G125" t="s">
        <v>346</v>
      </c>
      <c r="H125" t="s">
        <v>216</v>
      </c>
    </row>
    <row r="126" spans="2:8">
      <c r="B126" t="s">
        <v>17</v>
      </c>
      <c r="C126" t="s">
        <v>587</v>
      </c>
      <c r="D126" t="s">
        <v>588</v>
      </c>
      <c r="E126" t="s">
        <v>25</v>
      </c>
      <c r="F126" t="s">
        <v>34</v>
      </c>
      <c r="G126" t="s">
        <v>346</v>
      </c>
      <c r="H126" t="s">
        <v>216</v>
      </c>
    </row>
    <row r="127" spans="2:8">
      <c r="B127" t="s">
        <v>17</v>
      </c>
      <c r="C127" t="s">
        <v>589</v>
      </c>
      <c r="D127" t="s">
        <v>590</v>
      </c>
      <c r="E127" t="s">
        <v>25</v>
      </c>
      <c r="F127" t="s">
        <v>34</v>
      </c>
      <c r="G127" t="s">
        <v>346</v>
      </c>
      <c r="H127" t="s">
        <v>216</v>
      </c>
    </row>
    <row r="128" spans="2:8">
      <c r="B128" t="s">
        <v>17</v>
      </c>
      <c r="C128" t="s">
        <v>591</v>
      </c>
      <c r="D128" t="s">
        <v>592</v>
      </c>
      <c r="E128" t="s">
        <v>25</v>
      </c>
      <c r="F128" t="s">
        <v>34</v>
      </c>
      <c r="G128" t="s">
        <v>346</v>
      </c>
      <c r="H128" t="s">
        <v>216</v>
      </c>
    </row>
    <row r="129" spans="2:8">
      <c r="B129" t="s">
        <v>17</v>
      </c>
      <c r="C129" t="s">
        <v>593</v>
      </c>
      <c r="D129" t="s">
        <v>594</v>
      </c>
      <c r="E129" t="s">
        <v>25</v>
      </c>
      <c r="F129" t="s">
        <v>34</v>
      </c>
      <c r="G129" t="s">
        <v>346</v>
      </c>
      <c r="H129" t="s">
        <v>216</v>
      </c>
    </row>
    <row r="130" spans="2:8">
      <c r="B130" t="s">
        <v>17</v>
      </c>
      <c r="C130" t="s">
        <v>595</v>
      </c>
      <c r="D130" t="s">
        <v>596</v>
      </c>
      <c r="E130" t="s">
        <v>25</v>
      </c>
      <c r="F130" t="s">
        <v>34</v>
      </c>
      <c r="G130" t="s">
        <v>346</v>
      </c>
      <c r="H13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AA42"/>
  <sheetViews>
    <sheetView zoomScaleNormal="100" workbookViewId="0">
      <selection activeCell="A5" sqref="A5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27" ht="12.75">
      <c r="B1" s="6"/>
      <c r="C1" s="10"/>
    </row>
    <row r="2" spans="2:27" ht="12.75">
      <c r="B2" s="12"/>
      <c r="C2" s="13"/>
      <c r="D2" s="13"/>
      <c r="E2" s="13"/>
      <c r="F2" s="13"/>
      <c r="G2" s="13"/>
      <c r="H2" s="13"/>
      <c r="I2" s="13"/>
      <c r="J2" s="13"/>
    </row>
    <row r="3" spans="2:27" ht="12.75">
      <c r="B3" s="13"/>
      <c r="C3" s="13"/>
      <c r="D3" s="13"/>
      <c r="E3" s="6"/>
      <c r="F3" s="6"/>
      <c r="G3" s="6"/>
      <c r="H3" s="13"/>
      <c r="I3" s="13"/>
      <c r="J3" s="13"/>
    </row>
    <row r="4" spans="2:27">
      <c r="B4" s="14" t="s">
        <v>47</v>
      </c>
      <c r="G4" s="14"/>
      <c r="H4" s="14"/>
      <c r="I4" s="14"/>
      <c r="N4" s="11" t="s">
        <v>47</v>
      </c>
    </row>
    <row r="5" spans="2:27" ht="14.25">
      <c r="B5" s="15" t="s">
        <v>48</v>
      </c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N5" s="11" t="s">
        <v>48</v>
      </c>
      <c r="O5" s="11" t="s">
        <v>49</v>
      </c>
      <c r="P5" s="11" t="s">
        <v>50</v>
      </c>
      <c r="Q5" s="11" t="s">
        <v>609</v>
      </c>
      <c r="R5" s="11" t="s">
        <v>52</v>
      </c>
      <c r="S5" s="11" t="s">
        <v>610</v>
      </c>
      <c r="T5" s="11" t="s">
        <v>64</v>
      </c>
      <c r="U5"/>
      <c r="V5"/>
      <c r="W5"/>
      <c r="X5"/>
      <c r="Y5"/>
      <c r="Z5"/>
      <c r="AA5"/>
    </row>
    <row r="6" spans="2:27" ht="14.25">
      <c r="D6" s="11" t="s">
        <v>59</v>
      </c>
      <c r="E6" s="11">
        <v>0</v>
      </c>
      <c r="F6" s="11">
        <v>3</v>
      </c>
      <c r="O6" s="11" t="s">
        <v>611</v>
      </c>
      <c r="P6" s="11" t="s">
        <v>612</v>
      </c>
      <c r="Q6" s="11">
        <v>0</v>
      </c>
      <c r="R6" s="11">
        <v>5</v>
      </c>
      <c r="S6" s="11" t="s">
        <v>613</v>
      </c>
      <c r="U6"/>
      <c r="V6"/>
      <c r="W6"/>
      <c r="X6"/>
      <c r="Y6"/>
      <c r="Z6"/>
      <c r="AA6"/>
    </row>
    <row r="7" spans="2:27" ht="14.25">
      <c r="D7" s="11" t="s">
        <v>60</v>
      </c>
      <c r="E7" s="11">
        <v>0</v>
      </c>
      <c r="F7" s="11">
        <v>3</v>
      </c>
      <c r="O7" s="11" t="s">
        <v>611</v>
      </c>
      <c r="P7" s="11" t="s">
        <v>614</v>
      </c>
      <c r="Q7" s="11">
        <v>0</v>
      </c>
      <c r="R7" s="11">
        <v>3</v>
      </c>
      <c r="S7" s="11" t="s">
        <v>606</v>
      </c>
      <c r="U7"/>
      <c r="V7"/>
      <c r="W7"/>
      <c r="X7"/>
      <c r="Y7"/>
      <c r="Z7"/>
      <c r="AA7"/>
    </row>
    <row r="8" spans="2:27" ht="14.25">
      <c r="D8" s="11" t="s">
        <v>61</v>
      </c>
      <c r="E8" s="11">
        <v>0</v>
      </c>
      <c r="F8" s="11">
        <v>3</v>
      </c>
      <c r="O8" s="11" t="s">
        <v>611</v>
      </c>
      <c r="P8" s="11" t="s">
        <v>615</v>
      </c>
      <c r="Q8" s="11">
        <v>0</v>
      </c>
      <c r="R8" s="11">
        <v>3</v>
      </c>
      <c r="S8" s="11" t="s">
        <v>606</v>
      </c>
      <c r="U8"/>
      <c r="V8"/>
      <c r="W8"/>
      <c r="X8"/>
      <c r="Y8"/>
      <c r="Z8"/>
      <c r="AA8"/>
    </row>
    <row r="9" spans="2:27">
      <c r="D9" s="11" t="s">
        <v>198</v>
      </c>
      <c r="E9" s="11">
        <v>0</v>
      </c>
      <c r="F9" s="11">
        <v>3</v>
      </c>
      <c r="O9" s="11" t="s">
        <v>611</v>
      </c>
      <c r="P9" s="11" t="s">
        <v>612</v>
      </c>
      <c r="Q9" s="11">
        <v>0</v>
      </c>
      <c r="R9" s="11">
        <v>0</v>
      </c>
      <c r="S9" s="11" t="s">
        <v>616</v>
      </c>
      <c r="T9" s="11" t="s">
        <v>617</v>
      </c>
    </row>
    <row r="10" spans="2:27">
      <c r="D10" s="11" t="s">
        <v>201</v>
      </c>
      <c r="E10" s="11">
        <v>0</v>
      </c>
      <c r="F10" s="11">
        <v>5</v>
      </c>
    </row>
    <row r="11" spans="2:27">
      <c r="D11" s="11" t="s">
        <v>211</v>
      </c>
      <c r="E11" s="11">
        <v>0</v>
      </c>
      <c r="F11" s="11">
        <v>3</v>
      </c>
    </row>
    <row r="14" spans="2:27">
      <c r="B14" s="14" t="s">
        <v>62</v>
      </c>
      <c r="G14" s="14"/>
      <c r="H14" s="14"/>
      <c r="I14" s="14"/>
    </row>
    <row r="15" spans="2:27">
      <c r="B15" s="15" t="s">
        <v>48</v>
      </c>
      <c r="C15" s="15" t="s">
        <v>49</v>
      </c>
      <c r="D15" s="15" t="s">
        <v>50</v>
      </c>
      <c r="E15" s="15" t="s">
        <v>63</v>
      </c>
      <c r="F15" s="15" t="s">
        <v>52</v>
      </c>
      <c r="G15" s="15" t="s">
        <v>64</v>
      </c>
      <c r="H15" s="15" t="s">
        <v>54</v>
      </c>
      <c r="I15" s="15" t="s">
        <v>55</v>
      </c>
    </row>
    <row r="16" spans="2:27">
      <c r="D16" s="11" t="s">
        <v>65</v>
      </c>
      <c r="F16" s="11">
        <v>2222</v>
      </c>
      <c r="G16" s="11" t="s">
        <v>66</v>
      </c>
    </row>
    <row r="17" spans="2:14">
      <c r="D17" s="11" t="s">
        <v>65</v>
      </c>
      <c r="F17" s="11">
        <v>8888</v>
      </c>
      <c r="G17" s="11" t="s">
        <v>67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4.25">
      <c r="B19" s="13"/>
      <c r="C19" s="13"/>
      <c r="D19" s="13"/>
      <c r="E19" s="13"/>
      <c r="F19" s="13"/>
      <c r="G19" s="13"/>
      <c r="H19" s="13"/>
      <c r="I19" s="13"/>
      <c r="J19" s="13"/>
      <c r="N19"/>
    </row>
    <row r="20" spans="2:14" ht="14.25">
      <c r="B20" s="13"/>
      <c r="C20" s="13"/>
      <c r="D20" s="13"/>
      <c r="E20" s="13"/>
      <c r="F20" s="13"/>
      <c r="G20" s="13"/>
      <c r="H20" s="13"/>
      <c r="I20" s="13"/>
      <c r="J20" s="13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4"/>
  <sheetViews>
    <sheetView topLeftCell="A47" workbookViewId="0">
      <selection activeCell="I103" sqref="I10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9.5312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48</v>
      </c>
      <c r="F3" s="4" t="s">
        <v>50</v>
      </c>
      <c r="G3" s="4" t="s">
        <v>69</v>
      </c>
      <c r="H3" s="4" t="s">
        <v>183</v>
      </c>
      <c r="I3" s="4">
        <v>2022</v>
      </c>
      <c r="J3" s="4" t="s">
        <v>55</v>
      </c>
      <c r="L3" s="4" t="s">
        <v>79</v>
      </c>
      <c r="M3" s="4" t="s">
        <v>80</v>
      </c>
      <c r="N3" s="4" t="s">
        <v>81</v>
      </c>
    </row>
    <row r="4" spans="1:14" ht="12.75">
      <c r="A4" s="13"/>
      <c r="B4" s="11" t="s">
        <v>618</v>
      </c>
      <c r="C4" s="6"/>
      <c r="F4" s="11" t="s">
        <v>184</v>
      </c>
      <c r="I4" s="11">
        <v>0.1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134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72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73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74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75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76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78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71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82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85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87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90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93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95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97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99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101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103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106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109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112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114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116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118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121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123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124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126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128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130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132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133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134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135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136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137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138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139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140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141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142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143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144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145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146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147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148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149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150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151</v>
      </c>
      <c r="F54" s="11" t="s">
        <v>191</v>
      </c>
      <c r="H54" s="11" t="s">
        <v>137</v>
      </c>
      <c r="I54" s="11">
        <v>7.0000000000000007E-2</v>
      </c>
    </row>
    <row r="55" spans="2:9" ht="13.15">
      <c r="B55" s="19" t="s">
        <v>152</v>
      </c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48</v>
      </c>
      <c r="F100" s="4" t="s">
        <v>50</v>
      </c>
      <c r="G100" s="4" t="s">
        <v>69</v>
      </c>
      <c r="H100" s="4" t="s">
        <v>183</v>
      </c>
      <c r="I100" s="4">
        <v>2022</v>
      </c>
      <c r="J100" s="4" t="s">
        <v>55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  <row r="103" spans="5:10" ht="12.75">
      <c r="F103" s="21" t="s">
        <v>189</v>
      </c>
      <c r="G103" s="21" t="s">
        <v>126</v>
      </c>
      <c r="H103" s="11" t="s">
        <v>618</v>
      </c>
      <c r="I103" s="11">
        <f>I48*0.65</f>
        <v>0.62724999999999997</v>
      </c>
    </row>
    <row r="104" spans="5:10" ht="14.25">
      <c r="F104" s="21" t="s">
        <v>191</v>
      </c>
      <c r="G104"/>
      <c r="H104" s="21" t="str">
        <f>H103</f>
        <v>MioNZDollar</v>
      </c>
      <c r="I104" s="22">
        <f>I86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62</v>
      </c>
    </row>
    <row r="4" spans="2:4" ht="15" thickTop="1" thickBot="1">
      <c r="B4" s="4" t="s">
        <v>50</v>
      </c>
      <c r="C4" s="4" t="s">
        <v>69</v>
      </c>
      <c r="D4" s="4" t="s">
        <v>52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2025-12-02T09:07:17Z</dcterms:modified>
</cp:coreProperties>
</file>