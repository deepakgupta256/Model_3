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Veda\Veda_models\NZL_EECA_VerveStacks\"/>
    </mc:Choice>
  </mc:AlternateContent>
  <xr:revisionPtr revIDLastSave="0" documentId="13_ncr:1_{3E014E7D-B357-4E80-BD99-3CEB9FB33675}" xr6:coauthVersionLast="47" xr6:coauthVersionMax="47" xr10:uidLastSave="{00000000-0000-0000-0000-000000000000}"/>
  <bookViews>
    <workbookView xWindow="-98" yWindow="-98" windowWidth="28996" windowHeight="17475" tabRatio="694" firstSheet="1" activeTab="7" xr2:uid="{00000000-000D-0000-FFFF-FFFF00000000}"/>
  </bookViews>
  <sheets>
    <sheet name="Documentation" sheetId="170" r:id="rId1"/>
    <sheet name="EB1" sheetId="133" r:id="rId2"/>
    <sheet name="PROC_COM_AGR" sheetId="163" r:id="rId3"/>
    <sheet name="AGR_fuels" sheetId="162" r:id="rId4"/>
    <sheet name="AGR" sheetId="164" r:id="rId5"/>
    <sheet name="RES_techs_coms" sheetId="166" r:id="rId6"/>
    <sheet name="RES_fuel_dem" sheetId="167" r:id="rId7"/>
    <sheet name="RES" sheetId="169" r:id="rId8"/>
    <sheet name="COM_techs" sheetId="159" r:id="rId9"/>
    <sheet name="COM_fuels" sheetId="160" r:id="rId10"/>
    <sheet name="COM" sheetId="165" r:id="rId11"/>
    <sheet name="Emi" sheetId="149" r:id="rId12"/>
    <sheet name="Matrices" sheetId="15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8" hidden="1">COM_techs!$S$5:$S$299</definedName>
    <definedName name="FID_1">[1]AGR_Fuels!$A$2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 localSheetId="10">#REF!</definedName>
    <definedName name="hydro_temp" localSheetId="7">#REF!</definedName>
    <definedName name="hydro_temp">#REF!</definedName>
    <definedName name="input_05" localSheetId="10">#REF!</definedName>
    <definedName name="input_05" localSheetId="7">#REF!</definedName>
    <definedName name="input_05">#REF!</definedName>
    <definedName name="last" localSheetId="10">#REF!</definedName>
    <definedName name="last" localSheetId="7">#REF!</definedName>
    <definedName name="last">#REF!</definedName>
    <definedName name="latest_year">'[2]MACRO ECONOMIC DATA'!$D$133</definedName>
    <definedName name="March_Years">OFFSET('[3]Demand - MY'!$A$11,0,0,COUNTA('[3]Demand - MY'!$A$11:$A$799),1)</definedName>
    <definedName name="MWhtoPJ">0.0000036</definedName>
    <definedName name="Net_generation">[4]StationID!$N$3:$Q$153</definedName>
    <definedName name="NZ_HES_description" localSheetId="10">#REF!</definedName>
    <definedName name="NZ_HES_description" localSheetId="7">#REF!</definedName>
    <definedName name="NZ_HES_description">#REF!</definedName>
    <definedName name="PJfromGWh">277.778</definedName>
    <definedName name="Print_it" localSheetId="10">[5]!Print_it</definedName>
    <definedName name="Print_it">[5]!Print_it</definedName>
    <definedName name="Quarters">OFFSET('[3]Primary Energy - Q'!$A$11,0,0,COUNTA('[3]Primary Energy - Q'!$A$11:$A$793),1)</definedName>
    <definedName name="Technical_Notes_..." localSheetId="10">#REF!</definedName>
    <definedName name="Technical_Notes_..." localSheetId="7">#REF!</definedName>
    <definedName name="Technical_Notes_...">#REF!</definedName>
    <definedName name="temp" localSheetId="10">#REF!</definedName>
    <definedName name="temp" localSheetId="7">#REF!</definedName>
    <definedName name="temp">#REF!</definedName>
    <definedName name="TWhtoPJ">3.6</definedName>
    <definedName name="Years">OFFSET('[3]Demand - DY'!$A$11,0,0,COUNTA('[3]Demand - DY'!$A$11:$A$98),1)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166" l="1"/>
  <c r="V18" i="166"/>
  <c r="V19" i="166"/>
  <c r="V20" i="166"/>
  <c r="V21" i="166"/>
  <c r="V22" i="166"/>
  <c r="V23" i="166"/>
  <c r="V24" i="166"/>
  <c r="V25" i="166"/>
  <c r="V26" i="166"/>
  <c r="V27" i="166"/>
  <c r="V28" i="166"/>
  <c r="V29" i="166"/>
  <c r="V30" i="166"/>
  <c r="V31" i="166"/>
  <c r="V32" i="166"/>
  <c r="V33" i="166"/>
  <c r="V34" i="166"/>
  <c r="V35" i="166"/>
  <c r="V36" i="166"/>
  <c r="V37" i="166"/>
  <c r="V38" i="166"/>
  <c r="V39" i="166"/>
  <c r="V40" i="166"/>
  <c r="V41" i="166"/>
  <c r="V42" i="166"/>
  <c r="V43" i="166"/>
  <c r="V44" i="166"/>
  <c r="V45" i="166"/>
  <c r="V46" i="166"/>
  <c r="V47" i="166"/>
  <c r="V48" i="166"/>
  <c r="V49" i="166"/>
  <c r="V50" i="166"/>
  <c r="V51" i="166"/>
  <c r="V52" i="166"/>
  <c r="V53" i="166"/>
  <c r="V54" i="166"/>
  <c r="V55" i="166"/>
  <c r="V56" i="166"/>
  <c r="V57" i="166"/>
  <c r="V58" i="166"/>
  <c r="V59" i="166"/>
  <c r="V60" i="166"/>
  <c r="V61" i="166"/>
  <c r="V62" i="166"/>
  <c r="V63" i="166"/>
  <c r="V16" i="166"/>
  <c r="V9" i="166"/>
  <c r="V10" i="166"/>
  <c r="V11" i="166"/>
  <c r="V12" i="166"/>
  <c r="V13" i="166"/>
  <c r="V14" i="166"/>
  <c r="V15" i="166"/>
  <c r="V8" i="166"/>
  <c r="X9" i="162"/>
  <c r="X10" i="162"/>
  <c r="X11" i="162"/>
  <c r="X12" i="162"/>
  <c r="X13" i="162"/>
  <c r="X14" i="162"/>
  <c r="X8" i="162"/>
  <c r="X9" i="163"/>
  <c r="X10" i="163"/>
  <c r="X11" i="163"/>
  <c r="X12" i="163"/>
  <c r="X13" i="163"/>
  <c r="X14" i="163"/>
  <c r="X15" i="163"/>
  <c r="X16" i="163"/>
  <c r="X17" i="163"/>
  <c r="X18" i="163"/>
  <c r="X19" i="163"/>
  <c r="X20" i="163"/>
  <c r="X21" i="163"/>
  <c r="X22" i="163"/>
  <c r="X23" i="163"/>
  <c r="X24" i="163"/>
  <c r="X25" i="163"/>
  <c r="X26" i="163"/>
  <c r="X27" i="163"/>
  <c r="X28" i="163"/>
  <c r="X29" i="163"/>
  <c r="X30" i="163"/>
  <c r="X31" i="163"/>
  <c r="X32" i="163"/>
  <c r="X33" i="163"/>
  <c r="X34" i="163"/>
  <c r="X35" i="163"/>
  <c r="X36" i="163"/>
  <c r="X37" i="163"/>
  <c r="X38" i="163"/>
  <c r="X39" i="163"/>
  <c r="X40" i="163"/>
  <c r="X41" i="163"/>
  <c r="X42" i="163"/>
  <c r="X43" i="163"/>
  <c r="X44" i="163"/>
  <c r="X45" i="163"/>
  <c r="X46" i="163"/>
  <c r="X47" i="163"/>
  <c r="X48" i="163"/>
  <c r="X49" i="163"/>
  <c r="X50" i="163"/>
  <c r="X51" i="163"/>
  <c r="X8" i="163"/>
  <c r="U79" i="159"/>
  <c r="U18" i="159"/>
  <c r="U19" i="159"/>
  <c r="U20" i="159"/>
  <c r="U21" i="159"/>
  <c r="U22" i="159"/>
  <c r="U23" i="159"/>
  <c r="U24" i="159"/>
  <c r="U25" i="159"/>
  <c r="U26" i="159"/>
  <c r="U27" i="159"/>
  <c r="U28" i="159"/>
  <c r="U29" i="159"/>
  <c r="U30" i="159"/>
  <c r="U31" i="159"/>
  <c r="U32" i="159"/>
  <c r="U33" i="159"/>
  <c r="U34" i="159"/>
  <c r="U35" i="159"/>
  <c r="U36" i="159"/>
  <c r="U37" i="159"/>
  <c r="U38" i="159"/>
  <c r="U39" i="159"/>
  <c r="U40" i="159"/>
  <c r="U41" i="159"/>
  <c r="U42" i="159"/>
  <c r="U43" i="159"/>
  <c r="U44" i="159"/>
  <c r="U45" i="159"/>
  <c r="U46" i="159"/>
  <c r="U47" i="159"/>
  <c r="U48" i="159"/>
  <c r="U49" i="159"/>
  <c r="U50" i="159"/>
  <c r="U51" i="159"/>
  <c r="U52" i="159"/>
  <c r="U53" i="159"/>
  <c r="U54" i="159"/>
  <c r="U55" i="159"/>
  <c r="U56" i="159"/>
  <c r="U57" i="159"/>
  <c r="U58" i="159"/>
  <c r="U59" i="159"/>
  <c r="U60" i="159"/>
  <c r="U61" i="159"/>
  <c r="U62" i="159"/>
  <c r="U63" i="159"/>
  <c r="U64" i="159"/>
  <c r="U65" i="159"/>
  <c r="U66" i="159"/>
  <c r="U67" i="159"/>
  <c r="U68" i="159"/>
  <c r="U69" i="159"/>
  <c r="U70" i="159"/>
  <c r="U71" i="159"/>
  <c r="U72" i="159"/>
  <c r="U73" i="159"/>
  <c r="U74" i="159"/>
  <c r="U75" i="159"/>
  <c r="U76" i="159"/>
  <c r="U77" i="159"/>
  <c r="U78" i="159"/>
  <c r="U80" i="159"/>
  <c r="U81" i="159"/>
  <c r="U82" i="159"/>
  <c r="U83" i="159"/>
  <c r="U84" i="159"/>
  <c r="U85" i="159"/>
  <c r="U86" i="159"/>
  <c r="U87" i="159"/>
  <c r="U88" i="159"/>
  <c r="U89" i="159"/>
  <c r="U90" i="159"/>
  <c r="U91" i="159"/>
  <c r="U92" i="159"/>
  <c r="U93" i="159"/>
  <c r="U94" i="159"/>
  <c r="U95" i="159"/>
  <c r="U96" i="159"/>
  <c r="U97" i="159"/>
  <c r="U98" i="159"/>
  <c r="U99" i="159"/>
  <c r="U100" i="159"/>
  <c r="U101" i="159"/>
  <c r="U102" i="159"/>
  <c r="U103" i="159"/>
  <c r="U104" i="159"/>
  <c r="U105" i="159"/>
  <c r="U106" i="159"/>
  <c r="U107" i="159"/>
  <c r="U108" i="159"/>
  <c r="U109" i="159"/>
  <c r="U110" i="159"/>
  <c r="U111" i="159"/>
  <c r="U112" i="159"/>
  <c r="U113" i="159"/>
  <c r="U114" i="159"/>
  <c r="U115" i="159"/>
  <c r="U116" i="159"/>
  <c r="U117" i="159"/>
  <c r="U118" i="159"/>
  <c r="U119" i="159"/>
  <c r="U120" i="159"/>
  <c r="U121" i="159"/>
  <c r="U122" i="159"/>
  <c r="U123" i="159"/>
  <c r="U124" i="159"/>
  <c r="U125" i="159"/>
  <c r="U126" i="159"/>
  <c r="U127" i="159"/>
  <c r="U128" i="159"/>
  <c r="U17" i="159"/>
  <c r="U8" i="159"/>
  <c r="U9" i="159"/>
  <c r="U10" i="159"/>
  <c r="U11" i="159"/>
  <c r="U12" i="159"/>
  <c r="U13" i="159"/>
  <c r="U14" i="159"/>
  <c r="U15" i="159"/>
  <c r="U16" i="159"/>
  <c r="U7" i="159"/>
  <c r="E8" i="159"/>
  <c r="E9" i="159"/>
  <c r="E10" i="159"/>
  <c r="E11" i="159"/>
  <c r="E12" i="159"/>
  <c r="E13" i="159"/>
  <c r="E14" i="159"/>
  <c r="E15" i="159"/>
  <c r="E16" i="159"/>
  <c r="E17" i="159"/>
  <c r="E18" i="159"/>
  <c r="E19" i="159"/>
  <c r="E20" i="159"/>
  <c r="E21" i="159"/>
  <c r="E22" i="159"/>
  <c r="E23" i="159"/>
  <c r="E24" i="159"/>
  <c r="E25" i="159"/>
  <c r="E26" i="159"/>
  <c r="E27" i="159"/>
  <c r="E28" i="159"/>
  <c r="E29" i="159"/>
  <c r="E30" i="159"/>
  <c r="E31" i="159"/>
  <c r="E32" i="159"/>
  <c r="E33" i="159"/>
  <c r="E34" i="159"/>
  <c r="E35" i="159"/>
  <c r="E36" i="159"/>
  <c r="E37" i="159"/>
  <c r="E38" i="159"/>
  <c r="E39" i="159"/>
  <c r="E40" i="159"/>
  <c r="E41" i="159"/>
  <c r="E42" i="159"/>
  <c r="E43" i="159"/>
  <c r="E44" i="159"/>
  <c r="E45" i="159"/>
  <c r="E46" i="159"/>
  <c r="E47" i="159"/>
  <c r="E48" i="159"/>
  <c r="E49" i="159"/>
  <c r="E50" i="159"/>
  <c r="E51" i="159"/>
  <c r="E52" i="159"/>
  <c r="E53" i="159"/>
  <c r="E54" i="159"/>
  <c r="E55" i="159"/>
  <c r="E56" i="159"/>
  <c r="E57" i="159"/>
  <c r="E7" i="159"/>
  <c r="F9" i="166"/>
  <c r="F10" i="166"/>
  <c r="F11" i="166"/>
  <c r="F12" i="166"/>
  <c r="F13" i="166"/>
  <c r="F14" i="166"/>
  <c r="F15" i="166"/>
  <c r="F16" i="166"/>
  <c r="F17" i="166"/>
  <c r="F18" i="166"/>
  <c r="F19" i="166"/>
  <c r="F20" i="166"/>
  <c r="F21" i="166"/>
  <c r="F22" i="166"/>
  <c r="F23" i="166"/>
  <c r="F24" i="166"/>
  <c r="F25" i="166"/>
  <c r="F26" i="166"/>
  <c r="F27" i="166"/>
  <c r="F28" i="166"/>
  <c r="F29" i="166"/>
  <c r="F30" i="166"/>
  <c r="F31" i="166"/>
  <c r="F32" i="166"/>
  <c r="F33" i="166"/>
  <c r="F34" i="166"/>
  <c r="F35" i="166"/>
  <c r="F36" i="166"/>
  <c r="F37" i="166"/>
  <c r="F38" i="166"/>
  <c r="F39" i="166"/>
  <c r="F40" i="166"/>
  <c r="F41" i="166"/>
  <c r="F8" i="166"/>
  <c r="G8" i="162"/>
  <c r="G9" i="162"/>
  <c r="G10" i="162"/>
  <c r="G11" i="162"/>
  <c r="G12" i="162"/>
  <c r="G13" i="162"/>
  <c r="G14" i="162"/>
  <c r="G7" i="162"/>
  <c r="G8" i="163"/>
  <c r="G9" i="163"/>
  <c r="G10" i="163"/>
  <c r="G11" i="163"/>
  <c r="G12" i="163"/>
  <c r="G13" i="163"/>
  <c r="G14" i="163"/>
  <c r="G15" i="163"/>
  <c r="G16" i="163"/>
  <c r="G17" i="163"/>
  <c r="G18" i="163"/>
  <c r="G19" i="163"/>
  <c r="G20" i="163"/>
  <c r="G21" i="163"/>
  <c r="G22" i="163"/>
  <c r="G23" i="163"/>
  <c r="G24" i="163"/>
  <c r="G25" i="163"/>
  <c r="G26" i="163"/>
  <c r="G27" i="163"/>
  <c r="G28" i="163"/>
  <c r="G29" i="163"/>
  <c r="G30" i="163"/>
  <c r="G31" i="163"/>
  <c r="G32" i="163"/>
  <c r="G33" i="163"/>
  <c r="G34" i="163"/>
  <c r="G35" i="163"/>
  <c r="G36" i="163"/>
  <c r="G37" i="163"/>
  <c r="G38" i="163"/>
  <c r="G39" i="163"/>
  <c r="G40" i="163"/>
  <c r="G41" i="163"/>
  <c r="G7" i="163"/>
  <c r="Y12" i="162" l="1"/>
  <c r="D29" i="162"/>
  <c r="D28" i="162"/>
  <c r="D27" i="162"/>
  <c r="B28" i="162"/>
  <c r="S13" i="162" s="1"/>
  <c r="Y14" i="162"/>
  <c r="Y13" i="162"/>
  <c r="Y11" i="162"/>
  <c r="Y10" i="162"/>
  <c r="Y9" i="162"/>
  <c r="C7" i="169"/>
  <c r="Q16" i="166" s="1"/>
  <c r="D7" i="169"/>
  <c r="W16" i="166" s="1"/>
  <c r="E7" i="169"/>
  <c r="F7" i="169"/>
  <c r="G7" i="169"/>
  <c r="H7" i="169"/>
  <c r="L7" i="169" s="1"/>
  <c r="I7" i="169" s="1"/>
  <c r="J7" i="169"/>
  <c r="S7" i="169"/>
  <c r="C8" i="169"/>
  <c r="Q17" i="166" s="1"/>
  <c r="D8" i="169"/>
  <c r="W17" i="166" s="1"/>
  <c r="E8" i="169"/>
  <c r="F8" i="169"/>
  <c r="G8" i="169"/>
  <c r="H8" i="169"/>
  <c r="L8" i="169" s="1"/>
  <c r="I8" i="169" s="1"/>
  <c r="J8" i="169"/>
  <c r="O8" i="169"/>
  <c r="P8" i="169"/>
  <c r="C9" i="169"/>
  <c r="Q18" i="166" s="1"/>
  <c r="D9" i="169"/>
  <c r="W18" i="166" s="1"/>
  <c r="E9" i="169"/>
  <c r="F9" i="169"/>
  <c r="G9" i="169"/>
  <c r="H9" i="169"/>
  <c r="L9" i="169" s="1"/>
  <c r="I9" i="169" s="1"/>
  <c r="C10" i="169"/>
  <c r="Q19" i="166" s="1"/>
  <c r="D10" i="169"/>
  <c r="W19" i="166" s="1"/>
  <c r="E10" i="169"/>
  <c r="F10" i="169"/>
  <c r="G10" i="169"/>
  <c r="H10" i="169"/>
  <c r="L10" i="169" s="1"/>
  <c r="I10" i="169" s="1"/>
  <c r="C11" i="169"/>
  <c r="Q20" i="166" s="1"/>
  <c r="D11" i="169"/>
  <c r="W20" i="166" s="1"/>
  <c r="E11" i="169"/>
  <c r="F11" i="169"/>
  <c r="G11" i="169"/>
  <c r="H11" i="169"/>
  <c r="L11" i="169" s="1"/>
  <c r="I11" i="169" s="1"/>
  <c r="J11" i="169"/>
  <c r="C12" i="169"/>
  <c r="Q21" i="166" s="1"/>
  <c r="D12" i="169"/>
  <c r="W21" i="166" s="1"/>
  <c r="E12" i="169"/>
  <c r="F12" i="169"/>
  <c r="G12" i="169"/>
  <c r="H12" i="169"/>
  <c r="L12" i="169" s="1"/>
  <c r="I12" i="169" s="1"/>
  <c r="J12" i="169"/>
  <c r="C13" i="169"/>
  <c r="Q22" i="166" s="1"/>
  <c r="D13" i="169"/>
  <c r="W22" i="166" s="1"/>
  <c r="E13" i="169"/>
  <c r="F13" i="169"/>
  <c r="G13" i="169"/>
  <c r="H13" i="169"/>
  <c r="L13" i="169" s="1"/>
  <c r="I13" i="169" s="1"/>
  <c r="J13" i="169"/>
  <c r="C14" i="169"/>
  <c r="Q23" i="166" s="1"/>
  <c r="D14" i="169"/>
  <c r="W23" i="166" s="1"/>
  <c r="E14" i="169"/>
  <c r="F14" i="169"/>
  <c r="G14" i="169"/>
  <c r="H14" i="169"/>
  <c r="L14" i="169" s="1"/>
  <c r="I14" i="169" s="1"/>
  <c r="J14" i="169"/>
  <c r="O14" i="169"/>
  <c r="C15" i="169"/>
  <c r="Q24" i="166" s="1"/>
  <c r="D15" i="169"/>
  <c r="W24" i="166" s="1"/>
  <c r="E15" i="169"/>
  <c r="F15" i="169"/>
  <c r="G15" i="169"/>
  <c r="H15" i="169"/>
  <c r="L15" i="169" s="1"/>
  <c r="I15" i="169" s="1"/>
  <c r="J15" i="169"/>
  <c r="O15" i="169"/>
  <c r="C16" i="169"/>
  <c r="Q25" i="166" s="1"/>
  <c r="D16" i="169"/>
  <c r="W25" i="166" s="1"/>
  <c r="E16" i="169"/>
  <c r="F16" i="169"/>
  <c r="G16" i="169"/>
  <c r="H16" i="169"/>
  <c r="L16" i="169" s="1"/>
  <c r="I16" i="169" s="1"/>
  <c r="J16" i="169"/>
  <c r="C17" i="169"/>
  <c r="Q26" i="166" s="1"/>
  <c r="D17" i="169"/>
  <c r="W26" i="166" s="1"/>
  <c r="E17" i="169"/>
  <c r="F17" i="169"/>
  <c r="G17" i="169"/>
  <c r="J17" i="169"/>
  <c r="L17" i="169"/>
  <c r="C18" i="169"/>
  <c r="Q27" i="166" s="1"/>
  <c r="D18" i="169"/>
  <c r="W27" i="166" s="1"/>
  <c r="E18" i="169"/>
  <c r="F18" i="169"/>
  <c r="G18" i="169"/>
  <c r="J18" i="169"/>
  <c r="L18" i="169"/>
  <c r="I18" i="169" s="1"/>
  <c r="C19" i="169"/>
  <c r="Q28" i="166" s="1"/>
  <c r="D19" i="169"/>
  <c r="W28" i="166" s="1"/>
  <c r="E19" i="169"/>
  <c r="F19" i="169"/>
  <c r="G19" i="169"/>
  <c r="J19" i="169"/>
  <c r="L19" i="169"/>
  <c r="I19" i="169" s="1"/>
  <c r="P19" i="169"/>
  <c r="C20" i="169"/>
  <c r="Q29" i="166" s="1"/>
  <c r="D20" i="169"/>
  <c r="W29" i="166" s="1"/>
  <c r="E20" i="169"/>
  <c r="F20" i="169"/>
  <c r="G20" i="169"/>
  <c r="H20" i="169"/>
  <c r="J20" i="169"/>
  <c r="L20" i="169"/>
  <c r="I20" i="169" s="1"/>
  <c r="C21" i="169"/>
  <c r="Q30" i="166" s="1"/>
  <c r="D21" i="169"/>
  <c r="W30" i="166" s="1"/>
  <c r="E21" i="169"/>
  <c r="F21" i="169"/>
  <c r="G21" i="169"/>
  <c r="J21" i="169"/>
  <c r="L21" i="169"/>
  <c r="I21" i="169" s="1"/>
  <c r="C22" i="169"/>
  <c r="Q31" i="166" s="1"/>
  <c r="D22" i="169"/>
  <c r="W31" i="166" s="1"/>
  <c r="E22" i="169"/>
  <c r="F22" i="169"/>
  <c r="G22" i="169"/>
  <c r="H22" i="169"/>
  <c r="L22" i="169" s="1"/>
  <c r="I22" i="169" s="1"/>
  <c r="J22" i="169"/>
  <c r="O22" i="169"/>
  <c r="C23" i="169"/>
  <c r="Q32" i="166" s="1"/>
  <c r="D23" i="169"/>
  <c r="W32" i="166" s="1"/>
  <c r="E23" i="169"/>
  <c r="F23" i="169"/>
  <c r="G23" i="169"/>
  <c r="H23" i="169"/>
  <c r="L23" i="169" s="1"/>
  <c r="I23" i="169" s="1"/>
  <c r="J23" i="169"/>
  <c r="O23" i="169"/>
  <c r="P23" i="169"/>
  <c r="C24" i="169"/>
  <c r="Q33" i="166" s="1"/>
  <c r="D24" i="169"/>
  <c r="W33" i="166" s="1"/>
  <c r="E24" i="169"/>
  <c r="F24" i="169"/>
  <c r="G24" i="169"/>
  <c r="H24" i="169"/>
  <c r="L24" i="169" s="1"/>
  <c r="I24" i="169" s="1"/>
  <c r="J24" i="169"/>
  <c r="O24" i="169"/>
  <c r="C25" i="169"/>
  <c r="Q34" i="166" s="1"/>
  <c r="D25" i="169"/>
  <c r="W34" i="166" s="1"/>
  <c r="E25" i="169"/>
  <c r="F25" i="169"/>
  <c r="G25" i="169"/>
  <c r="H25" i="169"/>
  <c r="J25" i="169"/>
  <c r="L25" i="169"/>
  <c r="I25" i="169" s="1"/>
  <c r="O25" i="169"/>
  <c r="C26" i="169"/>
  <c r="Q35" i="166" s="1"/>
  <c r="D26" i="169"/>
  <c r="W35" i="166" s="1"/>
  <c r="E26" i="169"/>
  <c r="F26" i="169"/>
  <c r="G26" i="169"/>
  <c r="H26" i="169"/>
  <c r="L26" i="169" s="1"/>
  <c r="I26" i="169" s="1"/>
  <c r="J26" i="169"/>
  <c r="O26" i="169"/>
  <c r="C27" i="169"/>
  <c r="Q36" i="166" s="1"/>
  <c r="D27" i="169"/>
  <c r="W36" i="166" s="1"/>
  <c r="E27" i="169"/>
  <c r="F27" i="169"/>
  <c r="G27" i="169"/>
  <c r="H27" i="169"/>
  <c r="L27" i="169" s="1"/>
  <c r="I27" i="169" s="1"/>
  <c r="J27" i="169"/>
  <c r="O27" i="169"/>
  <c r="C28" i="169"/>
  <c r="Q37" i="166" s="1"/>
  <c r="D28" i="169"/>
  <c r="W37" i="166" s="1"/>
  <c r="E28" i="169"/>
  <c r="F28" i="169"/>
  <c r="G28" i="169"/>
  <c r="H28" i="169"/>
  <c r="L28" i="169" s="1"/>
  <c r="I28" i="169" s="1"/>
  <c r="J28" i="169"/>
  <c r="O28" i="169"/>
  <c r="C29" i="169"/>
  <c r="Q38" i="166" s="1"/>
  <c r="D29" i="169"/>
  <c r="W38" i="166" s="1"/>
  <c r="E29" i="169"/>
  <c r="F29" i="169"/>
  <c r="G29" i="169"/>
  <c r="H29" i="169"/>
  <c r="J29" i="169"/>
  <c r="L29" i="169"/>
  <c r="I29" i="169" s="1"/>
  <c r="O29" i="169"/>
  <c r="C30" i="169"/>
  <c r="Q39" i="166" s="1"/>
  <c r="D30" i="169"/>
  <c r="W39" i="166" s="1"/>
  <c r="E30" i="169"/>
  <c r="F30" i="169"/>
  <c r="G30" i="169"/>
  <c r="H30" i="169"/>
  <c r="L30" i="169" s="1"/>
  <c r="I30" i="169" s="1"/>
  <c r="J30" i="169"/>
  <c r="O30" i="169"/>
  <c r="C31" i="169"/>
  <c r="Q40" i="166" s="1"/>
  <c r="D31" i="169"/>
  <c r="W40" i="166" s="1"/>
  <c r="E31" i="169"/>
  <c r="F31" i="169"/>
  <c r="G31" i="169"/>
  <c r="H31" i="169"/>
  <c r="L31" i="169" s="1"/>
  <c r="I31" i="169" s="1"/>
  <c r="J31" i="169"/>
  <c r="O31" i="169"/>
  <c r="C32" i="169"/>
  <c r="Q41" i="166" s="1"/>
  <c r="D32" i="169"/>
  <c r="W41" i="166" s="1"/>
  <c r="E32" i="169"/>
  <c r="F32" i="169"/>
  <c r="G32" i="169"/>
  <c r="H32" i="169"/>
  <c r="L32" i="169" s="1"/>
  <c r="I32" i="169" s="1"/>
  <c r="J32" i="169"/>
  <c r="O32" i="169"/>
  <c r="C33" i="169"/>
  <c r="Q42" i="166" s="1"/>
  <c r="D33" i="169"/>
  <c r="W42" i="166" s="1"/>
  <c r="E33" i="169"/>
  <c r="F33" i="169"/>
  <c r="G33" i="169"/>
  <c r="H33" i="169"/>
  <c r="L33" i="169" s="1"/>
  <c r="I33" i="169" s="1"/>
  <c r="J33" i="169"/>
  <c r="O33" i="169"/>
  <c r="C34" i="169"/>
  <c r="Q43" i="166" s="1"/>
  <c r="D34" i="169"/>
  <c r="W43" i="166" s="1"/>
  <c r="E34" i="169"/>
  <c r="F34" i="169"/>
  <c r="G34" i="169"/>
  <c r="H34" i="169"/>
  <c r="J34" i="169"/>
  <c r="L34" i="169"/>
  <c r="I34" i="169" s="1"/>
  <c r="O34" i="169"/>
  <c r="C35" i="169"/>
  <c r="Q44" i="166" s="1"/>
  <c r="D35" i="169"/>
  <c r="W44" i="166" s="1"/>
  <c r="E35" i="169"/>
  <c r="F35" i="169"/>
  <c r="G35" i="169"/>
  <c r="H35" i="169"/>
  <c r="L35" i="169" s="1"/>
  <c r="I35" i="169" s="1"/>
  <c r="J35" i="169"/>
  <c r="O35" i="169"/>
  <c r="P35" i="169"/>
  <c r="C36" i="169"/>
  <c r="Q45" i="166" s="1"/>
  <c r="D36" i="169"/>
  <c r="W45" i="166" s="1"/>
  <c r="E36" i="169"/>
  <c r="F36" i="169"/>
  <c r="G36" i="169"/>
  <c r="H36" i="169"/>
  <c r="L36" i="169" s="1"/>
  <c r="I36" i="169" s="1"/>
  <c r="C37" i="169"/>
  <c r="Q46" i="166" s="1"/>
  <c r="D37" i="169"/>
  <c r="W46" i="166" s="1"/>
  <c r="E37" i="169"/>
  <c r="F37" i="169"/>
  <c r="G37" i="169"/>
  <c r="H37" i="169"/>
  <c r="J37" i="169"/>
  <c r="L37" i="169"/>
  <c r="I37" i="169" s="1"/>
  <c r="O37" i="169"/>
  <c r="C38" i="169"/>
  <c r="Q47" i="166" s="1"/>
  <c r="D38" i="169"/>
  <c r="W47" i="166" s="1"/>
  <c r="E38" i="169"/>
  <c r="F38" i="169"/>
  <c r="G38" i="169"/>
  <c r="H38" i="169"/>
  <c r="J38" i="169"/>
  <c r="L38" i="169"/>
  <c r="I38" i="169" s="1"/>
  <c r="O38" i="169"/>
  <c r="C39" i="169"/>
  <c r="Q48" i="166" s="1"/>
  <c r="D39" i="169"/>
  <c r="W48" i="166" s="1"/>
  <c r="E39" i="169"/>
  <c r="F39" i="169"/>
  <c r="G39" i="169"/>
  <c r="H39" i="169"/>
  <c r="L39" i="169" s="1"/>
  <c r="J39" i="169"/>
  <c r="C40" i="169"/>
  <c r="Q49" i="166" s="1"/>
  <c r="D40" i="169"/>
  <c r="W49" i="166" s="1"/>
  <c r="E40" i="169"/>
  <c r="F40" i="169"/>
  <c r="G40" i="169"/>
  <c r="H40" i="169"/>
  <c r="L40" i="169" s="1"/>
  <c r="I40" i="169" s="1"/>
  <c r="J40" i="169"/>
  <c r="C41" i="169"/>
  <c r="Q50" i="166" s="1"/>
  <c r="D41" i="169"/>
  <c r="W50" i="166" s="1"/>
  <c r="E41" i="169"/>
  <c r="F41" i="169"/>
  <c r="G41" i="169"/>
  <c r="J41" i="169"/>
  <c r="L41" i="169"/>
  <c r="I41" i="169" s="1"/>
  <c r="P41" i="169"/>
  <c r="C42" i="169"/>
  <c r="Q51" i="166" s="1"/>
  <c r="D42" i="169"/>
  <c r="W51" i="166" s="1"/>
  <c r="E42" i="169"/>
  <c r="F42" i="169"/>
  <c r="G42" i="169"/>
  <c r="H42" i="169"/>
  <c r="L42" i="169" s="1"/>
  <c r="I42" i="169" s="1"/>
  <c r="J42" i="169"/>
  <c r="O42" i="169"/>
  <c r="C43" i="169"/>
  <c r="Q52" i="166" s="1"/>
  <c r="D43" i="169"/>
  <c r="W52" i="166" s="1"/>
  <c r="E43" i="169"/>
  <c r="F43" i="169"/>
  <c r="G43" i="169"/>
  <c r="H43" i="169"/>
  <c r="L43" i="169" s="1"/>
  <c r="I43" i="169" s="1"/>
  <c r="J43" i="169"/>
  <c r="O43" i="169"/>
  <c r="P43" i="169"/>
  <c r="C44" i="169"/>
  <c r="Q53" i="166" s="1"/>
  <c r="D44" i="169"/>
  <c r="W53" i="166" s="1"/>
  <c r="E44" i="169"/>
  <c r="F44" i="169"/>
  <c r="G44" i="169"/>
  <c r="H44" i="169"/>
  <c r="L44" i="169" s="1"/>
  <c r="I44" i="169" s="1"/>
  <c r="J44" i="169"/>
  <c r="O44" i="169"/>
  <c r="C45" i="169"/>
  <c r="Q54" i="166" s="1"/>
  <c r="D45" i="169"/>
  <c r="W54" i="166" s="1"/>
  <c r="E45" i="169"/>
  <c r="F45" i="169"/>
  <c r="G45" i="169"/>
  <c r="H45" i="169"/>
  <c r="L45" i="169" s="1"/>
  <c r="I45" i="169" s="1"/>
  <c r="J45" i="169"/>
  <c r="O45" i="169"/>
  <c r="C46" i="169"/>
  <c r="Q55" i="166" s="1"/>
  <c r="D46" i="169"/>
  <c r="W55" i="166" s="1"/>
  <c r="E46" i="169"/>
  <c r="F46" i="169"/>
  <c r="G46" i="169"/>
  <c r="H46" i="169"/>
  <c r="L46" i="169" s="1"/>
  <c r="I46" i="169" s="1"/>
  <c r="J46" i="169"/>
  <c r="O46" i="169"/>
  <c r="C47" i="169"/>
  <c r="Q56" i="166" s="1"/>
  <c r="D47" i="169"/>
  <c r="W56" i="166" s="1"/>
  <c r="E47" i="169"/>
  <c r="F47" i="169"/>
  <c r="G47" i="169"/>
  <c r="H47" i="169"/>
  <c r="L47" i="169" s="1"/>
  <c r="I47" i="169" s="1"/>
  <c r="J47" i="169"/>
  <c r="O47" i="169"/>
  <c r="C48" i="169"/>
  <c r="Q57" i="166" s="1"/>
  <c r="D48" i="169"/>
  <c r="W57" i="166" s="1"/>
  <c r="E48" i="169"/>
  <c r="F48" i="169"/>
  <c r="G48" i="169"/>
  <c r="H48" i="169"/>
  <c r="L48" i="169" s="1"/>
  <c r="I48" i="169" s="1"/>
  <c r="J48" i="169"/>
  <c r="O48" i="169"/>
  <c r="C49" i="169"/>
  <c r="Q58" i="166" s="1"/>
  <c r="D49" i="169"/>
  <c r="W58" i="166" s="1"/>
  <c r="E49" i="169"/>
  <c r="F49" i="169"/>
  <c r="G49" i="169"/>
  <c r="H49" i="169"/>
  <c r="L49" i="169" s="1"/>
  <c r="I49" i="169" s="1"/>
  <c r="J49" i="169"/>
  <c r="O49" i="169"/>
  <c r="C50" i="169"/>
  <c r="Q59" i="166" s="1"/>
  <c r="D50" i="169"/>
  <c r="W59" i="166" s="1"/>
  <c r="E50" i="169"/>
  <c r="F50" i="169"/>
  <c r="G50" i="169"/>
  <c r="H50" i="169"/>
  <c r="L50" i="169" s="1"/>
  <c r="I50" i="169" s="1"/>
  <c r="J50" i="169"/>
  <c r="O50" i="169"/>
  <c r="C51" i="169"/>
  <c r="Q60" i="166" s="1"/>
  <c r="D51" i="169"/>
  <c r="W60" i="166" s="1"/>
  <c r="E51" i="169"/>
  <c r="F51" i="169"/>
  <c r="G51" i="169"/>
  <c r="H51" i="169"/>
  <c r="L51" i="169" s="1"/>
  <c r="I51" i="169" s="1"/>
  <c r="J51" i="169"/>
  <c r="O51" i="169"/>
  <c r="C52" i="169"/>
  <c r="Q61" i="166" s="1"/>
  <c r="D52" i="169"/>
  <c r="W61" i="166" s="1"/>
  <c r="E52" i="169"/>
  <c r="F52" i="169"/>
  <c r="G52" i="169"/>
  <c r="H52" i="169"/>
  <c r="L52" i="169" s="1"/>
  <c r="I52" i="169" s="1"/>
  <c r="J52" i="169"/>
  <c r="O52" i="169"/>
  <c r="C53" i="169"/>
  <c r="Q62" i="166" s="1"/>
  <c r="D53" i="169"/>
  <c r="W62" i="166" s="1"/>
  <c r="E53" i="169"/>
  <c r="F53" i="169"/>
  <c r="G53" i="169"/>
  <c r="H53" i="169"/>
  <c r="L53" i="169" s="1"/>
  <c r="I53" i="169" s="1"/>
  <c r="J53" i="169"/>
  <c r="O53" i="169"/>
  <c r="C54" i="169"/>
  <c r="Q63" i="166" s="1"/>
  <c r="D54" i="169"/>
  <c r="W63" i="166" s="1"/>
  <c r="E54" i="169"/>
  <c r="F54" i="169"/>
  <c r="G54" i="169"/>
  <c r="H54" i="169"/>
  <c r="L54" i="169" s="1"/>
  <c r="I54" i="169" s="1"/>
  <c r="J54" i="169"/>
  <c r="O54" i="169"/>
  <c r="P42" i="165" l="1"/>
  <c r="R42" i="165" s="1"/>
  <c r="O42" i="165" s="1"/>
  <c r="P41" i="165"/>
  <c r="P40" i="165"/>
  <c r="C43" i="167" l="1"/>
  <c r="D43" i="167" s="1"/>
  <c r="C42" i="167"/>
  <c r="D42" i="167" s="1"/>
  <c r="C41" i="167"/>
  <c r="D41" i="167" s="1"/>
  <c r="C40" i="167"/>
  <c r="D40" i="167" s="1"/>
  <c r="C39" i="167"/>
  <c r="D39" i="167" s="1"/>
  <c r="C38" i="167"/>
  <c r="D38" i="167" s="1"/>
  <c r="C37" i="167"/>
  <c r="D37" i="167" s="1"/>
  <c r="C36" i="167"/>
  <c r="D36" i="167" s="1"/>
  <c r="C35" i="167"/>
  <c r="D35" i="167" s="1"/>
  <c r="C34" i="167"/>
  <c r="D34" i="167" s="1"/>
  <c r="C33" i="167"/>
  <c r="D33" i="167" s="1"/>
  <c r="C32" i="167"/>
  <c r="D32" i="167" s="1"/>
  <c r="C31" i="167"/>
  <c r="D31" i="167" s="1"/>
  <c r="C30" i="167"/>
  <c r="D30" i="167" s="1"/>
  <c r="C29" i="167"/>
  <c r="D29" i="167" s="1"/>
  <c r="C28" i="167"/>
  <c r="D28" i="167" s="1"/>
  <c r="C27" i="167"/>
  <c r="D27" i="167" s="1"/>
  <c r="C26" i="167"/>
  <c r="D26" i="167" s="1"/>
  <c r="C25" i="167"/>
  <c r="D25" i="167" s="1"/>
  <c r="C24" i="167"/>
  <c r="D24" i="167" s="1"/>
  <c r="C23" i="167"/>
  <c r="D23" i="167" s="1"/>
  <c r="C22" i="167"/>
  <c r="D22" i="167" s="1"/>
  <c r="C21" i="167"/>
  <c r="D21" i="167" s="1"/>
  <c r="C20" i="167"/>
  <c r="D20" i="167" s="1"/>
  <c r="E20" i="167" s="1"/>
  <c r="F20" i="167" s="1"/>
  <c r="G20" i="167" s="1"/>
  <c r="H20" i="167" s="1"/>
  <c r="I20" i="167" s="1"/>
  <c r="J20" i="167" s="1"/>
  <c r="W15" i="166"/>
  <c r="Q15" i="166"/>
  <c r="C15" i="167" s="1"/>
  <c r="E15" i="167" s="1"/>
  <c r="W14" i="166"/>
  <c r="Q14" i="166"/>
  <c r="C14" i="167" s="1"/>
  <c r="E14" i="167" s="1"/>
  <c r="W13" i="166"/>
  <c r="Q13" i="166"/>
  <c r="C13" i="167" s="1"/>
  <c r="E13" i="167" s="1"/>
  <c r="W12" i="166"/>
  <c r="Q12" i="166"/>
  <c r="C12" i="167" s="1"/>
  <c r="E12" i="167" s="1"/>
  <c r="W11" i="166"/>
  <c r="Q11" i="166"/>
  <c r="C11" i="167" s="1"/>
  <c r="E11" i="167" s="1"/>
  <c r="W10" i="166"/>
  <c r="Q10" i="166"/>
  <c r="C10" i="167" s="1"/>
  <c r="E10" i="167" s="1"/>
  <c r="W9" i="166"/>
  <c r="Q9" i="166"/>
  <c r="C9" i="167" s="1"/>
  <c r="E9" i="167" s="1"/>
  <c r="W8" i="166"/>
  <c r="Q8" i="166"/>
  <c r="C7" i="167" s="1"/>
  <c r="E7" i="167" s="1"/>
  <c r="E33" i="167" l="1"/>
  <c r="F33" i="167" s="1"/>
  <c r="G33" i="167" s="1"/>
  <c r="H33" i="167" s="1"/>
  <c r="I33" i="167" s="1"/>
  <c r="J33" i="167" s="1"/>
  <c r="E41" i="167"/>
  <c r="F41" i="167" s="1"/>
  <c r="G41" i="167" s="1"/>
  <c r="H41" i="167" s="1"/>
  <c r="I41" i="167" s="1"/>
  <c r="J41" i="167" s="1"/>
  <c r="E25" i="167"/>
  <c r="F25" i="167" s="1"/>
  <c r="G25" i="167" s="1"/>
  <c r="H25" i="167" s="1"/>
  <c r="I25" i="167" s="1"/>
  <c r="J25" i="167" s="1"/>
  <c r="E37" i="167"/>
  <c r="F37" i="167" s="1"/>
  <c r="G37" i="167" s="1"/>
  <c r="H37" i="167" s="1"/>
  <c r="I37" i="167" s="1"/>
  <c r="J37" i="167" s="1"/>
  <c r="E34" i="167"/>
  <c r="F34" i="167" s="1"/>
  <c r="G34" i="167" s="1"/>
  <c r="H34" i="167" s="1"/>
  <c r="I34" i="167" s="1"/>
  <c r="J34" i="167" s="1"/>
  <c r="E42" i="167"/>
  <c r="F42" i="167" s="1"/>
  <c r="G42" i="167" s="1"/>
  <c r="H42" i="167" s="1"/>
  <c r="I42" i="167" s="1"/>
  <c r="J42" i="167" s="1"/>
  <c r="E35" i="167"/>
  <c r="F35" i="167" s="1"/>
  <c r="G35" i="167" s="1"/>
  <c r="H35" i="167" s="1"/>
  <c r="I35" i="167" s="1"/>
  <c r="J35" i="167" s="1"/>
  <c r="E43" i="167"/>
  <c r="F43" i="167" s="1"/>
  <c r="G43" i="167" s="1"/>
  <c r="H43" i="167" s="1"/>
  <c r="I43" i="167" s="1"/>
  <c r="J43" i="167" s="1"/>
  <c r="E38" i="167"/>
  <c r="F38" i="167" s="1"/>
  <c r="G38" i="167" s="1"/>
  <c r="H38" i="167" s="1"/>
  <c r="I38" i="167" s="1"/>
  <c r="J38" i="167" s="1"/>
  <c r="E39" i="167"/>
  <c r="F39" i="167" s="1"/>
  <c r="G39" i="167" s="1"/>
  <c r="H39" i="167" s="1"/>
  <c r="I39" i="167" s="1"/>
  <c r="J39" i="167" s="1"/>
  <c r="E21" i="167"/>
  <c r="F21" i="167" s="1"/>
  <c r="G21" i="167" s="1"/>
  <c r="H21" i="167" s="1"/>
  <c r="I21" i="167" s="1"/>
  <c r="J21" i="167" s="1"/>
  <c r="E22" i="167"/>
  <c r="F22" i="167" s="1"/>
  <c r="G22" i="167" s="1"/>
  <c r="H22" i="167" s="1"/>
  <c r="I22" i="167" s="1"/>
  <c r="J22" i="167" s="1"/>
  <c r="E26" i="167"/>
  <c r="F26" i="167" s="1"/>
  <c r="G26" i="167" s="1"/>
  <c r="H26" i="167" s="1"/>
  <c r="I26" i="167" s="1"/>
  <c r="J26" i="167" s="1"/>
  <c r="E30" i="167"/>
  <c r="F30" i="167" s="1"/>
  <c r="G30" i="167" s="1"/>
  <c r="H30" i="167" s="1"/>
  <c r="I30" i="167" s="1"/>
  <c r="J30" i="167" s="1"/>
  <c r="E29" i="167"/>
  <c r="F29" i="167" s="1"/>
  <c r="G29" i="167" s="1"/>
  <c r="H29" i="167" s="1"/>
  <c r="I29" i="167" s="1"/>
  <c r="J29" i="167" s="1"/>
  <c r="E23" i="167"/>
  <c r="F23" i="167" s="1"/>
  <c r="G23" i="167" s="1"/>
  <c r="H23" i="167" s="1"/>
  <c r="I23" i="167" s="1"/>
  <c r="J23" i="167" s="1"/>
  <c r="E27" i="167"/>
  <c r="F27" i="167" s="1"/>
  <c r="G27" i="167" s="1"/>
  <c r="H27" i="167" s="1"/>
  <c r="I27" i="167" s="1"/>
  <c r="J27" i="167" s="1"/>
  <c r="E31" i="167"/>
  <c r="F31" i="167" s="1"/>
  <c r="G31" i="167" s="1"/>
  <c r="H31" i="167" s="1"/>
  <c r="I31" i="167" s="1"/>
  <c r="J31" i="167" s="1"/>
  <c r="E24" i="167"/>
  <c r="F24" i="167" s="1"/>
  <c r="G24" i="167" s="1"/>
  <c r="H24" i="167" s="1"/>
  <c r="I24" i="167" s="1"/>
  <c r="J24" i="167" s="1"/>
  <c r="E28" i="167"/>
  <c r="F28" i="167" s="1"/>
  <c r="G28" i="167" s="1"/>
  <c r="H28" i="167" s="1"/>
  <c r="I28" i="167" s="1"/>
  <c r="J28" i="167" s="1"/>
  <c r="E32" i="167"/>
  <c r="F32" i="167" s="1"/>
  <c r="G32" i="167" s="1"/>
  <c r="H32" i="167" s="1"/>
  <c r="I32" i="167" s="1"/>
  <c r="J32" i="167" s="1"/>
  <c r="E36" i="167"/>
  <c r="F36" i="167" s="1"/>
  <c r="G36" i="167" s="1"/>
  <c r="H36" i="167" s="1"/>
  <c r="I36" i="167" s="1"/>
  <c r="J36" i="167" s="1"/>
  <c r="E40" i="167"/>
  <c r="F40" i="167" s="1"/>
  <c r="G40" i="167" s="1"/>
  <c r="H40" i="167" s="1"/>
  <c r="I40" i="167" s="1"/>
  <c r="J40" i="167" s="1"/>
  <c r="P121" i="165" l="1"/>
  <c r="R121" i="165" s="1"/>
  <c r="O121" i="165" s="1"/>
  <c r="P120" i="165"/>
  <c r="P119" i="165"/>
  <c r="R119" i="165" s="1"/>
  <c r="O119" i="165" s="1"/>
  <c r="P118" i="165"/>
  <c r="P117" i="165"/>
  <c r="P116" i="165"/>
  <c r="R116" i="165" s="1"/>
  <c r="O116" i="165" s="1"/>
  <c r="P115" i="165"/>
  <c r="R115" i="165" s="1"/>
  <c r="O115" i="165" s="1"/>
  <c r="P114" i="165"/>
  <c r="R114" i="165" s="1"/>
  <c r="O114" i="165" s="1"/>
  <c r="P113" i="165"/>
  <c r="R113" i="165" s="1"/>
  <c r="O113" i="165" s="1"/>
  <c r="P112" i="165"/>
  <c r="R112" i="165" s="1"/>
  <c r="O112" i="165" s="1"/>
  <c r="P111" i="165"/>
  <c r="R111" i="165" s="1"/>
  <c r="O111" i="165" s="1"/>
  <c r="P110" i="165"/>
  <c r="R110" i="165" s="1"/>
  <c r="O110" i="165" s="1"/>
  <c r="P109" i="165"/>
  <c r="R109" i="165" s="1"/>
  <c r="O109" i="165" s="1"/>
  <c r="P108" i="165"/>
  <c r="P107" i="165"/>
  <c r="R107" i="165" s="1"/>
  <c r="O107" i="165" s="1"/>
  <c r="P106" i="165"/>
  <c r="R106" i="165" s="1"/>
  <c r="O106" i="165" s="1"/>
  <c r="P105" i="165"/>
  <c r="R105" i="165" s="1"/>
  <c r="O105" i="165" s="1"/>
  <c r="P104" i="165"/>
  <c r="P103" i="165"/>
  <c r="R103" i="165" s="1"/>
  <c r="O103" i="165" s="1"/>
  <c r="P102" i="165"/>
  <c r="R102" i="165" s="1"/>
  <c r="O102" i="165" s="1"/>
  <c r="P101" i="165"/>
  <c r="R101" i="165" s="1"/>
  <c r="D165" i="165" s="1"/>
  <c r="P99" i="165"/>
  <c r="R99" i="165" s="1"/>
  <c r="P98" i="165"/>
  <c r="R98" i="165" s="1"/>
  <c r="P97" i="165"/>
  <c r="R97" i="165" s="1"/>
  <c r="O97" i="165" s="1"/>
  <c r="P96" i="165"/>
  <c r="R96" i="165" s="1"/>
  <c r="O96" i="165" s="1"/>
  <c r="P95" i="165"/>
  <c r="P94" i="165"/>
  <c r="R94" i="165" s="1"/>
  <c r="O94" i="165" s="1"/>
  <c r="P93" i="165"/>
  <c r="R93" i="165" s="1"/>
  <c r="O93" i="165" s="1"/>
  <c r="P92" i="165"/>
  <c r="P91" i="165"/>
  <c r="R91" i="165" s="1"/>
  <c r="O91" i="165" s="1"/>
  <c r="P90" i="165"/>
  <c r="R90" i="165" s="1"/>
  <c r="O90" i="165" s="1"/>
  <c r="P89" i="165"/>
  <c r="R89" i="165" s="1"/>
  <c r="O89" i="165" s="1"/>
  <c r="P88" i="165"/>
  <c r="R88" i="165" s="1"/>
  <c r="O88" i="165" s="1"/>
  <c r="P87" i="165"/>
  <c r="R87" i="165" s="1"/>
  <c r="O87" i="165" s="1"/>
  <c r="P86" i="165"/>
  <c r="R86" i="165" s="1"/>
  <c r="O86" i="165" s="1"/>
  <c r="P85" i="165"/>
  <c r="R85" i="165" s="1"/>
  <c r="O85" i="165" s="1"/>
  <c r="P84" i="165"/>
  <c r="R84" i="165" s="1"/>
  <c r="O84" i="165" s="1"/>
  <c r="P83" i="165"/>
  <c r="R83" i="165" s="1"/>
  <c r="O83" i="165" s="1"/>
  <c r="P82" i="165"/>
  <c r="R82" i="165" s="1"/>
  <c r="O82" i="165" s="1"/>
  <c r="P81" i="165"/>
  <c r="R81" i="165" s="1"/>
  <c r="O81" i="165" s="1"/>
  <c r="P80" i="165"/>
  <c r="R80" i="165" s="1"/>
  <c r="O80" i="165" s="1"/>
  <c r="P79" i="165"/>
  <c r="R79" i="165" s="1"/>
  <c r="P78" i="165"/>
  <c r="R78" i="165" s="1"/>
  <c r="O78" i="165" s="1"/>
  <c r="P77" i="165"/>
  <c r="R77" i="165" s="1"/>
  <c r="O77" i="165" s="1"/>
  <c r="P76" i="165"/>
  <c r="R76" i="165" s="1"/>
  <c r="P75" i="165"/>
  <c r="R75" i="165" s="1"/>
  <c r="O75" i="165" s="1"/>
  <c r="P74" i="165"/>
  <c r="R74" i="165" s="1"/>
  <c r="O74" i="165" s="1"/>
  <c r="P73" i="165"/>
  <c r="R73" i="165" s="1"/>
  <c r="O73" i="165" s="1"/>
  <c r="P72" i="165"/>
  <c r="R72" i="165" s="1"/>
  <c r="O72" i="165" s="1"/>
  <c r="P71" i="165"/>
  <c r="P69" i="165"/>
  <c r="R69" i="165" s="1"/>
  <c r="O69" i="165" s="1"/>
  <c r="P68" i="165"/>
  <c r="R68" i="165" s="1"/>
  <c r="O68" i="165" s="1"/>
  <c r="P67" i="165"/>
  <c r="R67" i="165" s="1"/>
  <c r="O67" i="165" s="1"/>
  <c r="P66" i="165"/>
  <c r="R66" i="165" s="1"/>
  <c r="O66" i="165" s="1"/>
  <c r="P65" i="165"/>
  <c r="R65" i="165" s="1"/>
  <c r="O65" i="165" s="1"/>
  <c r="P64" i="165"/>
  <c r="R64" i="165" s="1"/>
  <c r="O64" i="165" s="1"/>
  <c r="P63" i="165"/>
  <c r="R63" i="165" s="1"/>
  <c r="O63" i="165" s="1"/>
  <c r="P62" i="165"/>
  <c r="R62" i="165" s="1"/>
  <c r="O62" i="165" s="1"/>
  <c r="P61" i="165"/>
  <c r="R61" i="165" s="1"/>
  <c r="O61" i="165" s="1"/>
  <c r="P60" i="165"/>
  <c r="R60" i="165" s="1"/>
  <c r="O60" i="165" s="1"/>
  <c r="P59" i="165"/>
  <c r="R59" i="165" s="1"/>
  <c r="O59" i="165" s="1"/>
  <c r="P58" i="165"/>
  <c r="P57" i="165"/>
  <c r="P56" i="165"/>
  <c r="R56" i="165" s="1"/>
  <c r="O56" i="165" s="1"/>
  <c r="P55" i="165"/>
  <c r="P54" i="165"/>
  <c r="R54" i="165" s="1"/>
  <c r="O54" i="165" s="1"/>
  <c r="P53" i="165"/>
  <c r="R53" i="165" s="1"/>
  <c r="O53" i="165" s="1"/>
  <c r="P52" i="165"/>
  <c r="R52" i="165" s="1"/>
  <c r="O52" i="165" s="1"/>
  <c r="P51" i="165"/>
  <c r="R51" i="165" s="1"/>
  <c r="O51" i="165" s="1"/>
  <c r="P50" i="165"/>
  <c r="R50" i="165" s="1"/>
  <c r="P49" i="165"/>
  <c r="R49" i="165" s="1"/>
  <c r="O49" i="165" s="1"/>
  <c r="P47" i="165"/>
  <c r="R47" i="165" s="1"/>
  <c r="O47" i="165" s="1"/>
  <c r="P46" i="165"/>
  <c r="R46" i="165" s="1"/>
  <c r="P45" i="165"/>
  <c r="R45" i="165" s="1"/>
  <c r="P44" i="165"/>
  <c r="R44" i="165" s="1"/>
  <c r="O44" i="165" s="1"/>
  <c r="P43" i="165"/>
  <c r="R43" i="165" s="1"/>
  <c r="R41" i="165"/>
  <c r="O41" i="165" s="1"/>
  <c r="P39" i="165"/>
  <c r="R39" i="165" s="1"/>
  <c r="O39" i="165" s="1"/>
  <c r="P38" i="165"/>
  <c r="R38" i="165" s="1"/>
  <c r="O38" i="165" s="1"/>
  <c r="P37" i="165"/>
  <c r="R37" i="165" s="1"/>
  <c r="O37" i="165" s="1"/>
  <c r="P36" i="165"/>
  <c r="R36" i="165" s="1"/>
  <c r="O36" i="165" s="1"/>
  <c r="P35" i="165"/>
  <c r="R35" i="165" s="1"/>
  <c r="O35" i="165" s="1"/>
  <c r="P34" i="165"/>
  <c r="R34" i="165" s="1"/>
  <c r="O34" i="165" s="1"/>
  <c r="P33" i="165"/>
  <c r="R33" i="165" s="1"/>
  <c r="O33" i="165" s="1"/>
  <c r="P32" i="165"/>
  <c r="R32" i="165" s="1"/>
  <c r="O32" i="165" s="1"/>
  <c r="P31" i="165"/>
  <c r="R31" i="165" s="1"/>
  <c r="O31" i="165" s="1"/>
  <c r="P30" i="165"/>
  <c r="R30" i="165" s="1"/>
  <c r="O30" i="165" s="1"/>
  <c r="P29" i="165"/>
  <c r="R29" i="165" s="1"/>
  <c r="O29" i="165" s="1"/>
  <c r="P28" i="165"/>
  <c r="R28" i="165" s="1"/>
  <c r="O28" i="165" s="1"/>
  <c r="P27" i="165"/>
  <c r="P25" i="165"/>
  <c r="R25" i="165" s="1"/>
  <c r="P24" i="165"/>
  <c r="R24" i="165" s="1"/>
  <c r="O24" i="165" s="1"/>
  <c r="P23" i="165"/>
  <c r="R23" i="165" s="1"/>
  <c r="O23" i="165" s="1"/>
  <c r="P22" i="165"/>
  <c r="R22" i="165" s="1"/>
  <c r="O22" i="165" s="1"/>
  <c r="P21" i="165"/>
  <c r="R21" i="165" s="1"/>
  <c r="O21" i="165" s="1"/>
  <c r="P20" i="165"/>
  <c r="R20" i="165" s="1"/>
  <c r="O20" i="165" s="1"/>
  <c r="P19" i="165"/>
  <c r="R19" i="165" s="1"/>
  <c r="O19" i="165" s="1"/>
  <c r="P18" i="165"/>
  <c r="R18" i="165" s="1"/>
  <c r="O18" i="165" s="1"/>
  <c r="P17" i="165"/>
  <c r="R17" i="165" s="1"/>
  <c r="P16" i="165"/>
  <c r="R16" i="165" s="1"/>
  <c r="O16" i="165" s="1"/>
  <c r="P15" i="165"/>
  <c r="R15" i="165" s="1"/>
  <c r="O15" i="165" s="1"/>
  <c r="P14" i="165"/>
  <c r="R14" i="165" s="1"/>
  <c r="O14" i="165" s="1"/>
  <c r="P13" i="165"/>
  <c r="R13" i="165" s="1"/>
  <c r="O13" i="165" s="1"/>
  <c r="P12" i="165"/>
  <c r="R12" i="165" s="1"/>
  <c r="O12" i="165" s="1"/>
  <c r="P11" i="165"/>
  <c r="R11" i="165" s="1"/>
  <c r="O11" i="165" s="1"/>
  <c r="P10" i="165"/>
  <c r="R10" i="165" s="1"/>
  <c r="O10" i="165" s="1"/>
  <c r="P9" i="165"/>
  <c r="R9" i="165" s="1"/>
  <c r="O9" i="165" s="1"/>
  <c r="P8" i="165"/>
  <c r="R8" i="165" s="1"/>
  <c r="O8" i="165" s="1"/>
  <c r="P7" i="165"/>
  <c r="R7" i="165" s="1"/>
  <c r="O7" i="165" s="1"/>
  <c r="D156" i="165"/>
  <c r="D132" i="165"/>
  <c r="R58" i="165"/>
  <c r="O58" i="165" s="1"/>
  <c r="P6" i="165"/>
  <c r="R6" i="165" s="1"/>
  <c r="R27" i="165"/>
  <c r="O27" i="165" s="1"/>
  <c r="R40" i="165"/>
  <c r="O40" i="165" s="1"/>
  <c r="O45" i="165"/>
  <c r="R55" i="165"/>
  <c r="O55" i="165" s="1"/>
  <c r="R57" i="165"/>
  <c r="O57" i="165" s="1"/>
  <c r="R71" i="165"/>
  <c r="O71" i="165" s="1"/>
  <c r="R92" i="165"/>
  <c r="O92" i="165" s="1"/>
  <c r="R95" i="165"/>
  <c r="O95" i="165" s="1"/>
  <c r="R104" i="165"/>
  <c r="O104" i="165" s="1"/>
  <c r="R108" i="165"/>
  <c r="O108" i="165" s="1"/>
  <c r="R117" i="165"/>
  <c r="O117" i="165" s="1"/>
  <c r="R118" i="165"/>
  <c r="O118" i="165" s="1"/>
  <c r="R120" i="165"/>
  <c r="O120" i="165" s="1"/>
  <c r="G7" i="160"/>
  <c r="P8" i="159"/>
  <c r="D8" i="160" s="1"/>
  <c r="F8" i="160" s="1"/>
  <c r="E8" i="160" s="1"/>
  <c r="V8" i="159"/>
  <c r="P9" i="159"/>
  <c r="D9" i="160" s="1"/>
  <c r="F9" i="160" s="1"/>
  <c r="E9" i="160" s="1"/>
  <c r="V9" i="159"/>
  <c r="P10" i="159"/>
  <c r="D10" i="160" s="1"/>
  <c r="F10" i="160" s="1"/>
  <c r="E10" i="160" s="1"/>
  <c r="V10" i="159"/>
  <c r="P11" i="159"/>
  <c r="D11" i="160" s="1"/>
  <c r="F11" i="160" s="1"/>
  <c r="E11" i="160" s="1"/>
  <c r="V11" i="159"/>
  <c r="P12" i="159"/>
  <c r="D12" i="160" s="1"/>
  <c r="F12" i="160" s="1"/>
  <c r="E12" i="160" s="1"/>
  <c r="V12" i="159"/>
  <c r="P13" i="159"/>
  <c r="D13" i="160" s="1"/>
  <c r="F13" i="160" s="1"/>
  <c r="E13" i="160" s="1"/>
  <c r="V13" i="159"/>
  <c r="P14" i="159"/>
  <c r="D14" i="160" s="1"/>
  <c r="F14" i="160" s="1"/>
  <c r="E14" i="160" s="1"/>
  <c r="V14" i="159"/>
  <c r="P15" i="159"/>
  <c r="D15" i="160" s="1"/>
  <c r="F15" i="160" s="1"/>
  <c r="E15" i="160" s="1"/>
  <c r="V15" i="159"/>
  <c r="P16" i="159"/>
  <c r="D16" i="160" s="1"/>
  <c r="F16" i="160" s="1"/>
  <c r="E16" i="160" s="1"/>
  <c r="V16" i="159"/>
  <c r="V7" i="159"/>
  <c r="P7" i="159"/>
  <c r="D140" i="165" l="1"/>
  <c r="O46" i="165"/>
  <c r="D147" i="165"/>
  <c r="D148" i="165"/>
  <c r="O79" i="165"/>
  <c r="D159" i="165"/>
  <c r="D158" i="165"/>
  <c r="D171" i="165"/>
  <c r="O17" i="165"/>
  <c r="D135" i="165"/>
  <c r="O25" i="165"/>
  <c r="D139" i="165"/>
  <c r="O50" i="165"/>
  <c r="D150" i="165"/>
  <c r="O43" i="165"/>
  <c r="D145" i="165"/>
  <c r="O98" i="165"/>
  <c r="D163" i="165"/>
  <c r="O99" i="165"/>
  <c r="D164" i="165"/>
  <c r="D170" i="165"/>
  <c r="D162" i="165"/>
  <c r="D154" i="165"/>
  <c r="D146" i="165"/>
  <c r="D138" i="165"/>
  <c r="D169" i="165"/>
  <c r="D161" i="165"/>
  <c r="D153" i="165"/>
  <c r="D137" i="165"/>
  <c r="D155" i="165"/>
  <c r="D168" i="165"/>
  <c r="D160" i="165"/>
  <c r="D152" i="165"/>
  <c r="D144" i="165"/>
  <c r="D136" i="165"/>
  <c r="O76" i="165"/>
  <c r="D167" i="165"/>
  <c r="D151" i="165"/>
  <c r="D143" i="165"/>
  <c r="O101" i="165"/>
  <c r="D166" i="165"/>
  <c r="D142" i="165"/>
  <c r="D134" i="165"/>
  <c r="D157" i="165"/>
  <c r="D149" i="165"/>
  <c r="D141" i="165"/>
  <c r="D133" i="165"/>
  <c r="O6" i="165"/>
  <c r="B29" i="162" l="1"/>
  <c r="S14" i="162" s="1"/>
  <c r="D58" i="164" l="1"/>
  <c r="D59" i="164"/>
  <c r="D60" i="164"/>
  <c r="D61" i="164"/>
  <c r="D62" i="164"/>
  <c r="D63" i="164"/>
  <c r="D64" i="164"/>
  <c r="D65" i="164"/>
  <c r="D66" i="164"/>
  <c r="D67" i="164"/>
  <c r="D68" i="164"/>
  <c r="D69" i="164"/>
  <c r="D70" i="164"/>
  <c r="D71" i="164"/>
  <c r="D72" i="164"/>
  <c r="D73" i="164"/>
  <c r="D74" i="164"/>
  <c r="D75" i="164"/>
  <c r="D76" i="164"/>
  <c r="D77" i="164"/>
  <c r="D78" i="164"/>
  <c r="D79" i="164"/>
  <c r="D80" i="164"/>
  <c r="D81" i="164"/>
  <c r="D82" i="164"/>
  <c r="D83" i="164"/>
  <c r="D84" i="164"/>
  <c r="D85" i="164"/>
  <c r="D86" i="164"/>
  <c r="D87" i="164"/>
  <c r="D57" i="164"/>
  <c r="M47" i="164"/>
  <c r="D89" i="164" s="1"/>
  <c r="M48" i="164"/>
  <c r="D90" i="164" s="1"/>
  <c r="M49" i="164"/>
  <c r="D91" i="164" s="1"/>
  <c r="M46" i="164"/>
  <c r="D88" i="164" s="1"/>
  <c r="D25" i="162"/>
  <c r="C25" i="162" s="1"/>
  <c r="B25" i="162" s="1"/>
  <c r="S10" i="162" s="1"/>
  <c r="D26" i="162"/>
  <c r="C26" i="162" s="1"/>
  <c r="B26" i="162" s="1"/>
  <c r="S11" i="162" s="1"/>
  <c r="C27" i="162"/>
  <c r="B27" i="162" s="1"/>
  <c r="S12" i="162" s="1"/>
  <c r="D23" i="162"/>
  <c r="C23" i="162" s="1"/>
  <c r="B23" i="162" s="1"/>
  <c r="S9" i="162" s="1"/>
  <c r="F22" i="162" l="1"/>
  <c r="D6" i="160" l="1"/>
  <c r="F6" i="160" s="1"/>
  <c r="Q381" i="154" l="1"/>
  <c r="Q382" i="154"/>
  <c r="Q383" i="154"/>
  <c r="Q384" i="154"/>
  <c r="Q385" i="154"/>
  <c r="Q387" i="154"/>
  <c r="Q388" i="154"/>
  <c r="Q394" i="154"/>
  <c r="Q395" i="154"/>
  <c r="Q396" i="154"/>
  <c r="Q397" i="154"/>
  <c r="Q398" i="154"/>
  <c r="Q400" i="154"/>
  <c r="Q401" i="154"/>
  <c r="Q403" i="154"/>
  <c r="Q404" i="154"/>
  <c r="Q407" i="154"/>
  <c r="Q408" i="154"/>
  <c r="Q409" i="154"/>
  <c r="Q410" i="154"/>
  <c r="Q411" i="154"/>
  <c r="Q412" i="154"/>
  <c r="Q413" i="154"/>
  <c r="Q414" i="154"/>
  <c r="Q415" i="154"/>
  <c r="Q420" i="154"/>
  <c r="Q421" i="154"/>
  <c r="Q422" i="154"/>
  <c r="Q423" i="154"/>
  <c r="Q424" i="154"/>
  <c r="Q425" i="154"/>
  <c r="Q426" i="154"/>
  <c r="Q427" i="154"/>
  <c r="Q428" i="154"/>
  <c r="Q254" i="154"/>
  <c r="Q257" i="154"/>
  <c r="Q258" i="154"/>
  <c r="Q260" i="154"/>
  <c r="Q261" i="154"/>
  <c r="Q262" i="154"/>
  <c r="Q263" i="154"/>
  <c r="Q264" i="154"/>
  <c r="Q270" i="154"/>
  <c r="Q271" i="154"/>
  <c r="Q272" i="154"/>
  <c r="Q273" i="154"/>
  <c r="Q274" i="154"/>
  <c r="Q275" i="154"/>
  <c r="Q277" i="154"/>
  <c r="Q279" i="154"/>
  <c r="Q280" i="154"/>
  <c r="Q281" i="154"/>
  <c r="Q283" i="154"/>
  <c r="Q284" i="154"/>
  <c r="Q285" i="154"/>
  <c r="Q286" i="154"/>
  <c r="Q287" i="154"/>
  <c r="Q288" i="154"/>
  <c r="Q289" i="154"/>
  <c r="Q290" i="154"/>
  <c r="Q292" i="154"/>
  <c r="Q293" i="154"/>
  <c r="Q294" i="154"/>
  <c r="Q295" i="154"/>
  <c r="Q296" i="154"/>
  <c r="Q297" i="154"/>
  <c r="Q298" i="154"/>
  <c r="Q299" i="154"/>
  <c r="Q300" i="154"/>
  <c r="Q301" i="154"/>
  <c r="Q302" i="154"/>
  <c r="Q303" i="154"/>
  <c r="Q305" i="154"/>
  <c r="Q306" i="154"/>
  <c r="Q307" i="154"/>
  <c r="Q308" i="154"/>
  <c r="Q309" i="154"/>
  <c r="Q310" i="154"/>
  <c r="Q311" i="154"/>
  <c r="Q312" i="154"/>
  <c r="Q313" i="154"/>
  <c r="Q314" i="154"/>
  <c r="Q315" i="154"/>
  <c r="Q316" i="154"/>
  <c r="Q318" i="154"/>
  <c r="Q319" i="154"/>
  <c r="Q320" i="154"/>
  <c r="Q321" i="154"/>
  <c r="Q322" i="154"/>
  <c r="Q323" i="154"/>
  <c r="Q324" i="154"/>
  <c r="Q325" i="154"/>
  <c r="Q326" i="154"/>
  <c r="Q327" i="154"/>
  <c r="Q328" i="154"/>
  <c r="Q329" i="154"/>
  <c r="Q331" i="154"/>
  <c r="Q332" i="154"/>
  <c r="Q333" i="154"/>
  <c r="Q335" i="154"/>
  <c r="Q336" i="154"/>
  <c r="Q337" i="154"/>
  <c r="Q338" i="154"/>
  <c r="Q339" i="154"/>
  <c r="Q340" i="154"/>
  <c r="Q341" i="154"/>
  <c r="Q342" i="154"/>
  <c r="Q344" i="154"/>
  <c r="Q345" i="154"/>
  <c r="Q346" i="154"/>
  <c r="Q347" i="154"/>
  <c r="Q348" i="154"/>
  <c r="Q349" i="154"/>
  <c r="Q350" i="154"/>
  <c r="Q351" i="154"/>
  <c r="Q352" i="154"/>
  <c r="Q353" i="154"/>
  <c r="Q354" i="154"/>
  <c r="Q355" i="154"/>
  <c r="Q357" i="154"/>
  <c r="Q358" i="154"/>
  <c r="Q359" i="154"/>
  <c r="Q360" i="154"/>
  <c r="Q361" i="154"/>
  <c r="Q362" i="154"/>
  <c r="Q363" i="154"/>
  <c r="Q364" i="154"/>
  <c r="Q365" i="154"/>
  <c r="Q366" i="154"/>
  <c r="Q367" i="154"/>
  <c r="Q368" i="154"/>
  <c r="Q130" i="154"/>
  <c r="Q133" i="154"/>
  <c r="Q134" i="154"/>
  <c r="Q136" i="154"/>
  <c r="Q137" i="154"/>
  <c r="Q138" i="154"/>
  <c r="Q139" i="154"/>
  <c r="Q140" i="154"/>
  <c r="Q146" i="154"/>
  <c r="Q147" i="154"/>
  <c r="Q148" i="154"/>
  <c r="Q149" i="154"/>
  <c r="Q150" i="154"/>
  <c r="Q151" i="154"/>
  <c r="Q153" i="154"/>
  <c r="Q156" i="154"/>
  <c r="Q157" i="154"/>
  <c r="Q159" i="154"/>
  <c r="Q160" i="154"/>
  <c r="Q161" i="154"/>
  <c r="Q162" i="154"/>
  <c r="Q163" i="154"/>
  <c r="Q166" i="154"/>
  <c r="Q168" i="154"/>
  <c r="Q169" i="154"/>
  <c r="Q170" i="154"/>
  <c r="Q171" i="154"/>
  <c r="Q172" i="154"/>
  <c r="Q173" i="154"/>
  <c r="Q174" i="154"/>
  <c r="Q175" i="154"/>
  <c r="Q176" i="154"/>
  <c r="Q177" i="154"/>
  <c r="Q178" i="154"/>
  <c r="Q179" i="154"/>
  <c r="Q181" i="154"/>
  <c r="Q182" i="154"/>
  <c r="Q183" i="154"/>
  <c r="Q184" i="154"/>
  <c r="Q185" i="154"/>
  <c r="Q186" i="154"/>
  <c r="Q187" i="154"/>
  <c r="Q188" i="154"/>
  <c r="Q189" i="154"/>
  <c r="Q190" i="154"/>
  <c r="Q191" i="154"/>
  <c r="Q192" i="154"/>
  <c r="Q194" i="154"/>
  <c r="Q195" i="154"/>
  <c r="Q196" i="154"/>
  <c r="Q197" i="154"/>
  <c r="Q198" i="154"/>
  <c r="Q199" i="154"/>
  <c r="Q200" i="154"/>
  <c r="Q201" i="154"/>
  <c r="Q202" i="154"/>
  <c r="Q203" i="154"/>
  <c r="Q204" i="154"/>
  <c r="Q205" i="154"/>
  <c r="Q209" i="154"/>
  <c r="Q213" i="154"/>
  <c r="Q214" i="154"/>
  <c r="Q215" i="154"/>
  <c r="Q216" i="154"/>
  <c r="Q217" i="154"/>
  <c r="Q218" i="154"/>
  <c r="Q220" i="154"/>
  <c r="Q221" i="154"/>
  <c r="Q224" i="154"/>
  <c r="Q225" i="154"/>
  <c r="Q226" i="154"/>
  <c r="Q227" i="154"/>
  <c r="Q228" i="154"/>
  <c r="Q229" i="154"/>
  <c r="Q230" i="154"/>
  <c r="Q231" i="154"/>
  <c r="Q232" i="154"/>
  <c r="Q233" i="154"/>
  <c r="Q234" i="154"/>
  <c r="Q235" i="154"/>
  <c r="Q236" i="154"/>
  <c r="Q237" i="154"/>
  <c r="Q238" i="154"/>
  <c r="Q239" i="154"/>
  <c r="Q240" i="154"/>
  <c r="Q241" i="154"/>
  <c r="Q242" i="154"/>
  <c r="Q243" i="154"/>
  <c r="Q244" i="154"/>
  <c r="Q6" i="154"/>
  <c r="Q9" i="154"/>
  <c r="Q12" i="154"/>
  <c r="Q13" i="154"/>
  <c r="Q16" i="154"/>
  <c r="Q21" i="154"/>
  <c r="Q22" i="154"/>
  <c r="Q25" i="154"/>
  <c r="Q26" i="154"/>
  <c r="Q27" i="154"/>
  <c r="Q29" i="154"/>
  <c r="Q34" i="154"/>
  <c r="Q35" i="154"/>
  <c r="Q36" i="154"/>
  <c r="Q37" i="154"/>
  <c r="Q38" i="154"/>
  <c r="Q39" i="154"/>
  <c r="Q40" i="154"/>
  <c r="Q41" i="154"/>
  <c r="Q42" i="154"/>
  <c r="Q44" i="154"/>
  <c r="Q45" i="154"/>
  <c r="Q46" i="154"/>
  <c r="Q47" i="154"/>
  <c r="Q48" i="154"/>
  <c r="Q49" i="154"/>
  <c r="Q50" i="154"/>
  <c r="Q51" i="154"/>
  <c r="Q52" i="154"/>
  <c r="Q53" i="154"/>
  <c r="Q54" i="154"/>
  <c r="Q55" i="154"/>
  <c r="Q57" i="154"/>
  <c r="Q58" i="154"/>
  <c r="Q59" i="154"/>
  <c r="Q60" i="154"/>
  <c r="Q61" i="154"/>
  <c r="Q62" i="154"/>
  <c r="Q63" i="154"/>
  <c r="Q64" i="154"/>
  <c r="Q65" i="154"/>
  <c r="Q66" i="154"/>
  <c r="Q67" i="154"/>
  <c r="Q68" i="154"/>
  <c r="Q70" i="154"/>
  <c r="Q71" i="154"/>
  <c r="Q72" i="154"/>
  <c r="Q73" i="154"/>
  <c r="Q74" i="154"/>
  <c r="Q75" i="154"/>
  <c r="Q76" i="154"/>
  <c r="Q77" i="154"/>
  <c r="Q78" i="154"/>
  <c r="Q79" i="154"/>
  <c r="Q80" i="154"/>
  <c r="Q81" i="154"/>
  <c r="Q89" i="154"/>
  <c r="Q90" i="154"/>
  <c r="Q91" i="154"/>
  <c r="Q93" i="154"/>
  <c r="Q94" i="154"/>
  <c r="Q96" i="154"/>
  <c r="Q97" i="154"/>
  <c r="Q98" i="154"/>
  <c r="Q100" i="154"/>
  <c r="Q101" i="154"/>
  <c r="Q102" i="154"/>
  <c r="Q103" i="154"/>
  <c r="Q104" i="154"/>
  <c r="Q106" i="154"/>
  <c r="Q107" i="154"/>
  <c r="Q109" i="154"/>
  <c r="Q110" i="154"/>
  <c r="Q111" i="154"/>
  <c r="Q112" i="154"/>
  <c r="Q113" i="154"/>
  <c r="Q114" i="154"/>
  <c r="Q115" i="154"/>
  <c r="Q116" i="154"/>
  <c r="Q117" i="154"/>
  <c r="Q118" i="154"/>
  <c r="Q119" i="154"/>
  <c r="Q120" i="154"/>
  <c r="Q5" i="154"/>
  <c r="AL6" i="154" l="1"/>
  <c r="AL7" i="154"/>
  <c r="AL8" i="154"/>
  <c r="AL9" i="154"/>
  <c r="AL10" i="154"/>
  <c r="AL11" i="154"/>
  <c r="AL12" i="154"/>
  <c r="AL13" i="154"/>
  <c r="AL14" i="154"/>
  <c r="AL15" i="154"/>
  <c r="AL16" i="154"/>
  <c r="AL17" i="154"/>
  <c r="AL18" i="154"/>
  <c r="AL19" i="154"/>
  <c r="AL20" i="154"/>
  <c r="AL21" i="154"/>
  <c r="AL22" i="154"/>
  <c r="AL23" i="154"/>
  <c r="AL24" i="154"/>
  <c r="AL25" i="154"/>
  <c r="AL26" i="154"/>
  <c r="AL27" i="154"/>
  <c r="AL28" i="154"/>
  <c r="AL29" i="154"/>
  <c r="AL30" i="154"/>
  <c r="AL31" i="154"/>
  <c r="AL32" i="154"/>
  <c r="AL33" i="154"/>
  <c r="AL34" i="154"/>
  <c r="AL35" i="154"/>
  <c r="AL36" i="154"/>
  <c r="AL37" i="154"/>
  <c r="AL38" i="154"/>
  <c r="AL39" i="154"/>
  <c r="AL40" i="154"/>
  <c r="AL41" i="154"/>
  <c r="AL42" i="154"/>
  <c r="AL43" i="154"/>
  <c r="AL44" i="154"/>
  <c r="AL45" i="154"/>
  <c r="AL46" i="154"/>
  <c r="AL47" i="154"/>
  <c r="AL48" i="154"/>
  <c r="AL49" i="154"/>
  <c r="AL50" i="154"/>
  <c r="AL51" i="154"/>
  <c r="AL52" i="154"/>
  <c r="AL53" i="154"/>
  <c r="AL54" i="154"/>
  <c r="AL55" i="154"/>
  <c r="AL56" i="154"/>
  <c r="AL57" i="154"/>
  <c r="AL58" i="154"/>
  <c r="AL59" i="154"/>
  <c r="AL60" i="154"/>
  <c r="AL61" i="154"/>
  <c r="AL62" i="154"/>
  <c r="AL63" i="154"/>
  <c r="AL64" i="154"/>
  <c r="AL65" i="154"/>
  <c r="AL66" i="154"/>
  <c r="AL67" i="154"/>
  <c r="AL68" i="154"/>
  <c r="AL69" i="154"/>
  <c r="AL70" i="154"/>
  <c r="AL71" i="154"/>
  <c r="AL72" i="154"/>
  <c r="AL73" i="154"/>
  <c r="AL74" i="154"/>
  <c r="AL75" i="154"/>
  <c r="AL76" i="154"/>
  <c r="AL77" i="154"/>
  <c r="AL78" i="154"/>
  <c r="AL79" i="154"/>
  <c r="AL80" i="154"/>
  <c r="AL81" i="154"/>
  <c r="AL82" i="154"/>
  <c r="AL83" i="154"/>
  <c r="AL84" i="154"/>
  <c r="AL85" i="154"/>
  <c r="AL86" i="154"/>
  <c r="AL87" i="154"/>
  <c r="AL88" i="154"/>
  <c r="AL89" i="154"/>
  <c r="AL90" i="154"/>
  <c r="AL91" i="154"/>
  <c r="AL92" i="154"/>
  <c r="AL93" i="154"/>
  <c r="AL94" i="154"/>
  <c r="AL95" i="154"/>
  <c r="AL96" i="154"/>
  <c r="AL97" i="154"/>
  <c r="AL98" i="154"/>
  <c r="AL99" i="154"/>
  <c r="AL100" i="154"/>
  <c r="AL101" i="154"/>
  <c r="AL102" i="154"/>
  <c r="AL103" i="154"/>
  <c r="AL104" i="154"/>
  <c r="AL105" i="154"/>
  <c r="AL106" i="154"/>
  <c r="AL107" i="154"/>
  <c r="AL108" i="154"/>
  <c r="AL109" i="154"/>
  <c r="AL110" i="154"/>
  <c r="AL111" i="154"/>
  <c r="AL112" i="154"/>
  <c r="AL113" i="154"/>
  <c r="AL114" i="154"/>
  <c r="AL115" i="154"/>
  <c r="AL116" i="154"/>
  <c r="AL117" i="154"/>
  <c r="AL118" i="154"/>
  <c r="AL119" i="154"/>
  <c r="AL120" i="154"/>
  <c r="AL121" i="154"/>
  <c r="AL5" i="154"/>
  <c r="AK6" i="154"/>
  <c r="AK7" i="154"/>
  <c r="AK8" i="154"/>
  <c r="AK9" i="154"/>
  <c r="AK10" i="154"/>
  <c r="AK11" i="154"/>
  <c r="AK12" i="154"/>
  <c r="AK13" i="154"/>
  <c r="AK14" i="154"/>
  <c r="AK15" i="154"/>
  <c r="AK16" i="154"/>
  <c r="AK17" i="154"/>
  <c r="AK18" i="154"/>
  <c r="AK19" i="154"/>
  <c r="AK20" i="154"/>
  <c r="AK21" i="154"/>
  <c r="AK22" i="154"/>
  <c r="AK23" i="154"/>
  <c r="AK24" i="154"/>
  <c r="AK25" i="154"/>
  <c r="AK26" i="154"/>
  <c r="AK27" i="154"/>
  <c r="AK28" i="154"/>
  <c r="AK29" i="154"/>
  <c r="AK30" i="154"/>
  <c r="AK31" i="154"/>
  <c r="AK32" i="154"/>
  <c r="AK33" i="154"/>
  <c r="AK34" i="154"/>
  <c r="AK35" i="154"/>
  <c r="AK36" i="154"/>
  <c r="AK37" i="154"/>
  <c r="AK38" i="154"/>
  <c r="AK39" i="154"/>
  <c r="AK40" i="154"/>
  <c r="AK41" i="154"/>
  <c r="AK42" i="154"/>
  <c r="AK43" i="154"/>
  <c r="AK44" i="154"/>
  <c r="AK45" i="154"/>
  <c r="AK46" i="154"/>
  <c r="AK47" i="154"/>
  <c r="AK48" i="154"/>
  <c r="AK49" i="154"/>
  <c r="AK50" i="154"/>
  <c r="AK51" i="154"/>
  <c r="AK52" i="154"/>
  <c r="AK53" i="154"/>
  <c r="AK54" i="154"/>
  <c r="AK55" i="154"/>
  <c r="AK56" i="154"/>
  <c r="AK57" i="154"/>
  <c r="AK58" i="154"/>
  <c r="AK59" i="154"/>
  <c r="AK60" i="154"/>
  <c r="AK61" i="154"/>
  <c r="AK62" i="154"/>
  <c r="AK63" i="154"/>
  <c r="AK64" i="154"/>
  <c r="AK65" i="154"/>
  <c r="AK66" i="154"/>
  <c r="AK67" i="154"/>
  <c r="AK68" i="154"/>
  <c r="AK69" i="154"/>
  <c r="AK70" i="154"/>
  <c r="AK71" i="154"/>
  <c r="AK72" i="154"/>
  <c r="AK73" i="154"/>
  <c r="AK74" i="154"/>
  <c r="AK75" i="154"/>
  <c r="AK76" i="154"/>
  <c r="AK77" i="154"/>
  <c r="AK78" i="154"/>
  <c r="AK79" i="154"/>
  <c r="AK80" i="154"/>
  <c r="AK81" i="154"/>
  <c r="AK82" i="154"/>
  <c r="AK83" i="154"/>
  <c r="AK84" i="154"/>
  <c r="AK85" i="154"/>
  <c r="AK86" i="154"/>
  <c r="AK87" i="154"/>
  <c r="AK88" i="154"/>
  <c r="AK89" i="154"/>
  <c r="AK90" i="154"/>
  <c r="AK91" i="154"/>
  <c r="AK92" i="154"/>
  <c r="AK93" i="154"/>
  <c r="AK94" i="154"/>
  <c r="AK95" i="154"/>
  <c r="AK96" i="154"/>
  <c r="AK97" i="154"/>
  <c r="AK98" i="154"/>
  <c r="AK99" i="154"/>
  <c r="AK100" i="154"/>
  <c r="AK101" i="154"/>
  <c r="AK102" i="154"/>
  <c r="AK103" i="154"/>
  <c r="AK104" i="154"/>
  <c r="AK105" i="154"/>
  <c r="AK106" i="154"/>
  <c r="AK107" i="154"/>
  <c r="AK108" i="154"/>
  <c r="AK109" i="154"/>
  <c r="AK110" i="154"/>
  <c r="AK111" i="154"/>
  <c r="AK112" i="154"/>
  <c r="AK113" i="154"/>
  <c r="AK114" i="154"/>
  <c r="AK115" i="154"/>
  <c r="AK116" i="154"/>
  <c r="AK117" i="154"/>
  <c r="AK118" i="154"/>
  <c r="AK119" i="154"/>
  <c r="AK120" i="154"/>
  <c r="AK121" i="154"/>
  <c r="AK5" i="154"/>
  <c r="O6" i="154"/>
  <c r="O9" i="154"/>
  <c r="O12" i="154"/>
  <c r="O13" i="154"/>
  <c r="O16" i="154"/>
  <c r="O21" i="154"/>
  <c r="O22" i="154"/>
  <c r="O25" i="154"/>
  <c r="O26" i="154"/>
  <c r="O27" i="154"/>
  <c r="O29" i="154"/>
  <c r="O34" i="154"/>
  <c r="O35" i="154"/>
  <c r="O36" i="154"/>
  <c r="O37" i="154"/>
  <c r="O38" i="154"/>
  <c r="O39" i="154"/>
  <c r="O40" i="154"/>
  <c r="O41" i="154"/>
  <c r="O42" i="154"/>
  <c r="O44" i="154"/>
  <c r="O45" i="154"/>
  <c r="O46" i="154"/>
  <c r="O47" i="154"/>
  <c r="O48" i="154"/>
  <c r="O49" i="154"/>
  <c r="O50" i="154"/>
  <c r="O51" i="154"/>
  <c r="O52" i="154"/>
  <c r="O53" i="154"/>
  <c r="O54" i="154"/>
  <c r="O55" i="154"/>
  <c r="O57" i="154"/>
  <c r="O58" i="154"/>
  <c r="O59" i="154"/>
  <c r="O60" i="154"/>
  <c r="O61" i="154"/>
  <c r="O62" i="154"/>
  <c r="O63" i="154"/>
  <c r="O64" i="154"/>
  <c r="O65" i="154"/>
  <c r="O66" i="154"/>
  <c r="O67" i="154"/>
  <c r="O68" i="154"/>
  <c r="O70" i="154"/>
  <c r="O71" i="154"/>
  <c r="O72" i="154"/>
  <c r="O73" i="154"/>
  <c r="O74" i="154"/>
  <c r="O75" i="154"/>
  <c r="O76" i="154"/>
  <c r="O77" i="154"/>
  <c r="O78" i="154"/>
  <c r="O79" i="154"/>
  <c r="O80" i="154"/>
  <c r="O81" i="154"/>
  <c r="O89" i="154"/>
  <c r="O90" i="154"/>
  <c r="O91" i="154"/>
  <c r="O93" i="154"/>
  <c r="O94" i="154"/>
  <c r="O96" i="154"/>
  <c r="O97" i="154"/>
  <c r="O98" i="154"/>
  <c r="O100" i="154"/>
  <c r="O101" i="154"/>
  <c r="O102" i="154"/>
  <c r="O103" i="154"/>
  <c r="O104" i="154"/>
  <c r="O106" i="154"/>
  <c r="O107" i="154"/>
  <c r="O109" i="154"/>
  <c r="O110" i="154"/>
  <c r="O111" i="154"/>
  <c r="O112" i="154"/>
  <c r="O113" i="154"/>
  <c r="O114" i="154"/>
  <c r="O115" i="154"/>
  <c r="O116" i="154"/>
  <c r="O117" i="154"/>
  <c r="O118" i="154"/>
  <c r="O119" i="154"/>
  <c r="O120" i="154"/>
  <c r="O5" i="154"/>
  <c r="T381" i="154"/>
  <c r="W381" i="154" s="1"/>
  <c r="Z381" i="154" s="1"/>
  <c r="AC381" i="154" s="1"/>
  <c r="T382" i="154"/>
  <c r="W382" i="154" s="1"/>
  <c r="Z382" i="154" s="1"/>
  <c r="AC382" i="154" s="1"/>
  <c r="T383" i="154"/>
  <c r="W383" i="154" s="1"/>
  <c r="Z383" i="154" s="1"/>
  <c r="AC383" i="154" s="1"/>
  <c r="T384" i="154"/>
  <c r="W384" i="154" s="1"/>
  <c r="Z384" i="154" s="1"/>
  <c r="AC384" i="154" s="1"/>
  <c r="T385" i="154"/>
  <c r="W385" i="154" s="1"/>
  <c r="Z385" i="154" s="1"/>
  <c r="AC385" i="154" s="1"/>
  <c r="T387" i="154"/>
  <c r="W387" i="154" s="1"/>
  <c r="Z387" i="154" s="1"/>
  <c r="AC387" i="154" s="1"/>
  <c r="T388" i="154"/>
  <c r="W388" i="154" s="1"/>
  <c r="Z388" i="154" s="1"/>
  <c r="AC388" i="154" s="1"/>
  <c r="T394" i="154"/>
  <c r="W394" i="154" s="1"/>
  <c r="Z394" i="154" s="1"/>
  <c r="AC394" i="154" s="1"/>
  <c r="T395" i="154"/>
  <c r="W395" i="154" s="1"/>
  <c r="Z395" i="154" s="1"/>
  <c r="AC395" i="154" s="1"/>
  <c r="T396" i="154"/>
  <c r="W396" i="154" s="1"/>
  <c r="Z396" i="154" s="1"/>
  <c r="AC396" i="154" s="1"/>
  <c r="T397" i="154"/>
  <c r="W397" i="154" s="1"/>
  <c r="Z397" i="154" s="1"/>
  <c r="AC397" i="154" s="1"/>
  <c r="T398" i="154"/>
  <c r="W398" i="154" s="1"/>
  <c r="Z398" i="154" s="1"/>
  <c r="AC398" i="154" s="1"/>
  <c r="T400" i="154"/>
  <c r="W400" i="154" s="1"/>
  <c r="Z400" i="154" s="1"/>
  <c r="AC400" i="154" s="1"/>
  <c r="T401" i="154"/>
  <c r="W401" i="154" s="1"/>
  <c r="Z401" i="154" s="1"/>
  <c r="AC401" i="154" s="1"/>
  <c r="T403" i="154"/>
  <c r="W403" i="154" s="1"/>
  <c r="Z403" i="154" s="1"/>
  <c r="AC403" i="154" s="1"/>
  <c r="T404" i="154"/>
  <c r="W404" i="154" s="1"/>
  <c r="Z404" i="154" s="1"/>
  <c r="AC404" i="154" s="1"/>
  <c r="T407" i="154"/>
  <c r="W407" i="154" s="1"/>
  <c r="Z407" i="154" s="1"/>
  <c r="AC407" i="154" s="1"/>
  <c r="T408" i="154"/>
  <c r="W408" i="154" s="1"/>
  <c r="Z408" i="154" s="1"/>
  <c r="AC408" i="154" s="1"/>
  <c r="T409" i="154"/>
  <c r="W409" i="154" s="1"/>
  <c r="Z409" i="154" s="1"/>
  <c r="AC409" i="154" s="1"/>
  <c r="T410" i="154"/>
  <c r="W410" i="154" s="1"/>
  <c r="Z410" i="154" s="1"/>
  <c r="AC410" i="154" s="1"/>
  <c r="T411" i="154"/>
  <c r="W411" i="154" s="1"/>
  <c r="Z411" i="154" s="1"/>
  <c r="AC411" i="154" s="1"/>
  <c r="T412" i="154"/>
  <c r="W412" i="154" s="1"/>
  <c r="Z412" i="154" s="1"/>
  <c r="AC412" i="154" s="1"/>
  <c r="T413" i="154"/>
  <c r="W413" i="154" s="1"/>
  <c r="Z413" i="154" s="1"/>
  <c r="AC413" i="154" s="1"/>
  <c r="T414" i="154"/>
  <c r="W414" i="154" s="1"/>
  <c r="Z414" i="154" s="1"/>
  <c r="AC414" i="154" s="1"/>
  <c r="T415" i="154"/>
  <c r="W415" i="154" s="1"/>
  <c r="Z415" i="154" s="1"/>
  <c r="AC415" i="154" s="1"/>
  <c r="T420" i="154"/>
  <c r="W420" i="154" s="1"/>
  <c r="Z420" i="154" s="1"/>
  <c r="AC420" i="154" s="1"/>
  <c r="T421" i="154"/>
  <c r="W421" i="154" s="1"/>
  <c r="Z421" i="154" s="1"/>
  <c r="AC421" i="154" s="1"/>
  <c r="T422" i="154"/>
  <c r="W422" i="154" s="1"/>
  <c r="Z422" i="154" s="1"/>
  <c r="AC422" i="154" s="1"/>
  <c r="T423" i="154"/>
  <c r="W423" i="154" s="1"/>
  <c r="Z423" i="154" s="1"/>
  <c r="AC423" i="154" s="1"/>
  <c r="T424" i="154"/>
  <c r="W424" i="154" s="1"/>
  <c r="Z424" i="154" s="1"/>
  <c r="AC424" i="154" s="1"/>
  <c r="T425" i="154"/>
  <c r="W425" i="154" s="1"/>
  <c r="Z425" i="154" s="1"/>
  <c r="AC425" i="154" s="1"/>
  <c r="T426" i="154"/>
  <c r="W426" i="154" s="1"/>
  <c r="Z426" i="154" s="1"/>
  <c r="AC426" i="154" s="1"/>
  <c r="T427" i="154"/>
  <c r="W427" i="154" s="1"/>
  <c r="Z427" i="154" s="1"/>
  <c r="AC427" i="154" s="1"/>
  <c r="T428" i="154"/>
  <c r="W428" i="154" s="1"/>
  <c r="Z428" i="154" s="1"/>
  <c r="AC428" i="154" s="1"/>
  <c r="T254" i="154"/>
  <c r="W254" i="154" s="1"/>
  <c r="Z254" i="154" s="1"/>
  <c r="AC254" i="154" s="1"/>
  <c r="T257" i="154"/>
  <c r="W257" i="154" s="1"/>
  <c r="Z257" i="154" s="1"/>
  <c r="AC257" i="154" s="1"/>
  <c r="T258" i="154"/>
  <c r="W258" i="154" s="1"/>
  <c r="Z258" i="154" s="1"/>
  <c r="AC258" i="154" s="1"/>
  <c r="T260" i="154"/>
  <c r="W260" i="154" s="1"/>
  <c r="Z260" i="154" s="1"/>
  <c r="AC260" i="154" s="1"/>
  <c r="T261" i="154"/>
  <c r="W261" i="154" s="1"/>
  <c r="Z261" i="154" s="1"/>
  <c r="AC261" i="154" s="1"/>
  <c r="T262" i="154"/>
  <c r="W262" i="154" s="1"/>
  <c r="Z262" i="154" s="1"/>
  <c r="AC262" i="154" s="1"/>
  <c r="T263" i="154"/>
  <c r="W263" i="154" s="1"/>
  <c r="Z263" i="154" s="1"/>
  <c r="AC263" i="154" s="1"/>
  <c r="T264" i="154"/>
  <c r="W264" i="154" s="1"/>
  <c r="Z264" i="154" s="1"/>
  <c r="AC264" i="154" s="1"/>
  <c r="T270" i="154"/>
  <c r="W270" i="154" s="1"/>
  <c r="Z270" i="154" s="1"/>
  <c r="AC270" i="154" s="1"/>
  <c r="T271" i="154"/>
  <c r="W271" i="154" s="1"/>
  <c r="Z271" i="154" s="1"/>
  <c r="AC271" i="154" s="1"/>
  <c r="T272" i="154"/>
  <c r="W272" i="154" s="1"/>
  <c r="Z272" i="154" s="1"/>
  <c r="AC272" i="154" s="1"/>
  <c r="T273" i="154"/>
  <c r="W273" i="154" s="1"/>
  <c r="Z273" i="154" s="1"/>
  <c r="AC273" i="154" s="1"/>
  <c r="T274" i="154"/>
  <c r="W274" i="154" s="1"/>
  <c r="Z274" i="154" s="1"/>
  <c r="AC274" i="154" s="1"/>
  <c r="T275" i="154"/>
  <c r="W275" i="154" s="1"/>
  <c r="Z275" i="154" s="1"/>
  <c r="AC275" i="154" s="1"/>
  <c r="T277" i="154"/>
  <c r="W277" i="154" s="1"/>
  <c r="Z277" i="154" s="1"/>
  <c r="AC277" i="154" s="1"/>
  <c r="T279" i="154"/>
  <c r="W279" i="154" s="1"/>
  <c r="Z279" i="154" s="1"/>
  <c r="AC279" i="154" s="1"/>
  <c r="T280" i="154"/>
  <c r="W280" i="154" s="1"/>
  <c r="Z280" i="154" s="1"/>
  <c r="AC280" i="154" s="1"/>
  <c r="T281" i="154"/>
  <c r="W281" i="154" s="1"/>
  <c r="Z281" i="154" s="1"/>
  <c r="AC281" i="154" s="1"/>
  <c r="T283" i="154"/>
  <c r="W283" i="154" s="1"/>
  <c r="Z283" i="154" s="1"/>
  <c r="AC283" i="154" s="1"/>
  <c r="T284" i="154"/>
  <c r="W284" i="154" s="1"/>
  <c r="Z284" i="154" s="1"/>
  <c r="AC284" i="154" s="1"/>
  <c r="T285" i="154"/>
  <c r="W285" i="154" s="1"/>
  <c r="Z285" i="154" s="1"/>
  <c r="AC285" i="154" s="1"/>
  <c r="T286" i="154"/>
  <c r="W286" i="154" s="1"/>
  <c r="Z286" i="154" s="1"/>
  <c r="AC286" i="154" s="1"/>
  <c r="T287" i="154"/>
  <c r="W287" i="154" s="1"/>
  <c r="Z287" i="154" s="1"/>
  <c r="AC287" i="154" s="1"/>
  <c r="T288" i="154"/>
  <c r="W288" i="154" s="1"/>
  <c r="Z288" i="154" s="1"/>
  <c r="AC288" i="154" s="1"/>
  <c r="T289" i="154"/>
  <c r="W289" i="154" s="1"/>
  <c r="Z289" i="154" s="1"/>
  <c r="AC289" i="154" s="1"/>
  <c r="T290" i="154"/>
  <c r="W290" i="154" s="1"/>
  <c r="Z290" i="154" s="1"/>
  <c r="AC290" i="154" s="1"/>
  <c r="T292" i="154"/>
  <c r="W292" i="154" s="1"/>
  <c r="Z292" i="154" s="1"/>
  <c r="AC292" i="154" s="1"/>
  <c r="T293" i="154"/>
  <c r="W293" i="154" s="1"/>
  <c r="Z293" i="154" s="1"/>
  <c r="AC293" i="154" s="1"/>
  <c r="T294" i="154"/>
  <c r="W294" i="154" s="1"/>
  <c r="Z294" i="154" s="1"/>
  <c r="AC294" i="154" s="1"/>
  <c r="T295" i="154"/>
  <c r="W295" i="154" s="1"/>
  <c r="Z295" i="154" s="1"/>
  <c r="AC295" i="154" s="1"/>
  <c r="T296" i="154"/>
  <c r="W296" i="154" s="1"/>
  <c r="Z296" i="154" s="1"/>
  <c r="AC296" i="154" s="1"/>
  <c r="T297" i="154"/>
  <c r="W297" i="154" s="1"/>
  <c r="Z297" i="154" s="1"/>
  <c r="AC297" i="154" s="1"/>
  <c r="T298" i="154"/>
  <c r="W298" i="154" s="1"/>
  <c r="Z298" i="154" s="1"/>
  <c r="AC298" i="154" s="1"/>
  <c r="T299" i="154"/>
  <c r="W299" i="154" s="1"/>
  <c r="Z299" i="154" s="1"/>
  <c r="AC299" i="154" s="1"/>
  <c r="T300" i="154"/>
  <c r="W300" i="154" s="1"/>
  <c r="Z300" i="154" s="1"/>
  <c r="AC300" i="154" s="1"/>
  <c r="T301" i="154"/>
  <c r="W301" i="154" s="1"/>
  <c r="Z301" i="154" s="1"/>
  <c r="AC301" i="154" s="1"/>
  <c r="T302" i="154"/>
  <c r="W302" i="154" s="1"/>
  <c r="Z302" i="154" s="1"/>
  <c r="AC302" i="154" s="1"/>
  <c r="T303" i="154"/>
  <c r="W303" i="154" s="1"/>
  <c r="Z303" i="154" s="1"/>
  <c r="AC303" i="154" s="1"/>
  <c r="T305" i="154"/>
  <c r="W305" i="154" s="1"/>
  <c r="Z305" i="154" s="1"/>
  <c r="AC305" i="154" s="1"/>
  <c r="T306" i="154"/>
  <c r="W306" i="154" s="1"/>
  <c r="Z306" i="154" s="1"/>
  <c r="AC306" i="154" s="1"/>
  <c r="T307" i="154"/>
  <c r="W307" i="154" s="1"/>
  <c r="Z307" i="154" s="1"/>
  <c r="AC307" i="154" s="1"/>
  <c r="T308" i="154"/>
  <c r="W308" i="154" s="1"/>
  <c r="Z308" i="154" s="1"/>
  <c r="AC308" i="154" s="1"/>
  <c r="T309" i="154"/>
  <c r="W309" i="154" s="1"/>
  <c r="Z309" i="154" s="1"/>
  <c r="AC309" i="154" s="1"/>
  <c r="T310" i="154"/>
  <c r="W310" i="154" s="1"/>
  <c r="Z310" i="154" s="1"/>
  <c r="AC310" i="154" s="1"/>
  <c r="T311" i="154"/>
  <c r="W311" i="154" s="1"/>
  <c r="Z311" i="154" s="1"/>
  <c r="AC311" i="154" s="1"/>
  <c r="T312" i="154"/>
  <c r="W312" i="154" s="1"/>
  <c r="Z312" i="154" s="1"/>
  <c r="AC312" i="154" s="1"/>
  <c r="T313" i="154"/>
  <c r="W313" i="154" s="1"/>
  <c r="Z313" i="154" s="1"/>
  <c r="AC313" i="154" s="1"/>
  <c r="T314" i="154"/>
  <c r="W314" i="154" s="1"/>
  <c r="Z314" i="154" s="1"/>
  <c r="AC314" i="154" s="1"/>
  <c r="T315" i="154"/>
  <c r="W315" i="154" s="1"/>
  <c r="Z315" i="154" s="1"/>
  <c r="AC315" i="154" s="1"/>
  <c r="T316" i="154"/>
  <c r="W316" i="154" s="1"/>
  <c r="Z316" i="154" s="1"/>
  <c r="AC316" i="154" s="1"/>
  <c r="T318" i="154"/>
  <c r="W318" i="154" s="1"/>
  <c r="Z318" i="154" s="1"/>
  <c r="AC318" i="154" s="1"/>
  <c r="T319" i="154"/>
  <c r="W319" i="154" s="1"/>
  <c r="Z319" i="154" s="1"/>
  <c r="AC319" i="154" s="1"/>
  <c r="T320" i="154"/>
  <c r="W320" i="154" s="1"/>
  <c r="Z320" i="154" s="1"/>
  <c r="AC320" i="154" s="1"/>
  <c r="T321" i="154"/>
  <c r="W321" i="154" s="1"/>
  <c r="Z321" i="154" s="1"/>
  <c r="AC321" i="154" s="1"/>
  <c r="T322" i="154"/>
  <c r="W322" i="154" s="1"/>
  <c r="Z322" i="154" s="1"/>
  <c r="AC322" i="154" s="1"/>
  <c r="T323" i="154"/>
  <c r="W323" i="154" s="1"/>
  <c r="Z323" i="154" s="1"/>
  <c r="AC323" i="154" s="1"/>
  <c r="T324" i="154"/>
  <c r="W324" i="154" s="1"/>
  <c r="Z324" i="154" s="1"/>
  <c r="AC324" i="154" s="1"/>
  <c r="T325" i="154"/>
  <c r="W325" i="154" s="1"/>
  <c r="Z325" i="154" s="1"/>
  <c r="AC325" i="154" s="1"/>
  <c r="T326" i="154"/>
  <c r="W326" i="154" s="1"/>
  <c r="Z326" i="154" s="1"/>
  <c r="AC326" i="154" s="1"/>
  <c r="T327" i="154"/>
  <c r="W327" i="154" s="1"/>
  <c r="Z327" i="154" s="1"/>
  <c r="AC327" i="154" s="1"/>
  <c r="T328" i="154"/>
  <c r="W328" i="154" s="1"/>
  <c r="Z328" i="154" s="1"/>
  <c r="AC328" i="154" s="1"/>
  <c r="T329" i="154"/>
  <c r="W329" i="154" s="1"/>
  <c r="Z329" i="154" s="1"/>
  <c r="AC329" i="154" s="1"/>
  <c r="T331" i="154"/>
  <c r="W331" i="154" s="1"/>
  <c r="Z331" i="154" s="1"/>
  <c r="AC331" i="154" s="1"/>
  <c r="T332" i="154"/>
  <c r="W332" i="154" s="1"/>
  <c r="Z332" i="154" s="1"/>
  <c r="AC332" i="154" s="1"/>
  <c r="T333" i="154"/>
  <c r="W333" i="154" s="1"/>
  <c r="Z333" i="154" s="1"/>
  <c r="AC333" i="154" s="1"/>
  <c r="T335" i="154"/>
  <c r="W335" i="154" s="1"/>
  <c r="Z335" i="154" s="1"/>
  <c r="AC335" i="154" s="1"/>
  <c r="T336" i="154"/>
  <c r="W336" i="154" s="1"/>
  <c r="Z336" i="154" s="1"/>
  <c r="AC336" i="154" s="1"/>
  <c r="T337" i="154"/>
  <c r="W337" i="154" s="1"/>
  <c r="Z337" i="154" s="1"/>
  <c r="AC337" i="154" s="1"/>
  <c r="T338" i="154"/>
  <c r="W338" i="154" s="1"/>
  <c r="Z338" i="154" s="1"/>
  <c r="AC338" i="154" s="1"/>
  <c r="T339" i="154"/>
  <c r="W339" i="154" s="1"/>
  <c r="Z339" i="154" s="1"/>
  <c r="AC339" i="154" s="1"/>
  <c r="T340" i="154"/>
  <c r="W340" i="154" s="1"/>
  <c r="Z340" i="154" s="1"/>
  <c r="AC340" i="154" s="1"/>
  <c r="T341" i="154"/>
  <c r="W341" i="154" s="1"/>
  <c r="Z341" i="154" s="1"/>
  <c r="AC341" i="154" s="1"/>
  <c r="T342" i="154"/>
  <c r="W342" i="154" s="1"/>
  <c r="Z342" i="154" s="1"/>
  <c r="AC342" i="154" s="1"/>
  <c r="T344" i="154"/>
  <c r="W344" i="154" s="1"/>
  <c r="Z344" i="154" s="1"/>
  <c r="AC344" i="154" s="1"/>
  <c r="T345" i="154"/>
  <c r="W345" i="154" s="1"/>
  <c r="Z345" i="154" s="1"/>
  <c r="AC345" i="154" s="1"/>
  <c r="T346" i="154"/>
  <c r="W346" i="154" s="1"/>
  <c r="Z346" i="154" s="1"/>
  <c r="AC346" i="154" s="1"/>
  <c r="T347" i="154"/>
  <c r="W347" i="154" s="1"/>
  <c r="Z347" i="154" s="1"/>
  <c r="AC347" i="154" s="1"/>
  <c r="T348" i="154"/>
  <c r="W348" i="154" s="1"/>
  <c r="Z348" i="154" s="1"/>
  <c r="AC348" i="154" s="1"/>
  <c r="T349" i="154"/>
  <c r="W349" i="154" s="1"/>
  <c r="Z349" i="154" s="1"/>
  <c r="AC349" i="154" s="1"/>
  <c r="T350" i="154"/>
  <c r="W350" i="154" s="1"/>
  <c r="Z350" i="154" s="1"/>
  <c r="AC350" i="154" s="1"/>
  <c r="T351" i="154"/>
  <c r="W351" i="154" s="1"/>
  <c r="Z351" i="154" s="1"/>
  <c r="AC351" i="154" s="1"/>
  <c r="T352" i="154"/>
  <c r="W352" i="154" s="1"/>
  <c r="Z352" i="154" s="1"/>
  <c r="AC352" i="154" s="1"/>
  <c r="T353" i="154"/>
  <c r="W353" i="154" s="1"/>
  <c r="Z353" i="154" s="1"/>
  <c r="AC353" i="154" s="1"/>
  <c r="T354" i="154"/>
  <c r="W354" i="154" s="1"/>
  <c r="Z354" i="154" s="1"/>
  <c r="AC354" i="154" s="1"/>
  <c r="T355" i="154"/>
  <c r="W355" i="154" s="1"/>
  <c r="Z355" i="154" s="1"/>
  <c r="AC355" i="154" s="1"/>
  <c r="T357" i="154"/>
  <c r="W357" i="154" s="1"/>
  <c r="Z357" i="154" s="1"/>
  <c r="AC357" i="154" s="1"/>
  <c r="T358" i="154"/>
  <c r="W358" i="154" s="1"/>
  <c r="Z358" i="154" s="1"/>
  <c r="AC358" i="154" s="1"/>
  <c r="T359" i="154"/>
  <c r="W359" i="154" s="1"/>
  <c r="Z359" i="154" s="1"/>
  <c r="AC359" i="154" s="1"/>
  <c r="T360" i="154"/>
  <c r="W360" i="154" s="1"/>
  <c r="Z360" i="154" s="1"/>
  <c r="AC360" i="154" s="1"/>
  <c r="T361" i="154"/>
  <c r="W361" i="154" s="1"/>
  <c r="Z361" i="154" s="1"/>
  <c r="AC361" i="154" s="1"/>
  <c r="T362" i="154"/>
  <c r="W362" i="154" s="1"/>
  <c r="Z362" i="154" s="1"/>
  <c r="AC362" i="154" s="1"/>
  <c r="T363" i="154"/>
  <c r="W363" i="154" s="1"/>
  <c r="Z363" i="154" s="1"/>
  <c r="AC363" i="154" s="1"/>
  <c r="T364" i="154"/>
  <c r="W364" i="154"/>
  <c r="Z364" i="154" s="1"/>
  <c r="AC364" i="154" s="1"/>
  <c r="T365" i="154"/>
  <c r="W365" i="154" s="1"/>
  <c r="Z365" i="154" s="1"/>
  <c r="AC365" i="154" s="1"/>
  <c r="T366" i="154"/>
  <c r="W366" i="154" s="1"/>
  <c r="Z366" i="154" s="1"/>
  <c r="AC366" i="154" s="1"/>
  <c r="T367" i="154"/>
  <c r="W367" i="154" s="1"/>
  <c r="Z367" i="154" s="1"/>
  <c r="AC367" i="154" s="1"/>
  <c r="T368" i="154"/>
  <c r="W368" i="154" s="1"/>
  <c r="Z368" i="154" s="1"/>
  <c r="AC368" i="154" s="1"/>
  <c r="T130" i="154"/>
  <c r="W130" i="154" s="1"/>
  <c r="Z130" i="154" s="1"/>
  <c r="AC130" i="154" s="1"/>
  <c r="T133" i="154"/>
  <c r="W133" i="154" s="1"/>
  <c r="Z133" i="154" s="1"/>
  <c r="AC133" i="154" s="1"/>
  <c r="T134" i="154"/>
  <c r="W134" i="154" s="1"/>
  <c r="Z134" i="154" s="1"/>
  <c r="AC134" i="154" s="1"/>
  <c r="T136" i="154"/>
  <c r="W136" i="154" s="1"/>
  <c r="Z136" i="154" s="1"/>
  <c r="AC136" i="154" s="1"/>
  <c r="T137" i="154"/>
  <c r="W137" i="154" s="1"/>
  <c r="Z137" i="154" s="1"/>
  <c r="AC137" i="154" s="1"/>
  <c r="T138" i="154"/>
  <c r="W138" i="154" s="1"/>
  <c r="Z138" i="154" s="1"/>
  <c r="AC138" i="154" s="1"/>
  <c r="T139" i="154"/>
  <c r="W139" i="154" s="1"/>
  <c r="Z139" i="154" s="1"/>
  <c r="AC139" i="154" s="1"/>
  <c r="T140" i="154"/>
  <c r="W140" i="154" s="1"/>
  <c r="Z140" i="154" s="1"/>
  <c r="AC140" i="154" s="1"/>
  <c r="T146" i="154"/>
  <c r="W146" i="154" s="1"/>
  <c r="Z146" i="154" s="1"/>
  <c r="AC146" i="154" s="1"/>
  <c r="T147" i="154"/>
  <c r="W147" i="154" s="1"/>
  <c r="Z147" i="154" s="1"/>
  <c r="AC147" i="154" s="1"/>
  <c r="T148" i="154"/>
  <c r="W148" i="154" s="1"/>
  <c r="Z148" i="154" s="1"/>
  <c r="AC148" i="154" s="1"/>
  <c r="T149" i="154"/>
  <c r="W149" i="154" s="1"/>
  <c r="Z149" i="154" s="1"/>
  <c r="AC149" i="154" s="1"/>
  <c r="T150" i="154"/>
  <c r="W150" i="154" s="1"/>
  <c r="Z150" i="154" s="1"/>
  <c r="AC150" i="154" s="1"/>
  <c r="T151" i="154"/>
  <c r="W151" i="154" s="1"/>
  <c r="Z151" i="154" s="1"/>
  <c r="AC151" i="154" s="1"/>
  <c r="T153" i="154"/>
  <c r="W153" i="154"/>
  <c r="Z153" i="154" s="1"/>
  <c r="AC153" i="154" s="1"/>
  <c r="T156" i="154"/>
  <c r="W156" i="154" s="1"/>
  <c r="Z156" i="154" s="1"/>
  <c r="AC156" i="154" s="1"/>
  <c r="T157" i="154"/>
  <c r="W157" i="154" s="1"/>
  <c r="Z157" i="154" s="1"/>
  <c r="AC157" i="154" s="1"/>
  <c r="T159" i="154"/>
  <c r="W159" i="154" s="1"/>
  <c r="Z159" i="154" s="1"/>
  <c r="AC159" i="154" s="1"/>
  <c r="T160" i="154"/>
  <c r="W160" i="154" s="1"/>
  <c r="Z160" i="154" s="1"/>
  <c r="AC160" i="154" s="1"/>
  <c r="T161" i="154"/>
  <c r="W161" i="154" s="1"/>
  <c r="Z161" i="154" s="1"/>
  <c r="AC161" i="154" s="1"/>
  <c r="T162" i="154"/>
  <c r="W162" i="154" s="1"/>
  <c r="Z162" i="154" s="1"/>
  <c r="AC162" i="154" s="1"/>
  <c r="T163" i="154"/>
  <c r="W163" i="154" s="1"/>
  <c r="Z163" i="154" s="1"/>
  <c r="AC163" i="154" s="1"/>
  <c r="T166" i="154"/>
  <c r="W166" i="154" s="1"/>
  <c r="Z166" i="154" s="1"/>
  <c r="AC166" i="154" s="1"/>
  <c r="T168" i="154"/>
  <c r="W168" i="154" s="1"/>
  <c r="Z168" i="154" s="1"/>
  <c r="AC168" i="154" s="1"/>
  <c r="T169" i="154"/>
  <c r="W169" i="154" s="1"/>
  <c r="Z169" i="154" s="1"/>
  <c r="AC169" i="154" s="1"/>
  <c r="T170" i="154"/>
  <c r="W170" i="154" s="1"/>
  <c r="Z170" i="154" s="1"/>
  <c r="AC170" i="154" s="1"/>
  <c r="T171" i="154"/>
  <c r="W171" i="154" s="1"/>
  <c r="Z171" i="154" s="1"/>
  <c r="AC171" i="154" s="1"/>
  <c r="T172" i="154"/>
  <c r="W172" i="154" s="1"/>
  <c r="Z172" i="154" s="1"/>
  <c r="AC172" i="154" s="1"/>
  <c r="T173" i="154"/>
  <c r="W173" i="154" s="1"/>
  <c r="Z173" i="154" s="1"/>
  <c r="AC173" i="154" s="1"/>
  <c r="T174" i="154"/>
  <c r="W174" i="154" s="1"/>
  <c r="Z174" i="154" s="1"/>
  <c r="AC174" i="154" s="1"/>
  <c r="T175" i="154"/>
  <c r="W175" i="154" s="1"/>
  <c r="Z175" i="154" s="1"/>
  <c r="AC175" i="154" s="1"/>
  <c r="T176" i="154"/>
  <c r="W176" i="154" s="1"/>
  <c r="Z176" i="154" s="1"/>
  <c r="AC176" i="154" s="1"/>
  <c r="T177" i="154"/>
  <c r="W177" i="154" s="1"/>
  <c r="Z177" i="154" s="1"/>
  <c r="AC177" i="154" s="1"/>
  <c r="T178" i="154"/>
  <c r="W178" i="154" s="1"/>
  <c r="Z178" i="154" s="1"/>
  <c r="AC178" i="154" s="1"/>
  <c r="T179" i="154"/>
  <c r="W179" i="154" s="1"/>
  <c r="Z179" i="154" s="1"/>
  <c r="AC179" i="154" s="1"/>
  <c r="T181" i="154"/>
  <c r="W181" i="154" s="1"/>
  <c r="Z181" i="154" s="1"/>
  <c r="AC181" i="154" s="1"/>
  <c r="T182" i="154"/>
  <c r="W182" i="154" s="1"/>
  <c r="Z182" i="154" s="1"/>
  <c r="AC182" i="154" s="1"/>
  <c r="T183" i="154"/>
  <c r="W183" i="154" s="1"/>
  <c r="Z183" i="154" s="1"/>
  <c r="AC183" i="154" s="1"/>
  <c r="T184" i="154"/>
  <c r="W184" i="154" s="1"/>
  <c r="Z184" i="154" s="1"/>
  <c r="AC184" i="154" s="1"/>
  <c r="T185" i="154"/>
  <c r="W185" i="154" s="1"/>
  <c r="Z185" i="154" s="1"/>
  <c r="AC185" i="154" s="1"/>
  <c r="T186" i="154"/>
  <c r="W186" i="154" s="1"/>
  <c r="Z186" i="154" s="1"/>
  <c r="AC186" i="154" s="1"/>
  <c r="T187" i="154"/>
  <c r="W187" i="154" s="1"/>
  <c r="Z187" i="154" s="1"/>
  <c r="AC187" i="154" s="1"/>
  <c r="T188" i="154"/>
  <c r="W188" i="154" s="1"/>
  <c r="Z188" i="154" s="1"/>
  <c r="AC188" i="154" s="1"/>
  <c r="T189" i="154"/>
  <c r="W189" i="154" s="1"/>
  <c r="Z189" i="154" s="1"/>
  <c r="AC189" i="154" s="1"/>
  <c r="T190" i="154"/>
  <c r="W190" i="154" s="1"/>
  <c r="Z190" i="154" s="1"/>
  <c r="AC190" i="154" s="1"/>
  <c r="T191" i="154"/>
  <c r="W191" i="154" s="1"/>
  <c r="Z191" i="154" s="1"/>
  <c r="AC191" i="154" s="1"/>
  <c r="T192" i="154"/>
  <c r="W192" i="154" s="1"/>
  <c r="Z192" i="154" s="1"/>
  <c r="AC192" i="154" s="1"/>
  <c r="T194" i="154"/>
  <c r="W194" i="154" s="1"/>
  <c r="Z194" i="154" s="1"/>
  <c r="AC194" i="154" s="1"/>
  <c r="T195" i="154"/>
  <c r="W195" i="154" s="1"/>
  <c r="Z195" i="154" s="1"/>
  <c r="AC195" i="154" s="1"/>
  <c r="T196" i="154"/>
  <c r="W196" i="154" s="1"/>
  <c r="Z196" i="154" s="1"/>
  <c r="AC196" i="154" s="1"/>
  <c r="T197" i="154"/>
  <c r="W197" i="154"/>
  <c r="Z197" i="154" s="1"/>
  <c r="AC197" i="154" s="1"/>
  <c r="T198" i="154"/>
  <c r="W198" i="154" s="1"/>
  <c r="Z198" i="154" s="1"/>
  <c r="AC198" i="154" s="1"/>
  <c r="T199" i="154"/>
  <c r="W199" i="154" s="1"/>
  <c r="Z199" i="154" s="1"/>
  <c r="AC199" i="154" s="1"/>
  <c r="T200" i="154"/>
  <c r="W200" i="154" s="1"/>
  <c r="Z200" i="154" s="1"/>
  <c r="AC200" i="154" s="1"/>
  <c r="T201" i="154"/>
  <c r="W201" i="154" s="1"/>
  <c r="Z201" i="154" s="1"/>
  <c r="AC201" i="154" s="1"/>
  <c r="T202" i="154"/>
  <c r="W202" i="154" s="1"/>
  <c r="Z202" i="154" s="1"/>
  <c r="AC202" i="154" s="1"/>
  <c r="T203" i="154"/>
  <c r="W203" i="154" s="1"/>
  <c r="Z203" i="154" s="1"/>
  <c r="AC203" i="154" s="1"/>
  <c r="T204" i="154"/>
  <c r="W204" i="154" s="1"/>
  <c r="Z204" i="154" s="1"/>
  <c r="AC204" i="154" s="1"/>
  <c r="T205" i="154"/>
  <c r="W205" i="154" s="1"/>
  <c r="Z205" i="154" s="1"/>
  <c r="AC205" i="154" s="1"/>
  <c r="T209" i="154"/>
  <c r="W209" i="154" s="1"/>
  <c r="Z209" i="154" s="1"/>
  <c r="AC209" i="154" s="1"/>
  <c r="T213" i="154"/>
  <c r="W213" i="154" s="1"/>
  <c r="Z213" i="154" s="1"/>
  <c r="AC213" i="154" s="1"/>
  <c r="T214" i="154"/>
  <c r="W214" i="154" s="1"/>
  <c r="Z214" i="154" s="1"/>
  <c r="AC214" i="154" s="1"/>
  <c r="T215" i="154"/>
  <c r="W215" i="154" s="1"/>
  <c r="Z215" i="154" s="1"/>
  <c r="AC215" i="154" s="1"/>
  <c r="T216" i="154"/>
  <c r="W216" i="154" s="1"/>
  <c r="Z216" i="154" s="1"/>
  <c r="AC216" i="154" s="1"/>
  <c r="T217" i="154"/>
  <c r="W217" i="154" s="1"/>
  <c r="Z217" i="154" s="1"/>
  <c r="AC217" i="154" s="1"/>
  <c r="T218" i="154"/>
  <c r="W218" i="154" s="1"/>
  <c r="Z218" i="154" s="1"/>
  <c r="AC218" i="154" s="1"/>
  <c r="T220" i="154"/>
  <c r="W220" i="154" s="1"/>
  <c r="Z220" i="154" s="1"/>
  <c r="AC220" i="154" s="1"/>
  <c r="T221" i="154"/>
  <c r="W221" i="154" s="1"/>
  <c r="Z221" i="154" s="1"/>
  <c r="AC221" i="154" s="1"/>
  <c r="T224" i="154"/>
  <c r="W224" i="154" s="1"/>
  <c r="Z224" i="154" s="1"/>
  <c r="AC224" i="154" s="1"/>
  <c r="T225" i="154"/>
  <c r="W225" i="154" s="1"/>
  <c r="Z225" i="154" s="1"/>
  <c r="AC225" i="154" s="1"/>
  <c r="T226" i="154"/>
  <c r="W226" i="154" s="1"/>
  <c r="Z226" i="154" s="1"/>
  <c r="AC226" i="154" s="1"/>
  <c r="T227" i="154"/>
  <c r="W227" i="154" s="1"/>
  <c r="Z227" i="154" s="1"/>
  <c r="AC227" i="154" s="1"/>
  <c r="T228" i="154"/>
  <c r="W228" i="154" s="1"/>
  <c r="Z228" i="154" s="1"/>
  <c r="AC228" i="154" s="1"/>
  <c r="T229" i="154"/>
  <c r="W229" i="154" s="1"/>
  <c r="Z229" i="154" s="1"/>
  <c r="AC229" i="154" s="1"/>
  <c r="T230" i="154"/>
  <c r="W230" i="154" s="1"/>
  <c r="Z230" i="154" s="1"/>
  <c r="AC230" i="154" s="1"/>
  <c r="T231" i="154"/>
  <c r="W231" i="154" s="1"/>
  <c r="Z231" i="154" s="1"/>
  <c r="AC231" i="154" s="1"/>
  <c r="T232" i="154"/>
  <c r="W232" i="154" s="1"/>
  <c r="Z232" i="154" s="1"/>
  <c r="AC232" i="154" s="1"/>
  <c r="T233" i="154"/>
  <c r="W233" i="154" s="1"/>
  <c r="Z233" i="154" s="1"/>
  <c r="AC233" i="154" s="1"/>
  <c r="T234" i="154"/>
  <c r="W234" i="154" s="1"/>
  <c r="Z234" i="154" s="1"/>
  <c r="AC234" i="154" s="1"/>
  <c r="T235" i="154"/>
  <c r="W235" i="154" s="1"/>
  <c r="Z235" i="154" s="1"/>
  <c r="AC235" i="154" s="1"/>
  <c r="T236" i="154"/>
  <c r="W236" i="154" s="1"/>
  <c r="Z236" i="154" s="1"/>
  <c r="AC236" i="154" s="1"/>
  <c r="T237" i="154"/>
  <c r="W237" i="154" s="1"/>
  <c r="Z237" i="154" s="1"/>
  <c r="AC237" i="154" s="1"/>
  <c r="T238" i="154"/>
  <c r="W238" i="154" s="1"/>
  <c r="Z238" i="154" s="1"/>
  <c r="AC238" i="154" s="1"/>
  <c r="T239" i="154"/>
  <c r="W239" i="154" s="1"/>
  <c r="Z239" i="154" s="1"/>
  <c r="AC239" i="154" s="1"/>
  <c r="T240" i="154"/>
  <c r="W240" i="154" s="1"/>
  <c r="Z240" i="154" s="1"/>
  <c r="AC240" i="154" s="1"/>
  <c r="T241" i="154"/>
  <c r="W241" i="154" s="1"/>
  <c r="Z241" i="154" s="1"/>
  <c r="AC241" i="154" s="1"/>
  <c r="T242" i="154"/>
  <c r="W242" i="154" s="1"/>
  <c r="Z242" i="154" s="1"/>
  <c r="AC242" i="154" s="1"/>
  <c r="T243" i="154"/>
  <c r="W243" i="154" s="1"/>
  <c r="Z243" i="154" s="1"/>
  <c r="AC243" i="154" s="1"/>
  <c r="T244" i="154"/>
  <c r="W244" i="154" s="1"/>
  <c r="Z244" i="154" s="1"/>
  <c r="AC244" i="154" s="1"/>
  <c r="T107" i="154"/>
  <c r="W107" i="154" s="1"/>
  <c r="Z107" i="154" s="1"/>
  <c r="AC107" i="154" s="1"/>
  <c r="K437" i="154"/>
  <c r="L437" i="154" s="1"/>
  <c r="K438" i="154"/>
  <c r="K439" i="154"/>
  <c r="L439" i="154" s="1"/>
  <c r="K440" i="154"/>
  <c r="L440" i="154" s="1"/>
  <c r="K441" i="154"/>
  <c r="K442" i="154"/>
  <c r="L442" i="154" s="1"/>
  <c r="K443" i="154"/>
  <c r="K444" i="154"/>
  <c r="L444" i="154" s="1"/>
  <c r="K445" i="154"/>
  <c r="L445" i="154" s="1"/>
  <c r="K446" i="154"/>
  <c r="L446" i="154" s="1"/>
  <c r="K447" i="154"/>
  <c r="L447" i="154" s="1"/>
  <c r="K448" i="154"/>
  <c r="L448" i="154" s="1"/>
  <c r="K436" i="154"/>
  <c r="L436" i="154" s="1"/>
  <c r="G448" i="154"/>
  <c r="I448" i="154" s="1"/>
  <c r="G447" i="154"/>
  <c r="I447" i="154" s="1"/>
  <c r="G446" i="154"/>
  <c r="I446" i="154" s="1"/>
  <c r="G445" i="154"/>
  <c r="I445" i="154" s="1"/>
  <c r="G444" i="154"/>
  <c r="I444" i="154" s="1"/>
  <c r="L443" i="154"/>
  <c r="G443" i="154"/>
  <c r="I443" i="154" s="1"/>
  <c r="G442" i="154"/>
  <c r="I442" i="154" s="1"/>
  <c r="L441" i="154"/>
  <c r="G441" i="154"/>
  <c r="I441" i="154" s="1"/>
  <c r="G440" i="154"/>
  <c r="I440" i="154" s="1"/>
  <c r="G439" i="154"/>
  <c r="I439" i="154" s="1"/>
  <c r="L438" i="154"/>
  <c r="G438" i="154"/>
  <c r="I438" i="154" s="1"/>
  <c r="G437" i="154"/>
  <c r="I437" i="154" s="1"/>
  <c r="G436" i="154"/>
  <c r="I436" i="154" s="1"/>
  <c r="K417" i="154"/>
  <c r="L417" i="154" s="1"/>
  <c r="P417" i="154" s="1"/>
  <c r="K418" i="154"/>
  <c r="L418" i="154" s="1"/>
  <c r="P418" i="154" s="1"/>
  <c r="K419" i="154"/>
  <c r="L419" i="154" s="1"/>
  <c r="P419" i="154" s="1"/>
  <c r="K420" i="154"/>
  <c r="K421" i="154"/>
  <c r="K422" i="154"/>
  <c r="K423" i="154"/>
  <c r="K424" i="154"/>
  <c r="K425" i="154"/>
  <c r="L425" i="154" s="1"/>
  <c r="P425" i="154" s="1"/>
  <c r="S425" i="154" s="1"/>
  <c r="V425" i="154" s="1"/>
  <c r="Y425" i="154" s="1"/>
  <c r="AB425" i="154" s="1"/>
  <c r="K426" i="154"/>
  <c r="L426" i="154" s="1"/>
  <c r="P426" i="154" s="1"/>
  <c r="S426" i="154" s="1"/>
  <c r="V426" i="154" s="1"/>
  <c r="Y426" i="154" s="1"/>
  <c r="AB426" i="154" s="1"/>
  <c r="K427" i="154"/>
  <c r="L427" i="154" s="1"/>
  <c r="P427" i="154" s="1"/>
  <c r="S427" i="154" s="1"/>
  <c r="V427" i="154" s="1"/>
  <c r="Y427" i="154" s="1"/>
  <c r="AB427" i="154" s="1"/>
  <c r="K428" i="154"/>
  <c r="L428" i="154" s="1"/>
  <c r="P428" i="154" s="1"/>
  <c r="S428" i="154" s="1"/>
  <c r="V428" i="154" s="1"/>
  <c r="Y428" i="154" s="1"/>
  <c r="AB428" i="154" s="1"/>
  <c r="K416" i="154"/>
  <c r="L416" i="154" s="1"/>
  <c r="P416" i="154" s="1"/>
  <c r="K404" i="154"/>
  <c r="L404" i="154" s="1"/>
  <c r="P404" i="154" s="1"/>
  <c r="S404" i="154" s="1"/>
  <c r="V404" i="154" s="1"/>
  <c r="Y404" i="154" s="1"/>
  <c r="AB404" i="154" s="1"/>
  <c r="K405" i="154"/>
  <c r="L405" i="154" s="1"/>
  <c r="P405" i="154" s="1"/>
  <c r="K406" i="154"/>
  <c r="L406" i="154" s="1"/>
  <c r="P406" i="154" s="1"/>
  <c r="K407" i="154"/>
  <c r="L407" i="154" s="1"/>
  <c r="P407" i="154" s="1"/>
  <c r="S407" i="154" s="1"/>
  <c r="V407" i="154" s="1"/>
  <c r="Y407" i="154" s="1"/>
  <c r="AB407" i="154" s="1"/>
  <c r="K408" i="154"/>
  <c r="K409" i="154"/>
  <c r="K410" i="154"/>
  <c r="K411" i="154"/>
  <c r="L411" i="154" s="1"/>
  <c r="P411" i="154" s="1"/>
  <c r="S411" i="154" s="1"/>
  <c r="V411" i="154" s="1"/>
  <c r="Y411" i="154" s="1"/>
  <c r="AB411" i="154" s="1"/>
  <c r="K412" i="154"/>
  <c r="L412" i="154" s="1"/>
  <c r="P412" i="154" s="1"/>
  <c r="S412" i="154" s="1"/>
  <c r="V412" i="154" s="1"/>
  <c r="Y412" i="154" s="1"/>
  <c r="AB412" i="154" s="1"/>
  <c r="K413" i="154"/>
  <c r="L413" i="154" s="1"/>
  <c r="P413" i="154" s="1"/>
  <c r="S413" i="154" s="1"/>
  <c r="V413" i="154" s="1"/>
  <c r="Y413" i="154" s="1"/>
  <c r="AB413" i="154" s="1"/>
  <c r="K414" i="154"/>
  <c r="L414" i="154" s="1"/>
  <c r="P414" i="154" s="1"/>
  <c r="S414" i="154" s="1"/>
  <c r="V414" i="154" s="1"/>
  <c r="Y414" i="154" s="1"/>
  <c r="AB414" i="154" s="1"/>
  <c r="K415" i="154"/>
  <c r="L415" i="154" s="1"/>
  <c r="P415" i="154" s="1"/>
  <c r="S415" i="154" s="1"/>
  <c r="V415" i="154" s="1"/>
  <c r="Y415" i="154" s="1"/>
  <c r="AB415" i="154" s="1"/>
  <c r="K403" i="154"/>
  <c r="L403" i="154" s="1"/>
  <c r="P403" i="154" s="1"/>
  <c r="S403" i="154" s="1"/>
  <c r="V403" i="154" s="1"/>
  <c r="Y403" i="154" s="1"/>
  <c r="AB403" i="154" s="1"/>
  <c r="K391" i="154"/>
  <c r="L391" i="154" s="1"/>
  <c r="P391" i="154" s="1"/>
  <c r="K392" i="154"/>
  <c r="L392" i="154" s="1"/>
  <c r="P392" i="154" s="1"/>
  <c r="K393" i="154"/>
  <c r="L393" i="154" s="1"/>
  <c r="P393" i="154" s="1"/>
  <c r="K394" i="154"/>
  <c r="K395" i="154"/>
  <c r="K396" i="154"/>
  <c r="K397" i="154"/>
  <c r="K398" i="154"/>
  <c r="K399" i="154"/>
  <c r="L399" i="154" s="1"/>
  <c r="P399" i="154" s="1"/>
  <c r="K400" i="154"/>
  <c r="L400" i="154" s="1"/>
  <c r="P400" i="154" s="1"/>
  <c r="K401" i="154"/>
  <c r="L401" i="154" s="1"/>
  <c r="P401" i="154" s="1"/>
  <c r="S401" i="154" s="1"/>
  <c r="V401" i="154" s="1"/>
  <c r="Y401" i="154" s="1"/>
  <c r="AB401" i="154" s="1"/>
  <c r="K402" i="154"/>
  <c r="L402" i="154" s="1"/>
  <c r="P402" i="154" s="1"/>
  <c r="K390" i="154"/>
  <c r="L390" i="154" s="1"/>
  <c r="P390" i="154" s="1"/>
  <c r="K378" i="154"/>
  <c r="L378" i="154" s="1"/>
  <c r="P378" i="154" s="1"/>
  <c r="K379" i="154"/>
  <c r="L379" i="154" s="1"/>
  <c r="P379" i="154" s="1"/>
  <c r="K380" i="154"/>
  <c r="L380" i="154" s="1"/>
  <c r="P380" i="154" s="1"/>
  <c r="K381" i="154"/>
  <c r="K382" i="154"/>
  <c r="K383" i="154"/>
  <c r="L383" i="154" s="1"/>
  <c r="P383" i="154" s="1"/>
  <c r="S383" i="154" s="1"/>
  <c r="V383" i="154" s="1"/>
  <c r="Y383" i="154" s="1"/>
  <c r="AB383" i="154" s="1"/>
  <c r="K384" i="154"/>
  <c r="K385" i="154"/>
  <c r="K386" i="154"/>
  <c r="L386" i="154" s="1"/>
  <c r="P386" i="154" s="1"/>
  <c r="K387" i="154"/>
  <c r="K388" i="154"/>
  <c r="K389" i="154"/>
  <c r="L389" i="154" s="1"/>
  <c r="P389" i="154" s="1"/>
  <c r="K377" i="154"/>
  <c r="L377" i="154" s="1"/>
  <c r="P377" i="154" s="1"/>
  <c r="Q377" i="154" s="1"/>
  <c r="T377" i="154" s="1"/>
  <c r="W377" i="154" s="1"/>
  <c r="Z377" i="154" s="1"/>
  <c r="AC377" i="154" s="1"/>
  <c r="L424" i="154"/>
  <c r="P424" i="154" s="1"/>
  <c r="S424" i="154" s="1"/>
  <c r="V424" i="154" s="1"/>
  <c r="Y424" i="154" s="1"/>
  <c r="AB424" i="154" s="1"/>
  <c r="L423" i="154"/>
  <c r="P423" i="154" s="1"/>
  <c r="S423" i="154" s="1"/>
  <c r="V423" i="154" s="1"/>
  <c r="Y423" i="154" s="1"/>
  <c r="AB423" i="154" s="1"/>
  <c r="L422" i="154"/>
  <c r="P422" i="154" s="1"/>
  <c r="S422" i="154" s="1"/>
  <c r="V422" i="154" s="1"/>
  <c r="Y422" i="154" s="1"/>
  <c r="AB422" i="154" s="1"/>
  <c r="L421" i="154"/>
  <c r="P421" i="154" s="1"/>
  <c r="S421" i="154" s="1"/>
  <c r="V421" i="154" s="1"/>
  <c r="Y421" i="154" s="1"/>
  <c r="AB421" i="154" s="1"/>
  <c r="L420" i="154"/>
  <c r="P420" i="154" s="1"/>
  <c r="S420" i="154" s="1"/>
  <c r="V420" i="154" s="1"/>
  <c r="Y420" i="154" s="1"/>
  <c r="AB420" i="154" s="1"/>
  <c r="L410" i="154"/>
  <c r="P410" i="154" s="1"/>
  <c r="S410" i="154" s="1"/>
  <c r="V410" i="154" s="1"/>
  <c r="Y410" i="154" s="1"/>
  <c r="AB410" i="154" s="1"/>
  <c r="L409" i="154"/>
  <c r="P409" i="154" s="1"/>
  <c r="S409" i="154" s="1"/>
  <c r="V409" i="154" s="1"/>
  <c r="Y409" i="154" s="1"/>
  <c r="AB409" i="154" s="1"/>
  <c r="L408" i="154"/>
  <c r="P408" i="154" s="1"/>
  <c r="L398" i="154"/>
  <c r="P398" i="154" s="1"/>
  <c r="S398" i="154" s="1"/>
  <c r="V398" i="154" s="1"/>
  <c r="Y398" i="154" s="1"/>
  <c r="AB398" i="154" s="1"/>
  <c r="L397" i="154"/>
  <c r="P397" i="154" s="1"/>
  <c r="S397" i="154" s="1"/>
  <c r="V397" i="154" s="1"/>
  <c r="Y397" i="154" s="1"/>
  <c r="AB397" i="154" s="1"/>
  <c r="L396" i="154"/>
  <c r="P396" i="154" s="1"/>
  <c r="S396" i="154" s="1"/>
  <c r="V396" i="154" s="1"/>
  <c r="Y396" i="154" s="1"/>
  <c r="AB396" i="154" s="1"/>
  <c r="L395" i="154"/>
  <c r="P395" i="154" s="1"/>
  <c r="S395" i="154" s="1"/>
  <c r="V395" i="154" s="1"/>
  <c r="Y395" i="154" s="1"/>
  <c r="AB395" i="154" s="1"/>
  <c r="L394" i="154"/>
  <c r="P394" i="154" s="1"/>
  <c r="S394" i="154" s="1"/>
  <c r="V394" i="154" s="1"/>
  <c r="Y394" i="154" s="1"/>
  <c r="AB394" i="154" s="1"/>
  <c r="G389" i="154"/>
  <c r="L388" i="154"/>
  <c r="P388" i="154" s="1"/>
  <c r="S388" i="154" s="1"/>
  <c r="V388" i="154" s="1"/>
  <c r="Y388" i="154" s="1"/>
  <c r="AB388" i="154" s="1"/>
  <c r="G388" i="154"/>
  <c r="L387" i="154"/>
  <c r="P387" i="154" s="1"/>
  <c r="S387" i="154" s="1"/>
  <c r="V387" i="154" s="1"/>
  <c r="Y387" i="154" s="1"/>
  <c r="AB387" i="154" s="1"/>
  <c r="G387" i="154"/>
  <c r="I387" i="154" s="1"/>
  <c r="G386" i="154"/>
  <c r="I425" i="154" s="1"/>
  <c r="L385" i="154"/>
  <c r="P385" i="154" s="1"/>
  <c r="S385" i="154" s="1"/>
  <c r="V385" i="154" s="1"/>
  <c r="Y385" i="154" s="1"/>
  <c r="AB385" i="154" s="1"/>
  <c r="G385" i="154"/>
  <c r="I424" i="154" s="1"/>
  <c r="L384" i="154"/>
  <c r="P384" i="154" s="1"/>
  <c r="S384" i="154" s="1"/>
  <c r="V384" i="154" s="1"/>
  <c r="Y384" i="154" s="1"/>
  <c r="AB384" i="154" s="1"/>
  <c r="G384" i="154"/>
  <c r="I384" i="154" s="1"/>
  <c r="G383" i="154"/>
  <c r="I383" i="154" s="1"/>
  <c r="L382" i="154"/>
  <c r="P382" i="154" s="1"/>
  <c r="S382" i="154" s="1"/>
  <c r="V382" i="154" s="1"/>
  <c r="Y382" i="154" s="1"/>
  <c r="AB382" i="154" s="1"/>
  <c r="G382" i="154"/>
  <c r="I382" i="154" s="1"/>
  <c r="L381" i="154"/>
  <c r="P381" i="154" s="1"/>
  <c r="S381" i="154" s="1"/>
  <c r="V381" i="154" s="1"/>
  <c r="Y381" i="154" s="1"/>
  <c r="AB381" i="154" s="1"/>
  <c r="G381" i="154"/>
  <c r="I407" i="154" s="1"/>
  <c r="G380" i="154"/>
  <c r="I380" i="154" s="1"/>
  <c r="G379" i="154"/>
  <c r="I379" i="154" s="1"/>
  <c r="G378" i="154"/>
  <c r="I417" i="154" s="1"/>
  <c r="G377" i="154"/>
  <c r="I416" i="154" s="1"/>
  <c r="K358" i="154"/>
  <c r="K359" i="154"/>
  <c r="K360" i="154"/>
  <c r="K361" i="154"/>
  <c r="K362" i="154"/>
  <c r="K363" i="154"/>
  <c r="K364" i="154"/>
  <c r="K365" i="154"/>
  <c r="K366" i="154"/>
  <c r="K367" i="154"/>
  <c r="K368" i="154"/>
  <c r="K369" i="154"/>
  <c r="L369" i="154" s="1"/>
  <c r="P369" i="154" s="1"/>
  <c r="K357" i="154"/>
  <c r="K345" i="154"/>
  <c r="K346" i="154"/>
  <c r="K347" i="154"/>
  <c r="K348" i="154"/>
  <c r="K349" i="154"/>
  <c r="K350" i="154"/>
  <c r="K351" i="154"/>
  <c r="K352" i="154"/>
  <c r="K353" i="154"/>
  <c r="K354" i="154"/>
  <c r="K355" i="154"/>
  <c r="K356" i="154"/>
  <c r="L356" i="154" s="1"/>
  <c r="P356" i="154" s="1"/>
  <c r="K344" i="154"/>
  <c r="K332" i="154"/>
  <c r="L332" i="154" s="1"/>
  <c r="P332" i="154" s="1"/>
  <c r="S332" i="154" s="1"/>
  <c r="V332" i="154" s="1"/>
  <c r="Y332" i="154" s="1"/>
  <c r="AB332" i="154" s="1"/>
  <c r="K333" i="154"/>
  <c r="L333" i="154" s="1"/>
  <c r="P333" i="154" s="1"/>
  <c r="S333" i="154" s="1"/>
  <c r="V333" i="154" s="1"/>
  <c r="Y333" i="154" s="1"/>
  <c r="AB333" i="154" s="1"/>
  <c r="K334" i="154"/>
  <c r="L334" i="154" s="1"/>
  <c r="P334" i="154" s="1"/>
  <c r="K335" i="154"/>
  <c r="L335" i="154" s="1"/>
  <c r="P335" i="154" s="1"/>
  <c r="K336" i="154"/>
  <c r="K337" i="154"/>
  <c r="K338" i="154"/>
  <c r="K339" i="154"/>
  <c r="L339" i="154" s="1"/>
  <c r="P339" i="154" s="1"/>
  <c r="S339" i="154" s="1"/>
  <c r="V339" i="154" s="1"/>
  <c r="Y339" i="154" s="1"/>
  <c r="AB339" i="154" s="1"/>
  <c r="K340" i="154"/>
  <c r="K341" i="154"/>
  <c r="L341" i="154" s="1"/>
  <c r="P341" i="154" s="1"/>
  <c r="S341" i="154" s="1"/>
  <c r="V341" i="154" s="1"/>
  <c r="Y341" i="154" s="1"/>
  <c r="AB341" i="154" s="1"/>
  <c r="K342" i="154"/>
  <c r="L342" i="154" s="1"/>
  <c r="P342" i="154" s="1"/>
  <c r="S342" i="154" s="1"/>
  <c r="V342" i="154" s="1"/>
  <c r="Y342" i="154" s="1"/>
  <c r="AB342" i="154" s="1"/>
  <c r="K343" i="154"/>
  <c r="L343" i="154" s="1"/>
  <c r="P343" i="154" s="1"/>
  <c r="K331" i="154"/>
  <c r="L331" i="154" s="1"/>
  <c r="P331" i="154" s="1"/>
  <c r="S331" i="154" s="1"/>
  <c r="V331" i="154" s="1"/>
  <c r="Y331" i="154" s="1"/>
  <c r="AB331" i="154" s="1"/>
  <c r="K319" i="154"/>
  <c r="K320" i="154"/>
  <c r="K321" i="154"/>
  <c r="K322" i="154"/>
  <c r="K323" i="154"/>
  <c r="K324" i="154"/>
  <c r="K325" i="154"/>
  <c r="L325" i="154" s="1"/>
  <c r="P325" i="154" s="1"/>
  <c r="S325" i="154" s="1"/>
  <c r="V325" i="154" s="1"/>
  <c r="Y325" i="154" s="1"/>
  <c r="AB325" i="154" s="1"/>
  <c r="K326" i="154"/>
  <c r="L326" i="154" s="1"/>
  <c r="P326" i="154" s="1"/>
  <c r="S326" i="154" s="1"/>
  <c r="V326" i="154" s="1"/>
  <c r="Y326" i="154" s="1"/>
  <c r="AB326" i="154" s="1"/>
  <c r="K327" i="154"/>
  <c r="L327" i="154" s="1"/>
  <c r="P327" i="154" s="1"/>
  <c r="S327" i="154" s="1"/>
  <c r="V327" i="154" s="1"/>
  <c r="Y327" i="154" s="1"/>
  <c r="AB327" i="154" s="1"/>
  <c r="K328" i="154"/>
  <c r="L328" i="154" s="1"/>
  <c r="P328" i="154" s="1"/>
  <c r="S328" i="154" s="1"/>
  <c r="V328" i="154" s="1"/>
  <c r="Y328" i="154" s="1"/>
  <c r="AB328" i="154" s="1"/>
  <c r="K329" i="154"/>
  <c r="L329" i="154" s="1"/>
  <c r="P329" i="154" s="1"/>
  <c r="S329" i="154" s="1"/>
  <c r="V329" i="154" s="1"/>
  <c r="Y329" i="154" s="1"/>
  <c r="AB329" i="154" s="1"/>
  <c r="K330" i="154"/>
  <c r="L330" i="154" s="1"/>
  <c r="P330" i="154" s="1"/>
  <c r="K318" i="154"/>
  <c r="K306" i="154"/>
  <c r="L306" i="154" s="1"/>
  <c r="P306" i="154" s="1"/>
  <c r="S306" i="154" s="1"/>
  <c r="V306" i="154" s="1"/>
  <c r="Y306" i="154" s="1"/>
  <c r="AB306" i="154" s="1"/>
  <c r="K307" i="154"/>
  <c r="L307" i="154" s="1"/>
  <c r="P307" i="154" s="1"/>
  <c r="S307" i="154" s="1"/>
  <c r="V307" i="154" s="1"/>
  <c r="Y307" i="154" s="1"/>
  <c r="AB307" i="154" s="1"/>
  <c r="K308" i="154"/>
  <c r="K309" i="154"/>
  <c r="K310" i="154"/>
  <c r="L310" i="154" s="1"/>
  <c r="P310" i="154" s="1"/>
  <c r="S310" i="154" s="1"/>
  <c r="V310" i="154" s="1"/>
  <c r="Y310" i="154" s="1"/>
  <c r="AB310" i="154" s="1"/>
  <c r="K311" i="154"/>
  <c r="L311" i="154" s="1"/>
  <c r="P311" i="154" s="1"/>
  <c r="S311" i="154" s="1"/>
  <c r="V311" i="154" s="1"/>
  <c r="Y311" i="154" s="1"/>
  <c r="AB311" i="154" s="1"/>
  <c r="K312" i="154"/>
  <c r="L312" i="154" s="1"/>
  <c r="P312" i="154" s="1"/>
  <c r="S312" i="154" s="1"/>
  <c r="V312" i="154" s="1"/>
  <c r="Y312" i="154" s="1"/>
  <c r="AB312" i="154" s="1"/>
  <c r="K313" i="154"/>
  <c r="L313" i="154" s="1"/>
  <c r="P313" i="154" s="1"/>
  <c r="S313" i="154" s="1"/>
  <c r="V313" i="154" s="1"/>
  <c r="Y313" i="154" s="1"/>
  <c r="AB313" i="154" s="1"/>
  <c r="K314" i="154"/>
  <c r="L314" i="154" s="1"/>
  <c r="P314" i="154" s="1"/>
  <c r="S314" i="154" s="1"/>
  <c r="V314" i="154" s="1"/>
  <c r="Y314" i="154" s="1"/>
  <c r="AB314" i="154" s="1"/>
  <c r="K315" i="154"/>
  <c r="L315" i="154" s="1"/>
  <c r="P315" i="154" s="1"/>
  <c r="S315" i="154" s="1"/>
  <c r="V315" i="154" s="1"/>
  <c r="Y315" i="154" s="1"/>
  <c r="AB315" i="154" s="1"/>
  <c r="K316" i="154"/>
  <c r="L316" i="154" s="1"/>
  <c r="P316" i="154" s="1"/>
  <c r="S316" i="154" s="1"/>
  <c r="V316" i="154" s="1"/>
  <c r="Y316" i="154" s="1"/>
  <c r="AB316" i="154" s="1"/>
  <c r="K317" i="154"/>
  <c r="L317" i="154" s="1"/>
  <c r="P317" i="154" s="1"/>
  <c r="K305" i="154"/>
  <c r="L305" i="154" s="1"/>
  <c r="P305" i="154" s="1"/>
  <c r="S305" i="154" s="1"/>
  <c r="V305" i="154" s="1"/>
  <c r="Y305" i="154" s="1"/>
  <c r="AB305" i="154" s="1"/>
  <c r="K293" i="154"/>
  <c r="L293" i="154" s="1"/>
  <c r="P293" i="154" s="1"/>
  <c r="S293" i="154" s="1"/>
  <c r="V293" i="154" s="1"/>
  <c r="Y293" i="154" s="1"/>
  <c r="AB293" i="154" s="1"/>
  <c r="K294" i="154"/>
  <c r="L294" i="154" s="1"/>
  <c r="P294" i="154" s="1"/>
  <c r="S294" i="154" s="1"/>
  <c r="V294" i="154" s="1"/>
  <c r="Y294" i="154" s="1"/>
  <c r="AB294" i="154" s="1"/>
  <c r="K295" i="154"/>
  <c r="L295" i="154" s="1"/>
  <c r="P295" i="154" s="1"/>
  <c r="S295" i="154" s="1"/>
  <c r="V295" i="154" s="1"/>
  <c r="Y295" i="154" s="1"/>
  <c r="AB295" i="154" s="1"/>
  <c r="K296" i="154"/>
  <c r="K297" i="154"/>
  <c r="K298" i="154"/>
  <c r="K299" i="154"/>
  <c r="K300" i="154"/>
  <c r="K301" i="154"/>
  <c r="L301" i="154" s="1"/>
  <c r="P301" i="154" s="1"/>
  <c r="S301" i="154" s="1"/>
  <c r="V301" i="154" s="1"/>
  <c r="Y301" i="154" s="1"/>
  <c r="AB301" i="154" s="1"/>
  <c r="K302" i="154"/>
  <c r="L302" i="154" s="1"/>
  <c r="P302" i="154" s="1"/>
  <c r="S302" i="154" s="1"/>
  <c r="V302" i="154" s="1"/>
  <c r="Y302" i="154" s="1"/>
  <c r="AB302" i="154" s="1"/>
  <c r="K303" i="154"/>
  <c r="L303" i="154" s="1"/>
  <c r="P303" i="154" s="1"/>
  <c r="S303" i="154" s="1"/>
  <c r="V303" i="154" s="1"/>
  <c r="Y303" i="154" s="1"/>
  <c r="AB303" i="154" s="1"/>
  <c r="K304" i="154"/>
  <c r="L304" i="154" s="1"/>
  <c r="P304" i="154" s="1"/>
  <c r="K292" i="154"/>
  <c r="L292" i="154" s="1"/>
  <c r="P292" i="154" s="1"/>
  <c r="S292" i="154" s="1"/>
  <c r="V292" i="154" s="1"/>
  <c r="Y292" i="154" s="1"/>
  <c r="AB292" i="154" s="1"/>
  <c r="K280" i="154"/>
  <c r="L280" i="154" s="1"/>
  <c r="P280" i="154" s="1"/>
  <c r="S280" i="154" s="1"/>
  <c r="V280" i="154" s="1"/>
  <c r="Y280" i="154" s="1"/>
  <c r="AB280" i="154" s="1"/>
  <c r="K281" i="154"/>
  <c r="K282" i="154"/>
  <c r="L282" i="154" s="1"/>
  <c r="P282" i="154" s="1"/>
  <c r="K283" i="154"/>
  <c r="L283" i="154" s="1"/>
  <c r="P283" i="154" s="1"/>
  <c r="S283" i="154" s="1"/>
  <c r="V283" i="154" s="1"/>
  <c r="Y283" i="154" s="1"/>
  <c r="AB283" i="154" s="1"/>
  <c r="K284" i="154"/>
  <c r="K285" i="154"/>
  <c r="K286" i="154"/>
  <c r="K287" i="154"/>
  <c r="L287" i="154" s="1"/>
  <c r="P287" i="154" s="1"/>
  <c r="S287" i="154" s="1"/>
  <c r="V287" i="154" s="1"/>
  <c r="Y287" i="154" s="1"/>
  <c r="AB287" i="154" s="1"/>
  <c r="K288" i="154"/>
  <c r="L288" i="154" s="1"/>
  <c r="P288" i="154" s="1"/>
  <c r="S288" i="154" s="1"/>
  <c r="V288" i="154" s="1"/>
  <c r="Y288" i="154" s="1"/>
  <c r="AB288" i="154" s="1"/>
  <c r="K289" i="154"/>
  <c r="L289" i="154" s="1"/>
  <c r="P289" i="154" s="1"/>
  <c r="S289" i="154" s="1"/>
  <c r="V289" i="154" s="1"/>
  <c r="Y289" i="154" s="1"/>
  <c r="AB289" i="154" s="1"/>
  <c r="K290" i="154"/>
  <c r="L290" i="154" s="1"/>
  <c r="P290" i="154" s="1"/>
  <c r="S290" i="154" s="1"/>
  <c r="V290" i="154" s="1"/>
  <c r="Y290" i="154" s="1"/>
  <c r="AB290" i="154" s="1"/>
  <c r="K291" i="154"/>
  <c r="L291" i="154" s="1"/>
  <c r="P291" i="154" s="1"/>
  <c r="L336" i="154"/>
  <c r="P336" i="154" s="1"/>
  <c r="S336" i="154" s="1"/>
  <c r="V336" i="154" s="1"/>
  <c r="Y336" i="154" s="1"/>
  <c r="AB336" i="154" s="1"/>
  <c r="L340" i="154"/>
  <c r="P340" i="154" s="1"/>
  <c r="S340" i="154" s="1"/>
  <c r="V340" i="154" s="1"/>
  <c r="Y340" i="154" s="1"/>
  <c r="AB340" i="154" s="1"/>
  <c r="K279" i="154"/>
  <c r="L279" i="154" s="1"/>
  <c r="P279" i="154" s="1"/>
  <c r="S279" i="154" s="1"/>
  <c r="V279" i="154" s="1"/>
  <c r="Y279" i="154" s="1"/>
  <c r="AB279" i="154" s="1"/>
  <c r="K267" i="154"/>
  <c r="L267" i="154" s="1"/>
  <c r="P267" i="154" s="1"/>
  <c r="K268" i="154"/>
  <c r="L268" i="154" s="1"/>
  <c r="P268" i="154" s="1"/>
  <c r="K269" i="154"/>
  <c r="L269" i="154" s="1"/>
  <c r="P269" i="154" s="1"/>
  <c r="Q269" i="154" s="1"/>
  <c r="T269" i="154" s="1"/>
  <c r="W269" i="154" s="1"/>
  <c r="Z269" i="154" s="1"/>
  <c r="AC269" i="154" s="1"/>
  <c r="K270" i="154"/>
  <c r="K271" i="154"/>
  <c r="K272" i="154"/>
  <c r="K273" i="154"/>
  <c r="K274" i="154"/>
  <c r="K275" i="154"/>
  <c r="K276" i="154"/>
  <c r="L276" i="154" s="1"/>
  <c r="P276" i="154" s="1"/>
  <c r="K277" i="154"/>
  <c r="L277" i="154" s="1"/>
  <c r="P277" i="154" s="1"/>
  <c r="S277" i="154" s="1"/>
  <c r="V277" i="154" s="1"/>
  <c r="Y277" i="154" s="1"/>
  <c r="AB277" i="154" s="1"/>
  <c r="K278" i="154"/>
  <c r="L278" i="154" s="1"/>
  <c r="P278" i="154" s="1"/>
  <c r="K266" i="154"/>
  <c r="L266" i="154" s="1"/>
  <c r="P266" i="154" s="1"/>
  <c r="K254" i="154"/>
  <c r="L254" i="154" s="1"/>
  <c r="P254" i="154" s="1"/>
  <c r="S254" i="154" s="1"/>
  <c r="V254" i="154" s="1"/>
  <c r="Y254" i="154" s="1"/>
  <c r="AB254" i="154" s="1"/>
  <c r="K255" i="154"/>
  <c r="L255" i="154" s="1"/>
  <c r="P255" i="154" s="1"/>
  <c r="K256" i="154"/>
  <c r="L256" i="154" s="1"/>
  <c r="P256" i="154" s="1"/>
  <c r="K257" i="154"/>
  <c r="K258" i="154"/>
  <c r="K259" i="154"/>
  <c r="L259" i="154" s="1"/>
  <c r="P259" i="154" s="1"/>
  <c r="K260" i="154"/>
  <c r="K261" i="154"/>
  <c r="K262" i="154"/>
  <c r="K263" i="154"/>
  <c r="K264" i="154"/>
  <c r="L264" i="154" s="1"/>
  <c r="P264" i="154" s="1"/>
  <c r="S264" i="154" s="1"/>
  <c r="V264" i="154" s="1"/>
  <c r="Y264" i="154" s="1"/>
  <c r="AB264" i="154" s="1"/>
  <c r="K265" i="154"/>
  <c r="L265" i="154" s="1"/>
  <c r="P265" i="154" s="1"/>
  <c r="L281" i="154"/>
  <c r="P281" i="154" s="1"/>
  <c r="S281" i="154" s="1"/>
  <c r="V281" i="154" s="1"/>
  <c r="Y281" i="154" s="1"/>
  <c r="AB281" i="154" s="1"/>
  <c r="K253" i="154"/>
  <c r="L253" i="154" s="1"/>
  <c r="P253" i="154" s="1"/>
  <c r="Q253" i="154" s="1"/>
  <c r="T253" i="154" s="1"/>
  <c r="W253" i="154" s="1"/>
  <c r="Z253" i="154" s="1"/>
  <c r="AC253" i="154" s="1"/>
  <c r="L368" i="154"/>
  <c r="P368" i="154" s="1"/>
  <c r="S368" i="154" s="1"/>
  <c r="V368" i="154" s="1"/>
  <c r="Y368" i="154" s="1"/>
  <c r="AB368" i="154" s="1"/>
  <c r="L367" i="154"/>
  <c r="P367" i="154" s="1"/>
  <c r="S367" i="154" s="1"/>
  <c r="V367" i="154" s="1"/>
  <c r="Y367" i="154" s="1"/>
  <c r="AB367" i="154" s="1"/>
  <c r="L366" i="154"/>
  <c r="P366" i="154" s="1"/>
  <c r="S366" i="154" s="1"/>
  <c r="V366" i="154" s="1"/>
  <c r="Y366" i="154" s="1"/>
  <c r="AB366" i="154" s="1"/>
  <c r="L365" i="154"/>
  <c r="P365" i="154" s="1"/>
  <c r="S365" i="154" s="1"/>
  <c r="V365" i="154" s="1"/>
  <c r="Y365" i="154" s="1"/>
  <c r="AB365" i="154" s="1"/>
  <c r="L364" i="154"/>
  <c r="P364" i="154" s="1"/>
  <c r="S364" i="154" s="1"/>
  <c r="V364" i="154" s="1"/>
  <c r="Y364" i="154" s="1"/>
  <c r="AB364" i="154" s="1"/>
  <c r="L363" i="154"/>
  <c r="P363" i="154" s="1"/>
  <c r="S363" i="154" s="1"/>
  <c r="V363" i="154" s="1"/>
  <c r="Y363" i="154" s="1"/>
  <c r="AB363" i="154" s="1"/>
  <c r="L362" i="154"/>
  <c r="P362" i="154" s="1"/>
  <c r="S362" i="154" s="1"/>
  <c r="V362" i="154" s="1"/>
  <c r="Y362" i="154" s="1"/>
  <c r="AB362" i="154" s="1"/>
  <c r="L361" i="154"/>
  <c r="P361" i="154" s="1"/>
  <c r="S361" i="154" s="1"/>
  <c r="V361" i="154" s="1"/>
  <c r="Y361" i="154" s="1"/>
  <c r="AB361" i="154" s="1"/>
  <c r="L360" i="154"/>
  <c r="P360" i="154" s="1"/>
  <c r="S360" i="154" s="1"/>
  <c r="V360" i="154" s="1"/>
  <c r="Y360" i="154" s="1"/>
  <c r="AB360" i="154" s="1"/>
  <c r="L359" i="154"/>
  <c r="P359" i="154" s="1"/>
  <c r="S359" i="154" s="1"/>
  <c r="V359" i="154" s="1"/>
  <c r="Y359" i="154" s="1"/>
  <c r="AB359" i="154" s="1"/>
  <c r="L358" i="154"/>
  <c r="P358" i="154" s="1"/>
  <c r="S358" i="154" s="1"/>
  <c r="V358" i="154" s="1"/>
  <c r="Y358" i="154" s="1"/>
  <c r="AB358" i="154" s="1"/>
  <c r="L357" i="154"/>
  <c r="P357" i="154" s="1"/>
  <c r="S357" i="154" s="1"/>
  <c r="V357" i="154" s="1"/>
  <c r="Y357" i="154" s="1"/>
  <c r="AB357" i="154" s="1"/>
  <c r="L355" i="154"/>
  <c r="P355" i="154" s="1"/>
  <c r="S355" i="154" s="1"/>
  <c r="V355" i="154" s="1"/>
  <c r="Y355" i="154" s="1"/>
  <c r="AB355" i="154" s="1"/>
  <c r="L354" i="154"/>
  <c r="P354" i="154" s="1"/>
  <c r="S354" i="154" s="1"/>
  <c r="V354" i="154" s="1"/>
  <c r="Y354" i="154" s="1"/>
  <c r="AB354" i="154" s="1"/>
  <c r="L353" i="154"/>
  <c r="P353" i="154" s="1"/>
  <c r="S353" i="154" s="1"/>
  <c r="V353" i="154" s="1"/>
  <c r="Y353" i="154" s="1"/>
  <c r="AB353" i="154" s="1"/>
  <c r="L352" i="154"/>
  <c r="P352" i="154" s="1"/>
  <c r="S352" i="154" s="1"/>
  <c r="V352" i="154" s="1"/>
  <c r="Y352" i="154" s="1"/>
  <c r="AB352" i="154" s="1"/>
  <c r="L351" i="154"/>
  <c r="P351" i="154" s="1"/>
  <c r="S351" i="154" s="1"/>
  <c r="V351" i="154" s="1"/>
  <c r="Y351" i="154" s="1"/>
  <c r="AB351" i="154" s="1"/>
  <c r="L350" i="154"/>
  <c r="P350" i="154" s="1"/>
  <c r="S350" i="154" s="1"/>
  <c r="V350" i="154" s="1"/>
  <c r="Y350" i="154" s="1"/>
  <c r="AB350" i="154" s="1"/>
  <c r="L349" i="154"/>
  <c r="P349" i="154" s="1"/>
  <c r="S349" i="154" s="1"/>
  <c r="V349" i="154" s="1"/>
  <c r="Y349" i="154" s="1"/>
  <c r="AB349" i="154" s="1"/>
  <c r="L348" i="154"/>
  <c r="P348" i="154" s="1"/>
  <c r="S348" i="154" s="1"/>
  <c r="V348" i="154" s="1"/>
  <c r="Y348" i="154" s="1"/>
  <c r="AB348" i="154" s="1"/>
  <c r="L347" i="154"/>
  <c r="P347" i="154" s="1"/>
  <c r="S347" i="154" s="1"/>
  <c r="V347" i="154" s="1"/>
  <c r="Y347" i="154" s="1"/>
  <c r="AB347" i="154" s="1"/>
  <c r="L346" i="154"/>
  <c r="P346" i="154" s="1"/>
  <c r="S346" i="154" s="1"/>
  <c r="V346" i="154" s="1"/>
  <c r="Y346" i="154" s="1"/>
  <c r="AB346" i="154" s="1"/>
  <c r="L345" i="154"/>
  <c r="P345" i="154" s="1"/>
  <c r="S345" i="154" s="1"/>
  <c r="V345" i="154" s="1"/>
  <c r="Y345" i="154" s="1"/>
  <c r="AB345" i="154" s="1"/>
  <c r="L344" i="154"/>
  <c r="P344" i="154" s="1"/>
  <c r="S344" i="154" s="1"/>
  <c r="V344" i="154" s="1"/>
  <c r="Y344" i="154" s="1"/>
  <c r="AB344" i="154" s="1"/>
  <c r="L338" i="154"/>
  <c r="P338" i="154" s="1"/>
  <c r="S338" i="154" s="1"/>
  <c r="V338" i="154" s="1"/>
  <c r="Y338" i="154" s="1"/>
  <c r="AB338" i="154" s="1"/>
  <c r="L337" i="154"/>
  <c r="P337" i="154" s="1"/>
  <c r="S337" i="154" s="1"/>
  <c r="V337" i="154" s="1"/>
  <c r="Y337" i="154" s="1"/>
  <c r="AB337" i="154" s="1"/>
  <c r="L324" i="154"/>
  <c r="P324" i="154" s="1"/>
  <c r="S324" i="154" s="1"/>
  <c r="V324" i="154" s="1"/>
  <c r="Y324" i="154" s="1"/>
  <c r="AB324" i="154" s="1"/>
  <c r="L323" i="154"/>
  <c r="P323" i="154" s="1"/>
  <c r="S323" i="154" s="1"/>
  <c r="V323" i="154" s="1"/>
  <c r="Y323" i="154" s="1"/>
  <c r="AB323" i="154" s="1"/>
  <c r="L322" i="154"/>
  <c r="P322" i="154" s="1"/>
  <c r="S322" i="154" s="1"/>
  <c r="V322" i="154" s="1"/>
  <c r="Y322" i="154" s="1"/>
  <c r="AB322" i="154" s="1"/>
  <c r="L321" i="154"/>
  <c r="P321" i="154" s="1"/>
  <c r="S321" i="154" s="1"/>
  <c r="V321" i="154" s="1"/>
  <c r="Y321" i="154" s="1"/>
  <c r="AB321" i="154" s="1"/>
  <c r="L320" i="154"/>
  <c r="P320" i="154" s="1"/>
  <c r="S320" i="154" s="1"/>
  <c r="V320" i="154" s="1"/>
  <c r="Y320" i="154" s="1"/>
  <c r="AB320" i="154" s="1"/>
  <c r="L319" i="154"/>
  <c r="P319" i="154" s="1"/>
  <c r="S319" i="154" s="1"/>
  <c r="V319" i="154" s="1"/>
  <c r="Y319" i="154" s="1"/>
  <c r="AB319" i="154" s="1"/>
  <c r="L318" i="154"/>
  <c r="P318" i="154" s="1"/>
  <c r="S318" i="154" s="1"/>
  <c r="V318" i="154" s="1"/>
  <c r="Y318" i="154" s="1"/>
  <c r="AB318" i="154" s="1"/>
  <c r="L309" i="154"/>
  <c r="P309" i="154" s="1"/>
  <c r="S309" i="154" s="1"/>
  <c r="V309" i="154" s="1"/>
  <c r="Y309" i="154" s="1"/>
  <c r="AB309" i="154" s="1"/>
  <c r="L308" i="154"/>
  <c r="P308" i="154" s="1"/>
  <c r="L300" i="154"/>
  <c r="P300" i="154" s="1"/>
  <c r="S300" i="154" s="1"/>
  <c r="V300" i="154" s="1"/>
  <c r="Y300" i="154" s="1"/>
  <c r="AB300" i="154" s="1"/>
  <c r="L299" i="154"/>
  <c r="P299" i="154" s="1"/>
  <c r="S299" i="154" s="1"/>
  <c r="V299" i="154" s="1"/>
  <c r="Y299" i="154" s="1"/>
  <c r="AB299" i="154" s="1"/>
  <c r="L298" i="154"/>
  <c r="P298" i="154" s="1"/>
  <c r="S298" i="154" s="1"/>
  <c r="V298" i="154" s="1"/>
  <c r="Y298" i="154" s="1"/>
  <c r="AB298" i="154" s="1"/>
  <c r="L297" i="154"/>
  <c r="P297" i="154" s="1"/>
  <c r="S297" i="154" s="1"/>
  <c r="V297" i="154" s="1"/>
  <c r="Y297" i="154" s="1"/>
  <c r="AB297" i="154" s="1"/>
  <c r="L296" i="154"/>
  <c r="P296" i="154" s="1"/>
  <c r="S296" i="154" s="1"/>
  <c r="V296" i="154" s="1"/>
  <c r="Y296" i="154" s="1"/>
  <c r="AB296" i="154" s="1"/>
  <c r="L286" i="154"/>
  <c r="P286" i="154" s="1"/>
  <c r="S286" i="154" s="1"/>
  <c r="V286" i="154" s="1"/>
  <c r="Y286" i="154" s="1"/>
  <c r="AB286" i="154" s="1"/>
  <c r="L285" i="154"/>
  <c r="P285" i="154" s="1"/>
  <c r="L284" i="154"/>
  <c r="P284" i="154" s="1"/>
  <c r="S284" i="154" s="1"/>
  <c r="V284" i="154" s="1"/>
  <c r="Y284" i="154" s="1"/>
  <c r="AB284" i="154" s="1"/>
  <c r="L275" i="154"/>
  <c r="P275" i="154" s="1"/>
  <c r="S275" i="154" s="1"/>
  <c r="V275" i="154" s="1"/>
  <c r="Y275" i="154" s="1"/>
  <c r="AB275" i="154" s="1"/>
  <c r="L274" i="154"/>
  <c r="P274" i="154" s="1"/>
  <c r="S274" i="154" s="1"/>
  <c r="V274" i="154" s="1"/>
  <c r="Y274" i="154" s="1"/>
  <c r="AB274" i="154" s="1"/>
  <c r="L273" i="154"/>
  <c r="P273" i="154" s="1"/>
  <c r="S273" i="154" s="1"/>
  <c r="V273" i="154" s="1"/>
  <c r="Y273" i="154" s="1"/>
  <c r="AB273" i="154" s="1"/>
  <c r="L272" i="154"/>
  <c r="P272" i="154" s="1"/>
  <c r="S272" i="154" s="1"/>
  <c r="V272" i="154" s="1"/>
  <c r="Y272" i="154" s="1"/>
  <c r="AB272" i="154" s="1"/>
  <c r="L271" i="154"/>
  <c r="P271" i="154" s="1"/>
  <c r="S271" i="154" s="1"/>
  <c r="V271" i="154" s="1"/>
  <c r="Y271" i="154" s="1"/>
  <c r="AB271" i="154" s="1"/>
  <c r="L270" i="154"/>
  <c r="P270" i="154" s="1"/>
  <c r="S270" i="154" s="1"/>
  <c r="V270" i="154" s="1"/>
  <c r="Y270" i="154" s="1"/>
  <c r="AB270" i="154" s="1"/>
  <c r="G265" i="154"/>
  <c r="I356" i="154" s="1"/>
  <c r="G264" i="154"/>
  <c r="I355" i="154" s="1"/>
  <c r="L263" i="154"/>
  <c r="P263" i="154" s="1"/>
  <c r="S263" i="154" s="1"/>
  <c r="V263" i="154" s="1"/>
  <c r="Y263" i="154" s="1"/>
  <c r="AB263" i="154" s="1"/>
  <c r="G263" i="154"/>
  <c r="I354" i="154" s="1"/>
  <c r="L262" i="154"/>
  <c r="P262" i="154" s="1"/>
  <c r="S262" i="154" s="1"/>
  <c r="V262" i="154" s="1"/>
  <c r="Y262" i="154" s="1"/>
  <c r="AB262" i="154" s="1"/>
  <c r="G262" i="154"/>
  <c r="I366" i="154" s="1"/>
  <c r="L261" i="154"/>
  <c r="P261" i="154" s="1"/>
  <c r="S261" i="154" s="1"/>
  <c r="V261" i="154" s="1"/>
  <c r="Y261" i="154" s="1"/>
  <c r="AB261" i="154" s="1"/>
  <c r="G261" i="154"/>
  <c r="I365" i="154" s="1"/>
  <c r="L260" i="154"/>
  <c r="P260" i="154" s="1"/>
  <c r="S260" i="154" s="1"/>
  <c r="V260" i="154" s="1"/>
  <c r="Y260" i="154" s="1"/>
  <c r="AB260" i="154" s="1"/>
  <c r="G260" i="154"/>
  <c r="I364" i="154" s="1"/>
  <c r="G259" i="154"/>
  <c r="I259" i="154" s="1"/>
  <c r="L258" i="154"/>
  <c r="P258" i="154" s="1"/>
  <c r="S258" i="154" s="1"/>
  <c r="V258" i="154" s="1"/>
  <c r="Y258" i="154" s="1"/>
  <c r="AB258" i="154" s="1"/>
  <c r="G258" i="154"/>
  <c r="I297" i="154" s="1"/>
  <c r="L257" i="154"/>
  <c r="P257" i="154" s="1"/>
  <c r="S257" i="154" s="1"/>
  <c r="V257" i="154" s="1"/>
  <c r="Y257" i="154" s="1"/>
  <c r="AB257" i="154" s="1"/>
  <c r="G257" i="154"/>
  <c r="I257" i="154" s="1"/>
  <c r="G256" i="154"/>
  <c r="I269" i="154" s="1"/>
  <c r="G255" i="154"/>
  <c r="I307" i="154" s="1"/>
  <c r="G254" i="154"/>
  <c r="I280" i="154" s="1"/>
  <c r="G253" i="154"/>
  <c r="I331" i="154" s="1"/>
  <c r="K234" i="154"/>
  <c r="K235" i="154"/>
  <c r="K236" i="154"/>
  <c r="K237" i="154"/>
  <c r="K238" i="154"/>
  <c r="K239" i="154"/>
  <c r="K240" i="154"/>
  <c r="K241" i="154"/>
  <c r="K242" i="154"/>
  <c r="K243" i="154"/>
  <c r="K244" i="154"/>
  <c r="K245" i="154"/>
  <c r="L245" i="154" s="1"/>
  <c r="P245" i="154" s="1"/>
  <c r="Q245" i="154" s="1"/>
  <c r="T245" i="154" s="1"/>
  <c r="W245" i="154" s="1"/>
  <c r="Z245" i="154" s="1"/>
  <c r="AC245" i="154" s="1"/>
  <c r="K233" i="154"/>
  <c r="K221" i="154"/>
  <c r="K222" i="154"/>
  <c r="L222" i="154" s="1"/>
  <c r="P222" i="154" s="1"/>
  <c r="K223" i="154"/>
  <c r="L223" i="154" s="1"/>
  <c r="P223" i="154" s="1"/>
  <c r="K224" i="154"/>
  <c r="K225" i="154"/>
  <c r="K226" i="154"/>
  <c r="K227" i="154"/>
  <c r="K228" i="154"/>
  <c r="K229" i="154"/>
  <c r="K230" i="154"/>
  <c r="K231" i="154"/>
  <c r="K232" i="154"/>
  <c r="L232" i="154" s="1"/>
  <c r="P232" i="154" s="1"/>
  <c r="S232" i="154" s="1"/>
  <c r="V232" i="154" s="1"/>
  <c r="Y232" i="154" s="1"/>
  <c r="AB232" i="154" s="1"/>
  <c r="K220" i="154"/>
  <c r="K208" i="154"/>
  <c r="L208" i="154" s="1"/>
  <c r="P208" i="154" s="1"/>
  <c r="Q208" i="154" s="1"/>
  <c r="T208" i="154" s="1"/>
  <c r="W208" i="154" s="1"/>
  <c r="Z208" i="154" s="1"/>
  <c r="AC208" i="154" s="1"/>
  <c r="K209" i="154"/>
  <c r="L209" i="154" s="1"/>
  <c r="P209" i="154" s="1"/>
  <c r="S209" i="154" s="1"/>
  <c r="V209" i="154" s="1"/>
  <c r="Y209" i="154" s="1"/>
  <c r="AB209" i="154" s="1"/>
  <c r="K210" i="154"/>
  <c r="L210" i="154" s="1"/>
  <c r="P210" i="154" s="1"/>
  <c r="K211" i="154"/>
  <c r="L211" i="154" s="1"/>
  <c r="P211" i="154" s="1"/>
  <c r="K212" i="154"/>
  <c r="L212" i="154" s="1"/>
  <c r="P212" i="154" s="1"/>
  <c r="K213" i="154"/>
  <c r="K214" i="154"/>
  <c r="K215" i="154"/>
  <c r="L215" i="154" s="1"/>
  <c r="P215" i="154" s="1"/>
  <c r="S215" i="154" s="1"/>
  <c r="V215" i="154" s="1"/>
  <c r="Y215" i="154" s="1"/>
  <c r="AB215" i="154" s="1"/>
  <c r="K216" i="154"/>
  <c r="L216" i="154" s="1"/>
  <c r="P216" i="154" s="1"/>
  <c r="S216" i="154" s="1"/>
  <c r="V216" i="154" s="1"/>
  <c r="Y216" i="154" s="1"/>
  <c r="AB216" i="154" s="1"/>
  <c r="K217" i="154"/>
  <c r="L217" i="154" s="1"/>
  <c r="P217" i="154" s="1"/>
  <c r="S217" i="154" s="1"/>
  <c r="V217" i="154" s="1"/>
  <c r="Y217" i="154" s="1"/>
  <c r="AB217" i="154" s="1"/>
  <c r="K218" i="154"/>
  <c r="L218" i="154" s="1"/>
  <c r="P218" i="154" s="1"/>
  <c r="S218" i="154" s="1"/>
  <c r="V218" i="154" s="1"/>
  <c r="Y218" i="154" s="1"/>
  <c r="AB218" i="154" s="1"/>
  <c r="K219" i="154"/>
  <c r="L219" i="154" s="1"/>
  <c r="P219" i="154" s="1"/>
  <c r="K207" i="154"/>
  <c r="L207" i="154" s="1"/>
  <c r="P207" i="154" s="1"/>
  <c r="K195" i="154"/>
  <c r="K196" i="154"/>
  <c r="K197" i="154"/>
  <c r="K198" i="154"/>
  <c r="K199" i="154"/>
  <c r="K200" i="154"/>
  <c r="K201" i="154"/>
  <c r="L201" i="154" s="1"/>
  <c r="P201" i="154" s="1"/>
  <c r="S201" i="154" s="1"/>
  <c r="V201" i="154" s="1"/>
  <c r="Y201" i="154" s="1"/>
  <c r="AB201" i="154" s="1"/>
  <c r="K202" i="154"/>
  <c r="L202" i="154" s="1"/>
  <c r="P202" i="154" s="1"/>
  <c r="S202" i="154" s="1"/>
  <c r="V202" i="154" s="1"/>
  <c r="Y202" i="154" s="1"/>
  <c r="AB202" i="154" s="1"/>
  <c r="K203" i="154"/>
  <c r="L203" i="154" s="1"/>
  <c r="P203" i="154" s="1"/>
  <c r="S203" i="154" s="1"/>
  <c r="V203" i="154" s="1"/>
  <c r="Y203" i="154" s="1"/>
  <c r="AB203" i="154" s="1"/>
  <c r="K204" i="154"/>
  <c r="L204" i="154" s="1"/>
  <c r="P204" i="154" s="1"/>
  <c r="S204" i="154" s="1"/>
  <c r="V204" i="154" s="1"/>
  <c r="Y204" i="154" s="1"/>
  <c r="AB204" i="154" s="1"/>
  <c r="K205" i="154"/>
  <c r="L205" i="154" s="1"/>
  <c r="P205" i="154" s="1"/>
  <c r="S205" i="154" s="1"/>
  <c r="V205" i="154" s="1"/>
  <c r="Y205" i="154" s="1"/>
  <c r="AB205" i="154" s="1"/>
  <c r="K206" i="154"/>
  <c r="L206" i="154" s="1"/>
  <c r="P206" i="154" s="1"/>
  <c r="K194" i="154"/>
  <c r="K182" i="154"/>
  <c r="L182" i="154" s="1"/>
  <c r="P182" i="154" s="1"/>
  <c r="S182" i="154" s="1"/>
  <c r="V182" i="154" s="1"/>
  <c r="Y182" i="154" s="1"/>
  <c r="AB182" i="154" s="1"/>
  <c r="K183" i="154"/>
  <c r="L183" i="154" s="1"/>
  <c r="P183" i="154" s="1"/>
  <c r="S183" i="154" s="1"/>
  <c r="V183" i="154" s="1"/>
  <c r="Y183" i="154" s="1"/>
  <c r="AB183" i="154" s="1"/>
  <c r="K184" i="154"/>
  <c r="K185" i="154"/>
  <c r="K186" i="154"/>
  <c r="L186" i="154" s="1"/>
  <c r="P186" i="154" s="1"/>
  <c r="S186" i="154" s="1"/>
  <c r="V186" i="154" s="1"/>
  <c r="Y186" i="154" s="1"/>
  <c r="AB186" i="154" s="1"/>
  <c r="K187" i="154"/>
  <c r="L187" i="154" s="1"/>
  <c r="P187" i="154" s="1"/>
  <c r="S187" i="154" s="1"/>
  <c r="V187" i="154" s="1"/>
  <c r="Y187" i="154" s="1"/>
  <c r="AB187" i="154" s="1"/>
  <c r="K188" i="154"/>
  <c r="K189" i="154"/>
  <c r="L189" i="154" s="1"/>
  <c r="P189" i="154" s="1"/>
  <c r="S189" i="154" s="1"/>
  <c r="V189" i="154" s="1"/>
  <c r="Y189" i="154" s="1"/>
  <c r="AB189" i="154" s="1"/>
  <c r="K190" i="154"/>
  <c r="L190" i="154" s="1"/>
  <c r="P190" i="154" s="1"/>
  <c r="S190" i="154" s="1"/>
  <c r="V190" i="154" s="1"/>
  <c r="Y190" i="154" s="1"/>
  <c r="AB190" i="154" s="1"/>
  <c r="K191" i="154"/>
  <c r="L191" i="154" s="1"/>
  <c r="P191" i="154" s="1"/>
  <c r="S191" i="154" s="1"/>
  <c r="V191" i="154" s="1"/>
  <c r="Y191" i="154" s="1"/>
  <c r="AB191" i="154" s="1"/>
  <c r="K192" i="154"/>
  <c r="L192" i="154" s="1"/>
  <c r="P192" i="154" s="1"/>
  <c r="S192" i="154" s="1"/>
  <c r="V192" i="154" s="1"/>
  <c r="Y192" i="154" s="1"/>
  <c r="AB192" i="154" s="1"/>
  <c r="K193" i="154"/>
  <c r="L193" i="154" s="1"/>
  <c r="P193" i="154" s="1"/>
  <c r="K181" i="154"/>
  <c r="L181" i="154" s="1"/>
  <c r="P181" i="154" s="1"/>
  <c r="S181" i="154" s="1"/>
  <c r="V181" i="154" s="1"/>
  <c r="Y181" i="154" s="1"/>
  <c r="AB181" i="154" s="1"/>
  <c r="K169" i="154"/>
  <c r="L169" i="154" s="1"/>
  <c r="P169" i="154" s="1"/>
  <c r="S169" i="154" s="1"/>
  <c r="V169" i="154" s="1"/>
  <c r="Y169" i="154" s="1"/>
  <c r="AB169" i="154" s="1"/>
  <c r="K170" i="154"/>
  <c r="L170" i="154" s="1"/>
  <c r="P170" i="154" s="1"/>
  <c r="K171" i="154"/>
  <c r="L171" i="154" s="1"/>
  <c r="P171" i="154" s="1"/>
  <c r="S171" i="154" s="1"/>
  <c r="V171" i="154" s="1"/>
  <c r="Y171" i="154" s="1"/>
  <c r="AB171" i="154" s="1"/>
  <c r="K172" i="154"/>
  <c r="K173" i="154"/>
  <c r="K174" i="154"/>
  <c r="K175" i="154"/>
  <c r="K176" i="154"/>
  <c r="K177" i="154"/>
  <c r="L177" i="154" s="1"/>
  <c r="P177" i="154" s="1"/>
  <c r="S177" i="154" s="1"/>
  <c r="V177" i="154" s="1"/>
  <c r="Y177" i="154" s="1"/>
  <c r="AB177" i="154" s="1"/>
  <c r="K178" i="154"/>
  <c r="K179" i="154"/>
  <c r="L179" i="154" s="1"/>
  <c r="P179" i="154" s="1"/>
  <c r="S179" i="154" s="1"/>
  <c r="V179" i="154" s="1"/>
  <c r="Y179" i="154" s="1"/>
  <c r="AB179" i="154" s="1"/>
  <c r="K180" i="154"/>
  <c r="L180" i="154" s="1"/>
  <c r="P180" i="154" s="1"/>
  <c r="K168" i="154"/>
  <c r="L168" i="154" s="1"/>
  <c r="P168" i="154" s="1"/>
  <c r="S168" i="154" s="1"/>
  <c r="V168" i="154" s="1"/>
  <c r="Y168" i="154" s="1"/>
  <c r="AB168" i="154" s="1"/>
  <c r="K156" i="154"/>
  <c r="L156" i="154" s="1"/>
  <c r="P156" i="154" s="1"/>
  <c r="S156" i="154" s="1"/>
  <c r="V156" i="154" s="1"/>
  <c r="Y156" i="154" s="1"/>
  <c r="AB156" i="154" s="1"/>
  <c r="K157" i="154"/>
  <c r="L157" i="154" s="1"/>
  <c r="P157" i="154" s="1"/>
  <c r="S157" i="154" s="1"/>
  <c r="V157" i="154" s="1"/>
  <c r="Y157" i="154" s="1"/>
  <c r="AB157" i="154" s="1"/>
  <c r="K158" i="154"/>
  <c r="L158" i="154" s="1"/>
  <c r="P158" i="154" s="1"/>
  <c r="Q158" i="154" s="1"/>
  <c r="T158" i="154" s="1"/>
  <c r="W158" i="154" s="1"/>
  <c r="Z158" i="154" s="1"/>
  <c r="AC158" i="154" s="1"/>
  <c r="K159" i="154"/>
  <c r="L159" i="154" s="1"/>
  <c r="P159" i="154" s="1"/>
  <c r="S159" i="154" s="1"/>
  <c r="V159" i="154" s="1"/>
  <c r="Y159" i="154" s="1"/>
  <c r="AB159" i="154" s="1"/>
  <c r="K160" i="154"/>
  <c r="K161" i="154"/>
  <c r="K162" i="154"/>
  <c r="K163" i="154"/>
  <c r="L163" i="154" s="1"/>
  <c r="P163" i="154" s="1"/>
  <c r="S163" i="154" s="1"/>
  <c r="V163" i="154" s="1"/>
  <c r="Y163" i="154" s="1"/>
  <c r="AB163" i="154" s="1"/>
  <c r="K164" i="154"/>
  <c r="L164" i="154" s="1"/>
  <c r="P164" i="154" s="1"/>
  <c r="Q164" i="154" s="1"/>
  <c r="T164" i="154" s="1"/>
  <c r="W164" i="154" s="1"/>
  <c r="Z164" i="154" s="1"/>
  <c r="AC164" i="154" s="1"/>
  <c r="K165" i="154"/>
  <c r="L165" i="154" s="1"/>
  <c r="P165" i="154" s="1"/>
  <c r="K166" i="154"/>
  <c r="L166" i="154" s="1"/>
  <c r="P166" i="154" s="1"/>
  <c r="S166" i="154" s="1"/>
  <c r="V166" i="154" s="1"/>
  <c r="Y166" i="154" s="1"/>
  <c r="AB166" i="154" s="1"/>
  <c r="K167" i="154"/>
  <c r="L167" i="154" s="1"/>
  <c r="P167" i="154" s="1"/>
  <c r="Q167" i="154" s="1"/>
  <c r="T167" i="154" s="1"/>
  <c r="W167" i="154" s="1"/>
  <c r="Z167" i="154" s="1"/>
  <c r="AC167" i="154" s="1"/>
  <c r="K155" i="154"/>
  <c r="L155" i="154" s="1"/>
  <c r="P155" i="154" s="1"/>
  <c r="Q155" i="154" s="1"/>
  <c r="T155" i="154" s="1"/>
  <c r="W155" i="154" s="1"/>
  <c r="Z155" i="154" s="1"/>
  <c r="AC155" i="154" s="1"/>
  <c r="K143" i="154"/>
  <c r="L143" i="154" s="1"/>
  <c r="P143" i="154" s="1"/>
  <c r="K144" i="154"/>
  <c r="L144" i="154" s="1"/>
  <c r="P144" i="154" s="1"/>
  <c r="K145" i="154"/>
  <c r="L145" i="154" s="1"/>
  <c r="P145" i="154" s="1"/>
  <c r="Q145" i="154" s="1"/>
  <c r="T145" i="154" s="1"/>
  <c r="W145" i="154" s="1"/>
  <c r="Z145" i="154" s="1"/>
  <c r="AC145" i="154" s="1"/>
  <c r="K146" i="154"/>
  <c r="K147" i="154"/>
  <c r="K148" i="154"/>
  <c r="K149" i="154"/>
  <c r="K150" i="154"/>
  <c r="K151" i="154"/>
  <c r="K152" i="154"/>
  <c r="L152" i="154" s="1"/>
  <c r="P152" i="154" s="1"/>
  <c r="K153" i="154"/>
  <c r="L153" i="154" s="1"/>
  <c r="P153" i="154" s="1"/>
  <c r="S153" i="154" s="1"/>
  <c r="V153" i="154" s="1"/>
  <c r="Y153" i="154" s="1"/>
  <c r="AB153" i="154" s="1"/>
  <c r="K154" i="154"/>
  <c r="L154" i="154" s="1"/>
  <c r="P154" i="154" s="1"/>
  <c r="K142" i="154"/>
  <c r="L142" i="154" s="1"/>
  <c r="P142" i="154" s="1"/>
  <c r="K129" i="154"/>
  <c r="L129" i="154" s="1"/>
  <c r="P129" i="154" s="1"/>
  <c r="Q129" i="154" s="1"/>
  <c r="T129" i="154" s="1"/>
  <c r="W129" i="154" s="1"/>
  <c r="Z129" i="154" s="1"/>
  <c r="AC129" i="154" s="1"/>
  <c r="K130" i="154"/>
  <c r="L130" i="154" s="1"/>
  <c r="P130" i="154" s="1"/>
  <c r="S130" i="154" s="1"/>
  <c r="V130" i="154" s="1"/>
  <c r="Y130" i="154" s="1"/>
  <c r="AB130" i="154" s="1"/>
  <c r="K131" i="154"/>
  <c r="L131" i="154" s="1"/>
  <c r="P131" i="154" s="1"/>
  <c r="K132" i="154"/>
  <c r="L132" i="154" s="1"/>
  <c r="P132" i="154" s="1"/>
  <c r="K133" i="154"/>
  <c r="K134" i="154"/>
  <c r="K135" i="154"/>
  <c r="L135" i="154" s="1"/>
  <c r="P135" i="154" s="1"/>
  <c r="Q135" i="154" s="1"/>
  <c r="T135" i="154" s="1"/>
  <c r="W135" i="154" s="1"/>
  <c r="Z135" i="154" s="1"/>
  <c r="AC135" i="154" s="1"/>
  <c r="K136" i="154"/>
  <c r="K137" i="154"/>
  <c r="K138" i="154"/>
  <c r="K139" i="154"/>
  <c r="K140" i="154"/>
  <c r="L140" i="154" s="1"/>
  <c r="P140" i="154" s="1"/>
  <c r="S140" i="154" s="1"/>
  <c r="V140" i="154" s="1"/>
  <c r="Y140" i="154" s="1"/>
  <c r="AB140" i="154" s="1"/>
  <c r="K141" i="154"/>
  <c r="L141" i="154" s="1"/>
  <c r="P141" i="154" s="1"/>
  <c r="L188" i="154"/>
  <c r="P188" i="154" s="1"/>
  <c r="S188" i="154" s="1"/>
  <c r="V188" i="154" s="1"/>
  <c r="Y188" i="154" s="1"/>
  <c r="AB188" i="154" s="1"/>
  <c r="G17" i="154"/>
  <c r="I108" i="154" s="1"/>
  <c r="O108" i="154" s="1"/>
  <c r="G16" i="154"/>
  <c r="I107" i="154" s="1"/>
  <c r="G15" i="154"/>
  <c r="I67" i="154" s="1"/>
  <c r="G14" i="154"/>
  <c r="I79" i="154" s="1"/>
  <c r="G13" i="154"/>
  <c r="I39" i="154" s="1"/>
  <c r="G12" i="154"/>
  <c r="G11" i="154"/>
  <c r="G10" i="154"/>
  <c r="G9" i="154"/>
  <c r="G8" i="154"/>
  <c r="G7" i="154"/>
  <c r="G6" i="154"/>
  <c r="G5" i="154"/>
  <c r="G141" i="154"/>
  <c r="I206" i="154" s="1"/>
  <c r="G140" i="154"/>
  <c r="I205" i="154" s="1"/>
  <c r="G139" i="154"/>
  <c r="I204" i="154" s="1"/>
  <c r="G138" i="154"/>
  <c r="I242" i="154" s="1"/>
  <c r="G137" i="154"/>
  <c r="I215" i="154" s="1"/>
  <c r="G136" i="154"/>
  <c r="I214" i="154" s="1"/>
  <c r="G135" i="154"/>
  <c r="I135" i="154" s="1"/>
  <c r="G134" i="154"/>
  <c r="I225" i="154" s="1"/>
  <c r="G133" i="154"/>
  <c r="I224" i="154" s="1"/>
  <c r="G132" i="154"/>
  <c r="I145" i="154" s="1"/>
  <c r="G131" i="154"/>
  <c r="I131" i="154" s="1"/>
  <c r="G130" i="154"/>
  <c r="I130" i="154" s="1"/>
  <c r="G129" i="154"/>
  <c r="I181" i="154" s="1"/>
  <c r="L244" i="154"/>
  <c r="P244" i="154" s="1"/>
  <c r="S244" i="154" s="1"/>
  <c r="V244" i="154" s="1"/>
  <c r="Y244" i="154" s="1"/>
  <c r="AB244" i="154" s="1"/>
  <c r="L243" i="154"/>
  <c r="P243" i="154" s="1"/>
  <c r="S243" i="154" s="1"/>
  <c r="V243" i="154" s="1"/>
  <c r="Y243" i="154" s="1"/>
  <c r="AB243" i="154" s="1"/>
  <c r="L242" i="154"/>
  <c r="P242" i="154" s="1"/>
  <c r="R242" i="154" s="1"/>
  <c r="U242" i="154" s="1"/>
  <c r="X242" i="154" s="1"/>
  <c r="AA242" i="154" s="1"/>
  <c r="AD242" i="154" s="1"/>
  <c r="L241" i="154"/>
  <c r="P241" i="154" s="1"/>
  <c r="S241" i="154" s="1"/>
  <c r="V241" i="154" s="1"/>
  <c r="Y241" i="154" s="1"/>
  <c r="AB241" i="154" s="1"/>
  <c r="L240" i="154"/>
  <c r="P240" i="154" s="1"/>
  <c r="S240" i="154" s="1"/>
  <c r="V240" i="154" s="1"/>
  <c r="Y240" i="154" s="1"/>
  <c r="AB240" i="154" s="1"/>
  <c r="L239" i="154"/>
  <c r="P239" i="154" s="1"/>
  <c r="S239" i="154" s="1"/>
  <c r="V239" i="154" s="1"/>
  <c r="Y239" i="154" s="1"/>
  <c r="AB239" i="154" s="1"/>
  <c r="L238" i="154"/>
  <c r="P238" i="154" s="1"/>
  <c r="S238" i="154" s="1"/>
  <c r="V238" i="154" s="1"/>
  <c r="Y238" i="154" s="1"/>
  <c r="AB238" i="154" s="1"/>
  <c r="L237" i="154"/>
  <c r="P237" i="154" s="1"/>
  <c r="S237" i="154" s="1"/>
  <c r="V237" i="154" s="1"/>
  <c r="Y237" i="154" s="1"/>
  <c r="AB237" i="154" s="1"/>
  <c r="L236" i="154"/>
  <c r="P236" i="154" s="1"/>
  <c r="S236" i="154" s="1"/>
  <c r="V236" i="154" s="1"/>
  <c r="Y236" i="154" s="1"/>
  <c r="AB236" i="154" s="1"/>
  <c r="L235" i="154"/>
  <c r="P235" i="154" s="1"/>
  <c r="S235" i="154" s="1"/>
  <c r="V235" i="154" s="1"/>
  <c r="Y235" i="154" s="1"/>
  <c r="AB235" i="154" s="1"/>
  <c r="L234" i="154"/>
  <c r="P234" i="154" s="1"/>
  <c r="S234" i="154" s="1"/>
  <c r="V234" i="154" s="1"/>
  <c r="Y234" i="154" s="1"/>
  <c r="AB234" i="154" s="1"/>
  <c r="L233" i="154"/>
  <c r="P233" i="154" s="1"/>
  <c r="S233" i="154" s="1"/>
  <c r="V233" i="154" s="1"/>
  <c r="Y233" i="154" s="1"/>
  <c r="AB233" i="154" s="1"/>
  <c r="L231" i="154"/>
  <c r="P231" i="154" s="1"/>
  <c r="S231" i="154" s="1"/>
  <c r="V231" i="154" s="1"/>
  <c r="Y231" i="154" s="1"/>
  <c r="AB231" i="154" s="1"/>
  <c r="L230" i="154"/>
  <c r="P230" i="154" s="1"/>
  <c r="S230" i="154" s="1"/>
  <c r="V230" i="154" s="1"/>
  <c r="Y230" i="154" s="1"/>
  <c r="AB230" i="154" s="1"/>
  <c r="L229" i="154"/>
  <c r="P229" i="154" s="1"/>
  <c r="S229" i="154" s="1"/>
  <c r="V229" i="154" s="1"/>
  <c r="Y229" i="154" s="1"/>
  <c r="AB229" i="154" s="1"/>
  <c r="L228" i="154"/>
  <c r="P228" i="154" s="1"/>
  <c r="S228" i="154" s="1"/>
  <c r="V228" i="154" s="1"/>
  <c r="Y228" i="154" s="1"/>
  <c r="AB228" i="154" s="1"/>
  <c r="L227" i="154"/>
  <c r="P227" i="154" s="1"/>
  <c r="S227" i="154" s="1"/>
  <c r="V227" i="154" s="1"/>
  <c r="Y227" i="154" s="1"/>
  <c r="AB227" i="154" s="1"/>
  <c r="L226" i="154"/>
  <c r="P226" i="154" s="1"/>
  <c r="S226" i="154" s="1"/>
  <c r="V226" i="154" s="1"/>
  <c r="Y226" i="154" s="1"/>
  <c r="AB226" i="154" s="1"/>
  <c r="L225" i="154"/>
  <c r="P225" i="154" s="1"/>
  <c r="S225" i="154" s="1"/>
  <c r="V225" i="154" s="1"/>
  <c r="Y225" i="154" s="1"/>
  <c r="AB225" i="154" s="1"/>
  <c r="L224" i="154"/>
  <c r="P224" i="154" s="1"/>
  <c r="S224" i="154" s="1"/>
  <c r="V224" i="154" s="1"/>
  <c r="Y224" i="154" s="1"/>
  <c r="AB224" i="154" s="1"/>
  <c r="L221" i="154"/>
  <c r="P221" i="154" s="1"/>
  <c r="S221" i="154" s="1"/>
  <c r="V221" i="154" s="1"/>
  <c r="Y221" i="154" s="1"/>
  <c r="AB221" i="154" s="1"/>
  <c r="L220" i="154"/>
  <c r="P220" i="154" s="1"/>
  <c r="S220" i="154" s="1"/>
  <c r="V220" i="154" s="1"/>
  <c r="Y220" i="154" s="1"/>
  <c r="AB220" i="154" s="1"/>
  <c r="L214" i="154"/>
  <c r="P214" i="154" s="1"/>
  <c r="S214" i="154" s="1"/>
  <c r="V214" i="154" s="1"/>
  <c r="Y214" i="154" s="1"/>
  <c r="AB214" i="154" s="1"/>
  <c r="L213" i="154"/>
  <c r="P213" i="154" s="1"/>
  <c r="S213" i="154" s="1"/>
  <c r="V213" i="154" s="1"/>
  <c r="Y213" i="154" s="1"/>
  <c r="AB213" i="154" s="1"/>
  <c r="L200" i="154"/>
  <c r="P200" i="154" s="1"/>
  <c r="S200" i="154" s="1"/>
  <c r="V200" i="154" s="1"/>
  <c r="Y200" i="154" s="1"/>
  <c r="AB200" i="154" s="1"/>
  <c r="L199" i="154"/>
  <c r="P199" i="154" s="1"/>
  <c r="L198" i="154"/>
  <c r="P198" i="154" s="1"/>
  <c r="S198" i="154" s="1"/>
  <c r="V198" i="154" s="1"/>
  <c r="Y198" i="154" s="1"/>
  <c r="AB198" i="154" s="1"/>
  <c r="L197" i="154"/>
  <c r="P197" i="154" s="1"/>
  <c r="S197" i="154" s="1"/>
  <c r="V197" i="154" s="1"/>
  <c r="Y197" i="154" s="1"/>
  <c r="AB197" i="154" s="1"/>
  <c r="L196" i="154"/>
  <c r="P196" i="154" s="1"/>
  <c r="S196" i="154" s="1"/>
  <c r="V196" i="154" s="1"/>
  <c r="Y196" i="154" s="1"/>
  <c r="AB196" i="154" s="1"/>
  <c r="L195" i="154"/>
  <c r="P195" i="154" s="1"/>
  <c r="S195" i="154" s="1"/>
  <c r="V195" i="154" s="1"/>
  <c r="Y195" i="154" s="1"/>
  <c r="AB195" i="154" s="1"/>
  <c r="L194" i="154"/>
  <c r="P194" i="154" s="1"/>
  <c r="S194" i="154" s="1"/>
  <c r="V194" i="154" s="1"/>
  <c r="Y194" i="154" s="1"/>
  <c r="AB194" i="154" s="1"/>
  <c r="L185" i="154"/>
  <c r="P185" i="154" s="1"/>
  <c r="S185" i="154" s="1"/>
  <c r="V185" i="154" s="1"/>
  <c r="Y185" i="154" s="1"/>
  <c r="AB185" i="154" s="1"/>
  <c r="L184" i="154"/>
  <c r="P184" i="154" s="1"/>
  <c r="S184" i="154" s="1"/>
  <c r="V184" i="154" s="1"/>
  <c r="Y184" i="154" s="1"/>
  <c r="AB184" i="154" s="1"/>
  <c r="L178" i="154"/>
  <c r="P178" i="154" s="1"/>
  <c r="S178" i="154" s="1"/>
  <c r="V178" i="154" s="1"/>
  <c r="Y178" i="154" s="1"/>
  <c r="AB178" i="154" s="1"/>
  <c r="L176" i="154"/>
  <c r="P176" i="154" s="1"/>
  <c r="S176" i="154" s="1"/>
  <c r="V176" i="154" s="1"/>
  <c r="Y176" i="154" s="1"/>
  <c r="AB176" i="154" s="1"/>
  <c r="L175" i="154"/>
  <c r="P175" i="154" s="1"/>
  <c r="S175" i="154" s="1"/>
  <c r="V175" i="154" s="1"/>
  <c r="Y175" i="154" s="1"/>
  <c r="AB175" i="154" s="1"/>
  <c r="L174" i="154"/>
  <c r="P174" i="154" s="1"/>
  <c r="S174" i="154" s="1"/>
  <c r="V174" i="154" s="1"/>
  <c r="Y174" i="154" s="1"/>
  <c r="AB174" i="154" s="1"/>
  <c r="L173" i="154"/>
  <c r="P173" i="154" s="1"/>
  <c r="S173" i="154" s="1"/>
  <c r="V173" i="154" s="1"/>
  <c r="Y173" i="154" s="1"/>
  <c r="AB173" i="154" s="1"/>
  <c r="L172" i="154"/>
  <c r="P172" i="154" s="1"/>
  <c r="S172" i="154" s="1"/>
  <c r="V172" i="154" s="1"/>
  <c r="Y172" i="154" s="1"/>
  <c r="AB172" i="154" s="1"/>
  <c r="L162" i="154"/>
  <c r="P162" i="154" s="1"/>
  <c r="S162" i="154" s="1"/>
  <c r="V162" i="154" s="1"/>
  <c r="Y162" i="154" s="1"/>
  <c r="AB162" i="154" s="1"/>
  <c r="L161" i="154"/>
  <c r="P161" i="154" s="1"/>
  <c r="S161" i="154" s="1"/>
  <c r="V161" i="154" s="1"/>
  <c r="Y161" i="154" s="1"/>
  <c r="AB161" i="154" s="1"/>
  <c r="L160" i="154"/>
  <c r="P160" i="154" s="1"/>
  <c r="S160" i="154" s="1"/>
  <c r="V160" i="154" s="1"/>
  <c r="Y160" i="154" s="1"/>
  <c r="AB160" i="154" s="1"/>
  <c r="L151" i="154"/>
  <c r="P151" i="154" s="1"/>
  <c r="S151" i="154" s="1"/>
  <c r="V151" i="154" s="1"/>
  <c r="Y151" i="154" s="1"/>
  <c r="AB151" i="154" s="1"/>
  <c r="L150" i="154"/>
  <c r="P150" i="154" s="1"/>
  <c r="L149" i="154"/>
  <c r="P149" i="154" s="1"/>
  <c r="L148" i="154"/>
  <c r="P148" i="154" s="1"/>
  <c r="S148" i="154" s="1"/>
  <c r="V148" i="154" s="1"/>
  <c r="Y148" i="154" s="1"/>
  <c r="AB148" i="154" s="1"/>
  <c r="L147" i="154"/>
  <c r="P147" i="154" s="1"/>
  <c r="L146" i="154"/>
  <c r="P146" i="154" s="1"/>
  <c r="S146" i="154" s="1"/>
  <c r="V146" i="154" s="1"/>
  <c r="Y146" i="154" s="1"/>
  <c r="AB146" i="154" s="1"/>
  <c r="L139" i="154"/>
  <c r="P139" i="154" s="1"/>
  <c r="S139" i="154" s="1"/>
  <c r="V139" i="154" s="1"/>
  <c r="Y139" i="154" s="1"/>
  <c r="AB139" i="154" s="1"/>
  <c r="L138" i="154"/>
  <c r="P138" i="154" s="1"/>
  <c r="S138" i="154" s="1"/>
  <c r="V138" i="154" s="1"/>
  <c r="Y138" i="154" s="1"/>
  <c r="AB138" i="154" s="1"/>
  <c r="L137" i="154"/>
  <c r="P137" i="154" s="1"/>
  <c r="S137" i="154" s="1"/>
  <c r="V137" i="154" s="1"/>
  <c r="Y137" i="154" s="1"/>
  <c r="AB137" i="154" s="1"/>
  <c r="L136" i="154"/>
  <c r="P136" i="154" s="1"/>
  <c r="S136" i="154" s="1"/>
  <c r="V136" i="154" s="1"/>
  <c r="Y136" i="154" s="1"/>
  <c r="AB136" i="154" s="1"/>
  <c r="L134" i="154"/>
  <c r="P134" i="154" s="1"/>
  <c r="S134" i="154" s="1"/>
  <c r="V134" i="154" s="1"/>
  <c r="Y134" i="154" s="1"/>
  <c r="AB134" i="154" s="1"/>
  <c r="L133" i="154"/>
  <c r="P133" i="154" s="1"/>
  <c r="S133" i="154" s="1"/>
  <c r="V133" i="154" s="1"/>
  <c r="Y133" i="154" s="1"/>
  <c r="AB133" i="154" s="1"/>
  <c r="K53" i="154"/>
  <c r="L53" i="154" s="1"/>
  <c r="P53" i="154" s="1"/>
  <c r="S53" i="154" s="1"/>
  <c r="V53" i="154" s="1"/>
  <c r="Y53" i="154" s="1"/>
  <c r="AB53" i="154" s="1"/>
  <c r="K54" i="154"/>
  <c r="L54" i="154" s="1"/>
  <c r="P54" i="154" s="1"/>
  <c r="T54" i="154" s="1"/>
  <c r="W54" i="154" s="1"/>
  <c r="Z54" i="154" s="1"/>
  <c r="AC54" i="154" s="1"/>
  <c r="K55" i="154"/>
  <c r="L55" i="154" s="1"/>
  <c r="P55" i="154" s="1"/>
  <c r="S55" i="154" s="1"/>
  <c r="V55" i="154" s="1"/>
  <c r="Y55" i="154" s="1"/>
  <c r="AB55" i="154" s="1"/>
  <c r="K56" i="154"/>
  <c r="L56" i="154" s="1"/>
  <c r="P56" i="154" s="1"/>
  <c r="L70" i="154"/>
  <c r="P70" i="154" s="1"/>
  <c r="S70" i="154" s="1"/>
  <c r="V70" i="154" s="1"/>
  <c r="Y70" i="154" s="1"/>
  <c r="AB70" i="154" s="1"/>
  <c r="L71" i="154"/>
  <c r="P71" i="154" s="1"/>
  <c r="S71" i="154" s="1"/>
  <c r="V71" i="154" s="1"/>
  <c r="Y71" i="154" s="1"/>
  <c r="AB71" i="154" s="1"/>
  <c r="L72" i="154"/>
  <c r="P72" i="154" s="1"/>
  <c r="S72" i="154" s="1"/>
  <c r="V72" i="154" s="1"/>
  <c r="Y72" i="154" s="1"/>
  <c r="AB72" i="154" s="1"/>
  <c r="L73" i="154"/>
  <c r="P73" i="154" s="1"/>
  <c r="S73" i="154" s="1"/>
  <c r="V73" i="154" s="1"/>
  <c r="Y73" i="154" s="1"/>
  <c r="AB73" i="154" s="1"/>
  <c r="K67" i="154"/>
  <c r="L67" i="154" s="1"/>
  <c r="P67" i="154" s="1"/>
  <c r="S67" i="154" s="1"/>
  <c r="V67" i="154" s="1"/>
  <c r="Y67" i="154" s="1"/>
  <c r="AB67" i="154" s="1"/>
  <c r="K68" i="154"/>
  <c r="L68" i="154" s="1"/>
  <c r="P68" i="154" s="1"/>
  <c r="S68" i="154" s="1"/>
  <c r="V68" i="154" s="1"/>
  <c r="Y68" i="154" s="1"/>
  <c r="AB68" i="154" s="1"/>
  <c r="K69" i="154"/>
  <c r="L69" i="154" s="1"/>
  <c r="P69" i="154" s="1"/>
  <c r="K81" i="154"/>
  <c r="L81" i="154" s="1"/>
  <c r="P81" i="154" s="1"/>
  <c r="S81" i="154" s="1"/>
  <c r="V81" i="154" s="1"/>
  <c r="Y81" i="154" s="1"/>
  <c r="AB81" i="154" s="1"/>
  <c r="K82" i="154"/>
  <c r="L82" i="154" s="1"/>
  <c r="P82" i="154" s="1"/>
  <c r="K93" i="154"/>
  <c r="L93" i="154" s="1"/>
  <c r="P93" i="154" s="1"/>
  <c r="T93" i="154" s="1"/>
  <c r="W93" i="154" s="1"/>
  <c r="Z93" i="154" s="1"/>
  <c r="AC93" i="154" s="1"/>
  <c r="K94" i="154"/>
  <c r="L94" i="154" s="1"/>
  <c r="P94" i="154" s="1"/>
  <c r="T94" i="154" s="1"/>
  <c r="W94" i="154" s="1"/>
  <c r="Z94" i="154" s="1"/>
  <c r="AC94" i="154" s="1"/>
  <c r="K95" i="154"/>
  <c r="L95" i="154" s="1"/>
  <c r="P95" i="154" s="1"/>
  <c r="K107" i="154"/>
  <c r="K108" i="154"/>
  <c r="L108" i="154" s="1"/>
  <c r="P108" i="154" s="1"/>
  <c r="Q108" i="154" s="1"/>
  <c r="K109" i="154"/>
  <c r="L96" i="154"/>
  <c r="P96" i="154" s="1"/>
  <c r="S96" i="154" s="1"/>
  <c r="V96" i="154" s="1"/>
  <c r="Y96" i="154" s="1"/>
  <c r="AB96" i="154" s="1"/>
  <c r="L97" i="154"/>
  <c r="P97" i="154" s="1"/>
  <c r="S97" i="154" s="1"/>
  <c r="V97" i="154" s="1"/>
  <c r="Y97" i="154" s="1"/>
  <c r="AB97" i="154" s="1"/>
  <c r="L98" i="154"/>
  <c r="P98" i="154" s="1"/>
  <c r="S98" i="154" s="1"/>
  <c r="V98" i="154" s="1"/>
  <c r="Y98" i="154" s="1"/>
  <c r="AB98" i="154" s="1"/>
  <c r="L100" i="154"/>
  <c r="P100" i="154" s="1"/>
  <c r="S100" i="154" s="1"/>
  <c r="V100" i="154" s="1"/>
  <c r="Y100" i="154" s="1"/>
  <c r="AB100" i="154" s="1"/>
  <c r="L101" i="154"/>
  <c r="P101" i="154" s="1"/>
  <c r="S101" i="154" s="1"/>
  <c r="V101" i="154" s="1"/>
  <c r="Y101" i="154" s="1"/>
  <c r="AB101" i="154" s="1"/>
  <c r="L102" i="154"/>
  <c r="P102" i="154" s="1"/>
  <c r="S102" i="154" s="1"/>
  <c r="V102" i="154" s="1"/>
  <c r="Y102" i="154" s="1"/>
  <c r="AB102" i="154" s="1"/>
  <c r="L103" i="154"/>
  <c r="P103" i="154" s="1"/>
  <c r="S103" i="154" s="1"/>
  <c r="V103" i="154" s="1"/>
  <c r="Y103" i="154" s="1"/>
  <c r="AB103" i="154" s="1"/>
  <c r="L104" i="154"/>
  <c r="P104" i="154" s="1"/>
  <c r="S104" i="154" s="1"/>
  <c r="V104" i="154" s="1"/>
  <c r="Y104" i="154" s="1"/>
  <c r="AB104" i="154" s="1"/>
  <c r="L106" i="154"/>
  <c r="P106" i="154" s="1"/>
  <c r="S106" i="154" s="1"/>
  <c r="V106" i="154" s="1"/>
  <c r="Y106" i="154" s="1"/>
  <c r="AB106" i="154" s="1"/>
  <c r="L107" i="154"/>
  <c r="P107" i="154" s="1"/>
  <c r="S107" i="154" s="1"/>
  <c r="V107" i="154" s="1"/>
  <c r="Y107" i="154" s="1"/>
  <c r="AB107" i="154" s="1"/>
  <c r="L109" i="154"/>
  <c r="P109" i="154" s="1"/>
  <c r="S109" i="154" s="1"/>
  <c r="V109" i="154" s="1"/>
  <c r="Y109" i="154" s="1"/>
  <c r="AB109" i="154" s="1"/>
  <c r="L110" i="154"/>
  <c r="P110" i="154" s="1"/>
  <c r="S110" i="154" s="1"/>
  <c r="V110" i="154" s="1"/>
  <c r="Y110" i="154" s="1"/>
  <c r="AB110" i="154" s="1"/>
  <c r="L111" i="154"/>
  <c r="P111" i="154" s="1"/>
  <c r="T111" i="154" s="1"/>
  <c r="W111" i="154" s="1"/>
  <c r="Z111" i="154" s="1"/>
  <c r="AC111" i="154" s="1"/>
  <c r="L112" i="154"/>
  <c r="P112" i="154" s="1"/>
  <c r="S112" i="154" s="1"/>
  <c r="V112" i="154" s="1"/>
  <c r="Y112" i="154" s="1"/>
  <c r="AB112" i="154" s="1"/>
  <c r="L113" i="154"/>
  <c r="P113" i="154" s="1"/>
  <c r="S113" i="154" s="1"/>
  <c r="V113" i="154" s="1"/>
  <c r="Y113" i="154" s="1"/>
  <c r="AB113" i="154" s="1"/>
  <c r="L114" i="154"/>
  <c r="P114" i="154" s="1"/>
  <c r="S114" i="154" s="1"/>
  <c r="V114" i="154" s="1"/>
  <c r="Y114" i="154" s="1"/>
  <c r="AB114" i="154" s="1"/>
  <c r="L115" i="154"/>
  <c r="P115" i="154" s="1"/>
  <c r="S115" i="154" s="1"/>
  <c r="V115" i="154" s="1"/>
  <c r="Y115" i="154" s="1"/>
  <c r="AB115" i="154" s="1"/>
  <c r="L116" i="154"/>
  <c r="P116" i="154" s="1"/>
  <c r="S116" i="154" s="1"/>
  <c r="V116" i="154" s="1"/>
  <c r="Y116" i="154" s="1"/>
  <c r="AB116" i="154" s="1"/>
  <c r="L117" i="154"/>
  <c r="P117" i="154" s="1"/>
  <c r="S117" i="154" s="1"/>
  <c r="V117" i="154" s="1"/>
  <c r="Y117" i="154" s="1"/>
  <c r="AB117" i="154" s="1"/>
  <c r="L118" i="154"/>
  <c r="P118" i="154" s="1"/>
  <c r="S118" i="154" s="1"/>
  <c r="V118" i="154" s="1"/>
  <c r="Y118" i="154" s="1"/>
  <c r="AB118" i="154" s="1"/>
  <c r="L119" i="154"/>
  <c r="P119" i="154" s="1"/>
  <c r="R119" i="154" s="1"/>
  <c r="U119" i="154" s="1"/>
  <c r="X119" i="154" s="1"/>
  <c r="AA119" i="154" s="1"/>
  <c r="AD119" i="154" s="1"/>
  <c r="L120" i="154"/>
  <c r="P120" i="154" s="1"/>
  <c r="S120" i="154" s="1"/>
  <c r="V120" i="154" s="1"/>
  <c r="Y120" i="154" s="1"/>
  <c r="AB120" i="154" s="1"/>
  <c r="K120" i="154"/>
  <c r="K121" i="154"/>
  <c r="L121" i="154" s="1"/>
  <c r="P121" i="154" s="1"/>
  <c r="L38" i="154"/>
  <c r="P38" i="154" s="1"/>
  <c r="S38" i="154" s="1"/>
  <c r="V38" i="154" s="1"/>
  <c r="Y38" i="154" s="1"/>
  <c r="AB38" i="154" s="1"/>
  <c r="K39" i="154"/>
  <c r="L39" i="154" s="1"/>
  <c r="P39" i="154" s="1"/>
  <c r="S39" i="154" s="1"/>
  <c r="V39" i="154" s="1"/>
  <c r="Y39" i="154" s="1"/>
  <c r="AB39" i="154" s="1"/>
  <c r="K40" i="154"/>
  <c r="L40" i="154" s="1"/>
  <c r="P40" i="154" s="1"/>
  <c r="S40" i="154" s="1"/>
  <c r="V40" i="154" s="1"/>
  <c r="Y40" i="154" s="1"/>
  <c r="AB40" i="154" s="1"/>
  <c r="K41" i="154"/>
  <c r="L41" i="154" s="1"/>
  <c r="P41" i="154" s="1"/>
  <c r="S41" i="154" s="1"/>
  <c r="V41" i="154" s="1"/>
  <c r="Y41" i="154" s="1"/>
  <c r="AB41" i="154" s="1"/>
  <c r="K42" i="154"/>
  <c r="L42" i="154" s="1"/>
  <c r="P42" i="154" s="1"/>
  <c r="S42" i="154" s="1"/>
  <c r="V42" i="154" s="1"/>
  <c r="Y42" i="154" s="1"/>
  <c r="AB42" i="154" s="1"/>
  <c r="K43" i="154"/>
  <c r="L43" i="154" s="1"/>
  <c r="P43" i="154" s="1"/>
  <c r="L27" i="154"/>
  <c r="P27" i="154" s="1"/>
  <c r="S27" i="154" s="1"/>
  <c r="V27" i="154" s="1"/>
  <c r="Y27" i="154" s="1"/>
  <c r="AB27" i="154" s="1"/>
  <c r="K28" i="154"/>
  <c r="L28" i="154" s="1"/>
  <c r="P28" i="154" s="1"/>
  <c r="K29" i="154"/>
  <c r="L29" i="154" s="1"/>
  <c r="P29" i="154" s="1"/>
  <c r="S29" i="154" s="1"/>
  <c r="V29" i="154" s="1"/>
  <c r="Y29" i="154" s="1"/>
  <c r="AB29" i="154" s="1"/>
  <c r="K30" i="154"/>
  <c r="L30" i="154" s="1"/>
  <c r="P30" i="154" s="1"/>
  <c r="K16" i="154"/>
  <c r="L16" i="154" s="1"/>
  <c r="P16" i="154" s="1"/>
  <c r="S16" i="154" s="1"/>
  <c r="V16" i="154" s="1"/>
  <c r="Y16" i="154" s="1"/>
  <c r="AB16" i="154" s="1"/>
  <c r="K17" i="154"/>
  <c r="L17" i="154" s="1"/>
  <c r="P17" i="154" s="1"/>
  <c r="L25" i="154"/>
  <c r="P25" i="154" s="1"/>
  <c r="S25" i="154" s="1"/>
  <c r="V25" i="154" s="1"/>
  <c r="Y25" i="154" s="1"/>
  <c r="AB25" i="154" s="1"/>
  <c r="L26" i="154"/>
  <c r="P26" i="154" s="1"/>
  <c r="S26" i="154" s="1"/>
  <c r="V26" i="154" s="1"/>
  <c r="Y26" i="154" s="1"/>
  <c r="AB26" i="154" s="1"/>
  <c r="L48" i="154"/>
  <c r="P48" i="154" s="1"/>
  <c r="S48" i="154" s="1"/>
  <c r="V48" i="154" s="1"/>
  <c r="Y48" i="154" s="1"/>
  <c r="AB48" i="154" s="1"/>
  <c r="L49" i="154"/>
  <c r="P49" i="154" s="1"/>
  <c r="S49" i="154" s="1"/>
  <c r="V49" i="154" s="1"/>
  <c r="Y49" i="154" s="1"/>
  <c r="AB49" i="154" s="1"/>
  <c r="L60" i="154"/>
  <c r="P60" i="154" s="1"/>
  <c r="S60" i="154" s="1"/>
  <c r="V60" i="154" s="1"/>
  <c r="Y60" i="154" s="1"/>
  <c r="AB60" i="154" s="1"/>
  <c r="L61" i="154"/>
  <c r="P61" i="154" s="1"/>
  <c r="S61" i="154" s="1"/>
  <c r="V61" i="154" s="1"/>
  <c r="Y61" i="154" s="1"/>
  <c r="AB61" i="154" s="1"/>
  <c r="L74" i="154"/>
  <c r="P74" i="154" s="1"/>
  <c r="S74" i="154" s="1"/>
  <c r="V74" i="154" s="1"/>
  <c r="Y74" i="154" s="1"/>
  <c r="AB74" i="154" s="1"/>
  <c r="L75" i="154"/>
  <c r="P75" i="154" s="1"/>
  <c r="S75" i="154" s="1"/>
  <c r="V75" i="154" s="1"/>
  <c r="Y75" i="154" s="1"/>
  <c r="AB75" i="154" s="1"/>
  <c r="L76" i="154"/>
  <c r="P76" i="154" s="1"/>
  <c r="S76" i="154" s="1"/>
  <c r="V76" i="154" s="1"/>
  <c r="Y76" i="154" s="1"/>
  <c r="AB76" i="154" s="1"/>
  <c r="L77" i="154"/>
  <c r="P77" i="154" s="1"/>
  <c r="S77" i="154" s="1"/>
  <c r="V77" i="154" s="1"/>
  <c r="Y77" i="154" s="1"/>
  <c r="AB77" i="154" s="1"/>
  <c r="L9" i="154"/>
  <c r="P9" i="154" s="1"/>
  <c r="T9" i="154" s="1"/>
  <c r="W9" i="154" s="1"/>
  <c r="Z9" i="154" s="1"/>
  <c r="AC9" i="154" s="1"/>
  <c r="L12" i="154"/>
  <c r="P12" i="154" s="1"/>
  <c r="T12" i="154" s="1"/>
  <c r="W12" i="154" s="1"/>
  <c r="Z12" i="154" s="1"/>
  <c r="AC12" i="154" s="1"/>
  <c r="L13" i="154"/>
  <c r="P13" i="154" s="1"/>
  <c r="S13" i="154" s="1"/>
  <c r="V13" i="154" s="1"/>
  <c r="Y13" i="154" s="1"/>
  <c r="AB13" i="154" s="1"/>
  <c r="K6" i="154"/>
  <c r="L6" i="154" s="1"/>
  <c r="P6" i="154" s="1"/>
  <c r="S6" i="154" s="1"/>
  <c r="V6" i="154" s="1"/>
  <c r="Y6" i="154" s="1"/>
  <c r="AB6" i="154" s="1"/>
  <c r="K7" i="154"/>
  <c r="L7" i="154" s="1"/>
  <c r="P7" i="154" s="1"/>
  <c r="K8" i="154"/>
  <c r="L8" i="154" s="1"/>
  <c r="P8" i="154" s="1"/>
  <c r="K9" i="154"/>
  <c r="K10" i="154"/>
  <c r="L10" i="154" s="1"/>
  <c r="P10" i="154" s="1"/>
  <c r="K11" i="154"/>
  <c r="L11" i="154" s="1"/>
  <c r="P11" i="154" s="1"/>
  <c r="K12" i="154"/>
  <c r="K13" i="154"/>
  <c r="K14" i="154"/>
  <c r="L14" i="154" s="1"/>
  <c r="P14" i="154" s="1"/>
  <c r="K15" i="154"/>
  <c r="L15" i="154" s="1"/>
  <c r="P15" i="154" s="1"/>
  <c r="K18" i="154"/>
  <c r="L18" i="154" s="1"/>
  <c r="P18" i="154" s="1"/>
  <c r="K19" i="154"/>
  <c r="L19" i="154" s="1"/>
  <c r="P19" i="154" s="1"/>
  <c r="K20" i="154"/>
  <c r="L20" i="154" s="1"/>
  <c r="P20" i="154" s="1"/>
  <c r="K21" i="154"/>
  <c r="L21" i="154" s="1"/>
  <c r="P21" i="154" s="1"/>
  <c r="S21" i="154" s="1"/>
  <c r="V21" i="154" s="1"/>
  <c r="Y21" i="154" s="1"/>
  <c r="AB21" i="154" s="1"/>
  <c r="K22" i="154"/>
  <c r="L22" i="154" s="1"/>
  <c r="P22" i="154" s="1"/>
  <c r="S22" i="154" s="1"/>
  <c r="V22" i="154" s="1"/>
  <c r="Y22" i="154" s="1"/>
  <c r="AB22" i="154" s="1"/>
  <c r="K23" i="154"/>
  <c r="L23" i="154" s="1"/>
  <c r="P23" i="154" s="1"/>
  <c r="K24" i="154"/>
  <c r="L24" i="154" s="1"/>
  <c r="P24" i="154" s="1"/>
  <c r="K25" i="154"/>
  <c r="K26" i="154"/>
  <c r="K27" i="154"/>
  <c r="K31" i="154"/>
  <c r="L31" i="154" s="1"/>
  <c r="P31" i="154" s="1"/>
  <c r="K32" i="154"/>
  <c r="L32" i="154" s="1"/>
  <c r="P32" i="154" s="1"/>
  <c r="K33" i="154"/>
  <c r="L33" i="154" s="1"/>
  <c r="P33" i="154" s="1"/>
  <c r="K34" i="154"/>
  <c r="L34" i="154" s="1"/>
  <c r="P34" i="154" s="1"/>
  <c r="S34" i="154" s="1"/>
  <c r="V34" i="154" s="1"/>
  <c r="Y34" i="154" s="1"/>
  <c r="AB34" i="154" s="1"/>
  <c r="K35" i="154"/>
  <c r="L35" i="154" s="1"/>
  <c r="P35" i="154" s="1"/>
  <c r="S35" i="154" s="1"/>
  <c r="V35" i="154" s="1"/>
  <c r="Y35" i="154" s="1"/>
  <c r="AB35" i="154" s="1"/>
  <c r="K36" i="154"/>
  <c r="L36" i="154" s="1"/>
  <c r="P36" i="154" s="1"/>
  <c r="S36" i="154" s="1"/>
  <c r="V36" i="154" s="1"/>
  <c r="Y36" i="154" s="1"/>
  <c r="AB36" i="154" s="1"/>
  <c r="K37" i="154"/>
  <c r="L37" i="154" s="1"/>
  <c r="P37" i="154" s="1"/>
  <c r="S37" i="154" s="1"/>
  <c r="V37" i="154" s="1"/>
  <c r="Y37" i="154" s="1"/>
  <c r="AB37" i="154" s="1"/>
  <c r="K38" i="154"/>
  <c r="K44" i="154"/>
  <c r="L44" i="154" s="1"/>
  <c r="P44" i="154" s="1"/>
  <c r="S44" i="154" s="1"/>
  <c r="V44" i="154" s="1"/>
  <c r="Y44" i="154" s="1"/>
  <c r="AB44" i="154" s="1"/>
  <c r="K45" i="154"/>
  <c r="L45" i="154" s="1"/>
  <c r="P45" i="154" s="1"/>
  <c r="T45" i="154" s="1"/>
  <c r="W45" i="154" s="1"/>
  <c r="Z45" i="154" s="1"/>
  <c r="AC45" i="154" s="1"/>
  <c r="K46" i="154"/>
  <c r="L46" i="154" s="1"/>
  <c r="P46" i="154" s="1"/>
  <c r="S46" i="154" s="1"/>
  <c r="V46" i="154" s="1"/>
  <c r="Y46" i="154" s="1"/>
  <c r="AB46" i="154" s="1"/>
  <c r="K47" i="154"/>
  <c r="L47" i="154" s="1"/>
  <c r="P47" i="154" s="1"/>
  <c r="S47" i="154" s="1"/>
  <c r="V47" i="154" s="1"/>
  <c r="Y47" i="154" s="1"/>
  <c r="AB47" i="154" s="1"/>
  <c r="K48" i="154"/>
  <c r="K49" i="154"/>
  <c r="K50" i="154"/>
  <c r="L50" i="154" s="1"/>
  <c r="P50" i="154" s="1"/>
  <c r="S50" i="154" s="1"/>
  <c r="V50" i="154" s="1"/>
  <c r="Y50" i="154" s="1"/>
  <c r="AB50" i="154" s="1"/>
  <c r="K51" i="154"/>
  <c r="L51" i="154" s="1"/>
  <c r="P51" i="154" s="1"/>
  <c r="S51" i="154" s="1"/>
  <c r="V51" i="154" s="1"/>
  <c r="Y51" i="154" s="1"/>
  <c r="AB51" i="154" s="1"/>
  <c r="K52" i="154"/>
  <c r="L52" i="154" s="1"/>
  <c r="P52" i="154" s="1"/>
  <c r="S52" i="154" s="1"/>
  <c r="V52" i="154" s="1"/>
  <c r="Y52" i="154" s="1"/>
  <c r="AB52" i="154" s="1"/>
  <c r="K57" i="154"/>
  <c r="L57" i="154" s="1"/>
  <c r="P57" i="154" s="1"/>
  <c r="S57" i="154" s="1"/>
  <c r="V57" i="154" s="1"/>
  <c r="Y57" i="154" s="1"/>
  <c r="AB57" i="154" s="1"/>
  <c r="K58" i="154"/>
  <c r="L58" i="154" s="1"/>
  <c r="P58" i="154" s="1"/>
  <c r="R58" i="154" s="1"/>
  <c r="U58" i="154" s="1"/>
  <c r="X58" i="154" s="1"/>
  <c r="AA58" i="154" s="1"/>
  <c r="AD58" i="154" s="1"/>
  <c r="K59" i="154"/>
  <c r="L59" i="154" s="1"/>
  <c r="P59" i="154" s="1"/>
  <c r="S59" i="154" s="1"/>
  <c r="V59" i="154" s="1"/>
  <c r="Y59" i="154" s="1"/>
  <c r="AB59" i="154" s="1"/>
  <c r="K60" i="154"/>
  <c r="K61" i="154"/>
  <c r="K62" i="154"/>
  <c r="L62" i="154" s="1"/>
  <c r="P62" i="154" s="1"/>
  <c r="S62" i="154" s="1"/>
  <c r="V62" i="154" s="1"/>
  <c r="Y62" i="154" s="1"/>
  <c r="AB62" i="154" s="1"/>
  <c r="K63" i="154"/>
  <c r="L63" i="154" s="1"/>
  <c r="P63" i="154" s="1"/>
  <c r="S63" i="154" s="1"/>
  <c r="V63" i="154" s="1"/>
  <c r="Y63" i="154" s="1"/>
  <c r="AB63" i="154" s="1"/>
  <c r="K64" i="154"/>
  <c r="L64" i="154" s="1"/>
  <c r="P64" i="154" s="1"/>
  <c r="S64" i="154" s="1"/>
  <c r="V64" i="154" s="1"/>
  <c r="Y64" i="154" s="1"/>
  <c r="AB64" i="154" s="1"/>
  <c r="K65" i="154"/>
  <c r="L65" i="154" s="1"/>
  <c r="P65" i="154" s="1"/>
  <c r="S65" i="154" s="1"/>
  <c r="V65" i="154" s="1"/>
  <c r="Y65" i="154" s="1"/>
  <c r="AB65" i="154" s="1"/>
  <c r="K66" i="154"/>
  <c r="L66" i="154" s="1"/>
  <c r="P66" i="154" s="1"/>
  <c r="S66" i="154" s="1"/>
  <c r="V66" i="154" s="1"/>
  <c r="Y66" i="154" s="1"/>
  <c r="AB66" i="154" s="1"/>
  <c r="K70" i="154"/>
  <c r="K71" i="154"/>
  <c r="K72" i="154"/>
  <c r="K73" i="154"/>
  <c r="K74" i="154"/>
  <c r="K75" i="154"/>
  <c r="K76" i="154"/>
  <c r="K77" i="154"/>
  <c r="K78" i="154"/>
  <c r="L78" i="154" s="1"/>
  <c r="P78" i="154" s="1"/>
  <c r="S78" i="154" s="1"/>
  <c r="V78" i="154" s="1"/>
  <c r="Y78" i="154" s="1"/>
  <c r="AB78" i="154" s="1"/>
  <c r="K79" i="154"/>
  <c r="L79" i="154" s="1"/>
  <c r="P79" i="154" s="1"/>
  <c r="S79" i="154" s="1"/>
  <c r="V79" i="154" s="1"/>
  <c r="Y79" i="154" s="1"/>
  <c r="AB79" i="154" s="1"/>
  <c r="K80" i="154"/>
  <c r="L80" i="154" s="1"/>
  <c r="P80" i="154" s="1"/>
  <c r="S80" i="154" s="1"/>
  <c r="V80" i="154" s="1"/>
  <c r="Y80" i="154" s="1"/>
  <c r="AB80" i="154" s="1"/>
  <c r="K83" i="154"/>
  <c r="L83" i="154" s="1"/>
  <c r="P83" i="154" s="1"/>
  <c r="K84" i="154"/>
  <c r="L84" i="154" s="1"/>
  <c r="P84" i="154" s="1"/>
  <c r="Q84" i="154" s="1"/>
  <c r="K85" i="154"/>
  <c r="L85" i="154" s="1"/>
  <c r="P85" i="154" s="1"/>
  <c r="K86" i="154"/>
  <c r="L86" i="154" s="1"/>
  <c r="P86" i="154" s="1"/>
  <c r="K87" i="154"/>
  <c r="L87" i="154" s="1"/>
  <c r="P87" i="154" s="1"/>
  <c r="K88" i="154"/>
  <c r="L88" i="154" s="1"/>
  <c r="P88" i="154" s="1"/>
  <c r="K89" i="154"/>
  <c r="L89" i="154" s="1"/>
  <c r="P89" i="154" s="1"/>
  <c r="S89" i="154" s="1"/>
  <c r="V89" i="154" s="1"/>
  <c r="Y89" i="154" s="1"/>
  <c r="AB89" i="154" s="1"/>
  <c r="K90" i="154"/>
  <c r="L90" i="154" s="1"/>
  <c r="P90" i="154" s="1"/>
  <c r="S90" i="154" s="1"/>
  <c r="V90" i="154" s="1"/>
  <c r="Y90" i="154" s="1"/>
  <c r="AB90" i="154" s="1"/>
  <c r="K91" i="154"/>
  <c r="L91" i="154" s="1"/>
  <c r="P91" i="154" s="1"/>
  <c r="S91" i="154" s="1"/>
  <c r="V91" i="154" s="1"/>
  <c r="Y91" i="154" s="1"/>
  <c r="AB91" i="154" s="1"/>
  <c r="K92" i="154"/>
  <c r="L92" i="154" s="1"/>
  <c r="P92" i="154" s="1"/>
  <c r="K96" i="154"/>
  <c r="K97" i="154"/>
  <c r="K98" i="154"/>
  <c r="K99" i="154"/>
  <c r="L99" i="154" s="1"/>
  <c r="P99" i="154" s="1"/>
  <c r="Q99" i="154" s="1"/>
  <c r="K100" i="154"/>
  <c r="K101" i="154"/>
  <c r="K102" i="154"/>
  <c r="K103" i="154"/>
  <c r="K104" i="154"/>
  <c r="K105" i="154"/>
  <c r="L105" i="154" s="1"/>
  <c r="P105" i="154" s="1"/>
  <c r="K106" i="154"/>
  <c r="K110" i="154"/>
  <c r="K111" i="154"/>
  <c r="K112" i="154"/>
  <c r="K113" i="154"/>
  <c r="K114" i="154"/>
  <c r="K115" i="154"/>
  <c r="K116" i="154"/>
  <c r="K117" i="154"/>
  <c r="K118" i="154"/>
  <c r="K119" i="154"/>
  <c r="S242" i="154" l="1"/>
  <c r="V242" i="154" s="1"/>
  <c r="Y242" i="154" s="1"/>
  <c r="AB242" i="154" s="1"/>
  <c r="S167" i="154"/>
  <c r="V167" i="154" s="1"/>
  <c r="Y167" i="154" s="1"/>
  <c r="AB167" i="154" s="1"/>
  <c r="S164" i="154"/>
  <c r="V164" i="154" s="1"/>
  <c r="Y164" i="154" s="1"/>
  <c r="AB164" i="154" s="1"/>
  <c r="S135" i="154"/>
  <c r="V135" i="154" s="1"/>
  <c r="Y135" i="154" s="1"/>
  <c r="AB135" i="154" s="1"/>
  <c r="Q219" i="154"/>
  <c r="T219" i="154" s="1"/>
  <c r="W219" i="154" s="1"/>
  <c r="Z219" i="154" s="1"/>
  <c r="AC219" i="154" s="1"/>
  <c r="S219" i="154"/>
  <c r="V219" i="154" s="1"/>
  <c r="Y219" i="154" s="1"/>
  <c r="AB219" i="154" s="1"/>
  <c r="Q144" i="154"/>
  <c r="T144" i="154" s="1"/>
  <c r="W144" i="154" s="1"/>
  <c r="Z144" i="154" s="1"/>
  <c r="AC144" i="154" s="1"/>
  <c r="S144" i="154"/>
  <c r="V144" i="154" s="1"/>
  <c r="Y144" i="154" s="1"/>
  <c r="AB144" i="154" s="1"/>
  <c r="Q282" i="154"/>
  <c r="T282" i="154" s="1"/>
  <c r="W282" i="154" s="1"/>
  <c r="Z282" i="154" s="1"/>
  <c r="AC282" i="154" s="1"/>
  <c r="S282" i="154"/>
  <c r="V282" i="154" s="1"/>
  <c r="Y282" i="154" s="1"/>
  <c r="AB282" i="154" s="1"/>
  <c r="Q356" i="154"/>
  <c r="T356" i="154" s="1"/>
  <c r="W356" i="154" s="1"/>
  <c r="Z356" i="154" s="1"/>
  <c r="AC356" i="154" s="1"/>
  <c r="S356" i="154"/>
  <c r="V356" i="154" s="1"/>
  <c r="Y356" i="154" s="1"/>
  <c r="AB356" i="154" s="1"/>
  <c r="R150" i="154"/>
  <c r="U150" i="154" s="1"/>
  <c r="X150" i="154" s="1"/>
  <c r="AA150" i="154" s="1"/>
  <c r="AD150" i="154" s="1"/>
  <c r="S150" i="154"/>
  <c r="V150" i="154" s="1"/>
  <c r="Y150" i="154" s="1"/>
  <c r="AB150" i="154" s="1"/>
  <c r="Q132" i="154"/>
  <c r="T132" i="154" s="1"/>
  <c r="W132" i="154" s="1"/>
  <c r="Z132" i="154" s="1"/>
  <c r="AC132" i="154" s="1"/>
  <c r="S132" i="154"/>
  <c r="V132" i="154" s="1"/>
  <c r="Y132" i="154" s="1"/>
  <c r="AB132" i="154" s="1"/>
  <c r="S24" i="154"/>
  <c r="V24" i="154" s="1"/>
  <c r="Y24" i="154" s="1"/>
  <c r="AB24" i="154" s="1"/>
  <c r="Q24" i="154"/>
  <c r="T24" i="154" s="1"/>
  <c r="W24" i="154" s="1"/>
  <c r="Z24" i="154" s="1"/>
  <c r="AC24" i="154" s="1"/>
  <c r="R308" i="154"/>
  <c r="U308" i="154" s="1"/>
  <c r="X308" i="154" s="1"/>
  <c r="AA308" i="154" s="1"/>
  <c r="AD308" i="154" s="1"/>
  <c r="S308" i="154"/>
  <c r="V308" i="154" s="1"/>
  <c r="Y308" i="154" s="1"/>
  <c r="AB308" i="154" s="1"/>
  <c r="Q330" i="154"/>
  <c r="T330" i="154" s="1"/>
  <c r="W330" i="154" s="1"/>
  <c r="Z330" i="154" s="1"/>
  <c r="AC330" i="154" s="1"/>
  <c r="S330" i="154"/>
  <c r="V330" i="154" s="1"/>
  <c r="Y330" i="154" s="1"/>
  <c r="AB330" i="154" s="1"/>
  <c r="Q390" i="154"/>
  <c r="T390" i="154" s="1"/>
  <c r="W390" i="154" s="1"/>
  <c r="Z390" i="154" s="1"/>
  <c r="AC390" i="154" s="1"/>
  <c r="S390" i="154"/>
  <c r="V390" i="154" s="1"/>
  <c r="Y390" i="154" s="1"/>
  <c r="AB390" i="154" s="1"/>
  <c r="Q405" i="154"/>
  <c r="T405" i="154" s="1"/>
  <c r="W405" i="154" s="1"/>
  <c r="Z405" i="154" s="1"/>
  <c r="AC405" i="154" s="1"/>
  <c r="S405" i="154"/>
  <c r="V405" i="154" s="1"/>
  <c r="Y405" i="154" s="1"/>
  <c r="AB405" i="154" s="1"/>
  <c r="Q92" i="154"/>
  <c r="T92" i="154" s="1"/>
  <c r="W92" i="154" s="1"/>
  <c r="Z92" i="154" s="1"/>
  <c r="AC92" i="154" s="1"/>
  <c r="S92" i="154"/>
  <c r="V92" i="154" s="1"/>
  <c r="Y92" i="154" s="1"/>
  <c r="AB92" i="154" s="1"/>
  <c r="Q266" i="154"/>
  <c r="T266" i="154" s="1"/>
  <c r="W266" i="154" s="1"/>
  <c r="Z266" i="154" s="1"/>
  <c r="AC266" i="154" s="1"/>
  <c r="S266" i="154"/>
  <c r="V266" i="154" s="1"/>
  <c r="Y266" i="154" s="1"/>
  <c r="AB266" i="154" s="1"/>
  <c r="Q291" i="154"/>
  <c r="T291" i="154" s="1"/>
  <c r="W291" i="154" s="1"/>
  <c r="Z291" i="154" s="1"/>
  <c r="AC291" i="154" s="1"/>
  <c r="S291" i="154"/>
  <c r="V291" i="154" s="1"/>
  <c r="Y291" i="154" s="1"/>
  <c r="AB291" i="154" s="1"/>
  <c r="Q141" i="154"/>
  <c r="T141" i="154" s="1"/>
  <c r="W141" i="154" s="1"/>
  <c r="Z141" i="154" s="1"/>
  <c r="AC141" i="154" s="1"/>
  <c r="S141" i="154"/>
  <c r="V141" i="154" s="1"/>
  <c r="Y141" i="154" s="1"/>
  <c r="AB141" i="154" s="1"/>
  <c r="Q416" i="154"/>
  <c r="T416" i="154" s="1"/>
  <c r="W416" i="154" s="1"/>
  <c r="Z416" i="154" s="1"/>
  <c r="AC416" i="154" s="1"/>
  <c r="S416" i="154"/>
  <c r="V416" i="154" s="1"/>
  <c r="Y416" i="154" s="1"/>
  <c r="AB416" i="154" s="1"/>
  <c r="S88" i="154"/>
  <c r="V88" i="154" s="1"/>
  <c r="Y88" i="154" s="1"/>
  <c r="AB88" i="154" s="1"/>
  <c r="Q88" i="154"/>
  <c r="S23" i="154"/>
  <c r="V23" i="154" s="1"/>
  <c r="Y23" i="154" s="1"/>
  <c r="AB23" i="154" s="1"/>
  <c r="Q23" i="154"/>
  <c r="T23" i="154" s="1"/>
  <c r="W23" i="154" s="1"/>
  <c r="Z23" i="154" s="1"/>
  <c r="AC23" i="154" s="1"/>
  <c r="S245" i="154"/>
  <c r="V245" i="154" s="1"/>
  <c r="Y245" i="154" s="1"/>
  <c r="AB245" i="154" s="1"/>
  <c r="R285" i="154"/>
  <c r="U285" i="154" s="1"/>
  <c r="X285" i="154" s="1"/>
  <c r="AA285" i="154" s="1"/>
  <c r="AD285" i="154" s="1"/>
  <c r="S285" i="154"/>
  <c r="V285" i="154" s="1"/>
  <c r="Y285" i="154" s="1"/>
  <c r="AB285" i="154" s="1"/>
  <c r="Q402" i="154"/>
  <c r="T402" i="154" s="1"/>
  <c r="W402" i="154" s="1"/>
  <c r="Z402" i="154" s="1"/>
  <c r="AC402" i="154" s="1"/>
  <c r="S402" i="154"/>
  <c r="V402" i="154" s="1"/>
  <c r="Y402" i="154" s="1"/>
  <c r="AB402" i="154" s="1"/>
  <c r="R149" i="154"/>
  <c r="U149" i="154" s="1"/>
  <c r="X149" i="154" s="1"/>
  <c r="AA149" i="154" s="1"/>
  <c r="AD149" i="154" s="1"/>
  <c r="S149" i="154"/>
  <c r="V149" i="154" s="1"/>
  <c r="Y149" i="154" s="1"/>
  <c r="AB149" i="154" s="1"/>
  <c r="S15" i="154"/>
  <c r="V15" i="154" s="1"/>
  <c r="Y15" i="154" s="1"/>
  <c r="AB15" i="154" s="1"/>
  <c r="Q15" i="154"/>
  <c r="T15" i="154" s="1"/>
  <c r="W15" i="154" s="1"/>
  <c r="Z15" i="154" s="1"/>
  <c r="AC15" i="154" s="1"/>
  <c r="S30" i="154"/>
  <c r="V30" i="154" s="1"/>
  <c r="Y30" i="154" s="1"/>
  <c r="AB30" i="154" s="1"/>
  <c r="Q30" i="154"/>
  <c r="T30" i="154" s="1"/>
  <c r="W30" i="154" s="1"/>
  <c r="Z30" i="154" s="1"/>
  <c r="AC30" i="154" s="1"/>
  <c r="Q211" i="154"/>
  <c r="T211" i="154" s="1"/>
  <c r="W211" i="154" s="1"/>
  <c r="Z211" i="154" s="1"/>
  <c r="AC211" i="154" s="1"/>
  <c r="S211" i="154"/>
  <c r="V211" i="154" s="1"/>
  <c r="Y211" i="154" s="1"/>
  <c r="AB211" i="154" s="1"/>
  <c r="R152" i="154"/>
  <c r="U152" i="154" s="1"/>
  <c r="X152" i="154" s="1"/>
  <c r="AA152" i="154" s="1"/>
  <c r="AD152" i="154" s="1"/>
  <c r="Q152" i="154"/>
  <c r="T152" i="154" s="1"/>
  <c r="W152" i="154" s="1"/>
  <c r="Z152" i="154" s="1"/>
  <c r="AC152" i="154" s="1"/>
  <c r="S152" i="154"/>
  <c r="V152" i="154" s="1"/>
  <c r="Y152" i="154" s="1"/>
  <c r="AB152" i="154" s="1"/>
  <c r="Q180" i="154"/>
  <c r="T180" i="154" s="1"/>
  <c r="W180" i="154" s="1"/>
  <c r="Z180" i="154" s="1"/>
  <c r="AC180" i="154" s="1"/>
  <c r="S180" i="154"/>
  <c r="V180" i="154" s="1"/>
  <c r="Y180" i="154" s="1"/>
  <c r="AB180" i="154" s="1"/>
  <c r="Q210" i="154"/>
  <c r="T210" i="154" s="1"/>
  <c r="W210" i="154" s="1"/>
  <c r="Z210" i="154" s="1"/>
  <c r="AC210" i="154" s="1"/>
  <c r="S210" i="154"/>
  <c r="V210" i="154" s="1"/>
  <c r="Y210" i="154" s="1"/>
  <c r="AB210" i="154" s="1"/>
  <c r="Q278" i="154"/>
  <c r="T278" i="154" s="1"/>
  <c r="W278" i="154" s="1"/>
  <c r="Z278" i="154" s="1"/>
  <c r="AC278" i="154" s="1"/>
  <c r="S278" i="154"/>
  <c r="V278" i="154" s="1"/>
  <c r="Y278" i="154" s="1"/>
  <c r="AB278" i="154" s="1"/>
  <c r="Q393" i="154"/>
  <c r="T393" i="154" s="1"/>
  <c r="W393" i="154" s="1"/>
  <c r="Z393" i="154" s="1"/>
  <c r="AC393" i="154" s="1"/>
  <c r="S393" i="154"/>
  <c r="V393" i="154" s="1"/>
  <c r="Y393" i="154" s="1"/>
  <c r="AB393" i="154" s="1"/>
  <c r="S7" i="154"/>
  <c r="V7" i="154" s="1"/>
  <c r="Y7" i="154" s="1"/>
  <c r="AB7" i="154" s="1"/>
  <c r="Q7" i="154"/>
  <c r="T7" i="154" s="1"/>
  <c r="W7" i="154" s="1"/>
  <c r="Z7" i="154" s="1"/>
  <c r="AC7" i="154" s="1"/>
  <c r="Q143" i="154"/>
  <c r="T143" i="154" s="1"/>
  <c r="W143" i="154" s="1"/>
  <c r="Z143" i="154" s="1"/>
  <c r="AC143" i="154" s="1"/>
  <c r="S143" i="154"/>
  <c r="V143" i="154" s="1"/>
  <c r="Y143" i="154" s="1"/>
  <c r="AB143" i="154" s="1"/>
  <c r="S14" i="154"/>
  <c r="V14" i="154" s="1"/>
  <c r="Y14" i="154" s="1"/>
  <c r="AB14" i="154" s="1"/>
  <c r="Q14" i="154"/>
  <c r="T14" i="154" s="1"/>
  <c r="W14" i="154" s="1"/>
  <c r="Z14" i="154" s="1"/>
  <c r="AC14" i="154" s="1"/>
  <c r="S82" i="154"/>
  <c r="V82" i="154" s="1"/>
  <c r="Y82" i="154" s="1"/>
  <c r="AB82" i="154" s="1"/>
  <c r="Q82" i="154"/>
  <c r="T82" i="154" s="1"/>
  <c r="W82" i="154" s="1"/>
  <c r="Z82" i="154" s="1"/>
  <c r="AC82" i="154" s="1"/>
  <c r="S99" i="154"/>
  <c r="V99" i="154" s="1"/>
  <c r="Y99" i="154" s="1"/>
  <c r="AB99" i="154" s="1"/>
  <c r="S145" i="154"/>
  <c r="V145" i="154" s="1"/>
  <c r="Y145" i="154" s="1"/>
  <c r="AB145" i="154" s="1"/>
  <c r="S87" i="154"/>
  <c r="V87" i="154" s="1"/>
  <c r="Y87" i="154" s="1"/>
  <c r="AB87" i="154" s="1"/>
  <c r="Q87" i="154"/>
  <c r="T87" i="154" s="1"/>
  <c r="W87" i="154" s="1"/>
  <c r="Z87" i="154" s="1"/>
  <c r="AC87" i="154" s="1"/>
  <c r="S56" i="154"/>
  <c r="V56" i="154" s="1"/>
  <c r="Y56" i="154" s="1"/>
  <c r="AB56" i="154" s="1"/>
  <c r="Q56" i="154"/>
  <c r="T56" i="154" s="1"/>
  <c r="W56" i="154" s="1"/>
  <c r="Z56" i="154" s="1"/>
  <c r="AC56" i="154" s="1"/>
  <c r="R170" i="154"/>
  <c r="U170" i="154" s="1"/>
  <c r="X170" i="154" s="1"/>
  <c r="AA170" i="154" s="1"/>
  <c r="AD170" i="154" s="1"/>
  <c r="S170" i="154"/>
  <c r="V170" i="154" s="1"/>
  <c r="Y170" i="154" s="1"/>
  <c r="AB170" i="154" s="1"/>
  <c r="Q317" i="154"/>
  <c r="T317" i="154" s="1"/>
  <c r="W317" i="154" s="1"/>
  <c r="Z317" i="154" s="1"/>
  <c r="AC317" i="154" s="1"/>
  <c r="S317" i="154"/>
  <c r="V317" i="154" s="1"/>
  <c r="Y317" i="154" s="1"/>
  <c r="AB317" i="154" s="1"/>
  <c r="S85" i="154"/>
  <c r="V85" i="154" s="1"/>
  <c r="Y85" i="154" s="1"/>
  <c r="AB85" i="154" s="1"/>
  <c r="Q85" i="154"/>
  <c r="T85" i="154" s="1"/>
  <c r="W85" i="154" s="1"/>
  <c r="Z85" i="154" s="1"/>
  <c r="AC85" i="154" s="1"/>
  <c r="S19" i="154"/>
  <c r="V19" i="154" s="1"/>
  <c r="Y19" i="154" s="1"/>
  <c r="AB19" i="154" s="1"/>
  <c r="Q19" i="154"/>
  <c r="T19" i="154" s="1"/>
  <c r="W19" i="154" s="1"/>
  <c r="Z19" i="154" s="1"/>
  <c r="AC19" i="154" s="1"/>
  <c r="S83" i="154"/>
  <c r="V83" i="154" s="1"/>
  <c r="Y83" i="154" s="1"/>
  <c r="AB83" i="154" s="1"/>
  <c r="Q83" i="154"/>
  <c r="T83" i="154" s="1"/>
  <c r="W83" i="154" s="1"/>
  <c r="Z83" i="154" s="1"/>
  <c r="AC83" i="154" s="1"/>
  <c r="S18" i="154"/>
  <c r="V18" i="154" s="1"/>
  <c r="Y18" i="154" s="1"/>
  <c r="AB18" i="154" s="1"/>
  <c r="Q18" i="154"/>
  <c r="T18" i="154" s="1"/>
  <c r="W18" i="154" s="1"/>
  <c r="Z18" i="154" s="1"/>
  <c r="AC18" i="154" s="1"/>
  <c r="S8" i="154"/>
  <c r="V8" i="154" s="1"/>
  <c r="Y8" i="154" s="1"/>
  <c r="AB8" i="154" s="1"/>
  <c r="Q8" i="154"/>
  <c r="S17" i="154"/>
  <c r="V17" i="154" s="1"/>
  <c r="Y17" i="154" s="1"/>
  <c r="AB17" i="154" s="1"/>
  <c r="Q17" i="154"/>
  <c r="T17" i="154" s="1"/>
  <c r="W17" i="154" s="1"/>
  <c r="Z17" i="154" s="1"/>
  <c r="AC17" i="154" s="1"/>
  <c r="S95" i="154"/>
  <c r="V95" i="154" s="1"/>
  <c r="Y95" i="154" s="1"/>
  <c r="AB95" i="154" s="1"/>
  <c r="Q95" i="154"/>
  <c r="T95" i="154" s="1"/>
  <c r="W95" i="154" s="1"/>
  <c r="Z95" i="154" s="1"/>
  <c r="AC95" i="154" s="1"/>
  <c r="R147" i="154"/>
  <c r="U147" i="154" s="1"/>
  <c r="X147" i="154" s="1"/>
  <c r="AA147" i="154" s="1"/>
  <c r="AD147" i="154" s="1"/>
  <c r="S147" i="154"/>
  <c r="V147" i="154" s="1"/>
  <c r="Y147" i="154" s="1"/>
  <c r="AB147" i="154" s="1"/>
  <c r="Q154" i="154"/>
  <c r="T154" i="154" s="1"/>
  <c r="W154" i="154" s="1"/>
  <c r="Z154" i="154" s="1"/>
  <c r="AC154" i="154" s="1"/>
  <c r="S154" i="154"/>
  <c r="V154" i="154" s="1"/>
  <c r="Y154" i="154" s="1"/>
  <c r="AB154" i="154" s="1"/>
  <c r="Q207" i="154"/>
  <c r="T207" i="154" s="1"/>
  <c r="W207" i="154" s="1"/>
  <c r="Z207" i="154" s="1"/>
  <c r="AC207" i="154" s="1"/>
  <c r="S207" i="154"/>
  <c r="V207" i="154" s="1"/>
  <c r="Y207" i="154" s="1"/>
  <c r="AB207" i="154" s="1"/>
  <c r="Q212" i="154"/>
  <c r="T212" i="154" s="1"/>
  <c r="W212" i="154" s="1"/>
  <c r="Z212" i="154" s="1"/>
  <c r="AC212" i="154" s="1"/>
  <c r="S212" i="154"/>
  <c r="V212" i="154" s="1"/>
  <c r="Y212" i="154" s="1"/>
  <c r="AB212" i="154" s="1"/>
  <c r="Q222" i="154"/>
  <c r="T222" i="154" s="1"/>
  <c r="W222" i="154" s="1"/>
  <c r="Z222" i="154" s="1"/>
  <c r="AC222" i="154" s="1"/>
  <c r="S222" i="154"/>
  <c r="V222" i="154" s="1"/>
  <c r="Y222" i="154" s="1"/>
  <c r="AB222" i="154" s="1"/>
  <c r="Q255" i="154"/>
  <c r="T255" i="154" s="1"/>
  <c r="W255" i="154" s="1"/>
  <c r="Z255" i="154" s="1"/>
  <c r="AC255" i="154" s="1"/>
  <c r="S255" i="154"/>
  <c r="V255" i="154" s="1"/>
  <c r="Y255" i="154" s="1"/>
  <c r="AB255" i="154" s="1"/>
  <c r="Q369" i="154"/>
  <c r="T369" i="154" s="1"/>
  <c r="W369" i="154" s="1"/>
  <c r="Z369" i="154" s="1"/>
  <c r="AC369" i="154" s="1"/>
  <c r="S369" i="154"/>
  <c r="V369" i="154" s="1"/>
  <c r="Y369" i="154" s="1"/>
  <c r="AB369" i="154" s="1"/>
  <c r="Q386" i="154"/>
  <c r="T386" i="154" s="1"/>
  <c r="W386" i="154" s="1"/>
  <c r="Z386" i="154" s="1"/>
  <c r="AC386" i="154" s="1"/>
  <c r="S386" i="154"/>
  <c r="V386" i="154" s="1"/>
  <c r="Y386" i="154" s="1"/>
  <c r="AB386" i="154" s="1"/>
  <c r="Q378" i="154"/>
  <c r="T378" i="154" s="1"/>
  <c r="W378" i="154" s="1"/>
  <c r="Z378" i="154" s="1"/>
  <c r="AC378" i="154" s="1"/>
  <c r="S378" i="154"/>
  <c r="V378" i="154" s="1"/>
  <c r="Y378" i="154" s="1"/>
  <c r="AB378" i="154" s="1"/>
  <c r="Q406" i="154"/>
  <c r="T406" i="154" s="1"/>
  <c r="W406" i="154" s="1"/>
  <c r="Z406" i="154" s="1"/>
  <c r="AC406" i="154" s="1"/>
  <c r="S406" i="154"/>
  <c r="V406" i="154" s="1"/>
  <c r="Y406" i="154" s="1"/>
  <c r="AB406" i="154" s="1"/>
  <c r="S158" i="154"/>
  <c r="V158" i="154" s="1"/>
  <c r="Y158" i="154" s="1"/>
  <c r="AB158" i="154" s="1"/>
  <c r="Q259" i="154"/>
  <c r="T259" i="154" s="1"/>
  <c r="W259" i="154" s="1"/>
  <c r="Z259" i="154" s="1"/>
  <c r="AC259" i="154" s="1"/>
  <c r="S259" i="154"/>
  <c r="V259" i="154" s="1"/>
  <c r="Y259" i="154" s="1"/>
  <c r="AB259" i="154" s="1"/>
  <c r="R408" i="154"/>
  <c r="U408" i="154" s="1"/>
  <c r="X408" i="154" s="1"/>
  <c r="AA408" i="154" s="1"/>
  <c r="AD408" i="154" s="1"/>
  <c r="S408" i="154"/>
  <c r="V408" i="154" s="1"/>
  <c r="Y408" i="154" s="1"/>
  <c r="AB408" i="154" s="1"/>
  <c r="S105" i="154"/>
  <c r="V105" i="154" s="1"/>
  <c r="Y105" i="154" s="1"/>
  <c r="AB105" i="154" s="1"/>
  <c r="Q105" i="154"/>
  <c r="T105" i="154" s="1"/>
  <c r="W105" i="154" s="1"/>
  <c r="Z105" i="154" s="1"/>
  <c r="AC105" i="154" s="1"/>
  <c r="S86" i="154"/>
  <c r="V86" i="154" s="1"/>
  <c r="Y86" i="154" s="1"/>
  <c r="AB86" i="154" s="1"/>
  <c r="Q86" i="154"/>
  <c r="S32" i="154"/>
  <c r="V32" i="154" s="1"/>
  <c r="Y32" i="154" s="1"/>
  <c r="AB32" i="154" s="1"/>
  <c r="Q32" i="154"/>
  <c r="T32" i="154" s="1"/>
  <c r="W32" i="154" s="1"/>
  <c r="Z32" i="154" s="1"/>
  <c r="AC32" i="154" s="1"/>
  <c r="S11" i="154"/>
  <c r="V11" i="154" s="1"/>
  <c r="Y11" i="154" s="1"/>
  <c r="AB11" i="154" s="1"/>
  <c r="Q11" i="154"/>
  <c r="T11" i="154" s="1"/>
  <c r="W11" i="154" s="1"/>
  <c r="Z11" i="154" s="1"/>
  <c r="AC11" i="154" s="1"/>
  <c r="S69" i="154"/>
  <c r="V69" i="154" s="1"/>
  <c r="Y69" i="154" s="1"/>
  <c r="AB69" i="154" s="1"/>
  <c r="Q69" i="154"/>
  <c r="T69" i="154" s="1"/>
  <c r="W69" i="154" s="1"/>
  <c r="Z69" i="154" s="1"/>
  <c r="AC69" i="154" s="1"/>
  <c r="R199" i="154"/>
  <c r="U199" i="154" s="1"/>
  <c r="X199" i="154" s="1"/>
  <c r="AA199" i="154" s="1"/>
  <c r="AD199" i="154" s="1"/>
  <c r="S199" i="154"/>
  <c r="V199" i="154" s="1"/>
  <c r="Y199" i="154" s="1"/>
  <c r="AB199" i="154" s="1"/>
  <c r="Q276" i="154"/>
  <c r="T276" i="154" s="1"/>
  <c r="W276" i="154" s="1"/>
  <c r="Z276" i="154" s="1"/>
  <c r="AC276" i="154" s="1"/>
  <c r="S276" i="154"/>
  <c r="V276" i="154" s="1"/>
  <c r="Y276" i="154" s="1"/>
  <c r="AB276" i="154" s="1"/>
  <c r="Q268" i="154"/>
  <c r="T268" i="154" s="1"/>
  <c r="W268" i="154" s="1"/>
  <c r="Z268" i="154" s="1"/>
  <c r="AC268" i="154" s="1"/>
  <c r="S268" i="154"/>
  <c r="V268" i="154" s="1"/>
  <c r="Y268" i="154" s="1"/>
  <c r="AB268" i="154" s="1"/>
  <c r="Q389" i="154"/>
  <c r="T389" i="154" s="1"/>
  <c r="W389" i="154" s="1"/>
  <c r="Z389" i="154" s="1"/>
  <c r="AC389" i="154" s="1"/>
  <c r="S389" i="154"/>
  <c r="V389" i="154" s="1"/>
  <c r="Y389" i="154" s="1"/>
  <c r="AB389" i="154" s="1"/>
  <c r="Q399" i="154"/>
  <c r="T399" i="154" s="1"/>
  <c r="W399" i="154" s="1"/>
  <c r="Z399" i="154" s="1"/>
  <c r="AC399" i="154" s="1"/>
  <c r="S399" i="154"/>
  <c r="V399" i="154" s="1"/>
  <c r="Y399" i="154" s="1"/>
  <c r="AB399" i="154" s="1"/>
  <c r="Q391" i="154"/>
  <c r="T391" i="154" s="1"/>
  <c r="W391" i="154" s="1"/>
  <c r="Z391" i="154" s="1"/>
  <c r="AC391" i="154" s="1"/>
  <c r="S391" i="154"/>
  <c r="V391" i="154" s="1"/>
  <c r="Y391" i="154" s="1"/>
  <c r="AB391" i="154" s="1"/>
  <c r="Q419" i="154"/>
  <c r="T419" i="154" s="1"/>
  <c r="W419" i="154" s="1"/>
  <c r="Z419" i="154" s="1"/>
  <c r="AC419" i="154" s="1"/>
  <c r="S419" i="154"/>
  <c r="V419" i="154" s="1"/>
  <c r="Y419" i="154" s="1"/>
  <c r="AB419" i="154" s="1"/>
  <c r="S84" i="154"/>
  <c r="V84" i="154" s="1"/>
  <c r="Y84" i="154" s="1"/>
  <c r="AB84" i="154" s="1"/>
  <c r="S121" i="154"/>
  <c r="V121" i="154" s="1"/>
  <c r="Y121" i="154" s="1"/>
  <c r="AB121" i="154" s="1"/>
  <c r="Q121" i="154"/>
  <c r="Q131" i="154"/>
  <c r="T131" i="154" s="1"/>
  <c r="W131" i="154" s="1"/>
  <c r="Z131" i="154" s="1"/>
  <c r="AC131" i="154" s="1"/>
  <c r="S131" i="154"/>
  <c r="V131" i="154" s="1"/>
  <c r="Y131" i="154" s="1"/>
  <c r="AB131" i="154" s="1"/>
  <c r="Q206" i="154"/>
  <c r="T206" i="154" s="1"/>
  <c r="W206" i="154" s="1"/>
  <c r="Z206" i="154" s="1"/>
  <c r="AC206" i="154" s="1"/>
  <c r="S206" i="154"/>
  <c r="V206" i="154" s="1"/>
  <c r="Y206" i="154" s="1"/>
  <c r="AB206" i="154" s="1"/>
  <c r="R400" i="154"/>
  <c r="U400" i="154" s="1"/>
  <c r="X400" i="154" s="1"/>
  <c r="AA400" i="154" s="1"/>
  <c r="AD400" i="154" s="1"/>
  <c r="S400" i="154"/>
  <c r="V400" i="154" s="1"/>
  <c r="Y400" i="154" s="1"/>
  <c r="AB400" i="154" s="1"/>
  <c r="S31" i="154"/>
  <c r="V31" i="154" s="1"/>
  <c r="Y31" i="154" s="1"/>
  <c r="AB31" i="154" s="1"/>
  <c r="Q31" i="154"/>
  <c r="T31" i="154" s="1"/>
  <c r="W31" i="154" s="1"/>
  <c r="Z31" i="154" s="1"/>
  <c r="AC31" i="154" s="1"/>
  <c r="S20" i="154"/>
  <c r="V20" i="154" s="1"/>
  <c r="Y20" i="154" s="1"/>
  <c r="AB20" i="154" s="1"/>
  <c r="Q20" i="154"/>
  <c r="T20" i="154" s="1"/>
  <c r="W20" i="154" s="1"/>
  <c r="Z20" i="154" s="1"/>
  <c r="AC20" i="154" s="1"/>
  <c r="S10" i="154"/>
  <c r="V10" i="154" s="1"/>
  <c r="Y10" i="154" s="1"/>
  <c r="AB10" i="154" s="1"/>
  <c r="Q10" i="154"/>
  <c r="T10" i="154" s="1"/>
  <c r="W10" i="154" s="1"/>
  <c r="Z10" i="154" s="1"/>
  <c r="AC10" i="154" s="1"/>
  <c r="S43" i="154"/>
  <c r="V43" i="154" s="1"/>
  <c r="Y43" i="154" s="1"/>
  <c r="AB43" i="154" s="1"/>
  <c r="Q43" i="154"/>
  <c r="T43" i="154" s="1"/>
  <c r="W43" i="154" s="1"/>
  <c r="Z43" i="154" s="1"/>
  <c r="AC43" i="154" s="1"/>
  <c r="Q265" i="154"/>
  <c r="T265" i="154" s="1"/>
  <c r="W265" i="154" s="1"/>
  <c r="Z265" i="154" s="1"/>
  <c r="AC265" i="154" s="1"/>
  <c r="S265" i="154"/>
  <c r="V265" i="154" s="1"/>
  <c r="Y265" i="154" s="1"/>
  <c r="AB265" i="154" s="1"/>
  <c r="Q267" i="154"/>
  <c r="T267" i="154" s="1"/>
  <c r="W267" i="154" s="1"/>
  <c r="Z267" i="154" s="1"/>
  <c r="AC267" i="154" s="1"/>
  <c r="S267" i="154"/>
  <c r="V267" i="154" s="1"/>
  <c r="Y267" i="154" s="1"/>
  <c r="AB267" i="154" s="1"/>
  <c r="Q343" i="154"/>
  <c r="T343" i="154" s="1"/>
  <c r="W343" i="154" s="1"/>
  <c r="Z343" i="154" s="1"/>
  <c r="AC343" i="154" s="1"/>
  <c r="S343" i="154"/>
  <c r="V343" i="154" s="1"/>
  <c r="Y343" i="154" s="1"/>
  <c r="AB343" i="154" s="1"/>
  <c r="R335" i="154"/>
  <c r="U335" i="154" s="1"/>
  <c r="X335" i="154" s="1"/>
  <c r="AA335" i="154" s="1"/>
  <c r="AD335" i="154" s="1"/>
  <c r="S335" i="154"/>
  <c r="V335" i="154" s="1"/>
  <c r="Y335" i="154" s="1"/>
  <c r="AB335" i="154" s="1"/>
  <c r="Q380" i="154"/>
  <c r="T380" i="154" s="1"/>
  <c r="W380" i="154" s="1"/>
  <c r="Z380" i="154" s="1"/>
  <c r="AC380" i="154" s="1"/>
  <c r="S380" i="154"/>
  <c r="V380" i="154" s="1"/>
  <c r="Y380" i="154" s="1"/>
  <c r="AB380" i="154" s="1"/>
  <c r="Q418" i="154"/>
  <c r="T418" i="154" s="1"/>
  <c r="W418" i="154" s="1"/>
  <c r="Z418" i="154" s="1"/>
  <c r="AC418" i="154" s="1"/>
  <c r="S418" i="154"/>
  <c r="V418" i="154" s="1"/>
  <c r="Y418" i="154" s="1"/>
  <c r="AB418" i="154" s="1"/>
  <c r="S119" i="154"/>
  <c r="V119" i="154" s="1"/>
  <c r="Y119" i="154" s="1"/>
  <c r="AB119" i="154" s="1"/>
  <c r="Q33" i="154"/>
  <c r="T33" i="154" s="1"/>
  <c r="W33" i="154" s="1"/>
  <c r="Z33" i="154" s="1"/>
  <c r="AC33" i="154" s="1"/>
  <c r="S28" i="154"/>
  <c r="V28" i="154" s="1"/>
  <c r="Y28" i="154" s="1"/>
  <c r="AB28" i="154" s="1"/>
  <c r="Q28" i="154"/>
  <c r="T28" i="154" s="1"/>
  <c r="W28" i="154" s="1"/>
  <c r="Z28" i="154" s="1"/>
  <c r="AC28" i="154" s="1"/>
  <c r="Q392" i="154"/>
  <c r="T392" i="154" s="1"/>
  <c r="W392" i="154" s="1"/>
  <c r="Z392" i="154" s="1"/>
  <c r="AC392" i="154" s="1"/>
  <c r="S392" i="154"/>
  <c r="V392" i="154" s="1"/>
  <c r="Y392" i="154" s="1"/>
  <c r="AB392" i="154" s="1"/>
  <c r="Q142" i="154"/>
  <c r="T142" i="154" s="1"/>
  <c r="W142" i="154" s="1"/>
  <c r="Z142" i="154" s="1"/>
  <c r="AC142" i="154" s="1"/>
  <c r="S142" i="154"/>
  <c r="V142" i="154" s="1"/>
  <c r="Y142" i="154" s="1"/>
  <c r="AB142" i="154" s="1"/>
  <c r="Q165" i="154"/>
  <c r="T165" i="154" s="1"/>
  <c r="W165" i="154" s="1"/>
  <c r="Z165" i="154" s="1"/>
  <c r="AC165" i="154" s="1"/>
  <c r="S165" i="154"/>
  <c r="V165" i="154" s="1"/>
  <c r="Y165" i="154" s="1"/>
  <c r="AB165" i="154" s="1"/>
  <c r="Q193" i="154"/>
  <c r="T193" i="154" s="1"/>
  <c r="W193" i="154" s="1"/>
  <c r="Z193" i="154" s="1"/>
  <c r="AC193" i="154" s="1"/>
  <c r="S193" i="154"/>
  <c r="V193" i="154" s="1"/>
  <c r="Y193" i="154" s="1"/>
  <c r="AB193" i="154" s="1"/>
  <c r="Q223" i="154"/>
  <c r="T223" i="154" s="1"/>
  <c r="W223" i="154" s="1"/>
  <c r="Z223" i="154" s="1"/>
  <c r="AC223" i="154" s="1"/>
  <c r="S223" i="154"/>
  <c r="V223" i="154" s="1"/>
  <c r="Y223" i="154" s="1"/>
  <c r="AB223" i="154" s="1"/>
  <c r="Q256" i="154"/>
  <c r="T256" i="154" s="1"/>
  <c r="W256" i="154" s="1"/>
  <c r="Z256" i="154" s="1"/>
  <c r="AC256" i="154" s="1"/>
  <c r="S256" i="154"/>
  <c r="V256" i="154" s="1"/>
  <c r="Y256" i="154" s="1"/>
  <c r="AB256" i="154" s="1"/>
  <c r="Q304" i="154"/>
  <c r="T304" i="154" s="1"/>
  <c r="W304" i="154" s="1"/>
  <c r="Z304" i="154" s="1"/>
  <c r="AC304" i="154" s="1"/>
  <c r="S304" i="154"/>
  <c r="V304" i="154" s="1"/>
  <c r="Y304" i="154" s="1"/>
  <c r="AB304" i="154" s="1"/>
  <c r="Q334" i="154"/>
  <c r="T334" i="154" s="1"/>
  <c r="W334" i="154" s="1"/>
  <c r="Z334" i="154" s="1"/>
  <c r="AC334" i="154" s="1"/>
  <c r="S334" i="154"/>
  <c r="V334" i="154" s="1"/>
  <c r="Y334" i="154" s="1"/>
  <c r="AB334" i="154" s="1"/>
  <c r="Q379" i="154"/>
  <c r="T379" i="154" s="1"/>
  <c r="W379" i="154" s="1"/>
  <c r="Z379" i="154" s="1"/>
  <c r="AC379" i="154" s="1"/>
  <c r="S379" i="154"/>
  <c r="V379" i="154" s="1"/>
  <c r="Y379" i="154" s="1"/>
  <c r="AB379" i="154" s="1"/>
  <c r="Q417" i="154"/>
  <c r="T417" i="154" s="1"/>
  <c r="W417" i="154" s="1"/>
  <c r="Z417" i="154" s="1"/>
  <c r="AC417" i="154" s="1"/>
  <c r="S417" i="154"/>
  <c r="V417" i="154" s="1"/>
  <c r="Y417" i="154" s="1"/>
  <c r="AB417" i="154" s="1"/>
  <c r="S108" i="154"/>
  <c r="V108" i="154" s="1"/>
  <c r="Y108" i="154" s="1"/>
  <c r="AB108" i="154" s="1"/>
  <c r="S208" i="154"/>
  <c r="V208" i="154" s="1"/>
  <c r="Y208" i="154" s="1"/>
  <c r="AB208" i="154" s="1"/>
  <c r="S155" i="154"/>
  <c r="V155" i="154" s="1"/>
  <c r="Y155" i="154" s="1"/>
  <c r="AB155" i="154" s="1"/>
  <c r="S269" i="154"/>
  <c r="V269" i="154" s="1"/>
  <c r="Y269" i="154" s="1"/>
  <c r="AB269" i="154" s="1"/>
  <c r="S58" i="154"/>
  <c r="V58" i="154" s="1"/>
  <c r="Y58" i="154" s="1"/>
  <c r="AB58" i="154" s="1"/>
  <c r="S94" i="154"/>
  <c r="V94" i="154" s="1"/>
  <c r="Y94" i="154" s="1"/>
  <c r="AB94" i="154" s="1"/>
  <c r="S93" i="154"/>
  <c r="V93" i="154" s="1"/>
  <c r="Y93" i="154" s="1"/>
  <c r="AB93" i="154" s="1"/>
  <c r="S54" i="154"/>
  <c r="V54" i="154" s="1"/>
  <c r="Y54" i="154" s="1"/>
  <c r="AB54" i="154" s="1"/>
  <c r="S12" i="154"/>
  <c r="V12" i="154" s="1"/>
  <c r="Y12" i="154" s="1"/>
  <c r="AB12" i="154" s="1"/>
  <c r="S9" i="154"/>
  <c r="V9" i="154" s="1"/>
  <c r="Y9" i="154" s="1"/>
  <c r="AB9" i="154" s="1"/>
  <c r="S111" i="154"/>
  <c r="V111" i="154" s="1"/>
  <c r="Y111" i="154" s="1"/>
  <c r="AB111" i="154" s="1"/>
  <c r="S33" i="154"/>
  <c r="V33" i="154" s="1"/>
  <c r="Y33" i="154" s="1"/>
  <c r="AB33" i="154" s="1"/>
  <c r="S45" i="154"/>
  <c r="V45" i="154" s="1"/>
  <c r="Y45" i="154" s="1"/>
  <c r="AB45" i="154" s="1"/>
  <c r="I403" i="154"/>
  <c r="I314" i="154"/>
  <c r="I180" i="154"/>
  <c r="I309" i="154"/>
  <c r="I266" i="154"/>
  <c r="I279" i="154"/>
  <c r="I318" i="154"/>
  <c r="I153" i="154"/>
  <c r="I268" i="154"/>
  <c r="I291" i="154"/>
  <c r="I129" i="154"/>
  <c r="I141" i="154"/>
  <c r="I140" i="154"/>
  <c r="I392" i="154"/>
  <c r="I139" i="154"/>
  <c r="I276" i="154"/>
  <c r="I270" i="154"/>
  <c r="I316" i="154"/>
  <c r="I330" i="154"/>
  <c r="I137" i="154"/>
  <c r="I179" i="154"/>
  <c r="I353" i="154"/>
  <c r="I136" i="154"/>
  <c r="I290" i="154"/>
  <c r="I56" i="154"/>
  <c r="O56" i="154" s="1"/>
  <c r="I195" i="154"/>
  <c r="I351" i="154"/>
  <c r="I335" i="154"/>
  <c r="I54" i="154"/>
  <c r="I210" i="154"/>
  <c r="I348" i="154"/>
  <c r="I134" i="154"/>
  <c r="I69" i="154"/>
  <c r="O69" i="154" s="1"/>
  <c r="I232" i="154"/>
  <c r="I347" i="154"/>
  <c r="I133" i="154"/>
  <c r="I315" i="154"/>
  <c r="I306" i="154"/>
  <c r="I68" i="154"/>
  <c r="I231" i="154"/>
  <c r="I346" i="154"/>
  <c r="I132" i="154"/>
  <c r="I138" i="154"/>
  <c r="I118" i="154"/>
  <c r="I117" i="154"/>
  <c r="I277" i="154"/>
  <c r="R52" i="154"/>
  <c r="U52" i="154" s="1"/>
  <c r="X52" i="154" s="1"/>
  <c r="AA52" i="154" s="1"/>
  <c r="AD52" i="154" s="1"/>
  <c r="T37" i="154"/>
  <c r="W37" i="154" s="1"/>
  <c r="Z37" i="154" s="1"/>
  <c r="AC37" i="154" s="1"/>
  <c r="I391" i="154"/>
  <c r="I406" i="154"/>
  <c r="I29" i="154"/>
  <c r="I120" i="154"/>
  <c r="I305" i="154"/>
  <c r="I339" i="154"/>
  <c r="I394" i="154"/>
  <c r="I17" i="154"/>
  <c r="O17" i="154" s="1"/>
  <c r="I119" i="154"/>
  <c r="I278" i="154"/>
  <c r="I317" i="154"/>
  <c r="I338" i="154"/>
  <c r="I393" i="154"/>
  <c r="I42" i="154"/>
  <c r="I81" i="154"/>
  <c r="I167" i="154"/>
  <c r="I239" i="154"/>
  <c r="I289" i="154"/>
  <c r="I329" i="154"/>
  <c r="I345" i="154"/>
  <c r="I386" i="154"/>
  <c r="I43" i="154"/>
  <c r="O43" i="154" s="1"/>
  <c r="I166" i="154"/>
  <c r="I238" i="154"/>
  <c r="I288" i="154"/>
  <c r="I328" i="154"/>
  <c r="I361" i="154"/>
  <c r="I426" i="154"/>
  <c r="I80" i="154"/>
  <c r="I95" i="154"/>
  <c r="O95" i="154" s="1"/>
  <c r="I165" i="154"/>
  <c r="I237" i="154"/>
  <c r="I287" i="154"/>
  <c r="I292" i="154"/>
  <c r="I327" i="154"/>
  <c r="I360" i="154"/>
  <c r="I419" i="154"/>
  <c r="I82" i="154"/>
  <c r="O82" i="154" s="1"/>
  <c r="I41" i="154"/>
  <c r="I94" i="154"/>
  <c r="I164" i="154"/>
  <c r="I253" i="154"/>
  <c r="I283" i="154"/>
  <c r="I304" i="154"/>
  <c r="I326" i="154"/>
  <c r="I359" i="154"/>
  <c r="I40" i="154"/>
  <c r="I93" i="154"/>
  <c r="R77" i="154"/>
  <c r="U77" i="154" s="1"/>
  <c r="X77" i="154" s="1"/>
  <c r="AA77" i="154" s="1"/>
  <c r="AD77" i="154" s="1"/>
  <c r="I256" i="154"/>
  <c r="I296" i="154"/>
  <c r="I322" i="154"/>
  <c r="I358" i="154"/>
  <c r="I350" i="154"/>
  <c r="I404" i="154"/>
  <c r="I106" i="154"/>
  <c r="I255" i="154"/>
  <c r="I294" i="154"/>
  <c r="I341" i="154"/>
  <c r="I66" i="154"/>
  <c r="I30" i="154"/>
  <c r="O30" i="154" s="1"/>
  <c r="I121" i="154"/>
  <c r="O121" i="154" s="1"/>
  <c r="I254" i="154"/>
  <c r="I293" i="154"/>
  <c r="I340" i="154"/>
  <c r="I378" i="154"/>
  <c r="R13" i="154"/>
  <c r="U13" i="154" s="1"/>
  <c r="X13" i="154" s="1"/>
  <c r="AA13" i="154" s="1"/>
  <c r="AD13" i="154" s="1"/>
  <c r="T13" i="154"/>
  <c r="W13" i="154" s="1"/>
  <c r="Z13" i="154" s="1"/>
  <c r="AC13" i="154" s="1"/>
  <c r="T96" i="154"/>
  <c r="W96" i="154" s="1"/>
  <c r="Z96" i="154" s="1"/>
  <c r="AC96" i="154" s="1"/>
  <c r="R112" i="154"/>
  <c r="U112" i="154" s="1"/>
  <c r="X112" i="154" s="1"/>
  <c r="AA112" i="154" s="1"/>
  <c r="AD112" i="154" s="1"/>
  <c r="T102" i="154"/>
  <c r="W102" i="154" s="1"/>
  <c r="Z102" i="154" s="1"/>
  <c r="AC102" i="154" s="1"/>
  <c r="T29" i="154"/>
  <c r="W29" i="154" s="1"/>
  <c r="Z29" i="154" s="1"/>
  <c r="AC29" i="154" s="1"/>
  <c r="R29" i="154"/>
  <c r="U29" i="154" s="1"/>
  <c r="X29" i="154" s="1"/>
  <c r="AA29" i="154" s="1"/>
  <c r="AD29" i="154" s="1"/>
  <c r="R28" i="154"/>
  <c r="U28" i="154" s="1"/>
  <c r="X28" i="154" s="1"/>
  <c r="AA28" i="154" s="1"/>
  <c r="AD28" i="154" s="1"/>
  <c r="R22" i="154"/>
  <c r="U22" i="154" s="1"/>
  <c r="X22" i="154" s="1"/>
  <c r="AA22" i="154" s="1"/>
  <c r="AD22" i="154" s="1"/>
  <c r="I236" i="154"/>
  <c r="I235" i="154"/>
  <c r="I142" i="154"/>
  <c r="I200" i="154"/>
  <c r="I241" i="154"/>
  <c r="I258" i="154"/>
  <c r="I343" i="154"/>
  <c r="I363" i="154"/>
  <c r="I396" i="154"/>
  <c r="I55" i="154"/>
  <c r="I105" i="154"/>
  <c r="O105" i="154" s="1"/>
  <c r="T115" i="154"/>
  <c r="W115" i="154" s="1"/>
  <c r="Z115" i="154" s="1"/>
  <c r="AC115" i="154" s="1"/>
  <c r="I154" i="154"/>
  <c r="I197" i="154"/>
  <c r="I240" i="154"/>
  <c r="I267" i="154"/>
  <c r="I295" i="154"/>
  <c r="I342" i="154"/>
  <c r="I352" i="154"/>
  <c r="I362" i="154"/>
  <c r="I385" i="154"/>
  <c r="I395" i="154"/>
  <c r="I405" i="154"/>
  <c r="I336" i="154"/>
  <c r="I178" i="154"/>
  <c r="I223" i="154"/>
  <c r="I265" i="154"/>
  <c r="I275" i="154"/>
  <c r="I286" i="154"/>
  <c r="I303" i="154"/>
  <c r="I313" i="154"/>
  <c r="I324" i="154"/>
  <c r="I334" i="154"/>
  <c r="I357" i="154"/>
  <c r="I390" i="154"/>
  <c r="I413" i="154"/>
  <c r="I423" i="154"/>
  <c r="I209" i="154"/>
  <c r="I415" i="154"/>
  <c r="I177" i="154"/>
  <c r="I221" i="154"/>
  <c r="I264" i="154"/>
  <c r="I274" i="154"/>
  <c r="I285" i="154"/>
  <c r="I302" i="154"/>
  <c r="I312" i="154"/>
  <c r="I323" i="154"/>
  <c r="I333" i="154"/>
  <c r="I369" i="154"/>
  <c r="I402" i="154"/>
  <c r="I412" i="154"/>
  <c r="I422" i="154"/>
  <c r="I208" i="154"/>
  <c r="I381" i="154"/>
  <c r="I168" i="154"/>
  <c r="I193" i="154"/>
  <c r="I233" i="154"/>
  <c r="I263" i="154"/>
  <c r="I273" i="154"/>
  <c r="I284" i="154"/>
  <c r="I301" i="154"/>
  <c r="I311" i="154"/>
  <c r="I332" i="154"/>
  <c r="I368" i="154"/>
  <c r="I401" i="154"/>
  <c r="I411" i="154"/>
  <c r="I421" i="154"/>
  <c r="I428" i="154"/>
  <c r="R93" i="154"/>
  <c r="U93" i="154" s="1"/>
  <c r="X93" i="154" s="1"/>
  <c r="AA93" i="154" s="1"/>
  <c r="AD93" i="154" s="1"/>
  <c r="I191" i="154"/>
  <c r="I245" i="154"/>
  <c r="I262" i="154"/>
  <c r="I272" i="154"/>
  <c r="I300" i="154"/>
  <c r="I310" i="154"/>
  <c r="I321" i="154"/>
  <c r="I344" i="154"/>
  <c r="I367" i="154"/>
  <c r="I377" i="154"/>
  <c r="I400" i="154"/>
  <c r="I410" i="154"/>
  <c r="I420" i="154"/>
  <c r="I220" i="154"/>
  <c r="I337" i="154"/>
  <c r="I325" i="154"/>
  <c r="I190" i="154"/>
  <c r="I244" i="154"/>
  <c r="I261" i="154"/>
  <c r="I271" i="154"/>
  <c r="I282" i="154"/>
  <c r="I299" i="154"/>
  <c r="I320" i="154"/>
  <c r="I389" i="154"/>
  <c r="I399" i="154"/>
  <c r="I409" i="154"/>
  <c r="I16" i="154"/>
  <c r="I189" i="154"/>
  <c r="I243" i="154"/>
  <c r="I260" i="154"/>
  <c r="I281" i="154"/>
  <c r="I298" i="154"/>
  <c r="I308" i="154"/>
  <c r="I319" i="154"/>
  <c r="I388" i="154"/>
  <c r="I398" i="154"/>
  <c r="I408" i="154"/>
  <c r="I418" i="154"/>
  <c r="I155" i="154"/>
  <c r="I349" i="154"/>
  <c r="I427" i="154"/>
  <c r="I234" i="154"/>
  <c r="I414" i="154"/>
  <c r="I201" i="154"/>
  <c r="I397" i="154"/>
  <c r="R421" i="154"/>
  <c r="U421" i="154" s="1"/>
  <c r="X421" i="154" s="1"/>
  <c r="AA421" i="154" s="1"/>
  <c r="AD421" i="154" s="1"/>
  <c r="R384" i="154"/>
  <c r="U384" i="154" s="1"/>
  <c r="X384" i="154" s="1"/>
  <c r="AA384" i="154" s="1"/>
  <c r="AD384" i="154" s="1"/>
  <c r="R388" i="154"/>
  <c r="U388" i="154" s="1"/>
  <c r="X388" i="154" s="1"/>
  <c r="AA388" i="154" s="1"/>
  <c r="AD388" i="154" s="1"/>
  <c r="R401" i="154"/>
  <c r="U401" i="154" s="1"/>
  <c r="X401" i="154" s="1"/>
  <c r="AA401" i="154" s="1"/>
  <c r="AD401" i="154" s="1"/>
  <c r="R387" i="154"/>
  <c r="U387" i="154" s="1"/>
  <c r="X387" i="154" s="1"/>
  <c r="AA387" i="154" s="1"/>
  <c r="AD387" i="154" s="1"/>
  <c r="R386" i="154"/>
  <c r="U386" i="154" s="1"/>
  <c r="X386" i="154" s="1"/>
  <c r="AA386" i="154" s="1"/>
  <c r="AD386" i="154" s="1"/>
  <c r="R385" i="154"/>
  <c r="U385" i="154" s="1"/>
  <c r="X385" i="154" s="1"/>
  <c r="AA385" i="154" s="1"/>
  <c r="AD385" i="154" s="1"/>
  <c r="R411" i="154"/>
  <c r="U411" i="154" s="1"/>
  <c r="X411" i="154" s="1"/>
  <c r="AA411" i="154" s="1"/>
  <c r="AD411" i="154" s="1"/>
  <c r="R397" i="154"/>
  <c r="U397" i="154" s="1"/>
  <c r="X397" i="154" s="1"/>
  <c r="AA397" i="154" s="1"/>
  <c r="AD397" i="154" s="1"/>
  <c r="R393" i="154"/>
  <c r="U393" i="154" s="1"/>
  <c r="X393" i="154" s="1"/>
  <c r="AA393" i="154" s="1"/>
  <c r="AD393" i="154" s="1"/>
  <c r="R419" i="154"/>
  <c r="U419" i="154" s="1"/>
  <c r="X419" i="154" s="1"/>
  <c r="AA419" i="154" s="1"/>
  <c r="AD419" i="154" s="1"/>
  <c r="R405" i="154"/>
  <c r="U405" i="154" s="1"/>
  <c r="X405" i="154" s="1"/>
  <c r="AA405" i="154" s="1"/>
  <c r="AD405" i="154" s="1"/>
  <c r="R391" i="154"/>
  <c r="U391" i="154" s="1"/>
  <c r="X391" i="154" s="1"/>
  <c r="AA391" i="154" s="1"/>
  <c r="AD391" i="154" s="1"/>
  <c r="R427" i="154"/>
  <c r="U427" i="154" s="1"/>
  <c r="X427" i="154" s="1"/>
  <c r="AA427" i="154" s="1"/>
  <c r="AD427" i="154" s="1"/>
  <c r="R417" i="154"/>
  <c r="U417" i="154" s="1"/>
  <c r="X417" i="154" s="1"/>
  <c r="AA417" i="154" s="1"/>
  <c r="AD417" i="154" s="1"/>
  <c r="R404" i="154"/>
  <c r="U404" i="154" s="1"/>
  <c r="X404" i="154" s="1"/>
  <c r="AA404" i="154" s="1"/>
  <c r="AD404" i="154" s="1"/>
  <c r="R396" i="154"/>
  <c r="U396" i="154" s="1"/>
  <c r="X396" i="154" s="1"/>
  <c r="AA396" i="154" s="1"/>
  <c r="AD396" i="154" s="1"/>
  <c r="R403" i="154"/>
  <c r="U403" i="154" s="1"/>
  <c r="X403" i="154" s="1"/>
  <c r="AA403" i="154" s="1"/>
  <c r="AD403" i="154" s="1"/>
  <c r="R406" i="154"/>
  <c r="U406" i="154" s="1"/>
  <c r="X406" i="154" s="1"/>
  <c r="AA406" i="154" s="1"/>
  <c r="AD406" i="154" s="1"/>
  <c r="R383" i="154"/>
  <c r="U383" i="154" s="1"/>
  <c r="X383" i="154" s="1"/>
  <c r="AA383" i="154" s="1"/>
  <c r="AD383" i="154" s="1"/>
  <c r="R380" i="154"/>
  <c r="U380" i="154" s="1"/>
  <c r="X380" i="154" s="1"/>
  <c r="AA380" i="154" s="1"/>
  <c r="AD380" i="154" s="1"/>
  <c r="R382" i="154"/>
  <c r="U382" i="154" s="1"/>
  <c r="X382" i="154" s="1"/>
  <c r="AA382" i="154" s="1"/>
  <c r="AD382" i="154" s="1"/>
  <c r="R425" i="154"/>
  <c r="U425" i="154" s="1"/>
  <c r="X425" i="154" s="1"/>
  <c r="AA425" i="154" s="1"/>
  <c r="AD425" i="154" s="1"/>
  <c r="R426" i="154"/>
  <c r="U426" i="154" s="1"/>
  <c r="X426" i="154" s="1"/>
  <c r="AA426" i="154" s="1"/>
  <c r="AD426" i="154" s="1"/>
  <c r="R409" i="154"/>
  <c r="U409" i="154" s="1"/>
  <c r="X409" i="154" s="1"/>
  <c r="AA409" i="154" s="1"/>
  <c r="AD409" i="154" s="1"/>
  <c r="R379" i="154"/>
  <c r="U379" i="154" s="1"/>
  <c r="X379" i="154" s="1"/>
  <c r="AA379" i="154" s="1"/>
  <c r="AD379" i="154" s="1"/>
  <c r="R410" i="154"/>
  <c r="U410" i="154" s="1"/>
  <c r="X410" i="154" s="1"/>
  <c r="AA410" i="154" s="1"/>
  <c r="AD410" i="154" s="1"/>
  <c r="R378" i="154"/>
  <c r="U378" i="154" s="1"/>
  <c r="X378" i="154" s="1"/>
  <c r="AA378" i="154" s="1"/>
  <c r="AD378" i="154" s="1"/>
  <c r="R407" i="154"/>
  <c r="U407" i="154" s="1"/>
  <c r="X407" i="154" s="1"/>
  <c r="AA407" i="154" s="1"/>
  <c r="AD407" i="154" s="1"/>
  <c r="R402" i="154"/>
  <c r="U402" i="154" s="1"/>
  <c r="X402" i="154" s="1"/>
  <c r="AA402" i="154" s="1"/>
  <c r="AD402" i="154" s="1"/>
  <c r="R418" i="154"/>
  <c r="U418" i="154" s="1"/>
  <c r="X418" i="154" s="1"/>
  <c r="AA418" i="154" s="1"/>
  <c r="AD418" i="154" s="1"/>
  <c r="R381" i="154"/>
  <c r="U381" i="154" s="1"/>
  <c r="X381" i="154" s="1"/>
  <c r="AA381" i="154" s="1"/>
  <c r="AD381" i="154" s="1"/>
  <c r="R415" i="154"/>
  <c r="U415" i="154" s="1"/>
  <c r="X415" i="154" s="1"/>
  <c r="AA415" i="154" s="1"/>
  <c r="AD415" i="154" s="1"/>
  <c r="R424" i="154"/>
  <c r="U424" i="154" s="1"/>
  <c r="X424" i="154" s="1"/>
  <c r="AA424" i="154" s="1"/>
  <c r="AD424" i="154" s="1"/>
  <c r="R412" i="154"/>
  <c r="U412" i="154" s="1"/>
  <c r="X412" i="154" s="1"/>
  <c r="AA412" i="154" s="1"/>
  <c r="AD412" i="154" s="1"/>
  <c r="R390" i="154"/>
  <c r="U390" i="154" s="1"/>
  <c r="X390" i="154" s="1"/>
  <c r="AA390" i="154" s="1"/>
  <c r="AD390" i="154" s="1"/>
  <c r="S377" i="154"/>
  <c r="V377" i="154" s="1"/>
  <c r="Y377" i="154" s="1"/>
  <c r="AB377" i="154" s="1"/>
  <c r="R377" i="154"/>
  <c r="U377" i="154" s="1"/>
  <c r="X377" i="154" s="1"/>
  <c r="AA377" i="154" s="1"/>
  <c r="AD377" i="154" s="1"/>
  <c r="R389" i="154"/>
  <c r="U389" i="154" s="1"/>
  <c r="X389" i="154" s="1"/>
  <c r="AA389" i="154" s="1"/>
  <c r="AD389" i="154" s="1"/>
  <c r="R392" i="154"/>
  <c r="U392" i="154" s="1"/>
  <c r="X392" i="154" s="1"/>
  <c r="AA392" i="154" s="1"/>
  <c r="AD392" i="154" s="1"/>
  <c r="R413" i="154"/>
  <c r="U413" i="154" s="1"/>
  <c r="X413" i="154" s="1"/>
  <c r="AA413" i="154" s="1"/>
  <c r="AD413" i="154" s="1"/>
  <c r="R399" i="154"/>
  <c r="U399" i="154" s="1"/>
  <c r="X399" i="154" s="1"/>
  <c r="AA399" i="154" s="1"/>
  <c r="AD399" i="154" s="1"/>
  <c r="R395" i="154"/>
  <c r="U395" i="154" s="1"/>
  <c r="X395" i="154" s="1"/>
  <c r="AA395" i="154" s="1"/>
  <c r="AD395" i="154" s="1"/>
  <c r="R416" i="154"/>
  <c r="U416" i="154" s="1"/>
  <c r="X416" i="154" s="1"/>
  <c r="AA416" i="154" s="1"/>
  <c r="AD416" i="154" s="1"/>
  <c r="R420" i="154"/>
  <c r="U420" i="154" s="1"/>
  <c r="X420" i="154" s="1"/>
  <c r="AA420" i="154" s="1"/>
  <c r="AD420" i="154" s="1"/>
  <c r="R414" i="154"/>
  <c r="U414" i="154" s="1"/>
  <c r="X414" i="154" s="1"/>
  <c r="AA414" i="154" s="1"/>
  <c r="AD414" i="154" s="1"/>
  <c r="R428" i="154"/>
  <c r="U428" i="154" s="1"/>
  <c r="X428" i="154" s="1"/>
  <c r="AA428" i="154" s="1"/>
  <c r="AD428" i="154" s="1"/>
  <c r="R394" i="154"/>
  <c r="U394" i="154" s="1"/>
  <c r="X394" i="154" s="1"/>
  <c r="AA394" i="154" s="1"/>
  <c r="AD394" i="154" s="1"/>
  <c r="R398" i="154"/>
  <c r="U398" i="154" s="1"/>
  <c r="X398" i="154" s="1"/>
  <c r="AA398" i="154" s="1"/>
  <c r="AD398" i="154" s="1"/>
  <c r="R423" i="154"/>
  <c r="U423" i="154" s="1"/>
  <c r="X423" i="154" s="1"/>
  <c r="AA423" i="154" s="1"/>
  <c r="AD423" i="154" s="1"/>
  <c r="R422" i="154"/>
  <c r="U422" i="154" s="1"/>
  <c r="X422" i="154" s="1"/>
  <c r="AA422" i="154" s="1"/>
  <c r="AD422" i="154" s="1"/>
  <c r="R320" i="154"/>
  <c r="U320" i="154" s="1"/>
  <c r="X320" i="154" s="1"/>
  <c r="AA320" i="154" s="1"/>
  <c r="AD320" i="154" s="1"/>
  <c r="R306" i="154"/>
  <c r="U306" i="154" s="1"/>
  <c r="X306" i="154" s="1"/>
  <c r="AA306" i="154" s="1"/>
  <c r="AD306" i="154" s="1"/>
  <c r="R272" i="154"/>
  <c r="U272" i="154" s="1"/>
  <c r="X272" i="154" s="1"/>
  <c r="AA272" i="154" s="1"/>
  <c r="AD272" i="154" s="1"/>
  <c r="R260" i="154"/>
  <c r="U260" i="154" s="1"/>
  <c r="X260" i="154" s="1"/>
  <c r="AA260" i="154" s="1"/>
  <c r="AD260" i="154" s="1"/>
  <c r="R265" i="154"/>
  <c r="U265" i="154" s="1"/>
  <c r="X265" i="154" s="1"/>
  <c r="AA265" i="154" s="1"/>
  <c r="AD265" i="154" s="1"/>
  <c r="R334" i="154"/>
  <c r="U334" i="154" s="1"/>
  <c r="X334" i="154" s="1"/>
  <c r="AA334" i="154" s="1"/>
  <c r="AD334" i="154" s="1"/>
  <c r="R354" i="154"/>
  <c r="U354" i="154" s="1"/>
  <c r="X354" i="154" s="1"/>
  <c r="AA354" i="154" s="1"/>
  <c r="AD354" i="154" s="1"/>
  <c r="R324" i="154"/>
  <c r="U324" i="154" s="1"/>
  <c r="X324" i="154" s="1"/>
  <c r="AA324" i="154" s="1"/>
  <c r="AD324" i="154" s="1"/>
  <c r="R319" i="154"/>
  <c r="U319" i="154" s="1"/>
  <c r="X319" i="154" s="1"/>
  <c r="AA319" i="154" s="1"/>
  <c r="AD319" i="154" s="1"/>
  <c r="R263" i="154"/>
  <c r="U263" i="154" s="1"/>
  <c r="X263" i="154" s="1"/>
  <c r="AA263" i="154" s="1"/>
  <c r="AD263" i="154" s="1"/>
  <c r="R309" i="154"/>
  <c r="U309" i="154" s="1"/>
  <c r="X309" i="154" s="1"/>
  <c r="AA309" i="154" s="1"/>
  <c r="AD309" i="154" s="1"/>
  <c r="R328" i="154"/>
  <c r="U328" i="154" s="1"/>
  <c r="X328" i="154" s="1"/>
  <c r="AA328" i="154" s="1"/>
  <c r="AD328" i="154" s="1"/>
  <c r="R262" i="154"/>
  <c r="U262" i="154" s="1"/>
  <c r="X262" i="154" s="1"/>
  <c r="AA262" i="154" s="1"/>
  <c r="AD262" i="154" s="1"/>
  <c r="R323" i="154"/>
  <c r="U323" i="154" s="1"/>
  <c r="X323" i="154" s="1"/>
  <c r="AA323" i="154" s="1"/>
  <c r="AD323" i="154" s="1"/>
  <c r="I144" i="154"/>
  <c r="I203" i="154"/>
  <c r="I213" i="154"/>
  <c r="I143" i="154"/>
  <c r="I192" i="154"/>
  <c r="I202" i="154"/>
  <c r="I212" i="154"/>
  <c r="I222" i="154"/>
  <c r="I199" i="154"/>
  <c r="I196" i="154"/>
  <c r="I151" i="154"/>
  <c r="I161" i="154"/>
  <c r="I174" i="154"/>
  <c r="I184" i="154"/>
  <c r="I207" i="154"/>
  <c r="I230" i="154"/>
  <c r="I176" i="154"/>
  <c r="I150" i="154"/>
  <c r="I160" i="154"/>
  <c r="I173" i="154"/>
  <c r="I183" i="154"/>
  <c r="I219" i="154"/>
  <c r="I229" i="154"/>
  <c r="I163" i="154"/>
  <c r="I149" i="154"/>
  <c r="I159" i="154"/>
  <c r="I172" i="154"/>
  <c r="I182" i="154"/>
  <c r="I218" i="154"/>
  <c r="I228" i="154"/>
  <c r="I152" i="154"/>
  <c r="I185" i="154"/>
  <c r="I148" i="154"/>
  <c r="I158" i="154"/>
  <c r="I171" i="154"/>
  <c r="I194" i="154"/>
  <c r="I217" i="154"/>
  <c r="I227" i="154"/>
  <c r="I187" i="154"/>
  <c r="I147" i="154"/>
  <c r="I157" i="154"/>
  <c r="I170" i="154"/>
  <c r="I216" i="154"/>
  <c r="I226" i="154"/>
  <c r="I198" i="154"/>
  <c r="I186" i="154"/>
  <c r="I146" i="154"/>
  <c r="I156" i="154"/>
  <c r="I169" i="154"/>
  <c r="I211" i="154"/>
  <c r="I188" i="154"/>
  <c r="I162" i="154"/>
  <c r="I175" i="154"/>
  <c r="R254" i="154"/>
  <c r="U254" i="154" s="1"/>
  <c r="X254" i="154" s="1"/>
  <c r="AA254" i="154" s="1"/>
  <c r="AD254" i="154" s="1"/>
  <c r="R298" i="154"/>
  <c r="U298" i="154" s="1"/>
  <c r="X298" i="154" s="1"/>
  <c r="AA298" i="154" s="1"/>
  <c r="AD298" i="154" s="1"/>
  <c r="R270" i="154"/>
  <c r="U270" i="154" s="1"/>
  <c r="X270" i="154" s="1"/>
  <c r="AA270" i="154" s="1"/>
  <c r="AD270" i="154" s="1"/>
  <c r="S253" i="154"/>
  <c r="V253" i="154" s="1"/>
  <c r="Y253" i="154" s="1"/>
  <c r="AB253" i="154" s="1"/>
  <c r="R253" i="154"/>
  <c r="U253" i="154" s="1"/>
  <c r="X253" i="154" s="1"/>
  <c r="AA253" i="154" s="1"/>
  <c r="AD253" i="154" s="1"/>
  <c r="R316" i="154"/>
  <c r="U316" i="154" s="1"/>
  <c r="X316" i="154" s="1"/>
  <c r="AA316" i="154" s="1"/>
  <c r="AD316" i="154" s="1"/>
  <c r="R361" i="154"/>
  <c r="U361" i="154" s="1"/>
  <c r="X361" i="154" s="1"/>
  <c r="AA361" i="154" s="1"/>
  <c r="AD361" i="154" s="1"/>
  <c r="R293" i="154"/>
  <c r="U293" i="154" s="1"/>
  <c r="X293" i="154" s="1"/>
  <c r="AA293" i="154" s="1"/>
  <c r="AD293" i="154" s="1"/>
  <c r="R295" i="154"/>
  <c r="U295" i="154" s="1"/>
  <c r="X295" i="154" s="1"/>
  <c r="AA295" i="154" s="1"/>
  <c r="AD295" i="154" s="1"/>
  <c r="R325" i="154"/>
  <c r="U325" i="154" s="1"/>
  <c r="X325" i="154" s="1"/>
  <c r="AA325" i="154" s="1"/>
  <c r="AD325" i="154" s="1"/>
  <c r="R321" i="154"/>
  <c r="U321" i="154" s="1"/>
  <c r="X321" i="154" s="1"/>
  <c r="AA321" i="154" s="1"/>
  <c r="AD321" i="154" s="1"/>
  <c r="R366" i="154"/>
  <c r="U366" i="154" s="1"/>
  <c r="X366" i="154" s="1"/>
  <c r="AA366" i="154" s="1"/>
  <c r="AD366" i="154" s="1"/>
  <c r="R271" i="154"/>
  <c r="U271" i="154" s="1"/>
  <c r="X271" i="154" s="1"/>
  <c r="AA271" i="154" s="1"/>
  <c r="AD271" i="154" s="1"/>
  <c r="R318" i="154"/>
  <c r="U318" i="154" s="1"/>
  <c r="X318" i="154" s="1"/>
  <c r="AA318" i="154" s="1"/>
  <c r="AD318" i="154" s="1"/>
  <c r="R278" i="154"/>
  <c r="U278" i="154" s="1"/>
  <c r="X278" i="154" s="1"/>
  <c r="AA278" i="154" s="1"/>
  <c r="AD278" i="154" s="1"/>
  <c r="R341" i="154"/>
  <c r="U341" i="154" s="1"/>
  <c r="X341" i="154" s="1"/>
  <c r="AA341" i="154" s="1"/>
  <c r="AD341" i="154" s="1"/>
  <c r="R313" i="154"/>
  <c r="U313" i="154" s="1"/>
  <c r="X313" i="154" s="1"/>
  <c r="AA313" i="154" s="1"/>
  <c r="AD313" i="154" s="1"/>
  <c r="R279" i="154"/>
  <c r="U279" i="154" s="1"/>
  <c r="X279" i="154" s="1"/>
  <c r="AA279" i="154" s="1"/>
  <c r="AD279" i="154" s="1"/>
  <c r="R290" i="154"/>
  <c r="U290" i="154" s="1"/>
  <c r="X290" i="154" s="1"/>
  <c r="AA290" i="154" s="1"/>
  <c r="AD290" i="154" s="1"/>
  <c r="R255" i="154"/>
  <c r="U255" i="154" s="1"/>
  <c r="X255" i="154" s="1"/>
  <c r="AA255" i="154" s="1"/>
  <c r="AD255" i="154" s="1"/>
  <c r="R284" i="154"/>
  <c r="U284" i="154" s="1"/>
  <c r="X284" i="154" s="1"/>
  <c r="AA284" i="154" s="1"/>
  <c r="AD284" i="154" s="1"/>
  <c r="R350" i="154"/>
  <c r="U350" i="154" s="1"/>
  <c r="X350" i="154" s="1"/>
  <c r="AA350" i="154" s="1"/>
  <c r="AD350" i="154" s="1"/>
  <c r="R362" i="154"/>
  <c r="U362" i="154" s="1"/>
  <c r="X362" i="154" s="1"/>
  <c r="AA362" i="154" s="1"/>
  <c r="AD362" i="154" s="1"/>
  <c r="R301" i="154"/>
  <c r="U301" i="154" s="1"/>
  <c r="X301" i="154" s="1"/>
  <c r="AA301" i="154" s="1"/>
  <c r="AD301" i="154" s="1"/>
  <c r="R305" i="154"/>
  <c r="U305" i="154" s="1"/>
  <c r="X305" i="154" s="1"/>
  <c r="AA305" i="154" s="1"/>
  <c r="AD305" i="154" s="1"/>
  <c r="R317" i="154"/>
  <c r="U317" i="154" s="1"/>
  <c r="X317" i="154" s="1"/>
  <c r="AA317" i="154" s="1"/>
  <c r="AD317" i="154" s="1"/>
  <c r="R326" i="154"/>
  <c r="U326" i="154" s="1"/>
  <c r="X326" i="154" s="1"/>
  <c r="AA326" i="154" s="1"/>
  <c r="AD326" i="154" s="1"/>
  <c r="R358" i="154"/>
  <c r="U358" i="154" s="1"/>
  <c r="X358" i="154" s="1"/>
  <c r="AA358" i="154" s="1"/>
  <c r="AD358" i="154" s="1"/>
  <c r="R288" i="154"/>
  <c r="U288" i="154" s="1"/>
  <c r="X288" i="154" s="1"/>
  <c r="AA288" i="154" s="1"/>
  <c r="AD288" i="154" s="1"/>
  <c r="R339" i="154"/>
  <c r="U339" i="154" s="1"/>
  <c r="X339" i="154" s="1"/>
  <c r="AA339" i="154" s="1"/>
  <c r="AD339" i="154" s="1"/>
  <c r="R264" i="154"/>
  <c r="U264" i="154" s="1"/>
  <c r="X264" i="154" s="1"/>
  <c r="AA264" i="154" s="1"/>
  <c r="AD264" i="154" s="1"/>
  <c r="R266" i="154"/>
  <c r="U266" i="154" s="1"/>
  <c r="X266" i="154" s="1"/>
  <c r="AA266" i="154" s="1"/>
  <c r="AD266" i="154" s="1"/>
  <c r="R268" i="154"/>
  <c r="U268" i="154" s="1"/>
  <c r="X268" i="154" s="1"/>
  <c r="AA268" i="154" s="1"/>
  <c r="AD268" i="154" s="1"/>
  <c r="R282" i="154"/>
  <c r="U282" i="154" s="1"/>
  <c r="X282" i="154" s="1"/>
  <c r="AA282" i="154" s="1"/>
  <c r="AD282" i="154" s="1"/>
  <c r="R331" i="154"/>
  <c r="U331" i="154" s="1"/>
  <c r="X331" i="154" s="1"/>
  <c r="AA331" i="154" s="1"/>
  <c r="AD331" i="154" s="1"/>
  <c r="R359" i="154"/>
  <c r="U359" i="154" s="1"/>
  <c r="X359" i="154" s="1"/>
  <c r="AA359" i="154" s="1"/>
  <c r="AD359" i="154" s="1"/>
  <c r="R292" i="154"/>
  <c r="U292" i="154" s="1"/>
  <c r="X292" i="154" s="1"/>
  <c r="AA292" i="154" s="1"/>
  <c r="AD292" i="154" s="1"/>
  <c r="R289" i="154"/>
  <c r="U289" i="154" s="1"/>
  <c r="X289" i="154" s="1"/>
  <c r="AA289" i="154" s="1"/>
  <c r="AD289" i="154" s="1"/>
  <c r="R287" i="154"/>
  <c r="U287" i="154" s="1"/>
  <c r="X287" i="154" s="1"/>
  <c r="AA287" i="154" s="1"/>
  <c r="AD287" i="154" s="1"/>
  <c r="R277" i="154"/>
  <c r="U277" i="154" s="1"/>
  <c r="X277" i="154" s="1"/>
  <c r="AA277" i="154" s="1"/>
  <c r="AD277" i="154" s="1"/>
  <c r="R256" i="154"/>
  <c r="U256" i="154" s="1"/>
  <c r="X256" i="154" s="1"/>
  <c r="AA256" i="154" s="1"/>
  <c r="AD256" i="154" s="1"/>
  <c r="R310" i="154"/>
  <c r="U310" i="154" s="1"/>
  <c r="X310" i="154" s="1"/>
  <c r="AA310" i="154" s="1"/>
  <c r="AD310" i="154" s="1"/>
  <c r="R312" i="154"/>
  <c r="U312" i="154" s="1"/>
  <c r="X312" i="154" s="1"/>
  <c r="AA312" i="154" s="1"/>
  <c r="AD312" i="154" s="1"/>
  <c r="R286" i="154"/>
  <c r="U286" i="154" s="1"/>
  <c r="X286" i="154" s="1"/>
  <c r="AA286" i="154" s="1"/>
  <c r="AD286" i="154" s="1"/>
  <c r="R307" i="154"/>
  <c r="U307" i="154" s="1"/>
  <c r="X307" i="154" s="1"/>
  <c r="AA307" i="154" s="1"/>
  <c r="AD307" i="154" s="1"/>
  <c r="R345" i="154"/>
  <c r="U345" i="154" s="1"/>
  <c r="X345" i="154" s="1"/>
  <c r="AA345" i="154" s="1"/>
  <c r="AD345" i="154" s="1"/>
  <c r="R327" i="154"/>
  <c r="U327" i="154" s="1"/>
  <c r="X327" i="154" s="1"/>
  <c r="AA327" i="154" s="1"/>
  <c r="AD327" i="154" s="1"/>
  <c r="R269" i="154"/>
  <c r="U269" i="154" s="1"/>
  <c r="X269" i="154" s="1"/>
  <c r="AA269" i="154" s="1"/>
  <c r="AD269" i="154" s="1"/>
  <c r="R283" i="154"/>
  <c r="U283" i="154" s="1"/>
  <c r="X283" i="154" s="1"/>
  <c r="AA283" i="154" s="1"/>
  <c r="AD283" i="154" s="1"/>
  <c r="R303" i="154"/>
  <c r="U303" i="154" s="1"/>
  <c r="X303" i="154" s="1"/>
  <c r="AA303" i="154" s="1"/>
  <c r="AD303" i="154" s="1"/>
  <c r="R333" i="154"/>
  <c r="U333" i="154" s="1"/>
  <c r="X333" i="154" s="1"/>
  <c r="AA333" i="154" s="1"/>
  <c r="AD333" i="154" s="1"/>
  <c r="R349" i="154"/>
  <c r="U349" i="154" s="1"/>
  <c r="X349" i="154" s="1"/>
  <c r="AA349" i="154" s="1"/>
  <c r="AD349" i="154" s="1"/>
  <c r="R352" i="154"/>
  <c r="U352" i="154" s="1"/>
  <c r="X352" i="154" s="1"/>
  <c r="AA352" i="154" s="1"/>
  <c r="AD352" i="154" s="1"/>
  <c r="R346" i="154"/>
  <c r="U346" i="154" s="1"/>
  <c r="X346" i="154" s="1"/>
  <c r="AA346" i="154" s="1"/>
  <c r="AD346" i="154" s="1"/>
  <c r="R357" i="154"/>
  <c r="U357" i="154" s="1"/>
  <c r="X357" i="154" s="1"/>
  <c r="AA357" i="154" s="1"/>
  <c r="AD357" i="154" s="1"/>
  <c r="R259" i="154"/>
  <c r="U259" i="154" s="1"/>
  <c r="X259" i="154" s="1"/>
  <c r="AA259" i="154" s="1"/>
  <c r="AD259" i="154" s="1"/>
  <c r="R267" i="154"/>
  <c r="U267" i="154" s="1"/>
  <c r="X267" i="154" s="1"/>
  <c r="AA267" i="154" s="1"/>
  <c r="AD267" i="154" s="1"/>
  <c r="R311" i="154"/>
  <c r="U311" i="154" s="1"/>
  <c r="X311" i="154" s="1"/>
  <c r="AA311" i="154" s="1"/>
  <c r="AD311" i="154" s="1"/>
  <c r="R315" i="154"/>
  <c r="U315" i="154" s="1"/>
  <c r="X315" i="154" s="1"/>
  <c r="AA315" i="154" s="1"/>
  <c r="AD315" i="154" s="1"/>
  <c r="R337" i="154"/>
  <c r="U337" i="154" s="1"/>
  <c r="X337" i="154" s="1"/>
  <c r="AA337" i="154" s="1"/>
  <c r="AD337" i="154" s="1"/>
  <c r="R291" i="154"/>
  <c r="U291" i="154" s="1"/>
  <c r="X291" i="154" s="1"/>
  <c r="AA291" i="154" s="1"/>
  <c r="AD291" i="154" s="1"/>
  <c r="R275" i="154"/>
  <c r="U275" i="154" s="1"/>
  <c r="X275" i="154" s="1"/>
  <c r="AA275" i="154" s="1"/>
  <c r="AD275" i="154" s="1"/>
  <c r="R280" i="154"/>
  <c r="U280" i="154" s="1"/>
  <c r="X280" i="154" s="1"/>
  <c r="AA280" i="154" s="1"/>
  <c r="AD280" i="154" s="1"/>
  <c r="R258" i="154"/>
  <c r="U258" i="154" s="1"/>
  <c r="X258" i="154" s="1"/>
  <c r="AA258" i="154" s="1"/>
  <c r="AD258" i="154" s="1"/>
  <c r="R297" i="154"/>
  <c r="U297" i="154" s="1"/>
  <c r="X297" i="154" s="1"/>
  <c r="AA297" i="154" s="1"/>
  <c r="AD297" i="154" s="1"/>
  <c r="R304" i="154"/>
  <c r="U304" i="154" s="1"/>
  <c r="X304" i="154" s="1"/>
  <c r="AA304" i="154" s="1"/>
  <c r="AD304" i="154" s="1"/>
  <c r="R342" i="154"/>
  <c r="U342" i="154" s="1"/>
  <c r="X342" i="154" s="1"/>
  <c r="AA342" i="154" s="1"/>
  <c r="AD342" i="154" s="1"/>
  <c r="R330" i="154"/>
  <c r="U330" i="154" s="1"/>
  <c r="X330" i="154" s="1"/>
  <c r="AA330" i="154" s="1"/>
  <c r="AD330" i="154" s="1"/>
  <c r="R273" i="154"/>
  <c r="U273" i="154" s="1"/>
  <c r="X273" i="154" s="1"/>
  <c r="AA273" i="154" s="1"/>
  <c r="AD273" i="154" s="1"/>
  <c r="R314" i="154"/>
  <c r="U314" i="154" s="1"/>
  <c r="X314" i="154" s="1"/>
  <c r="AA314" i="154" s="1"/>
  <c r="AD314" i="154" s="1"/>
  <c r="R302" i="154"/>
  <c r="U302" i="154" s="1"/>
  <c r="X302" i="154" s="1"/>
  <c r="AA302" i="154" s="1"/>
  <c r="AD302" i="154" s="1"/>
  <c r="R274" i="154"/>
  <c r="U274" i="154" s="1"/>
  <c r="X274" i="154" s="1"/>
  <c r="AA274" i="154" s="1"/>
  <c r="AD274" i="154" s="1"/>
  <c r="R276" i="154"/>
  <c r="U276" i="154" s="1"/>
  <c r="X276" i="154" s="1"/>
  <c r="AA276" i="154" s="1"/>
  <c r="AD276" i="154" s="1"/>
  <c r="R281" i="154"/>
  <c r="U281" i="154" s="1"/>
  <c r="X281" i="154" s="1"/>
  <c r="AA281" i="154" s="1"/>
  <c r="AD281" i="154" s="1"/>
  <c r="R294" i="154"/>
  <c r="U294" i="154" s="1"/>
  <c r="X294" i="154" s="1"/>
  <c r="AA294" i="154" s="1"/>
  <c r="AD294" i="154" s="1"/>
  <c r="R329" i="154"/>
  <c r="U329" i="154" s="1"/>
  <c r="X329" i="154" s="1"/>
  <c r="AA329" i="154" s="1"/>
  <c r="AD329" i="154" s="1"/>
  <c r="R338" i="154"/>
  <c r="U338" i="154" s="1"/>
  <c r="X338" i="154" s="1"/>
  <c r="AA338" i="154" s="1"/>
  <c r="AD338" i="154" s="1"/>
  <c r="R365" i="154"/>
  <c r="U365" i="154" s="1"/>
  <c r="X365" i="154" s="1"/>
  <c r="AA365" i="154" s="1"/>
  <c r="AD365" i="154" s="1"/>
  <c r="R369" i="154"/>
  <c r="U369" i="154" s="1"/>
  <c r="X369" i="154" s="1"/>
  <c r="AA369" i="154" s="1"/>
  <c r="AD369" i="154" s="1"/>
  <c r="R343" i="154"/>
  <c r="U343" i="154" s="1"/>
  <c r="X343" i="154" s="1"/>
  <c r="AA343" i="154" s="1"/>
  <c r="AD343" i="154" s="1"/>
  <c r="R356" i="154"/>
  <c r="U356" i="154" s="1"/>
  <c r="X356" i="154" s="1"/>
  <c r="AA356" i="154" s="1"/>
  <c r="AD356" i="154" s="1"/>
  <c r="R363" i="154"/>
  <c r="U363" i="154" s="1"/>
  <c r="X363" i="154" s="1"/>
  <c r="AA363" i="154" s="1"/>
  <c r="AD363" i="154" s="1"/>
  <c r="R261" i="154"/>
  <c r="U261" i="154" s="1"/>
  <c r="X261" i="154" s="1"/>
  <c r="AA261" i="154" s="1"/>
  <c r="AD261" i="154" s="1"/>
  <c r="R296" i="154"/>
  <c r="U296" i="154" s="1"/>
  <c r="X296" i="154" s="1"/>
  <c r="AA296" i="154" s="1"/>
  <c r="AD296" i="154" s="1"/>
  <c r="R332" i="154"/>
  <c r="U332" i="154" s="1"/>
  <c r="X332" i="154" s="1"/>
  <c r="AA332" i="154" s="1"/>
  <c r="AD332" i="154" s="1"/>
  <c r="R336" i="154"/>
  <c r="U336" i="154" s="1"/>
  <c r="X336" i="154" s="1"/>
  <c r="AA336" i="154" s="1"/>
  <c r="AD336" i="154" s="1"/>
  <c r="R344" i="154"/>
  <c r="U344" i="154" s="1"/>
  <c r="X344" i="154" s="1"/>
  <c r="AA344" i="154" s="1"/>
  <c r="AD344" i="154" s="1"/>
  <c r="R351" i="154"/>
  <c r="U351" i="154" s="1"/>
  <c r="X351" i="154" s="1"/>
  <c r="AA351" i="154" s="1"/>
  <c r="AD351" i="154" s="1"/>
  <c r="R364" i="154"/>
  <c r="U364" i="154" s="1"/>
  <c r="X364" i="154" s="1"/>
  <c r="AA364" i="154" s="1"/>
  <c r="AD364" i="154" s="1"/>
  <c r="R355" i="154"/>
  <c r="U355" i="154" s="1"/>
  <c r="X355" i="154" s="1"/>
  <c r="AA355" i="154" s="1"/>
  <c r="AD355" i="154" s="1"/>
  <c r="R353" i="154"/>
  <c r="U353" i="154" s="1"/>
  <c r="X353" i="154" s="1"/>
  <c r="AA353" i="154" s="1"/>
  <c r="AD353" i="154" s="1"/>
  <c r="R348" i="154"/>
  <c r="U348" i="154" s="1"/>
  <c r="X348" i="154" s="1"/>
  <c r="AA348" i="154" s="1"/>
  <c r="AD348" i="154" s="1"/>
  <c r="R368" i="154"/>
  <c r="U368" i="154" s="1"/>
  <c r="X368" i="154" s="1"/>
  <c r="AA368" i="154" s="1"/>
  <c r="AD368" i="154" s="1"/>
  <c r="R300" i="154"/>
  <c r="U300" i="154" s="1"/>
  <c r="X300" i="154" s="1"/>
  <c r="AA300" i="154" s="1"/>
  <c r="AD300" i="154" s="1"/>
  <c r="R257" i="154"/>
  <c r="U257" i="154" s="1"/>
  <c r="X257" i="154" s="1"/>
  <c r="AA257" i="154" s="1"/>
  <c r="AD257" i="154" s="1"/>
  <c r="R322" i="154"/>
  <c r="U322" i="154" s="1"/>
  <c r="X322" i="154" s="1"/>
  <c r="AA322" i="154" s="1"/>
  <c r="AD322" i="154" s="1"/>
  <c r="R347" i="154"/>
  <c r="U347" i="154" s="1"/>
  <c r="X347" i="154" s="1"/>
  <c r="AA347" i="154" s="1"/>
  <c r="AD347" i="154" s="1"/>
  <c r="R360" i="154"/>
  <c r="U360" i="154" s="1"/>
  <c r="X360" i="154" s="1"/>
  <c r="AA360" i="154" s="1"/>
  <c r="AD360" i="154" s="1"/>
  <c r="R367" i="154"/>
  <c r="U367" i="154" s="1"/>
  <c r="X367" i="154" s="1"/>
  <c r="AA367" i="154" s="1"/>
  <c r="AD367" i="154" s="1"/>
  <c r="R299" i="154"/>
  <c r="U299" i="154" s="1"/>
  <c r="X299" i="154" s="1"/>
  <c r="AA299" i="154" s="1"/>
  <c r="AD299" i="154" s="1"/>
  <c r="R340" i="154"/>
  <c r="U340" i="154" s="1"/>
  <c r="X340" i="154" s="1"/>
  <c r="AA340" i="154" s="1"/>
  <c r="AD340" i="154" s="1"/>
  <c r="R230" i="154"/>
  <c r="U230" i="154" s="1"/>
  <c r="X230" i="154" s="1"/>
  <c r="AA230" i="154" s="1"/>
  <c r="AD230" i="154" s="1"/>
  <c r="R202" i="154"/>
  <c r="U202" i="154" s="1"/>
  <c r="X202" i="154" s="1"/>
  <c r="AA202" i="154" s="1"/>
  <c r="AD202" i="154" s="1"/>
  <c r="R156" i="154"/>
  <c r="U156" i="154" s="1"/>
  <c r="X156" i="154" s="1"/>
  <c r="AA156" i="154" s="1"/>
  <c r="AD156" i="154" s="1"/>
  <c r="R144" i="154"/>
  <c r="U144" i="154" s="1"/>
  <c r="X144" i="154" s="1"/>
  <c r="AA144" i="154" s="1"/>
  <c r="AD144" i="154" s="1"/>
  <c r="R197" i="154"/>
  <c r="U197" i="154" s="1"/>
  <c r="X197" i="154" s="1"/>
  <c r="AA197" i="154" s="1"/>
  <c r="AD197" i="154" s="1"/>
  <c r="R214" i="154"/>
  <c r="U214" i="154" s="1"/>
  <c r="X214" i="154" s="1"/>
  <c r="AA214" i="154" s="1"/>
  <c r="AD214" i="154" s="1"/>
  <c r="R167" i="154"/>
  <c r="U167" i="154" s="1"/>
  <c r="X167" i="154" s="1"/>
  <c r="AA167" i="154" s="1"/>
  <c r="AD167" i="154" s="1"/>
  <c r="R195" i="154"/>
  <c r="U195" i="154" s="1"/>
  <c r="X195" i="154" s="1"/>
  <c r="AA195" i="154" s="1"/>
  <c r="AD195" i="154" s="1"/>
  <c r="R162" i="154"/>
  <c r="U162" i="154" s="1"/>
  <c r="X162" i="154" s="1"/>
  <c r="AA162" i="154" s="1"/>
  <c r="AD162" i="154" s="1"/>
  <c r="R146" i="154"/>
  <c r="U146" i="154" s="1"/>
  <c r="X146" i="154" s="1"/>
  <c r="AA146" i="154" s="1"/>
  <c r="AD146" i="154" s="1"/>
  <c r="R133" i="154"/>
  <c r="U133" i="154" s="1"/>
  <c r="X133" i="154" s="1"/>
  <c r="AA133" i="154" s="1"/>
  <c r="AD133" i="154" s="1"/>
  <c r="R159" i="154"/>
  <c r="U159" i="154" s="1"/>
  <c r="X159" i="154" s="1"/>
  <c r="AA159" i="154" s="1"/>
  <c r="AD159" i="154" s="1"/>
  <c r="R145" i="154"/>
  <c r="U145" i="154" s="1"/>
  <c r="X145" i="154" s="1"/>
  <c r="AA145" i="154" s="1"/>
  <c r="AD145" i="154" s="1"/>
  <c r="R142" i="154"/>
  <c r="U142" i="154" s="1"/>
  <c r="X142" i="154" s="1"/>
  <c r="AA142" i="154" s="1"/>
  <c r="AD142" i="154" s="1"/>
  <c r="R212" i="154"/>
  <c r="U212" i="154" s="1"/>
  <c r="X212" i="154" s="1"/>
  <c r="AA212" i="154" s="1"/>
  <c r="AD212" i="154" s="1"/>
  <c r="R228" i="154"/>
  <c r="U228" i="154" s="1"/>
  <c r="X228" i="154" s="1"/>
  <c r="AA228" i="154" s="1"/>
  <c r="AD228" i="154" s="1"/>
  <c r="R134" i="154"/>
  <c r="U134" i="154" s="1"/>
  <c r="X134" i="154" s="1"/>
  <c r="AA134" i="154" s="1"/>
  <c r="AD134" i="154" s="1"/>
  <c r="R143" i="154"/>
  <c r="U143" i="154" s="1"/>
  <c r="X143" i="154" s="1"/>
  <c r="AA143" i="154" s="1"/>
  <c r="AD143" i="154" s="1"/>
  <c r="R244" i="154"/>
  <c r="U244" i="154" s="1"/>
  <c r="X244" i="154" s="1"/>
  <c r="AA244" i="154" s="1"/>
  <c r="AD244" i="154" s="1"/>
  <c r="R140" i="154"/>
  <c r="U140" i="154" s="1"/>
  <c r="X140" i="154" s="1"/>
  <c r="AA140" i="154" s="1"/>
  <c r="AD140" i="154" s="1"/>
  <c r="R178" i="154"/>
  <c r="U178" i="154" s="1"/>
  <c r="X178" i="154" s="1"/>
  <c r="AA178" i="154" s="1"/>
  <c r="AD178" i="154" s="1"/>
  <c r="R132" i="154"/>
  <c r="U132" i="154" s="1"/>
  <c r="X132" i="154" s="1"/>
  <c r="AA132" i="154" s="1"/>
  <c r="AD132" i="154" s="1"/>
  <c r="R137" i="154"/>
  <c r="U137" i="154" s="1"/>
  <c r="X137" i="154" s="1"/>
  <c r="AA137" i="154" s="1"/>
  <c r="AD137" i="154" s="1"/>
  <c r="R130" i="154"/>
  <c r="U130" i="154" s="1"/>
  <c r="X130" i="154" s="1"/>
  <c r="AA130" i="154" s="1"/>
  <c r="AD130" i="154" s="1"/>
  <c r="R135" i="154"/>
  <c r="U135" i="154" s="1"/>
  <c r="X135" i="154" s="1"/>
  <c r="AA135" i="154" s="1"/>
  <c r="AD135" i="154" s="1"/>
  <c r="R226" i="154"/>
  <c r="U226" i="154" s="1"/>
  <c r="X226" i="154" s="1"/>
  <c r="AA226" i="154" s="1"/>
  <c r="AD226" i="154" s="1"/>
  <c r="R165" i="154"/>
  <c r="U165" i="154" s="1"/>
  <c r="X165" i="154" s="1"/>
  <c r="AA165" i="154" s="1"/>
  <c r="AD165" i="154" s="1"/>
  <c r="S129" i="154"/>
  <c r="V129" i="154" s="1"/>
  <c r="Y129" i="154" s="1"/>
  <c r="AB129" i="154" s="1"/>
  <c r="R129" i="154"/>
  <c r="U129" i="154" s="1"/>
  <c r="X129" i="154" s="1"/>
  <c r="AA129" i="154" s="1"/>
  <c r="AD129" i="154" s="1"/>
  <c r="R155" i="154"/>
  <c r="U155" i="154" s="1"/>
  <c r="X155" i="154" s="1"/>
  <c r="AA155" i="154" s="1"/>
  <c r="AD155" i="154" s="1"/>
  <c r="R164" i="154"/>
  <c r="U164" i="154" s="1"/>
  <c r="X164" i="154" s="1"/>
  <c r="AA164" i="154" s="1"/>
  <c r="AD164" i="154" s="1"/>
  <c r="R209" i="154"/>
  <c r="U209" i="154" s="1"/>
  <c r="X209" i="154" s="1"/>
  <c r="AA209" i="154" s="1"/>
  <c r="AD209" i="154" s="1"/>
  <c r="R151" i="154"/>
  <c r="U151" i="154" s="1"/>
  <c r="X151" i="154" s="1"/>
  <c r="AA151" i="154" s="1"/>
  <c r="AD151" i="154" s="1"/>
  <c r="R153" i="154"/>
  <c r="U153" i="154" s="1"/>
  <c r="X153" i="154" s="1"/>
  <c r="AA153" i="154" s="1"/>
  <c r="AD153" i="154" s="1"/>
  <c r="R161" i="154"/>
  <c r="U161" i="154" s="1"/>
  <c r="X161" i="154" s="1"/>
  <c r="AA161" i="154" s="1"/>
  <c r="AD161" i="154" s="1"/>
  <c r="R176" i="154"/>
  <c r="U176" i="154" s="1"/>
  <c r="X176" i="154" s="1"/>
  <c r="AA176" i="154" s="1"/>
  <c r="AD176" i="154" s="1"/>
  <c r="R227" i="154"/>
  <c r="U227" i="154" s="1"/>
  <c r="X227" i="154" s="1"/>
  <c r="AA227" i="154" s="1"/>
  <c r="AD227" i="154" s="1"/>
  <c r="R238" i="154"/>
  <c r="U238" i="154" s="1"/>
  <c r="X238" i="154" s="1"/>
  <c r="AA238" i="154" s="1"/>
  <c r="AD238" i="154" s="1"/>
  <c r="R180" i="154"/>
  <c r="U180" i="154" s="1"/>
  <c r="X180" i="154" s="1"/>
  <c r="AA180" i="154" s="1"/>
  <c r="AD180" i="154" s="1"/>
  <c r="R194" i="154"/>
  <c r="U194" i="154" s="1"/>
  <c r="X194" i="154" s="1"/>
  <c r="AA194" i="154" s="1"/>
  <c r="AD194" i="154" s="1"/>
  <c r="R184" i="154"/>
  <c r="U184" i="154" s="1"/>
  <c r="X184" i="154" s="1"/>
  <c r="AA184" i="154" s="1"/>
  <c r="AD184" i="154" s="1"/>
  <c r="R157" i="154"/>
  <c r="U157" i="154" s="1"/>
  <c r="X157" i="154" s="1"/>
  <c r="AA157" i="154" s="1"/>
  <c r="AD157" i="154" s="1"/>
  <c r="R160" i="154"/>
  <c r="U160" i="154" s="1"/>
  <c r="X160" i="154" s="1"/>
  <c r="AA160" i="154" s="1"/>
  <c r="AD160" i="154" s="1"/>
  <c r="R201" i="154"/>
  <c r="U201" i="154" s="1"/>
  <c r="X201" i="154" s="1"/>
  <c r="AA201" i="154" s="1"/>
  <c r="AD201" i="154" s="1"/>
  <c r="R225" i="154"/>
  <c r="U225" i="154" s="1"/>
  <c r="X225" i="154" s="1"/>
  <c r="AA225" i="154" s="1"/>
  <c r="AD225" i="154" s="1"/>
  <c r="R193" i="154"/>
  <c r="U193" i="154" s="1"/>
  <c r="X193" i="154" s="1"/>
  <c r="AA193" i="154" s="1"/>
  <c r="AD193" i="154" s="1"/>
  <c r="R215" i="154"/>
  <c r="U215" i="154" s="1"/>
  <c r="X215" i="154" s="1"/>
  <c r="AA215" i="154" s="1"/>
  <c r="AD215" i="154" s="1"/>
  <c r="R211" i="154"/>
  <c r="U211" i="154" s="1"/>
  <c r="X211" i="154" s="1"/>
  <c r="AA211" i="154" s="1"/>
  <c r="AD211" i="154" s="1"/>
  <c r="R154" i="154"/>
  <c r="U154" i="154" s="1"/>
  <c r="X154" i="154" s="1"/>
  <c r="AA154" i="154" s="1"/>
  <c r="AD154" i="154" s="1"/>
  <c r="R163" i="154"/>
  <c r="U163" i="154" s="1"/>
  <c r="X163" i="154" s="1"/>
  <c r="AA163" i="154" s="1"/>
  <c r="AD163" i="154" s="1"/>
  <c r="R219" i="154"/>
  <c r="U219" i="154" s="1"/>
  <c r="X219" i="154" s="1"/>
  <c r="AA219" i="154" s="1"/>
  <c r="AD219" i="154" s="1"/>
  <c r="R189" i="154"/>
  <c r="U189" i="154" s="1"/>
  <c r="X189" i="154" s="1"/>
  <c r="AA189" i="154" s="1"/>
  <c r="AD189" i="154" s="1"/>
  <c r="R139" i="154"/>
  <c r="U139" i="154" s="1"/>
  <c r="X139" i="154" s="1"/>
  <c r="AA139" i="154" s="1"/>
  <c r="AD139" i="154" s="1"/>
  <c r="R224" i="154"/>
  <c r="U224" i="154" s="1"/>
  <c r="X224" i="154" s="1"/>
  <c r="AA224" i="154" s="1"/>
  <c r="AD224" i="154" s="1"/>
  <c r="R181" i="154"/>
  <c r="U181" i="154" s="1"/>
  <c r="X181" i="154" s="1"/>
  <c r="AA181" i="154" s="1"/>
  <c r="AD181" i="154" s="1"/>
  <c r="R148" i="154"/>
  <c r="U148" i="154" s="1"/>
  <c r="X148" i="154" s="1"/>
  <c r="AA148" i="154" s="1"/>
  <c r="AD148" i="154" s="1"/>
  <c r="R204" i="154"/>
  <c r="U204" i="154" s="1"/>
  <c r="X204" i="154" s="1"/>
  <c r="AA204" i="154" s="1"/>
  <c r="AD204" i="154" s="1"/>
  <c r="R229" i="154"/>
  <c r="U229" i="154" s="1"/>
  <c r="X229" i="154" s="1"/>
  <c r="AA229" i="154" s="1"/>
  <c r="AD229" i="154" s="1"/>
  <c r="R240" i="154"/>
  <c r="U240" i="154" s="1"/>
  <c r="X240" i="154" s="1"/>
  <c r="AA240" i="154" s="1"/>
  <c r="AD240" i="154" s="1"/>
  <c r="R168" i="154"/>
  <c r="U168" i="154" s="1"/>
  <c r="X168" i="154" s="1"/>
  <c r="AA168" i="154" s="1"/>
  <c r="AD168" i="154" s="1"/>
  <c r="R243" i="154"/>
  <c r="U243" i="154" s="1"/>
  <c r="X243" i="154" s="1"/>
  <c r="AA243" i="154" s="1"/>
  <c r="AD243" i="154" s="1"/>
  <c r="R182" i="154"/>
  <c r="U182" i="154" s="1"/>
  <c r="X182" i="154" s="1"/>
  <c r="AA182" i="154" s="1"/>
  <c r="AD182" i="154" s="1"/>
  <c r="R222" i="154"/>
  <c r="U222" i="154" s="1"/>
  <c r="X222" i="154" s="1"/>
  <c r="AA222" i="154" s="1"/>
  <c r="AD222" i="154" s="1"/>
  <c r="R232" i="154"/>
  <c r="U232" i="154" s="1"/>
  <c r="X232" i="154" s="1"/>
  <c r="AA232" i="154" s="1"/>
  <c r="AD232" i="154" s="1"/>
  <c r="R177" i="154"/>
  <c r="U177" i="154" s="1"/>
  <c r="X177" i="154" s="1"/>
  <c r="AA177" i="154" s="1"/>
  <c r="AD177" i="154" s="1"/>
  <c r="R138" i="154"/>
  <c r="U138" i="154" s="1"/>
  <c r="X138" i="154" s="1"/>
  <c r="AA138" i="154" s="1"/>
  <c r="AD138" i="154" s="1"/>
  <c r="R192" i="154"/>
  <c r="U192" i="154" s="1"/>
  <c r="X192" i="154" s="1"/>
  <c r="AA192" i="154" s="1"/>
  <c r="AD192" i="154" s="1"/>
  <c r="R208" i="154"/>
  <c r="U208" i="154" s="1"/>
  <c r="X208" i="154" s="1"/>
  <c r="AA208" i="154" s="1"/>
  <c r="AD208" i="154" s="1"/>
  <c r="R183" i="154"/>
  <c r="U183" i="154" s="1"/>
  <c r="X183" i="154" s="1"/>
  <c r="AA183" i="154" s="1"/>
  <c r="AD183" i="154" s="1"/>
  <c r="R210" i="154"/>
  <c r="U210" i="154" s="1"/>
  <c r="X210" i="154" s="1"/>
  <c r="AA210" i="154" s="1"/>
  <c r="AD210" i="154" s="1"/>
  <c r="R131" i="154"/>
  <c r="U131" i="154" s="1"/>
  <c r="X131" i="154" s="1"/>
  <c r="AA131" i="154" s="1"/>
  <c r="AD131" i="154" s="1"/>
  <c r="R217" i="154"/>
  <c r="U217" i="154" s="1"/>
  <c r="X217" i="154" s="1"/>
  <c r="AA217" i="154" s="1"/>
  <c r="AD217" i="154" s="1"/>
  <c r="R241" i="154"/>
  <c r="U241" i="154" s="1"/>
  <c r="X241" i="154" s="1"/>
  <c r="AA241" i="154" s="1"/>
  <c r="AD241" i="154" s="1"/>
  <c r="R186" i="154"/>
  <c r="U186" i="154" s="1"/>
  <c r="X186" i="154" s="1"/>
  <c r="AA186" i="154" s="1"/>
  <c r="AD186" i="154" s="1"/>
  <c r="R136" i="154"/>
  <c r="U136" i="154" s="1"/>
  <c r="X136" i="154" s="1"/>
  <c r="AA136" i="154" s="1"/>
  <c r="AD136" i="154" s="1"/>
  <c r="R141" i="154"/>
  <c r="U141" i="154" s="1"/>
  <c r="X141" i="154" s="1"/>
  <c r="AA141" i="154" s="1"/>
  <c r="AD141" i="154" s="1"/>
  <c r="R158" i="154"/>
  <c r="U158" i="154" s="1"/>
  <c r="X158" i="154" s="1"/>
  <c r="AA158" i="154" s="1"/>
  <c r="AD158" i="154" s="1"/>
  <c r="R179" i="154"/>
  <c r="U179" i="154" s="1"/>
  <c r="X179" i="154" s="1"/>
  <c r="AA179" i="154" s="1"/>
  <c r="AD179" i="154" s="1"/>
  <c r="R213" i="154"/>
  <c r="U213" i="154" s="1"/>
  <c r="X213" i="154" s="1"/>
  <c r="AA213" i="154" s="1"/>
  <c r="AD213" i="154" s="1"/>
  <c r="R235" i="154"/>
  <c r="U235" i="154" s="1"/>
  <c r="X235" i="154" s="1"/>
  <c r="AA235" i="154" s="1"/>
  <c r="AD235" i="154" s="1"/>
  <c r="R245" i="154"/>
  <c r="U245" i="154" s="1"/>
  <c r="X245" i="154" s="1"/>
  <c r="AA245" i="154" s="1"/>
  <c r="AD245" i="154" s="1"/>
  <c r="R205" i="154"/>
  <c r="U205" i="154" s="1"/>
  <c r="X205" i="154" s="1"/>
  <c r="AA205" i="154" s="1"/>
  <c r="AD205" i="154" s="1"/>
  <c r="R220" i="154"/>
  <c r="U220" i="154" s="1"/>
  <c r="X220" i="154" s="1"/>
  <c r="AA220" i="154" s="1"/>
  <c r="AD220" i="154" s="1"/>
  <c r="R233" i="154"/>
  <c r="U233" i="154" s="1"/>
  <c r="X233" i="154" s="1"/>
  <c r="AA233" i="154" s="1"/>
  <c r="AD233" i="154" s="1"/>
  <c r="R236" i="154"/>
  <c r="U236" i="154" s="1"/>
  <c r="X236" i="154" s="1"/>
  <c r="AA236" i="154" s="1"/>
  <c r="AD236" i="154" s="1"/>
  <c r="R187" i="154"/>
  <c r="U187" i="154" s="1"/>
  <c r="X187" i="154" s="1"/>
  <c r="AA187" i="154" s="1"/>
  <c r="AD187" i="154" s="1"/>
  <c r="R207" i="154"/>
  <c r="U207" i="154" s="1"/>
  <c r="X207" i="154" s="1"/>
  <c r="AA207" i="154" s="1"/>
  <c r="AD207" i="154" s="1"/>
  <c r="R206" i="154"/>
  <c r="U206" i="154" s="1"/>
  <c r="X206" i="154" s="1"/>
  <c r="AA206" i="154" s="1"/>
  <c r="AD206" i="154" s="1"/>
  <c r="R191" i="154"/>
  <c r="U191" i="154" s="1"/>
  <c r="X191" i="154" s="1"/>
  <c r="AA191" i="154" s="1"/>
  <c r="AD191" i="154" s="1"/>
  <c r="R173" i="154"/>
  <c r="U173" i="154" s="1"/>
  <c r="X173" i="154" s="1"/>
  <c r="AA173" i="154" s="1"/>
  <c r="AD173" i="154" s="1"/>
  <c r="R169" i="154"/>
  <c r="U169" i="154" s="1"/>
  <c r="X169" i="154" s="1"/>
  <c r="AA169" i="154" s="1"/>
  <c r="AD169" i="154" s="1"/>
  <c r="R188" i="154"/>
  <c r="U188" i="154" s="1"/>
  <c r="X188" i="154" s="1"/>
  <c r="AA188" i="154" s="1"/>
  <c r="AD188" i="154" s="1"/>
  <c r="R218" i="154"/>
  <c r="U218" i="154" s="1"/>
  <c r="X218" i="154" s="1"/>
  <c r="AA218" i="154" s="1"/>
  <c r="AD218" i="154" s="1"/>
  <c r="R221" i="154"/>
  <c r="U221" i="154" s="1"/>
  <c r="X221" i="154" s="1"/>
  <c r="AA221" i="154" s="1"/>
  <c r="AD221" i="154" s="1"/>
  <c r="R234" i="154"/>
  <c r="U234" i="154" s="1"/>
  <c r="X234" i="154" s="1"/>
  <c r="AA234" i="154" s="1"/>
  <c r="AD234" i="154" s="1"/>
  <c r="R237" i="154"/>
  <c r="U237" i="154" s="1"/>
  <c r="X237" i="154" s="1"/>
  <c r="AA237" i="154" s="1"/>
  <c r="AD237" i="154" s="1"/>
  <c r="R216" i="154"/>
  <c r="U216" i="154" s="1"/>
  <c r="X216" i="154" s="1"/>
  <c r="AA216" i="154" s="1"/>
  <c r="AD216" i="154" s="1"/>
  <c r="R166" i="154"/>
  <c r="U166" i="154" s="1"/>
  <c r="X166" i="154" s="1"/>
  <c r="AA166" i="154" s="1"/>
  <c r="AD166" i="154" s="1"/>
  <c r="R175" i="154"/>
  <c r="U175" i="154" s="1"/>
  <c r="X175" i="154" s="1"/>
  <c r="AA175" i="154" s="1"/>
  <c r="AD175" i="154" s="1"/>
  <c r="R203" i="154"/>
  <c r="U203" i="154" s="1"/>
  <c r="X203" i="154" s="1"/>
  <c r="AA203" i="154" s="1"/>
  <c r="AD203" i="154" s="1"/>
  <c r="R185" i="154"/>
  <c r="U185" i="154" s="1"/>
  <c r="X185" i="154" s="1"/>
  <c r="AA185" i="154" s="1"/>
  <c r="AD185" i="154" s="1"/>
  <c r="R196" i="154"/>
  <c r="U196" i="154" s="1"/>
  <c r="X196" i="154" s="1"/>
  <c r="AA196" i="154" s="1"/>
  <c r="AD196" i="154" s="1"/>
  <c r="R198" i="154"/>
  <c r="U198" i="154" s="1"/>
  <c r="X198" i="154" s="1"/>
  <c r="AA198" i="154" s="1"/>
  <c r="AD198" i="154" s="1"/>
  <c r="R231" i="154"/>
  <c r="U231" i="154" s="1"/>
  <c r="X231" i="154" s="1"/>
  <c r="AA231" i="154" s="1"/>
  <c r="AD231" i="154" s="1"/>
  <c r="R223" i="154"/>
  <c r="U223" i="154" s="1"/>
  <c r="X223" i="154" s="1"/>
  <c r="AA223" i="154" s="1"/>
  <c r="AD223" i="154" s="1"/>
  <c r="R239" i="154"/>
  <c r="U239" i="154" s="1"/>
  <c r="X239" i="154" s="1"/>
  <c r="AA239" i="154" s="1"/>
  <c r="AD239" i="154" s="1"/>
  <c r="R171" i="154"/>
  <c r="U171" i="154" s="1"/>
  <c r="X171" i="154" s="1"/>
  <c r="AA171" i="154" s="1"/>
  <c r="AD171" i="154" s="1"/>
  <c r="R190" i="154"/>
  <c r="U190" i="154" s="1"/>
  <c r="X190" i="154" s="1"/>
  <c r="AA190" i="154" s="1"/>
  <c r="AD190" i="154" s="1"/>
  <c r="R200" i="154"/>
  <c r="U200" i="154" s="1"/>
  <c r="X200" i="154" s="1"/>
  <c r="AA200" i="154" s="1"/>
  <c r="AD200" i="154" s="1"/>
  <c r="R174" i="154"/>
  <c r="U174" i="154" s="1"/>
  <c r="X174" i="154" s="1"/>
  <c r="AA174" i="154" s="1"/>
  <c r="AD174" i="154" s="1"/>
  <c r="R172" i="154"/>
  <c r="U172" i="154" s="1"/>
  <c r="X172" i="154" s="1"/>
  <c r="AA172" i="154" s="1"/>
  <c r="AD172" i="154" s="1"/>
  <c r="T57" i="154"/>
  <c r="W57" i="154" s="1"/>
  <c r="Z57" i="154" s="1"/>
  <c r="AC57" i="154" s="1"/>
  <c r="R57" i="154"/>
  <c r="U57" i="154" s="1"/>
  <c r="X57" i="154" s="1"/>
  <c r="AA57" i="154" s="1"/>
  <c r="AD57" i="154" s="1"/>
  <c r="T70" i="154"/>
  <c r="W70" i="154" s="1"/>
  <c r="Z70" i="154" s="1"/>
  <c r="AC70" i="154" s="1"/>
  <c r="R83" i="154"/>
  <c r="U83" i="154" s="1"/>
  <c r="X83" i="154" s="1"/>
  <c r="AA83" i="154" s="1"/>
  <c r="AD83" i="154" s="1"/>
  <c r="R43" i="154"/>
  <c r="U43" i="154" s="1"/>
  <c r="X43" i="154" s="1"/>
  <c r="AA43" i="154" s="1"/>
  <c r="AD43" i="154" s="1"/>
  <c r="R108" i="154"/>
  <c r="U108" i="154" s="1"/>
  <c r="X108" i="154" s="1"/>
  <c r="AA108" i="154" s="1"/>
  <c r="AD108" i="154" s="1"/>
  <c r="T55" i="154"/>
  <c r="W55" i="154" s="1"/>
  <c r="Z55" i="154" s="1"/>
  <c r="AC55" i="154" s="1"/>
  <c r="R55" i="154"/>
  <c r="U55" i="154" s="1"/>
  <c r="X55" i="154" s="1"/>
  <c r="AA55" i="154" s="1"/>
  <c r="AD55" i="154" s="1"/>
  <c r="R106" i="154"/>
  <c r="U106" i="154" s="1"/>
  <c r="X106" i="154" s="1"/>
  <c r="AA106" i="154" s="1"/>
  <c r="AD106" i="154" s="1"/>
  <c r="T106" i="154"/>
  <c r="W106" i="154" s="1"/>
  <c r="Z106" i="154" s="1"/>
  <c r="AC106" i="154" s="1"/>
  <c r="R91" i="154"/>
  <c r="U91" i="154" s="1"/>
  <c r="X91" i="154" s="1"/>
  <c r="AA91" i="154" s="1"/>
  <c r="AD91" i="154" s="1"/>
  <c r="T73" i="154"/>
  <c r="W73" i="154" s="1"/>
  <c r="Z73" i="154" s="1"/>
  <c r="AC73" i="154" s="1"/>
  <c r="R73" i="154"/>
  <c r="U73" i="154" s="1"/>
  <c r="X73" i="154" s="1"/>
  <c r="AA73" i="154" s="1"/>
  <c r="AD73" i="154" s="1"/>
  <c r="T89" i="154"/>
  <c r="W89" i="154" s="1"/>
  <c r="Z89" i="154" s="1"/>
  <c r="AC89" i="154" s="1"/>
  <c r="R89" i="154"/>
  <c r="U89" i="154" s="1"/>
  <c r="X89" i="154" s="1"/>
  <c r="AA89" i="154" s="1"/>
  <c r="AD89" i="154" s="1"/>
  <c r="R85" i="154"/>
  <c r="U85" i="154" s="1"/>
  <c r="X85" i="154" s="1"/>
  <c r="AA85" i="154" s="1"/>
  <c r="AD85" i="154" s="1"/>
  <c r="T44" i="154"/>
  <c r="W44" i="154" s="1"/>
  <c r="Z44" i="154" s="1"/>
  <c r="AC44" i="154" s="1"/>
  <c r="R44" i="154"/>
  <c r="U44" i="154" s="1"/>
  <c r="X44" i="154" s="1"/>
  <c r="AA44" i="154" s="1"/>
  <c r="AD44" i="154" s="1"/>
  <c r="T84" i="154"/>
  <c r="W84" i="154" s="1"/>
  <c r="Z84" i="154" s="1"/>
  <c r="AC84" i="154" s="1"/>
  <c r="R84" i="154"/>
  <c r="U84" i="154" s="1"/>
  <c r="X84" i="154" s="1"/>
  <c r="AA84" i="154" s="1"/>
  <c r="AD84" i="154" s="1"/>
  <c r="R75" i="154"/>
  <c r="U75" i="154" s="1"/>
  <c r="X75" i="154" s="1"/>
  <c r="AA75" i="154" s="1"/>
  <c r="AD75" i="154" s="1"/>
  <c r="T80" i="154"/>
  <c r="W80" i="154" s="1"/>
  <c r="Z80" i="154" s="1"/>
  <c r="AC80" i="154" s="1"/>
  <c r="R80" i="154"/>
  <c r="U80" i="154" s="1"/>
  <c r="X80" i="154" s="1"/>
  <c r="AA80" i="154" s="1"/>
  <c r="AD80" i="154" s="1"/>
  <c r="R42" i="154"/>
  <c r="U42" i="154" s="1"/>
  <c r="X42" i="154" s="1"/>
  <c r="AA42" i="154" s="1"/>
  <c r="AD42" i="154" s="1"/>
  <c r="T42" i="154"/>
  <c r="W42" i="154" s="1"/>
  <c r="Z42" i="154" s="1"/>
  <c r="AC42" i="154" s="1"/>
  <c r="T63" i="154"/>
  <c r="W63" i="154" s="1"/>
  <c r="Z63" i="154" s="1"/>
  <c r="AC63" i="154" s="1"/>
  <c r="R63" i="154"/>
  <c r="U63" i="154" s="1"/>
  <c r="X63" i="154" s="1"/>
  <c r="AA63" i="154" s="1"/>
  <c r="AD63" i="154" s="1"/>
  <c r="T61" i="154"/>
  <c r="W61" i="154" s="1"/>
  <c r="Z61" i="154" s="1"/>
  <c r="AC61" i="154" s="1"/>
  <c r="R61" i="154"/>
  <c r="U61" i="154" s="1"/>
  <c r="X61" i="154" s="1"/>
  <c r="AA61" i="154" s="1"/>
  <c r="AD61" i="154" s="1"/>
  <c r="R72" i="154"/>
  <c r="U72" i="154" s="1"/>
  <c r="X72" i="154" s="1"/>
  <c r="AA72" i="154" s="1"/>
  <c r="AD72" i="154" s="1"/>
  <c r="R88" i="154"/>
  <c r="U88" i="154" s="1"/>
  <c r="X88" i="154" s="1"/>
  <c r="AA88" i="154" s="1"/>
  <c r="AD88" i="154" s="1"/>
  <c r="R23" i="154"/>
  <c r="U23" i="154" s="1"/>
  <c r="X23" i="154" s="1"/>
  <c r="AA23" i="154" s="1"/>
  <c r="AD23" i="154" s="1"/>
  <c r="T60" i="154"/>
  <c r="W60" i="154" s="1"/>
  <c r="Z60" i="154" s="1"/>
  <c r="AC60" i="154" s="1"/>
  <c r="R60" i="154"/>
  <c r="U60" i="154" s="1"/>
  <c r="X60" i="154" s="1"/>
  <c r="AA60" i="154" s="1"/>
  <c r="AD60" i="154" s="1"/>
  <c r="T97" i="154"/>
  <c r="W97" i="154" s="1"/>
  <c r="Z97" i="154" s="1"/>
  <c r="AC97" i="154" s="1"/>
  <c r="T71" i="154"/>
  <c r="W71" i="154" s="1"/>
  <c r="Z71" i="154" s="1"/>
  <c r="AC71" i="154" s="1"/>
  <c r="T46" i="154"/>
  <c r="W46" i="154" s="1"/>
  <c r="Z46" i="154" s="1"/>
  <c r="AC46" i="154" s="1"/>
  <c r="R46" i="154"/>
  <c r="U46" i="154" s="1"/>
  <c r="X46" i="154" s="1"/>
  <c r="AA46" i="154" s="1"/>
  <c r="AD46" i="154" s="1"/>
  <c r="T27" i="154"/>
  <c r="W27" i="154" s="1"/>
  <c r="Z27" i="154" s="1"/>
  <c r="AC27" i="154" s="1"/>
  <c r="R27" i="154"/>
  <c r="U27" i="154" s="1"/>
  <c r="X27" i="154" s="1"/>
  <c r="AA27" i="154" s="1"/>
  <c r="AD27" i="154" s="1"/>
  <c r="R45" i="154"/>
  <c r="U45" i="154" s="1"/>
  <c r="X45" i="154" s="1"/>
  <c r="AA45" i="154" s="1"/>
  <c r="AD45" i="154" s="1"/>
  <c r="T21" i="154"/>
  <c r="W21" i="154" s="1"/>
  <c r="Z21" i="154" s="1"/>
  <c r="AC21" i="154" s="1"/>
  <c r="R21" i="154"/>
  <c r="U21" i="154" s="1"/>
  <c r="X21" i="154" s="1"/>
  <c r="AA21" i="154" s="1"/>
  <c r="AD21" i="154" s="1"/>
  <c r="R69" i="154"/>
  <c r="U69" i="154" s="1"/>
  <c r="X69" i="154" s="1"/>
  <c r="AA69" i="154" s="1"/>
  <c r="AD69" i="154" s="1"/>
  <c r="T38" i="154"/>
  <c r="W38" i="154" s="1"/>
  <c r="Z38" i="154" s="1"/>
  <c r="AC38" i="154" s="1"/>
  <c r="R38" i="154"/>
  <c r="U38" i="154" s="1"/>
  <c r="X38" i="154" s="1"/>
  <c r="AA38" i="154" s="1"/>
  <c r="AD38" i="154" s="1"/>
  <c r="R116" i="154"/>
  <c r="U116" i="154" s="1"/>
  <c r="X116" i="154" s="1"/>
  <c r="AA116" i="154" s="1"/>
  <c r="AD116" i="154" s="1"/>
  <c r="R92" i="154"/>
  <c r="U92" i="154" s="1"/>
  <c r="X92" i="154" s="1"/>
  <c r="AA92" i="154" s="1"/>
  <c r="AD92" i="154" s="1"/>
  <c r="R109" i="154"/>
  <c r="U109" i="154" s="1"/>
  <c r="X109" i="154" s="1"/>
  <c r="AA109" i="154" s="1"/>
  <c r="AD109" i="154" s="1"/>
  <c r="T120" i="154"/>
  <c r="W120" i="154" s="1"/>
  <c r="Z120" i="154" s="1"/>
  <c r="AC120" i="154" s="1"/>
  <c r="T81" i="154"/>
  <c r="W81" i="154" s="1"/>
  <c r="Z81" i="154" s="1"/>
  <c r="AC81" i="154" s="1"/>
  <c r="R81" i="154"/>
  <c r="U81" i="154" s="1"/>
  <c r="X81" i="154" s="1"/>
  <c r="AA81" i="154" s="1"/>
  <c r="AD81" i="154" s="1"/>
  <c r="T26" i="154"/>
  <c r="W26" i="154" s="1"/>
  <c r="Z26" i="154" s="1"/>
  <c r="AC26" i="154" s="1"/>
  <c r="R26" i="154"/>
  <c r="U26" i="154" s="1"/>
  <c r="X26" i="154" s="1"/>
  <c r="AA26" i="154" s="1"/>
  <c r="AD26" i="154" s="1"/>
  <c r="T36" i="154"/>
  <c r="W36" i="154" s="1"/>
  <c r="Z36" i="154" s="1"/>
  <c r="AC36" i="154" s="1"/>
  <c r="T77" i="154"/>
  <c r="W77" i="154" s="1"/>
  <c r="Z77" i="154" s="1"/>
  <c r="AC77" i="154" s="1"/>
  <c r="R74" i="154"/>
  <c r="U74" i="154" s="1"/>
  <c r="X74" i="154" s="1"/>
  <c r="AA74" i="154" s="1"/>
  <c r="AD74" i="154" s="1"/>
  <c r="T53" i="154"/>
  <c r="W53" i="154" s="1"/>
  <c r="Z53" i="154" s="1"/>
  <c r="AC53" i="154" s="1"/>
  <c r="R39" i="154"/>
  <c r="U39" i="154" s="1"/>
  <c r="X39" i="154" s="1"/>
  <c r="AA39" i="154" s="1"/>
  <c r="AD39" i="154" s="1"/>
  <c r="T118" i="154"/>
  <c r="W118" i="154" s="1"/>
  <c r="Z118" i="154" s="1"/>
  <c r="AC118" i="154" s="1"/>
  <c r="T113" i="154"/>
  <c r="W113" i="154" s="1"/>
  <c r="Z113" i="154" s="1"/>
  <c r="AC113" i="154" s="1"/>
  <c r="R113" i="154"/>
  <c r="U113" i="154" s="1"/>
  <c r="X113" i="154" s="1"/>
  <c r="AA113" i="154" s="1"/>
  <c r="AD113" i="154" s="1"/>
  <c r="R86" i="154"/>
  <c r="U86" i="154" s="1"/>
  <c r="X86" i="154" s="1"/>
  <c r="AA86" i="154" s="1"/>
  <c r="AD86" i="154" s="1"/>
  <c r="T64" i="154"/>
  <c r="W64" i="154" s="1"/>
  <c r="Z64" i="154" s="1"/>
  <c r="AC64" i="154" s="1"/>
  <c r="R64" i="154"/>
  <c r="U64" i="154" s="1"/>
  <c r="X64" i="154" s="1"/>
  <c r="AA64" i="154" s="1"/>
  <c r="AD64" i="154" s="1"/>
  <c r="R17" i="154"/>
  <c r="U17" i="154" s="1"/>
  <c r="X17" i="154" s="1"/>
  <c r="AA17" i="154" s="1"/>
  <c r="AD17" i="154" s="1"/>
  <c r="T101" i="154"/>
  <c r="W101" i="154" s="1"/>
  <c r="Z101" i="154" s="1"/>
  <c r="AC101" i="154" s="1"/>
  <c r="R35" i="154"/>
  <c r="U35" i="154" s="1"/>
  <c r="X35" i="154" s="1"/>
  <c r="AA35" i="154" s="1"/>
  <c r="AD35" i="154" s="1"/>
  <c r="R19" i="154"/>
  <c r="U19" i="154" s="1"/>
  <c r="X19" i="154" s="1"/>
  <c r="AA19" i="154" s="1"/>
  <c r="AD19" i="154" s="1"/>
  <c r="T25" i="154"/>
  <c r="W25" i="154" s="1"/>
  <c r="Z25" i="154" s="1"/>
  <c r="AC25" i="154" s="1"/>
  <c r="R25" i="154"/>
  <c r="U25" i="154" s="1"/>
  <c r="X25" i="154" s="1"/>
  <c r="AA25" i="154" s="1"/>
  <c r="AD25" i="154" s="1"/>
  <c r="T67" i="154"/>
  <c r="W67" i="154" s="1"/>
  <c r="Z67" i="154" s="1"/>
  <c r="AC67" i="154" s="1"/>
  <c r="R105" i="154"/>
  <c r="U105" i="154" s="1"/>
  <c r="X105" i="154" s="1"/>
  <c r="AA105" i="154" s="1"/>
  <c r="AD105" i="154" s="1"/>
  <c r="R9" i="154"/>
  <c r="U9" i="154" s="1"/>
  <c r="X9" i="154" s="1"/>
  <c r="AA9" i="154" s="1"/>
  <c r="AD9" i="154" s="1"/>
  <c r="T51" i="154"/>
  <c r="W51" i="154" s="1"/>
  <c r="Z51" i="154" s="1"/>
  <c r="AC51" i="154" s="1"/>
  <c r="R30" i="154"/>
  <c r="U30" i="154" s="1"/>
  <c r="X30" i="154" s="1"/>
  <c r="AA30" i="154" s="1"/>
  <c r="AD30" i="154" s="1"/>
  <c r="R96" i="154"/>
  <c r="U96" i="154" s="1"/>
  <c r="X96" i="154" s="1"/>
  <c r="AA96" i="154" s="1"/>
  <c r="AD96" i="154" s="1"/>
  <c r="T40" i="154"/>
  <c r="W40" i="154" s="1"/>
  <c r="Z40" i="154" s="1"/>
  <c r="AC40" i="154" s="1"/>
  <c r="T76" i="154"/>
  <c r="W76" i="154" s="1"/>
  <c r="Z76" i="154" s="1"/>
  <c r="AC76" i="154" s="1"/>
  <c r="R76" i="154"/>
  <c r="U76" i="154" s="1"/>
  <c r="X76" i="154" s="1"/>
  <c r="AA76" i="154" s="1"/>
  <c r="AD76" i="154" s="1"/>
  <c r="T34" i="154"/>
  <c r="W34" i="154" s="1"/>
  <c r="Z34" i="154" s="1"/>
  <c r="AC34" i="154" s="1"/>
  <c r="R34" i="154"/>
  <c r="U34" i="154" s="1"/>
  <c r="X34" i="154" s="1"/>
  <c r="AA34" i="154" s="1"/>
  <c r="AD34" i="154" s="1"/>
  <c r="T98" i="154"/>
  <c r="W98" i="154" s="1"/>
  <c r="Z98" i="154" s="1"/>
  <c r="AC98" i="154" s="1"/>
  <c r="R98" i="154"/>
  <c r="U98" i="154" s="1"/>
  <c r="X98" i="154" s="1"/>
  <c r="AA98" i="154" s="1"/>
  <c r="AD98" i="154" s="1"/>
  <c r="T109" i="154"/>
  <c r="W109" i="154" s="1"/>
  <c r="Z109" i="154" s="1"/>
  <c r="AC109" i="154" s="1"/>
  <c r="R79" i="154"/>
  <c r="U79" i="154" s="1"/>
  <c r="X79" i="154" s="1"/>
  <c r="AA79" i="154" s="1"/>
  <c r="AD79" i="154" s="1"/>
  <c r="R56" i="154"/>
  <c r="U56" i="154" s="1"/>
  <c r="X56" i="154" s="1"/>
  <c r="AA56" i="154" s="1"/>
  <c r="AD56" i="154" s="1"/>
  <c r="T59" i="154"/>
  <c r="W59" i="154" s="1"/>
  <c r="Z59" i="154" s="1"/>
  <c r="AC59" i="154" s="1"/>
  <c r="R59" i="154"/>
  <c r="U59" i="154" s="1"/>
  <c r="X59" i="154" s="1"/>
  <c r="AA59" i="154" s="1"/>
  <c r="AD59" i="154" s="1"/>
  <c r="T90" i="154"/>
  <c r="W90" i="154" s="1"/>
  <c r="Z90" i="154" s="1"/>
  <c r="AC90" i="154" s="1"/>
  <c r="R90" i="154"/>
  <c r="U90" i="154" s="1"/>
  <c r="X90" i="154" s="1"/>
  <c r="AA90" i="154" s="1"/>
  <c r="AD90" i="154" s="1"/>
  <c r="T114" i="154"/>
  <c r="W114" i="154" s="1"/>
  <c r="Z114" i="154" s="1"/>
  <c r="AC114" i="154" s="1"/>
  <c r="R33" i="154"/>
  <c r="U33" i="154" s="1"/>
  <c r="X33" i="154" s="1"/>
  <c r="AA33" i="154" s="1"/>
  <c r="AD33" i="154" s="1"/>
  <c r="R100" i="154"/>
  <c r="U100" i="154" s="1"/>
  <c r="X100" i="154" s="1"/>
  <c r="AA100" i="154" s="1"/>
  <c r="AD100" i="154" s="1"/>
  <c r="T100" i="154"/>
  <c r="W100" i="154" s="1"/>
  <c r="Z100" i="154" s="1"/>
  <c r="AC100" i="154" s="1"/>
  <c r="R32" i="154"/>
  <c r="U32" i="154" s="1"/>
  <c r="X32" i="154" s="1"/>
  <c r="AA32" i="154" s="1"/>
  <c r="AD32" i="154" s="1"/>
  <c r="R117" i="154"/>
  <c r="U117" i="154" s="1"/>
  <c r="X117" i="154" s="1"/>
  <c r="AA117" i="154" s="1"/>
  <c r="AD117" i="154" s="1"/>
  <c r="T117" i="154"/>
  <c r="W117" i="154" s="1"/>
  <c r="Z117" i="154" s="1"/>
  <c r="AC117" i="154" s="1"/>
  <c r="R111" i="154"/>
  <c r="U111" i="154" s="1"/>
  <c r="X111" i="154" s="1"/>
  <c r="AA111" i="154" s="1"/>
  <c r="AD111" i="154" s="1"/>
  <c r="R107" i="154"/>
  <c r="U107" i="154" s="1"/>
  <c r="X107" i="154" s="1"/>
  <c r="AA107" i="154" s="1"/>
  <c r="AD107" i="154" s="1"/>
  <c r="T103" i="154"/>
  <c r="W103" i="154" s="1"/>
  <c r="Z103" i="154" s="1"/>
  <c r="AC103" i="154" s="1"/>
  <c r="T65" i="154"/>
  <c r="W65" i="154" s="1"/>
  <c r="Z65" i="154" s="1"/>
  <c r="AC65" i="154" s="1"/>
  <c r="R65" i="154"/>
  <c r="U65" i="154" s="1"/>
  <c r="X65" i="154" s="1"/>
  <c r="AA65" i="154" s="1"/>
  <c r="AD65" i="154" s="1"/>
  <c r="T50" i="154"/>
  <c r="W50" i="154" s="1"/>
  <c r="Z50" i="154" s="1"/>
  <c r="AC50" i="154" s="1"/>
  <c r="R50" i="154"/>
  <c r="U50" i="154" s="1"/>
  <c r="X50" i="154" s="1"/>
  <c r="AA50" i="154" s="1"/>
  <c r="AD50" i="154" s="1"/>
  <c r="R47" i="154"/>
  <c r="U47" i="154" s="1"/>
  <c r="X47" i="154" s="1"/>
  <c r="AA47" i="154" s="1"/>
  <c r="AD47" i="154" s="1"/>
  <c r="T47" i="154"/>
  <c r="W47" i="154" s="1"/>
  <c r="Z47" i="154" s="1"/>
  <c r="AC47" i="154" s="1"/>
  <c r="R20" i="154"/>
  <c r="U20" i="154" s="1"/>
  <c r="X20" i="154" s="1"/>
  <c r="AA20" i="154" s="1"/>
  <c r="AD20" i="154" s="1"/>
  <c r="R97" i="154"/>
  <c r="U97" i="154" s="1"/>
  <c r="X97" i="154" s="1"/>
  <c r="AA97" i="154" s="1"/>
  <c r="AD97" i="154" s="1"/>
  <c r="T41" i="154"/>
  <c r="W41" i="154" s="1"/>
  <c r="Z41" i="154" s="1"/>
  <c r="AC41" i="154" s="1"/>
  <c r="R41" i="154"/>
  <c r="U41" i="154" s="1"/>
  <c r="X41" i="154" s="1"/>
  <c r="AA41" i="154" s="1"/>
  <c r="AD41" i="154" s="1"/>
  <c r="T119" i="154"/>
  <c r="W119" i="154" s="1"/>
  <c r="Z119" i="154" s="1"/>
  <c r="AC119" i="154" s="1"/>
  <c r="R82" i="154"/>
  <c r="U82" i="154" s="1"/>
  <c r="X82" i="154" s="1"/>
  <c r="AA82" i="154" s="1"/>
  <c r="AD82" i="154" s="1"/>
  <c r="T49" i="154"/>
  <c r="W49" i="154" s="1"/>
  <c r="Z49" i="154" s="1"/>
  <c r="AC49" i="154" s="1"/>
  <c r="R49" i="154"/>
  <c r="U49" i="154" s="1"/>
  <c r="X49" i="154" s="1"/>
  <c r="AA49" i="154" s="1"/>
  <c r="AD49" i="154" s="1"/>
  <c r="T104" i="154"/>
  <c r="W104" i="154" s="1"/>
  <c r="Z104" i="154" s="1"/>
  <c r="AC104" i="154" s="1"/>
  <c r="R104" i="154"/>
  <c r="U104" i="154" s="1"/>
  <c r="X104" i="154" s="1"/>
  <c r="AA104" i="154" s="1"/>
  <c r="AD104" i="154" s="1"/>
  <c r="T78" i="154"/>
  <c r="W78" i="154" s="1"/>
  <c r="Z78" i="154" s="1"/>
  <c r="AC78" i="154" s="1"/>
  <c r="R78" i="154"/>
  <c r="U78" i="154" s="1"/>
  <c r="X78" i="154" s="1"/>
  <c r="AA78" i="154" s="1"/>
  <c r="AD78" i="154" s="1"/>
  <c r="R71" i="154"/>
  <c r="U71" i="154" s="1"/>
  <c r="X71" i="154" s="1"/>
  <c r="AA71" i="154" s="1"/>
  <c r="AD71" i="154" s="1"/>
  <c r="T16" i="154"/>
  <c r="W16" i="154" s="1"/>
  <c r="Z16" i="154" s="1"/>
  <c r="AC16" i="154" s="1"/>
  <c r="R16" i="154"/>
  <c r="U16" i="154" s="1"/>
  <c r="X16" i="154" s="1"/>
  <c r="AA16" i="154" s="1"/>
  <c r="AD16" i="154" s="1"/>
  <c r="R114" i="154"/>
  <c r="U114" i="154" s="1"/>
  <c r="X114" i="154" s="1"/>
  <c r="AA114" i="154" s="1"/>
  <c r="AD114" i="154" s="1"/>
  <c r="R94" i="154"/>
  <c r="U94" i="154" s="1"/>
  <c r="X94" i="154" s="1"/>
  <c r="AA94" i="154" s="1"/>
  <c r="AD94" i="154" s="1"/>
  <c r="T8" i="154"/>
  <c r="W8" i="154" s="1"/>
  <c r="Z8" i="154" s="1"/>
  <c r="AC8" i="154" s="1"/>
  <c r="R8" i="154"/>
  <c r="U8" i="154" s="1"/>
  <c r="X8" i="154" s="1"/>
  <c r="AA8" i="154" s="1"/>
  <c r="AD8" i="154" s="1"/>
  <c r="T112" i="154"/>
  <c r="W112" i="154" s="1"/>
  <c r="Z112" i="154" s="1"/>
  <c r="AC112" i="154" s="1"/>
  <c r="T108" i="154"/>
  <c r="W108" i="154" s="1"/>
  <c r="Z108" i="154" s="1"/>
  <c r="AC108" i="154" s="1"/>
  <c r="T121" i="154"/>
  <c r="W121" i="154" s="1"/>
  <c r="Z121" i="154" s="1"/>
  <c r="AC121" i="154" s="1"/>
  <c r="R121" i="154"/>
  <c r="U121" i="154" s="1"/>
  <c r="X121" i="154" s="1"/>
  <c r="AA121" i="154" s="1"/>
  <c r="AD121" i="154" s="1"/>
  <c r="R24" i="154"/>
  <c r="U24" i="154" s="1"/>
  <c r="X24" i="154" s="1"/>
  <c r="AA24" i="154" s="1"/>
  <c r="AD24" i="154" s="1"/>
  <c r="T110" i="154"/>
  <c r="W110" i="154" s="1"/>
  <c r="Z110" i="154" s="1"/>
  <c r="AC110" i="154" s="1"/>
  <c r="R110" i="154"/>
  <c r="U110" i="154" s="1"/>
  <c r="X110" i="154" s="1"/>
  <c r="AA110" i="154" s="1"/>
  <c r="AD110" i="154" s="1"/>
  <c r="R118" i="154"/>
  <c r="U118" i="154" s="1"/>
  <c r="X118" i="154" s="1"/>
  <c r="AA118" i="154" s="1"/>
  <c r="AD118" i="154" s="1"/>
  <c r="R67" i="154"/>
  <c r="U67" i="154" s="1"/>
  <c r="X67" i="154" s="1"/>
  <c r="AA67" i="154" s="1"/>
  <c r="AD67" i="154" s="1"/>
  <c r="R115" i="154"/>
  <c r="U115" i="154" s="1"/>
  <c r="X115" i="154" s="1"/>
  <c r="AA115" i="154" s="1"/>
  <c r="AD115" i="154" s="1"/>
  <c r="T116" i="154"/>
  <c r="W116" i="154" s="1"/>
  <c r="Z116" i="154" s="1"/>
  <c r="AC116" i="154" s="1"/>
  <c r="T68" i="154"/>
  <c r="W68" i="154" s="1"/>
  <c r="Z68" i="154" s="1"/>
  <c r="AC68" i="154" s="1"/>
  <c r="R68" i="154"/>
  <c r="U68" i="154" s="1"/>
  <c r="X68" i="154" s="1"/>
  <c r="AA68" i="154" s="1"/>
  <c r="AD68" i="154" s="1"/>
  <c r="R15" i="154"/>
  <c r="U15" i="154" s="1"/>
  <c r="X15" i="154" s="1"/>
  <c r="AA15" i="154" s="1"/>
  <c r="AD15" i="154" s="1"/>
  <c r="T91" i="154"/>
  <c r="W91" i="154" s="1"/>
  <c r="Z91" i="154" s="1"/>
  <c r="AC91" i="154" s="1"/>
  <c r="R95" i="154"/>
  <c r="U95" i="154" s="1"/>
  <c r="X95" i="154" s="1"/>
  <c r="AA95" i="154" s="1"/>
  <c r="AD95" i="154" s="1"/>
  <c r="R103" i="154"/>
  <c r="U103" i="154" s="1"/>
  <c r="X103" i="154" s="1"/>
  <c r="AA103" i="154" s="1"/>
  <c r="AD103" i="154" s="1"/>
  <c r="R101" i="154"/>
  <c r="U101" i="154" s="1"/>
  <c r="X101" i="154" s="1"/>
  <c r="AA101" i="154" s="1"/>
  <c r="AD101" i="154" s="1"/>
  <c r="T88" i="154"/>
  <c r="W88" i="154" s="1"/>
  <c r="Z88" i="154" s="1"/>
  <c r="AC88" i="154" s="1"/>
  <c r="R87" i="154"/>
  <c r="U87" i="154" s="1"/>
  <c r="X87" i="154" s="1"/>
  <c r="AA87" i="154" s="1"/>
  <c r="AD87" i="154" s="1"/>
  <c r="T75" i="154"/>
  <c r="W75" i="154" s="1"/>
  <c r="Z75" i="154" s="1"/>
  <c r="AC75" i="154" s="1"/>
  <c r="T58" i="154"/>
  <c r="W58" i="154" s="1"/>
  <c r="Z58" i="154" s="1"/>
  <c r="AC58" i="154" s="1"/>
  <c r="R54" i="154"/>
  <c r="U54" i="154" s="1"/>
  <c r="X54" i="154" s="1"/>
  <c r="AA54" i="154" s="1"/>
  <c r="AD54" i="154" s="1"/>
  <c r="T74" i="154"/>
  <c r="W74" i="154" s="1"/>
  <c r="Z74" i="154" s="1"/>
  <c r="AC74" i="154" s="1"/>
  <c r="R102" i="154"/>
  <c r="U102" i="154" s="1"/>
  <c r="X102" i="154" s="1"/>
  <c r="AA102" i="154" s="1"/>
  <c r="AD102" i="154" s="1"/>
  <c r="R51" i="154"/>
  <c r="U51" i="154" s="1"/>
  <c r="X51" i="154" s="1"/>
  <c r="AA51" i="154" s="1"/>
  <c r="AD51" i="154" s="1"/>
  <c r="T86" i="154"/>
  <c r="W86" i="154" s="1"/>
  <c r="Z86" i="154" s="1"/>
  <c r="AC86" i="154" s="1"/>
  <c r="T79" i="154"/>
  <c r="W79" i="154" s="1"/>
  <c r="Z79" i="154" s="1"/>
  <c r="AC79" i="154" s="1"/>
  <c r="T62" i="154"/>
  <c r="W62" i="154" s="1"/>
  <c r="Z62" i="154" s="1"/>
  <c r="AC62" i="154" s="1"/>
  <c r="R62" i="154"/>
  <c r="U62" i="154" s="1"/>
  <c r="X62" i="154" s="1"/>
  <c r="AA62" i="154" s="1"/>
  <c r="AD62" i="154" s="1"/>
  <c r="R120" i="154"/>
  <c r="U120" i="154" s="1"/>
  <c r="X120" i="154" s="1"/>
  <c r="AA120" i="154" s="1"/>
  <c r="AD120" i="154" s="1"/>
  <c r="R99" i="154"/>
  <c r="U99" i="154" s="1"/>
  <c r="X99" i="154" s="1"/>
  <c r="AA99" i="154" s="1"/>
  <c r="AD99" i="154" s="1"/>
  <c r="T99" i="154"/>
  <c r="W99" i="154" s="1"/>
  <c r="Z99" i="154" s="1"/>
  <c r="AC99" i="154" s="1"/>
  <c r="T72" i="154"/>
  <c r="W72" i="154" s="1"/>
  <c r="Z72" i="154" s="1"/>
  <c r="AC72" i="154" s="1"/>
  <c r="T66" i="154"/>
  <c r="W66" i="154" s="1"/>
  <c r="Z66" i="154" s="1"/>
  <c r="AC66" i="154" s="1"/>
  <c r="R66" i="154"/>
  <c r="U66" i="154" s="1"/>
  <c r="X66" i="154" s="1"/>
  <c r="AA66" i="154" s="1"/>
  <c r="AD66" i="154" s="1"/>
  <c r="R37" i="154"/>
  <c r="U37" i="154" s="1"/>
  <c r="X37" i="154" s="1"/>
  <c r="AA37" i="154" s="1"/>
  <c r="AD37" i="154" s="1"/>
  <c r="R12" i="154"/>
  <c r="U12" i="154" s="1"/>
  <c r="X12" i="154" s="1"/>
  <c r="AA12" i="154" s="1"/>
  <c r="AD12" i="154" s="1"/>
  <c r="T52" i="154"/>
  <c r="W52" i="154" s="1"/>
  <c r="Z52" i="154" s="1"/>
  <c r="AC52" i="154" s="1"/>
  <c r="R48" i="154"/>
  <c r="U48" i="154" s="1"/>
  <c r="X48" i="154" s="1"/>
  <c r="AA48" i="154" s="1"/>
  <c r="AD48" i="154" s="1"/>
  <c r="T39" i="154"/>
  <c r="W39" i="154" s="1"/>
  <c r="Z39" i="154" s="1"/>
  <c r="AC39" i="154" s="1"/>
  <c r="T35" i="154"/>
  <c r="W35" i="154" s="1"/>
  <c r="Z35" i="154" s="1"/>
  <c r="AC35" i="154" s="1"/>
  <c r="R31" i="154"/>
  <c r="U31" i="154" s="1"/>
  <c r="X31" i="154" s="1"/>
  <c r="AA31" i="154" s="1"/>
  <c r="AD31" i="154" s="1"/>
  <c r="T22" i="154"/>
  <c r="W22" i="154" s="1"/>
  <c r="Z22" i="154" s="1"/>
  <c r="AC22" i="154" s="1"/>
  <c r="R18" i="154"/>
  <c r="U18" i="154" s="1"/>
  <c r="X18" i="154" s="1"/>
  <c r="AA18" i="154" s="1"/>
  <c r="AD18" i="154" s="1"/>
  <c r="R14" i="154"/>
  <c r="U14" i="154" s="1"/>
  <c r="X14" i="154" s="1"/>
  <c r="AA14" i="154" s="1"/>
  <c r="AD14" i="154" s="1"/>
  <c r="R10" i="154"/>
  <c r="U10" i="154" s="1"/>
  <c r="X10" i="154" s="1"/>
  <c r="AA10" i="154" s="1"/>
  <c r="AD10" i="154" s="1"/>
  <c r="T48" i="154"/>
  <c r="W48" i="154" s="1"/>
  <c r="Z48" i="154" s="1"/>
  <c r="AC48" i="154" s="1"/>
  <c r="R70" i="154"/>
  <c r="U70" i="154" s="1"/>
  <c r="X70" i="154" s="1"/>
  <c r="AA70" i="154" s="1"/>
  <c r="AD70" i="154" s="1"/>
  <c r="R53" i="154"/>
  <c r="U53" i="154" s="1"/>
  <c r="X53" i="154" s="1"/>
  <c r="AA53" i="154" s="1"/>
  <c r="AD53" i="154" s="1"/>
  <c r="R40" i="154"/>
  <c r="U40" i="154" s="1"/>
  <c r="X40" i="154" s="1"/>
  <c r="AA40" i="154" s="1"/>
  <c r="AD40" i="154" s="1"/>
  <c r="R36" i="154"/>
  <c r="U36" i="154" s="1"/>
  <c r="X36" i="154" s="1"/>
  <c r="AA36" i="154" s="1"/>
  <c r="AD36" i="154" s="1"/>
  <c r="R7" i="154"/>
  <c r="U7" i="154" s="1"/>
  <c r="X7" i="154" s="1"/>
  <c r="AA7" i="154" s="1"/>
  <c r="AD7" i="154" s="1"/>
  <c r="R11" i="154"/>
  <c r="U11" i="154" s="1"/>
  <c r="X11" i="154" s="1"/>
  <c r="AA11" i="154" s="1"/>
  <c r="AD11" i="154" s="1"/>
  <c r="T6" i="154"/>
  <c r="W6" i="154" s="1"/>
  <c r="Z6" i="154" s="1"/>
  <c r="AC6" i="154" s="1"/>
  <c r="R6" i="154"/>
  <c r="U6" i="154" s="1"/>
  <c r="X6" i="154" s="1"/>
  <c r="AA6" i="154" s="1"/>
  <c r="AD6" i="154" s="1"/>
  <c r="K5" i="154"/>
  <c r="L5" i="154" s="1"/>
  <c r="P5" i="154" s="1"/>
  <c r="S5" i="154" s="1"/>
  <c r="V5" i="154" s="1"/>
  <c r="Y5" i="154" s="1"/>
  <c r="AB5" i="154" s="1"/>
  <c r="I110" i="154"/>
  <c r="I111" i="154"/>
  <c r="I112" i="154"/>
  <c r="I113" i="154"/>
  <c r="I114" i="154"/>
  <c r="I115" i="154"/>
  <c r="I116" i="154"/>
  <c r="I109" i="154"/>
  <c r="I97" i="154"/>
  <c r="I98" i="154"/>
  <c r="I99" i="154"/>
  <c r="O99" i="154" s="1"/>
  <c r="I100" i="154"/>
  <c r="I101" i="154"/>
  <c r="I102" i="154"/>
  <c r="I103" i="154"/>
  <c r="I104" i="154"/>
  <c r="I96" i="154"/>
  <c r="I84" i="154"/>
  <c r="O84" i="154" s="1"/>
  <c r="I85" i="154"/>
  <c r="O85" i="154" s="1"/>
  <c r="I86" i="154"/>
  <c r="O86" i="154" s="1"/>
  <c r="I87" i="154"/>
  <c r="O87" i="154" s="1"/>
  <c r="I88" i="154"/>
  <c r="O88" i="154" s="1"/>
  <c r="I89" i="154"/>
  <c r="I90" i="154"/>
  <c r="I91" i="154"/>
  <c r="I92" i="154"/>
  <c r="O92" i="154" s="1"/>
  <c r="I83" i="154"/>
  <c r="O83" i="154" s="1"/>
  <c r="I71" i="154"/>
  <c r="I72" i="154"/>
  <c r="I73" i="154"/>
  <c r="I74" i="154"/>
  <c r="I75" i="154"/>
  <c r="I76" i="154"/>
  <c r="I77" i="154"/>
  <c r="I78" i="154"/>
  <c r="I70" i="154"/>
  <c r="I58" i="154"/>
  <c r="I59" i="154"/>
  <c r="I60" i="154"/>
  <c r="I61" i="154"/>
  <c r="I62" i="154"/>
  <c r="I63" i="154"/>
  <c r="I64" i="154"/>
  <c r="I65" i="154"/>
  <c r="I57" i="154"/>
  <c r="I45" i="154"/>
  <c r="I46" i="154"/>
  <c r="I47" i="154"/>
  <c r="I48" i="154"/>
  <c r="I49" i="154"/>
  <c r="I50" i="154"/>
  <c r="I51" i="154"/>
  <c r="I52" i="154"/>
  <c r="I53" i="154"/>
  <c r="I44" i="154"/>
  <c r="I32" i="154"/>
  <c r="O32" i="154" s="1"/>
  <c r="I33" i="154"/>
  <c r="O33" i="154" s="1"/>
  <c r="I34" i="154"/>
  <c r="I35" i="154"/>
  <c r="I36" i="154"/>
  <c r="I37" i="154"/>
  <c r="I38" i="154"/>
  <c r="I31" i="154"/>
  <c r="O31" i="154" s="1"/>
  <c r="I19" i="154"/>
  <c r="O19" i="154" s="1"/>
  <c r="I20" i="154"/>
  <c r="O20" i="154" s="1"/>
  <c r="I21" i="154"/>
  <c r="I22" i="154"/>
  <c r="I23" i="154"/>
  <c r="O23" i="154" s="1"/>
  <c r="I24" i="154"/>
  <c r="O24" i="154" s="1"/>
  <c r="I25" i="154"/>
  <c r="I26" i="154"/>
  <c r="I27" i="154"/>
  <c r="I28" i="154"/>
  <c r="O28" i="154" s="1"/>
  <c r="I18" i="154"/>
  <c r="O18" i="154" s="1"/>
  <c r="I6" i="154"/>
  <c r="I7" i="154"/>
  <c r="O7" i="154" s="1"/>
  <c r="I8" i="154"/>
  <c r="O8" i="154" s="1"/>
  <c r="I9" i="154"/>
  <c r="I10" i="154"/>
  <c r="O10" i="154" s="1"/>
  <c r="I11" i="154"/>
  <c r="O11" i="154" s="1"/>
  <c r="I12" i="154"/>
  <c r="I13" i="154"/>
  <c r="I14" i="154"/>
  <c r="O14" i="154" s="1"/>
  <c r="I15" i="154"/>
  <c r="O15" i="154" s="1"/>
  <c r="I5" i="154"/>
  <c r="P130" i="133"/>
  <c r="P129" i="133" s="1"/>
  <c r="O130" i="133"/>
  <c r="O129" i="133" s="1"/>
  <c r="N130" i="133"/>
  <c r="N129" i="133" s="1"/>
  <c r="M130" i="133"/>
  <c r="M129" i="133" s="1"/>
  <c r="L130" i="133"/>
  <c r="L129" i="133" s="1"/>
  <c r="K130" i="133"/>
  <c r="K129" i="133" s="1"/>
  <c r="J130" i="133"/>
  <c r="J129" i="133" s="1"/>
  <c r="I130" i="133"/>
  <c r="I129" i="133" s="1"/>
  <c r="H130" i="133"/>
  <c r="H129" i="133" s="1"/>
  <c r="G130" i="133"/>
  <c r="G129" i="133" s="1"/>
  <c r="F130" i="133"/>
  <c r="F129" i="133" s="1"/>
  <c r="E130" i="133"/>
  <c r="E129" i="133" s="1"/>
  <c r="D130" i="133"/>
  <c r="D115" i="133"/>
  <c r="E115" i="133"/>
  <c r="F115" i="133"/>
  <c r="G115" i="133"/>
  <c r="H115" i="133"/>
  <c r="I115" i="133"/>
  <c r="J115" i="133"/>
  <c r="K115" i="133"/>
  <c r="L115" i="133"/>
  <c r="M115" i="133"/>
  <c r="N115" i="133"/>
  <c r="O115" i="133"/>
  <c r="P115" i="133"/>
  <c r="D116" i="133"/>
  <c r="E116" i="133"/>
  <c r="F116" i="133"/>
  <c r="G116" i="133"/>
  <c r="H116" i="133"/>
  <c r="I116" i="133"/>
  <c r="J116" i="133"/>
  <c r="K116" i="133"/>
  <c r="L116" i="133"/>
  <c r="M116" i="133"/>
  <c r="N116" i="133"/>
  <c r="O116" i="133"/>
  <c r="P116" i="133"/>
  <c r="D117" i="133"/>
  <c r="E117" i="133"/>
  <c r="F117" i="133"/>
  <c r="G117" i="133"/>
  <c r="H117" i="133"/>
  <c r="I117" i="133"/>
  <c r="J117" i="133"/>
  <c r="K117" i="133"/>
  <c r="L117" i="133"/>
  <c r="M117" i="133"/>
  <c r="N117" i="133"/>
  <c r="O117" i="133"/>
  <c r="P117" i="133"/>
  <c r="D118" i="133"/>
  <c r="E118" i="133"/>
  <c r="F118" i="133"/>
  <c r="G118" i="133"/>
  <c r="H118" i="133"/>
  <c r="I118" i="133"/>
  <c r="J118" i="133"/>
  <c r="K118" i="133"/>
  <c r="L118" i="133"/>
  <c r="M118" i="133"/>
  <c r="N118" i="133"/>
  <c r="O118" i="133"/>
  <c r="P118" i="133"/>
  <c r="D119" i="133"/>
  <c r="E119" i="133"/>
  <c r="F119" i="133"/>
  <c r="G119" i="133"/>
  <c r="H119" i="133"/>
  <c r="I119" i="133"/>
  <c r="J119" i="133"/>
  <c r="K119" i="133"/>
  <c r="L119" i="133"/>
  <c r="M119" i="133"/>
  <c r="N119" i="133"/>
  <c r="O119" i="133"/>
  <c r="P119" i="133"/>
  <c r="D120" i="133"/>
  <c r="E120" i="133"/>
  <c r="F120" i="133"/>
  <c r="G120" i="133"/>
  <c r="H120" i="133"/>
  <c r="I120" i="133"/>
  <c r="J120" i="133"/>
  <c r="K120" i="133"/>
  <c r="L120" i="133"/>
  <c r="M120" i="133"/>
  <c r="N120" i="133"/>
  <c r="O120" i="133"/>
  <c r="P120" i="133"/>
  <c r="D121" i="133"/>
  <c r="E121" i="133"/>
  <c r="F121" i="133"/>
  <c r="G121" i="133"/>
  <c r="H121" i="133"/>
  <c r="I121" i="133"/>
  <c r="J121" i="133"/>
  <c r="K121" i="133"/>
  <c r="L121" i="133"/>
  <c r="M121" i="133"/>
  <c r="N121" i="133"/>
  <c r="O121" i="133"/>
  <c r="P121" i="133"/>
  <c r="D122" i="133"/>
  <c r="E122" i="133"/>
  <c r="F122" i="133"/>
  <c r="G122" i="133"/>
  <c r="H122" i="133"/>
  <c r="I122" i="133"/>
  <c r="J122" i="133"/>
  <c r="K122" i="133"/>
  <c r="L122" i="133"/>
  <c r="M122" i="133"/>
  <c r="N122" i="133"/>
  <c r="O122" i="133"/>
  <c r="P122" i="133"/>
  <c r="D123" i="133"/>
  <c r="E123" i="133"/>
  <c r="F123" i="133"/>
  <c r="G123" i="133"/>
  <c r="H123" i="133"/>
  <c r="I123" i="133"/>
  <c r="J123" i="133"/>
  <c r="K123" i="133"/>
  <c r="L123" i="133"/>
  <c r="M123" i="133"/>
  <c r="N123" i="133"/>
  <c r="O123" i="133"/>
  <c r="P123" i="133"/>
  <c r="D124" i="133"/>
  <c r="E124" i="133"/>
  <c r="F124" i="133"/>
  <c r="G124" i="133"/>
  <c r="H124" i="133"/>
  <c r="I124" i="133"/>
  <c r="J124" i="133"/>
  <c r="K124" i="133"/>
  <c r="L124" i="133"/>
  <c r="M124" i="133"/>
  <c r="N124" i="133"/>
  <c r="O124" i="133"/>
  <c r="P124" i="133"/>
  <c r="D125" i="133"/>
  <c r="E125" i="133"/>
  <c r="F125" i="133"/>
  <c r="G125" i="133"/>
  <c r="H125" i="133"/>
  <c r="I125" i="133"/>
  <c r="J125" i="133"/>
  <c r="K125" i="133"/>
  <c r="L125" i="133"/>
  <c r="M125" i="133"/>
  <c r="N125" i="133"/>
  <c r="O125" i="133"/>
  <c r="P125" i="133"/>
  <c r="D126" i="133"/>
  <c r="E126" i="133"/>
  <c r="F126" i="133"/>
  <c r="G126" i="133"/>
  <c r="H126" i="133"/>
  <c r="I126" i="133"/>
  <c r="J126" i="133"/>
  <c r="K126" i="133"/>
  <c r="L126" i="133"/>
  <c r="M126" i="133"/>
  <c r="N126" i="133"/>
  <c r="O126" i="133"/>
  <c r="P126" i="133"/>
  <c r="D127" i="133"/>
  <c r="E127" i="133"/>
  <c r="F127" i="133"/>
  <c r="G127" i="133"/>
  <c r="H127" i="133"/>
  <c r="I127" i="133"/>
  <c r="J127" i="133"/>
  <c r="K127" i="133"/>
  <c r="L127" i="133"/>
  <c r="M127" i="133"/>
  <c r="N127" i="133"/>
  <c r="O127" i="133"/>
  <c r="P127" i="133"/>
  <c r="D128" i="133"/>
  <c r="E128" i="133"/>
  <c r="F128" i="133"/>
  <c r="G128" i="133"/>
  <c r="H128" i="133"/>
  <c r="I128" i="133"/>
  <c r="J128" i="133"/>
  <c r="K128" i="133"/>
  <c r="L128" i="133"/>
  <c r="M128" i="133"/>
  <c r="N128" i="133"/>
  <c r="O128" i="133"/>
  <c r="P128" i="133"/>
  <c r="P114" i="133"/>
  <c r="O114" i="133"/>
  <c r="N114" i="133"/>
  <c r="M114" i="133"/>
  <c r="L114" i="133"/>
  <c r="K114" i="133"/>
  <c r="J114" i="133"/>
  <c r="I114" i="133"/>
  <c r="H114" i="133"/>
  <c r="G114" i="133"/>
  <c r="F114" i="133"/>
  <c r="E114" i="133"/>
  <c r="D114" i="133"/>
  <c r="P113" i="133"/>
  <c r="O113" i="133"/>
  <c r="N113" i="133"/>
  <c r="M113" i="133"/>
  <c r="L113" i="133"/>
  <c r="K113" i="133"/>
  <c r="J113" i="133"/>
  <c r="I113" i="133"/>
  <c r="H113" i="133"/>
  <c r="G113" i="133"/>
  <c r="F113" i="133"/>
  <c r="E113" i="133"/>
  <c r="D113" i="133"/>
  <c r="P111" i="133"/>
  <c r="O111" i="133"/>
  <c r="N111" i="133"/>
  <c r="M111" i="133"/>
  <c r="L111" i="133"/>
  <c r="K111" i="133"/>
  <c r="J111" i="133"/>
  <c r="I111" i="133"/>
  <c r="H111" i="133"/>
  <c r="G111" i="133"/>
  <c r="F111" i="133"/>
  <c r="E111" i="133"/>
  <c r="D111" i="133"/>
  <c r="P110" i="133"/>
  <c r="O110" i="133"/>
  <c r="N110" i="133"/>
  <c r="M110" i="133"/>
  <c r="L110" i="133"/>
  <c r="K110" i="133"/>
  <c r="J110" i="133"/>
  <c r="I110" i="133"/>
  <c r="H110" i="133"/>
  <c r="G110" i="133"/>
  <c r="F110" i="133"/>
  <c r="E110" i="133"/>
  <c r="D110" i="133"/>
  <c r="D98" i="133"/>
  <c r="E98" i="133"/>
  <c r="F98" i="133"/>
  <c r="G98" i="133"/>
  <c r="H98" i="133"/>
  <c r="I98" i="133"/>
  <c r="J98" i="133"/>
  <c r="K98" i="133"/>
  <c r="L98" i="133"/>
  <c r="M98" i="133"/>
  <c r="N98" i="133"/>
  <c r="O98" i="133"/>
  <c r="P98" i="133"/>
  <c r="D99" i="133"/>
  <c r="E99" i="133"/>
  <c r="F99" i="133"/>
  <c r="G99" i="133"/>
  <c r="H99" i="133"/>
  <c r="I99" i="133"/>
  <c r="J99" i="133"/>
  <c r="K99" i="133"/>
  <c r="L99" i="133"/>
  <c r="M99" i="133"/>
  <c r="N99" i="133"/>
  <c r="O99" i="133"/>
  <c r="P99" i="133"/>
  <c r="D100" i="133"/>
  <c r="E100" i="133"/>
  <c r="F100" i="133"/>
  <c r="G100" i="133"/>
  <c r="H100" i="133"/>
  <c r="I100" i="133"/>
  <c r="J100" i="133"/>
  <c r="K100" i="133"/>
  <c r="L100" i="133"/>
  <c r="M100" i="133"/>
  <c r="N100" i="133"/>
  <c r="O100" i="133"/>
  <c r="P100" i="133"/>
  <c r="D101" i="133"/>
  <c r="E101" i="133"/>
  <c r="F101" i="133"/>
  <c r="G101" i="133"/>
  <c r="H101" i="133"/>
  <c r="I101" i="133"/>
  <c r="J101" i="133"/>
  <c r="K101" i="133"/>
  <c r="L101" i="133"/>
  <c r="M101" i="133"/>
  <c r="N101" i="133"/>
  <c r="O101" i="133"/>
  <c r="P101" i="133"/>
  <c r="D102" i="133"/>
  <c r="E102" i="133"/>
  <c r="F102" i="133"/>
  <c r="G102" i="133"/>
  <c r="H102" i="133"/>
  <c r="I102" i="133"/>
  <c r="J102" i="133"/>
  <c r="K102" i="133"/>
  <c r="L102" i="133"/>
  <c r="M102" i="133"/>
  <c r="N102" i="133"/>
  <c r="O102" i="133"/>
  <c r="P102" i="133"/>
  <c r="D103" i="133"/>
  <c r="E103" i="133"/>
  <c r="F103" i="133"/>
  <c r="G103" i="133"/>
  <c r="H103" i="133"/>
  <c r="I103" i="133"/>
  <c r="J103" i="133"/>
  <c r="K103" i="133"/>
  <c r="L103" i="133"/>
  <c r="M103" i="133"/>
  <c r="N103" i="133"/>
  <c r="O103" i="133"/>
  <c r="P103" i="133"/>
  <c r="D104" i="133"/>
  <c r="E104" i="133"/>
  <c r="F104" i="133"/>
  <c r="G104" i="133"/>
  <c r="H104" i="133"/>
  <c r="I104" i="133"/>
  <c r="J104" i="133"/>
  <c r="K104" i="133"/>
  <c r="L104" i="133"/>
  <c r="M104" i="133"/>
  <c r="N104" i="133"/>
  <c r="O104" i="133"/>
  <c r="P104" i="133"/>
  <c r="D105" i="133"/>
  <c r="E105" i="133"/>
  <c r="F105" i="133"/>
  <c r="G105" i="133"/>
  <c r="H105" i="133"/>
  <c r="I105" i="133"/>
  <c r="J105" i="133"/>
  <c r="K105" i="133"/>
  <c r="L105" i="133"/>
  <c r="M105" i="133"/>
  <c r="N105" i="133"/>
  <c r="O105" i="133"/>
  <c r="P105" i="133"/>
  <c r="D106" i="133"/>
  <c r="E106" i="133"/>
  <c r="F106" i="133"/>
  <c r="G106" i="133"/>
  <c r="H106" i="133"/>
  <c r="I106" i="133"/>
  <c r="J106" i="133"/>
  <c r="K106" i="133"/>
  <c r="L106" i="133"/>
  <c r="M106" i="133"/>
  <c r="N106" i="133"/>
  <c r="O106" i="133"/>
  <c r="P106" i="133"/>
  <c r="D107" i="133"/>
  <c r="E107" i="133"/>
  <c r="F107" i="133"/>
  <c r="G107" i="133"/>
  <c r="H107" i="133"/>
  <c r="I107" i="133"/>
  <c r="J107" i="133"/>
  <c r="K107" i="133"/>
  <c r="L107" i="133"/>
  <c r="M107" i="133"/>
  <c r="N107" i="133"/>
  <c r="O107" i="133"/>
  <c r="P107" i="133"/>
  <c r="D108" i="133"/>
  <c r="E108" i="133"/>
  <c r="F108" i="133"/>
  <c r="G108" i="133"/>
  <c r="H108" i="133"/>
  <c r="I108" i="133"/>
  <c r="J108" i="133"/>
  <c r="K108" i="133"/>
  <c r="L108" i="133"/>
  <c r="M108" i="133"/>
  <c r="N108" i="133"/>
  <c r="O108" i="133"/>
  <c r="P108" i="133"/>
  <c r="P97" i="133"/>
  <c r="O97" i="133"/>
  <c r="N97" i="133"/>
  <c r="M97" i="133"/>
  <c r="L97" i="133"/>
  <c r="K97" i="133"/>
  <c r="J97" i="133"/>
  <c r="I97" i="133"/>
  <c r="H97" i="133"/>
  <c r="G97" i="133"/>
  <c r="F97" i="133"/>
  <c r="E97" i="133"/>
  <c r="D97" i="133"/>
  <c r="P96" i="133"/>
  <c r="O96" i="133"/>
  <c r="N96" i="133"/>
  <c r="M96" i="133"/>
  <c r="L96" i="133"/>
  <c r="K96" i="133"/>
  <c r="J96" i="133"/>
  <c r="I96" i="133"/>
  <c r="H96" i="133"/>
  <c r="G96" i="133"/>
  <c r="F96" i="133"/>
  <c r="E96" i="133"/>
  <c r="D96" i="133"/>
  <c r="P95" i="133"/>
  <c r="O95" i="133"/>
  <c r="N95" i="133"/>
  <c r="M95" i="133"/>
  <c r="L95" i="133"/>
  <c r="K95" i="133"/>
  <c r="J95" i="133"/>
  <c r="I95" i="133"/>
  <c r="H95" i="133"/>
  <c r="G95" i="133"/>
  <c r="F95" i="133"/>
  <c r="E95" i="133"/>
  <c r="D95" i="133"/>
  <c r="P94" i="133"/>
  <c r="O94" i="133"/>
  <c r="N94" i="133"/>
  <c r="M94" i="133"/>
  <c r="L94" i="133"/>
  <c r="K94" i="133"/>
  <c r="J94" i="133"/>
  <c r="I94" i="133"/>
  <c r="H94" i="133"/>
  <c r="G94" i="133"/>
  <c r="F94" i="133"/>
  <c r="E94" i="133"/>
  <c r="D94" i="133"/>
  <c r="P93" i="133"/>
  <c r="O93" i="133"/>
  <c r="N93" i="133"/>
  <c r="M93" i="133"/>
  <c r="L93" i="133"/>
  <c r="K93" i="133"/>
  <c r="J93" i="133"/>
  <c r="I93" i="133"/>
  <c r="H93" i="133"/>
  <c r="G93" i="133"/>
  <c r="F93" i="133"/>
  <c r="E93" i="133"/>
  <c r="D93" i="133"/>
  <c r="D88" i="133"/>
  <c r="E88" i="133"/>
  <c r="F88" i="133"/>
  <c r="G88" i="133"/>
  <c r="H88" i="133"/>
  <c r="I88" i="133"/>
  <c r="J88" i="133"/>
  <c r="K88" i="133"/>
  <c r="L88" i="133"/>
  <c r="M88" i="133"/>
  <c r="N88" i="133"/>
  <c r="O88" i="133"/>
  <c r="P88" i="133"/>
  <c r="D89" i="133"/>
  <c r="E89" i="133"/>
  <c r="F89" i="133"/>
  <c r="G89" i="133"/>
  <c r="H89" i="133"/>
  <c r="I89" i="133"/>
  <c r="J89" i="133"/>
  <c r="K89" i="133"/>
  <c r="L89" i="133"/>
  <c r="M89" i="133"/>
  <c r="N89" i="133"/>
  <c r="O89" i="133"/>
  <c r="P89" i="133"/>
  <c r="D90" i="133"/>
  <c r="E90" i="133"/>
  <c r="F90" i="133"/>
  <c r="G90" i="133"/>
  <c r="H90" i="133"/>
  <c r="I90" i="133"/>
  <c r="J90" i="133"/>
  <c r="K90" i="133"/>
  <c r="L90" i="133"/>
  <c r="M90" i="133"/>
  <c r="N90" i="133"/>
  <c r="O90" i="133"/>
  <c r="P90" i="133"/>
  <c r="D91" i="133"/>
  <c r="E91" i="133"/>
  <c r="F91" i="133"/>
  <c r="G91" i="133"/>
  <c r="H91" i="133"/>
  <c r="I91" i="133"/>
  <c r="J91" i="133"/>
  <c r="K91" i="133"/>
  <c r="L91" i="133"/>
  <c r="M91" i="133"/>
  <c r="N91" i="133"/>
  <c r="O91" i="133"/>
  <c r="P91" i="133"/>
  <c r="E87" i="133"/>
  <c r="F87" i="133"/>
  <c r="G87" i="133"/>
  <c r="H87" i="133"/>
  <c r="I87" i="133"/>
  <c r="J87" i="133"/>
  <c r="K87" i="133"/>
  <c r="L87" i="133"/>
  <c r="M87" i="133"/>
  <c r="N87" i="133"/>
  <c r="O87" i="133"/>
  <c r="P87" i="133"/>
  <c r="D87" i="133"/>
  <c r="E27" i="133"/>
  <c r="F27" i="133"/>
  <c r="G27" i="133"/>
  <c r="H27" i="133"/>
  <c r="I27" i="133"/>
  <c r="J27" i="133"/>
  <c r="K27" i="133"/>
  <c r="L27" i="133"/>
  <c r="M27" i="133"/>
  <c r="N27" i="133"/>
  <c r="O27" i="133"/>
  <c r="P27" i="133"/>
  <c r="Q27" i="133"/>
  <c r="E28" i="133"/>
  <c r="F28" i="133"/>
  <c r="G28" i="133"/>
  <c r="H28" i="133"/>
  <c r="I28" i="133"/>
  <c r="J28" i="133"/>
  <c r="K28" i="133"/>
  <c r="L28" i="133"/>
  <c r="M28" i="133"/>
  <c r="N28" i="133"/>
  <c r="O28" i="133"/>
  <c r="P28" i="133"/>
  <c r="Q28" i="133"/>
  <c r="D28" i="133"/>
  <c r="D27" i="133"/>
  <c r="T5" i="154" l="1"/>
  <c r="W5" i="154" s="1"/>
  <c r="Z5" i="154" s="1"/>
  <c r="AC5" i="154" s="1"/>
  <c r="R5" i="154"/>
  <c r="U5" i="154" s="1"/>
  <c r="X5" i="154" s="1"/>
  <c r="AA5" i="154" s="1"/>
  <c r="AD5" i="154" s="1"/>
  <c r="Q130" i="133"/>
  <c r="Q129" i="133" s="1"/>
  <c r="Q114" i="133"/>
  <c r="G112" i="133"/>
  <c r="E109" i="133"/>
  <c r="P86" i="133"/>
  <c r="O109" i="133"/>
  <c r="M109" i="133"/>
  <c r="N109" i="133"/>
  <c r="H109" i="133"/>
  <c r="K109" i="133"/>
  <c r="J109" i="133"/>
  <c r="Q111" i="133"/>
  <c r="G109" i="133"/>
  <c r="F109" i="133"/>
  <c r="Q108" i="133"/>
  <c r="Q100" i="133"/>
  <c r="G92" i="133"/>
  <c r="H92" i="133"/>
  <c r="G86" i="133"/>
  <c r="F86" i="133"/>
  <c r="Q118" i="133"/>
  <c r="Q89" i="133"/>
  <c r="L86" i="133"/>
  <c r="O92" i="133"/>
  <c r="Q123" i="133"/>
  <c r="L112" i="133"/>
  <c r="K86" i="133"/>
  <c r="Q90" i="133"/>
  <c r="N86" i="133"/>
  <c r="L109" i="133"/>
  <c r="F112" i="133"/>
  <c r="K112" i="133"/>
  <c r="Q99" i="133"/>
  <c r="J86" i="133"/>
  <c r="M86" i="133"/>
  <c r="Q107" i="133"/>
  <c r="P92" i="133"/>
  <c r="E112" i="133"/>
  <c r="M112" i="133"/>
  <c r="I86" i="133"/>
  <c r="O86" i="133"/>
  <c r="J92" i="133"/>
  <c r="Q102" i="133"/>
  <c r="N92" i="133"/>
  <c r="L92" i="133"/>
  <c r="J112" i="133"/>
  <c r="Q124" i="133"/>
  <c r="Q121" i="133"/>
  <c r="I112" i="133"/>
  <c r="D86" i="133"/>
  <c r="H86" i="133"/>
  <c r="Q91" i="133"/>
  <c r="I92" i="133"/>
  <c r="Q101" i="133"/>
  <c r="M92" i="133"/>
  <c r="Q97" i="133"/>
  <c r="K92" i="133"/>
  <c r="I109" i="133"/>
  <c r="Q120" i="133"/>
  <c r="Q119" i="133"/>
  <c r="H112" i="133"/>
  <c r="E86" i="133"/>
  <c r="Q105" i="133"/>
  <c r="O112" i="133"/>
  <c r="P109" i="133"/>
  <c r="N112" i="133"/>
  <c r="Q126" i="133"/>
  <c r="Q103" i="133"/>
  <c r="D112" i="133"/>
  <c r="F92" i="133"/>
  <c r="Q104" i="133"/>
  <c r="Q98" i="133"/>
  <c r="P112" i="133"/>
  <c r="Q122" i="133"/>
  <c r="Q117" i="133"/>
  <c r="E92" i="133"/>
  <c r="Q116" i="133"/>
  <c r="Q115" i="133"/>
  <c r="Q88" i="133"/>
  <c r="Q94" i="133"/>
  <c r="Q93" i="133"/>
  <c r="D109" i="133"/>
  <c r="Q127" i="133"/>
  <c r="Q125" i="133"/>
  <c r="Q95" i="133"/>
  <c r="Q106" i="133"/>
  <c r="Q128" i="133"/>
  <c r="D92" i="133"/>
  <c r="Q96" i="133"/>
  <c r="Q113" i="133"/>
  <c r="Q110" i="133"/>
  <c r="D129" i="133"/>
  <c r="Q87" i="133"/>
  <c r="E132" i="133" l="1"/>
  <c r="L132" i="133"/>
  <c r="O132" i="133"/>
  <c r="Q109" i="133"/>
  <c r="H132" i="133"/>
  <c r="G132" i="133"/>
  <c r="F132" i="133"/>
  <c r="N132" i="133"/>
  <c r="J132" i="133"/>
  <c r="P132" i="133"/>
  <c r="I132" i="133"/>
  <c r="K132" i="133"/>
  <c r="M132" i="133"/>
  <c r="Q86" i="133"/>
  <c r="D132" i="133"/>
  <c r="Q112" i="133"/>
  <c r="Q92" i="133"/>
  <c r="Q132" i="1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J5" authorId="0" shapeId="0" xr:uid="{29E8EBD3-7F92-44D0-BDBF-780946D3E8E1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K5" authorId="1" shapeId="0" xr:uid="{8C8A968B-A209-484F-9E9A-4B5AA064519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L5" authorId="1" shapeId="0" xr:uid="{801087F2-E937-4070-889B-674B4138E101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M5" authorId="1" shapeId="0" xr:uid="{DF41BEF6-90D3-4C71-B285-2C4A797D86F6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B5" authorId="1" shapeId="0" xr:uid="{411BA442-6C0F-492A-B5D4-28A0EB11EC7B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C5" authorId="0" shapeId="0" xr:uid="{76EE7C6A-8313-45EA-999D-6D584071BD0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D5" authorId="1" shapeId="0" xr:uid="{83812EC4-5A89-490C-B0F9-7F9E0BCF716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Q6" authorId="1" shapeId="0" xr:uid="{160E1266-50F7-4452-85C7-66AA11B4B77A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Greed</author>
  </authors>
  <commentList>
    <comment ref="G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 to account for split between lighting techs</t>
        </r>
      </text>
    </comment>
    <comment ref="G28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G49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Pumping manually added </t>
        </r>
      </text>
    </comment>
    <comment ref="G50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G76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  <comment ref="G102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Andrew Greed:</t>
        </r>
        <r>
          <rPr>
            <sz val="9"/>
            <color indexed="81"/>
            <rFont val="Tahoma"/>
            <family val="2"/>
          </rPr>
          <t xml:space="preserve">
Manual</t>
        </r>
      </text>
    </comment>
  </commentList>
</comments>
</file>

<file path=xl/sharedStrings.xml><?xml version="1.0" encoding="utf-8"?>
<sst xmlns="http://schemas.openxmlformats.org/spreadsheetml/2006/main" count="4615" uniqueCount="1003">
  <si>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</si>
  <si>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</si>
  <si>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</si>
  <si>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</si>
  <si>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</si>
  <si>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</si>
  <si>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</si>
  <si>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</si>
  <si>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</si>
  <si>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</si>
  <si>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</si>
  <si>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</si>
  <si>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</si>
  <si>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</si>
  <si>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</si>
  <si>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</si>
  <si>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</si>
  <si>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</si>
  <si>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</si>
  <si>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</si>
  <si>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</si>
  <si>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</si>
  <si>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</si>
  <si>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</si>
  <si>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</si>
  <si>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</si>
  <si>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</si>
  <si>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</si>
  <si>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</si>
  <si>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</si>
  <si>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</si>
  <si>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</si>
  <si>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</si>
  <si>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</si>
  <si>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</si>
  <si>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</si>
  <si>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</si>
  <si>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</si>
  <si>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</si>
  <si>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</si>
  <si>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</si>
  <si>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</si>
  <si>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</si>
  <si>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Natural Gas</t>
  </si>
  <si>
    <t>Residential</t>
  </si>
  <si>
    <t>Commercial</t>
  </si>
  <si>
    <t>Industry</t>
  </si>
  <si>
    <t>Agriculture</t>
  </si>
  <si>
    <t>Transport</t>
  </si>
  <si>
    <t>NRG</t>
  </si>
  <si>
    <t>Sector Name</t>
  </si>
  <si>
    <t>Commodity</t>
  </si>
  <si>
    <t>Description</t>
  </si>
  <si>
    <t>PJ</t>
  </si>
  <si>
    <t>LIFE</t>
  </si>
  <si>
    <t>*</t>
  </si>
  <si>
    <t>EFF</t>
  </si>
  <si>
    <t>Electricity</t>
  </si>
  <si>
    <t>Efficiency</t>
  </si>
  <si>
    <t>*Units</t>
  </si>
  <si>
    <t>Years</t>
  </si>
  <si>
    <t>Currency</t>
  </si>
  <si>
    <t>Existing</t>
  </si>
  <si>
    <t>E</t>
  </si>
  <si>
    <t>Sector</t>
  </si>
  <si>
    <t>ENV</t>
  </si>
  <si>
    <t>Sector Fuel</t>
  </si>
  <si>
    <t>PRE</t>
  </si>
  <si>
    <t>Deafult unit</t>
  </si>
  <si>
    <t>STOCK</t>
  </si>
  <si>
    <t>DSL</t>
  </si>
  <si>
    <t>LPG</t>
  </si>
  <si>
    <t>~COMEMI</t>
  </si>
  <si>
    <t>Input Share</t>
  </si>
  <si>
    <t>Share-I~UP</t>
  </si>
  <si>
    <t>kt/PJ</t>
  </si>
  <si>
    <t>SOL</t>
  </si>
  <si>
    <t>Lifetime</t>
  </si>
  <si>
    <t>Aviation Fuel/Kerosene</t>
  </si>
  <si>
    <t>Biogas</t>
  </si>
  <si>
    <t>Black Liquor</t>
  </si>
  <si>
    <t>Coal</t>
  </si>
  <si>
    <t>Diesel</t>
  </si>
  <si>
    <t>Fuel Oil</t>
  </si>
  <si>
    <t>Geothermal</t>
  </si>
  <si>
    <t>Petrol</t>
  </si>
  <si>
    <t>Solar</t>
  </si>
  <si>
    <t>Wood</t>
  </si>
  <si>
    <t>Grand Total</t>
  </si>
  <si>
    <t>Auckland Region</t>
  </si>
  <si>
    <t>Bay of Plenty Region</t>
  </si>
  <si>
    <t>Canterbury Region</t>
  </si>
  <si>
    <t>Gisborne Region</t>
  </si>
  <si>
    <t>Hawke's Bay Region</t>
  </si>
  <si>
    <t>Manawatu-Wanganui Region</t>
  </si>
  <si>
    <t>Marlborough Region</t>
  </si>
  <si>
    <t>Nelson Region</t>
  </si>
  <si>
    <t>Northland Region</t>
  </si>
  <si>
    <t>Otago Region</t>
  </si>
  <si>
    <t>Southland Region</t>
  </si>
  <si>
    <t>Taranaki Region</t>
  </si>
  <si>
    <t>Tasman Region</t>
  </si>
  <si>
    <t>Waikato Region</t>
  </si>
  <si>
    <t>Wellington Region</t>
  </si>
  <si>
    <t>West Coast Region</t>
  </si>
  <si>
    <t>Island</t>
  </si>
  <si>
    <t>NI</t>
  </si>
  <si>
    <t>SI</t>
  </si>
  <si>
    <t xml:space="preserve">Regional Energy End Use by Fuel Type - Delivered Energy for the Calendar Year 2012 (Terajoules)  </t>
  </si>
  <si>
    <t>Sector ANZSIC 2006*</t>
  </si>
  <si>
    <t>Dairy Cattle Farming</t>
  </si>
  <si>
    <t>Fishing, Hunting and Trapping</t>
  </si>
  <si>
    <t>Forestry and Logging</t>
  </si>
  <si>
    <t>Indoor Cropping</t>
  </si>
  <si>
    <t>Non-Dairy Agriculture</t>
  </si>
  <si>
    <t>Commerce</t>
  </si>
  <si>
    <t>Accommodation and Food Services</t>
  </si>
  <si>
    <t>Arts, Recreational and Other Services</t>
  </si>
  <si>
    <t>Building Cleaning, Pest Control and Other Support Services</t>
  </si>
  <si>
    <t>Central Government Administration</t>
  </si>
  <si>
    <t>Defence</t>
  </si>
  <si>
    <t>Education and Training: Pre-School, Primary and Secondary</t>
  </si>
  <si>
    <t>Education and Training: Tertiary Education and Other Education</t>
  </si>
  <si>
    <t>Financing, Insurance, Real Estate and Business Services</t>
  </si>
  <si>
    <t>Health Care and Social Assistance</t>
  </si>
  <si>
    <t>Information Media and Telecommunications</t>
  </si>
  <si>
    <t>Local Government Administration</t>
  </si>
  <si>
    <t>Public Administration and Safety</t>
  </si>
  <si>
    <t>Retail Trade - Food</t>
  </si>
  <si>
    <t>Transport, Postal and Warehousing (Commercial - Non-Transport)</t>
  </si>
  <si>
    <t>Wholesale and Retail Trade - Non Food</t>
  </si>
  <si>
    <t>Wholesale Trade - Food</t>
  </si>
  <si>
    <t>Household</t>
  </si>
  <si>
    <t>Household (Private Transport)</t>
  </si>
  <si>
    <t>Construction</t>
  </si>
  <si>
    <t>Dairy Product Manufacturing</t>
  </si>
  <si>
    <t>Electricity, Gas, Water and Waste Services</t>
  </si>
  <si>
    <t>Fabricated Metal Product, Transport Equipment, Machinery and Equipment Manufacturing</t>
  </si>
  <si>
    <t>Furniture and Other Manufacturing</t>
  </si>
  <si>
    <t>Furniture and Other Manufacturing and Electricity, Gas, Water and Waste Services</t>
  </si>
  <si>
    <t>Meat and Meat Product Manufacturing and Seafood</t>
  </si>
  <si>
    <t xml:space="preserve">Mining </t>
  </si>
  <si>
    <t>Non-Metallic Mineral Product Manufacturing</t>
  </si>
  <si>
    <t>Other Food Product Manufacturing</t>
  </si>
  <si>
    <t>Petroleum, Basic Chemical and Rubber Product Manufacturing</t>
  </si>
  <si>
    <t>Primary Metal and Metal Product Manufacturing</t>
  </si>
  <si>
    <t>Printing</t>
  </si>
  <si>
    <t>Pulp, Paper and Converted Paper Product Manufacturing</t>
  </si>
  <si>
    <t>Textile, Leather, Clothing and Footwear Manufacturing</t>
  </si>
  <si>
    <t>Wood Product Manufacturing</t>
  </si>
  <si>
    <t>Transport, Postal and Warehousing**</t>
  </si>
  <si>
    <t>Complete New Zealand (TJ)</t>
  </si>
  <si>
    <t>Assume: Bioliquid</t>
  </si>
  <si>
    <t>Assume: Sum of all coals</t>
  </si>
  <si>
    <t>ANNUAL</t>
  </si>
  <si>
    <t>INDCOA</t>
  </si>
  <si>
    <t>INDCOL</t>
  </si>
  <si>
    <t>INDOIL</t>
  </si>
  <si>
    <t>INDNGA</t>
  </si>
  <si>
    <t>INDHYD</t>
  </si>
  <si>
    <t>INDGEO</t>
  </si>
  <si>
    <t>INDSOL</t>
  </si>
  <si>
    <t>INDWIN</t>
  </si>
  <si>
    <t>INDBIL</t>
  </si>
  <si>
    <t>INDBIG</t>
  </si>
  <si>
    <t>INDWOD</t>
  </si>
  <si>
    <t>INDTID</t>
  </si>
  <si>
    <t>COL</t>
  </si>
  <si>
    <t>NGA</t>
  </si>
  <si>
    <t>GEO</t>
  </si>
  <si>
    <t>WOD</t>
  </si>
  <si>
    <t>SH</t>
  </si>
  <si>
    <t>WH</t>
  </si>
  <si>
    <t xml:space="preserve">Water heating </t>
  </si>
  <si>
    <t>PH</t>
  </si>
  <si>
    <t xml:space="preserve">High temperature process heat </t>
  </si>
  <si>
    <t>LT</t>
  </si>
  <si>
    <t xml:space="preserve">Lighting </t>
  </si>
  <si>
    <t>AC</t>
  </si>
  <si>
    <t>Air conditioning</t>
  </si>
  <si>
    <t>EQ</t>
  </si>
  <si>
    <t>Electrical and ICT equipments</t>
  </si>
  <si>
    <t>MD</t>
  </si>
  <si>
    <t>Mechanical drive</t>
  </si>
  <si>
    <t>OT</t>
  </si>
  <si>
    <t>Internal transport and others</t>
  </si>
  <si>
    <t>PC</t>
  </si>
  <si>
    <t xml:space="preserve">Process cooling </t>
  </si>
  <si>
    <t>*AFA</t>
  </si>
  <si>
    <t>ActBnd</t>
  </si>
  <si>
    <t>PRC_RESID~2015</t>
  </si>
  <si>
    <t>PRC_RESID~2050</t>
  </si>
  <si>
    <t>ActBnd~LO~2015</t>
  </si>
  <si>
    <t>ActBnd~LO~0</t>
  </si>
  <si>
    <t>Demands</t>
  </si>
  <si>
    <t>Validity</t>
  </si>
  <si>
    <t>Fuel Application</t>
  </si>
  <si>
    <t>Fuel</t>
  </si>
  <si>
    <t>Yes</t>
  </si>
  <si>
    <t>Demand (Key)</t>
  </si>
  <si>
    <t>Fuel (Key)</t>
  </si>
  <si>
    <t>Sector (Key)</t>
  </si>
  <si>
    <t>Ext</t>
  </si>
  <si>
    <t>Technology Key</t>
  </si>
  <si>
    <t>Valid Technology Key</t>
  </si>
  <si>
    <t>No</t>
  </si>
  <si>
    <t>yes</t>
  </si>
  <si>
    <t>no</t>
  </si>
  <si>
    <t>IND-</t>
  </si>
  <si>
    <t>PRC_RESID~2035</t>
  </si>
  <si>
    <t>*ActBnd~LO~2035</t>
  </si>
  <si>
    <t>ActBnd~LO~2050</t>
  </si>
  <si>
    <t>ACT_BND~UP~2040</t>
  </si>
  <si>
    <t>Appliances</t>
  </si>
  <si>
    <t>AP</t>
  </si>
  <si>
    <t>INDELC</t>
  </si>
  <si>
    <t xml:space="preserve">Space heating </t>
  </si>
  <si>
    <t>Washing</t>
  </si>
  <si>
    <t>WS</t>
  </si>
  <si>
    <t>Cooking</t>
  </si>
  <si>
    <t>CO</t>
  </si>
  <si>
    <t>TRA-</t>
  </si>
  <si>
    <t>RES-</t>
  </si>
  <si>
    <t>RESCOA</t>
  </si>
  <si>
    <t>RESCOL</t>
  </si>
  <si>
    <t>RESOIL</t>
  </si>
  <si>
    <t>RESNGA</t>
  </si>
  <si>
    <t>RESHYD</t>
  </si>
  <si>
    <t>RESGEO</t>
  </si>
  <si>
    <t>RESSOL</t>
  </si>
  <si>
    <t>RESWIN</t>
  </si>
  <si>
    <t>RESBIL</t>
  </si>
  <si>
    <t>RESBIG</t>
  </si>
  <si>
    <t>RESWOD</t>
  </si>
  <si>
    <t>RESTID</t>
  </si>
  <si>
    <t>RESELC</t>
  </si>
  <si>
    <t>COM-</t>
  </si>
  <si>
    <t>COMCOA</t>
  </si>
  <si>
    <t>COMCOL</t>
  </si>
  <si>
    <t>COMOIL</t>
  </si>
  <si>
    <t>COMNGA</t>
  </si>
  <si>
    <t>COMHYD</t>
  </si>
  <si>
    <t>COMGEO</t>
  </si>
  <si>
    <t>COMSOL</t>
  </si>
  <si>
    <t>COMWIN</t>
  </si>
  <si>
    <t>COMBIL</t>
  </si>
  <si>
    <t>COMBIG</t>
  </si>
  <si>
    <t>COMWOD</t>
  </si>
  <si>
    <t>COMTID</t>
  </si>
  <si>
    <t>COMELC</t>
  </si>
  <si>
    <t>Communications</t>
  </si>
  <si>
    <t>Internal transport</t>
  </si>
  <si>
    <t>IT</t>
  </si>
  <si>
    <t>Others</t>
  </si>
  <si>
    <t>Land-Road</t>
  </si>
  <si>
    <t>Land-Other</t>
  </si>
  <si>
    <t>Aviation</t>
  </si>
  <si>
    <t>Shipping</t>
  </si>
  <si>
    <t>LR</t>
  </si>
  <si>
    <t>LO</t>
  </si>
  <si>
    <t>AV</t>
  </si>
  <si>
    <t>TRACOA</t>
  </si>
  <si>
    <t>TRACOL</t>
  </si>
  <si>
    <t>TRAOIL</t>
  </si>
  <si>
    <t>TRANGA</t>
  </si>
  <si>
    <t>TRAHYD</t>
  </si>
  <si>
    <t>TRAGEO</t>
  </si>
  <si>
    <t>TRASOL</t>
  </si>
  <si>
    <t>TRAWIN</t>
  </si>
  <si>
    <t>TRABIL</t>
  </si>
  <si>
    <t>TRABIG</t>
  </si>
  <si>
    <t>TRAWOD</t>
  </si>
  <si>
    <t>TRATID</t>
  </si>
  <si>
    <t>TRAELC</t>
  </si>
  <si>
    <t>AGR-</t>
  </si>
  <si>
    <t>AGRCOA</t>
  </si>
  <si>
    <t>AGRCOL</t>
  </si>
  <si>
    <t>AGROIL</t>
  </si>
  <si>
    <t>AGRNGA</t>
  </si>
  <si>
    <t>AGRHYD</t>
  </si>
  <si>
    <t>AGRGEO</t>
  </si>
  <si>
    <t>AGRSOL</t>
  </si>
  <si>
    <t>AGRWIN</t>
  </si>
  <si>
    <t>AGRBIL</t>
  </si>
  <si>
    <t>AGRBIG</t>
  </si>
  <si>
    <t>AGRWOD</t>
  </si>
  <si>
    <t>AGRTID</t>
  </si>
  <si>
    <t>AGRELC</t>
  </si>
  <si>
    <t>Million NZD (2015)</t>
  </si>
  <si>
    <t>PJa</t>
  </si>
  <si>
    <t>AGR</t>
  </si>
  <si>
    <t>Agriculture Coal</t>
  </si>
  <si>
    <t>FTE_AGRCOA</t>
  </si>
  <si>
    <t xml:space="preserve"> </t>
  </si>
  <si>
    <t>Demand~2025</t>
  </si>
  <si>
    <t>Demand~2030</t>
  </si>
  <si>
    <t>Demand~2040</t>
  </si>
  <si>
    <t>Demand~2050</t>
  </si>
  <si>
    <t>PJ_a</t>
  </si>
  <si>
    <t>Share of SI</t>
  </si>
  <si>
    <t>Demand of SI (PJ)</t>
  </si>
  <si>
    <t>RESLPG</t>
  </si>
  <si>
    <t>RESDSL</t>
  </si>
  <si>
    <t xml:space="preserve"> Residential Coal</t>
  </si>
  <si>
    <t>Residential Natural gas</t>
  </si>
  <si>
    <t>Residential LPG</t>
  </si>
  <si>
    <t>Residential Diesel</t>
  </si>
  <si>
    <t>Residential Firewood</t>
  </si>
  <si>
    <t>Residential Geothermal</t>
  </si>
  <si>
    <t>Residential Solar energy</t>
  </si>
  <si>
    <t>DEM</t>
  </si>
  <si>
    <t>DMD</t>
  </si>
  <si>
    <t>*TechDesc</t>
  </si>
  <si>
    <t>Life</t>
  </si>
  <si>
    <t>Annual Availability Factor</t>
  </si>
  <si>
    <t>Lifetime of Process</t>
  </si>
  <si>
    <t>Capacity to Activity Factor</t>
  </si>
  <si>
    <t>Existing Installed Capacity in Pja</t>
  </si>
  <si>
    <t>Bound on activity of a process</t>
  </si>
  <si>
    <t>Demand~2060</t>
  </si>
  <si>
    <t>\I: Technology Name</t>
  </si>
  <si>
    <t>COMLPG</t>
  </si>
  <si>
    <t>COMDSL</t>
  </si>
  <si>
    <t>COMPET</t>
  </si>
  <si>
    <t>Commercial Natural gas</t>
  </si>
  <si>
    <t>Commercial LPG</t>
  </si>
  <si>
    <t>Commercial Diesel</t>
  </si>
  <si>
    <t>Commercial Biogas</t>
  </si>
  <si>
    <t>Commercial Geothermal</t>
  </si>
  <si>
    <t>Commercial Fuel Oil</t>
  </si>
  <si>
    <t>Commercial petroleum</t>
  </si>
  <si>
    <t>COMCO2</t>
  </si>
  <si>
    <t>Commercial sector CO2</t>
  </si>
  <si>
    <t>kt</t>
  </si>
  <si>
    <t>COMFOL</t>
  </si>
  <si>
    <t>Sector Fuel Technology Existing Coal</t>
  </si>
  <si>
    <t>INVCOST</t>
  </si>
  <si>
    <t>EFF~2025</t>
  </si>
  <si>
    <t>EFF~2040</t>
  </si>
  <si>
    <t>EFF~2060</t>
  </si>
  <si>
    <t>AGRCO2</t>
  </si>
  <si>
    <t>RESCO2</t>
  </si>
  <si>
    <t>Agriculture emissions</t>
  </si>
  <si>
    <t>EFF~0</t>
  </si>
  <si>
    <t>Share-I~UP~0</t>
  </si>
  <si>
    <t>FX</t>
  </si>
  <si>
    <t>FIXOM</t>
  </si>
  <si>
    <t>VAROM</t>
  </si>
  <si>
    <t>Capital costs</t>
  </si>
  <si>
    <t>Fixed  O&amp;M</t>
  </si>
  <si>
    <t>Variable O&amp;M</t>
  </si>
  <si>
    <t>MNZD/Pja</t>
  </si>
  <si>
    <t>MNZD/PJ</t>
  </si>
  <si>
    <t>PRC_RESID</t>
  </si>
  <si>
    <t>CAP2ACT</t>
  </si>
  <si>
    <t>Capacity to activity factor</t>
  </si>
  <si>
    <t>see also VT_NI_OTH_V4.xls</t>
  </si>
  <si>
    <t>*Share-I~UP~2060</t>
  </si>
  <si>
    <t>EFF~2021</t>
  </si>
  <si>
    <t>ACT_BND~UP~2021</t>
  </si>
  <si>
    <t>AFA</t>
  </si>
  <si>
    <t>Demand~2018</t>
  </si>
  <si>
    <t>Demand~2020</t>
  </si>
  <si>
    <t>Share-I~UP~2025</t>
  </si>
  <si>
    <t>ACT_BND</t>
  </si>
  <si>
    <t>ADCF-MoTP-Stat</t>
  </si>
  <si>
    <t>Dairy Cattle Farming Motive Power, Stationary</t>
  </si>
  <si>
    <t>ADCF-IRG</t>
  </si>
  <si>
    <t>Dairy Cattle Farming Irrigation</t>
  </si>
  <si>
    <t>ADCF-MoTP-Stat-VacP_ELC00</t>
  </si>
  <si>
    <t>Dairy Cattle Farming-Vacuum Pump</t>
  </si>
  <si>
    <t>GW</t>
  </si>
  <si>
    <t>ADCF-WH</t>
  </si>
  <si>
    <t>Dairy Cattle Farming Low Temperature Heat (&lt;100 C), Water Heating</t>
  </si>
  <si>
    <t>ADCF-MoTP-Stat-VPVSD_ELC00</t>
  </si>
  <si>
    <t>Dairy Cattle Farming-Vacuum pump with VSD</t>
  </si>
  <si>
    <t>ADCF-MoTP-Mob-Trac</t>
  </si>
  <si>
    <t>Dairy Cattle Farming Motive Power, Mobile</t>
  </si>
  <si>
    <t>ADCF-IRG-Irg_ELC00</t>
  </si>
  <si>
    <t>Dairy Cattle Farming-Irrigation</t>
  </si>
  <si>
    <t>ADCF-MoTP-Mob-MTr</t>
  </si>
  <si>
    <t>ADCF-IRG-IrgVSD_ELC00</t>
  </si>
  <si>
    <t>Dairy Cattle Farming-Irrigation with VSD</t>
  </si>
  <si>
    <t>ADCF-MoTP-Mob-Uti</t>
  </si>
  <si>
    <t>ADCF-WH-Cylinder_ELC00</t>
  </si>
  <si>
    <t>Dairy Cattle Farming-Hot Water Cylinder</t>
  </si>
  <si>
    <t>ADCF-MoTP-Mob-Bike</t>
  </si>
  <si>
    <t>ADCF-WH-Hreco_ELC00</t>
  </si>
  <si>
    <t>Dairy Cattle Farming-Heat Recovery &amp; Heat Pump</t>
  </si>
  <si>
    <t>ADCF-PUMP</t>
  </si>
  <si>
    <t>Dairy Cattle Farming Pumping</t>
  </si>
  <si>
    <t>ADCF-MoTP-Mob-Trac-_DSL00</t>
  </si>
  <si>
    <t>Dairy Cattle Farming-Tractor</t>
  </si>
  <si>
    <t>ADCF-RFGR</t>
  </si>
  <si>
    <t>Dairy Cattle Farming Refrigeration</t>
  </si>
  <si>
    <t>ADCF-MoTP-Mob-MTr-_DSL00</t>
  </si>
  <si>
    <t>Dairy Cattle Farming-Medium Truck</t>
  </si>
  <si>
    <t>ADCF-LIG</t>
  </si>
  <si>
    <t>Dairy Cattle Farming Lighting</t>
  </si>
  <si>
    <t>ADCF-MoTP-Mob-Uti-_DSL00</t>
  </si>
  <si>
    <t>Dairy Cattle Farming-Utility</t>
  </si>
  <si>
    <t>ALIVE-IRG</t>
  </si>
  <si>
    <t>Livestock Farming Irrigation</t>
  </si>
  <si>
    <t>ADCF-MoTP-Mob-Bike-_PET00</t>
  </si>
  <si>
    <t xml:space="preserve">Dairy Cattle Farming-Motorbike/side by side </t>
  </si>
  <si>
    <t>ALIVE-MoTP-Mob-Trac</t>
  </si>
  <si>
    <t>Livestock Farming Motive Power, Mobile</t>
  </si>
  <si>
    <t>ADCF-PUMP-Pump_ELC00</t>
  </si>
  <si>
    <t>Dairy Cattle Farming-Transfer Pumps etc</t>
  </si>
  <si>
    <t>ALIVE-MoTP-Mob-MTr</t>
  </si>
  <si>
    <t>ADCF-RFGR-RF_ELC00</t>
  </si>
  <si>
    <t xml:space="preserve">Dairy Cattle Farming-Refrigeration </t>
  </si>
  <si>
    <t>ALIVE-MoTP-Mob-Uti</t>
  </si>
  <si>
    <t>ADCF-RFGR-HRECSys_ELC00</t>
  </si>
  <si>
    <t>Dairy Cattle Farming-Heat Recovery System</t>
  </si>
  <si>
    <t>ALIVE-MoTP-Mob-Bike</t>
  </si>
  <si>
    <t>ADCF-LIG-LT_ELC00</t>
  </si>
  <si>
    <t>Dairy Cattle Farming-Light</t>
  </si>
  <si>
    <t>ALIVE-LIG</t>
  </si>
  <si>
    <t>Livestock Farming Lighting</t>
  </si>
  <si>
    <t>ALIVE-IRG-Irg_ELC00</t>
  </si>
  <si>
    <t>Livestock Farming-Irrigation</t>
  </si>
  <si>
    <t>AHORT-IRG</t>
  </si>
  <si>
    <t>Horticulture (Outdoor) Irrigation</t>
  </si>
  <si>
    <t>ALIVE-IRG-IrgVSD_ELC00</t>
  </si>
  <si>
    <t>Livestock Farming-Irrigation with VSD</t>
  </si>
  <si>
    <t>AHORT-MoTP-Mob-Trac</t>
  </si>
  <si>
    <t>Horticulture (Outdoor) Motive Power, Mobile</t>
  </si>
  <si>
    <t>ALIVE-MoTP-Mob-Trac-_DSL00</t>
  </si>
  <si>
    <t>Livestock Farming-Tractor</t>
  </si>
  <si>
    <t>AHORT-MoTP-Mob-MTr</t>
  </si>
  <si>
    <t>ALIVE-MoTP-Mob-MTr-_DSL00</t>
  </si>
  <si>
    <t>Livestock Farming-Medium Truck</t>
  </si>
  <si>
    <t>AHORT-MoTP-Mob-Uti</t>
  </si>
  <si>
    <t>ALIVE-MoTP-Mob-Uti-_DSL00</t>
  </si>
  <si>
    <t>Livestock Farming-Utility</t>
  </si>
  <si>
    <t>AHORT-MoTP-Stat</t>
  </si>
  <si>
    <t>Horticulture (Outdoor) Motive Power, Stationary</t>
  </si>
  <si>
    <t>ALIVE-MoTP-Mob-Bike-_PET00</t>
  </si>
  <si>
    <t xml:space="preserve">Livestock Farming-Motorbike/side by side </t>
  </si>
  <si>
    <t>AHORT-LIG</t>
  </si>
  <si>
    <t>Horticulture (Outdoor) Lighting</t>
  </si>
  <si>
    <t>ALIVE-LIG-LT_ELC00</t>
  </si>
  <si>
    <t>Livestock Farming-Light</t>
  </si>
  <si>
    <t>AINDC-SH</t>
  </si>
  <si>
    <t>Indoor Cropping Low Temperature Heat (&lt;100 C), Space Heating</t>
  </si>
  <si>
    <t>AHORT-IRG-Irg_ELC00</t>
  </si>
  <si>
    <t>Horticulture (Outdoor)-Irrigation</t>
  </si>
  <si>
    <t>AINDC-LIG</t>
  </si>
  <si>
    <t>AHORT-IRG-IrgVSD_ELC00</t>
  </si>
  <si>
    <t>Horticulture (Outdoor)-Irrigation with VSD</t>
  </si>
  <si>
    <t>AFORE-MoTP-Stat</t>
  </si>
  <si>
    <t>Forestry and Logging Motive Power, Stationary</t>
  </si>
  <si>
    <t>AHORT-MoTP-Mob-Trac-_DSL00</t>
  </si>
  <si>
    <t>Horticulture (Outdoor)-Tractor</t>
  </si>
  <si>
    <t>AFORE-MoTP-Mob-GB</t>
  </si>
  <si>
    <t>Forestry and Logging Motive Power, Mobile</t>
  </si>
  <si>
    <t>AHORT-MoTP-Mob-MTr-_DSL00</t>
  </si>
  <si>
    <t>Horticulture (Outdoor)-Medium Truck</t>
  </si>
  <si>
    <t>AFORE-MoTP-Mob-CY</t>
  </si>
  <si>
    <t>AHORT-MoTP-Mob-Uti-_DSL00</t>
  </si>
  <si>
    <t>Horticulture (Outdoor)-Utility</t>
  </si>
  <si>
    <t>AFORE-LIG</t>
  </si>
  <si>
    <t>Forestry and Logging Lighting</t>
  </si>
  <si>
    <t>AHORT-MoTP-Stat-Motor_DSL00</t>
  </si>
  <si>
    <t>Horticulture (Outdoor)-Frost Protection windmills</t>
  </si>
  <si>
    <t>AFISH-BOAT</t>
  </si>
  <si>
    <t>Fishing, Hunting and Trapping Motive Power, Mobile</t>
  </si>
  <si>
    <t>AHORT-LIG-LT_ELC00</t>
  </si>
  <si>
    <t>Horticulture (Outdoor)-Light</t>
  </si>
  <si>
    <t>AFISH-RFGR</t>
  </si>
  <si>
    <t>Fishing, Hunting and Trapping Refrigeration</t>
  </si>
  <si>
    <t>AINDC-SH-Boiler_COA00</t>
  </si>
  <si>
    <t>Indoor Cropping-Boiler</t>
  </si>
  <si>
    <t>AFISH-LIG</t>
  </si>
  <si>
    <t>Fishing, Hunting and Trapping Lighting</t>
  </si>
  <si>
    <t>AINDC-SH-Boiler_DSL00</t>
  </si>
  <si>
    <t>AOTH-ELC</t>
  </si>
  <si>
    <t>Other Other - Elec</t>
  </si>
  <si>
    <t>AINDC-LIG-LT_ELC00</t>
  </si>
  <si>
    <t>Indoor Cropping-Light</t>
  </si>
  <si>
    <t>AOTH-FOL</t>
  </si>
  <si>
    <t>Other Other - Fuel Oil</t>
  </si>
  <si>
    <t>AFORE-MoTP-Stat-Motor_ELC00</t>
  </si>
  <si>
    <t>Forestry and Logging-Motive Power Stationery</t>
  </si>
  <si>
    <t>AOTH-LPG</t>
  </si>
  <si>
    <t>Other Other - LPG</t>
  </si>
  <si>
    <t>AOTH-PET</t>
  </si>
  <si>
    <t>Other Other - Petrol</t>
  </si>
  <si>
    <t>AFORE-MoTP-Mob-GB-_DSL00</t>
  </si>
  <si>
    <t>Forestry and Logging-Ground Based</t>
  </si>
  <si>
    <t>AFORE-MoTP-Mob-CY-_DSL00</t>
  </si>
  <si>
    <t>Forestry and Logging-Cable Yarding</t>
  </si>
  <si>
    <t>AFORE-LIG-LT_ELC00</t>
  </si>
  <si>
    <t>Forestry and Logging-Light</t>
  </si>
  <si>
    <t>AFISH-BOAT-Boat_DSL00</t>
  </si>
  <si>
    <t>Fishing, Hunting and Trapping-Boat</t>
  </si>
  <si>
    <t>AFISH-BOAT-Boat_FOL00</t>
  </si>
  <si>
    <t>AFISH-RFGR-RF_ELC00</t>
  </si>
  <si>
    <t>Fishing, Hunting and Trapping-Refrigeration</t>
  </si>
  <si>
    <t>AFISH-LIG-LT_ELC00</t>
  </si>
  <si>
    <t>Fishing, Hunting and Trapping-Light</t>
  </si>
  <si>
    <t>AOTH-ELC-_ELC00</t>
  </si>
  <si>
    <t>Other-Electricity</t>
  </si>
  <si>
    <t>Pja</t>
  </si>
  <si>
    <t>AOTH-FOL-_FOL00</t>
  </si>
  <si>
    <t>Other-Fuel Oil</t>
  </si>
  <si>
    <t>AOTH-LPG-_LPG00</t>
  </si>
  <si>
    <t>Other-LPG</t>
  </si>
  <si>
    <t>AOTH-PET-_PET00</t>
  </si>
  <si>
    <t>Other-Petrol</t>
  </si>
  <si>
    <t>*Delivered energy 2018</t>
  </si>
  <si>
    <t>*Energy from EEUD</t>
  </si>
  <si>
    <t>CAPEX</t>
  </si>
  <si>
    <t>FIXED O&amp;M</t>
  </si>
  <si>
    <t>Actual end-use in 2018</t>
  </si>
  <si>
    <t>Annual utilisation factor</t>
  </si>
  <si>
    <t>*PJ</t>
  </si>
  <si>
    <t>%</t>
  </si>
  <si>
    <t>NZD/kW</t>
  </si>
  <si>
    <t>NZD/kW/yr</t>
  </si>
  <si>
    <t>End-use PJ</t>
  </si>
  <si>
    <t>AGRDSL</t>
  </si>
  <si>
    <t>AGRPET</t>
  </si>
  <si>
    <t>AGRFOL</t>
  </si>
  <si>
    <t>AGRLPG</t>
  </si>
  <si>
    <t>Agriculture diesel oil</t>
  </si>
  <si>
    <t>Agriculture petroleum</t>
  </si>
  <si>
    <t>Agriculture fuel oil</t>
  </si>
  <si>
    <t>Agriculture LPG</t>
  </si>
  <si>
    <t>AGRPLT</t>
  </si>
  <si>
    <t>Agriculture pellet</t>
  </si>
  <si>
    <t>AFORE-MoTP-Stat-Motor_DSL00</t>
  </si>
  <si>
    <t>Investment Cost</t>
  </si>
  <si>
    <t>O&amp;M Cost</t>
  </si>
  <si>
    <t>Capacity Factor</t>
  </si>
  <si>
    <t>Consumption of North Island</t>
  </si>
  <si>
    <t>Education Electronics ELC</t>
  </si>
  <si>
    <t>Education Other</t>
  </si>
  <si>
    <t>Education Lighting</t>
  </si>
  <si>
    <t>Education Lighting Incandescent ELC</t>
  </si>
  <si>
    <t>Education Lighting Fluorescent ELC</t>
  </si>
  <si>
    <t>Education Lighting LED ELC</t>
  </si>
  <si>
    <t>Education Boiler Systems COA</t>
  </si>
  <si>
    <t>Education Space Heating</t>
  </si>
  <si>
    <t>Education Boiler Systems DSL</t>
  </si>
  <si>
    <t>Education Boiler Systems FOL</t>
  </si>
  <si>
    <t>Education Boiler Systems NGA</t>
  </si>
  <si>
    <t>Education Burner (Direct Heat) NGA</t>
  </si>
  <si>
    <t>Education Heat Pump Air Source (for Heating) ELC</t>
  </si>
  <si>
    <t>Education Resistance Heater ELC</t>
  </si>
  <si>
    <t>Education Hot Water</t>
  </si>
  <si>
    <t>Education Hot Water Cylinder ELC</t>
  </si>
  <si>
    <t>Education Hot Water Cylinder NGA</t>
  </si>
  <si>
    <t>Education Motive power - mobile DSL</t>
  </si>
  <si>
    <t>Education Motive Power, Mobile</t>
  </si>
  <si>
    <t>Education Motive power - mobile PET</t>
  </si>
  <si>
    <t>Education Motive power Stationery ELC</t>
  </si>
  <si>
    <t>Education Motive Power, Stationery</t>
  </si>
  <si>
    <t>Education Motive power Stationery PET</t>
  </si>
  <si>
    <t>Education Refrigeration Systems ELC</t>
  </si>
  <si>
    <t>Education Refrigeration</t>
  </si>
  <si>
    <t>Education Heat Pump Air Source (for Cooling) ELC</t>
  </si>
  <si>
    <t>Education Space Cooling</t>
  </si>
  <si>
    <t>\I:</t>
  </si>
  <si>
    <t>Healthcare Electronics ELC</t>
  </si>
  <si>
    <t>Healthcare Other</t>
  </si>
  <si>
    <t>Healthcare Lighting</t>
  </si>
  <si>
    <t>Healthcare Lighting Incandescent ELC</t>
  </si>
  <si>
    <t>Healthcare Lighting Fluorescent ELC</t>
  </si>
  <si>
    <t>Healthcare Lighting LED ELC</t>
  </si>
  <si>
    <t>Healthcare Boiler Systems COA</t>
  </si>
  <si>
    <t>Healthcare Space Heating</t>
  </si>
  <si>
    <t>Healthcare Boiler Systems DSL</t>
  </si>
  <si>
    <t>Healthcare Boiler Systems NGA</t>
  </si>
  <si>
    <t>Healthcare Heat Pump Air Source (for Heating) ELC</t>
  </si>
  <si>
    <t>Healthcare Resistance Heater ELC</t>
  </si>
  <si>
    <t>Healthcare Boiler Systems FOL</t>
  </si>
  <si>
    <t>Healthcare Hot Water</t>
  </si>
  <si>
    <t>Healthcare Hot Water Cylinder ELC</t>
  </si>
  <si>
    <t>Healthcare Direct Heat GEO</t>
  </si>
  <si>
    <t>Healthcare Process Heat</t>
  </si>
  <si>
    <t>Healthcare Motive power - mobile DSL</t>
  </si>
  <si>
    <t>Healthcare Motive Power, Mobile</t>
  </si>
  <si>
    <t>Healthcare Motive power - mobile PET</t>
  </si>
  <si>
    <t>Healthcare Motive power Stationery ELC</t>
  </si>
  <si>
    <t>Healthcare Motive Power, Stationery</t>
  </si>
  <si>
    <t>Healthcare Refrigeration Systems ELC</t>
  </si>
  <si>
    <t>Healthcare Refrigeration</t>
  </si>
  <si>
    <t>Healthcare Heat Pump Air Source (for Cooling) ELC</t>
  </si>
  <si>
    <t>Healthcare Space Cooling</t>
  </si>
  <si>
    <t>Office Blocks Electronics ELC</t>
  </si>
  <si>
    <t>Office Blocks Other</t>
  </si>
  <si>
    <t>Office Blocks Lighting</t>
  </si>
  <si>
    <t>Office Blocks Lighting Incandescent ELC</t>
  </si>
  <si>
    <t>Office Blocks Lighting Fluorescent ELC</t>
  </si>
  <si>
    <t>Office Blocks Lighting LED ELC</t>
  </si>
  <si>
    <t>Office Blocks Boiler Systems COA</t>
  </si>
  <si>
    <t>Office Blocks Space Heating</t>
  </si>
  <si>
    <t>Office Blocks Boiler Systems DSL</t>
  </si>
  <si>
    <t>Office Blocks Boiler Systems FOL</t>
  </si>
  <si>
    <t>Office Blocks Boiler Systems NGA</t>
  </si>
  <si>
    <t>Office Blocks Burner (Direct Heat) NGA</t>
  </si>
  <si>
    <t>Office Blocks Heat Pump Air Source (for Heating) ELC</t>
  </si>
  <si>
    <t>Office Blocks Resistance Heater ELC</t>
  </si>
  <si>
    <t>Office Blocks Hot Water</t>
  </si>
  <si>
    <t>Office Blocks Heat Pump (for Heating) ELC</t>
  </si>
  <si>
    <t>Office Blocks Hot Water Cylinder ELC</t>
  </si>
  <si>
    <t>Office Blocks Hot Water Cylinder NGA</t>
  </si>
  <si>
    <t>Office Blocks Motive power - mobile DSL</t>
  </si>
  <si>
    <t>Office Blocks Motive Power, Mobile</t>
  </si>
  <si>
    <t>Office Blocks Motive power - mobile PET</t>
  </si>
  <si>
    <t>Office Blocks Motive power - mobile LPG</t>
  </si>
  <si>
    <t>Office Blocks Motive power Stationery ELC</t>
  </si>
  <si>
    <t>Office Blocks Motive Power, Stationery</t>
  </si>
  <si>
    <t>Office Blocks Heat Pump Air Source (for Cooling) ELC</t>
  </si>
  <si>
    <t>Office Blocks Space Cooling</t>
  </si>
  <si>
    <t>WSR Electronics ELC</t>
  </si>
  <si>
    <t>WSR Other</t>
  </si>
  <si>
    <t>WSR Cooking Elements ELC</t>
  </si>
  <si>
    <t>WSR Cooking</t>
  </si>
  <si>
    <t>WSR Cooking Ovens ELC</t>
  </si>
  <si>
    <t>WSR Cooking Ovens LPG</t>
  </si>
  <si>
    <t>WSR Cooking Ovens NGA</t>
  </si>
  <si>
    <t>WSR Lighting</t>
  </si>
  <si>
    <t>WSR Lighting Incandescent ELC</t>
  </si>
  <si>
    <t>WSR Lighting Fluorescent ELC</t>
  </si>
  <si>
    <t>WSR Lighting LED ELC</t>
  </si>
  <si>
    <t>WSR Boiler Systems COA</t>
  </si>
  <si>
    <t>WSR Space Heating</t>
  </si>
  <si>
    <t>WSR Boiler Systems DSL</t>
  </si>
  <si>
    <t>WSR Boiler Systems FOL</t>
  </si>
  <si>
    <t>WSR Boiler Systems LPG</t>
  </si>
  <si>
    <t>WSR Boiler Systems NGA</t>
  </si>
  <si>
    <t>WSR Burner (Direct Heat) COA</t>
  </si>
  <si>
    <t>WSR Burner (Direct Heat) FOL</t>
  </si>
  <si>
    <t>WSR Burner (Direct Heat) LPG</t>
  </si>
  <si>
    <t>WSR Burner (Direct Heat) NGA</t>
  </si>
  <si>
    <t>WSR Heat Pump Air Source (for Heating) ELC</t>
  </si>
  <si>
    <t>WSR Resistance Heater ELC</t>
  </si>
  <si>
    <t>WSR Direct Heat GEO</t>
  </si>
  <si>
    <t>WSR Hot Water</t>
  </si>
  <si>
    <t>WSR Hot Water Cylinder ELC</t>
  </si>
  <si>
    <t>WSR Hot Water Cylinder NGA</t>
  </si>
  <si>
    <t>WSR Motive power - mobile DSL</t>
  </si>
  <si>
    <t>WSR Motive Power, Mobile</t>
  </si>
  <si>
    <t>WSR Motive power - mobile PET</t>
  </si>
  <si>
    <t>WSR Motive power - mobile LPG</t>
  </si>
  <si>
    <t>WSR Motive power Stationery ELC</t>
  </si>
  <si>
    <t>WSR Motive Power, Stationery</t>
  </si>
  <si>
    <t>WSR Refrigeration Systems ELC</t>
  </si>
  <si>
    <t>WSR Refrigeration</t>
  </si>
  <si>
    <t>WSR Heat Pump Air Source (for Cooling) ELC</t>
  </si>
  <si>
    <t>WSR Space Cooling</t>
  </si>
  <si>
    <t>Other Electronics ELC</t>
  </si>
  <si>
    <t>Other Other</t>
  </si>
  <si>
    <t>Other Lighting</t>
  </si>
  <si>
    <t>Other Lighting Incandescent ELC</t>
  </si>
  <si>
    <t>Other Lighting Fluorescent ELC</t>
  </si>
  <si>
    <t>Other Lighting LED ELC</t>
  </si>
  <si>
    <t>Other Boiler Systems COA</t>
  </si>
  <si>
    <t>Other Space Heating</t>
  </si>
  <si>
    <t>Other Boiler Systems DSL</t>
  </si>
  <si>
    <t>Other Boiler Systems FOL</t>
  </si>
  <si>
    <t>Other Boiler Systems NGA</t>
  </si>
  <si>
    <t>Other Burner (Direct Heat) NGA</t>
  </si>
  <si>
    <t>Other Heat Pump Air Source (for Heating) ELC</t>
  </si>
  <si>
    <t>Other Resistance Heater ELC</t>
  </si>
  <si>
    <t>Other Hot Water</t>
  </si>
  <si>
    <t>Other Hot Water Cylinder ELC</t>
  </si>
  <si>
    <t>Other Hot Water Cylinder NGA</t>
  </si>
  <si>
    <t>Other Direct Heat GEO</t>
  </si>
  <si>
    <t>Other Motive power - mobile DSL</t>
  </si>
  <si>
    <t>Other Motive Power, Mobile</t>
  </si>
  <si>
    <t>Other Motive power - mobile PET</t>
  </si>
  <si>
    <t>Other Motive power - mobile FOL</t>
  </si>
  <si>
    <t>Other Motive power Stationery ELC</t>
  </si>
  <si>
    <t>Other Motive Power, Stationery</t>
  </si>
  <si>
    <t>Other Heat Pump Air Source (for Cooling) ELC</t>
  </si>
  <si>
    <t>Other Space Cooling</t>
  </si>
  <si>
    <t>C_EDU-OTH_ELEC-ELC00</t>
  </si>
  <si>
    <t>C_EDU-OTH</t>
  </si>
  <si>
    <t>C_EDU-LT</t>
  </si>
  <si>
    <t>C_EDU-LT_INC-ELC00</t>
  </si>
  <si>
    <t>C_EDU-LT_FLU-ELC00</t>
  </si>
  <si>
    <t>C_EDU-LT_LED-ELC00</t>
  </si>
  <si>
    <t>C_EDU-SH_Boiler-COA00</t>
  </si>
  <si>
    <t>C_EDU-SH</t>
  </si>
  <si>
    <t>C_EDU-SH_Boiler-DSL00</t>
  </si>
  <si>
    <t>C_EDU-SH_Boiler-FOL00</t>
  </si>
  <si>
    <t>C_EDU-SH_Boiler-NGA00</t>
  </si>
  <si>
    <t>C_EDU-SH_Burner-NGA00</t>
  </si>
  <si>
    <t>C_EDU-SH_AIRHP-ELC00</t>
  </si>
  <si>
    <t>C_EDU-SH_RH-ELC00</t>
  </si>
  <si>
    <t>C_EDU-WH_Boiler-COA00</t>
  </si>
  <si>
    <t>C_EDU-WH</t>
  </si>
  <si>
    <t>C_EDU-WH_Cylinder-ELC00</t>
  </si>
  <si>
    <t>C_EDU-WH_Cylinder-NGA00</t>
  </si>
  <si>
    <t>C_EDU-MPM_-DSL00</t>
  </si>
  <si>
    <t>C_EDU-MPM</t>
  </si>
  <si>
    <t>C_EDU-MPM_-PET00</t>
  </si>
  <si>
    <t>C_EDU-MPS_-ELC00</t>
  </si>
  <si>
    <t>C_EDU-MPS</t>
  </si>
  <si>
    <t>C_EDU-MPS_-PET00</t>
  </si>
  <si>
    <t>C_EDU-RF_Refriger-ELC00</t>
  </si>
  <si>
    <t>C_EDU-RF</t>
  </si>
  <si>
    <t>C_EDU-SC_AirHP-ELC00</t>
  </si>
  <si>
    <t>C_EDU-SC</t>
  </si>
  <si>
    <t>C_HLTH-OTH_ELEC-ELC00</t>
  </si>
  <si>
    <t>C_HLTH-OTH</t>
  </si>
  <si>
    <t>C_HLTH-LT</t>
  </si>
  <si>
    <t>C_HLTH-LT_INC-ELC00</t>
  </si>
  <si>
    <t>C_HLTH-LT_FLU-ELC00</t>
  </si>
  <si>
    <t>C_HLTH-LT_LED-ELC00</t>
  </si>
  <si>
    <t>C_HLTH-SH_Boiler-COA00</t>
  </si>
  <si>
    <t>C_HLTH-SH</t>
  </si>
  <si>
    <t>C_HLTH-SH_Boiler-DSL00</t>
  </si>
  <si>
    <t>C_HLTH-SH_Boiler-NGA00</t>
  </si>
  <si>
    <t>C_HLTH-SH_AIRHP-ELC00</t>
  </si>
  <si>
    <t>C_HLTH-SH_RH-ELC00</t>
  </si>
  <si>
    <t>C_HLTH-WH_Boiler-FOL00</t>
  </si>
  <si>
    <t>C_HLTH-WH</t>
  </si>
  <si>
    <t>C_HLTH-WH_Boiler-COA00</t>
  </si>
  <si>
    <t>C_HLTH-WH_Cylinder-ELC00</t>
  </si>
  <si>
    <t>C_HLTH-WH_DirectH-GEO00</t>
  </si>
  <si>
    <t>C_HLTH-PH_RH-ELC00</t>
  </si>
  <si>
    <t>C_HLTH-PH</t>
  </si>
  <si>
    <t>C_HLTH-PH_Boiler-COA00</t>
  </si>
  <si>
    <t>C_HLTH-MPM_-DSL00</t>
  </si>
  <si>
    <t>C_HLTH-MPM</t>
  </si>
  <si>
    <t>C_HLTH-MPM_-PET00</t>
  </si>
  <si>
    <t>C_HLTH-MPS_-ELC00</t>
  </si>
  <si>
    <t>C_HLTH-MPS</t>
  </si>
  <si>
    <t>C_HLTH-RF_Refriger-ELC00</t>
  </si>
  <si>
    <t>C_HLTH-RF</t>
  </si>
  <si>
    <t>C_HLTH-SC_AIRHP-ELC00</t>
  </si>
  <si>
    <t>C_HLTH-SC</t>
  </si>
  <si>
    <t>C_OFFC-OTH_EELC-ELC00</t>
  </si>
  <si>
    <t>C_OFFC-OTH</t>
  </si>
  <si>
    <t>C_OFFC-LT</t>
  </si>
  <si>
    <t>C_OFFC-LT_INC-ELC00</t>
  </si>
  <si>
    <t>C_OFFC-LT_FLU-ELC00</t>
  </si>
  <si>
    <t>C_OFFC-LT_LED-ELC00</t>
  </si>
  <si>
    <t>C_OFFC-SH_Boiler-COA00</t>
  </si>
  <si>
    <t>C_OFFC-SH</t>
  </si>
  <si>
    <t>C_OFFC-SH_Boiler-DSL00</t>
  </si>
  <si>
    <t>C_OFFC-SH_Boiler-FOL00</t>
  </si>
  <si>
    <t>C_OFFC-SH_Boiler-NGA00</t>
  </si>
  <si>
    <t>C_OFFC-SH_Burner-NGA00</t>
  </si>
  <si>
    <t>C_OFFC-SH_AirHP-ELC00</t>
  </si>
  <si>
    <t>C_OFFC-SH_RH-ELC00</t>
  </si>
  <si>
    <t>C_OFFC-WH_Boiler-FOL00</t>
  </si>
  <si>
    <t>C_OFFC-WH</t>
  </si>
  <si>
    <t>C_OFFC-WH_Boiler-COA00</t>
  </si>
  <si>
    <t>C_OFFC-WH_AirHP-ELC00</t>
  </si>
  <si>
    <t>C_OFFC-WH_Cylinder-ELC00</t>
  </si>
  <si>
    <t>C_OFFC-WH_Cylinder-NGA00</t>
  </si>
  <si>
    <t>C_OFFC-MPM_-DSL00</t>
  </si>
  <si>
    <t>C_OFFC-MPM</t>
  </si>
  <si>
    <t>C_OFFC-MPM_-PET00</t>
  </si>
  <si>
    <t>C_OFFC-MPM_-LPG00</t>
  </si>
  <si>
    <t>C_OFFC-MPS_-ELC00</t>
  </si>
  <si>
    <t>C_OFFC-MPS</t>
  </si>
  <si>
    <t>C_OFFC-SC_AIRHP-ELC00</t>
  </si>
  <si>
    <t>C_OFFC-SC</t>
  </si>
  <si>
    <t>C_WSR-OTH_ELEC-ELC00</t>
  </si>
  <si>
    <t>C_WSR-OTH</t>
  </si>
  <si>
    <t>C_WSR-CK_Elements-ELC00</t>
  </si>
  <si>
    <t>C_WSR-CK</t>
  </si>
  <si>
    <t>C_WSR-CK_Ovens-ELC00</t>
  </si>
  <si>
    <t>C_WSR-CK_Ovens-LPG00</t>
  </si>
  <si>
    <t>C_WSR-CK_Ovens-NGA00</t>
  </si>
  <si>
    <t>C_WSR-LT</t>
  </si>
  <si>
    <t>C_WSR-LT_INC-ELC00</t>
  </si>
  <si>
    <t>C_WSR-LT_FLU-ELC00</t>
  </si>
  <si>
    <t>C_WSR-LT_LED-ELC00</t>
  </si>
  <si>
    <t>C_WSR-SH_Boiler-COA00</t>
  </si>
  <si>
    <t>C_WSR-SH</t>
  </si>
  <si>
    <t>C_WSR-SH_Boiler-DSL00</t>
  </si>
  <si>
    <t>C_WSR-SH_Boiler-FOL00</t>
  </si>
  <si>
    <t>C_WSR-SH_Boiler-LPG00</t>
  </si>
  <si>
    <t>C_WSR-SH_Boiler-NGA00</t>
  </si>
  <si>
    <t>C_WSR-SH_HeatHD-COA00</t>
  </si>
  <si>
    <t>C_WSR-SH_HeatHD-FOL00</t>
  </si>
  <si>
    <t>C_WSR-SH_HeatHD-LPG00</t>
  </si>
  <si>
    <t>C_WSR-SH_HeatHD-NGA00</t>
  </si>
  <si>
    <t>C_WSR-SH_AirHP-ELC00</t>
  </si>
  <si>
    <t>C_WSR-SH_RH-ELC00</t>
  </si>
  <si>
    <t>C_WSR-MPM_-DSL00</t>
  </si>
  <si>
    <t>C_WSR-MPM</t>
  </si>
  <si>
    <t>C_WSR-MPM_-PET00</t>
  </si>
  <si>
    <t>C_WSR-MPM_-LPG00</t>
  </si>
  <si>
    <t>C_WSR-MPS_-ELC00</t>
  </si>
  <si>
    <t>C_WSR-MPS</t>
  </si>
  <si>
    <t>C_WSR-RF_Refriger-ELC00</t>
  </si>
  <si>
    <t>C_WSR-RF</t>
  </si>
  <si>
    <t>C_WSR-SC_AIRHP-ELC00</t>
  </si>
  <si>
    <t>C_WSR-SC</t>
  </si>
  <si>
    <t>C_OTH-OTH_Elec-ELC00</t>
  </si>
  <si>
    <t>C_OTH-OTH</t>
  </si>
  <si>
    <t>C_OTH-LT</t>
  </si>
  <si>
    <t>C_OTH-LT_INC-ELC00</t>
  </si>
  <si>
    <t>C_OTH-LT_FLU-ELC00</t>
  </si>
  <si>
    <t>C_OTH-LT_LED-ELC00</t>
  </si>
  <si>
    <t>C_OTH-SH_Boiler-COA00</t>
  </si>
  <si>
    <t>C_OTH-SH</t>
  </si>
  <si>
    <t>C_OTH-SH_Boiler-DSL00</t>
  </si>
  <si>
    <t>C_OTH-SH_Boiler-FOL00</t>
  </si>
  <si>
    <t>C_OTH-SH_Boiler-NGA00</t>
  </si>
  <si>
    <t>C_OTH-SH_Burner-NGA00</t>
  </si>
  <si>
    <t>C_OTH-SH_AirHP-ELC00</t>
  </si>
  <si>
    <t>C_OTH-SH_RH-ELC00</t>
  </si>
  <si>
    <t>C_OTH-WH_Boiler-FOL00</t>
  </si>
  <si>
    <t>C_OTH-WH</t>
  </si>
  <si>
    <t>C_OTH-WH_Boiler-COA00</t>
  </si>
  <si>
    <t>C_OTH-WH_Cylinder-ELC00</t>
  </si>
  <si>
    <t>C_OTH-WH_Cylinder-NGA00</t>
  </si>
  <si>
    <t>C_OTH-WH_DirectH-GEO00</t>
  </si>
  <si>
    <t>C_OTH-MPM_-DSL00</t>
  </si>
  <si>
    <t>C_OTH-MPM</t>
  </si>
  <si>
    <t>C_OTH-MPM_-PET00</t>
  </si>
  <si>
    <t>C_OTH-MPM_-FOL00</t>
  </si>
  <si>
    <t>C_OTH-MPS_-ELC00</t>
  </si>
  <si>
    <t>C_OTH-MPS</t>
  </si>
  <si>
    <t>C_OTH-SC_AIRHP-ELC00</t>
  </si>
  <si>
    <t>C_OTH-SC</t>
  </si>
  <si>
    <t>COMPLT</t>
  </si>
  <si>
    <t>Commercial wood</t>
  </si>
  <si>
    <t>Commercial pellet</t>
  </si>
  <si>
    <t>C_WSR-WH</t>
  </si>
  <si>
    <t>C_WSR-WH_Boiler-COA00</t>
  </si>
  <si>
    <t>C_WSR-WH_Cylinder-ELC00</t>
  </si>
  <si>
    <t>C_WSR-WH_Cylinder-NGA00</t>
  </si>
  <si>
    <t>*Delivered energy</t>
  </si>
  <si>
    <t>*ACT_BND~Total</t>
  </si>
  <si>
    <t>Energy consumption 2018</t>
  </si>
  <si>
    <t>Capacity to activity</t>
  </si>
  <si>
    <t>*NI Split</t>
  </si>
  <si>
    <t>*Share~UP~2018</t>
  </si>
  <si>
    <t>C_WSR-SH_DirectH-GEO00</t>
  </si>
  <si>
    <t>Residential sector commodity and process descriptions</t>
  </si>
  <si>
    <t>RESPET</t>
  </si>
  <si>
    <t>Residential petroleum</t>
  </si>
  <si>
    <t>Residential CO2 emissions</t>
  </si>
  <si>
    <t>R_DDW-SH</t>
  </si>
  <si>
    <t>Detached dwellings - Low Temperature Heat (&lt;100 C), Space Heating</t>
  </si>
  <si>
    <t>R_DDW-WH</t>
  </si>
  <si>
    <t>Detached dwellings - Low Temperature Heat (&lt;100 C), Water Heating</t>
  </si>
  <si>
    <t>R_DDW-CK</t>
  </si>
  <si>
    <t>Detached dwellings - Intermediate Heat (100-300 C), Cooking</t>
  </si>
  <si>
    <t>R_DDW-RF</t>
  </si>
  <si>
    <t>Detached dwellings - Refrigeration</t>
  </si>
  <si>
    <t>R_DDW-CD</t>
  </si>
  <si>
    <t>Detached dwellings - Low Temperature Heat (&lt;100 C), Clothes Drying</t>
  </si>
  <si>
    <t>R_DDW-SC</t>
  </si>
  <si>
    <t>Detached dwellings - Space Cooling</t>
  </si>
  <si>
    <t>R_DDW-CW</t>
  </si>
  <si>
    <t>Detached dwellings - Low Temperature Heat (&lt;100 C), Clothes Washing</t>
  </si>
  <si>
    <t>R_DDW-DW</t>
  </si>
  <si>
    <t>Detached dwellings - Low Temperature Heat (&lt; 100 C), Dishwashers</t>
  </si>
  <si>
    <t>R_DDW-LT</t>
  </si>
  <si>
    <t>Detached dwellings - Lighting</t>
  </si>
  <si>
    <t>R_DDW-OTH</t>
  </si>
  <si>
    <t>Detached dwellings - Electronics and Other Electrical Uses</t>
  </si>
  <si>
    <t>R_DDW-MPS</t>
  </si>
  <si>
    <t>Detached dwellings - Motive Power, Stationary</t>
  </si>
  <si>
    <t>R_DDW-MPM</t>
  </si>
  <si>
    <t>Detached dwellings - Motive Power, Mobile</t>
  </si>
  <si>
    <t>R_JDW-SH</t>
  </si>
  <si>
    <t>Joined dwellings - Low Temperature Heat (&lt;100 C), Space Heating</t>
  </si>
  <si>
    <t>R_JDW-WH</t>
  </si>
  <si>
    <t>Joined dwellings - Low Temperature Heat (&lt;100 C), Water Heating</t>
  </si>
  <si>
    <t>R_JDW-CK</t>
  </si>
  <si>
    <t>Joined dwellings - Intermediate Heat (100-300 C), Cooking</t>
  </si>
  <si>
    <t>R_JDW-RF</t>
  </si>
  <si>
    <t>Joined dwellings - Refrigeration</t>
  </si>
  <si>
    <t>R_JDW-CD</t>
  </si>
  <si>
    <t>Joined dwellings - Low Temperature Heat (&lt;100 C), Clothes Drying</t>
  </si>
  <si>
    <t>R_JDW-SC</t>
  </si>
  <si>
    <t>Joined dwellings - Space Cooling</t>
  </si>
  <si>
    <t>R_JDW-CW</t>
  </si>
  <si>
    <t>Joined dwellings - Low Temperature Heat (&lt;100 C), Clothes Washing</t>
  </si>
  <si>
    <t>R_JDW-DW</t>
  </si>
  <si>
    <t>Joined dwellings - Low Temperature Heat (&lt; 100 C), Dishwashers</t>
  </si>
  <si>
    <t>R_JDW-LT</t>
  </si>
  <si>
    <t>Joined dwellings - Lighting</t>
  </si>
  <si>
    <t>R_JDW-OTH</t>
  </si>
  <si>
    <t>Joined dwellings - Electronics and Other Electrical Uses</t>
  </si>
  <si>
    <t>R_JDW-MPS</t>
  </si>
  <si>
    <t>Joined dwellings - Motive Power, Stationary</t>
  </si>
  <si>
    <t>R_JDW-MPM</t>
  </si>
  <si>
    <t>Joined dwellings - Motive Power, Mobile</t>
  </si>
  <si>
    <t>Fuel supply to residential sector</t>
  </si>
  <si>
    <t>PET</t>
  </si>
  <si>
    <t>*NCAP_PASTI</t>
  </si>
  <si>
    <t>Investment cost</t>
  </si>
  <si>
    <t>O&amp;M costs</t>
  </si>
  <si>
    <t>NCAP_BND</t>
  </si>
  <si>
    <t>NCAP_BND~0</t>
  </si>
  <si>
    <t>AFA~LO</t>
  </si>
  <si>
    <t>FLO_MARK</t>
  </si>
  <si>
    <t>FLO_MARK~0</t>
  </si>
  <si>
    <t>DID</t>
  </si>
  <si>
    <t>FLO_DELIV</t>
  </si>
  <si>
    <t>C_HLTH-PH_Boiler-NGA00</t>
  </si>
  <si>
    <t>FLO_MARK~2050</t>
  </si>
  <si>
    <t>FLO_MARK~2030</t>
  </si>
  <si>
    <t>NCAP_PASTI</t>
  </si>
  <si>
    <t>* Sector</t>
  </si>
  <si>
    <t>* Subsector</t>
  </si>
  <si>
    <t>* OLD CommDesc</t>
  </si>
  <si>
    <t>* Enduse</t>
  </si>
  <si>
    <t>* Technology</t>
  </si>
  <si>
    <t>* Fuel</t>
  </si>
  <si>
    <t>* OLD TechDesc</t>
  </si>
  <si>
    <t>Milking Machine</t>
  </si>
  <si>
    <t>Irrigation</t>
  </si>
  <si>
    <t>Vacuum Pump</t>
  </si>
  <si>
    <t>Water Heating</t>
  </si>
  <si>
    <t>Vacuum Pump with VSD</t>
  </si>
  <si>
    <t>Tractor Services</t>
  </si>
  <si>
    <t>Irrigator</t>
  </si>
  <si>
    <t>Truck Services</t>
  </si>
  <si>
    <t>Irrigator with VSD</t>
  </si>
  <si>
    <t>Farm Vehicle</t>
  </si>
  <si>
    <t>Hot Water Cylinder</t>
  </si>
  <si>
    <t>Off-road Motorbike Use</t>
  </si>
  <si>
    <t>Heat Recovery System (Heating)</t>
  </si>
  <si>
    <t>Pumping</t>
  </si>
  <si>
    <t>Tractor (Agricultural)</t>
  </si>
  <si>
    <t>Refrigeration</t>
  </si>
  <si>
    <t>Truck (Agricultural)</t>
  </si>
  <si>
    <t>Lighting</t>
  </si>
  <si>
    <t>Utility Vehicle (Agricultural)</t>
  </si>
  <si>
    <t>Livestock Farming</t>
  </si>
  <si>
    <t>Farm Bike</t>
  </si>
  <si>
    <t>Transfer Pump</t>
  </si>
  <si>
    <t>Refrigerator</t>
  </si>
  <si>
    <t>Heat Recovery System (Cooling)</t>
  </si>
  <si>
    <t>Lights (General)</t>
  </si>
  <si>
    <t>Outdoor Horticulture/Arable Farming</t>
  </si>
  <si>
    <t>Motive Power, Stationary</t>
  </si>
  <si>
    <t>Space Heating</t>
  </si>
  <si>
    <t>Forestry</t>
  </si>
  <si>
    <t>Ground Based Forestry</t>
  </si>
  <si>
    <t>Cable Yarding (Forestry)</t>
  </si>
  <si>
    <t>Stationary Motor</t>
  </si>
  <si>
    <t>Fishing</t>
  </si>
  <si>
    <t xml:space="preserve">Boat </t>
  </si>
  <si>
    <t>Boiler</t>
  </si>
  <si>
    <t>Other (Agriculture)</t>
  </si>
  <si>
    <t>Other</t>
  </si>
  <si>
    <t>Direct Heat</t>
  </si>
  <si>
    <t>Fishing Boat (Non-Hybrid)</t>
  </si>
  <si>
    <t>Agriculture wood</t>
  </si>
  <si>
    <t>Pellet</t>
  </si>
  <si>
    <t>PLT</t>
  </si>
  <si>
    <t>Detached Dwellings</t>
  </si>
  <si>
    <t>Clothes Drying</t>
  </si>
  <si>
    <t>Space Cooling</t>
  </si>
  <si>
    <t>Clothes Washing</t>
  </si>
  <si>
    <t>Dishwashing</t>
  </si>
  <si>
    <t>Electronics and Other Appliances</t>
  </si>
  <si>
    <t>Motive Power, Mobile</t>
  </si>
  <si>
    <t>Joined Dwellings</t>
  </si>
  <si>
    <t>Burner</t>
  </si>
  <si>
    <t>Open Fire</t>
  </si>
  <si>
    <t>Open Fire (with Wetback)</t>
  </si>
  <si>
    <t>Heat Pump</t>
  </si>
  <si>
    <t>Resistance Heater</t>
  </si>
  <si>
    <t>Gas Heater</t>
  </si>
  <si>
    <t>Burner (with Wetback)</t>
  </si>
  <si>
    <t>Oven</t>
  </si>
  <si>
    <t>Cooking Element</t>
  </si>
  <si>
    <t>Clothes Dryer</t>
  </si>
  <si>
    <t>Clothes Washer</t>
  </si>
  <si>
    <t>Dishwasher</t>
  </si>
  <si>
    <t>Lights (LED)</t>
  </si>
  <si>
    <t xml:space="preserve">Lights (Incandescent) </t>
  </si>
  <si>
    <t xml:space="preserve">Lights (Fluorescent) </t>
  </si>
  <si>
    <t>Mobile Motor</t>
  </si>
  <si>
    <t>Education</t>
  </si>
  <si>
    <t>Healthcare</t>
  </si>
  <si>
    <t>Process Heat</t>
  </si>
  <si>
    <t>Office Blocks</t>
  </si>
  <si>
    <t>Warehouses/Supermarkets/Retail</t>
  </si>
  <si>
    <t>Other (Commercial)</t>
  </si>
  <si>
    <t>Commercial Coal</t>
  </si>
  <si>
    <t>C_OTH-OTH_ELEC-ELC00</t>
  </si>
  <si>
    <t>Cable Yarder (Forestry)</t>
  </si>
  <si>
    <t>Skidder (Forestry)</t>
  </si>
  <si>
    <t>Workbook: South Island Other Sector Base Year</t>
  </si>
  <si>
    <t>PROC_COM_AGR: Agriculture sector technology and enduse commodity definitions</t>
  </si>
  <si>
    <t>AGR_fuels: Agriculture sector fuel commodity and process definitions</t>
  </si>
  <si>
    <t>AGR: Agriculture process data</t>
  </si>
  <si>
    <t>RES_techs_coms: Residential sector technology and enduse commodity definitions</t>
  </si>
  <si>
    <t>RES_fuel_dem: Residential sector fuel commodity and process definitions</t>
  </si>
  <si>
    <t>RES: Agriculture process data</t>
  </si>
  <si>
    <t>COM_techs: Commercial sector technology and enduse commodity definitions</t>
  </si>
  <si>
    <t>COM_fuels: Commercial sector fuel commodity and process definitions</t>
  </si>
  <si>
    <t>COM: Commercial sector process data</t>
  </si>
  <si>
    <t>Emi: Agriculture, residential, and commercial fuel emissions</t>
  </si>
  <si>
    <t>NCAP_TLIFE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</si>
</sst>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5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0.000"/>
    <numFmt numFmtId="168" formatCode="0.0"/>
    <numFmt numFmtId="169" formatCode="0.0%"/>
    <numFmt numFmtId="170" formatCode="\Te\x\t"/>
    <numFmt numFmtId="171" formatCode="#,##0_ ;\-#,##0\ "/>
    <numFmt numFmtId="172" formatCode="#,##0.0_ ;\-#,##0.0\ "/>
    <numFmt numFmtId="173" formatCode="#,##0.00_ ;\-#,##0.00\ "/>
    <numFmt numFmtId="174" formatCode="#,##0.000_ ;\-#,##0.000\ "/>
    <numFmt numFmtId="175" formatCode="[$-C09]d\ mmmm\ yyyy;@"/>
    <numFmt numFmtId="176" formatCode="_-[$€-2]* #,##0.00_-;\-[$€-2]* #,##0.00_-;_-[$€-2]* &quot;-&quot;??_-"/>
    <numFmt numFmtId="177" formatCode="_*#,##0.00;[Red]_*\(#,##0.00\);_*\-"/>
    <numFmt numFmtId="178" formatCode="#,##0\ ;\(#,##0\)"/>
    <numFmt numFmtId="179" formatCode="#,##0.0\ ;\(#,##0.0\)"/>
    <numFmt numFmtId="180" formatCode="#,##0.00\ ;\(#,##0.00\)"/>
    <numFmt numFmtId="181" formatCode="d\ mmm"/>
    <numFmt numFmtId="182" formatCode="d\ mmm\ yyyy"/>
    <numFmt numFmtId="183" formatCode="_-\$* #,##0.00_-;&quot;-$&quot;* #,##0.00_-;_-\$* \-??_-;_-@_-"/>
    <numFmt numFmtId="184" formatCode="#,###,;[Red]\-#,###,;0"/>
    <numFmt numFmtId="185" formatCode="_([$€-2]* #,##0.00_);_([$€-2]* \(#,##0.00\);_([$€-2]* &quot;-&quot;??_)"/>
    <numFmt numFmtId="186" formatCode="_-* #,##0_-;\-* #,##0_-;_-* &quot;-&quot;??_-;_-@_-"/>
    <numFmt numFmtId="187" formatCode="_-* #,##0.000_-;\-* #,##0.000_-;_-* &quot;-&quot;??_-;_-@_-"/>
  </numFmts>
  <fonts count="12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sz val="8"/>
      <color indexed="9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indexed="9"/>
      <name val="Calibri"/>
      <family val="2"/>
      <scheme val="minor"/>
    </font>
    <font>
      <b/>
      <sz val="8"/>
      <color indexed="12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1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00B050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 style="medium">
        <color rgb="FF00B050"/>
      </right>
      <top style="thin">
        <color theme="6" tint="0.79998168889431442"/>
      </top>
      <bottom style="thin">
        <color theme="6" tint="0.79998168889431442"/>
      </bottom>
      <diagonal/>
    </border>
    <border>
      <left style="medium">
        <color rgb="FF00B050"/>
      </left>
      <right style="thin">
        <color theme="6" tint="0.79998168889431442"/>
      </right>
      <top style="thin">
        <color theme="6" tint="0.79998168889431442"/>
      </top>
      <bottom style="medium">
        <color rgb="FF00B050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  <border>
      <left style="thin">
        <color theme="6" tint="0.79998168889431442"/>
      </left>
      <right style="medium">
        <color rgb="FF00B050"/>
      </right>
      <top/>
      <bottom style="thin">
        <color theme="6" tint="0.79998168889431442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theme="6" tint="0.79998168889431442"/>
      </left>
      <right style="medium">
        <color rgb="FF00B050"/>
      </right>
      <top style="thin">
        <color theme="6" tint="0.79998168889431442"/>
      </top>
      <bottom style="medium">
        <color rgb="FF00B050"/>
      </bottom>
      <diagonal/>
    </border>
    <border>
      <left/>
      <right/>
      <top style="medium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7256">
    <xf numFmtId="0" fontId="0" fillId="0" borderId="0"/>
    <xf numFmtId="0" fontId="39" fillId="29" borderId="0" applyNumberFormat="0" applyBorder="0" applyAlignment="0" applyProtection="0"/>
    <xf numFmtId="0" fontId="40" fillId="44" borderId="0" applyNumberFormat="0" applyBorder="0" applyAlignment="0" applyProtection="0"/>
    <xf numFmtId="165" fontId="39" fillId="0" borderId="0" applyFont="0" applyFill="0" applyBorder="0" applyAlignment="0" applyProtection="0"/>
    <xf numFmtId="0" fontId="45" fillId="52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39" fillId="0" borderId="0"/>
    <xf numFmtId="0" fontId="16" fillId="0" borderId="0"/>
    <xf numFmtId="0" fontId="14" fillId="0" borderId="0"/>
    <xf numFmtId="9" fontId="1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>
      <alignment vertical="top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75" fillId="0" borderId="0">
      <alignment vertical="top"/>
    </xf>
    <xf numFmtId="0" fontId="16" fillId="0" borderId="0">
      <alignment vertical="top"/>
    </xf>
    <xf numFmtId="9" fontId="16" fillId="0" borderId="0" applyFont="0" applyFill="0" applyBorder="0" applyAlignment="0" applyProtection="0"/>
    <xf numFmtId="0" fontId="58" fillId="0" borderId="0"/>
    <xf numFmtId="0" fontId="21" fillId="0" borderId="0"/>
    <xf numFmtId="0" fontId="81" fillId="0" borderId="0" applyNumberFormat="0" applyFill="0" applyBorder="0" applyAlignment="0" applyProtection="0">
      <alignment vertical="top"/>
      <protection locked="0"/>
    </xf>
    <xf numFmtId="175" fontId="16" fillId="0" borderId="0"/>
    <xf numFmtId="165" fontId="2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 applyBorder="0"/>
    <xf numFmtId="169" fontId="21" fillId="0" borderId="0"/>
    <xf numFmtId="169" fontId="21" fillId="0" borderId="0"/>
    <xf numFmtId="169" fontId="21" fillId="0" borderId="0"/>
    <xf numFmtId="0" fontId="16" fillId="0" borderId="0"/>
    <xf numFmtId="169" fontId="21" fillId="0" borderId="0"/>
    <xf numFmtId="0" fontId="16" fillId="0" borderId="0"/>
    <xf numFmtId="0" fontId="16" fillId="0" borderId="0"/>
    <xf numFmtId="0" fontId="16" fillId="0" borderId="0"/>
    <xf numFmtId="0" fontId="82" fillId="0" borderId="0"/>
    <xf numFmtId="175" fontId="21" fillId="0" borderId="0"/>
    <xf numFmtId="0" fontId="16" fillId="0" borderId="0"/>
    <xf numFmtId="0" fontId="16" fillId="0" borderId="0"/>
    <xf numFmtId="169" fontId="21" fillId="0" borderId="0"/>
    <xf numFmtId="0" fontId="75" fillId="0" borderId="0"/>
    <xf numFmtId="175" fontId="75" fillId="0" borderId="0"/>
    <xf numFmtId="169" fontId="21" fillId="0" borderId="0"/>
    <xf numFmtId="0" fontId="16" fillId="0" borderId="0" applyBorder="0"/>
    <xf numFmtId="175" fontId="16" fillId="0" borderId="0" applyBorder="0"/>
    <xf numFmtId="0" fontId="16" fillId="0" borderId="0"/>
    <xf numFmtId="175" fontId="16" fillId="0" borderId="0"/>
    <xf numFmtId="0" fontId="77" fillId="0" borderId="0"/>
    <xf numFmtId="0" fontId="77" fillId="0" borderId="0"/>
    <xf numFmtId="0" fontId="75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75" fillId="0" borderId="38" applyFont="0" applyAlignment="0">
      <alignment vertical="top" wrapText="1"/>
    </xf>
    <xf numFmtId="0" fontId="39" fillId="0" borderId="0"/>
    <xf numFmtId="176" fontId="85" fillId="0" borderId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9" fillId="2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2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9" fillId="25" borderId="0" applyNumberFormat="0" applyBorder="0" applyAlignment="0" applyProtection="0"/>
    <xf numFmtId="176" fontId="21" fillId="64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7" borderId="0" applyNumberFormat="0" applyBorder="0" applyAlignment="0" applyProtection="0"/>
    <xf numFmtId="176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176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176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176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9" fillId="2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176" fontId="21" fillId="64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39" fillId="26" borderId="0" applyNumberFormat="0" applyBorder="0" applyAlignment="0" applyProtection="0"/>
    <xf numFmtId="0" fontId="21" fillId="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26" borderId="0" applyNumberFormat="0" applyBorder="0" applyAlignment="0" applyProtection="0"/>
    <xf numFmtId="176" fontId="21" fillId="6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9" borderId="0" applyNumberFormat="0" applyBorder="0" applyAlignment="0" applyProtection="0"/>
    <xf numFmtId="176" fontId="21" fillId="9" borderId="0" applyNumberFormat="0" applyBorder="0" applyAlignment="0" applyProtection="0"/>
    <xf numFmtId="0" fontId="21" fillId="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176" fontId="21" fillId="9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176" fontId="21" fillId="9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176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9" fillId="26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176" fontId="21" fillId="66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9" fillId="27" borderId="0" applyNumberFormat="0" applyBorder="0" applyAlignment="0" applyProtection="0"/>
    <xf numFmtId="0" fontId="21" fillId="4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9" fillId="27" borderId="0" applyNumberFormat="0" applyBorder="0" applyAlignment="0" applyProtection="0"/>
    <xf numFmtId="176" fontId="21" fillId="6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23" borderId="0" applyNumberFormat="0" applyBorder="0" applyAlignment="0" applyProtection="0"/>
    <xf numFmtId="176" fontId="21" fillId="23" borderId="0" applyNumberFormat="0" applyBorder="0" applyAlignment="0" applyProtection="0"/>
    <xf numFmtId="0" fontId="21" fillId="4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6" fontId="21" fillId="2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6" fontId="21" fillId="2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6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9" fillId="27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6" fontId="21" fillId="68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39" fillId="28" borderId="0" applyNumberFormat="0" applyBorder="0" applyAlignment="0" applyProtection="0"/>
    <xf numFmtId="0" fontId="21" fillId="5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9" fillId="28" borderId="0" applyNumberFormat="0" applyBorder="0" applyAlignment="0" applyProtection="0"/>
    <xf numFmtId="176" fontId="21" fillId="69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7" borderId="0" applyNumberFormat="0" applyBorder="0" applyAlignment="0" applyProtection="0"/>
    <xf numFmtId="176" fontId="21" fillId="7" borderId="0" applyNumberFormat="0" applyBorder="0" applyAlignment="0" applyProtection="0"/>
    <xf numFmtId="0" fontId="21" fillId="5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7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7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9" fillId="28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7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39" fillId="29" borderId="0" applyNumberFormat="0" applyBorder="0" applyAlignment="0" applyProtection="0"/>
    <xf numFmtId="0" fontId="21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39" fillId="29" borderId="0" applyNumberFormat="0" applyBorder="0" applyAlignment="0" applyProtection="0"/>
    <xf numFmtId="176" fontId="21" fillId="6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176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1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176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176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176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39" fillId="29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176" fontId="21" fillId="64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39" fillId="30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7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39" fillId="30" borderId="0" applyNumberFormat="0" applyBorder="0" applyAlignment="0" applyProtection="0"/>
    <xf numFmtId="176" fontId="21" fillId="71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23" borderId="0" applyNumberFormat="0" applyBorder="0" applyAlignment="0" applyProtection="0"/>
    <xf numFmtId="176" fontId="21" fillId="23" borderId="0" applyNumberFormat="0" applyBorder="0" applyAlignment="0" applyProtection="0"/>
    <xf numFmtId="0" fontId="21" fillId="7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176" fontId="21" fillId="23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176" fontId="21" fillId="23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176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39" fillId="30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176" fontId="21" fillId="71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6" borderId="0" applyNumberFormat="0" applyBorder="0" applyAlignment="0" applyProtection="0"/>
    <xf numFmtId="0" fontId="39" fillId="31" borderId="0" applyNumberFormat="0" applyBorder="0" applyAlignment="0" applyProtection="0"/>
    <xf numFmtId="0" fontId="21" fillId="8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9" fillId="31" borderId="0" applyNumberFormat="0" applyBorder="0" applyAlignment="0" applyProtection="0"/>
    <xf numFmtId="176" fontId="21" fillId="72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20" borderId="0" applyNumberFormat="0" applyBorder="0" applyAlignment="0" applyProtection="0"/>
    <xf numFmtId="176" fontId="21" fillId="20" borderId="0" applyNumberFormat="0" applyBorder="0" applyAlignment="0" applyProtection="0"/>
    <xf numFmtId="0" fontId="21" fillId="8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20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20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9" fillId="3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73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39" fillId="32" borderId="0" applyNumberFormat="0" applyBorder="0" applyAlignment="0" applyProtection="0"/>
    <xf numFmtId="0" fontId="21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39" fillId="32" borderId="0" applyNumberFormat="0" applyBorder="0" applyAlignment="0" applyProtection="0"/>
    <xf numFmtId="176" fontId="21" fillId="74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176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21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76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76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76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39" fillId="3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176" fontId="21" fillId="75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9" fillId="33" borderId="0" applyNumberFormat="0" applyBorder="0" applyAlignment="0" applyProtection="0"/>
    <xf numFmtId="0" fontId="21" fillId="10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9" fillId="33" borderId="0" applyNumberFormat="0" applyBorder="0" applyAlignment="0" applyProtection="0"/>
    <xf numFmtId="176" fontId="21" fillId="76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22" borderId="0" applyNumberFormat="0" applyBorder="0" applyAlignment="0" applyProtection="0"/>
    <xf numFmtId="176" fontId="21" fillId="22" borderId="0" applyNumberFormat="0" applyBorder="0" applyAlignment="0" applyProtection="0"/>
    <xf numFmtId="0" fontId="21" fillId="10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76" fontId="21" fillId="22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76" fontId="21" fillId="22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76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9" fillId="33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76" fontId="21" fillId="75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3" borderId="0" applyNumberFormat="0" applyBorder="0" applyAlignment="0" applyProtection="0"/>
    <xf numFmtId="0" fontId="39" fillId="34" borderId="0" applyNumberFormat="0" applyBorder="0" applyAlignment="0" applyProtection="0"/>
    <xf numFmtId="0" fontId="21" fillId="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9" fillId="34" borderId="0" applyNumberFormat="0" applyBorder="0" applyAlignment="0" applyProtection="0"/>
    <xf numFmtId="176" fontId="21" fillId="6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20" borderId="0" applyNumberFormat="0" applyBorder="0" applyAlignment="0" applyProtection="0"/>
    <xf numFmtId="176" fontId="21" fillId="20" borderId="0" applyNumberFormat="0" applyBorder="0" applyAlignment="0" applyProtection="0"/>
    <xf numFmtId="0" fontId="21" fillId="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2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2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9" fillId="3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176" fontId="21" fillId="77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6" borderId="0" applyNumberFormat="0" applyBorder="0" applyAlignment="0" applyProtection="0"/>
    <xf numFmtId="0" fontId="39" fillId="35" borderId="0" applyNumberFormat="0" applyBorder="0" applyAlignment="0" applyProtection="0"/>
    <xf numFmtId="0" fontId="21" fillId="8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9" fillId="35" borderId="0" applyNumberFormat="0" applyBorder="0" applyAlignment="0" applyProtection="0"/>
    <xf numFmtId="176" fontId="21" fillId="72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176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9" fillId="3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6" fontId="21" fillId="7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39" fillId="36" borderId="0" applyNumberFormat="0" applyBorder="0" applyAlignment="0" applyProtection="0"/>
    <xf numFmtId="0" fontId="21" fillId="11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9" fillId="36" borderId="0" applyNumberFormat="0" applyBorder="0" applyAlignment="0" applyProtection="0"/>
    <xf numFmtId="176" fontId="21" fillId="79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22" borderId="0" applyNumberFormat="0" applyBorder="0" applyAlignment="0" applyProtection="0"/>
    <xf numFmtId="176" fontId="21" fillId="22" borderId="0" applyNumberFormat="0" applyBorder="0" applyAlignment="0" applyProtection="0"/>
    <xf numFmtId="0" fontId="21" fillId="11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76" fontId="21" fillId="22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76" fontId="21" fillId="22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76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9" fillId="36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176" fontId="21" fillId="7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40" fillId="37" borderId="0" applyNumberFormat="0" applyBorder="0" applyAlignment="0" applyProtection="0"/>
    <xf numFmtId="176" fontId="22" fillId="80" borderId="0" applyNumberFormat="0" applyBorder="0" applyAlignment="0" applyProtection="0"/>
    <xf numFmtId="0" fontId="22" fillId="12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4" borderId="0" applyNumberFormat="0" applyBorder="0" applyAlignment="0" applyProtection="0"/>
    <xf numFmtId="176" fontId="22" fillId="14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22" fillId="12" borderId="0" applyNumberFormat="0" applyBorder="0" applyAlignment="0" applyProtection="0"/>
    <xf numFmtId="176" fontId="22" fillId="14" borderId="0" applyNumberFormat="0" applyBorder="0" applyAlignment="0" applyProtection="0"/>
    <xf numFmtId="0" fontId="22" fillId="12" borderId="0" applyNumberFormat="0" applyBorder="0" applyAlignment="0" applyProtection="0"/>
    <xf numFmtId="176" fontId="22" fillId="14" borderId="0" applyNumberFormat="0" applyBorder="0" applyAlignment="0" applyProtection="0"/>
    <xf numFmtId="0" fontId="22" fillId="12" borderId="0" applyNumberFormat="0" applyBorder="0" applyAlignment="0" applyProtection="0"/>
    <xf numFmtId="176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40" fillId="37" borderId="0" applyNumberFormat="0" applyBorder="0" applyAlignment="0" applyProtection="0"/>
    <xf numFmtId="0" fontId="22" fillId="12" borderId="0" applyNumberFormat="0" applyBorder="0" applyAlignment="0" applyProtection="0"/>
    <xf numFmtId="176" fontId="22" fillId="8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9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40" fillId="38" borderId="0" applyNumberFormat="0" applyBorder="0" applyAlignment="0" applyProtection="0"/>
    <xf numFmtId="176" fontId="22" fillId="74" borderId="0" applyNumberFormat="0" applyBorder="0" applyAlignment="0" applyProtection="0"/>
    <xf numFmtId="0" fontId="22" fillId="9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176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40" fillId="38" borderId="0" applyNumberFormat="0" applyBorder="0" applyAlignment="0" applyProtection="0"/>
    <xf numFmtId="176" fontId="22" fillId="9" borderId="0" applyNumberFormat="0" applyBorder="0" applyAlignment="0" applyProtection="0"/>
    <xf numFmtId="0" fontId="22" fillId="9" borderId="0" applyNumberFormat="0" applyBorder="0" applyAlignment="0" applyProtection="0"/>
    <xf numFmtId="176" fontId="22" fillId="9" borderId="0" applyNumberFormat="0" applyBorder="0" applyAlignment="0" applyProtection="0"/>
    <xf numFmtId="0" fontId="22" fillId="9" borderId="0" applyNumberFormat="0" applyBorder="0" applyAlignment="0" applyProtection="0"/>
    <xf numFmtId="176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40" fillId="38" borderId="0" applyNumberFormat="0" applyBorder="0" applyAlignment="0" applyProtection="0"/>
    <xf numFmtId="0" fontId="22" fillId="9" borderId="0" applyNumberFormat="0" applyBorder="0" applyAlignment="0" applyProtection="0"/>
    <xf numFmtId="176" fontId="22" fillId="8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40" fillId="39" borderId="0" applyNumberFormat="0" applyBorder="0" applyAlignment="0" applyProtection="0"/>
    <xf numFmtId="176" fontId="22" fillId="76" borderId="0" applyNumberFormat="0" applyBorder="0" applyAlignment="0" applyProtection="0"/>
    <xf numFmtId="0" fontId="22" fillId="10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22" borderId="0" applyNumberFormat="0" applyBorder="0" applyAlignment="0" applyProtection="0"/>
    <xf numFmtId="176" fontId="22" fillId="22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22" fillId="10" borderId="0" applyNumberFormat="0" applyBorder="0" applyAlignment="0" applyProtection="0"/>
    <xf numFmtId="176" fontId="22" fillId="22" borderId="0" applyNumberFormat="0" applyBorder="0" applyAlignment="0" applyProtection="0"/>
    <xf numFmtId="0" fontId="22" fillId="10" borderId="0" applyNumberFormat="0" applyBorder="0" applyAlignment="0" applyProtection="0"/>
    <xf numFmtId="176" fontId="22" fillId="22" borderId="0" applyNumberFormat="0" applyBorder="0" applyAlignment="0" applyProtection="0"/>
    <xf numFmtId="0" fontId="22" fillId="10" borderId="0" applyNumberFormat="0" applyBorder="0" applyAlignment="0" applyProtection="0"/>
    <xf numFmtId="17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40" fillId="39" borderId="0" applyNumberFormat="0" applyBorder="0" applyAlignment="0" applyProtection="0"/>
    <xf numFmtId="0" fontId="22" fillId="10" borderId="0" applyNumberFormat="0" applyBorder="0" applyAlignment="0" applyProtection="0"/>
    <xf numFmtId="176" fontId="22" fillId="82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3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40" fillId="40" borderId="0" applyNumberFormat="0" applyBorder="0" applyAlignment="0" applyProtection="0"/>
    <xf numFmtId="176" fontId="22" fillId="73" borderId="0" applyNumberFormat="0" applyBorder="0" applyAlignment="0" applyProtection="0"/>
    <xf numFmtId="0" fontId="22" fillId="13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0" borderId="0" applyNumberFormat="0" applyBorder="0" applyAlignment="0" applyProtection="0"/>
    <xf numFmtId="176" fontId="22" fillId="2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22" fillId="13" borderId="0" applyNumberFormat="0" applyBorder="0" applyAlignment="0" applyProtection="0"/>
    <xf numFmtId="176" fontId="22" fillId="20" borderId="0" applyNumberFormat="0" applyBorder="0" applyAlignment="0" applyProtection="0"/>
    <xf numFmtId="0" fontId="22" fillId="13" borderId="0" applyNumberFormat="0" applyBorder="0" applyAlignment="0" applyProtection="0"/>
    <xf numFmtId="176" fontId="22" fillId="20" borderId="0" applyNumberFormat="0" applyBorder="0" applyAlignment="0" applyProtection="0"/>
    <xf numFmtId="0" fontId="22" fillId="13" borderId="0" applyNumberFormat="0" applyBorder="0" applyAlignment="0" applyProtection="0"/>
    <xf numFmtId="176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40" fillId="40" borderId="0" applyNumberFormat="0" applyBorder="0" applyAlignment="0" applyProtection="0"/>
    <xf numFmtId="0" fontId="22" fillId="13" borderId="0" applyNumberFormat="0" applyBorder="0" applyAlignment="0" applyProtection="0"/>
    <xf numFmtId="176" fontId="22" fillId="77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6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40" fillId="41" borderId="0" applyNumberFormat="0" applyBorder="0" applyAlignment="0" applyProtection="0"/>
    <xf numFmtId="176" fontId="22" fillId="83" borderId="0" applyNumberFormat="0" applyBorder="0" applyAlignment="0" applyProtection="0"/>
    <xf numFmtId="0" fontId="22" fillId="14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176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40" fillId="41" borderId="0" applyNumberFormat="0" applyBorder="0" applyAlignment="0" applyProtection="0"/>
    <xf numFmtId="176" fontId="22" fillId="14" borderId="0" applyNumberFormat="0" applyBorder="0" applyAlignment="0" applyProtection="0"/>
    <xf numFmtId="0" fontId="22" fillId="14" borderId="0" applyNumberFormat="0" applyBorder="0" applyAlignment="0" applyProtection="0"/>
    <xf numFmtId="176" fontId="22" fillId="14" borderId="0" applyNumberFormat="0" applyBorder="0" applyAlignment="0" applyProtection="0"/>
    <xf numFmtId="0" fontId="22" fillId="14" borderId="0" applyNumberFormat="0" applyBorder="0" applyAlignment="0" applyProtection="0"/>
    <xf numFmtId="176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40" fillId="41" borderId="0" applyNumberFormat="0" applyBorder="0" applyAlignment="0" applyProtection="0"/>
    <xf numFmtId="0" fontId="22" fillId="14" borderId="0" applyNumberFormat="0" applyBorder="0" applyAlignment="0" applyProtection="0"/>
    <xf numFmtId="176" fontId="22" fillId="78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40" fillId="42" borderId="0" applyNumberFormat="0" applyBorder="0" applyAlignment="0" applyProtection="0"/>
    <xf numFmtId="176" fontId="22" fillId="84" borderId="0" applyNumberFormat="0" applyBorder="0" applyAlignment="0" applyProtection="0"/>
    <xf numFmtId="0" fontId="22" fillId="15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9" borderId="0" applyNumberFormat="0" applyBorder="0" applyAlignment="0" applyProtection="0"/>
    <xf numFmtId="176" fontId="22" fillId="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22" fillId="15" borderId="0" applyNumberFormat="0" applyBorder="0" applyAlignment="0" applyProtection="0"/>
    <xf numFmtId="176" fontId="22" fillId="9" borderId="0" applyNumberFormat="0" applyBorder="0" applyAlignment="0" applyProtection="0"/>
    <xf numFmtId="0" fontId="22" fillId="15" borderId="0" applyNumberFormat="0" applyBorder="0" applyAlignment="0" applyProtection="0"/>
    <xf numFmtId="176" fontId="22" fillId="9" borderId="0" applyNumberFormat="0" applyBorder="0" applyAlignment="0" applyProtection="0"/>
    <xf numFmtId="0" fontId="22" fillId="15" borderId="0" applyNumberFormat="0" applyBorder="0" applyAlignment="0" applyProtection="0"/>
    <xf numFmtId="176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40" fillId="42" borderId="0" applyNumberFormat="0" applyBorder="0" applyAlignment="0" applyProtection="0"/>
    <xf numFmtId="0" fontId="22" fillId="15" borderId="0" applyNumberFormat="0" applyBorder="0" applyAlignment="0" applyProtection="0"/>
    <xf numFmtId="176" fontId="22" fillId="71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85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0" fillId="43" borderId="0" applyNumberFormat="0" applyBorder="0" applyAlignment="0" applyProtection="0"/>
    <xf numFmtId="176" fontId="22" fillId="86" borderId="0" applyNumberFormat="0" applyBorder="0" applyAlignment="0" applyProtection="0"/>
    <xf numFmtId="0" fontId="22" fillId="16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4" borderId="0" applyNumberFormat="0" applyBorder="0" applyAlignment="0" applyProtection="0"/>
    <xf numFmtId="176" fontId="22" fillId="14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22" fillId="16" borderId="0" applyNumberFormat="0" applyBorder="0" applyAlignment="0" applyProtection="0"/>
    <xf numFmtId="176" fontId="22" fillId="14" borderId="0" applyNumberFormat="0" applyBorder="0" applyAlignment="0" applyProtection="0"/>
    <xf numFmtId="0" fontId="22" fillId="16" borderId="0" applyNumberFormat="0" applyBorder="0" applyAlignment="0" applyProtection="0"/>
    <xf numFmtId="176" fontId="22" fillId="14" borderId="0" applyNumberFormat="0" applyBorder="0" applyAlignment="0" applyProtection="0"/>
    <xf numFmtId="0" fontId="22" fillId="16" borderId="0" applyNumberFormat="0" applyBorder="0" applyAlignment="0" applyProtection="0"/>
    <xf numFmtId="176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0" fillId="43" borderId="0" applyNumberFormat="0" applyBorder="0" applyAlignment="0" applyProtection="0"/>
    <xf numFmtId="0" fontId="22" fillId="16" borderId="0" applyNumberFormat="0" applyBorder="0" applyAlignment="0" applyProtection="0"/>
    <xf numFmtId="176" fontId="22" fillId="83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40" fillId="44" borderId="0" applyNumberFormat="0" applyBorder="0" applyAlignment="0" applyProtection="0"/>
    <xf numFmtId="176" fontId="22" fillId="87" borderId="0" applyNumberFormat="0" applyBorder="0" applyAlignment="0" applyProtection="0"/>
    <xf numFmtId="0" fontId="22" fillId="17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176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40" fillId="44" borderId="0" applyNumberFormat="0" applyBorder="0" applyAlignment="0" applyProtection="0"/>
    <xf numFmtId="176" fontId="22" fillId="17" borderId="0" applyNumberFormat="0" applyBorder="0" applyAlignment="0" applyProtection="0"/>
    <xf numFmtId="0" fontId="22" fillId="17" borderId="0" applyNumberFormat="0" applyBorder="0" applyAlignment="0" applyProtection="0"/>
    <xf numFmtId="176" fontId="22" fillId="17" borderId="0" applyNumberFormat="0" applyBorder="0" applyAlignment="0" applyProtection="0"/>
    <xf numFmtId="0" fontId="22" fillId="17" borderId="0" applyNumberFormat="0" applyBorder="0" applyAlignment="0" applyProtection="0"/>
    <xf numFmtId="176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40" fillId="44" borderId="0" applyNumberFormat="0" applyBorder="0" applyAlignment="0" applyProtection="0"/>
    <xf numFmtId="0" fontId="22" fillId="17" borderId="0" applyNumberFormat="0" applyBorder="0" applyAlignment="0" applyProtection="0"/>
    <xf numFmtId="176" fontId="22" fillId="88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40" fillId="45" borderId="0" applyNumberFormat="0" applyBorder="0" applyAlignment="0" applyProtection="0"/>
    <xf numFmtId="176" fontId="22" fillId="89" borderId="0" applyNumberFormat="0" applyBorder="0" applyAlignment="0" applyProtection="0"/>
    <xf numFmtId="0" fontId="22" fillId="18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176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40" fillId="45" borderId="0" applyNumberFormat="0" applyBorder="0" applyAlignment="0" applyProtection="0"/>
    <xf numFmtId="176" fontId="22" fillId="18" borderId="0" applyNumberFormat="0" applyBorder="0" applyAlignment="0" applyProtection="0"/>
    <xf numFmtId="0" fontId="22" fillId="18" borderId="0" applyNumberFormat="0" applyBorder="0" applyAlignment="0" applyProtection="0"/>
    <xf numFmtId="176" fontId="22" fillId="18" borderId="0" applyNumberFormat="0" applyBorder="0" applyAlignment="0" applyProtection="0"/>
    <xf numFmtId="0" fontId="22" fillId="18" borderId="0" applyNumberFormat="0" applyBorder="0" applyAlignment="0" applyProtection="0"/>
    <xf numFmtId="176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40" fillId="45" borderId="0" applyNumberFormat="0" applyBorder="0" applyAlignment="0" applyProtection="0"/>
    <xf numFmtId="0" fontId="22" fillId="18" borderId="0" applyNumberFormat="0" applyBorder="0" applyAlignment="0" applyProtection="0"/>
    <xf numFmtId="176" fontId="22" fillId="8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90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40" fillId="46" borderId="0" applyNumberFormat="0" applyBorder="0" applyAlignment="0" applyProtection="0"/>
    <xf numFmtId="176" fontId="22" fillId="73" borderId="0" applyNumberFormat="0" applyBorder="0" applyAlignment="0" applyProtection="0"/>
    <xf numFmtId="0" fontId="22" fillId="13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90" borderId="0" applyNumberFormat="0" applyBorder="0" applyAlignment="0" applyProtection="0"/>
    <xf numFmtId="176" fontId="22" fillId="90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22" fillId="13" borderId="0" applyNumberFormat="0" applyBorder="0" applyAlignment="0" applyProtection="0"/>
    <xf numFmtId="176" fontId="22" fillId="90" borderId="0" applyNumberFormat="0" applyBorder="0" applyAlignment="0" applyProtection="0"/>
    <xf numFmtId="0" fontId="22" fillId="13" borderId="0" applyNumberFormat="0" applyBorder="0" applyAlignment="0" applyProtection="0"/>
    <xf numFmtId="176" fontId="22" fillId="90" borderId="0" applyNumberFormat="0" applyBorder="0" applyAlignment="0" applyProtection="0"/>
    <xf numFmtId="0" fontId="22" fillId="13" borderId="0" applyNumberFormat="0" applyBorder="0" applyAlignment="0" applyProtection="0"/>
    <xf numFmtId="176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40" fillId="46" borderId="0" applyNumberFormat="0" applyBorder="0" applyAlignment="0" applyProtection="0"/>
    <xf numFmtId="0" fontId="22" fillId="13" borderId="0" applyNumberFormat="0" applyBorder="0" applyAlignment="0" applyProtection="0"/>
    <xf numFmtId="176" fontId="22" fillId="91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40" fillId="47" borderId="0" applyNumberFormat="0" applyBorder="0" applyAlignment="0" applyProtection="0"/>
    <xf numFmtId="176" fontId="22" fillId="83" borderId="0" applyNumberFormat="0" applyBorder="0" applyAlignment="0" applyProtection="0"/>
    <xf numFmtId="0" fontId="22" fillId="14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176" fontId="22" fillId="14" borderId="0" applyNumberFormat="0" applyBorder="0" applyAlignment="0" applyProtection="0"/>
    <xf numFmtId="0" fontId="40" fillId="47" borderId="0" applyNumberFormat="0" applyBorder="0" applyAlignment="0" applyProtection="0"/>
    <xf numFmtId="0" fontId="22" fillId="14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176" fontId="22" fillId="14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22" fillId="14" borderId="0" applyNumberFormat="0" applyBorder="0" applyAlignment="0" applyProtection="0"/>
    <xf numFmtId="176" fontId="22" fillId="14" borderId="0" applyNumberFormat="0" applyBorder="0" applyAlignment="0" applyProtection="0"/>
    <xf numFmtId="0" fontId="22" fillId="14" borderId="0" applyNumberFormat="0" applyBorder="0" applyAlignment="0" applyProtection="0"/>
    <xf numFmtId="176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40" fillId="47" borderId="0" applyNumberFormat="0" applyBorder="0" applyAlignment="0" applyProtection="0"/>
    <xf numFmtId="0" fontId="22" fillId="14" borderId="0" applyNumberFormat="0" applyBorder="0" applyAlignment="0" applyProtection="0"/>
    <xf numFmtId="176" fontId="22" fillId="8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40" fillId="4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40" fillId="48" borderId="0" applyNumberFormat="0" applyBorder="0" applyAlignment="0" applyProtection="0"/>
    <xf numFmtId="176" fontId="22" fillId="92" borderId="0" applyNumberFormat="0" applyBorder="0" applyAlignment="0" applyProtection="0"/>
    <xf numFmtId="0" fontId="22" fillId="19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5" borderId="0" applyNumberFormat="0" applyBorder="0" applyAlignment="0" applyProtection="0"/>
    <xf numFmtId="176" fontId="22" fillId="15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22" fillId="19" borderId="0" applyNumberFormat="0" applyBorder="0" applyAlignment="0" applyProtection="0"/>
    <xf numFmtId="176" fontId="22" fillId="15" borderId="0" applyNumberFormat="0" applyBorder="0" applyAlignment="0" applyProtection="0"/>
    <xf numFmtId="0" fontId="22" fillId="19" borderId="0" applyNumberFormat="0" applyBorder="0" applyAlignment="0" applyProtection="0"/>
    <xf numFmtId="176" fontId="22" fillId="15" borderId="0" applyNumberFormat="0" applyBorder="0" applyAlignment="0" applyProtection="0"/>
    <xf numFmtId="0" fontId="22" fillId="19" borderId="0" applyNumberFormat="0" applyBorder="0" applyAlignment="0" applyProtection="0"/>
    <xf numFmtId="176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40" fillId="48" borderId="0" applyNumberFormat="0" applyBorder="0" applyAlignment="0" applyProtection="0"/>
    <xf numFmtId="0" fontId="22" fillId="19" borderId="0" applyNumberFormat="0" applyBorder="0" applyAlignment="0" applyProtection="0"/>
    <xf numFmtId="176" fontId="22" fillId="92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6" fontId="86" fillId="0" borderId="0"/>
    <xf numFmtId="176" fontId="76" fillId="0" borderId="0" applyNumberFormat="0" applyFill="0" applyBorder="0" applyAlignment="0" applyProtection="0"/>
    <xf numFmtId="176" fontId="79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41" fillId="49" borderId="0" applyNumberFormat="0" applyBorder="0" applyAlignment="0" applyProtection="0"/>
    <xf numFmtId="176" fontId="23" fillId="65" borderId="0" applyNumberFormat="0" applyBorder="0" applyAlignment="0" applyProtection="0"/>
    <xf numFmtId="0" fontId="23" fillId="3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176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41" fillId="49" borderId="0" applyNumberFormat="0" applyBorder="0" applyAlignment="0" applyProtection="0"/>
    <xf numFmtId="176" fontId="23" fillId="3" borderId="0" applyNumberFormat="0" applyBorder="0" applyAlignment="0" applyProtection="0"/>
    <xf numFmtId="0" fontId="23" fillId="3" borderId="0" applyNumberFormat="0" applyBorder="0" applyAlignment="0" applyProtection="0"/>
    <xf numFmtId="176" fontId="23" fillId="3" borderId="0" applyNumberFormat="0" applyBorder="0" applyAlignment="0" applyProtection="0"/>
    <xf numFmtId="0" fontId="23" fillId="3" borderId="0" applyNumberFormat="0" applyBorder="0" applyAlignment="0" applyProtection="0"/>
    <xf numFmtId="176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41" fillId="49" borderId="0" applyNumberFormat="0" applyBorder="0" applyAlignment="0" applyProtection="0"/>
    <xf numFmtId="0" fontId="23" fillId="3" borderId="0" applyNumberFormat="0" applyBorder="0" applyAlignment="0" applyProtection="0"/>
    <xf numFmtId="176" fontId="23" fillId="6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87" fillId="93" borderId="1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42" fillId="50" borderId="25" applyNumberFormat="0" applyAlignment="0" applyProtection="0"/>
    <xf numFmtId="177" fontId="88" fillId="72" borderId="39">
      <alignment horizontal="center" vertical="center"/>
    </xf>
    <xf numFmtId="177" fontId="88" fillId="72" borderId="39">
      <alignment horizontal="center" vertical="center"/>
    </xf>
    <xf numFmtId="177" fontId="88" fillId="72" borderId="39">
      <alignment horizontal="center" vertical="center"/>
    </xf>
    <xf numFmtId="0" fontId="24" fillId="20" borderId="1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93" borderId="1" applyNumberFormat="0" applyAlignment="0" applyProtection="0"/>
    <xf numFmtId="177" fontId="88" fillId="72" borderId="39">
      <alignment horizontal="center" vertical="center"/>
    </xf>
    <xf numFmtId="177" fontId="88" fillId="72" borderId="39">
      <alignment horizontal="center" vertical="center"/>
    </xf>
    <xf numFmtId="176" fontId="24" fillId="93" borderId="1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42" fillId="50" borderId="25" applyNumberFormat="0" applyAlignment="0" applyProtection="0"/>
    <xf numFmtId="0" fontId="24" fillId="20" borderId="1" applyNumberFormat="0" applyAlignment="0" applyProtection="0"/>
    <xf numFmtId="176" fontId="24" fillId="93" borderId="1" applyNumberFormat="0" applyAlignment="0" applyProtection="0"/>
    <xf numFmtId="176" fontId="24" fillId="93" borderId="1" applyNumberFormat="0" applyAlignment="0" applyProtection="0"/>
    <xf numFmtId="176" fontId="24" fillId="93" borderId="1" applyNumberFormat="0" applyAlignment="0" applyProtection="0"/>
    <xf numFmtId="0" fontId="24" fillId="20" borderId="1" applyNumberFormat="0" applyAlignment="0" applyProtection="0"/>
    <xf numFmtId="176" fontId="24" fillId="93" borderId="1" applyNumberFormat="0" applyAlignment="0" applyProtection="0"/>
    <xf numFmtId="176" fontId="24" fillId="93" borderId="1" applyNumberFormat="0" applyAlignment="0" applyProtection="0"/>
    <xf numFmtId="176" fontId="24" fillId="93" borderId="1" applyNumberFormat="0" applyAlignment="0" applyProtection="0"/>
    <xf numFmtId="0" fontId="24" fillId="20" borderId="1" applyNumberFormat="0" applyAlignment="0" applyProtection="0"/>
    <xf numFmtId="176" fontId="24" fillId="93" borderId="1" applyNumberFormat="0" applyAlignment="0" applyProtection="0"/>
    <xf numFmtId="176" fontId="24" fillId="93" borderId="1" applyNumberFormat="0" applyAlignment="0" applyProtection="0"/>
    <xf numFmtId="176" fontId="24" fillId="20" borderId="1" applyNumberFormat="0" applyAlignment="0" applyProtection="0"/>
    <xf numFmtId="0" fontId="24" fillId="20" borderId="1" applyNumberFormat="0" applyAlignment="0" applyProtection="0"/>
    <xf numFmtId="176" fontId="24" fillId="20" borderId="1" applyNumberFormat="0" applyAlignment="0" applyProtection="0"/>
    <xf numFmtId="0" fontId="42" fillId="50" borderId="25" applyNumberFormat="0" applyAlignment="0" applyProtection="0"/>
    <xf numFmtId="0" fontId="24" fillId="20" borderId="1" applyNumberFormat="0" applyAlignment="0" applyProtection="0"/>
    <xf numFmtId="177" fontId="88" fillId="72" borderId="39">
      <alignment horizontal="center" vertical="center"/>
    </xf>
    <xf numFmtId="0" fontId="24" fillId="20" borderId="1" applyNumberFormat="0" applyAlignment="0" applyProtection="0"/>
    <xf numFmtId="0" fontId="24" fillId="20" borderId="1" applyNumberFormat="0" applyAlignment="0" applyProtection="0"/>
    <xf numFmtId="178" fontId="16" fillId="0" borderId="0"/>
    <xf numFmtId="179" fontId="16" fillId="0" borderId="0"/>
    <xf numFmtId="180" fontId="16" fillId="0" borderId="0"/>
    <xf numFmtId="181" fontId="16" fillId="0" borderId="0"/>
    <xf numFmtId="182" fontId="16" fillId="0" borderId="0"/>
    <xf numFmtId="17" fontId="16" fillId="0" borderId="0"/>
    <xf numFmtId="20" fontId="16" fillId="0" borderId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43" fillId="51" borderId="26" applyNumberFormat="0" applyAlignment="0" applyProtection="0"/>
    <xf numFmtId="176" fontId="25" fillId="94" borderId="2" applyNumberFormat="0" applyAlignment="0" applyProtection="0"/>
    <xf numFmtId="0" fontId="25" fillId="21" borderId="2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176" fontId="25" fillId="21" borderId="2" applyNumberFormat="0" applyAlignment="0" applyProtection="0"/>
    <xf numFmtId="0" fontId="43" fillId="51" borderId="26" applyNumberFormat="0" applyAlignment="0" applyProtection="0"/>
    <xf numFmtId="0" fontId="25" fillId="21" borderId="2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76" fontId="25" fillId="21" borderId="2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43" fillId="51" borderId="26" applyNumberFormat="0" applyAlignment="0" applyProtection="0"/>
    <xf numFmtId="0" fontId="25" fillId="21" borderId="2" applyNumberFormat="0" applyAlignment="0" applyProtection="0"/>
    <xf numFmtId="176" fontId="25" fillId="21" borderId="2" applyNumberFormat="0" applyAlignment="0" applyProtection="0"/>
    <xf numFmtId="0" fontId="25" fillId="21" borderId="2" applyNumberFormat="0" applyAlignment="0" applyProtection="0"/>
    <xf numFmtId="176" fontId="25" fillId="21" borderId="2" applyNumberFormat="0" applyAlignment="0" applyProtection="0"/>
    <xf numFmtId="0" fontId="25" fillId="21" borderId="2" applyNumberFormat="0" applyAlignment="0" applyProtection="0"/>
    <xf numFmtId="0" fontId="43" fillId="51" borderId="26" applyNumberFormat="0" applyAlignment="0" applyProtection="0"/>
    <xf numFmtId="0" fontId="25" fillId="21" borderId="2" applyNumberFormat="0" applyAlignment="0" applyProtection="0"/>
    <xf numFmtId="176" fontId="25" fillId="94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165" fontId="16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176" fontId="16" fillId="0" borderId="0" applyBorder="0"/>
    <xf numFmtId="176" fontId="16" fillId="0" borderId="0" applyBorder="0"/>
    <xf numFmtId="176" fontId="16" fillId="0" borderId="0" applyBorder="0"/>
    <xf numFmtId="176" fontId="15" fillId="0" borderId="0"/>
    <xf numFmtId="176" fontId="15" fillId="0" borderId="0">
      <alignment horizontal="center"/>
    </xf>
    <xf numFmtId="176" fontId="76" fillId="0" borderId="0">
      <alignment horizontal="center"/>
    </xf>
    <xf numFmtId="176" fontId="76" fillId="0" borderId="0">
      <alignment horizontal="center"/>
    </xf>
    <xf numFmtId="176" fontId="76" fillId="0" borderId="0">
      <alignment horizontal="center"/>
    </xf>
    <xf numFmtId="176" fontId="76" fillId="0" borderId="0">
      <alignment horizontal="center"/>
    </xf>
    <xf numFmtId="176" fontId="16" fillId="0" borderId="0">
      <alignment horizontal="center"/>
    </xf>
    <xf numFmtId="176" fontId="16" fillId="0" borderId="0">
      <alignment wrapText="1"/>
    </xf>
    <xf numFmtId="176" fontId="84" fillId="0" borderId="0"/>
    <xf numFmtId="176" fontId="79" fillId="0" borderId="0"/>
    <xf numFmtId="176" fontId="79" fillId="0" borderId="0"/>
    <xf numFmtId="176" fontId="79" fillId="0" borderId="0"/>
    <xf numFmtId="176" fontId="79" fillId="0" borderId="0"/>
    <xf numFmtId="176" fontId="91" fillId="0" borderId="0"/>
    <xf numFmtId="166" fontId="75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4" fontId="8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9" fillId="0" borderId="0" applyFont="0" applyFill="0" applyBorder="0" applyAlignment="0" applyProtection="0"/>
    <xf numFmtId="183" fontId="92" fillId="0" borderId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6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6" fontId="93" fillId="0" borderId="0"/>
    <xf numFmtId="176" fontId="94" fillId="0" borderId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6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45" fillId="52" borderId="0" applyNumberFormat="0" applyBorder="0" applyAlignment="0" applyProtection="0"/>
    <xf numFmtId="176" fontId="27" fillId="67" borderId="0" applyNumberFormat="0" applyBorder="0" applyAlignment="0" applyProtection="0"/>
    <xf numFmtId="0" fontId="27" fillId="4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176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45" fillId="52" borderId="0" applyNumberFormat="0" applyBorder="0" applyAlignment="0" applyProtection="0"/>
    <xf numFmtId="176" fontId="27" fillId="4" borderId="0" applyNumberFormat="0" applyBorder="0" applyAlignment="0" applyProtection="0"/>
    <xf numFmtId="0" fontId="27" fillId="4" borderId="0" applyNumberFormat="0" applyBorder="0" applyAlignment="0" applyProtection="0"/>
    <xf numFmtId="176" fontId="27" fillId="4" borderId="0" applyNumberFormat="0" applyBorder="0" applyAlignment="0" applyProtection="0"/>
    <xf numFmtId="0" fontId="27" fillId="4" borderId="0" applyNumberFormat="0" applyBorder="0" applyAlignment="0" applyProtection="0"/>
    <xf numFmtId="176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45" fillId="52" borderId="0" applyNumberFormat="0" applyBorder="0" applyAlignment="0" applyProtection="0"/>
    <xf numFmtId="0" fontId="27" fillId="4" borderId="0" applyNumberFormat="0" applyBorder="0" applyAlignment="0" applyProtection="0"/>
    <xf numFmtId="176" fontId="27" fillId="95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95" fillId="0" borderId="40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46" fillId="0" borderId="27" applyNumberFormat="0" applyFill="0" applyAlignment="0" applyProtection="0"/>
    <xf numFmtId="176" fontId="28" fillId="0" borderId="3" applyNumberFormat="0" applyFill="0" applyAlignment="0" applyProtection="0"/>
    <xf numFmtId="0" fontId="28" fillId="0" borderId="3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95" fillId="0" borderId="41" applyNumberFormat="0" applyFill="0" applyAlignment="0" applyProtection="0"/>
    <xf numFmtId="176" fontId="28" fillId="0" borderId="3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28" fillId="0" borderId="3" applyNumberFormat="0" applyFill="0" applyAlignment="0" applyProtection="0"/>
    <xf numFmtId="0" fontId="46" fillId="0" borderId="27" applyNumberFormat="0" applyFill="0" applyAlignment="0" applyProtection="0"/>
    <xf numFmtId="0" fontId="28" fillId="0" borderId="3" applyNumberFormat="0" applyFill="0" applyAlignment="0" applyProtection="0"/>
    <xf numFmtId="176" fontId="95" fillId="0" borderId="41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96" fillId="0" borderId="42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47" fillId="0" borderId="28" applyNumberFormat="0" applyFill="0" applyAlignment="0" applyProtection="0"/>
    <xf numFmtId="176" fontId="29" fillId="0" borderId="4" applyNumberFormat="0" applyFill="0" applyAlignment="0" applyProtection="0"/>
    <xf numFmtId="0" fontId="29" fillId="0" borderId="4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96" fillId="0" borderId="4" applyNumberFormat="0" applyFill="0" applyAlignment="0" applyProtection="0"/>
    <xf numFmtId="176" fontId="96" fillId="0" borderId="4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47" fillId="0" borderId="28" applyNumberFormat="0" applyFill="0" applyAlignment="0" applyProtection="0"/>
    <xf numFmtId="0" fontId="29" fillId="0" borderId="4" applyNumberFormat="0" applyFill="0" applyAlignment="0" applyProtection="0"/>
    <xf numFmtId="176" fontId="96" fillId="0" borderId="4" applyNumberFormat="0" applyFill="0" applyAlignment="0" applyProtection="0"/>
    <xf numFmtId="0" fontId="29" fillId="0" borderId="4" applyNumberFormat="0" applyFill="0" applyAlignment="0" applyProtection="0"/>
    <xf numFmtId="176" fontId="96" fillId="0" borderId="4" applyNumberFormat="0" applyFill="0" applyAlignment="0" applyProtection="0"/>
    <xf numFmtId="0" fontId="29" fillId="0" borderId="4" applyNumberFormat="0" applyFill="0" applyAlignment="0" applyProtection="0"/>
    <xf numFmtId="176" fontId="29" fillId="0" borderId="4" applyNumberFormat="0" applyFill="0" applyAlignment="0" applyProtection="0"/>
    <xf numFmtId="0" fontId="29" fillId="0" borderId="4" applyNumberFormat="0" applyFill="0" applyAlignment="0" applyProtection="0"/>
    <xf numFmtId="0" fontId="47" fillId="0" borderId="28" applyNumberFormat="0" applyFill="0" applyAlignment="0" applyProtection="0"/>
    <xf numFmtId="0" fontId="29" fillId="0" borderId="4" applyNumberFormat="0" applyFill="0" applyAlignment="0" applyProtection="0"/>
    <xf numFmtId="176" fontId="96" fillId="0" borderId="43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97" fillId="0" borderId="44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8" fillId="0" borderId="29" applyNumberFormat="0" applyFill="0" applyAlignment="0" applyProtection="0"/>
    <xf numFmtId="176" fontId="30" fillId="0" borderId="5" applyNumberFormat="0" applyFill="0" applyAlignment="0" applyProtection="0"/>
    <xf numFmtId="0" fontId="30" fillId="0" borderId="5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97" fillId="0" borderId="45" applyNumberFormat="0" applyFill="0" applyAlignment="0" applyProtection="0"/>
    <xf numFmtId="176" fontId="97" fillId="0" borderId="45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48" fillId="0" borderId="29" applyNumberFormat="0" applyFill="0" applyAlignment="0" applyProtection="0"/>
    <xf numFmtId="0" fontId="30" fillId="0" borderId="5" applyNumberFormat="0" applyFill="0" applyAlignment="0" applyProtection="0"/>
    <xf numFmtId="176" fontId="97" fillId="0" borderId="45" applyNumberFormat="0" applyFill="0" applyAlignment="0" applyProtection="0"/>
    <xf numFmtId="0" fontId="30" fillId="0" borderId="5" applyNumberFormat="0" applyFill="0" applyAlignment="0" applyProtection="0"/>
    <xf numFmtId="176" fontId="97" fillId="0" borderId="45" applyNumberFormat="0" applyFill="0" applyAlignment="0" applyProtection="0"/>
    <xf numFmtId="0" fontId="30" fillId="0" borderId="5" applyNumberFormat="0" applyFill="0" applyAlignment="0" applyProtection="0"/>
    <xf numFmtId="176" fontId="30" fillId="0" borderId="5" applyNumberFormat="0" applyFill="0" applyAlignment="0" applyProtection="0"/>
    <xf numFmtId="0" fontId="30" fillId="0" borderId="5" applyNumberFormat="0" applyFill="0" applyAlignment="0" applyProtection="0"/>
    <xf numFmtId="0" fontId="48" fillId="0" borderId="29" applyNumberFormat="0" applyFill="0" applyAlignment="0" applyProtection="0"/>
    <xf numFmtId="0" fontId="30" fillId="0" borderId="5" applyNumberFormat="0" applyFill="0" applyAlignment="0" applyProtection="0"/>
    <xf numFmtId="176" fontId="97" fillId="0" borderId="46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76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76" fontId="3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76" fontId="9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78" fontId="80" fillId="96" borderId="0"/>
    <xf numFmtId="179" fontId="80" fillId="96" borderId="0"/>
    <xf numFmtId="180" fontId="80" fillId="96" borderId="0"/>
    <xf numFmtId="176" fontId="16" fillId="96" borderId="0">
      <protection locked="0"/>
    </xf>
    <xf numFmtId="183" fontId="16" fillId="96" borderId="0">
      <protection locked="0"/>
    </xf>
    <xf numFmtId="181" fontId="16" fillId="96" borderId="0">
      <protection locked="0"/>
    </xf>
    <xf numFmtId="182" fontId="16" fillId="96" borderId="0">
      <protection locked="0"/>
    </xf>
    <xf numFmtId="17" fontId="16" fillId="96" borderId="0">
      <protection locked="0"/>
    </xf>
    <xf numFmtId="20" fontId="16" fillId="96" borderId="0">
      <protection locked="0"/>
    </xf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49" fillId="53" borderId="25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22" borderId="1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49" fillId="53" borderId="25" applyNumberFormat="0" applyAlignment="0" applyProtection="0"/>
    <xf numFmtId="176" fontId="88" fillId="97" borderId="39" applyNumberFormat="0">
      <alignment horizontal="center" vertical="center"/>
      <protection locked="0"/>
    </xf>
    <xf numFmtId="176" fontId="88" fillId="97" borderId="39" applyNumberFormat="0">
      <alignment horizontal="center" vertical="center"/>
      <protection locked="0"/>
    </xf>
    <xf numFmtId="176" fontId="88" fillId="97" borderId="39" applyNumberFormat="0">
      <alignment horizontal="center" vertical="center"/>
      <protection locked="0"/>
    </xf>
    <xf numFmtId="0" fontId="31" fillId="7" borderId="1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7" borderId="1" applyNumberFormat="0" applyAlignment="0" applyProtection="0"/>
    <xf numFmtId="0" fontId="31" fillId="22" borderId="1" applyNumberFormat="0" applyAlignment="0" applyProtection="0"/>
    <xf numFmtId="176" fontId="88" fillId="97" borderId="39" applyNumberFormat="0">
      <alignment horizontal="center" vertical="center"/>
      <protection locked="0"/>
    </xf>
    <xf numFmtId="176" fontId="88" fillId="97" borderId="39" applyNumberFormat="0">
      <alignment horizontal="center" vertical="center"/>
      <protection locked="0"/>
    </xf>
    <xf numFmtId="176" fontId="31" fillId="22" borderId="1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49" fillId="53" borderId="25" applyNumberFormat="0" applyAlignment="0" applyProtection="0"/>
    <xf numFmtId="0" fontId="31" fillId="7" borderId="1" applyNumberFormat="0" applyAlignment="0" applyProtection="0"/>
    <xf numFmtId="176" fontId="31" fillId="22" borderId="1" applyNumberFormat="0" applyAlignment="0" applyProtection="0"/>
    <xf numFmtId="176" fontId="31" fillId="22" borderId="1" applyNumberFormat="0" applyAlignment="0" applyProtection="0"/>
    <xf numFmtId="176" fontId="31" fillId="22" borderId="1" applyNumberFormat="0" applyAlignment="0" applyProtection="0"/>
    <xf numFmtId="0" fontId="31" fillId="7" borderId="1" applyNumberFormat="0" applyAlignment="0" applyProtection="0"/>
    <xf numFmtId="176" fontId="31" fillId="22" borderId="1" applyNumberFormat="0" applyAlignment="0" applyProtection="0"/>
    <xf numFmtId="176" fontId="31" fillId="22" borderId="1" applyNumberFormat="0" applyAlignment="0" applyProtection="0"/>
    <xf numFmtId="176" fontId="31" fillId="22" borderId="1" applyNumberFormat="0" applyAlignment="0" applyProtection="0"/>
    <xf numFmtId="0" fontId="31" fillId="7" borderId="1" applyNumberFormat="0" applyAlignment="0" applyProtection="0"/>
    <xf numFmtId="176" fontId="31" fillId="22" borderId="1" applyNumberFormat="0" applyAlignment="0" applyProtection="0"/>
    <xf numFmtId="176" fontId="31" fillId="22" borderId="1" applyNumberFormat="0" applyAlignment="0" applyProtection="0"/>
    <xf numFmtId="176" fontId="31" fillId="7" borderId="1" applyNumberFormat="0" applyAlignment="0" applyProtection="0"/>
    <xf numFmtId="0" fontId="31" fillId="7" borderId="1" applyNumberFormat="0" applyAlignment="0" applyProtection="0"/>
    <xf numFmtId="176" fontId="31" fillId="7" borderId="1" applyNumberFormat="0" applyAlignment="0" applyProtection="0"/>
    <xf numFmtId="0" fontId="49" fillId="53" borderId="25" applyNumberFormat="0" applyAlignment="0" applyProtection="0"/>
    <xf numFmtId="0" fontId="31" fillId="7" borderId="1" applyNumberFormat="0" applyAlignment="0" applyProtection="0"/>
    <xf numFmtId="176" fontId="88" fillId="97" borderId="39" applyNumberFormat="0">
      <alignment horizontal="center" vertical="center"/>
      <protection locked="0"/>
    </xf>
    <xf numFmtId="0" fontId="31" fillId="7" borderId="1" applyNumberFormat="0" applyAlignment="0" applyProtection="0"/>
    <xf numFmtId="0" fontId="31" fillId="7" borderId="1" applyNumberFormat="0" applyAlignment="0" applyProtection="0"/>
    <xf numFmtId="176" fontId="16" fillId="96" borderId="0">
      <protection locked="0"/>
    </xf>
    <xf numFmtId="176" fontId="16" fillId="96" borderId="0">
      <protection locked="0"/>
    </xf>
    <xf numFmtId="176" fontId="15" fillId="96" borderId="0">
      <protection locked="0"/>
    </xf>
    <xf numFmtId="176" fontId="16" fillId="96" borderId="0">
      <alignment horizontal="center"/>
      <protection locked="0"/>
    </xf>
    <xf numFmtId="176" fontId="16" fillId="96" borderId="0">
      <protection locked="0"/>
    </xf>
    <xf numFmtId="176" fontId="16" fillId="96" borderId="0"/>
    <xf numFmtId="176" fontId="16" fillId="96" borderId="0">
      <alignment wrapText="1"/>
      <protection locked="0"/>
    </xf>
    <xf numFmtId="176" fontId="84" fillId="96" borderId="0">
      <protection locked="0"/>
    </xf>
    <xf numFmtId="176" fontId="79" fillId="96" borderId="0">
      <protection locked="0"/>
    </xf>
    <xf numFmtId="176" fontId="79" fillId="96" borderId="0">
      <protection locked="0"/>
    </xf>
    <xf numFmtId="176" fontId="79" fillId="96" borderId="0">
      <protection locked="0"/>
    </xf>
    <xf numFmtId="176" fontId="79" fillId="96" borderId="0">
      <protection locked="0"/>
    </xf>
    <xf numFmtId="176" fontId="91" fillId="96" borderId="0">
      <protection locked="0"/>
    </xf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7" fillId="0" borderId="47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50" fillId="0" borderId="30" applyNumberFormat="0" applyFill="0" applyAlignment="0" applyProtection="0"/>
    <xf numFmtId="176" fontId="32" fillId="0" borderId="6" applyNumberFormat="0" applyFill="0" applyAlignment="0" applyProtection="0"/>
    <xf numFmtId="0" fontId="32" fillId="0" borderId="6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176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32" fillId="0" borderId="6" applyNumberFormat="0" applyFill="0" applyAlignment="0" applyProtection="0"/>
    <xf numFmtId="176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98" fillId="22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51" fillId="54" borderId="0" applyNumberFormat="0" applyBorder="0" applyAlignment="0" applyProtection="0"/>
    <xf numFmtId="176" fontId="33" fillId="98" borderId="0" applyNumberFormat="0" applyBorder="0" applyAlignment="0" applyProtection="0"/>
    <xf numFmtId="0" fontId="33" fillId="22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51" fillId="54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51" fillId="54" borderId="0" applyNumberFormat="0" applyBorder="0" applyAlignment="0" applyProtection="0"/>
    <xf numFmtId="0" fontId="33" fillId="22" borderId="0" applyNumberFormat="0" applyBorder="0" applyAlignment="0" applyProtection="0"/>
    <xf numFmtId="176" fontId="33" fillId="98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178" fontId="79" fillId="0" borderId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176" fontId="16" fillId="0" borderId="0"/>
    <xf numFmtId="176" fontId="16" fillId="0" borderId="0"/>
    <xf numFmtId="0" fontId="75" fillId="0" borderId="0"/>
    <xf numFmtId="0" fontId="16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6" fillId="0" borderId="0"/>
    <xf numFmtId="0" fontId="59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58" fillId="0" borderId="0"/>
    <xf numFmtId="0" fontId="16" fillId="0" borderId="0"/>
    <xf numFmtId="0" fontId="16" fillId="0" borderId="0"/>
    <xf numFmtId="0" fontId="16" fillId="0" borderId="0"/>
    <xf numFmtId="176" fontId="77" fillId="0" borderId="0"/>
    <xf numFmtId="0" fontId="39" fillId="0" borderId="0"/>
    <xf numFmtId="0" fontId="39" fillId="0" borderId="0"/>
    <xf numFmtId="0" fontId="39" fillId="0" borderId="0"/>
    <xf numFmtId="0" fontId="1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0" borderId="0"/>
    <xf numFmtId="0" fontId="16" fillId="0" borderId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59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176" fontId="92" fillId="97" borderId="7" applyNumberFormat="0" applyAlignment="0" applyProtection="0"/>
    <xf numFmtId="176" fontId="92" fillId="97" borderId="7" applyNumberFormat="0" applyAlignment="0" applyProtection="0"/>
    <xf numFmtId="176" fontId="92" fillId="97" borderId="7" applyNumberForma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176" fontId="92" fillId="98" borderId="7" applyNumberFormat="0" applyAlignment="0" applyProtection="0"/>
    <xf numFmtId="176" fontId="92" fillId="98" borderId="7" applyNumberForma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176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176" fontId="92" fillId="98" borderId="7" applyNumberForma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23" borderId="7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0" fontId="21" fillId="55" borderId="31" applyNumberFormat="0" applyFont="0" applyAlignment="0" applyProtection="0"/>
    <xf numFmtId="184" fontId="83" fillId="0" borderId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93" borderId="8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52" fillId="50" borderId="32" applyNumberFormat="0" applyAlignment="0" applyProtection="0"/>
    <xf numFmtId="176" fontId="34" fillId="77" borderId="8" applyNumberFormat="0" applyAlignment="0" applyProtection="0"/>
    <xf numFmtId="176" fontId="34" fillId="77" borderId="8" applyNumberFormat="0" applyAlignment="0" applyProtection="0"/>
    <xf numFmtId="176" fontId="34" fillId="77" borderId="8" applyNumberFormat="0" applyAlignment="0" applyProtection="0"/>
    <xf numFmtId="0" fontId="34" fillId="20" borderId="8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0" fontId="34" fillId="93" borderId="8" applyNumberFormat="0" applyAlignment="0" applyProtection="0"/>
    <xf numFmtId="176" fontId="34" fillId="64" borderId="8" applyNumberFormat="0" applyAlignment="0" applyProtection="0"/>
    <xf numFmtId="176" fontId="34" fillId="64" borderId="8" applyNumberFormat="0" applyAlignment="0" applyProtection="0"/>
    <xf numFmtId="176" fontId="34" fillId="93" borderId="8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52" fillId="50" borderId="32" applyNumberFormat="0" applyAlignment="0" applyProtection="0"/>
    <xf numFmtId="0" fontId="34" fillId="20" borderId="8" applyNumberFormat="0" applyAlignment="0" applyProtection="0"/>
    <xf numFmtId="176" fontId="34" fillId="93" borderId="8" applyNumberFormat="0" applyAlignment="0" applyProtection="0"/>
    <xf numFmtId="176" fontId="34" fillId="93" borderId="8" applyNumberFormat="0" applyAlignment="0" applyProtection="0"/>
    <xf numFmtId="176" fontId="34" fillId="93" borderId="8" applyNumberFormat="0" applyAlignment="0" applyProtection="0"/>
    <xf numFmtId="0" fontId="34" fillId="20" borderId="8" applyNumberFormat="0" applyAlignment="0" applyProtection="0"/>
    <xf numFmtId="176" fontId="34" fillId="93" borderId="8" applyNumberFormat="0" applyAlignment="0" applyProtection="0"/>
    <xf numFmtId="176" fontId="34" fillId="93" borderId="8" applyNumberFormat="0" applyAlignment="0" applyProtection="0"/>
    <xf numFmtId="176" fontId="34" fillId="93" borderId="8" applyNumberFormat="0" applyAlignment="0" applyProtection="0"/>
    <xf numFmtId="0" fontId="34" fillId="20" borderId="8" applyNumberFormat="0" applyAlignment="0" applyProtection="0"/>
    <xf numFmtId="176" fontId="34" fillId="93" borderId="8" applyNumberFormat="0" applyAlignment="0" applyProtection="0"/>
    <xf numFmtId="176" fontId="34" fillId="93" borderId="8" applyNumberFormat="0" applyAlignment="0" applyProtection="0"/>
    <xf numFmtId="176" fontId="34" fillId="20" borderId="8" applyNumberFormat="0" applyAlignment="0" applyProtection="0"/>
    <xf numFmtId="0" fontId="34" fillId="20" borderId="8" applyNumberFormat="0" applyAlignment="0" applyProtection="0"/>
    <xf numFmtId="176" fontId="34" fillId="20" borderId="8" applyNumberFormat="0" applyAlignment="0" applyProtection="0"/>
    <xf numFmtId="0" fontId="52" fillId="50" borderId="32" applyNumberFormat="0" applyAlignment="0" applyProtection="0"/>
    <xf numFmtId="0" fontId="34" fillId="20" borderId="8" applyNumberFormat="0" applyAlignment="0" applyProtection="0"/>
    <xf numFmtId="176" fontId="34" fillId="64" borderId="8" applyNumberFormat="0" applyAlignment="0" applyProtection="0"/>
    <xf numFmtId="0" fontId="34" fillId="20" borderId="8" applyNumberFormat="0" applyAlignment="0" applyProtection="0"/>
    <xf numFmtId="0" fontId="34" fillId="20" borderId="8" applyNumberFormat="0" applyAlignment="0" applyProtection="0"/>
    <xf numFmtId="9" fontId="16" fillId="0" borderId="0" applyFont="0" applyFill="0" applyBorder="0" applyAlignment="0" applyProtection="0"/>
    <xf numFmtId="9" fontId="92" fillId="0" borderId="0" applyFill="0" applyBorder="0" applyAlignment="0" applyProtection="0"/>
    <xf numFmtId="9" fontId="16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6" fillId="0" borderId="0" applyFont="0" applyFill="0" applyBorder="0" applyAlignment="0" applyProtection="0"/>
    <xf numFmtId="176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176" fontId="92" fillId="0" borderId="0" applyNumberFormat="0" applyFill="0" applyBorder="0" applyAlignment="0" applyProtection="0"/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0" fontId="77" fillId="0" borderId="0" applyNumberFormat="0" applyFont="0" applyFill="0" applyBorder="0" applyAlignment="0" applyProtection="0">
      <alignment horizontal="left"/>
    </xf>
    <xf numFmtId="176" fontId="77" fillId="0" borderId="0" applyNumberFormat="0" applyFont="0" applyFill="0" applyBorder="0" applyAlignment="0" applyProtection="0">
      <alignment horizontal="left"/>
    </xf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92" fillId="0" borderId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15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92" fillId="0" borderId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4" fontId="77" fillId="0" borderId="0" applyFont="0" applyFill="0" applyBorder="0" applyAlignment="0" applyProtection="0"/>
    <xf numFmtId="176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176" fontId="99" fillId="0" borderId="48">
      <alignment horizontal="center"/>
    </xf>
    <xf numFmtId="176" fontId="99" fillId="0" borderId="48">
      <alignment horizontal="center"/>
    </xf>
    <xf numFmtId="0" fontId="99" fillId="0" borderId="24">
      <alignment horizontal="center"/>
    </xf>
    <xf numFmtId="176" fontId="99" fillId="0" borderId="48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176" fontId="99" fillId="0" borderId="48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0" fontId="99" fillId="0" borderId="24">
      <alignment horizontal="center"/>
    </xf>
    <xf numFmtId="176" fontId="99" fillId="0" borderId="24">
      <alignment horizontal="center"/>
    </xf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92" fillId="0" borderId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176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176" fontId="92" fillId="100" borderId="0" applyNumberForma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0" fontId="77" fillId="99" borderId="0" applyNumberFormat="0" applyFont="0" applyBorder="0" applyAlignment="0" applyProtection="0"/>
    <xf numFmtId="176" fontId="77" fillId="99" borderId="0" applyNumberFormat="0" applyFont="0" applyBorder="0" applyAlignment="0" applyProtection="0"/>
    <xf numFmtId="178" fontId="16" fillId="0" borderId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84" fillId="0" borderId="0" applyNumberFormat="0" applyFill="0" applyBorder="0" applyAlignment="0" applyProtection="0"/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0" fillId="64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101" fillId="101" borderId="0" applyNumberFormat="0" applyBorder="0">
      <alignment horizontal="left"/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92" fillId="98" borderId="0" applyNumberForma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92" fillId="98" borderId="0" applyNumberForma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102" borderId="0" applyNumberFormat="0" applyFont="0" applyBorder="0" applyAlignment="0">
      <protection locked="0"/>
    </xf>
    <xf numFmtId="176" fontId="16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6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176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6" fontId="10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77" fontId="103" fillId="69" borderId="39" applyProtection="0">
      <alignment horizontal="center" vertical="center"/>
    </xf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49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54" fillId="0" borderId="33" applyNumberFormat="0" applyFill="0" applyAlignment="0" applyProtection="0"/>
    <xf numFmtId="176" fontId="36" fillId="0" borderId="9" applyNumberFormat="0" applyFill="0" applyAlignment="0" applyProtection="0"/>
    <xf numFmtId="176" fontId="36" fillId="0" borderId="9" applyNumberFormat="0" applyFill="0" applyAlignment="0" applyProtection="0"/>
    <xf numFmtId="176" fontId="36" fillId="0" borderId="9" applyNumberFormat="0" applyFill="0" applyAlignment="0" applyProtection="0"/>
    <xf numFmtId="0" fontId="36" fillId="0" borderId="9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50" applyNumberFormat="0" applyFill="0" applyAlignment="0" applyProtection="0"/>
    <xf numFmtId="176" fontId="36" fillId="0" borderId="50" applyNumberFormat="0" applyFill="0" applyAlignment="0" applyProtection="0"/>
    <xf numFmtId="176" fontId="36" fillId="0" borderId="50" applyNumberFormat="0" applyFill="0" applyAlignment="0" applyProtection="0"/>
    <xf numFmtId="176" fontId="36" fillId="0" borderId="9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54" fillId="0" borderId="33" applyNumberFormat="0" applyFill="0" applyAlignment="0" applyProtection="0"/>
    <xf numFmtId="0" fontId="36" fillId="0" borderId="9" applyNumberFormat="0" applyFill="0" applyAlignment="0" applyProtection="0"/>
    <xf numFmtId="176" fontId="36" fillId="0" borderId="9" applyNumberFormat="0" applyFill="0" applyAlignment="0" applyProtection="0"/>
    <xf numFmtId="0" fontId="54" fillId="0" borderId="33" applyNumberFormat="0" applyFill="0" applyAlignment="0" applyProtection="0"/>
    <xf numFmtId="0" fontId="36" fillId="0" borderId="9" applyNumberFormat="0" applyFill="0" applyAlignment="0" applyProtection="0"/>
    <xf numFmtId="176" fontId="36" fillId="0" borderId="50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76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76" fontId="104" fillId="69" borderId="51">
      <alignment horizontal="center" wrapText="1"/>
    </xf>
    <xf numFmtId="176" fontId="104" fillId="69" borderId="51">
      <alignment horizontal="center" wrapText="1"/>
    </xf>
    <xf numFmtId="176" fontId="104" fillId="69" borderId="51">
      <alignment horizontal="center" wrapText="1"/>
    </xf>
    <xf numFmtId="176" fontId="104" fillId="69" borderId="51">
      <alignment horizontal="center" wrapText="1"/>
    </xf>
    <xf numFmtId="176" fontId="104" fillId="69" borderId="51">
      <alignment horizontal="center" wrapText="1"/>
    </xf>
    <xf numFmtId="176" fontId="104" fillId="69" borderId="51">
      <alignment horizontal="center" wrapText="1"/>
    </xf>
    <xf numFmtId="176" fontId="104" fillId="69" borderId="51">
      <alignment horizontal="center" vertical="top" textRotation="90" wrapText="1"/>
    </xf>
    <xf numFmtId="176" fontId="104" fillId="69" borderId="51">
      <alignment horizontal="center" vertical="top" textRotation="90" wrapText="1"/>
    </xf>
    <xf numFmtId="176" fontId="104" fillId="69" borderId="51">
      <alignment horizontal="center" vertical="top" textRotation="90" wrapText="1"/>
    </xf>
    <xf numFmtId="176" fontId="105" fillId="0" borderId="0">
      <alignment horizontal="center"/>
    </xf>
    <xf numFmtId="176" fontId="106" fillId="70" borderId="0"/>
    <xf numFmtId="176" fontId="107" fillId="103" borderId="0"/>
    <xf numFmtId="176" fontId="106" fillId="70" borderId="0"/>
    <xf numFmtId="176" fontId="106" fillId="63" borderId="0"/>
    <xf numFmtId="176" fontId="108" fillId="70" borderId="39">
      <alignment horizontal="center" vertical="center"/>
    </xf>
    <xf numFmtId="176" fontId="108" fillId="70" borderId="39">
      <alignment horizontal="center" vertical="center"/>
    </xf>
    <xf numFmtId="176" fontId="108" fillId="70" borderId="39">
      <alignment horizontal="center" vertical="center"/>
    </xf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9" fontId="58" fillId="0" borderId="0" applyFont="0" applyFill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34" fillId="20" borderId="8" applyNumberFormat="0" applyAlignment="0" applyProtection="0"/>
    <xf numFmtId="0" fontId="24" fillId="20" borderId="1" applyNumberFormat="0" applyAlignment="0" applyProtection="0"/>
    <xf numFmtId="0" fontId="31" fillId="7" borderId="1" applyNumberFormat="0" applyAlignment="0" applyProtection="0"/>
    <xf numFmtId="0" fontId="36" fillId="0" borderId="9" applyNumberFormat="0" applyFill="0" applyAlignment="0" applyProtection="0"/>
    <xf numFmtId="0" fontId="26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0" fontId="27" fillId="4" borderId="0" applyNumberFormat="0" applyBorder="0" applyAlignment="0" applyProtection="0"/>
    <xf numFmtId="0" fontId="16" fillId="23" borderId="7" applyNumberFormat="0" applyFont="0" applyAlignment="0" applyProtection="0"/>
    <xf numFmtId="0" fontId="23" fillId="3" borderId="0" applyNumberFormat="0" applyBorder="0" applyAlignment="0" applyProtection="0"/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35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32" fillId="0" borderId="6" applyNumberFormat="0" applyFill="0" applyAlignment="0" applyProtection="0"/>
    <xf numFmtId="0" fontId="37" fillId="0" borderId="0" applyNumberFormat="0" applyFill="0" applyBorder="0" applyAlignment="0" applyProtection="0"/>
    <xf numFmtId="0" fontId="25" fillId="21" borderId="2" applyNumberFormat="0" applyAlignment="0" applyProtection="0"/>
    <xf numFmtId="0" fontId="39" fillId="0" borderId="0"/>
    <xf numFmtId="0" fontId="39" fillId="0" borderId="0"/>
    <xf numFmtId="0" fontId="39" fillId="0" borderId="0"/>
    <xf numFmtId="9" fontId="16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8" fillId="0" borderId="0"/>
    <xf numFmtId="0" fontId="39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16" fillId="0" borderId="0" applyNumberFormat="0" applyFont="0" applyFill="0" applyBorder="0" applyProtection="0">
      <alignment horizontal="left" vertical="center" indent="5"/>
    </xf>
    <xf numFmtId="0" fontId="16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37" fillId="0" borderId="0" applyNumberFormat="0" applyFill="0" applyBorder="0" applyAlignment="0" applyProtection="0"/>
    <xf numFmtId="0" fontId="24" fillId="20" borderId="1" applyNumberFormat="0" applyAlignment="0" applyProtection="0"/>
    <xf numFmtId="0" fontId="32" fillId="0" borderId="6" applyNumberFormat="0" applyFill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1" fillId="23" borderId="7" applyNumberFormat="0" applyFont="0" applyAlignment="0" applyProtection="0"/>
    <xf numFmtId="0" fontId="109" fillId="0" borderId="52">
      <alignment horizontal="left" vertical="center" wrapText="1" indent="2"/>
    </xf>
    <xf numFmtId="0" fontId="31" fillId="7" borderId="1" applyNumberFormat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ill="0" applyBorder="0" applyAlignment="0" applyProtection="0"/>
    <xf numFmtId="0" fontId="110" fillId="53" borderId="25" applyNumberFormat="0" applyAlignment="0" applyProtection="0"/>
    <xf numFmtId="0" fontId="23" fillId="3" borderId="0" applyNumberFormat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33" fillId="22" borderId="0" applyNumberFormat="0" applyBorder="0" applyAlignment="0" applyProtection="0"/>
    <xf numFmtId="0" fontId="16" fillId="0" borderId="0"/>
    <xf numFmtId="0" fontId="16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39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9" fillId="0" borderId="0"/>
    <xf numFmtId="0" fontId="16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9" fillId="0" borderId="0"/>
    <xf numFmtId="0" fontId="16" fillId="0" borderId="0"/>
    <xf numFmtId="0" fontId="16" fillId="0" borderId="0"/>
    <xf numFmtId="0" fontId="39" fillId="0" borderId="0"/>
    <xf numFmtId="0" fontId="16" fillId="0" borderId="0"/>
    <xf numFmtId="0" fontId="39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1" fillId="0" borderId="0" applyNumberFormat="0" applyFill="0" applyBorder="0" applyProtection="0">
      <alignment horizontal="left" vertical="center"/>
    </xf>
    <xf numFmtId="4" fontId="16" fillId="107" borderId="0" applyNumberFormat="0" applyFont="0" applyBorder="0" applyAlignment="0" applyProtection="0"/>
    <xf numFmtId="4" fontId="16" fillId="107" borderId="0" applyNumberFormat="0" applyFont="0" applyBorder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108" borderId="7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7" fillId="4" borderId="0" applyNumberFormat="0" applyBorder="0" applyAlignment="0" applyProtection="0"/>
    <xf numFmtId="0" fontId="34" fillId="20" borderId="8" applyNumberFormat="0" applyAlignment="0" applyProtection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39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81" borderId="39" applyNumberFormat="0" applyProtection="0">
      <alignment horizontal="righ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81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81" borderId="39" applyNumberFormat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39" applyNumberFormat="0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9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10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25" fillId="21" borderId="2" applyNumberFormat="0" applyAlignment="0" applyProtection="0"/>
    <xf numFmtId="4" fontId="109" fillId="0" borderId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29" borderId="0" applyNumberFormat="0" applyBorder="0" applyAlignment="0" applyProtection="0"/>
    <xf numFmtId="0" fontId="39" fillId="33" borderId="0" applyNumberFormat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176" fontId="39" fillId="0" borderId="0"/>
    <xf numFmtId="176" fontId="39" fillId="0" borderId="0"/>
    <xf numFmtId="176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6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3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right"/>
    </xf>
    <xf numFmtId="49" fontId="16" fillId="0" borderId="15" applyFill="0" applyProtection="0">
      <alignment horizontal="right"/>
    </xf>
    <xf numFmtId="0" fontId="113" fillId="53" borderId="25" applyNumberFormat="0" applyAlignment="0" applyProtection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5" fillId="104" borderId="15" applyNumberFormat="0" applyProtection="0">
      <alignment horizontal="left"/>
    </xf>
    <xf numFmtId="0" fontId="42" fillId="9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9" fontId="38" fillId="0" borderId="0" applyFont="0" applyFill="0" applyBorder="0" applyAlignment="0" applyProtection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05" fillId="105" borderId="0" applyNumberFormat="0" applyBorder="0" applyProtection="0">
      <alignment horizontal="left"/>
    </xf>
    <xf numFmtId="9" fontId="21" fillId="0" borderId="0" applyFont="0" applyFill="0" applyBorder="0" applyAlignment="0" applyProtection="0"/>
    <xf numFmtId="0" fontId="16" fillId="0" borderId="0"/>
    <xf numFmtId="49" fontId="16" fillId="0" borderId="15" applyFill="0" applyProtection="0">
      <alignment horizontal="right"/>
    </xf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9" fontId="21" fillId="0" borderId="0" applyFont="0" applyFill="0" applyBorder="0" applyAlignment="0" applyProtection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15" applyNumberFormat="0" applyFill="0" applyProtection="0">
      <alignment horizontal="righ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9" fillId="0" borderId="0"/>
    <xf numFmtId="0" fontId="39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5" fillId="104" borderId="15" applyNumberFormat="0" applyProtection="0">
      <alignment horizontal="right"/>
    </xf>
    <xf numFmtId="0" fontId="15" fillId="104" borderId="15" applyNumberFormat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78" fillId="104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5" fillId="104" borderId="15" applyNumberFormat="0" applyProtection="0">
      <alignment horizontal="left"/>
    </xf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16" fillId="23" borderId="7" applyNumberFormat="0" applyFont="0" applyAlignment="0" applyProtection="0"/>
    <xf numFmtId="0" fontId="57" fillId="0" borderId="0"/>
    <xf numFmtId="0" fontId="1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7" fillId="0" borderId="0"/>
    <xf numFmtId="0" fontId="39" fillId="0" borderId="0"/>
    <xf numFmtId="0" fontId="57" fillId="0" borderId="0"/>
    <xf numFmtId="0" fontId="61" fillId="0" borderId="0"/>
    <xf numFmtId="0" fontId="5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6" fillId="0" borderId="0"/>
    <xf numFmtId="0" fontId="16" fillId="0" borderId="0"/>
    <xf numFmtId="0" fontId="113" fillId="53" borderId="25" applyNumberFormat="0" applyAlignment="0" applyProtection="0"/>
    <xf numFmtId="0" fontId="49" fillId="53" borderId="25" applyNumberFormat="0" applyAlignment="0" applyProtection="0"/>
    <xf numFmtId="0" fontId="112" fillId="53" borderId="25" applyNumberFormat="0" applyAlignment="0" applyProtection="0"/>
    <xf numFmtId="0" fontId="110" fillId="53" borderId="25" applyNumberFormat="0" applyAlignment="0" applyProtection="0"/>
    <xf numFmtId="0" fontId="112" fillId="53" borderId="25" applyNumberFormat="0" applyAlignment="0" applyProtection="0"/>
    <xf numFmtId="0" fontId="49" fillId="53" borderId="25" applyNumberFormat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14" fillId="54" borderId="0" applyNumberFormat="0" applyBorder="0" applyAlignment="0" applyProtection="0"/>
    <xf numFmtId="0" fontId="112" fillId="53" borderId="25" applyNumberFormat="0" applyAlignment="0" applyProtection="0"/>
    <xf numFmtId="0" fontId="112" fillId="53" borderId="25" applyNumberFormat="0" applyAlignment="0" applyProtection="0"/>
    <xf numFmtId="0" fontId="112" fillId="53" borderId="25" applyNumberFormat="0" applyAlignment="0" applyProtection="0"/>
    <xf numFmtId="0" fontId="112" fillId="53" borderId="25" applyNumberFormat="0" applyAlignment="0" applyProtection="0"/>
    <xf numFmtId="0" fontId="112" fillId="53" borderId="25" applyNumberFormat="0" applyAlignment="0" applyProtection="0"/>
    <xf numFmtId="0" fontId="112" fillId="53" borderId="25" applyNumberFormat="0" applyAlignment="0" applyProtection="0"/>
    <xf numFmtId="0" fontId="113" fillId="53" borderId="25" applyNumberFormat="0" applyAlignment="0" applyProtection="0"/>
    <xf numFmtId="0" fontId="113" fillId="53" borderId="25" applyNumberFormat="0" applyAlignment="0" applyProtection="0"/>
    <xf numFmtId="0" fontId="113" fillId="53" borderId="25" applyNumberFormat="0" applyAlignment="0" applyProtection="0"/>
    <xf numFmtId="0" fontId="113" fillId="53" borderId="25" applyNumberFormat="0" applyAlignment="0" applyProtection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0" fillId="0" borderId="0" applyNumberFormat="0" applyFill="0" applyBorder="0" applyAlignment="0" applyProtection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18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42" fillId="93" borderId="25" applyNumberFormat="0" applyAlignment="0" applyProtection="0"/>
    <xf numFmtId="0" fontId="15" fillId="104" borderId="15" applyNumberFormat="0" applyProtection="0">
      <alignment horizontal="right"/>
    </xf>
    <xf numFmtId="0" fontId="76" fillId="106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165" fontId="16" fillId="0" borderId="0" applyFont="0" applyFill="0" applyBorder="0" applyAlignment="0" applyProtection="0"/>
    <xf numFmtId="49" fontId="16" fillId="0" borderId="15" applyFill="0" applyProtection="0">
      <alignment horizontal="right"/>
    </xf>
    <xf numFmtId="49" fontId="16" fillId="0" borderId="15" applyFill="0" applyProtection="0">
      <alignment horizontal="right"/>
    </xf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6" fillId="0" borderId="0"/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13" fillId="53" borderId="25" applyNumberFormat="0" applyAlignment="0" applyProtection="0"/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93" borderId="25" applyNumberFormat="0" applyAlignment="0" applyProtection="0"/>
    <xf numFmtId="0" fontId="105" fillId="105" borderId="0" applyNumberFormat="0" applyBorder="0" applyProtection="0">
      <alignment horizontal="left"/>
    </xf>
    <xf numFmtId="165" fontId="16" fillId="0" borderId="0" applyFont="0" applyFill="0" applyBorder="0" applyAlignment="0" applyProtection="0"/>
    <xf numFmtId="0" fontId="15" fillId="104" borderId="15" applyNumberFormat="0" applyProtection="0">
      <alignment horizontal="left"/>
    </xf>
    <xf numFmtId="0" fontId="15" fillId="104" borderId="15" applyNumberFormat="0" applyProtection="0">
      <alignment horizontal="right"/>
    </xf>
    <xf numFmtId="165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0" fontId="16" fillId="0" borderId="15" applyNumberFormat="0" applyFill="0" applyProtection="0">
      <alignment horizontal="righ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42" fillId="93" borderId="25" applyNumberFormat="0" applyAlignment="0" applyProtection="0"/>
    <xf numFmtId="0" fontId="42" fillId="93" borderId="25" applyNumberFormat="0" applyAlignment="0" applyProtection="0"/>
    <xf numFmtId="165" fontId="16" fillId="0" borderId="0" applyFont="0" applyFill="0" applyBorder="0" applyAlignment="0" applyProtection="0"/>
    <xf numFmtId="0" fontId="16" fillId="0" borderId="15" applyNumberFormat="0" applyFill="0" applyProtection="0">
      <alignment horizontal="right"/>
    </xf>
    <xf numFmtId="9" fontId="21" fillId="0" borderId="0" applyFont="0" applyFill="0" applyBorder="0" applyAlignment="0" applyProtection="0"/>
    <xf numFmtId="0" fontId="16" fillId="0" borderId="15" applyNumberFormat="0" applyFill="0" applyProtection="0">
      <alignment horizontal="righ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0"/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93" borderId="25" applyNumberFormat="0" applyAlignment="0" applyProtection="0"/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76" fillId="106" borderId="0" applyNumberFormat="0" applyBorder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76" fillId="106" borderId="0" applyNumberFormat="0" applyBorder="0" applyProtection="0">
      <alignment horizontal="lef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93" borderId="25" applyNumberFormat="0" applyAlignment="0" applyProtection="0"/>
    <xf numFmtId="165" fontId="16" fillId="0" borderId="0" applyFont="0" applyFill="0" applyBorder="0" applyAlignment="0" applyProtection="0"/>
    <xf numFmtId="0" fontId="15" fillId="104" borderId="15" applyNumberFormat="0" applyProtection="0">
      <alignment horizontal="right"/>
    </xf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5" fillId="104" borderId="15" applyNumberFormat="0" applyProtection="0">
      <alignment horizontal="lef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6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42" fillId="93" borderId="25" applyNumberFormat="0" applyAlignment="0" applyProtection="0"/>
    <xf numFmtId="0" fontId="42" fillId="50" borderId="25" applyNumberFormat="0" applyAlignment="0" applyProtection="0"/>
    <xf numFmtId="0" fontId="16" fillId="0" borderId="0"/>
    <xf numFmtId="0" fontId="78" fillId="104" borderId="0" applyNumberFormat="0" applyBorder="0" applyProtection="0">
      <alignment horizontal="left"/>
    </xf>
    <xf numFmtId="165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76" fillId="106" borderId="0" applyNumberFormat="0" applyBorder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76" fillId="106" borderId="0" applyNumberFormat="0" applyBorder="0" applyProtection="0">
      <alignment horizontal="lef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78" fillId="104" borderId="0" applyNumberFormat="0" applyBorder="0" applyProtection="0">
      <alignment horizontal="left"/>
    </xf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42" fillId="93" borderId="25" applyNumberFormat="0" applyAlignment="0" applyProtection="0"/>
    <xf numFmtId="49" fontId="16" fillId="0" borderId="15" applyFill="0" applyProtection="0">
      <alignment horizontal="right"/>
    </xf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93" borderId="25" applyNumberFormat="0" applyAlignment="0" applyProtection="0"/>
    <xf numFmtId="0" fontId="16" fillId="0" borderId="0"/>
    <xf numFmtId="165" fontId="16" fillId="0" borderId="0" applyFont="0" applyFill="0" applyBorder="0" applyAlignment="0" applyProtection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60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6" fillId="0" borderId="0"/>
    <xf numFmtId="0" fontId="105" fillId="105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93" borderId="25" applyNumberFormat="0" applyAlignment="0" applyProtection="0"/>
    <xf numFmtId="0" fontId="16" fillId="0" borderId="0"/>
    <xf numFmtId="0" fontId="15" fillId="104" borderId="15" applyNumberFormat="0" applyProtection="0">
      <alignment horizontal="right"/>
    </xf>
    <xf numFmtId="9" fontId="21" fillId="0" borderId="0" applyFont="0" applyFill="0" applyBorder="0" applyAlignment="0" applyProtection="0"/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0" fontId="16" fillId="0" borderId="0"/>
    <xf numFmtId="0" fontId="105" fillId="105" borderId="0" applyNumberFormat="0" applyBorder="0" applyProtection="0">
      <alignment horizontal="left"/>
    </xf>
    <xf numFmtId="0" fontId="113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42" fillId="93" borderId="25" applyNumberFormat="0" applyAlignment="0" applyProtection="0"/>
    <xf numFmtId="0" fontId="16" fillId="0" borderId="0"/>
    <xf numFmtId="0" fontId="16" fillId="0" borderId="0"/>
    <xf numFmtId="0" fontId="15" fillId="104" borderId="15" applyNumberFormat="0" applyProtection="0">
      <alignment horizontal="right"/>
    </xf>
    <xf numFmtId="0" fontId="16" fillId="0" borderId="0"/>
    <xf numFmtId="0" fontId="76" fillId="106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15" applyNumberFormat="0" applyFill="0" applyProtection="0">
      <alignment horizontal="right"/>
    </xf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6" fillId="0" borderId="0"/>
    <xf numFmtId="0" fontId="15" fillId="104" borderId="15" applyNumberFormat="0" applyProtection="0">
      <alignment horizontal="right"/>
    </xf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104" borderId="15" applyNumberFormat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9" fontId="16" fillId="0" borderId="15" applyFill="0" applyProtection="0">
      <alignment horizontal="right"/>
    </xf>
    <xf numFmtId="0" fontId="105" fillId="105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5" fillId="105" borderId="0" applyNumberFormat="0" applyBorder="0" applyProtection="0">
      <alignment horizontal="left"/>
    </xf>
    <xf numFmtId="0" fontId="112" fillId="53" borderId="25" applyNumberFormat="0" applyAlignment="0" applyProtection="0"/>
    <xf numFmtId="0" fontId="16" fillId="0" borderId="0"/>
    <xf numFmtId="0" fontId="76" fillId="106" borderId="0" applyNumberFormat="0" applyBorder="0" applyProtection="0">
      <alignment horizontal="left"/>
    </xf>
    <xf numFmtId="0" fontId="78" fillId="104" borderId="0" applyNumberFormat="0" applyBorder="0" applyProtection="0">
      <alignment horizontal="left"/>
    </xf>
    <xf numFmtId="49" fontId="16" fillId="0" borderId="15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6" fillId="106" borderId="0" applyNumberFormat="0" applyBorder="0" applyProtection="0">
      <alignment horizontal="left"/>
    </xf>
    <xf numFmtId="0" fontId="105" fillId="105" borderId="0" applyNumberFormat="0" applyBorder="0" applyProtection="0">
      <alignment horizontal="left"/>
    </xf>
    <xf numFmtId="0" fontId="16" fillId="0" borderId="0"/>
    <xf numFmtId="0" fontId="78" fillId="104" borderId="0" applyNumberFormat="0" applyBorder="0" applyProtection="0">
      <alignment horizontal="lef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93" borderId="25" applyNumberFormat="0" applyAlignment="0" applyProtection="0"/>
    <xf numFmtId="0" fontId="76" fillId="106" borderId="0" applyNumberFormat="0" applyBorder="0" applyProtection="0">
      <alignment horizontal="left"/>
    </xf>
    <xf numFmtId="165" fontId="16" fillId="0" borderId="0" applyFont="0" applyFill="0" applyBorder="0" applyAlignment="0" applyProtection="0"/>
    <xf numFmtId="49" fontId="16" fillId="0" borderId="15" applyFill="0" applyProtection="0">
      <alignment horizontal="right"/>
    </xf>
    <xf numFmtId="165" fontId="16" fillId="0" borderId="0" applyFont="0" applyFill="0" applyBorder="0" applyAlignment="0" applyProtection="0"/>
    <xf numFmtId="0" fontId="12" fillId="29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176" fontId="12" fillId="0" borderId="0"/>
    <xf numFmtId="176" fontId="12" fillId="0" borderId="0"/>
    <xf numFmtId="176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9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9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0" borderId="0"/>
    <xf numFmtId="0" fontId="119" fillId="0" borderId="0">
      <alignment vertical="top"/>
    </xf>
    <xf numFmtId="0" fontId="119" fillId="0" borderId="0">
      <alignment vertical="top"/>
    </xf>
    <xf numFmtId="0" fontId="9" fillId="29" borderId="0" applyNumberFormat="0" applyBorder="0" applyAlignment="0" applyProtection="0"/>
    <xf numFmtId="0" fontId="9" fillId="0" borderId="0"/>
    <xf numFmtId="9" fontId="119" fillId="0" borderId="0" applyFont="0" applyFill="0" applyBorder="0" applyAlignment="0" applyProtection="0"/>
    <xf numFmtId="0" fontId="119" fillId="0" borderId="0">
      <alignment vertical="top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58" fillId="0" borderId="0"/>
    <xf numFmtId="0" fontId="120" fillId="0" borderId="0" applyNumberFormat="0" applyFill="0" applyBorder="0" applyAlignment="0" applyProtection="0"/>
    <xf numFmtId="0" fontId="119" fillId="0" borderId="0">
      <alignment vertical="top"/>
    </xf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19" fillId="0" borderId="0">
      <alignment vertical="top"/>
    </xf>
    <xf numFmtId="165" fontId="16" fillId="0" borderId="0" applyFont="0" applyFill="0" applyBorder="0" applyAlignment="0" applyProtection="0"/>
    <xf numFmtId="0" fontId="119" fillId="0" borderId="0"/>
    <xf numFmtId="0" fontId="8" fillId="0" borderId="0"/>
    <xf numFmtId="0" fontId="119" fillId="0" borderId="0"/>
    <xf numFmtId="0" fontId="8" fillId="29" borderId="0" applyNumberFormat="0" applyBorder="0" applyAlignment="0" applyProtection="0"/>
    <xf numFmtId="165" fontId="8" fillId="0" borderId="0" applyFont="0" applyFill="0" applyBorder="0" applyAlignment="0" applyProtection="0"/>
    <xf numFmtId="0" fontId="16" fillId="0" borderId="0"/>
    <xf numFmtId="0" fontId="16" fillId="0" borderId="0"/>
    <xf numFmtId="0" fontId="6" fillId="0" borderId="0"/>
    <xf numFmtId="0" fontId="4" fillId="29" borderId="0" applyNumberFormat="0" applyBorder="0" applyAlignment="0" applyProtection="0"/>
    <xf numFmtId="0" fontId="4" fillId="0" borderId="0"/>
    <xf numFmtId="9" fontId="12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6" fillId="0" borderId="0"/>
  </cellStyleXfs>
  <cellXfs count="431">
    <xf numFmtId="0" fontId="0" fillId="0" borderId="0" xfId="0"/>
    <xf numFmtId="0" fontId="63" fillId="0" borderId="0" xfId="0" applyFont="1"/>
    <xf numFmtId="0" fontId="66" fillId="0" borderId="0" xfId="0" applyFont="1"/>
    <xf numFmtId="0" fontId="67" fillId="0" borderId="15" xfId="0" applyFont="1" applyBorder="1"/>
    <xf numFmtId="0" fontId="68" fillId="57" borderId="15" xfId="9" applyFont="1" applyFill="1" applyBorder="1"/>
    <xf numFmtId="0" fontId="68" fillId="57" borderId="13" xfId="9" applyFont="1" applyFill="1" applyBorder="1" applyAlignment="1">
      <alignment horizontal="right" wrapText="1"/>
    </xf>
    <xf numFmtId="0" fontId="68" fillId="57" borderId="13" xfId="9" applyFont="1" applyFill="1" applyBorder="1" applyAlignment="1">
      <alignment horizontal="right"/>
    </xf>
    <xf numFmtId="0" fontId="68" fillId="57" borderId="15" xfId="9" applyFont="1" applyFill="1" applyBorder="1" applyAlignment="1">
      <alignment horizontal="right"/>
    </xf>
    <xf numFmtId="0" fontId="66" fillId="60" borderId="17" xfId="0" applyFont="1" applyFill="1" applyBorder="1"/>
    <xf numFmtId="0" fontId="69" fillId="60" borderId="17" xfId="9" applyFont="1" applyFill="1" applyBorder="1"/>
    <xf numFmtId="2" fontId="66" fillId="60" borderId="0" xfId="0" applyNumberFormat="1" applyFont="1" applyFill="1"/>
    <xf numFmtId="2" fontId="66" fillId="60" borderId="17" xfId="0" applyNumberFormat="1" applyFont="1" applyFill="1" applyBorder="1"/>
    <xf numFmtId="0" fontId="66" fillId="60" borderId="15" xfId="0" applyFont="1" applyFill="1" applyBorder="1"/>
    <xf numFmtId="0" fontId="68" fillId="60" borderId="15" xfId="9" applyFont="1" applyFill="1" applyBorder="1"/>
    <xf numFmtId="2" fontId="66" fillId="60" borderId="13" xfId="0" applyNumberFormat="1" applyFont="1" applyFill="1" applyBorder="1"/>
    <xf numFmtId="2" fontId="66" fillId="60" borderId="15" xfId="0" applyNumberFormat="1" applyFont="1" applyFill="1" applyBorder="1"/>
    <xf numFmtId="168" fontId="66" fillId="0" borderId="0" xfId="0" applyNumberFormat="1" applyFont="1"/>
    <xf numFmtId="0" fontId="70" fillId="62" borderId="13" xfId="9" applyFont="1" applyFill="1" applyBorder="1" applyAlignment="1">
      <alignment horizontal="right" wrapText="1"/>
    </xf>
    <xf numFmtId="0" fontId="70" fillId="61" borderId="13" xfId="9" applyFont="1" applyFill="1" applyBorder="1" applyAlignment="1">
      <alignment horizontal="right"/>
    </xf>
    <xf numFmtId="0" fontId="70" fillId="62" borderId="13" xfId="9" applyFont="1" applyFill="1" applyBorder="1" applyAlignment="1">
      <alignment horizontal="right"/>
    </xf>
    <xf numFmtId="0" fontId="71" fillId="59" borderId="13" xfId="9" applyFont="1" applyFill="1" applyBorder="1" applyAlignment="1">
      <alignment horizontal="right"/>
    </xf>
    <xf numFmtId="0" fontId="68" fillId="60" borderId="17" xfId="9" applyFont="1" applyFill="1" applyBorder="1"/>
    <xf numFmtId="0" fontId="68" fillId="60" borderId="0" xfId="9" applyFont="1" applyFill="1" applyAlignment="1">
      <alignment horizontal="right" wrapText="1"/>
    </xf>
    <xf numFmtId="0" fontId="68" fillId="60" borderId="0" xfId="9" applyFont="1" applyFill="1" applyAlignment="1">
      <alignment horizontal="right"/>
    </xf>
    <xf numFmtId="2" fontId="68" fillId="60" borderId="16" xfId="9" applyNumberFormat="1" applyFont="1" applyFill="1" applyBorder="1"/>
    <xf numFmtId="0" fontId="68" fillId="58" borderId="35" xfId="9" applyFont="1" applyFill="1" applyBorder="1" applyAlignment="1">
      <alignment horizontal="left"/>
    </xf>
    <xf numFmtId="174" fontId="68" fillId="58" borderId="34" xfId="9" applyNumberFormat="1" applyFont="1" applyFill="1" applyBorder="1" applyAlignment="1">
      <alignment horizontal="right"/>
    </xf>
    <xf numFmtId="2" fontId="68" fillId="58" borderId="35" xfId="9" applyNumberFormat="1" applyFont="1" applyFill="1" applyBorder="1" applyAlignment="1">
      <alignment horizontal="right"/>
    </xf>
    <xf numFmtId="0" fontId="69" fillId="60" borderId="17" xfId="9" applyFont="1" applyFill="1" applyBorder="1" applyAlignment="1">
      <alignment horizontal="left" indent="1"/>
    </xf>
    <xf numFmtId="174" fontId="69" fillId="60" borderId="0" xfId="9" applyNumberFormat="1" applyFont="1" applyFill="1" applyAlignment="1">
      <alignment horizontal="right"/>
    </xf>
    <xf numFmtId="2" fontId="69" fillId="60" borderId="17" xfId="9" applyNumberFormat="1" applyFont="1" applyFill="1" applyBorder="1"/>
    <xf numFmtId="171" fontId="69" fillId="60" borderId="0" xfId="9" applyNumberFormat="1" applyFont="1" applyFill="1"/>
    <xf numFmtId="174" fontId="68" fillId="57" borderId="13" xfId="9" applyNumberFormat="1" applyFont="1" applyFill="1" applyBorder="1"/>
    <xf numFmtId="173" fontId="68" fillId="57" borderId="15" xfId="9" applyNumberFormat="1" applyFont="1" applyFill="1" applyBorder="1"/>
    <xf numFmtId="172" fontId="68" fillId="58" borderId="34" xfId="9" applyNumberFormat="1" applyFont="1" applyFill="1" applyBorder="1" applyAlignment="1">
      <alignment horizontal="right"/>
    </xf>
    <xf numFmtId="172" fontId="68" fillId="58" borderId="35" xfId="9" applyNumberFormat="1" applyFont="1" applyFill="1" applyBorder="1" applyAlignment="1">
      <alignment horizontal="right"/>
    </xf>
    <xf numFmtId="172" fontId="69" fillId="60" borderId="0" xfId="9" applyNumberFormat="1" applyFont="1" applyFill="1" applyAlignment="1">
      <alignment horizontal="right"/>
    </xf>
    <xf numFmtId="172" fontId="69" fillId="60" borderId="17" xfId="9" applyNumberFormat="1" applyFont="1" applyFill="1" applyBorder="1"/>
    <xf numFmtId="172" fontId="69" fillId="60" borderId="0" xfId="9" applyNumberFormat="1" applyFont="1" applyFill="1"/>
    <xf numFmtId="172" fontId="68" fillId="57" borderId="13" xfId="9" applyNumberFormat="1" applyFont="1" applyFill="1" applyBorder="1"/>
    <xf numFmtId="172" fontId="68" fillId="57" borderId="15" xfId="9" applyNumberFormat="1" applyFont="1" applyFill="1" applyBorder="1"/>
    <xf numFmtId="0" fontId="68" fillId="58" borderId="17" xfId="9" applyFont="1" applyFill="1" applyBorder="1" applyAlignment="1">
      <alignment horizontal="left"/>
    </xf>
    <xf numFmtId="0" fontId="69" fillId="60" borderId="16" xfId="9" applyFont="1" applyFill="1" applyBorder="1" applyAlignment="1">
      <alignment horizontal="left"/>
    </xf>
    <xf numFmtId="0" fontId="69" fillId="60" borderId="17" xfId="9" applyFont="1" applyFill="1" applyBorder="1" applyAlignment="1">
      <alignment horizontal="left"/>
    </xf>
    <xf numFmtId="0" fontId="69" fillId="60" borderId="18" xfId="9" applyFont="1" applyFill="1" applyBorder="1" applyAlignment="1">
      <alignment horizontal="left"/>
    </xf>
    <xf numFmtId="0" fontId="68" fillId="60" borderId="19" xfId="9" applyFont="1" applyFill="1" applyBorder="1" applyAlignment="1">
      <alignment horizontal="right" wrapText="1"/>
    </xf>
    <xf numFmtId="172" fontId="68" fillId="58" borderId="36" xfId="9" applyNumberFormat="1" applyFont="1" applyFill="1" applyBorder="1" applyAlignment="1">
      <alignment horizontal="right"/>
    </xf>
    <xf numFmtId="172" fontId="69" fillId="60" borderId="20" xfId="9" applyNumberFormat="1" applyFont="1" applyFill="1" applyBorder="1" applyAlignment="1">
      <alignment horizontal="right"/>
    </xf>
    <xf numFmtId="172" fontId="69" fillId="60" borderId="20" xfId="9" applyNumberFormat="1" applyFont="1" applyFill="1" applyBorder="1"/>
    <xf numFmtId="172" fontId="68" fillId="57" borderId="21" xfId="9" applyNumberFormat="1" applyFont="1" applyFill="1" applyBorder="1"/>
    <xf numFmtId="168" fontId="66" fillId="60" borderId="0" xfId="0" applyNumberFormat="1" applyFont="1" applyFill="1"/>
    <xf numFmtId="168" fontId="66" fillId="60" borderId="22" xfId="0" applyNumberFormat="1" applyFont="1" applyFill="1" applyBorder="1"/>
    <xf numFmtId="168" fontId="66" fillId="60" borderId="11" xfId="0" applyNumberFormat="1" applyFont="1" applyFill="1" applyBorder="1"/>
    <xf numFmtId="168" fontId="66" fillId="60" borderId="23" xfId="0" applyNumberFormat="1" applyFont="1" applyFill="1" applyBorder="1"/>
    <xf numFmtId="168" fontId="66" fillId="57" borderId="13" xfId="0" applyNumberFormat="1" applyFont="1" applyFill="1" applyBorder="1"/>
    <xf numFmtId="168" fontId="66" fillId="57" borderId="14" xfId="0" applyNumberFormat="1" applyFont="1" applyFill="1" applyBorder="1"/>
    <xf numFmtId="168" fontId="66" fillId="57" borderId="15" xfId="0" applyNumberFormat="1" applyFont="1" applyFill="1" applyBorder="1"/>
    <xf numFmtId="168" fontId="66" fillId="60" borderId="17" xfId="0" applyNumberFormat="1" applyFont="1" applyFill="1" applyBorder="1"/>
    <xf numFmtId="168" fontId="66" fillId="60" borderId="18" xfId="0" applyNumberFormat="1" applyFont="1" applyFill="1" applyBorder="1"/>
    <xf numFmtId="0" fontId="40" fillId="44" borderId="0" xfId="2" applyAlignment="1">
      <alignment horizontal="left" vertical="top"/>
    </xf>
    <xf numFmtId="0" fontId="40" fillId="0" borderId="0" xfId="2" applyFill="1" applyAlignment="1">
      <alignment horizontal="left" vertical="top"/>
    </xf>
    <xf numFmtId="0" fontId="63" fillId="0" borderId="0" xfId="0" applyFont="1" applyAlignment="1">
      <alignment horizontal="left" vertical="top"/>
    </xf>
    <xf numFmtId="0" fontId="56" fillId="56" borderId="0" xfId="4" applyFont="1" applyFill="1" applyAlignment="1">
      <alignment horizontal="left" vertical="top"/>
    </xf>
    <xf numFmtId="0" fontId="56" fillId="0" borderId="0" xfId="4" applyFont="1" applyFill="1" applyAlignment="1">
      <alignment horizontal="left" vertical="top"/>
    </xf>
    <xf numFmtId="170" fontId="72" fillId="0" borderId="0" xfId="0" applyNumberFormat="1" applyFont="1" applyAlignment="1">
      <alignment horizontal="left" vertical="top"/>
    </xf>
    <xf numFmtId="170" fontId="63" fillId="0" borderId="0" xfId="0" applyNumberFormat="1" applyFont="1" applyAlignment="1">
      <alignment horizontal="left" vertical="top"/>
    </xf>
    <xf numFmtId="170" fontId="64" fillId="24" borderId="10" xfId="0" applyNumberFormat="1" applyFont="1" applyFill="1" applyBorder="1" applyAlignment="1">
      <alignment horizontal="left" vertical="top"/>
    </xf>
    <xf numFmtId="170" fontId="64" fillId="24" borderId="13" xfId="0" applyNumberFormat="1" applyFont="1" applyFill="1" applyBorder="1" applyAlignment="1">
      <alignment horizontal="left" vertical="top"/>
    </xf>
    <xf numFmtId="170" fontId="63" fillId="0" borderId="0" xfId="0" applyNumberFormat="1" applyFont="1" applyAlignment="1">
      <alignment horizontal="left" vertical="top" wrapText="1"/>
    </xf>
    <xf numFmtId="0" fontId="63" fillId="0" borderId="0" xfId="5" applyFont="1" applyAlignment="1">
      <alignment horizontal="left" vertical="top"/>
    </xf>
    <xf numFmtId="0" fontId="63" fillId="0" borderId="0" xfId="5" applyFont="1" applyAlignment="1">
      <alignment horizontal="left" vertical="top" wrapText="1"/>
    </xf>
    <xf numFmtId="0" fontId="72" fillId="0" borderId="0" xfId="7" applyFont="1" applyAlignment="1">
      <alignment horizontal="left" vertical="top"/>
    </xf>
    <xf numFmtId="0" fontId="64" fillId="24" borderId="10" xfId="7" applyFont="1" applyFill="1" applyBorder="1" applyAlignment="1">
      <alignment horizontal="left" vertical="top"/>
    </xf>
    <xf numFmtId="0" fontId="64" fillId="24" borderId="10" xfId="8" applyFont="1" applyFill="1" applyBorder="1" applyAlignment="1">
      <alignment horizontal="left" vertical="top" wrapText="1"/>
    </xf>
    <xf numFmtId="0" fontId="64" fillId="24" borderId="10" xfId="7" applyFont="1" applyFill="1" applyBorder="1" applyAlignment="1">
      <alignment horizontal="left" vertical="top" wrapText="1"/>
    </xf>
    <xf numFmtId="170" fontId="65" fillId="24" borderId="10" xfId="0" applyNumberFormat="1" applyFont="1" applyFill="1" applyBorder="1" applyAlignment="1">
      <alignment horizontal="left" vertical="top"/>
    </xf>
    <xf numFmtId="170" fontId="65" fillId="24" borderId="13" xfId="0" applyNumberFormat="1" applyFont="1" applyFill="1" applyBorder="1" applyAlignment="1">
      <alignment horizontal="left" vertical="top"/>
    </xf>
    <xf numFmtId="170" fontId="63" fillId="0" borderId="37" xfId="0" applyNumberFormat="1" applyFont="1" applyBorder="1" applyAlignment="1">
      <alignment horizontal="left" vertical="top"/>
    </xf>
    <xf numFmtId="172" fontId="68" fillId="57" borderId="21" xfId="9" applyNumberFormat="1" applyFont="1" applyFill="1" applyBorder="1" applyAlignment="1">
      <alignment horizontal="center"/>
    </xf>
    <xf numFmtId="172" fontId="69" fillId="60" borderId="0" xfId="9" applyNumberFormat="1" applyFont="1" applyFill="1" applyAlignment="1">
      <alignment horizontal="center"/>
    </xf>
    <xf numFmtId="0" fontId="69" fillId="60" borderId="18" xfId="9" applyFont="1" applyFill="1" applyBorder="1" applyAlignment="1">
      <alignment horizontal="center"/>
    </xf>
    <xf numFmtId="0" fontId="68" fillId="58" borderId="35" xfId="9" applyFont="1" applyFill="1" applyBorder="1" applyAlignment="1">
      <alignment horizontal="center"/>
    </xf>
    <xf numFmtId="0" fontId="69" fillId="60" borderId="17" xfId="9" applyFont="1" applyFill="1" applyBorder="1" applyAlignment="1">
      <alignment horizontal="center"/>
    </xf>
    <xf numFmtId="172" fontId="69" fillId="60" borderId="17" xfId="9" applyNumberFormat="1" applyFont="1" applyFill="1" applyBorder="1" applyAlignment="1">
      <alignment horizontal="center"/>
    </xf>
    <xf numFmtId="172" fontId="69" fillId="60" borderId="20" xfId="9" applyNumberFormat="1" applyFont="1" applyFill="1" applyBorder="1" applyAlignment="1">
      <alignment horizontal="center"/>
    </xf>
    <xf numFmtId="0" fontId="69" fillId="60" borderId="16" xfId="9" applyFont="1" applyFill="1" applyBorder="1" applyAlignment="1">
      <alignment horizontal="center"/>
    </xf>
    <xf numFmtId="172" fontId="68" fillId="58" borderId="35" xfId="9" applyNumberFormat="1" applyFont="1" applyFill="1" applyBorder="1" applyAlignment="1">
      <alignment horizontal="center"/>
    </xf>
    <xf numFmtId="172" fontId="68" fillId="58" borderId="34" xfId="9" applyNumberFormat="1" applyFont="1" applyFill="1" applyBorder="1" applyAlignment="1">
      <alignment horizontal="center"/>
    </xf>
    <xf numFmtId="172" fontId="68" fillId="58" borderId="36" xfId="9" applyNumberFormat="1" applyFont="1" applyFill="1" applyBorder="1" applyAlignment="1">
      <alignment horizontal="center"/>
    </xf>
    <xf numFmtId="0" fontId="68" fillId="58" borderId="17" xfId="9" applyFont="1" applyFill="1" applyBorder="1" applyAlignment="1">
      <alignment horizontal="center"/>
    </xf>
    <xf numFmtId="2" fontId="68" fillId="60" borderId="16" xfId="9" applyNumberFormat="1" applyFont="1" applyFill="1" applyBorder="1" applyAlignment="1">
      <alignment horizontal="center"/>
    </xf>
    <xf numFmtId="0" fontId="68" fillId="60" borderId="0" xfId="9" applyFont="1" applyFill="1" applyAlignment="1">
      <alignment horizontal="center"/>
    </xf>
    <xf numFmtId="0" fontId="68" fillId="60" borderId="19" xfId="9" applyFont="1" applyFill="1" applyBorder="1" applyAlignment="1">
      <alignment horizontal="center" wrapText="1"/>
    </xf>
    <xf numFmtId="0" fontId="68" fillId="60" borderId="17" xfId="9" applyFont="1" applyFill="1" applyBorder="1" applyAlignment="1">
      <alignment horizontal="center"/>
    </xf>
    <xf numFmtId="0" fontId="71" fillId="59" borderId="13" xfId="9" applyFont="1" applyFill="1" applyBorder="1" applyAlignment="1">
      <alignment horizontal="center"/>
    </xf>
    <xf numFmtId="0" fontId="70" fillId="62" borderId="13" xfId="9" applyFont="1" applyFill="1" applyBorder="1" applyAlignment="1">
      <alignment horizontal="center"/>
    </xf>
    <xf numFmtId="0" fontId="68" fillId="57" borderId="13" xfId="9" applyFont="1" applyFill="1" applyBorder="1" applyAlignment="1">
      <alignment horizontal="center"/>
    </xf>
    <xf numFmtId="0" fontId="70" fillId="61" borderId="13" xfId="9" applyFont="1" applyFill="1" applyBorder="1" applyAlignment="1">
      <alignment horizontal="center"/>
    </xf>
    <xf numFmtId="0" fontId="70" fillId="62" borderId="13" xfId="9" applyFont="1" applyFill="1" applyBorder="1" applyAlignment="1">
      <alignment horizontal="center" wrapText="1"/>
    </xf>
    <xf numFmtId="0" fontId="68" fillId="57" borderId="15" xfId="9" applyFont="1" applyFill="1" applyBorder="1" applyAlignment="1">
      <alignment horizontal="center"/>
    </xf>
    <xf numFmtId="168" fontId="66" fillId="0" borderId="0" xfId="0" applyNumberFormat="1" applyFont="1" applyAlignment="1">
      <alignment horizontal="center"/>
    </xf>
    <xf numFmtId="0" fontId="63" fillId="0" borderId="0" xfId="0" applyFont="1" applyAlignment="1">
      <alignment horizontal="center" vertical="center"/>
    </xf>
    <xf numFmtId="173" fontId="69" fillId="60" borderId="20" xfId="9" applyNumberFormat="1" applyFont="1" applyFill="1" applyBorder="1" applyAlignment="1">
      <alignment horizontal="center"/>
    </xf>
    <xf numFmtId="172" fontId="68" fillId="57" borderId="15" xfId="9" applyNumberFormat="1" applyFont="1" applyFill="1" applyBorder="1" applyAlignment="1">
      <alignment horizontal="center"/>
    </xf>
    <xf numFmtId="172" fontId="68" fillId="57" borderId="13" xfId="9" applyNumberFormat="1" applyFont="1" applyFill="1" applyBorder="1" applyAlignment="1">
      <alignment horizontal="center"/>
    </xf>
    <xf numFmtId="170" fontId="63" fillId="0" borderId="37" xfId="5" applyNumberFormat="1" applyFont="1" applyBorder="1" applyAlignment="1">
      <alignment wrapText="1"/>
    </xf>
    <xf numFmtId="0" fontId="63" fillId="57" borderId="0" xfId="5" applyFont="1" applyFill="1" applyAlignment="1">
      <alignment horizontal="center" vertical="center"/>
    </xf>
    <xf numFmtId="170" fontId="63" fillId="57" borderId="0" xfId="0" applyNumberFormat="1" applyFont="1" applyFill="1" applyAlignment="1">
      <alignment horizontal="center" vertical="center" wrapText="1"/>
    </xf>
    <xf numFmtId="0" fontId="63" fillId="57" borderId="0" xfId="0" applyFont="1" applyFill="1" applyAlignment="1">
      <alignment horizontal="center" vertical="center"/>
    </xf>
    <xf numFmtId="0" fontId="64" fillId="58" borderId="0" xfId="0" applyFont="1" applyFill="1" applyAlignment="1">
      <alignment horizontal="center" vertical="center"/>
    </xf>
    <xf numFmtId="0" fontId="63" fillId="111" borderId="0" xfId="5" applyFont="1" applyFill="1" applyAlignment="1">
      <alignment horizontal="center" vertical="center"/>
    </xf>
    <xf numFmtId="167" fontId="66" fillId="0" borderId="0" xfId="0" applyNumberFormat="1" applyFont="1" applyAlignment="1">
      <alignment horizontal="center"/>
    </xf>
    <xf numFmtId="0" fontId="63" fillId="60" borderId="37" xfId="0" applyFont="1" applyFill="1" applyBorder="1"/>
    <xf numFmtId="170" fontId="63" fillId="111" borderId="0" xfId="0" applyNumberFormat="1" applyFont="1" applyFill="1" applyAlignment="1">
      <alignment horizontal="center" vertical="center" wrapText="1"/>
    </xf>
    <xf numFmtId="170" fontId="63" fillId="60" borderId="37" xfId="0" applyNumberFormat="1" applyFont="1" applyFill="1" applyBorder="1"/>
    <xf numFmtId="0" fontId="63" fillId="0" borderId="37" xfId="5" applyFont="1" applyBorder="1"/>
    <xf numFmtId="0" fontId="63" fillId="111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170" fontId="63" fillId="0" borderId="37" xfId="5" applyNumberFormat="1" applyFont="1" applyBorder="1"/>
    <xf numFmtId="2" fontId="63" fillId="60" borderId="37" xfId="0" applyNumberFormat="1" applyFont="1" applyFill="1" applyBorder="1" applyAlignment="1">
      <alignment horizontal="center"/>
    </xf>
    <xf numFmtId="0" fontId="63" fillId="57" borderId="61" xfId="0" applyFont="1" applyFill="1" applyBorder="1"/>
    <xf numFmtId="0" fontId="63" fillId="57" borderId="62" xfId="0" applyFont="1" applyFill="1" applyBorder="1"/>
    <xf numFmtId="0" fontId="63" fillId="60" borderId="64" xfId="0" applyFont="1" applyFill="1" applyBorder="1"/>
    <xf numFmtId="2" fontId="63" fillId="112" borderId="65" xfId="0" applyNumberFormat="1" applyFont="1" applyFill="1" applyBorder="1" applyAlignment="1">
      <alignment horizontal="center"/>
    </xf>
    <xf numFmtId="2" fontId="63" fillId="112" borderId="69" xfId="0" applyNumberFormat="1" applyFont="1" applyFill="1" applyBorder="1" applyAlignment="1">
      <alignment horizontal="center"/>
    </xf>
    <xf numFmtId="2" fontId="63" fillId="112" borderId="70" xfId="0" applyNumberFormat="1" applyFont="1" applyFill="1" applyBorder="1" applyAlignment="1">
      <alignment horizontal="center"/>
    </xf>
    <xf numFmtId="2" fontId="63" fillId="112" borderId="71" xfId="0" applyNumberFormat="1" applyFont="1" applyFill="1" applyBorder="1" applyAlignment="1">
      <alignment horizontal="center"/>
    </xf>
    <xf numFmtId="2" fontId="63" fillId="112" borderId="72" xfId="0" applyNumberFormat="1" applyFont="1" applyFill="1" applyBorder="1" applyAlignment="1">
      <alignment horizontal="center"/>
    </xf>
    <xf numFmtId="2" fontId="63" fillId="112" borderId="73" xfId="0" applyNumberFormat="1" applyFont="1" applyFill="1" applyBorder="1" applyAlignment="1">
      <alignment horizontal="center"/>
    </xf>
    <xf numFmtId="2" fontId="63" fillId="112" borderId="74" xfId="0" applyNumberFormat="1" applyFont="1" applyFill="1" applyBorder="1" applyAlignment="1">
      <alignment horizontal="center"/>
    </xf>
    <xf numFmtId="2" fontId="63" fillId="112" borderId="75" xfId="0" applyNumberFormat="1" applyFont="1" applyFill="1" applyBorder="1" applyAlignment="1">
      <alignment horizontal="center"/>
    </xf>
    <xf numFmtId="2" fontId="63" fillId="112" borderId="76" xfId="0" applyNumberFormat="1" applyFont="1" applyFill="1" applyBorder="1" applyAlignment="1">
      <alignment horizontal="center"/>
    </xf>
    <xf numFmtId="2" fontId="63" fillId="112" borderId="77" xfId="0" applyNumberFormat="1" applyFont="1" applyFill="1" applyBorder="1" applyAlignment="1">
      <alignment horizontal="center"/>
    </xf>
    <xf numFmtId="0" fontId="63" fillId="57" borderId="78" xfId="0" applyFont="1" applyFill="1" applyBorder="1" applyAlignment="1">
      <alignment horizontal="center" vertical="center"/>
    </xf>
    <xf numFmtId="0" fontId="63" fillId="57" borderId="79" xfId="0" applyFont="1" applyFill="1" applyBorder="1" applyAlignment="1">
      <alignment horizontal="center" vertical="center"/>
    </xf>
    <xf numFmtId="0" fontId="63" fillId="57" borderId="80" xfId="0" applyFont="1" applyFill="1" applyBorder="1" applyAlignment="1">
      <alignment horizontal="center" vertical="center"/>
    </xf>
    <xf numFmtId="0" fontId="63" fillId="57" borderId="81" xfId="0" applyFont="1" applyFill="1" applyBorder="1" applyAlignment="1">
      <alignment horizontal="center" vertical="center"/>
    </xf>
    <xf numFmtId="0" fontId="63" fillId="57" borderId="82" xfId="0" applyFont="1" applyFill="1" applyBorder="1" applyAlignment="1">
      <alignment horizontal="center" vertical="center"/>
    </xf>
    <xf numFmtId="0" fontId="63" fillId="57" borderId="83" xfId="0" applyFont="1" applyFill="1" applyBorder="1" applyAlignment="1">
      <alignment horizontal="center" vertical="center"/>
    </xf>
    <xf numFmtId="2" fontId="63" fillId="112" borderId="84" xfId="0" applyNumberFormat="1" applyFont="1" applyFill="1" applyBorder="1" applyAlignment="1">
      <alignment horizontal="center"/>
    </xf>
    <xf numFmtId="0" fontId="63" fillId="57" borderId="53" xfId="0" applyFont="1" applyFill="1" applyBorder="1" applyAlignment="1">
      <alignment horizontal="center" vertical="center"/>
    </xf>
    <xf numFmtId="0" fontId="63" fillId="57" borderId="56" xfId="0" applyFont="1" applyFill="1" applyBorder="1" applyAlignment="1">
      <alignment horizontal="center" vertical="center"/>
    </xf>
    <xf numFmtId="0" fontId="63" fillId="57" borderId="66" xfId="0" applyFont="1" applyFill="1" applyBorder="1" applyAlignment="1">
      <alignment horizontal="center" vertical="center"/>
    </xf>
    <xf numFmtId="0" fontId="63" fillId="57" borderId="67" xfId="0" applyFont="1" applyFill="1" applyBorder="1" applyAlignment="1">
      <alignment horizontal="center" vertical="center"/>
    </xf>
    <xf numFmtId="0" fontId="63" fillId="57" borderId="68" xfId="0" applyFont="1" applyFill="1" applyBorder="1" applyAlignment="1">
      <alignment horizontal="center" vertical="center"/>
    </xf>
    <xf numFmtId="0" fontId="63" fillId="111" borderId="53" xfId="0" applyFont="1" applyFill="1" applyBorder="1" applyAlignment="1">
      <alignment horizontal="center" vertical="center"/>
    </xf>
    <xf numFmtId="0" fontId="63" fillId="111" borderId="56" xfId="0" applyFont="1" applyFill="1" applyBorder="1" applyAlignment="1">
      <alignment horizontal="center" vertical="center"/>
    </xf>
    <xf numFmtId="0" fontId="63" fillId="111" borderId="66" xfId="0" applyFont="1" applyFill="1" applyBorder="1" applyAlignment="1">
      <alignment horizontal="center" vertical="center"/>
    </xf>
    <xf numFmtId="0" fontId="63" fillId="111" borderId="67" xfId="0" applyFont="1" applyFill="1" applyBorder="1" applyAlignment="1">
      <alignment horizontal="center" vertical="center"/>
    </xf>
    <xf numFmtId="0" fontId="63" fillId="111" borderId="68" xfId="0" applyFont="1" applyFill="1" applyBorder="1" applyAlignment="1">
      <alignment horizontal="center" vertical="center"/>
    </xf>
    <xf numFmtId="0" fontId="63" fillId="57" borderId="55" xfId="0" applyFont="1" applyFill="1" applyBorder="1" applyAlignment="1">
      <alignment horizontal="center" vertical="center"/>
    </xf>
    <xf numFmtId="0" fontId="63" fillId="57" borderId="57" xfId="0" applyFont="1" applyFill="1" applyBorder="1" applyAlignment="1">
      <alignment horizontal="center" vertical="center"/>
    </xf>
    <xf numFmtId="0" fontId="63" fillId="111" borderId="57" xfId="0" applyFont="1" applyFill="1" applyBorder="1" applyAlignment="1">
      <alignment horizontal="center" vertical="center"/>
    </xf>
    <xf numFmtId="0" fontId="63" fillId="111" borderId="60" xfId="0" applyFont="1" applyFill="1" applyBorder="1" applyAlignment="1">
      <alignment horizontal="center" vertical="center"/>
    </xf>
    <xf numFmtId="0" fontId="63" fillId="111" borderId="55" xfId="0" applyFont="1" applyFill="1" applyBorder="1" applyAlignment="1">
      <alignment horizontal="center" vertical="center"/>
    </xf>
    <xf numFmtId="0" fontId="63" fillId="111" borderId="58" xfId="0" applyFont="1" applyFill="1" applyBorder="1" applyAlignment="1">
      <alignment horizontal="center" vertical="center"/>
    </xf>
    <xf numFmtId="0" fontId="63" fillId="57" borderId="58" xfId="0" applyFont="1" applyFill="1" applyBorder="1" applyAlignment="1">
      <alignment horizontal="center" vertical="center"/>
    </xf>
    <xf numFmtId="0" fontId="63" fillId="111" borderId="54" xfId="0" applyFont="1" applyFill="1" applyBorder="1" applyAlignment="1">
      <alignment horizontal="center" vertical="center"/>
    </xf>
    <xf numFmtId="0" fontId="63" fillId="111" borderId="59" xfId="0" applyFont="1" applyFill="1" applyBorder="1" applyAlignment="1">
      <alignment horizontal="center" vertical="center"/>
    </xf>
    <xf numFmtId="2" fontId="63" fillId="0" borderId="0" xfId="0" applyNumberFormat="1" applyFont="1" applyAlignment="1">
      <alignment horizontal="center" vertical="center"/>
    </xf>
    <xf numFmtId="2" fontId="63" fillId="57" borderId="62" xfId="0" applyNumberFormat="1" applyFont="1" applyFill="1" applyBorder="1" applyAlignment="1">
      <alignment horizontal="center" vertical="center"/>
    </xf>
    <xf numFmtId="2" fontId="63" fillId="57" borderId="63" xfId="0" applyNumberFormat="1" applyFont="1" applyFill="1" applyBorder="1" applyAlignment="1">
      <alignment horizontal="center" vertical="center"/>
    </xf>
    <xf numFmtId="0" fontId="116" fillId="111" borderId="0" xfId="0" applyFont="1" applyFill="1" applyAlignment="1">
      <alignment horizontal="center" vertical="center"/>
    </xf>
    <xf numFmtId="0" fontId="72" fillId="0" borderId="0" xfId="0" applyFont="1" applyAlignment="1">
      <alignment horizontal="left"/>
    </xf>
    <xf numFmtId="0" fontId="117" fillId="0" borderId="0" xfId="0" applyFont="1"/>
    <xf numFmtId="2" fontId="63" fillId="0" borderId="0" xfId="0" applyNumberFormat="1" applyFont="1"/>
    <xf numFmtId="0" fontId="64" fillId="57" borderId="12" xfId="7" applyFont="1" applyFill="1" applyBorder="1" applyAlignment="1">
      <alignment horizontal="left" vertical="center"/>
    </xf>
    <xf numFmtId="0" fontId="73" fillId="58" borderId="12" xfId="1" applyFont="1" applyFill="1" applyBorder="1" applyAlignment="1">
      <alignment horizontal="left" wrapText="1"/>
    </xf>
    <xf numFmtId="0" fontId="64" fillId="60" borderId="0" xfId="7" applyFont="1" applyFill="1" applyAlignment="1">
      <alignment horizontal="left" vertical="center"/>
    </xf>
    <xf numFmtId="2" fontId="63" fillId="60" borderId="0" xfId="0" applyNumberFormat="1" applyFont="1" applyFill="1"/>
    <xf numFmtId="2" fontId="66" fillId="0" borderId="0" xfId="0" applyNumberFormat="1" applyFont="1"/>
    <xf numFmtId="170" fontId="63" fillId="0" borderId="37" xfId="5" applyNumberFormat="1" applyFont="1" applyBorder="1" applyAlignment="1">
      <alignment horizontal="center" vertical="center"/>
    </xf>
    <xf numFmtId="0" fontId="74" fillId="29" borderId="10" xfId="27221" applyFont="1" applyBorder="1" applyAlignment="1">
      <alignment horizontal="left" vertical="top" wrapText="1"/>
    </xf>
    <xf numFmtId="0" fontId="118" fillId="0" borderId="0" xfId="7" applyFont="1" applyAlignment="1">
      <alignment horizontal="left"/>
    </xf>
    <xf numFmtId="0" fontId="79" fillId="0" borderId="0" xfId="7" applyFont="1"/>
    <xf numFmtId="0" fontId="105" fillId="0" borderId="0" xfId="7" applyFont="1" applyAlignment="1">
      <alignment horizontal="right"/>
    </xf>
    <xf numFmtId="0" fontId="79" fillId="0" borderId="0" xfId="7" applyFont="1" applyAlignment="1">
      <alignment horizontal="right"/>
    </xf>
    <xf numFmtId="0" fontId="76" fillId="24" borderId="10" xfId="7" applyFont="1" applyFill="1" applyBorder="1" applyAlignment="1">
      <alignment vertical="center"/>
    </xf>
    <xf numFmtId="0" fontId="76" fillId="24" borderId="10" xfId="5" applyFont="1" applyFill="1" applyBorder="1" applyAlignment="1">
      <alignment vertical="center"/>
    </xf>
    <xf numFmtId="0" fontId="76" fillId="24" borderId="10" xfId="7" applyFont="1" applyFill="1" applyBorder="1" applyAlignment="1">
      <alignment horizontal="center" vertical="center" wrapText="1"/>
    </xf>
    <xf numFmtId="0" fontId="76" fillId="24" borderId="13" xfId="5" applyFont="1" applyFill="1" applyBorder="1" applyAlignment="1">
      <alignment horizontal="center" vertical="center" wrapText="1"/>
    </xf>
    <xf numFmtId="0" fontId="79" fillId="114" borderId="12" xfId="5" applyFont="1" applyFill="1" applyBorder="1" applyAlignment="1">
      <alignment horizontal="center" vertical="center" wrapText="1"/>
    </xf>
    <xf numFmtId="0" fontId="16" fillId="0" borderId="0" xfId="5"/>
    <xf numFmtId="170" fontId="115" fillId="0" borderId="0" xfId="5" applyNumberFormat="1" applyFont="1"/>
    <xf numFmtId="170" fontId="63" fillId="0" borderId="0" xfId="5" applyNumberFormat="1" applyFont="1"/>
    <xf numFmtId="170" fontId="63" fillId="57" borderId="0" xfId="5" applyNumberFormat="1" applyFont="1" applyFill="1"/>
    <xf numFmtId="170" fontId="63" fillId="60" borderId="37" xfId="5" applyNumberFormat="1" applyFont="1" applyFill="1" applyBorder="1"/>
    <xf numFmtId="0" fontId="63" fillId="60" borderId="37" xfId="5" applyFont="1" applyFill="1" applyBorder="1"/>
    <xf numFmtId="0" fontId="74" fillId="29" borderId="10" xfId="27222" applyFont="1" applyBorder="1" applyAlignment="1">
      <alignment horizontal="left" vertical="top" wrapText="1"/>
    </xf>
    <xf numFmtId="165" fontId="16" fillId="0" borderId="0" xfId="5" applyNumberFormat="1"/>
    <xf numFmtId="170" fontId="63" fillId="0" borderId="0" xfId="0" applyNumberFormat="1" applyFont="1" applyAlignment="1">
      <alignment horizontal="center" vertical="center"/>
    </xf>
    <xf numFmtId="170" fontId="63" fillId="0" borderId="0" xfId="5" applyNumberFormat="1" applyFont="1" applyAlignment="1">
      <alignment horizontal="center" vertical="center"/>
    </xf>
    <xf numFmtId="170" fontId="63" fillId="0" borderId="0" xfId="0" applyNumberFormat="1" applyFont="1" applyAlignment="1">
      <alignment horizontal="center" vertical="center" wrapText="1"/>
    </xf>
    <xf numFmtId="0" fontId="74" fillId="29" borderId="10" xfId="27226" applyFont="1" applyBorder="1" applyAlignment="1">
      <alignment horizontal="left" vertical="top" wrapText="1"/>
    </xf>
    <xf numFmtId="2" fontId="63" fillId="0" borderId="37" xfId="5" applyNumberFormat="1" applyFont="1" applyBorder="1"/>
    <xf numFmtId="167" fontId="0" fillId="0" borderId="0" xfId="0" applyNumberFormat="1"/>
    <xf numFmtId="170" fontId="72" fillId="0" borderId="0" xfId="27241" applyNumberFormat="1" applyFont="1" applyAlignment="1">
      <alignment horizontal="left" vertical="top"/>
    </xf>
    <xf numFmtId="170" fontId="63" fillId="0" borderId="0" xfId="27241" applyNumberFormat="1" applyFont="1" applyAlignment="1">
      <alignment horizontal="left" vertical="top"/>
    </xf>
    <xf numFmtId="0" fontId="8" fillId="0" borderId="0" xfId="27242"/>
    <xf numFmtId="170" fontId="72" fillId="0" borderId="0" xfId="27243" applyNumberFormat="1" applyFont="1" applyAlignment="1">
      <alignment horizontal="left" vertical="top"/>
    </xf>
    <xf numFmtId="170" fontId="63" fillId="0" borderId="0" xfId="27243" applyNumberFormat="1" applyFont="1" applyAlignment="1">
      <alignment horizontal="left" vertical="top"/>
    </xf>
    <xf numFmtId="170" fontId="65" fillId="24" borderId="10" xfId="27241" applyNumberFormat="1" applyFont="1" applyFill="1" applyBorder="1" applyAlignment="1">
      <alignment horizontal="left" vertical="top"/>
    </xf>
    <xf numFmtId="170" fontId="65" fillId="24" borderId="13" xfId="27241" applyNumberFormat="1" applyFont="1" applyFill="1" applyBorder="1" applyAlignment="1">
      <alignment horizontal="left" vertical="top"/>
    </xf>
    <xf numFmtId="170" fontId="64" fillId="24" borderId="10" xfId="27243" applyNumberFormat="1" applyFont="1" applyFill="1" applyBorder="1" applyAlignment="1">
      <alignment horizontal="left" vertical="top"/>
    </xf>
    <xf numFmtId="170" fontId="64" fillId="24" borderId="13" xfId="27243" applyNumberFormat="1" applyFont="1" applyFill="1" applyBorder="1" applyAlignment="1">
      <alignment horizontal="left" vertical="top"/>
    </xf>
    <xf numFmtId="170" fontId="74" fillId="29" borderId="10" xfId="27244" applyNumberFormat="1" applyFont="1" applyBorder="1" applyAlignment="1">
      <alignment horizontal="left" vertical="top" wrapText="1"/>
    </xf>
    <xf numFmtId="170" fontId="73" fillId="29" borderId="12" xfId="27244" applyNumberFormat="1" applyFont="1" applyBorder="1" applyAlignment="1">
      <alignment horizontal="left" vertical="top" wrapText="1"/>
    </xf>
    <xf numFmtId="170" fontId="63" fillId="0" borderId="37" xfId="27241" applyNumberFormat="1" applyFont="1" applyBorder="1" applyAlignment="1">
      <alignment horizontal="center" vertical="center"/>
    </xf>
    <xf numFmtId="170" fontId="63" fillId="0" borderId="37" xfId="5" applyNumberFormat="1" applyFont="1" applyBorder="1" applyAlignment="1">
      <alignment horizontal="left" vertical="center"/>
    </xf>
    <xf numFmtId="170" fontId="63" fillId="0" borderId="37" xfId="27241" applyNumberFormat="1" applyFont="1" applyBorder="1" applyAlignment="1">
      <alignment horizontal="left" vertical="center"/>
    </xf>
    <xf numFmtId="170" fontId="73" fillId="29" borderId="10" xfId="27244" applyNumberFormat="1" applyFont="1" applyBorder="1" applyAlignment="1">
      <alignment horizontal="left" vertical="top" wrapText="1"/>
    </xf>
    <xf numFmtId="170" fontId="63" fillId="0" borderId="37" xfId="27243" applyNumberFormat="1" applyFont="1" applyBorder="1" applyAlignment="1">
      <alignment horizontal="left" vertical="top"/>
    </xf>
    <xf numFmtId="0" fontId="8" fillId="0" borderId="37" xfId="27242" applyBorder="1"/>
    <xf numFmtId="0" fontId="8" fillId="0" borderId="11" xfId="27242" applyBorder="1"/>
    <xf numFmtId="0" fontId="8" fillId="0" borderId="10" xfId="27242" applyBorder="1"/>
    <xf numFmtId="165" fontId="0" fillId="0" borderId="10" xfId="27245" applyFont="1" applyBorder="1"/>
    <xf numFmtId="186" fontId="0" fillId="0" borderId="10" xfId="27245" applyNumberFormat="1" applyFont="1" applyBorder="1"/>
    <xf numFmtId="187" fontId="0" fillId="0" borderId="10" xfId="27245" applyNumberFormat="1" applyFont="1" applyBorder="1"/>
    <xf numFmtId="165" fontId="0" fillId="0" borderId="0" xfId="27245" applyFont="1" applyBorder="1"/>
    <xf numFmtId="186" fontId="0" fillId="0" borderId="0" xfId="27245" applyNumberFormat="1" applyFont="1" applyBorder="1"/>
    <xf numFmtId="187" fontId="0" fillId="0" borderId="0" xfId="27245" applyNumberFormat="1" applyFont="1" applyBorder="1"/>
    <xf numFmtId="165" fontId="0" fillId="0" borderId="11" xfId="27245" applyFont="1" applyBorder="1"/>
    <xf numFmtId="186" fontId="0" fillId="0" borderId="11" xfId="27245" applyNumberFormat="1" applyFont="1" applyBorder="1"/>
    <xf numFmtId="187" fontId="0" fillId="0" borderId="11" xfId="27245" applyNumberFormat="1" applyFont="1" applyBorder="1"/>
    <xf numFmtId="2" fontId="8" fillId="0" borderId="0" xfId="27242" applyNumberFormat="1"/>
    <xf numFmtId="0" fontId="7" fillId="0" borderId="0" xfId="27242" applyFont="1"/>
    <xf numFmtId="0" fontId="76" fillId="117" borderId="10" xfId="27246" applyFont="1" applyFill="1" applyBorder="1" applyAlignment="1">
      <alignment vertical="center"/>
    </xf>
    <xf numFmtId="0" fontId="76" fillId="117" borderId="10" xfId="27247" applyFont="1" applyFill="1" applyBorder="1" applyAlignment="1">
      <alignment vertical="center"/>
    </xf>
    <xf numFmtId="0" fontId="76" fillId="117" borderId="10" xfId="27246" applyFont="1" applyFill="1" applyBorder="1" applyAlignment="1">
      <alignment horizontal="center" vertical="center" wrapText="1"/>
    </xf>
    <xf numFmtId="1" fontId="76" fillId="117" borderId="10" xfId="27246" applyNumberFormat="1" applyFont="1" applyFill="1" applyBorder="1" applyAlignment="1">
      <alignment horizontal="center" vertical="center" wrapText="1"/>
    </xf>
    <xf numFmtId="0" fontId="6" fillId="0" borderId="0" xfId="27248"/>
    <xf numFmtId="0" fontId="79" fillId="118" borderId="12" xfId="27247" applyFont="1" applyFill="1" applyBorder="1" applyAlignment="1">
      <alignment horizontal="center" vertical="center" wrapText="1"/>
    </xf>
    <xf numFmtId="1" fontId="79" fillId="118" borderId="12" xfId="27247" applyNumberFormat="1" applyFont="1" applyFill="1" applyBorder="1" applyAlignment="1">
      <alignment horizontal="center" vertical="center" wrapText="1"/>
    </xf>
    <xf numFmtId="170" fontId="76" fillId="119" borderId="0" xfId="27248" applyNumberFormat="1" applyFont="1" applyFill="1" applyAlignment="1">
      <alignment horizontal="left" vertical="top"/>
    </xf>
    <xf numFmtId="170" fontId="76" fillId="119" borderId="0" xfId="27248" applyNumberFormat="1" applyFont="1" applyFill="1"/>
    <xf numFmtId="0" fontId="79" fillId="119" borderId="0" xfId="27248" applyFont="1" applyFill="1" applyAlignment="1">
      <alignment horizontal="center"/>
    </xf>
    <xf numFmtId="9" fontId="79" fillId="119" borderId="0" xfId="27248" applyNumberFormat="1" applyFont="1" applyFill="1" applyAlignment="1">
      <alignment horizontal="center"/>
    </xf>
    <xf numFmtId="2" fontId="79" fillId="119" borderId="0" xfId="27248" applyNumberFormat="1" applyFont="1" applyFill="1" applyAlignment="1">
      <alignment horizontal="center"/>
    </xf>
    <xf numFmtId="1" fontId="79" fillId="119" borderId="0" xfId="27248" applyNumberFormat="1" applyFont="1" applyFill="1" applyAlignment="1">
      <alignment horizontal="center"/>
    </xf>
    <xf numFmtId="1" fontId="6" fillId="0" borderId="0" xfId="27248" applyNumberFormat="1"/>
    <xf numFmtId="170" fontId="63" fillId="120" borderId="37" xfId="5" applyNumberFormat="1" applyFont="1" applyFill="1" applyBorder="1"/>
    <xf numFmtId="170" fontId="63" fillId="121" borderId="37" xfId="5" applyNumberFormat="1" applyFont="1" applyFill="1" applyBorder="1"/>
    <xf numFmtId="170" fontId="63" fillId="115" borderId="37" xfId="5" applyNumberFormat="1" applyFont="1" applyFill="1" applyBorder="1"/>
    <xf numFmtId="0" fontId="63" fillId="115" borderId="37" xfId="5" applyFont="1" applyFill="1" applyBorder="1"/>
    <xf numFmtId="2" fontId="6" fillId="0" borderId="0" xfId="27248" applyNumberFormat="1"/>
    <xf numFmtId="170" fontId="76" fillId="122" borderId="0" xfId="27248" applyNumberFormat="1" applyFont="1" applyFill="1" applyAlignment="1">
      <alignment horizontal="left" vertical="top"/>
    </xf>
    <xf numFmtId="170" fontId="76" fillId="122" borderId="0" xfId="27248" applyNumberFormat="1" applyFont="1" applyFill="1"/>
    <xf numFmtId="0" fontId="79" fillId="122" borderId="0" xfId="27248" applyFont="1" applyFill="1" applyAlignment="1">
      <alignment horizontal="center"/>
    </xf>
    <xf numFmtId="9" fontId="79" fillId="122" borderId="0" xfId="27248" applyNumberFormat="1" applyFont="1" applyFill="1" applyAlignment="1">
      <alignment horizontal="center"/>
    </xf>
    <xf numFmtId="2" fontId="79" fillId="122" borderId="0" xfId="27248" applyNumberFormat="1" applyFont="1" applyFill="1" applyAlignment="1">
      <alignment horizontal="center"/>
    </xf>
    <xf numFmtId="1" fontId="79" fillId="122" borderId="0" xfId="27248" applyNumberFormat="1" applyFont="1" applyFill="1" applyAlignment="1">
      <alignment horizontal="center"/>
    </xf>
    <xf numFmtId="2" fontId="6" fillId="123" borderId="0" xfId="27248" applyNumberFormat="1" applyFill="1"/>
    <xf numFmtId="170" fontId="76" fillId="124" borderId="0" xfId="27248" applyNumberFormat="1" applyFont="1" applyFill="1" applyAlignment="1">
      <alignment horizontal="left" vertical="top"/>
    </xf>
    <xf numFmtId="170" fontId="76" fillId="124" borderId="0" xfId="27248" applyNumberFormat="1" applyFont="1" applyFill="1"/>
    <xf numFmtId="0" fontId="79" fillId="124" borderId="0" xfId="27248" applyFont="1" applyFill="1" applyAlignment="1">
      <alignment horizontal="center"/>
    </xf>
    <xf numFmtId="2" fontId="79" fillId="124" borderId="0" xfId="27248" applyNumberFormat="1" applyFont="1" applyFill="1" applyAlignment="1">
      <alignment horizontal="center"/>
    </xf>
    <xf numFmtId="9" fontId="79" fillId="124" borderId="0" xfId="27248" applyNumberFormat="1" applyFont="1" applyFill="1" applyAlignment="1">
      <alignment horizontal="center"/>
    </xf>
    <xf numFmtId="1" fontId="79" fillId="124" borderId="0" xfId="27248" applyNumberFormat="1" applyFont="1" applyFill="1" applyAlignment="1">
      <alignment horizontal="center"/>
    </xf>
    <xf numFmtId="2" fontId="6" fillId="58" borderId="0" xfId="27248" applyNumberFormat="1" applyFill="1"/>
    <xf numFmtId="170" fontId="76" fillId="125" borderId="0" xfId="27248" applyNumberFormat="1" applyFont="1" applyFill="1" applyAlignment="1">
      <alignment horizontal="left" vertical="top"/>
    </xf>
    <xf numFmtId="170" fontId="76" fillId="125" borderId="0" xfId="27248" applyNumberFormat="1" applyFont="1" applyFill="1"/>
    <xf numFmtId="0" fontId="79" fillId="125" borderId="0" xfId="27248" applyFont="1" applyFill="1" applyAlignment="1">
      <alignment horizontal="center"/>
    </xf>
    <xf numFmtId="9" fontId="79" fillId="125" borderId="0" xfId="27248" applyNumberFormat="1" applyFont="1" applyFill="1" applyAlignment="1">
      <alignment horizontal="center"/>
    </xf>
    <xf numFmtId="2" fontId="79" fillId="125" borderId="0" xfId="27248" applyNumberFormat="1" applyFont="1" applyFill="1" applyAlignment="1">
      <alignment horizontal="center"/>
    </xf>
    <xf numFmtId="1" fontId="79" fillId="125" borderId="0" xfId="27248" applyNumberFormat="1" applyFont="1" applyFill="1" applyAlignment="1">
      <alignment horizontal="center"/>
    </xf>
    <xf numFmtId="2" fontId="6" fillId="113" borderId="0" xfId="27248" applyNumberFormat="1" applyFill="1"/>
    <xf numFmtId="167" fontId="79" fillId="119" borderId="0" xfId="27248" applyNumberFormat="1" applyFont="1" applyFill="1" applyAlignment="1">
      <alignment horizontal="center"/>
    </xf>
    <xf numFmtId="167" fontId="79" fillId="122" borderId="0" xfId="27248" applyNumberFormat="1" applyFont="1" applyFill="1" applyAlignment="1">
      <alignment horizontal="center"/>
    </xf>
    <xf numFmtId="167" fontId="79" fillId="124" borderId="0" xfId="27248" applyNumberFormat="1" applyFont="1" applyFill="1" applyAlignment="1">
      <alignment horizontal="center"/>
    </xf>
    <xf numFmtId="167" fontId="79" fillId="125" borderId="0" xfId="27248" applyNumberFormat="1" applyFont="1" applyFill="1" applyAlignment="1">
      <alignment horizontal="center"/>
    </xf>
    <xf numFmtId="0" fontId="5" fillId="0" borderId="0" xfId="27248" applyFont="1"/>
    <xf numFmtId="2" fontId="16" fillId="0" borderId="0" xfId="5" applyNumberFormat="1"/>
    <xf numFmtId="0" fontId="63" fillId="116" borderId="37" xfId="5" applyFont="1" applyFill="1" applyBorder="1"/>
    <xf numFmtId="170" fontId="63" fillId="116" borderId="37" xfId="5" applyNumberFormat="1" applyFont="1" applyFill="1" applyBorder="1"/>
    <xf numFmtId="170" fontId="63" fillId="126" borderId="37" xfId="5" applyNumberFormat="1" applyFont="1" applyFill="1" applyBorder="1"/>
    <xf numFmtId="0" fontId="74" fillId="29" borderId="10" xfId="27249" applyFont="1" applyBorder="1" applyAlignment="1">
      <alignment horizontal="left" vertical="top" wrapText="1"/>
    </xf>
    <xf numFmtId="0" fontId="76" fillId="24" borderId="13" xfId="5" applyFont="1" applyFill="1" applyBorder="1" applyAlignment="1">
      <alignment horizontal="center" vertical="top" wrapText="1"/>
    </xf>
    <xf numFmtId="167" fontId="4" fillId="0" borderId="0" xfId="27250" applyNumberFormat="1"/>
    <xf numFmtId="2" fontId="4" fillId="0" borderId="0" xfId="27250" applyNumberFormat="1"/>
    <xf numFmtId="170" fontId="76" fillId="122" borderId="0" xfId="27252" applyNumberFormat="1" applyFont="1" applyFill="1" applyAlignment="1">
      <alignment horizontal="left" vertical="top"/>
    </xf>
    <xf numFmtId="170" fontId="76" fillId="122" borderId="0" xfId="27252" applyNumberFormat="1" applyFont="1" applyFill="1"/>
    <xf numFmtId="0" fontId="79" fillId="122" borderId="0" xfId="27252" applyFont="1" applyFill="1" applyAlignment="1">
      <alignment horizontal="center"/>
    </xf>
    <xf numFmtId="167" fontId="79" fillId="122" borderId="0" xfId="27252" applyNumberFormat="1" applyFont="1" applyFill="1" applyAlignment="1">
      <alignment horizontal="center"/>
    </xf>
    <xf numFmtId="9" fontId="79" fillId="122" borderId="0" xfId="27252" applyNumberFormat="1" applyFont="1" applyFill="1" applyAlignment="1">
      <alignment horizontal="center"/>
    </xf>
    <xf numFmtId="2" fontId="79" fillId="122" borderId="0" xfId="27252" applyNumberFormat="1" applyFont="1" applyFill="1" applyAlignment="1">
      <alignment horizontal="center"/>
    </xf>
    <xf numFmtId="1" fontId="79" fillId="122" borderId="0" xfId="27252" applyNumberFormat="1" applyFont="1" applyFill="1" applyAlignment="1">
      <alignment horizontal="center"/>
    </xf>
    <xf numFmtId="167" fontId="6" fillId="0" borderId="0" xfId="27248" applyNumberFormat="1"/>
    <xf numFmtId="0" fontId="2" fillId="0" borderId="0" xfId="27253"/>
    <xf numFmtId="1" fontId="2" fillId="0" borderId="0" xfId="27253" applyNumberFormat="1"/>
    <xf numFmtId="168" fontId="2" fillId="0" borderId="0" xfId="27253" applyNumberFormat="1"/>
    <xf numFmtId="2" fontId="2" fillId="0" borderId="0" xfId="27253" applyNumberFormat="1"/>
    <xf numFmtId="9" fontId="2" fillId="0" borderId="0" xfId="27251" applyFont="1"/>
    <xf numFmtId="1" fontId="2" fillId="128" borderId="13" xfId="27253" applyNumberFormat="1" applyFill="1" applyBorder="1"/>
    <xf numFmtId="0" fontId="2" fillId="128" borderId="13" xfId="27253" applyFill="1" applyBorder="1"/>
    <xf numFmtId="2" fontId="2" fillId="128" borderId="13" xfId="27253" applyNumberFormat="1" applyFill="1" applyBorder="1"/>
    <xf numFmtId="9" fontId="2" fillId="128" borderId="13" xfId="27251" applyFont="1" applyFill="1" applyBorder="1"/>
    <xf numFmtId="1" fontId="2" fillId="59" borderId="13" xfId="27253" applyNumberFormat="1" applyFill="1" applyBorder="1"/>
    <xf numFmtId="0" fontId="2" fillId="59" borderId="13" xfId="27253" applyFill="1" applyBorder="1"/>
    <xf numFmtId="2" fontId="2" fillId="59" borderId="13" xfId="27253" applyNumberFormat="1" applyFill="1" applyBorder="1"/>
    <xf numFmtId="9" fontId="2" fillId="59" borderId="13" xfId="27251" applyFont="1" applyFill="1" applyBorder="1"/>
    <xf numFmtId="1" fontId="2" fillId="60" borderId="11" xfId="27253" applyNumberFormat="1" applyFill="1" applyBorder="1"/>
    <xf numFmtId="0" fontId="2" fillId="60" borderId="11" xfId="27253" applyFill="1" applyBorder="1"/>
    <xf numFmtId="2" fontId="2" fillId="60" borderId="11" xfId="27253" applyNumberFormat="1" applyFill="1" applyBorder="1"/>
    <xf numFmtId="9" fontId="2" fillId="60" borderId="11" xfId="27251" applyFont="1" applyFill="1" applyBorder="1"/>
    <xf numFmtId="1" fontId="2" fillId="60" borderId="0" xfId="27253" applyNumberFormat="1" applyFill="1"/>
    <xf numFmtId="0" fontId="2" fillId="60" borderId="0" xfId="27253" applyFill="1"/>
    <xf numFmtId="2" fontId="2" fillId="60" borderId="0" xfId="27253" applyNumberFormat="1" applyFill="1"/>
    <xf numFmtId="9" fontId="2" fillId="60" borderId="0" xfId="27251" applyFont="1" applyFill="1" applyBorder="1"/>
    <xf numFmtId="1" fontId="2" fillId="60" borderId="10" xfId="27253" applyNumberFormat="1" applyFill="1" applyBorder="1"/>
    <xf numFmtId="0" fontId="2" fillId="60" borderId="10" xfId="27253" applyFill="1" applyBorder="1"/>
    <xf numFmtId="2" fontId="2" fillId="60" borderId="10" xfId="27253" applyNumberFormat="1" applyFill="1" applyBorder="1"/>
    <xf numFmtId="9" fontId="2" fillId="60" borderId="10" xfId="27251" applyFont="1" applyFill="1" applyBorder="1"/>
    <xf numFmtId="1" fontId="2" fillId="127" borderId="13" xfId="27253" applyNumberFormat="1" applyFill="1" applyBorder="1"/>
    <xf numFmtId="0" fontId="2" fillId="127" borderId="13" xfId="27253" applyFill="1" applyBorder="1"/>
    <xf numFmtId="2" fontId="2" fillId="127" borderId="13" xfId="27253" applyNumberFormat="1" applyFill="1" applyBorder="1"/>
    <xf numFmtId="9" fontId="2" fillId="127" borderId="13" xfId="27251" applyFont="1" applyFill="1" applyBorder="1"/>
    <xf numFmtId="1" fontId="2" fillId="115" borderId="13" xfId="27253" applyNumberFormat="1" applyFill="1" applyBorder="1"/>
    <xf numFmtId="0" fontId="2" fillId="115" borderId="13" xfId="27253" applyFill="1" applyBorder="1"/>
    <xf numFmtId="2" fontId="2" fillId="115" borderId="13" xfId="27253" applyNumberFormat="1" applyFill="1" applyBorder="1"/>
    <xf numFmtId="9" fontId="2" fillId="115" borderId="13" xfId="27251" applyFont="1" applyFill="1" applyBorder="1"/>
    <xf numFmtId="1" fontId="2" fillId="0" borderId="13" xfId="27253" applyNumberFormat="1" applyBorder="1"/>
    <xf numFmtId="0" fontId="2" fillId="0" borderId="13" xfId="27253" applyBorder="1"/>
    <xf numFmtId="2" fontId="2" fillId="0" borderId="13" xfId="27253" applyNumberFormat="1" applyBorder="1"/>
    <xf numFmtId="9" fontId="2" fillId="0" borderId="13" xfId="27251" applyFont="1" applyBorder="1"/>
    <xf numFmtId="1" fontId="2" fillId="121" borderId="13" xfId="27253" applyNumberFormat="1" applyFill="1" applyBorder="1"/>
    <xf numFmtId="0" fontId="2" fillId="121" borderId="13" xfId="27253" applyFill="1" applyBorder="1"/>
    <xf numFmtId="2" fontId="2" fillId="121" borderId="13" xfId="27253" applyNumberFormat="1" applyFill="1" applyBorder="1"/>
    <xf numFmtId="9" fontId="2" fillId="121" borderId="13" xfId="27251" applyFont="1" applyFill="1" applyBorder="1"/>
    <xf numFmtId="1" fontId="2" fillId="126" borderId="11" xfId="27253" applyNumberFormat="1" applyFill="1" applyBorder="1"/>
    <xf numFmtId="0" fontId="2" fillId="126" borderId="11" xfId="27253" applyFill="1" applyBorder="1"/>
    <xf numFmtId="2" fontId="2" fillId="126" borderId="11" xfId="27253" applyNumberFormat="1" applyFill="1" applyBorder="1"/>
    <xf numFmtId="9" fontId="2" fillId="126" borderId="11" xfId="27251" applyFont="1" applyFill="1" applyBorder="1"/>
    <xf numFmtId="1" fontId="2" fillId="126" borderId="10" xfId="27253" applyNumberFormat="1" applyFill="1" applyBorder="1"/>
    <xf numFmtId="0" fontId="2" fillId="126" borderId="10" xfId="27253" applyFill="1" applyBorder="1"/>
    <xf numFmtId="2" fontId="2" fillId="126" borderId="10" xfId="27253" applyNumberFormat="1" applyFill="1" applyBorder="1"/>
    <xf numFmtId="9" fontId="2" fillId="126" borderId="10" xfId="27251" applyFont="1" applyFill="1" applyBorder="1"/>
    <xf numFmtId="1" fontId="2" fillId="56" borderId="11" xfId="27253" applyNumberFormat="1" applyFill="1" applyBorder="1"/>
    <xf numFmtId="0" fontId="2" fillId="56" borderId="11" xfId="27253" applyFill="1" applyBorder="1"/>
    <xf numFmtId="2" fontId="2" fillId="56" borderId="11" xfId="27253" applyNumberFormat="1" applyFill="1" applyBorder="1"/>
    <xf numFmtId="9" fontId="2" fillId="56" borderId="11" xfId="27251" applyFont="1" applyFill="1" applyBorder="1"/>
    <xf numFmtId="1" fontId="2" fillId="56" borderId="0" xfId="27253" applyNumberFormat="1" applyFill="1"/>
    <xf numFmtId="0" fontId="2" fillId="56" borderId="0" xfId="27253" applyFill="1"/>
    <xf numFmtId="2" fontId="2" fillId="56" borderId="0" xfId="27253" applyNumberFormat="1" applyFill="1"/>
    <xf numFmtId="9" fontId="2" fillId="56" borderId="0" xfId="27251" applyFont="1" applyFill="1" applyBorder="1"/>
    <xf numFmtId="1" fontId="2" fillId="56" borderId="10" xfId="27253" applyNumberFormat="1" applyFill="1" applyBorder="1"/>
    <xf numFmtId="0" fontId="2" fillId="56" borderId="10" xfId="27253" applyFill="1" applyBorder="1"/>
    <xf numFmtId="2" fontId="2" fillId="56" borderId="10" xfId="27253" applyNumberFormat="1" applyFill="1" applyBorder="1"/>
    <xf numFmtId="9" fontId="2" fillId="56" borderId="10" xfId="27251" applyFont="1" applyFill="1" applyBorder="1"/>
    <xf numFmtId="1" fontId="2" fillId="57" borderId="11" xfId="27253" applyNumberFormat="1" applyFill="1" applyBorder="1"/>
    <xf numFmtId="0" fontId="2" fillId="57" borderId="11" xfId="27253" applyFill="1" applyBorder="1"/>
    <xf numFmtId="2" fontId="2" fillId="57" borderId="11" xfId="27253" applyNumberFormat="1" applyFill="1" applyBorder="1"/>
    <xf numFmtId="9" fontId="2" fillId="57" borderId="11" xfId="27251" applyFont="1" applyFill="1" applyBorder="1"/>
    <xf numFmtId="1" fontId="2" fillId="57" borderId="0" xfId="27253" applyNumberFormat="1" applyFill="1"/>
    <xf numFmtId="0" fontId="2" fillId="57" borderId="0" xfId="27253" applyFill="1"/>
    <xf numFmtId="2" fontId="2" fillId="57" borderId="0" xfId="27253" applyNumberFormat="1" applyFill="1"/>
    <xf numFmtId="9" fontId="2" fillId="57" borderId="0" xfId="27251" applyFont="1" applyFill="1" applyBorder="1"/>
    <xf numFmtId="1" fontId="2" fillId="57" borderId="10" xfId="27253" applyNumberFormat="1" applyFill="1" applyBorder="1"/>
    <xf numFmtId="0" fontId="2" fillId="57" borderId="10" xfId="27253" applyFill="1" applyBorder="1"/>
    <xf numFmtId="2" fontId="2" fillId="57" borderId="10" xfId="27253" applyNumberFormat="1" applyFill="1" applyBorder="1"/>
    <xf numFmtId="9" fontId="2" fillId="57" borderId="10" xfId="27251" applyFont="1" applyFill="1" applyBorder="1"/>
    <xf numFmtId="1" fontId="2" fillId="0" borderId="11" xfId="27253" applyNumberFormat="1" applyBorder="1"/>
    <xf numFmtId="0" fontId="2" fillId="0" borderId="11" xfId="27253" applyBorder="1"/>
    <xf numFmtId="2" fontId="2" fillId="0" borderId="11" xfId="27253" applyNumberFormat="1" applyBorder="1"/>
    <xf numFmtId="9" fontId="2" fillId="0" borderId="11" xfId="27251" applyFont="1" applyBorder="1"/>
    <xf numFmtId="9" fontId="2" fillId="0" borderId="0" xfId="27251" applyFont="1" applyBorder="1"/>
    <xf numFmtId="1" fontId="2" fillId="0" borderId="10" xfId="27253" applyNumberFormat="1" applyBorder="1"/>
    <xf numFmtId="0" fontId="2" fillId="0" borderId="10" xfId="27253" applyBorder="1"/>
    <xf numFmtId="2" fontId="2" fillId="0" borderId="10" xfId="27253" applyNumberFormat="1" applyBorder="1"/>
    <xf numFmtId="9" fontId="2" fillId="0" borderId="10" xfId="27251" applyFont="1" applyBorder="1"/>
    <xf numFmtId="9" fontId="2" fillId="60" borderId="0" xfId="27251" applyFont="1" applyFill="1"/>
    <xf numFmtId="1" fontId="2" fillId="121" borderId="11" xfId="27253" applyNumberFormat="1" applyFill="1" applyBorder="1"/>
    <xf numFmtId="0" fontId="2" fillId="121" borderId="11" xfId="27253" applyFill="1" applyBorder="1"/>
    <xf numFmtId="2" fontId="2" fillId="121" borderId="11" xfId="27253" applyNumberFormat="1" applyFill="1" applyBorder="1"/>
    <xf numFmtId="9" fontId="2" fillId="121" borderId="11" xfId="27251" applyFont="1" applyFill="1" applyBorder="1"/>
    <xf numFmtId="1" fontId="2" fillId="121" borderId="0" xfId="27253" applyNumberFormat="1" applyFill="1"/>
    <xf numFmtId="0" fontId="2" fillId="121" borderId="0" xfId="27253" applyFill="1"/>
    <xf numFmtId="2" fontId="2" fillId="121" borderId="0" xfId="27253" applyNumberFormat="1" applyFill="1"/>
    <xf numFmtId="9" fontId="2" fillId="121" borderId="0" xfId="27251" applyFont="1" applyFill="1" applyBorder="1"/>
    <xf numFmtId="1" fontId="2" fillId="121" borderId="85" xfId="27253" applyNumberFormat="1" applyFill="1" applyBorder="1"/>
    <xf numFmtId="0" fontId="2" fillId="121" borderId="85" xfId="27253" applyFill="1" applyBorder="1"/>
    <xf numFmtId="2" fontId="2" fillId="121" borderId="85" xfId="27253" applyNumberFormat="1" applyFill="1" applyBorder="1"/>
    <xf numFmtId="9" fontId="2" fillId="121" borderId="85" xfId="27251" applyFont="1" applyFill="1" applyBorder="1"/>
    <xf numFmtId="167" fontId="2" fillId="121" borderId="85" xfId="27253" applyNumberFormat="1" applyFill="1" applyBorder="1"/>
    <xf numFmtId="167" fontId="2" fillId="121" borderId="0" xfId="27253" applyNumberFormat="1" applyFill="1"/>
    <xf numFmtId="167" fontId="2" fillId="121" borderId="11" xfId="27253" applyNumberFormat="1" applyFill="1" applyBorder="1"/>
    <xf numFmtId="167" fontId="2" fillId="57" borderId="10" xfId="27253" applyNumberFormat="1" applyFill="1" applyBorder="1"/>
    <xf numFmtId="167" fontId="2" fillId="57" borderId="0" xfId="27253" applyNumberFormat="1" applyFill="1"/>
    <xf numFmtId="167" fontId="2" fillId="57" borderId="11" xfId="27253" applyNumberFormat="1" applyFill="1" applyBorder="1"/>
    <xf numFmtId="167" fontId="2" fillId="60" borderId="0" xfId="27253" applyNumberFormat="1" applyFill="1"/>
    <xf numFmtId="167" fontId="2" fillId="0" borderId="11" xfId="27253" applyNumberFormat="1" applyBorder="1"/>
    <xf numFmtId="167" fontId="2" fillId="0" borderId="13" xfId="27253" applyNumberFormat="1" applyBorder="1"/>
    <xf numFmtId="167" fontId="2" fillId="0" borderId="10" xfId="27253" applyNumberFormat="1" applyBorder="1"/>
    <xf numFmtId="167" fontId="2" fillId="0" borderId="0" xfId="27253" applyNumberFormat="1"/>
    <xf numFmtId="167" fontId="2" fillId="56" borderId="10" xfId="27253" applyNumberFormat="1" applyFill="1" applyBorder="1"/>
    <xf numFmtId="167" fontId="2" fillId="56" borderId="0" xfId="27253" applyNumberFormat="1" applyFill="1"/>
    <xf numFmtId="167" fontId="2" fillId="56" borderId="11" xfId="27253" applyNumberFormat="1" applyFill="1" applyBorder="1"/>
    <xf numFmtId="167" fontId="2" fillId="126" borderId="10" xfId="27253" applyNumberFormat="1" applyFill="1" applyBorder="1"/>
    <xf numFmtId="167" fontId="2" fillId="126" borderId="11" xfId="27253" applyNumberFormat="1" applyFill="1" applyBorder="1"/>
    <xf numFmtId="167" fontId="2" fillId="121" borderId="13" xfId="27253" applyNumberFormat="1" applyFill="1" applyBorder="1"/>
    <xf numFmtId="167" fontId="2" fillId="115" borderId="13" xfId="27253" applyNumberFormat="1" applyFill="1" applyBorder="1"/>
    <xf numFmtId="167" fontId="2" fillId="127" borderId="13" xfId="27253" applyNumberFormat="1" applyFill="1" applyBorder="1"/>
    <xf numFmtId="167" fontId="2" fillId="60" borderId="10" xfId="27253" applyNumberFormat="1" applyFill="1" applyBorder="1"/>
    <xf numFmtId="167" fontId="2" fillId="60" borderId="11" xfId="27253" applyNumberFormat="1" applyFill="1" applyBorder="1"/>
    <xf numFmtId="167" fontId="2" fillId="59" borderId="13" xfId="27253" applyNumberFormat="1" applyFill="1" applyBorder="1"/>
    <xf numFmtId="167" fontId="2" fillId="128" borderId="13" xfId="27253" applyNumberFormat="1" applyFill="1" applyBorder="1"/>
    <xf numFmtId="170" fontId="65" fillId="24" borderId="10" xfId="27255" applyNumberFormat="1" applyFont="1" applyFill="1" applyBorder="1" applyAlignment="1">
      <alignment horizontal="left" vertical="top"/>
    </xf>
    <xf numFmtId="170" fontId="63" fillId="0" borderId="86" xfId="27241" applyNumberFormat="1" applyFont="1" applyBorder="1" applyAlignment="1">
      <alignment horizontal="center" vertical="center"/>
    </xf>
    <xf numFmtId="0" fontId="8" fillId="0" borderId="86" xfId="27242" applyBorder="1"/>
    <xf numFmtId="170" fontId="63" fillId="0" borderId="86" xfId="5" applyNumberFormat="1" applyFont="1" applyBorder="1" applyAlignment="1">
      <alignment horizontal="left" vertical="center"/>
    </xf>
    <xf numFmtId="170" fontId="63" fillId="0" borderId="0" xfId="27241" applyNumberFormat="1" applyFont="1" applyAlignment="1">
      <alignment horizontal="center" vertical="center"/>
    </xf>
    <xf numFmtId="170" fontId="63" fillId="0" borderId="0" xfId="5" applyNumberFormat="1" applyFont="1" applyAlignment="1">
      <alignment horizontal="left" vertical="center"/>
    </xf>
    <xf numFmtId="170" fontId="63" fillId="0" borderId="87" xfId="27241" applyNumberFormat="1" applyFont="1" applyBorder="1" applyAlignment="1">
      <alignment horizontal="center" vertical="center"/>
    </xf>
    <xf numFmtId="0" fontId="8" fillId="0" borderId="87" xfId="27242" applyBorder="1"/>
    <xf numFmtId="170" fontId="63" fillId="0" borderId="87" xfId="5" applyNumberFormat="1" applyFont="1" applyBorder="1" applyAlignment="1">
      <alignment horizontal="left" vertical="center"/>
    </xf>
    <xf numFmtId="170" fontId="63" fillId="0" borderId="87" xfId="27241" applyNumberFormat="1" applyFont="1" applyBorder="1" applyAlignment="1">
      <alignment horizontal="left" vertical="center"/>
    </xf>
    <xf numFmtId="170" fontId="63" fillId="0" borderId="86" xfId="27243" applyNumberFormat="1" applyFont="1" applyBorder="1" applyAlignment="1">
      <alignment horizontal="left" vertical="top"/>
    </xf>
    <xf numFmtId="170" fontId="63" fillId="0" borderId="86" xfId="5" applyNumberFormat="1" applyFont="1" applyBorder="1"/>
    <xf numFmtId="170" fontId="63" fillId="0" borderId="87" xfId="27243" applyNumberFormat="1" applyFont="1" applyBorder="1" applyAlignment="1">
      <alignment horizontal="left" vertical="top"/>
    </xf>
    <xf numFmtId="170" fontId="63" fillId="0" borderId="87" xfId="5" applyNumberFormat="1" applyFont="1" applyBorder="1"/>
    <xf numFmtId="170" fontId="63" fillId="0" borderId="37" xfId="0" applyNumberFormat="1" applyFont="1" applyBorder="1" applyAlignment="1">
      <alignment horizontal="left" vertical="center"/>
    </xf>
    <xf numFmtId="170" fontId="63" fillId="0" borderId="37" xfId="0" applyNumberFormat="1" applyFont="1" applyBorder="1" applyAlignment="1">
      <alignment horizontal="left" vertical="center" wrapText="1"/>
    </xf>
    <xf numFmtId="170" fontId="63" fillId="0" borderId="0" xfId="0" applyNumberFormat="1" applyFont="1" applyAlignment="1">
      <alignment vertical="top"/>
    </xf>
    <xf numFmtId="170" fontId="64" fillId="24" borderId="10" xfId="0" applyNumberFormat="1" applyFont="1" applyFill="1" applyBorder="1" applyAlignment="1">
      <alignment vertical="top"/>
    </xf>
    <xf numFmtId="170" fontId="73" fillId="29" borderId="12" xfId="27244" applyNumberFormat="1" applyFont="1" applyBorder="1" applyAlignment="1">
      <alignment vertical="top" wrapText="1"/>
    </xf>
    <xf numFmtId="170" fontId="73" fillId="29" borderId="10" xfId="27244" applyNumberFormat="1" applyFont="1" applyBorder="1" applyAlignment="1">
      <alignment vertical="top" wrapText="1"/>
    </xf>
    <xf numFmtId="170" fontId="63" fillId="57" borderId="0" xfId="0" applyNumberFormat="1" applyFont="1" applyFill="1"/>
    <xf numFmtId="170" fontId="63" fillId="126" borderId="37" xfId="0" applyNumberFormat="1" applyFont="1" applyFill="1" applyBorder="1"/>
    <xf numFmtId="0" fontId="63" fillId="116" borderId="37" xfId="0" applyFont="1" applyFill="1" applyBorder="1"/>
    <xf numFmtId="170" fontId="63" fillId="129" borderId="37" xfId="5" applyNumberFormat="1" applyFont="1" applyFill="1" applyBorder="1"/>
    <xf numFmtId="0" fontId="63" fillId="129" borderId="37" xfId="5" applyFont="1" applyFill="1" applyBorder="1"/>
    <xf numFmtId="0" fontId="16" fillId="0" borderId="0" xfId="0" applyFont="1"/>
  </cellXfs>
  <cellStyles count="27256">
    <cellStyle name="_x0013_" xfId="40" xr:uid="{00000000-0005-0000-0000-000000000000}"/>
    <cellStyle name="_081103 Revenue and Margins Reporting (5)" xfId="86" xr:uid="{00000000-0005-0000-0000-000001000000}"/>
    <cellStyle name="20 % - Accent1" xfId="3934" xr:uid="{00000000-0005-0000-0000-000002000000}"/>
    <cellStyle name="20 % - Accent2" xfId="3935" xr:uid="{00000000-0005-0000-0000-000003000000}"/>
    <cellStyle name="20 % - Accent3" xfId="3936" xr:uid="{00000000-0005-0000-0000-000004000000}"/>
    <cellStyle name="20 % - Accent4" xfId="3937" xr:uid="{00000000-0005-0000-0000-000005000000}"/>
    <cellStyle name="20 % - Accent5" xfId="3938" xr:uid="{00000000-0005-0000-0000-000006000000}"/>
    <cellStyle name="20 % - Accent6" xfId="3939" xr:uid="{00000000-0005-0000-0000-000007000000}"/>
    <cellStyle name="20% - Accent1 10" xfId="87" xr:uid="{00000000-0005-0000-0000-000008000000}"/>
    <cellStyle name="20% - Accent1 10 2" xfId="88" xr:uid="{00000000-0005-0000-0000-000009000000}"/>
    <cellStyle name="20% - Accent1 10 3" xfId="89" xr:uid="{00000000-0005-0000-0000-00000A000000}"/>
    <cellStyle name="20% - Accent1 10 4" xfId="90" xr:uid="{00000000-0005-0000-0000-00000B000000}"/>
    <cellStyle name="20% - Accent1 10 5" xfId="91" xr:uid="{00000000-0005-0000-0000-00000C000000}"/>
    <cellStyle name="20% - Accent1 11" xfId="92" xr:uid="{00000000-0005-0000-0000-00000D000000}"/>
    <cellStyle name="20% - Accent1 11 2" xfId="93" xr:uid="{00000000-0005-0000-0000-00000E000000}"/>
    <cellStyle name="20% - Accent1 11 3" xfId="94" xr:uid="{00000000-0005-0000-0000-00000F000000}"/>
    <cellStyle name="20% - Accent1 11 4" xfId="95" xr:uid="{00000000-0005-0000-0000-000010000000}"/>
    <cellStyle name="20% - Accent1 11 5" xfId="96" xr:uid="{00000000-0005-0000-0000-000011000000}"/>
    <cellStyle name="20% - Accent1 12" xfId="97" xr:uid="{00000000-0005-0000-0000-000012000000}"/>
    <cellStyle name="20% - Accent1 12 2" xfId="98" xr:uid="{00000000-0005-0000-0000-000013000000}"/>
    <cellStyle name="20% - Accent1 12 3" xfId="99" xr:uid="{00000000-0005-0000-0000-000014000000}"/>
    <cellStyle name="20% - Accent1 12 4" xfId="100" xr:uid="{00000000-0005-0000-0000-000015000000}"/>
    <cellStyle name="20% - Accent1 12 5" xfId="101" xr:uid="{00000000-0005-0000-0000-000016000000}"/>
    <cellStyle name="20% - Accent1 13" xfId="102" xr:uid="{00000000-0005-0000-0000-000017000000}"/>
    <cellStyle name="20% - Accent1 14" xfId="103" xr:uid="{00000000-0005-0000-0000-000018000000}"/>
    <cellStyle name="20% - Accent1 14 2" xfId="8082" xr:uid="{00000000-0005-0000-0000-000019000000}"/>
    <cellStyle name="20% - Accent1 14 2 2" xfId="10301" xr:uid="{00000000-0005-0000-0000-00001A000000}"/>
    <cellStyle name="20% - Accent1 14 2 2 2" xfId="20864" xr:uid="{00000000-0005-0000-0000-00001B000000}"/>
    <cellStyle name="20% - Accent1 14 2 3" xfId="12520" xr:uid="{00000000-0005-0000-0000-00001C000000}"/>
    <cellStyle name="20% - Accent1 14 2 3 2" xfId="23083" xr:uid="{00000000-0005-0000-0000-00001D000000}"/>
    <cellStyle name="20% - Accent1 14 2 4" xfId="14739" xr:uid="{00000000-0005-0000-0000-00001E000000}"/>
    <cellStyle name="20% - Accent1 14 2 4 2" xfId="25302" xr:uid="{00000000-0005-0000-0000-00001F000000}"/>
    <cellStyle name="20% - Accent1 14 2 5" xfId="18645" xr:uid="{00000000-0005-0000-0000-000020000000}"/>
    <cellStyle name="20% - Accent1 14 3" xfId="7349" xr:uid="{00000000-0005-0000-0000-000021000000}"/>
    <cellStyle name="20% - Accent1 14 3 2" xfId="9568" xr:uid="{00000000-0005-0000-0000-000022000000}"/>
    <cellStyle name="20% - Accent1 14 3 2 2" xfId="20131" xr:uid="{00000000-0005-0000-0000-000023000000}"/>
    <cellStyle name="20% - Accent1 14 3 3" xfId="11787" xr:uid="{00000000-0005-0000-0000-000024000000}"/>
    <cellStyle name="20% - Accent1 14 3 3 2" xfId="22350" xr:uid="{00000000-0005-0000-0000-000025000000}"/>
    <cellStyle name="20% - Accent1 14 3 4" xfId="14006" xr:uid="{00000000-0005-0000-0000-000026000000}"/>
    <cellStyle name="20% - Accent1 14 3 4 2" xfId="24569" xr:uid="{00000000-0005-0000-0000-000027000000}"/>
    <cellStyle name="20% - Accent1 14 3 5" xfId="17912" xr:uid="{00000000-0005-0000-0000-000028000000}"/>
    <cellStyle name="20% - Accent1 14 4" xfId="8825" xr:uid="{00000000-0005-0000-0000-000029000000}"/>
    <cellStyle name="20% - Accent1 14 4 2" xfId="19388" xr:uid="{00000000-0005-0000-0000-00002A000000}"/>
    <cellStyle name="20% - Accent1 14 5" xfId="11044" xr:uid="{00000000-0005-0000-0000-00002B000000}"/>
    <cellStyle name="20% - Accent1 14 5 2" xfId="21607" xr:uid="{00000000-0005-0000-0000-00002C000000}"/>
    <cellStyle name="20% - Accent1 14 6" xfId="13263" xr:uid="{00000000-0005-0000-0000-00002D000000}"/>
    <cellStyle name="20% - Accent1 14 6 2" xfId="23826" xr:uid="{00000000-0005-0000-0000-00002E000000}"/>
    <cellStyle name="20% - Accent1 14 7" xfId="17163" xr:uid="{00000000-0005-0000-0000-00002F000000}"/>
    <cellStyle name="20% - Accent1 15" xfId="104" xr:uid="{00000000-0005-0000-0000-000030000000}"/>
    <cellStyle name="20% - Accent1 16" xfId="105" xr:uid="{00000000-0005-0000-0000-000031000000}"/>
    <cellStyle name="20% - Accent1 17" xfId="106" xr:uid="{00000000-0005-0000-0000-000032000000}"/>
    <cellStyle name="20% - Accent1 18" xfId="107" xr:uid="{00000000-0005-0000-0000-000033000000}"/>
    <cellStyle name="20% - Accent1 19" xfId="108" xr:uid="{00000000-0005-0000-0000-000034000000}"/>
    <cellStyle name="20% - Accent1 2" xfId="109" xr:uid="{00000000-0005-0000-0000-000035000000}"/>
    <cellStyle name="20% - Accent1 2 10" xfId="110" xr:uid="{00000000-0005-0000-0000-000036000000}"/>
    <cellStyle name="20% - Accent1 2 10 2" xfId="111" xr:uid="{00000000-0005-0000-0000-000037000000}"/>
    <cellStyle name="20% - Accent1 2 10 2 2" xfId="8083" xr:uid="{00000000-0005-0000-0000-000038000000}"/>
    <cellStyle name="20% - Accent1 2 10 2 2 2" xfId="10302" xr:uid="{00000000-0005-0000-0000-000039000000}"/>
    <cellStyle name="20% - Accent1 2 10 2 2 2 2" xfId="20865" xr:uid="{00000000-0005-0000-0000-00003A000000}"/>
    <cellStyle name="20% - Accent1 2 10 2 2 3" xfId="12521" xr:uid="{00000000-0005-0000-0000-00003B000000}"/>
    <cellStyle name="20% - Accent1 2 10 2 2 3 2" xfId="23084" xr:uid="{00000000-0005-0000-0000-00003C000000}"/>
    <cellStyle name="20% - Accent1 2 10 2 2 4" xfId="14740" xr:uid="{00000000-0005-0000-0000-00003D000000}"/>
    <cellStyle name="20% - Accent1 2 10 2 2 4 2" xfId="25303" xr:uid="{00000000-0005-0000-0000-00003E000000}"/>
    <cellStyle name="20% - Accent1 2 10 2 2 5" xfId="18646" xr:uid="{00000000-0005-0000-0000-00003F000000}"/>
    <cellStyle name="20% - Accent1 2 10 2 3" xfId="7350" xr:uid="{00000000-0005-0000-0000-000040000000}"/>
    <cellStyle name="20% - Accent1 2 10 2 3 2" xfId="9569" xr:uid="{00000000-0005-0000-0000-000041000000}"/>
    <cellStyle name="20% - Accent1 2 10 2 3 2 2" xfId="20132" xr:uid="{00000000-0005-0000-0000-000042000000}"/>
    <cellStyle name="20% - Accent1 2 10 2 3 3" xfId="11788" xr:uid="{00000000-0005-0000-0000-000043000000}"/>
    <cellStyle name="20% - Accent1 2 10 2 3 3 2" xfId="22351" xr:uid="{00000000-0005-0000-0000-000044000000}"/>
    <cellStyle name="20% - Accent1 2 10 2 3 4" xfId="14007" xr:uid="{00000000-0005-0000-0000-000045000000}"/>
    <cellStyle name="20% - Accent1 2 10 2 3 4 2" xfId="24570" xr:uid="{00000000-0005-0000-0000-000046000000}"/>
    <cellStyle name="20% - Accent1 2 10 2 3 5" xfId="17913" xr:uid="{00000000-0005-0000-0000-000047000000}"/>
    <cellStyle name="20% - Accent1 2 10 2 4" xfId="8826" xr:uid="{00000000-0005-0000-0000-000048000000}"/>
    <cellStyle name="20% - Accent1 2 10 2 4 2" xfId="19389" xr:uid="{00000000-0005-0000-0000-000049000000}"/>
    <cellStyle name="20% - Accent1 2 10 2 5" xfId="11045" xr:uid="{00000000-0005-0000-0000-00004A000000}"/>
    <cellStyle name="20% - Accent1 2 10 2 5 2" xfId="21608" xr:uid="{00000000-0005-0000-0000-00004B000000}"/>
    <cellStyle name="20% - Accent1 2 10 2 6" xfId="13264" xr:uid="{00000000-0005-0000-0000-00004C000000}"/>
    <cellStyle name="20% - Accent1 2 10 2 6 2" xfId="23827" xr:uid="{00000000-0005-0000-0000-00004D000000}"/>
    <cellStyle name="20% - Accent1 2 10 2 7" xfId="17164" xr:uid="{00000000-0005-0000-0000-00004E000000}"/>
    <cellStyle name="20% - Accent1 2 10 3" xfId="112" xr:uid="{00000000-0005-0000-0000-00004F000000}"/>
    <cellStyle name="20% - Accent1 2 10 3 2" xfId="8084" xr:uid="{00000000-0005-0000-0000-000050000000}"/>
    <cellStyle name="20% - Accent1 2 10 3 2 2" xfId="10303" xr:uid="{00000000-0005-0000-0000-000051000000}"/>
    <cellStyle name="20% - Accent1 2 10 3 2 2 2" xfId="20866" xr:uid="{00000000-0005-0000-0000-000052000000}"/>
    <cellStyle name="20% - Accent1 2 10 3 2 3" xfId="12522" xr:uid="{00000000-0005-0000-0000-000053000000}"/>
    <cellStyle name="20% - Accent1 2 10 3 2 3 2" xfId="23085" xr:uid="{00000000-0005-0000-0000-000054000000}"/>
    <cellStyle name="20% - Accent1 2 10 3 2 4" xfId="14741" xr:uid="{00000000-0005-0000-0000-000055000000}"/>
    <cellStyle name="20% - Accent1 2 10 3 2 4 2" xfId="25304" xr:uid="{00000000-0005-0000-0000-000056000000}"/>
    <cellStyle name="20% - Accent1 2 10 3 2 5" xfId="18647" xr:uid="{00000000-0005-0000-0000-000057000000}"/>
    <cellStyle name="20% - Accent1 2 10 3 3" xfId="7351" xr:uid="{00000000-0005-0000-0000-000058000000}"/>
    <cellStyle name="20% - Accent1 2 10 3 3 2" xfId="9570" xr:uid="{00000000-0005-0000-0000-000059000000}"/>
    <cellStyle name="20% - Accent1 2 10 3 3 2 2" xfId="20133" xr:uid="{00000000-0005-0000-0000-00005A000000}"/>
    <cellStyle name="20% - Accent1 2 10 3 3 3" xfId="11789" xr:uid="{00000000-0005-0000-0000-00005B000000}"/>
    <cellStyle name="20% - Accent1 2 10 3 3 3 2" xfId="22352" xr:uid="{00000000-0005-0000-0000-00005C000000}"/>
    <cellStyle name="20% - Accent1 2 10 3 3 4" xfId="14008" xr:uid="{00000000-0005-0000-0000-00005D000000}"/>
    <cellStyle name="20% - Accent1 2 10 3 3 4 2" xfId="24571" xr:uid="{00000000-0005-0000-0000-00005E000000}"/>
    <cellStyle name="20% - Accent1 2 10 3 3 5" xfId="17914" xr:uid="{00000000-0005-0000-0000-00005F000000}"/>
    <cellStyle name="20% - Accent1 2 10 3 4" xfId="8827" xr:uid="{00000000-0005-0000-0000-000060000000}"/>
    <cellStyle name="20% - Accent1 2 10 3 4 2" xfId="19390" xr:uid="{00000000-0005-0000-0000-000061000000}"/>
    <cellStyle name="20% - Accent1 2 10 3 5" xfId="11046" xr:uid="{00000000-0005-0000-0000-000062000000}"/>
    <cellStyle name="20% - Accent1 2 10 3 5 2" xfId="21609" xr:uid="{00000000-0005-0000-0000-000063000000}"/>
    <cellStyle name="20% - Accent1 2 10 3 6" xfId="13265" xr:uid="{00000000-0005-0000-0000-000064000000}"/>
    <cellStyle name="20% - Accent1 2 10 3 6 2" xfId="23828" xr:uid="{00000000-0005-0000-0000-000065000000}"/>
    <cellStyle name="20% - Accent1 2 10 3 7" xfId="17165" xr:uid="{00000000-0005-0000-0000-000066000000}"/>
    <cellStyle name="20% - Accent1 2 10 4" xfId="113" xr:uid="{00000000-0005-0000-0000-000067000000}"/>
    <cellStyle name="20% - Accent1 2 10 4 2" xfId="8085" xr:uid="{00000000-0005-0000-0000-000068000000}"/>
    <cellStyle name="20% - Accent1 2 10 4 2 2" xfId="10304" xr:uid="{00000000-0005-0000-0000-000069000000}"/>
    <cellStyle name="20% - Accent1 2 10 4 2 2 2" xfId="20867" xr:uid="{00000000-0005-0000-0000-00006A000000}"/>
    <cellStyle name="20% - Accent1 2 10 4 2 3" xfId="12523" xr:uid="{00000000-0005-0000-0000-00006B000000}"/>
    <cellStyle name="20% - Accent1 2 10 4 2 3 2" xfId="23086" xr:uid="{00000000-0005-0000-0000-00006C000000}"/>
    <cellStyle name="20% - Accent1 2 10 4 2 4" xfId="14742" xr:uid="{00000000-0005-0000-0000-00006D000000}"/>
    <cellStyle name="20% - Accent1 2 10 4 2 4 2" xfId="25305" xr:uid="{00000000-0005-0000-0000-00006E000000}"/>
    <cellStyle name="20% - Accent1 2 10 4 2 5" xfId="18648" xr:uid="{00000000-0005-0000-0000-00006F000000}"/>
    <cellStyle name="20% - Accent1 2 10 4 3" xfId="7352" xr:uid="{00000000-0005-0000-0000-000070000000}"/>
    <cellStyle name="20% - Accent1 2 10 4 3 2" xfId="9571" xr:uid="{00000000-0005-0000-0000-000071000000}"/>
    <cellStyle name="20% - Accent1 2 10 4 3 2 2" xfId="20134" xr:uid="{00000000-0005-0000-0000-000072000000}"/>
    <cellStyle name="20% - Accent1 2 10 4 3 3" xfId="11790" xr:uid="{00000000-0005-0000-0000-000073000000}"/>
    <cellStyle name="20% - Accent1 2 10 4 3 3 2" xfId="22353" xr:uid="{00000000-0005-0000-0000-000074000000}"/>
    <cellStyle name="20% - Accent1 2 10 4 3 4" xfId="14009" xr:uid="{00000000-0005-0000-0000-000075000000}"/>
    <cellStyle name="20% - Accent1 2 10 4 3 4 2" xfId="24572" xr:uid="{00000000-0005-0000-0000-000076000000}"/>
    <cellStyle name="20% - Accent1 2 10 4 3 5" xfId="17915" xr:uid="{00000000-0005-0000-0000-000077000000}"/>
    <cellStyle name="20% - Accent1 2 10 4 4" xfId="8828" xr:uid="{00000000-0005-0000-0000-000078000000}"/>
    <cellStyle name="20% - Accent1 2 10 4 4 2" xfId="19391" xr:uid="{00000000-0005-0000-0000-000079000000}"/>
    <cellStyle name="20% - Accent1 2 10 4 5" xfId="11047" xr:uid="{00000000-0005-0000-0000-00007A000000}"/>
    <cellStyle name="20% - Accent1 2 10 4 5 2" xfId="21610" xr:uid="{00000000-0005-0000-0000-00007B000000}"/>
    <cellStyle name="20% - Accent1 2 10 4 6" xfId="13266" xr:uid="{00000000-0005-0000-0000-00007C000000}"/>
    <cellStyle name="20% - Accent1 2 10 4 6 2" xfId="23829" xr:uid="{00000000-0005-0000-0000-00007D000000}"/>
    <cellStyle name="20% - Accent1 2 10 4 7" xfId="17166" xr:uid="{00000000-0005-0000-0000-00007E000000}"/>
    <cellStyle name="20% - Accent1 2 10 5" xfId="114" xr:uid="{00000000-0005-0000-0000-00007F000000}"/>
    <cellStyle name="20% - Accent1 2 10 5 2" xfId="8086" xr:uid="{00000000-0005-0000-0000-000080000000}"/>
    <cellStyle name="20% - Accent1 2 10 5 2 2" xfId="10305" xr:uid="{00000000-0005-0000-0000-000081000000}"/>
    <cellStyle name="20% - Accent1 2 10 5 2 2 2" xfId="20868" xr:uid="{00000000-0005-0000-0000-000082000000}"/>
    <cellStyle name="20% - Accent1 2 10 5 2 3" xfId="12524" xr:uid="{00000000-0005-0000-0000-000083000000}"/>
    <cellStyle name="20% - Accent1 2 10 5 2 3 2" xfId="23087" xr:uid="{00000000-0005-0000-0000-000084000000}"/>
    <cellStyle name="20% - Accent1 2 10 5 2 4" xfId="14743" xr:uid="{00000000-0005-0000-0000-000085000000}"/>
    <cellStyle name="20% - Accent1 2 10 5 2 4 2" xfId="25306" xr:uid="{00000000-0005-0000-0000-000086000000}"/>
    <cellStyle name="20% - Accent1 2 10 5 2 5" xfId="18649" xr:uid="{00000000-0005-0000-0000-000087000000}"/>
    <cellStyle name="20% - Accent1 2 10 5 3" xfId="7353" xr:uid="{00000000-0005-0000-0000-000088000000}"/>
    <cellStyle name="20% - Accent1 2 10 5 3 2" xfId="9572" xr:uid="{00000000-0005-0000-0000-000089000000}"/>
    <cellStyle name="20% - Accent1 2 10 5 3 2 2" xfId="20135" xr:uid="{00000000-0005-0000-0000-00008A000000}"/>
    <cellStyle name="20% - Accent1 2 10 5 3 3" xfId="11791" xr:uid="{00000000-0005-0000-0000-00008B000000}"/>
    <cellStyle name="20% - Accent1 2 10 5 3 3 2" xfId="22354" xr:uid="{00000000-0005-0000-0000-00008C000000}"/>
    <cellStyle name="20% - Accent1 2 10 5 3 4" xfId="14010" xr:uid="{00000000-0005-0000-0000-00008D000000}"/>
    <cellStyle name="20% - Accent1 2 10 5 3 4 2" xfId="24573" xr:uid="{00000000-0005-0000-0000-00008E000000}"/>
    <cellStyle name="20% - Accent1 2 10 5 3 5" xfId="17916" xr:uid="{00000000-0005-0000-0000-00008F000000}"/>
    <cellStyle name="20% - Accent1 2 10 5 4" xfId="8829" xr:uid="{00000000-0005-0000-0000-000090000000}"/>
    <cellStyle name="20% - Accent1 2 10 5 4 2" xfId="19392" xr:uid="{00000000-0005-0000-0000-000091000000}"/>
    <cellStyle name="20% - Accent1 2 10 5 5" xfId="11048" xr:uid="{00000000-0005-0000-0000-000092000000}"/>
    <cellStyle name="20% - Accent1 2 10 5 5 2" xfId="21611" xr:uid="{00000000-0005-0000-0000-000093000000}"/>
    <cellStyle name="20% - Accent1 2 10 5 6" xfId="13267" xr:uid="{00000000-0005-0000-0000-000094000000}"/>
    <cellStyle name="20% - Accent1 2 10 5 6 2" xfId="23830" xr:uid="{00000000-0005-0000-0000-000095000000}"/>
    <cellStyle name="20% - Accent1 2 10 5 7" xfId="17167" xr:uid="{00000000-0005-0000-0000-000096000000}"/>
    <cellStyle name="20% - Accent1 2 11" xfId="115" xr:uid="{00000000-0005-0000-0000-000097000000}"/>
    <cellStyle name="20% - Accent1 2 11 2" xfId="8087" xr:uid="{00000000-0005-0000-0000-000098000000}"/>
    <cellStyle name="20% - Accent1 2 11 2 2" xfId="10306" xr:uid="{00000000-0005-0000-0000-000099000000}"/>
    <cellStyle name="20% - Accent1 2 11 2 2 2" xfId="20869" xr:uid="{00000000-0005-0000-0000-00009A000000}"/>
    <cellStyle name="20% - Accent1 2 11 2 3" xfId="12525" xr:uid="{00000000-0005-0000-0000-00009B000000}"/>
    <cellStyle name="20% - Accent1 2 11 2 3 2" xfId="23088" xr:uid="{00000000-0005-0000-0000-00009C000000}"/>
    <cellStyle name="20% - Accent1 2 11 2 4" xfId="14744" xr:uid="{00000000-0005-0000-0000-00009D000000}"/>
    <cellStyle name="20% - Accent1 2 11 2 4 2" xfId="25307" xr:uid="{00000000-0005-0000-0000-00009E000000}"/>
    <cellStyle name="20% - Accent1 2 11 2 5" xfId="18650" xr:uid="{00000000-0005-0000-0000-00009F000000}"/>
    <cellStyle name="20% - Accent1 2 11 3" xfId="7354" xr:uid="{00000000-0005-0000-0000-0000A0000000}"/>
    <cellStyle name="20% - Accent1 2 11 3 2" xfId="9573" xr:uid="{00000000-0005-0000-0000-0000A1000000}"/>
    <cellStyle name="20% - Accent1 2 11 3 2 2" xfId="20136" xr:uid="{00000000-0005-0000-0000-0000A2000000}"/>
    <cellStyle name="20% - Accent1 2 11 3 3" xfId="11792" xr:uid="{00000000-0005-0000-0000-0000A3000000}"/>
    <cellStyle name="20% - Accent1 2 11 3 3 2" xfId="22355" xr:uid="{00000000-0005-0000-0000-0000A4000000}"/>
    <cellStyle name="20% - Accent1 2 11 3 4" xfId="14011" xr:uid="{00000000-0005-0000-0000-0000A5000000}"/>
    <cellStyle name="20% - Accent1 2 11 3 4 2" xfId="24574" xr:uid="{00000000-0005-0000-0000-0000A6000000}"/>
    <cellStyle name="20% - Accent1 2 11 3 5" xfId="17917" xr:uid="{00000000-0005-0000-0000-0000A7000000}"/>
    <cellStyle name="20% - Accent1 2 11 4" xfId="8830" xr:uid="{00000000-0005-0000-0000-0000A8000000}"/>
    <cellStyle name="20% - Accent1 2 11 4 2" xfId="19393" xr:uid="{00000000-0005-0000-0000-0000A9000000}"/>
    <cellStyle name="20% - Accent1 2 11 5" xfId="11049" xr:uid="{00000000-0005-0000-0000-0000AA000000}"/>
    <cellStyle name="20% - Accent1 2 11 5 2" xfId="21612" xr:uid="{00000000-0005-0000-0000-0000AB000000}"/>
    <cellStyle name="20% - Accent1 2 11 6" xfId="13268" xr:uid="{00000000-0005-0000-0000-0000AC000000}"/>
    <cellStyle name="20% - Accent1 2 11 6 2" xfId="23831" xr:uid="{00000000-0005-0000-0000-0000AD000000}"/>
    <cellStyle name="20% - Accent1 2 11 7" xfId="17168" xr:uid="{00000000-0005-0000-0000-0000AE000000}"/>
    <cellStyle name="20% - Accent1 2 12" xfId="116" xr:uid="{00000000-0005-0000-0000-0000AF000000}"/>
    <cellStyle name="20% - Accent1 2 13" xfId="117" xr:uid="{00000000-0005-0000-0000-0000B0000000}"/>
    <cellStyle name="20% - Accent1 2 14" xfId="118" xr:uid="{00000000-0005-0000-0000-0000B1000000}"/>
    <cellStyle name="20% - Accent1 2 15" xfId="119" xr:uid="{00000000-0005-0000-0000-0000B2000000}"/>
    <cellStyle name="20% - Accent1 2 15 2" xfId="8088" xr:uid="{00000000-0005-0000-0000-0000B3000000}"/>
    <cellStyle name="20% - Accent1 2 15 2 2" xfId="10307" xr:uid="{00000000-0005-0000-0000-0000B4000000}"/>
    <cellStyle name="20% - Accent1 2 15 2 2 2" xfId="20870" xr:uid="{00000000-0005-0000-0000-0000B5000000}"/>
    <cellStyle name="20% - Accent1 2 15 2 3" xfId="12526" xr:uid="{00000000-0005-0000-0000-0000B6000000}"/>
    <cellStyle name="20% - Accent1 2 15 2 3 2" xfId="23089" xr:uid="{00000000-0005-0000-0000-0000B7000000}"/>
    <cellStyle name="20% - Accent1 2 15 2 4" xfId="14745" xr:uid="{00000000-0005-0000-0000-0000B8000000}"/>
    <cellStyle name="20% - Accent1 2 15 2 4 2" xfId="25308" xr:uid="{00000000-0005-0000-0000-0000B9000000}"/>
    <cellStyle name="20% - Accent1 2 15 2 5" xfId="18651" xr:uid="{00000000-0005-0000-0000-0000BA000000}"/>
    <cellStyle name="20% - Accent1 2 15 3" xfId="7355" xr:uid="{00000000-0005-0000-0000-0000BB000000}"/>
    <cellStyle name="20% - Accent1 2 15 3 2" xfId="9574" xr:uid="{00000000-0005-0000-0000-0000BC000000}"/>
    <cellStyle name="20% - Accent1 2 15 3 2 2" xfId="20137" xr:uid="{00000000-0005-0000-0000-0000BD000000}"/>
    <cellStyle name="20% - Accent1 2 15 3 3" xfId="11793" xr:uid="{00000000-0005-0000-0000-0000BE000000}"/>
    <cellStyle name="20% - Accent1 2 15 3 3 2" xfId="22356" xr:uid="{00000000-0005-0000-0000-0000BF000000}"/>
    <cellStyle name="20% - Accent1 2 15 3 4" xfId="14012" xr:uid="{00000000-0005-0000-0000-0000C0000000}"/>
    <cellStyle name="20% - Accent1 2 15 3 4 2" xfId="24575" xr:uid="{00000000-0005-0000-0000-0000C1000000}"/>
    <cellStyle name="20% - Accent1 2 15 3 5" xfId="17918" xr:uid="{00000000-0005-0000-0000-0000C2000000}"/>
    <cellStyle name="20% - Accent1 2 15 4" xfId="8831" xr:uid="{00000000-0005-0000-0000-0000C3000000}"/>
    <cellStyle name="20% - Accent1 2 15 4 2" xfId="19394" xr:uid="{00000000-0005-0000-0000-0000C4000000}"/>
    <cellStyle name="20% - Accent1 2 15 5" xfId="11050" xr:uid="{00000000-0005-0000-0000-0000C5000000}"/>
    <cellStyle name="20% - Accent1 2 15 5 2" xfId="21613" xr:uid="{00000000-0005-0000-0000-0000C6000000}"/>
    <cellStyle name="20% - Accent1 2 15 6" xfId="13269" xr:uid="{00000000-0005-0000-0000-0000C7000000}"/>
    <cellStyle name="20% - Accent1 2 15 6 2" xfId="23832" xr:uid="{00000000-0005-0000-0000-0000C8000000}"/>
    <cellStyle name="20% - Accent1 2 15 7" xfId="17169" xr:uid="{00000000-0005-0000-0000-0000C9000000}"/>
    <cellStyle name="20% - Accent1 2 16" xfId="120" xr:uid="{00000000-0005-0000-0000-0000CA000000}"/>
    <cellStyle name="20% - Accent1 2 2" xfId="121" xr:uid="{00000000-0005-0000-0000-0000CB000000}"/>
    <cellStyle name="20% - Accent1 2 2 10" xfId="8089" xr:uid="{00000000-0005-0000-0000-0000CC000000}"/>
    <cellStyle name="20% - Accent1 2 2 10 2" xfId="10308" xr:uid="{00000000-0005-0000-0000-0000CD000000}"/>
    <cellStyle name="20% - Accent1 2 2 10 2 2" xfId="20871" xr:uid="{00000000-0005-0000-0000-0000CE000000}"/>
    <cellStyle name="20% - Accent1 2 2 10 3" xfId="12527" xr:uid="{00000000-0005-0000-0000-0000CF000000}"/>
    <cellStyle name="20% - Accent1 2 2 10 3 2" xfId="23090" xr:uid="{00000000-0005-0000-0000-0000D0000000}"/>
    <cellStyle name="20% - Accent1 2 2 10 4" xfId="14746" xr:uid="{00000000-0005-0000-0000-0000D1000000}"/>
    <cellStyle name="20% - Accent1 2 2 10 4 2" xfId="25309" xr:uid="{00000000-0005-0000-0000-0000D2000000}"/>
    <cellStyle name="20% - Accent1 2 2 10 5" xfId="18652" xr:uid="{00000000-0005-0000-0000-0000D3000000}"/>
    <cellStyle name="20% - Accent1 2 2 11" xfId="7356" xr:uid="{00000000-0005-0000-0000-0000D4000000}"/>
    <cellStyle name="20% - Accent1 2 2 11 2" xfId="9575" xr:uid="{00000000-0005-0000-0000-0000D5000000}"/>
    <cellStyle name="20% - Accent1 2 2 11 2 2" xfId="20138" xr:uid="{00000000-0005-0000-0000-0000D6000000}"/>
    <cellStyle name="20% - Accent1 2 2 11 3" xfId="11794" xr:uid="{00000000-0005-0000-0000-0000D7000000}"/>
    <cellStyle name="20% - Accent1 2 2 11 3 2" xfId="22357" xr:uid="{00000000-0005-0000-0000-0000D8000000}"/>
    <cellStyle name="20% - Accent1 2 2 11 4" xfId="14013" xr:uid="{00000000-0005-0000-0000-0000D9000000}"/>
    <cellStyle name="20% - Accent1 2 2 11 4 2" xfId="24576" xr:uid="{00000000-0005-0000-0000-0000DA000000}"/>
    <cellStyle name="20% - Accent1 2 2 11 5" xfId="17919" xr:uid="{00000000-0005-0000-0000-0000DB000000}"/>
    <cellStyle name="20% - Accent1 2 2 12" xfId="8832" xr:uid="{00000000-0005-0000-0000-0000DC000000}"/>
    <cellStyle name="20% - Accent1 2 2 12 2" xfId="19395" xr:uid="{00000000-0005-0000-0000-0000DD000000}"/>
    <cellStyle name="20% - Accent1 2 2 13" xfId="11051" xr:uid="{00000000-0005-0000-0000-0000DE000000}"/>
    <cellStyle name="20% - Accent1 2 2 13 2" xfId="21614" xr:uid="{00000000-0005-0000-0000-0000DF000000}"/>
    <cellStyle name="20% - Accent1 2 2 14" xfId="13270" xr:uid="{00000000-0005-0000-0000-0000E0000000}"/>
    <cellStyle name="20% - Accent1 2 2 14 2" xfId="23833" xr:uid="{00000000-0005-0000-0000-0000E1000000}"/>
    <cellStyle name="20% - Accent1 2 2 15" xfId="17170" xr:uid="{00000000-0005-0000-0000-0000E2000000}"/>
    <cellStyle name="20% - Accent1 2 2 2" xfId="122" xr:uid="{00000000-0005-0000-0000-0000E3000000}"/>
    <cellStyle name="20% - Accent1 2 2 2 2" xfId="8090" xr:uid="{00000000-0005-0000-0000-0000E4000000}"/>
    <cellStyle name="20% - Accent1 2 2 2 2 2" xfId="10309" xr:uid="{00000000-0005-0000-0000-0000E5000000}"/>
    <cellStyle name="20% - Accent1 2 2 2 2 2 2" xfId="20872" xr:uid="{00000000-0005-0000-0000-0000E6000000}"/>
    <cellStyle name="20% - Accent1 2 2 2 2 3" xfId="12528" xr:uid="{00000000-0005-0000-0000-0000E7000000}"/>
    <cellStyle name="20% - Accent1 2 2 2 2 3 2" xfId="23091" xr:uid="{00000000-0005-0000-0000-0000E8000000}"/>
    <cellStyle name="20% - Accent1 2 2 2 2 4" xfId="14747" xr:uid="{00000000-0005-0000-0000-0000E9000000}"/>
    <cellStyle name="20% - Accent1 2 2 2 2 4 2" xfId="25310" xr:uid="{00000000-0005-0000-0000-0000EA000000}"/>
    <cellStyle name="20% - Accent1 2 2 2 2 5" xfId="18653" xr:uid="{00000000-0005-0000-0000-0000EB000000}"/>
    <cellStyle name="20% - Accent1 2 2 2 3" xfId="7357" xr:uid="{00000000-0005-0000-0000-0000EC000000}"/>
    <cellStyle name="20% - Accent1 2 2 2 3 2" xfId="9576" xr:uid="{00000000-0005-0000-0000-0000ED000000}"/>
    <cellStyle name="20% - Accent1 2 2 2 3 2 2" xfId="20139" xr:uid="{00000000-0005-0000-0000-0000EE000000}"/>
    <cellStyle name="20% - Accent1 2 2 2 3 3" xfId="11795" xr:uid="{00000000-0005-0000-0000-0000EF000000}"/>
    <cellStyle name="20% - Accent1 2 2 2 3 3 2" xfId="22358" xr:uid="{00000000-0005-0000-0000-0000F0000000}"/>
    <cellStyle name="20% - Accent1 2 2 2 3 4" xfId="14014" xr:uid="{00000000-0005-0000-0000-0000F1000000}"/>
    <cellStyle name="20% - Accent1 2 2 2 3 4 2" xfId="24577" xr:uid="{00000000-0005-0000-0000-0000F2000000}"/>
    <cellStyle name="20% - Accent1 2 2 2 3 5" xfId="17920" xr:uid="{00000000-0005-0000-0000-0000F3000000}"/>
    <cellStyle name="20% - Accent1 2 2 2 4" xfId="8833" xr:uid="{00000000-0005-0000-0000-0000F4000000}"/>
    <cellStyle name="20% - Accent1 2 2 2 4 2" xfId="19396" xr:uid="{00000000-0005-0000-0000-0000F5000000}"/>
    <cellStyle name="20% - Accent1 2 2 2 5" xfId="11052" xr:uid="{00000000-0005-0000-0000-0000F6000000}"/>
    <cellStyle name="20% - Accent1 2 2 2 5 2" xfId="21615" xr:uid="{00000000-0005-0000-0000-0000F7000000}"/>
    <cellStyle name="20% - Accent1 2 2 2 6" xfId="13271" xr:uid="{00000000-0005-0000-0000-0000F8000000}"/>
    <cellStyle name="20% - Accent1 2 2 2 6 2" xfId="23834" xr:uid="{00000000-0005-0000-0000-0000F9000000}"/>
    <cellStyle name="20% - Accent1 2 2 2 7" xfId="17171" xr:uid="{00000000-0005-0000-0000-0000FA000000}"/>
    <cellStyle name="20% - Accent1 2 2 3" xfId="123" xr:uid="{00000000-0005-0000-0000-0000FB000000}"/>
    <cellStyle name="20% - Accent1 2 2 3 2" xfId="8091" xr:uid="{00000000-0005-0000-0000-0000FC000000}"/>
    <cellStyle name="20% - Accent1 2 2 3 2 2" xfId="10310" xr:uid="{00000000-0005-0000-0000-0000FD000000}"/>
    <cellStyle name="20% - Accent1 2 2 3 2 2 2" xfId="20873" xr:uid="{00000000-0005-0000-0000-0000FE000000}"/>
    <cellStyle name="20% - Accent1 2 2 3 2 3" xfId="12529" xr:uid="{00000000-0005-0000-0000-0000FF000000}"/>
    <cellStyle name="20% - Accent1 2 2 3 2 3 2" xfId="23092" xr:uid="{00000000-0005-0000-0000-000000010000}"/>
    <cellStyle name="20% - Accent1 2 2 3 2 4" xfId="14748" xr:uid="{00000000-0005-0000-0000-000001010000}"/>
    <cellStyle name="20% - Accent1 2 2 3 2 4 2" xfId="25311" xr:uid="{00000000-0005-0000-0000-000002010000}"/>
    <cellStyle name="20% - Accent1 2 2 3 2 5" xfId="18654" xr:uid="{00000000-0005-0000-0000-000003010000}"/>
    <cellStyle name="20% - Accent1 2 2 3 3" xfId="7358" xr:uid="{00000000-0005-0000-0000-000004010000}"/>
    <cellStyle name="20% - Accent1 2 2 3 3 2" xfId="9577" xr:uid="{00000000-0005-0000-0000-000005010000}"/>
    <cellStyle name="20% - Accent1 2 2 3 3 2 2" xfId="20140" xr:uid="{00000000-0005-0000-0000-000006010000}"/>
    <cellStyle name="20% - Accent1 2 2 3 3 3" xfId="11796" xr:uid="{00000000-0005-0000-0000-000007010000}"/>
    <cellStyle name="20% - Accent1 2 2 3 3 3 2" xfId="22359" xr:uid="{00000000-0005-0000-0000-000008010000}"/>
    <cellStyle name="20% - Accent1 2 2 3 3 4" xfId="14015" xr:uid="{00000000-0005-0000-0000-000009010000}"/>
    <cellStyle name="20% - Accent1 2 2 3 3 4 2" xfId="24578" xr:uid="{00000000-0005-0000-0000-00000A010000}"/>
    <cellStyle name="20% - Accent1 2 2 3 3 5" xfId="17921" xr:uid="{00000000-0005-0000-0000-00000B010000}"/>
    <cellStyle name="20% - Accent1 2 2 3 4" xfId="8834" xr:uid="{00000000-0005-0000-0000-00000C010000}"/>
    <cellStyle name="20% - Accent1 2 2 3 4 2" xfId="19397" xr:uid="{00000000-0005-0000-0000-00000D010000}"/>
    <cellStyle name="20% - Accent1 2 2 3 5" xfId="11053" xr:uid="{00000000-0005-0000-0000-00000E010000}"/>
    <cellStyle name="20% - Accent1 2 2 3 5 2" xfId="21616" xr:uid="{00000000-0005-0000-0000-00000F010000}"/>
    <cellStyle name="20% - Accent1 2 2 3 6" xfId="13272" xr:uid="{00000000-0005-0000-0000-000010010000}"/>
    <cellStyle name="20% - Accent1 2 2 3 6 2" xfId="23835" xr:uid="{00000000-0005-0000-0000-000011010000}"/>
    <cellStyle name="20% - Accent1 2 2 3 7" xfId="17172" xr:uid="{00000000-0005-0000-0000-000012010000}"/>
    <cellStyle name="20% - Accent1 2 2 4" xfId="124" xr:uid="{00000000-0005-0000-0000-000013010000}"/>
    <cellStyle name="20% - Accent1 2 2 4 2" xfId="8092" xr:uid="{00000000-0005-0000-0000-000014010000}"/>
    <cellStyle name="20% - Accent1 2 2 4 2 2" xfId="10311" xr:uid="{00000000-0005-0000-0000-000015010000}"/>
    <cellStyle name="20% - Accent1 2 2 4 2 2 2" xfId="20874" xr:uid="{00000000-0005-0000-0000-000016010000}"/>
    <cellStyle name="20% - Accent1 2 2 4 2 3" xfId="12530" xr:uid="{00000000-0005-0000-0000-000017010000}"/>
    <cellStyle name="20% - Accent1 2 2 4 2 3 2" xfId="23093" xr:uid="{00000000-0005-0000-0000-000018010000}"/>
    <cellStyle name="20% - Accent1 2 2 4 2 4" xfId="14749" xr:uid="{00000000-0005-0000-0000-000019010000}"/>
    <cellStyle name="20% - Accent1 2 2 4 2 4 2" xfId="25312" xr:uid="{00000000-0005-0000-0000-00001A010000}"/>
    <cellStyle name="20% - Accent1 2 2 4 2 5" xfId="18655" xr:uid="{00000000-0005-0000-0000-00001B010000}"/>
    <cellStyle name="20% - Accent1 2 2 4 3" xfId="7359" xr:uid="{00000000-0005-0000-0000-00001C010000}"/>
    <cellStyle name="20% - Accent1 2 2 4 3 2" xfId="9578" xr:uid="{00000000-0005-0000-0000-00001D010000}"/>
    <cellStyle name="20% - Accent1 2 2 4 3 2 2" xfId="20141" xr:uid="{00000000-0005-0000-0000-00001E010000}"/>
    <cellStyle name="20% - Accent1 2 2 4 3 3" xfId="11797" xr:uid="{00000000-0005-0000-0000-00001F010000}"/>
    <cellStyle name="20% - Accent1 2 2 4 3 3 2" xfId="22360" xr:uid="{00000000-0005-0000-0000-000020010000}"/>
    <cellStyle name="20% - Accent1 2 2 4 3 4" xfId="14016" xr:uid="{00000000-0005-0000-0000-000021010000}"/>
    <cellStyle name="20% - Accent1 2 2 4 3 4 2" xfId="24579" xr:uid="{00000000-0005-0000-0000-000022010000}"/>
    <cellStyle name="20% - Accent1 2 2 4 3 5" xfId="17922" xr:uid="{00000000-0005-0000-0000-000023010000}"/>
    <cellStyle name="20% - Accent1 2 2 4 4" xfId="8835" xr:uid="{00000000-0005-0000-0000-000024010000}"/>
    <cellStyle name="20% - Accent1 2 2 4 4 2" xfId="19398" xr:uid="{00000000-0005-0000-0000-000025010000}"/>
    <cellStyle name="20% - Accent1 2 2 4 5" xfId="11054" xr:uid="{00000000-0005-0000-0000-000026010000}"/>
    <cellStyle name="20% - Accent1 2 2 4 5 2" xfId="21617" xr:uid="{00000000-0005-0000-0000-000027010000}"/>
    <cellStyle name="20% - Accent1 2 2 4 6" xfId="13273" xr:uid="{00000000-0005-0000-0000-000028010000}"/>
    <cellStyle name="20% - Accent1 2 2 4 6 2" xfId="23836" xr:uid="{00000000-0005-0000-0000-000029010000}"/>
    <cellStyle name="20% - Accent1 2 2 4 7" xfId="17173" xr:uid="{00000000-0005-0000-0000-00002A010000}"/>
    <cellStyle name="20% - Accent1 2 2 5" xfId="125" xr:uid="{00000000-0005-0000-0000-00002B010000}"/>
    <cellStyle name="20% - Accent1 2 2 5 2" xfId="8093" xr:uid="{00000000-0005-0000-0000-00002C010000}"/>
    <cellStyle name="20% - Accent1 2 2 5 2 2" xfId="10312" xr:uid="{00000000-0005-0000-0000-00002D010000}"/>
    <cellStyle name="20% - Accent1 2 2 5 2 2 2" xfId="20875" xr:uid="{00000000-0005-0000-0000-00002E010000}"/>
    <cellStyle name="20% - Accent1 2 2 5 2 3" xfId="12531" xr:uid="{00000000-0005-0000-0000-00002F010000}"/>
    <cellStyle name="20% - Accent1 2 2 5 2 3 2" xfId="23094" xr:uid="{00000000-0005-0000-0000-000030010000}"/>
    <cellStyle name="20% - Accent1 2 2 5 2 4" xfId="14750" xr:uid="{00000000-0005-0000-0000-000031010000}"/>
    <cellStyle name="20% - Accent1 2 2 5 2 4 2" xfId="25313" xr:uid="{00000000-0005-0000-0000-000032010000}"/>
    <cellStyle name="20% - Accent1 2 2 5 2 5" xfId="18656" xr:uid="{00000000-0005-0000-0000-000033010000}"/>
    <cellStyle name="20% - Accent1 2 2 5 3" xfId="7360" xr:uid="{00000000-0005-0000-0000-000034010000}"/>
    <cellStyle name="20% - Accent1 2 2 5 3 2" xfId="9579" xr:uid="{00000000-0005-0000-0000-000035010000}"/>
    <cellStyle name="20% - Accent1 2 2 5 3 2 2" xfId="20142" xr:uid="{00000000-0005-0000-0000-000036010000}"/>
    <cellStyle name="20% - Accent1 2 2 5 3 3" xfId="11798" xr:uid="{00000000-0005-0000-0000-000037010000}"/>
    <cellStyle name="20% - Accent1 2 2 5 3 3 2" xfId="22361" xr:uid="{00000000-0005-0000-0000-000038010000}"/>
    <cellStyle name="20% - Accent1 2 2 5 3 4" xfId="14017" xr:uid="{00000000-0005-0000-0000-000039010000}"/>
    <cellStyle name="20% - Accent1 2 2 5 3 4 2" xfId="24580" xr:uid="{00000000-0005-0000-0000-00003A010000}"/>
    <cellStyle name="20% - Accent1 2 2 5 3 5" xfId="17923" xr:uid="{00000000-0005-0000-0000-00003B010000}"/>
    <cellStyle name="20% - Accent1 2 2 5 4" xfId="8836" xr:uid="{00000000-0005-0000-0000-00003C010000}"/>
    <cellStyle name="20% - Accent1 2 2 5 4 2" xfId="19399" xr:uid="{00000000-0005-0000-0000-00003D010000}"/>
    <cellStyle name="20% - Accent1 2 2 5 5" xfId="11055" xr:uid="{00000000-0005-0000-0000-00003E010000}"/>
    <cellStyle name="20% - Accent1 2 2 5 5 2" xfId="21618" xr:uid="{00000000-0005-0000-0000-00003F010000}"/>
    <cellStyle name="20% - Accent1 2 2 5 6" xfId="13274" xr:uid="{00000000-0005-0000-0000-000040010000}"/>
    <cellStyle name="20% - Accent1 2 2 5 6 2" xfId="23837" xr:uid="{00000000-0005-0000-0000-000041010000}"/>
    <cellStyle name="20% - Accent1 2 2 5 7" xfId="17174" xr:uid="{00000000-0005-0000-0000-000042010000}"/>
    <cellStyle name="20% - Accent1 2 2 6" xfId="126" xr:uid="{00000000-0005-0000-0000-000043010000}"/>
    <cellStyle name="20% - Accent1 2 2 6 2" xfId="8094" xr:uid="{00000000-0005-0000-0000-000044010000}"/>
    <cellStyle name="20% - Accent1 2 2 6 2 2" xfId="10313" xr:uid="{00000000-0005-0000-0000-000045010000}"/>
    <cellStyle name="20% - Accent1 2 2 6 2 2 2" xfId="20876" xr:uid="{00000000-0005-0000-0000-000046010000}"/>
    <cellStyle name="20% - Accent1 2 2 6 2 3" xfId="12532" xr:uid="{00000000-0005-0000-0000-000047010000}"/>
    <cellStyle name="20% - Accent1 2 2 6 2 3 2" xfId="23095" xr:uid="{00000000-0005-0000-0000-000048010000}"/>
    <cellStyle name="20% - Accent1 2 2 6 2 4" xfId="14751" xr:uid="{00000000-0005-0000-0000-000049010000}"/>
    <cellStyle name="20% - Accent1 2 2 6 2 4 2" xfId="25314" xr:uid="{00000000-0005-0000-0000-00004A010000}"/>
    <cellStyle name="20% - Accent1 2 2 6 2 5" xfId="18657" xr:uid="{00000000-0005-0000-0000-00004B010000}"/>
    <cellStyle name="20% - Accent1 2 2 6 3" xfId="7361" xr:uid="{00000000-0005-0000-0000-00004C010000}"/>
    <cellStyle name="20% - Accent1 2 2 6 3 2" xfId="9580" xr:uid="{00000000-0005-0000-0000-00004D010000}"/>
    <cellStyle name="20% - Accent1 2 2 6 3 2 2" xfId="20143" xr:uid="{00000000-0005-0000-0000-00004E010000}"/>
    <cellStyle name="20% - Accent1 2 2 6 3 3" xfId="11799" xr:uid="{00000000-0005-0000-0000-00004F010000}"/>
    <cellStyle name="20% - Accent1 2 2 6 3 3 2" xfId="22362" xr:uid="{00000000-0005-0000-0000-000050010000}"/>
    <cellStyle name="20% - Accent1 2 2 6 3 4" xfId="14018" xr:uid="{00000000-0005-0000-0000-000051010000}"/>
    <cellStyle name="20% - Accent1 2 2 6 3 4 2" xfId="24581" xr:uid="{00000000-0005-0000-0000-000052010000}"/>
    <cellStyle name="20% - Accent1 2 2 6 3 5" xfId="17924" xr:uid="{00000000-0005-0000-0000-000053010000}"/>
    <cellStyle name="20% - Accent1 2 2 6 4" xfId="8837" xr:uid="{00000000-0005-0000-0000-000054010000}"/>
    <cellStyle name="20% - Accent1 2 2 6 4 2" xfId="19400" xr:uid="{00000000-0005-0000-0000-000055010000}"/>
    <cellStyle name="20% - Accent1 2 2 6 5" xfId="11056" xr:uid="{00000000-0005-0000-0000-000056010000}"/>
    <cellStyle name="20% - Accent1 2 2 6 5 2" xfId="21619" xr:uid="{00000000-0005-0000-0000-000057010000}"/>
    <cellStyle name="20% - Accent1 2 2 6 6" xfId="13275" xr:uid="{00000000-0005-0000-0000-000058010000}"/>
    <cellStyle name="20% - Accent1 2 2 6 6 2" xfId="23838" xr:uid="{00000000-0005-0000-0000-000059010000}"/>
    <cellStyle name="20% - Accent1 2 2 6 7" xfId="17175" xr:uid="{00000000-0005-0000-0000-00005A010000}"/>
    <cellStyle name="20% - Accent1 2 2 7" xfId="127" xr:uid="{00000000-0005-0000-0000-00005B010000}"/>
    <cellStyle name="20% - Accent1 2 2 7 2" xfId="8095" xr:uid="{00000000-0005-0000-0000-00005C010000}"/>
    <cellStyle name="20% - Accent1 2 2 7 2 2" xfId="10314" xr:uid="{00000000-0005-0000-0000-00005D010000}"/>
    <cellStyle name="20% - Accent1 2 2 7 2 2 2" xfId="20877" xr:uid="{00000000-0005-0000-0000-00005E010000}"/>
    <cellStyle name="20% - Accent1 2 2 7 2 3" xfId="12533" xr:uid="{00000000-0005-0000-0000-00005F010000}"/>
    <cellStyle name="20% - Accent1 2 2 7 2 3 2" xfId="23096" xr:uid="{00000000-0005-0000-0000-000060010000}"/>
    <cellStyle name="20% - Accent1 2 2 7 2 4" xfId="14752" xr:uid="{00000000-0005-0000-0000-000061010000}"/>
    <cellStyle name="20% - Accent1 2 2 7 2 4 2" xfId="25315" xr:uid="{00000000-0005-0000-0000-000062010000}"/>
    <cellStyle name="20% - Accent1 2 2 7 2 5" xfId="18658" xr:uid="{00000000-0005-0000-0000-000063010000}"/>
    <cellStyle name="20% - Accent1 2 2 7 3" xfId="7362" xr:uid="{00000000-0005-0000-0000-000064010000}"/>
    <cellStyle name="20% - Accent1 2 2 7 3 2" xfId="9581" xr:uid="{00000000-0005-0000-0000-000065010000}"/>
    <cellStyle name="20% - Accent1 2 2 7 3 2 2" xfId="20144" xr:uid="{00000000-0005-0000-0000-000066010000}"/>
    <cellStyle name="20% - Accent1 2 2 7 3 3" xfId="11800" xr:uid="{00000000-0005-0000-0000-000067010000}"/>
    <cellStyle name="20% - Accent1 2 2 7 3 3 2" xfId="22363" xr:uid="{00000000-0005-0000-0000-000068010000}"/>
    <cellStyle name="20% - Accent1 2 2 7 3 4" xfId="14019" xr:uid="{00000000-0005-0000-0000-000069010000}"/>
    <cellStyle name="20% - Accent1 2 2 7 3 4 2" xfId="24582" xr:uid="{00000000-0005-0000-0000-00006A010000}"/>
    <cellStyle name="20% - Accent1 2 2 7 3 5" xfId="17925" xr:uid="{00000000-0005-0000-0000-00006B010000}"/>
    <cellStyle name="20% - Accent1 2 2 7 4" xfId="8838" xr:uid="{00000000-0005-0000-0000-00006C010000}"/>
    <cellStyle name="20% - Accent1 2 2 7 4 2" xfId="19401" xr:uid="{00000000-0005-0000-0000-00006D010000}"/>
    <cellStyle name="20% - Accent1 2 2 7 5" xfId="11057" xr:uid="{00000000-0005-0000-0000-00006E010000}"/>
    <cellStyle name="20% - Accent1 2 2 7 5 2" xfId="21620" xr:uid="{00000000-0005-0000-0000-00006F010000}"/>
    <cellStyle name="20% - Accent1 2 2 7 6" xfId="13276" xr:uid="{00000000-0005-0000-0000-000070010000}"/>
    <cellStyle name="20% - Accent1 2 2 7 6 2" xfId="23839" xr:uid="{00000000-0005-0000-0000-000071010000}"/>
    <cellStyle name="20% - Accent1 2 2 7 7" xfId="17176" xr:uid="{00000000-0005-0000-0000-000072010000}"/>
    <cellStyle name="20% - Accent1 2 2 8" xfId="128" xr:uid="{00000000-0005-0000-0000-000073010000}"/>
    <cellStyle name="20% - Accent1 2 2 8 2" xfId="8096" xr:uid="{00000000-0005-0000-0000-000074010000}"/>
    <cellStyle name="20% - Accent1 2 2 8 2 2" xfId="10315" xr:uid="{00000000-0005-0000-0000-000075010000}"/>
    <cellStyle name="20% - Accent1 2 2 8 2 2 2" xfId="20878" xr:uid="{00000000-0005-0000-0000-000076010000}"/>
    <cellStyle name="20% - Accent1 2 2 8 2 3" xfId="12534" xr:uid="{00000000-0005-0000-0000-000077010000}"/>
    <cellStyle name="20% - Accent1 2 2 8 2 3 2" xfId="23097" xr:uid="{00000000-0005-0000-0000-000078010000}"/>
    <cellStyle name="20% - Accent1 2 2 8 2 4" xfId="14753" xr:uid="{00000000-0005-0000-0000-000079010000}"/>
    <cellStyle name="20% - Accent1 2 2 8 2 4 2" xfId="25316" xr:uid="{00000000-0005-0000-0000-00007A010000}"/>
    <cellStyle name="20% - Accent1 2 2 8 2 5" xfId="18659" xr:uid="{00000000-0005-0000-0000-00007B010000}"/>
    <cellStyle name="20% - Accent1 2 2 8 3" xfId="7363" xr:uid="{00000000-0005-0000-0000-00007C010000}"/>
    <cellStyle name="20% - Accent1 2 2 8 3 2" xfId="9582" xr:uid="{00000000-0005-0000-0000-00007D010000}"/>
    <cellStyle name="20% - Accent1 2 2 8 3 2 2" xfId="20145" xr:uid="{00000000-0005-0000-0000-00007E010000}"/>
    <cellStyle name="20% - Accent1 2 2 8 3 3" xfId="11801" xr:uid="{00000000-0005-0000-0000-00007F010000}"/>
    <cellStyle name="20% - Accent1 2 2 8 3 3 2" xfId="22364" xr:uid="{00000000-0005-0000-0000-000080010000}"/>
    <cellStyle name="20% - Accent1 2 2 8 3 4" xfId="14020" xr:uid="{00000000-0005-0000-0000-000081010000}"/>
    <cellStyle name="20% - Accent1 2 2 8 3 4 2" xfId="24583" xr:uid="{00000000-0005-0000-0000-000082010000}"/>
    <cellStyle name="20% - Accent1 2 2 8 3 5" xfId="17926" xr:uid="{00000000-0005-0000-0000-000083010000}"/>
    <cellStyle name="20% - Accent1 2 2 8 4" xfId="8839" xr:uid="{00000000-0005-0000-0000-000084010000}"/>
    <cellStyle name="20% - Accent1 2 2 8 4 2" xfId="19402" xr:uid="{00000000-0005-0000-0000-000085010000}"/>
    <cellStyle name="20% - Accent1 2 2 8 5" xfId="11058" xr:uid="{00000000-0005-0000-0000-000086010000}"/>
    <cellStyle name="20% - Accent1 2 2 8 5 2" xfId="21621" xr:uid="{00000000-0005-0000-0000-000087010000}"/>
    <cellStyle name="20% - Accent1 2 2 8 6" xfId="13277" xr:uid="{00000000-0005-0000-0000-000088010000}"/>
    <cellStyle name="20% - Accent1 2 2 8 6 2" xfId="23840" xr:uid="{00000000-0005-0000-0000-000089010000}"/>
    <cellStyle name="20% - Accent1 2 2 8 7" xfId="17177" xr:uid="{00000000-0005-0000-0000-00008A010000}"/>
    <cellStyle name="20% - Accent1 2 2 9" xfId="129" xr:uid="{00000000-0005-0000-0000-00008B010000}"/>
    <cellStyle name="20% - Accent1 2 2 9 2" xfId="8097" xr:uid="{00000000-0005-0000-0000-00008C010000}"/>
    <cellStyle name="20% - Accent1 2 2 9 2 2" xfId="10316" xr:uid="{00000000-0005-0000-0000-00008D010000}"/>
    <cellStyle name="20% - Accent1 2 2 9 2 2 2" xfId="20879" xr:uid="{00000000-0005-0000-0000-00008E010000}"/>
    <cellStyle name="20% - Accent1 2 2 9 2 3" xfId="12535" xr:uid="{00000000-0005-0000-0000-00008F010000}"/>
    <cellStyle name="20% - Accent1 2 2 9 2 3 2" xfId="23098" xr:uid="{00000000-0005-0000-0000-000090010000}"/>
    <cellStyle name="20% - Accent1 2 2 9 2 4" xfId="14754" xr:uid="{00000000-0005-0000-0000-000091010000}"/>
    <cellStyle name="20% - Accent1 2 2 9 2 4 2" xfId="25317" xr:uid="{00000000-0005-0000-0000-000092010000}"/>
    <cellStyle name="20% - Accent1 2 2 9 2 5" xfId="18660" xr:uid="{00000000-0005-0000-0000-000093010000}"/>
    <cellStyle name="20% - Accent1 2 2 9 3" xfId="7364" xr:uid="{00000000-0005-0000-0000-000094010000}"/>
    <cellStyle name="20% - Accent1 2 2 9 3 2" xfId="9583" xr:uid="{00000000-0005-0000-0000-000095010000}"/>
    <cellStyle name="20% - Accent1 2 2 9 3 2 2" xfId="20146" xr:uid="{00000000-0005-0000-0000-000096010000}"/>
    <cellStyle name="20% - Accent1 2 2 9 3 3" xfId="11802" xr:uid="{00000000-0005-0000-0000-000097010000}"/>
    <cellStyle name="20% - Accent1 2 2 9 3 3 2" xfId="22365" xr:uid="{00000000-0005-0000-0000-000098010000}"/>
    <cellStyle name="20% - Accent1 2 2 9 3 4" xfId="14021" xr:uid="{00000000-0005-0000-0000-000099010000}"/>
    <cellStyle name="20% - Accent1 2 2 9 3 4 2" xfId="24584" xr:uid="{00000000-0005-0000-0000-00009A010000}"/>
    <cellStyle name="20% - Accent1 2 2 9 3 5" xfId="17927" xr:uid="{00000000-0005-0000-0000-00009B010000}"/>
    <cellStyle name="20% - Accent1 2 2 9 4" xfId="8840" xr:uid="{00000000-0005-0000-0000-00009C010000}"/>
    <cellStyle name="20% - Accent1 2 2 9 4 2" xfId="19403" xr:uid="{00000000-0005-0000-0000-00009D010000}"/>
    <cellStyle name="20% - Accent1 2 2 9 5" xfId="11059" xr:uid="{00000000-0005-0000-0000-00009E010000}"/>
    <cellStyle name="20% - Accent1 2 2 9 5 2" xfId="21622" xr:uid="{00000000-0005-0000-0000-00009F010000}"/>
    <cellStyle name="20% - Accent1 2 2 9 6" xfId="13278" xr:uid="{00000000-0005-0000-0000-0000A0010000}"/>
    <cellStyle name="20% - Accent1 2 2 9 6 2" xfId="23841" xr:uid="{00000000-0005-0000-0000-0000A1010000}"/>
    <cellStyle name="20% - Accent1 2 2 9 7" xfId="17178" xr:uid="{00000000-0005-0000-0000-0000A2010000}"/>
    <cellStyle name="20% - Accent1 2 3" xfId="130" xr:uid="{00000000-0005-0000-0000-0000A3010000}"/>
    <cellStyle name="20% - Accent1 2 3 10" xfId="8098" xr:uid="{00000000-0005-0000-0000-0000A4010000}"/>
    <cellStyle name="20% - Accent1 2 3 10 2" xfId="10317" xr:uid="{00000000-0005-0000-0000-0000A5010000}"/>
    <cellStyle name="20% - Accent1 2 3 10 2 2" xfId="20880" xr:uid="{00000000-0005-0000-0000-0000A6010000}"/>
    <cellStyle name="20% - Accent1 2 3 10 3" xfId="12536" xr:uid="{00000000-0005-0000-0000-0000A7010000}"/>
    <cellStyle name="20% - Accent1 2 3 10 3 2" xfId="23099" xr:uid="{00000000-0005-0000-0000-0000A8010000}"/>
    <cellStyle name="20% - Accent1 2 3 10 4" xfId="14755" xr:uid="{00000000-0005-0000-0000-0000A9010000}"/>
    <cellStyle name="20% - Accent1 2 3 10 4 2" xfId="25318" xr:uid="{00000000-0005-0000-0000-0000AA010000}"/>
    <cellStyle name="20% - Accent1 2 3 10 5" xfId="18661" xr:uid="{00000000-0005-0000-0000-0000AB010000}"/>
    <cellStyle name="20% - Accent1 2 3 11" xfId="7365" xr:uid="{00000000-0005-0000-0000-0000AC010000}"/>
    <cellStyle name="20% - Accent1 2 3 11 2" xfId="9584" xr:uid="{00000000-0005-0000-0000-0000AD010000}"/>
    <cellStyle name="20% - Accent1 2 3 11 2 2" xfId="20147" xr:uid="{00000000-0005-0000-0000-0000AE010000}"/>
    <cellStyle name="20% - Accent1 2 3 11 3" xfId="11803" xr:uid="{00000000-0005-0000-0000-0000AF010000}"/>
    <cellStyle name="20% - Accent1 2 3 11 3 2" xfId="22366" xr:uid="{00000000-0005-0000-0000-0000B0010000}"/>
    <cellStyle name="20% - Accent1 2 3 11 4" xfId="14022" xr:uid="{00000000-0005-0000-0000-0000B1010000}"/>
    <cellStyle name="20% - Accent1 2 3 11 4 2" xfId="24585" xr:uid="{00000000-0005-0000-0000-0000B2010000}"/>
    <cellStyle name="20% - Accent1 2 3 11 5" xfId="17928" xr:uid="{00000000-0005-0000-0000-0000B3010000}"/>
    <cellStyle name="20% - Accent1 2 3 12" xfId="8841" xr:uid="{00000000-0005-0000-0000-0000B4010000}"/>
    <cellStyle name="20% - Accent1 2 3 12 2" xfId="19404" xr:uid="{00000000-0005-0000-0000-0000B5010000}"/>
    <cellStyle name="20% - Accent1 2 3 13" xfId="11060" xr:uid="{00000000-0005-0000-0000-0000B6010000}"/>
    <cellStyle name="20% - Accent1 2 3 13 2" xfId="21623" xr:uid="{00000000-0005-0000-0000-0000B7010000}"/>
    <cellStyle name="20% - Accent1 2 3 14" xfId="13279" xr:uid="{00000000-0005-0000-0000-0000B8010000}"/>
    <cellStyle name="20% - Accent1 2 3 14 2" xfId="23842" xr:uid="{00000000-0005-0000-0000-0000B9010000}"/>
    <cellStyle name="20% - Accent1 2 3 15" xfId="17179" xr:uid="{00000000-0005-0000-0000-0000BA010000}"/>
    <cellStyle name="20% - Accent1 2 3 2" xfId="131" xr:uid="{00000000-0005-0000-0000-0000BB010000}"/>
    <cellStyle name="20% - Accent1 2 3 2 2" xfId="8099" xr:uid="{00000000-0005-0000-0000-0000BC010000}"/>
    <cellStyle name="20% - Accent1 2 3 2 2 2" xfId="10318" xr:uid="{00000000-0005-0000-0000-0000BD010000}"/>
    <cellStyle name="20% - Accent1 2 3 2 2 2 2" xfId="20881" xr:uid="{00000000-0005-0000-0000-0000BE010000}"/>
    <cellStyle name="20% - Accent1 2 3 2 2 3" xfId="12537" xr:uid="{00000000-0005-0000-0000-0000BF010000}"/>
    <cellStyle name="20% - Accent1 2 3 2 2 3 2" xfId="23100" xr:uid="{00000000-0005-0000-0000-0000C0010000}"/>
    <cellStyle name="20% - Accent1 2 3 2 2 4" xfId="14756" xr:uid="{00000000-0005-0000-0000-0000C1010000}"/>
    <cellStyle name="20% - Accent1 2 3 2 2 4 2" xfId="25319" xr:uid="{00000000-0005-0000-0000-0000C2010000}"/>
    <cellStyle name="20% - Accent1 2 3 2 2 5" xfId="18662" xr:uid="{00000000-0005-0000-0000-0000C3010000}"/>
    <cellStyle name="20% - Accent1 2 3 2 3" xfId="7366" xr:uid="{00000000-0005-0000-0000-0000C4010000}"/>
    <cellStyle name="20% - Accent1 2 3 2 3 2" xfId="9585" xr:uid="{00000000-0005-0000-0000-0000C5010000}"/>
    <cellStyle name="20% - Accent1 2 3 2 3 2 2" xfId="20148" xr:uid="{00000000-0005-0000-0000-0000C6010000}"/>
    <cellStyle name="20% - Accent1 2 3 2 3 3" xfId="11804" xr:uid="{00000000-0005-0000-0000-0000C7010000}"/>
    <cellStyle name="20% - Accent1 2 3 2 3 3 2" xfId="22367" xr:uid="{00000000-0005-0000-0000-0000C8010000}"/>
    <cellStyle name="20% - Accent1 2 3 2 3 4" xfId="14023" xr:uid="{00000000-0005-0000-0000-0000C9010000}"/>
    <cellStyle name="20% - Accent1 2 3 2 3 4 2" xfId="24586" xr:uid="{00000000-0005-0000-0000-0000CA010000}"/>
    <cellStyle name="20% - Accent1 2 3 2 3 5" xfId="17929" xr:uid="{00000000-0005-0000-0000-0000CB010000}"/>
    <cellStyle name="20% - Accent1 2 3 2 4" xfId="8842" xr:uid="{00000000-0005-0000-0000-0000CC010000}"/>
    <cellStyle name="20% - Accent1 2 3 2 4 2" xfId="19405" xr:uid="{00000000-0005-0000-0000-0000CD010000}"/>
    <cellStyle name="20% - Accent1 2 3 2 5" xfId="11061" xr:uid="{00000000-0005-0000-0000-0000CE010000}"/>
    <cellStyle name="20% - Accent1 2 3 2 5 2" xfId="21624" xr:uid="{00000000-0005-0000-0000-0000CF010000}"/>
    <cellStyle name="20% - Accent1 2 3 2 6" xfId="13280" xr:uid="{00000000-0005-0000-0000-0000D0010000}"/>
    <cellStyle name="20% - Accent1 2 3 2 6 2" xfId="23843" xr:uid="{00000000-0005-0000-0000-0000D1010000}"/>
    <cellStyle name="20% - Accent1 2 3 2 7" xfId="17180" xr:uid="{00000000-0005-0000-0000-0000D2010000}"/>
    <cellStyle name="20% - Accent1 2 3 3" xfId="132" xr:uid="{00000000-0005-0000-0000-0000D3010000}"/>
    <cellStyle name="20% - Accent1 2 3 3 2" xfId="8100" xr:uid="{00000000-0005-0000-0000-0000D4010000}"/>
    <cellStyle name="20% - Accent1 2 3 3 2 2" xfId="10319" xr:uid="{00000000-0005-0000-0000-0000D5010000}"/>
    <cellStyle name="20% - Accent1 2 3 3 2 2 2" xfId="20882" xr:uid="{00000000-0005-0000-0000-0000D6010000}"/>
    <cellStyle name="20% - Accent1 2 3 3 2 3" xfId="12538" xr:uid="{00000000-0005-0000-0000-0000D7010000}"/>
    <cellStyle name="20% - Accent1 2 3 3 2 3 2" xfId="23101" xr:uid="{00000000-0005-0000-0000-0000D8010000}"/>
    <cellStyle name="20% - Accent1 2 3 3 2 4" xfId="14757" xr:uid="{00000000-0005-0000-0000-0000D9010000}"/>
    <cellStyle name="20% - Accent1 2 3 3 2 4 2" xfId="25320" xr:uid="{00000000-0005-0000-0000-0000DA010000}"/>
    <cellStyle name="20% - Accent1 2 3 3 2 5" xfId="18663" xr:uid="{00000000-0005-0000-0000-0000DB010000}"/>
    <cellStyle name="20% - Accent1 2 3 3 3" xfId="7367" xr:uid="{00000000-0005-0000-0000-0000DC010000}"/>
    <cellStyle name="20% - Accent1 2 3 3 3 2" xfId="9586" xr:uid="{00000000-0005-0000-0000-0000DD010000}"/>
    <cellStyle name="20% - Accent1 2 3 3 3 2 2" xfId="20149" xr:uid="{00000000-0005-0000-0000-0000DE010000}"/>
    <cellStyle name="20% - Accent1 2 3 3 3 3" xfId="11805" xr:uid="{00000000-0005-0000-0000-0000DF010000}"/>
    <cellStyle name="20% - Accent1 2 3 3 3 3 2" xfId="22368" xr:uid="{00000000-0005-0000-0000-0000E0010000}"/>
    <cellStyle name="20% - Accent1 2 3 3 3 4" xfId="14024" xr:uid="{00000000-0005-0000-0000-0000E1010000}"/>
    <cellStyle name="20% - Accent1 2 3 3 3 4 2" xfId="24587" xr:uid="{00000000-0005-0000-0000-0000E2010000}"/>
    <cellStyle name="20% - Accent1 2 3 3 3 5" xfId="17930" xr:uid="{00000000-0005-0000-0000-0000E3010000}"/>
    <cellStyle name="20% - Accent1 2 3 3 4" xfId="8843" xr:uid="{00000000-0005-0000-0000-0000E4010000}"/>
    <cellStyle name="20% - Accent1 2 3 3 4 2" xfId="19406" xr:uid="{00000000-0005-0000-0000-0000E5010000}"/>
    <cellStyle name="20% - Accent1 2 3 3 5" xfId="11062" xr:uid="{00000000-0005-0000-0000-0000E6010000}"/>
    <cellStyle name="20% - Accent1 2 3 3 5 2" xfId="21625" xr:uid="{00000000-0005-0000-0000-0000E7010000}"/>
    <cellStyle name="20% - Accent1 2 3 3 6" xfId="13281" xr:uid="{00000000-0005-0000-0000-0000E8010000}"/>
    <cellStyle name="20% - Accent1 2 3 3 6 2" xfId="23844" xr:uid="{00000000-0005-0000-0000-0000E9010000}"/>
    <cellStyle name="20% - Accent1 2 3 3 7" xfId="17181" xr:uid="{00000000-0005-0000-0000-0000EA010000}"/>
    <cellStyle name="20% - Accent1 2 3 4" xfId="133" xr:uid="{00000000-0005-0000-0000-0000EB010000}"/>
    <cellStyle name="20% - Accent1 2 3 4 2" xfId="8101" xr:uid="{00000000-0005-0000-0000-0000EC010000}"/>
    <cellStyle name="20% - Accent1 2 3 4 2 2" xfId="10320" xr:uid="{00000000-0005-0000-0000-0000ED010000}"/>
    <cellStyle name="20% - Accent1 2 3 4 2 2 2" xfId="20883" xr:uid="{00000000-0005-0000-0000-0000EE010000}"/>
    <cellStyle name="20% - Accent1 2 3 4 2 3" xfId="12539" xr:uid="{00000000-0005-0000-0000-0000EF010000}"/>
    <cellStyle name="20% - Accent1 2 3 4 2 3 2" xfId="23102" xr:uid="{00000000-0005-0000-0000-0000F0010000}"/>
    <cellStyle name="20% - Accent1 2 3 4 2 4" xfId="14758" xr:uid="{00000000-0005-0000-0000-0000F1010000}"/>
    <cellStyle name="20% - Accent1 2 3 4 2 4 2" xfId="25321" xr:uid="{00000000-0005-0000-0000-0000F2010000}"/>
    <cellStyle name="20% - Accent1 2 3 4 2 5" xfId="18664" xr:uid="{00000000-0005-0000-0000-0000F3010000}"/>
    <cellStyle name="20% - Accent1 2 3 4 3" xfId="7368" xr:uid="{00000000-0005-0000-0000-0000F4010000}"/>
    <cellStyle name="20% - Accent1 2 3 4 3 2" xfId="9587" xr:uid="{00000000-0005-0000-0000-0000F5010000}"/>
    <cellStyle name="20% - Accent1 2 3 4 3 2 2" xfId="20150" xr:uid="{00000000-0005-0000-0000-0000F6010000}"/>
    <cellStyle name="20% - Accent1 2 3 4 3 3" xfId="11806" xr:uid="{00000000-0005-0000-0000-0000F7010000}"/>
    <cellStyle name="20% - Accent1 2 3 4 3 3 2" xfId="22369" xr:uid="{00000000-0005-0000-0000-0000F8010000}"/>
    <cellStyle name="20% - Accent1 2 3 4 3 4" xfId="14025" xr:uid="{00000000-0005-0000-0000-0000F9010000}"/>
    <cellStyle name="20% - Accent1 2 3 4 3 4 2" xfId="24588" xr:uid="{00000000-0005-0000-0000-0000FA010000}"/>
    <cellStyle name="20% - Accent1 2 3 4 3 5" xfId="17931" xr:uid="{00000000-0005-0000-0000-0000FB010000}"/>
    <cellStyle name="20% - Accent1 2 3 4 4" xfId="8844" xr:uid="{00000000-0005-0000-0000-0000FC010000}"/>
    <cellStyle name="20% - Accent1 2 3 4 4 2" xfId="19407" xr:uid="{00000000-0005-0000-0000-0000FD010000}"/>
    <cellStyle name="20% - Accent1 2 3 4 5" xfId="11063" xr:uid="{00000000-0005-0000-0000-0000FE010000}"/>
    <cellStyle name="20% - Accent1 2 3 4 5 2" xfId="21626" xr:uid="{00000000-0005-0000-0000-0000FF010000}"/>
    <cellStyle name="20% - Accent1 2 3 4 6" xfId="13282" xr:uid="{00000000-0005-0000-0000-000000020000}"/>
    <cellStyle name="20% - Accent1 2 3 4 6 2" xfId="23845" xr:uid="{00000000-0005-0000-0000-000001020000}"/>
    <cellStyle name="20% - Accent1 2 3 4 7" xfId="17182" xr:uid="{00000000-0005-0000-0000-000002020000}"/>
    <cellStyle name="20% - Accent1 2 3 5" xfId="134" xr:uid="{00000000-0005-0000-0000-000003020000}"/>
    <cellStyle name="20% - Accent1 2 3 5 2" xfId="8102" xr:uid="{00000000-0005-0000-0000-000004020000}"/>
    <cellStyle name="20% - Accent1 2 3 5 2 2" xfId="10321" xr:uid="{00000000-0005-0000-0000-000005020000}"/>
    <cellStyle name="20% - Accent1 2 3 5 2 2 2" xfId="20884" xr:uid="{00000000-0005-0000-0000-000006020000}"/>
    <cellStyle name="20% - Accent1 2 3 5 2 3" xfId="12540" xr:uid="{00000000-0005-0000-0000-000007020000}"/>
    <cellStyle name="20% - Accent1 2 3 5 2 3 2" xfId="23103" xr:uid="{00000000-0005-0000-0000-000008020000}"/>
    <cellStyle name="20% - Accent1 2 3 5 2 4" xfId="14759" xr:uid="{00000000-0005-0000-0000-000009020000}"/>
    <cellStyle name="20% - Accent1 2 3 5 2 4 2" xfId="25322" xr:uid="{00000000-0005-0000-0000-00000A020000}"/>
    <cellStyle name="20% - Accent1 2 3 5 2 5" xfId="18665" xr:uid="{00000000-0005-0000-0000-00000B020000}"/>
    <cellStyle name="20% - Accent1 2 3 5 3" xfId="7369" xr:uid="{00000000-0005-0000-0000-00000C020000}"/>
    <cellStyle name="20% - Accent1 2 3 5 3 2" xfId="9588" xr:uid="{00000000-0005-0000-0000-00000D020000}"/>
    <cellStyle name="20% - Accent1 2 3 5 3 2 2" xfId="20151" xr:uid="{00000000-0005-0000-0000-00000E020000}"/>
    <cellStyle name="20% - Accent1 2 3 5 3 3" xfId="11807" xr:uid="{00000000-0005-0000-0000-00000F020000}"/>
    <cellStyle name="20% - Accent1 2 3 5 3 3 2" xfId="22370" xr:uid="{00000000-0005-0000-0000-000010020000}"/>
    <cellStyle name="20% - Accent1 2 3 5 3 4" xfId="14026" xr:uid="{00000000-0005-0000-0000-000011020000}"/>
    <cellStyle name="20% - Accent1 2 3 5 3 4 2" xfId="24589" xr:uid="{00000000-0005-0000-0000-000012020000}"/>
    <cellStyle name="20% - Accent1 2 3 5 3 5" xfId="17932" xr:uid="{00000000-0005-0000-0000-000013020000}"/>
    <cellStyle name="20% - Accent1 2 3 5 4" xfId="8845" xr:uid="{00000000-0005-0000-0000-000014020000}"/>
    <cellStyle name="20% - Accent1 2 3 5 4 2" xfId="19408" xr:uid="{00000000-0005-0000-0000-000015020000}"/>
    <cellStyle name="20% - Accent1 2 3 5 5" xfId="11064" xr:uid="{00000000-0005-0000-0000-000016020000}"/>
    <cellStyle name="20% - Accent1 2 3 5 5 2" xfId="21627" xr:uid="{00000000-0005-0000-0000-000017020000}"/>
    <cellStyle name="20% - Accent1 2 3 5 6" xfId="13283" xr:uid="{00000000-0005-0000-0000-000018020000}"/>
    <cellStyle name="20% - Accent1 2 3 5 6 2" xfId="23846" xr:uid="{00000000-0005-0000-0000-000019020000}"/>
    <cellStyle name="20% - Accent1 2 3 5 7" xfId="17183" xr:uid="{00000000-0005-0000-0000-00001A020000}"/>
    <cellStyle name="20% - Accent1 2 3 6" xfId="135" xr:uid="{00000000-0005-0000-0000-00001B020000}"/>
    <cellStyle name="20% - Accent1 2 3 6 2" xfId="8103" xr:uid="{00000000-0005-0000-0000-00001C020000}"/>
    <cellStyle name="20% - Accent1 2 3 6 2 2" xfId="10322" xr:uid="{00000000-0005-0000-0000-00001D020000}"/>
    <cellStyle name="20% - Accent1 2 3 6 2 2 2" xfId="20885" xr:uid="{00000000-0005-0000-0000-00001E020000}"/>
    <cellStyle name="20% - Accent1 2 3 6 2 3" xfId="12541" xr:uid="{00000000-0005-0000-0000-00001F020000}"/>
    <cellStyle name="20% - Accent1 2 3 6 2 3 2" xfId="23104" xr:uid="{00000000-0005-0000-0000-000020020000}"/>
    <cellStyle name="20% - Accent1 2 3 6 2 4" xfId="14760" xr:uid="{00000000-0005-0000-0000-000021020000}"/>
    <cellStyle name="20% - Accent1 2 3 6 2 4 2" xfId="25323" xr:uid="{00000000-0005-0000-0000-000022020000}"/>
    <cellStyle name="20% - Accent1 2 3 6 2 5" xfId="18666" xr:uid="{00000000-0005-0000-0000-000023020000}"/>
    <cellStyle name="20% - Accent1 2 3 6 3" xfId="7370" xr:uid="{00000000-0005-0000-0000-000024020000}"/>
    <cellStyle name="20% - Accent1 2 3 6 3 2" xfId="9589" xr:uid="{00000000-0005-0000-0000-000025020000}"/>
    <cellStyle name="20% - Accent1 2 3 6 3 2 2" xfId="20152" xr:uid="{00000000-0005-0000-0000-000026020000}"/>
    <cellStyle name="20% - Accent1 2 3 6 3 3" xfId="11808" xr:uid="{00000000-0005-0000-0000-000027020000}"/>
    <cellStyle name="20% - Accent1 2 3 6 3 3 2" xfId="22371" xr:uid="{00000000-0005-0000-0000-000028020000}"/>
    <cellStyle name="20% - Accent1 2 3 6 3 4" xfId="14027" xr:uid="{00000000-0005-0000-0000-000029020000}"/>
    <cellStyle name="20% - Accent1 2 3 6 3 4 2" xfId="24590" xr:uid="{00000000-0005-0000-0000-00002A020000}"/>
    <cellStyle name="20% - Accent1 2 3 6 3 5" xfId="17933" xr:uid="{00000000-0005-0000-0000-00002B020000}"/>
    <cellStyle name="20% - Accent1 2 3 6 4" xfId="8846" xr:uid="{00000000-0005-0000-0000-00002C020000}"/>
    <cellStyle name="20% - Accent1 2 3 6 4 2" xfId="19409" xr:uid="{00000000-0005-0000-0000-00002D020000}"/>
    <cellStyle name="20% - Accent1 2 3 6 5" xfId="11065" xr:uid="{00000000-0005-0000-0000-00002E020000}"/>
    <cellStyle name="20% - Accent1 2 3 6 5 2" xfId="21628" xr:uid="{00000000-0005-0000-0000-00002F020000}"/>
    <cellStyle name="20% - Accent1 2 3 6 6" xfId="13284" xr:uid="{00000000-0005-0000-0000-000030020000}"/>
    <cellStyle name="20% - Accent1 2 3 6 6 2" xfId="23847" xr:uid="{00000000-0005-0000-0000-000031020000}"/>
    <cellStyle name="20% - Accent1 2 3 6 7" xfId="17184" xr:uid="{00000000-0005-0000-0000-000032020000}"/>
    <cellStyle name="20% - Accent1 2 3 7" xfId="136" xr:uid="{00000000-0005-0000-0000-000033020000}"/>
    <cellStyle name="20% - Accent1 2 3 7 2" xfId="8104" xr:uid="{00000000-0005-0000-0000-000034020000}"/>
    <cellStyle name="20% - Accent1 2 3 7 2 2" xfId="10323" xr:uid="{00000000-0005-0000-0000-000035020000}"/>
    <cellStyle name="20% - Accent1 2 3 7 2 2 2" xfId="20886" xr:uid="{00000000-0005-0000-0000-000036020000}"/>
    <cellStyle name="20% - Accent1 2 3 7 2 3" xfId="12542" xr:uid="{00000000-0005-0000-0000-000037020000}"/>
    <cellStyle name="20% - Accent1 2 3 7 2 3 2" xfId="23105" xr:uid="{00000000-0005-0000-0000-000038020000}"/>
    <cellStyle name="20% - Accent1 2 3 7 2 4" xfId="14761" xr:uid="{00000000-0005-0000-0000-000039020000}"/>
    <cellStyle name="20% - Accent1 2 3 7 2 4 2" xfId="25324" xr:uid="{00000000-0005-0000-0000-00003A020000}"/>
    <cellStyle name="20% - Accent1 2 3 7 2 5" xfId="18667" xr:uid="{00000000-0005-0000-0000-00003B020000}"/>
    <cellStyle name="20% - Accent1 2 3 7 3" xfId="7371" xr:uid="{00000000-0005-0000-0000-00003C020000}"/>
    <cellStyle name="20% - Accent1 2 3 7 3 2" xfId="9590" xr:uid="{00000000-0005-0000-0000-00003D020000}"/>
    <cellStyle name="20% - Accent1 2 3 7 3 2 2" xfId="20153" xr:uid="{00000000-0005-0000-0000-00003E020000}"/>
    <cellStyle name="20% - Accent1 2 3 7 3 3" xfId="11809" xr:uid="{00000000-0005-0000-0000-00003F020000}"/>
    <cellStyle name="20% - Accent1 2 3 7 3 3 2" xfId="22372" xr:uid="{00000000-0005-0000-0000-000040020000}"/>
    <cellStyle name="20% - Accent1 2 3 7 3 4" xfId="14028" xr:uid="{00000000-0005-0000-0000-000041020000}"/>
    <cellStyle name="20% - Accent1 2 3 7 3 4 2" xfId="24591" xr:uid="{00000000-0005-0000-0000-000042020000}"/>
    <cellStyle name="20% - Accent1 2 3 7 3 5" xfId="17934" xr:uid="{00000000-0005-0000-0000-000043020000}"/>
    <cellStyle name="20% - Accent1 2 3 7 4" xfId="8847" xr:uid="{00000000-0005-0000-0000-000044020000}"/>
    <cellStyle name="20% - Accent1 2 3 7 4 2" xfId="19410" xr:uid="{00000000-0005-0000-0000-000045020000}"/>
    <cellStyle name="20% - Accent1 2 3 7 5" xfId="11066" xr:uid="{00000000-0005-0000-0000-000046020000}"/>
    <cellStyle name="20% - Accent1 2 3 7 5 2" xfId="21629" xr:uid="{00000000-0005-0000-0000-000047020000}"/>
    <cellStyle name="20% - Accent1 2 3 7 6" xfId="13285" xr:uid="{00000000-0005-0000-0000-000048020000}"/>
    <cellStyle name="20% - Accent1 2 3 7 6 2" xfId="23848" xr:uid="{00000000-0005-0000-0000-000049020000}"/>
    <cellStyle name="20% - Accent1 2 3 7 7" xfId="17185" xr:uid="{00000000-0005-0000-0000-00004A020000}"/>
    <cellStyle name="20% - Accent1 2 3 8" xfId="137" xr:uid="{00000000-0005-0000-0000-00004B020000}"/>
    <cellStyle name="20% - Accent1 2 3 8 2" xfId="8105" xr:uid="{00000000-0005-0000-0000-00004C020000}"/>
    <cellStyle name="20% - Accent1 2 3 8 2 2" xfId="10324" xr:uid="{00000000-0005-0000-0000-00004D020000}"/>
    <cellStyle name="20% - Accent1 2 3 8 2 2 2" xfId="20887" xr:uid="{00000000-0005-0000-0000-00004E020000}"/>
    <cellStyle name="20% - Accent1 2 3 8 2 3" xfId="12543" xr:uid="{00000000-0005-0000-0000-00004F020000}"/>
    <cellStyle name="20% - Accent1 2 3 8 2 3 2" xfId="23106" xr:uid="{00000000-0005-0000-0000-000050020000}"/>
    <cellStyle name="20% - Accent1 2 3 8 2 4" xfId="14762" xr:uid="{00000000-0005-0000-0000-000051020000}"/>
    <cellStyle name="20% - Accent1 2 3 8 2 4 2" xfId="25325" xr:uid="{00000000-0005-0000-0000-000052020000}"/>
    <cellStyle name="20% - Accent1 2 3 8 2 5" xfId="18668" xr:uid="{00000000-0005-0000-0000-000053020000}"/>
    <cellStyle name="20% - Accent1 2 3 8 3" xfId="7372" xr:uid="{00000000-0005-0000-0000-000054020000}"/>
    <cellStyle name="20% - Accent1 2 3 8 3 2" xfId="9591" xr:uid="{00000000-0005-0000-0000-000055020000}"/>
    <cellStyle name="20% - Accent1 2 3 8 3 2 2" xfId="20154" xr:uid="{00000000-0005-0000-0000-000056020000}"/>
    <cellStyle name="20% - Accent1 2 3 8 3 3" xfId="11810" xr:uid="{00000000-0005-0000-0000-000057020000}"/>
    <cellStyle name="20% - Accent1 2 3 8 3 3 2" xfId="22373" xr:uid="{00000000-0005-0000-0000-000058020000}"/>
    <cellStyle name="20% - Accent1 2 3 8 3 4" xfId="14029" xr:uid="{00000000-0005-0000-0000-000059020000}"/>
    <cellStyle name="20% - Accent1 2 3 8 3 4 2" xfId="24592" xr:uid="{00000000-0005-0000-0000-00005A020000}"/>
    <cellStyle name="20% - Accent1 2 3 8 3 5" xfId="17935" xr:uid="{00000000-0005-0000-0000-00005B020000}"/>
    <cellStyle name="20% - Accent1 2 3 8 4" xfId="8848" xr:uid="{00000000-0005-0000-0000-00005C020000}"/>
    <cellStyle name="20% - Accent1 2 3 8 4 2" xfId="19411" xr:uid="{00000000-0005-0000-0000-00005D020000}"/>
    <cellStyle name="20% - Accent1 2 3 8 5" xfId="11067" xr:uid="{00000000-0005-0000-0000-00005E020000}"/>
    <cellStyle name="20% - Accent1 2 3 8 5 2" xfId="21630" xr:uid="{00000000-0005-0000-0000-00005F020000}"/>
    <cellStyle name="20% - Accent1 2 3 8 6" xfId="13286" xr:uid="{00000000-0005-0000-0000-000060020000}"/>
    <cellStyle name="20% - Accent1 2 3 8 6 2" xfId="23849" xr:uid="{00000000-0005-0000-0000-000061020000}"/>
    <cellStyle name="20% - Accent1 2 3 8 7" xfId="17186" xr:uid="{00000000-0005-0000-0000-000062020000}"/>
    <cellStyle name="20% - Accent1 2 3 9" xfId="138" xr:uid="{00000000-0005-0000-0000-000063020000}"/>
    <cellStyle name="20% - Accent1 2 3 9 2" xfId="8106" xr:uid="{00000000-0005-0000-0000-000064020000}"/>
    <cellStyle name="20% - Accent1 2 3 9 2 2" xfId="10325" xr:uid="{00000000-0005-0000-0000-000065020000}"/>
    <cellStyle name="20% - Accent1 2 3 9 2 2 2" xfId="20888" xr:uid="{00000000-0005-0000-0000-000066020000}"/>
    <cellStyle name="20% - Accent1 2 3 9 2 3" xfId="12544" xr:uid="{00000000-0005-0000-0000-000067020000}"/>
    <cellStyle name="20% - Accent1 2 3 9 2 3 2" xfId="23107" xr:uid="{00000000-0005-0000-0000-000068020000}"/>
    <cellStyle name="20% - Accent1 2 3 9 2 4" xfId="14763" xr:uid="{00000000-0005-0000-0000-000069020000}"/>
    <cellStyle name="20% - Accent1 2 3 9 2 4 2" xfId="25326" xr:uid="{00000000-0005-0000-0000-00006A020000}"/>
    <cellStyle name="20% - Accent1 2 3 9 2 5" xfId="18669" xr:uid="{00000000-0005-0000-0000-00006B020000}"/>
    <cellStyle name="20% - Accent1 2 3 9 3" xfId="7373" xr:uid="{00000000-0005-0000-0000-00006C020000}"/>
    <cellStyle name="20% - Accent1 2 3 9 3 2" xfId="9592" xr:uid="{00000000-0005-0000-0000-00006D020000}"/>
    <cellStyle name="20% - Accent1 2 3 9 3 2 2" xfId="20155" xr:uid="{00000000-0005-0000-0000-00006E020000}"/>
    <cellStyle name="20% - Accent1 2 3 9 3 3" xfId="11811" xr:uid="{00000000-0005-0000-0000-00006F020000}"/>
    <cellStyle name="20% - Accent1 2 3 9 3 3 2" xfId="22374" xr:uid="{00000000-0005-0000-0000-000070020000}"/>
    <cellStyle name="20% - Accent1 2 3 9 3 4" xfId="14030" xr:uid="{00000000-0005-0000-0000-000071020000}"/>
    <cellStyle name="20% - Accent1 2 3 9 3 4 2" xfId="24593" xr:uid="{00000000-0005-0000-0000-000072020000}"/>
    <cellStyle name="20% - Accent1 2 3 9 3 5" xfId="17936" xr:uid="{00000000-0005-0000-0000-000073020000}"/>
    <cellStyle name="20% - Accent1 2 3 9 4" xfId="8849" xr:uid="{00000000-0005-0000-0000-000074020000}"/>
    <cellStyle name="20% - Accent1 2 3 9 4 2" xfId="19412" xr:uid="{00000000-0005-0000-0000-000075020000}"/>
    <cellStyle name="20% - Accent1 2 3 9 5" xfId="11068" xr:uid="{00000000-0005-0000-0000-000076020000}"/>
    <cellStyle name="20% - Accent1 2 3 9 5 2" xfId="21631" xr:uid="{00000000-0005-0000-0000-000077020000}"/>
    <cellStyle name="20% - Accent1 2 3 9 6" xfId="13287" xr:uid="{00000000-0005-0000-0000-000078020000}"/>
    <cellStyle name="20% - Accent1 2 3 9 6 2" xfId="23850" xr:uid="{00000000-0005-0000-0000-000079020000}"/>
    <cellStyle name="20% - Accent1 2 3 9 7" xfId="17187" xr:uid="{00000000-0005-0000-0000-00007A020000}"/>
    <cellStyle name="20% - Accent1 2 4" xfId="139" xr:uid="{00000000-0005-0000-0000-00007B020000}"/>
    <cellStyle name="20% - Accent1 2 4 10" xfId="8107" xr:uid="{00000000-0005-0000-0000-00007C020000}"/>
    <cellStyle name="20% - Accent1 2 4 10 2" xfId="10326" xr:uid="{00000000-0005-0000-0000-00007D020000}"/>
    <cellStyle name="20% - Accent1 2 4 10 2 2" xfId="20889" xr:uid="{00000000-0005-0000-0000-00007E020000}"/>
    <cellStyle name="20% - Accent1 2 4 10 3" xfId="12545" xr:uid="{00000000-0005-0000-0000-00007F020000}"/>
    <cellStyle name="20% - Accent1 2 4 10 3 2" xfId="23108" xr:uid="{00000000-0005-0000-0000-000080020000}"/>
    <cellStyle name="20% - Accent1 2 4 10 4" xfId="14764" xr:uid="{00000000-0005-0000-0000-000081020000}"/>
    <cellStyle name="20% - Accent1 2 4 10 4 2" xfId="25327" xr:uid="{00000000-0005-0000-0000-000082020000}"/>
    <cellStyle name="20% - Accent1 2 4 10 5" xfId="18670" xr:uid="{00000000-0005-0000-0000-000083020000}"/>
    <cellStyle name="20% - Accent1 2 4 11" xfId="7374" xr:uid="{00000000-0005-0000-0000-000084020000}"/>
    <cellStyle name="20% - Accent1 2 4 11 2" xfId="9593" xr:uid="{00000000-0005-0000-0000-000085020000}"/>
    <cellStyle name="20% - Accent1 2 4 11 2 2" xfId="20156" xr:uid="{00000000-0005-0000-0000-000086020000}"/>
    <cellStyle name="20% - Accent1 2 4 11 3" xfId="11812" xr:uid="{00000000-0005-0000-0000-000087020000}"/>
    <cellStyle name="20% - Accent1 2 4 11 3 2" xfId="22375" xr:uid="{00000000-0005-0000-0000-000088020000}"/>
    <cellStyle name="20% - Accent1 2 4 11 4" xfId="14031" xr:uid="{00000000-0005-0000-0000-000089020000}"/>
    <cellStyle name="20% - Accent1 2 4 11 4 2" xfId="24594" xr:uid="{00000000-0005-0000-0000-00008A020000}"/>
    <cellStyle name="20% - Accent1 2 4 11 5" xfId="17937" xr:uid="{00000000-0005-0000-0000-00008B020000}"/>
    <cellStyle name="20% - Accent1 2 4 12" xfId="8850" xr:uid="{00000000-0005-0000-0000-00008C020000}"/>
    <cellStyle name="20% - Accent1 2 4 12 2" xfId="19413" xr:uid="{00000000-0005-0000-0000-00008D020000}"/>
    <cellStyle name="20% - Accent1 2 4 13" xfId="11069" xr:uid="{00000000-0005-0000-0000-00008E020000}"/>
    <cellStyle name="20% - Accent1 2 4 13 2" xfId="21632" xr:uid="{00000000-0005-0000-0000-00008F020000}"/>
    <cellStyle name="20% - Accent1 2 4 14" xfId="13288" xr:uid="{00000000-0005-0000-0000-000090020000}"/>
    <cellStyle name="20% - Accent1 2 4 14 2" xfId="23851" xr:uid="{00000000-0005-0000-0000-000091020000}"/>
    <cellStyle name="20% - Accent1 2 4 15" xfId="17188" xr:uid="{00000000-0005-0000-0000-000092020000}"/>
    <cellStyle name="20% - Accent1 2 4 2" xfId="140" xr:uid="{00000000-0005-0000-0000-000093020000}"/>
    <cellStyle name="20% - Accent1 2 4 2 2" xfId="8108" xr:uid="{00000000-0005-0000-0000-000094020000}"/>
    <cellStyle name="20% - Accent1 2 4 2 2 2" xfId="10327" xr:uid="{00000000-0005-0000-0000-000095020000}"/>
    <cellStyle name="20% - Accent1 2 4 2 2 2 2" xfId="20890" xr:uid="{00000000-0005-0000-0000-000096020000}"/>
    <cellStyle name="20% - Accent1 2 4 2 2 3" xfId="12546" xr:uid="{00000000-0005-0000-0000-000097020000}"/>
    <cellStyle name="20% - Accent1 2 4 2 2 3 2" xfId="23109" xr:uid="{00000000-0005-0000-0000-000098020000}"/>
    <cellStyle name="20% - Accent1 2 4 2 2 4" xfId="14765" xr:uid="{00000000-0005-0000-0000-000099020000}"/>
    <cellStyle name="20% - Accent1 2 4 2 2 4 2" xfId="25328" xr:uid="{00000000-0005-0000-0000-00009A020000}"/>
    <cellStyle name="20% - Accent1 2 4 2 2 5" xfId="18671" xr:uid="{00000000-0005-0000-0000-00009B020000}"/>
    <cellStyle name="20% - Accent1 2 4 2 3" xfId="7375" xr:uid="{00000000-0005-0000-0000-00009C020000}"/>
    <cellStyle name="20% - Accent1 2 4 2 3 2" xfId="9594" xr:uid="{00000000-0005-0000-0000-00009D020000}"/>
    <cellStyle name="20% - Accent1 2 4 2 3 2 2" xfId="20157" xr:uid="{00000000-0005-0000-0000-00009E020000}"/>
    <cellStyle name="20% - Accent1 2 4 2 3 3" xfId="11813" xr:uid="{00000000-0005-0000-0000-00009F020000}"/>
    <cellStyle name="20% - Accent1 2 4 2 3 3 2" xfId="22376" xr:uid="{00000000-0005-0000-0000-0000A0020000}"/>
    <cellStyle name="20% - Accent1 2 4 2 3 4" xfId="14032" xr:uid="{00000000-0005-0000-0000-0000A1020000}"/>
    <cellStyle name="20% - Accent1 2 4 2 3 4 2" xfId="24595" xr:uid="{00000000-0005-0000-0000-0000A2020000}"/>
    <cellStyle name="20% - Accent1 2 4 2 3 5" xfId="17938" xr:uid="{00000000-0005-0000-0000-0000A3020000}"/>
    <cellStyle name="20% - Accent1 2 4 2 4" xfId="8851" xr:uid="{00000000-0005-0000-0000-0000A4020000}"/>
    <cellStyle name="20% - Accent1 2 4 2 4 2" xfId="19414" xr:uid="{00000000-0005-0000-0000-0000A5020000}"/>
    <cellStyle name="20% - Accent1 2 4 2 5" xfId="11070" xr:uid="{00000000-0005-0000-0000-0000A6020000}"/>
    <cellStyle name="20% - Accent1 2 4 2 5 2" xfId="21633" xr:uid="{00000000-0005-0000-0000-0000A7020000}"/>
    <cellStyle name="20% - Accent1 2 4 2 6" xfId="13289" xr:uid="{00000000-0005-0000-0000-0000A8020000}"/>
    <cellStyle name="20% - Accent1 2 4 2 6 2" xfId="23852" xr:uid="{00000000-0005-0000-0000-0000A9020000}"/>
    <cellStyle name="20% - Accent1 2 4 2 7" xfId="17189" xr:uid="{00000000-0005-0000-0000-0000AA020000}"/>
    <cellStyle name="20% - Accent1 2 4 3" xfId="141" xr:uid="{00000000-0005-0000-0000-0000AB020000}"/>
    <cellStyle name="20% - Accent1 2 4 3 2" xfId="8109" xr:uid="{00000000-0005-0000-0000-0000AC020000}"/>
    <cellStyle name="20% - Accent1 2 4 3 2 2" xfId="10328" xr:uid="{00000000-0005-0000-0000-0000AD020000}"/>
    <cellStyle name="20% - Accent1 2 4 3 2 2 2" xfId="20891" xr:uid="{00000000-0005-0000-0000-0000AE020000}"/>
    <cellStyle name="20% - Accent1 2 4 3 2 3" xfId="12547" xr:uid="{00000000-0005-0000-0000-0000AF020000}"/>
    <cellStyle name="20% - Accent1 2 4 3 2 3 2" xfId="23110" xr:uid="{00000000-0005-0000-0000-0000B0020000}"/>
    <cellStyle name="20% - Accent1 2 4 3 2 4" xfId="14766" xr:uid="{00000000-0005-0000-0000-0000B1020000}"/>
    <cellStyle name="20% - Accent1 2 4 3 2 4 2" xfId="25329" xr:uid="{00000000-0005-0000-0000-0000B2020000}"/>
    <cellStyle name="20% - Accent1 2 4 3 2 5" xfId="18672" xr:uid="{00000000-0005-0000-0000-0000B3020000}"/>
    <cellStyle name="20% - Accent1 2 4 3 3" xfId="7376" xr:uid="{00000000-0005-0000-0000-0000B4020000}"/>
    <cellStyle name="20% - Accent1 2 4 3 3 2" xfId="9595" xr:uid="{00000000-0005-0000-0000-0000B5020000}"/>
    <cellStyle name="20% - Accent1 2 4 3 3 2 2" xfId="20158" xr:uid="{00000000-0005-0000-0000-0000B6020000}"/>
    <cellStyle name="20% - Accent1 2 4 3 3 3" xfId="11814" xr:uid="{00000000-0005-0000-0000-0000B7020000}"/>
    <cellStyle name="20% - Accent1 2 4 3 3 3 2" xfId="22377" xr:uid="{00000000-0005-0000-0000-0000B8020000}"/>
    <cellStyle name="20% - Accent1 2 4 3 3 4" xfId="14033" xr:uid="{00000000-0005-0000-0000-0000B9020000}"/>
    <cellStyle name="20% - Accent1 2 4 3 3 4 2" xfId="24596" xr:uid="{00000000-0005-0000-0000-0000BA020000}"/>
    <cellStyle name="20% - Accent1 2 4 3 3 5" xfId="17939" xr:uid="{00000000-0005-0000-0000-0000BB020000}"/>
    <cellStyle name="20% - Accent1 2 4 3 4" xfId="8852" xr:uid="{00000000-0005-0000-0000-0000BC020000}"/>
    <cellStyle name="20% - Accent1 2 4 3 4 2" xfId="19415" xr:uid="{00000000-0005-0000-0000-0000BD020000}"/>
    <cellStyle name="20% - Accent1 2 4 3 5" xfId="11071" xr:uid="{00000000-0005-0000-0000-0000BE020000}"/>
    <cellStyle name="20% - Accent1 2 4 3 5 2" xfId="21634" xr:uid="{00000000-0005-0000-0000-0000BF020000}"/>
    <cellStyle name="20% - Accent1 2 4 3 6" xfId="13290" xr:uid="{00000000-0005-0000-0000-0000C0020000}"/>
    <cellStyle name="20% - Accent1 2 4 3 6 2" xfId="23853" xr:uid="{00000000-0005-0000-0000-0000C1020000}"/>
    <cellStyle name="20% - Accent1 2 4 3 7" xfId="17190" xr:uid="{00000000-0005-0000-0000-0000C2020000}"/>
    <cellStyle name="20% - Accent1 2 4 4" xfId="142" xr:uid="{00000000-0005-0000-0000-0000C3020000}"/>
    <cellStyle name="20% - Accent1 2 4 4 2" xfId="8110" xr:uid="{00000000-0005-0000-0000-0000C4020000}"/>
    <cellStyle name="20% - Accent1 2 4 4 2 2" xfId="10329" xr:uid="{00000000-0005-0000-0000-0000C5020000}"/>
    <cellStyle name="20% - Accent1 2 4 4 2 2 2" xfId="20892" xr:uid="{00000000-0005-0000-0000-0000C6020000}"/>
    <cellStyle name="20% - Accent1 2 4 4 2 3" xfId="12548" xr:uid="{00000000-0005-0000-0000-0000C7020000}"/>
    <cellStyle name="20% - Accent1 2 4 4 2 3 2" xfId="23111" xr:uid="{00000000-0005-0000-0000-0000C8020000}"/>
    <cellStyle name="20% - Accent1 2 4 4 2 4" xfId="14767" xr:uid="{00000000-0005-0000-0000-0000C9020000}"/>
    <cellStyle name="20% - Accent1 2 4 4 2 4 2" xfId="25330" xr:uid="{00000000-0005-0000-0000-0000CA020000}"/>
    <cellStyle name="20% - Accent1 2 4 4 2 5" xfId="18673" xr:uid="{00000000-0005-0000-0000-0000CB020000}"/>
    <cellStyle name="20% - Accent1 2 4 4 3" xfId="7377" xr:uid="{00000000-0005-0000-0000-0000CC020000}"/>
    <cellStyle name="20% - Accent1 2 4 4 3 2" xfId="9596" xr:uid="{00000000-0005-0000-0000-0000CD020000}"/>
    <cellStyle name="20% - Accent1 2 4 4 3 2 2" xfId="20159" xr:uid="{00000000-0005-0000-0000-0000CE020000}"/>
    <cellStyle name="20% - Accent1 2 4 4 3 3" xfId="11815" xr:uid="{00000000-0005-0000-0000-0000CF020000}"/>
    <cellStyle name="20% - Accent1 2 4 4 3 3 2" xfId="22378" xr:uid="{00000000-0005-0000-0000-0000D0020000}"/>
    <cellStyle name="20% - Accent1 2 4 4 3 4" xfId="14034" xr:uid="{00000000-0005-0000-0000-0000D1020000}"/>
    <cellStyle name="20% - Accent1 2 4 4 3 4 2" xfId="24597" xr:uid="{00000000-0005-0000-0000-0000D2020000}"/>
    <cellStyle name="20% - Accent1 2 4 4 3 5" xfId="17940" xr:uid="{00000000-0005-0000-0000-0000D3020000}"/>
    <cellStyle name="20% - Accent1 2 4 4 4" xfId="8853" xr:uid="{00000000-0005-0000-0000-0000D4020000}"/>
    <cellStyle name="20% - Accent1 2 4 4 4 2" xfId="19416" xr:uid="{00000000-0005-0000-0000-0000D5020000}"/>
    <cellStyle name="20% - Accent1 2 4 4 5" xfId="11072" xr:uid="{00000000-0005-0000-0000-0000D6020000}"/>
    <cellStyle name="20% - Accent1 2 4 4 5 2" xfId="21635" xr:uid="{00000000-0005-0000-0000-0000D7020000}"/>
    <cellStyle name="20% - Accent1 2 4 4 6" xfId="13291" xr:uid="{00000000-0005-0000-0000-0000D8020000}"/>
    <cellStyle name="20% - Accent1 2 4 4 6 2" xfId="23854" xr:uid="{00000000-0005-0000-0000-0000D9020000}"/>
    <cellStyle name="20% - Accent1 2 4 4 7" xfId="17191" xr:uid="{00000000-0005-0000-0000-0000DA020000}"/>
    <cellStyle name="20% - Accent1 2 4 5" xfId="143" xr:uid="{00000000-0005-0000-0000-0000DB020000}"/>
    <cellStyle name="20% - Accent1 2 4 5 2" xfId="8111" xr:uid="{00000000-0005-0000-0000-0000DC020000}"/>
    <cellStyle name="20% - Accent1 2 4 5 2 2" xfId="10330" xr:uid="{00000000-0005-0000-0000-0000DD020000}"/>
    <cellStyle name="20% - Accent1 2 4 5 2 2 2" xfId="20893" xr:uid="{00000000-0005-0000-0000-0000DE020000}"/>
    <cellStyle name="20% - Accent1 2 4 5 2 3" xfId="12549" xr:uid="{00000000-0005-0000-0000-0000DF020000}"/>
    <cellStyle name="20% - Accent1 2 4 5 2 3 2" xfId="23112" xr:uid="{00000000-0005-0000-0000-0000E0020000}"/>
    <cellStyle name="20% - Accent1 2 4 5 2 4" xfId="14768" xr:uid="{00000000-0005-0000-0000-0000E1020000}"/>
    <cellStyle name="20% - Accent1 2 4 5 2 4 2" xfId="25331" xr:uid="{00000000-0005-0000-0000-0000E2020000}"/>
    <cellStyle name="20% - Accent1 2 4 5 2 5" xfId="18674" xr:uid="{00000000-0005-0000-0000-0000E3020000}"/>
    <cellStyle name="20% - Accent1 2 4 5 3" xfId="7378" xr:uid="{00000000-0005-0000-0000-0000E4020000}"/>
    <cellStyle name="20% - Accent1 2 4 5 3 2" xfId="9597" xr:uid="{00000000-0005-0000-0000-0000E5020000}"/>
    <cellStyle name="20% - Accent1 2 4 5 3 2 2" xfId="20160" xr:uid="{00000000-0005-0000-0000-0000E6020000}"/>
    <cellStyle name="20% - Accent1 2 4 5 3 3" xfId="11816" xr:uid="{00000000-0005-0000-0000-0000E7020000}"/>
    <cellStyle name="20% - Accent1 2 4 5 3 3 2" xfId="22379" xr:uid="{00000000-0005-0000-0000-0000E8020000}"/>
    <cellStyle name="20% - Accent1 2 4 5 3 4" xfId="14035" xr:uid="{00000000-0005-0000-0000-0000E9020000}"/>
    <cellStyle name="20% - Accent1 2 4 5 3 4 2" xfId="24598" xr:uid="{00000000-0005-0000-0000-0000EA020000}"/>
    <cellStyle name="20% - Accent1 2 4 5 3 5" xfId="17941" xr:uid="{00000000-0005-0000-0000-0000EB020000}"/>
    <cellStyle name="20% - Accent1 2 4 5 4" xfId="8854" xr:uid="{00000000-0005-0000-0000-0000EC020000}"/>
    <cellStyle name="20% - Accent1 2 4 5 4 2" xfId="19417" xr:uid="{00000000-0005-0000-0000-0000ED020000}"/>
    <cellStyle name="20% - Accent1 2 4 5 5" xfId="11073" xr:uid="{00000000-0005-0000-0000-0000EE020000}"/>
    <cellStyle name="20% - Accent1 2 4 5 5 2" xfId="21636" xr:uid="{00000000-0005-0000-0000-0000EF020000}"/>
    <cellStyle name="20% - Accent1 2 4 5 6" xfId="13292" xr:uid="{00000000-0005-0000-0000-0000F0020000}"/>
    <cellStyle name="20% - Accent1 2 4 5 6 2" xfId="23855" xr:uid="{00000000-0005-0000-0000-0000F1020000}"/>
    <cellStyle name="20% - Accent1 2 4 5 7" xfId="17192" xr:uid="{00000000-0005-0000-0000-0000F2020000}"/>
    <cellStyle name="20% - Accent1 2 4 6" xfId="144" xr:uid="{00000000-0005-0000-0000-0000F3020000}"/>
    <cellStyle name="20% - Accent1 2 4 6 2" xfId="8112" xr:uid="{00000000-0005-0000-0000-0000F4020000}"/>
    <cellStyle name="20% - Accent1 2 4 6 2 2" xfId="10331" xr:uid="{00000000-0005-0000-0000-0000F5020000}"/>
    <cellStyle name="20% - Accent1 2 4 6 2 2 2" xfId="20894" xr:uid="{00000000-0005-0000-0000-0000F6020000}"/>
    <cellStyle name="20% - Accent1 2 4 6 2 3" xfId="12550" xr:uid="{00000000-0005-0000-0000-0000F7020000}"/>
    <cellStyle name="20% - Accent1 2 4 6 2 3 2" xfId="23113" xr:uid="{00000000-0005-0000-0000-0000F8020000}"/>
    <cellStyle name="20% - Accent1 2 4 6 2 4" xfId="14769" xr:uid="{00000000-0005-0000-0000-0000F9020000}"/>
    <cellStyle name="20% - Accent1 2 4 6 2 4 2" xfId="25332" xr:uid="{00000000-0005-0000-0000-0000FA020000}"/>
    <cellStyle name="20% - Accent1 2 4 6 2 5" xfId="18675" xr:uid="{00000000-0005-0000-0000-0000FB020000}"/>
    <cellStyle name="20% - Accent1 2 4 6 3" xfId="7379" xr:uid="{00000000-0005-0000-0000-0000FC020000}"/>
    <cellStyle name="20% - Accent1 2 4 6 3 2" xfId="9598" xr:uid="{00000000-0005-0000-0000-0000FD020000}"/>
    <cellStyle name="20% - Accent1 2 4 6 3 2 2" xfId="20161" xr:uid="{00000000-0005-0000-0000-0000FE020000}"/>
    <cellStyle name="20% - Accent1 2 4 6 3 3" xfId="11817" xr:uid="{00000000-0005-0000-0000-0000FF020000}"/>
    <cellStyle name="20% - Accent1 2 4 6 3 3 2" xfId="22380" xr:uid="{00000000-0005-0000-0000-000000030000}"/>
    <cellStyle name="20% - Accent1 2 4 6 3 4" xfId="14036" xr:uid="{00000000-0005-0000-0000-000001030000}"/>
    <cellStyle name="20% - Accent1 2 4 6 3 4 2" xfId="24599" xr:uid="{00000000-0005-0000-0000-000002030000}"/>
    <cellStyle name="20% - Accent1 2 4 6 3 5" xfId="17942" xr:uid="{00000000-0005-0000-0000-000003030000}"/>
    <cellStyle name="20% - Accent1 2 4 6 4" xfId="8855" xr:uid="{00000000-0005-0000-0000-000004030000}"/>
    <cellStyle name="20% - Accent1 2 4 6 4 2" xfId="19418" xr:uid="{00000000-0005-0000-0000-000005030000}"/>
    <cellStyle name="20% - Accent1 2 4 6 5" xfId="11074" xr:uid="{00000000-0005-0000-0000-000006030000}"/>
    <cellStyle name="20% - Accent1 2 4 6 5 2" xfId="21637" xr:uid="{00000000-0005-0000-0000-000007030000}"/>
    <cellStyle name="20% - Accent1 2 4 6 6" xfId="13293" xr:uid="{00000000-0005-0000-0000-000008030000}"/>
    <cellStyle name="20% - Accent1 2 4 6 6 2" xfId="23856" xr:uid="{00000000-0005-0000-0000-000009030000}"/>
    <cellStyle name="20% - Accent1 2 4 6 7" xfId="17193" xr:uid="{00000000-0005-0000-0000-00000A030000}"/>
    <cellStyle name="20% - Accent1 2 4 7" xfId="145" xr:uid="{00000000-0005-0000-0000-00000B030000}"/>
    <cellStyle name="20% - Accent1 2 4 7 2" xfId="8113" xr:uid="{00000000-0005-0000-0000-00000C030000}"/>
    <cellStyle name="20% - Accent1 2 4 7 2 2" xfId="10332" xr:uid="{00000000-0005-0000-0000-00000D030000}"/>
    <cellStyle name="20% - Accent1 2 4 7 2 2 2" xfId="20895" xr:uid="{00000000-0005-0000-0000-00000E030000}"/>
    <cellStyle name="20% - Accent1 2 4 7 2 3" xfId="12551" xr:uid="{00000000-0005-0000-0000-00000F030000}"/>
    <cellStyle name="20% - Accent1 2 4 7 2 3 2" xfId="23114" xr:uid="{00000000-0005-0000-0000-000010030000}"/>
    <cellStyle name="20% - Accent1 2 4 7 2 4" xfId="14770" xr:uid="{00000000-0005-0000-0000-000011030000}"/>
    <cellStyle name="20% - Accent1 2 4 7 2 4 2" xfId="25333" xr:uid="{00000000-0005-0000-0000-000012030000}"/>
    <cellStyle name="20% - Accent1 2 4 7 2 5" xfId="18676" xr:uid="{00000000-0005-0000-0000-000013030000}"/>
    <cellStyle name="20% - Accent1 2 4 7 3" xfId="7380" xr:uid="{00000000-0005-0000-0000-000014030000}"/>
    <cellStyle name="20% - Accent1 2 4 7 3 2" xfId="9599" xr:uid="{00000000-0005-0000-0000-000015030000}"/>
    <cellStyle name="20% - Accent1 2 4 7 3 2 2" xfId="20162" xr:uid="{00000000-0005-0000-0000-000016030000}"/>
    <cellStyle name="20% - Accent1 2 4 7 3 3" xfId="11818" xr:uid="{00000000-0005-0000-0000-000017030000}"/>
    <cellStyle name="20% - Accent1 2 4 7 3 3 2" xfId="22381" xr:uid="{00000000-0005-0000-0000-000018030000}"/>
    <cellStyle name="20% - Accent1 2 4 7 3 4" xfId="14037" xr:uid="{00000000-0005-0000-0000-000019030000}"/>
    <cellStyle name="20% - Accent1 2 4 7 3 4 2" xfId="24600" xr:uid="{00000000-0005-0000-0000-00001A030000}"/>
    <cellStyle name="20% - Accent1 2 4 7 3 5" xfId="17943" xr:uid="{00000000-0005-0000-0000-00001B030000}"/>
    <cellStyle name="20% - Accent1 2 4 7 4" xfId="8856" xr:uid="{00000000-0005-0000-0000-00001C030000}"/>
    <cellStyle name="20% - Accent1 2 4 7 4 2" xfId="19419" xr:uid="{00000000-0005-0000-0000-00001D030000}"/>
    <cellStyle name="20% - Accent1 2 4 7 5" xfId="11075" xr:uid="{00000000-0005-0000-0000-00001E030000}"/>
    <cellStyle name="20% - Accent1 2 4 7 5 2" xfId="21638" xr:uid="{00000000-0005-0000-0000-00001F030000}"/>
    <cellStyle name="20% - Accent1 2 4 7 6" xfId="13294" xr:uid="{00000000-0005-0000-0000-000020030000}"/>
    <cellStyle name="20% - Accent1 2 4 7 6 2" xfId="23857" xr:uid="{00000000-0005-0000-0000-000021030000}"/>
    <cellStyle name="20% - Accent1 2 4 7 7" xfId="17194" xr:uid="{00000000-0005-0000-0000-000022030000}"/>
    <cellStyle name="20% - Accent1 2 4 8" xfId="146" xr:uid="{00000000-0005-0000-0000-000023030000}"/>
    <cellStyle name="20% - Accent1 2 4 8 2" xfId="8114" xr:uid="{00000000-0005-0000-0000-000024030000}"/>
    <cellStyle name="20% - Accent1 2 4 8 2 2" xfId="10333" xr:uid="{00000000-0005-0000-0000-000025030000}"/>
    <cellStyle name="20% - Accent1 2 4 8 2 2 2" xfId="20896" xr:uid="{00000000-0005-0000-0000-000026030000}"/>
    <cellStyle name="20% - Accent1 2 4 8 2 3" xfId="12552" xr:uid="{00000000-0005-0000-0000-000027030000}"/>
    <cellStyle name="20% - Accent1 2 4 8 2 3 2" xfId="23115" xr:uid="{00000000-0005-0000-0000-000028030000}"/>
    <cellStyle name="20% - Accent1 2 4 8 2 4" xfId="14771" xr:uid="{00000000-0005-0000-0000-000029030000}"/>
    <cellStyle name="20% - Accent1 2 4 8 2 4 2" xfId="25334" xr:uid="{00000000-0005-0000-0000-00002A030000}"/>
    <cellStyle name="20% - Accent1 2 4 8 2 5" xfId="18677" xr:uid="{00000000-0005-0000-0000-00002B030000}"/>
    <cellStyle name="20% - Accent1 2 4 8 3" xfId="7381" xr:uid="{00000000-0005-0000-0000-00002C030000}"/>
    <cellStyle name="20% - Accent1 2 4 8 3 2" xfId="9600" xr:uid="{00000000-0005-0000-0000-00002D030000}"/>
    <cellStyle name="20% - Accent1 2 4 8 3 2 2" xfId="20163" xr:uid="{00000000-0005-0000-0000-00002E030000}"/>
    <cellStyle name="20% - Accent1 2 4 8 3 3" xfId="11819" xr:uid="{00000000-0005-0000-0000-00002F030000}"/>
    <cellStyle name="20% - Accent1 2 4 8 3 3 2" xfId="22382" xr:uid="{00000000-0005-0000-0000-000030030000}"/>
    <cellStyle name="20% - Accent1 2 4 8 3 4" xfId="14038" xr:uid="{00000000-0005-0000-0000-000031030000}"/>
    <cellStyle name="20% - Accent1 2 4 8 3 4 2" xfId="24601" xr:uid="{00000000-0005-0000-0000-000032030000}"/>
    <cellStyle name="20% - Accent1 2 4 8 3 5" xfId="17944" xr:uid="{00000000-0005-0000-0000-000033030000}"/>
    <cellStyle name="20% - Accent1 2 4 8 4" xfId="8857" xr:uid="{00000000-0005-0000-0000-000034030000}"/>
    <cellStyle name="20% - Accent1 2 4 8 4 2" xfId="19420" xr:uid="{00000000-0005-0000-0000-000035030000}"/>
    <cellStyle name="20% - Accent1 2 4 8 5" xfId="11076" xr:uid="{00000000-0005-0000-0000-000036030000}"/>
    <cellStyle name="20% - Accent1 2 4 8 5 2" xfId="21639" xr:uid="{00000000-0005-0000-0000-000037030000}"/>
    <cellStyle name="20% - Accent1 2 4 8 6" xfId="13295" xr:uid="{00000000-0005-0000-0000-000038030000}"/>
    <cellStyle name="20% - Accent1 2 4 8 6 2" xfId="23858" xr:uid="{00000000-0005-0000-0000-000039030000}"/>
    <cellStyle name="20% - Accent1 2 4 8 7" xfId="17195" xr:uid="{00000000-0005-0000-0000-00003A030000}"/>
    <cellStyle name="20% - Accent1 2 4 9" xfId="147" xr:uid="{00000000-0005-0000-0000-00003B030000}"/>
    <cellStyle name="20% - Accent1 2 4 9 2" xfId="8115" xr:uid="{00000000-0005-0000-0000-00003C030000}"/>
    <cellStyle name="20% - Accent1 2 4 9 2 2" xfId="10334" xr:uid="{00000000-0005-0000-0000-00003D030000}"/>
    <cellStyle name="20% - Accent1 2 4 9 2 2 2" xfId="20897" xr:uid="{00000000-0005-0000-0000-00003E030000}"/>
    <cellStyle name="20% - Accent1 2 4 9 2 3" xfId="12553" xr:uid="{00000000-0005-0000-0000-00003F030000}"/>
    <cellStyle name="20% - Accent1 2 4 9 2 3 2" xfId="23116" xr:uid="{00000000-0005-0000-0000-000040030000}"/>
    <cellStyle name="20% - Accent1 2 4 9 2 4" xfId="14772" xr:uid="{00000000-0005-0000-0000-000041030000}"/>
    <cellStyle name="20% - Accent1 2 4 9 2 4 2" xfId="25335" xr:uid="{00000000-0005-0000-0000-000042030000}"/>
    <cellStyle name="20% - Accent1 2 4 9 2 5" xfId="18678" xr:uid="{00000000-0005-0000-0000-000043030000}"/>
    <cellStyle name="20% - Accent1 2 4 9 3" xfId="7382" xr:uid="{00000000-0005-0000-0000-000044030000}"/>
    <cellStyle name="20% - Accent1 2 4 9 3 2" xfId="9601" xr:uid="{00000000-0005-0000-0000-000045030000}"/>
    <cellStyle name="20% - Accent1 2 4 9 3 2 2" xfId="20164" xr:uid="{00000000-0005-0000-0000-000046030000}"/>
    <cellStyle name="20% - Accent1 2 4 9 3 3" xfId="11820" xr:uid="{00000000-0005-0000-0000-000047030000}"/>
    <cellStyle name="20% - Accent1 2 4 9 3 3 2" xfId="22383" xr:uid="{00000000-0005-0000-0000-000048030000}"/>
    <cellStyle name="20% - Accent1 2 4 9 3 4" xfId="14039" xr:uid="{00000000-0005-0000-0000-000049030000}"/>
    <cellStyle name="20% - Accent1 2 4 9 3 4 2" xfId="24602" xr:uid="{00000000-0005-0000-0000-00004A030000}"/>
    <cellStyle name="20% - Accent1 2 4 9 3 5" xfId="17945" xr:uid="{00000000-0005-0000-0000-00004B030000}"/>
    <cellStyle name="20% - Accent1 2 4 9 4" xfId="8858" xr:uid="{00000000-0005-0000-0000-00004C030000}"/>
    <cellStyle name="20% - Accent1 2 4 9 4 2" xfId="19421" xr:uid="{00000000-0005-0000-0000-00004D030000}"/>
    <cellStyle name="20% - Accent1 2 4 9 5" xfId="11077" xr:uid="{00000000-0005-0000-0000-00004E030000}"/>
    <cellStyle name="20% - Accent1 2 4 9 5 2" xfId="21640" xr:uid="{00000000-0005-0000-0000-00004F030000}"/>
    <cellStyle name="20% - Accent1 2 4 9 6" xfId="13296" xr:uid="{00000000-0005-0000-0000-000050030000}"/>
    <cellStyle name="20% - Accent1 2 4 9 6 2" xfId="23859" xr:uid="{00000000-0005-0000-0000-000051030000}"/>
    <cellStyle name="20% - Accent1 2 4 9 7" xfId="17196" xr:uid="{00000000-0005-0000-0000-000052030000}"/>
    <cellStyle name="20% - Accent1 2 5" xfId="148" xr:uid="{00000000-0005-0000-0000-000053030000}"/>
    <cellStyle name="20% - Accent1 2 5 10" xfId="8116" xr:uid="{00000000-0005-0000-0000-000054030000}"/>
    <cellStyle name="20% - Accent1 2 5 10 2" xfId="10335" xr:uid="{00000000-0005-0000-0000-000055030000}"/>
    <cellStyle name="20% - Accent1 2 5 10 2 2" xfId="20898" xr:uid="{00000000-0005-0000-0000-000056030000}"/>
    <cellStyle name="20% - Accent1 2 5 10 3" xfId="12554" xr:uid="{00000000-0005-0000-0000-000057030000}"/>
    <cellStyle name="20% - Accent1 2 5 10 3 2" xfId="23117" xr:uid="{00000000-0005-0000-0000-000058030000}"/>
    <cellStyle name="20% - Accent1 2 5 10 4" xfId="14773" xr:uid="{00000000-0005-0000-0000-000059030000}"/>
    <cellStyle name="20% - Accent1 2 5 10 4 2" xfId="25336" xr:uid="{00000000-0005-0000-0000-00005A030000}"/>
    <cellStyle name="20% - Accent1 2 5 10 5" xfId="18679" xr:uid="{00000000-0005-0000-0000-00005B030000}"/>
    <cellStyle name="20% - Accent1 2 5 11" xfId="7383" xr:uid="{00000000-0005-0000-0000-00005C030000}"/>
    <cellStyle name="20% - Accent1 2 5 11 2" xfId="9602" xr:uid="{00000000-0005-0000-0000-00005D030000}"/>
    <cellStyle name="20% - Accent1 2 5 11 2 2" xfId="20165" xr:uid="{00000000-0005-0000-0000-00005E030000}"/>
    <cellStyle name="20% - Accent1 2 5 11 3" xfId="11821" xr:uid="{00000000-0005-0000-0000-00005F030000}"/>
    <cellStyle name="20% - Accent1 2 5 11 3 2" xfId="22384" xr:uid="{00000000-0005-0000-0000-000060030000}"/>
    <cellStyle name="20% - Accent1 2 5 11 4" xfId="14040" xr:uid="{00000000-0005-0000-0000-000061030000}"/>
    <cellStyle name="20% - Accent1 2 5 11 4 2" xfId="24603" xr:uid="{00000000-0005-0000-0000-000062030000}"/>
    <cellStyle name="20% - Accent1 2 5 11 5" xfId="17946" xr:uid="{00000000-0005-0000-0000-000063030000}"/>
    <cellStyle name="20% - Accent1 2 5 12" xfId="8859" xr:uid="{00000000-0005-0000-0000-000064030000}"/>
    <cellStyle name="20% - Accent1 2 5 12 2" xfId="19422" xr:uid="{00000000-0005-0000-0000-000065030000}"/>
    <cellStyle name="20% - Accent1 2 5 13" xfId="11078" xr:uid="{00000000-0005-0000-0000-000066030000}"/>
    <cellStyle name="20% - Accent1 2 5 13 2" xfId="21641" xr:uid="{00000000-0005-0000-0000-000067030000}"/>
    <cellStyle name="20% - Accent1 2 5 14" xfId="13297" xr:uid="{00000000-0005-0000-0000-000068030000}"/>
    <cellStyle name="20% - Accent1 2 5 14 2" xfId="23860" xr:uid="{00000000-0005-0000-0000-000069030000}"/>
    <cellStyle name="20% - Accent1 2 5 15" xfId="17197" xr:uid="{00000000-0005-0000-0000-00006A030000}"/>
    <cellStyle name="20% - Accent1 2 5 2" xfId="149" xr:uid="{00000000-0005-0000-0000-00006B030000}"/>
    <cellStyle name="20% - Accent1 2 5 2 2" xfId="8117" xr:uid="{00000000-0005-0000-0000-00006C030000}"/>
    <cellStyle name="20% - Accent1 2 5 2 2 2" xfId="10336" xr:uid="{00000000-0005-0000-0000-00006D030000}"/>
    <cellStyle name="20% - Accent1 2 5 2 2 2 2" xfId="20899" xr:uid="{00000000-0005-0000-0000-00006E030000}"/>
    <cellStyle name="20% - Accent1 2 5 2 2 3" xfId="12555" xr:uid="{00000000-0005-0000-0000-00006F030000}"/>
    <cellStyle name="20% - Accent1 2 5 2 2 3 2" xfId="23118" xr:uid="{00000000-0005-0000-0000-000070030000}"/>
    <cellStyle name="20% - Accent1 2 5 2 2 4" xfId="14774" xr:uid="{00000000-0005-0000-0000-000071030000}"/>
    <cellStyle name="20% - Accent1 2 5 2 2 4 2" xfId="25337" xr:uid="{00000000-0005-0000-0000-000072030000}"/>
    <cellStyle name="20% - Accent1 2 5 2 2 5" xfId="18680" xr:uid="{00000000-0005-0000-0000-000073030000}"/>
    <cellStyle name="20% - Accent1 2 5 2 3" xfId="7384" xr:uid="{00000000-0005-0000-0000-000074030000}"/>
    <cellStyle name="20% - Accent1 2 5 2 3 2" xfId="9603" xr:uid="{00000000-0005-0000-0000-000075030000}"/>
    <cellStyle name="20% - Accent1 2 5 2 3 2 2" xfId="20166" xr:uid="{00000000-0005-0000-0000-000076030000}"/>
    <cellStyle name="20% - Accent1 2 5 2 3 3" xfId="11822" xr:uid="{00000000-0005-0000-0000-000077030000}"/>
    <cellStyle name="20% - Accent1 2 5 2 3 3 2" xfId="22385" xr:uid="{00000000-0005-0000-0000-000078030000}"/>
    <cellStyle name="20% - Accent1 2 5 2 3 4" xfId="14041" xr:uid="{00000000-0005-0000-0000-000079030000}"/>
    <cellStyle name="20% - Accent1 2 5 2 3 4 2" xfId="24604" xr:uid="{00000000-0005-0000-0000-00007A030000}"/>
    <cellStyle name="20% - Accent1 2 5 2 3 5" xfId="17947" xr:uid="{00000000-0005-0000-0000-00007B030000}"/>
    <cellStyle name="20% - Accent1 2 5 2 4" xfId="8860" xr:uid="{00000000-0005-0000-0000-00007C030000}"/>
    <cellStyle name="20% - Accent1 2 5 2 4 2" xfId="19423" xr:uid="{00000000-0005-0000-0000-00007D030000}"/>
    <cellStyle name="20% - Accent1 2 5 2 5" xfId="11079" xr:uid="{00000000-0005-0000-0000-00007E030000}"/>
    <cellStyle name="20% - Accent1 2 5 2 5 2" xfId="21642" xr:uid="{00000000-0005-0000-0000-00007F030000}"/>
    <cellStyle name="20% - Accent1 2 5 2 6" xfId="13298" xr:uid="{00000000-0005-0000-0000-000080030000}"/>
    <cellStyle name="20% - Accent1 2 5 2 6 2" xfId="23861" xr:uid="{00000000-0005-0000-0000-000081030000}"/>
    <cellStyle name="20% - Accent1 2 5 2 7" xfId="17198" xr:uid="{00000000-0005-0000-0000-000082030000}"/>
    <cellStyle name="20% - Accent1 2 5 3" xfId="150" xr:uid="{00000000-0005-0000-0000-000083030000}"/>
    <cellStyle name="20% - Accent1 2 5 3 2" xfId="8118" xr:uid="{00000000-0005-0000-0000-000084030000}"/>
    <cellStyle name="20% - Accent1 2 5 3 2 2" xfId="10337" xr:uid="{00000000-0005-0000-0000-000085030000}"/>
    <cellStyle name="20% - Accent1 2 5 3 2 2 2" xfId="20900" xr:uid="{00000000-0005-0000-0000-000086030000}"/>
    <cellStyle name="20% - Accent1 2 5 3 2 3" xfId="12556" xr:uid="{00000000-0005-0000-0000-000087030000}"/>
    <cellStyle name="20% - Accent1 2 5 3 2 3 2" xfId="23119" xr:uid="{00000000-0005-0000-0000-000088030000}"/>
    <cellStyle name="20% - Accent1 2 5 3 2 4" xfId="14775" xr:uid="{00000000-0005-0000-0000-000089030000}"/>
    <cellStyle name="20% - Accent1 2 5 3 2 4 2" xfId="25338" xr:uid="{00000000-0005-0000-0000-00008A030000}"/>
    <cellStyle name="20% - Accent1 2 5 3 2 5" xfId="18681" xr:uid="{00000000-0005-0000-0000-00008B030000}"/>
    <cellStyle name="20% - Accent1 2 5 3 3" xfId="7385" xr:uid="{00000000-0005-0000-0000-00008C030000}"/>
    <cellStyle name="20% - Accent1 2 5 3 3 2" xfId="9604" xr:uid="{00000000-0005-0000-0000-00008D030000}"/>
    <cellStyle name="20% - Accent1 2 5 3 3 2 2" xfId="20167" xr:uid="{00000000-0005-0000-0000-00008E030000}"/>
    <cellStyle name="20% - Accent1 2 5 3 3 3" xfId="11823" xr:uid="{00000000-0005-0000-0000-00008F030000}"/>
    <cellStyle name="20% - Accent1 2 5 3 3 3 2" xfId="22386" xr:uid="{00000000-0005-0000-0000-000090030000}"/>
    <cellStyle name="20% - Accent1 2 5 3 3 4" xfId="14042" xr:uid="{00000000-0005-0000-0000-000091030000}"/>
    <cellStyle name="20% - Accent1 2 5 3 3 4 2" xfId="24605" xr:uid="{00000000-0005-0000-0000-000092030000}"/>
    <cellStyle name="20% - Accent1 2 5 3 3 5" xfId="17948" xr:uid="{00000000-0005-0000-0000-000093030000}"/>
    <cellStyle name="20% - Accent1 2 5 3 4" xfId="8861" xr:uid="{00000000-0005-0000-0000-000094030000}"/>
    <cellStyle name="20% - Accent1 2 5 3 4 2" xfId="19424" xr:uid="{00000000-0005-0000-0000-000095030000}"/>
    <cellStyle name="20% - Accent1 2 5 3 5" xfId="11080" xr:uid="{00000000-0005-0000-0000-000096030000}"/>
    <cellStyle name="20% - Accent1 2 5 3 5 2" xfId="21643" xr:uid="{00000000-0005-0000-0000-000097030000}"/>
    <cellStyle name="20% - Accent1 2 5 3 6" xfId="13299" xr:uid="{00000000-0005-0000-0000-000098030000}"/>
    <cellStyle name="20% - Accent1 2 5 3 6 2" xfId="23862" xr:uid="{00000000-0005-0000-0000-000099030000}"/>
    <cellStyle name="20% - Accent1 2 5 3 7" xfId="17199" xr:uid="{00000000-0005-0000-0000-00009A030000}"/>
    <cellStyle name="20% - Accent1 2 5 4" xfId="151" xr:uid="{00000000-0005-0000-0000-00009B030000}"/>
    <cellStyle name="20% - Accent1 2 5 4 2" xfId="8119" xr:uid="{00000000-0005-0000-0000-00009C030000}"/>
    <cellStyle name="20% - Accent1 2 5 4 2 2" xfId="10338" xr:uid="{00000000-0005-0000-0000-00009D030000}"/>
    <cellStyle name="20% - Accent1 2 5 4 2 2 2" xfId="20901" xr:uid="{00000000-0005-0000-0000-00009E030000}"/>
    <cellStyle name="20% - Accent1 2 5 4 2 3" xfId="12557" xr:uid="{00000000-0005-0000-0000-00009F030000}"/>
    <cellStyle name="20% - Accent1 2 5 4 2 3 2" xfId="23120" xr:uid="{00000000-0005-0000-0000-0000A0030000}"/>
    <cellStyle name="20% - Accent1 2 5 4 2 4" xfId="14776" xr:uid="{00000000-0005-0000-0000-0000A1030000}"/>
    <cellStyle name="20% - Accent1 2 5 4 2 4 2" xfId="25339" xr:uid="{00000000-0005-0000-0000-0000A2030000}"/>
    <cellStyle name="20% - Accent1 2 5 4 2 5" xfId="18682" xr:uid="{00000000-0005-0000-0000-0000A3030000}"/>
    <cellStyle name="20% - Accent1 2 5 4 3" xfId="7386" xr:uid="{00000000-0005-0000-0000-0000A4030000}"/>
    <cellStyle name="20% - Accent1 2 5 4 3 2" xfId="9605" xr:uid="{00000000-0005-0000-0000-0000A5030000}"/>
    <cellStyle name="20% - Accent1 2 5 4 3 2 2" xfId="20168" xr:uid="{00000000-0005-0000-0000-0000A6030000}"/>
    <cellStyle name="20% - Accent1 2 5 4 3 3" xfId="11824" xr:uid="{00000000-0005-0000-0000-0000A7030000}"/>
    <cellStyle name="20% - Accent1 2 5 4 3 3 2" xfId="22387" xr:uid="{00000000-0005-0000-0000-0000A8030000}"/>
    <cellStyle name="20% - Accent1 2 5 4 3 4" xfId="14043" xr:uid="{00000000-0005-0000-0000-0000A9030000}"/>
    <cellStyle name="20% - Accent1 2 5 4 3 4 2" xfId="24606" xr:uid="{00000000-0005-0000-0000-0000AA030000}"/>
    <cellStyle name="20% - Accent1 2 5 4 3 5" xfId="17949" xr:uid="{00000000-0005-0000-0000-0000AB030000}"/>
    <cellStyle name="20% - Accent1 2 5 4 4" xfId="8862" xr:uid="{00000000-0005-0000-0000-0000AC030000}"/>
    <cellStyle name="20% - Accent1 2 5 4 4 2" xfId="19425" xr:uid="{00000000-0005-0000-0000-0000AD030000}"/>
    <cellStyle name="20% - Accent1 2 5 4 5" xfId="11081" xr:uid="{00000000-0005-0000-0000-0000AE030000}"/>
    <cellStyle name="20% - Accent1 2 5 4 5 2" xfId="21644" xr:uid="{00000000-0005-0000-0000-0000AF030000}"/>
    <cellStyle name="20% - Accent1 2 5 4 6" xfId="13300" xr:uid="{00000000-0005-0000-0000-0000B0030000}"/>
    <cellStyle name="20% - Accent1 2 5 4 6 2" xfId="23863" xr:uid="{00000000-0005-0000-0000-0000B1030000}"/>
    <cellStyle name="20% - Accent1 2 5 4 7" xfId="17200" xr:uid="{00000000-0005-0000-0000-0000B2030000}"/>
    <cellStyle name="20% - Accent1 2 5 5" xfId="152" xr:uid="{00000000-0005-0000-0000-0000B3030000}"/>
    <cellStyle name="20% - Accent1 2 5 5 2" xfId="8120" xr:uid="{00000000-0005-0000-0000-0000B4030000}"/>
    <cellStyle name="20% - Accent1 2 5 5 2 2" xfId="10339" xr:uid="{00000000-0005-0000-0000-0000B5030000}"/>
    <cellStyle name="20% - Accent1 2 5 5 2 2 2" xfId="20902" xr:uid="{00000000-0005-0000-0000-0000B6030000}"/>
    <cellStyle name="20% - Accent1 2 5 5 2 3" xfId="12558" xr:uid="{00000000-0005-0000-0000-0000B7030000}"/>
    <cellStyle name="20% - Accent1 2 5 5 2 3 2" xfId="23121" xr:uid="{00000000-0005-0000-0000-0000B8030000}"/>
    <cellStyle name="20% - Accent1 2 5 5 2 4" xfId="14777" xr:uid="{00000000-0005-0000-0000-0000B9030000}"/>
    <cellStyle name="20% - Accent1 2 5 5 2 4 2" xfId="25340" xr:uid="{00000000-0005-0000-0000-0000BA030000}"/>
    <cellStyle name="20% - Accent1 2 5 5 2 5" xfId="18683" xr:uid="{00000000-0005-0000-0000-0000BB030000}"/>
    <cellStyle name="20% - Accent1 2 5 5 3" xfId="7387" xr:uid="{00000000-0005-0000-0000-0000BC030000}"/>
    <cellStyle name="20% - Accent1 2 5 5 3 2" xfId="9606" xr:uid="{00000000-0005-0000-0000-0000BD030000}"/>
    <cellStyle name="20% - Accent1 2 5 5 3 2 2" xfId="20169" xr:uid="{00000000-0005-0000-0000-0000BE030000}"/>
    <cellStyle name="20% - Accent1 2 5 5 3 3" xfId="11825" xr:uid="{00000000-0005-0000-0000-0000BF030000}"/>
    <cellStyle name="20% - Accent1 2 5 5 3 3 2" xfId="22388" xr:uid="{00000000-0005-0000-0000-0000C0030000}"/>
    <cellStyle name="20% - Accent1 2 5 5 3 4" xfId="14044" xr:uid="{00000000-0005-0000-0000-0000C1030000}"/>
    <cellStyle name="20% - Accent1 2 5 5 3 4 2" xfId="24607" xr:uid="{00000000-0005-0000-0000-0000C2030000}"/>
    <cellStyle name="20% - Accent1 2 5 5 3 5" xfId="17950" xr:uid="{00000000-0005-0000-0000-0000C3030000}"/>
    <cellStyle name="20% - Accent1 2 5 5 4" xfId="8863" xr:uid="{00000000-0005-0000-0000-0000C4030000}"/>
    <cellStyle name="20% - Accent1 2 5 5 4 2" xfId="19426" xr:uid="{00000000-0005-0000-0000-0000C5030000}"/>
    <cellStyle name="20% - Accent1 2 5 5 5" xfId="11082" xr:uid="{00000000-0005-0000-0000-0000C6030000}"/>
    <cellStyle name="20% - Accent1 2 5 5 5 2" xfId="21645" xr:uid="{00000000-0005-0000-0000-0000C7030000}"/>
    <cellStyle name="20% - Accent1 2 5 5 6" xfId="13301" xr:uid="{00000000-0005-0000-0000-0000C8030000}"/>
    <cellStyle name="20% - Accent1 2 5 5 6 2" xfId="23864" xr:uid="{00000000-0005-0000-0000-0000C9030000}"/>
    <cellStyle name="20% - Accent1 2 5 5 7" xfId="17201" xr:uid="{00000000-0005-0000-0000-0000CA030000}"/>
    <cellStyle name="20% - Accent1 2 5 6" xfId="153" xr:uid="{00000000-0005-0000-0000-0000CB030000}"/>
    <cellStyle name="20% - Accent1 2 5 6 2" xfId="8121" xr:uid="{00000000-0005-0000-0000-0000CC030000}"/>
    <cellStyle name="20% - Accent1 2 5 6 2 2" xfId="10340" xr:uid="{00000000-0005-0000-0000-0000CD030000}"/>
    <cellStyle name="20% - Accent1 2 5 6 2 2 2" xfId="20903" xr:uid="{00000000-0005-0000-0000-0000CE030000}"/>
    <cellStyle name="20% - Accent1 2 5 6 2 3" xfId="12559" xr:uid="{00000000-0005-0000-0000-0000CF030000}"/>
    <cellStyle name="20% - Accent1 2 5 6 2 3 2" xfId="23122" xr:uid="{00000000-0005-0000-0000-0000D0030000}"/>
    <cellStyle name="20% - Accent1 2 5 6 2 4" xfId="14778" xr:uid="{00000000-0005-0000-0000-0000D1030000}"/>
    <cellStyle name="20% - Accent1 2 5 6 2 4 2" xfId="25341" xr:uid="{00000000-0005-0000-0000-0000D2030000}"/>
    <cellStyle name="20% - Accent1 2 5 6 2 5" xfId="18684" xr:uid="{00000000-0005-0000-0000-0000D3030000}"/>
    <cellStyle name="20% - Accent1 2 5 6 3" xfId="7388" xr:uid="{00000000-0005-0000-0000-0000D4030000}"/>
    <cellStyle name="20% - Accent1 2 5 6 3 2" xfId="9607" xr:uid="{00000000-0005-0000-0000-0000D5030000}"/>
    <cellStyle name="20% - Accent1 2 5 6 3 2 2" xfId="20170" xr:uid="{00000000-0005-0000-0000-0000D6030000}"/>
    <cellStyle name="20% - Accent1 2 5 6 3 3" xfId="11826" xr:uid="{00000000-0005-0000-0000-0000D7030000}"/>
    <cellStyle name="20% - Accent1 2 5 6 3 3 2" xfId="22389" xr:uid="{00000000-0005-0000-0000-0000D8030000}"/>
    <cellStyle name="20% - Accent1 2 5 6 3 4" xfId="14045" xr:uid="{00000000-0005-0000-0000-0000D9030000}"/>
    <cellStyle name="20% - Accent1 2 5 6 3 4 2" xfId="24608" xr:uid="{00000000-0005-0000-0000-0000DA030000}"/>
    <cellStyle name="20% - Accent1 2 5 6 3 5" xfId="17951" xr:uid="{00000000-0005-0000-0000-0000DB030000}"/>
    <cellStyle name="20% - Accent1 2 5 6 4" xfId="8864" xr:uid="{00000000-0005-0000-0000-0000DC030000}"/>
    <cellStyle name="20% - Accent1 2 5 6 4 2" xfId="19427" xr:uid="{00000000-0005-0000-0000-0000DD030000}"/>
    <cellStyle name="20% - Accent1 2 5 6 5" xfId="11083" xr:uid="{00000000-0005-0000-0000-0000DE030000}"/>
    <cellStyle name="20% - Accent1 2 5 6 5 2" xfId="21646" xr:uid="{00000000-0005-0000-0000-0000DF030000}"/>
    <cellStyle name="20% - Accent1 2 5 6 6" xfId="13302" xr:uid="{00000000-0005-0000-0000-0000E0030000}"/>
    <cellStyle name="20% - Accent1 2 5 6 6 2" xfId="23865" xr:uid="{00000000-0005-0000-0000-0000E1030000}"/>
    <cellStyle name="20% - Accent1 2 5 6 7" xfId="17202" xr:uid="{00000000-0005-0000-0000-0000E2030000}"/>
    <cellStyle name="20% - Accent1 2 5 7" xfId="154" xr:uid="{00000000-0005-0000-0000-0000E3030000}"/>
    <cellStyle name="20% - Accent1 2 5 7 2" xfId="8122" xr:uid="{00000000-0005-0000-0000-0000E4030000}"/>
    <cellStyle name="20% - Accent1 2 5 7 2 2" xfId="10341" xr:uid="{00000000-0005-0000-0000-0000E5030000}"/>
    <cellStyle name="20% - Accent1 2 5 7 2 2 2" xfId="20904" xr:uid="{00000000-0005-0000-0000-0000E6030000}"/>
    <cellStyle name="20% - Accent1 2 5 7 2 3" xfId="12560" xr:uid="{00000000-0005-0000-0000-0000E7030000}"/>
    <cellStyle name="20% - Accent1 2 5 7 2 3 2" xfId="23123" xr:uid="{00000000-0005-0000-0000-0000E8030000}"/>
    <cellStyle name="20% - Accent1 2 5 7 2 4" xfId="14779" xr:uid="{00000000-0005-0000-0000-0000E9030000}"/>
    <cellStyle name="20% - Accent1 2 5 7 2 4 2" xfId="25342" xr:uid="{00000000-0005-0000-0000-0000EA030000}"/>
    <cellStyle name="20% - Accent1 2 5 7 2 5" xfId="18685" xr:uid="{00000000-0005-0000-0000-0000EB030000}"/>
    <cellStyle name="20% - Accent1 2 5 7 3" xfId="7389" xr:uid="{00000000-0005-0000-0000-0000EC030000}"/>
    <cellStyle name="20% - Accent1 2 5 7 3 2" xfId="9608" xr:uid="{00000000-0005-0000-0000-0000ED030000}"/>
    <cellStyle name="20% - Accent1 2 5 7 3 2 2" xfId="20171" xr:uid="{00000000-0005-0000-0000-0000EE030000}"/>
    <cellStyle name="20% - Accent1 2 5 7 3 3" xfId="11827" xr:uid="{00000000-0005-0000-0000-0000EF030000}"/>
    <cellStyle name="20% - Accent1 2 5 7 3 3 2" xfId="22390" xr:uid="{00000000-0005-0000-0000-0000F0030000}"/>
    <cellStyle name="20% - Accent1 2 5 7 3 4" xfId="14046" xr:uid="{00000000-0005-0000-0000-0000F1030000}"/>
    <cellStyle name="20% - Accent1 2 5 7 3 4 2" xfId="24609" xr:uid="{00000000-0005-0000-0000-0000F2030000}"/>
    <cellStyle name="20% - Accent1 2 5 7 3 5" xfId="17952" xr:uid="{00000000-0005-0000-0000-0000F3030000}"/>
    <cellStyle name="20% - Accent1 2 5 7 4" xfId="8865" xr:uid="{00000000-0005-0000-0000-0000F4030000}"/>
    <cellStyle name="20% - Accent1 2 5 7 4 2" xfId="19428" xr:uid="{00000000-0005-0000-0000-0000F5030000}"/>
    <cellStyle name="20% - Accent1 2 5 7 5" xfId="11084" xr:uid="{00000000-0005-0000-0000-0000F6030000}"/>
    <cellStyle name="20% - Accent1 2 5 7 5 2" xfId="21647" xr:uid="{00000000-0005-0000-0000-0000F7030000}"/>
    <cellStyle name="20% - Accent1 2 5 7 6" xfId="13303" xr:uid="{00000000-0005-0000-0000-0000F8030000}"/>
    <cellStyle name="20% - Accent1 2 5 7 6 2" xfId="23866" xr:uid="{00000000-0005-0000-0000-0000F9030000}"/>
    <cellStyle name="20% - Accent1 2 5 7 7" xfId="17203" xr:uid="{00000000-0005-0000-0000-0000FA030000}"/>
    <cellStyle name="20% - Accent1 2 5 8" xfId="155" xr:uid="{00000000-0005-0000-0000-0000FB030000}"/>
    <cellStyle name="20% - Accent1 2 5 8 2" xfId="8123" xr:uid="{00000000-0005-0000-0000-0000FC030000}"/>
    <cellStyle name="20% - Accent1 2 5 8 2 2" xfId="10342" xr:uid="{00000000-0005-0000-0000-0000FD030000}"/>
    <cellStyle name="20% - Accent1 2 5 8 2 2 2" xfId="20905" xr:uid="{00000000-0005-0000-0000-0000FE030000}"/>
    <cellStyle name="20% - Accent1 2 5 8 2 3" xfId="12561" xr:uid="{00000000-0005-0000-0000-0000FF030000}"/>
    <cellStyle name="20% - Accent1 2 5 8 2 3 2" xfId="23124" xr:uid="{00000000-0005-0000-0000-000000040000}"/>
    <cellStyle name="20% - Accent1 2 5 8 2 4" xfId="14780" xr:uid="{00000000-0005-0000-0000-000001040000}"/>
    <cellStyle name="20% - Accent1 2 5 8 2 4 2" xfId="25343" xr:uid="{00000000-0005-0000-0000-000002040000}"/>
    <cellStyle name="20% - Accent1 2 5 8 2 5" xfId="18686" xr:uid="{00000000-0005-0000-0000-000003040000}"/>
    <cellStyle name="20% - Accent1 2 5 8 3" xfId="7390" xr:uid="{00000000-0005-0000-0000-000004040000}"/>
    <cellStyle name="20% - Accent1 2 5 8 3 2" xfId="9609" xr:uid="{00000000-0005-0000-0000-000005040000}"/>
    <cellStyle name="20% - Accent1 2 5 8 3 2 2" xfId="20172" xr:uid="{00000000-0005-0000-0000-000006040000}"/>
    <cellStyle name="20% - Accent1 2 5 8 3 3" xfId="11828" xr:uid="{00000000-0005-0000-0000-000007040000}"/>
    <cellStyle name="20% - Accent1 2 5 8 3 3 2" xfId="22391" xr:uid="{00000000-0005-0000-0000-000008040000}"/>
    <cellStyle name="20% - Accent1 2 5 8 3 4" xfId="14047" xr:uid="{00000000-0005-0000-0000-000009040000}"/>
    <cellStyle name="20% - Accent1 2 5 8 3 4 2" xfId="24610" xr:uid="{00000000-0005-0000-0000-00000A040000}"/>
    <cellStyle name="20% - Accent1 2 5 8 3 5" xfId="17953" xr:uid="{00000000-0005-0000-0000-00000B040000}"/>
    <cellStyle name="20% - Accent1 2 5 8 4" xfId="8866" xr:uid="{00000000-0005-0000-0000-00000C040000}"/>
    <cellStyle name="20% - Accent1 2 5 8 4 2" xfId="19429" xr:uid="{00000000-0005-0000-0000-00000D040000}"/>
    <cellStyle name="20% - Accent1 2 5 8 5" xfId="11085" xr:uid="{00000000-0005-0000-0000-00000E040000}"/>
    <cellStyle name="20% - Accent1 2 5 8 5 2" xfId="21648" xr:uid="{00000000-0005-0000-0000-00000F040000}"/>
    <cellStyle name="20% - Accent1 2 5 8 6" xfId="13304" xr:uid="{00000000-0005-0000-0000-000010040000}"/>
    <cellStyle name="20% - Accent1 2 5 8 6 2" xfId="23867" xr:uid="{00000000-0005-0000-0000-000011040000}"/>
    <cellStyle name="20% - Accent1 2 5 8 7" xfId="17204" xr:uid="{00000000-0005-0000-0000-000012040000}"/>
    <cellStyle name="20% - Accent1 2 5 9" xfId="156" xr:uid="{00000000-0005-0000-0000-000013040000}"/>
    <cellStyle name="20% - Accent1 2 5 9 2" xfId="8124" xr:uid="{00000000-0005-0000-0000-000014040000}"/>
    <cellStyle name="20% - Accent1 2 5 9 2 2" xfId="10343" xr:uid="{00000000-0005-0000-0000-000015040000}"/>
    <cellStyle name="20% - Accent1 2 5 9 2 2 2" xfId="20906" xr:uid="{00000000-0005-0000-0000-000016040000}"/>
    <cellStyle name="20% - Accent1 2 5 9 2 3" xfId="12562" xr:uid="{00000000-0005-0000-0000-000017040000}"/>
    <cellStyle name="20% - Accent1 2 5 9 2 3 2" xfId="23125" xr:uid="{00000000-0005-0000-0000-000018040000}"/>
    <cellStyle name="20% - Accent1 2 5 9 2 4" xfId="14781" xr:uid="{00000000-0005-0000-0000-000019040000}"/>
    <cellStyle name="20% - Accent1 2 5 9 2 4 2" xfId="25344" xr:uid="{00000000-0005-0000-0000-00001A040000}"/>
    <cellStyle name="20% - Accent1 2 5 9 2 5" xfId="18687" xr:uid="{00000000-0005-0000-0000-00001B040000}"/>
    <cellStyle name="20% - Accent1 2 5 9 3" xfId="7391" xr:uid="{00000000-0005-0000-0000-00001C040000}"/>
    <cellStyle name="20% - Accent1 2 5 9 3 2" xfId="9610" xr:uid="{00000000-0005-0000-0000-00001D040000}"/>
    <cellStyle name="20% - Accent1 2 5 9 3 2 2" xfId="20173" xr:uid="{00000000-0005-0000-0000-00001E040000}"/>
    <cellStyle name="20% - Accent1 2 5 9 3 3" xfId="11829" xr:uid="{00000000-0005-0000-0000-00001F040000}"/>
    <cellStyle name="20% - Accent1 2 5 9 3 3 2" xfId="22392" xr:uid="{00000000-0005-0000-0000-000020040000}"/>
    <cellStyle name="20% - Accent1 2 5 9 3 4" xfId="14048" xr:uid="{00000000-0005-0000-0000-000021040000}"/>
    <cellStyle name="20% - Accent1 2 5 9 3 4 2" xfId="24611" xr:uid="{00000000-0005-0000-0000-000022040000}"/>
    <cellStyle name="20% - Accent1 2 5 9 3 5" xfId="17954" xr:uid="{00000000-0005-0000-0000-000023040000}"/>
    <cellStyle name="20% - Accent1 2 5 9 4" xfId="8867" xr:uid="{00000000-0005-0000-0000-000024040000}"/>
    <cellStyle name="20% - Accent1 2 5 9 4 2" xfId="19430" xr:uid="{00000000-0005-0000-0000-000025040000}"/>
    <cellStyle name="20% - Accent1 2 5 9 5" xfId="11086" xr:uid="{00000000-0005-0000-0000-000026040000}"/>
    <cellStyle name="20% - Accent1 2 5 9 5 2" xfId="21649" xr:uid="{00000000-0005-0000-0000-000027040000}"/>
    <cellStyle name="20% - Accent1 2 5 9 6" xfId="13305" xr:uid="{00000000-0005-0000-0000-000028040000}"/>
    <cellStyle name="20% - Accent1 2 5 9 6 2" xfId="23868" xr:uid="{00000000-0005-0000-0000-000029040000}"/>
    <cellStyle name="20% - Accent1 2 5 9 7" xfId="17205" xr:uid="{00000000-0005-0000-0000-00002A040000}"/>
    <cellStyle name="20% - Accent1 2 6" xfId="157" xr:uid="{00000000-0005-0000-0000-00002B040000}"/>
    <cellStyle name="20% - Accent1 2 6 2" xfId="8125" xr:uid="{00000000-0005-0000-0000-00002C040000}"/>
    <cellStyle name="20% - Accent1 2 6 2 2" xfId="10344" xr:uid="{00000000-0005-0000-0000-00002D040000}"/>
    <cellStyle name="20% - Accent1 2 6 2 2 2" xfId="20907" xr:uid="{00000000-0005-0000-0000-00002E040000}"/>
    <cellStyle name="20% - Accent1 2 6 2 3" xfId="12563" xr:uid="{00000000-0005-0000-0000-00002F040000}"/>
    <cellStyle name="20% - Accent1 2 6 2 3 2" xfId="23126" xr:uid="{00000000-0005-0000-0000-000030040000}"/>
    <cellStyle name="20% - Accent1 2 6 2 4" xfId="14782" xr:uid="{00000000-0005-0000-0000-000031040000}"/>
    <cellStyle name="20% - Accent1 2 6 2 4 2" xfId="25345" xr:uid="{00000000-0005-0000-0000-000032040000}"/>
    <cellStyle name="20% - Accent1 2 6 2 5" xfId="18688" xr:uid="{00000000-0005-0000-0000-000033040000}"/>
    <cellStyle name="20% - Accent1 2 6 3" xfId="7392" xr:uid="{00000000-0005-0000-0000-000034040000}"/>
    <cellStyle name="20% - Accent1 2 6 3 2" xfId="9611" xr:uid="{00000000-0005-0000-0000-000035040000}"/>
    <cellStyle name="20% - Accent1 2 6 3 2 2" xfId="20174" xr:uid="{00000000-0005-0000-0000-000036040000}"/>
    <cellStyle name="20% - Accent1 2 6 3 3" xfId="11830" xr:uid="{00000000-0005-0000-0000-000037040000}"/>
    <cellStyle name="20% - Accent1 2 6 3 3 2" xfId="22393" xr:uid="{00000000-0005-0000-0000-000038040000}"/>
    <cellStyle name="20% - Accent1 2 6 3 4" xfId="14049" xr:uid="{00000000-0005-0000-0000-000039040000}"/>
    <cellStyle name="20% - Accent1 2 6 3 4 2" xfId="24612" xr:uid="{00000000-0005-0000-0000-00003A040000}"/>
    <cellStyle name="20% - Accent1 2 6 3 5" xfId="17955" xr:uid="{00000000-0005-0000-0000-00003B040000}"/>
    <cellStyle name="20% - Accent1 2 6 4" xfId="8868" xr:uid="{00000000-0005-0000-0000-00003C040000}"/>
    <cellStyle name="20% - Accent1 2 6 4 2" xfId="19431" xr:uid="{00000000-0005-0000-0000-00003D040000}"/>
    <cellStyle name="20% - Accent1 2 6 5" xfId="11087" xr:uid="{00000000-0005-0000-0000-00003E040000}"/>
    <cellStyle name="20% - Accent1 2 6 5 2" xfId="21650" xr:uid="{00000000-0005-0000-0000-00003F040000}"/>
    <cellStyle name="20% - Accent1 2 6 6" xfId="13306" xr:uid="{00000000-0005-0000-0000-000040040000}"/>
    <cellStyle name="20% - Accent1 2 6 6 2" xfId="23869" xr:uid="{00000000-0005-0000-0000-000041040000}"/>
    <cellStyle name="20% - Accent1 2 6 7" xfId="17206" xr:uid="{00000000-0005-0000-0000-000042040000}"/>
    <cellStyle name="20% - Accent1 2 7" xfId="158" xr:uid="{00000000-0005-0000-0000-000043040000}"/>
    <cellStyle name="20% - Accent1 2 7 2" xfId="8126" xr:uid="{00000000-0005-0000-0000-000044040000}"/>
    <cellStyle name="20% - Accent1 2 7 2 2" xfId="10345" xr:uid="{00000000-0005-0000-0000-000045040000}"/>
    <cellStyle name="20% - Accent1 2 7 2 2 2" xfId="20908" xr:uid="{00000000-0005-0000-0000-000046040000}"/>
    <cellStyle name="20% - Accent1 2 7 2 3" xfId="12564" xr:uid="{00000000-0005-0000-0000-000047040000}"/>
    <cellStyle name="20% - Accent1 2 7 2 3 2" xfId="23127" xr:uid="{00000000-0005-0000-0000-000048040000}"/>
    <cellStyle name="20% - Accent1 2 7 2 4" xfId="14783" xr:uid="{00000000-0005-0000-0000-000049040000}"/>
    <cellStyle name="20% - Accent1 2 7 2 4 2" xfId="25346" xr:uid="{00000000-0005-0000-0000-00004A040000}"/>
    <cellStyle name="20% - Accent1 2 7 2 5" xfId="18689" xr:uid="{00000000-0005-0000-0000-00004B040000}"/>
    <cellStyle name="20% - Accent1 2 7 3" xfId="7393" xr:uid="{00000000-0005-0000-0000-00004C040000}"/>
    <cellStyle name="20% - Accent1 2 7 3 2" xfId="9612" xr:uid="{00000000-0005-0000-0000-00004D040000}"/>
    <cellStyle name="20% - Accent1 2 7 3 2 2" xfId="20175" xr:uid="{00000000-0005-0000-0000-00004E040000}"/>
    <cellStyle name="20% - Accent1 2 7 3 3" xfId="11831" xr:uid="{00000000-0005-0000-0000-00004F040000}"/>
    <cellStyle name="20% - Accent1 2 7 3 3 2" xfId="22394" xr:uid="{00000000-0005-0000-0000-000050040000}"/>
    <cellStyle name="20% - Accent1 2 7 3 4" xfId="14050" xr:uid="{00000000-0005-0000-0000-000051040000}"/>
    <cellStyle name="20% - Accent1 2 7 3 4 2" xfId="24613" xr:uid="{00000000-0005-0000-0000-000052040000}"/>
    <cellStyle name="20% - Accent1 2 7 3 5" xfId="17956" xr:uid="{00000000-0005-0000-0000-000053040000}"/>
    <cellStyle name="20% - Accent1 2 7 4" xfId="8869" xr:uid="{00000000-0005-0000-0000-000054040000}"/>
    <cellStyle name="20% - Accent1 2 7 4 2" xfId="19432" xr:uid="{00000000-0005-0000-0000-000055040000}"/>
    <cellStyle name="20% - Accent1 2 7 5" xfId="11088" xr:uid="{00000000-0005-0000-0000-000056040000}"/>
    <cellStyle name="20% - Accent1 2 7 5 2" xfId="21651" xr:uid="{00000000-0005-0000-0000-000057040000}"/>
    <cellStyle name="20% - Accent1 2 7 6" xfId="13307" xr:uid="{00000000-0005-0000-0000-000058040000}"/>
    <cellStyle name="20% - Accent1 2 7 6 2" xfId="23870" xr:uid="{00000000-0005-0000-0000-000059040000}"/>
    <cellStyle name="20% - Accent1 2 7 7" xfId="17207" xr:uid="{00000000-0005-0000-0000-00005A040000}"/>
    <cellStyle name="20% - Accent1 2 8" xfId="159" xr:uid="{00000000-0005-0000-0000-00005B040000}"/>
    <cellStyle name="20% - Accent1 2 8 2" xfId="8127" xr:uid="{00000000-0005-0000-0000-00005C040000}"/>
    <cellStyle name="20% - Accent1 2 8 2 2" xfId="10346" xr:uid="{00000000-0005-0000-0000-00005D040000}"/>
    <cellStyle name="20% - Accent1 2 8 2 2 2" xfId="20909" xr:uid="{00000000-0005-0000-0000-00005E040000}"/>
    <cellStyle name="20% - Accent1 2 8 2 3" xfId="12565" xr:uid="{00000000-0005-0000-0000-00005F040000}"/>
    <cellStyle name="20% - Accent1 2 8 2 3 2" xfId="23128" xr:uid="{00000000-0005-0000-0000-000060040000}"/>
    <cellStyle name="20% - Accent1 2 8 2 4" xfId="14784" xr:uid="{00000000-0005-0000-0000-000061040000}"/>
    <cellStyle name="20% - Accent1 2 8 2 4 2" xfId="25347" xr:uid="{00000000-0005-0000-0000-000062040000}"/>
    <cellStyle name="20% - Accent1 2 8 2 5" xfId="18690" xr:uid="{00000000-0005-0000-0000-000063040000}"/>
    <cellStyle name="20% - Accent1 2 8 3" xfId="7394" xr:uid="{00000000-0005-0000-0000-000064040000}"/>
    <cellStyle name="20% - Accent1 2 8 3 2" xfId="9613" xr:uid="{00000000-0005-0000-0000-000065040000}"/>
    <cellStyle name="20% - Accent1 2 8 3 2 2" xfId="20176" xr:uid="{00000000-0005-0000-0000-000066040000}"/>
    <cellStyle name="20% - Accent1 2 8 3 3" xfId="11832" xr:uid="{00000000-0005-0000-0000-000067040000}"/>
    <cellStyle name="20% - Accent1 2 8 3 3 2" xfId="22395" xr:uid="{00000000-0005-0000-0000-000068040000}"/>
    <cellStyle name="20% - Accent1 2 8 3 4" xfId="14051" xr:uid="{00000000-0005-0000-0000-000069040000}"/>
    <cellStyle name="20% - Accent1 2 8 3 4 2" xfId="24614" xr:uid="{00000000-0005-0000-0000-00006A040000}"/>
    <cellStyle name="20% - Accent1 2 8 3 5" xfId="17957" xr:uid="{00000000-0005-0000-0000-00006B040000}"/>
    <cellStyle name="20% - Accent1 2 8 4" xfId="8870" xr:uid="{00000000-0005-0000-0000-00006C040000}"/>
    <cellStyle name="20% - Accent1 2 8 4 2" xfId="19433" xr:uid="{00000000-0005-0000-0000-00006D040000}"/>
    <cellStyle name="20% - Accent1 2 8 5" xfId="11089" xr:uid="{00000000-0005-0000-0000-00006E040000}"/>
    <cellStyle name="20% - Accent1 2 8 5 2" xfId="21652" xr:uid="{00000000-0005-0000-0000-00006F040000}"/>
    <cellStyle name="20% - Accent1 2 8 6" xfId="13308" xr:uid="{00000000-0005-0000-0000-000070040000}"/>
    <cellStyle name="20% - Accent1 2 8 6 2" xfId="23871" xr:uid="{00000000-0005-0000-0000-000071040000}"/>
    <cellStyle name="20% - Accent1 2 8 7" xfId="17208" xr:uid="{00000000-0005-0000-0000-000072040000}"/>
    <cellStyle name="20% - Accent1 2 9" xfId="160" xr:uid="{00000000-0005-0000-0000-000073040000}"/>
    <cellStyle name="20% - Accent1 2 9 2" xfId="8128" xr:uid="{00000000-0005-0000-0000-000074040000}"/>
    <cellStyle name="20% - Accent1 2 9 2 2" xfId="10347" xr:uid="{00000000-0005-0000-0000-000075040000}"/>
    <cellStyle name="20% - Accent1 2 9 2 2 2" xfId="20910" xr:uid="{00000000-0005-0000-0000-000076040000}"/>
    <cellStyle name="20% - Accent1 2 9 2 3" xfId="12566" xr:uid="{00000000-0005-0000-0000-000077040000}"/>
    <cellStyle name="20% - Accent1 2 9 2 3 2" xfId="23129" xr:uid="{00000000-0005-0000-0000-000078040000}"/>
    <cellStyle name="20% - Accent1 2 9 2 4" xfId="14785" xr:uid="{00000000-0005-0000-0000-000079040000}"/>
    <cellStyle name="20% - Accent1 2 9 2 4 2" xfId="25348" xr:uid="{00000000-0005-0000-0000-00007A040000}"/>
    <cellStyle name="20% - Accent1 2 9 2 5" xfId="18691" xr:uid="{00000000-0005-0000-0000-00007B040000}"/>
    <cellStyle name="20% - Accent1 2 9 3" xfId="7395" xr:uid="{00000000-0005-0000-0000-00007C040000}"/>
    <cellStyle name="20% - Accent1 2 9 3 2" xfId="9614" xr:uid="{00000000-0005-0000-0000-00007D040000}"/>
    <cellStyle name="20% - Accent1 2 9 3 2 2" xfId="20177" xr:uid="{00000000-0005-0000-0000-00007E040000}"/>
    <cellStyle name="20% - Accent1 2 9 3 3" xfId="11833" xr:uid="{00000000-0005-0000-0000-00007F040000}"/>
    <cellStyle name="20% - Accent1 2 9 3 3 2" xfId="22396" xr:uid="{00000000-0005-0000-0000-000080040000}"/>
    <cellStyle name="20% - Accent1 2 9 3 4" xfId="14052" xr:uid="{00000000-0005-0000-0000-000081040000}"/>
    <cellStyle name="20% - Accent1 2 9 3 4 2" xfId="24615" xr:uid="{00000000-0005-0000-0000-000082040000}"/>
    <cellStyle name="20% - Accent1 2 9 3 5" xfId="17958" xr:uid="{00000000-0005-0000-0000-000083040000}"/>
    <cellStyle name="20% - Accent1 2 9 4" xfId="8871" xr:uid="{00000000-0005-0000-0000-000084040000}"/>
    <cellStyle name="20% - Accent1 2 9 4 2" xfId="19434" xr:uid="{00000000-0005-0000-0000-000085040000}"/>
    <cellStyle name="20% - Accent1 2 9 5" xfId="11090" xr:uid="{00000000-0005-0000-0000-000086040000}"/>
    <cellStyle name="20% - Accent1 2 9 5 2" xfId="21653" xr:uid="{00000000-0005-0000-0000-000087040000}"/>
    <cellStyle name="20% - Accent1 2 9 6" xfId="13309" xr:uid="{00000000-0005-0000-0000-000088040000}"/>
    <cellStyle name="20% - Accent1 2 9 6 2" xfId="23872" xr:uid="{00000000-0005-0000-0000-000089040000}"/>
    <cellStyle name="20% - Accent1 2 9 7" xfId="17209" xr:uid="{00000000-0005-0000-0000-00008A040000}"/>
    <cellStyle name="20% - Accent1 20" xfId="161" xr:uid="{00000000-0005-0000-0000-00008B040000}"/>
    <cellStyle name="20% - Accent1 21" xfId="162" xr:uid="{00000000-0005-0000-0000-00008C040000}"/>
    <cellStyle name="20% - Accent1 22" xfId="163" xr:uid="{00000000-0005-0000-0000-00008D040000}"/>
    <cellStyle name="20% - Accent1 23" xfId="164" xr:uid="{00000000-0005-0000-0000-00008E040000}"/>
    <cellStyle name="20% - Accent1 24" xfId="165" xr:uid="{00000000-0005-0000-0000-00008F040000}"/>
    <cellStyle name="20% - Accent1 25" xfId="166" xr:uid="{00000000-0005-0000-0000-000090040000}"/>
    <cellStyle name="20% - Accent1 26" xfId="167" xr:uid="{00000000-0005-0000-0000-000091040000}"/>
    <cellStyle name="20% - Accent1 27" xfId="168" xr:uid="{00000000-0005-0000-0000-000092040000}"/>
    <cellStyle name="20% - Accent1 3" xfId="169" xr:uid="{00000000-0005-0000-0000-000093040000}"/>
    <cellStyle name="20% - Accent1 3 10" xfId="170" xr:uid="{00000000-0005-0000-0000-000094040000}"/>
    <cellStyle name="20% - Accent1 3 2" xfId="171" xr:uid="{00000000-0005-0000-0000-000095040000}"/>
    <cellStyle name="20% - Accent1 3 2 2" xfId="8129" xr:uid="{00000000-0005-0000-0000-000096040000}"/>
    <cellStyle name="20% - Accent1 3 2 2 2" xfId="10348" xr:uid="{00000000-0005-0000-0000-000097040000}"/>
    <cellStyle name="20% - Accent1 3 2 2 2 2" xfId="20911" xr:uid="{00000000-0005-0000-0000-000098040000}"/>
    <cellStyle name="20% - Accent1 3 2 2 3" xfId="12567" xr:uid="{00000000-0005-0000-0000-000099040000}"/>
    <cellStyle name="20% - Accent1 3 2 2 3 2" xfId="23130" xr:uid="{00000000-0005-0000-0000-00009A040000}"/>
    <cellStyle name="20% - Accent1 3 2 2 4" xfId="14786" xr:uid="{00000000-0005-0000-0000-00009B040000}"/>
    <cellStyle name="20% - Accent1 3 2 2 4 2" xfId="25349" xr:uid="{00000000-0005-0000-0000-00009C040000}"/>
    <cellStyle name="20% - Accent1 3 2 2 5" xfId="18692" xr:uid="{00000000-0005-0000-0000-00009D040000}"/>
    <cellStyle name="20% - Accent1 3 2 3" xfId="7396" xr:uid="{00000000-0005-0000-0000-00009E040000}"/>
    <cellStyle name="20% - Accent1 3 2 3 2" xfId="9615" xr:uid="{00000000-0005-0000-0000-00009F040000}"/>
    <cellStyle name="20% - Accent1 3 2 3 2 2" xfId="20178" xr:uid="{00000000-0005-0000-0000-0000A0040000}"/>
    <cellStyle name="20% - Accent1 3 2 3 3" xfId="11834" xr:uid="{00000000-0005-0000-0000-0000A1040000}"/>
    <cellStyle name="20% - Accent1 3 2 3 3 2" xfId="22397" xr:uid="{00000000-0005-0000-0000-0000A2040000}"/>
    <cellStyle name="20% - Accent1 3 2 3 4" xfId="14053" xr:uid="{00000000-0005-0000-0000-0000A3040000}"/>
    <cellStyle name="20% - Accent1 3 2 3 4 2" xfId="24616" xr:uid="{00000000-0005-0000-0000-0000A4040000}"/>
    <cellStyle name="20% - Accent1 3 2 3 5" xfId="17959" xr:uid="{00000000-0005-0000-0000-0000A5040000}"/>
    <cellStyle name="20% - Accent1 3 2 4" xfId="8872" xr:uid="{00000000-0005-0000-0000-0000A6040000}"/>
    <cellStyle name="20% - Accent1 3 2 4 2" xfId="19435" xr:uid="{00000000-0005-0000-0000-0000A7040000}"/>
    <cellStyle name="20% - Accent1 3 2 5" xfId="11091" xr:uid="{00000000-0005-0000-0000-0000A8040000}"/>
    <cellStyle name="20% - Accent1 3 2 5 2" xfId="21654" xr:uid="{00000000-0005-0000-0000-0000A9040000}"/>
    <cellStyle name="20% - Accent1 3 2 6" xfId="13310" xr:uid="{00000000-0005-0000-0000-0000AA040000}"/>
    <cellStyle name="20% - Accent1 3 2 6 2" xfId="23873" xr:uid="{00000000-0005-0000-0000-0000AB040000}"/>
    <cellStyle name="20% - Accent1 3 2 7" xfId="17210" xr:uid="{00000000-0005-0000-0000-0000AC040000}"/>
    <cellStyle name="20% - Accent1 3 3" xfId="172" xr:uid="{00000000-0005-0000-0000-0000AD040000}"/>
    <cellStyle name="20% - Accent1 3 3 2" xfId="8130" xr:uid="{00000000-0005-0000-0000-0000AE040000}"/>
    <cellStyle name="20% - Accent1 3 3 2 2" xfId="10349" xr:uid="{00000000-0005-0000-0000-0000AF040000}"/>
    <cellStyle name="20% - Accent1 3 3 2 2 2" xfId="20912" xr:uid="{00000000-0005-0000-0000-0000B0040000}"/>
    <cellStyle name="20% - Accent1 3 3 2 3" xfId="12568" xr:uid="{00000000-0005-0000-0000-0000B1040000}"/>
    <cellStyle name="20% - Accent1 3 3 2 3 2" xfId="23131" xr:uid="{00000000-0005-0000-0000-0000B2040000}"/>
    <cellStyle name="20% - Accent1 3 3 2 4" xfId="14787" xr:uid="{00000000-0005-0000-0000-0000B3040000}"/>
    <cellStyle name="20% - Accent1 3 3 2 4 2" xfId="25350" xr:uid="{00000000-0005-0000-0000-0000B4040000}"/>
    <cellStyle name="20% - Accent1 3 3 2 5" xfId="18693" xr:uid="{00000000-0005-0000-0000-0000B5040000}"/>
    <cellStyle name="20% - Accent1 3 3 3" xfId="7397" xr:uid="{00000000-0005-0000-0000-0000B6040000}"/>
    <cellStyle name="20% - Accent1 3 3 3 2" xfId="9616" xr:uid="{00000000-0005-0000-0000-0000B7040000}"/>
    <cellStyle name="20% - Accent1 3 3 3 2 2" xfId="20179" xr:uid="{00000000-0005-0000-0000-0000B8040000}"/>
    <cellStyle name="20% - Accent1 3 3 3 3" xfId="11835" xr:uid="{00000000-0005-0000-0000-0000B9040000}"/>
    <cellStyle name="20% - Accent1 3 3 3 3 2" xfId="22398" xr:uid="{00000000-0005-0000-0000-0000BA040000}"/>
    <cellStyle name="20% - Accent1 3 3 3 4" xfId="14054" xr:uid="{00000000-0005-0000-0000-0000BB040000}"/>
    <cellStyle name="20% - Accent1 3 3 3 4 2" xfId="24617" xr:uid="{00000000-0005-0000-0000-0000BC040000}"/>
    <cellStyle name="20% - Accent1 3 3 3 5" xfId="17960" xr:uid="{00000000-0005-0000-0000-0000BD040000}"/>
    <cellStyle name="20% - Accent1 3 3 4" xfId="8873" xr:uid="{00000000-0005-0000-0000-0000BE040000}"/>
    <cellStyle name="20% - Accent1 3 3 4 2" xfId="19436" xr:uid="{00000000-0005-0000-0000-0000BF040000}"/>
    <cellStyle name="20% - Accent1 3 3 5" xfId="11092" xr:uid="{00000000-0005-0000-0000-0000C0040000}"/>
    <cellStyle name="20% - Accent1 3 3 5 2" xfId="21655" xr:uid="{00000000-0005-0000-0000-0000C1040000}"/>
    <cellStyle name="20% - Accent1 3 3 6" xfId="13311" xr:uid="{00000000-0005-0000-0000-0000C2040000}"/>
    <cellStyle name="20% - Accent1 3 3 6 2" xfId="23874" xr:uid="{00000000-0005-0000-0000-0000C3040000}"/>
    <cellStyle name="20% - Accent1 3 3 7" xfId="17211" xr:uid="{00000000-0005-0000-0000-0000C4040000}"/>
    <cellStyle name="20% - Accent1 3 4" xfId="173" xr:uid="{00000000-0005-0000-0000-0000C5040000}"/>
    <cellStyle name="20% - Accent1 3 4 2" xfId="8131" xr:uid="{00000000-0005-0000-0000-0000C6040000}"/>
    <cellStyle name="20% - Accent1 3 4 2 2" xfId="10350" xr:uid="{00000000-0005-0000-0000-0000C7040000}"/>
    <cellStyle name="20% - Accent1 3 4 2 2 2" xfId="20913" xr:uid="{00000000-0005-0000-0000-0000C8040000}"/>
    <cellStyle name="20% - Accent1 3 4 2 3" xfId="12569" xr:uid="{00000000-0005-0000-0000-0000C9040000}"/>
    <cellStyle name="20% - Accent1 3 4 2 3 2" xfId="23132" xr:uid="{00000000-0005-0000-0000-0000CA040000}"/>
    <cellStyle name="20% - Accent1 3 4 2 4" xfId="14788" xr:uid="{00000000-0005-0000-0000-0000CB040000}"/>
    <cellStyle name="20% - Accent1 3 4 2 4 2" xfId="25351" xr:uid="{00000000-0005-0000-0000-0000CC040000}"/>
    <cellStyle name="20% - Accent1 3 4 2 5" xfId="18694" xr:uid="{00000000-0005-0000-0000-0000CD040000}"/>
    <cellStyle name="20% - Accent1 3 4 3" xfId="7398" xr:uid="{00000000-0005-0000-0000-0000CE040000}"/>
    <cellStyle name="20% - Accent1 3 4 3 2" xfId="9617" xr:uid="{00000000-0005-0000-0000-0000CF040000}"/>
    <cellStyle name="20% - Accent1 3 4 3 2 2" xfId="20180" xr:uid="{00000000-0005-0000-0000-0000D0040000}"/>
    <cellStyle name="20% - Accent1 3 4 3 3" xfId="11836" xr:uid="{00000000-0005-0000-0000-0000D1040000}"/>
    <cellStyle name="20% - Accent1 3 4 3 3 2" xfId="22399" xr:uid="{00000000-0005-0000-0000-0000D2040000}"/>
    <cellStyle name="20% - Accent1 3 4 3 4" xfId="14055" xr:uid="{00000000-0005-0000-0000-0000D3040000}"/>
    <cellStyle name="20% - Accent1 3 4 3 4 2" xfId="24618" xr:uid="{00000000-0005-0000-0000-0000D4040000}"/>
    <cellStyle name="20% - Accent1 3 4 3 5" xfId="17961" xr:uid="{00000000-0005-0000-0000-0000D5040000}"/>
    <cellStyle name="20% - Accent1 3 4 4" xfId="8874" xr:uid="{00000000-0005-0000-0000-0000D6040000}"/>
    <cellStyle name="20% - Accent1 3 4 4 2" xfId="19437" xr:uid="{00000000-0005-0000-0000-0000D7040000}"/>
    <cellStyle name="20% - Accent1 3 4 5" xfId="11093" xr:uid="{00000000-0005-0000-0000-0000D8040000}"/>
    <cellStyle name="20% - Accent1 3 4 5 2" xfId="21656" xr:uid="{00000000-0005-0000-0000-0000D9040000}"/>
    <cellStyle name="20% - Accent1 3 4 6" xfId="13312" xr:uid="{00000000-0005-0000-0000-0000DA040000}"/>
    <cellStyle name="20% - Accent1 3 4 6 2" xfId="23875" xr:uid="{00000000-0005-0000-0000-0000DB040000}"/>
    <cellStyle name="20% - Accent1 3 4 7" xfId="17212" xr:uid="{00000000-0005-0000-0000-0000DC040000}"/>
    <cellStyle name="20% - Accent1 3 5" xfId="174" xr:uid="{00000000-0005-0000-0000-0000DD040000}"/>
    <cellStyle name="20% - Accent1 3 5 2" xfId="8132" xr:uid="{00000000-0005-0000-0000-0000DE040000}"/>
    <cellStyle name="20% - Accent1 3 5 2 2" xfId="10351" xr:uid="{00000000-0005-0000-0000-0000DF040000}"/>
    <cellStyle name="20% - Accent1 3 5 2 2 2" xfId="20914" xr:uid="{00000000-0005-0000-0000-0000E0040000}"/>
    <cellStyle name="20% - Accent1 3 5 2 3" xfId="12570" xr:uid="{00000000-0005-0000-0000-0000E1040000}"/>
    <cellStyle name="20% - Accent1 3 5 2 3 2" xfId="23133" xr:uid="{00000000-0005-0000-0000-0000E2040000}"/>
    <cellStyle name="20% - Accent1 3 5 2 4" xfId="14789" xr:uid="{00000000-0005-0000-0000-0000E3040000}"/>
    <cellStyle name="20% - Accent1 3 5 2 4 2" xfId="25352" xr:uid="{00000000-0005-0000-0000-0000E4040000}"/>
    <cellStyle name="20% - Accent1 3 5 2 5" xfId="18695" xr:uid="{00000000-0005-0000-0000-0000E5040000}"/>
    <cellStyle name="20% - Accent1 3 5 3" xfId="7399" xr:uid="{00000000-0005-0000-0000-0000E6040000}"/>
    <cellStyle name="20% - Accent1 3 5 3 2" xfId="9618" xr:uid="{00000000-0005-0000-0000-0000E7040000}"/>
    <cellStyle name="20% - Accent1 3 5 3 2 2" xfId="20181" xr:uid="{00000000-0005-0000-0000-0000E8040000}"/>
    <cellStyle name="20% - Accent1 3 5 3 3" xfId="11837" xr:uid="{00000000-0005-0000-0000-0000E9040000}"/>
    <cellStyle name="20% - Accent1 3 5 3 3 2" xfId="22400" xr:uid="{00000000-0005-0000-0000-0000EA040000}"/>
    <cellStyle name="20% - Accent1 3 5 3 4" xfId="14056" xr:uid="{00000000-0005-0000-0000-0000EB040000}"/>
    <cellStyle name="20% - Accent1 3 5 3 4 2" xfId="24619" xr:uid="{00000000-0005-0000-0000-0000EC040000}"/>
    <cellStyle name="20% - Accent1 3 5 3 5" xfId="17962" xr:uid="{00000000-0005-0000-0000-0000ED040000}"/>
    <cellStyle name="20% - Accent1 3 5 4" xfId="8875" xr:uid="{00000000-0005-0000-0000-0000EE040000}"/>
    <cellStyle name="20% - Accent1 3 5 4 2" xfId="19438" xr:uid="{00000000-0005-0000-0000-0000EF040000}"/>
    <cellStyle name="20% - Accent1 3 5 5" xfId="11094" xr:uid="{00000000-0005-0000-0000-0000F0040000}"/>
    <cellStyle name="20% - Accent1 3 5 5 2" xfId="21657" xr:uid="{00000000-0005-0000-0000-0000F1040000}"/>
    <cellStyle name="20% - Accent1 3 5 6" xfId="13313" xr:uid="{00000000-0005-0000-0000-0000F2040000}"/>
    <cellStyle name="20% - Accent1 3 5 6 2" xfId="23876" xr:uid="{00000000-0005-0000-0000-0000F3040000}"/>
    <cellStyle name="20% - Accent1 3 5 7" xfId="17213" xr:uid="{00000000-0005-0000-0000-0000F4040000}"/>
    <cellStyle name="20% - Accent1 3 6" xfId="175" xr:uid="{00000000-0005-0000-0000-0000F5040000}"/>
    <cellStyle name="20% - Accent1 3 7" xfId="176" xr:uid="{00000000-0005-0000-0000-0000F6040000}"/>
    <cellStyle name="20% - Accent1 3 8" xfId="177" xr:uid="{00000000-0005-0000-0000-0000F7040000}"/>
    <cellStyle name="20% - Accent1 3 9" xfId="178" xr:uid="{00000000-0005-0000-0000-0000F8040000}"/>
    <cellStyle name="20% - Accent1 4" xfId="179" xr:uid="{00000000-0005-0000-0000-0000F9040000}"/>
    <cellStyle name="20% - Accent1 4 2" xfId="180" xr:uid="{00000000-0005-0000-0000-0000FA040000}"/>
    <cellStyle name="20% - Accent1 4 3" xfId="181" xr:uid="{00000000-0005-0000-0000-0000FB040000}"/>
    <cellStyle name="20% - Accent1 4 4" xfId="182" xr:uid="{00000000-0005-0000-0000-0000FC040000}"/>
    <cellStyle name="20% - Accent1 4 5" xfId="183" xr:uid="{00000000-0005-0000-0000-0000FD040000}"/>
    <cellStyle name="20% - Accent1 4 6" xfId="184" xr:uid="{00000000-0005-0000-0000-0000FE040000}"/>
    <cellStyle name="20% - Accent1 5" xfId="185" xr:uid="{00000000-0005-0000-0000-0000FF040000}"/>
    <cellStyle name="20% - Accent1 5 2" xfId="186" xr:uid="{00000000-0005-0000-0000-000000050000}"/>
    <cellStyle name="20% - Accent1 5 3" xfId="187" xr:uid="{00000000-0005-0000-0000-000001050000}"/>
    <cellStyle name="20% - Accent1 5 4" xfId="188" xr:uid="{00000000-0005-0000-0000-000002050000}"/>
    <cellStyle name="20% - Accent1 5 5" xfId="189" xr:uid="{00000000-0005-0000-0000-000003050000}"/>
    <cellStyle name="20% - Accent1 5 6" xfId="190" xr:uid="{00000000-0005-0000-0000-000004050000}"/>
    <cellStyle name="20% - Accent1 6" xfId="191" xr:uid="{00000000-0005-0000-0000-000005050000}"/>
    <cellStyle name="20% - Accent1 6 2" xfId="192" xr:uid="{00000000-0005-0000-0000-000006050000}"/>
    <cellStyle name="20% - Accent1 6 3" xfId="193" xr:uid="{00000000-0005-0000-0000-000007050000}"/>
    <cellStyle name="20% - Accent1 6 4" xfId="194" xr:uid="{00000000-0005-0000-0000-000008050000}"/>
    <cellStyle name="20% - Accent1 6 5" xfId="195" xr:uid="{00000000-0005-0000-0000-000009050000}"/>
    <cellStyle name="20% - Accent1 6 6" xfId="196" xr:uid="{00000000-0005-0000-0000-00000A050000}"/>
    <cellStyle name="20% - Accent1 7" xfId="197" xr:uid="{00000000-0005-0000-0000-00000B050000}"/>
    <cellStyle name="20% - Accent1 7 10" xfId="11095" xr:uid="{00000000-0005-0000-0000-00000C050000}"/>
    <cellStyle name="20% - Accent1 7 10 2" xfId="21658" xr:uid="{00000000-0005-0000-0000-00000D050000}"/>
    <cellStyle name="20% - Accent1 7 11" xfId="13314" xr:uid="{00000000-0005-0000-0000-00000E050000}"/>
    <cellStyle name="20% - Accent1 7 11 2" xfId="23877" xr:uid="{00000000-0005-0000-0000-00000F050000}"/>
    <cellStyle name="20% - Accent1 7 12" xfId="17214" xr:uid="{00000000-0005-0000-0000-000010050000}"/>
    <cellStyle name="20% - Accent1 7 2" xfId="198" xr:uid="{00000000-0005-0000-0000-000011050000}"/>
    <cellStyle name="20% - Accent1 7 3" xfId="199" xr:uid="{00000000-0005-0000-0000-000012050000}"/>
    <cellStyle name="20% - Accent1 7 4" xfId="200" xr:uid="{00000000-0005-0000-0000-000013050000}"/>
    <cellStyle name="20% - Accent1 7 5" xfId="201" xr:uid="{00000000-0005-0000-0000-000014050000}"/>
    <cellStyle name="20% - Accent1 7 6" xfId="202" xr:uid="{00000000-0005-0000-0000-000015050000}"/>
    <cellStyle name="20% - Accent1 7 7" xfId="8133" xr:uid="{00000000-0005-0000-0000-000016050000}"/>
    <cellStyle name="20% - Accent1 7 7 2" xfId="10352" xr:uid="{00000000-0005-0000-0000-000017050000}"/>
    <cellStyle name="20% - Accent1 7 7 2 2" xfId="20915" xr:uid="{00000000-0005-0000-0000-000018050000}"/>
    <cellStyle name="20% - Accent1 7 7 3" xfId="12571" xr:uid="{00000000-0005-0000-0000-000019050000}"/>
    <cellStyle name="20% - Accent1 7 7 3 2" xfId="23134" xr:uid="{00000000-0005-0000-0000-00001A050000}"/>
    <cellStyle name="20% - Accent1 7 7 4" xfId="14790" xr:uid="{00000000-0005-0000-0000-00001B050000}"/>
    <cellStyle name="20% - Accent1 7 7 4 2" xfId="25353" xr:uid="{00000000-0005-0000-0000-00001C050000}"/>
    <cellStyle name="20% - Accent1 7 7 5" xfId="18696" xr:uid="{00000000-0005-0000-0000-00001D050000}"/>
    <cellStyle name="20% - Accent1 7 8" xfId="7400" xr:uid="{00000000-0005-0000-0000-00001E050000}"/>
    <cellStyle name="20% - Accent1 7 8 2" xfId="9619" xr:uid="{00000000-0005-0000-0000-00001F050000}"/>
    <cellStyle name="20% - Accent1 7 8 2 2" xfId="20182" xr:uid="{00000000-0005-0000-0000-000020050000}"/>
    <cellStyle name="20% - Accent1 7 8 3" xfId="11838" xr:uid="{00000000-0005-0000-0000-000021050000}"/>
    <cellStyle name="20% - Accent1 7 8 3 2" xfId="22401" xr:uid="{00000000-0005-0000-0000-000022050000}"/>
    <cellStyle name="20% - Accent1 7 8 4" xfId="14057" xr:uid="{00000000-0005-0000-0000-000023050000}"/>
    <cellStyle name="20% - Accent1 7 8 4 2" xfId="24620" xr:uid="{00000000-0005-0000-0000-000024050000}"/>
    <cellStyle name="20% - Accent1 7 8 5" xfId="17963" xr:uid="{00000000-0005-0000-0000-000025050000}"/>
    <cellStyle name="20% - Accent1 7 9" xfId="8876" xr:uid="{00000000-0005-0000-0000-000026050000}"/>
    <cellStyle name="20% - Accent1 7 9 2" xfId="19439" xr:uid="{00000000-0005-0000-0000-000027050000}"/>
    <cellStyle name="20% - Accent1 8" xfId="203" xr:uid="{00000000-0005-0000-0000-000028050000}"/>
    <cellStyle name="20% - Accent1 8 2" xfId="204" xr:uid="{00000000-0005-0000-0000-000029050000}"/>
    <cellStyle name="20% - Accent1 8 3" xfId="205" xr:uid="{00000000-0005-0000-0000-00002A050000}"/>
    <cellStyle name="20% - Accent1 8 4" xfId="206" xr:uid="{00000000-0005-0000-0000-00002B050000}"/>
    <cellStyle name="20% - Accent1 8 5" xfId="207" xr:uid="{00000000-0005-0000-0000-00002C050000}"/>
    <cellStyle name="20% - Accent1 8 6" xfId="208" xr:uid="{00000000-0005-0000-0000-00002D050000}"/>
    <cellStyle name="20% - Accent1 9" xfId="209" xr:uid="{00000000-0005-0000-0000-00002E050000}"/>
    <cellStyle name="20% - Accent1 9 2" xfId="210" xr:uid="{00000000-0005-0000-0000-00002F050000}"/>
    <cellStyle name="20% - Accent1 9 3" xfId="211" xr:uid="{00000000-0005-0000-0000-000030050000}"/>
    <cellStyle name="20% - Accent1 9 4" xfId="212" xr:uid="{00000000-0005-0000-0000-000031050000}"/>
    <cellStyle name="20% - Accent1 9 5" xfId="213" xr:uid="{00000000-0005-0000-0000-000032050000}"/>
    <cellStyle name="20% - Accent2 10" xfId="214" xr:uid="{00000000-0005-0000-0000-000033050000}"/>
    <cellStyle name="20% - Accent2 10 2" xfId="215" xr:uid="{00000000-0005-0000-0000-000034050000}"/>
    <cellStyle name="20% - Accent2 10 3" xfId="216" xr:uid="{00000000-0005-0000-0000-000035050000}"/>
    <cellStyle name="20% - Accent2 10 4" xfId="217" xr:uid="{00000000-0005-0000-0000-000036050000}"/>
    <cellStyle name="20% - Accent2 10 5" xfId="218" xr:uid="{00000000-0005-0000-0000-000037050000}"/>
    <cellStyle name="20% - Accent2 11" xfId="219" xr:uid="{00000000-0005-0000-0000-000038050000}"/>
    <cellStyle name="20% - Accent2 11 2" xfId="220" xr:uid="{00000000-0005-0000-0000-000039050000}"/>
    <cellStyle name="20% - Accent2 11 3" xfId="221" xr:uid="{00000000-0005-0000-0000-00003A050000}"/>
    <cellStyle name="20% - Accent2 11 4" xfId="222" xr:uid="{00000000-0005-0000-0000-00003B050000}"/>
    <cellStyle name="20% - Accent2 11 5" xfId="223" xr:uid="{00000000-0005-0000-0000-00003C050000}"/>
    <cellStyle name="20% - Accent2 12" xfId="224" xr:uid="{00000000-0005-0000-0000-00003D050000}"/>
    <cellStyle name="20% - Accent2 12 2" xfId="225" xr:uid="{00000000-0005-0000-0000-00003E050000}"/>
    <cellStyle name="20% - Accent2 12 3" xfId="226" xr:uid="{00000000-0005-0000-0000-00003F050000}"/>
    <cellStyle name="20% - Accent2 12 4" xfId="227" xr:uid="{00000000-0005-0000-0000-000040050000}"/>
    <cellStyle name="20% - Accent2 12 5" xfId="228" xr:uid="{00000000-0005-0000-0000-000041050000}"/>
    <cellStyle name="20% - Accent2 13" xfId="229" xr:uid="{00000000-0005-0000-0000-000042050000}"/>
    <cellStyle name="20% - Accent2 14" xfId="230" xr:uid="{00000000-0005-0000-0000-000043050000}"/>
    <cellStyle name="20% - Accent2 15" xfId="231" xr:uid="{00000000-0005-0000-0000-000044050000}"/>
    <cellStyle name="20% - Accent2 16" xfId="232" xr:uid="{00000000-0005-0000-0000-000045050000}"/>
    <cellStyle name="20% - Accent2 17" xfId="233" xr:uid="{00000000-0005-0000-0000-000046050000}"/>
    <cellStyle name="20% - Accent2 18" xfId="234" xr:uid="{00000000-0005-0000-0000-000047050000}"/>
    <cellStyle name="20% - Accent2 19" xfId="235" xr:uid="{00000000-0005-0000-0000-000048050000}"/>
    <cellStyle name="20% - Accent2 2" xfId="236" xr:uid="{00000000-0005-0000-0000-000049050000}"/>
    <cellStyle name="20% - Accent2 2 10" xfId="237" xr:uid="{00000000-0005-0000-0000-00004A050000}"/>
    <cellStyle name="20% - Accent2 2 10 2" xfId="8134" xr:uid="{00000000-0005-0000-0000-00004B050000}"/>
    <cellStyle name="20% - Accent2 2 10 2 2" xfId="10353" xr:uid="{00000000-0005-0000-0000-00004C050000}"/>
    <cellStyle name="20% - Accent2 2 10 2 2 2" xfId="20916" xr:uid="{00000000-0005-0000-0000-00004D050000}"/>
    <cellStyle name="20% - Accent2 2 10 2 3" xfId="12572" xr:uid="{00000000-0005-0000-0000-00004E050000}"/>
    <cellStyle name="20% - Accent2 2 10 2 3 2" xfId="23135" xr:uid="{00000000-0005-0000-0000-00004F050000}"/>
    <cellStyle name="20% - Accent2 2 10 2 4" xfId="14791" xr:uid="{00000000-0005-0000-0000-000050050000}"/>
    <cellStyle name="20% - Accent2 2 10 2 4 2" xfId="25354" xr:uid="{00000000-0005-0000-0000-000051050000}"/>
    <cellStyle name="20% - Accent2 2 10 2 5" xfId="18697" xr:uid="{00000000-0005-0000-0000-000052050000}"/>
    <cellStyle name="20% - Accent2 2 10 3" xfId="7401" xr:uid="{00000000-0005-0000-0000-000053050000}"/>
    <cellStyle name="20% - Accent2 2 10 3 2" xfId="9620" xr:uid="{00000000-0005-0000-0000-000054050000}"/>
    <cellStyle name="20% - Accent2 2 10 3 2 2" xfId="20183" xr:uid="{00000000-0005-0000-0000-000055050000}"/>
    <cellStyle name="20% - Accent2 2 10 3 3" xfId="11839" xr:uid="{00000000-0005-0000-0000-000056050000}"/>
    <cellStyle name="20% - Accent2 2 10 3 3 2" xfId="22402" xr:uid="{00000000-0005-0000-0000-000057050000}"/>
    <cellStyle name="20% - Accent2 2 10 3 4" xfId="14058" xr:uid="{00000000-0005-0000-0000-000058050000}"/>
    <cellStyle name="20% - Accent2 2 10 3 4 2" xfId="24621" xr:uid="{00000000-0005-0000-0000-000059050000}"/>
    <cellStyle name="20% - Accent2 2 10 3 5" xfId="17964" xr:uid="{00000000-0005-0000-0000-00005A050000}"/>
    <cellStyle name="20% - Accent2 2 10 4" xfId="8877" xr:uid="{00000000-0005-0000-0000-00005B050000}"/>
    <cellStyle name="20% - Accent2 2 10 4 2" xfId="19440" xr:uid="{00000000-0005-0000-0000-00005C050000}"/>
    <cellStyle name="20% - Accent2 2 10 5" xfId="11096" xr:uid="{00000000-0005-0000-0000-00005D050000}"/>
    <cellStyle name="20% - Accent2 2 10 5 2" xfId="21659" xr:uid="{00000000-0005-0000-0000-00005E050000}"/>
    <cellStyle name="20% - Accent2 2 10 6" xfId="13315" xr:uid="{00000000-0005-0000-0000-00005F050000}"/>
    <cellStyle name="20% - Accent2 2 10 6 2" xfId="23878" xr:uid="{00000000-0005-0000-0000-000060050000}"/>
    <cellStyle name="20% - Accent2 2 10 7" xfId="17215" xr:uid="{00000000-0005-0000-0000-000061050000}"/>
    <cellStyle name="20% - Accent2 2 11" xfId="238" xr:uid="{00000000-0005-0000-0000-000062050000}"/>
    <cellStyle name="20% - Accent2 2 11 2" xfId="239" xr:uid="{00000000-0005-0000-0000-000063050000}"/>
    <cellStyle name="20% - Accent2 2 11 2 2" xfId="8135" xr:uid="{00000000-0005-0000-0000-000064050000}"/>
    <cellStyle name="20% - Accent2 2 11 2 2 2" xfId="10354" xr:uid="{00000000-0005-0000-0000-000065050000}"/>
    <cellStyle name="20% - Accent2 2 11 2 2 2 2" xfId="20917" xr:uid="{00000000-0005-0000-0000-000066050000}"/>
    <cellStyle name="20% - Accent2 2 11 2 2 3" xfId="12573" xr:uid="{00000000-0005-0000-0000-000067050000}"/>
    <cellStyle name="20% - Accent2 2 11 2 2 3 2" xfId="23136" xr:uid="{00000000-0005-0000-0000-000068050000}"/>
    <cellStyle name="20% - Accent2 2 11 2 2 4" xfId="14792" xr:uid="{00000000-0005-0000-0000-000069050000}"/>
    <cellStyle name="20% - Accent2 2 11 2 2 4 2" xfId="25355" xr:uid="{00000000-0005-0000-0000-00006A050000}"/>
    <cellStyle name="20% - Accent2 2 11 2 2 5" xfId="18698" xr:uid="{00000000-0005-0000-0000-00006B050000}"/>
    <cellStyle name="20% - Accent2 2 11 2 3" xfId="7402" xr:uid="{00000000-0005-0000-0000-00006C050000}"/>
    <cellStyle name="20% - Accent2 2 11 2 3 2" xfId="9621" xr:uid="{00000000-0005-0000-0000-00006D050000}"/>
    <cellStyle name="20% - Accent2 2 11 2 3 2 2" xfId="20184" xr:uid="{00000000-0005-0000-0000-00006E050000}"/>
    <cellStyle name="20% - Accent2 2 11 2 3 3" xfId="11840" xr:uid="{00000000-0005-0000-0000-00006F050000}"/>
    <cellStyle name="20% - Accent2 2 11 2 3 3 2" xfId="22403" xr:uid="{00000000-0005-0000-0000-000070050000}"/>
    <cellStyle name="20% - Accent2 2 11 2 3 4" xfId="14059" xr:uid="{00000000-0005-0000-0000-000071050000}"/>
    <cellStyle name="20% - Accent2 2 11 2 3 4 2" xfId="24622" xr:uid="{00000000-0005-0000-0000-000072050000}"/>
    <cellStyle name="20% - Accent2 2 11 2 3 5" xfId="17965" xr:uid="{00000000-0005-0000-0000-000073050000}"/>
    <cellStyle name="20% - Accent2 2 11 2 4" xfId="8878" xr:uid="{00000000-0005-0000-0000-000074050000}"/>
    <cellStyle name="20% - Accent2 2 11 2 4 2" xfId="19441" xr:uid="{00000000-0005-0000-0000-000075050000}"/>
    <cellStyle name="20% - Accent2 2 11 2 5" xfId="11097" xr:uid="{00000000-0005-0000-0000-000076050000}"/>
    <cellStyle name="20% - Accent2 2 11 2 5 2" xfId="21660" xr:uid="{00000000-0005-0000-0000-000077050000}"/>
    <cellStyle name="20% - Accent2 2 11 2 6" xfId="13316" xr:uid="{00000000-0005-0000-0000-000078050000}"/>
    <cellStyle name="20% - Accent2 2 11 2 6 2" xfId="23879" xr:uid="{00000000-0005-0000-0000-000079050000}"/>
    <cellStyle name="20% - Accent2 2 11 2 7" xfId="17216" xr:uid="{00000000-0005-0000-0000-00007A050000}"/>
    <cellStyle name="20% - Accent2 2 11 3" xfId="240" xr:uid="{00000000-0005-0000-0000-00007B050000}"/>
    <cellStyle name="20% - Accent2 2 11 3 2" xfId="8136" xr:uid="{00000000-0005-0000-0000-00007C050000}"/>
    <cellStyle name="20% - Accent2 2 11 3 2 2" xfId="10355" xr:uid="{00000000-0005-0000-0000-00007D050000}"/>
    <cellStyle name="20% - Accent2 2 11 3 2 2 2" xfId="20918" xr:uid="{00000000-0005-0000-0000-00007E050000}"/>
    <cellStyle name="20% - Accent2 2 11 3 2 3" xfId="12574" xr:uid="{00000000-0005-0000-0000-00007F050000}"/>
    <cellStyle name="20% - Accent2 2 11 3 2 3 2" xfId="23137" xr:uid="{00000000-0005-0000-0000-000080050000}"/>
    <cellStyle name="20% - Accent2 2 11 3 2 4" xfId="14793" xr:uid="{00000000-0005-0000-0000-000081050000}"/>
    <cellStyle name="20% - Accent2 2 11 3 2 4 2" xfId="25356" xr:uid="{00000000-0005-0000-0000-000082050000}"/>
    <cellStyle name="20% - Accent2 2 11 3 2 5" xfId="18699" xr:uid="{00000000-0005-0000-0000-000083050000}"/>
    <cellStyle name="20% - Accent2 2 11 3 3" xfId="7403" xr:uid="{00000000-0005-0000-0000-000084050000}"/>
    <cellStyle name="20% - Accent2 2 11 3 3 2" xfId="9622" xr:uid="{00000000-0005-0000-0000-000085050000}"/>
    <cellStyle name="20% - Accent2 2 11 3 3 2 2" xfId="20185" xr:uid="{00000000-0005-0000-0000-000086050000}"/>
    <cellStyle name="20% - Accent2 2 11 3 3 3" xfId="11841" xr:uid="{00000000-0005-0000-0000-000087050000}"/>
    <cellStyle name="20% - Accent2 2 11 3 3 3 2" xfId="22404" xr:uid="{00000000-0005-0000-0000-000088050000}"/>
    <cellStyle name="20% - Accent2 2 11 3 3 4" xfId="14060" xr:uid="{00000000-0005-0000-0000-000089050000}"/>
    <cellStyle name="20% - Accent2 2 11 3 3 4 2" xfId="24623" xr:uid="{00000000-0005-0000-0000-00008A050000}"/>
    <cellStyle name="20% - Accent2 2 11 3 3 5" xfId="17966" xr:uid="{00000000-0005-0000-0000-00008B050000}"/>
    <cellStyle name="20% - Accent2 2 11 3 4" xfId="8879" xr:uid="{00000000-0005-0000-0000-00008C050000}"/>
    <cellStyle name="20% - Accent2 2 11 3 4 2" xfId="19442" xr:uid="{00000000-0005-0000-0000-00008D050000}"/>
    <cellStyle name="20% - Accent2 2 11 3 5" xfId="11098" xr:uid="{00000000-0005-0000-0000-00008E050000}"/>
    <cellStyle name="20% - Accent2 2 11 3 5 2" xfId="21661" xr:uid="{00000000-0005-0000-0000-00008F050000}"/>
    <cellStyle name="20% - Accent2 2 11 3 6" xfId="13317" xr:uid="{00000000-0005-0000-0000-000090050000}"/>
    <cellStyle name="20% - Accent2 2 11 3 6 2" xfId="23880" xr:uid="{00000000-0005-0000-0000-000091050000}"/>
    <cellStyle name="20% - Accent2 2 11 3 7" xfId="17217" xr:uid="{00000000-0005-0000-0000-000092050000}"/>
    <cellStyle name="20% - Accent2 2 11 4" xfId="241" xr:uid="{00000000-0005-0000-0000-000093050000}"/>
    <cellStyle name="20% - Accent2 2 11 4 2" xfId="8137" xr:uid="{00000000-0005-0000-0000-000094050000}"/>
    <cellStyle name="20% - Accent2 2 11 4 2 2" xfId="10356" xr:uid="{00000000-0005-0000-0000-000095050000}"/>
    <cellStyle name="20% - Accent2 2 11 4 2 2 2" xfId="20919" xr:uid="{00000000-0005-0000-0000-000096050000}"/>
    <cellStyle name="20% - Accent2 2 11 4 2 3" xfId="12575" xr:uid="{00000000-0005-0000-0000-000097050000}"/>
    <cellStyle name="20% - Accent2 2 11 4 2 3 2" xfId="23138" xr:uid="{00000000-0005-0000-0000-000098050000}"/>
    <cellStyle name="20% - Accent2 2 11 4 2 4" xfId="14794" xr:uid="{00000000-0005-0000-0000-000099050000}"/>
    <cellStyle name="20% - Accent2 2 11 4 2 4 2" xfId="25357" xr:uid="{00000000-0005-0000-0000-00009A050000}"/>
    <cellStyle name="20% - Accent2 2 11 4 2 5" xfId="18700" xr:uid="{00000000-0005-0000-0000-00009B050000}"/>
    <cellStyle name="20% - Accent2 2 11 4 3" xfId="7404" xr:uid="{00000000-0005-0000-0000-00009C050000}"/>
    <cellStyle name="20% - Accent2 2 11 4 3 2" xfId="9623" xr:uid="{00000000-0005-0000-0000-00009D050000}"/>
    <cellStyle name="20% - Accent2 2 11 4 3 2 2" xfId="20186" xr:uid="{00000000-0005-0000-0000-00009E050000}"/>
    <cellStyle name="20% - Accent2 2 11 4 3 3" xfId="11842" xr:uid="{00000000-0005-0000-0000-00009F050000}"/>
    <cellStyle name="20% - Accent2 2 11 4 3 3 2" xfId="22405" xr:uid="{00000000-0005-0000-0000-0000A0050000}"/>
    <cellStyle name="20% - Accent2 2 11 4 3 4" xfId="14061" xr:uid="{00000000-0005-0000-0000-0000A1050000}"/>
    <cellStyle name="20% - Accent2 2 11 4 3 4 2" xfId="24624" xr:uid="{00000000-0005-0000-0000-0000A2050000}"/>
    <cellStyle name="20% - Accent2 2 11 4 3 5" xfId="17967" xr:uid="{00000000-0005-0000-0000-0000A3050000}"/>
    <cellStyle name="20% - Accent2 2 11 4 4" xfId="8880" xr:uid="{00000000-0005-0000-0000-0000A4050000}"/>
    <cellStyle name="20% - Accent2 2 11 4 4 2" xfId="19443" xr:uid="{00000000-0005-0000-0000-0000A5050000}"/>
    <cellStyle name="20% - Accent2 2 11 4 5" xfId="11099" xr:uid="{00000000-0005-0000-0000-0000A6050000}"/>
    <cellStyle name="20% - Accent2 2 11 4 5 2" xfId="21662" xr:uid="{00000000-0005-0000-0000-0000A7050000}"/>
    <cellStyle name="20% - Accent2 2 11 4 6" xfId="13318" xr:uid="{00000000-0005-0000-0000-0000A8050000}"/>
    <cellStyle name="20% - Accent2 2 11 4 6 2" xfId="23881" xr:uid="{00000000-0005-0000-0000-0000A9050000}"/>
    <cellStyle name="20% - Accent2 2 11 4 7" xfId="17218" xr:uid="{00000000-0005-0000-0000-0000AA050000}"/>
    <cellStyle name="20% - Accent2 2 11 5" xfId="242" xr:uid="{00000000-0005-0000-0000-0000AB050000}"/>
    <cellStyle name="20% - Accent2 2 11 5 2" xfId="8138" xr:uid="{00000000-0005-0000-0000-0000AC050000}"/>
    <cellStyle name="20% - Accent2 2 11 5 2 2" xfId="10357" xr:uid="{00000000-0005-0000-0000-0000AD050000}"/>
    <cellStyle name="20% - Accent2 2 11 5 2 2 2" xfId="20920" xr:uid="{00000000-0005-0000-0000-0000AE050000}"/>
    <cellStyle name="20% - Accent2 2 11 5 2 3" xfId="12576" xr:uid="{00000000-0005-0000-0000-0000AF050000}"/>
    <cellStyle name="20% - Accent2 2 11 5 2 3 2" xfId="23139" xr:uid="{00000000-0005-0000-0000-0000B0050000}"/>
    <cellStyle name="20% - Accent2 2 11 5 2 4" xfId="14795" xr:uid="{00000000-0005-0000-0000-0000B1050000}"/>
    <cellStyle name="20% - Accent2 2 11 5 2 4 2" xfId="25358" xr:uid="{00000000-0005-0000-0000-0000B2050000}"/>
    <cellStyle name="20% - Accent2 2 11 5 2 5" xfId="18701" xr:uid="{00000000-0005-0000-0000-0000B3050000}"/>
    <cellStyle name="20% - Accent2 2 11 5 3" xfId="7405" xr:uid="{00000000-0005-0000-0000-0000B4050000}"/>
    <cellStyle name="20% - Accent2 2 11 5 3 2" xfId="9624" xr:uid="{00000000-0005-0000-0000-0000B5050000}"/>
    <cellStyle name="20% - Accent2 2 11 5 3 2 2" xfId="20187" xr:uid="{00000000-0005-0000-0000-0000B6050000}"/>
    <cellStyle name="20% - Accent2 2 11 5 3 3" xfId="11843" xr:uid="{00000000-0005-0000-0000-0000B7050000}"/>
    <cellStyle name="20% - Accent2 2 11 5 3 3 2" xfId="22406" xr:uid="{00000000-0005-0000-0000-0000B8050000}"/>
    <cellStyle name="20% - Accent2 2 11 5 3 4" xfId="14062" xr:uid="{00000000-0005-0000-0000-0000B9050000}"/>
    <cellStyle name="20% - Accent2 2 11 5 3 4 2" xfId="24625" xr:uid="{00000000-0005-0000-0000-0000BA050000}"/>
    <cellStyle name="20% - Accent2 2 11 5 3 5" xfId="17968" xr:uid="{00000000-0005-0000-0000-0000BB050000}"/>
    <cellStyle name="20% - Accent2 2 11 5 4" xfId="8881" xr:uid="{00000000-0005-0000-0000-0000BC050000}"/>
    <cellStyle name="20% - Accent2 2 11 5 4 2" xfId="19444" xr:uid="{00000000-0005-0000-0000-0000BD050000}"/>
    <cellStyle name="20% - Accent2 2 11 5 5" xfId="11100" xr:uid="{00000000-0005-0000-0000-0000BE050000}"/>
    <cellStyle name="20% - Accent2 2 11 5 5 2" xfId="21663" xr:uid="{00000000-0005-0000-0000-0000BF050000}"/>
    <cellStyle name="20% - Accent2 2 11 5 6" xfId="13319" xr:uid="{00000000-0005-0000-0000-0000C0050000}"/>
    <cellStyle name="20% - Accent2 2 11 5 6 2" xfId="23882" xr:uid="{00000000-0005-0000-0000-0000C1050000}"/>
    <cellStyle name="20% - Accent2 2 11 5 7" xfId="17219" xr:uid="{00000000-0005-0000-0000-0000C2050000}"/>
    <cellStyle name="20% - Accent2 2 12" xfId="243" xr:uid="{00000000-0005-0000-0000-0000C3050000}"/>
    <cellStyle name="20% - Accent2 2 13" xfId="244" xr:uid="{00000000-0005-0000-0000-0000C4050000}"/>
    <cellStyle name="20% - Accent2 2 14" xfId="245" xr:uid="{00000000-0005-0000-0000-0000C5050000}"/>
    <cellStyle name="20% - Accent2 2 15" xfId="246" xr:uid="{00000000-0005-0000-0000-0000C6050000}"/>
    <cellStyle name="20% - Accent2 2 15 2" xfId="8139" xr:uid="{00000000-0005-0000-0000-0000C7050000}"/>
    <cellStyle name="20% - Accent2 2 15 2 2" xfId="10358" xr:uid="{00000000-0005-0000-0000-0000C8050000}"/>
    <cellStyle name="20% - Accent2 2 15 2 2 2" xfId="20921" xr:uid="{00000000-0005-0000-0000-0000C9050000}"/>
    <cellStyle name="20% - Accent2 2 15 2 3" xfId="12577" xr:uid="{00000000-0005-0000-0000-0000CA050000}"/>
    <cellStyle name="20% - Accent2 2 15 2 3 2" xfId="23140" xr:uid="{00000000-0005-0000-0000-0000CB050000}"/>
    <cellStyle name="20% - Accent2 2 15 2 4" xfId="14796" xr:uid="{00000000-0005-0000-0000-0000CC050000}"/>
    <cellStyle name="20% - Accent2 2 15 2 4 2" xfId="25359" xr:uid="{00000000-0005-0000-0000-0000CD050000}"/>
    <cellStyle name="20% - Accent2 2 15 2 5" xfId="18702" xr:uid="{00000000-0005-0000-0000-0000CE050000}"/>
    <cellStyle name="20% - Accent2 2 15 3" xfId="7406" xr:uid="{00000000-0005-0000-0000-0000CF050000}"/>
    <cellStyle name="20% - Accent2 2 15 3 2" xfId="9625" xr:uid="{00000000-0005-0000-0000-0000D0050000}"/>
    <cellStyle name="20% - Accent2 2 15 3 2 2" xfId="20188" xr:uid="{00000000-0005-0000-0000-0000D1050000}"/>
    <cellStyle name="20% - Accent2 2 15 3 3" xfId="11844" xr:uid="{00000000-0005-0000-0000-0000D2050000}"/>
    <cellStyle name="20% - Accent2 2 15 3 3 2" xfId="22407" xr:uid="{00000000-0005-0000-0000-0000D3050000}"/>
    <cellStyle name="20% - Accent2 2 15 3 4" xfId="14063" xr:uid="{00000000-0005-0000-0000-0000D4050000}"/>
    <cellStyle name="20% - Accent2 2 15 3 4 2" xfId="24626" xr:uid="{00000000-0005-0000-0000-0000D5050000}"/>
    <cellStyle name="20% - Accent2 2 15 3 5" xfId="17969" xr:uid="{00000000-0005-0000-0000-0000D6050000}"/>
    <cellStyle name="20% - Accent2 2 15 4" xfId="8882" xr:uid="{00000000-0005-0000-0000-0000D7050000}"/>
    <cellStyle name="20% - Accent2 2 15 4 2" xfId="19445" xr:uid="{00000000-0005-0000-0000-0000D8050000}"/>
    <cellStyle name="20% - Accent2 2 15 5" xfId="11101" xr:uid="{00000000-0005-0000-0000-0000D9050000}"/>
    <cellStyle name="20% - Accent2 2 15 5 2" xfId="21664" xr:uid="{00000000-0005-0000-0000-0000DA050000}"/>
    <cellStyle name="20% - Accent2 2 15 6" xfId="13320" xr:uid="{00000000-0005-0000-0000-0000DB050000}"/>
    <cellStyle name="20% - Accent2 2 15 6 2" xfId="23883" xr:uid="{00000000-0005-0000-0000-0000DC050000}"/>
    <cellStyle name="20% - Accent2 2 15 7" xfId="17220" xr:uid="{00000000-0005-0000-0000-0000DD050000}"/>
    <cellStyle name="20% - Accent2 2 16" xfId="247" xr:uid="{00000000-0005-0000-0000-0000DE050000}"/>
    <cellStyle name="20% - Accent2 2 2" xfId="248" xr:uid="{00000000-0005-0000-0000-0000DF050000}"/>
    <cellStyle name="20% - Accent2 2 2 10" xfId="8140" xr:uid="{00000000-0005-0000-0000-0000E0050000}"/>
    <cellStyle name="20% - Accent2 2 2 10 2" xfId="10359" xr:uid="{00000000-0005-0000-0000-0000E1050000}"/>
    <cellStyle name="20% - Accent2 2 2 10 2 2" xfId="20922" xr:uid="{00000000-0005-0000-0000-0000E2050000}"/>
    <cellStyle name="20% - Accent2 2 2 10 3" xfId="12578" xr:uid="{00000000-0005-0000-0000-0000E3050000}"/>
    <cellStyle name="20% - Accent2 2 2 10 3 2" xfId="23141" xr:uid="{00000000-0005-0000-0000-0000E4050000}"/>
    <cellStyle name="20% - Accent2 2 2 10 4" xfId="14797" xr:uid="{00000000-0005-0000-0000-0000E5050000}"/>
    <cellStyle name="20% - Accent2 2 2 10 4 2" xfId="25360" xr:uid="{00000000-0005-0000-0000-0000E6050000}"/>
    <cellStyle name="20% - Accent2 2 2 10 5" xfId="18703" xr:uid="{00000000-0005-0000-0000-0000E7050000}"/>
    <cellStyle name="20% - Accent2 2 2 11" xfId="7407" xr:uid="{00000000-0005-0000-0000-0000E8050000}"/>
    <cellStyle name="20% - Accent2 2 2 11 2" xfId="9626" xr:uid="{00000000-0005-0000-0000-0000E9050000}"/>
    <cellStyle name="20% - Accent2 2 2 11 2 2" xfId="20189" xr:uid="{00000000-0005-0000-0000-0000EA050000}"/>
    <cellStyle name="20% - Accent2 2 2 11 3" xfId="11845" xr:uid="{00000000-0005-0000-0000-0000EB050000}"/>
    <cellStyle name="20% - Accent2 2 2 11 3 2" xfId="22408" xr:uid="{00000000-0005-0000-0000-0000EC050000}"/>
    <cellStyle name="20% - Accent2 2 2 11 4" xfId="14064" xr:uid="{00000000-0005-0000-0000-0000ED050000}"/>
    <cellStyle name="20% - Accent2 2 2 11 4 2" xfId="24627" xr:uid="{00000000-0005-0000-0000-0000EE050000}"/>
    <cellStyle name="20% - Accent2 2 2 11 5" xfId="17970" xr:uid="{00000000-0005-0000-0000-0000EF050000}"/>
    <cellStyle name="20% - Accent2 2 2 12" xfId="8883" xr:uid="{00000000-0005-0000-0000-0000F0050000}"/>
    <cellStyle name="20% - Accent2 2 2 12 2" xfId="19446" xr:uid="{00000000-0005-0000-0000-0000F1050000}"/>
    <cellStyle name="20% - Accent2 2 2 13" xfId="11102" xr:uid="{00000000-0005-0000-0000-0000F2050000}"/>
    <cellStyle name="20% - Accent2 2 2 13 2" xfId="21665" xr:uid="{00000000-0005-0000-0000-0000F3050000}"/>
    <cellStyle name="20% - Accent2 2 2 14" xfId="13321" xr:uid="{00000000-0005-0000-0000-0000F4050000}"/>
    <cellStyle name="20% - Accent2 2 2 14 2" xfId="23884" xr:uid="{00000000-0005-0000-0000-0000F5050000}"/>
    <cellStyle name="20% - Accent2 2 2 15" xfId="17221" xr:uid="{00000000-0005-0000-0000-0000F6050000}"/>
    <cellStyle name="20% - Accent2 2 2 2" xfId="249" xr:uid="{00000000-0005-0000-0000-0000F7050000}"/>
    <cellStyle name="20% - Accent2 2 2 2 2" xfId="8141" xr:uid="{00000000-0005-0000-0000-0000F8050000}"/>
    <cellStyle name="20% - Accent2 2 2 2 2 2" xfId="10360" xr:uid="{00000000-0005-0000-0000-0000F9050000}"/>
    <cellStyle name="20% - Accent2 2 2 2 2 2 2" xfId="20923" xr:uid="{00000000-0005-0000-0000-0000FA050000}"/>
    <cellStyle name="20% - Accent2 2 2 2 2 3" xfId="12579" xr:uid="{00000000-0005-0000-0000-0000FB050000}"/>
    <cellStyle name="20% - Accent2 2 2 2 2 3 2" xfId="23142" xr:uid="{00000000-0005-0000-0000-0000FC050000}"/>
    <cellStyle name="20% - Accent2 2 2 2 2 4" xfId="14798" xr:uid="{00000000-0005-0000-0000-0000FD050000}"/>
    <cellStyle name="20% - Accent2 2 2 2 2 4 2" xfId="25361" xr:uid="{00000000-0005-0000-0000-0000FE050000}"/>
    <cellStyle name="20% - Accent2 2 2 2 2 5" xfId="18704" xr:uid="{00000000-0005-0000-0000-0000FF050000}"/>
    <cellStyle name="20% - Accent2 2 2 2 3" xfId="7408" xr:uid="{00000000-0005-0000-0000-000000060000}"/>
    <cellStyle name="20% - Accent2 2 2 2 3 2" xfId="9627" xr:uid="{00000000-0005-0000-0000-000001060000}"/>
    <cellStyle name="20% - Accent2 2 2 2 3 2 2" xfId="20190" xr:uid="{00000000-0005-0000-0000-000002060000}"/>
    <cellStyle name="20% - Accent2 2 2 2 3 3" xfId="11846" xr:uid="{00000000-0005-0000-0000-000003060000}"/>
    <cellStyle name="20% - Accent2 2 2 2 3 3 2" xfId="22409" xr:uid="{00000000-0005-0000-0000-000004060000}"/>
    <cellStyle name="20% - Accent2 2 2 2 3 4" xfId="14065" xr:uid="{00000000-0005-0000-0000-000005060000}"/>
    <cellStyle name="20% - Accent2 2 2 2 3 4 2" xfId="24628" xr:uid="{00000000-0005-0000-0000-000006060000}"/>
    <cellStyle name="20% - Accent2 2 2 2 3 5" xfId="17971" xr:uid="{00000000-0005-0000-0000-000007060000}"/>
    <cellStyle name="20% - Accent2 2 2 2 4" xfId="8884" xr:uid="{00000000-0005-0000-0000-000008060000}"/>
    <cellStyle name="20% - Accent2 2 2 2 4 2" xfId="19447" xr:uid="{00000000-0005-0000-0000-000009060000}"/>
    <cellStyle name="20% - Accent2 2 2 2 5" xfId="11103" xr:uid="{00000000-0005-0000-0000-00000A060000}"/>
    <cellStyle name="20% - Accent2 2 2 2 5 2" xfId="21666" xr:uid="{00000000-0005-0000-0000-00000B060000}"/>
    <cellStyle name="20% - Accent2 2 2 2 6" xfId="13322" xr:uid="{00000000-0005-0000-0000-00000C060000}"/>
    <cellStyle name="20% - Accent2 2 2 2 6 2" xfId="23885" xr:uid="{00000000-0005-0000-0000-00000D060000}"/>
    <cellStyle name="20% - Accent2 2 2 2 7" xfId="17222" xr:uid="{00000000-0005-0000-0000-00000E060000}"/>
    <cellStyle name="20% - Accent2 2 2 3" xfId="250" xr:uid="{00000000-0005-0000-0000-00000F060000}"/>
    <cellStyle name="20% - Accent2 2 2 3 2" xfId="8142" xr:uid="{00000000-0005-0000-0000-000010060000}"/>
    <cellStyle name="20% - Accent2 2 2 3 2 2" xfId="10361" xr:uid="{00000000-0005-0000-0000-000011060000}"/>
    <cellStyle name="20% - Accent2 2 2 3 2 2 2" xfId="20924" xr:uid="{00000000-0005-0000-0000-000012060000}"/>
    <cellStyle name="20% - Accent2 2 2 3 2 3" xfId="12580" xr:uid="{00000000-0005-0000-0000-000013060000}"/>
    <cellStyle name="20% - Accent2 2 2 3 2 3 2" xfId="23143" xr:uid="{00000000-0005-0000-0000-000014060000}"/>
    <cellStyle name="20% - Accent2 2 2 3 2 4" xfId="14799" xr:uid="{00000000-0005-0000-0000-000015060000}"/>
    <cellStyle name="20% - Accent2 2 2 3 2 4 2" xfId="25362" xr:uid="{00000000-0005-0000-0000-000016060000}"/>
    <cellStyle name="20% - Accent2 2 2 3 2 5" xfId="18705" xr:uid="{00000000-0005-0000-0000-000017060000}"/>
    <cellStyle name="20% - Accent2 2 2 3 3" xfId="7409" xr:uid="{00000000-0005-0000-0000-000018060000}"/>
    <cellStyle name="20% - Accent2 2 2 3 3 2" xfId="9628" xr:uid="{00000000-0005-0000-0000-000019060000}"/>
    <cellStyle name="20% - Accent2 2 2 3 3 2 2" xfId="20191" xr:uid="{00000000-0005-0000-0000-00001A060000}"/>
    <cellStyle name="20% - Accent2 2 2 3 3 3" xfId="11847" xr:uid="{00000000-0005-0000-0000-00001B060000}"/>
    <cellStyle name="20% - Accent2 2 2 3 3 3 2" xfId="22410" xr:uid="{00000000-0005-0000-0000-00001C060000}"/>
    <cellStyle name="20% - Accent2 2 2 3 3 4" xfId="14066" xr:uid="{00000000-0005-0000-0000-00001D060000}"/>
    <cellStyle name="20% - Accent2 2 2 3 3 4 2" xfId="24629" xr:uid="{00000000-0005-0000-0000-00001E060000}"/>
    <cellStyle name="20% - Accent2 2 2 3 3 5" xfId="17972" xr:uid="{00000000-0005-0000-0000-00001F060000}"/>
    <cellStyle name="20% - Accent2 2 2 3 4" xfId="8885" xr:uid="{00000000-0005-0000-0000-000020060000}"/>
    <cellStyle name="20% - Accent2 2 2 3 4 2" xfId="19448" xr:uid="{00000000-0005-0000-0000-000021060000}"/>
    <cellStyle name="20% - Accent2 2 2 3 5" xfId="11104" xr:uid="{00000000-0005-0000-0000-000022060000}"/>
    <cellStyle name="20% - Accent2 2 2 3 5 2" xfId="21667" xr:uid="{00000000-0005-0000-0000-000023060000}"/>
    <cellStyle name="20% - Accent2 2 2 3 6" xfId="13323" xr:uid="{00000000-0005-0000-0000-000024060000}"/>
    <cellStyle name="20% - Accent2 2 2 3 6 2" xfId="23886" xr:uid="{00000000-0005-0000-0000-000025060000}"/>
    <cellStyle name="20% - Accent2 2 2 3 7" xfId="17223" xr:uid="{00000000-0005-0000-0000-000026060000}"/>
    <cellStyle name="20% - Accent2 2 2 4" xfId="251" xr:uid="{00000000-0005-0000-0000-000027060000}"/>
    <cellStyle name="20% - Accent2 2 2 4 2" xfId="8143" xr:uid="{00000000-0005-0000-0000-000028060000}"/>
    <cellStyle name="20% - Accent2 2 2 4 2 2" xfId="10362" xr:uid="{00000000-0005-0000-0000-000029060000}"/>
    <cellStyle name="20% - Accent2 2 2 4 2 2 2" xfId="20925" xr:uid="{00000000-0005-0000-0000-00002A060000}"/>
    <cellStyle name="20% - Accent2 2 2 4 2 3" xfId="12581" xr:uid="{00000000-0005-0000-0000-00002B060000}"/>
    <cellStyle name="20% - Accent2 2 2 4 2 3 2" xfId="23144" xr:uid="{00000000-0005-0000-0000-00002C060000}"/>
    <cellStyle name="20% - Accent2 2 2 4 2 4" xfId="14800" xr:uid="{00000000-0005-0000-0000-00002D060000}"/>
    <cellStyle name="20% - Accent2 2 2 4 2 4 2" xfId="25363" xr:uid="{00000000-0005-0000-0000-00002E060000}"/>
    <cellStyle name="20% - Accent2 2 2 4 2 5" xfId="18706" xr:uid="{00000000-0005-0000-0000-00002F060000}"/>
    <cellStyle name="20% - Accent2 2 2 4 3" xfId="7410" xr:uid="{00000000-0005-0000-0000-000030060000}"/>
    <cellStyle name="20% - Accent2 2 2 4 3 2" xfId="9629" xr:uid="{00000000-0005-0000-0000-000031060000}"/>
    <cellStyle name="20% - Accent2 2 2 4 3 2 2" xfId="20192" xr:uid="{00000000-0005-0000-0000-000032060000}"/>
    <cellStyle name="20% - Accent2 2 2 4 3 3" xfId="11848" xr:uid="{00000000-0005-0000-0000-000033060000}"/>
    <cellStyle name="20% - Accent2 2 2 4 3 3 2" xfId="22411" xr:uid="{00000000-0005-0000-0000-000034060000}"/>
    <cellStyle name="20% - Accent2 2 2 4 3 4" xfId="14067" xr:uid="{00000000-0005-0000-0000-000035060000}"/>
    <cellStyle name="20% - Accent2 2 2 4 3 4 2" xfId="24630" xr:uid="{00000000-0005-0000-0000-000036060000}"/>
    <cellStyle name="20% - Accent2 2 2 4 3 5" xfId="17973" xr:uid="{00000000-0005-0000-0000-000037060000}"/>
    <cellStyle name="20% - Accent2 2 2 4 4" xfId="8886" xr:uid="{00000000-0005-0000-0000-000038060000}"/>
    <cellStyle name="20% - Accent2 2 2 4 4 2" xfId="19449" xr:uid="{00000000-0005-0000-0000-000039060000}"/>
    <cellStyle name="20% - Accent2 2 2 4 5" xfId="11105" xr:uid="{00000000-0005-0000-0000-00003A060000}"/>
    <cellStyle name="20% - Accent2 2 2 4 5 2" xfId="21668" xr:uid="{00000000-0005-0000-0000-00003B060000}"/>
    <cellStyle name="20% - Accent2 2 2 4 6" xfId="13324" xr:uid="{00000000-0005-0000-0000-00003C060000}"/>
    <cellStyle name="20% - Accent2 2 2 4 6 2" xfId="23887" xr:uid="{00000000-0005-0000-0000-00003D060000}"/>
    <cellStyle name="20% - Accent2 2 2 4 7" xfId="17224" xr:uid="{00000000-0005-0000-0000-00003E060000}"/>
    <cellStyle name="20% - Accent2 2 2 5" xfId="252" xr:uid="{00000000-0005-0000-0000-00003F060000}"/>
    <cellStyle name="20% - Accent2 2 2 5 2" xfId="8144" xr:uid="{00000000-0005-0000-0000-000040060000}"/>
    <cellStyle name="20% - Accent2 2 2 5 2 2" xfId="10363" xr:uid="{00000000-0005-0000-0000-000041060000}"/>
    <cellStyle name="20% - Accent2 2 2 5 2 2 2" xfId="20926" xr:uid="{00000000-0005-0000-0000-000042060000}"/>
    <cellStyle name="20% - Accent2 2 2 5 2 3" xfId="12582" xr:uid="{00000000-0005-0000-0000-000043060000}"/>
    <cellStyle name="20% - Accent2 2 2 5 2 3 2" xfId="23145" xr:uid="{00000000-0005-0000-0000-000044060000}"/>
    <cellStyle name="20% - Accent2 2 2 5 2 4" xfId="14801" xr:uid="{00000000-0005-0000-0000-000045060000}"/>
    <cellStyle name="20% - Accent2 2 2 5 2 4 2" xfId="25364" xr:uid="{00000000-0005-0000-0000-000046060000}"/>
    <cellStyle name="20% - Accent2 2 2 5 2 5" xfId="18707" xr:uid="{00000000-0005-0000-0000-000047060000}"/>
    <cellStyle name="20% - Accent2 2 2 5 3" xfId="7411" xr:uid="{00000000-0005-0000-0000-000048060000}"/>
    <cellStyle name="20% - Accent2 2 2 5 3 2" xfId="9630" xr:uid="{00000000-0005-0000-0000-000049060000}"/>
    <cellStyle name="20% - Accent2 2 2 5 3 2 2" xfId="20193" xr:uid="{00000000-0005-0000-0000-00004A060000}"/>
    <cellStyle name="20% - Accent2 2 2 5 3 3" xfId="11849" xr:uid="{00000000-0005-0000-0000-00004B060000}"/>
    <cellStyle name="20% - Accent2 2 2 5 3 3 2" xfId="22412" xr:uid="{00000000-0005-0000-0000-00004C060000}"/>
    <cellStyle name="20% - Accent2 2 2 5 3 4" xfId="14068" xr:uid="{00000000-0005-0000-0000-00004D060000}"/>
    <cellStyle name="20% - Accent2 2 2 5 3 4 2" xfId="24631" xr:uid="{00000000-0005-0000-0000-00004E060000}"/>
    <cellStyle name="20% - Accent2 2 2 5 3 5" xfId="17974" xr:uid="{00000000-0005-0000-0000-00004F060000}"/>
    <cellStyle name="20% - Accent2 2 2 5 4" xfId="8887" xr:uid="{00000000-0005-0000-0000-000050060000}"/>
    <cellStyle name="20% - Accent2 2 2 5 4 2" xfId="19450" xr:uid="{00000000-0005-0000-0000-000051060000}"/>
    <cellStyle name="20% - Accent2 2 2 5 5" xfId="11106" xr:uid="{00000000-0005-0000-0000-000052060000}"/>
    <cellStyle name="20% - Accent2 2 2 5 5 2" xfId="21669" xr:uid="{00000000-0005-0000-0000-000053060000}"/>
    <cellStyle name="20% - Accent2 2 2 5 6" xfId="13325" xr:uid="{00000000-0005-0000-0000-000054060000}"/>
    <cellStyle name="20% - Accent2 2 2 5 6 2" xfId="23888" xr:uid="{00000000-0005-0000-0000-000055060000}"/>
    <cellStyle name="20% - Accent2 2 2 5 7" xfId="17225" xr:uid="{00000000-0005-0000-0000-000056060000}"/>
    <cellStyle name="20% - Accent2 2 2 6" xfId="253" xr:uid="{00000000-0005-0000-0000-000057060000}"/>
    <cellStyle name="20% - Accent2 2 2 6 2" xfId="8145" xr:uid="{00000000-0005-0000-0000-000058060000}"/>
    <cellStyle name="20% - Accent2 2 2 6 2 2" xfId="10364" xr:uid="{00000000-0005-0000-0000-000059060000}"/>
    <cellStyle name="20% - Accent2 2 2 6 2 2 2" xfId="20927" xr:uid="{00000000-0005-0000-0000-00005A060000}"/>
    <cellStyle name="20% - Accent2 2 2 6 2 3" xfId="12583" xr:uid="{00000000-0005-0000-0000-00005B060000}"/>
    <cellStyle name="20% - Accent2 2 2 6 2 3 2" xfId="23146" xr:uid="{00000000-0005-0000-0000-00005C060000}"/>
    <cellStyle name="20% - Accent2 2 2 6 2 4" xfId="14802" xr:uid="{00000000-0005-0000-0000-00005D060000}"/>
    <cellStyle name="20% - Accent2 2 2 6 2 4 2" xfId="25365" xr:uid="{00000000-0005-0000-0000-00005E060000}"/>
    <cellStyle name="20% - Accent2 2 2 6 2 5" xfId="18708" xr:uid="{00000000-0005-0000-0000-00005F060000}"/>
    <cellStyle name="20% - Accent2 2 2 6 3" xfId="7412" xr:uid="{00000000-0005-0000-0000-000060060000}"/>
    <cellStyle name="20% - Accent2 2 2 6 3 2" xfId="9631" xr:uid="{00000000-0005-0000-0000-000061060000}"/>
    <cellStyle name="20% - Accent2 2 2 6 3 2 2" xfId="20194" xr:uid="{00000000-0005-0000-0000-000062060000}"/>
    <cellStyle name="20% - Accent2 2 2 6 3 3" xfId="11850" xr:uid="{00000000-0005-0000-0000-000063060000}"/>
    <cellStyle name="20% - Accent2 2 2 6 3 3 2" xfId="22413" xr:uid="{00000000-0005-0000-0000-000064060000}"/>
    <cellStyle name="20% - Accent2 2 2 6 3 4" xfId="14069" xr:uid="{00000000-0005-0000-0000-000065060000}"/>
    <cellStyle name="20% - Accent2 2 2 6 3 4 2" xfId="24632" xr:uid="{00000000-0005-0000-0000-000066060000}"/>
    <cellStyle name="20% - Accent2 2 2 6 3 5" xfId="17975" xr:uid="{00000000-0005-0000-0000-000067060000}"/>
    <cellStyle name="20% - Accent2 2 2 6 4" xfId="8888" xr:uid="{00000000-0005-0000-0000-000068060000}"/>
    <cellStyle name="20% - Accent2 2 2 6 4 2" xfId="19451" xr:uid="{00000000-0005-0000-0000-000069060000}"/>
    <cellStyle name="20% - Accent2 2 2 6 5" xfId="11107" xr:uid="{00000000-0005-0000-0000-00006A060000}"/>
    <cellStyle name="20% - Accent2 2 2 6 5 2" xfId="21670" xr:uid="{00000000-0005-0000-0000-00006B060000}"/>
    <cellStyle name="20% - Accent2 2 2 6 6" xfId="13326" xr:uid="{00000000-0005-0000-0000-00006C060000}"/>
    <cellStyle name="20% - Accent2 2 2 6 6 2" xfId="23889" xr:uid="{00000000-0005-0000-0000-00006D060000}"/>
    <cellStyle name="20% - Accent2 2 2 6 7" xfId="17226" xr:uid="{00000000-0005-0000-0000-00006E060000}"/>
    <cellStyle name="20% - Accent2 2 2 7" xfId="254" xr:uid="{00000000-0005-0000-0000-00006F060000}"/>
    <cellStyle name="20% - Accent2 2 2 7 2" xfId="8146" xr:uid="{00000000-0005-0000-0000-000070060000}"/>
    <cellStyle name="20% - Accent2 2 2 7 2 2" xfId="10365" xr:uid="{00000000-0005-0000-0000-000071060000}"/>
    <cellStyle name="20% - Accent2 2 2 7 2 2 2" xfId="20928" xr:uid="{00000000-0005-0000-0000-000072060000}"/>
    <cellStyle name="20% - Accent2 2 2 7 2 3" xfId="12584" xr:uid="{00000000-0005-0000-0000-000073060000}"/>
    <cellStyle name="20% - Accent2 2 2 7 2 3 2" xfId="23147" xr:uid="{00000000-0005-0000-0000-000074060000}"/>
    <cellStyle name="20% - Accent2 2 2 7 2 4" xfId="14803" xr:uid="{00000000-0005-0000-0000-000075060000}"/>
    <cellStyle name="20% - Accent2 2 2 7 2 4 2" xfId="25366" xr:uid="{00000000-0005-0000-0000-000076060000}"/>
    <cellStyle name="20% - Accent2 2 2 7 2 5" xfId="18709" xr:uid="{00000000-0005-0000-0000-000077060000}"/>
    <cellStyle name="20% - Accent2 2 2 7 3" xfId="7413" xr:uid="{00000000-0005-0000-0000-000078060000}"/>
    <cellStyle name="20% - Accent2 2 2 7 3 2" xfId="9632" xr:uid="{00000000-0005-0000-0000-000079060000}"/>
    <cellStyle name="20% - Accent2 2 2 7 3 2 2" xfId="20195" xr:uid="{00000000-0005-0000-0000-00007A060000}"/>
    <cellStyle name="20% - Accent2 2 2 7 3 3" xfId="11851" xr:uid="{00000000-0005-0000-0000-00007B060000}"/>
    <cellStyle name="20% - Accent2 2 2 7 3 3 2" xfId="22414" xr:uid="{00000000-0005-0000-0000-00007C060000}"/>
    <cellStyle name="20% - Accent2 2 2 7 3 4" xfId="14070" xr:uid="{00000000-0005-0000-0000-00007D060000}"/>
    <cellStyle name="20% - Accent2 2 2 7 3 4 2" xfId="24633" xr:uid="{00000000-0005-0000-0000-00007E060000}"/>
    <cellStyle name="20% - Accent2 2 2 7 3 5" xfId="17976" xr:uid="{00000000-0005-0000-0000-00007F060000}"/>
    <cellStyle name="20% - Accent2 2 2 7 4" xfId="8889" xr:uid="{00000000-0005-0000-0000-000080060000}"/>
    <cellStyle name="20% - Accent2 2 2 7 4 2" xfId="19452" xr:uid="{00000000-0005-0000-0000-000081060000}"/>
    <cellStyle name="20% - Accent2 2 2 7 5" xfId="11108" xr:uid="{00000000-0005-0000-0000-000082060000}"/>
    <cellStyle name="20% - Accent2 2 2 7 5 2" xfId="21671" xr:uid="{00000000-0005-0000-0000-000083060000}"/>
    <cellStyle name="20% - Accent2 2 2 7 6" xfId="13327" xr:uid="{00000000-0005-0000-0000-000084060000}"/>
    <cellStyle name="20% - Accent2 2 2 7 6 2" xfId="23890" xr:uid="{00000000-0005-0000-0000-000085060000}"/>
    <cellStyle name="20% - Accent2 2 2 7 7" xfId="17227" xr:uid="{00000000-0005-0000-0000-000086060000}"/>
    <cellStyle name="20% - Accent2 2 2 8" xfId="255" xr:uid="{00000000-0005-0000-0000-000087060000}"/>
    <cellStyle name="20% - Accent2 2 2 8 2" xfId="8147" xr:uid="{00000000-0005-0000-0000-000088060000}"/>
    <cellStyle name="20% - Accent2 2 2 8 2 2" xfId="10366" xr:uid="{00000000-0005-0000-0000-000089060000}"/>
    <cellStyle name="20% - Accent2 2 2 8 2 2 2" xfId="20929" xr:uid="{00000000-0005-0000-0000-00008A060000}"/>
    <cellStyle name="20% - Accent2 2 2 8 2 3" xfId="12585" xr:uid="{00000000-0005-0000-0000-00008B060000}"/>
    <cellStyle name="20% - Accent2 2 2 8 2 3 2" xfId="23148" xr:uid="{00000000-0005-0000-0000-00008C060000}"/>
    <cellStyle name="20% - Accent2 2 2 8 2 4" xfId="14804" xr:uid="{00000000-0005-0000-0000-00008D060000}"/>
    <cellStyle name="20% - Accent2 2 2 8 2 4 2" xfId="25367" xr:uid="{00000000-0005-0000-0000-00008E060000}"/>
    <cellStyle name="20% - Accent2 2 2 8 2 5" xfId="18710" xr:uid="{00000000-0005-0000-0000-00008F060000}"/>
    <cellStyle name="20% - Accent2 2 2 8 3" xfId="7414" xr:uid="{00000000-0005-0000-0000-000090060000}"/>
    <cellStyle name="20% - Accent2 2 2 8 3 2" xfId="9633" xr:uid="{00000000-0005-0000-0000-000091060000}"/>
    <cellStyle name="20% - Accent2 2 2 8 3 2 2" xfId="20196" xr:uid="{00000000-0005-0000-0000-000092060000}"/>
    <cellStyle name="20% - Accent2 2 2 8 3 3" xfId="11852" xr:uid="{00000000-0005-0000-0000-000093060000}"/>
    <cellStyle name="20% - Accent2 2 2 8 3 3 2" xfId="22415" xr:uid="{00000000-0005-0000-0000-000094060000}"/>
    <cellStyle name="20% - Accent2 2 2 8 3 4" xfId="14071" xr:uid="{00000000-0005-0000-0000-000095060000}"/>
    <cellStyle name="20% - Accent2 2 2 8 3 4 2" xfId="24634" xr:uid="{00000000-0005-0000-0000-000096060000}"/>
    <cellStyle name="20% - Accent2 2 2 8 3 5" xfId="17977" xr:uid="{00000000-0005-0000-0000-000097060000}"/>
    <cellStyle name="20% - Accent2 2 2 8 4" xfId="8890" xr:uid="{00000000-0005-0000-0000-000098060000}"/>
    <cellStyle name="20% - Accent2 2 2 8 4 2" xfId="19453" xr:uid="{00000000-0005-0000-0000-000099060000}"/>
    <cellStyle name="20% - Accent2 2 2 8 5" xfId="11109" xr:uid="{00000000-0005-0000-0000-00009A060000}"/>
    <cellStyle name="20% - Accent2 2 2 8 5 2" xfId="21672" xr:uid="{00000000-0005-0000-0000-00009B060000}"/>
    <cellStyle name="20% - Accent2 2 2 8 6" xfId="13328" xr:uid="{00000000-0005-0000-0000-00009C060000}"/>
    <cellStyle name="20% - Accent2 2 2 8 6 2" xfId="23891" xr:uid="{00000000-0005-0000-0000-00009D060000}"/>
    <cellStyle name="20% - Accent2 2 2 8 7" xfId="17228" xr:uid="{00000000-0005-0000-0000-00009E060000}"/>
    <cellStyle name="20% - Accent2 2 2 9" xfId="256" xr:uid="{00000000-0005-0000-0000-00009F060000}"/>
    <cellStyle name="20% - Accent2 2 2 9 2" xfId="8148" xr:uid="{00000000-0005-0000-0000-0000A0060000}"/>
    <cellStyle name="20% - Accent2 2 2 9 2 2" xfId="10367" xr:uid="{00000000-0005-0000-0000-0000A1060000}"/>
    <cellStyle name="20% - Accent2 2 2 9 2 2 2" xfId="20930" xr:uid="{00000000-0005-0000-0000-0000A2060000}"/>
    <cellStyle name="20% - Accent2 2 2 9 2 3" xfId="12586" xr:uid="{00000000-0005-0000-0000-0000A3060000}"/>
    <cellStyle name="20% - Accent2 2 2 9 2 3 2" xfId="23149" xr:uid="{00000000-0005-0000-0000-0000A4060000}"/>
    <cellStyle name="20% - Accent2 2 2 9 2 4" xfId="14805" xr:uid="{00000000-0005-0000-0000-0000A5060000}"/>
    <cellStyle name="20% - Accent2 2 2 9 2 4 2" xfId="25368" xr:uid="{00000000-0005-0000-0000-0000A6060000}"/>
    <cellStyle name="20% - Accent2 2 2 9 2 5" xfId="18711" xr:uid="{00000000-0005-0000-0000-0000A7060000}"/>
    <cellStyle name="20% - Accent2 2 2 9 3" xfId="7415" xr:uid="{00000000-0005-0000-0000-0000A8060000}"/>
    <cellStyle name="20% - Accent2 2 2 9 3 2" xfId="9634" xr:uid="{00000000-0005-0000-0000-0000A9060000}"/>
    <cellStyle name="20% - Accent2 2 2 9 3 2 2" xfId="20197" xr:uid="{00000000-0005-0000-0000-0000AA060000}"/>
    <cellStyle name="20% - Accent2 2 2 9 3 3" xfId="11853" xr:uid="{00000000-0005-0000-0000-0000AB060000}"/>
    <cellStyle name="20% - Accent2 2 2 9 3 3 2" xfId="22416" xr:uid="{00000000-0005-0000-0000-0000AC060000}"/>
    <cellStyle name="20% - Accent2 2 2 9 3 4" xfId="14072" xr:uid="{00000000-0005-0000-0000-0000AD060000}"/>
    <cellStyle name="20% - Accent2 2 2 9 3 4 2" xfId="24635" xr:uid="{00000000-0005-0000-0000-0000AE060000}"/>
    <cellStyle name="20% - Accent2 2 2 9 3 5" xfId="17978" xr:uid="{00000000-0005-0000-0000-0000AF060000}"/>
    <cellStyle name="20% - Accent2 2 2 9 4" xfId="8891" xr:uid="{00000000-0005-0000-0000-0000B0060000}"/>
    <cellStyle name="20% - Accent2 2 2 9 4 2" xfId="19454" xr:uid="{00000000-0005-0000-0000-0000B1060000}"/>
    <cellStyle name="20% - Accent2 2 2 9 5" xfId="11110" xr:uid="{00000000-0005-0000-0000-0000B2060000}"/>
    <cellStyle name="20% - Accent2 2 2 9 5 2" xfId="21673" xr:uid="{00000000-0005-0000-0000-0000B3060000}"/>
    <cellStyle name="20% - Accent2 2 2 9 6" xfId="13329" xr:uid="{00000000-0005-0000-0000-0000B4060000}"/>
    <cellStyle name="20% - Accent2 2 2 9 6 2" xfId="23892" xr:uid="{00000000-0005-0000-0000-0000B5060000}"/>
    <cellStyle name="20% - Accent2 2 2 9 7" xfId="17229" xr:uid="{00000000-0005-0000-0000-0000B6060000}"/>
    <cellStyle name="20% - Accent2 2 3" xfId="257" xr:uid="{00000000-0005-0000-0000-0000B7060000}"/>
    <cellStyle name="20% - Accent2 2 3 10" xfId="8149" xr:uid="{00000000-0005-0000-0000-0000B8060000}"/>
    <cellStyle name="20% - Accent2 2 3 10 2" xfId="10368" xr:uid="{00000000-0005-0000-0000-0000B9060000}"/>
    <cellStyle name="20% - Accent2 2 3 10 2 2" xfId="20931" xr:uid="{00000000-0005-0000-0000-0000BA060000}"/>
    <cellStyle name="20% - Accent2 2 3 10 3" xfId="12587" xr:uid="{00000000-0005-0000-0000-0000BB060000}"/>
    <cellStyle name="20% - Accent2 2 3 10 3 2" xfId="23150" xr:uid="{00000000-0005-0000-0000-0000BC060000}"/>
    <cellStyle name="20% - Accent2 2 3 10 4" xfId="14806" xr:uid="{00000000-0005-0000-0000-0000BD060000}"/>
    <cellStyle name="20% - Accent2 2 3 10 4 2" xfId="25369" xr:uid="{00000000-0005-0000-0000-0000BE060000}"/>
    <cellStyle name="20% - Accent2 2 3 10 5" xfId="18712" xr:uid="{00000000-0005-0000-0000-0000BF060000}"/>
    <cellStyle name="20% - Accent2 2 3 11" xfId="7416" xr:uid="{00000000-0005-0000-0000-0000C0060000}"/>
    <cellStyle name="20% - Accent2 2 3 11 2" xfId="9635" xr:uid="{00000000-0005-0000-0000-0000C1060000}"/>
    <cellStyle name="20% - Accent2 2 3 11 2 2" xfId="20198" xr:uid="{00000000-0005-0000-0000-0000C2060000}"/>
    <cellStyle name="20% - Accent2 2 3 11 3" xfId="11854" xr:uid="{00000000-0005-0000-0000-0000C3060000}"/>
    <cellStyle name="20% - Accent2 2 3 11 3 2" xfId="22417" xr:uid="{00000000-0005-0000-0000-0000C4060000}"/>
    <cellStyle name="20% - Accent2 2 3 11 4" xfId="14073" xr:uid="{00000000-0005-0000-0000-0000C5060000}"/>
    <cellStyle name="20% - Accent2 2 3 11 4 2" xfId="24636" xr:uid="{00000000-0005-0000-0000-0000C6060000}"/>
    <cellStyle name="20% - Accent2 2 3 11 5" xfId="17979" xr:uid="{00000000-0005-0000-0000-0000C7060000}"/>
    <cellStyle name="20% - Accent2 2 3 12" xfId="8892" xr:uid="{00000000-0005-0000-0000-0000C8060000}"/>
    <cellStyle name="20% - Accent2 2 3 12 2" xfId="19455" xr:uid="{00000000-0005-0000-0000-0000C9060000}"/>
    <cellStyle name="20% - Accent2 2 3 13" xfId="11111" xr:uid="{00000000-0005-0000-0000-0000CA060000}"/>
    <cellStyle name="20% - Accent2 2 3 13 2" xfId="21674" xr:uid="{00000000-0005-0000-0000-0000CB060000}"/>
    <cellStyle name="20% - Accent2 2 3 14" xfId="13330" xr:uid="{00000000-0005-0000-0000-0000CC060000}"/>
    <cellStyle name="20% - Accent2 2 3 14 2" xfId="23893" xr:uid="{00000000-0005-0000-0000-0000CD060000}"/>
    <cellStyle name="20% - Accent2 2 3 15" xfId="17230" xr:uid="{00000000-0005-0000-0000-0000CE060000}"/>
    <cellStyle name="20% - Accent2 2 3 2" xfId="258" xr:uid="{00000000-0005-0000-0000-0000CF060000}"/>
    <cellStyle name="20% - Accent2 2 3 2 2" xfId="8150" xr:uid="{00000000-0005-0000-0000-0000D0060000}"/>
    <cellStyle name="20% - Accent2 2 3 2 2 2" xfId="10369" xr:uid="{00000000-0005-0000-0000-0000D1060000}"/>
    <cellStyle name="20% - Accent2 2 3 2 2 2 2" xfId="20932" xr:uid="{00000000-0005-0000-0000-0000D2060000}"/>
    <cellStyle name="20% - Accent2 2 3 2 2 3" xfId="12588" xr:uid="{00000000-0005-0000-0000-0000D3060000}"/>
    <cellStyle name="20% - Accent2 2 3 2 2 3 2" xfId="23151" xr:uid="{00000000-0005-0000-0000-0000D4060000}"/>
    <cellStyle name="20% - Accent2 2 3 2 2 4" xfId="14807" xr:uid="{00000000-0005-0000-0000-0000D5060000}"/>
    <cellStyle name="20% - Accent2 2 3 2 2 4 2" xfId="25370" xr:uid="{00000000-0005-0000-0000-0000D6060000}"/>
    <cellStyle name="20% - Accent2 2 3 2 2 5" xfId="18713" xr:uid="{00000000-0005-0000-0000-0000D7060000}"/>
    <cellStyle name="20% - Accent2 2 3 2 3" xfId="7417" xr:uid="{00000000-0005-0000-0000-0000D8060000}"/>
    <cellStyle name="20% - Accent2 2 3 2 3 2" xfId="9636" xr:uid="{00000000-0005-0000-0000-0000D9060000}"/>
    <cellStyle name="20% - Accent2 2 3 2 3 2 2" xfId="20199" xr:uid="{00000000-0005-0000-0000-0000DA060000}"/>
    <cellStyle name="20% - Accent2 2 3 2 3 3" xfId="11855" xr:uid="{00000000-0005-0000-0000-0000DB060000}"/>
    <cellStyle name="20% - Accent2 2 3 2 3 3 2" xfId="22418" xr:uid="{00000000-0005-0000-0000-0000DC060000}"/>
    <cellStyle name="20% - Accent2 2 3 2 3 4" xfId="14074" xr:uid="{00000000-0005-0000-0000-0000DD060000}"/>
    <cellStyle name="20% - Accent2 2 3 2 3 4 2" xfId="24637" xr:uid="{00000000-0005-0000-0000-0000DE060000}"/>
    <cellStyle name="20% - Accent2 2 3 2 3 5" xfId="17980" xr:uid="{00000000-0005-0000-0000-0000DF060000}"/>
    <cellStyle name="20% - Accent2 2 3 2 4" xfId="8893" xr:uid="{00000000-0005-0000-0000-0000E0060000}"/>
    <cellStyle name="20% - Accent2 2 3 2 4 2" xfId="19456" xr:uid="{00000000-0005-0000-0000-0000E1060000}"/>
    <cellStyle name="20% - Accent2 2 3 2 5" xfId="11112" xr:uid="{00000000-0005-0000-0000-0000E2060000}"/>
    <cellStyle name="20% - Accent2 2 3 2 5 2" xfId="21675" xr:uid="{00000000-0005-0000-0000-0000E3060000}"/>
    <cellStyle name="20% - Accent2 2 3 2 6" xfId="13331" xr:uid="{00000000-0005-0000-0000-0000E4060000}"/>
    <cellStyle name="20% - Accent2 2 3 2 6 2" xfId="23894" xr:uid="{00000000-0005-0000-0000-0000E5060000}"/>
    <cellStyle name="20% - Accent2 2 3 2 7" xfId="17231" xr:uid="{00000000-0005-0000-0000-0000E6060000}"/>
    <cellStyle name="20% - Accent2 2 3 3" xfId="259" xr:uid="{00000000-0005-0000-0000-0000E7060000}"/>
    <cellStyle name="20% - Accent2 2 3 3 2" xfId="8151" xr:uid="{00000000-0005-0000-0000-0000E8060000}"/>
    <cellStyle name="20% - Accent2 2 3 3 2 2" xfId="10370" xr:uid="{00000000-0005-0000-0000-0000E9060000}"/>
    <cellStyle name="20% - Accent2 2 3 3 2 2 2" xfId="20933" xr:uid="{00000000-0005-0000-0000-0000EA060000}"/>
    <cellStyle name="20% - Accent2 2 3 3 2 3" xfId="12589" xr:uid="{00000000-0005-0000-0000-0000EB060000}"/>
    <cellStyle name="20% - Accent2 2 3 3 2 3 2" xfId="23152" xr:uid="{00000000-0005-0000-0000-0000EC060000}"/>
    <cellStyle name="20% - Accent2 2 3 3 2 4" xfId="14808" xr:uid="{00000000-0005-0000-0000-0000ED060000}"/>
    <cellStyle name="20% - Accent2 2 3 3 2 4 2" xfId="25371" xr:uid="{00000000-0005-0000-0000-0000EE060000}"/>
    <cellStyle name="20% - Accent2 2 3 3 2 5" xfId="18714" xr:uid="{00000000-0005-0000-0000-0000EF060000}"/>
    <cellStyle name="20% - Accent2 2 3 3 3" xfId="7418" xr:uid="{00000000-0005-0000-0000-0000F0060000}"/>
    <cellStyle name="20% - Accent2 2 3 3 3 2" xfId="9637" xr:uid="{00000000-0005-0000-0000-0000F1060000}"/>
    <cellStyle name="20% - Accent2 2 3 3 3 2 2" xfId="20200" xr:uid="{00000000-0005-0000-0000-0000F2060000}"/>
    <cellStyle name="20% - Accent2 2 3 3 3 3" xfId="11856" xr:uid="{00000000-0005-0000-0000-0000F3060000}"/>
    <cellStyle name="20% - Accent2 2 3 3 3 3 2" xfId="22419" xr:uid="{00000000-0005-0000-0000-0000F4060000}"/>
    <cellStyle name="20% - Accent2 2 3 3 3 4" xfId="14075" xr:uid="{00000000-0005-0000-0000-0000F5060000}"/>
    <cellStyle name="20% - Accent2 2 3 3 3 4 2" xfId="24638" xr:uid="{00000000-0005-0000-0000-0000F6060000}"/>
    <cellStyle name="20% - Accent2 2 3 3 3 5" xfId="17981" xr:uid="{00000000-0005-0000-0000-0000F7060000}"/>
    <cellStyle name="20% - Accent2 2 3 3 4" xfId="8894" xr:uid="{00000000-0005-0000-0000-0000F8060000}"/>
    <cellStyle name="20% - Accent2 2 3 3 4 2" xfId="19457" xr:uid="{00000000-0005-0000-0000-0000F9060000}"/>
    <cellStyle name="20% - Accent2 2 3 3 5" xfId="11113" xr:uid="{00000000-0005-0000-0000-0000FA060000}"/>
    <cellStyle name="20% - Accent2 2 3 3 5 2" xfId="21676" xr:uid="{00000000-0005-0000-0000-0000FB060000}"/>
    <cellStyle name="20% - Accent2 2 3 3 6" xfId="13332" xr:uid="{00000000-0005-0000-0000-0000FC060000}"/>
    <cellStyle name="20% - Accent2 2 3 3 6 2" xfId="23895" xr:uid="{00000000-0005-0000-0000-0000FD060000}"/>
    <cellStyle name="20% - Accent2 2 3 3 7" xfId="17232" xr:uid="{00000000-0005-0000-0000-0000FE060000}"/>
    <cellStyle name="20% - Accent2 2 3 4" xfId="260" xr:uid="{00000000-0005-0000-0000-0000FF060000}"/>
    <cellStyle name="20% - Accent2 2 3 4 2" xfId="8152" xr:uid="{00000000-0005-0000-0000-000000070000}"/>
    <cellStyle name="20% - Accent2 2 3 4 2 2" xfId="10371" xr:uid="{00000000-0005-0000-0000-000001070000}"/>
    <cellStyle name="20% - Accent2 2 3 4 2 2 2" xfId="20934" xr:uid="{00000000-0005-0000-0000-000002070000}"/>
    <cellStyle name="20% - Accent2 2 3 4 2 3" xfId="12590" xr:uid="{00000000-0005-0000-0000-000003070000}"/>
    <cellStyle name="20% - Accent2 2 3 4 2 3 2" xfId="23153" xr:uid="{00000000-0005-0000-0000-000004070000}"/>
    <cellStyle name="20% - Accent2 2 3 4 2 4" xfId="14809" xr:uid="{00000000-0005-0000-0000-000005070000}"/>
    <cellStyle name="20% - Accent2 2 3 4 2 4 2" xfId="25372" xr:uid="{00000000-0005-0000-0000-000006070000}"/>
    <cellStyle name="20% - Accent2 2 3 4 2 5" xfId="18715" xr:uid="{00000000-0005-0000-0000-000007070000}"/>
    <cellStyle name="20% - Accent2 2 3 4 3" xfId="7419" xr:uid="{00000000-0005-0000-0000-000008070000}"/>
    <cellStyle name="20% - Accent2 2 3 4 3 2" xfId="9638" xr:uid="{00000000-0005-0000-0000-000009070000}"/>
    <cellStyle name="20% - Accent2 2 3 4 3 2 2" xfId="20201" xr:uid="{00000000-0005-0000-0000-00000A070000}"/>
    <cellStyle name="20% - Accent2 2 3 4 3 3" xfId="11857" xr:uid="{00000000-0005-0000-0000-00000B070000}"/>
    <cellStyle name="20% - Accent2 2 3 4 3 3 2" xfId="22420" xr:uid="{00000000-0005-0000-0000-00000C070000}"/>
    <cellStyle name="20% - Accent2 2 3 4 3 4" xfId="14076" xr:uid="{00000000-0005-0000-0000-00000D070000}"/>
    <cellStyle name="20% - Accent2 2 3 4 3 4 2" xfId="24639" xr:uid="{00000000-0005-0000-0000-00000E070000}"/>
    <cellStyle name="20% - Accent2 2 3 4 3 5" xfId="17982" xr:uid="{00000000-0005-0000-0000-00000F070000}"/>
    <cellStyle name="20% - Accent2 2 3 4 4" xfId="8895" xr:uid="{00000000-0005-0000-0000-000010070000}"/>
    <cellStyle name="20% - Accent2 2 3 4 4 2" xfId="19458" xr:uid="{00000000-0005-0000-0000-000011070000}"/>
    <cellStyle name="20% - Accent2 2 3 4 5" xfId="11114" xr:uid="{00000000-0005-0000-0000-000012070000}"/>
    <cellStyle name="20% - Accent2 2 3 4 5 2" xfId="21677" xr:uid="{00000000-0005-0000-0000-000013070000}"/>
    <cellStyle name="20% - Accent2 2 3 4 6" xfId="13333" xr:uid="{00000000-0005-0000-0000-000014070000}"/>
    <cellStyle name="20% - Accent2 2 3 4 6 2" xfId="23896" xr:uid="{00000000-0005-0000-0000-000015070000}"/>
    <cellStyle name="20% - Accent2 2 3 4 7" xfId="17233" xr:uid="{00000000-0005-0000-0000-000016070000}"/>
    <cellStyle name="20% - Accent2 2 3 5" xfId="261" xr:uid="{00000000-0005-0000-0000-000017070000}"/>
    <cellStyle name="20% - Accent2 2 3 5 2" xfId="8153" xr:uid="{00000000-0005-0000-0000-000018070000}"/>
    <cellStyle name="20% - Accent2 2 3 5 2 2" xfId="10372" xr:uid="{00000000-0005-0000-0000-000019070000}"/>
    <cellStyle name="20% - Accent2 2 3 5 2 2 2" xfId="20935" xr:uid="{00000000-0005-0000-0000-00001A070000}"/>
    <cellStyle name="20% - Accent2 2 3 5 2 3" xfId="12591" xr:uid="{00000000-0005-0000-0000-00001B070000}"/>
    <cellStyle name="20% - Accent2 2 3 5 2 3 2" xfId="23154" xr:uid="{00000000-0005-0000-0000-00001C070000}"/>
    <cellStyle name="20% - Accent2 2 3 5 2 4" xfId="14810" xr:uid="{00000000-0005-0000-0000-00001D070000}"/>
    <cellStyle name="20% - Accent2 2 3 5 2 4 2" xfId="25373" xr:uid="{00000000-0005-0000-0000-00001E070000}"/>
    <cellStyle name="20% - Accent2 2 3 5 2 5" xfId="18716" xr:uid="{00000000-0005-0000-0000-00001F070000}"/>
    <cellStyle name="20% - Accent2 2 3 5 3" xfId="7420" xr:uid="{00000000-0005-0000-0000-000020070000}"/>
    <cellStyle name="20% - Accent2 2 3 5 3 2" xfId="9639" xr:uid="{00000000-0005-0000-0000-000021070000}"/>
    <cellStyle name="20% - Accent2 2 3 5 3 2 2" xfId="20202" xr:uid="{00000000-0005-0000-0000-000022070000}"/>
    <cellStyle name="20% - Accent2 2 3 5 3 3" xfId="11858" xr:uid="{00000000-0005-0000-0000-000023070000}"/>
    <cellStyle name="20% - Accent2 2 3 5 3 3 2" xfId="22421" xr:uid="{00000000-0005-0000-0000-000024070000}"/>
    <cellStyle name="20% - Accent2 2 3 5 3 4" xfId="14077" xr:uid="{00000000-0005-0000-0000-000025070000}"/>
    <cellStyle name="20% - Accent2 2 3 5 3 4 2" xfId="24640" xr:uid="{00000000-0005-0000-0000-000026070000}"/>
    <cellStyle name="20% - Accent2 2 3 5 3 5" xfId="17983" xr:uid="{00000000-0005-0000-0000-000027070000}"/>
    <cellStyle name="20% - Accent2 2 3 5 4" xfId="8896" xr:uid="{00000000-0005-0000-0000-000028070000}"/>
    <cellStyle name="20% - Accent2 2 3 5 4 2" xfId="19459" xr:uid="{00000000-0005-0000-0000-000029070000}"/>
    <cellStyle name="20% - Accent2 2 3 5 5" xfId="11115" xr:uid="{00000000-0005-0000-0000-00002A070000}"/>
    <cellStyle name="20% - Accent2 2 3 5 5 2" xfId="21678" xr:uid="{00000000-0005-0000-0000-00002B070000}"/>
    <cellStyle name="20% - Accent2 2 3 5 6" xfId="13334" xr:uid="{00000000-0005-0000-0000-00002C070000}"/>
    <cellStyle name="20% - Accent2 2 3 5 6 2" xfId="23897" xr:uid="{00000000-0005-0000-0000-00002D070000}"/>
    <cellStyle name="20% - Accent2 2 3 5 7" xfId="17234" xr:uid="{00000000-0005-0000-0000-00002E070000}"/>
    <cellStyle name="20% - Accent2 2 3 6" xfId="262" xr:uid="{00000000-0005-0000-0000-00002F070000}"/>
    <cellStyle name="20% - Accent2 2 3 6 2" xfId="8154" xr:uid="{00000000-0005-0000-0000-000030070000}"/>
    <cellStyle name="20% - Accent2 2 3 6 2 2" xfId="10373" xr:uid="{00000000-0005-0000-0000-000031070000}"/>
    <cellStyle name="20% - Accent2 2 3 6 2 2 2" xfId="20936" xr:uid="{00000000-0005-0000-0000-000032070000}"/>
    <cellStyle name="20% - Accent2 2 3 6 2 3" xfId="12592" xr:uid="{00000000-0005-0000-0000-000033070000}"/>
    <cellStyle name="20% - Accent2 2 3 6 2 3 2" xfId="23155" xr:uid="{00000000-0005-0000-0000-000034070000}"/>
    <cellStyle name="20% - Accent2 2 3 6 2 4" xfId="14811" xr:uid="{00000000-0005-0000-0000-000035070000}"/>
    <cellStyle name="20% - Accent2 2 3 6 2 4 2" xfId="25374" xr:uid="{00000000-0005-0000-0000-000036070000}"/>
    <cellStyle name="20% - Accent2 2 3 6 2 5" xfId="18717" xr:uid="{00000000-0005-0000-0000-000037070000}"/>
    <cellStyle name="20% - Accent2 2 3 6 3" xfId="7421" xr:uid="{00000000-0005-0000-0000-000038070000}"/>
    <cellStyle name="20% - Accent2 2 3 6 3 2" xfId="9640" xr:uid="{00000000-0005-0000-0000-000039070000}"/>
    <cellStyle name="20% - Accent2 2 3 6 3 2 2" xfId="20203" xr:uid="{00000000-0005-0000-0000-00003A070000}"/>
    <cellStyle name="20% - Accent2 2 3 6 3 3" xfId="11859" xr:uid="{00000000-0005-0000-0000-00003B070000}"/>
    <cellStyle name="20% - Accent2 2 3 6 3 3 2" xfId="22422" xr:uid="{00000000-0005-0000-0000-00003C070000}"/>
    <cellStyle name="20% - Accent2 2 3 6 3 4" xfId="14078" xr:uid="{00000000-0005-0000-0000-00003D070000}"/>
    <cellStyle name="20% - Accent2 2 3 6 3 4 2" xfId="24641" xr:uid="{00000000-0005-0000-0000-00003E070000}"/>
    <cellStyle name="20% - Accent2 2 3 6 3 5" xfId="17984" xr:uid="{00000000-0005-0000-0000-00003F070000}"/>
    <cellStyle name="20% - Accent2 2 3 6 4" xfId="8897" xr:uid="{00000000-0005-0000-0000-000040070000}"/>
    <cellStyle name="20% - Accent2 2 3 6 4 2" xfId="19460" xr:uid="{00000000-0005-0000-0000-000041070000}"/>
    <cellStyle name="20% - Accent2 2 3 6 5" xfId="11116" xr:uid="{00000000-0005-0000-0000-000042070000}"/>
    <cellStyle name="20% - Accent2 2 3 6 5 2" xfId="21679" xr:uid="{00000000-0005-0000-0000-000043070000}"/>
    <cellStyle name="20% - Accent2 2 3 6 6" xfId="13335" xr:uid="{00000000-0005-0000-0000-000044070000}"/>
    <cellStyle name="20% - Accent2 2 3 6 6 2" xfId="23898" xr:uid="{00000000-0005-0000-0000-000045070000}"/>
    <cellStyle name="20% - Accent2 2 3 6 7" xfId="17235" xr:uid="{00000000-0005-0000-0000-000046070000}"/>
    <cellStyle name="20% - Accent2 2 3 7" xfId="263" xr:uid="{00000000-0005-0000-0000-000047070000}"/>
    <cellStyle name="20% - Accent2 2 3 7 2" xfId="8155" xr:uid="{00000000-0005-0000-0000-000048070000}"/>
    <cellStyle name="20% - Accent2 2 3 7 2 2" xfId="10374" xr:uid="{00000000-0005-0000-0000-000049070000}"/>
    <cellStyle name="20% - Accent2 2 3 7 2 2 2" xfId="20937" xr:uid="{00000000-0005-0000-0000-00004A070000}"/>
    <cellStyle name="20% - Accent2 2 3 7 2 3" xfId="12593" xr:uid="{00000000-0005-0000-0000-00004B070000}"/>
    <cellStyle name="20% - Accent2 2 3 7 2 3 2" xfId="23156" xr:uid="{00000000-0005-0000-0000-00004C070000}"/>
    <cellStyle name="20% - Accent2 2 3 7 2 4" xfId="14812" xr:uid="{00000000-0005-0000-0000-00004D070000}"/>
    <cellStyle name="20% - Accent2 2 3 7 2 4 2" xfId="25375" xr:uid="{00000000-0005-0000-0000-00004E070000}"/>
    <cellStyle name="20% - Accent2 2 3 7 2 5" xfId="18718" xr:uid="{00000000-0005-0000-0000-00004F070000}"/>
    <cellStyle name="20% - Accent2 2 3 7 3" xfId="7422" xr:uid="{00000000-0005-0000-0000-000050070000}"/>
    <cellStyle name="20% - Accent2 2 3 7 3 2" xfId="9641" xr:uid="{00000000-0005-0000-0000-000051070000}"/>
    <cellStyle name="20% - Accent2 2 3 7 3 2 2" xfId="20204" xr:uid="{00000000-0005-0000-0000-000052070000}"/>
    <cellStyle name="20% - Accent2 2 3 7 3 3" xfId="11860" xr:uid="{00000000-0005-0000-0000-000053070000}"/>
    <cellStyle name="20% - Accent2 2 3 7 3 3 2" xfId="22423" xr:uid="{00000000-0005-0000-0000-000054070000}"/>
    <cellStyle name="20% - Accent2 2 3 7 3 4" xfId="14079" xr:uid="{00000000-0005-0000-0000-000055070000}"/>
    <cellStyle name="20% - Accent2 2 3 7 3 4 2" xfId="24642" xr:uid="{00000000-0005-0000-0000-000056070000}"/>
    <cellStyle name="20% - Accent2 2 3 7 3 5" xfId="17985" xr:uid="{00000000-0005-0000-0000-000057070000}"/>
    <cellStyle name="20% - Accent2 2 3 7 4" xfId="8898" xr:uid="{00000000-0005-0000-0000-000058070000}"/>
    <cellStyle name="20% - Accent2 2 3 7 4 2" xfId="19461" xr:uid="{00000000-0005-0000-0000-000059070000}"/>
    <cellStyle name="20% - Accent2 2 3 7 5" xfId="11117" xr:uid="{00000000-0005-0000-0000-00005A070000}"/>
    <cellStyle name="20% - Accent2 2 3 7 5 2" xfId="21680" xr:uid="{00000000-0005-0000-0000-00005B070000}"/>
    <cellStyle name="20% - Accent2 2 3 7 6" xfId="13336" xr:uid="{00000000-0005-0000-0000-00005C070000}"/>
    <cellStyle name="20% - Accent2 2 3 7 6 2" xfId="23899" xr:uid="{00000000-0005-0000-0000-00005D070000}"/>
    <cellStyle name="20% - Accent2 2 3 7 7" xfId="17236" xr:uid="{00000000-0005-0000-0000-00005E070000}"/>
    <cellStyle name="20% - Accent2 2 3 8" xfId="264" xr:uid="{00000000-0005-0000-0000-00005F070000}"/>
    <cellStyle name="20% - Accent2 2 3 8 2" xfId="8156" xr:uid="{00000000-0005-0000-0000-000060070000}"/>
    <cellStyle name="20% - Accent2 2 3 8 2 2" xfId="10375" xr:uid="{00000000-0005-0000-0000-000061070000}"/>
    <cellStyle name="20% - Accent2 2 3 8 2 2 2" xfId="20938" xr:uid="{00000000-0005-0000-0000-000062070000}"/>
    <cellStyle name="20% - Accent2 2 3 8 2 3" xfId="12594" xr:uid="{00000000-0005-0000-0000-000063070000}"/>
    <cellStyle name="20% - Accent2 2 3 8 2 3 2" xfId="23157" xr:uid="{00000000-0005-0000-0000-000064070000}"/>
    <cellStyle name="20% - Accent2 2 3 8 2 4" xfId="14813" xr:uid="{00000000-0005-0000-0000-000065070000}"/>
    <cellStyle name="20% - Accent2 2 3 8 2 4 2" xfId="25376" xr:uid="{00000000-0005-0000-0000-000066070000}"/>
    <cellStyle name="20% - Accent2 2 3 8 2 5" xfId="18719" xr:uid="{00000000-0005-0000-0000-000067070000}"/>
    <cellStyle name="20% - Accent2 2 3 8 3" xfId="7423" xr:uid="{00000000-0005-0000-0000-000068070000}"/>
    <cellStyle name="20% - Accent2 2 3 8 3 2" xfId="9642" xr:uid="{00000000-0005-0000-0000-000069070000}"/>
    <cellStyle name="20% - Accent2 2 3 8 3 2 2" xfId="20205" xr:uid="{00000000-0005-0000-0000-00006A070000}"/>
    <cellStyle name="20% - Accent2 2 3 8 3 3" xfId="11861" xr:uid="{00000000-0005-0000-0000-00006B070000}"/>
    <cellStyle name="20% - Accent2 2 3 8 3 3 2" xfId="22424" xr:uid="{00000000-0005-0000-0000-00006C070000}"/>
    <cellStyle name="20% - Accent2 2 3 8 3 4" xfId="14080" xr:uid="{00000000-0005-0000-0000-00006D070000}"/>
    <cellStyle name="20% - Accent2 2 3 8 3 4 2" xfId="24643" xr:uid="{00000000-0005-0000-0000-00006E070000}"/>
    <cellStyle name="20% - Accent2 2 3 8 3 5" xfId="17986" xr:uid="{00000000-0005-0000-0000-00006F070000}"/>
    <cellStyle name="20% - Accent2 2 3 8 4" xfId="8899" xr:uid="{00000000-0005-0000-0000-000070070000}"/>
    <cellStyle name="20% - Accent2 2 3 8 4 2" xfId="19462" xr:uid="{00000000-0005-0000-0000-000071070000}"/>
    <cellStyle name="20% - Accent2 2 3 8 5" xfId="11118" xr:uid="{00000000-0005-0000-0000-000072070000}"/>
    <cellStyle name="20% - Accent2 2 3 8 5 2" xfId="21681" xr:uid="{00000000-0005-0000-0000-000073070000}"/>
    <cellStyle name="20% - Accent2 2 3 8 6" xfId="13337" xr:uid="{00000000-0005-0000-0000-000074070000}"/>
    <cellStyle name="20% - Accent2 2 3 8 6 2" xfId="23900" xr:uid="{00000000-0005-0000-0000-000075070000}"/>
    <cellStyle name="20% - Accent2 2 3 8 7" xfId="17237" xr:uid="{00000000-0005-0000-0000-000076070000}"/>
    <cellStyle name="20% - Accent2 2 3 9" xfId="265" xr:uid="{00000000-0005-0000-0000-000077070000}"/>
    <cellStyle name="20% - Accent2 2 3 9 2" xfId="8157" xr:uid="{00000000-0005-0000-0000-000078070000}"/>
    <cellStyle name="20% - Accent2 2 3 9 2 2" xfId="10376" xr:uid="{00000000-0005-0000-0000-000079070000}"/>
    <cellStyle name="20% - Accent2 2 3 9 2 2 2" xfId="20939" xr:uid="{00000000-0005-0000-0000-00007A070000}"/>
    <cellStyle name="20% - Accent2 2 3 9 2 3" xfId="12595" xr:uid="{00000000-0005-0000-0000-00007B070000}"/>
    <cellStyle name="20% - Accent2 2 3 9 2 3 2" xfId="23158" xr:uid="{00000000-0005-0000-0000-00007C070000}"/>
    <cellStyle name="20% - Accent2 2 3 9 2 4" xfId="14814" xr:uid="{00000000-0005-0000-0000-00007D070000}"/>
    <cellStyle name="20% - Accent2 2 3 9 2 4 2" xfId="25377" xr:uid="{00000000-0005-0000-0000-00007E070000}"/>
    <cellStyle name="20% - Accent2 2 3 9 2 5" xfId="18720" xr:uid="{00000000-0005-0000-0000-00007F070000}"/>
    <cellStyle name="20% - Accent2 2 3 9 3" xfId="7424" xr:uid="{00000000-0005-0000-0000-000080070000}"/>
    <cellStyle name="20% - Accent2 2 3 9 3 2" xfId="9643" xr:uid="{00000000-0005-0000-0000-000081070000}"/>
    <cellStyle name="20% - Accent2 2 3 9 3 2 2" xfId="20206" xr:uid="{00000000-0005-0000-0000-000082070000}"/>
    <cellStyle name="20% - Accent2 2 3 9 3 3" xfId="11862" xr:uid="{00000000-0005-0000-0000-000083070000}"/>
    <cellStyle name="20% - Accent2 2 3 9 3 3 2" xfId="22425" xr:uid="{00000000-0005-0000-0000-000084070000}"/>
    <cellStyle name="20% - Accent2 2 3 9 3 4" xfId="14081" xr:uid="{00000000-0005-0000-0000-000085070000}"/>
    <cellStyle name="20% - Accent2 2 3 9 3 4 2" xfId="24644" xr:uid="{00000000-0005-0000-0000-000086070000}"/>
    <cellStyle name="20% - Accent2 2 3 9 3 5" xfId="17987" xr:uid="{00000000-0005-0000-0000-000087070000}"/>
    <cellStyle name="20% - Accent2 2 3 9 4" xfId="8900" xr:uid="{00000000-0005-0000-0000-000088070000}"/>
    <cellStyle name="20% - Accent2 2 3 9 4 2" xfId="19463" xr:uid="{00000000-0005-0000-0000-000089070000}"/>
    <cellStyle name="20% - Accent2 2 3 9 5" xfId="11119" xr:uid="{00000000-0005-0000-0000-00008A070000}"/>
    <cellStyle name="20% - Accent2 2 3 9 5 2" xfId="21682" xr:uid="{00000000-0005-0000-0000-00008B070000}"/>
    <cellStyle name="20% - Accent2 2 3 9 6" xfId="13338" xr:uid="{00000000-0005-0000-0000-00008C070000}"/>
    <cellStyle name="20% - Accent2 2 3 9 6 2" xfId="23901" xr:uid="{00000000-0005-0000-0000-00008D070000}"/>
    <cellStyle name="20% - Accent2 2 3 9 7" xfId="17238" xr:uid="{00000000-0005-0000-0000-00008E070000}"/>
    <cellStyle name="20% - Accent2 2 4" xfId="266" xr:uid="{00000000-0005-0000-0000-00008F070000}"/>
    <cellStyle name="20% - Accent2 2 4 10" xfId="8158" xr:uid="{00000000-0005-0000-0000-000090070000}"/>
    <cellStyle name="20% - Accent2 2 4 10 2" xfId="10377" xr:uid="{00000000-0005-0000-0000-000091070000}"/>
    <cellStyle name="20% - Accent2 2 4 10 2 2" xfId="20940" xr:uid="{00000000-0005-0000-0000-000092070000}"/>
    <cellStyle name="20% - Accent2 2 4 10 3" xfId="12596" xr:uid="{00000000-0005-0000-0000-000093070000}"/>
    <cellStyle name="20% - Accent2 2 4 10 3 2" xfId="23159" xr:uid="{00000000-0005-0000-0000-000094070000}"/>
    <cellStyle name="20% - Accent2 2 4 10 4" xfId="14815" xr:uid="{00000000-0005-0000-0000-000095070000}"/>
    <cellStyle name="20% - Accent2 2 4 10 4 2" xfId="25378" xr:uid="{00000000-0005-0000-0000-000096070000}"/>
    <cellStyle name="20% - Accent2 2 4 10 5" xfId="18721" xr:uid="{00000000-0005-0000-0000-000097070000}"/>
    <cellStyle name="20% - Accent2 2 4 11" xfId="7425" xr:uid="{00000000-0005-0000-0000-000098070000}"/>
    <cellStyle name="20% - Accent2 2 4 11 2" xfId="9644" xr:uid="{00000000-0005-0000-0000-000099070000}"/>
    <cellStyle name="20% - Accent2 2 4 11 2 2" xfId="20207" xr:uid="{00000000-0005-0000-0000-00009A070000}"/>
    <cellStyle name="20% - Accent2 2 4 11 3" xfId="11863" xr:uid="{00000000-0005-0000-0000-00009B070000}"/>
    <cellStyle name="20% - Accent2 2 4 11 3 2" xfId="22426" xr:uid="{00000000-0005-0000-0000-00009C070000}"/>
    <cellStyle name="20% - Accent2 2 4 11 4" xfId="14082" xr:uid="{00000000-0005-0000-0000-00009D070000}"/>
    <cellStyle name="20% - Accent2 2 4 11 4 2" xfId="24645" xr:uid="{00000000-0005-0000-0000-00009E070000}"/>
    <cellStyle name="20% - Accent2 2 4 11 5" xfId="17988" xr:uid="{00000000-0005-0000-0000-00009F070000}"/>
    <cellStyle name="20% - Accent2 2 4 12" xfId="8901" xr:uid="{00000000-0005-0000-0000-0000A0070000}"/>
    <cellStyle name="20% - Accent2 2 4 12 2" xfId="19464" xr:uid="{00000000-0005-0000-0000-0000A1070000}"/>
    <cellStyle name="20% - Accent2 2 4 13" xfId="11120" xr:uid="{00000000-0005-0000-0000-0000A2070000}"/>
    <cellStyle name="20% - Accent2 2 4 13 2" xfId="21683" xr:uid="{00000000-0005-0000-0000-0000A3070000}"/>
    <cellStyle name="20% - Accent2 2 4 14" xfId="13339" xr:uid="{00000000-0005-0000-0000-0000A4070000}"/>
    <cellStyle name="20% - Accent2 2 4 14 2" xfId="23902" xr:uid="{00000000-0005-0000-0000-0000A5070000}"/>
    <cellStyle name="20% - Accent2 2 4 15" xfId="17239" xr:uid="{00000000-0005-0000-0000-0000A6070000}"/>
    <cellStyle name="20% - Accent2 2 4 2" xfId="267" xr:uid="{00000000-0005-0000-0000-0000A7070000}"/>
    <cellStyle name="20% - Accent2 2 4 2 2" xfId="8159" xr:uid="{00000000-0005-0000-0000-0000A8070000}"/>
    <cellStyle name="20% - Accent2 2 4 2 2 2" xfId="10378" xr:uid="{00000000-0005-0000-0000-0000A9070000}"/>
    <cellStyle name="20% - Accent2 2 4 2 2 2 2" xfId="20941" xr:uid="{00000000-0005-0000-0000-0000AA070000}"/>
    <cellStyle name="20% - Accent2 2 4 2 2 3" xfId="12597" xr:uid="{00000000-0005-0000-0000-0000AB070000}"/>
    <cellStyle name="20% - Accent2 2 4 2 2 3 2" xfId="23160" xr:uid="{00000000-0005-0000-0000-0000AC070000}"/>
    <cellStyle name="20% - Accent2 2 4 2 2 4" xfId="14816" xr:uid="{00000000-0005-0000-0000-0000AD070000}"/>
    <cellStyle name="20% - Accent2 2 4 2 2 4 2" xfId="25379" xr:uid="{00000000-0005-0000-0000-0000AE070000}"/>
    <cellStyle name="20% - Accent2 2 4 2 2 5" xfId="18722" xr:uid="{00000000-0005-0000-0000-0000AF070000}"/>
    <cellStyle name="20% - Accent2 2 4 2 3" xfId="7426" xr:uid="{00000000-0005-0000-0000-0000B0070000}"/>
    <cellStyle name="20% - Accent2 2 4 2 3 2" xfId="9645" xr:uid="{00000000-0005-0000-0000-0000B1070000}"/>
    <cellStyle name="20% - Accent2 2 4 2 3 2 2" xfId="20208" xr:uid="{00000000-0005-0000-0000-0000B2070000}"/>
    <cellStyle name="20% - Accent2 2 4 2 3 3" xfId="11864" xr:uid="{00000000-0005-0000-0000-0000B3070000}"/>
    <cellStyle name="20% - Accent2 2 4 2 3 3 2" xfId="22427" xr:uid="{00000000-0005-0000-0000-0000B4070000}"/>
    <cellStyle name="20% - Accent2 2 4 2 3 4" xfId="14083" xr:uid="{00000000-0005-0000-0000-0000B5070000}"/>
    <cellStyle name="20% - Accent2 2 4 2 3 4 2" xfId="24646" xr:uid="{00000000-0005-0000-0000-0000B6070000}"/>
    <cellStyle name="20% - Accent2 2 4 2 3 5" xfId="17989" xr:uid="{00000000-0005-0000-0000-0000B7070000}"/>
    <cellStyle name="20% - Accent2 2 4 2 4" xfId="8902" xr:uid="{00000000-0005-0000-0000-0000B8070000}"/>
    <cellStyle name="20% - Accent2 2 4 2 4 2" xfId="19465" xr:uid="{00000000-0005-0000-0000-0000B9070000}"/>
    <cellStyle name="20% - Accent2 2 4 2 5" xfId="11121" xr:uid="{00000000-0005-0000-0000-0000BA070000}"/>
    <cellStyle name="20% - Accent2 2 4 2 5 2" xfId="21684" xr:uid="{00000000-0005-0000-0000-0000BB070000}"/>
    <cellStyle name="20% - Accent2 2 4 2 6" xfId="13340" xr:uid="{00000000-0005-0000-0000-0000BC070000}"/>
    <cellStyle name="20% - Accent2 2 4 2 6 2" xfId="23903" xr:uid="{00000000-0005-0000-0000-0000BD070000}"/>
    <cellStyle name="20% - Accent2 2 4 2 7" xfId="17240" xr:uid="{00000000-0005-0000-0000-0000BE070000}"/>
    <cellStyle name="20% - Accent2 2 4 3" xfId="268" xr:uid="{00000000-0005-0000-0000-0000BF070000}"/>
    <cellStyle name="20% - Accent2 2 4 3 2" xfId="8160" xr:uid="{00000000-0005-0000-0000-0000C0070000}"/>
    <cellStyle name="20% - Accent2 2 4 3 2 2" xfId="10379" xr:uid="{00000000-0005-0000-0000-0000C1070000}"/>
    <cellStyle name="20% - Accent2 2 4 3 2 2 2" xfId="20942" xr:uid="{00000000-0005-0000-0000-0000C2070000}"/>
    <cellStyle name="20% - Accent2 2 4 3 2 3" xfId="12598" xr:uid="{00000000-0005-0000-0000-0000C3070000}"/>
    <cellStyle name="20% - Accent2 2 4 3 2 3 2" xfId="23161" xr:uid="{00000000-0005-0000-0000-0000C4070000}"/>
    <cellStyle name="20% - Accent2 2 4 3 2 4" xfId="14817" xr:uid="{00000000-0005-0000-0000-0000C5070000}"/>
    <cellStyle name="20% - Accent2 2 4 3 2 4 2" xfId="25380" xr:uid="{00000000-0005-0000-0000-0000C6070000}"/>
    <cellStyle name="20% - Accent2 2 4 3 2 5" xfId="18723" xr:uid="{00000000-0005-0000-0000-0000C7070000}"/>
    <cellStyle name="20% - Accent2 2 4 3 3" xfId="7427" xr:uid="{00000000-0005-0000-0000-0000C8070000}"/>
    <cellStyle name="20% - Accent2 2 4 3 3 2" xfId="9646" xr:uid="{00000000-0005-0000-0000-0000C9070000}"/>
    <cellStyle name="20% - Accent2 2 4 3 3 2 2" xfId="20209" xr:uid="{00000000-0005-0000-0000-0000CA070000}"/>
    <cellStyle name="20% - Accent2 2 4 3 3 3" xfId="11865" xr:uid="{00000000-0005-0000-0000-0000CB070000}"/>
    <cellStyle name="20% - Accent2 2 4 3 3 3 2" xfId="22428" xr:uid="{00000000-0005-0000-0000-0000CC070000}"/>
    <cellStyle name="20% - Accent2 2 4 3 3 4" xfId="14084" xr:uid="{00000000-0005-0000-0000-0000CD070000}"/>
    <cellStyle name="20% - Accent2 2 4 3 3 4 2" xfId="24647" xr:uid="{00000000-0005-0000-0000-0000CE070000}"/>
    <cellStyle name="20% - Accent2 2 4 3 3 5" xfId="17990" xr:uid="{00000000-0005-0000-0000-0000CF070000}"/>
    <cellStyle name="20% - Accent2 2 4 3 4" xfId="8903" xr:uid="{00000000-0005-0000-0000-0000D0070000}"/>
    <cellStyle name="20% - Accent2 2 4 3 4 2" xfId="19466" xr:uid="{00000000-0005-0000-0000-0000D1070000}"/>
    <cellStyle name="20% - Accent2 2 4 3 5" xfId="11122" xr:uid="{00000000-0005-0000-0000-0000D2070000}"/>
    <cellStyle name="20% - Accent2 2 4 3 5 2" xfId="21685" xr:uid="{00000000-0005-0000-0000-0000D3070000}"/>
    <cellStyle name="20% - Accent2 2 4 3 6" xfId="13341" xr:uid="{00000000-0005-0000-0000-0000D4070000}"/>
    <cellStyle name="20% - Accent2 2 4 3 6 2" xfId="23904" xr:uid="{00000000-0005-0000-0000-0000D5070000}"/>
    <cellStyle name="20% - Accent2 2 4 3 7" xfId="17241" xr:uid="{00000000-0005-0000-0000-0000D6070000}"/>
    <cellStyle name="20% - Accent2 2 4 4" xfId="269" xr:uid="{00000000-0005-0000-0000-0000D7070000}"/>
    <cellStyle name="20% - Accent2 2 4 4 2" xfId="8161" xr:uid="{00000000-0005-0000-0000-0000D8070000}"/>
    <cellStyle name="20% - Accent2 2 4 4 2 2" xfId="10380" xr:uid="{00000000-0005-0000-0000-0000D9070000}"/>
    <cellStyle name="20% - Accent2 2 4 4 2 2 2" xfId="20943" xr:uid="{00000000-0005-0000-0000-0000DA070000}"/>
    <cellStyle name="20% - Accent2 2 4 4 2 3" xfId="12599" xr:uid="{00000000-0005-0000-0000-0000DB070000}"/>
    <cellStyle name="20% - Accent2 2 4 4 2 3 2" xfId="23162" xr:uid="{00000000-0005-0000-0000-0000DC070000}"/>
    <cellStyle name="20% - Accent2 2 4 4 2 4" xfId="14818" xr:uid="{00000000-0005-0000-0000-0000DD070000}"/>
    <cellStyle name="20% - Accent2 2 4 4 2 4 2" xfId="25381" xr:uid="{00000000-0005-0000-0000-0000DE070000}"/>
    <cellStyle name="20% - Accent2 2 4 4 2 5" xfId="18724" xr:uid="{00000000-0005-0000-0000-0000DF070000}"/>
    <cellStyle name="20% - Accent2 2 4 4 3" xfId="7428" xr:uid="{00000000-0005-0000-0000-0000E0070000}"/>
    <cellStyle name="20% - Accent2 2 4 4 3 2" xfId="9647" xr:uid="{00000000-0005-0000-0000-0000E1070000}"/>
    <cellStyle name="20% - Accent2 2 4 4 3 2 2" xfId="20210" xr:uid="{00000000-0005-0000-0000-0000E2070000}"/>
    <cellStyle name="20% - Accent2 2 4 4 3 3" xfId="11866" xr:uid="{00000000-0005-0000-0000-0000E3070000}"/>
    <cellStyle name="20% - Accent2 2 4 4 3 3 2" xfId="22429" xr:uid="{00000000-0005-0000-0000-0000E4070000}"/>
    <cellStyle name="20% - Accent2 2 4 4 3 4" xfId="14085" xr:uid="{00000000-0005-0000-0000-0000E5070000}"/>
    <cellStyle name="20% - Accent2 2 4 4 3 4 2" xfId="24648" xr:uid="{00000000-0005-0000-0000-0000E6070000}"/>
    <cellStyle name="20% - Accent2 2 4 4 3 5" xfId="17991" xr:uid="{00000000-0005-0000-0000-0000E7070000}"/>
    <cellStyle name="20% - Accent2 2 4 4 4" xfId="8904" xr:uid="{00000000-0005-0000-0000-0000E8070000}"/>
    <cellStyle name="20% - Accent2 2 4 4 4 2" xfId="19467" xr:uid="{00000000-0005-0000-0000-0000E9070000}"/>
    <cellStyle name="20% - Accent2 2 4 4 5" xfId="11123" xr:uid="{00000000-0005-0000-0000-0000EA070000}"/>
    <cellStyle name="20% - Accent2 2 4 4 5 2" xfId="21686" xr:uid="{00000000-0005-0000-0000-0000EB070000}"/>
    <cellStyle name="20% - Accent2 2 4 4 6" xfId="13342" xr:uid="{00000000-0005-0000-0000-0000EC070000}"/>
    <cellStyle name="20% - Accent2 2 4 4 6 2" xfId="23905" xr:uid="{00000000-0005-0000-0000-0000ED070000}"/>
    <cellStyle name="20% - Accent2 2 4 4 7" xfId="17242" xr:uid="{00000000-0005-0000-0000-0000EE070000}"/>
    <cellStyle name="20% - Accent2 2 4 5" xfId="270" xr:uid="{00000000-0005-0000-0000-0000EF070000}"/>
    <cellStyle name="20% - Accent2 2 4 5 2" xfId="8162" xr:uid="{00000000-0005-0000-0000-0000F0070000}"/>
    <cellStyle name="20% - Accent2 2 4 5 2 2" xfId="10381" xr:uid="{00000000-0005-0000-0000-0000F1070000}"/>
    <cellStyle name="20% - Accent2 2 4 5 2 2 2" xfId="20944" xr:uid="{00000000-0005-0000-0000-0000F2070000}"/>
    <cellStyle name="20% - Accent2 2 4 5 2 3" xfId="12600" xr:uid="{00000000-0005-0000-0000-0000F3070000}"/>
    <cellStyle name="20% - Accent2 2 4 5 2 3 2" xfId="23163" xr:uid="{00000000-0005-0000-0000-0000F4070000}"/>
    <cellStyle name="20% - Accent2 2 4 5 2 4" xfId="14819" xr:uid="{00000000-0005-0000-0000-0000F5070000}"/>
    <cellStyle name="20% - Accent2 2 4 5 2 4 2" xfId="25382" xr:uid="{00000000-0005-0000-0000-0000F6070000}"/>
    <cellStyle name="20% - Accent2 2 4 5 2 5" xfId="18725" xr:uid="{00000000-0005-0000-0000-0000F7070000}"/>
    <cellStyle name="20% - Accent2 2 4 5 3" xfId="7429" xr:uid="{00000000-0005-0000-0000-0000F8070000}"/>
    <cellStyle name="20% - Accent2 2 4 5 3 2" xfId="9648" xr:uid="{00000000-0005-0000-0000-0000F9070000}"/>
    <cellStyle name="20% - Accent2 2 4 5 3 2 2" xfId="20211" xr:uid="{00000000-0005-0000-0000-0000FA070000}"/>
    <cellStyle name="20% - Accent2 2 4 5 3 3" xfId="11867" xr:uid="{00000000-0005-0000-0000-0000FB070000}"/>
    <cellStyle name="20% - Accent2 2 4 5 3 3 2" xfId="22430" xr:uid="{00000000-0005-0000-0000-0000FC070000}"/>
    <cellStyle name="20% - Accent2 2 4 5 3 4" xfId="14086" xr:uid="{00000000-0005-0000-0000-0000FD070000}"/>
    <cellStyle name="20% - Accent2 2 4 5 3 4 2" xfId="24649" xr:uid="{00000000-0005-0000-0000-0000FE070000}"/>
    <cellStyle name="20% - Accent2 2 4 5 3 5" xfId="17992" xr:uid="{00000000-0005-0000-0000-0000FF070000}"/>
    <cellStyle name="20% - Accent2 2 4 5 4" xfId="8905" xr:uid="{00000000-0005-0000-0000-000000080000}"/>
    <cellStyle name="20% - Accent2 2 4 5 4 2" xfId="19468" xr:uid="{00000000-0005-0000-0000-000001080000}"/>
    <cellStyle name="20% - Accent2 2 4 5 5" xfId="11124" xr:uid="{00000000-0005-0000-0000-000002080000}"/>
    <cellStyle name="20% - Accent2 2 4 5 5 2" xfId="21687" xr:uid="{00000000-0005-0000-0000-000003080000}"/>
    <cellStyle name="20% - Accent2 2 4 5 6" xfId="13343" xr:uid="{00000000-0005-0000-0000-000004080000}"/>
    <cellStyle name="20% - Accent2 2 4 5 6 2" xfId="23906" xr:uid="{00000000-0005-0000-0000-000005080000}"/>
    <cellStyle name="20% - Accent2 2 4 5 7" xfId="17243" xr:uid="{00000000-0005-0000-0000-000006080000}"/>
    <cellStyle name="20% - Accent2 2 4 6" xfId="271" xr:uid="{00000000-0005-0000-0000-000007080000}"/>
    <cellStyle name="20% - Accent2 2 4 6 2" xfId="8163" xr:uid="{00000000-0005-0000-0000-000008080000}"/>
    <cellStyle name="20% - Accent2 2 4 6 2 2" xfId="10382" xr:uid="{00000000-0005-0000-0000-000009080000}"/>
    <cellStyle name="20% - Accent2 2 4 6 2 2 2" xfId="20945" xr:uid="{00000000-0005-0000-0000-00000A080000}"/>
    <cellStyle name="20% - Accent2 2 4 6 2 3" xfId="12601" xr:uid="{00000000-0005-0000-0000-00000B080000}"/>
    <cellStyle name="20% - Accent2 2 4 6 2 3 2" xfId="23164" xr:uid="{00000000-0005-0000-0000-00000C080000}"/>
    <cellStyle name="20% - Accent2 2 4 6 2 4" xfId="14820" xr:uid="{00000000-0005-0000-0000-00000D080000}"/>
    <cellStyle name="20% - Accent2 2 4 6 2 4 2" xfId="25383" xr:uid="{00000000-0005-0000-0000-00000E080000}"/>
    <cellStyle name="20% - Accent2 2 4 6 2 5" xfId="18726" xr:uid="{00000000-0005-0000-0000-00000F080000}"/>
    <cellStyle name="20% - Accent2 2 4 6 3" xfId="7430" xr:uid="{00000000-0005-0000-0000-000010080000}"/>
    <cellStyle name="20% - Accent2 2 4 6 3 2" xfId="9649" xr:uid="{00000000-0005-0000-0000-000011080000}"/>
    <cellStyle name="20% - Accent2 2 4 6 3 2 2" xfId="20212" xr:uid="{00000000-0005-0000-0000-000012080000}"/>
    <cellStyle name="20% - Accent2 2 4 6 3 3" xfId="11868" xr:uid="{00000000-0005-0000-0000-000013080000}"/>
    <cellStyle name="20% - Accent2 2 4 6 3 3 2" xfId="22431" xr:uid="{00000000-0005-0000-0000-000014080000}"/>
    <cellStyle name="20% - Accent2 2 4 6 3 4" xfId="14087" xr:uid="{00000000-0005-0000-0000-000015080000}"/>
    <cellStyle name="20% - Accent2 2 4 6 3 4 2" xfId="24650" xr:uid="{00000000-0005-0000-0000-000016080000}"/>
    <cellStyle name="20% - Accent2 2 4 6 3 5" xfId="17993" xr:uid="{00000000-0005-0000-0000-000017080000}"/>
    <cellStyle name="20% - Accent2 2 4 6 4" xfId="8906" xr:uid="{00000000-0005-0000-0000-000018080000}"/>
    <cellStyle name="20% - Accent2 2 4 6 4 2" xfId="19469" xr:uid="{00000000-0005-0000-0000-000019080000}"/>
    <cellStyle name="20% - Accent2 2 4 6 5" xfId="11125" xr:uid="{00000000-0005-0000-0000-00001A080000}"/>
    <cellStyle name="20% - Accent2 2 4 6 5 2" xfId="21688" xr:uid="{00000000-0005-0000-0000-00001B080000}"/>
    <cellStyle name="20% - Accent2 2 4 6 6" xfId="13344" xr:uid="{00000000-0005-0000-0000-00001C080000}"/>
    <cellStyle name="20% - Accent2 2 4 6 6 2" xfId="23907" xr:uid="{00000000-0005-0000-0000-00001D080000}"/>
    <cellStyle name="20% - Accent2 2 4 6 7" xfId="17244" xr:uid="{00000000-0005-0000-0000-00001E080000}"/>
    <cellStyle name="20% - Accent2 2 4 7" xfId="272" xr:uid="{00000000-0005-0000-0000-00001F080000}"/>
    <cellStyle name="20% - Accent2 2 4 7 2" xfId="8164" xr:uid="{00000000-0005-0000-0000-000020080000}"/>
    <cellStyle name="20% - Accent2 2 4 7 2 2" xfId="10383" xr:uid="{00000000-0005-0000-0000-000021080000}"/>
    <cellStyle name="20% - Accent2 2 4 7 2 2 2" xfId="20946" xr:uid="{00000000-0005-0000-0000-000022080000}"/>
    <cellStyle name="20% - Accent2 2 4 7 2 3" xfId="12602" xr:uid="{00000000-0005-0000-0000-000023080000}"/>
    <cellStyle name="20% - Accent2 2 4 7 2 3 2" xfId="23165" xr:uid="{00000000-0005-0000-0000-000024080000}"/>
    <cellStyle name="20% - Accent2 2 4 7 2 4" xfId="14821" xr:uid="{00000000-0005-0000-0000-000025080000}"/>
    <cellStyle name="20% - Accent2 2 4 7 2 4 2" xfId="25384" xr:uid="{00000000-0005-0000-0000-000026080000}"/>
    <cellStyle name="20% - Accent2 2 4 7 2 5" xfId="18727" xr:uid="{00000000-0005-0000-0000-000027080000}"/>
    <cellStyle name="20% - Accent2 2 4 7 3" xfId="7431" xr:uid="{00000000-0005-0000-0000-000028080000}"/>
    <cellStyle name="20% - Accent2 2 4 7 3 2" xfId="9650" xr:uid="{00000000-0005-0000-0000-000029080000}"/>
    <cellStyle name="20% - Accent2 2 4 7 3 2 2" xfId="20213" xr:uid="{00000000-0005-0000-0000-00002A080000}"/>
    <cellStyle name="20% - Accent2 2 4 7 3 3" xfId="11869" xr:uid="{00000000-0005-0000-0000-00002B080000}"/>
    <cellStyle name="20% - Accent2 2 4 7 3 3 2" xfId="22432" xr:uid="{00000000-0005-0000-0000-00002C080000}"/>
    <cellStyle name="20% - Accent2 2 4 7 3 4" xfId="14088" xr:uid="{00000000-0005-0000-0000-00002D080000}"/>
    <cellStyle name="20% - Accent2 2 4 7 3 4 2" xfId="24651" xr:uid="{00000000-0005-0000-0000-00002E080000}"/>
    <cellStyle name="20% - Accent2 2 4 7 3 5" xfId="17994" xr:uid="{00000000-0005-0000-0000-00002F080000}"/>
    <cellStyle name="20% - Accent2 2 4 7 4" xfId="8907" xr:uid="{00000000-0005-0000-0000-000030080000}"/>
    <cellStyle name="20% - Accent2 2 4 7 4 2" xfId="19470" xr:uid="{00000000-0005-0000-0000-000031080000}"/>
    <cellStyle name="20% - Accent2 2 4 7 5" xfId="11126" xr:uid="{00000000-0005-0000-0000-000032080000}"/>
    <cellStyle name="20% - Accent2 2 4 7 5 2" xfId="21689" xr:uid="{00000000-0005-0000-0000-000033080000}"/>
    <cellStyle name="20% - Accent2 2 4 7 6" xfId="13345" xr:uid="{00000000-0005-0000-0000-000034080000}"/>
    <cellStyle name="20% - Accent2 2 4 7 6 2" xfId="23908" xr:uid="{00000000-0005-0000-0000-000035080000}"/>
    <cellStyle name="20% - Accent2 2 4 7 7" xfId="17245" xr:uid="{00000000-0005-0000-0000-000036080000}"/>
    <cellStyle name="20% - Accent2 2 4 8" xfId="273" xr:uid="{00000000-0005-0000-0000-000037080000}"/>
    <cellStyle name="20% - Accent2 2 4 8 2" xfId="8165" xr:uid="{00000000-0005-0000-0000-000038080000}"/>
    <cellStyle name="20% - Accent2 2 4 8 2 2" xfId="10384" xr:uid="{00000000-0005-0000-0000-000039080000}"/>
    <cellStyle name="20% - Accent2 2 4 8 2 2 2" xfId="20947" xr:uid="{00000000-0005-0000-0000-00003A080000}"/>
    <cellStyle name="20% - Accent2 2 4 8 2 3" xfId="12603" xr:uid="{00000000-0005-0000-0000-00003B080000}"/>
    <cellStyle name="20% - Accent2 2 4 8 2 3 2" xfId="23166" xr:uid="{00000000-0005-0000-0000-00003C080000}"/>
    <cellStyle name="20% - Accent2 2 4 8 2 4" xfId="14822" xr:uid="{00000000-0005-0000-0000-00003D080000}"/>
    <cellStyle name="20% - Accent2 2 4 8 2 4 2" xfId="25385" xr:uid="{00000000-0005-0000-0000-00003E080000}"/>
    <cellStyle name="20% - Accent2 2 4 8 2 5" xfId="18728" xr:uid="{00000000-0005-0000-0000-00003F080000}"/>
    <cellStyle name="20% - Accent2 2 4 8 3" xfId="7432" xr:uid="{00000000-0005-0000-0000-000040080000}"/>
    <cellStyle name="20% - Accent2 2 4 8 3 2" xfId="9651" xr:uid="{00000000-0005-0000-0000-000041080000}"/>
    <cellStyle name="20% - Accent2 2 4 8 3 2 2" xfId="20214" xr:uid="{00000000-0005-0000-0000-000042080000}"/>
    <cellStyle name="20% - Accent2 2 4 8 3 3" xfId="11870" xr:uid="{00000000-0005-0000-0000-000043080000}"/>
    <cellStyle name="20% - Accent2 2 4 8 3 3 2" xfId="22433" xr:uid="{00000000-0005-0000-0000-000044080000}"/>
    <cellStyle name="20% - Accent2 2 4 8 3 4" xfId="14089" xr:uid="{00000000-0005-0000-0000-000045080000}"/>
    <cellStyle name="20% - Accent2 2 4 8 3 4 2" xfId="24652" xr:uid="{00000000-0005-0000-0000-000046080000}"/>
    <cellStyle name="20% - Accent2 2 4 8 3 5" xfId="17995" xr:uid="{00000000-0005-0000-0000-000047080000}"/>
    <cellStyle name="20% - Accent2 2 4 8 4" xfId="8908" xr:uid="{00000000-0005-0000-0000-000048080000}"/>
    <cellStyle name="20% - Accent2 2 4 8 4 2" xfId="19471" xr:uid="{00000000-0005-0000-0000-000049080000}"/>
    <cellStyle name="20% - Accent2 2 4 8 5" xfId="11127" xr:uid="{00000000-0005-0000-0000-00004A080000}"/>
    <cellStyle name="20% - Accent2 2 4 8 5 2" xfId="21690" xr:uid="{00000000-0005-0000-0000-00004B080000}"/>
    <cellStyle name="20% - Accent2 2 4 8 6" xfId="13346" xr:uid="{00000000-0005-0000-0000-00004C080000}"/>
    <cellStyle name="20% - Accent2 2 4 8 6 2" xfId="23909" xr:uid="{00000000-0005-0000-0000-00004D080000}"/>
    <cellStyle name="20% - Accent2 2 4 8 7" xfId="17246" xr:uid="{00000000-0005-0000-0000-00004E080000}"/>
    <cellStyle name="20% - Accent2 2 4 9" xfId="274" xr:uid="{00000000-0005-0000-0000-00004F080000}"/>
    <cellStyle name="20% - Accent2 2 4 9 2" xfId="8166" xr:uid="{00000000-0005-0000-0000-000050080000}"/>
    <cellStyle name="20% - Accent2 2 4 9 2 2" xfId="10385" xr:uid="{00000000-0005-0000-0000-000051080000}"/>
    <cellStyle name="20% - Accent2 2 4 9 2 2 2" xfId="20948" xr:uid="{00000000-0005-0000-0000-000052080000}"/>
    <cellStyle name="20% - Accent2 2 4 9 2 3" xfId="12604" xr:uid="{00000000-0005-0000-0000-000053080000}"/>
    <cellStyle name="20% - Accent2 2 4 9 2 3 2" xfId="23167" xr:uid="{00000000-0005-0000-0000-000054080000}"/>
    <cellStyle name="20% - Accent2 2 4 9 2 4" xfId="14823" xr:uid="{00000000-0005-0000-0000-000055080000}"/>
    <cellStyle name="20% - Accent2 2 4 9 2 4 2" xfId="25386" xr:uid="{00000000-0005-0000-0000-000056080000}"/>
    <cellStyle name="20% - Accent2 2 4 9 2 5" xfId="18729" xr:uid="{00000000-0005-0000-0000-000057080000}"/>
    <cellStyle name="20% - Accent2 2 4 9 3" xfId="7433" xr:uid="{00000000-0005-0000-0000-000058080000}"/>
    <cellStyle name="20% - Accent2 2 4 9 3 2" xfId="9652" xr:uid="{00000000-0005-0000-0000-000059080000}"/>
    <cellStyle name="20% - Accent2 2 4 9 3 2 2" xfId="20215" xr:uid="{00000000-0005-0000-0000-00005A080000}"/>
    <cellStyle name="20% - Accent2 2 4 9 3 3" xfId="11871" xr:uid="{00000000-0005-0000-0000-00005B080000}"/>
    <cellStyle name="20% - Accent2 2 4 9 3 3 2" xfId="22434" xr:uid="{00000000-0005-0000-0000-00005C080000}"/>
    <cellStyle name="20% - Accent2 2 4 9 3 4" xfId="14090" xr:uid="{00000000-0005-0000-0000-00005D080000}"/>
    <cellStyle name="20% - Accent2 2 4 9 3 4 2" xfId="24653" xr:uid="{00000000-0005-0000-0000-00005E080000}"/>
    <cellStyle name="20% - Accent2 2 4 9 3 5" xfId="17996" xr:uid="{00000000-0005-0000-0000-00005F080000}"/>
    <cellStyle name="20% - Accent2 2 4 9 4" xfId="8909" xr:uid="{00000000-0005-0000-0000-000060080000}"/>
    <cellStyle name="20% - Accent2 2 4 9 4 2" xfId="19472" xr:uid="{00000000-0005-0000-0000-000061080000}"/>
    <cellStyle name="20% - Accent2 2 4 9 5" xfId="11128" xr:uid="{00000000-0005-0000-0000-000062080000}"/>
    <cellStyle name="20% - Accent2 2 4 9 5 2" xfId="21691" xr:uid="{00000000-0005-0000-0000-000063080000}"/>
    <cellStyle name="20% - Accent2 2 4 9 6" xfId="13347" xr:uid="{00000000-0005-0000-0000-000064080000}"/>
    <cellStyle name="20% - Accent2 2 4 9 6 2" xfId="23910" xr:uid="{00000000-0005-0000-0000-000065080000}"/>
    <cellStyle name="20% - Accent2 2 4 9 7" xfId="17247" xr:uid="{00000000-0005-0000-0000-000066080000}"/>
    <cellStyle name="20% - Accent2 2 5" xfId="275" xr:uid="{00000000-0005-0000-0000-000067080000}"/>
    <cellStyle name="20% - Accent2 2 5 10" xfId="8167" xr:uid="{00000000-0005-0000-0000-000068080000}"/>
    <cellStyle name="20% - Accent2 2 5 10 2" xfId="10386" xr:uid="{00000000-0005-0000-0000-000069080000}"/>
    <cellStyle name="20% - Accent2 2 5 10 2 2" xfId="20949" xr:uid="{00000000-0005-0000-0000-00006A080000}"/>
    <cellStyle name="20% - Accent2 2 5 10 3" xfId="12605" xr:uid="{00000000-0005-0000-0000-00006B080000}"/>
    <cellStyle name="20% - Accent2 2 5 10 3 2" xfId="23168" xr:uid="{00000000-0005-0000-0000-00006C080000}"/>
    <cellStyle name="20% - Accent2 2 5 10 4" xfId="14824" xr:uid="{00000000-0005-0000-0000-00006D080000}"/>
    <cellStyle name="20% - Accent2 2 5 10 4 2" xfId="25387" xr:uid="{00000000-0005-0000-0000-00006E080000}"/>
    <cellStyle name="20% - Accent2 2 5 10 5" xfId="18730" xr:uid="{00000000-0005-0000-0000-00006F080000}"/>
    <cellStyle name="20% - Accent2 2 5 11" xfId="7434" xr:uid="{00000000-0005-0000-0000-000070080000}"/>
    <cellStyle name="20% - Accent2 2 5 11 2" xfId="9653" xr:uid="{00000000-0005-0000-0000-000071080000}"/>
    <cellStyle name="20% - Accent2 2 5 11 2 2" xfId="20216" xr:uid="{00000000-0005-0000-0000-000072080000}"/>
    <cellStyle name="20% - Accent2 2 5 11 3" xfId="11872" xr:uid="{00000000-0005-0000-0000-000073080000}"/>
    <cellStyle name="20% - Accent2 2 5 11 3 2" xfId="22435" xr:uid="{00000000-0005-0000-0000-000074080000}"/>
    <cellStyle name="20% - Accent2 2 5 11 4" xfId="14091" xr:uid="{00000000-0005-0000-0000-000075080000}"/>
    <cellStyle name="20% - Accent2 2 5 11 4 2" xfId="24654" xr:uid="{00000000-0005-0000-0000-000076080000}"/>
    <cellStyle name="20% - Accent2 2 5 11 5" xfId="17997" xr:uid="{00000000-0005-0000-0000-000077080000}"/>
    <cellStyle name="20% - Accent2 2 5 12" xfId="8910" xr:uid="{00000000-0005-0000-0000-000078080000}"/>
    <cellStyle name="20% - Accent2 2 5 12 2" xfId="19473" xr:uid="{00000000-0005-0000-0000-000079080000}"/>
    <cellStyle name="20% - Accent2 2 5 13" xfId="11129" xr:uid="{00000000-0005-0000-0000-00007A080000}"/>
    <cellStyle name="20% - Accent2 2 5 13 2" xfId="21692" xr:uid="{00000000-0005-0000-0000-00007B080000}"/>
    <cellStyle name="20% - Accent2 2 5 14" xfId="13348" xr:uid="{00000000-0005-0000-0000-00007C080000}"/>
    <cellStyle name="20% - Accent2 2 5 14 2" xfId="23911" xr:uid="{00000000-0005-0000-0000-00007D080000}"/>
    <cellStyle name="20% - Accent2 2 5 15" xfId="17248" xr:uid="{00000000-0005-0000-0000-00007E080000}"/>
    <cellStyle name="20% - Accent2 2 5 2" xfId="276" xr:uid="{00000000-0005-0000-0000-00007F080000}"/>
    <cellStyle name="20% - Accent2 2 5 2 2" xfId="8168" xr:uid="{00000000-0005-0000-0000-000080080000}"/>
    <cellStyle name="20% - Accent2 2 5 2 2 2" xfId="10387" xr:uid="{00000000-0005-0000-0000-000081080000}"/>
    <cellStyle name="20% - Accent2 2 5 2 2 2 2" xfId="20950" xr:uid="{00000000-0005-0000-0000-000082080000}"/>
    <cellStyle name="20% - Accent2 2 5 2 2 3" xfId="12606" xr:uid="{00000000-0005-0000-0000-000083080000}"/>
    <cellStyle name="20% - Accent2 2 5 2 2 3 2" xfId="23169" xr:uid="{00000000-0005-0000-0000-000084080000}"/>
    <cellStyle name="20% - Accent2 2 5 2 2 4" xfId="14825" xr:uid="{00000000-0005-0000-0000-000085080000}"/>
    <cellStyle name="20% - Accent2 2 5 2 2 4 2" xfId="25388" xr:uid="{00000000-0005-0000-0000-000086080000}"/>
    <cellStyle name="20% - Accent2 2 5 2 2 5" xfId="18731" xr:uid="{00000000-0005-0000-0000-000087080000}"/>
    <cellStyle name="20% - Accent2 2 5 2 3" xfId="7435" xr:uid="{00000000-0005-0000-0000-000088080000}"/>
    <cellStyle name="20% - Accent2 2 5 2 3 2" xfId="9654" xr:uid="{00000000-0005-0000-0000-000089080000}"/>
    <cellStyle name="20% - Accent2 2 5 2 3 2 2" xfId="20217" xr:uid="{00000000-0005-0000-0000-00008A080000}"/>
    <cellStyle name="20% - Accent2 2 5 2 3 3" xfId="11873" xr:uid="{00000000-0005-0000-0000-00008B080000}"/>
    <cellStyle name="20% - Accent2 2 5 2 3 3 2" xfId="22436" xr:uid="{00000000-0005-0000-0000-00008C080000}"/>
    <cellStyle name="20% - Accent2 2 5 2 3 4" xfId="14092" xr:uid="{00000000-0005-0000-0000-00008D080000}"/>
    <cellStyle name="20% - Accent2 2 5 2 3 4 2" xfId="24655" xr:uid="{00000000-0005-0000-0000-00008E080000}"/>
    <cellStyle name="20% - Accent2 2 5 2 3 5" xfId="17998" xr:uid="{00000000-0005-0000-0000-00008F080000}"/>
    <cellStyle name="20% - Accent2 2 5 2 4" xfId="8911" xr:uid="{00000000-0005-0000-0000-000090080000}"/>
    <cellStyle name="20% - Accent2 2 5 2 4 2" xfId="19474" xr:uid="{00000000-0005-0000-0000-000091080000}"/>
    <cellStyle name="20% - Accent2 2 5 2 5" xfId="11130" xr:uid="{00000000-0005-0000-0000-000092080000}"/>
    <cellStyle name="20% - Accent2 2 5 2 5 2" xfId="21693" xr:uid="{00000000-0005-0000-0000-000093080000}"/>
    <cellStyle name="20% - Accent2 2 5 2 6" xfId="13349" xr:uid="{00000000-0005-0000-0000-000094080000}"/>
    <cellStyle name="20% - Accent2 2 5 2 6 2" xfId="23912" xr:uid="{00000000-0005-0000-0000-000095080000}"/>
    <cellStyle name="20% - Accent2 2 5 2 7" xfId="17249" xr:uid="{00000000-0005-0000-0000-000096080000}"/>
    <cellStyle name="20% - Accent2 2 5 3" xfId="277" xr:uid="{00000000-0005-0000-0000-000097080000}"/>
    <cellStyle name="20% - Accent2 2 5 3 2" xfId="8169" xr:uid="{00000000-0005-0000-0000-000098080000}"/>
    <cellStyle name="20% - Accent2 2 5 3 2 2" xfId="10388" xr:uid="{00000000-0005-0000-0000-000099080000}"/>
    <cellStyle name="20% - Accent2 2 5 3 2 2 2" xfId="20951" xr:uid="{00000000-0005-0000-0000-00009A080000}"/>
    <cellStyle name="20% - Accent2 2 5 3 2 3" xfId="12607" xr:uid="{00000000-0005-0000-0000-00009B080000}"/>
    <cellStyle name="20% - Accent2 2 5 3 2 3 2" xfId="23170" xr:uid="{00000000-0005-0000-0000-00009C080000}"/>
    <cellStyle name="20% - Accent2 2 5 3 2 4" xfId="14826" xr:uid="{00000000-0005-0000-0000-00009D080000}"/>
    <cellStyle name="20% - Accent2 2 5 3 2 4 2" xfId="25389" xr:uid="{00000000-0005-0000-0000-00009E080000}"/>
    <cellStyle name="20% - Accent2 2 5 3 2 5" xfId="18732" xr:uid="{00000000-0005-0000-0000-00009F080000}"/>
    <cellStyle name="20% - Accent2 2 5 3 3" xfId="7436" xr:uid="{00000000-0005-0000-0000-0000A0080000}"/>
    <cellStyle name="20% - Accent2 2 5 3 3 2" xfId="9655" xr:uid="{00000000-0005-0000-0000-0000A1080000}"/>
    <cellStyle name="20% - Accent2 2 5 3 3 2 2" xfId="20218" xr:uid="{00000000-0005-0000-0000-0000A2080000}"/>
    <cellStyle name="20% - Accent2 2 5 3 3 3" xfId="11874" xr:uid="{00000000-0005-0000-0000-0000A3080000}"/>
    <cellStyle name="20% - Accent2 2 5 3 3 3 2" xfId="22437" xr:uid="{00000000-0005-0000-0000-0000A4080000}"/>
    <cellStyle name="20% - Accent2 2 5 3 3 4" xfId="14093" xr:uid="{00000000-0005-0000-0000-0000A5080000}"/>
    <cellStyle name="20% - Accent2 2 5 3 3 4 2" xfId="24656" xr:uid="{00000000-0005-0000-0000-0000A6080000}"/>
    <cellStyle name="20% - Accent2 2 5 3 3 5" xfId="17999" xr:uid="{00000000-0005-0000-0000-0000A7080000}"/>
    <cellStyle name="20% - Accent2 2 5 3 4" xfId="8912" xr:uid="{00000000-0005-0000-0000-0000A8080000}"/>
    <cellStyle name="20% - Accent2 2 5 3 4 2" xfId="19475" xr:uid="{00000000-0005-0000-0000-0000A9080000}"/>
    <cellStyle name="20% - Accent2 2 5 3 5" xfId="11131" xr:uid="{00000000-0005-0000-0000-0000AA080000}"/>
    <cellStyle name="20% - Accent2 2 5 3 5 2" xfId="21694" xr:uid="{00000000-0005-0000-0000-0000AB080000}"/>
    <cellStyle name="20% - Accent2 2 5 3 6" xfId="13350" xr:uid="{00000000-0005-0000-0000-0000AC080000}"/>
    <cellStyle name="20% - Accent2 2 5 3 6 2" xfId="23913" xr:uid="{00000000-0005-0000-0000-0000AD080000}"/>
    <cellStyle name="20% - Accent2 2 5 3 7" xfId="17250" xr:uid="{00000000-0005-0000-0000-0000AE080000}"/>
    <cellStyle name="20% - Accent2 2 5 4" xfId="278" xr:uid="{00000000-0005-0000-0000-0000AF080000}"/>
    <cellStyle name="20% - Accent2 2 5 4 2" xfId="8170" xr:uid="{00000000-0005-0000-0000-0000B0080000}"/>
    <cellStyle name="20% - Accent2 2 5 4 2 2" xfId="10389" xr:uid="{00000000-0005-0000-0000-0000B1080000}"/>
    <cellStyle name="20% - Accent2 2 5 4 2 2 2" xfId="20952" xr:uid="{00000000-0005-0000-0000-0000B2080000}"/>
    <cellStyle name="20% - Accent2 2 5 4 2 3" xfId="12608" xr:uid="{00000000-0005-0000-0000-0000B3080000}"/>
    <cellStyle name="20% - Accent2 2 5 4 2 3 2" xfId="23171" xr:uid="{00000000-0005-0000-0000-0000B4080000}"/>
    <cellStyle name="20% - Accent2 2 5 4 2 4" xfId="14827" xr:uid="{00000000-0005-0000-0000-0000B5080000}"/>
    <cellStyle name="20% - Accent2 2 5 4 2 4 2" xfId="25390" xr:uid="{00000000-0005-0000-0000-0000B6080000}"/>
    <cellStyle name="20% - Accent2 2 5 4 2 5" xfId="18733" xr:uid="{00000000-0005-0000-0000-0000B7080000}"/>
    <cellStyle name="20% - Accent2 2 5 4 3" xfId="7437" xr:uid="{00000000-0005-0000-0000-0000B8080000}"/>
    <cellStyle name="20% - Accent2 2 5 4 3 2" xfId="9656" xr:uid="{00000000-0005-0000-0000-0000B9080000}"/>
    <cellStyle name="20% - Accent2 2 5 4 3 2 2" xfId="20219" xr:uid="{00000000-0005-0000-0000-0000BA080000}"/>
    <cellStyle name="20% - Accent2 2 5 4 3 3" xfId="11875" xr:uid="{00000000-0005-0000-0000-0000BB080000}"/>
    <cellStyle name="20% - Accent2 2 5 4 3 3 2" xfId="22438" xr:uid="{00000000-0005-0000-0000-0000BC080000}"/>
    <cellStyle name="20% - Accent2 2 5 4 3 4" xfId="14094" xr:uid="{00000000-0005-0000-0000-0000BD080000}"/>
    <cellStyle name="20% - Accent2 2 5 4 3 4 2" xfId="24657" xr:uid="{00000000-0005-0000-0000-0000BE080000}"/>
    <cellStyle name="20% - Accent2 2 5 4 3 5" xfId="18000" xr:uid="{00000000-0005-0000-0000-0000BF080000}"/>
    <cellStyle name="20% - Accent2 2 5 4 4" xfId="8913" xr:uid="{00000000-0005-0000-0000-0000C0080000}"/>
    <cellStyle name="20% - Accent2 2 5 4 4 2" xfId="19476" xr:uid="{00000000-0005-0000-0000-0000C1080000}"/>
    <cellStyle name="20% - Accent2 2 5 4 5" xfId="11132" xr:uid="{00000000-0005-0000-0000-0000C2080000}"/>
    <cellStyle name="20% - Accent2 2 5 4 5 2" xfId="21695" xr:uid="{00000000-0005-0000-0000-0000C3080000}"/>
    <cellStyle name="20% - Accent2 2 5 4 6" xfId="13351" xr:uid="{00000000-0005-0000-0000-0000C4080000}"/>
    <cellStyle name="20% - Accent2 2 5 4 6 2" xfId="23914" xr:uid="{00000000-0005-0000-0000-0000C5080000}"/>
    <cellStyle name="20% - Accent2 2 5 4 7" xfId="17251" xr:uid="{00000000-0005-0000-0000-0000C6080000}"/>
    <cellStyle name="20% - Accent2 2 5 5" xfId="279" xr:uid="{00000000-0005-0000-0000-0000C7080000}"/>
    <cellStyle name="20% - Accent2 2 5 5 2" xfId="8171" xr:uid="{00000000-0005-0000-0000-0000C8080000}"/>
    <cellStyle name="20% - Accent2 2 5 5 2 2" xfId="10390" xr:uid="{00000000-0005-0000-0000-0000C9080000}"/>
    <cellStyle name="20% - Accent2 2 5 5 2 2 2" xfId="20953" xr:uid="{00000000-0005-0000-0000-0000CA080000}"/>
    <cellStyle name="20% - Accent2 2 5 5 2 3" xfId="12609" xr:uid="{00000000-0005-0000-0000-0000CB080000}"/>
    <cellStyle name="20% - Accent2 2 5 5 2 3 2" xfId="23172" xr:uid="{00000000-0005-0000-0000-0000CC080000}"/>
    <cellStyle name="20% - Accent2 2 5 5 2 4" xfId="14828" xr:uid="{00000000-0005-0000-0000-0000CD080000}"/>
    <cellStyle name="20% - Accent2 2 5 5 2 4 2" xfId="25391" xr:uid="{00000000-0005-0000-0000-0000CE080000}"/>
    <cellStyle name="20% - Accent2 2 5 5 2 5" xfId="18734" xr:uid="{00000000-0005-0000-0000-0000CF080000}"/>
    <cellStyle name="20% - Accent2 2 5 5 3" xfId="7438" xr:uid="{00000000-0005-0000-0000-0000D0080000}"/>
    <cellStyle name="20% - Accent2 2 5 5 3 2" xfId="9657" xr:uid="{00000000-0005-0000-0000-0000D1080000}"/>
    <cellStyle name="20% - Accent2 2 5 5 3 2 2" xfId="20220" xr:uid="{00000000-0005-0000-0000-0000D2080000}"/>
    <cellStyle name="20% - Accent2 2 5 5 3 3" xfId="11876" xr:uid="{00000000-0005-0000-0000-0000D3080000}"/>
    <cellStyle name="20% - Accent2 2 5 5 3 3 2" xfId="22439" xr:uid="{00000000-0005-0000-0000-0000D4080000}"/>
    <cellStyle name="20% - Accent2 2 5 5 3 4" xfId="14095" xr:uid="{00000000-0005-0000-0000-0000D5080000}"/>
    <cellStyle name="20% - Accent2 2 5 5 3 4 2" xfId="24658" xr:uid="{00000000-0005-0000-0000-0000D6080000}"/>
    <cellStyle name="20% - Accent2 2 5 5 3 5" xfId="18001" xr:uid="{00000000-0005-0000-0000-0000D7080000}"/>
    <cellStyle name="20% - Accent2 2 5 5 4" xfId="8914" xr:uid="{00000000-0005-0000-0000-0000D8080000}"/>
    <cellStyle name="20% - Accent2 2 5 5 4 2" xfId="19477" xr:uid="{00000000-0005-0000-0000-0000D9080000}"/>
    <cellStyle name="20% - Accent2 2 5 5 5" xfId="11133" xr:uid="{00000000-0005-0000-0000-0000DA080000}"/>
    <cellStyle name="20% - Accent2 2 5 5 5 2" xfId="21696" xr:uid="{00000000-0005-0000-0000-0000DB080000}"/>
    <cellStyle name="20% - Accent2 2 5 5 6" xfId="13352" xr:uid="{00000000-0005-0000-0000-0000DC080000}"/>
    <cellStyle name="20% - Accent2 2 5 5 6 2" xfId="23915" xr:uid="{00000000-0005-0000-0000-0000DD080000}"/>
    <cellStyle name="20% - Accent2 2 5 5 7" xfId="17252" xr:uid="{00000000-0005-0000-0000-0000DE080000}"/>
    <cellStyle name="20% - Accent2 2 5 6" xfId="280" xr:uid="{00000000-0005-0000-0000-0000DF080000}"/>
    <cellStyle name="20% - Accent2 2 5 6 2" xfId="8172" xr:uid="{00000000-0005-0000-0000-0000E0080000}"/>
    <cellStyle name="20% - Accent2 2 5 6 2 2" xfId="10391" xr:uid="{00000000-0005-0000-0000-0000E1080000}"/>
    <cellStyle name="20% - Accent2 2 5 6 2 2 2" xfId="20954" xr:uid="{00000000-0005-0000-0000-0000E2080000}"/>
    <cellStyle name="20% - Accent2 2 5 6 2 3" xfId="12610" xr:uid="{00000000-0005-0000-0000-0000E3080000}"/>
    <cellStyle name="20% - Accent2 2 5 6 2 3 2" xfId="23173" xr:uid="{00000000-0005-0000-0000-0000E4080000}"/>
    <cellStyle name="20% - Accent2 2 5 6 2 4" xfId="14829" xr:uid="{00000000-0005-0000-0000-0000E5080000}"/>
    <cellStyle name="20% - Accent2 2 5 6 2 4 2" xfId="25392" xr:uid="{00000000-0005-0000-0000-0000E6080000}"/>
    <cellStyle name="20% - Accent2 2 5 6 2 5" xfId="18735" xr:uid="{00000000-0005-0000-0000-0000E7080000}"/>
    <cellStyle name="20% - Accent2 2 5 6 3" xfId="7439" xr:uid="{00000000-0005-0000-0000-0000E8080000}"/>
    <cellStyle name="20% - Accent2 2 5 6 3 2" xfId="9658" xr:uid="{00000000-0005-0000-0000-0000E9080000}"/>
    <cellStyle name="20% - Accent2 2 5 6 3 2 2" xfId="20221" xr:uid="{00000000-0005-0000-0000-0000EA080000}"/>
    <cellStyle name="20% - Accent2 2 5 6 3 3" xfId="11877" xr:uid="{00000000-0005-0000-0000-0000EB080000}"/>
    <cellStyle name="20% - Accent2 2 5 6 3 3 2" xfId="22440" xr:uid="{00000000-0005-0000-0000-0000EC080000}"/>
    <cellStyle name="20% - Accent2 2 5 6 3 4" xfId="14096" xr:uid="{00000000-0005-0000-0000-0000ED080000}"/>
    <cellStyle name="20% - Accent2 2 5 6 3 4 2" xfId="24659" xr:uid="{00000000-0005-0000-0000-0000EE080000}"/>
    <cellStyle name="20% - Accent2 2 5 6 3 5" xfId="18002" xr:uid="{00000000-0005-0000-0000-0000EF080000}"/>
    <cellStyle name="20% - Accent2 2 5 6 4" xfId="8915" xr:uid="{00000000-0005-0000-0000-0000F0080000}"/>
    <cellStyle name="20% - Accent2 2 5 6 4 2" xfId="19478" xr:uid="{00000000-0005-0000-0000-0000F1080000}"/>
    <cellStyle name="20% - Accent2 2 5 6 5" xfId="11134" xr:uid="{00000000-0005-0000-0000-0000F2080000}"/>
    <cellStyle name="20% - Accent2 2 5 6 5 2" xfId="21697" xr:uid="{00000000-0005-0000-0000-0000F3080000}"/>
    <cellStyle name="20% - Accent2 2 5 6 6" xfId="13353" xr:uid="{00000000-0005-0000-0000-0000F4080000}"/>
    <cellStyle name="20% - Accent2 2 5 6 6 2" xfId="23916" xr:uid="{00000000-0005-0000-0000-0000F5080000}"/>
    <cellStyle name="20% - Accent2 2 5 6 7" xfId="17253" xr:uid="{00000000-0005-0000-0000-0000F6080000}"/>
    <cellStyle name="20% - Accent2 2 5 7" xfId="281" xr:uid="{00000000-0005-0000-0000-0000F7080000}"/>
    <cellStyle name="20% - Accent2 2 5 7 2" xfId="8173" xr:uid="{00000000-0005-0000-0000-0000F8080000}"/>
    <cellStyle name="20% - Accent2 2 5 7 2 2" xfId="10392" xr:uid="{00000000-0005-0000-0000-0000F9080000}"/>
    <cellStyle name="20% - Accent2 2 5 7 2 2 2" xfId="20955" xr:uid="{00000000-0005-0000-0000-0000FA080000}"/>
    <cellStyle name="20% - Accent2 2 5 7 2 3" xfId="12611" xr:uid="{00000000-0005-0000-0000-0000FB080000}"/>
    <cellStyle name="20% - Accent2 2 5 7 2 3 2" xfId="23174" xr:uid="{00000000-0005-0000-0000-0000FC080000}"/>
    <cellStyle name="20% - Accent2 2 5 7 2 4" xfId="14830" xr:uid="{00000000-0005-0000-0000-0000FD080000}"/>
    <cellStyle name="20% - Accent2 2 5 7 2 4 2" xfId="25393" xr:uid="{00000000-0005-0000-0000-0000FE080000}"/>
    <cellStyle name="20% - Accent2 2 5 7 2 5" xfId="18736" xr:uid="{00000000-0005-0000-0000-0000FF080000}"/>
    <cellStyle name="20% - Accent2 2 5 7 3" xfId="7440" xr:uid="{00000000-0005-0000-0000-000000090000}"/>
    <cellStyle name="20% - Accent2 2 5 7 3 2" xfId="9659" xr:uid="{00000000-0005-0000-0000-000001090000}"/>
    <cellStyle name="20% - Accent2 2 5 7 3 2 2" xfId="20222" xr:uid="{00000000-0005-0000-0000-000002090000}"/>
    <cellStyle name="20% - Accent2 2 5 7 3 3" xfId="11878" xr:uid="{00000000-0005-0000-0000-000003090000}"/>
    <cellStyle name="20% - Accent2 2 5 7 3 3 2" xfId="22441" xr:uid="{00000000-0005-0000-0000-000004090000}"/>
    <cellStyle name="20% - Accent2 2 5 7 3 4" xfId="14097" xr:uid="{00000000-0005-0000-0000-000005090000}"/>
    <cellStyle name="20% - Accent2 2 5 7 3 4 2" xfId="24660" xr:uid="{00000000-0005-0000-0000-000006090000}"/>
    <cellStyle name="20% - Accent2 2 5 7 3 5" xfId="18003" xr:uid="{00000000-0005-0000-0000-000007090000}"/>
    <cellStyle name="20% - Accent2 2 5 7 4" xfId="8916" xr:uid="{00000000-0005-0000-0000-000008090000}"/>
    <cellStyle name="20% - Accent2 2 5 7 4 2" xfId="19479" xr:uid="{00000000-0005-0000-0000-000009090000}"/>
    <cellStyle name="20% - Accent2 2 5 7 5" xfId="11135" xr:uid="{00000000-0005-0000-0000-00000A090000}"/>
    <cellStyle name="20% - Accent2 2 5 7 5 2" xfId="21698" xr:uid="{00000000-0005-0000-0000-00000B090000}"/>
    <cellStyle name="20% - Accent2 2 5 7 6" xfId="13354" xr:uid="{00000000-0005-0000-0000-00000C090000}"/>
    <cellStyle name="20% - Accent2 2 5 7 6 2" xfId="23917" xr:uid="{00000000-0005-0000-0000-00000D090000}"/>
    <cellStyle name="20% - Accent2 2 5 7 7" xfId="17254" xr:uid="{00000000-0005-0000-0000-00000E090000}"/>
    <cellStyle name="20% - Accent2 2 5 8" xfId="282" xr:uid="{00000000-0005-0000-0000-00000F090000}"/>
    <cellStyle name="20% - Accent2 2 5 8 2" xfId="8174" xr:uid="{00000000-0005-0000-0000-000010090000}"/>
    <cellStyle name="20% - Accent2 2 5 8 2 2" xfId="10393" xr:uid="{00000000-0005-0000-0000-000011090000}"/>
    <cellStyle name="20% - Accent2 2 5 8 2 2 2" xfId="20956" xr:uid="{00000000-0005-0000-0000-000012090000}"/>
    <cellStyle name="20% - Accent2 2 5 8 2 3" xfId="12612" xr:uid="{00000000-0005-0000-0000-000013090000}"/>
    <cellStyle name="20% - Accent2 2 5 8 2 3 2" xfId="23175" xr:uid="{00000000-0005-0000-0000-000014090000}"/>
    <cellStyle name="20% - Accent2 2 5 8 2 4" xfId="14831" xr:uid="{00000000-0005-0000-0000-000015090000}"/>
    <cellStyle name="20% - Accent2 2 5 8 2 4 2" xfId="25394" xr:uid="{00000000-0005-0000-0000-000016090000}"/>
    <cellStyle name="20% - Accent2 2 5 8 2 5" xfId="18737" xr:uid="{00000000-0005-0000-0000-000017090000}"/>
    <cellStyle name="20% - Accent2 2 5 8 3" xfId="7441" xr:uid="{00000000-0005-0000-0000-000018090000}"/>
    <cellStyle name="20% - Accent2 2 5 8 3 2" xfId="9660" xr:uid="{00000000-0005-0000-0000-000019090000}"/>
    <cellStyle name="20% - Accent2 2 5 8 3 2 2" xfId="20223" xr:uid="{00000000-0005-0000-0000-00001A090000}"/>
    <cellStyle name="20% - Accent2 2 5 8 3 3" xfId="11879" xr:uid="{00000000-0005-0000-0000-00001B090000}"/>
    <cellStyle name="20% - Accent2 2 5 8 3 3 2" xfId="22442" xr:uid="{00000000-0005-0000-0000-00001C090000}"/>
    <cellStyle name="20% - Accent2 2 5 8 3 4" xfId="14098" xr:uid="{00000000-0005-0000-0000-00001D090000}"/>
    <cellStyle name="20% - Accent2 2 5 8 3 4 2" xfId="24661" xr:uid="{00000000-0005-0000-0000-00001E090000}"/>
    <cellStyle name="20% - Accent2 2 5 8 3 5" xfId="18004" xr:uid="{00000000-0005-0000-0000-00001F090000}"/>
    <cellStyle name="20% - Accent2 2 5 8 4" xfId="8917" xr:uid="{00000000-0005-0000-0000-000020090000}"/>
    <cellStyle name="20% - Accent2 2 5 8 4 2" xfId="19480" xr:uid="{00000000-0005-0000-0000-000021090000}"/>
    <cellStyle name="20% - Accent2 2 5 8 5" xfId="11136" xr:uid="{00000000-0005-0000-0000-000022090000}"/>
    <cellStyle name="20% - Accent2 2 5 8 5 2" xfId="21699" xr:uid="{00000000-0005-0000-0000-000023090000}"/>
    <cellStyle name="20% - Accent2 2 5 8 6" xfId="13355" xr:uid="{00000000-0005-0000-0000-000024090000}"/>
    <cellStyle name="20% - Accent2 2 5 8 6 2" xfId="23918" xr:uid="{00000000-0005-0000-0000-000025090000}"/>
    <cellStyle name="20% - Accent2 2 5 8 7" xfId="17255" xr:uid="{00000000-0005-0000-0000-000026090000}"/>
    <cellStyle name="20% - Accent2 2 5 9" xfId="283" xr:uid="{00000000-0005-0000-0000-000027090000}"/>
    <cellStyle name="20% - Accent2 2 5 9 2" xfId="8175" xr:uid="{00000000-0005-0000-0000-000028090000}"/>
    <cellStyle name="20% - Accent2 2 5 9 2 2" xfId="10394" xr:uid="{00000000-0005-0000-0000-000029090000}"/>
    <cellStyle name="20% - Accent2 2 5 9 2 2 2" xfId="20957" xr:uid="{00000000-0005-0000-0000-00002A090000}"/>
    <cellStyle name="20% - Accent2 2 5 9 2 3" xfId="12613" xr:uid="{00000000-0005-0000-0000-00002B090000}"/>
    <cellStyle name="20% - Accent2 2 5 9 2 3 2" xfId="23176" xr:uid="{00000000-0005-0000-0000-00002C090000}"/>
    <cellStyle name="20% - Accent2 2 5 9 2 4" xfId="14832" xr:uid="{00000000-0005-0000-0000-00002D090000}"/>
    <cellStyle name="20% - Accent2 2 5 9 2 4 2" xfId="25395" xr:uid="{00000000-0005-0000-0000-00002E090000}"/>
    <cellStyle name="20% - Accent2 2 5 9 2 5" xfId="18738" xr:uid="{00000000-0005-0000-0000-00002F090000}"/>
    <cellStyle name="20% - Accent2 2 5 9 3" xfId="7442" xr:uid="{00000000-0005-0000-0000-000030090000}"/>
    <cellStyle name="20% - Accent2 2 5 9 3 2" xfId="9661" xr:uid="{00000000-0005-0000-0000-000031090000}"/>
    <cellStyle name="20% - Accent2 2 5 9 3 2 2" xfId="20224" xr:uid="{00000000-0005-0000-0000-000032090000}"/>
    <cellStyle name="20% - Accent2 2 5 9 3 3" xfId="11880" xr:uid="{00000000-0005-0000-0000-000033090000}"/>
    <cellStyle name="20% - Accent2 2 5 9 3 3 2" xfId="22443" xr:uid="{00000000-0005-0000-0000-000034090000}"/>
    <cellStyle name="20% - Accent2 2 5 9 3 4" xfId="14099" xr:uid="{00000000-0005-0000-0000-000035090000}"/>
    <cellStyle name="20% - Accent2 2 5 9 3 4 2" xfId="24662" xr:uid="{00000000-0005-0000-0000-000036090000}"/>
    <cellStyle name="20% - Accent2 2 5 9 3 5" xfId="18005" xr:uid="{00000000-0005-0000-0000-000037090000}"/>
    <cellStyle name="20% - Accent2 2 5 9 4" xfId="8918" xr:uid="{00000000-0005-0000-0000-000038090000}"/>
    <cellStyle name="20% - Accent2 2 5 9 4 2" xfId="19481" xr:uid="{00000000-0005-0000-0000-000039090000}"/>
    <cellStyle name="20% - Accent2 2 5 9 5" xfId="11137" xr:uid="{00000000-0005-0000-0000-00003A090000}"/>
    <cellStyle name="20% - Accent2 2 5 9 5 2" xfId="21700" xr:uid="{00000000-0005-0000-0000-00003B090000}"/>
    <cellStyle name="20% - Accent2 2 5 9 6" xfId="13356" xr:uid="{00000000-0005-0000-0000-00003C090000}"/>
    <cellStyle name="20% - Accent2 2 5 9 6 2" xfId="23919" xr:uid="{00000000-0005-0000-0000-00003D090000}"/>
    <cellStyle name="20% - Accent2 2 5 9 7" xfId="17256" xr:uid="{00000000-0005-0000-0000-00003E090000}"/>
    <cellStyle name="20% - Accent2 2 6" xfId="284" xr:uid="{00000000-0005-0000-0000-00003F090000}"/>
    <cellStyle name="20% - Accent2 2 6 10" xfId="13357" xr:uid="{00000000-0005-0000-0000-000040090000}"/>
    <cellStyle name="20% - Accent2 2 6 10 2" xfId="23920" xr:uid="{00000000-0005-0000-0000-000041090000}"/>
    <cellStyle name="20% - Accent2 2 6 11" xfId="17257" xr:uid="{00000000-0005-0000-0000-000042090000}"/>
    <cellStyle name="20% - Accent2 2 6 2" xfId="285" xr:uid="{00000000-0005-0000-0000-000043090000}"/>
    <cellStyle name="20% - Accent2 2 6 2 2" xfId="8177" xr:uid="{00000000-0005-0000-0000-000044090000}"/>
    <cellStyle name="20% - Accent2 2 6 2 2 2" xfId="10396" xr:uid="{00000000-0005-0000-0000-000045090000}"/>
    <cellStyle name="20% - Accent2 2 6 2 2 2 2" xfId="20959" xr:uid="{00000000-0005-0000-0000-000046090000}"/>
    <cellStyle name="20% - Accent2 2 6 2 2 3" xfId="12615" xr:uid="{00000000-0005-0000-0000-000047090000}"/>
    <cellStyle name="20% - Accent2 2 6 2 2 3 2" xfId="23178" xr:uid="{00000000-0005-0000-0000-000048090000}"/>
    <cellStyle name="20% - Accent2 2 6 2 2 4" xfId="14834" xr:uid="{00000000-0005-0000-0000-000049090000}"/>
    <cellStyle name="20% - Accent2 2 6 2 2 4 2" xfId="25397" xr:uid="{00000000-0005-0000-0000-00004A090000}"/>
    <cellStyle name="20% - Accent2 2 6 2 2 5" xfId="18740" xr:uid="{00000000-0005-0000-0000-00004B090000}"/>
    <cellStyle name="20% - Accent2 2 6 2 3" xfId="7444" xr:uid="{00000000-0005-0000-0000-00004C090000}"/>
    <cellStyle name="20% - Accent2 2 6 2 3 2" xfId="9663" xr:uid="{00000000-0005-0000-0000-00004D090000}"/>
    <cellStyle name="20% - Accent2 2 6 2 3 2 2" xfId="20226" xr:uid="{00000000-0005-0000-0000-00004E090000}"/>
    <cellStyle name="20% - Accent2 2 6 2 3 3" xfId="11882" xr:uid="{00000000-0005-0000-0000-00004F090000}"/>
    <cellStyle name="20% - Accent2 2 6 2 3 3 2" xfId="22445" xr:uid="{00000000-0005-0000-0000-000050090000}"/>
    <cellStyle name="20% - Accent2 2 6 2 3 4" xfId="14101" xr:uid="{00000000-0005-0000-0000-000051090000}"/>
    <cellStyle name="20% - Accent2 2 6 2 3 4 2" xfId="24664" xr:uid="{00000000-0005-0000-0000-000052090000}"/>
    <cellStyle name="20% - Accent2 2 6 2 3 5" xfId="18007" xr:uid="{00000000-0005-0000-0000-000053090000}"/>
    <cellStyle name="20% - Accent2 2 6 2 4" xfId="8920" xr:uid="{00000000-0005-0000-0000-000054090000}"/>
    <cellStyle name="20% - Accent2 2 6 2 4 2" xfId="19483" xr:uid="{00000000-0005-0000-0000-000055090000}"/>
    <cellStyle name="20% - Accent2 2 6 2 5" xfId="11139" xr:uid="{00000000-0005-0000-0000-000056090000}"/>
    <cellStyle name="20% - Accent2 2 6 2 5 2" xfId="21702" xr:uid="{00000000-0005-0000-0000-000057090000}"/>
    <cellStyle name="20% - Accent2 2 6 2 6" xfId="13358" xr:uid="{00000000-0005-0000-0000-000058090000}"/>
    <cellStyle name="20% - Accent2 2 6 2 6 2" xfId="23921" xr:uid="{00000000-0005-0000-0000-000059090000}"/>
    <cellStyle name="20% - Accent2 2 6 2 7" xfId="17258" xr:uid="{00000000-0005-0000-0000-00005A090000}"/>
    <cellStyle name="20% - Accent2 2 6 3" xfId="286" xr:uid="{00000000-0005-0000-0000-00005B090000}"/>
    <cellStyle name="20% - Accent2 2 6 3 2" xfId="8178" xr:uid="{00000000-0005-0000-0000-00005C090000}"/>
    <cellStyle name="20% - Accent2 2 6 3 2 2" xfId="10397" xr:uid="{00000000-0005-0000-0000-00005D090000}"/>
    <cellStyle name="20% - Accent2 2 6 3 2 2 2" xfId="20960" xr:uid="{00000000-0005-0000-0000-00005E090000}"/>
    <cellStyle name="20% - Accent2 2 6 3 2 3" xfId="12616" xr:uid="{00000000-0005-0000-0000-00005F090000}"/>
    <cellStyle name="20% - Accent2 2 6 3 2 3 2" xfId="23179" xr:uid="{00000000-0005-0000-0000-000060090000}"/>
    <cellStyle name="20% - Accent2 2 6 3 2 4" xfId="14835" xr:uid="{00000000-0005-0000-0000-000061090000}"/>
    <cellStyle name="20% - Accent2 2 6 3 2 4 2" xfId="25398" xr:uid="{00000000-0005-0000-0000-000062090000}"/>
    <cellStyle name="20% - Accent2 2 6 3 2 5" xfId="18741" xr:uid="{00000000-0005-0000-0000-000063090000}"/>
    <cellStyle name="20% - Accent2 2 6 3 3" xfId="7445" xr:uid="{00000000-0005-0000-0000-000064090000}"/>
    <cellStyle name="20% - Accent2 2 6 3 3 2" xfId="9664" xr:uid="{00000000-0005-0000-0000-000065090000}"/>
    <cellStyle name="20% - Accent2 2 6 3 3 2 2" xfId="20227" xr:uid="{00000000-0005-0000-0000-000066090000}"/>
    <cellStyle name="20% - Accent2 2 6 3 3 3" xfId="11883" xr:uid="{00000000-0005-0000-0000-000067090000}"/>
    <cellStyle name="20% - Accent2 2 6 3 3 3 2" xfId="22446" xr:uid="{00000000-0005-0000-0000-000068090000}"/>
    <cellStyle name="20% - Accent2 2 6 3 3 4" xfId="14102" xr:uid="{00000000-0005-0000-0000-000069090000}"/>
    <cellStyle name="20% - Accent2 2 6 3 3 4 2" xfId="24665" xr:uid="{00000000-0005-0000-0000-00006A090000}"/>
    <cellStyle name="20% - Accent2 2 6 3 3 5" xfId="18008" xr:uid="{00000000-0005-0000-0000-00006B090000}"/>
    <cellStyle name="20% - Accent2 2 6 3 4" xfId="8921" xr:uid="{00000000-0005-0000-0000-00006C090000}"/>
    <cellStyle name="20% - Accent2 2 6 3 4 2" xfId="19484" xr:uid="{00000000-0005-0000-0000-00006D090000}"/>
    <cellStyle name="20% - Accent2 2 6 3 5" xfId="11140" xr:uid="{00000000-0005-0000-0000-00006E090000}"/>
    <cellStyle name="20% - Accent2 2 6 3 5 2" xfId="21703" xr:uid="{00000000-0005-0000-0000-00006F090000}"/>
    <cellStyle name="20% - Accent2 2 6 3 6" xfId="13359" xr:uid="{00000000-0005-0000-0000-000070090000}"/>
    <cellStyle name="20% - Accent2 2 6 3 6 2" xfId="23922" xr:uid="{00000000-0005-0000-0000-000071090000}"/>
    <cellStyle name="20% - Accent2 2 6 3 7" xfId="17259" xr:uid="{00000000-0005-0000-0000-000072090000}"/>
    <cellStyle name="20% - Accent2 2 6 4" xfId="287" xr:uid="{00000000-0005-0000-0000-000073090000}"/>
    <cellStyle name="20% - Accent2 2 6 4 2" xfId="8179" xr:uid="{00000000-0005-0000-0000-000074090000}"/>
    <cellStyle name="20% - Accent2 2 6 4 2 2" xfId="10398" xr:uid="{00000000-0005-0000-0000-000075090000}"/>
    <cellStyle name="20% - Accent2 2 6 4 2 2 2" xfId="20961" xr:uid="{00000000-0005-0000-0000-000076090000}"/>
    <cellStyle name="20% - Accent2 2 6 4 2 3" xfId="12617" xr:uid="{00000000-0005-0000-0000-000077090000}"/>
    <cellStyle name="20% - Accent2 2 6 4 2 3 2" xfId="23180" xr:uid="{00000000-0005-0000-0000-000078090000}"/>
    <cellStyle name="20% - Accent2 2 6 4 2 4" xfId="14836" xr:uid="{00000000-0005-0000-0000-000079090000}"/>
    <cellStyle name="20% - Accent2 2 6 4 2 4 2" xfId="25399" xr:uid="{00000000-0005-0000-0000-00007A090000}"/>
    <cellStyle name="20% - Accent2 2 6 4 2 5" xfId="18742" xr:uid="{00000000-0005-0000-0000-00007B090000}"/>
    <cellStyle name="20% - Accent2 2 6 4 3" xfId="7446" xr:uid="{00000000-0005-0000-0000-00007C090000}"/>
    <cellStyle name="20% - Accent2 2 6 4 3 2" xfId="9665" xr:uid="{00000000-0005-0000-0000-00007D090000}"/>
    <cellStyle name="20% - Accent2 2 6 4 3 2 2" xfId="20228" xr:uid="{00000000-0005-0000-0000-00007E090000}"/>
    <cellStyle name="20% - Accent2 2 6 4 3 3" xfId="11884" xr:uid="{00000000-0005-0000-0000-00007F090000}"/>
    <cellStyle name="20% - Accent2 2 6 4 3 3 2" xfId="22447" xr:uid="{00000000-0005-0000-0000-000080090000}"/>
    <cellStyle name="20% - Accent2 2 6 4 3 4" xfId="14103" xr:uid="{00000000-0005-0000-0000-000081090000}"/>
    <cellStyle name="20% - Accent2 2 6 4 3 4 2" xfId="24666" xr:uid="{00000000-0005-0000-0000-000082090000}"/>
    <cellStyle name="20% - Accent2 2 6 4 3 5" xfId="18009" xr:uid="{00000000-0005-0000-0000-000083090000}"/>
    <cellStyle name="20% - Accent2 2 6 4 4" xfId="8922" xr:uid="{00000000-0005-0000-0000-000084090000}"/>
    <cellStyle name="20% - Accent2 2 6 4 4 2" xfId="19485" xr:uid="{00000000-0005-0000-0000-000085090000}"/>
    <cellStyle name="20% - Accent2 2 6 4 5" xfId="11141" xr:uid="{00000000-0005-0000-0000-000086090000}"/>
    <cellStyle name="20% - Accent2 2 6 4 5 2" xfId="21704" xr:uid="{00000000-0005-0000-0000-000087090000}"/>
    <cellStyle name="20% - Accent2 2 6 4 6" xfId="13360" xr:uid="{00000000-0005-0000-0000-000088090000}"/>
    <cellStyle name="20% - Accent2 2 6 4 6 2" xfId="23923" xr:uid="{00000000-0005-0000-0000-000089090000}"/>
    <cellStyle name="20% - Accent2 2 6 4 7" xfId="17260" xr:uid="{00000000-0005-0000-0000-00008A090000}"/>
    <cellStyle name="20% - Accent2 2 6 5" xfId="288" xr:uid="{00000000-0005-0000-0000-00008B090000}"/>
    <cellStyle name="20% - Accent2 2 6 5 2" xfId="8180" xr:uid="{00000000-0005-0000-0000-00008C090000}"/>
    <cellStyle name="20% - Accent2 2 6 5 2 2" xfId="10399" xr:uid="{00000000-0005-0000-0000-00008D090000}"/>
    <cellStyle name="20% - Accent2 2 6 5 2 2 2" xfId="20962" xr:uid="{00000000-0005-0000-0000-00008E090000}"/>
    <cellStyle name="20% - Accent2 2 6 5 2 3" xfId="12618" xr:uid="{00000000-0005-0000-0000-00008F090000}"/>
    <cellStyle name="20% - Accent2 2 6 5 2 3 2" xfId="23181" xr:uid="{00000000-0005-0000-0000-000090090000}"/>
    <cellStyle name="20% - Accent2 2 6 5 2 4" xfId="14837" xr:uid="{00000000-0005-0000-0000-000091090000}"/>
    <cellStyle name="20% - Accent2 2 6 5 2 4 2" xfId="25400" xr:uid="{00000000-0005-0000-0000-000092090000}"/>
    <cellStyle name="20% - Accent2 2 6 5 2 5" xfId="18743" xr:uid="{00000000-0005-0000-0000-000093090000}"/>
    <cellStyle name="20% - Accent2 2 6 5 3" xfId="7447" xr:uid="{00000000-0005-0000-0000-000094090000}"/>
    <cellStyle name="20% - Accent2 2 6 5 3 2" xfId="9666" xr:uid="{00000000-0005-0000-0000-000095090000}"/>
    <cellStyle name="20% - Accent2 2 6 5 3 2 2" xfId="20229" xr:uid="{00000000-0005-0000-0000-000096090000}"/>
    <cellStyle name="20% - Accent2 2 6 5 3 3" xfId="11885" xr:uid="{00000000-0005-0000-0000-000097090000}"/>
    <cellStyle name="20% - Accent2 2 6 5 3 3 2" xfId="22448" xr:uid="{00000000-0005-0000-0000-000098090000}"/>
    <cellStyle name="20% - Accent2 2 6 5 3 4" xfId="14104" xr:uid="{00000000-0005-0000-0000-000099090000}"/>
    <cellStyle name="20% - Accent2 2 6 5 3 4 2" xfId="24667" xr:uid="{00000000-0005-0000-0000-00009A090000}"/>
    <cellStyle name="20% - Accent2 2 6 5 3 5" xfId="18010" xr:uid="{00000000-0005-0000-0000-00009B090000}"/>
    <cellStyle name="20% - Accent2 2 6 5 4" xfId="8923" xr:uid="{00000000-0005-0000-0000-00009C090000}"/>
    <cellStyle name="20% - Accent2 2 6 5 4 2" xfId="19486" xr:uid="{00000000-0005-0000-0000-00009D090000}"/>
    <cellStyle name="20% - Accent2 2 6 5 5" xfId="11142" xr:uid="{00000000-0005-0000-0000-00009E090000}"/>
    <cellStyle name="20% - Accent2 2 6 5 5 2" xfId="21705" xr:uid="{00000000-0005-0000-0000-00009F090000}"/>
    <cellStyle name="20% - Accent2 2 6 5 6" xfId="13361" xr:uid="{00000000-0005-0000-0000-0000A0090000}"/>
    <cellStyle name="20% - Accent2 2 6 5 6 2" xfId="23924" xr:uid="{00000000-0005-0000-0000-0000A1090000}"/>
    <cellStyle name="20% - Accent2 2 6 5 7" xfId="17261" xr:uid="{00000000-0005-0000-0000-0000A2090000}"/>
    <cellStyle name="20% - Accent2 2 6 6" xfId="8176" xr:uid="{00000000-0005-0000-0000-0000A3090000}"/>
    <cellStyle name="20% - Accent2 2 6 6 2" xfId="10395" xr:uid="{00000000-0005-0000-0000-0000A4090000}"/>
    <cellStyle name="20% - Accent2 2 6 6 2 2" xfId="20958" xr:uid="{00000000-0005-0000-0000-0000A5090000}"/>
    <cellStyle name="20% - Accent2 2 6 6 3" xfId="12614" xr:uid="{00000000-0005-0000-0000-0000A6090000}"/>
    <cellStyle name="20% - Accent2 2 6 6 3 2" xfId="23177" xr:uid="{00000000-0005-0000-0000-0000A7090000}"/>
    <cellStyle name="20% - Accent2 2 6 6 4" xfId="14833" xr:uid="{00000000-0005-0000-0000-0000A8090000}"/>
    <cellStyle name="20% - Accent2 2 6 6 4 2" xfId="25396" xr:uid="{00000000-0005-0000-0000-0000A9090000}"/>
    <cellStyle name="20% - Accent2 2 6 6 5" xfId="18739" xr:uid="{00000000-0005-0000-0000-0000AA090000}"/>
    <cellStyle name="20% - Accent2 2 6 7" xfId="7443" xr:uid="{00000000-0005-0000-0000-0000AB090000}"/>
    <cellStyle name="20% - Accent2 2 6 7 2" xfId="9662" xr:uid="{00000000-0005-0000-0000-0000AC090000}"/>
    <cellStyle name="20% - Accent2 2 6 7 2 2" xfId="20225" xr:uid="{00000000-0005-0000-0000-0000AD090000}"/>
    <cellStyle name="20% - Accent2 2 6 7 3" xfId="11881" xr:uid="{00000000-0005-0000-0000-0000AE090000}"/>
    <cellStyle name="20% - Accent2 2 6 7 3 2" xfId="22444" xr:uid="{00000000-0005-0000-0000-0000AF090000}"/>
    <cellStyle name="20% - Accent2 2 6 7 4" xfId="14100" xr:uid="{00000000-0005-0000-0000-0000B0090000}"/>
    <cellStyle name="20% - Accent2 2 6 7 4 2" xfId="24663" xr:uid="{00000000-0005-0000-0000-0000B1090000}"/>
    <cellStyle name="20% - Accent2 2 6 7 5" xfId="18006" xr:uid="{00000000-0005-0000-0000-0000B2090000}"/>
    <cellStyle name="20% - Accent2 2 6 8" xfId="8919" xr:uid="{00000000-0005-0000-0000-0000B3090000}"/>
    <cellStyle name="20% - Accent2 2 6 8 2" xfId="19482" xr:uid="{00000000-0005-0000-0000-0000B4090000}"/>
    <cellStyle name="20% - Accent2 2 6 9" xfId="11138" xr:uid="{00000000-0005-0000-0000-0000B5090000}"/>
    <cellStyle name="20% - Accent2 2 6 9 2" xfId="21701" xr:uid="{00000000-0005-0000-0000-0000B6090000}"/>
    <cellStyle name="20% - Accent2 2 7" xfId="289" xr:uid="{00000000-0005-0000-0000-0000B7090000}"/>
    <cellStyle name="20% - Accent2 2 7 2" xfId="8181" xr:uid="{00000000-0005-0000-0000-0000B8090000}"/>
    <cellStyle name="20% - Accent2 2 7 2 2" xfId="10400" xr:uid="{00000000-0005-0000-0000-0000B9090000}"/>
    <cellStyle name="20% - Accent2 2 7 2 2 2" xfId="20963" xr:uid="{00000000-0005-0000-0000-0000BA090000}"/>
    <cellStyle name="20% - Accent2 2 7 2 3" xfId="12619" xr:uid="{00000000-0005-0000-0000-0000BB090000}"/>
    <cellStyle name="20% - Accent2 2 7 2 3 2" xfId="23182" xr:uid="{00000000-0005-0000-0000-0000BC090000}"/>
    <cellStyle name="20% - Accent2 2 7 2 4" xfId="14838" xr:uid="{00000000-0005-0000-0000-0000BD090000}"/>
    <cellStyle name="20% - Accent2 2 7 2 4 2" xfId="25401" xr:uid="{00000000-0005-0000-0000-0000BE090000}"/>
    <cellStyle name="20% - Accent2 2 7 2 5" xfId="18744" xr:uid="{00000000-0005-0000-0000-0000BF090000}"/>
    <cellStyle name="20% - Accent2 2 7 3" xfId="7448" xr:uid="{00000000-0005-0000-0000-0000C0090000}"/>
    <cellStyle name="20% - Accent2 2 7 3 2" xfId="9667" xr:uid="{00000000-0005-0000-0000-0000C1090000}"/>
    <cellStyle name="20% - Accent2 2 7 3 2 2" xfId="20230" xr:uid="{00000000-0005-0000-0000-0000C2090000}"/>
    <cellStyle name="20% - Accent2 2 7 3 3" xfId="11886" xr:uid="{00000000-0005-0000-0000-0000C3090000}"/>
    <cellStyle name="20% - Accent2 2 7 3 3 2" xfId="22449" xr:uid="{00000000-0005-0000-0000-0000C4090000}"/>
    <cellStyle name="20% - Accent2 2 7 3 4" xfId="14105" xr:uid="{00000000-0005-0000-0000-0000C5090000}"/>
    <cellStyle name="20% - Accent2 2 7 3 4 2" xfId="24668" xr:uid="{00000000-0005-0000-0000-0000C6090000}"/>
    <cellStyle name="20% - Accent2 2 7 3 5" xfId="18011" xr:uid="{00000000-0005-0000-0000-0000C7090000}"/>
    <cellStyle name="20% - Accent2 2 7 4" xfId="8924" xr:uid="{00000000-0005-0000-0000-0000C8090000}"/>
    <cellStyle name="20% - Accent2 2 7 4 2" xfId="19487" xr:uid="{00000000-0005-0000-0000-0000C9090000}"/>
    <cellStyle name="20% - Accent2 2 7 5" xfId="11143" xr:uid="{00000000-0005-0000-0000-0000CA090000}"/>
    <cellStyle name="20% - Accent2 2 7 5 2" xfId="21706" xr:uid="{00000000-0005-0000-0000-0000CB090000}"/>
    <cellStyle name="20% - Accent2 2 7 6" xfId="13362" xr:uid="{00000000-0005-0000-0000-0000CC090000}"/>
    <cellStyle name="20% - Accent2 2 7 6 2" xfId="23925" xr:uid="{00000000-0005-0000-0000-0000CD090000}"/>
    <cellStyle name="20% - Accent2 2 7 7" xfId="17262" xr:uid="{00000000-0005-0000-0000-0000CE090000}"/>
    <cellStyle name="20% - Accent2 2 8" xfId="290" xr:uid="{00000000-0005-0000-0000-0000CF090000}"/>
    <cellStyle name="20% - Accent2 2 8 2" xfId="8182" xr:uid="{00000000-0005-0000-0000-0000D0090000}"/>
    <cellStyle name="20% - Accent2 2 8 2 2" xfId="10401" xr:uid="{00000000-0005-0000-0000-0000D1090000}"/>
    <cellStyle name="20% - Accent2 2 8 2 2 2" xfId="20964" xr:uid="{00000000-0005-0000-0000-0000D2090000}"/>
    <cellStyle name="20% - Accent2 2 8 2 3" xfId="12620" xr:uid="{00000000-0005-0000-0000-0000D3090000}"/>
    <cellStyle name="20% - Accent2 2 8 2 3 2" xfId="23183" xr:uid="{00000000-0005-0000-0000-0000D4090000}"/>
    <cellStyle name="20% - Accent2 2 8 2 4" xfId="14839" xr:uid="{00000000-0005-0000-0000-0000D5090000}"/>
    <cellStyle name="20% - Accent2 2 8 2 4 2" xfId="25402" xr:uid="{00000000-0005-0000-0000-0000D6090000}"/>
    <cellStyle name="20% - Accent2 2 8 2 5" xfId="18745" xr:uid="{00000000-0005-0000-0000-0000D7090000}"/>
    <cellStyle name="20% - Accent2 2 8 3" xfId="7449" xr:uid="{00000000-0005-0000-0000-0000D8090000}"/>
    <cellStyle name="20% - Accent2 2 8 3 2" xfId="9668" xr:uid="{00000000-0005-0000-0000-0000D9090000}"/>
    <cellStyle name="20% - Accent2 2 8 3 2 2" xfId="20231" xr:uid="{00000000-0005-0000-0000-0000DA090000}"/>
    <cellStyle name="20% - Accent2 2 8 3 3" xfId="11887" xr:uid="{00000000-0005-0000-0000-0000DB090000}"/>
    <cellStyle name="20% - Accent2 2 8 3 3 2" xfId="22450" xr:uid="{00000000-0005-0000-0000-0000DC090000}"/>
    <cellStyle name="20% - Accent2 2 8 3 4" xfId="14106" xr:uid="{00000000-0005-0000-0000-0000DD090000}"/>
    <cellStyle name="20% - Accent2 2 8 3 4 2" xfId="24669" xr:uid="{00000000-0005-0000-0000-0000DE090000}"/>
    <cellStyle name="20% - Accent2 2 8 3 5" xfId="18012" xr:uid="{00000000-0005-0000-0000-0000DF090000}"/>
    <cellStyle name="20% - Accent2 2 8 4" xfId="8925" xr:uid="{00000000-0005-0000-0000-0000E0090000}"/>
    <cellStyle name="20% - Accent2 2 8 4 2" xfId="19488" xr:uid="{00000000-0005-0000-0000-0000E1090000}"/>
    <cellStyle name="20% - Accent2 2 8 5" xfId="11144" xr:uid="{00000000-0005-0000-0000-0000E2090000}"/>
    <cellStyle name="20% - Accent2 2 8 5 2" xfId="21707" xr:uid="{00000000-0005-0000-0000-0000E3090000}"/>
    <cellStyle name="20% - Accent2 2 8 6" xfId="13363" xr:uid="{00000000-0005-0000-0000-0000E4090000}"/>
    <cellStyle name="20% - Accent2 2 8 6 2" xfId="23926" xr:uid="{00000000-0005-0000-0000-0000E5090000}"/>
    <cellStyle name="20% - Accent2 2 8 7" xfId="17263" xr:uid="{00000000-0005-0000-0000-0000E6090000}"/>
    <cellStyle name="20% - Accent2 2 9" xfId="291" xr:uid="{00000000-0005-0000-0000-0000E7090000}"/>
    <cellStyle name="20% - Accent2 2 9 2" xfId="8183" xr:uid="{00000000-0005-0000-0000-0000E8090000}"/>
    <cellStyle name="20% - Accent2 2 9 2 2" xfId="10402" xr:uid="{00000000-0005-0000-0000-0000E9090000}"/>
    <cellStyle name="20% - Accent2 2 9 2 2 2" xfId="20965" xr:uid="{00000000-0005-0000-0000-0000EA090000}"/>
    <cellStyle name="20% - Accent2 2 9 2 3" xfId="12621" xr:uid="{00000000-0005-0000-0000-0000EB090000}"/>
    <cellStyle name="20% - Accent2 2 9 2 3 2" xfId="23184" xr:uid="{00000000-0005-0000-0000-0000EC090000}"/>
    <cellStyle name="20% - Accent2 2 9 2 4" xfId="14840" xr:uid="{00000000-0005-0000-0000-0000ED090000}"/>
    <cellStyle name="20% - Accent2 2 9 2 4 2" xfId="25403" xr:uid="{00000000-0005-0000-0000-0000EE090000}"/>
    <cellStyle name="20% - Accent2 2 9 2 5" xfId="18746" xr:uid="{00000000-0005-0000-0000-0000EF090000}"/>
    <cellStyle name="20% - Accent2 2 9 3" xfId="7450" xr:uid="{00000000-0005-0000-0000-0000F0090000}"/>
    <cellStyle name="20% - Accent2 2 9 3 2" xfId="9669" xr:uid="{00000000-0005-0000-0000-0000F1090000}"/>
    <cellStyle name="20% - Accent2 2 9 3 2 2" xfId="20232" xr:uid="{00000000-0005-0000-0000-0000F2090000}"/>
    <cellStyle name="20% - Accent2 2 9 3 3" xfId="11888" xr:uid="{00000000-0005-0000-0000-0000F3090000}"/>
    <cellStyle name="20% - Accent2 2 9 3 3 2" xfId="22451" xr:uid="{00000000-0005-0000-0000-0000F4090000}"/>
    <cellStyle name="20% - Accent2 2 9 3 4" xfId="14107" xr:uid="{00000000-0005-0000-0000-0000F5090000}"/>
    <cellStyle name="20% - Accent2 2 9 3 4 2" xfId="24670" xr:uid="{00000000-0005-0000-0000-0000F6090000}"/>
    <cellStyle name="20% - Accent2 2 9 3 5" xfId="18013" xr:uid="{00000000-0005-0000-0000-0000F7090000}"/>
    <cellStyle name="20% - Accent2 2 9 4" xfId="8926" xr:uid="{00000000-0005-0000-0000-0000F8090000}"/>
    <cellStyle name="20% - Accent2 2 9 4 2" xfId="19489" xr:uid="{00000000-0005-0000-0000-0000F9090000}"/>
    <cellStyle name="20% - Accent2 2 9 5" xfId="11145" xr:uid="{00000000-0005-0000-0000-0000FA090000}"/>
    <cellStyle name="20% - Accent2 2 9 5 2" xfId="21708" xr:uid="{00000000-0005-0000-0000-0000FB090000}"/>
    <cellStyle name="20% - Accent2 2 9 6" xfId="13364" xr:uid="{00000000-0005-0000-0000-0000FC090000}"/>
    <cellStyle name="20% - Accent2 2 9 6 2" xfId="23927" xr:uid="{00000000-0005-0000-0000-0000FD090000}"/>
    <cellStyle name="20% - Accent2 2 9 7" xfId="17264" xr:uid="{00000000-0005-0000-0000-0000FE090000}"/>
    <cellStyle name="20% - Accent2 20" xfId="292" xr:uid="{00000000-0005-0000-0000-0000FF090000}"/>
    <cellStyle name="20% - Accent2 21" xfId="293" xr:uid="{00000000-0005-0000-0000-0000000A0000}"/>
    <cellStyle name="20% - Accent2 22" xfId="294" xr:uid="{00000000-0005-0000-0000-0000010A0000}"/>
    <cellStyle name="20% - Accent2 23" xfId="295" xr:uid="{00000000-0005-0000-0000-0000020A0000}"/>
    <cellStyle name="20% - Accent2 24" xfId="296" xr:uid="{00000000-0005-0000-0000-0000030A0000}"/>
    <cellStyle name="20% - Accent2 25" xfId="297" xr:uid="{00000000-0005-0000-0000-0000040A0000}"/>
    <cellStyle name="20% - Accent2 26" xfId="298" xr:uid="{00000000-0005-0000-0000-0000050A0000}"/>
    <cellStyle name="20% - Accent2 3" xfId="299" xr:uid="{00000000-0005-0000-0000-0000060A0000}"/>
    <cellStyle name="20% - Accent2 3 10" xfId="300" xr:uid="{00000000-0005-0000-0000-0000070A0000}"/>
    <cellStyle name="20% - Accent2 3 2" xfId="301" xr:uid="{00000000-0005-0000-0000-0000080A0000}"/>
    <cellStyle name="20% - Accent2 3 2 2" xfId="8184" xr:uid="{00000000-0005-0000-0000-0000090A0000}"/>
    <cellStyle name="20% - Accent2 3 2 2 2" xfId="10403" xr:uid="{00000000-0005-0000-0000-00000A0A0000}"/>
    <cellStyle name="20% - Accent2 3 2 2 2 2" xfId="20966" xr:uid="{00000000-0005-0000-0000-00000B0A0000}"/>
    <cellStyle name="20% - Accent2 3 2 2 3" xfId="12622" xr:uid="{00000000-0005-0000-0000-00000C0A0000}"/>
    <cellStyle name="20% - Accent2 3 2 2 3 2" xfId="23185" xr:uid="{00000000-0005-0000-0000-00000D0A0000}"/>
    <cellStyle name="20% - Accent2 3 2 2 4" xfId="14841" xr:uid="{00000000-0005-0000-0000-00000E0A0000}"/>
    <cellStyle name="20% - Accent2 3 2 2 4 2" xfId="25404" xr:uid="{00000000-0005-0000-0000-00000F0A0000}"/>
    <cellStyle name="20% - Accent2 3 2 2 5" xfId="18747" xr:uid="{00000000-0005-0000-0000-0000100A0000}"/>
    <cellStyle name="20% - Accent2 3 2 3" xfId="7451" xr:uid="{00000000-0005-0000-0000-0000110A0000}"/>
    <cellStyle name="20% - Accent2 3 2 3 2" xfId="9670" xr:uid="{00000000-0005-0000-0000-0000120A0000}"/>
    <cellStyle name="20% - Accent2 3 2 3 2 2" xfId="20233" xr:uid="{00000000-0005-0000-0000-0000130A0000}"/>
    <cellStyle name="20% - Accent2 3 2 3 3" xfId="11889" xr:uid="{00000000-0005-0000-0000-0000140A0000}"/>
    <cellStyle name="20% - Accent2 3 2 3 3 2" xfId="22452" xr:uid="{00000000-0005-0000-0000-0000150A0000}"/>
    <cellStyle name="20% - Accent2 3 2 3 4" xfId="14108" xr:uid="{00000000-0005-0000-0000-0000160A0000}"/>
    <cellStyle name="20% - Accent2 3 2 3 4 2" xfId="24671" xr:uid="{00000000-0005-0000-0000-0000170A0000}"/>
    <cellStyle name="20% - Accent2 3 2 3 5" xfId="18014" xr:uid="{00000000-0005-0000-0000-0000180A0000}"/>
    <cellStyle name="20% - Accent2 3 2 4" xfId="8927" xr:uid="{00000000-0005-0000-0000-0000190A0000}"/>
    <cellStyle name="20% - Accent2 3 2 4 2" xfId="19490" xr:uid="{00000000-0005-0000-0000-00001A0A0000}"/>
    <cellStyle name="20% - Accent2 3 2 5" xfId="11146" xr:uid="{00000000-0005-0000-0000-00001B0A0000}"/>
    <cellStyle name="20% - Accent2 3 2 5 2" xfId="21709" xr:uid="{00000000-0005-0000-0000-00001C0A0000}"/>
    <cellStyle name="20% - Accent2 3 2 6" xfId="13365" xr:uid="{00000000-0005-0000-0000-00001D0A0000}"/>
    <cellStyle name="20% - Accent2 3 2 6 2" xfId="23928" xr:uid="{00000000-0005-0000-0000-00001E0A0000}"/>
    <cellStyle name="20% - Accent2 3 2 7" xfId="17265" xr:uid="{00000000-0005-0000-0000-00001F0A0000}"/>
    <cellStyle name="20% - Accent2 3 3" xfId="302" xr:uid="{00000000-0005-0000-0000-0000200A0000}"/>
    <cellStyle name="20% - Accent2 3 3 2" xfId="8185" xr:uid="{00000000-0005-0000-0000-0000210A0000}"/>
    <cellStyle name="20% - Accent2 3 3 2 2" xfId="10404" xr:uid="{00000000-0005-0000-0000-0000220A0000}"/>
    <cellStyle name="20% - Accent2 3 3 2 2 2" xfId="20967" xr:uid="{00000000-0005-0000-0000-0000230A0000}"/>
    <cellStyle name="20% - Accent2 3 3 2 3" xfId="12623" xr:uid="{00000000-0005-0000-0000-0000240A0000}"/>
    <cellStyle name="20% - Accent2 3 3 2 3 2" xfId="23186" xr:uid="{00000000-0005-0000-0000-0000250A0000}"/>
    <cellStyle name="20% - Accent2 3 3 2 4" xfId="14842" xr:uid="{00000000-0005-0000-0000-0000260A0000}"/>
    <cellStyle name="20% - Accent2 3 3 2 4 2" xfId="25405" xr:uid="{00000000-0005-0000-0000-0000270A0000}"/>
    <cellStyle name="20% - Accent2 3 3 2 5" xfId="18748" xr:uid="{00000000-0005-0000-0000-0000280A0000}"/>
    <cellStyle name="20% - Accent2 3 3 3" xfId="7452" xr:uid="{00000000-0005-0000-0000-0000290A0000}"/>
    <cellStyle name="20% - Accent2 3 3 3 2" xfId="9671" xr:uid="{00000000-0005-0000-0000-00002A0A0000}"/>
    <cellStyle name="20% - Accent2 3 3 3 2 2" xfId="20234" xr:uid="{00000000-0005-0000-0000-00002B0A0000}"/>
    <cellStyle name="20% - Accent2 3 3 3 3" xfId="11890" xr:uid="{00000000-0005-0000-0000-00002C0A0000}"/>
    <cellStyle name="20% - Accent2 3 3 3 3 2" xfId="22453" xr:uid="{00000000-0005-0000-0000-00002D0A0000}"/>
    <cellStyle name="20% - Accent2 3 3 3 4" xfId="14109" xr:uid="{00000000-0005-0000-0000-00002E0A0000}"/>
    <cellStyle name="20% - Accent2 3 3 3 4 2" xfId="24672" xr:uid="{00000000-0005-0000-0000-00002F0A0000}"/>
    <cellStyle name="20% - Accent2 3 3 3 5" xfId="18015" xr:uid="{00000000-0005-0000-0000-0000300A0000}"/>
    <cellStyle name="20% - Accent2 3 3 4" xfId="8928" xr:uid="{00000000-0005-0000-0000-0000310A0000}"/>
    <cellStyle name="20% - Accent2 3 3 4 2" xfId="19491" xr:uid="{00000000-0005-0000-0000-0000320A0000}"/>
    <cellStyle name="20% - Accent2 3 3 5" xfId="11147" xr:uid="{00000000-0005-0000-0000-0000330A0000}"/>
    <cellStyle name="20% - Accent2 3 3 5 2" xfId="21710" xr:uid="{00000000-0005-0000-0000-0000340A0000}"/>
    <cellStyle name="20% - Accent2 3 3 6" xfId="13366" xr:uid="{00000000-0005-0000-0000-0000350A0000}"/>
    <cellStyle name="20% - Accent2 3 3 6 2" xfId="23929" xr:uid="{00000000-0005-0000-0000-0000360A0000}"/>
    <cellStyle name="20% - Accent2 3 3 7" xfId="17266" xr:uid="{00000000-0005-0000-0000-0000370A0000}"/>
    <cellStyle name="20% - Accent2 3 4" xfId="303" xr:uid="{00000000-0005-0000-0000-0000380A0000}"/>
    <cellStyle name="20% - Accent2 3 4 2" xfId="8186" xr:uid="{00000000-0005-0000-0000-0000390A0000}"/>
    <cellStyle name="20% - Accent2 3 4 2 2" xfId="10405" xr:uid="{00000000-0005-0000-0000-00003A0A0000}"/>
    <cellStyle name="20% - Accent2 3 4 2 2 2" xfId="20968" xr:uid="{00000000-0005-0000-0000-00003B0A0000}"/>
    <cellStyle name="20% - Accent2 3 4 2 3" xfId="12624" xr:uid="{00000000-0005-0000-0000-00003C0A0000}"/>
    <cellStyle name="20% - Accent2 3 4 2 3 2" xfId="23187" xr:uid="{00000000-0005-0000-0000-00003D0A0000}"/>
    <cellStyle name="20% - Accent2 3 4 2 4" xfId="14843" xr:uid="{00000000-0005-0000-0000-00003E0A0000}"/>
    <cellStyle name="20% - Accent2 3 4 2 4 2" xfId="25406" xr:uid="{00000000-0005-0000-0000-00003F0A0000}"/>
    <cellStyle name="20% - Accent2 3 4 2 5" xfId="18749" xr:uid="{00000000-0005-0000-0000-0000400A0000}"/>
    <cellStyle name="20% - Accent2 3 4 3" xfId="7453" xr:uid="{00000000-0005-0000-0000-0000410A0000}"/>
    <cellStyle name="20% - Accent2 3 4 3 2" xfId="9672" xr:uid="{00000000-0005-0000-0000-0000420A0000}"/>
    <cellStyle name="20% - Accent2 3 4 3 2 2" xfId="20235" xr:uid="{00000000-0005-0000-0000-0000430A0000}"/>
    <cellStyle name="20% - Accent2 3 4 3 3" xfId="11891" xr:uid="{00000000-0005-0000-0000-0000440A0000}"/>
    <cellStyle name="20% - Accent2 3 4 3 3 2" xfId="22454" xr:uid="{00000000-0005-0000-0000-0000450A0000}"/>
    <cellStyle name="20% - Accent2 3 4 3 4" xfId="14110" xr:uid="{00000000-0005-0000-0000-0000460A0000}"/>
    <cellStyle name="20% - Accent2 3 4 3 4 2" xfId="24673" xr:uid="{00000000-0005-0000-0000-0000470A0000}"/>
    <cellStyle name="20% - Accent2 3 4 3 5" xfId="18016" xr:uid="{00000000-0005-0000-0000-0000480A0000}"/>
    <cellStyle name="20% - Accent2 3 4 4" xfId="8929" xr:uid="{00000000-0005-0000-0000-0000490A0000}"/>
    <cellStyle name="20% - Accent2 3 4 4 2" xfId="19492" xr:uid="{00000000-0005-0000-0000-00004A0A0000}"/>
    <cellStyle name="20% - Accent2 3 4 5" xfId="11148" xr:uid="{00000000-0005-0000-0000-00004B0A0000}"/>
    <cellStyle name="20% - Accent2 3 4 5 2" xfId="21711" xr:uid="{00000000-0005-0000-0000-00004C0A0000}"/>
    <cellStyle name="20% - Accent2 3 4 6" xfId="13367" xr:uid="{00000000-0005-0000-0000-00004D0A0000}"/>
    <cellStyle name="20% - Accent2 3 4 6 2" xfId="23930" xr:uid="{00000000-0005-0000-0000-00004E0A0000}"/>
    <cellStyle name="20% - Accent2 3 4 7" xfId="17267" xr:uid="{00000000-0005-0000-0000-00004F0A0000}"/>
    <cellStyle name="20% - Accent2 3 5" xfId="304" xr:uid="{00000000-0005-0000-0000-0000500A0000}"/>
    <cellStyle name="20% - Accent2 3 5 2" xfId="8187" xr:uid="{00000000-0005-0000-0000-0000510A0000}"/>
    <cellStyle name="20% - Accent2 3 5 2 2" xfId="10406" xr:uid="{00000000-0005-0000-0000-0000520A0000}"/>
    <cellStyle name="20% - Accent2 3 5 2 2 2" xfId="20969" xr:uid="{00000000-0005-0000-0000-0000530A0000}"/>
    <cellStyle name="20% - Accent2 3 5 2 3" xfId="12625" xr:uid="{00000000-0005-0000-0000-0000540A0000}"/>
    <cellStyle name="20% - Accent2 3 5 2 3 2" xfId="23188" xr:uid="{00000000-0005-0000-0000-0000550A0000}"/>
    <cellStyle name="20% - Accent2 3 5 2 4" xfId="14844" xr:uid="{00000000-0005-0000-0000-0000560A0000}"/>
    <cellStyle name="20% - Accent2 3 5 2 4 2" xfId="25407" xr:uid="{00000000-0005-0000-0000-0000570A0000}"/>
    <cellStyle name="20% - Accent2 3 5 2 5" xfId="18750" xr:uid="{00000000-0005-0000-0000-0000580A0000}"/>
    <cellStyle name="20% - Accent2 3 5 3" xfId="7454" xr:uid="{00000000-0005-0000-0000-0000590A0000}"/>
    <cellStyle name="20% - Accent2 3 5 3 2" xfId="9673" xr:uid="{00000000-0005-0000-0000-00005A0A0000}"/>
    <cellStyle name="20% - Accent2 3 5 3 2 2" xfId="20236" xr:uid="{00000000-0005-0000-0000-00005B0A0000}"/>
    <cellStyle name="20% - Accent2 3 5 3 3" xfId="11892" xr:uid="{00000000-0005-0000-0000-00005C0A0000}"/>
    <cellStyle name="20% - Accent2 3 5 3 3 2" xfId="22455" xr:uid="{00000000-0005-0000-0000-00005D0A0000}"/>
    <cellStyle name="20% - Accent2 3 5 3 4" xfId="14111" xr:uid="{00000000-0005-0000-0000-00005E0A0000}"/>
    <cellStyle name="20% - Accent2 3 5 3 4 2" xfId="24674" xr:uid="{00000000-0005-0000-0000-00005F0A0000}"/>
    <cellStyle name="20% - Accent2 3 5 3 5" xfId="18017" xr:uid="{00000000-0005-0000-0000-0000600A0000}"/>
    <cellStyle name="20% - Accent2 3 5 4" xfId="8930" xr:uid="{00000000-0005-0000-0000-0000610A0000}"/>
    <cellStyle name="20% - Accent2 3 5 4 2" xfId="19493" xr:uid="{00000000-0005-0000-0000-0000620A0000}"/>
    <cellStyle name="20% - Accent2 3 5 5" xfId="11149" xr:uid="{00000000-0005-0000-0000-0000630A0000}"/>
    <cellStyle name="20% - Accent2 3 5 5 2" xfId="21712" xr:uid="{00000000-0005-0000-0000-0000640A0000}"/>
    <cellStyle name="20% - Accent2 3 5 6" xfId="13368" xr:uid="{00000000-0005-0000-0000-0000650A0000}"/>
    <cellStyle name="20% - Accent2 3 5 6 2" xfId="23931" xr:uid="{00000000-0005-0000-0000-0000660A0000}"/>
    <cellStyle name="20% - Accent2 3 5 7" xfId="17268" xr:uid="{00000000-0005-0000-0000-0000670A0000}"/>
    <cellStyle name="20% - Accent2 3 6" xfId="305" xr:uid="{00000000-0005-0000-0000-0000680A0000}"/>
    <cellStyle name="20% - Accent2 3 7" xfId="306" xr:uid="{00000000-0005-0000-0000-0000690A0000}"/>
    <cellStyle name="20% - Accent2 3 8" xfId="307" xr:uid="{00000000-0005-0000-0000-00006A0A0000}"/>
    <cellStyle name="20% - Accent2 3 9" xfId="308" xr:uid="{00000000-0005-0000-0000-00006B0A0000}"/>
    <cellStyle name="20% - Accent2 4" xfId="309" xr:uid="{00000000-0005-0000-0000-00006C0A0000}"/>
    <cellStyle name="20% - Accent2 4 2" xfId="310" xr:uid="{00000000-0005-0000-0000-00006D0A0000}"/>
    <cellStyle name="20% - Accent2 4 3" xfId="311" xr:uid="{00000000-0005-0000-0000-00006E0A0000}"/>
    <cellStyle name="20% - Accent2 4 4" xfId="312" xr:uid="{00000000-0005-0000-0000-00006F0A0000}"/>
    <cellStyle name="20% - Accent2 4 5" xfId="313" xr:uid="{00000000-0005-0000-0000-0000700A0000}"/>
    <cellStyle name="20% - Accent2 4 6" xfId="314" xr:uid="{00000000-0005-0000-0000-0000710A0000}"/>
    <cellStyle name="20% - Accent2 5" xfId="315" xr:uid="{00000000-0005-0000-0000-0000720A0000}"/>
    <cellStyle name="20% - Accent2 5 2" xfId="316" xr:uid="{00000000-0005-0000-0000-0000730A0000}"/>
    <cellStyle name="20% - Accent2 5 3" xfId="317" xr:uid="{00000000-0005-0000-0000-0000740A0000}"/>
    <cellStyle name="20% - Accent2 5 4" xfId="318" xr:uid="{00000000-0005-0000-0000-0000750A0000}"/>
    <cellStyle name="20% - Accent2 5 5" xfId="319" xr:uid="{00000000-0005-0000-0000-0000760A0000}"/>
    <cellStyle name="20% - Accent2 5 6" xfId="320" xr:uid="{00000000-0005-0000-0000-0000770A0000}"/>
    <cellStyle name="20% - Accent2 6" xfId="321" xr:uid="{00000000-0005-0000-0000-0000780A0000}"/>
    <cellStyle name="20% - Accent2 6 2" xfId="322" xr:uid="{00000000-0005-0000-0000-0000790A0000}"/>
    <cellStyle name="20% - Accent2 6 3" xfId="323" xr:uid="{00000000-0005-0000-0000-00007A0A0000}"/>
    <cellStyle name="20% - Accent2 6 4" xfId="324" xr:uid="{00000000-0005-0000-0000-00007B0A0000}"/>
    <cellStyle name="20% - Accent2 6 5" xfId="325" xr:uid="{00000000-0005-0000-0000-00007C0A0000}"/>
    <cellStyle name="20% - Accent2 6 6" xfId="326" xr:uid="{00000000-0005-0000-0000-00007D0A0000}"/>
    <cellStyle name="20% - Accent2 7" xfId="327" xr:uid="{00000000-0005-0000-0000-00007E0A0000}"/>
    <cellStyle name="20% - Accent2 7 10" xfId="11150" xr:uid="{00000000-0005-0000-0000-00007F0A0000}"/>
    <cellStyle name="20% - Accent2 7 10 2" xfId="21713" xr:uid="{00000000-0005-0000-0000-0000800A0000}"/>
    <cellStyle name="20% - Accent2 7 11" xfId="13369" xr:uid="{00000000-0005-0000-0000-0000810A0000}"/>
    <cellStyle name="20% - Accent2 7 11 2" xfId="23932" xr:uid="{00000000-0005-0000-0000-0000820A0000}"/>
    <cellStyle name="20% - Accent2 7 12" xfId="17269" xr:uid="{00000000-0005-0000-0000-0000830A0000}"/>
    <cellStyle name="20% - Accent2 7 2" xfId="328" xr:uid="{00000000-0005-0000-0000-0000840A0000}"/>
    <cellStyle name="20% - Accent2 7 3" xfId="329" xr:uid="{00000000-0005-0000-0000-0000850A0000}"/>
    <cellStyle name="20% - Accent2 7 4" xfId="330" xr:uid="{00000000-0005-0000-0000-0000860A0000}"/>
    <cellStyle name="20% - Accent2 7 5" xfId="331" xr:uid="{00000000-0005-0000-0000-0000870A0000}"/>
    <cellStyle name="20% - Accent2 7 6" xfId="332" xr:uid="{00000000-0005-0000-0000-0000880A0000}"/>
    <cellStyle name="20% - Accent2 7 7" xfId="8188" xr:uid="{00000000-0005-0000-0000-0000890A0000}"/>
    <cellStyle name="20% - Accent2 7 7 2" xfId="10407" xr:uid="{00000000-0005-0000-0000-00008A0A0000}"/>
    <cellStyle name="20% - Accent2 7 7 2 2" xfId="20970" xr:uid="{00000000-0005-0000-0000-00008B0A0000}"/>
    <cellStyle name="20% - Accent2 7 7 3" xfId="12626" xr:uid="{00000000-0005-0000-0000-00008C0A0000}"/>
    <cellStyle name="20% - Accent2 7 7 3 2" xfId="23189" xr:uid="{00000000-0005-0000-0000-00008D0A0000}"/>
    <cellStyle name="20% - Accent2 7 7 4" xfId="14845" xr:uid="{00000000-0005-0000-0000-00008E0A0000}"/>
    <cellStyle name="20% - Accent2 7 7 4 2" xfId="25408" xr:uid="{00000000-0005-0000-0000-00008F0A0000}"/>
    <cellStyle name="20% - Accent2 7 7 5" xfId="18751" xr:uid="{00000000-0005-0000-0000-0000900A0000}"/>
    <cellStyle name="20% - Accent2 7 8" xfId="7455" xr:uid="{00000000-0005-0000-0000-0000910A0000}"/>
    <cellStyle name="20% - Accent2 7 8 2" xfId="9674" xr:uid="{00000000-0005-0000-0000-0000920A0000}"/>
    <cellStyle name="20% - Accent2 7 8 2 2" xfId="20237" xr:uid="{00000000-0005-0000-0000-0000930A0000}"/>
    <cellStyle name="20% - Accent2 7 8 3" xfId="11893" xr:uid="{00000000-0005-0000-0000-0000940A0000}"/>
    <cellStyle name="20% - Accent2 7 8 3 2" xfId="22456" xr:uid="{00000000-0005-0000-0000-0000950A0000}"/>
    <cellStyle name="20% - Accent2 7 8 4" xfId="14112" xr:uid="{00000000-0005-0000-0000-0000960A0000}"/>
    <cellStyle name="20% - Accent2 7 8 4 2" xfId="24675" xr:uid="{00000000-0005-0000-0000-0000970A0000}"/>
    <cellStyle name="20% - Accent2 7 8 5" xfId="18018" xr:uid="{00000000-0005-0000-0000-0000980A0000}"/>
    <cellStyle name="20% - Accent2 7 9" xfId="8931" xr:uid="{00000000-0005-0000-0000-0000990A0000}"/>
    <cellStyle name="20% - Accent2 7 9 2" xfId="19494" xr:uid="{00000000-0005-0000-0000-00009A0A0000}"/>
    <cellStyle name="20% - Accent2 8" xfId="333" xr:uid="{00000000-0005-0000-0000-00009B0A0000}"/>
    <cellStyle name="20% - Accent2 8 2" xfId="334" xr:uid="{00000000-0005-0000-0000-00009C0A0000}"/>
    <cellStyle name="20% - Accent2 8 3" xfId="335" xr:uid="{00000000-0005-0000-0000-00009D0A0000}"/>
    <cellStyle name="20% - Accent2 8 4" xfId="336" xr:uid="{00000000-0005-0000-0000-00009E0A0000}"/>
    <cellStyle name="20% - Accent2 8 5" xfId="337" xr:uid="{00000000-0005-0000-0000-00009F0A0000}"/>
    <cellStyle name="20% - Accent2 8 6" xfId="338" xr:uid="{00000000-0005-0000-0000-0000A00A0000}"/>
    <cellStyle name="20% - Accent2 9" xfId="339" xr:uid="{00000000-0005-0000-0000-0000A10A0000}"/>
    <cellStyle name="20% - Accent2 9 2" xfId="340" xr:uid="{00000000-0005-0000-0000-0000A20A0000}"/>
    <cellStyle name="20% - Accent2 9 3" xfId="341" xr:uid="{00000000-0005-0000-0000-0000A30A0000}"/>
    <cellStyle name="20% - Accent2 9 4" xfId="342" xr:uid="{00000000-0005-0000-0000-0000A40A0000}"/>
    <cellStyle name="20% - Accent2 9 5" xfId="343" xr:uid="{00000000-0005-0000-0000-0000A50A0000}"/>
    <cellStyle name="20% - Accent3 10" xfId="344" xr:uid="{00000000-0005-0000-0000-0000A60A0000}"/>
    <cellStyle name="20% - Accent3 10 2" xfId="345" xr:uid="{00000000-0005-0000-0000-0000A70A0000}"/>
    <cellStyle name="20% - Accent3 10 3" xfId="346" xr:uid="{00000000-0005-0000-0000-0000A80A0000}"/>
    <cellStyle name="20% - Accent3 10 4" xfId="347" xr:uid="{00000000-0005-0000-0000-0000A90A0000}"/>
    <cellStyle name="20% - Accent3 10 5" xfId="348" xr:uid="{00000000-0005-0000-0000-0000AA0A0000}"/>
    <cellStyle name="20% - Accent3 11" xfId="349" xr:uid="{00000000-0005-0000-0000-0000AB0A0000}"/>
    <cellStyle name="20% - Accent3 11 2" xfId="350" xr:uid="{00000000-0005-0000-0000-0000AC0A0000}"/>
    <cellStyle name="20% - Accent3 11 3" xfId="351" xr:uid="{00000000-0005-0000-0000-0000AD0A0000}"/>
    <cellStyle name="20% - Accent3 11 4" xfId="352" xr:uid="{00000000-0005-0000-0000-0000AE0A0000}"/>
    <cellStyle name="20% - Accent3 11 5" xfId="353" xr:uid="{00000000-0005-0000-0000-0000AF0A0000}"/>
    <cellStyle name="20% - Accent3 12" xfId="354" xr:uid="{00000000-0005-0000-0000-0000B00A0000}"/>
    <cellStyle name="20% - Accent3 12 2" xfId="355" xr:uid="{00000000-0005-0000-0000-0000B10A0000}"/>
    <cellStyle name="20% - Accent3 12 3" xfId="356" xr:uid="{00000000-0005-0000-0000-0000B20A0000}"/>
    <cellStyle name="20% - Accent3 12 4" xfId="357" xr:uid="{00000000-0005-0000-0000-0000B30A0000}"/>
    <cellStyle name="20% - Accent3 12 5" xfId="358" xr:uid="{00000000-0005-0000-0000-0000B40A0000}"/>
    <cellStyle name="20% - Accent3 13" xfId="359" xr:uid="{00000000-0005-0000-0000-0000B50A0000}"/>
    <cellStyle name="20% - Accent3 14" xfId="360" xr:uid="{00000000-0005-0000-0000-0000B60A0000}"/>
    <cellStyle name="20% - Accent3 15" xfId="361" xr:uid="{00000000-0005-0000-0000-0000B70A0000}"/>
    <cellStyle name="20% - Accent3 16" xfId="362" xr:uid="{00000000-0005-0000-0000-0000B80A0000}"/>
    <cellStyle name="20% - Accent3 17" xfId="363" xr:uid="{00000000-0005-0000-0000-0000B90A0000}"/>
    <cellStyle name="20% - Accent3 18" xfId="364" xr:uid="{00000000-0005-0000-0000-0000BA0A0000}"/>
    <cellStyle name="20% - Accent3 19" xfId="365" xr:uid="{00000000-0005-0000-0000-0000BB0A0000}"/>
    <cellStyle name="20% - Accent3 2" xfId="366" xr:uid="{00000000-0005-0000-0000-0000BC0A0000}"/>
    <cellStyle name="20% - Accent3 2 10" xfId="367" xr:uid="{00000000-0005-0000-0000-0000BD0A0000}"/>
    <cellStyle name="20% - Accent3 2 10 2" xfId="8189" xr:uid="{00000000-0005-0000-0000-0000BE0A0000}"/>
    <cellStyle name="20% - Accent3 2 10 2 2" xfId="10408" xr:uid="{00000000-0005-0000-0000-0000BF0A0000}"/>
    <cellStyle name="20% - Accent3 2 10 2 2 2" xfId="20971" xr:uid="{00000000-0005-0000-0000-0000C00A0000}"/>
    <cellStyle name="20% - Accent3 2 10 2 3" xfId="12627" xr:uid="{00000000-0005-0000-0000-0000C10A0000}"/>
    <cellStyle name="20% - Accent3 2 10 2 3 2" xfId="23190" xr:uid="{00000000-0005-0000-0000-0000C20A0000}"/>
    <cellStyle name="20% - Accent3 2 10 2 4" xfId="14846" xr:uid="{00000000-0005-0000-0000-0000C30A0000}"/>
    <cellStyle name="20% - Accent3 2 10 2 4 2" xfId="25409" xr:uid="{00000000-0005-0000-0000-0000C40A0000}"/>
    <cellStyle name="20% - Accent3 2 10 2 5" xfId="18752" xr:uid="{00000000-0005-0000-0000-0000C50A0000}"/>
    <cellStyle name="20% - Accent3 2 10 3" xfId="7456" xr:uid="{00000000-0005-0000-0000-0000C60A0000}"/>
    <cellStyle name="20% - Accent3 2 10 3 2" xfId="9675" xr:uid="{00000000-0005-0000-0000-0000C70A0000}"/>
    <cellStyle name="20% - Accent3 2 10 3 2 2" xfId="20238" xr:uid="{00000000-0005-0000-0000-0000C80A0000}"/>
    <cellStyle name="20% - Accent3 2 10 3 3" xfId="11894" xr:uid="{00000000-0005-0000-0000-0000C90A0000}"/>
    <cellStyle name="20% - Accent3 2 10 3 3 2" xfId="22457" xr:uid="{00000000-0005-0000-0000-0000CA0A0000}"/>
    <cellStyle name="20% - Accent3 2 10 3 4" xfId="14113" xr:uid="{00000000-0005-0000-0000-0000CB0A0000}"/>
    <cellStyle name="20% - Accent3 2 10 3 4 2" xfId="24676" xr:uid="{00000000-0005-0000-0000-0000CC0A0000}"/>
    <cellStyle name="20% - Accent3 2 10 3 5" xfId="18019" xr:uid="{00000000-0005-0000-0000-0000CD0A0000}"/>
    <cellStyle name="20% - Accent3 2 10 4" xfId="8932" xr:uid="{00000000-0005-0000-0000-0000CE0A0000}"/>
    <cellStyle name="20% - Accent3 2 10 4 2" xfId="19495" xr:uid="{00000000-0005-0000-0000-0000CF0A0000}"/>
    <cellStyle name="20% - Accent3 2 10 5" xfId="11151" xr:uid="{00000000-0005-0000-0000-0000D00A0000}"/>
    <cellStyle name="20% - Accent3 2 10 5 2" xfId="21714" xr:uid="{00000000-0005-0000-0000-0000D10A0000}"/>
    <cellStyle name="20% - Accent3 2 10 6" xfId="13370" xr:uid="{00000000-0005-0000-0000-0000D20A0000}"/>
    <cellStyle name="20% - Accent3 2 10 6 2" xfId="23933" xr:uid="{00000000-0005-0000-0000-0000D30A0000}"/>
    <cellStyle name="20% - Accent3 2 10 7" xfId="17270" xr:uid="{00000000-0005-0000-0000-0000D40A0000}"/>
    <cellStyle name="20% - Accent3 2 11" xfId="368" xr:uid="{00000000-0005-0000-0000-0000D50A0000}"/>
    <cellStyle name="20% - Accent3 2 11 2" xfId="369" xr:uid="{00000000-0005-0000-0000-0000D60A0000}"/>
    <cellStyle name="20% - Accent3 2 11 2 2" xfId="8190" xr:uid="{00000000-0005-0000-0000-0000D70A0000}"/>
    <cellStyle name="20% - Accent3 2 11 2 2 2" xfId="10409" xr:uid="{00000000-0005-0000-0000-0000D80A0000}"/>
    <cellStyle name="20% - Accent3 2 11 2 2 2 2" xfId="20972" xr:uid="{00000000-0005-0000-0000-0000D90A0000}"/>
    <cellStyle name="20% - Accent3 2 11 2 2 3" xfId="12628" xr:uid="{00000000-0005-0000-0000-0000DA0A0000}"/>
    <cellStyle name="20% - Accent3 2 11 2 2 3 2" xfId="23191" xr:uid="{00000000-0005-0000-0000-0000DB0A0000}"/>
    <cellStyle name="20% - Accent3 2 11 2 2 4" xfId="14847" xr:uid="{00000000-0005-0000-0000-0000DC0A0000}"/>
    <cellStyle name="20% - Accent3 2 11 2 2 4 2" xfId="25410" xr:uid="{00000000-0005-0000-0000-0000DD0A0000}"/>
    <cellStyle name="20% - Accent3 2 11 2 2 5" xfId="18753" xr:uid="{00000000-0005-0000-0000-0000DE0A0000}"/>
    <cellStyle name="20% - Accent3 2 11 2 3" xfId="7457" xr:uid="{00000000-0005-0000-0000-0000DF0A0000}"/>
    <cellStyle name="20% - Accent3 2 11 2 3 2" xfId="9676" xr:uid="{00000000-0005-0000-0000-0000E00A0000}"/>
    <cellStyle name="20% - Accent3 2 11 2 3 2 2" xfId="20239" xr:uid="{00000000-0005-0000-0000-0000E10A0000}"/>
    <cellStyle name="20% - Accent3 2 11 2 3 3" xfId="11895" xr:uid="{00000000-0005-0000-0000-0000E20A0000}"/>
    <cellStyle name="20% - Accent3 2 11 2 3 3 2" xfId="22458" xr:uid="{00000000-0005-0000-0000-0000E30A0000}"/>
    <cellStyle name="20% - Accent3 2 11 2 3 4" xfId="14114" xr:uid="{00000000-0005-0000-0000-0000E40A0000}"/>
    <cellStyle name="20% - Accent3 2 11 2 3 4 2" xfId="24677" xr:uid="{00000000-0005-0000-0000-0000E50A0000}"/>
    <cellStyle name="20% - Accent3 2 11 2 3 5" xfId="18020" xr:uid="{00000000-0005-0000-0000-0000E60A0000}"/>
    <cellStyle name="20% - Accent3 2 11 2 4" xfId="8933" xr:uid="{00000000-0005-0000-0000-0000E70A0000}"/>
    <cellStyle name="20% - Accent3 2 11 2 4 2" xfId="19496" xr:uid="{00000000-0005-0000-0000-0000E80A0000}"/>
    <cellStyle name="20% - Accent3 2 11 2 5" xfId="11152" xr:uid="{00000000-0005-0000-0000-0000E90A0000}"/>
    <cellStyle name="20% - Accent3 2 11 2 5 2" xfId="21715" xr:uid="{00000000-0005-0000-0000-0000EA0A0000}"/>
    <cellStyle name="20% - Accent3 2 11 2 6" xfId="13371" xr:uid="{00000000-0005-0000-0000-0000EB0A0000}"/>
    <cellStyle name="20% - Accent3 2 11 2 6 2" xfId="23934" xr:uid="{00000000-0005-0000-0000-0000EC0A0000}"/>
    <cellStyle name="20% - Accent3 2 11 2 7" xfId="17271" xr:uid="{00000000-0005-0000-0000-0000ED0A0000}"/>
    <cellStyle name="20% - Accent3 2 11 3" xfId="370" xr:uid="{00000000-0005-0000-0000-0000EE0A0000}"/>
    <cellStyle name="20% - Accent3 2 11 3 2" xfId="8191" xr:uid="{00000000-0005-0000-0000-0000EF0A0000}"/>
    <cellStyle name="20% - Accent3 2 11 3 2 2" xfId="10410" xr:uid="{00000000-0005-0000-0000-0000F00A0000}"/>
    <cellStyle name="20% - Accent3 2 11 3 2 2 2" xfId="20973" xr:uid="{00000000-0005-0000-0000-0000F10A0000}"/>
    <cellStyle name="20% - Accent3 2 11 3 2 3" xfId="12629" xr:uid="{00000000-0005-0000-0000-0000F20A0000}"/>
    <cellStyle name="20% - Accent3 2 11 3 2 3 2" xfId="23192" xr:uid="{00000000-0005-0000-0000-0000F30A0000}"/>
    <cellStyle name="20% - Accent3 2 11 3 2 4" xfId="14848" xr:uid="{00000000-0005-0000-0000-0000F40A0000}"/>
    <cellStyle name="20% - Accent3 2 11 3 2 4 2" xfId="25411" xr:uid="{00000000-0005-0000-0000-0000F50A0000}"/>
    <cellStyle name="20% - Accent3 2 11 3 2 5" xfId="18754" xr:uid="{00000000-0005-0000-0000-0000F60A0000}"/>
    <cellStyle name="20% - Accent3 2 11 3 3" xfId="7458" xr:uid="{00000000-0005-0000-0000-0000F70A0000}"/>
    <cellStyle name="20% - Accent3 2 11 3 3 2" xfId="9677" xr:uid="{00000000-0005-0000-0000-0000F80A0000}"/>
    <cellStyle name="20% - Accent3 2 11 3 3 2 2" xfId="20240" xr:uid="{00000000-0005-0000-0000-0000F90A0000}"/>
    <cellStyle name="20% - Accent3 2 11 3 3 3" xfId="11896" xr:uid="{00000000-0005-0000-0000-0000FA0A0000}"/>
    <cellStyle name="20% - Accent3 2 11 3 3 3 2" xfId="22459" xr:uid="{00000000-0005-0000-0000-0000FB0A0000}"/>
    <cellStyle name="20% - Accent3 2 11 3 3 4" xfId="14115" xr:uid="{00000000-0005-0000-0000-0000FC0A0000}"/>
    <cellStyle name="20% - Accent3 2 11 3 3 4 2" xfId="24678" xr:uid="{00000000-0005-0000-0000-0000FD0A0000}"/>
    <cellStyle name="20% - Accent3 2 11 3 3 5" xfId="18021" xr:uid="{00000000-0005-0000-0000-0000FE0A0000}"/>
    <cellStyle name="20% - Accent3 2 11 3 4" xfId="8934" xr:uid="{00000000-0005-0000-0000-0000FF0A0000}"/>
    <cellStyle name="20% - Accent3 2 11 3 4 2" xfId="19497" xr:uid="{00000000-0005-0000-0000-0000000B0000}"/>
    <cellStyle name="20% - Accent3 2 11 3 5" xfId="11153" xr:uid="{00000000-0005-0000-0000-0000010B0000}"/>
    <cellStyle name="20% - Accent3 2 11 3 5 2" xfId="21716" xr:uid="{00000000-0005-0000-0000-0000020B0000}"/>
    <cellStyle name="20% - Accent3 2 11 3 6" xfId="13372" xr:uid="{00000000-0005-0000-0000-0000030B0000}"/>
    <cellStyle name="20% - Accent3 2 11 3 6 2" xfId="23935" xr:uid="{00000000-0005-0000-0000-0000040B0000}"/>
    <cellStyle name="20% - Accent3 2 11 3 7" xfId="17272" xr:uid="{00000000-0005-0000-0000-0000050B0000}"/>
    <cellStyle name="20% - Accent3 2 11 4" xfId="371" xr:uid="{00000000-0005-0000-0000-0000060B0000}"/>
    <cellStyle name="20% - Accent3 2 11 4 2" xfId="8192" xr:uid="{00000000-0005-0000-0000-0000070B0000}"/>
    <cellStyle name="20% - Accent3 2 11 4 2 2" xfId="10411" xr:uid="{00000000-0005-0000-0000-0000080B0000}"/>
    <cellStyle name="20% - Accent3 2 11 4 2 2 2" xfId="20974" xr:uid="{00000000-0005-0000-0000-0000090B0000}"/>
    <cellStyle name="20% - Accent3 2 11 4 2 3" xfId="12630" xr:uid="{00000000-0005-0000-0000-00000A0B0000}"/>
    <cellStyle name="20% - Accent3 2 11 4 2 3 2" xfId="23193" xr:uid="{00000000-0005-0000-0000-00000B0B0000}"/>
    <cellStyle name="20% - Accent3 2 11 4 2 4" xfId="14849" xr:uid="{00000000-0005-0000-0000-00000C0B0000}"/>
    <cellStyle name="20% - Accent3 2 11 4 2 4 2" xfId="25412" xr:uid="{00000000-0005-0000-0000-00000D0B0000}"/>
    <cellStyle name="20% - Accent3 2 11 4 2 5" xfId="18755" xr:uid="{00000000-0005-0000-0000-00000E0B0000}"/>
    <cellStyle name="20% - Accent3 2 11 4 3" xfId="7459" xr:uid="{00000000-0005-0000-0000-00000F0B0000}"/>
    <cellStyle name="20% - Accent3 2 11 4 3 2" xfId="9678" xr:uid="{00000000-0005-0000-0000-0000100B0000}"/>
    <cellStyle name="20% - Accent3 2 11 4 3 2 2" xfId="20241" xr:uid="{00000000-0005-0000-0000-0000110B0000}"/>
    <cellStyle name="20% - Accent3 2 11 4 3 3" xfId="11897" xr:uid="{00000000-0005-0000-0000-0000120B0000}"/>
    <cellStyle name="20% - Accent3 2 11 4 3 3 2" xfId="22460" xr:uid="{00000000-0005-0000-0000-0000130B0000}"/>
    <cellStyle name="20% - Accent3 2 11 4 3 4" xfId="14116" xr:uid="{00000000-0005-0000-0000-0000140B0000}"/>
    <cellStyle name="20% - Accent3 2 11 4 3 4 2" xfId="24679" xr:uid="{00000000-0005-0000-0000-0000150B0000}"/>
    <cellStyle name="20% - Accent3 2 11 4 3 5" xfId="18022" xr:uid="{00000000-0005-0000-0000-0000160B0000}"/>
    <cellStyle name="20% - Accent3 2 11 4 4" xfId="8935" xr:uid="{00000000-0005-0000-0000-0000170B0000}"/>
    <cellStyle name="20% - Accent3 2 11 4 4 2" xfId="19498" xr:uid="{00000000-0005-0000-0000-0000180B0000}"/>
    <cellStyle name="20% - Accent3 2 11 4 5" xfId="11154" xr:uid="{00000000-0005-0000-0000-0000190B0000}"/>
    <cellStyle name="20% - Accent3 2 11 4 5 2" xfId="21717" xr:uid="{00000000-0005-0000-0000-00001A0B0000}"/>
    <cellStyle name="20% - Accent3 2 11 4 6" xfId="13373" xr:uid="{00000000-0005-0000-0000-00001B0B0000}"/>
    <cellStyle name="20% - Accent3 2 11 4 6 2" xfId="23936" xr:uid="{00000000-0005-0000-0000-00001C0B0000}"/>
    <cellStyle name="20% - Accent3 2 11 4 7" xfId="17273" xr:uid="{00000000-0005-0000-0000-00001D0B0000}"/>
    <cellStyle name="20% - Accent3 2 11 5" xfId="372" xr:uid="{00000000-0005-0000-0000-00001E0B0000}"/>
    <cellStyle name="20% - Accent3 2 11 5 2" xfId="8193" xr:uid="{00000000-0005-0000-0000-00001F0B0000}"/>
    <cellStyle name="20% - Accent3 2 11 5 2 2" xfId="10412" xr:uid="{00000000-0005-0000-0000-0000200B0000}"/>
    <cellStyle name="20% - Accent3 2 11 5 2 2 2" xfId="20975" xr:uid="{00000000-0005-0000-0000-0000210B0000}"/>
    <cellStyle name="20% - Accent3 2 11 5 2 3" xfId="12631" xr:uid="{00000000-0005-0000-0000-0000220B0000}"/>
    <cellStyle name="20% - Accent3 2 11 5 2 3 2" xfId="23194" xr:uid="{00000000-0005-0000-0000-0000230B0000}"/>
    <cellStyle name="20% - Accent3 2 11 5 2 4" xfId="14850" xr:uid="{00000000-0005-0000-0000-0000240B0000}"/>
    <cellStyle name="20% - Accent3 2 11 5 2 4 2" xfId="25413" xr:uid="{00000000-0005-0000-0000-0000250B0000}"/>
    <cellStyle name="20% - Accent3 2 11 5 2 5" xfId="18756" xr:uid="{00000000-0005-0000-0000-0000260B0000}"/>
    <cellStyle name="20% - Accent3 2 11 5 3" xfId="7460" xr:uid="{00000000-0005-0000-0000-0000270B0000}"/>
    <cellStyle name="20% - Accent3 2 11 5 3 2" xfId="9679" xr:uid="{00000000-0005-0000-0000-0000280B0000}"/>
    <cellStyle name="20% - Accent3 2 11 5 3 2 2" xfId="20242" xr:uid="{00000000-0005-0000-0000-0000290B0000}"/>
    <cellStyle name="20% - Accent3 2 11 5 3 3" xfId="11898" xr:uid="{00000000-0005-0000-0000-00002A0B0000}"/>
    <cellStyle name="20% - Accent3 2 11 5 3 3 2" xfId="22461" xr:uid="{00000000-0005-0000-0000-00002B0B0000}"/>
    <cellStyle name="20% - Accent3 2 11 5 3 4" xfId="14117" xr:uid="{00000000-0005-0000-0000-00002C0B0000}"/>
    <cellStyle name="20% - Accent3 2 11 5 3 4 2" xfId="24680" xr:uid="{00000000-0005-0000-0000-00002D0B0000}"/>
    <cellStyle name="20% - Accent3 2 11 5 3 5" xfId="18023" xr:uid="{00000000-0005-0000-0000-00002E0B0000}"/>
    <cellStyle name="20% - Accent3 2 11 5 4" xfId="8936" xr:uid="{00000000-0005-0000-0000-00002F0B0000}"/>
    <cellStyle name="20% - Accent3 2 11 5 4 2" xfId="19499" xr:uid="{00000000-0005-0000-0000-0000300B0000}"/>
    <cellStyle name="20% - Accent3 2 11 5 5" xfId="11155" xr:uid="{00000000-0005-0000-0000-0000310B0000}"/>
    <cellStyle name="20% - Accent3 2 11 5 5 2" xfId="21718" xr:uid="{00000000-0005-0000-0000-0000320B0000}"/>
    <cellStyle name="20% - Accent3 2 11 5 6" xfId="13374" xr:uid="{00000000-0005-0000-0000-0000330B0000}"/>
    <cellStyle name="20% - Accent3 2 11 5 6 2" xfId="23937" xr:uid="{00000000-0005-0000-0000-0000340B0000}"/>
    <cellStyle name="20% - Accent3 2 11 5 7" xfId="17274" xr:uid="{00000000-0005-0000-0000-0000350B0000}"/>
    <cellStyle name="20% - Accent3 2 12" xfId="373" xr:uid="{00000000-0005-0000-0000-0000360B0000}"/>
    <cellStyle name="20% - Accent3 2 13" xfId="374" xr:uid="{00000000-0005-0000-0000-0000370B0000}"/>
    <cellStyle name="20% - Accent3 2 14" xfId="375" xr:uid="{00000000-0005-0000-0000-0000380B0000}"/>
    <cellStyle name="20% - Accent3 2 15" xfId="376" xr:uid="{00000000-0005-0000-0000-0000390B0000}"/>
    <cellStyle name="20% - Accent3 2 15 2" xfId="8194" xr:uid="{00000000-0005-0000-0000-00003A0B0000}"/>
    <cellStyle name="20% - Accent3 2 15 2 2" xfId="10413" xr:uid="{00000000-0005-0000-0000-00003B0B0000}"/>
    <cellStyle name="20% - Accent3 2 15 2 2 2" xfId="20976" xr:uid="{00000000-0005-0000-0000-00003C0B0000}"/>
    <cellStyle name="20% - Accent3 2 15 2 3" xfId="12632" xr:uid="{00000000-0005-0000-0000-00003D0B0000}"/>
    <cellStyle name="20% - Accent3 2 15 2 3 2" xfId="23195" xr:uid="{00000000-0005-0000-0000-00003E0B0000}"/>
    <cellStyle name="20% - Accent3 2 15 2 4" xfId="14851" xr:uid="{00000000-0005-0000-0000-00003F0B0000}"/>
    <cellStyle name="20% - Accent3 2 15 2 4 2" xfId="25414" xr:uid="{00000000-0005-0000-0000-0000400B0000}"/>
    <cellStyle name="20% - Accent3 2 15 2 5" xfId="18757" xr:uid="{00000000-0005-0000-0000-0000410B0000}"/>
    <cellStyle name="20% - Accent3 2 15 3" xfId="7461" xr:uid="{00000000-0005-0000-0000-0000420B0000}"/>
    <cellStyle name="20% - Accent3 2 15 3 2" xfId="9680" xr:uid="{00000000-0005-0000-0000-0000430B0000}"/>
    <cellStyle name="20% - Accent3 2 15 3 2 2" xfId="20243" xr:uid="{00000000-0005-0000-0000-0000440B0000}"/>
    <cellStyle name="20% - Accent3 2 15 3 3" xfId="11899" xr:uid="{00000000-0005-0000-0000-0000450B0000}"/>
    <cellStyle name="20% - Accent3 2 15 3 3 2" xfId="22462" xr:uid="{00000000-0005-0000-0000-0000460B0000}"/>
    <cellStyle name="20% - Accent3 2 15 3 4" xfId="14118" xr:uid="{00000000-0005-0000-0000-0000470B0000}"/>
    <cellStyle name="20% - Accent3 2 15 3 4 2" xfId="24681" xr:uid="{00000000-0005-0000-0000-0000480B0000}"/>
    <cellStyle name="20% - Accent3 2 15 3 5" xfId="18024" xr:uid="{00000000-0005-0000-0000-0000490B0000}"/>
    <cellStyle name="20% - Accent3 2 15 4" xfId="8937" xr:uid="{00000000-0005-0000-0000-00004A0B0000}"/>
    <cellStyle name="20% - Accent3 2 15 4 2" xfId="19500" xr:uid="{00000000-0005-0000-0000-00004B0B0000}"/>
    <cellStyle name="20% - Accent3 2 15 5" xfId="11156" xr:uid="{00000000-0005-0000-0000-00004C0B0000}"/>
    <cellStyle name="20% - Accent3 2 15 5 2" xfId="21719" xr:uid="{00000000-0005-0000-0000-00004D0B0000}"/>
    <cellStyle name="20% - Accent3 2 15 6" xfId="13375" xr:uid="{00000000-0005-0000-0000-00004E0B0000}"/>
    <cellStyle name="20% - Accent3 2 15 6 2" xfId="23938" xr:uid="{00000000-0005-0000-0000-00004F0B0000}"/>
    <cellStyle name="20% - Accent3 2 15 7" xfId="17275" xr:uid="{00000000-0005-0000-0000-0000500B0000}"/>
    <cellStyle name="20% - Accent3 2 16" xfId="377" xr:uid="{00000000-0005-0000-0000-0000510B0000}"/>
    <cellStyle name="20% - Accent3 2 2" xfId="378" xr:uid="{00000000-0005-0000-0000-0000520B0000}"/>
    <cellStyle name="20% - Accent3 2 2 10" xfId="8195" xr:uid="{00000000-0005-0000-0000-0000530B0000}"/>
    <cellStyle name="20% - Accent3 2 2 10 2" xfId="10414" xr:uid="{00000000-0005-0000-0000-0000540B0000}"/>
    <cellStyle name="20% - Accent3 2 2 10 2 2" xfId="20977" xr:uid="{00000000-0005-0000-0000-0000550B0000}"/>
    <cellStyle name="20% - Accent3 2 2 10 3" xfId="12633" xr:uid="{00000000-0005-0000-0000-0000560B0000}"/>
    <cellStyle name="20% - Accent3 2 2 10 3 2" xfId="23196" xr:uid="{00000000-0005-0000-0000-0000570B0000}"/>
    <cellStyle name="20% - Accent3 2 2 10 4" xfId="14852" xr:uid="{00000000-0005-0000-0000-0000580B0000}"/>
    <cellStyle name="20% - Accent3 2 2 10 4 2" xfId="25415" xr:uid="{00000000-0005-0000-0000-0000590B0000}"/>
    <cellStyle name="20% - Accent3 2 2 10 5" xfId="18758" xr:uid="{00000000-0005-0000-0000-00005A0B0000}"/>
    <cellStyle name="20% - Accent3 2 2 11" xfId="7462" xr:uid="{00000000-0005-0000-0000-00005B0B0000}"/>
    <cellStyle name="20% - Accent3 2 2 11 2" xfId="9681" xr:uid="{00000000-0005-0000-0000-00005C0B0000}"/>
    <cellStyle name="20% - Accent3 2 2 11 2 2" xfId="20244" xr:uid="{00000000-0005-0000-0000-00005D0B0000}"/>
    <cellStyle name="20% - Accent3 2 2 11 3" xfId="11900" xr:uid="{00000000-0005-0000-0000-00005E0B0000}"/>
    <cellStyle name="20% - Accent3 2 2 11 3 2" xfId="22463" xr:uid="{00000000-0005-0000-0000-00005F0B0000}"/>
    <cellStyle name="20% - Accent3 2 2 11 4" xfId="14119" xr:uid="{00000000-0005-0000-0000-0000600B0000}"/>
    <cellStyle name="20% - Accent3 2 2 11 4 2" xfId="24682" xr:uid="{00000000-0005-0000-0000-0000610B0000}"/>
    <cellStyle name="20% - Accent3 2 2 11 5" xfId="18025" xr:uid="{00000000-0005-0000-0000-0000620B0000}"/>
    <cellStyle name="20% - Accent3 2 2 12" xfId="8938" xr:uid="{00000000-0005-0000-0000-0000630B0000}"/>
    <cellStyle name="20% - Accent3 2 2 12 2" xfId="19501" xr:uid="{00000000-0005-0000-0000-0000640B0000}"/>
    <cellStyle name="20% - Accent3 2 2 13" xfId="11157" xr:uid="{00000000-0005-0000-0000-0000650B0000}"/>
    <cellStyle name="20% - Accent3 2 2 13 2" xfId="21720" xr:uid="{00000000-0005-0000-0000-0000660B0000}"/>
    <cellStyle name="20% - Accent3 2 2 14" xfId="13376" xr:uid="{00000000-0005-0000-0000-0000670B0000}"/>
    <cellStyle name="20% - Accent3 2 2 14 2" xfId="23939" xr:uid="{00000000-0005-0000-0000-0000680B0000}"/>
    <cellStyle name="20% - Accent3 2 2 15" xfId="17276" xr:uid="{00000000-0005-0000-0000-0000690B0000}"/>
    <cellStyle name="20% - Accent3 2 2 2" xfId="379" xr:uid="{00000000-0005-0000-0000-00006A0B0000}"/>
    <cellStyle name="20% - Accent3 2 2 2 2" xfId="8196" xr:uid="{00000000-0005-0000-0000-00006B0B0000}"/>
    <cellStyle name="20% - Accent3 2 2 2 2 2" xfId="10415" xr:uid="{00000000-0005-0000-0000-00006C0B0000}"/>
    <cellStyle name="20% - Accent3 2 2 2 2 2 2" xfId="20978" xr:uid="{00000000-0005-0000-0000-00006D0B0000}"/>
    <cellStyle name="20% - Accent3 2 2 2 2 3" xfId="12634" xr:uid="{00000000-0005-0000-0000-00006E0B0000}"/>
    <cellStyle name="20% - Accent3 2 2 2 2 3 2" xfId="23197" xr:uid="{00000000-0005-0000-0000-00006F0B0000}"/>
    <cellStyle name="20% - Accent3 2 2 2 2 4" xfId="14853" xr:uid="{00000000-0005-0000-0000-0000700B0000}"/>
    <cellStyle name="20% - Accent3 2 2 2 2 4 2" xfId="25416" xr:uid="{00000000-0005-0000-0000-0000710B0000}"/>
    <cellStyle name="20% - Accent3 2 2 2 2 5" xfId="18759" xr:uid="{00000000-0005-0000-0000-0000720B0000}"/>
    <cellStyle name="20% - Accent3 2 2 2 3" xfId="7463" xr:uid="{00000000-0005-0000-0000-0000730B0000}"/>
    <cellStyle name="20% - Accent3 2 2 2 3 2" xfId="9682" xr:uid="{00000000-0005-0000-0000-0000740B0000}"/>
    <cellStyle name="20% - Accent3 2 2 2 3 2 2" xfId="20245" xr:uid="{00000000-0005-0000-0000-0000750B0000}"/>
    <cellStyle name="20% - Accent3 2 2 2 3 3" xfId="11901" xr:uid="{00000000-0005-0000-0000-0000760B0000}"/>
    <cellStyle name="20% - Accent3 2 2 2 3 3 2" xfId="22464" xr:uid="{00000000-0005-0000-0000-0000770B0000}"/>
    <cellStyle name="20% - Accent3 2 2 2 3 4" xfId="14120" xr:uid="{00000000-0005-0000-0000-0000780B0000}"/>
    <cellStyle name="20% - Accent3 2 2 2 3 4 2" xfId="24683" xr:uid="{00000000-0005-0000-0000-0000790B0000}"/>
    <cellStyle name="20% - Accent3 2 2 2 3 5" xfId="18026" xr:uid="{00000000-0005-0000-0000-00007A0B0000}"/>
    <cellStyle name="20% - Accent3 2 2 2 4" xfId="8939" xr:uid="{00000000-0005-0000-0000-00007B0B0000}"/>
    <cellStyle name="20% - Accent3 2 2 2 4 2" xfId="19502" xr:uid="{00000000-0005-0000-0000-00007C0B0000}"/>
    <cellStyle name="20% - Accent3 2 2 2 5" xfId="11158" xr:uid="{00000000-0005-0000-0000-00007D0B0000}"/>
    <cellStyle name="20% - Accent3 2 2 2 5 2" xfId="21721" xr:uid="{00000000-0005-0000-0000-00007E0B0000}"/>
    <cellStyle name="20% - Accent3 2 2 2 6" xfId="13377" xr:uid="{00000000-0005-0000-0000-00007F0B0000}"/>
    <cellStyle name="20% - Accent3 2 2 2 6 2" xfId="23940" xr:uid="{00000000-0005-0000-0000-0000800B0000}"/>
    <cellStyle name="20% - Accent3 2 2 2 7" xfId="17277" xr:uid="{00000000-0005-0000-0000-0000810B0000}"/>
    <cellStyle name="20% - Accent3 2 2 3" xfId="380" xr:uid="{00000000-0005-0000-0000-0000820B0000}"/>
    <cellStyle name="20% - Accent3 2 2 3 2" xfId="8197" xr:uid="{00000000-0005-0000-0000-0000830B0000}"/>
    <cellStyle name="20% - Accent3 2 2 3 2 2" xfId="10416" xr:uid="{00000000-0005-0000-0000-0000840B0000}"/>
    <cellStyle name="20% - Accent3 2 2 3 2 2 2" xfId="20979" xr:uid="{00000000-0005-0000-0000-0000850B0000}"/>
    <cellStyle name="20% - Accent3 2 2 3 2 3" xfId="12635" xr:uid="{00000000-0005-0000-0000-0000860B0000}"/>
    <cellStyle name="20% - Accent3 2 2 3 2 3 2" xfId="23198" xr:uid="{00000000-0005-0000-0000-0000870B0000}"/>
    <cellStyle name="20% - Accent3 2 2 3 2 4" xfId="14854" xr:uid="{00000000-0005-0000-0000-0000880B0000}"/>
    <cellStyle name="20% - Accent3 2 2 3 2 4 2" xfId="25417" xr:uid="{00000000-0005-0000-0000-0000890B0000}"/>
    <cellStyle name="20% - Accent3 2 2 3 2 5" xfId="18760" xr:uid="{00000000-0005-0000-0000-00008A0B0000}"/>
    <cellStyle name="20% - Accent3 2 2 3 3" xfId="7464" xr:uid="{00000000-0005-0000-0000-00008B0B0000}"/>
    <cellStyle name="20% - Accent3 2 2 3 3 2" xfId="9683" xr:uid="{00000000-0005-0000-0000-00008C0B0000}"/>
    <cellStyle name="20% - Accent3 2 2 3 3 2 2" xfId="20246" xr:uid="{00000000-0005-0000-0000-00008D0B0000}"/>
    <cellStyle name="20% - Accent3 2 2 3 3 3" xfId="11902" xr:uid="{00000000-0005-0000-0000-00008E0B0000}"/>
    <cellStyle name="20% - Accent3 2 2 3 3 3 2" xfId="22465" xr:uid="{00000000-0005-0000-0000-00008F0B0000}"/>
    <cellStyle name="20% - Accent3 2 2 3 3 4" xfId="14121" xr:uid="{00000000-0005-0000-0000-0000900B0000}"/>
    <cellStyle name="20% - Accent3 2 2 3 3 4 2" xfId="24684" xr:uid="{00000000-0005-0000-0000-0000910B0000}"/>
    <cellStyle name="20% - Accent3 2 2 3 3 5" xfId="18027" xr:uid="{00000000-0005-0000-0000-0000920B0000}"/>
    <cellStyle name="20% - Accent3 2 2 3 4" xfId="8940" xr:uid="{00000000-0005-0000-0000-0000930B0000}"/>
    <cellStyle name="20% - Accent3 2 2 3 4 2" xfId="19503" xr:uid="{00000000-0005-0000-0000-0000940B0000}"/>
    <cellStyle name="20% - Accent3 2 2 3 5" xfId="11159" xr:uid="{00000000-0005-0000-0000-0000950B0000}"/>
    <cellStyle name="20% - Accent3 2 2 3 5 2" xfId="21722" xr:uid="{00000000-0005-0000-0000-0000960B0000}"/>
    <cellStyle name="20% - Accent3 2 2 3 6" xfId="13378" xr:uid="{00000000-0005-0000-0000-0000970B0000}"/>
    <cellStyle name="20% - Accent3 2 2 3 6 2" xfId="23941" xr:uid="{00000000-0005-0000-0000-0000980B0000}"/>
    <cellStyle name="20% - Accent3 2 2 3 7" xfId="17278" xr:uid="{00000000-0005-0000-0000-0000990B0000}"/>
    <cellStyle name="20% - Accent3 2 2 4" xfId="381" xr:uid="{00000000-0005-0000-0000-00009A0B0000}"/>
    <cellStyle name="20% - Accent3 2 2 4 2" xfId="8198" xr:uid="{00000000-0005-0000-0000-00009B0B0000}"/>
    <cellStyle name="20% - Accent3 2 2 4 2 2" xfId="10417" xr:uid="{00000000-0005-0000-0000-00009C0B0000}"/>
    <cellStyle name="20% - Accent3 2 2 4 2 2 2" xfId="20980" xr:uid="{00000000-0005-0000-0000-00009D0B0000}"/>
    <cellStyle name="20% - Accent3 2 2 4 2 3" xfId="12636" xr:uid="{00000000-0005-0000-0000-00009E0B0000}"/>
    <cellStyle name="20% - Accent3 2 2 4 2 3 2" xfId="23199" xr:uid="{00000000-0005-0000-0000-00009F0B0000}"/>
    <cellStyle name="20% - Accent3 2 2 4 2 4" xfId="14855" xr:uid="{00000000-0005-0000-0000-0000A00B0000}"/>
    <cellStyle name="20% - Accent3 2 2 4 2 4 2" xfId="25418" xr:uid="{00000000-0005-0000-0000-0000A10B0000}"/>
    <cellStyle name="20% - Accent3 2 2 4 2 5" xfId="18761" xr:uid="{00000000-0005-0000-0000-0000A20B0000}"/>
    <cellStyle name="20% - Accent3 2 2 4 3" xfId="7465" xr:uid="{00000000-0005-0000-0000-0000A30B0000}"/>
    <cellStyle name="20% - Accent3 2 2 4 3 2" xfId="9684" xr:uid="{00000000-0005-0000-0000-0000A40B0000}"/>
    <cellStyle name="20% - Accent3 2 2 4 3 2 2" xfId="20247" xr:uid="{00000000-0005-0000-0000-0000A50B0000}"/>
    <cellStyle name="20% - Accent3 2 2 4 3 3" xfId="11903" xr:uid="{00000000-0005-0000-0000-0000A60B0000}"/>
    <cellStyle name="20% - Accent3 2 2 4 3 3 2" xfId="22466" xr:uid="{00000000-0005-0000-0000-0000A70B0000}"/>
    <cellStyle name="20% - Accent3 2 2 4 3 4" xfId="14122" xr:uid="{00000000-0005-0000-0000-0000A80B0000}"/>
    <cellStyle name="20% - Accent3 2 2 4 3 4 2" xfId="24685" xr:uid="{00000000-0005-0000-0000-0000A90B0000}"/>
    <cellStyle name="20% - Accent3 2 2 4 3 5" xfId="18028" xr:uid="{00000000-0005-0000-0000-0000AA0B0000}"/>
    <cellStyle name="20% - Accent3 2 2 4 4" xfId="8941" xr:uid="{00000000-0005-0000-0000-0000AB0B0000}"/>
    <cellStyle name="20% - Accent3 2 2 4 4 2" xfId="19504" xr:uid="{00000000-0005-0000-0000-0000AC0B0000}"/>
    <cellStyle name="20% - Accent3 2 2 4 5" xfId="11160" xr:uid="{00000000-0005-0000-0000-0000AD0B0000}"/>
    <cellStyle name="20% - Accent3 2 2 4 5 2" xfId="21723" xr:uid="{00000000-0005-0000-0000-0000AE0B0000}"/>
    <cellStyle name="20% - Accent3 2 2 4 6" xfId="13379" xr:uid="{00000000-0005-0000-0000-0000AF0B0000}"/>
    <cellStyle name="20% - Accent3 2 2 4 6 2" xfId="23942" xr:uid="{00000000-0005-0000-0000-0000B00B0000}"/>
    <cellStyle name="20% - Accent3 2 2 4 7" xfId="17279" xr:uid="{00000000-0005-0000-0000-0000B10B0000}"/>
    <cellStyle name="20% - Accent3 2 2 5" xfId="382" xr:uid="{00000000-0005-0000-0000-0000B20B0000}"/>
    <cellStyle name="20% - Accent3 2 2 5 2" xfId="8199" xr:uid="{00000000-0005-0000-0000-0000B30B0000}"/>
    <cellStyle name="20% - Accent3 2 2 5 2 2" xfId="10418" xr:uid="{00000000-0005-0000-0000-0000B40B0000}"/>
    <cellStyle name="20% - Accent3 2 2 5 2 2 2" xfId="20981" xr:uid="{00000000-0005-0000-0000-0000B50B0000}"/>
    <cellStyle name="20% - Accent3 2 2 5 2 3" xfId="12637" xr:uid="{00000000-0005-0000-0000-0000B60B0000}"/>
    <cellStyle name="20% - Accent3 2 2 5 2 3 2" xfId="23200" xr:uid="{00000000-0005-0000-0000-0000B70B0000}"/>
    <cellStyle name="20% - Accent3 2 2 5 2 4" xfId="14856" xr:uid="{00000000-0005-0000-0000-0000B80B0000}"/>
    <cellStyle name="20% - Accent3 2 2 5 2 4 2" xfId="25419" xr:uid="{00000000-0005-0000-0000-0000B90B0000}"/>
    <cellStyle name="20% - Accent3 2 2 5 2 5" xfId="18762" xr:uid="{00000000-0005-0000-0000-0000BA0B0000}"/>
    <cellStyle name="20% - Accent3 2 2 5 3" xfId="7466" xr:uid="{00000000-0005-0000-0000-0000BB0B0000}"/>
    <cellStyle name="20% - Accent3 2 2 5 3 2" xfId="9685" xr:uid="{00000000-0005-0000-0000-0000BC0B0000}"/>
    <cellStyle name="20% - Accent3 2 2 5 3 2 2" xfId="20248" xr:uid="{00000000-0005-0000-0000-0000BD0B0000}"/>
    <cellStyle name="20% - Accent3 2 2 5 3 3" xfId="11904" xr:uid="{00000000-0005-0000-0000-0000BE0B0000}"/>
    <cellStyle name="20% - Accent3 2 2 5 3 3 2" xfId="22467" xr:uid="{00000000-0005-0000-0000-0000BF0B0000}"/>
    <cellStyle name="20% - Accent3 2 2 5 3 4" xfId="14123" xr:uid="{00000000-0005-0000-0000-0000C00B0000}"/>
    <cellStyle name="20% - Accent3 2 2 5 3 4 2" xfId="24686" xr:uid="{00000000-0005-0000-0000-0000C10B0000}"/>
    <cellStyle name="20% - Accent3 2 2 5 3 5" xfId="18029" xr:uid="{00000000-0005-0000-0000-0000C20B0000}"/>
    <cellStyle name="20% - Accent3 2 2 5 4" xfId="8942" xr:uid="{00000000-0005-0000-0000-0000C30B0000}"/>
    <cellStyle name="20% - Accent3 2 2 5 4 2" xfId="19505" xr:uid="{00000000-0005-0000-0000-0000C40B0000}"/>
    <cellStyle name="20% - Accent3 2 2 5 5" xfId="11161" xr:uid="{00000000-0005-0000-0000-0000C50B0000}"/>
    <cellStyle name="20% - Accent3 2 2 5 5 2" xfId="21724" xr:uid="{00000000-0005-0000-0000-0000C60B0000}"/>
    <cellStyle name="20% - Accent3 2 2 5 6" xfId="13380" xr:uid="{00000000-0005-0000-0000-0000C70B0000}"/>
    <cellStyle name="20% - Accent3 2 2 5 6 2" xfId="23943" xr:uid="{00000000-0005-0000-0000-0000C80B0000}"/>
    <cellStyle name="20% - Accent3 2 2 5 7" xfId="17280" xr:uid="{00000000-0005-0000-0000-0000C90B0000}"/>
    <cellStyle name="20% - Accent3 2 2 6" xfId="383" xr:uid="{00000000-0005-0000-0000-0000CA0B0000}"/>
    <cellStyle name="20% - Accent3 2 2 6 2" xfId="8200" xr:uid="{00000000-0005-0000-0000-0000CB0B0000}"/>
    <cellStyle name="20% - Accent3 2 2 6 2 2" xfId="10419" xr:uid="{00000000-0005-0000-0000-0000CC0B0000}"/>
    <cellStyle name="20% - Accent3 2 2 6 2 2 2" xfId="20982" xr:uid="{00000000-0005-0000-0000-0000CD0B0000}"/>
    <cellStyle name="20% - Accent3 2 2 6 2 3" xfId="12638" xr:uid="{00000000-0005-0000-0000-0000CE0B0000}"/>
    <cellStyle name="20% - Accent3 2 2 6 2 3 2" xfId="23201" xr:uid="{00000000-0005-0000-0000-0000CF0B0000}"/>
    <cellStyle name="20% - Accent3 2 2 6 2 4" xfId="14857" xr:uid="{00000000-0005-0000-0000-0000D00B0000}"/>
    <cellStyle name="20% - Accent3 2 2 6 2 4 2" xfId="25420" xr:uid="{00000000-0005-0000-0000-0000D10B0000}"/>
    <cellStyle name="20% - Accent3 2 2 6 2 5" xfId="18763" xr:uid="{00000000-0005-0000-0000-0000D20B0000}"/>
    <cellStyle name="20% - Accent3 2 2 6 3" xfId="7467" xr:uid="{00000000-0005-0000-0000-0000D30B0000}"/>
    <cellStyle name="20% - Accent3 2 2 6 3 2" xfId="9686" xr:uid="{00000000-0005-0000-0000-0000D40B0000}"/>
    <cellStyle name="20% - Accent3 2 2 6 3 2 2" xfId="20249" xr:uid="{00000000-0005-0000-0000-0000D50B0000}"/>
    <cellStyle name="20% - Accent3 2 2 6 3 3" xfId="11905" xr:uid="{00000000-0005-0000-0000-0000D60B0000}"/>
    <cellStyle name="20% - Accent3 2 2 6 3 3 2" xfId="22468" xr:uid="{00000000-0005-0000-0000-0000D70B0000}"/>
    <cellStyle name="20% - Accent3 2 2 6 3 4" xfId="14124" xr:uid="{00000000-0005-0000-0000-0000D80B0000}"/>
    <cellStyle name="20% - Accent3 2 2 6 3 4 2" xfId="24687" xr:uid="{00000000-0005-0000-0000-0000D90B0000}"/>
    <cellStyle name="20% - Accent3 2 2 6 3 5" xfId="18030" xr:uid="{00000000-0005-0000-0000-0000DA0B0000}"/>
    <cellStyle name="20% - Accent3 2 2 6 4" xfId="8943" xr:uid="{00000000-0005-0000-0000-0000DB0B0000}"/>
    <cellStyle name="20% - Accent3 2 2 6 4 2" xfId="19506" xr:uid="{00000000-0005-0000-0000-0000DC0B0000}"/>
    <cellStyle name="20% - Accent3 2 2 6 5" xfId="11162" xr:uid="{00000000-0005-0000-0000-0000DD0B0000}"/>
    <cellStyle name="20% - Accent3 2 2 6 5 2" xfId="21725" xr:uid="{00000000-0005-0000-0000-0000DE0B0000}"/>
    <cellStyle name="20% - Accent3 2 2 6 6" xfId="13381" xr:uid="{00000000-0005-0000-0000-0000DF0B0000}"/>
    <cellStyle name="20% - Accent3 2 2 6 6 2" xfId="23944" xr:uid="{00000000-0005-0000-0000-0000E00B0000}"/>
    <cellStyle name="20% - Accent3 2 2 6 7" xfId="17281" xr:uid="{00000000-0005-0000-0000-0000E10B0000}"/>
    <cellStyle name="20% - Accent3 2 2 7" xfId="384" xr:uid="{00000000-0005-0000-0000-0000E20B0000}"/>
    <cellStyle name="20% - Accent3 2 2 7 2" xfId="8201" xr:uid="{00000000-0005-0000-0000-0000E30B0000}"/>
    <cellStyle name="20% - Accent3 2 2 7 2 2" xfId="10420" xr:uid="{00000000-0005-0000-0000-0000E40B0000}"/>
    <cellStyle name="20% - Accent3 2 2 7 2 2 2" xfId="20983" xr:uid="{00000000-0005-0000-0000-0000E50B0000}"/>
    <cellStyle name="20% - Accent3 2 2 7 2 3" xfId="12639" xr:uid="{00000000-0005-0000-0000-0000E60B0000}"/>
    <cellStyle name="20% - Accent3 2 2 7 2 3 2" xfId="23202" xr:uid="{00000000-0005-0000-0000-0000E70B0000}"/>
    <cellStyle name="20% - Accent3 2 2 7 2 4" xfId="14858" xr:uid="{00000000-0005-0000-0000-0000E80B0000}"/>
    <cellStyle name="20% - Accent3 2 2 7 2 4 2" xfId="25421" xr:uid="{00000000-0005-0000-0000-0000E90B0000}"/>
    <cellStyle name="20% - Accent3 2 2 7 2 5" xfId="18764" xr:uid="{00000000-0005-0000-0000-0000EA0B0000}"/>
    <cellStyle name="20% - Accent3 2 2 7 3" xfId="7468" xr:uid="{00000000-0005-0000-0000-0000EB0B0000}"/>
    <cellStyle name="20% - Accent3 2 2 7 3 2" xfId="9687" xr:uid="{00000000-0005-0000-0000-0000EC0B0000}"/>
    <cellStyle name="20% - Accent3 2 2 7 3 2 2" xfId="20250" xr:uid="{00000000-0005-0000-0000-0000ED0B0000}"/>
    <cellStyle name="20% - Accent3 2 2 7 3 3" xfId="11906" xr:uid="{00000000-0005-0000-0000-0000EE0B0000}"/>
    <cellStyle name="20% - Accent3 2 2 7 3 3 2" xfId="22469" xr:uid="{00000000-0005-0000-0000-0000EF0B0000}"/>
    <cellStyle name="20% - Accent3 2 2 7 3 4" xfId="14125" xr:uid="{00000000-0005-0000-0000-0000F00B0000}"/>
    <cellStyle name="20% - Accent3 2 2 7 3 4 2" xfId="24688" xr:uid="{00000000-0005-0000-0000-0000F10B0000}"/>
    <cellStyle name="20% - Accent3 2 2 7 3 5" xfId="18031" xr:uid="{00000000-0005-0000-0000-0000F20B0000}"/>
    <cellStyle name="20% - Accent3 2 2 7 4" xfId="8944" xr:uid="{00000000-0005-0000-0000-0000F30B0000}"/>
    <cellStyle name="20% - Accent3 2 2 7 4 2" xfId="19507" xr:uid="{00000000-0005-0000-0000-0000F40B0000}"/>
    <cellStyle name="20% - Accent3 2 2 7 5" xfId="11163" xr:uid="{00000000-0005-0000-0000-0000F50B0000}"/>
    <cellStyle name="20% - Accent3 2 2 7 5 2" xfId="21726" xr:uid="{00000000-0005-0000-0000-0000F60B0000}"/>
    <cellStyle name="20% - Accent3 2 2 7 6" xfId="13382" xr:uid="{00000000-0005-0000-0000-0000F70B0000}"/>
    <cellStyle name="20% - Accent3 2 2 7 6 2" xfId="23945" xr:uid="{00000000-0005-0000-0000-0000F80B0000}"/>
    <cellStyle name="20% - Accent3 2 2 7 7" xfId="17282" xr:uid="{00000000-0005-0000-0000-0000F90B0000}"/>
    <cellStyle name="20% - Accent3 2 2 8" xfId="385" xr:uid="{00000000-0005-0000-0000-0000FA0B0000}"/>
    <cellStyle name="20% - Accent3 2 2 8 2" xfId="8202" xr:uid="{00000000-0005-0000-0000-0000FB0B0000}"/>
    <cellStyle name="20% - Accent3 2 2 8 2 2" xfId="10421" xr:uid="{00000000-0005-0000-0000-0000FC0B0000}"/>
    <cellStyle name="20% - Accent3 2 2 8 2 2 2" xfId="20984" xr:uid="{00000000-0005-0000-0000-0000FD0B0000}"/>
    <cellStyle name="20% - Accent3 2 2 8 2 3" xfId="12640" xr:uid="{00000000-0005-0000-0000-0000FE0B0000}"/>
    <cellStyle name="20% - Accent3 2 2 8 2 3 2" xfId="23203" xr:uid="{00000000-0005-0000-0000-0000FF0B0000}"/>
    <cellStyle name="20% - Accent3 2 2 8 2 4" xfId="14859" xr:uid="{00000000-0005-0000-0000-0000000C0000}"/>
    <cellStyle name="20% - Accent3 2 2 8 2 4 2" xfId="25422" xr:uid="{00000000-0005-0000-0000-0000010C0000}"/>
    <cellStyle name="20% - Accent3 2 2 8 2 5" xfId="18765" xr:uid="{00000000-0005-0000-0000-0000020C0000}"/>
    <cellStyle name="20% - Accent3 2 2 8 3" xfId="7469" xr:uid="{00000000-0005-0000-0000-0000030C0000}"/>
    <cellStyle name="20% - Accent3 2 2 8 3 2" xfId="9688" xr:uid="{00000000-0005-0000-0000-0000040C0000}"/>
    <cellStyle name="20% - Accent3 2 2 8 3 2 2" xfId="20251" xr:uid="{00000000-0005-0000-0000-0000050C0000}"/>
    <cellStyle name="20% - Accent3 2 2 8 3 3" xfId="11907" xr:uid="{00000000-0005-0000-0000-0000060C0000}"/>
    <cellStyle name="20% - Accent3 2 2 8 3 3 2" xfId="22470" xr:uid="{00000000-0005-0000-0000-0000070C0000}"/>
    <cellStyle name="20% - Accent3 2 2 8 3 4" xfId="14126" xr:uid="{00000000-0005-0000-0000-0000080C0000}"/>
    <cellStyle name="20% - Accent3 2 2 8 3 4 2" xfId="24689" xr:uid="{00000000-0005-0000-0000-0000090C0000}"/>
    <cellStyle name="20% - Accent3 2 2 8 3 5" xfId="18032" xr:uid="{00000000-0005-0000-0000-00000A0C0000}"/>
    <cellStyle name="20% - Accent3 2 2 8 4" xfId="8945" xr:uid="{00000000-0005-0000-0000-00000B0C0000}"/>
    <cellStyle name="20% - Accent3 2 2 8 4 2" xfId="19508" xr:uid="{00000000-0005-0000-0000-00000C0C0000}"/>
    <cellStyle name="20% - Accent3 2 2 8 5" xfId="11164" xr:uid="{00000000-0005-0000-0000-00000D0C0000}"/>
    <cellStyle name="20% - Accent3 2 2 8 5 2" xfId="21727" xr:uid="{00000000-0005-0000-0000-00000E0C0000}"/>
    <cellStyle name="20% - Accent3 2 2 8 6" xfId="13383" xr:uid="{00000000-0005-0000-0000-00000F0C0000}"/>
    <cellStyle name="20% - Accent3 2 2 8 6 2" xfId="23946" xr:uid="{00000000-0005-0000-0000-0000100C0000}"/>
    <cellStyle name="20% - Accent3 2 2 8 7" xfId="17283" xr:uid="{00000000-0005-0000-0000-0000110C0000}"/>
    <cellStyle name="20% - Accent3 2 2 9" xfId="386" xr:uid="{00000000-0005-0000-0000-0000120C0000}"/>
    <cellStyle name="20% - Accent3 2 2 9 2" xfId="8203" xr:uid="{00000000-0005-0000-0000-0000130C0000}"/>
    <cellStyle name="20% - Accent3 2 2 9 2 2" xfId="10422" xr:uid="{00000000-0005-0000-0000-0000140C0000}"/>
    <cellStyle name="20% - Accent3 2 2 9 2 2 2" xfId="20985" xr:uid="{00000000-0005-0000-0000-0000150C0000}"/>
    <cellStyle name="20% - Accent3 2 2 9 2 3" xfId="12641" xr:uid="{00000000-0005-0000-0000-0000160C0000}"/>
    <cellStyle name="20% - Accent3 2 2 9 2 3 2" xfId="23204" xr:uid="{00000000-0005-0000-0000-0000170C0000}"/>
    <cellStyle name="20% - Accent3 2 2 9 2 4" xfId="14860" xr:uid="{00000000-0005-0000-0000-0000180C0000}"/>
    <cellStyle name="20% - Accent3 2 2 9 2 4 2" xfId="25423" xr:uid="{00000000-0005-0000-0000-0000190C0000}"/>
    <cellStyle name="20% - Accent3 2 2 9 2 5" xfId="18766" xr:uid="{00000000-0005-0000-0000-00001A0C0000}"/>
    <cellStyle name="20% - Accent3 2 2 9 3" xfId="7470" xr:uid="{00000000-0005-0000-0000-00001B0C0000}"/>
    <cellStyle name="20% - Accent3 2 2 9 3 2" xfId="9689" xr:uid="{00000000-0005-0000-0000-00001C0C0000}"/>
    <cellStyle name="20% - Accent3 2 2 9 3 2 2" xfId="20252" xr:uid="{00000000-0005-0000-0000-00001D0C0000}"/>
    <cellStyle name="20% - Accent3 2 2 9 3 3" xfId="11908" xr:uid="{00000000-0005-0000-0000-00001E0C0000}"/>
    <cellStyle name="20% - Accent3 2 2 9 3 3 2" xfId="22471" xr:uid="{00000000-0005-0000-0000-00001F0C0000}"/>
    <cellStyle name="20% - Accent3 2 2 9 3 4" xfId="14127" xr:uid="{00000000-0005-0000-0000-0000200C0000}"/>
    <cellStyle name="20% - Accent3 2 2 9 3 4 2" xfId="24690" xr:uid="{00000000-0005-0000-0000-0000210C0000}"/>
    <cellStyle name="20% - Accent3 2 2 9 3 5" xfId="18033" xr:uid="{00000000-0005-0000-0000-0000220C0000}"/>
    <cellStyle name="20% - Accent3 2 2 9 4" xfId="8946" xr:uid="{00000000-0005-0000-0000-0000230C0000}"/>
    <cellStyle name="20% - Accent3 2 2 9 4 2" xfId="19509" xr:uid="{00000000-0005-0000-0000-0000240C0000}"/>
    <cellStyle name="20% - Accent3 2 2 9 5" xfId="11165" xr:uid="{00000000-0005-0000-0000-0000250C0000}"/>
    <cellStyle name="20% - Accent3 2 2 9 5 2" xfId="21728" xr:uid="{00000000-0005-0000-0000-0000260C0000}"/>
    <cellStyle name="20% - Accent3 2 2 9 6" xfId="13384" xr:uid="{00000000-0005-0000-0000-0000270C0000}"/>
    <cellStyle name="20% - Accent3 2 2 9 6 2" xfId="23947" xr:uid="{00000000-0005-0000-0000-0000280C0000}"/>
    <cellStyle name="20% - Accent3 2 2 9 7" xfId="17284" xr:uid="{00000000-0005-0000-0000-0000290C0000}"/>
    <cellStyle name="20% - Accent3 2 3" xfId="387" xr:uid="{00000000-0005-0000-0000-00002A0C0000}"/>
    <cellStyle name="20% - Accent3 2 3 10" xfId="8204" xr:uid="{00000000-0005-0000-0000-00002B0C0000}"/>
    <cellStyle name="20% - Accent3 2 3 10 2" xfId="10423" xr:uid="{00000000-0005-0000-0000-00002C0C0000}"/>
    <cellStyle name="20% - Accent3 2 3 10 2 2" xfId="20986" xr:uid="{00000000-0005-0000-0000-00002D0C0000}"/>
    <cellStyle name="20% - Accent3 2 3 10 3" xfId="12642" xr:uid="{00000000-0005-0000-0000-00002E0C0000}"/>
    <cellStyle name="20% - Accent3 2 3 10 3 2" xfId="23205" xr:uid="{00000000-0005-0000-0000-00002F0C0000}"/>
    <cellStyle name="20% - Accent3 2 3 10 4" xfId="14861" xr:uid="{00000000-0005-0000-0000-0000300C0000}"/>
    <cellStyle name="20% - Accent3 2 3 10 4 2" xfId="25424" xr:uid="{00000000-0005-0000-0000-0000310C0000}"/>
    <cellStyle name="20% - Accent3 2 3 10 5" xfId="18767" xr:uid="{00000000-0005-0000-0000-0000320C0000}"/>
    <cellStyle name="20% - Accent3 2 3 11" xfId="7471" xr:uid="{00000000-0005-0000-0000-0000330C0000}"/>
    <cellStyle name="20% - Accent3 2 3 11 2" xfId="9690" xr:uid="{00000000-0005-0000-0000-0000340C0000}"/>
    <cellStyle name="20% - Accent3 2 3 11 2 2" xfId="20253" xr:uid="{00000000-0005-0000-0000-0000350C0000}"/>
    <cellStyle name="20% - Accent3 2 3 11 3" xfId="11909" xr:uid="{00000000-0005-0000-0000-0000360C0000}"/>
    <cellStyle name="20% - Accent3 2 3 11 3 2" xfId="22472" xr:uid="{00000000-0005-0000-0000-0000370C0000}"/>
    <cellStyle name="20% - Accent3 2 3 11 4" xfId="14128" xr:uid="{00000000-0005-0000-0000-0000380C0000}"/>
    <cellStyle name="20% - Accent3 2 3 11 4 2" xfId="24691" xr:uid="{00000000-0005-0000-0000-0000390C0000}"/>
    <cellStyle name="20% - Accent3 2 3 11 5" xfId="18034" xr:uid="{00000000-0005-0000-0000-00003A0C0000}"/>
    <cellStyle name="20% - Accent3 2 3 12" xfId="8947" xr:uid="{00000000-0005-0000-0000-00003B0C0000}"/>
    <cellStyle name="20% - Accent3 2 3 12 2" xfId="19510" xr:uid="{00000000-0005-0000-0000-00003C0C0000}"/>
    <cellStyle name="20% - Accent3 2 3 13" xfId="11166" xr:uid="{00000000-0005-0000-0000-00003D0C0000}"/>
    <cellStyle name="20% - Accent3 2 3 13 2" xfId="21729" xr:uid="{00000000-0005-0000-0000-00003E0C0000}"/>
    <cellStyle name="20% - Accent3 2 3 14" xfId="13385" xr:uid="{00000000-0005-0000-0000-00003F0C0000}"/>
    <cellStyle name="20% - Accent3 2 3 14 2" xfId="23948" xr:uid="{00000000-0005-0000-0000-0000400C0000}"/>
    <cellStyle name="20% - Accent3 2 3 15" xfId="17285" xr:uid="{00000000-0005-0000-0000-0000410C0000}"/>
    <cellStyle name="20% - Accent3 2 3 2" xfId="388" xr:uid="{00000000-0005-0000-0000-0000420C0000}"/>
    <cellStyle name="20% - Accent3 2 3 2 2" xfId="8205" xr:uid="{00000000-0005-0000-0000-0000430C0000}"/>
    <cellStyle name="20% - Accent3 2 3 2 2 2" xfId="10424" xr:uid="{00000000-0005-0000-0000-0000440C0000}"/>
    <cellStyle name="20% - Accent3 2 3 2 2 2 2" xfId="20987" xr:uid="{00000000-0005-0000-0000-0000450C0000}"/>
    <cellStyle name="20% - Accent3 2 3 2 2 3" xfId="12643" xr:uid="{00000000-0005-0000-0000-0000460C0000}"/>
    <cellStyle name="20% - Accent3 2 3 2 2 3 2" xfId="23206" xr:uid="{00000000-0005-0000-0000-0000470C0000}"/>
    <cellStyle name="20% - Accent3 2 3 2 2 4" xfId="14862" xr:uid="{00000000-0005-0000-0000-0000480C0000}"/>
    <cellStyle name="20% - Accent3 2 3 2 2 4 2" xfId="25425" xr:uid="{00000000-0005-0000-0000-0000490C0000}"/>
    <cellStyle name="20% - Accent3 2 3 2 2 5" xfId="18768" xr:uid="{00000000-0005-0000-0000-00004A0C0000}"/>
    <cellStyle name="20% - Accent3 2 3 2 3" xfId="7472" xr:uid="{00000000-0005-0000-0000-00004B0C0000}"/>
    <cellStyle name="20% - Accent3 2 3 2 3 2" xfId="9691" xr:uid="{00000000-0005-0000-0000-00004C0C0000}"/>
    <cellStyle name="20% - Accent3 2 3 2 3 2 2" xfId="20254" xr:uid="{00000000-0005-0000-0000-00004D0C0000}"/>
    <cellStyle name="20% - Accent3 2 3 2 3 3" xfId="11910" xr:uid="{00000000-0005-0000-0000-00004E0C0000}"/>
    <cellStyle name="20% - Accent3 2 3 2 3 3 2" xfId="22473" xr:uid="{00000000-0005-0000-0000-00004F0C0000}"/>
    <cellStyle name="20% - Accent3 2 3 2 3 4" xfId="14129" xr:uid="{00000000-0005-0000-0000-0000500C0000}"/>
    <cellStyle name="20% - Accent3 2 3 2 3 4 2" xfId="24692" xr:uid="{00000000-0005-0000-0000-0000510C0000}"/>
    <cellStyle name="20% - Accent3 2 3 2 3 5" xfId="18035" xr:uid="{00000000-0005-0000-0000-0000520C0000}"/>
    <cellStyle name="20% - Accent3 2 3 2 4" xfId="8948" xr:uid="{00000000-0005-0000-0000-0000530C0000}"/>
    <cellStyle name="20% - Accent3 2 3 2 4 2" xfId="19511" xr:uid="{00000000-0005-0000-0000-0000540C0000}"/>
    <cellStyle name="20% - Accent3 2 3 2 5" xfId="11167" xr:uid="{00000000-0005-0000-0000-0000550C0000}"/>
    <cellStyle name="20% - Accent3 2 3 2 5 2" xfId="21730" xr:uid="{00000000-0005-0000-0000-0000560C0000}"/>
    <cellStyle name="20% - Accent3 2 3 2 6" xfId="13386" xr:uid="{00000000-0005-0000-0000-0000570C0000}"/>
    <cellStyle name="20% - Accent3 2 3 2 6 2" xfId="23949" xr:uid="{00000000-0005-0000-0000-0000580C0000}"/>
    <cellStyle name="20% - Accent3 2 3 2 7" xfId="17286" xr:uid="{00000000-0005-0000-0000-0000590C0000}"/>
    <cellStyle name="20% - Accent3 2 3 3" xfId="389" xr:uid="{00000000-0005-0000-0000-00005A0C0000}"/>
    <cellStyle name="20% - Accent3 2 3 3 2" xfId="8206" xr:uid="{00000000-0005-0000-0000-00005B0C0000}"/>
    <cellStyle name="20% - Accent3 2 3 3 2 2" xfId="10425" xr:uid="{00000000-0005-0000-0000-00005C0C0000}"/>
    <cellStyle name="20% - Accent3 2 3 3 2 2 2" xfId="20988" xr:uid="{00000000-0005-0000-0000-00005D0C0000}"/>
    <cellStyle name="20% - Accent3 2 3 3 2 3" xfId="12644" xr:uid="{00000000-0005-0000-0000-00005E0C0000}"/>
    <cellStyle name="20% - Accent3 2 3 3 2 3 2" xfId="23207" xr:uid="{00000000-0005-0000-0000-00005F0C0000}"/>
    <cellStyle name="20% - Accent3 2 3 3 2 4" xfId="14863" xr:uid="{00000000-0005-0000-0000-0000600C0000}"/>
    <cellStyle name="20% - Accent3 2 3 3 2 4 2" xfId="25426" xr:uid="{00000000-0005-0000-0000-0000610C0000}"/>
    <cellStyle name="20% - Accent3 2 3 3 2 5" xfId="18769" xr:uid="{00000000-0005-0000-0000-0000620C0000}"/>
    <cellStyle name="20% - Accent3 2 3 3 3" xfId="7473" xr:uid="{00000000-0005-0000-0000-0000630C0000}"/>
    <cellStyle name="20% - Accent3 2 3 3 3 2" xfId="9692" xr:uid="{00000000-0005-0000-0000-0000640C0000}"/>
    <cellStyle name="20% - Accent3 2 3 3 3 2 2" xfId="20255" xr:uid="{00000000-0005-0000-0000-0000650C0000}"/>
    <cellStyle name="20% - Accent3 2 3 3 3 3" xfId="11911" xr:uid="{00000000-0005-0000-0000-0000660C0000}"/>
    <cellStyle name="20% - Accent3 2 3 3 3 3 2" xfId="22474" xr:uid="{00000000-0005-0000-0000-0000670C0000}"/>
    <cellStyle name="20% - Accent3 2 3 3 3 4" xfId="14130" xr:uid="{00000000-0005-0000-0000-0000680C0000}"/>
    <cellStyle name="20% - Accent3 2 3 3 3 4 2" xfId="24693" xr:uid="{00000000-0005-0000-0000-0000690C0000}"/>
    <cellStyle name="20% - Accent3 2 3 3 3 5" xfId="18036" xr:uid="{00000000-0005-0000-0000-00006A0C0000}"/>
    <cellStyle name="20% - Accent3 2 3 3 4" xfId="8949" xr:uid="{00000000-0005-0000-0000-00006B0C0000}"/>
    <cellStyle name="20% - Accent3 2 3 3 4 2" xfId="19512" xr:uid="{00000000-0005-0000-0000-00006C0C0000}"/>
    <cellStyle name="20% - Accent3 2 3 3 5" xfId="11168" xr:uid="{00000000-0005-0000-0000-00006D0C0000}"/>
    <cellStyle name="20% - Accent3 2 3 3 5 2" xfId="21731" xr:uid="{00000000-0005-0000-0000-00006E0C0000}"/>
    <cellStyle name="20% - Accent3 2 3 3 6" xfId="13387" xr:uid="{00000000-0005-0000-0000-00006F0C0000}"/>
    <cellStyle name="20% - Accent3 2 3 3 6 2" xfId="23950" xr:uid="{00000000-0005-0000-0000-0000700C0000}"/>
    <cellStyle name="20% - Accent3 2 3 3 7" xfId="17287" xr:uid="{00000000-0005-0000-0000-0000710C0000}"/>
    <cellStyle name="20% - Accent3 2 3 4" xfId="390" xr:uid="{00000000-0005-0000-0000-0000720C0000}"/>
    <cellStyle name="20% - Accent3 2 3 4 2" xfId="8207" xr:uid="{00000000-0005-0000-0000-0000730C0000}"/>
    <cellStyle name="20% - Accent3 2 3 4 2 2" xfId="10426" xr:uid="{00000000-0005-0000-0000-0000740C0000}"/>
    <cellStyle name="20% - Accent3 2 3 4 2 2 2" xfId="20989" xr:uid="{00000000-0005-0000-0000-0000750C0000}"/>
    <cellStyle name="20% - Accent3 2 3 4 2 3" xfId="12645" xr:uid="{00000000-0005-0000-0000-0000760C0000}"/>
    <cellStyle name="20% - Accent3 2 3 4 2 3 2" xfId="23208" xr:uid="{00000000-0005-0000-0000-0000770C0000}"/>
    <cellStyle name="20% - Accent3 2 3 4 2 4" xfId="14864" xr:uid="{00000000-0005-0000-0000-0000780C0000}"/>
    <cellStyle name="20% - Accent3 2 3 4 2 4 2" xfId="25427" xr:uid="{00000000-0005-0000-0000-0000790C0000}"/>
    <cellStyle name="20% - Accent3 2 3 4 2 5" xfId="18770" xr:uid="{00000000-0005-0000-0000-00007A0C0000}"/>
    <cellStyle name="20% - Accent3 2 3 4 3" xfId="7474" xr:uid="{00000000-0005-0000-0000-00007B0C0000}"/>
    <cellStyle name="20% - Accent3 2 3 4 3 2" xfId="9693" xr:uid="{00000000-0005-0000-0000-00007C0C0000}"/>
    <cellStyle name="20% - Accent3 2 3 4 3 2 2" xfId="20256" xr:uid="{00000000-0005-0000-0000-00007D0C0000}"/>
    <cellStyle name="20% - Accent3 2 3 4 3 3" xfId="11912" xr:uid="{00000000-0005-0000-0000-00007E0C0000}"/>
    <cellStyle name="20% - Accent3 2 3 4 3 3 2" xfId="22475" xr:uid="{00000000-0005-0000-0000-00007F0C0000}"/>
    <cellStyle name="20% - Accent3 2 3 4 3 4" xfId="14131" xr:uid="{00000000-0005-0000-0000-0000800C0000}"/>
    <cellStyle name="20% - Accent3 2 3 4 3 4 2" xfId="24694" xr:uid="{00000000-0005-0000-0000-0000810C0000}"/>
    <cellStyle name="20% - Accent3 2 3 4 3 5" xfId="18037" xr:uid="{00000000-0005-0000-0000-0000820C0000}"/>
    <cellStyle name="20% - Accent3 2 3 4 4" xfId="8950" xr:uid="{00000000-0005-0000-0000-0000830C0000}"/>
    <cellStyle name="20% - Accent3 2 3 4 4 2" xfId="19513" xr:uid="{00000000-0005-0000-0000-0000840C0000}"/>
    <cellStyle name="20% - Accent3 2 3 4 5" xfId="11169" xr:uid="{00000000-0005-0000-0000-0000850C0000}"/>
    <cellStyle name="20% - Accent3 2 3 4 5 2" xfId="21732" xr:uid="{00000000-0005-0000-0000-0000860C0000}"/>
    <cellStyle name="20% - Accent3 2 3 4 6" xfId="13388" xr:uid="{00000000-0005-0000-0000-0000870C0000}"/>
    <cellStyle name="20% - Accent3 2 3 4 6 2" xfId="23951" xr:uid="{00000000-0005-0000-0000-0000880C0000}"/>
    <cellStyle name="20% - Accent3 2 3 4 7" xfId="17288" xr:uid="{00000000-0005-0000-0000-0000890C0000}"/>
    <cellStyle name="20% - Accent3 2 3 5" xfId="391" xr:uid="{00000000-0005-0000-0000-00008A0C0000}"/>
    <cellStyle name="20% - Accent3 2 3 5 2" xfId="8208" xr:uid="{00000000-0005-0000-0000-00008B0C0000}"/>
    <cellStyle name="20% - Accent3 2 3 5 2 2" xfId="10427" xr:uid="{00000000-0005-0000-0000-00008C0C0000}"/>
    <cellStyle name="20% - Accent3 2 3 5 2 2 2" xfId="20990" xr:uid="{00000000-0005-0000-0000-00008D0C0000}"/>
    <cellStyle name="20% - Accent3 2 3 5 2 3" xfId="12646" xr:uid="{00000000-0005-0000-0000-00008E0C0000}"/>
    <cellStyle name="20% - Accent3 2 3 5 2 3 2" xfId="23209" xr:uid="{00000000-0005-0000-0000-00008F0C0000}"/>
    <cellStyle name="20% - Accent3 2 3 5 2 4" xfId="14865" xr:uid="{00000000-0005-0000-0000-0000900C0000}"/>
    <cellStyle name="20% - Accent3 2 3 5 2 4 2" xfId="25428" xr:uid="{00000000-0005-0000-0000-0000910C0000}"/>
    <cellStyle name="20% - Accent3 2 3 5 2 5" xfId="18771" xr:uid="{00000000-0005-0000-0000-0000920C0000}"/>
    <cellStyle name="20% - Accent3 2 3 5 3" xfId="7475" xr:uid="{00000000-0005-0000-0000-0000930C0000}"/>
    <cellStyle name="20% - Accent3 2 3 5 3 2" xfId="9694" xr:uid="{00000000-0005-0000-0000-0000940C0000}"/>
    <cellStyle name="20% - Accent3 2 3 5 3 2 2" xfId="20257" xr:uid="{00000000-0005-0000-0000-0000950C0000}"/>
    <cellStyle name="20% - Accent3 2 3 5 3 3" xfId="11913" xr:uid="{00000000-0005-0000-0000-0000960C0000}"/>
    <cellStyle name="20% - Accent3 2 3 5 3 3 2" xfId="22476" xr:uid="{00000000-0005-0000-0000-0000970C0000}"/>
    <cellStyle name="20% - Accent3 2 3 5 3 4" xfId="14132" xr:uid="{00000000-0005-0000-0000-0000980C0000}"/>
    <cellStyle name="20% - Accent3 2 3 5 3 4 2" xfId="24695" xr:uid="{00000000-0005-0000-0000-0000990C0000}"/>
    <cellStyle name="20% - Accent3 2 3 5 3 5" xfId="18038" xr:uid="{00000000-0005-0000-0000-00009A0C0000}"/>
    <cellStyle name="20% - Accent3 2 3 5 4" xfId="8951" xr:uid="{00000000-0005-0000-0000-00009B0C0000}"/>
    <cellStyle name="20% - Accent3 2 3 5 4 2" xfId="19514" xr:uid="{00000000-0005-0000-0000-00009C0C0000}"/>
    <cellStyle name="20% - Accent3 2 3 5 5" xfId="11170" xr:uid="{00000000-0005-0000-0000-00009D0C0000}"/>
    <cellStyle name="20% - Accent3 2 3 5 5 2" xfId="21733" xr:uid="{00000000-0005-0000-0000-00009E0C0000}"/>
    <cellStyle name="20% - Accent3 2 3 5 6" xfId="13389" xr:uid="{00000000-0005-0000-0000-00009F0C0000}"/>
    <cellStyle name="20% - Accent3 2 3 5 6 2" xfId="23952" xr:uid="{00000000-0005-0000-0000-0000A00C0000}"/>
    <cellStyle name="20% - Accent3 2 3 5 7" xfId="17289" xr:uid="{00000000-0005-0000-0000-0000A10C0000}"/>
    <cellStyle name="20% - Accent3 2 3 6" xfId="392" xr:uid="{00000000-0005-0000-0000-0000A20C0000}"/>
    <cellStyle name="20% - Accent3 2 3 6 2" xfId="8209" xr:uid="{00000000-0005-0000-0000-0000A30C0000}"/>
    <cellStyle name="20% - Accent3 2 3 6 2 2" xfId="10428" xr:uid="{00000000-0005-0000-0000-0000A40C0000}"/>
    <cellStyle name="20% - Accent3 2 3 6 2 2 2" xfId="20991" xr:uid="{00000000-0005-0000-0000-0000A50C0000}"/>
    <cellStyle name="20% - Accent3 2 3 6 2 3" xfId="12647" xr:uid="{00000000-0005-0000-0000-0000A60C0000}"/>
    <cellStyle name="20% - Accent3 2 3 6 2 3 2" xfId="23210" xr:uid="{00000000-0005-0000-0000-0000A70C0000}"/>
    <cellStyle name="20% - Accent3 2 3 6 2 4" xfId="14866" xr:uid="{00000000-0005-0000-0000-0000A80C0000}"/>
    <cellStyle name="20% - Accent3 2 3 6 2 4 2" xfId="25429" xr:uid="{00000000-0005-0000-0000-0000A90C0000}"/>
    <cellStyle name="20% - Accent3 2 3 6 2 5" xfId="18772" xr:uid="{00000000-0005-0000-0000-0000AA0C0000}"/>
    <cellStyle name="20% - Accent3 2 3 6 3" xfId="7476" xr:uid="{00000000-0005-0000-0000-0000AB0C0000}"/>
    <cellStyle name="20% - Accent3 2 3 6 3 2" xfId="9695" xr:uid="{00000000-0005-0000-0000-0000AC0C0000}"/>
    <cellStyle name="20% - Accent3 2 3 6 3 2 2" xfId="20258" xr:uid="{00000000-0005-0000-0000-0000AD0C0000}"/>
    <cellStyle name="20% - Accent3 2 3 6 3 3" xfId="11914" xr:uid="{00000000-0005-0000-0000-0000AE0C0000}"/>
    <cellStyle name="20% - Accent3 2 3 6 3 3 2" xfId="22477" xr:uid="{00000000-0005-0000-0000-0000AF0C0000}"/>
    <cellStyle name="20% - Accent3 2 3 6 3 4" xfId="14133" xr:uid="{00000000-0005-0000-0000-0000B00C0000}"/>
    <cellStyle name="20% - Accent3 2 3 6 3 4 2" xfId="24696" xr:uid="{00000000-0005-0000-0000-0000B10C0000}"/>
    <cellStyle name="20% - Accent3 2 3 6 3 5" xfId="18039" xr:uid="{00000000-0005-0000-0000-0000B20C0000}"/>
    <cellStyle name="20% - Accent3 2 3 6 4" xfId="8952" xr:uid="{00000000-0005-0000-0000-0000B30C0000}"/>
    <cellStyle name="20% - Accent3 2 3 6 4 2" xfId="19515" xr:uid="{00000000-0005-0000-0000-0000B40C0000}"/>
    <cellStyle name="20% - Accent3 2 3 6 5" xfId="11171" xr:uid="{00000000-0005-0000-0000-0000B50C0000}"/>
    <cellStyle name="20% - Accent3 2 3 6 5 2" xfId="21734" xr:uid="{00000000-0005-0000-0000-0000B60C0000}"/>
    <cellStyle name="20% - Accent3 2 3 6 6" xfId="13390" xr:uid="{00000000-0005-0000-0000-0000B70C0000}"/>
    <cellStyle name="20% - Accent3 2 3 6 6 2" xfId="23953" xr:uid="{00000000-0005-0000-0000-0000B80C0000}"/>
    <cellStyle name="20% - Accent3 2 3 6 7" xfId="17290" xr:uid="{00000000-0005-0000-0000-0000B90C0000}"/>
    <cellStyle name="20% - Accent3 2 3 7" xfId="393" xr:uid="{00000000-0005-0000-0000-0000BA0C0000}"/>
    <cellStyle name="20% - Accent3 2 3 7 2" xfId="8210" xr:uid="{00000000-0005-0000-0000-0000BB0C0000}"/>
    <cellStyle name="20% - Accent3 2 3 7 2 2" xfId="10429" xr:uid="{00000000-0005-0000-0000-0000BC0C0000}"/>
    <cellStyle name="20% - Accent3 2 3 7 2 2 2" xfId="20992" xr:uid="{00000000-0005-0000-0000-0000BD0C0000}"/>
    <cellStyle name="20% - Accent3 2 3 7 2 3" xfId="12648" xr:uid="{00000000-0005-0000-0000-0000BE0C0000}"/>
    <cellStyle name="20% - Accent3 2 3 7 2 3 2" xfId="23211" xr:uid="{00000000-0005-0000-0000-0000BF0C0000}"/>
    <cellStyle name="20% - Accent3 2 3 7 2 4" xfId="14867" xr:uid="{00000000-0005-0000-0000-0000C00C0000}"/>
    <cellStyle name="20% - Accent3 2 3 7 2 4 2" xfId="25430" xr:uid="{00000000-0005-0000-0000-0000C10C0000}"/>
    <cellStyle name="20% - Accent3 2 3 7 2 5" xfId="18773" xr:uid="{00000000-0005-0000-0000-0000C20C0000}"/>
    <cellStyle name="20% - Accent3 2 3 7 3" xfId="7477" xr:uid="{00000000-0005-0000-0000-0000C30C0000}"/>
    <cellStyle name="20% - Accent3 2 3 7 3 2" xfId="9696" xr:uid="{00000000-0005-0000-0000-0000C40C0000}"/>
    <cellStyle name="20% - Accent3 2 3 7 3 2 2" xfId="20259" xr:uid="{00000000-0005-0000-0000-0000C50C0000}"/>
    <cellStyle name="20% - Accent3 2 3 7 3 3" xfId="11915" xr:uid="{00000000-0005-0000-0000-0000C60C0000}"/>
    <cellStyle name="20% - Accent3 2 3 7 3 3 2" xfId="22478" xr:uid="{00000000-0005-0000-0000-0000C70C0000}"/>
    <cellStyle name="20% - Accent3 2 3 7 3 4" xfId="14134" xr:uid="{00000000-0005-0000-0000-0000C80C0000}"/>
    <cellStyle name="20% - Accent3 2 3 7 3 4 2" xfId="24697" xr:uid="{00000000-0005-0000-0000-0000C90C0000}"/>
    <cellStyle name="20% - Accent3 2 3 7 3 5" xfId="18040" xr:uid="{00000000-0005-0000-0000-0000CA0C0000}"/>
    <cellStyle name="20% - Accent3 2 3 7 4" xfId="8953" xr:uid="{00000000-0005-0000-0000-0000CB0C0000}"/>
    <cellStyle name="20% - Accent3 2 3 7 4 2" xfId="19516" xr:uid="{00000000-0005-0000-0000-0000CC0C0000}"/>
    <cellStyle name="20% - Accent3 2 3 7 5" xfId="11172" xr:uid="{00000000-0005-0000-0000-0000CD0C0000}"/>
    <cellStyle name="20% - Accent3 2 3 7 5 2" xfId="21735" xr:uid="{00000000-0005-0000-0000-0000CE0C0000}"/>
    <cellStyle name="20% - Accent3 2 3 7 6" xfId="13391" xr:uid="{00000000-0005-0000-0000-0000CF0C0000}"/>
    <cellStyle name="20% - Accent3 2 3 7 6 2" xfId="23954" xr:uid="{00000000-0005-0000-0000-0000D00C0000}"/>
    <cellStyle name="20% - Accent3 2 3 7 7" xfId="17291" xr:uid="{00000000-0005-0000-0000-0000D10C0000}"/>
    <cellStyle name="20% - Accent3 2 3 8" xfId="394" xr:uid="{00000000-0005-0000-0000-0000D20C0000}"/>
    <cellStyle name="20% - Accent3 2 3 8 2" xfId="8211" xr:uid="{00000000-0005-0000-0000-0000D30C0000}"/>
    <cellStyle name="20% - Accent3 2 3 8 2 2" xfId="10430" xr:uid="{00000000-0005-0000-0000-0000D40C0000}"/>
    <cellStyle name="20% - Accent3 2 3 8 2 2 2" xfId="20993" xr:uid="{00000000-0005-0000-0000-0000D50C0000}"/>
    <cellStyle name="20% - Accent3 2 3 8 2 3" xfId="12649" xr:uid="{00000000-0005-0000-0000-0000D60C0000}"/>
    <cellStyle name="20% - Accent3 2 3 8 2 3 2" xfId="23212" xr:uid="{00000000-0005-0000-0000-0000D70C0000}"/>
    <cellStyle name="20% - Accent3 2 3 8 2 4" xfId="14868" xr:uid="{00000000-0005-0000-0000-0000D80C0000}"/>
    <cellStyle name="20% - Accent3 2 3 8 2 4 2" xfId="25431" xr:uid="{00000000-0005-0000-0000-0000D90C0000}"/>
    <cellStyle name="20% - Accent3 2 3 8 2 5" xfId="18774" xr:uid="{00000000-0005-0000-0000-0000DA0C0000}"/>
    <cellStyle name="20% - Accent3 2 3 8 3" xfId="7478" xr:uid="{00000000-0005-0000-0000-0000DB0C0000}"/>
    <cellStyle name="20% - Accent3 2 3 8 3 2" xfId="9697" xr:uid="{00000000-0005-0000-0000-0000DC0C0000}"/>
    <cellStyle name="20% - Accent3 2 3 8 3 2 2" xfId="20260" xr:uid="{00000000-0005-0000-0000-0000DD0C0000}"/>
    <cellStyle name="20% - Accent3 2 3 8 3 3" xfId="11916" xr:uid="{00000000-0005-0000-0000-0000DE0C0000}"/>
    <cellStyle name="20% - Accent3 2 3 8 3 3 2" xfId="22479" xr:uid="{00000000-0005-0000-0000-0000DF0C0000}"/>
    <cellStyle name="20% - Accent3 2 3 8 3 4" xfId="14135" xr:uid="{00000000-0005-0000-0000-0000E00C0000}"/>
    <cellStyle name="20% - Accent3 2 3 8 3 4 2" xfId="24698" xr:uid="{00000000-0005-0000-0000-0000E10C0000}"/>
    <cellStyle name="20% - Accent3 2 3 8 3 5" xfId="18041" xr:uid="{00000000-0005-0000-0000-0000E20C0000}"/>
    <cellStyle name="20% - Accent3 2 3 8 4" xfId="8954" xr:uid="{00000000-0005-0000-0000-0000E30C0000}"/>
    <cellStyle name="20% - Accent3 2 3 8 4 2" xfId="19517" xr:uid="{00000000-0005-0000-0000-0000E40C0000}"/>
    <cellStyle name="20% - Accent3 2 3 8 5" xfId="11173" xr:uid="{00000000-0005-0000-0000-0000E50C0000}"/>
    <cellStyle name="20% - Accent3 2 3 8 5 2" xfId="21736" xr:uid="{00000000-0005-0000-0000-0000E60C0000}"/>
    <cellStyle name="20% - Accent3 2 3 8 6" xfId="13392" xr:uid="{00000000-0005-0000-0000-0000E70C0000}"/>
    <cellStyle name="20% - Accent3 2 3 8 6 2" xfId="23955" xr:uid="{00000000-0005-0000-0000-0000E80C0000}"/>
    <cellStyle name="20% - Accent3 2 3 8 7" xfId="17292" xr:uid="{00000000-0005-0000-0000-0000E90C0000}"/>
    <cellStyle name="20% - Accent3 2 3 9" xfId="395" xr:uid="{00000000-0005-0000-0000-0000EA0C0000}"/>
    <cellStyle name="20% - Accent3 2 3 9 2" xfId="8212" xr:uid="{00000000-0005-0000-0000-0000EB0C0000}"/>
    <cellStyle name="20% - Accent3 2 3 9 2 2" xfId="10431" xr:uid="{00000000-0005-0000-0000-0000EC0C0000}"/>
    <cellStyle name="20% - Accent3 2 3 9 2 2 2" xfId="20994" xr:uid="{00000000-0005-0000-0000-0000ED0C0000}"/>
    <cellStyle name="20% - Accent3 2 3 9 2 3" xfId="12650" xr:uid="{00000000-0005-0000-0000-0000EE0C0000}"/>
    <cellStyle name="20% - Accent3 2 3 9 2 3 2" xfId="23213" xr:uid="{00000000-0005-0000-0000-0000EF0C0000}"/>
    <cellStyle name="20% - Accent3 2 3 9 2 4" xfId="14869" xr:uid="{00000000-0005-0000-0000-0000F00C0000}"/>
    <cellStyle name="20% - Accent3 2 3 9 2 4 2" xfId="25432" xr:uid="{00000000-0005-0000-0000-0000F10C0000}"/>
    <cellStyle name="20% - Accent3 2 3 9 2 5" xfId="18775" xr:uid="{00000000-0005-0000-0000-0000F20C0000}"/>
    <cellStyle name="20% - Accent3 2 3 9 3" xfId="7479" xr:uid="{00000000-0005-0000-0000-0000F30C0000}"/>
    <cellStyle name="20% - Accent3 2 3 9 3 2" xfId="9698" xr:uid="{00000000-0005-0000-0000-0000F40C0000}"/>
    <cellStyle name="20% - Accent3 2 3 9 3 2 2" xfId="20261" xr:uid="{00000000-0005-0000-0000-0000F50C0000}"/>
    <cellStyle name="20% - Accent3 2 3 9 3 3" xfId="11917" xr:uid="{00000000-0005-0000-0000-0000F60C0000}"/>
    <cellStyle name="20% - Accent3 2 3 9 3 3 2" xfId="22480" xr:uid="{00000000-0005-0000-0000-0000F70C0000}"/>
    <cellStyle name="20% - Accent3 2 3 9 3 4" xfId="14136" xr:uid="{00000000-0005-0000-0000-0000F80C0000}"/>
    <cellStyle name="20% - Accent3 2 3 9 3 4 2" xfId="24699" xr:uid="{00000000-0005-0000-0000-0000F90C0000}"/>
    <cellStyle name="20% - Accent3 2 3 9 3 5" xfId="18042" xr:uid="{00000000-0005-0000-0000-0000FA0C0000}"/>
    <cellStyle name="20% - Accent3 2 3 9 4" xfId="8955" xr:uid="{00000000-0005-0000-0000-0000FB0C0000}"/>
    <cellStyle name="20% - Accent3 2 3 9 4 2" xfId="19518" xr:uid="{00000000-0005-0000-0000-0000FC0C0000}"/>
    <cellStyle name="20% - Accent3 2 3 9 5" xfId="11174" xr:uid="{00000000-0005-0000-0000-0000FD0C0000}"/>
    <cellStyle name="20% - Accent3 2 3 9 5 2" xfId="21737" xr:uid="{00000000-0005-0000-0000-0000FE0C0000}"/>
    <cellStyle name="20% - Accent3 2 3 9 6" xfId="13393" xr:uid="{00000000-0005-0000-0000-0000FF0C0000}"/>
    <cellStyle name="20% - Accent3 2 3 9 6 2" xfId="23956" xr:uid="{00000000-0005-0000-0000-0000000D0000}"/>
    <cellStyle name="20% - Accent3 2 3 9 7" xfId="17293" xr:uid="{00000000-0005-0000-0000-0000010D0000}"/>
    <cellStyle name="20% - Accent3 2 4" xfId="396" xr:uid="{00000000-0005-0000-0000-0000020D0000}"/>
    <cellStyle name="20% - Accent3 2 4 10" xfId="8213" xr:uid="{00000000-0005-0000-0000-0000030D0000}"/>
    <cellStyle name="20% - Accent3 2 4 10 2" xfId="10432" xr:uid="{00000000-0005-0000-0000-0000040D0000}"/>
    <cellStyle name="20% - Accent3 2 4 10 2 2" xfId="20995" xr:uid="{00000000-0005-0000-0000-0000050D0000}"/>
    <cellStyle name="20% - Accent3 2 4 10 3" xfId="12651" xr:uid="{00000000-0005-0000-0000-0000060D0000}"/>
    <cellStyle name="20% - Accent3 2 4 10 3 2" xfId="23214" xr:uid="{00000000-0005-0000-0000-0000070D0000}"/>
    <cellStyle name="20% - Accent3 2 4 10 4" xfId="14870" xr:uid="{00000000-0005-0000-0000-0000080D0000}"/>
    <cellStyle name="20% - Accent3 2 4 10 4 2" xfId="25433" xr:uid="{00000000-0005-0000-0000-0000090D0000}"/>
    <cellStyle name="20% - Accent3 2 4 10 5" xfId="18776" xr:uid="{00000000-0005-0000-0000-00000A0D0000}"/>
    <cellStyle name="20% - Accent3 2 4 11" xfId="7480" xr:uid="{00000000-0005-0000-0000-00000B0D0000}"/>
    <cellStyle name="20% - Accent3 2 4 11 2" xfId="9699" xr:uid="{00000000-0005-0000-0000-00000C0D0000}"/>
    <cellStyle name="20% - Accent3 2 4 11 2 2" xfId="20262" xr:uid="{00000000-0005-0000-0000-00000D0D0000}"/>
    <cellStyle name="20% - Accent3 2 4 11 3" xfId="11918" xr:uid="{00000000-0005-0000-0000-00000E0D0000}"/>
    <cellStyle name="20% - Accent3 2 4 11 3 2" xfId="22481" xr:uid="{00000000-0005-0000-0000-00000F0D0000}"/>
    <cellStyle name="20% - Accent3 2 4 11 4" xfId="14137" xr:uid="{00000000-0005-0000-0000-0000100D0000}"/>
    <cellStyle name="20% - Accent3 2 4 11 4 2" xfId="24700" xr:uid="{00000000-0005-0000-0000-0000110D0000}"/>
    <cellStyle name="20% - Accent3 2 4 11 5" xfId="18043" xr:uid="{00000000-0005-0000-0000-0000120D0000}"/>
    <cellStyle name="20% - Accent3 2 4 12" xfId="8956" xr:uid="{00000000-0005-0000-0000-0000130D0000}"/>
    <cellStyle name="20% - Accent3 2 4 12 2" xfId="19519" xr:uid="{00000000-0005-0000-0000-0000140D0000}"/>
    <cellStyle name="20% - Accent3 2 4 13" xfId="11175" xr:uid="{00000000-0005-0000-0000-0000150D0000}"/>
    <cellStyle name="20% - Accent3 2 4 13 2" xfId="21738" xr:uid="{00000000-0005-0000-0000-0000160D0000}"/>
    <cellStyle name="20% - Accent3 2 4 14" xfId="13394" xr:uid="{00000000-0005-0000-0000-0000170D0000}"/>
    <cellStyle name="20% - Accent3 2 4 14 2" xfId="23957" xr:uid="{00000000-0005-0000-0000-0000180D0000}"/>
    <cellStyle name="20% - Accent3 2 4 15" xfId="17294" xr:uid="{00000000-0005-0000-0000-0000190D0000}"/>
    <cellStyle name="20% - Accent3 2 4 2" xfId="397" xr:uid="{00000000-0005-0000-0000-00001A0D0000}"/>
    <cellStyle name="20% - Accent3 2 4 2 2" xfId="8214" xr:uid="{00000000-0005-0000-0000-00001B0D0000}"/>
    <cellStyle name="20% - Accent3 2 4 2 2 2" xfId="10433" xr:uid="{00000000-0005-0000-0000-00001C0D0000}"/>
    <cellStyle name="20% - Accent3 2 4 2 2 2 2" xfId="20996" xr:uid="{00000000-0005-0000-0000-00001D0D0000}"/>
    <cellStyle name="20% - Accent3 2 4 2 2 3" xfId="12652" xr:uid="{00000000-0005-0000-0000-00001E0D0000}"/>
    <cellStyle name="20% - Accent3 2 4 2 2 3 2" xfId="23215" xr:uid="{00000000-0005-0000-0000-00001F0D0000}"/>
    <cellStyle name="20% - Accent3 2 4 2 2 4" xfId="14871" xr:uid="{00000000-0005-0000-0000-0000200D0000}"/>
    <cellStyle name="20% - Accent3 2 4 2 2 4 2" xfId="25434" xr:uid="{00000000-0005-0000-0000-0000210D0000}"/>
    <cellStyle name="20% - Accent3 2 4 2 2 5" xfId="18777" xr:uid="{00000000-0005-0000-0000-0000220D0000}"/>
    <cellStyle name="20% - Accent3 2 4 2 3" xfId="7481" xr:uid="{00000000-0005-0000-0000-0000230D0000}"/>
    <cellStyle name="20% - Accent3 2 4 2 3 2" xfId="9700" xr:uid="{00000000-0005-0000-0000-0000240D0000}"/>
    <cellStyle name="20% - Accent3 2 4 2 3 2 2" xfId="20263" xr:uid="{00000000-0005-0000-0000-0000250D0000}"/>
    <cellStyle name="20% - Accent3 2 4 2 3 3" xfId="11919" xr:uid="{00000000-0005-0000-0000-0000260D0000}"/>
    <cellStyle name="20% - Accent3 2 4 2 3 3 2" xfId="22482" xr:uid="{00000000-0005-0000-0000-0000270D0000}"/>
    <cellStyle name="20% - Accent3 2 4 2 3 4" xfId="14138" xr:uid="{00000000-0005-0000-0000-0000280D0000}"/>
    <cellStyle name="20% - Accent3 2 4 2 3 4 2" xfId="24701" xr:uid="{00000000-0005-0000-0000-0000290D0000}"/>
    <cellStyle name="20% - Accent3 2 4 2 3 5" xfId="18044" xr:uid="{00000000-0005-0000-0000-00002A0D0000}"/>
    <cellStyle name="20% - Accent3 2 4 2 4" xfId="8957" xr:uid="{00000000-0005-0000-0000-00002B0D0000}"/>
    <cellStyle name="20% - Accent3 2 4 2 4 2" xfId="19520" xr:uid="{00000000-0005-0000-0000-00002C0D0000}"/>
    <cellStyle name="20% - Accent3 2 4 2 5" xfId="11176" xr:uid="{00000000-0005-0000-0000-00002D0D0000}"/>
    <cellStyle name="20% - Accent3 2 4 2 5 2" xfId="21739" xr:uid="{00000000-0005-0000-0000-00002E0D0000}"/>
    <cellStyle name="20% - Accent3 2 4 2 6" xfId="13395" xr:uid="{00000000-0005-0000-0000-00002F0D0000}"/>
    <cellStyle name="20% - Accent3 2 4 2 6 2" xfId="23958" xr:uid="{00000000-0005-0000-0000-0000300D0000}"/>
    <cellStyle name="20% - Accent3 2 4 2 7" xfId="17295" xr:uid="{00000000-0005-0000-0000-0000310D0000}"/>
    <cellStyle name="20% - Accent3 2 4 3" xfId="398" xr:uid="{00000000-0005-0000-0000-0000320D0000}"/>
    <cellStyle name="20% - Accent3 2 4 3 2" xfId="8215" xr:uid="{00000000-0005-0000-0000-0000330D0000}"/>
    <cellStyle name="20% - Accent3 2 4 3 2 2" xfId="10434" xr:uid="{00000000-0005-0000-0000-0000340D0000}"/>
    <cellStyle name="20% - Accent3 2 4 3 2 2 2" xfId="20997" xr:uid="{00000000-0005-0000-0000-0000350D0000}"/>
    <cellStyle name="20% - Accent3 2 4 3 2 3" xfId="12653" xr:uid="{00000000-0005-0000-0000-0000360D0000}"/>
    <cellStyle name="20% - Accent3 2 4 3 2 3 2" xfId="23216" xr:uid="{00000000-0005-0000-0000-0000370D0000}"/>
    <cellStyle name="20% - Accent3 2 4 3 2 4" xfId="14872" xr:uid="{00000000-0005-0000-0000-0000380D0000}"/>
    <cellStyle name="20% - Accent3 2 4 3 2 4 2" xfId="25435" xr:uid="{00000000-0005-0000-0000-0000390D0000}"/>
    <cellStyle name="20% - Accent3 2 4 3 2 5" xfId="18778" xr:uid="{00000000-0005-0000-0000-00003A0D0000}"/>
    <cellStyle name="20% - Accent3 2 4 3 3" xfId="7482" xr:uid="{00000000-0005-0000-0000-00003B0D0000}"/>
    <cellStyle name="20% - Accent3 2 4 3 3 2" xfId="9701" xr:uid="{00000000-0005-0000-0000-00003C0D0000}"/>
    <cellStyle name="20% - Accent3 2 4 3 3 2 2" xfId="20264" xr:uid="{00000000-0005-0000-0000-00003D0D0000}"/>
    <cellStyle name="20% - Accent3 2 4 3 3 3" xfId="11920" xr:uid="{00000000-0005-0000-0000-00003E0D0000}"/>
    <cellStyle name="20% - Accent3 2 4 3 3 3 2" xfId="22483" xr:uid="{00000000-0005-0000-0000-00003F0D0000}"/>
    <cellStyle name="20% - Accent3 2 4 3 3 4" xfId="14139" xr:uid="{00000000-0005-0000-0000-0000400D0000}"/>
    <cellStyle name="20% - Accent3 2 4 3 3 4 2" xfId="24702" xr:uid="{00000000-0005-0000-0000-0000410D0000}"/>
    <cellStyle name="20% - Accent3 2 4 3 3 5" xfId="18045" xr:uid="{00000000-0005-0000-0000-0000420D0000}"/>
    <cellStyle name="20% - Accent3 2 4 3 4" xfId="8958" xr:uid="{00000000-0005-0000-0000-0000430D0000}"/>
    <cellStyle name="20% - Accent3 2 4 3 4 2" xfId="19521" xr:uid="{00000000-0005-0000-0000-0000440D0000}"/>
    <cellStyle name="20% - Accent3 2 4 3 5" xfId="11177" xr:uid="{00000000-0005-0000-0000-0000450D0000}"/>
    <cellStyle name="20% - Accent3 2 4 3 5 2" xfId="21740" xr:uid="{00000000-0005-0000-0000-0000460D0000}"/>
    <cellStyle name="20% - Accent3 2 4 3 6" xfId="13396" xr:uid="{00000000-0005-0000-0000-0000470D0000}"/>
    <cellStyle name="20% - Accent3 2 4 3 6 2" xfId="23959" xr:uid="{00000000-0005-0000-0000-0000480D0000}"/>
    <cellStyle name="20% - Accent3 2 4 3 7" xfId="17296" xr:uid="{00000000-0005-0000-0000-0000490D0000}"/>
    <cellStyle name="20% - Accent3 2 4 4" xfId="399" xr:uid="{00000000-0005-0000-0000-00004A0D0000}"/>
    <cellStyle name="20% - Accent3 2 4 4 2" xfId="8216" xr:uid="{00000000-0005-0000-0000-00004B0D0000}"/>
    <cellStyle name="20% - Accent3 2 4 4 2 2" xfId="10435" xr:uid="{00000000-0005-0000-0000-00004C0D0000}"/>
    <cellStyle name="20% - Accent3 2 4 4 2 2 2" xfId="20998" xr:uid="{00000000-0005-0000-0000-00004D0D0000}"/>
    <cellStyle name="20% - Accent3 2 4 4 2 3" xfId="12654" xr:uid="{00000000-0005-0000-0000-00004E0D0000}"/>
    <cellStyle name="20% - Accent3 2 4 4 2 3 2" xfId="23217" xr:uid="{00000000-0005-0000-0000-00004F0D0000}"/>
    <cellStyle name="20% - Accent3 2 4 4 2 4" xfId="14873" xr:uid="{00000000-0005-0000-0000-0000500D0000}"/>
    <cellStyle name="20% - Accent3 2 4 4 2 4 2" xfId="25436" xr:uid="{00000000-0005-0000-0000-0000510D0000}"/>
    <cellStyle name="20% - Accent3 2 4 4 2 5" xfId="18779" xr:uid="{00000000-0005-0000-0000-0000520D0000}"/>
    <cellStyle name="20% - Accent3 2 4 4 3" xfId="7483" xr:uid="{00000000-0005-0000-0000-0000530D0000}"/>
    <cellStyle name="20% - Accent3 2 4 4 3 2" xfId="9702" xr:uid="{00000000-0005-0000-0000-0000540D0000}"/>
    <cellStyle name="20% - Accent3 2 4 4 3 2 2" xfId="20265" xr:uid="{00000000-0005-0000-0000-0000550D0000}"/>
    <cellStyle name="20% - Accent3 2 4 4 3 3" xfId="11921" xr:uid="{00000000-0005-0000-0000-0000560D0000}"/>
    <cellStyle name="20% - Accent3 2 4 4 3 3 2" xfId="22484" xr:uid="{00000000-0005-0000-0000-0000570D0000}"/>
    <cellStyle name="20% - Accent3 2 4 4 3 4" xfId="14140" xr:uid="{00000000-0005-0000-0000-0000580D0000}"/>
    <cellStyle name="20% - Accent3 2 4 4 3 4 2" xfId="24703" xr:uid="{00000000-0005-0000-0000-0000590D0000}"/>
    <cellStyle name="20% - Accent3 2 4 4 3 5" xfId="18046" xr:uid="{00000000-0005-0000-0000-00005A0D0000}"/>
    <cellStyle name="20% - Accent3 2 4 4 4" xfId="8959" xr:uid="{00000000-0005-0000-0000-00005B0D0000}"/>
    <cellStyle name="20% - Accent3 2 4 4 4 2" xfId="19522" xr:uid="{00000000-0005-0000-0000-00005C0D0000}"/>
    <cellStyle name="20% - Accent3 2 4 4 5" xfId="11178" xr:uid="{00000000-0005-0000-0000-00005D0D0000}"/>
    <cellStyle name="20% - Accent3 2 4 4 5 2" xfId="21741" xr:uid="{00000000-0005-0000-0000-00005E0D0000}"/>
    <cellStyle name="20% - Accent3 2 4 4 6" xfId="13397" xr:uid="{00000000-0005-0000-0000-00005F0D0000}"/>
    <cellStyle name="20% - Accent3 2 4 4 6 2" xfId="23960" xr:uid="{00000000-0005-0000-0000-0000600D0000}"/>
    <cellStyle name="20% - Accent3 2 4 4 7" xfId="17297" xr:uid="{00000000-0005-0000-0000-0000610D0000}"/>
    <cellStyle name="20% - Accent3 2 4 5" xfId="400" xr:uid="{00000000-0005-0000-0000-0000620D0000}"/>
    <cellStyle name="20% - Accent3 2 4 5 2" xfId="8217" xr:uid="{00000000-0005-0000-0000-0000630D0000}"/>
    <cellStyle name="20% - Accent3 2 4 5 2 2" xfId="10436" xr:uid="{00000000-0005-0000-0000-0000640D0000}"/>
    <cellStyle name="20% - Accent3 2 4 5 2 2 2" xfId="20999" xr:uid="{00000000-0005-0000-0000-0000650D0000}"/>
    <cellStyle name="20% - Accent3 2 4 5 2 3" xfId="12655" xr:uid="{00000000-0005-0000-0000-0000660D0000}"/>
    <cellStyle name="20% - Accent3 2 4 5 2 3 2" xfId="23218" xr:uid="{00000000-0005-0000-0000-0000670D0000}"/>
    <cellStyle name="20% - Accent3 2 4 5 2 4" xfId="14874" xr:uid="{00000000-0005-0000-0000-0000680D0000}"/>
    <cellStyle name="20% - Accent3 2 4 5 2 4 2" xfId="25437" xr:uid="{00000000-0005-0000-0000-0000690D0000}"/>
    <cellStyle name="20% - Accent3 2 4 5 2 5" xfId="18780" xr:uid="{00000000-0005-0000-0000-00006A0D0000}"/>
    <cellStyle name="20% - Accent3 2 4 5 3" xfId="7484" xr:uid="{00000000-0005-0000-0000-00006B0D0000}"/>
    <cellStyle name="20% - Accent3 2 4 5 3 2" xfId="9703" xr:uid="{00000000-0005-0000-0000-00006C0D0000}"/>
    <cellStyle name="20% - Accent3 2 4 5 3 2 2" xfId="20266" xr:uid="{00000000-0005-0000-0000-00006D0D0000}"/>
    <cellStyle name="20% - Accent3 2 4 5 3 3" xfId="11922" xr:uid="{00000000-0005-0000-0000-00006E0D0000}"/>
    <cellStyle name="20% - Accent3 2 4 5 3 3 2" xfId="22485" xr:uid="{00000000-0005-0000-0000-00006F0D0000}"/>
    <cellStyle name="20% - Accent3 2 4 5 3 4" xfId="14141" xr:uid="{00000000-0005-0000-0000-0000700D0000}"/>
    <cellStyle name="20% - Accent3 2 4 5 3 4 2" xfId="24704" xr:uid="{00000000-0005-0000-0000-0000710D0000}"/>
    <cellStyle name="20% - Accent3 2 4 5 3 5" xfId="18047" xr:uid="{00000000-0005-0000-0000-0000720D0000}"/>
    <cellStyle name="20% - Accent3 2 4 5 4" xfId="8960" xr:uid="{00000000-0005-0000-0000-0000730D0000}"/>
    <cellStyle name="20% - Accent3 2 4 5 4 2" xfId="19523" xr:uid="{00000000-0005-0000-0000-0000740D0000}"/>
    <cellStyle name="20% - Accent3 2 4 5 5" xfId="11179" xr:uid="{00000000-0005-0000-0000-0000750D0000}"/>
    <cellStyle name="20% - Accent3 2 4 5 5 2" xfId="21742" xr:uid="{00000000-0005-0000-0000-0000760D0000}"/>
    <cellStyle name="20% - Accent3 2 4 5 6" xfId="13398" xr:uid="{00000000-0005-0000-0000-0000770D0000}"/>
    <cellStyle name="20% - Accent3 2 4 5 6 2" xfId="23961" xr:uid="{00000000-0005-0000-0000-0000780D0000}"/>
    <cellStyle name="20% - Accent3 2 4 5 7" xfId="17298" xr:uid="{00000000-0005-0000-0000-0000790D0000}"/>
    <cellStyle name="20% - Accent3 2 4 6" xfId="401" xr:uid="{00000000-0005-0000-0000-00007A0D0000}"/>
    <cellStyle name="20% - Accent3 2 4 6 2" xfId="8218" xr:uid="{00000000-0005-0000-0000-00007B0D0000}"/>
    <cellStyle name="20% - Accent3 2 4 6 2 2" xfId="10437" xr:uid="{00000000-0005-0000-0000-00007C0D0000}"/>
    <cellStyle name="20% - Accent3 2 4 6 2 2 2" xfId="21000" xr:uid="{00000000-0005-0000-0000-00007D0D0000}"/>
    <cellStyle name="20% - Accent3 2 4 6 2 3" xfId="12656" xr:uid="{00000000-0005-0000-0000-00007E0D0000}"/>
    <cellStyle name="20% - Accent3 2 4 6 2 3 2" xfId="23219" xr:uid="{00000000-0005-0000-0000-00007F0D0000}"/>
    <cellStyle name="20% - Accent3 2 4 6 2 4" xfId="14875" xr:uid="{00000000-0005-0000-0000-0000800D0000}"/>
    <cellStyle name="20% - Accent3 2 4 6 2 4 2" xfId="25438" xr:uid="{00000000-0005-0000-0000-0000810D0000}"/>
    <cellStyle name="20% - Accent3 2 4 6 2 5" xfId="18781" xr:uid="{00000000-0005-0000-0000-0000820D0000}"/>
    <cellStyle name="20% - Accent3 2 4 6 3" xfId="7485" xr:uid="{00000000-0005-0000-0000-0000830D0000}"/>
    <cellStyle name="20% - Accent3 2 4 6 3 2" xfId="9704" xr:uid="{00000000-0005-0000-0000-0000840D0000}"/>
    <cellStyle name="20% - Accent3 2 4 6 3 2 2" xfId="20267" xr:uid="{00000000-0005-0000-0000-0000850D0000}"/>
    <cellStyle name="20% - Accent3 2 4 6 3 3" xfId="11923" xr:uid="{00000000-0005-0000-0000-0000860D0000}"/>
    <cellStyle name="20% - Accent3 2 4 6 3 3 2" xfId="22486" xr:uid="{00000000-0005-0000-0000-0000870D0000}"/>
    <cellStyle name="20% - Accent3 2 4 6 3 4" xfId="14142" xr:uid="{00000000-0005-0000-0000-0000880D0000}"/>
    <cellStyle name="20% - Accent3 2 4 6 3 4 2" xfId="24705" xr:uid="{00000000-0005-0000-0000-0000890D0000}"/>
    <cellStyle name="20% - Accent3 2 4 6 3 5" xfId="18048" xr:uid="{00000000-0005-0000-0000-00008A0D0000}"/>
    <cellStyle name="20% - Accent3 2 4 6 4" xfId="8961" xr:uid="{00000000-0005-0000-0000-00008B0D0000}"/>
    <cellStyle name="20% - Accent3 2 4 6 4 2" xfId="19524" xr:uid="{00000000-0005-0000-0000-00008C0D0000}"/>
    <cellStyle name="20% - Accent3 2 4 6 5" xfId="11180" xr:uid="{00000000-0005-0000-0000-00008D0D0000}"/>
    <cellStyle name="20% - Accent3 2 4 6 5 2" xfId="21743" xr:uid="{00000000-0005-0000-0000-00008E0D0000}"/>
    <cellStyle name="20% - Accent3 2 4 6 6" xfId="13399" xr:uid="{00000000-0005-0000-0000-00008F0D0000}"/>
    <cellStyle name="20% - Accent3 2 4 6 6 2" xfId="23962" xr:uid="{00000000-0005-0000-0000-0000900D0000}"/>
    <cellStyle name="20% - Accent3 2 4 6 7" xfId="17299" xr:uid="{00000000-0005-0000-0000-0000910D0000}"/>
    <cellStyle name="20% - Accent3 2 4 7" xfId="402" xr:uid="{00000000-0005-0000-0000-0000920D0000}"/>
    <cellStyle name="20% - Accent3 2 4 7 2" xfId="8219" xr:uid="{00000000-0005-0000-0000-0000930D0000}"/>
    <cellStyle name="20% - Accent3 2 4 7 2 2" xfId="10438" xr:uid="{00000000-0005-0000-0000-0000940D0000}"/>
    <cellStyle name="20% - Accent3 2 4 7 2 2 2" xfId="21001" xr:uid="{00000000-0005-0000-0000-0000950D0000}"/>
    <cellStyle name="20% - Accent3 2 4 7 2 3" xfId="12657" xr:uid="{00000000-0005-0000-0000-0000960D0000}"/>
    <cellStyle name="20% - Accent3 2 4 7 2 3 2" xfId="23220" xr:uid="{00000000-0005-0000-0000-0000970D0000}"/>
    <cellStyle name="20% - Accent3 2 4 7 2 4" xfId="14876" xr:uid="{00000000-0005-0000-0000-0000980D0000}"/>
    <cellStyle name="20% - Accent3 2 4 7 2 4 2" xfId="25439" xr:uid="{00000000-0005-0000-0000-0000990D0000}"/>
    <cellStyle name="20% - Accent3 2 4 7 2 5" xfId="18782" xr:uid="{00000000-0005-0000-0000-00009A0D0000}"/>
    <cellStyle name="20% - Accent3 2 4 7 3" xfId="7486" xr:uid="{00000000-0005-0000-0000-00009B0D0000}"/>
    <cellStyle name="20% - Accent3 2 4 7 3 2" xfId="9705" xr:uid="{00000000-0005-0000-0000-00009C0D0000}"/>
    <cellStyle name="20% - Accent3 2 4 7 3 2 2" xfId="20268" xr:uid="{00000000-0005-0000-0000-00009D0D0000}"/>
    <cellStyle name="20% - Accent3 2 4 7 3 3" xfId="11924" xr:uid="{00000000-0005-0000-0000-00009E0D0000}"/>
    <cellStyle name="20% - Accent3 2 4 7 3 3 2" xfId="22487" xr:uid="{00000000-0005-0000-0000-00009F0D0000}"/>
    <cellStyle name="20% - Accent3 2 4 7 3 4" xfId="14143" xr:uid="{00000000-0005-0000-0000-0000A00D0000}"/>
    <cellStyle name="20% - Accent3 2 4 7 3 4 2" xfId="24706" xr:uid="{00000000-0005-0000-0000-0000A10D0000}"/>
    <cellStyle name="20% - Accent3 2 4 7 3 5" xfId="18049" xr:uid="{00000000-0005-0000-0000-0000A20D0000}"/>
    <cellStyle name="20% - Accent3 2 4 7 4" xfId="8962" xr:uid="{00000000-0005-0000-0000-0000A30D0000}"/>
    <cellStyle name="20% - Accent3 2 4 7 4 2" xfId="19525" xr:uid="{00000000-0005-0000-0000-0000A40D0000}"/>
    <cellStyle name="20% - Accent3 2 4 7 5" xfId="11181" xr:uid="{00000000-0005-0000-0000-0000A50D0000}"/>
    <cellStyle name="20% - Accent3 2 4 7 5 2" xfId="21744" xr:uid="{00000000-0005-0000-0000-0000A60D0000}"/>
    <cellStyle name="20% - Accent3 2 4 7 6" xfId="13400" xr:uid="{00000000-0005-0000-0000-0000A70D0000}"/>
    <cellStyle name="20% - Accent3 2 4 7 6 2" xfId="23963" xr:uid="{00000000-0005-0000-0000-0000A80D0000}"/>
    <cellStyle name="20% - Accent3 2 4 7 7" xfId="17300" xr:uid="{00000000-0005-0000-0000-0000A90D0000}"/>
    <cellStyle name="20% - Accent3 2 4 8" xfId="403" xr:uid="{00000000-0005-0000-0000-0000AA0D0000}"/>
    <cellStyle name="20% - Accent3 2 4 8 2" xfId="8220" xr:uid="{00000000-0005-0000-0000-0000AB0D0000}"/>
    <cellStyle name="20% - Accent3 2 4 8 2 2" xfId="10439" xr:uid="{00000000-0005-0000-0000-0000AC0D0000}"/>
    <cellStyle name="20% - Accent3 2 4 8 2 2 2" xfId="21002" xr:uid="{00000000-0005-0000-0000-0000AD0D0000}"/>
    <cellStyle name="20% - Accent3 2 4 8 2 3" xfId="12658" xr:uid="{00000000-0005-0000-0000-0000AE0D0000}"/>
    <cellStyle name="20% - Accent3 2 4 8 2 3 2" xfId="23221" xr:uid="{00000000-0005-0000-0000-0000AF0D0000}"/>
    <cellStyle name="20% - Accent3 2 4 8 2 4" xfId="14877" xr:uid="{00000000-0005-0000-0000-0000B00D0000}"/>
    <cellStyle name="20% - Accent3 2 4 8 2 4 2" xfId="25440" xr:uid="{00000000-0005-0000-0000-0000B10D0000}"/>
    <cellStyle name="20% - Accent3 2 4 8 2 5" xfId="18783" xr:uid="{00000000-0005-0000-0000-0000B20D0000}"/>
    <cellStyle name="20% - Accent3 2 4 8 3" xfId="7487" xr:uid="{00000000-0005-0000-0000-0000B30D0000}"/>
    <cellStyle name="20% - Accent3 2 4 8 3 2" xfId="9706" xr:uid="{00000000-0005-0000-0000-0000B40D0000}"/>
    <cellStyle name="20% - Accent3 2 4 8 3 2 2" xfId="20269" xr:uid="{00000000-0005-0000-0000-0000B50D0000}"/>
    <cellStyle name="20% - Accent3 2 4 8 3 3" xfId="11925" xr:uid="{00000000-0005-0000-0000-0000B60D0000}"/>
    <cellStyle name="20% - Accent3 2 4 8 3 3 2" xfId="22488" xr:uid="{00000000-0005-0000-0000-0000B70D0000}"/>
    <cellStyle name="20% - Accent3 2 4 8 3 4" xfId="14144" xr:uid="{00000000-0005-0000-0000-0000B80D0000}"/>
    <cellStyle name="20% - Accent3 2 4 8 3 4 2" xfId="24707" xr:uid="{00000000-0005-0000-0000-0000B90D0000}"/>
    <cellStyle name="20% - Accent3 2 4 8 3 5" xfId="18050" xr:uid="{00000000-0005-0000-0000-0000BA0D0000}"/>
    <cellStyle name="20% - Accent3 2 4 8 4" xfId="8963" xr:uid="{00000000-0005-0000-0000-0000BB0D0000}"/>
    <cellStyle name="20% - Accent3 2 4 8 4 2" xfId="19526" xr:uid="{00000000-0005-0000-0000-0000BC0D0000}"/>
    <cellStyle name="20% - Accent3 2 4 8 5" xfId="11182" xr:uid="{00000000-0005-0000-0000-0000BD0D0000}"/>
    <cellStyle name="20% - Accent3 2 4 8 5 2" xfId="21745" xr:uid="{00000000-0005-0000-0000-0000BE0D0000}"/>
    <cellStyle name="20% - Accent3 2 4 8 6" xfId="13401" xr:uid="{00000000-0005-0000-0000-0000BF0D0000}"/>
    <cellStyle name="20% - Accent3 2 4 8 6 2" xfId="23964" xr:uid="{00000000-0005-0000-0000-0000C00D0000}"/>
    <cellStyle name="20% - Accent3 2 4 8 7" xfId="17301" xr:uid="{00000000-0005-0000-0000-0000C10D0000}"/>
    <cellStyle name="20% - Accent3 2 4 9" xfId="404" xr:uid="{00000000-0005-0000-0000-0000C20D0000}"/>
    <cellStyle name="20% - Accent3 2 4 9 2" xfId="8221" xr:uid="{00000000-0005-0000-0000-0000C30D0000}"/>
    <cellStyle name="20% - Accent3 2 4 9 2 2" xfId="10440" xr:uid="{00000000-0005-0000-0000-0000C40D0000}"/>
    <cellStyle name="20% - Accent3 2 4 9 2 2 2" xfId="21003" xr:uid="{00000000-0005-0000-0000-0000C50D0000}"/>
    <cellStyle name="20% - Accent3 2 4 9 2 3" xfId="12659" xr:uid="{00000000-0005-0000-0000-0000C60D0000}"/>
    <cellStyle name="20% - Accent3 2 4 9 2 3 2" xfId="23222" xr:uid="{00000000-0005-0000-0000-0000C70D0000}"/>
    <cellStyle name="20% - Accent3 2 4 9 2 4" xfId="14878" xr:uid="{00000000-0005-0000-0000-0000C80D0000}"/>
    <cellStyle name="20% - Accent3 2 4 9 2 4 2" xfId="25441" xr:uid="{00000000-0005-0000-0000-0000C90D0000}"/>
    <cellStyle name="20% - Accent3 2 4 9 2 5" xfId="18784" xr:uid="{00000000-0005-0000-0000-0000CA0D0000}"/>
    <cellStyle name="20% - Accent3 2 4 9 3" xfId="7488" xr:uid="{00000000-0005-0000-0000-0000CB0D0000}"/>
    <cellStyle name="20% - Accent3 2 4 9 3 2" xfId="9707" xr:uid="{00000000-0005-0000-0000-0000CC0D0000}"/>
    <cellStyle name="20% - Accent3 2 4 9 3 2 2" xfId="20270" xr:uid="{00000000-0005-0000-0000-0000CD0D0000}"/>
    <cellStyle name="20% - Accent3 2 4 9 3 3" xfId="11926" xr:uid="{00000000-0005-0000-0000-0000CE0D0000}"/>
    <cellStyle name="20% - Accent3 2 4 9 3 3 2" xfId="22489" xr:uid="{00000000-0005-0000-0000-0000CF0D0000}"/>
    <cellStyle name="20% - Accent3 2 4 9 3 4" xfId="14145" xr:uid="{00000000-0005-0000-0000-0000D00D0000}"/>
    <cellStyle name="20% - Accent3 2 4 9 3 4 2" xfId="24708" xr:uid="{00000000-0005-0000-0000-0000D10D0000}"/>
    <cellStyle name="20% - Accent3 2 4 9 3 5" xfId="18051" xr:uid="{00000000-0005-0000-0000-0000D20D0000}"/>
    <cellStyle name="20% - Accent3 2 4 9 4" xfId="8964" xr:uid="{00000000-0005-0000-0000-0000D30D0000}"/>
    <cellStyle name="20% - Accent3 2 4 9 4 2" xfId="19527" xr:uid="{00000000-0005-0000-0000-0000D40D0000}"/>
    <cellStyle name="20% - Accent3 2 4 9 5" xfId="11183" xr:uid="{00000000-0005-0000-0000-0000D50D0000}"/>
    <cellStyle name="20% - Accent3 2 4 9 5 2" xfId="21746" xr:uid="{00000000-0005-0000-0000-0000D60D0000}"/>
    <cellStyle name="20% - Accent3 2 4 9 6" xfId="13402" xr:uid="{00000000-0005-0000-0000-0000D70D0000}"/>
    <cellStyle name="20% - Accent3 2 4 9 6 2" xfId="23965" xr:uid="{00000000-0005-0000-0000-0000D80D0000}"/>
    <cellStyle name="20% - Accent3 2 4 9 7" xfId="17302" xr:uid="{00000000-0005-0000-0000-0000D90D0000}"/>
    <cellStyle name="20% - Accent3 2 5" xfId="405" xr:uid="{00000000-0005-0000-0000-0000DA0D0000}"/>
    <cellStyle name="20% - Accent3 2 5 10" xfId="8222" xr:uid="{00000000-0005-0000-0000-0000DB0D0000}"/>
    <cellStyle name="20% - Accent3 2 5 10 2" xfId="10441" xr:uid="{00000000-0005-0000-0000-0000DC0D0000}"/>
    <cellStyle name="20% - Accent3 2 5 10 2 2" xfId="21004" xr:uid="{00000000-0005-0000-0000-0000DD0D0000}"/>
    <cellStyle name="20% - Accent3 2 5 10 3" xfId="12660" xr:uid="{00000000-0005-0000-0000-0000DE0D0000}"/>
    <cellStyle name="20% - Accent3 2 5 10 3 2" xfId="23223" xr:uid="{00000000-0005-0000-0000-0000DF0D0000}"/>
    <cellStyle name="20% - Accent3 2 5 10 4" xfId="14879" xr:uid="{00000000-0005-0000-0000-0000E00D0000}"/>
    <cellStyle name="20% - Accent3 2 5 10 4 2" xfId="25442" xr:uid="{00000000-0005-0000-0000-0000E10D0000}"/>
    <cellStyle name="20% - Accent3 2 5 10 5" xfId="18785" xr:uid="{00000000-0005-0000-0000-0000E20D0000}"/>
    <cellStyle name="20% - Accent3 2 5 11" xfId="7489" xr:uid="{00000000-0005-0000-0000-0000E30D0000}"/>
    <cellStyle name="20% - Accent3 2 5 11 2" xfId="9708" xr:uid="{00000000-0005-0000-0000-0000E40D0000}"/>
    <cellStyle name="20% - Accent3 2 5 11 2 2" xfId="20271" xr:uid="{00000000-0005-0000-0000-0000E50D0000}"/>
    <cellStyle name="20% - Accent3 2 5 11 3" xfId="11927" xr:uid="{00000000-0005-0000-0000-0000E60D0000}"/>
    <cellStyle name="20% - Accent3 2 5 11 3 2" xfId="22490" xr:uid="{00000000-0005-0000-0000-0000E70D0000}"/>
    <cellStyle name="20% - Accent3 2 5 11 4" xfId="14146" xr:uid="{00000000-0005-0000-0000-0000E80D0000}"/>
    <cellStyle name="20% - Accent3 2 5 11 4 2" xfId="24709" xr:uid="{00000000-0005-0000-0000-0000E90D0000}"/>
    <cellStyle name="20% - Accent3 2 5 11 5" xfId="18052" xr:uid="{00000000-0005-0000-0000-0000EA0D0000}"/>
    <cellStyle name="20% - Accent3 2 5 12" xfId="8965" xr:uid="{00000000-0005-0000-0000-0000EB0D0000}"/>
    <cellStyle name="20% - Accent3 2 5 12 2" xfId="19528" xr:uid="{00000000-0005-0000-0000-0000EC0D0000}"/>
    <cellStyle name="20% - Accent3 2 5 13" xfId="11184" xr:uid="{00000000-0005-0000-0000-0000ED0D0000}"/>
    <cellStyle name="20% - Accent3 2 5 13 2" xfId="21747" xr:uid="{00000000-0005-0000-0000-0000EE0D0000}"/>
    <cellStyle name="20% - Accent3 2 5 14" xfId="13403" xr:uid="{00000000-0005-0000-0000-0000EF0D0000}"/>
    <cellStyle name="20% - Accent3 2 5 14 2" xfId="23966" xr:uid="{00000000-0005-0000-0000-0000F00D0000}"/>
    <cellStyle name="20% - Accent3 2 5 15" xfId="17303" xr:uid="{00000000-0005-0000-0000-0000F10D0000}"/>
    <cellStyle name="20% - Accent3 2 5 2" xfId="406" xr:uid="{00000000-0005-0000-0000-0000F20D0000}"/>
    <cellStyle name="20% - Accent3 2 5 2 2" xfId="8223" xr:uid="{00000000-0005-0000-0000-0000F30D0000}"/>
    <cellStyle name="20% - Accent3 2 5 2 2 2" xfId="10442" xr:uid="{00000000-0005-0000-0000-0000F40D0000}"/>
    <cellStyle name="20% - Accent3 2 5 2 2 2 2" xfId="21005" xr:uid="{00000000-0005-0000-0000-0000F50D0000}"/>
    <cellStyle name="20% - Accent3 2 5 2 2 3" xfId="12661" xr:uid="{00000000-0005-0000-0000-0000F60D0000}"/>
    <cellStyle name="20% - Accent3 2 5 2 2 3 2" xfId="23224" xr:uid="{00000000-0005-0000-0000-0000F70D0000}"/>
    <cellStyle name="20% - Accent3 2 5 2 2 4" xfId="14880" xr:uid="{00000000-0005-0000-0000-0000F80D0000}"/>
    <cellStyle name="20% - Accent3 2 5 2 2 4 2" xfId="25443" xr:uid="{00000000-0005-0000-0000-0000F90D0000}"/>
    <cellStyle name="20% - Accent3 2 5 2 2 5" xfId="18786" xr:uid="{00000000-0005-0000-0000-0000FA0D0000}"/>
    <cellStyle name="20% - Accent3 2 5 2 3" xfId="7490" xr:uid="{00000000-0005-0000-0000-0000FB0D0000}"/>
    <cellStyle name="20% - Accent3 2 5 2 3 2" xfId="9709" xr:uid="{00000000-0005-0000-0000-0000FC0D0000}"/>
    <cellStyle name="20% - Accent3 2 5 2 3 2 2" xfId="20272" xr:uid="{00000000-0005-0000-0000-0000FD0D0000}"/>
    <cellStyle name="20% - Accent3 2 5 2 3 3" xfId="11928" xr:uid="{00000000-0005-0000-0000-0000FE0D0000}"/>
    <cellStyle name="20% - Accent3 2 5 2 3 3 2" xfId="22491" xr:uid="{00000000-0005-0000-0000-0000FF0D0000}"/>
    <cellStyle name="20% - Accent3 2 5 2 3 4" xfId="14147" xr:uid="{00000000-0005-0000-0000-0000000E0000}"/>
    <cellStyle name="20% - Accent3 2 5 2 3 4 2" xfId="24710" xr:uid="{00000000-0005-0000-0000-0000010E0000}"/>
    <cellStyle name="20% - Accent3 2 5 2 3 5" xfId="18053" xr:uid="{00000000-0005-0000-0000-0000020E0000}"/>
    <cellStyle name="20% - Accent3 2 5 2 4" xfId="8966" xr:uid="{00000000-0005-0000-0000-0000030E0000}"/>
    <cellStyle name="20% - Accent3 2 5 2 4 2" xfId="19529" xr:uid="{00000000-0005-0000-0000-0000040E0000}"/>
    <cellStyle name="20% - Accent3 2 5 2 5" xfId="11185" xr:uid="{00000000-0005-0000-0000-0000050E0000}"/>
    <cellStyle name="20% - Accent3 2 5 2 5 2" xfId="21748" xr:uid="{00000000-0005-0000-0000-0000060E0000}"/>
    <cellStyle name="20% - Accent3 2 5 2 6" xfId="13404" xr:uid="{00000000-0005-0000-0000-0000070E0000}"/>
    <cellStyle name="20% - Accent3 2 5 2 6 2" xfId="23967" xr:uid="{00000000-0005-0000-0000-0000080E0000}"/>
    <cellStyle name="20% - Accent3 2 5 2 7" xfId="17304" xr:uid="{00000000-0005-0000-0000-0000090E0000}"/>
    <cellStyle name="20% - Accent3 2 5 3" xfId="407" xr:uid="{00000000-0005-0000-0000-00000A0E0000}"/>
    <cellStyle name="20% - Accent3 2 5 3 2" xfId="8224" xr:uid="{00000000-0005-0000-0000-00000B0E0000}"/>
    <cellStyle name="20% - Accent3 2 5 3 2 2" xfId="10443" xr:uid="{00000000-0005-0000-0000-00000C0E0000}"/>
    <cellStyle name="20% - Accent3 2 5 3 2 2 2" xfId="21006" xr:uid="{00000000-0005-0000-0000-00000D0E0000}"/>
    <cellStyle name="20% - Accent3 2 5 3 2 3" xfId="12662" xr:uid="{00000000-0005-0000-0000-00000E0E0000}"/>
    <cellStyle name="20% - Accent3 2 5 3 2 3 2" xfId="23225" xr:uid="{00000000-0005-0000-0000-00000F0E0000}"/>
    <cellStyle name="20% - Accent3 2 5 3 2 4" xfId="14881" xr:uid="{00000000-0005-0000-0000-0000100E0000}"/>
    <cellStyle name="20% - Accent3 2 5 3 2 4 2" xfId="25444" xr:uid="{00000000-0005-0000-0000-0000110E0000}"/>
    <cellStyle name="20% - Accent3 2 5 3 2 5" xfId="18787" xr:uid="{00000000-0005-0000-0000-0000120E0000}"/>
    <cellStyle name="20% - Accent3 2 5 3 3" xfId="7491" xr:uid="{00000000-0005-0000-0000-0000130E0000}"/>
    <cellStyle name="20% - Accent3 2 5 3 3 2" xfId="9710" xr:uid="{00000000-0005-0000-0000-0000140E0000}"/>
    <cellStyle name="20% - Accent3 2 5 3 3 2 2" xfId="20273" xr:uid="{00000000-0005-0000-0000-0000150E0000}"/>
    <cellStyle name="20% - Accent3 2 5 3 3 3" xfId="11929" xr:uid="{00000000-0005-0000-0000-0000160E0000}"/>
    <cellStyle name="20% - Accent3 2 5 3 3 3 2" xfId="22492" xr:uid="{00000000-0005-0000-0000-0000170E0000}"/>
    <cellStyle name="20% - Accent3 2 5 3 3 4" xfId="14148" xr:uid="{00000000-0005-0000-0000-0000180E0000}"/>
    <cellStyle name="20% - Accent3 2 5 3 3 4 2" xfId="24711" xr:uid="{00000000-0005-0000-0000-0000190E0000}"/>
    <cellStyle name="20% - Accent3 2 5 3 3 5" xfId="18054" xr:uid="{00000000-0005-0000-0000-00001A0E0000}"/>
    <cellStyle name="20% - Accent3 2 5 3 4" xfId="8967" xr:uid="{00000000-0005-0000-0000-00001B0E0000}"/>
    <cellStyle name="20% - Accent3 2 5 3 4 2" xfId="19530" xr:uid="{00000000-0005-0000-0000-00001C0E0000}"/>
    <cellStyle name="20% - Accent3 2 5 3 5" xfId="11186" xr:uid="{00000000-0005-0000-0000-00001D0E0000}"/>
    <cellStyle name="20% - Accent3 2 5 3 5 2" xfId="21749" xr:uid="{00000000-0005-0000-0000-00001E0E0000}"/>
    <cellStyle name="20% - Accent3 2 5 3 6" xfId="13405" xr:uid="{00000000-0005-0000-0000-00001F0E0000}"/>
    <cellStyle name="20% - Accent3 2 5 3 6 2" xfId="23968" xr:uid="{00000000-0005-0000-0000-0000200E0000}"/>
    <cellStyle name="20% - Accent3 2 5 3 7" xfId="17305" xr:uid="{00000000-0005-0000-0000-0000210E0000}"/>
    <cellStyle name="20% - Accent3 2 5 4" xfId="408" xr:uid="{00000000-0005-0000-0000-0000220E0000}"/>
    <cellStyle name="20% - Accent3 2 5 4 2" xfId="8225" xr:uid="{00000000-0005-0000-0000-0000230E0000}"/>
    <cellStyle name="20% - Accent3 2 5 4 2 2" xfId="10444" xr:uid="{00000000-0005-0000-0000-0000240E0000}"/>
    <cellStyle name="20% - Accent3 2 5 4 2 2 2" xfId="21007" xr:uid="{00000000-0005-0000-0000-0000250E0000}"/>
    <cellStyle name="20% - Accent3 2 5 4 2 3" xfId="12663" xr:uid="{00000000-0005-0000-0000-0000260E0000}"/>
    <cellStyle name="20% - Accent3 2 5 4 2 3 2" xfId="23226" xr:uid="{00000000-0005-0000-0000-0000270E0000}"/>
    <cellStyle name="20% - Accent3 2 5 4 2 4" xfId="14882" xr:uid="{00000000-0005-0000-0000-0000280E0000}"/>
    <cellStyle name="20% - Accent3 2 5 4 2 4 2" xfId="25445" xr:uid="{00000000-0005-0000-0000-0000290E0000}"/>
    <cellStyle name="20% - Accent3 2 5 4 2 5" xfId="18788" xr:uid="{00000000-0005-0000-0000-00002A0E0000}"/>
    <cellStyle name="20% - Accent3 2 5 4 3" xfId="7492" xr:uid="{00000000-0005-0000-0000-00002B0E0000}"/>
    <cellStyle name="20% - Accent3 2 5 4 3 2" xfId="9711" xr:uid="{00000000-0005-0000-0000-00002C0E0000}"/>
    <cellStyle name="20% - Accent3 2 5 4 3 2 2" xfId="20274" xr:uid="{00000000-0005-0000-0000-00002D0E0000}"/>
    <cellStyle name="20% - Accent3 2 5 4 3 3" xfId="11930" xr:uid="{00000000-0005-0000-0000-00002E0E0000}"/>
    <cellStyle name="20% - Accent3 2 5 4 3 3 2" xfId="22493" xr:uid="{00000000-0005-0000-0000-00002F0E0000}"/>
    <cellStyle name="20% - Accent3 2 5 4 3 4" xfId="14149" xr:uid="{00000000-0005-0000-0000-0000300E0000}"/>
    <cellStyle name="20% - Accent3 2 5 4 3 4 2" xfId="24712" xr:uid="{00000000-0005-0000-0000-0000310E0000}"/>
    <cellStyle name="20% - Accent3 2 5 4 3 5" xfId="18055" xr:uid="{00000000-0005-0000-0000-0000320E0000}"/>
    <cellStyle name="20% - Accent3 2 5 4 4" xfId="8968" xr:uid="{00000000-0005-0000-0000-0000330E0000}"/>
    <cellStyle name="20% - Accent3 2 5 4 4 2" xfId="19531" xr:uid="{00000000-0005-0000-0000-0000340E0000}"/>
    <cellStyle name="20% - Accent3 2 5 4 5" xfId="11187" xr:uid="{00000000-0005-0000-0000-0000350E0000}"/>
    <cellStyle name="20% - Accent3 2 5 4 5 2" xfId="21750" xr:uid="{00000000-0005-0000-0000-0000360E0000}"/>
    <cellStyle name="20% - Accent3 2 5 4 6" xfId="13406" xr:uid="{00000000-0005-0000-0000-0000370E0000}"/>
    <cellStyle name="20% - Accent3 2 5 4 6 2" xfId="23969" xr:uid="{00000000-0005-0000-0000-0000380E0000}"/>
    <cellStyle name="20% - Accent3 2 5 4 7" xfId="17306" xr:uid="{00000000-0005-0000-0000-0000390E0000}"/>
    <cellStyle name="20% - Accent3 2 5 5" xfId="409" xr:uid="{00000000-0005-0000-0000-00003A0E0000}"/>
    <cellStyle name="20% - Accent3 2 5 5 2" xfId="8226" xr:uid="{00000000-0005-0000-0000-00003B0E0000}"/>
    <cellStyle name="20% - Accent3 2 5 5 2 2" xfId="10445" xr:uid="{00000000-0005-0000-0000-00003C0E0000}"/>
    <cellStyle name="20% - Accent3 2 5 5 2 2 2" xfId="21008" xr:uid="{00000000-0005-0000-0000-00003D0E0000}"/>
    <cellStyle name="20% - Accent3 2 5 5 2 3" xfId="12664" xr:uid="{00000000-0005-0000-0000-00003E0E0000}"/>
    <cellStyle name="20% - Accent3 2 5 5 2 3 2" xfId="23227" xr:uid="{00000000-0005-0000-0000-00003F0E0000}"/>
    <cellStyle name="20% - Accent3 2 5 5 2 4" xfId="14883" xr:uid="{00000000-0005-0000-0000-0000400E0000}"/>
    <cellStyle name="20% - Accent3 2 5 5 2 4 2" xfId="25446" xr:uid="{00000000-0005-0000-0000-0000410E0000}"/>
    <cellStyle name="20% - Accent3 2 5 5 2 5" xfId="18789" xr:uid="{00000000-0005-0000-0000-0000420E0000}"/>
    <cellStyle name="20% - Accent3 2 5 5 3" xfId="7493" xr:uid="{00000000-0005-0000-0000-0000430E0000}"/>
    <cellStyle name="20% - Accent3 2 5 5 3 2" xfId="9712" xr:uid="{00000000-0005-0000-0000-0000440E0000}"/>
    <cellStyle name="20% - Accent3 2 5 5 3 2 2" xfId="20275" xr:uid="{00000000-0005-0000-0000-0000450E0000}"/>
    <cellStyle name="20% - Accent3 2 5 5 3 3" xfId="11931" xr:uid="{00000000-0005-0000-0000-0000460E0000}"/>
    <cellStyle name="20% - Accent3 2 5 5 3 3 2" xfId="22494" xr:uid="{00000000-0005-0000-0000-0000470E0000}"/>
    <cellStyle name="20% - Accent3 2 5 5 3 4" xfId="14150" xr:uid="{00000000-0005-0000-0000-0000480E0000}"/>
    <cellStyle name="20% - Accent3 2 5 5 3 4 2" xfId="24713" xr:uid="{00000000-0005-0000-0000-0000490E0000}"/>
    <cellStyle name="20% - Accent3 2 5 5 3 5" xfId="18056" xr:uid="{00000000-0005-0000-0000-00004A0E0000}"/>
    <cellStyle name="20% - Accent3 2 5 5 4" xfId="8969" xr:uid="{00000000-0005-0000-0000-00004B0E0000}"/>
    <cellStyle name="20% - Accent3 2 5 5 4 2" xfId="19532" xr:uid="{00000000-0005-0000-0000-00004C0E0000}"/>
    <cellStyle name="20% - Accent3 2 5 5 5" xfId="11188" xr:uid="{00000000-0005-0000-0000-00004D0E0000}"/>
    <cellStyle name="20% - Accent3 2 5 5 5 2" xfId="21751" xr:uid="{00000000-0005-0000-0000-00004E0E0000}"/>
    <cellStyle name="20% - Accent3 2 5 5 6" xfId="13407" xr:uid="{00000000-0005-0000-0000-00004F0E0000}"/>
    <cellStyle name="20% - Accent3 2 5 5 6 2" xfId="23970" xr:uid="{00000000-0005-0000-0000-0000500E0000}"/>
    <cellStyle name="20% - Accent3 2 5 5 7" xfId="17307" xr:uid="{00000000-0005-0000-0000-0000510E0000}"/>
    <cellStyle name="20% - Accent3 2 5 6" xfId="410" xr:uid="{00000000-0005-0000-0000-0000520E0000}"/>
    <cellStyle name="20% - Accent3 2 5 6 2" xfId="8227" xr:uid="{00000000-0005-0000-0000-0000530E0000}"/>
    <cellStyle name="20% - Accent3 2 5 6 2 2" xfId="10446" xr:uid="{00000000-0005-0000-0000-0000540E0000}"/>
    <cellStyle name="20% - Accent3 2 5 6 2 2 2" xfId="21009" xr:uid="{00000000-0005-0000-0000-0000550E0000}"/>
    <cellStyle name="20% - Accent3 2 5 6 2 3" xfId="12665" xr:uid="{00000000-0005-0000-0000-0000560E0000}"/>
    <cellStyle name="20% - Accent3 2 5 6 2 3 2" xfId="23228" xr:uid="{00000000-0005-0000-0000-0000570E0000}"/>
    <cellStyle name="20% - Accent3 2 5 6 2 4" xfId="14884" xr:uid="{00000000-0005-0000-0000-0000580E0000}"/>
    <cellStyle name="20% - Accent3 2 5 6 2 4 2" xfId="25447" xr:uid="{00000000-0005-0000-0000-0000590E0000}"/>
    <cellStyle name="20% - Accent3 2 5 6 2 5" xfId="18790" xr:uid="{00000000-0005-0000-0000-00005A0E0000}"/>
    <cellStyle name="20% - Accent3 2 5 6 3" xfId="7494" xr:uid="{00000000-0005-0000-0000-00005B0E0000}"/>
    <cellStyle name="20% - Accent3 2 5 6 3 2" xfId="9713" xr:uid="{00000000-0005-0000-0000-00005C0E0000}"/>
    <cellStyle name="20% - Accent3 2 5 6 3 2 2" xfId="20276" xr:uid="{00000000-0005-0000-0000-00005D0E0000}"/>
    <cellStyle name="20% - Accent3 2 5 6 3 3" xfId="11932" xr:uid="{00000000-0005-0000-0000-00005E0E0000}"/>
    <cellStyle name="20% - Accent3 2 5 6 3 3 2" xfId="22495" xr:uid="{00000000-0005-0000-0000-00005F0E0000}"/>
    <cellStyle name="20% - Accent3 2 5 6 3 4" xfId="14151" xr:uid="{00000000-0005-0000-0000-0000600E0000}"/>
    <cellStyle name="20% - Accent3 2 5 6 3 4 2" xfId="24714" xr:uid="{00000000-0005-0000-0000-0000610E0000}"/>
    <cellStyle name="20% - Accent3 2 5 6 3 5" xfId="18057" xr:uid="{00000000-0005-0000-0000-0000620E0000}"/>
    <cellStyle name="20% - Accent3 2 5 6 4" xfId="8970" xr:uid="{00000000-0005-0000-0000-0000630E0000}"/>
    <cellStyle name="20% - Accent3 2 5 6 4 2" xfId="19533" xr:uid="{00000000-0005-0000-0000-0000640E0000}"/>
    <cellStyle name="20% - Accent3 2 5 6 5" xfId="11189" xr:uid="{00000000-0005-0000-0000-0000650E0000}"/>
    <cellStyle name="20% - Accent3 2 5 6 5 2" xfId="21752" xr:uid="{00000000-0005-0000-0000-0000660E0000}"/>
    <cellStyle name="20% - Accent3 2 5 6 6" xfId="13408" xr:uid="{00000000-0005-0000-0000-0000670E0000}"/>
    <cellStyle name="20% - Accent3 2 5 6 6 2" xfId="23971" xr:uid="{00000000-0005-0000-0000-0000680E0000}"/>
    <cellStyle name="20% - Accent3 2 5 6 7" xfId="17308" xr:uid="{00000000-0005-0000-0000-0000690E0000}"/>
    <cellStyle name="20% - Accent3 2 5 7" xfId="411" xr:uid="{00000000-0005-0000-0000-00006A0E0000}"/>
    <cellStyle name="20% - Accent3 2 5 7 2" xfId="8228" xr:uid="{00000000-0005-0000-0000-00006B0E0000}"/>
    <cellStyle name="20% - Accent3 2 5 7 2 2" xfId="10447" xr:uid="{00000000-0005-0000-0000-00006C0E0000}"/>
    <cellStyle name="20% - Accent3 2 5 7 2 2 2" xfId="21010" xr:uid="{00000000-0005-0000-0000-00006D0E0000}"/>
    <cellStyle name="20% - Accent3 2 5 7 2 3" xfId="12666" xr:uid="{00000000-0005-0000-0000-00006E0E0000}"/>
    <cellStyle name="20% - Accent3 2 5 7 2 3 2" xfId="23229" xr:uid="{00000000-0005-0000-0000-00006F0E0000}"/>
    <cellStyle name="20% - Accent3 2 5 7 2 4" xfId="14885" xr:uid="{00000000-0005-0000-0000-0000700E0000}"/>
    <cellStyle name="20% - Accent3 2 5 7 2 4 2" xfId="25448" xr:uid="{00000000-0005-0000-0000-0000710E0000}"/>
    <cellStyle name="20% - Accent3 2 5 7 2 5" xfId="18791" xr:uid="{00000000-0005-0000-0000-0000720E0000}"/>
    <cellStyle name="20% - Accent3 2 5 7 3" xfId="7495" xr:uid="{00000000-0005-0000-0000-0000730E0000}"/>
    <cellStyle name="20% - Accent3 2 5 7 3 2" xfId="9714" xr:uid="{00000000-0005-0000-0000-0000740E0000}"/>
    <cellStyle name="20% - Accent3 2 5 7 3 2 2" xfId="20277" xr:uid="{00000000-0005-0000-0000-0000750E0000}"/>
    <cellStyle name="20% - Accent3 2 5 7 3 3" xfId="11933" xr:uid="{00000000-0005-0000-0000-0000760E0000}"/>
    <cellStyle name="20% - Accent3 2 5 7 3 3 2" xfId="22496" xr:uid="{00000000-0005-0000-0000-0000770E0000}"/>
    <cellStyle name="20% - Accent3 2 5 7 3 4" xfId="14152" xr:uid="{00000000-0005-0000-0000-0000780E0000}"/>
    <cellStyle name="20% - Accent3 2 5 7 3 4 2" xfId="24715" xr:uid="{00000000-0005-0000-0000-0000790E0000}"/>
    <cellStyle name="20% - Accent3 2 5 7 3 5" xfId="18058" xr:uid="{00000000-0005-0000-0000-00007A0E0000}"/>
    <cellStyle name="20% - Accent3 2 5 7 4" xfId="8971" xr:uid="{00000000-0005-0000-0000-00007B0E0000}"/>
    <cellStyle name="20% - Accent3 2 5 7 4 2" xfId="19534" xr:uid="{00000000-0005-0000-0000-00007C0E0000}"/>
    <cellStyle name="20% - Accent3 2 5 7 5" xfId="11190" xr:uid="{00000000-0005-0000-0000-00007D0E0000}"/>
    <cellStyle name="20% - Accent3 2 5 7 5 2" xfId="21753" xr:uid="{00000000-0005-0000-0000-00007E0E0000}"/>
    <cellStyle name="20% - Accent3 2 5 7 6" xfId="13409" xr:uid="{00000000-0005-0000-0000-00007F0E0000}"/>
    <cellStyle name="20% - Accent3 2 5 7 6 2" xfId="23972" xr:uid="{00000000-0005-0000-0000-0000800E0000}"/>
    <cellStyle name="20% - Accent3 2 5 7 7" xfId="17309" xr:uid="{00000000-0005-0000-0000-0000810E0000}"/>
    <cellStyle name="20% - Accent3 2 5 8" xfId="412" xr:uid="{00000000-0005-0000-0000-0000820E0000}"/>
    <cellStyle name="20% - Accent3 2 5 8 2" xfId="8229" xr:uid="{00000000-0005-0000-0000-0000830E0000}"/>
    <cellStyle name="20% - Accent3 2 5 8 2 2" xfId="10448" xr:uid="{00000000-0005-0000-0000-0000840E0000}"/>
    <cellStyle name="20% - Accent3 2 5 8 2 2 2" xfId="21011" xr:uid="{00000000-0005-0000-0000-0000850E0000}"/>
    <cellStyle name="20% - Accent3 2 5 8 2 3" xfId="12667" xr:uid="{00000000-0005-0000-0000-0000860E0000}"/>
    <cellStyle name="20% - Accent3 2 5 8 2 3 2" xfId="23230" xr:uid="{00000000-0005-0000-0000-0000870E0000}"/>
    <cellStyle name="20% - Accent3 2 5 8 2 4" xfId="14886" xr:uid="{00000000-0005-0000-0000-0000880E0000}"/>
    <cellStyle name="20% - Accent3 2 5 8 2 4 2" xfId="25449" xr:uid="{00000000-0005-0000-0000-0000890E0000}"/>
    <cellStyle name="20% - Accent3 2 5 8 2 5" xfId="18792" xr:uid="{00000000-0005-0000-0000-00008A0E0000}"/>
    <cellStyle name="20% - Accent3 2 5 8 3" xfId="7496" xr:uid="{00000000-0005-0000-0000-00008B0E0000}"/>
    <cellStyle name="20% - Accent3 2 5 8 3 2" xfId="9715" xr:uid="{00000000-0005-0000-0000-00008C0E0000}"/>
    <cellStyle name="20% - Accent3 2 5 8 3 2 2" xfId="20278" xr:uid="{00000000-0005-0000-0000-00008D0E0000}"/>
    <cellStyle name="20% - Accent3 2 5 8 3 3" xfId="11934" xr:uid="{00000000-0005-0000-0000-00008E0E0000}"/>
    <cellStyle name="20% - Accent3 2 5 8 3 3 2" xfId="22497" xr:uid="{00000000-0005-0000-0000-00008F0E0000}"/>
    <cellStyle name="20% - Accent3 2 5 8 3 4" xfId="14153" xr:uid="{00000000-0005-0000-0000-0000900E0000}"/>
    <cellStyle name="20% - Accent3 2 5 8 3 4 2" xfId="24716" xr:uid="{00000000-0005-0000-0000-0000910E0000}"/>
    <cellStyle name="20% - Accent3 2 5 8 3 5" xfId="18059" xr:uid="{00000000-0005-0000-0000-0000920E0000}"/>
    <cellStyle name="20% - Accent3 2 5 8 4" xfId="8972" xr:uid="{00000000-0005-0000-0000-0000930E0000}"/>
    <cellStyle name="20% - Accent3 2 5 8 4 2" xfId="19535" xr:uid="{00000000-0005-0000-0000-0000940E0000}"/>
    <cellStyle name="20% - Accent3 2 5 8 5" xfId="11191" xr:uid="{00000000-0005-0000-0000-0000950E0000}"/>
    <cellStyle name="20% - Accent3 2 5 8 5 2" xfId="21754" xr:uid="{00000000-0005-0000-0000-0000960E0000}"/>
    <cellStyle name="20% - Accent3 2 5 8 6" xfId="13410" xr:uid="{00000000-0005-0000-0000-0000970E0000}"/>
    <cellStyle name="20% - Accent3 2 5 8 6 2" xfId="23973" xr:uid="{00000000-0005-0000-0000-0000980E0000}"/>
    <cellStyle name="20% - Accent3 2 5 8 7" xfId="17310" xr:uid="{00000000-0005-0000-0000-0000990E0000}"/>
    <cellStyle name="20% - Accent3 2 5 9" xfId="413" xr:uid="{00000000-0005-0000-0000-00009A0E0000}"/>
    <cellStyle name="20% - Accent3 2 5 9 2" xfId="8230" xr:uid="{00000000-0005-0000-0000-00009B0E0000}"/>
    <cellStyle name="20% - Accent3 2 5 9 2 2" xfId="10449" xr:uid="{00000000-0005-0000-0000-00009C0E0000}"/>
    <cellStyle name="20% - Accent3 2 5 9 2 2 2" xfId="21012" xr:uid="{00000000-0005-0000-0000-00009D0E0000}"/>
    <cellStyle name="20% - Accent3 2 5 9 2 3" xfId="12668" xr:uid="{00000000-0005-0000-0000-00009E0E0000}"/>
    <cellStyle name="20% - Accent3 2 5 9 2 3 2" xfId="23231" xr:uid="{00000000-0005-0000-0000-00009F0E0000}"/>
    <cellStyle name="20% - Accent3 2 5 9 2 4" xfId="14887" xr:uid="{00000000-0005-0000-0000-0000A00E0000}"/>
    <cellStyle name="20% - Accent3 2 5 9 2 4 2" xfId="25450" xr:uid="{00000000-0005-0000-0000-0000A10E0000}"/>
    <cellStyle name="20% - Accent3 2 5 9 2 5" xfId="18793" xr:uid="{00000000-0005-0000-0000-0000A20E0000}"/>
    <cellStyle name="20% - Accent3 2 5 9 3" xfId="7497" xr:uid="{00000000-0005-0000-0000-0000A30E0000}"/>
    <cellStyle name="20% - Accent3 2 5 9 3 2" xfId="9716" xr:uid="{00000000-0005-0000-0000-0000A40E0000}"/>
    <cellStyle name="20% - Accent3 2 5 9 3 2 2" xfId="20279" xr:uid="{00000000-0005-0000-0000-0000A50E0000}"/>
    <cellStyle name="20% - Accent3 2 5 9 3 3" xfId="11935" xr:uid="{00000000-0005-0000-0000-0000A60E0000}"/>
    <cellStyle name="20% - Accent3 2 5 9 3 3 2" xfId="22498" xr:uid="{00000000-0005-0000-0000-0000A70E0000}"/>
    <cellStyle name="20% - Accent3 2 5 9 3 4" xfId="14154" xr:uid="{00000000-0005-0000-0000-0000A80E0000}"/>
    <cellStyle name="20% - Accent3 2 5 9 3 4 2" xfId="24717" xr:uid="{00000000-0005-0000-0000-0000A90E0000}"/>
    <cellStyle name="20% - Accent3 2 5 9 3 5" xfId="18060" xr:uid="{00000000-0005-0000-0000-0000AA0E0000}"/>
    <cellStyle name="20% - Accent3 2 5 9 4" xfId="8973" xr:uid="{00000000-0005-0000-0000-0000AB0E0000}"/>
    <cellStyle name="20% - Accent3 2 5 9 4 2" xfId="19536" xr:uid="{00000000-0005-0000-0000-0000AC0E0000}"/>
    <cellStyle name="20% - Accent3 2 5 9 5" xfId="11192" xr:uid="{00000000-0005-0000-0000-0000AD0E0000}"/>
    <cellStyle name="20% - Accent3 2 5 9 5 2" xfId="21755" xr:uid="{00000000-0005-0000-0000-0000AE0E0000}"/>
    <cellStyle name="20% - Accent3 2 5 9 6" xfId="13411" xr:uid="{00000000-0005-0000-0000-0000AF0E0000}"/>
    <cellStyle name="20% - Accent3 2 5 9 6 2" xfId="23974" xr:uid="{00000000-0005-0000-0000-0000B00E0000}"/>
    <cellStyle name="20% - Accent3 2 5 9 7" xfId="17311" xr:uid="{00000000-0005-0000-0000-0000B10E0000}"/>
    <cellStyle name="20% - Accent3 2 6" xfId="414" xr:uid="{00000000-0005-0000-0000-0000B20E0000}"/>
    <cellStyle name="20% - Accent3 2 6 10" xfId="13412" xr:uid="{00000000-0005-0000-0000-0000B30E0000}"/>
    <cellStyle name="20% - Accent3 2 6 10 2" xfId="23975" xr:uid="{00000000-0005-0000-0000-0000B40E0000}"/>
    <cellStyle name="20% - Accent3 2 6 11" xfId="17312" xr:uid="{00000000-0005-0000-0000-0000B50E0000}"/>
    <cellStyle name="20% - Accent3 2 6 2" xfId="415" xr:uid="{00000000-0005-0000-0000-0000B60E0000}"/>
    <cellStyle name="20% - Accent3 2 6 2 2" xfId="8232" xr:uid="{00000000-0005-0000-0000-0000B70E0000}"/>
    <cellStyle name="20% - Accent3 2 6 2 2 2" xfId="10451" xr:uid="{00000000-0005-0000-0000-0000B80E0000}"/>
    <cellStyle name="20% - Accent3 2 6 2 2 2 2" xfId="21014" xr:uid="{00000000-0005-0000-0000-0000B90E0000}"/>
    <cellStyle name="20% - Accent3 2 6 2 2 3" xfId="12670" xr:uid="{00000000-0005-0000-0000-0000BA0E0000}"/>
    <cellStyle name="20% - Accent3 2 6 2 2 3 2" xfId="23233" xr:uid="{00000000-0005-0000-0000-0000BB0E0000}"/>
    <cellStyle name="20% - Accent3 2 6 2 2 4" xfId="14889" xr:uid="{00000000-0005-0000-0000-0000BC0E0000}"/>
    <cellStyle name="20% - Accent3 2 6 2 2 4 2" xfId="25452" xr:uid="{00000000-0005-0000-0000-0000BD0E0000}"/>
    <cellStyle name="20% - Accent3 2 6 2 2 5" xfId="18795" xr:uid="{00000000-0005-0000-0000-0000BE0E0000}"/>
    <cellStyle name="20% - Accent3 2 6 2 3" xfId="7499" xr:uid="{00000000-0005-0000-0000-0000BF0E0000}"/>
    <cellStyle name="20% - Accent3 2 6 2 3 2" xfId="9718" xr:uid="{00000000-0005-0000-0000-0000C00E0000}"/>
    <cellStyle name="20% - Accent3 2 6 2 3 2 2" xfId="20281" xr:uid="{00000000-0005-0000-0000-0000C10E0000}"/>
    <cellStyle name="20% - Accent3 2 6 2 3 3" xfId="11937" xr:uid="{00000000-0005-0000-0000-0000C20E0000}"/>
    <cellStyle name="20% - Accent3 2 6 2 3 3 2" xfId="22500" xr:uid="{00000000-0005-0000-0000-0000C30E0000}"/>
    <cellStyle name="20% - Accent3 2 6 2 3 4" xfId="14156" xr:uid="{00000000-0005-0000-0000-0000C40E0000}"/>
    <cellStyle name="20% - Accent3 2 6 2 3 4 2" xfId="24719" xr:uid="{00000000-0005-0000-0000-0000C50E0000}"/>
    <cellStyle name="20% - Accent3 2 6 2 3 5" xfId="18062" xr:uid="{00000000-0005-0000-0000-0000C60E0000}"/>
    <cellStyle name="20% - Accent3 2 6 2 4" xfId="8975" xr:uid="{00000000-0005-0000-0000-0000C70E0000}"/>
    <cellStyle name="20% - Accent3 2 6 2 4 2" xfId="19538" xr:uid="{00000000-0005-0000-0000-0000C80E0000}"/>
    <cellStyle name="20% - Accent3 2 6 2 5" xfId="11194" xr:uid="{00000000-0005-0000-0000-0000C90E0000}"/>
    <cellStyle name="20% - Accent3 2 6 2 5 2" xfId="21757" xr:uid="{00000000-0005-0000-0000-0000CA0E0000}"/>
    <cellStyle name="20% - Accent3 2 6 2 6" xfId="13413" xr:uid="{00000000-0005-0000-0000-0000CB0E0000}"/>
    <cellStyle name="20% - Accent3 2 6 2 6 2" xfId="23976" xr:uid="{00000000-0005-0000-0000-0000CC0E0000}"/>
    <cellStyle name="20% - Accent3 2 6 2 7" xfId="17313" xr:uid="{00000000-0005-0000-0000-0000CD0E0000}"/>
    <cellStyle name="20% - Accent3 2 6 3" xfId="416" xr:uid="{00000000-0005-0000-0000-0000CE0E0000}"/>
    <cellStyle name="20% - Accent3 2 6 3 2" xfId="8233" xr:uid="{00000000-0005-0000-0000-0000CF0E0000}"/>
    <cellStyle name="20% - Accent3 2 6 3 2 2" xfId="10452" xr:uid="{00000000-0005-0000-0000-0000D00E0000}"/>
    <cellStyle name="20% - Accent3 2 6 3 2 2 2" xfId="21015" xr:uid="{00000000-0005-0000-0000-0000D10E0000}"/>
    <cellStyle name="20% - Accent3 2 6 3 2 3" xfId="12671" xr:uid="{00000000-0005-0000-0000-0000D20E0000}"/>
    <cellStyle name="20% - Accent3 2 6 3 2 3 2" xfId="23234" xr:uid="{00000000-0005-0000-0000-0000D30E0000}"/>
    <cellStyle name="20% - Accent3 2 6 3 2 4" xfId="14890" xr:uid="{00000000-0005-0000-0000-0000D40E0000}"/>
    <cellStyle name="20% - Accent3 2 6 3 2 4 2" xfId="25453" xr:uid="{00000000-0005-0000-0000-0000D50E0000}"/>
    <cellStyle name="20% - Accent3 2 6 3 2 5" xfId="18796" xr:uid="{00000000-0005-0000-0000-0000D60E0000}"/>
    <cellStyle name="20% - Accent3 2 6 3 3" xfId="7500" xr:uid="{00000000-0005-0000-0000-0000D70E0000}"/>
    <cellStyle name="20% - Accent3 2 6 3 3 2" xfId="9719" xr:uid="{00000000-0005-0000-0000-0000D80E0000}"/>
    <cellStyle name="20% - Accent3 2 6 3 3 2 2" xfId="20282" xr:uid="{00000000-0005-0000-0000-0000D90E0000}"/>
    <cellStyle name="20% - Accent3 2 6 3 3 3" xfId="11938" xr:uid="{00000000-0005-0000-0000-0000DA0E0000}"/>
    <cellStyle name="20% - Accent3 2 6 3 3 3 2" xfId="22501" xr:uid="{00000000-0005-0000-0000-0000DB0E0000}"/>
    <cellStyle name="20% - Accent3 2 6 3 3 4" xfId="14157" xr:uid="{00000000-0005-0000-0000-0000DC0E0000}"/>
    <cellStyle name="20% - Accent3 2 6 3 3 4 2" xfId="24720" xr:uid="{00000000-0005-0000-0000-0000DD0E0000}"/>
    <cellStyle name="20% - Accent3 2 6 3 3 5" xfId="18063" xr:uid="{00000000-0005-0000-0000-0000DE0E0000}"/>
    <cellStyle name="20% - Accent3 2 6 3 4" xfId="8976" xr:uid="{00000000-0005-0000-0000-0000DF0E0000}"/>
    <cellStyle name="20% - Accent3 2 6 3 4 2" xfId="19539" xr:uid="{00000000-0005-0000-0000-0000E00E0000}"/>
    <cellStyle name="20% - Accent3 2 6 3 5" xfId="11195" xr:uid="{00000000-0005-0000-0000-0000E10E0000}"/>
    <cellStyle name="20% - Accent3 2 6 3 5 2" xfId="21758" xr:uid="{00000000-0005-0000-0000-0000E20E0000}"/>
    <cellStyle name="20% - Accent3 2 6 3 6" xfId="13414" xr:uid="{00000000-0005-0000-0000-0000E30E0000}"/>
    <cellStyle name="20% - Accent3 2 6 3 6 2" xfId="23977" xr:uid="{00000000-0005-0000-0000-0000E40E0000}"/>
    <cellStyle name="20% - Accent3 2 6 3 7" xfId="17314" xr:uid="{00000000-0005-0000-0000-0000E50E0000}"/>
    <cellStyle name="20% - Accent3 2 6 4" xfId="417" xr:uid="{00000000-0005-0000-0000-0000E60E0000}"/>
    <cellStyle name="20% - Accent3 2 6 4 2" xfId="8234" xr:uid="{00000000-0005-0000-0000-0000E70E0000}"/>
    <cellStyle name="20% - Accent3 2 6 4 2 2" xfId="10453" xr:uid="{00000000-0005-0000-0000-0000E80E0000}"/>
    <cellStyle name="20% - Accent3 2 6 4 2 2 2" xfId="21016" xr:uid="{00000000-0005-0000-0000-0000E90E0000}"/>
    <cellStyle name="20% - Accent3 2 6 4 2 3" xfId="12672" xr:uid="{00000000-0005-0000-0000-0000EA0E0000}"/>
    <cellStyle name="20% - Accent3 2 6 4 2 3 2" xfId="23235" xr:uid="{00000000-0005-0000-0000-0000EB0E0000}"/>
    <cellStyle name="20% - Accent3 2 6 4 2 4" xfId="14891" xr:uid="{00000000-0005-0000-0000-0000EC0E0000}"/>
    <cellStyle name="20% - Accent3 2 6 4 2 4 2" xfId="25454" xr:uid="{00000000-0005-0000-0000-0000ED0E0000}"/>
    <cellStyle name="20% - Accent3 2 6 4 2 5" xfId="18797" xr:uid="{00000000-0005-0000-0000-0000EE0E0000}"/>
    <cellStyle name="20% - Accent3 2 6 4 3" xfId="7501" xr:uid="{00000000-0005-0000-0000-0000EF0E0000}"/>
    <cellStyle name="20% - Accent3 2 6 4 3 2" xfId="9720" xr:uid="{00000000-0005-0000-0000-0000F00E0000}"/>
    <cellStyle name="20% - Accent3 2 6 4 3 2 2" xfId="20283" xr:uid="{00000000-0005-0000-0000-0000F10E0000}"/>
    <cellStyle name="20% - Accent3 2 6 4 3 3" xfId="11939" xr:uid="{00000000-0005-0000-0000-0000F20E0000}"/>
    <cellStyle name="20% - Accent3 2 6 4 3 3 2" xfId="22502" xr:uid="{00000000-0005-0000-0000-0000F30E0000}"/>
    <cellStyle name="20% - Accent3 2 6 4 3 4" xfId="14158" xr:uid="{00000000-0005-0000-0000-0000F40E0000}"/>
    <cellStyle name="20% - Accent3 2 6 4 3 4 2" xfId="24721" xr:uid="{00000000-0005-0000-0000-0000F50E0000}"/>
    <cellStyle name="20% - Accent3 2 6 4 3 5" xfId="18064" xr:uid="{00000000-0005-0000-0000-0000F60E0000}"/>
    <cellStyle name="20% - Accent3 2 6 4 4" xfId="8977" xr:uid="{00000000-0005-0000-0000-0000F70E0000}"/>
    <cellStyle name="20% - Accent3 2 6 4 4 2" xfId="19540" xr:uid="{00000000-0005-0000-0000-0000F80E0000}"/>
    <cellStyle name="20% - Accent3 2 6 4 5" xfId="11196" xr:uid="{00000000-0005-0000-0000-0000F90E0000}"/>
    <cellStyle name="20% - Accent3 2 6 4 5 2" xfId="21759" xr:uid="{00000000-0005-0000-0000-0000FA0E0000}"/>
    <cellStyle name="20% - Accent3 2 6 4 6" xfId="13415" xr:uid="{00000000-0005-0000-0000-0000FB0E0000}"/>
    <cellStyle name="20% - Accent3 2 6 4 6 2" xfId="23978" xr:uid="{00000000-0005-0000-0000-0000FC0E0000}"/>
    <cellStyle name="20% - Accent3 2 6 4 7" xfId="17315" xr:uid="{00000000-0005-0000-0000-0000FD0E0000}"/>
    <cellStyle name="20% - Accent3 2 6 5" xfId="418" xr:uid="{00000000-0005-0000-0000-0000FE0E0000}"/>
    <cellStyle name="20% - Accent3 2 6 5 2" xfId="8235" xr:uid="{00000000-0005-0000-0000-0000FF0E0000}"/>
    <cellStyle name="20% - Accent3 2 6 5 2 2" xfId="10454" xr:uid="{00000000-0005-0000-0000-0000000F0000}"/>
    <cellStyle name="20% - Accent3 2 6 5 2 2 2" xfId="21017" xr:uid="{00000000-0005-0000-0000-0000010F0000}"/>
    <cellStyle name="20% - Accent3 2 6 5 2 3" xfId="12673" xr:uid="{00000000-0005-0000-0000-0000020F0000}"/>
    <cellStyle name="20% - Accent3 2 6 5 2 3 2" xfId="23236" xr:uid="{00000000-0005-0000-0000-0000030F0000}"/>
    <cellStyle name="20% - Accent3 2 6 5 2 4" xfId="14892" xr:uid="{00000000-0005-0000-0000-0000040F0000}"/>
    <cellStyle name="20% - Accent3 2 6 5 2 4 2" xfId="25455" xr:uid="{00000000-0005-0000-0000-0000050F0000}"/>
    <cellStyle name="20% - Accent3 2 6 5 2 5" xfId="18798" xr:uid="{00000000-0005-0000-0000-0000060F0000}"/>
    <cellStyle name="20% - Accent3 2 6 5 3" xfId="7502" xr:uid="{00000000-0005-0000-0000-0000070F0000}"/>
    <cellStyle name="20% - Accent3 2 6 5 3 2" xfId="9721" xr:uid="{00000000-0005-0000-0000-0000080F0000}"/>
    <cellStyle name="20% - Accent3 2 6 5 3 2 2" xfId="20284" xr:uid="{00000000-0005-0000-0000-0000090F0000}"/>
    <cellStyle name="20% - Accent3 2 6 5 3 3" xfId="11940" xr:uid="{00000000-0005-0000-0000-00000A0F0000}"/>
    <cellStyle name="20% - Accent3 2 6 5 3 3 2" xfId="22503" xr:uid="{00000000-0005-0000-0000-00000B0F0000}"/>
    <cellStyle name="20% - Accent3 2 6 5 3 4" xfId="14159" xr:uid="{00000000-0005-0000-0000-00000C0F0000}"/>
    <cellStyle name="20% - Accent3 2 6 5 3 4 2" xfId="24722" xr:uid="{00000000-0005-0000-0000-00000D0F0000}"/>
    <cellStyle name="20% - Accent3 2 6 5 3 5" xfId="18065" xr:uid="{00000000-0005-0000-0000-00000E0F0000}"/>
    <cellStyle name="20% - Accent3 2 6 5 4" xfId="8978" xr:uid="{00000000-0005-0000-0000-00000F0F0000}"/>
    <cellStyle name="20% - Accent3 2 6 5 4 2" xfId="19541" xr:uid="{00000000-0005-0000-0000-0000100F0000}"/>
    <cellStyle name="20% - Accent3 2 6 5 5" xfId="11197" xr:uid="{00000000-0005-0000-0000-0000110F0000}"/>
    <cellStyle name="20% - Accent3 2 6 5 5 2" xfId="21760" xr:uid="{00000000-0005-0000-0000-0000120F0000}"/>
    <cellStyle name="20% - Accent3 2 6 5 6" xfId="13416" xr:uid="{00000000-0005-0000-0000-0000130F0000}"/>
    <cellStyle name="20% - Accent3 2 6 5 6 2" xfId="23979" xr:uid="{00000000-0005-0000-0000-0000140F0000}"/>
    <cellStyle name="20% - Accent3 2 6 5 7" xfId="17316" xr:uid="{00000000-0005-0000-0000-0000150F0000}"/>
    <cellStyle name="20% - Accent3 2 6 6" xfId="8231" xr:uid="{00000000-0005-0000-0000-0000160F0000}"/>
    <cellStyle name="20% - Accent3 2 6 6 2" xfId="10450" xr:uid="{00000000-0005-0000-0000-0000170F0000}"/>
    <cellStyle name="20% - Accent3 2 6 6 2 2" xfId="21013" xr:uid="{00000000-0005-0000-0000-0000180F0000}"/>
    <cellStyle name="20% - Accent3 2 6 6 3" xfId="12669" xr:uid="{00000000-0005-0000-0000-0000190F0000}"/>
    <cellStyle name="20% - Accent3 2 6 6 3 2" xfId="23232" xr:uid="{00000000-0005-0000-0000-00001A0F0000}"/>
    <cellStyle name="20% - Accent3 2 6 6 4" xfId="14888" xr:uid="{00000000-0005-0000-0000-00001B0F0000}"/>
    <cellStyle name="20% - Accent3 2 6 6 4 2" xfId="25451" xr:uid="{00000000-0005-0000-0000-00001C0F0000}"/>
    <cellStyle name="20% - Accent3 2 6 6 5" xfId="18794" xr:uid="{00000000-0005-0000-0000-00001D0F0000}"/>
    <cellStyle name="20% - Accent3 2 6 7" xfId="7498" xr:uid="{00000000-0005-0000-0000-00001E0F0000}"/>
    <cellStyle name="20% - Accent3 2 6 7 2" xfId="9717" xr:uid="{00000000-0005-0000-0000-00001F0F0000}"/>
    <cellStyle name="20% - Accent3 2 6 7 2 2" xfId="20280" xr:uid="{00000000-0005-0000-0000-0000200F0000}"/>
    <cellStyle name="20% - Accent3 2 6 7 3" xfId="11936" xr:uid="{00000000-0005-0000-0000-0000210F0000}"/>
    <cellStyle name="20% - Accent3 2 6 7 3 2" xfId="22499" xr:uid="{00000000-0005-0000-0000-0000220F0000}"/>
    <cellStyle name="20% - Accent3 2 6 7 4" xfId="14155" xr:uid="{00000000-0005-0000-0000-0000230F0000}"/>
    <cellStyle name="20% - Accent3 2 6 7 4 2" xfId="24718" xr:uid="{00000000-0005-0000-0000-0000240F0000}"/>
    <cellStyle name="20% - Accent3 2 6 7 5" xfId="18061" xr:uid="{00000000-0005-0000-0000-0000250F0000}"/>
    <cellStyle name="20% - Accent3 2 6 8" xfId="8974" xr:uid="{00000000-0005-0000-0000-0000260F0000}"/>
    <cellStyle name="20% - Accent3 2 6 8 2" xfId="19537" xr:uid="{00000000-0005-0000-0000-0000270F0000}"/>
    <cellStyle name="20% - Accent3 2 6 9" xfId="11193" xr:uid="{00000000-0005-0000-0000-0000280F0000}"/>
    <cellStyle name="20% - Accent3 2 6 9 2" xfId="21756" xr:uid="{00000000-0005-0000-0000-0000290F0000}"/>
    <cellStyle name="20% - Accent3 2 7" xfId="419" xr:uid="{00000000-0005-0000-0000-00002A0F0000}"/>
    <cellStyle name="20% - Accent3 2 7 2" xfId="8236" xr:uid="{00000000-0005-0000-0000-00002B0F0000}"/>
    <cellStyle name="20% - Accent3 2 7 2 2" xfId="10455" xr:uid="{00000000-0005-0000-0000-00002C0F0000}"/>
    <cellStyle name="20% - Accent3 2 7 2 2 2" xfId="21018" xr:uid="{00000000-0005-0000-0000-00002D0F0000}"/>
    <cellStyle name="20% - Accent3 2 7 2 3" xfId="12674" xr:uid="{00000000-0005-0000-0000-00002E0F0000}"/>
    <cellStyle name="20% - Accent3 2 7 2 3 2" xfId="23237" xr:uid="{00000000-0005-0000-0000-00002F0F0000}"/>
    <cellStyle name="20% - Accent3 2 7 2 4" xfId="14893" xr:uid="{00000000-0005-0000-0000-0000300F0000}"/>
    <cellStyle name="20% - Accent3 2 7 2 4 2" xfId="25456" xr:uid="{00000000-0005-0000-0000-0000310F0000}"/>
    <cellStyle name="20% - Accent3 2 7 2 5" xfId="18799" xr:uid="{00000000-0005-0000-0000-0000320F0000}"/>
    <cellStyle name="20% - Accent3 2 7 3" xfId="7503" xr:uid="{00000000-0005-0000-0000-0000330F0000}"/>
    <cellStyle name="20% - Accent3 2 7 3 2" xfId="9722" xr:uid="{00000000-0005-0000-0000-0000340F0000}"/>
    <cellStyle name="20% - Accent3 2 7 3 2 2" xfId="20285" xr:uid="{00000000-0005-0000-0000-0000350F0000}"/>
    <cellStyle name="20% - Accent3 2 7 3 3" xfId="11941" xr:uid="{00000000-0005-0000-0000-0000360F0000}"/>
    <cellStyle name="20% - Accent3 2 7 3 3 2" xfId="22504" xr:uid="{00000000-0005-0000-0000-0000370F0000}"/>
    <cellStyle name="20% - Accent3 2 7 3 4" xfId="14160" xr:uid="{00000000-0005-0000-0000-0000380F0000}"/>
    <cellStyle name="20% - Accent3 2 7 3 4 2" xfId="24723" xr:uid="{00000000-0005-0000-0000-0000390F0000}"/>
    <cellStyle name="20% - Accent3 2 7 3 5" xfId="18066" xr:uid="{00000000-0005-0000-0000-00003A0F0000}"/>
    <cellStyle name="20% - Accent3 2 7 4" xfId="8979" xr:uid="{00000000-0005-0000-0000-00003B0F0000}"/>
    <cellStyle name="20% - Accent3 2 7 4 2" xfId="19542" xr:uid="{00000000-0005-0000-0000-00003C0F0000}"/>
    <cellStyle name="20% - Accent3 2 7 5" xfId="11198" xr:uid="{00000000-0005-0000-0000-00003D0F0000}"/>
    <cellStyle name="20% - Accent3 2 7 5 2" xfId="21761" xr:uid="{00000000-0005-0000-0000-00003E0F0000}"/>
    <cellStyle name="20% - Accent3 2 7 6" xfId="13417" xr:uid="{00000000-0005-0000-0000-00003F0F0000}"/>
    <cellStyle name="20% - Accent3 2 7 6 2" xfId="23980" xr:uid="{00000000-0005-0000-0000-0000400F0000}"/>
    <cellStyle name="20% - Accent3 2 7 7" xfId="17317" xr:uid="{00000000-0005-0000-0000-0000410F0000}"/>
    <cellStyle name="20% - Accent3 2 8" xfId="420" xr:uid="{00000000-0005-0000-0000-0000420F0000}"/>
    <cellStyle name="20% - Accent3 2 8 2" xfId="8237" xr:uid="{00000000-0005-0000-0000-0000430F0000}"/>
    <cellStyle name="20% - Accent3 2 8 2 2" xfId="10456" xr:uid="{00000000-0005-0000-0000-0000440F0000}"/>
    <cellStyle name="20% - Accent3 2 8 2 2 2" xfId="21019" xr:uid="{00000000-0005-0000-0000-0000450F0000}"/>
    <cellStyle name="20% - Accent3 2 8 2 3" xfId="12675" xr:uid="{00000000-0005-0000-0000-0000460F0000}"/>
    <cellStyle name="20% - Accent3 2 8 2 3 2" xfId="23238" xr:uid="{00000000-0005-0000-0000-0000470F0000}"/>
    <cellStyle name="20% - Accent3 2 8 2 4" xfId="14894" xr:uid="{00000000-0005-0000-0000-0000480F0000}"/>
    <cellStyle name="20% - Accent3 2 8 2 4 2" xfId="25457" xr:uid="{00000000-0005-0000-0000-0000490F0000}"/>
    <cellStyle name="20% - Accent3 2 8 2 5" xfId="18800" xr:uid="{00000000-0005-0000-0000-00004A0F0000}"/>
    <cellStyle name="20% - Accent3 2 8 3" xfId="7504" xr:uid="{00000000-0005-0000-0000-00004B0F0000}"/>
    <cellStyle name="20% - Accent3 2 8 3 2" xfId="9723" xr:uid="{00000000-0005-0000-0000-00004C0F0000}"/>
    <cellStyle name="20% - Accent3 2 8 3 2 2" xfId="20286" xr:uid="{00000000-0005-0000-0000-00004D0F0000}"/>
    <cellStyle name="20% - Accent3 2 8 3 3" xfId="11942" xr:uid="{00000000-0005-0000-0000-00004E0F0000}"/>
    <cellStyle name="20% - Accent3 2 8 3 3 2" xfId="22505" xr:uid="{00000000-0005-0000-0000-00004F0F0000}"/>
    <cellStyle name="20% - Accent3 2 8 3 4" xfId="14161" xr:uid="{00000000-0005-0000-0000-0000500F0000}"/>
    <cellStyle name="20% - Accent3 2 8 3 4 2" xfId="24724" xr:uid="{00000000-0005-0000-0000-0000510F0000}"/>
    <cellStyle name="20% - Accent3 2 8 3 5" xfId="18067" xr:uid="{00000000-0005-0000-0000-0000520F0000}"/>
    <cellStyle name="20% - Accent3 2 8 4" xfId="8980" xr:uid="{00000000-0005-0000-0000-0000530F0000}"/>
    <cellStyle name="20% - Accent3 2 8 4 2" xfId="19543" xr:uid="{00000000-0005-0000-0000-0000540F0000}"/>
    <cellStyle name="20% - Accent3 2 8 5" xfId="11199" xr:uid="{00000000-0005-0000-0000-0000550F0000}"/>
    <cellStyle name="20% - Accent3 2 8 5 2" xfId="21762" xr:uid="{00000000-0005-0000-0000-0000560F0000}"/>
    <cellStyle name="20% - Accent3 2 8 6" xfId="13418" xr:uid="{00000000-0005-0000-0000-0000570F0000}"/>
    <cellStyle name="20% - Accent3 2 8 6 2" xfId="23981" xr:uid="{00000000-0005-0000-0000-0000580F0000}"/>
    <cellStyle name="20% - Accent3 2 8 7" xfId="17318" xr:uid="{00000000-0005-0000-0000-0000590F0000}"/>
    <cellStyle name="20% - Accent3 2 9" xfId="421" xr:uid="{00000000-0005-0000-0000-00005A0F0000}"/>
    <cellStyle name="20% - Accent3 2 9 2" xfId="8238" xr:uid="{00000000-0005-0000-0000-00005B0F0000}"/>
    <cellStyle name="20% - Accent3 2 9 2 2" xfId="10457" xr:uid="{00000000-0005-0000-0000-00005C0F0000}"/>
    <cellStyle name="20% - Accent3 2 9 2 2 2" xfId="21020" xr:uid="{00000000-0005-0000-0000-00005D0F0000}"/>
    <cellStyle name="20% - Accent3 2 9 2 3" xfId="12676" xr:uid="{00000000-0005-0000-0000-00005E0F0000}"/>
    <cellStyle name="20% - Accent3 2 9 2 3 2" xfId="23239" xr:uid="{00000000-0005-0000-0000-00005F0F0000}"/>
    <cellStyle name="20% - Accent3 2 9 2 4" xfId="14895" xr:uid="{00000000-0005-0000-0000-0000600F0000}"/>
    <cellStyle name="20% - Accent3 2 9 2 4 2" xfId="25458" xr:uid="{00000000-0005-0000-0000-0000610F0000}"/>
    <cellStyle name="20% - Accent3 2 9 2 5" xfId="18801" xr:uid="{00000000-0005-0000-0000-0000620F0000}"/>
    <cellStyle name="20% - Accent3 2 9 3" xfId="7505" xr:uid="{00000000-0005-0000-0000-0000630F0000}"/>
    <cellStyle name="20% - Accent3 2 9 3 2" xfId="9724" xr:uid="{00000000-0005-0000-0000-0000640F0000}"/>
    <cellStyle name="20% - Accent3 2 9 3 2 2" xfId="20287" xr:uid="{00000000-0005-0000-0000-0000650F0000}"/>
    <cellStyle name="20% - Accent3 2 9 3 3" xfId="11943" xr:uid="{00000000-0005-0000-0000-0000660F0000}"/>
    <cellStyle name="20% - Accent3 2 9 3 3 2" xfId="22506" xr:uid="{00000000-0005-0000-0000-0000670F0000}"/>
    <cellStyle name="20% - Accent3 2 9 3 4" xfId="14162" xr:uid="{00000000-0005-0000-0000-0000680F0000}"/>
    <cellStyle name="20% - Accent3 2 9 3 4 2" xfId="24725" xr:uid="{00000000-0005-0000-0000-0000690F0000}"/>
    <cellStyle name="20% - Accent3 2 9 3 5" xfId="18068" xr:uid="{00000000-0005-0000-0000-00006A0F0000}"/>
    <cellStyle name="20% - Accent3 2 9 4" xfId="8981" xr:uid="{00000000-0005-0000-0000-00006B0F0000}"/>
    <cellStyle name="20% - Accent3 2 9 4 2" xfId="19544" xr:uid="{00000000-0005-0000-0000-00006C0F0000}"/>
    <cellStyle name="20% - Accent3 2 9 5" xfId="11200" xr:uid="{00000000-0005-0000-0000-00006D0F0000}"/>
    <cellStyle name="20% - Accent3 2 9 5 2" xfId="21763" xr:uid="{00000000-0005-0000-0000-00006E0F0000}"/>
    <cellStyle name="20% - Accent3 2 9 6" xfId="13419" xr:uid="{00000000-0005-0000-0000-00006F0F0000}"/>
    <cellStyle name="20% - Accent3 2 9 6 2" xfId="23982" xr:uid="{00000000-0005-0000-0000-0000700F0000}"/>
    <cellStyle name="20% - Accent3 2 9 7" xfId="17319" xr:uid="{00000000-0005-0000-0000-0000710F0000}"/>
    <cellStyle name="20% - Accent3 20" xfId="422" xr:uid="{00000000-0005-0000-0000-0000720F0000}"/>
    <cellStyle name="20% - Accent3 21" xfId="423" xr:uid="{00000000-0005-0000-0000-0000730F0000}"/>
    <cellStyle name="20% - Accent3 22" xfId="424" xr:uid="{00000000-0005-0000-0000-0000740F0000}"/>
    <cellStyle name="20% - Accent3 23" xfId="425" xr:uid="{00000000-0005-0000-0000-0000750F0000}"/>
    <cellStyle name="20% - Accent3 24" xfId="426" xr:uid="{00000000-0005-0000-0000-0000760F0000}"/>
    <cellStyle name="20% - Accent3 25" xfId="427" xr:uid="{00000000-0005-0000-0000-0000770F0000}"/>
    <cellStyle name="20% - Accent3 26" xfId="428" xr:uid="{00000000-0005-0000-0000-0000780F0000}"/>
    <cellStyle name="20% - Accent3 3" xfId="429" xr:uid="{00000000-0005-0000-0000-0000790F0000}"/>
    <cellStyle name="20% - Accent3 3 10" xfId="430" xr:uid="{00000000-0005-0000-0000-00007A0F0000}"/>
    <cellStyle name="20% - Accent3 3 2" xfId="431" xr:uid="{00000000-0005-0000-0000-00007B0F0000}"/>
    <cellStyle name="20% - Accent3 3 2 2" xfId="8239" xr:uid="{00000000-0005-0000-0000-00007C0F0000}"/>
    <cellStyle name="20% - Accent3 3 2 2 2" xfId="10458" xr:uid="{00000000-0005-0000-0000-00007D0F0000}"/>
    <cellStyle name="20% - Accent3 3 2 2 2 2" xfId="21021" xr:uid="{00000000-0005-0000-0000-00007E0F0000}"/>
    <cellStyle name="20% - Accent3 3 2 2 3" xfId="12677" xr:uid="{00000000-0005-0000-0000-00007F0F0000}"/>
    <cellStyle name="20% - Accent3 3 2 2 3 2" xfId="23240" xr:uid="{00000000-0005-0000-0000-0000800F0000}"/>
    <cellStyle name="20% - Accent3 3 2 2 4" xfId="14896" xr:uid="{00000000-0005-0000-0000-0000810F0000}"/>
    <cellStyle name="20% - Accent3 3 2 2 4 2" xfId="25459" xr:uid="{00000000-0005-0000-0000-0000820F0000}"/>
    <cellStyle name="20% - Accent3 3 2 2 5" xfId="18802" xr:uid="{00000000-0005-0000-0000-0000830F0000}"/>
    <cellStyle name="20% - Accent3 3 2 3" xfId="7506" xr:uid="{00000000-0005-0000-0000-0000840F0000}"/>
    <cellStyle name="20% - Accent3 3 2 3 2" xfId="9725" xr:uid="{00000000-0005-0000-0000-0000850F0000}"/>
    <cellStyle name="20% - Accent3 3 2 3 2 2" xfId="20288" xr:uid="{00000000-0005-0000-0000-0000860F0000}"/>
    <cellStyle name="20% - Accent3 3 2 3 3" xfId="11944" xr:uid="{00000000-0005-0000-0000-0000870F0000}"/>
    <cellStyle name="20% - Accent3 3 2 3 3 2" xfId="22507" xr:uid="{00000000-0005-0000-0000-0000880F0000}"/>
    <cellStyle name="20% - Accent3 3 2 3 4" xfId="14163" xr:uid="{00000000-0005-0000-0000-0000890F0000}"/>
    <cellStyle name="20% - Accent3 3 2 3 4 2" xfId="24726" xr:uid="{00000000-0005-0000-0000-00008A0F0000}"/>
    <cellStyle name="20% - Accent3 3 2 3 5" xfId="18069" xr:uid="{00000000-0005-0000-0000-00008B0F0000}"/>
    <cellStyle name="20% - Accent3 3 2 4" xfId="8982" xr:uid="{00000000-0005-0000-0000-00008C0F0000}"/>
    <cellStyle name="20% - Accent3 3 2 4 2" xfId="19545" xr:uid="{00000000-0005-0000-0000-00008D0F0000}"/>
    <cellStyle name="20% - Accent3 3 2 5" xfId="11201" xr:uid="{00000000-0005-0000-0000-00008E0F0000}"/>
    <cellStyle name="20% - Accent3 3 2 5 2" xfId="21764" xr:uid="{00000000-0005-0000-0000-00008F0F0000}"/>
    <cellStyle name="20% - Accent3 3 2 6" xfId="13420" xr:uid="{00000000-0005-0000-0000-0000900F0000}"/>
    <cellStyle name="20% - Accent3 3 2 6 2" xfId="23983" xr:uid="{00000000-0005-0000-0000-0000910F0000}"/>
    <cellStyle name="20% - Accent3 3 2 7" xfId="17320" xr:uid="{00000000-0005-0000-0000-0000920F0000}"/>
    <cellStyle name="20% - Accent3 3 3" xfId="432" xr:uid="{00000000-0005-0000-0000-0000930F0000}"/>
    <cellStyle name="20% - Accent3 3 3 2" xfId="8240" xr:uid="{00000000-0005-0000-0000-0000940F0000}"/>
    <cellStyle name="20% - Accent3 3 3 2 2" xfId="10459" xr:uid="{00000000-0005-0000-0000-0000950F0000}"/>
    <cellStyle name="20% - Accent3 3 3 2 2 2" xfId="21022" xr:uid="{00000000-0005-0000-0000-0000960F0000}"/>
    <cellStyle name="20% - Accent3 3 3 2 3" xfId="12678" xr:uid="{00000000-0005-0000-0000-0000970F0000}"/>
    <cellStyle name="20% - Accent3 3 3 2 3 2" xfId="23241" xr:uid="{00000000-0005-0000-0000-0000980F0000}"/>
    <cellStyle name="20% - Accent3 3 3 2 4" xfId="14897" xr:uid="{00000000-0005-0000-0000-0000990F0000}"/>
    <cellStyle name="20% - Accent3 3 3 2 4 2" xfId="25460" xr:uid="{00000000-0005-0000-0000-00009A0F0000}"/>
    <cellStyle name="20% - Accent3 3 3 2 5" xfId="18803" xr:uid="{00000000-0005-0000-0000-00009B0F0000}"/>
    <cellStyle name="20% - Accent3 3 3 3" xfId="7507" xr:uid="{00000000-0005-0000-0000-00009C0F0000}"/>
    <cellStyle name="20% - Accent3 3 3 3 2" xfId="9726" xr:uid="{00000000-0005-0000-0000-00009D0F0000}"/>
    <cellStyle name="20% - Accent3 3 3 3 2 2" xfId="20289" xr:uid="{00000000-0005-0000-0000-00009E0F0000}"/>
    <cellStyle name="20% - Accent3 3 3 3 3" xfId="11945" xr:uid="{00000000-0005-0000-0000-00009F0F0000}"/>
    <cellStyle name="20% - Accent3 3 3 3 3 2" xfId="22508" xr:uid="{00000000-0005-0000-0000-0000A00F0000}"/>
    <cellStyle name="20% - Accent3 3 3 3 4" xfId="14164" xr:uid="{00000000-0005-0000-0000-0000A10F0000}"/>
    <cellStyle name="20% - Accent3 3 3 3 4 2" xfId="24727" xr:uid="{00000000-0005-0000-0000-0000A20F0000}"/>
    <cellStyle name="20% - Accent3 3 3 3 5" xfId="18070" xr:uid="{00000000-0005-0000-0000-0000A30F0000}"/>
    <cellStyle name="20% - Accent3 3 3 4" xfId="8983" xr:uid="{00000000-0005-0000-0000-0000A40F0000}"/>
    <cellStyle name="20% - Accent3 3 3 4 2" xfId="19546" xr:uid="{00000000-0005-0000-0000-0000A50F0000}"/>
    <cellStyle name="20% - Accent3 3 3 5" xfId="11202" xr:uid="{00000000-0005-0000-0000-0000A60F0000}"/>
    <cellStyle name="20% - Accent3 3 3 5 2" xfId="21765" xr:uid="{00000000-0005-0000-0000-0000A70F0000}"/>
    <cellStyle name="20% - Accent3 3 3 6" xfId="13421" xr:uid="{00000000-0005-0000-0000-0000A80F0000}"/>
    <cellStyle name="20% - Accent3 3 3 6 2" xfId="23984" xr:uid="{00000000-0005-0000-0000-0000A90F0000}"/>
    <cellStyle name="20% - Accent3 3 3 7" xfId="17321" xr:uid="{00000000-0005-0000-0000-0000AA0F0000}"/>
    <cellStyle name="20% - Accent3 3 4" xfId="433" xr:uid="{00000000-0005-0000-0000-0000AB0F0000}"/>
    <cellStyle name="20% - Accent3 3 4 2" xfId="8241" xr:uid="{00000000-0005-0000-0000-0000AC0F0000}"/>
    <cellStyle name="20% - Accent3 3 4 2 2" xfId="10460" xr:uid="{00000000-0005-0000-0000-0000AD0F0000}"/>
    <cellStyle name="20% - Accent3 3 4 2 2 2" xfId="21023" xr:uid="{00000000-0005-0000-0000-0000AE0F0000}"/>
    <cellStyle name="20% - Accent3 3 4 2 3" xfId="12679" xr:uid="{00000000-0005-0000-0000-0000AF0F0000}"/>
    <cellStyle name="20% - Accent3 3 4 2 3 2" xfId="23242" xr:uid="{00000000-0005-0000-0000-0000B00F0000}"/>
    <cellStyle name="20% - Accent3 3 4 2 4" xfId="14898" xr:uid="{00000000-0005-0000-0000-0000B10F0000}"/>
    <cellStyle name="20% - Accent3 3 4 2 4 2" xfId="25461" xr:uid="{00000000-0005-0000-0000-0000B20F0000}"/>
    <cellStyle name="20% - Accent3 3 4 2 5" xfId="18804" xr:uid="{00000000-0005-0000-0000-0000B30F0000}"/>
    <cellStyle name="20% - Accent3 3 4 3" xfId="7508" xr:uid="{00000000-0005-0000-0000-0000B40F0000}"/>
    <cellStyle name="20% - Accent3 3 4 3 2" xfId="9727" xr:uid="{00000000-0005-0000-0000-0000B50F0000}"/>
    <cellStyle name="20% - Accent3 3 4 3 2 2" xfId="20290" xr:uid="{00000000-0005-0000-0000-0000B60F0000}"/>
    <cellStyle name="20% - Accent3 3 4 3 3" xfId="11946" xr:uid="{00000000-0005-0000-0000-0000B70F0000}"/>
    <cellStyle name="20% - Accent3 3 4 3 3 2" xfId="22509" xr:uid="{00000000-0005-0000-0000-0000B80F0000}"/>
    <cellStyle name="20% - Accent3 3 4 3 4" xfId="14165" xr:uid="{00000000-0005-0000-0000-0000B90F0000}"/>
    <cellStyle name="20% - Accent3 3 4 3 4 2" xfId="24728" xr:uid="{00000000-0005-0000-0000-0000BA0F0000}"/>
    <cellStyle name="20% - Accent3 3 4 3 5" xfId="18071" xr:uid="{00000000-0005-0000-0000-0000BB0F0000}"/>
    <cellStyle name="20% - Accent3 3 4 4" xfId="8984" xr:uid="{00000000-0005-0000-0000-0000BC0F0000}"/>
    <cellStyle name="20% - Accent3 3 4 4 2" xfId="19547" xr:uid="{00000000-0005-0000-0000-0000BD0F0000}"/>
    <cellStyle name="20% - Accent3 3 4 5" xfId="11203" xr:uid="{00000000-0005-0000-0000-0000BE0F0000}"/>
    <cellStyle name="20% - Accent3 3 4 5 2" xfId="21766" xr:uid="{00000000-0005-0000-0000-0000BF0F0000}"/>
    <cellStyle name="20% - Accent3 3 4 6" xfId="13422" xr:uid="{00000000-0005-0000-0000-0000C00F0000}"/>
    <cellStyle name="20% - Accent3 3 4 6 2" xfId="23985" xr:uid="{00000000-0005-0000-0000-0000C10F0000}"/>
    <cellStyle name="20% - Accent3 3 4 7" xfId="17322" xr:uid="{00000000-0005-0000-0000-0000C20F0000}"/>
    <cellStyle name="20% - Accent3 3 5" xfId="434" xr:uid="{00000000-0005-0000-0000-0000C30F0000}"/>
    <cellStyle name="20% - Accent3 3 5 2" xfId="8242" xr:uid="{00000000-0005-0000-0000-0000C40F0000}"/>
    <cellStyle name="20% - Accent3 3 5 2 2" xfId="10461" xr:uid="{00000000-0005-0000-0000-0000C50F0000}"/>
    <cellStyle name="20% - Accent3 3 5 2 2 2" xfId="21024" xr:uid="{00000000-0005-0000-0000-0000C60F0000}"/>
    <cellStyle name="20% - Accent3 3 5 2 3" xfId="12680" xr:uid="{00000000-0005-0000-0000-0000C70F0000}"/>
    <cellStyle name="20% - Accent3 3 5 2 3 2" xfId="23243" xr:uid="{00000000-0005-0000-0000-0000C80F0000}"/>
    <cellStyle name="20% - Accent3 3 5 2 4" xfId="14899" xr:uid="{00000000-0005-0000-0000-0000C90F0000}"/>
    <cellStyle name="20% - Accent3 3 5 2 4 2" xfId="25462" xr:uid="{00000000-0005-0000-0000-0000CA0F0000}"/>
    <cellStyle name="20% - Accent3 3 5 2 5" xfId="18805" xr:uid="{00000000-0005-0000-0000-0000CB0F0000}"/>
    <cellStyle name="20% - Accent3 3 5 3" xfId="7509" xr:uid="{00000000-0005-0000-0000-0000CC0F0000}"/>
    <cellStyle name="20% - Accent3 3 5 3 2" xfId="9728" xr:uid="{00000000-0005-0000-0000-0000CD0F0000}"/>
    <cellStyle name="20% - Accent3 3 5 3 2 2" xfId="20291" xr:uid="{00000000-0005-0000-0000-0000CE0F0000}"/>
    <cellStyle name="20% - Accent3 3 5 3 3" xfId="11947" xr:uid="{00000000-0005-0000-0000-0000CF0F0000}"/>
    <cellStyle name="20% - Accent3 3 5 3 3 2" xfId="22510" xr:uid="{00000000-0005-0000-0000-0000D00F0000}"/>
    <cellStyle name="20% - Accent3 3 5 3 4" xfId="14166" xr:uid="{00000000-0005-0000-0000-0000D10F0000}"/>
    <cellStyle name="20% - Accent3 3 5 3 4 2" xfId="24729" xr:uid="{00000000-0005-0000-0000-0000D20F0000}"/>
    <cellStyle name="20% - Accent3 3 5 3 5" xfId="18072" xr:uid="{00000000-0005-0000-0000-0000D30F0000}"/>
    <cellStyle name="20% - Accent3 3 5 4" xfId="8985" xr:uid="{00000000-0005-0000-0000-0000D40F0000}"/>
    <cellStyle name="20% - Accent3 3 5 4 2" xfId="19548" xr:uid="{00000000-0005-0000-0000-0000D50F0000}"/>
    <cellStyle name="20% - Accent3 3 5 5" xfId="11204" xr:uid="{00000000-0005-0000-0000-0000D60F0000}"/>
    <cellStyle name="20% - Accent3 3 5 5 2" xfId="21767" xr:uid="{00000000-0005-0000-0000-0000D70F0000}"/>
    <cellStyle name="20% - Accent3 3 5 6" xfId="13423" xr:uid="{00000000-0005-0000-0000-0000D80F0000}"/>
    <cellStyle name="20% - Accent3 3 5 6 2" xfId="23986" xr:uid="{00000000-0005-0000-0000-0000D90F0000}"/>
    <cellStyle name="20% - Accent3 3 5 7" xfId="17323" xr:uid="{00000000-0005-0000-0000-0000DA0F0000}"/>
    <cellStyle name="20% - Accent3 3 6" xfId="435" xr:uid="{00000000-0005-0000-0000-0000DB0F0000}"/>
    <cellStyle name="20% - Accent3 3 7" xfId="436" xr:uid="{00000000-0005-0000-0000-0000DC0F0000}"/>
    <cellStyle name="20% - Accent3 3 8" xfId="437" xr:uid="{00000000-0005-0000-0000-0000DD0F0000}"/>
    <cellStyle name="20% - Accent3 3 9" xfId="438" xr:uid="{00000000-0005-0000-0000-0000DE0F0000}"/>
    <cellStyle name="20% - Accent3 4" xfId="439" xr:uid="{00000000-0005-0000-0000-0000DF0F0000}"/>
    <cellStyle name="20% - Accent3 4 2" xfId="440" xr:uid="{00000000-0005-0000-0000-0000E00F0000}"/>
    <cellStyle name="20% - Accent3 4 3" xfId="441" xr:uid="{00000000-0005-0000-0000-0000E10F0000}"/>
    <cellStyle name="20% - Accent3 4 4" xfId="442" xr:uid="{00000000-0005-0000-0000-0000E20F0000}"/>
    <cellStyle name="20% - Accent3 4 5" xfId="443" xr:uid="{00000000-0005-0000-0000-0000E30F0000}"/>
    <cellStyle name="20% - Accent3 4 6" xfId="444" xr:uid="{00000000-0005-0000-0000-0000E40F0000}"/>
    <cellStyle name="20% - Accent3 5" xfId="445" xr:uid="{00000000-0005-0000-0000-0000E50F0000}"/>
    <cellStyle name="20% - Accent3 5 2" xfId="446" xr:uid="{00000000-0005-0000-0000-0000E60F0000}"/>
    <cellStyle name="20% - Accent3 5 3" xfId="447" xr:uid="{00000000-0005-0000-0000-0000E70F0000}"/>
    <cellStyle name="20% - Accent3 5 4" xfId="448" xr:uid="{00000000-0005-0000-0000-0000E80F0000}"/>
    <cellStyle name="20% - Accent3 5 5" xfId="449" xr:uid="{00000000-0005-0000-0000-0000E90F0000}"/>
    <cellStyle name="20% - Accent3 5 6" xfId="450" xr:uid="{00000000-0005-0000-0000-0000EA0F0000}"/>
    <cellStyle name="20% - Accent3 6" xfId="451" xr:uid="{00000000-0005-0000-0000-0000EB0F0000}"/>
    <cellStyle name="20% - Accent3 6 2" xfId="452" xr:uid="{00000000-0005-0000-0000-0000EC0F0000}"/>
    <cellStyle name="20% - Accent3 6 3" xfId="453" xr:uid="{00000000-0005-0000-0000-0000ED0F0000}"/>
    <cellStyle name="20% - Accent3 6 4" xfId="454" xr:uid="{00000000-0005-0000-0000-0000EE0F0000}"/>
    <cellStyle name="20% - Accent3 6 5" xfId="455" xr:uid="{00000000-0005-0000-0000-0000EF0F0000}"/>
    <cellStyle name="20% - Accent3 6 6" xfId="456" xr:uid="{00000000-0005-0000-0000-0000F00F0000}"/>
    <cellStyle name="20% - Accent3 7" xfId="457" xr:uid="{00000000-0005-0000-0000-0000F10F0000}"/>
    <cellStyle name="20% - Accent3 7 10" xfId="11205" xr:uid="{00000000-0005-0000-0000-0000F20F0000}"/>
    <cellStyle name="20% - Accent3 7 10 2" xfId="21768" xr:uid="{00000000-0005-0000-0000-0000F30F0000}"/>
    <cellStyle name="20% - Accent3 7 11" xfId="13424" xr:uid="{00000000-0005-0000-0000-0000F40F0000}"/>
    <cellStyle name="20% - Accent3 7 11 2" xfId="23987" xr:uid="{00000000-0005-0000-0000-0000F50F0000}"/>
    <cellStyle name="20% - Accent3 7 12" xfId="17324" xr:uid="{00000000-0005-0000-0000-0000F60F0000}"/>
    <cellStyle name="20% - Accent3 7 2" xfId="458" xr:uid="{00000000-0005-0000-0000-0000F70F0000}"/>
    <cellStyle name="20% - Accent3 7 3" xfId="459" xr:uid="{00000000-0005-0000-0000-0000F80F0000}"/>
    <cellStyle name="20% - Accent3 7 4" xfId="460" xr:uid="{00000000-0005-0000-0000-0000F90F0000}"/>
    <cellStyle name="20% - Accent3 7 5" xfId="461" xr:uid="{00000000-0005-0000-0000-0000FA0F0000}"/>
    <cellStyle name="20% - Accent3 7 6" xfId="462" xr:uid="{00000000-0005-0000-0000-0000FB0F0000}"/>
    <cellStyle name="20% - Accent3 7 7" xfId="8243" xr:uid="{00000000-0005-0000-0000-0000FC0F0000}"/>
    <cellStyle name="20% - Accent3 7 7 2" xfId="10462" xr:uid="{00000000-0005-0000-0000-0000FD0F0000}"/>
    <cellStyle name="20% - Accent3 7 7 2 2" xfId="21025" xr:uid="{00000000-0005-0000-0000-0000FE0F0000}"/>
    <cellStyle name="20% - Accent3 7 7 3" xfId="12681" xr:uid="{00000000-0005-0000-0000-0000FF0F0000}"/>
    <cellStyle name="20% - Accent3 7 7 3 2" xfId="23244" xr:uid="{00000000-0005-0000-0000-000000100000}"/>
    <cellStyle name="20% - Accent3 7 7 4" xfId="14900" xr:uid="{00000000-0005-0000-0000-000001100000}"/>
    <cellStyle name="20% - Accent3 7 7 4 2" xfId="25463" xr:uid="{00000000-0005-0000-0000-000002100000}"/>
    <cellStyle name="20% - Accent3 7 7 5" xfId="18806" xr:uid="{00000000-0005-0000-0000-000003100000}"/>
    <cellStyle name="20% - Accent3 7 8" xfId="7510" xr:uid="{00000000-0005-0000-0000-000004100000}"/>
    <cellStyle name="20% - Accent3 7 8 2" xfId="9729" xr:uid="{00000000-0005-0000-0000-000005100000}"/>
    <cellStyle name="20% - Accent3 7 8 2 2" xfId="20292" xr:uid="{00000000-0005-0000-0000-000006100000}"/>
    <cellStyle name="20% - Accent3 7 8 3" xfId="11948" xr:uid="{00000000-0005-0000-0000-000007100000}"/>
    <cellStyle name="20% - Accent3 7 8 3 2" xfId="22511" xr:uid="{00000000-0005-0000-0000-000008100000}"/>
    <cellStyle name="20% - Accent3 7 8 4" xfId="14167" xr:uid="{00000000-0005-0000-0000-000009100000}"/>
    <cellStyle name="20% - Accent3 7 8 4 2" xfId="24730" xr:uid="{00000000-0005-0000-0000-00000A100000}"/>
    <cellStyle name="20% - Accent3 7 8 5" xfId="18073" xr:uid="{00000000-0005-0000-0000-00000B100000}"/>
    <cellStyle name="20% - Accent3 7 9" xfId="8986" xr:uid="{00000000-0005-0000-0000-00000C100000}"/>
    <cellStyle name="20% - Accent3 7 9 2" xfId="19549" xr:uid="{00000000-0005-0000-0000-00000D100000}"/>
    <cellStyle name="20% - Accent3 8" xfId="463" xr:uid="{00000000-0005-0000-0000-00000E100000}"/>
    <cellStyle name="20% - Accent3 8 2" xfId="464" xr:uid="{00000000-0005-0000-0000-00000F100000}"/>
    <cellStyle name="20% - Accent3 8 3" xfId="465" xr:uid="{00000000-0005-0000-0000-000010100000}"/>
    <cellStyle name="20% - Accent3 8 4" xfId="466" xr:uid="{00000000-0005-0000-0000-000011100000}"/>
    <cellStyle name="20% - Accent3 8 5" xfId="467" xr:uid="{00000000-0005-0000-0000-000012100000}"/>
    <cellStyle name="20% - Accent3 8 6" xfId="468" xr:uid="{00000000-0005-0000-0000-000013100000}"/>
    <cellStyle name="20% - Accent3 9" xfId="469" xr:uid="{00000000-0005-0000-0000-000014100000}"/>
    <cellStyle name="20% - Accent3 9 2" xfId="470" xr:uid="{00000000-0005-0000-0000-000015100000}"/>
    <cellStyle name="20% - Accent3 9 3" xfId="471" xr:uid="{00000000-0005-0000-0000-000016100000}"/>
    <cellStyle name="20% - Accent3 9 4" xfId="472" xr:uid="{00000000-0005-0000-0000-000017100000}"/>
    <cellStyle name="20% - Accent3 9 5" xfId="473" xr:uid="{00000000-0005-0000-0000-000018100000}"/>
    <cellStyle name="20% - Accent4 10" xfId="474" xr:uid="{00000000-0005-0000-0000-000019100000}"/>
    <cellStyle name="20% - Accent4 10 2" xfId="475" xr:uid="{00000000-0005-0000-0000-00001A100000}"/>
    <cellStyle name="20% - Accent4 10 3" xfId="476" xr:uid="{00000000-0005-0000-0000-00001B100000}"/>
    <cellStyle name="20% - Accent4 10 4" xfId="477" xr:uid="{00000000-0005-0000-0000-00001C100000}"/>
    <cellStyle name="20% - Accent4 10 5" xfId="478" xr:uid="{00000000-0005-0000-0000-00001D100000}"/>
    <cellStyle name="20% - Accent4 11" xfId="479" xr:uid="{00000000-0005-0000-0000-00001E100000}"/>
    <cellStyle name="20% - Accent4 11 2" xfId="480" xr:uid="{00000000-0005-0000-0000-00001F100000}"/>
    <cellStyle name="20% - Accent4 11 3" xfId="481" xr:uid="{00000000-0005-0000-0000-000020100000}"/>
    <cellStyle name="20% - Accent4 11 4" xfId="482" xr:uid="{00000000-0005-0000-0000-000021100000}"/>
    <cellStyle name="20% - Accent4 11 5" xfId="483" xr:uid="{00000000-0005-0000-0000-000022100000}"/>
    <cellStyle name="20% - Accent4 12" xfId="484" xr:uid="{00000000-0005-0000-0000-000023100000}"/>
    <cellStyle name="20% - Accent4 12 2" xfId="485" xr:uid="{00000000-0005-0000-0000-000024100000}"/>
    <cellStyle name="20% - Accent4 12 3" xfId="486" xr:uid="{00000000-0005-0000-0000-000025100000}"/>
    <cellStyle name="20% - Accent4 12 4" xfId="487" xr:uid="{00000000-0005-0000-0000-000026100000}"/>
    <cellStyle name="20% - Accent4 12 5" xfId="488" xr:uid="{00000000-0005-0000-0000-000027100000}"/>
    <cellStyle name="20% - Accent4 13" xfId="489" xr:uid="{00000000-0005-0000-0000-000028100000}"/>
    <cellStyle name="20% - Accent4 14" xfId="490" xr:uid="{00000000-0005-0000-0000-000029100000}"/>
    <cellStyle name="20% - Accent4 15" xfId="491" xr:uid="{00000000-0005-0000-0000-00002A100000}"/>
    <cellStyle name="20% - Accent4 16" xfId="492" xr:uid="{00000000-0005-0000-0000-00002B100000}"/>
    <cellStyle name="20% - Accent4 17" xfId="493" xr:uid="{00000000-0005-0000-0000-00002C100000}"/>
    <cellStyle name="20% - Accent4 18" xfId="494" xr:uid="{00000000-0005-0000-0000-00002D100000}"/>
    <cellStyle name="20% - Accent4 19" xfId="495" xr:uid="{00000000-0005-0000-0000-00002E100000}"/>
    <cellStyle name="20% - Accent4 2" xfId="496" xr:uid="{00000000-0005-0000-0000-00002F100000}"/>
    <cellStyle name="20% - Accent4 2 10" xfId="497" xr:uid="{00000000-0005-0000-0000-000030100000}"/>
    <cellStyle name="20% - Accent4 2 10 2" xfId="8244" xr:uid="{00000000-0005-0000-0000-000031100000}"/>
    <cellStyle name="20% - Accent4 2 10 2 2" xfId="10463" xr:uid="{00000000-0005-0000-0000-000032100000}"/>
    <cellStyle name="20% - Accent4 2 10 2 2 2" xfId="21026" xr:uid="{00000000-0005-0000-0000-000033100000}"/>
    <cellStyle name="20% - Accent4 2 10 2 3" xfId="12682" xr:uid="{00000000-0005-0000-0000-000034100000}"/>
    <cellStyle name="20% - Accent4 2 10 2 3 2" xfId="23245" xr:uid="{00000000-0005-0000-0000-000035100000}"/>
    <cellStyle name="20% - Accent4 2 10 2 4" xfId="14901" xr:uid="{00000000-0005-0000-0000-000036100000}"/>
    <cellStyle name="20% - Accent4 2 10 2 4 2" xfId="25464" xr:uid="{00000000-0005-0000-0000-000037100000}"/>
    <cellStyle name="20% - Accent4 2 10 2 5" xfId="18807" xr:uid="{00000000-0005-0000-0000-000038100000}"/>
    <cellStyle name="20% - Accent4 2 10 3" xfId="7511" xr:uid="{00000000-0005-0000-0000-000039100000}"/>
    <cellStyle name="20% - Accent4 2 10 3 2" xfId="9730" xr:uid="{00000000-0005-0000-0000-00003A100000}"/>
    <cellStyle name="20% - Accent4 2 10 3 2 2" xfId="20293" xr:uid="{00000000-0005-0000-0000-00003B100000}"/>
    <cellStyle name="20% - Accent4 2 10 3 3" xfId="11949" xr:uid="{00000000-0005-0000-0000-00003C100000}"/>
    <cellStyle name="20% - Accent4 2 10 3 3 2" xfId="22512" xr:uid="{00000000-0005-0000-0000-00003D100000}"/>
    <cellStyle name="20% - Accent4 2 10 3 4" xfId="14168" xr:uid="{00000000-0005-0000-0000-00003E100000}"/>
    <cellStyle name="20% - Accent4 2 10 3 4 2" xfId="24731" xr:uid="{00000000-0005-0000-0000-00003F100000}"/>
    <cellStyle name="20% - Accent4 2 10 3 5" xfId="18074" xr:uid="{00000000-0005-0000-0000-000040100000}"/>
    <cellStyle name="20% - Accent4 2 10 4" xfId="8987" xr:uid="{00000000-0005-0000-0000-000041100000}"/>
    <cellStyle name="20% - Accent4 2 10 4 2" xfId="19550" xr:uid="{00000000-0005-0000-0000-000042100000}"/>
    <cellStyle name="20% - Accent4 2 10 5" xfId="11206" xr:uid="{00000000-0005-0000-0000-000043100000}"/>
    <cellStyle name="20% - Accent4 2 10 5 2" xfId="21769" xr:uid="{00000000-0005-0000-0000-000044100000}"/>
    <cellStyle name="20% - Accent4 2 10 6" xfId="13425" xr:uid="{00000000-0005-0000-0000-000045100000}"/>
    <cellStyle name="20% - Accent4 2 10 6 2" xfId="23988" xr:uid="{00000000-0005-0000-0000-000046100000}"/>
    <cellStyle name="20% - Accent4 2 10 7" xfId="17325" xr:uid="{00000000-0005-0000-0000-000047100000}"/>
    <cellStyle name="20% - Accent4 2 11" xfId="498" xr:uid="{00000000-0005-0000-0000-000048100000}"/>
    <cellStyle name="20% - Accent4 2 11 2" xfId="499" xr:uid="{00000000-0005-0000-0000-000049100000}"/>
    <cellStyle name="20% - Accent4 2 11 2 2" xfId="8245" xr:uid="{00000000-0005-0000-0000-00004A100000}"/>
    <cellStyle name="20% - Accent4 2 11 2 2 2" xfId="10464" xr:uid="{00000000-0005-0000-0000-00004B100000}"/>
    <cellStyle name="20% - Accent4 2 11 2 2 2 2" xfId="21027" xr:uid="{00000000-0005-0000-0000-00004C100000}"/>
    <cellStyle name="20% - Accent4 2 11 2 2 3" xfId="12683" xr:uid="{00000000-0005-0000-0000-00004D100000}"/>
    <cellStyle name="20% - Accent4 2 11 2 2 3 2" xfId="23246" xr:uid="{00000000-0005-0000-0000-00004E100000}"/>
    <cellStyle name="20% - Accent4 2 11 2 2 4" xfId="14902" xr:uid="{00000000-0005-0000-0000-00004F100000}"/>
    <cellStyle name="20% - Accent4 2 11 2 2 4 2" xfId="25465" xr:uid="{00000000-0005-0000-0000-000050100000}"/>
    <cellStyle name="20% - Accent4 2 11 2 2 5" xfId="18808" xr:uid="{00000000-0005-0000-0000-000051100000}"/>
    <cellStyle name="20% - Accent4 2 11 2 3" xfId="7512" xr:uid="{00000000-0005-0000-0000-000052100000}"/>
    <cellStyle name="20% - Accent4 2 11 2 3 2" xfId="9731" xr:uid="{00000000-0005-0000-0000-000053100000}"/>
    <cellStyle name="20% - Accent4 2 11 2 3 2 2" xfId="20294" xr:uid="{00000000-0005-0000-0000-000054100000}"/>
    <cellStyle name="20% - Accent4 2 11 2 3 3" xfId="11950" xr:uid="{00000000-0005-0000-0000-000055100000}"/>
    <cellStyle name="20% - Accent4 2 11 2 3 3 2" xfId="22513" xr:uid="{00000000-0005-0000-0000-000056100000}"/>
    <cellStyle name="20% - Accent4 2 11 2 3 4" xfId="14169" xr:uid="{00000000-0005-0000-0000-000057100000}"/>
    <cellStyle name="20% - Accent4 2 11 2 3 4 2" xfId="24732" xr:uid="{00000000-0005-0000-0000-000058100000}"/>
    <cellStyle name="20% - Accent4 2 11 2 3 5" xfId="18075" xr:uid="{00000000-0005-0000-0000-000059100000}"/>
    <cellStyle name="20% - Accent4 2 11 2 4" xfId="8988" xr:uid="{00000000-0005-0000-0000-00005A100000}"/>
    <cellStyle name="20% - Accent4 2 11 2 4 2" xfId="19551" xr:uid="{00000000-0005-0000-0000-00005B100000}"/>
    <cellStyle name="20% - Accent4 2 11 2 5" xfId="11207" xr:uid="{00000000-0005-0000-0000-00005C100000}"/>
    <cellStyle name="20% - Accent4 2 11 2 5 2" xfId="21770" xr:uid="{00000000-0005-0000-0000-00005D100000}"/>
    <cellStyle name="20% - Accent4 2 11 2 6" xfId="13426" xr:uid="{00000000-0005-0000-0000-00005E100000}"/>
    <cellStyle name="20% - Accent4 2 11 2 6 2" xfId="23989" xr:uid="{00000000-0005-0000-0000-00005F100000}"/>
    <cellStyle name="20% - Accent4 2 11 2 7" xfId="17326" xr:uid="{00000000-0005-0000-0000-000060100000}"/>
    <cellStyle name="20% - Accent4 2 11 3" xfId="500" xr:uid="{00000000-0005-0000-0000-000061100000}"/>
    <cellStyle name="20% - Accent4 2 11 3 2" xfId="8246" xr:uid="{00000000-0005-0000-0000-000062100000}"/>
    <cellStyle name="20% - Accent4 2 11 3 2 2" xfId="10465" xr:uid="{00000000-0005-0000-0000-000063100000}"/>
    <cellStyle name="20% - Accent4 2 11 3 2 2 2" xfId="21028" xr:uid="{00000000-0005-0000-0000-000064100000}"/>
    <cellStyle name="20% - Accent4 2 11 3 2 3" xfId="12684" xr:uid="{00000000-0005-0000-0000-000065100000}"/>
    <cellStyle name="20% - Accent4 2 11 3 2 3 2" xfId="23247" xr:uid="{00000000-0005-0000-0000-000066100000}"/>
    <cellStyle name="20% - Accent4 2 11 3 2 4" xfId="14903" xr:uid="{00000000-0005-0000-0000-000067100000}"/>
    <cellStyle name="20% - Accent4 2 11 3 2 4 2" xfId="25466" xr:uid="{00000000-0005-0000-0000-000068100000}"/>
    <cellStyle name="20% - Accent4 2 11 3 2 5" xfId="18809" xr:uid="{00000000-0005-0000-0000-000069100000}"/>
    <cellStyle name="20% - Accent4 2 11 3 3" xfId="7513" xr:uid="{00000000-0005-0000-0000-00006A100000}"/>
    <cellStyle name="20% - Accent4 2 11 3 3 2" xfId="9732" xr:uid="{00000000-0005-0000-0000-00006B100000}"/>
    <cellStyle name="20% - Accent4 2 11 3 3 2 2" xfId="20295" xr:uid="{00000000-0005-0000-0000-00006C100000}"/>
    <cellStyle name="20% - Accent4 2 11 3 3 3" xfId="11951" xr:uid="{00000000-0005-0000-0000-00006D100000}"/>
    <cellStyle name="20% - Accent4 2 11 3 3 3 2" xfId="22514" xr:uid="{00000000-0005-0000-0000-00006E100000}"/>
    <cellStyle name="20% - Accent4 2 11 3 3 4" xfId="14170" xr:uid="{00000000-0005-0000-0000-00006F100000}"/>
    <cellStyle name="20% - Accent4 2 11 3 3 4 2" xfId="24733" xr:uid="{00000000-0005-0000-0000-000070100000}"/>
    <cellStyle name="20% - Accent4 2 11 3 3 5" xfId="18076" xr:uid="{00000000-0005-0000-0000-000071100000}"/>
    <cellStyle name="20% - Accent4 2 11 3 4" xfId="8989" xr:uid="{00000000-0005-0000-0000-000072100000}"/>
    <cellStyle name="20% - Accent4 2 11 3 4 2" xfId="19552" xr:uid="{00000000-0005-0000-0000-000073100000}"/>
    <cellStyle name="20% - Accent4 2 11 3 5" xfId="11208" xr:uid="{00000000-0005-0000-0000-000074100000}"/>
    <cellStyle name="20% - Accent4 2 11 3 5 2" xfId="21771" xr:uid="{00000000-0005-0000-0000-000075100000}"/>
    <cellStyle name="20% - Accent4 2 11 3 6" xfId="13427" xr:uid="{00000000-0005-0000-0000-000076100000}"/>
    <cellStyle name="20% - Accent4 2 11 3 6 2" xfId="23990" xr:uid="{00000000-0005-0000-0000-000077100000}"/>
    <cellStyle name="20% - Accent4 2 11 3 7" xfId="17327" xr:uid="{00000000-0005-0000-0000-000078100000}"/>
    <cellStyle name="20% - Accent4 2 11 4" xfId="501" xr:uid="{00000000-0005-0000-0000-000079100000}"/>
    <cellStyle name="20% - Accent4 2 11 4 2" xfId="8247" xr:uid="{00000000-0005-0000-0000-00007A100000}"/>
    <cellStyle name="20% - Accent4 2 11 4 2 2" xfId="10466" xr:uid="{00000000-0005-0000-0000-00007B100000}"/>
    <cellStyle name="20% - Accent4 2 11 4 2 2 2" xfId="21029" xr:uid="{00000000-0005-0000-0000-00007C100000}"/>
    <cellStyle name="20% - Accent4 2 11 4 2 3" xfId="12685" xr:uid="{00000000-0005-0000-0000-00007D100000}"/>
    <cellStyle name="20% - Accent4 2 11 4 2 3 2" xfId="23248" xr:uid="{00000000-0005-0000-0000-00007E100000}"/>
    <cellStyle name="20% - Accent4 2 11 4 2 4" xfId="14904" xr:uid="{00000000-0005-0000-0000-00007F100000}"/>
    <cellStyle name="20% - Accent4 2 11 4 2 4 2" xfId="25467" xr:uid="{00000000-0005-0000-0000-000080100000}"/>
    <cellStyle name="20% - Accent4 2 11 4 2 5" xfId="18810" xr:uid="{00000000-0005-0000-0000-000081100000}"/>
    <cellStyle name="20% - Accent4 2 11 4 3" xfId="7514" xr:uid="{00000000-0005-0000-0000-000082100000}"/>
    <cellStyle name="20% - Accent4 2 11 4 3 2" xfId="9733" xr:uid="{00000000-0005-0000-0000-000083100000}"/>
    <cellStyle name="20% - Accent4 2 11 4 3 2 2" xfId="20296" xr:uid="{00000000-0005-0000-0000-000084100000}"/>
    <cellStyle name="20% - Accent4 2 11 4 3 3" xfId="11952" xr:uid="{00000000-0005-0000-0000-000085100000}"/>
    <cellStyle name="20% - Accent4 2 11 4 3 3 2" xfId="22515" xr:uid="{00000000-0005-0000-0000-000086100000}"/>
    <cellStyle name="20% - Accent4 2 11 4 3 4" xfId="14171" xr:uid="{00000000-0005-0000-0000-000087100000}"/>
    <cellStyle name="20% - Accent4 2 11 4 3 4 2" xfId="24734" xr:uid="{00000000-0005-0000-0000-000088100000}"/>
    <cellStyle name="20% - Accent4 2 11 4 3 5" xfId="18077" xr:uid="{00000000-0005-0000-0000-000089100000}"/>
    <cellStyle name="20% - Accent4 2 11 4 4" xfId="8990" xr:uid="{00000000-0005-0000-0000-00008A100000}"/>
    <cellStyle name="20% - Accent4 2 11 4 4 2" xfId="19553" xr:uid="{00000000-0005-0000-0000-00008B100000}"/>
    <cellStyle name="20% - Accent4 2 11 4 5" xfId="11209" xr:uid="{00000000-0005-0000-0000-00008C100000}"/>
    <cellStyle name="20% - Accent4 2 11 4 5 2" xfId="21772" xr:uid="{00000000-0005-0000-0000-00008D100000}"/>
    <cellStyle name="20% - Accent4 2 11 4 6" xfId="13428" xr:uid="{00000000-0005-0000-0000-00008E100000}"/>
    <cellStyle name="20% - Accent4 2 11 4 6 2" xfId="23991" xr:uid="{00000000-0005-0000-0000-00008F100000}"/>
    <cellStyle name="20% - Accent4 2 11 4 7" xfId="17328" xr:uid="{00000000-0005-0000-0000-000090100000}"/>
    <cellStyle name="20% - Accent4 2 11 5" xfId="502" xr:uid="{00000000-0005-0000-0000-000091100000}"/>
    <cellStyle name="20% - Accent4 2 11 5 2" xfId="8248" xr:uid="{00000000-0005-0000-0000-000092100000}"/>
    <cellStyle name="20% - Accent4 2 11 5 2 2" xfId="10467" xr:uid="{00000000-0005-0000-0000-000093100000}"/>
    <cellStyle name="20% - Accent4 2 11 5 2 2 2" xfId="21030" xr:uid="{00000000-0005-0000-0000-000094100000}"/>
    <cellStyle name="20% - Accent4 2 11 5 2 3" xfId="12686" xr:uid="{00000000-0005-0000-0000-000095100000}"/>
    <cellStyle name="20% - Accent4 2 11 5 2 3 2" xfId="23249" xr:uid="{00000000-0005-0000-0000-000096100000}"/>
    <cellStyle name="20% - Accent4 2 11 5 2 4" xfId="14905" xr:uid="{00000000-0005-0000-0000-000097100000}"/>
    <cellStyle name="20% - Accent4 2 11 5 2 4 2" xfId="25468" xr:uid="{00000000-0005-0000-0000-000098100000}"/>
    <cellStyle name="20% - Accent4 2 11 5 2 5" xfId="18811" xr:uid="{00000000-0005-0000-0000-000099100000}"/>
    <cellStyle name="20% - Accent4 2 11 5 3" xfId="7515" xr:uid="{00000000-0005-0000-0000-00009A100000}"/>
    <cellStyle name="20% - Accent4 2 11 5 3 2" xfId="9734" xr:uid="{00000000-0005-0000-0000-00009B100000}"/>
    <cellStyle name="20% - Accent4 2 11 5 3 2 2" xfId="20297" xr:uid="{00000000-0005-0000-0000-00009C100000}"/>
    <cellStyle name="20% - Accent4 2 11 5 3 3" xfId="11953" xr:uid="{00000000-0005-0000-0000-00009D100000}"/>
    <cellStyle name="20% - Accent4 2 11 5 3 3 2" xfId="22516" xr:uid="{00000000-0005-0000-0000-00009E100000}"/>
    <cellStyle name="20% - Accent4 2 11 5 3 4" xfId="14172" xr:uid="{00000000-0005-0000-0000-00009F100000}"/>
    <cellStyle name="20% - Accent4 2 11 5 3 4 2" xfId="24735" xr:uid="{00000000-0005-0000-0000-0000A0100000}"/>
    <cellStyle name="20% - Accent4 2 11 5 3 5" xfId="18078" xr:uid="{00000000-0005-0000-0000-0000A1100000}"/>
    <cellStyle name="20% - Accent4 2 11 5 4" xfId="8991" xr:uid="{00000000-0005-0000-0000-0000A2100000}"/>
    <cellStyle name="20% - Accent4 2 11 5 4 2" xfId="19554" xr:uid="{00000000-0005-0000-0000-0000A3100000}"/>
    <cellStyle name="20% - Accent4 2 11 5 5" xfId="11210" xr:uid="{00000000-0005-0000-0000-0000A4100000}"/>
    <cellStyle name="20% - Accent4 2 11 5 5 2" xfId="21773" xr:uid="{00000000-0005-0000-0000-0000A5100000}"/>
    <cellStyle name="20% - Accent4 2 11 5 6" xfId="13429" xr:uid="{00000000-0005-0000-0000-0000A6100000}"/>
    <cellStyle name="20% - Accent4 2 11 5 6 2" xfId="23992" xr:uid="{00000000-0005-0000-0000-0000A7100000}"/>
    <cellStyle name="20% - Accent4 2 11 5 7" xfId="17329" xr:uid="{00000000-0005-0000-0000-0000A8100000}"/>
    <cellStyle name="20% - Accent4 2 12" xfId="503" xr:uid="{00000000-0005-0000-0000-0000A9100000}"/>
    <cellStyle name="20% - Accent4 2 13" xfId="504" xr:uid="{00000000-0005-0000-0000-0000AA100000}"/>
    <cellStyle name="20% - Accent4 2 14" xfId="505" xr:uid="{00000000-0005-0000-0000-0000AB100000}"/>
    <cellStyle name="20% - Accent4 2 15" xfId="506" xr:uid="{00000000-0005-0000-0000-0000AC100000}"/>
    <cellStyle name="20% - Accent4 2 15 2" xfId="8249" xr:uid="{00000000-0005-0000-0000-0000AD100000}"/>
    <cellStyle name="20% - Accent4 2 15 2 2" xfId="10468" xr:uid="{00000000-0005-0000-0000-0000AE100000}"/>
    <cellStyle name="20% - Accent4 2 15 2 2 2" xfId="21031" xr:uid="{00000000-0005-0000-0000-0000AF100000}"/>
    <cellStyle name="20% - Accent4 2 15 2 3" xfId="12687" xr:uid="{00000000-0005-0000-0000-0000B0100000}"/>
    <cellStyle name="20% - Accent4 2 15 2 3 2" xfId="23250" xr:uid="{00000000-0005-0000-0000-0000B1100000}"/>
    <cellStyle name="20% - Accent4 2 15 2 4" xfId="14906" xr:uid="{00000000-0005-0000-0000-0000B2100000}"/>
    <cellStyle name="20% - Accent4 2 15 2 4 2" xfId="25469" xr:uid="{00000000-0005-0000-0000-0000B3100000}"/>
    <cellStyle name="20% - Accent4 2 15 2 5" xfId="18812" xr:uid="{00000000-0005-0000-0000-0000B4100000}"/>
    <cellStyle name="20% - Accent4 2 15 3" xfId="7516" xr:uid="{00000000-0005-0000-0000-0000B5100000}"/>
    <cellStyle name="20% - Accent4 2 15 3 2" xfId="9735" xr:uid="{00000000-0005-0000-0000-0000B6100000}"/>
    <cellStyle name="20% - Accent4 2 15 3 2 2" xfId="20298" xr:uid="{00000000-0005-0000-0000-0000B7100000}"/>
    <cellStyle name="20% - Accent4 2 15 3 3" xfId="11954" xr:uid="{00000000-0005-0000-0000-0000B8100000}"/>
    <cellStyle name="20% - Accent4 2 15 3 3 2" xfId="22517" xr:uid="{00000000-0005-0000-0000-0000B9100000}"/>
    <cellStyle name="20% - Accent4 2 15 3 4" xfId="14173" xr:uid="{00000000-0005-0000-0000-0000BA100000}"/>
    <cellStyle name="20% - Accent4 2 15 3 4 2" xfId="24736" xr:uid="{00000000-0005-0000-0000-0000BB100000}"/>
    <cellStyle name="20% - Accent4 2 15 3 5" xfId="18079" xr:uid="{00000000-0005-0000-0000-0000BC100000}"/>
    <cellStyle name="20% - Accent4 2 15 4" xfId="8992" xr:uid="{00000000-0005-0000-0000-0000BD100000}"/>
    <cellStyle name="20% - Accent4 2 15 4 2" xfId="19555" xr:uid="{00000000-0005-0000-0000-0000BE100000}"/>
    <cellStyle name="20% - Accent4 2 15 5" xfId="11211" xr:uid="{00000000-0005-0000-0000-0000BF100000}"/>
    <cellStyle name="20% - Accent4 2 15 5 2" xfId="21774" xr:uid="{00000000-0005-0000-0000-0000C0100000}"/>
    <cellStyle name="20% - Accent4 2 15 6" xfId="13430" xr:uid="{00000000-0005-0000-0000-0000C1100000}"/>
    <cellStyle name="20% - Accent4 2 15 6 2" xfId="23993" xr:uid="{00000000-0005-0000-0000-0000C2100000}"/>
    <cellStyle name="20% - Accent4 2 15 7" xfId="17330" xr:uid="{00000000-0005-0000-0000-0000C3100000}"/>
    <cellStyle name="20% - Accent4 2 16" xfId="507" xr:uid="{00000000-0005-0000-0000-0000C4100000}"/>
    <cellStyle name="20% - Accent4 2 2" xfId="508" xr:uid="{00000000-0005-0000-0000-0000C5100000}"/>
    <cellStyle name="20% - Accent4 2 2 10" xfId="8250" xr:uid="{00000000-0005-0000-0000-0000C6100000}"/>
    <cellStyle name="20% - Accent4 2 2 10 2" xfId="10469" xr:uid="{00000000-0005-0000-0000-0000C7100000}"/>
    <cellStyle name="20% - Accent4 2 2 10 2 2" xfId="21032" xr:uid="{00000000-0005-0000-0000-0000C8100000}"/>
    <cellStyle name="20% - Accent4 2 2 10 3" xfId="12688" xr:uid="{00000000-0005-0000-0000-0000C9100000}"/>
    <cellStyle name="20% - Accent4 2 2 10 3 2" xfId="23251" xr:uid="{00000000-0005-0000-0000-0000CA100000}"/>
    <cellStyle name="20% - Accent4 2 2 10 4" xfId="14907" xr:uid="{00000000-0005-0000-0000-0000CB100000}"/>
    <cellStyle name="20% - Accent4 2 2 10 4 2" xfId="25470" xr:uid="{00000000-0005-0000-0000-0000CC100000}"/>
    <cellStyle name="20% - Accent4 2 2 10 5" xfId="18813" xr:uid="{00000000-0005-0000-0000-0000CD100000}"/>
    <cellStyle name="20% - Accent4 2 2 11" xfId="7517" xr:uid="{00000000-0005-0000-0000-0000CE100000}"/>
    <cellStyle name="20% - Accent4 2 2 11 2" xfId="9736" xr:uid="{00000000-0005-0000-0000-0000CF100000}"/>
    <cellStyle name="20% - Accent4 2 2 11 2 2" xfId="20299" xr:uid="{00000000-0005-0000-0000-0000D0100000}"/>
    <cellStyle name="20% - Accent4 2 2 11 3" xfId="11955" xr:uid="{00000000-0005-0000-0000-0000D1100000}"/>
    <cellStyle name="20% - Accent4 2 2 11 3 2" xfId="22518" xr:uid="{00000000-0005-0000-0000-0000D2100000}"/>
    <cellStyle name="20% - Accent4 2 2 11 4" xfId="14174" xr:uid="{00000000-0005-0000-0000-0000D3100000}"/>
    <cellStyle name="20% - Accent4 2 2 11 4 2" xfId="24737" xr:uid="{00000000-0005-0000-0000-0000D4100000}"/>
    <cellStyle name="20% - Accent4 2 2 11 5" xfId="18080" xr:uid="{00000000-0005-0000-0000-0000D5100000}"/>
    <cellStyle name="20% - Accent4 2 2 12" xfId="8993" xr:uid="{00000000-0005-0000-0000-0000D6100000}"/>
    <cellStyle name="20% - Accent4 2 2 12 2" xfId="19556" xr:uid="{00000000-0005-0000-0000-0000D7100000}"/>
    <cellStyle name="20% - Accent4 2 2 13" xfId="11212" xr:uid="{00000000-0005-0000-0000-0000D8100000}"/>
    <cellStyle name="20% - Accent4 2 2 13 2" xfId="21775" xr:uid="{00000000-0005-0000-0000-0000D9100000}"/>
    <cellStyle name="20% - Accent4 2 2 14" xfId="13431" xr:uid="{00000000-0005-0000-0000-0000DA100000}"/>
    <cellStyle name="20% - Accent4 2 2 14 2" xfId="23994" xr:uid="{00000000-0005-0000-0000-0000DB100000}"/>
    <cellStyle name="20% - Accent4 2 2 15" xfId="17331" xr:uid="{00000000-0005-0000-0000-0000DC100000}"/>
    <cellStyle name="20% - Accent4 2 2 2" xfId="509" xr:uid="{00000000-0005-0000-0000-0000DD100000}"/>
    <cellStyle name="20% - Accent4 2 2 2 2" xfId="8251" xr:uid="{00000000-0005-0000-0000-0000DE100000}"/>
    <cellStyle name="20% - Accent4 2 2 2 2 2" xfId="10470" xr:uid="{00000000-0005-0000-0000-0000DF100000}"/>
    <cellStyle name="20% - Accent4 2 2 2 2 2 2" xfId="21033" xr:uid="{00000000-0005-0000-0000-0000E0100000}"/>
    <cellStyle name="20% - Accent4 2 2 2 2 3" xfId="12689" xr:uid="{00000000-0005-0000-0000-0000E1100000}"/>
    <cellStyle name="20% - Accent4 2 2 2 2 3 2" xfId="23252" xr:uid="{00000000-0005-0000-0000-0000E2100000}"/>
    <cellStyle name="20% - Accent4 2 2 2 2 4" xfId="14908" xr:uid="{00000000-0005-0000-0000-0000E3100000}"/>
    <cellStyle name="20% - Accent4 2 2 2 2 4 2" xfId="25471" xr:uid="{00000000-0005-0000-0000-0000E4100000}"/>
    <cellStyle name="20% - Accent4 2 2 2 2 5" xfId="18814" xr:uid="{00000000-0005-0000-0000-0000E5100000}"/>
    <cellStyle name="20% - Accent4 2 2 2 3" xfId="7518" xr:uid="{00000000-0005-0000-0000-0000E6100000}"/>
    <cellStyle name="20% - Accent4 2 2 2 3 2" xfId="9737" xr:uid="{00000000-0005-0000-0000-0000E7100000}"/>
    <cellStyle name="20% - Accent4 2 2 2 3 2 2" xfId="20300" xr:uid="{00000000-0005-0000-0000-0000E8100000}"/>
    <cellStyle name="20% - Accent4 2 2 2 3 3" xfId="11956" xr:uid="{00000000-0005-0000-0000-0000E9100000}"/>
    <cellStyle name="20% - Accent4 2 2 2 3 3 2" xfId="22519" xr:uid="{00000000-0005-0000-0000-0000EA100000}"/>
    <cellStyle name="20% - Accent4 2 2 2 3 4" xfId="14175" xr:uid="{00000000-0005-0000-0000-0000EB100000}"/>
    <cellStyle name="20% - Accent4 2 2 2 3 4 2" xfId="24738" xr:uid="{00000000-0005-0000-0000-0000EC100000}"/>
    <cellStyle name="20% - Accent4 2 2 2 3 5" xfId="18081" xr:uid="{00000000-0005-0000-0000-0000ED100000}"/>
    <cellStyle name="20% - Accent4 2 2 2 4" xfId="8994" xr:uid="{00000000-0005-0000-0000-0000EE100000}"/>
    <cellStyle name="20% - Accent4 2 2 2 4 2" xfId="19557" xr:uid="{00000000-0005-0000-0000-0000EF100000}"/>
    <cellStyle name="20% - Accent4 2 2 2 5" xfId="11213" xr:uid="{00000000-0005-0000-0000-0000F0100000}"/>
    <cellStyle name="20% - Accent4 2 2 2 5 2" xfId="21776" xr:uid="{00000000-0005-0000-0000-0000F1100000}"/>
    <cellStyle name="20% - Accent4 2 2 2 6" xfId="13432" xr:uid="{00000000-0005-0000-0000-0000F2100000}"/>
    <cellStyle name="20% - Accent4 2 2 2 6 2" xfId="23995" xr:uid="{00000000-0005-0000-0000-0000F3100000}"/>
    <cellStyle name="20% - Accent4 2 2 2 7" xfId="17332" xr:uid="{00000000-0005-0000-0000-0000F4100000}"/>
    <cellStyle name="20% - Accent4 2 2 3" xfId="510" xr:uid="{00000000-0005-0000-0000-0000F5100000}"/>
    <cellStyle name="20% - Accent4 2 2 3 2" xfId="8252" xr:uid="{00000000-0005-0000-0000-0000F6100000}"/>
    <cellStyle name="20% - Accent4 2 2 3 2 2" xfId="10471" xr:uid="{00000000-0005-0000-0000-0000F7100000}"/>
    <cellStyle name="20% - Accent4 2 2 3 2 2 2" xfId="21034" xr:uid="{00000000-0005-0000-0000-0000F8100000}"/>
    <cellStyle name="20% - Accent4 2 2 3 2 3" xfId="12690" xr:uid="{00000000-0005-0000-0000-0000F9100000}"/>
    <cellStyle name="20% - Accent4 2 2 3 2 3 2" xfId="23253" xr:uid="{00000000-0005-0000-0000-0000FA100000}"/>
    <cellStyle name="20% - Accent4 2 2 3 2 4" xfId="14909" xr:uid="{00000000-0005-0000-0000-0000FB100000}"/>
    <cellStyle name="20% - Accent4 2 2 3 2 4 2" xfId="25472" xr:uid="{00000000-0005-0000-0000-0000FC100000}"/>
    <cellStyle name="20% - Accent4 2 2 3 2 5" xfId="18815" xr:uid="{00000000-0005-0000-0000-0000FD100000}"/>
    <cellStyle name="20% - Accent4 2 2 3 3" xfId="7519" xr:uid="{00000000-0005-0000-0000-0000FE100000}"/>
    <cellStyle name="20% - Accent4 2 2 3 3 2" xfId="9738" xr:uid="{00000000-0005-0000-0000-0000FF100000}"/>
    <cellStyle name="20% - Accent4 2 2 3 3 2 2" xfId="20301" xr:uid="{00000000-0005-0000-0000-000000110000}"/>
    <cellStyle name="20% - Accent4 2 2 3 3 3" xfId="11957" xr:uid="{00000000-0005-0000-0000-000001110000}"/>
    <cellStyle name="20% - Accent4 2 2 3 3 3 2" xfId="22520" xr:uid="{00000000-0005-0000-0000-000002110000}"/>
    <cellStyle name="20% - Accent4 2 2 3 3 4" xfId="14176" xr:uid="{00000000-0005-0000-0000-000003110000}"/>
    <cellStyle name="20% - Accent4 2 2 3 3 4 2" xfId="24739" xr:uid="{00000000-0005-0000-0000-000004110000}"/>
    <cellStyle name="20% - Accent4 2 2 3 3 5" xfId="18082" xr:uid="{00000000-0005-0000-0000-000005110000}"/>
    <cellStyle name="20% - Accent4 2 2 3 4" xfId="8995" xr:uid="{00000000-0005-0000-0000-000006110000}"/>
    <cellStyle name="20% - Accent4 2 2 3 4 2" xfId="19558" xr:uid="{00000000-0005-0000-0000-000007110000}"/>
    <cellStyle name="20% - Accent4 2 2 3 5" xfId="11214" xr:uid="{00000000-0005-0000-0000-000008110000}"/>
    <cellStyle name="20% - Accent4 2 2 3 5 2" xfId="21777" xr:uid="{00000000-0005-0000-0000-000009110000}"/>
    <cellStyle name="20% - Accent4 2 2 3 6" xfId="13433" xr:uid="{00000000-0005-0000-0000-00000A110000}"/>
    <cellStyle name="20% - Accent4 2 2 3 6 2" xfId="23996" xr:uid="{00000000-0005-0000-0000-00000B110000}"/>
    <cellStyle name="20% - Accent4 2 2 3 7" xfId="17333" xr:uid="{00000000-0005-0000-0000-00000C110000}"/>
    <cellStyle name="20% - Accent4 2 2 4" xfId="511" xr:uid="{00000000-0005-0000-0000-00000D110000}"/>
    <cellStyle name="20% - Accent4 2 2 4 2" xfId="8253" xr:uid="{00000000-0005-0000-0000-00000E110000}"/>
    <cellStyle name="20% - Accent4 2 2 4 2 2" xfId="10472" xr:uid="{00000000-0005-0000-0000-00000F110000}"/>
    <cellStyle name="20% - Accent4 2 2 4 2 2 2" xfId="21035" xr:uid="{00000000-0005-0000-0000-000010110000}"/>
    <cellStyle name="20% - Accent4 2 2 4 2 3" xfId="12691" xr:uid="{00000000-0005-0000-0000-000011110000}"/>
    <cellStyle name="20% - Accent4 2 2 4 2 3 2" xfId="23254" xr:uid="{00000000-0005-0000-0000-000012110000}"/>
    <cellStyle name="20% - Accent4 2 2 4 2 4" xfId="14910" xr:uid="{00000000-0005-0000-0000-000013110000}"/>
    <cellStyle name="20% - Accent4 2 2 4 2 4 2" xfId="25473" xr:uid="{00000000-0005-0000-0000-000014110000}"/>
    <cellStyle name="20% - Accent4 2 2 4 2 5" xfId="18816" xr:uid="{00000000-0005-0000-0000-000015110000}"/>
    <cellStyle name="20% - Accent4 2 2 4 3" xfId="7520" xr:uid="{00000000-0005-0000-0000-000016110000}"/>
    <cellStyle name="20% - Accent4 2 2 4 3 2" xfId="9739" xr:uid="{00000000-0005-0000-0000-000017110000}"/>
    <cellStyle name="20% - Accent4 2 2 4 3 2 2" xfId="20302" xr:uid="{00000000-0005-0000-0000-000018110000}"/>
    <cellStyle name="20% - Accent4 2 2 4 3 3" xfId="11958" xr:uid="{00000000-0005-0000-0000-000019110000}"/>
    <cellStyle name="20% - Accent4 2 2 4 3 3 2" xfId="22521" xr:uid="{00000000-0005-0000-0000-00001A110000}"/>
    <cellStyle name="20% - Accent4 2 2 4 3 4" xfId="14177" xr:uid="{00000000-0005-0000-0000-00001B110000}"/>
    <cellStyle name="20% - Accent4 2 2 4 3 4 2" xfId="24740" xr:uid="{00000000-0005-0000-0000-00001C110000}"/>
    <cellStyle name="20% - Accent4 2 2 4 3 5" xfId="18083" xr:uid="{00000000-0005-0000-0000-00001D110000}"/>
    <cellStyle name="20% - Accent4 2 2 4 4" xfId="8996" xr:uid="{00000000-0005-0000-0000-00001E110000}"/>
    <cellStyle name="20% - Accent4 2 2 4 4 2" xfId="19559" xr:uid="{00000000-0005-0000-0000-00001F110000}"/>
    <cellStyle name="20% - Accent4 2 2 4 5" xfId="11215" xr:uid="{00000000-0005-0000-0000-000020110000}"/>
    <cellStyle name="20% - Accent4 2 2 4 5 2" xfId="21778" xr:uid="{00000000-0005-0000-0000-000021110000}"/>
    <cellStyle name="20% - Accent4 2 2 4 6" xfId="13434" xr:uid="{00000000-0005-0000-0000-000022110000}"/>
    <cellStyle name="20% - Accent4 2 2 4 6 2" xfId="23997" xr:uid="{00000000-0005-0000-0000-000023110000}"/>
    <cellStyle name="20% - Accent4 2 2 4 7" xfId="17334" xr:uid="{00000000-0005-0000-0000-000024110000}"/>
    <cellStyle name="20% - Accent4 2 2 5" xfId="512" xr:uid="{00000000-0005-0000-0000-000025110000}"/>
    <cellStyle name="20% - Accent4 2 2 5 2" xfId="8254" xr:uid="{00000000-0005-0000-0000-000026110000}"/>
    <cellStyle name="20% - Accent4 2 2 5 2 2" xfId="10473" xr:uid="{00000000-0005-0000-0000-000027110000}"/>
    <cellStyle name="20% - Accent4 2 2 5 2 2 2" xfId="21036" xr:uid="{00000000-0005-0000-0000-000028110000}"/>
    <cellStyle name="20% - Accent4 2 2 5 2 3" xfId="12692" xr:uid="{00000000-0005-0000-0000-000029110000}"/>
    <cellStyle name="20% - Accent4 2 2 5 2 3 2" xfId="23255" xr:uid="{00000000-0005-0000-0000-00002A110000}"/>
    <cellStyle name="20% - Accent4 2 2 5 2 4" xfId="14911" xr:uid="{00000000-0005-0000-0000-00002B110000}"/>
    <cellStyle name="20% - Accent4 2 2 5 2 4 2" xfId="25474" xr:uid="{00000000-0005-0000-0000-00002C110000}"/>
    <cellStyle name="20% - Accent4 2 2 5 2 5" xfId="18817" xr:uid="{00000000-0005-0000-0000-00002D110000}"/>
    <cellStyle name="20% - Accent4 2 2 5 3" xfId="7521" xr:uid="{00000000-0005-0000-0000-00002E110000}"/>
    <cellStyle name="20% - Accent4 2 2 5 3 2" xfId="9740" xr:uid="{00000000-0005-0000-0000-00002F110000}"/>
    <cellStyle name="20% - Accent4 2 2 5 3 2 2" xfId="20303" xr:uid="{00000000-0005-0000-0000-000030110000}"/>
    <cellStyle name="20% - Accent4 2 2 5 3 3" xfId="11959" xr:uid="{00000000-0005-0000-0000-000031110000}"/>
    <cellStyle name="20% - Accent4 2 2 5 3 3 2" xfId="22522" xr:uid="{00000000-0005-0000-0000-000032110000}"/>
    <cellStyle name="20% - Accent4 2 2 5 3 4" xfId="14178" xr:uid="{00000000-0005-0000-0000-000033110000}"/>
    <cellStyle name="20% - Accent4 2 2 5 3 4 2" xfId="24741" xr:uid="{00000000-0005-0000-0000-000034110000}"/>
    <cellStyle name="20% - Accent4 2 2 5 3 5" xfId="18084" xr:uid="{00000000-0005-0000-0000-000035110000}"/>
    <cellStyle name="20% - Accent4 2 2 5 4" xfId="8997" xr:uid="{00000000-0005-0000-0000-000036110000}"/>
    <cellStyle name="20% - Accent4 2 2 5 4 2" xfId="19560" xr:uid="{00000000-0005-0000-0000-000037110000}"/>
    <cellStyle name="20% - Accent4 2 2 5 5" xfId="11216" xr:uid="{00000000-0005-0000-0000-000038110000}"/>
    <cellStyle name="20% - Accent4 2 2 5 5 2" xfId="21779" xr:uid="{00000000-0005-0000-0000-000039110000}"/>
    <cellStyle name="20% - Accent4 2 2 5 6" xfId="13435" xr:uid="{00000000-0005-0000-0000-00003A110000}"/>
    <cellStyle name="20% - Accent4 2 2 5 6 2" xfId="23998" xr:uid="{00000000-0005-0000-0000-00003B110000}"/>
    <cellStyle name="20% - Accent4 2 2 5 7" xfId="17335" xr:uid="{00000000-0005-0000-0000-00003C110000}"/>
    <cellStyle name="20% - Accent4 2 2 6" xfId="513" xr:uid="{00000000-0005-0000-0000-00003D110000}"/>
    <cellStyle name="20% - Accent4 2 2 6 2" xfId="8255" xr:uid="{00000000-0005-0000-0000-00003E110000}"/>
    <cellStyle name="20% - Accent4 2 2 6 2 2" xfId="10474" xr:uid="{00000000-0005-0000-0000-00003F110000}"/>
    <cellStyle name="20% - Accent4 2 2 6 2 2 2" xfId="21037" xr:uid="{00000000-0005-0000-0000-000040110000}"/>
    <cellStyle name="20% - Accent4 2 2 6 2 3" xfId="12693" xr:uid="{00000000-0005-0000-0000-000041110000}"/>
    <cellStyle name="20% - Accent4 2 2 6 2 3 2" xfId="23256" xr:uid="{00000000-0005-0000-0000-000042110000}"/>
    <cellStyle name="20% - Accent4 2 2 6 2 4" xfId="14912" xr:uid="{00000000-0005-0000-0000-000043110000}"/>
    <cellStyle name="20% - Accent4 2 2 6 2 4 2" xfId="25475" xr:uid="{00000000-0005-0000-0000-000044110000}"/>
    <cellStyle name="20% - Accent4 2 2 6 2 5" xfId="18818" xr:uid="{00000000-0005-0000-0000-000045110000}"/>
    <cellStyle name="20% - Accent4 2 2 6 3" xfId="7522" xr:uid="{00000000-0005-0000-0000-000046110000}"/>
    <cellStyle name="20% - Accent4 2 2 6 3 2" xfId="9741" xr:uid="{00000000-0005-0000-0000-000047110000}"/>
    <cellStyle name="20% - Accent4 2 2 6 3 2 2" xfId="20304" xr:uid="{00000000-0005-0000-0000-000048110000}"/>
    <cellStyle name="20% - Accent4 2 2 6 3 3" xfId="11960" xr:uid="{00000000-0005-0000-0000-000049110000}"/>
    <cellStyle name="20% - Accent4 2 2 6 3 3 2" xfId="22523" xr:uid="{00000000-0005-0000-0000-00004A110000}"/>
    <cellStyle name="20% - Accent4 2 2 6 3 4" xfId="14179" xr:uid="{00000000-0005-0000-0000-00004B110000}"/>
    <cellStyle name="20% - Accent4 2 2 6 3 4 2" xfId="24742" xr:uid="{00000000-0005-0000-0000-00004C110000}"/>
    <cellStyle name="20% - Accent4 2 2 6 3 5" xfId="18085" xr:uid="{00000000-0005-0000-0000-00004D110000}"/>
    <cellStyle name="20% - Accent4 2 2 6 4" xfId="8998" xr:uid="{00000000-0005-0000-0000-00004E110000}"/>
    <cellStyle name="20% - Accent4 2 2 6 4 2" xfId="19561" xr:uid="{00000000-0005-0000-0000-00004F110000}"/>
    <cellStyle name="20% - Accent4 2 2 6 5" xfId="11217" xr:uid="{00000000-0005-0000-0000-000050110000}"/>
    <cellStyle name="20% - Accent4 2 2 6 5 2" xfId="21780" xr:uid="{00000000-0005-0000-0000-000051110000}"/>
    <cellStyle name="20% - Accent4 2 2 6 6" xfId="13436" xr:uid="{00000000-0005-0000-0000-000052110000}"/>
    <cellStyle name="20% - Accent4 2 2 6 6 2" xfId="23999" xr:uid="{00000000-0005-0000-0000-000053110000}"/>
    <cellStyle name="20% - Accent4 2 2 6 7" xfId="17336" xr:uid="{00000000-0005-0000-0000-000054110000}"/>
    <cellStyle name="20% - Accent4 2 2 7" xfId="514" xr:uid="{00000000-0005-0000-0000-000055110000}"/>
    <cellStyle name="20% - Accent4 2 2 7 2" xfId="8256" xr:uid="{00000000-0005-0000-0000-000056110000}"/>
    <cellStyle name="20% - Accent4 2 2 7 2 2" xfId="10475" xr:uid="{00000000-0005-0000-0000-000057110000}"/>
    <cellStyle name="20% - Accent4 2 2 7 2 2 2" xfId="21038" xr:uid="{00000000-0005-0000-0000-000058110000}"/>
    <cellStyle name="20% - Accent4 2 2 7 2 3" xfId="12694" xr:uid="{00000000-0005-0000-0000-000059110000}"/>
    <cellStyle name="20% - Accent4 2 2 7 2 3 2" xfId="23257" xr:uid="{00000000-0005-0000-0000-00005A110000}"/>
    <cellStyle name="20% - Accent4 2 2 7 2 4" xfId="14913" xr:uid="{00000000-0005-0000-0000-00005B110000}"/>
    <cellStyle name="20% - Accent4 2 2 7 2 4 2" xfId="25476" xr:uid="{00000000-0005-0000-0000-00005C110000}"/>
    <cellStyle name="20% - Accent4 2 2 7 2 5" xfId="18819" xr:uid="{00000000-0005-0000-0000-00005D110000}"/>
    <cellStyle name="20% - Accent4 2 2 7 3" xfId="7523" xr:uid="{00000000-0005-0000-0000-00005E110000}"/>
    <cellStyle name="20% - Accent4 2 2 7 3 2" xfId="9742" xr:uid="{00000000-0005-0000-0000-00005F110000}"/>
    <cellStyle name="20% - Accent4 2 2 7 3 2 2" xfId="20305" xr:uid="{00000000-0005-0000-0000-000060110000}"/>
    <cellStyle name="20% - Accent4 2 2 7 3 3" xfId="11961" xr:uid="{00000000-0005-0000-0000-000061110000}"/>
    <cellStyle name="20% - Accent4 2 2 7 3 3 2" xfId="22524" xr:uid="{00000000-0005-0000-0000-000062110000}"/>
    <cellStyle name="20% - Accent4 2 2 7 3 4" xfId="14180" xr:uid="{00000000-0005-0000-0000-000063110000}"/>
    <cellStyle name="20% - Accent4 2 2 7 3 4 2" xfId="24743" xr:uid="{00000000-0005-0000-0000-000064110000}"/>
    <cellStyle name="20% - Accent4 2 2 7 3 5" xfId="18086" xr:uid="{00000000-0005-0000-0000-000065110000}"/>
    <cellStyle name="20% - Accent4 2 2 7 4" xfId="8999" xr:uid="{00000000-0005-0000-0000-000066110000}"/>
    <cellStyle name="20% - Accent4 2 2 7 4 2" xfId="19562" xr:uid="{00000000-0005-0000-0000-000067110000}"/>
    <cellStyle name="20% - Accent4 2 2 7 5" xfId="11218" xr:uid="{00000000-0005-0000-0000-000068110000}"/>
    <cellStyle name="20% - Accent4 2 2 7 5 2" xfId="21781" xr:uid="{00000000-0005-0000-0000-000069110000}"/>
    <cellStyle name="20% - Accent4 2 2 7 6" xfId="13437" xr:uid="{00000000-0005-0000-0000-00006A110000}"/>
    <cellStyle name="20% - Accent4 2 2 7 6 2" xfId="24000" xr:uid="{00000000-0005-0000-0000-00006B110000}"/>
    <cellStyle name="20% - Accent4 2 2 7 7" xfId="17337" xr:uid="{00000000-0005-0000-0000-00006C110000}"/>
    <cellStyle name="20% - Accent4 2 2 8" xfId="515" xr:uid="{00000000-0005-0000-0000-00006D110000}"/>
    <cellStyle name="20% - Accent4 2 2 8 2" xfId="8257" xr:uid="{00000000-0005-0000-0000-00006E110000}"/>
    <cellStyle name="20% - Accent4 2 2 8 2 2" xfId="10476" xr:uid="{00000000-0005-0000-0000-00006F110000}"/>
    <cellStyle name="20% - Accent4 2 2 8 2 2 2" xfId="21039" xr:uid="{00000000-0005-0000-0000-000070110000}"/>
    <cellStyle name="20% - Accent4 2 2 8 2 3" xfId="12695" xr:uid="{00000000-0005-0000-0000-000071110000}"/>
    <cellStyle name="20% - Accent4 2 2 8 2 3 2" xfId="23258" xr:uid="{00000000-0005-0000-0000-000072110000}"/>
    <cellStyle name="20% - Accent4 2 2 8 2 4" xfId="14914" xr:uid="{00000000-0005-0000-0000-000073110000}"/>
    <cellStyle name="20% - Accent4 2 2 8 2 4 2" xfId="25477" xr:uid="{00000000-0005-0000-0000-000074110000}"/>
    <cellStyle name="20% - Accent4 2 2 8 2 5" xfId="18820" xr:uid="{00000000-0005-0000-0000-000075110000}"/>
    <cellStyle name="20% - Accent4 2 2 8 3" xfId="7524" xr:uid="{00000000-0005-0000-0000-000076110000}"/>
    <cellStyle name="20% - Accent4 2 2 8 3 2" xfId="9743" xr:uid="{00000000-0005-0000-0000-000077110000}"/>
    <cellStyle name="20% - Accent4 2 2 8 3 2 2" xfId="20306" xr:uid="{00000000-0005-0000-0000-000078110000}"/>
    <cellStyle name="20% - Accent4 2 2 8 3 3" xfId="11962" xr:uid="{00000000-0005-0000-0000-000079110000}"/>
    <cellStyle name="20% - Accent4 2 2 8 3 3 2" xfId="22525" xr:uid="{00000000-0005-0000-0000-00007A110000}"/>
    <cellStyle name="20% - Accent4 2 2 8 3 4" xfId="14181" xr:uid="{00000000-0005-0000-0000-00007B110000}"/>
    <cellStyle name="20% - Accent4 2 2 8 3 4 2" xfId="24744" xr:uid="{00000000-0005-0000-0000-00007C110000}"/>
    <cellStyle name="20% - Accent4 2 2 8 3 5" xfId="18087" xr:uid="{00000000-0005-0000-0000-00007D110000}"/>
    <cellStyle name="20% - Accent4 2 2 8 4" xfId="9000" xr:uid="{00000000-0005-0000-0000-00007E110000}"/>
    <cellStyle name="20% - Accent4 2 2 8 4 2" xfId="19563" xr:uid="{00000000-0005-0000-0000-00007F110000}"/>
    <cellStyle name="20% - Accent4 2 2 8 5" xfId="11219" xr:uid="{00000000-0005-0000-0000-000080110000}"/>
    <cellStyle name="20% - Accent4 2 2 8 5 2" xfId="21782" xr:uid="{00000000-0005-0000-0000-000081110000}"/>
    <cellStyle name="20% - Accent4 2 2 8 6" xfId="13438" xr:uid="{00000000-0005-0000-0000-000082110000}"/>
    <cellStyle name="20% - Accent4 2 2 8 6 2" xfId="24001" xr:uid="{00000000-0005-0000-0000-000083110000}"/>
    <cellStyle name="20% - Accent4 2 2 8 7" xfId="17338" xr:uid="{00000000-0005-0000-0000-000084110000}"/>
    <cellStyle name="20% - Accent4 2 2 9" xfId="516" xr:uid="{00000000-0005-0000-0000-000085110000}"/>
    <cellStyle name="20% - Accent4 2 2 9 2" xfId="8258" xr:uid="{00000000-0005-0000-0000-000086110000}"/>
    <cellStyle name="20% - Accent4 2 2 9 2 2" xfId="10477" xr:uid="{00000000-0005-0000-0000-000087110000}"/>
    <cellStyle name="20% - Accent4 2 2 9 2 2 2" xfId="21040" xr:uid="{00000000-0005-0000-0000-000088110000}"/>
    <cellStyle name="20% - Accent4 2 2 9 2 3" xfId="12696" xr:uid="{00000000-0005-0000-0000-000089110000}"/>
    <cellStyle name="20% - Accent4 2 2 9 2 3 2" xfId="23259" xr:uid="{00000000-0005-0000-0000-00008A110000}"/>
    <cellStyle name="20% - Accent4 2 2 9 2 4" xfId="14915" xr:uid="{00000000-0005-0000-0000-00008B110000}"/>
    <cellStyle name="20% - Accent4 2 2 9 2 4 2" xfId="25478" xr:uid="{00000000-0005-0000-0000-00008C110000}"/>
    <cellStyle name="20% - Accent4 2 2 9 2 5" xfId="18821" xr:uid="{00000000-0005-0000-0000-00008D110000}"/>
    <cellStyle name="20% - Accent4 2 2 9 3" xfId="7525" xr:uid="{00000000-0005-0000-0000-00008E110000}"/>
    <cellStyle name="20% - Accent4 2 2 9 3 2" xfId="9744" xr:uid="{00000000-0005-0000-0000-00008F110000}"/>
    <cellStyle name="20% - Accent4 2 2 9 3 2 2" xfId="20307" xr:uid="{00000000-0005-0000-0000-000090110000}"/>
    <cellStyle name="20% - Accent4 2 2 9 3 3" xfId="11963" xr:uid="{00000000-0005-0000-0000-000091110000}"/>
    <cellStyle name="20% - Accent4 2 2 9 3 3 2" xfId="22526" xr:uid="{00000000-0005-0000-0000-000092110000}"/>
    <cellStyle name="20% - Accent4 2 2 9 3 4" xfId="14182" xr:uid="{00000000-0005-0000-0000-000093110000}"/>
    <cellStyle name="20% - Accent4 2 2 9 3 4 2" xfId="24745" xr:uid="{00000000-0005-0000-0000-000094110000}"/>
    <cellStyle name="20% - Accent4 2 2 9 3 5" xfId="18088" xr:uid="{00000000-0005-0000-0000-000095110000}"/>
    <cellStyle name="20% - Accent4 2 2 9 4" xfId="9001" xr:uid="{00000000-0005-0000-0000-000096110000}"/>
    <cellStyle name="20% - Accent4 2 2 9 4 2" xfId="19564" xr:uid="{00000000-0005-0000-0000-000097110000}"/>
    <cellStyle name="20% - Accent4 2 2 9 5" xfId="11220" xr:uid="{00000000-0005-0000-0000-000098110000}"/>
    <cellStyle name="20% - Accent4 2 2 9 5 2" xfId="21783" xr:uid="{00000000-0005-0000-0000-000099110000}"/>
    <cellStyle name="20% - Accent4 2 2 9 6" xfId="13439" xr:uid="{00000000-0005-0000-0000-00009A110000}"/>
    <cellStyle name="20% - Accent4 2 2 9 6 2" xfId="24002" xr:uid="{00000000-0005-0000-0000-00009B110000}"/>
    <cellStyle name="20% - Accent4 2 2 9 7" xfId="17339" xr:uid="{00000000-0005-0000-0000-00009C110000}"/>
    <cellStyle name="20% - Accent4 2 3" xfId="517" xr:uid="{00000000-0005-0000-0000-00009D110000}"/>
    <cellStyle name="20% - Accent4 2 3 10" xfId="8259" xr:uid="{00000000-0005-0000-0000-00009E110000}"/>
    <cellStyle name="20% - Accent4 2 3 10 2" xfId="10478" xr:uid="{00000000-0005-0000-0000-00009F110000}"/>
    <cellStyle name="20% - Accent4 2 3 10 2 2" xfId="21041" xr:uid="{00000000-0005-0000-0000-0000A0110000}"/>
    <cellStyle name="20% - Accent4 2 3 10 3" xfId="12697" xr:uid="{00000000-0005-0000-0000-0000A1110000}"/>
    <cellStyle name="20% - Accent4 2 3 10 3 2" xfId="23260" xr:uid="{00000000-0005-0000-0000-0000A2110000}"/>
    <cellStyle name="20% - Accent4 2 3 10 4" xfId="14916" xr:uid="{00000000-0005-0000-0000-0000A3110000}"/>
    <cellStyle name="20% - Accent4 2 3 10 4 2" xfId="25479" xr:uid="{00000000-0005-0000-0000-0000A4110000}"/>
    <cellStyle name="20% - Accent4 2 3 10 5" xfId="18822" xr:uid="{00000000-0005-0000-0000-0000A5110000}"/>
    <cellStyle name="20% - Accent4 2 3 11" xfId="7526" xr:uid="{00000000-0005-0000-0000-0000A6110000}"/>
    <cellStyle name="20% - Accent4 2 3 11 2" xfId="9745" xr:uid="{00000000-0005-0000-0000-0000A7110000}"/>
    <cellStyle name="20% - Accent4 2 3 11 2 2" xfId="20308" xr:uid="{00000000-0005-0000-0000-0000A8110000}"/>
    <cellStyle name="20% - Accent4 2 3 11 3" xfId="11964" xr:uid="{00000000-0005-0000-0000-0000A9110000}"/>
    <cellStyle name="20% - Accent4 2 3 11 3 2" xfId="22527" xr:uid="{00000000-0005-0000-0000-0000AA110000}"/>
    <cellStyle name="20% - Accent4 2 3 11 4" xfId="14183" xr:uid="{00000000-0005-0000-0000-0000AB110000}"/>
    <cellStyle name="20% - Accent4 2 3 11 4 2" xfId="24746" xr:uid="{00000000-0005-0000-0000-0000AC110000}"/>
    <cellStyle name="20% - Accent4 2 3 11 5" xfId="18089" xr:uid="{00000000-0005-0000-0000-0000AD110000}"/>
    <cellStyle name="20% - Accent4 2 3 12" xfId="9002" xr:uid="{00000000-0005-0000-0000-0000AE110000}"/>
    <cellStyle name="20% - Accent4 2 3 12 2" xfId="19565" xr:uid="{00000000-0005-0000-0000-0000AF110000}"/>
    <cellStyle name="20% - Accent4 2 3 13" xfId="11221" xr:uid="{00000000-0005-0000-0000-0000B0110000}"/>
    <cellStyle name="20% - Accent4 2 3 13 2" xfId="21784" xr:uid="{00000000-0005-0000-0000-0000B1110000}"/>
    <cellStyle name="20% - Accent4 2 3 14" xfId="13440" xr:uid="{00000000-0005-0000-0000-0000B2110000}"/>
    <cellStyle name="20% - Accent4 2 3 14 2" xfId="24003" xr:uid="{00000000-0005-0000-0000-0000B3110000}"/>
    <cellStyle name="20% - Accent4 2 3 15" xfId="17340" xr:uid="{00000000-0005-0000-0000-0000B4110000}"/>
    <cellStyle name="20% - Accent4 2 3 2" xfId="518" xr:uid="{00000000-0005-0000-0000-0000B5110000}"/>
    <cellStyle name="20% - Accent4 2 3 2 2" xfId="8260" xr:uid="{00000000-0005-0000-0000-0000B6110000}"/>
    <cellStyle name="20% - Accent4 2 3 2 2 2" xfId="10479" xr:uid="{00000000-0005-0000-0000-0000B7110000}"/>
    <cellStyle name="20% - Accent4 2 3 2 2 2 2" xfId="21042" xr:uid="{00000000-0005-0000-0000-0000B8110000}"/>
    <cellStyle name="20% - Accent4 2 3 2 2 3" xfId="12698" xr:uid="{00000000-0005-0000-0000-0000B9110000}"/>
    <cellStyle name="20% - Accent4 2 3 2 2 3 2" xfId="23261" xr:uid="{00000000-0005-0000-0000-0000BA110000}"/>
    <cellStyle name="20% - Accent4 2 3 2 2 4" xfId="14917" xr:uid="{00000000-0005-0000-0000-0000BB110000}"/>
    <cellStyle name="20% - Accent4 2 3 2 2 4 2" xfId="25480" xr:uid="{00000000-0005-0000-0000-0000BC110000}"/>
    <cellStyle name="20% - Accent4 2 3 2 2 5" xfId="18823" xr:uid="{00000000-0005-0000-0000-0000BD110000}"/>
    <cellStyle name="20% - Accent4 2 3 2 3" xfId="7527" xr:uid="{00000000-0005-0000-0000-0000BE110000}"/>
    <cellStyle name="20% - Accent4 2 3 2 3 2" xfId="9746" xr:uid="{00000000-0005-0000-0000-0000BF110000}"/>
    <cellStyle name="20% - Accent4 2 3 2 3 2 2" xfId="20309" xr:uid="{00000000-0005-0000-0000-0000C0110000}"/>
    <cellStyle name="20% - Accent4 2 3 2 3 3" xfId="11965" xr:uid="{00000000-0005-0000-0000-0000C1110000}"/>
    <cellStyle name="20% - Accent4 2 3 2 3 3 2" xfId="22528" xr:uid="{00000000-0005-0000-0000-0000C2110000}"/>
    <cellStyle name="20% - Accent4 2 3 2 3 4" xfId="14184" xr:uid="{00000000-0005-0000-0000-0000C3110000}"/>
    <cellStyle name="20% - Accent4 2 3 2 3 4 2" xfId="24747" xr:uid="{00000000-0005-0000-0000-0000C4110000}"/>
    <cellStyle name="20% - Accent4 2 3 2 3 5" xfId="18090" xr:uid="{00000000-0005-0000-0000-0000C5110000}"/>
    <cellStyle name="20% - Accent4 2 3 2 4" xfId="9003" xr:uid="{00000000-0005-0000-0000-0000C6110000}"/>
    <cellStyle name="20% - Accent4 2 3 2 4 2" xfId="19566" xr:uid="{00000000-0005-0000-0000-0000C7110000}"/>
    <cellStyle name="20% - Accent4 2 3 2 5" xfId="11222" xr:uid="{00000000-0005-0000-0000-0000C8110000}"/>
    <cellStyle name="20% - Accent4 2 3 2 5 2" xfId="21785" xr:uid="{00000000-0005-0000-0000-0000C9110000}"/>
    <cellStyle name="20% - Accent4 2 3 2 6" xfId="13441" xr:uid="{00000000-0005-0000-0000-0000CA110000}"/>
    <cellStyle name="20% - Accent4 2 3 2 6 2" xfId="24004" xr:uid="{00000000-0005-0000-0000-0000CB110000}"/>
    <cellStyle name="20% - Accent4 2 3 2 7" xfId="17341" xr:uid="{00000000-0005-0000-0000-0000CC110000}"/>
    <cellStyle name="20% - Accent4 2 3 3" xfId="519" xr:uid="{00000000-0005-0000-0000-0000CD110000}"/>
    <cellStyle name="20% - Accent4 2 3 3 2" xfId="8261" xr:uid="{00000000-0005-0000-0000-0000CE110000}"/>
    <cellStyle name="20% - Accent4 2 3 3 2 2" xfId="10480" xr:uid="{00000000-0005-0000-0000-0000CF110000}"/>
    <cellStyle name="20% - Accent4 2 3 3 2 2 2" xfId="21043" xr:uid="{00000000-0005-0000-0000-0000D0110000}"/>
    <cellStyle name="20% - Accent4 2 3 3 2 3" xfId="12699" xr:uid="{00000000-0005-0000-0000-0000D1110000}"/>
    <cellStyle name="20% - Accent4 2 3 3 2 3 2" xfId="23262" xr:uid="{00000000-0005-0000-0000-0000D2110000}"/>
    <cellStyle name="20% - Accent4 2 3 3 2 4" xfId="14918" xr:uid="{00000000-0005-0000-0000-0000D3110000}"/>
    <cellStyle name="20% - Accent4 2 3 3 2 4 2" xfId="25481" xr:uid="{00000000-0005-0000-0000-0000D4110000}"/>
    <cellStyle name="20% - Accent4 2 3 3 2 5" xfId="18824" xr:uid="{00000000-0005-0000-0000-0000D5110000}"/>
    <cellStyle name="20% - Accent4 2 3 3 3" xfId="7528" xr:uid="{00000000-0005-0000-0000-0000D6110000}"/>
    <cellStyle name="20% - Accent4 2 3 3 3 2" xfId="9747" xr:uid="{00000000-0005-0000-0000-0000D7110000}"/>
    <cellStyle name="20% - Accent4 2 3 3 3 2 2" xfId="20310" xr:uid="{00000000-0005-0000-0000-0000D8110000}"/>
    <cellStyle name="20% - Accent4 2 3 3 3 3" xfId="11966" xr:uid="{00000000-0005-0000-0000-0000D9110000}"/>
    <cellStyle name="20% - Accent4 2 3 3 3 3 2" xfId="22529" xr:uid="{00000000-0005-0000-0000-0000DA110000}"/>
    <cellStyle name="20% - Accent4 2 3 3 3 4" xfId="14185" xr:uid="{00000000-0005-0000-0000-0000DB110000}"/>
    <cellStyle name="20% - Accent4 2 3 3 3 4 2" xfId="24748" xr:uid="{00000000-0005-0000-0000-0000DC110000}"/>
    <cellStyle name="20% - Accent4 2 3 3 3 5" xfId="18091" xr:uid="{00000000-0005-0000-0000-0000DD110000}"/>
    <cellStyle name="20% - Accent4 2 3 3 4" xfId="9004" xr:uid="{00000000-0005-0000-0000-0000DE110000}"/>
    <cellStyle name="20% - Accent4 2 3 3 4 2" xfId="19567" xr:uid="{00000000-0005-0000-0000-0000DF110000}"/>
    <cellStyle name="20% - Accent4 2 3 3 5" xfId="11223" xr:uid="{00000000-0005-0000-0000-0000E0110000}"/>
    <cellStyle name="20% - Accent4 2 3 3 5 2" xfId="21786" xr:uid="{00000000-0005-0000-0000-0000E1110000}"/>
    <cellStyle name="20% - Accent4 2 3 3 6" xfId="13442" xr:uid="{00000000-0005-0000-0000-0000E2110000}"/>
    <cellStyle name="20% - Accent4 2 3 3 6 2" xfId="24005" xr:uid="{00000000-0005-0000-0000-0000E3110000}"/>
    <cellStyle name="20% - Accent4 2 3 3 7" xfId="17342" xr:uid="{00000000-0005-0000-0000-0000E4110000}"/>
    <cellStyle name="20% - Accent4 2 3 4" xfId="520" xr:uid="{00000000-0005-0000-0000-0000E5110000}"/>
    <cellStyle name="20% - Accent4 2 3 4 2" xfId="8262" xr:uid="{00000000-0005-0000-0000-0000E6110000}"/>
    <cellStyle name="20% - Accent4 2 3 4 2 2" xfId="10481" xr:uid="{00000000-0005-0000-0000-0000E7110000}"/>
    <cellStyle name="20% - Accent4 2 3 4 2 2 2" xfId="21044" xr:uid="{00000000-0005-0000-0000-0000E8110000}"/>
    <cellStyle name="20% - Accent4 2 3 4 2 3" xfId="12700" xr:uid="{00000000-0005-0000-0000-0000E9110000}"/>
    <cellStyle name="20% - Accent4 2 3 4 2 3 2" xfId="23263" xr:uid="{00000000-0005-0000-0000-0000EA110000}"/>
    <cellStyle name="20% - Accent4 2 3 4 2 4" xfId="14919" xr:uid="{00000000-0005-0000-0000-0000EB110000}"/>
    <cellStyle name="20% - Accent4 2 3 4 2 4 2" xfId="25482" xr:uid="{00000000-0005-0000-0000-0000EC110000}"/>
    <cellStyle name="20% - Accent4 2 3 4 2 5" xfId="18825" xr:uid="{00000000-0005-0000-0000-0000ED110000}"/>
    <cellStyle name="20% - Accent4 2 3 4 3" xfId="7529" xr:uid="{00000000-0005-0000-0000-0000EE110000}"/>
    <cellStyle name="20% - Accent4 2 3 4 3 2" xfId="9748" xr:uid="{00000000-0005-0000-0000-0000EF110000}"/>
    <cellStyle name="20% - Accent4 2 3 4 3 2 2" xfId="20311" xr:uid="{00000000-0005-0000-0000-0000F0110000}"/>
    <cellStyle name="20% - Accent4 2 3 4 3 3" xfId="11967" xr:uid="{00000000-0005-0000-0000-0000F1110000}"/>
    <cellStyle name="20% - Accent4 2 3 4 3 3 2" xfId="22530" xr:uid="{00000000-0005-0000-0000-0000F2110000}"/>
    <cellStyle name="20% - Accent4 2 3 4 3 4" xfId="14186" xr:uid="{00000000-0005-0000-0000-0000F3110000}"/>
    <cellStyle name="20% - Accent4 2 3 4 3 4 2" xfId="24749" xr:uid="{00000000-0005-0000-0000-0000F4110000}"/>
    <cellStyle name="20% - Accent4 2 3 4 3 5" xfId="18092" xr:uid="{00000000-0005-0000-0000-0000F5110000}"/>
    <cellStyle name="20% - Accent4 2 3 4 4" xfId="9005" xr:uid="{00000000-0005-0000-0000-0000F6110000}"/>
    <cellStyle name="20% - Accent4 2 3 4 4 2" xfId="19568" xr:uid="{00000000-0005-0000-0000-0000F7110000}"/>
    <cellStyle name="20% - Accent4 2 3 4 5" xfId="11224" xr:uid="{00000000-0005-0000-0000-0000F8110000}"/>
    <cellStyle name="20% - Accent4 2 3 4 5 2" xfId="21787" xr:uid="{00000000-0005-0000-0000-0000F9110000}"/>
    <cellStyle name="20% - Accent4 2 3 4 6" xfId="13443" xr:uid="{00000000-0005-0000-0000-0000FA110000}"/>
    <cellStyle name="20% - Accent4 2 3 4 6 2" xfId="24006" xr:uid="{00000000-0005-0000-0000-0000FB110000}"/>
    <cellStyle name="20% - Accent4 2 3 4 7" xfId="17343" xr:uid="{00000000-0005-0000-0000-0000FC110000}"/>
    <cellStyle name="20% - Accent4 2 3 5" xfId="521" xr:uid="{00000000-0005-0000-0000-0000FD110000}"/>
    <cellStyle name="20% - Accent4 2 3 5 2" xfId="8263" xr:uid="{00000000-0005-0000-0000-0000FE110000}"/>
    <cellStyle name="20% - Accent4 2 3 5 2 2" xfId="10482" xr:uid="{00000000-0005-0000-0000-0000FF110000}"/>
    <cellStyle name="20% - Accent4 2 3 5 2 2 2" xfId="21045" xr:uid="{00000000-0005-0000-0000-000000120000}"/>
    <cellStyle name="20% - Accent4 2 3 5 2 3" xfId="12701" xr:uid="{00000000-0005-0000-0000-000001120000}"/>
    <cellStyle name="20% - Accent4 2 3 5 2 3 2" xfId="23264" xr:uid="{00000000-0005-0000-0000-000002120000}"/>
    <cellStyle name="20% - Accent4 2 3 5 2 4" xfId="14920" xr:uid="{00000000-0005-0000-0000-000003120000}"/>
    <cellStyle name="20% - Accent4 2 3 5 2 4 2" xfId="25483" xr:uid="{00000000-0005-0000-0000-000004120000}"/>
    <cellStyle name="20% - Accent4 2 3 5 2 5" xfId="18826" xr:uid="{00000000-0005-0000-0000-000005120000}"/>
    <cellStyle name="20% - Accent4 2 3 5 3" xfId="7530" xr:uid="{00000000-0005-0000-0000-000006120000}"/>
    <cellStyle name="20% - Accent4 2 3 5 3 2" xfId="9749" xr:uid="{00000000-0005-0000-0000-000007120000}"/>
    <cellStyle name="20% - Accent4 2 3 5 3 2 2" xfId="20312" xr:uid="{00000000-0005-0000-0000-000008120000}"/>
    <cellStyle name="20% - Accent4 2 3 5 3 3" xfId="11968" xr:uid="{00000000-0005-0000-0000-000009120000}"/>
    <cellStyle name="20% - Accent4 2 3 5 3 3 2" xfId="22531" xr:uid="{00000000-0005-0000-0000-00000A120000}"/>
    <cellStyle name="20% - Accent4 2 3 5 3 4" xfId="14187" xr:uid="{00000000-0005-0000-0000-00000B120000}"/>
    <cellStyle name="20% - Accent4 2 3 5 3 4 2" xfId="24750" xr:uid="{00000000-0005-0000-0000-00000C120000}"/>
    <cellStyle name="20% - Accent4 2 3 5 3 5" xfId="18093" xr:uid="{00000000-0005-0000-0000-00000D120000}"/>
    <cellStyle name="20% - Accent4 2 3 5 4" xfId="9006" xr:uid="{00000000-0005-0000-0000-00000E120000}"/>
    <cellStyle name="20% - Accent4 2 3 5 4 2" xfId="19569" xr:uid="{00000000-0005-0000-0000-00000F120000}"/>
    <cellStyle name="20% - Accent4 2 3 5 5" xfId="11225" xr:uid="{00000000-0005-0000-0000-000010120000}"/>
    <cellStyle name="20% - Accent4 2 3 5 5 2" xfId="21788" xr:uid="{00000000-0005-0000-0000-000011120000}"/>
    <cellStyle name="20% - Accent4 2 3 5 6" xfId="13444" xr:uid="{00000000-0005-0000-0000-000012120000}"/>
    <cellStyle name="20% - Accent4 2 3 5 6 2" xfId="24007" xr:uid="{00000000-0005-0000-0000-000013120000}"/>
    <cellStyle name="20% - Accent4 2 3 5 7" xfId="17344" xr:uid="{00000000-0005-0000-0000-000014120000}"/>
    <cellStyle name="20% - Accent4 2 3 6" xfId="522" xr:uid="{00000000-0005-0000-0000-000015120000}"/>
    <cellStyle name="20% - Accent4 2 3 6 2" xfId="8264" xr:uid="{00000000-0005-0000-0000-000016120000}"/>
    <cellStyle name="20% - Accent4 2 3 6 2 2" xfId="10483" xr:uid="{00000000-0005-0000-0000-000017120000}"/>
    <cellStyle name="20% - Accent4 2 3 6 2 2 2" xfId="21046" xr:uid="{00000000-0005-0000-0000-000018120000}"/>
    <cellStyle name="20% - Accent4 2 3 6 2 3" xfId="12702" xr:uid="{00000000-0005-0000-0000-000019120000}"/>
    <cellStyle name="20% - Accent4 2 3 6 2 3 2" xfId="23265" xr:uid="{00000000-0005-0000-0000-00001A120000}"/>
    <cellStyle name="20% - Accent4 2 3 6 2 4" xfId="14921" xr:uid="{00000000-0005-0000-0000-00001B120000}"/>
    <cellStyle name="20% - Accent4 2 3 6 2 4 2" xfId="25484" xr:uid="{00000000-0005-0000-0000-00001C120000}"/>
    <cellStyle name="20% - Accent4 2 3 6 2 5" xfId="18827" xr:uid="{00000000-0005-0000-0000-00001D120000}"/>
    <cellStyle name="20% - Accent4 2 3 6 3" xfId="7531" xr:uid="{00000000-0005-0000-0000-00001E120000}"/>
    <cellStyle name="20% - Accent4 2 3 6 3 2" xfId="9750" xr:uid="{00000000-0005-0000-0000-00001F120000}"/>
    <cellStyle name="20% - Accent4 2 3 6 3 2 2" xfId="20313" xr:uid="{00000000-0005-0000-0000-000020120000}"/>
    <cellStyle name="20% - Accent4 2 3 6 3 3" xfId="11969" xr:uid="{00000000-0005-0000-0000-000021120000}"/>
    <cellStyle name="20% - Accent4 2 3 6 3 3 2" xfId="22532" xr:uid="{00000000-0005-0000-0000-000022120000}"/>
    <cellStyle name="20% - Accent4 2 3 6 3 4" xfId="14188" xr:uid="{00000000-0005-0000-0000-000023120000}"/>
    <cellStyle name="20% - Accent4 2 3 6 3 4 2" xfId="24751" xr:uid="{00000000-0005-0000-0000-000024120000}"/>
    <cellStyle name="20% - Accent4 2 3 6 3 5" xfId="18094" xr:uid="{00000000-0005-0000-0000-000025120000}"/>
    <cellStyle name="20% - Accent4 2 3 6 4" xfId="9007" xr:uid="{00000000-0005-0000-0000-000026120000}"/>
    <cellStyle name="20% - Accent4 2 3 6 4 2" xfId="19570" xr:uid="{00000000-0005-0000-0000-000027120000}"/>
    <cellStyle name="20% - Accent4 2 3 6 5" xfId="11226" xr:uid="{00000000-0005-0000-0000-000028120000}"/>
    <cellStyle name="20% - Accent4 2 3 6 5 2" xfId="21789" xr:uid="{00000000-0005-0000-0000-000029120000}"/>
    <cellStyle name="20% - Accent4 2 3 6 6" xfId="13445" xr:uid="{00000000-0005-0000-0000-00002A120000}"/>
    <cellStyle name="20% - Accent4 2 3 6 6 2" xfId="24008" xr:uid="{00000000-0005-0000-0000-00002B120000}"/>
    <cellStyle name="20% - Accent4 2 3 6 7" xfId="17345" xr:uid="{00000000-0005-0000-0000-00002C120000}"/>
    <cellStyle name="20% - Accent4 2 3 7" xfId="523" xr:uid="{00000000-0005-0000-0000-00002D120000}"/>
    <cellStyle name="20% - Accent4 2 3 7 2" xfId="8265" xr:uid="{00000000-0005-0000-0000-00002E120000}"/>
    <cellStyle name="20% - Accent4 2 3 7 2 2" xfId="10484" xr:uid="{00000000-0005-0000-0000-00002F120000}"/>
    <cellStyle name="20% - Accent4 2 3 7 2 2 2" xfId="21047" xr:uid="{00000000-0005-0000-0000-000030120000}"/>
    <cellStyle name="20% - Accent4 2 3 7 2 3" xfId="12703" xr:uid="{00000000-0005-0000-0000-000031120000}"/>
    <cellStyle name="20% - Accent4 2 3 7 2 3 2" xfId="23266" xr:uid="{00000000-0005-0000-0000-000032120000}"/>
    <cellStyle name="20% - Accent4 2 3 7 2 4" xfId="14922" xr:uid="{00000000-0005-0000-0000-000033120000}"/>
    <cellStyle name="20% - Accent4 2 3 7 2 4 2" xfId="25485" xr:uid="{00000000-0005-0000-0000-000034120000}"/>
    <cellStyle name="20% - Accent4 2 3 7 2 5" xfId="18828" xr:uid="{00000000-0005-0000-0000-000035120000}"/>
    <cellStyle name="20% - Accent4 2 3 7 3" xfId="7532" xr:uid="{00000000-0005-0000-0000-000036120000}"/>
    <cellStyle name="20% - Accent4 2 3 7 3 2" xfId="9751" xr:uid="{00000000-0005-0000-0000-000037120000}"/>
    <cellStyle name="20% - Accent4 2 3 7 3 2 2" xfId="20314" xr:uid="{00000000-0005-0000-0000-000038120000}"/>
    <cellStyle name="20% - Accent4 2 3 7 3 3" xfId="11970" xr:uid="{00000000-0005-0000-0000-000039120000}"/>
    <cellStyle name="20% - Accent4 2 3 7 3 3 2" xfId="22533" xr:uid="{00000000-0005-0000-0000-00003A120000}"/>
    <cellStyle name="20% - Accent4 2 3 7 3 4" xfId="14189" xr:uid="{00000000-0005-0000-0000-00003B120000}"/>
    <cellStyle name="20% - Accent4 2 3 7 3 4 2" xfId="24752" xr:uid="{00000000-0005-0000-0000-00003C120000}"/>
    <cellStyle name="20% - Accent4 2 3 7 3 5" xfId="18095" xr:uid="{00000000-0005-0000-0000-00003D120000}"/>
    <cellStyle name="20% - Accent4 2 3 7 4" xfId="9008" xr:uid="{00000000-0005-0000-0000-00003E120000}"/>
    <cellStyle name="20% - Accent4 2 3 7 4 2" xfId="19571" xr:uid="{00000000-0005-0000-0000-00003F120000}"/>
    <cellStyle name="20% - Accent4 2 3 7 5" xfId="11227" xr:uid="{00000000-0005-0000-0000-000040120000}"/>
    <cellStyle name="20% - Accent4 2 3 7 5 2" xfId="21790" xr:uid="{00000000-0005-0000-0000-000041120000}"/>
    <cellStyle name="20% - Accent4 2 3 7 6" xfId="13446" xr:uid="{00000000-0005-0000-0000-000042120000}"/>
    <cellStyle name="20% - Accent4 2 3 7 6 2" xfId="24009" xr:uid="{00000000-0005-0000-0000-000043120000}"/>
    <cellStyle name="20% - Accent4 2 3 7 7" xfId="17346" xr:uid="{00000000-0005-0000-0000-000044120000}"/>
    <cellStyle name="20% - Accent4 2 3 8" xfId="524" xr:uid="{00000000-0005-0000-0000-000045120000}"/>
    <cellStyle name="20% - Accent4 2 3 8 2" xfId="8266" xr:uid="{00000000-0005-0000-0000-000046120000}"/>
    <cellStyle name="20% - Accent4 2 3 8 2 2" xfId="10485" xr:uid="{00000000-0005-0000-0000-000047120000}"/>
    <cellStyle name="20% - Accent4 2 3 8 2 2 2" xfId="21048" xr:uid="{00000000-0005-0000-0000-000048120000}"/>
    <cellStyle name="20% - Accent4 2 3 8 2 3" xfId="12704" xr:uid="{00000000-0005-0000-0000-000049120000}"/>
    <cellStyle name="20% - Accent4 2 3 8 2 3 2" xfId="23267" xr:uid="{00000000-0005-0000-0000-00004A120000}"/>
    <cellStyle name="20% - Accent4 2 3 8 2 4" xfId="14923" xr:uid="{00000000-0005-0000-0000-00004B120000}"/>
    <cellStyle name="20% - Accent4 2 3 8 2 4 2" xfId="25486" xr:uid="{00000000-0005-0000-0000-00004C120000}"/>
    <cellStyle name="20% - Accent4 2 3 8 2 5" xfId="18829" xr:uid="{00000000-0005-0000-0000-00004D120000}"/>
    <cellStyle name="20% - Accent4 2 3 8 3" xfId="7533" xr:uid="{00000000-0005-0000-0000-00004E120000}"/>
    <cellStyle name="20% - Accent4 2 3 8 3 2" xfId="9752" xr:uid="{00000000-0005-0000-0000-00004F120000}"/>
    <cellStyle name="20% - Accent4 2 3 8 3 2 2" xfId="20315" xr:uid="{00000000-0005-0000-0000-000050120000}"/>
    <cellStyle name="20% - Accent4 2 3 8 3 3" xfId="11971" xr:uid="{00000000-0005-0000-0000-000051120000}"/>
    <cellStyle name="20% - Accent4 2 3 8 3 3 2" xfId="22534" xr:uid="{00000000-0005-0000-0000-000052120000}"/>
    <cellStyle name="20% - Accent4 2 3 8 3 4" xfId="14190" xr:uid="{00000000-0005-0000-0000-000053120000}"/>
    <cellStyle name="20% - Accent4 2 3 8 3 4 2" xfId="24753" xr:uid="{00000000-0005-0000-0000-000054120000}"/>
    <cellStyle name="20% - Accent4 2 3 8 3 5" xfId="18096" xr:uid="{00000000-0005-0000-0000-000055120000}"/>
    <cellStyle name="20% - Accent4 2 3 8 4" xfId="9009" xr:uid="{00000000-0005-0000-0000-000056120000}"/>
    <cellStyle name="20% - Accent4 2 3 8 4 2" xfId="19572" xr:uid="{00000000-0005-0000-0000-000057120000}"/>
    <cellStyle name="20% - Accent4 2 3 8 5" xfId="11228" xr:uid="{00000000-0005-0000-0000-000058120000}"/>
    <cellStyle name="20% - Accent4 2 3 8 5 2" xfId="21791" xr:uid="{00000000-0005-0000-0000-000059120000}"/>
    <cellStyle name="20% - Accent4 2 3 8 6" xfId="13447" xr:uid="{00000000-0005-0000-0000-00005A120000}"/>
    <cellStyle name="20% - Accent4 2 3 8 6 2" xfId="24010" xr:uid="{00000000-0005-0000-0000-00005B120000}"/>
    <cellStyle name="20% - Accent4 2 3 8 7" xfId="17347" xr:uid="{00000000-0005-0000-0000-00005C120000}"/>
    <cellStyle name="20% - Accent4 2 3 9" xfId="525" xr:uid="{00000000-0005-0000-0000-00005D120000}"/>
    <cellStyle name="20% - Accent4 2 3 9 2" xfId="8267" xr:uid="{00000000-0005-0000-0000-00005E120000}"/>
    <cellStyle name="20% - Accent4 2 3 9 2 2" xfId="10486" xr:uid="{00000000-0005-0000-0000-00005F120000}"/>
    <cellStyle name="20% - Accent4 2 3 9 2 2 2" xfId="21049" xr:uid="{00000000-0005-0000-0000-000060120000}"/>
    <cellStyle name="20% - Accent4 2 3 9 2 3" xfId="12705" xr:uid="{00000000-0005-0000-0000-000061120000}"/>
    <cellStyle name="20% - Accent4 2 3 9 2 3 2" xfId="23268" xr:uid="{00000000-0005-0000-0000-000062120000}"/>
    <cellStyle name="20% - Accent4 2 3 9 2 4" xfId="14924" xr:uid="{00000000-0005-0000-0000-000063120000}"/>
    <cellStyle name="20% - Accent4 2 3 9 2 4 2" xfId="25487" xr:uid="{00000000-0005-0000-0000-000064120000}"/>
    <cellStyle name="20% - Accent4 2 3 9 2 5" xfId="18830" xr:uid="{00000000-0005-0000-0000-000065120000}"/>
    <cellStyle name="20% - Accent4 2 3 9 3" xfId="7534" xr:uid="{00000000-0005-0000-0000-000066120000}"/>
    <cellStyle name="20% - Accent4 2 3 9 3 2" xfId="9753" xr:uid="{00000000-0005-0000-0000-000067120000}"/>
    <cellStyle name="20% - Accent4 2 3 9 3 2 2" xfId="20316" xr:uid="{00000000-0005-0000-0000-000068120000}"/>
    <cellStyle name="20% - Accent4 2 3 9 3 3" xfId="11972" xr:uid="{00000000-0005-0000-0000-000069120000}"/>
    <cellStyle name="20% - Accent4 2 3 9 3 3 2" xfId="22535" xr:uid="{00000000-0005-0000-0000-00006A120000}"/>
    <cellStyle name="20% - Accent4 2 3 9 3 4" xfId="14191" xr:uid="{00000000-0005-0000-0000-00006B120000}"/>
    <cellStyle name="20% - Accent4 2 3 9 3 4 2" xfId="24754" xr:uid="{00000000-0005-0000-0000-00006C120000}"/>
    <cellStyle name="20% - Accent4 2 3 9 3 5" xfId="18097" xr:uid="{00000000-0005-0000-0000-00006D120000}"/>
    <cellStyle name="20% - Accent4 2 3 9 4" xfId="9010" xr:uid="{00000000-0005-0000-0000-00006E120000}"/>
    <cellStyle name="20% - Accent4 2 3 9 4 2" xfId="19573" xr:uid="{00000000-0005-0000-0000-00006F120000}"/>
    <cellStyle name="20% - Accent4 2 3 9 5" xfId="11229" xr:uid="{00000000-0005-0000-0000-000070120000}"/>
    <cellStyle name="20% - Accent4 2 3 9 5 2" xfId="21792" xr:uid="{00000000-0005-0000-0000-000071120000}"/>
    <cellStyle name="20% - Accent4 2 3 9 6" xfId="13448" xr:uid="{00000000-0005-0000-0000-000072120000}"/>
    <cellStyle name="20% - Accent4 2 3 9 6 2" xfId="24011" xr:uid="{00000000-0005-0000-0000-000073120000}"/>
    <cellStyle name="20% - Accent4 2 3 9 7" xfId="17348" xr:uid="{00000000-0005-0000-0000-000074120000}"/>
    <cellStyle name="20% - Accent4 2 4" xfId="526" xr:uid="{00000000-0005-0000-0000-000075120000}"/>
    <cellStyle name="20% - Accent4 2 4 10" xfId="8268" xr:uid="{00000000-0005-0000-0000-000076120000}"/>
    <cellStyle name="20% - Accent4 2 4 10 2" xfId="10487" xr:uid="{00000000-0005-0000-0000-000077120000}"/>
    <cellStyle name="20% - Accent4 2 4 10 2 2" xfId="21050" xr:uid="{00000000-0005-0000-0000-000078120000}"/>
    <cellStyle name="20% - Accent4 2 4 10 3" xfId="12706" xr:uid="{00000000-0005-0000-0000-000079120000}"/>
    <cellStyle name="20% - Accent4 2 4 10 3 2" xfId="23269" xr:uid="{00000000-0005-0000-0000-00007A120000}"/>
    <cellStyle name="20% - Accent4 2 4 10 4" xfId="14925" xr:uid="{00000000-0005-0000-0000-00007B120000}"/>
    <cellStyle name="20% - Accent4 2 4 10 4 2" xfId="25488" xr:uid="{00000000-0005-0000-0000-00007C120000}"/>
    <cellStyle name="20% - Accent4 2 4 10 5" xfId="18831" xr:uid="{00000000-0005-0000-0000-00007D120000}"/>
    <cellStyle name="20% - Accent4 2 4 11" xfId="7535" xr:uid="{00000000-0005-0000-0000-00007E120000}"/>
    <cellStyle name="20% - Accent4 2 4 11 2" xfId="9754" xr:uid="{00000000-0005-0000-0000-00007F120000}"/>
    <cellStyle name="20% - Accent4 2 4 11 2 2" xfId="20317" xr:uid="{00000000-0005-0000-0000-000080120000}"/>
    <cellStyle name="20% - Accent4 2 4 11 3" xfId="11973" xr:uid="{00000000-0005-0000-0000-000081120000}"/>
    <cellStyle name="20% - Accent4 2 4 11 3 2" xfId="22536" xr:uid="{00000000-0005-0000-0000-000082120000}"/>
    <cellStyle name="20% - Accent4 2 4 11 4" xfId="14192" xr:uid="{00000000-0005-0000-0000-000083120000}"/>
    <cellStyle name="20% - Accent4 2 4 11 4 2" xfId="24755" xr:uid="{00000000-0005-0000-0000-000084120000}"/>
    <cellStyle name="20% - Accent4 2 4 11 5" xfId="18098" xr:uid="{00000000-0005-0000-0000-000085120000}"/>
    <cellStyle name="20% - Accent4 2 4 12" xfId="9011" xr:uid="{00000000-0005-0000-0000-000086120000}"/>
    <cellStyle name="20% - Accent4 2 4 12 2" xfId="19574" xr:uid="{00000000-0005-0000-0000-000087120000}"/>
    <cellStyle name="20% - Accent4 2 4 13" xfId="11230" xr:uid="{00000000-0005-0000-0000-000088120000}"/>
    <cellStyle name="20% - Accent4 2 4 13 2" xfId="21793" xr:uid="{00000000-0005-0000-0000-000089120000}"/>
    <cellStyle name="20% - Accent4 2 4 14" xfId="13449" xr:uid="{00000000-0005-0000-0000-00008A120000}"/>
    <cellStyle name="20% - Accent4 2 4 14 2" xfId="24012" xr:uid="{00000000-0005-0000-0000-00008B120000}"/>
    <cellStyle name="20% - Accent4 2 4 15" xfId="17349" xr:uid="{00000000-0005-0000-0000-00008C120000}"/>
    <cellStyle name="20% - Accent4 2 4 2" xfId="527" xr:uid="{00000000-0005-0000-0000-00008D120000}"/>
    <cellStyle name="20% - Accent4 2 4 2 2" xfId="8269" xr:uid="{00000000-0005-0000-0000-00008E120000}"/>
    <cellStyle name="20% - Accent4 2 4 2 2 2" xfId="10488" xr:uid="{00000000-0005-0000-0000-00008F120000}"/>
    <cellStyle name="20% - Accent4 2 4 2 2 2 2" xfId="21051" xr:uid="{00000000-0005-0000-0000-000090120000}"/>
    <cellStyle name="20% - Accent4 2 4 2 2 3" xfId="12707" xr:uid="{00000000-0005-0000-0000-000091120000}"/>
    <cellStyle name="20% - Accent4 2 4 2 2 3 2" xfId="23270" xr:uid="{00000000-0005-0000-0000-000092120000}"/>
    <cellStyle name="20% - Accent4 2 4 2 2 4" xfId="14926" xr:uid="{00000000-0005-0000-0000-000093120000}"/>
    <cellStyle name="20% - Accent4 2 4 2 2 4 2" xfId="25489" xr:uid="{00000000-0005-0000-0000-000094120000}"/>
    <cellStyle name="20% - Accent4 2 4 2 2 5" xfId="18832" xr:uid="{00000000-0005-0000-0000-000095120000}"/>
    <cellStyle name="20% - Accent4 2 4 2 3" xfId="7536" xr:uid="{00000000-0005-0000-0000-000096120000}"/>
    <cellStyle name="20% - Accent4 2 4 2 3 2" xfId="9755" xr:uid="{00000000-0005-0000-0000-000097120000}"/>
    <cellStyle name="20% - Accent4 2 4 2 3 2 2" xfId="20318" xr:uid="{00000000-0005-0000-0000-000098120000}"/>
    <cellStyle name="20% - Accent4 2 4 2 3 3" xfId="11974" xr:uid="{00000000-0005-0000-0000-000099120000}"/>
    <cellStyle name="20% - Accent4 2 4 2 3 3 2" xfId="22537" xr:uid="{00000000-0005-0000-0000-00009A120000}"/>
    <cellStyle name="20% - Accent4 2 4 2 3 4" xfId="14193" xr:uid="{00000000-0005-0000-0000-00009B120000}"/>
    <cellStyle name="20% - Accent4 2 4 2 3 4 2" xfId="24756" xr:uid="{00000000-0005-0000-0000-00009C120000}"/>
    <cellStyle name="20% - Accent4 2 4 2 3 5" xfId="18099" xr:uid="{00000000-0005-0000-0000-00009D120000}"/>
    <cellStyle name="20% - Accent4 2 4 2 4" xfId="9012" xr:uid="{00000000-0005-0000-0000-00009E120000}"/>
    <cellStyle name="20% - Accent4 2 4 2 4 2" xfId="19575" xr:uid="{00000000-0005-0000-0000-00009F120000}"/>
    <cellStyle name="20% - Accent4 2 4 2 5" xfId="11231" xr:uid="{00000000-0005-0000-0000-0000A0120000}"/>
    <cellStyle name="20% - Accent4 2 4 2 5 2" xfId="21794" xr:uid="{00000000-0005-0000-0000-0000A1120000}"/>
    <cellStyle name="20% - Accent4 2 4 2 6" xfId="13450" xr:uid="{00000000-0005-0000-0000-0000A2120000}"/>
    <cellStyle name="20% - Accent4 2 4 2 6 2" xfId="24013" xr:uid="{00000000-0005-0000-0000-0000A3120000}"/>
    <cellStyle name="20% - Accent4 2 4 2 7" xfId="17350" xr:uid="{00000000-0005-0000-0000-0000A4120000}"/>
    <cellStyle name="20% - Accent4 2 4 3" xfId="528" xr:uid="{00000000-0005-0000-0000-0000A5120000}"/>
    <cellStyle name="20% - Accent4 2 4 3 2" xfId="8270" xr:uid="{00000000-0005-0000-0000-0000A6120000}"/>
    <cellStyle name="20% - Accent4 2 4 3 2 2" xfId="10489" xr:uid="{00000000-0005-0000-0000-0000A7120000}"/>
    <cellStyle name="20% - Accent4 2 4 3 2 2 2" xfId="21052" xr:uid="{00000000-0005-0000-0000-0000A8120000}"/>
    <cellStyle name="20% - Accent4 2 4 3 2 3" xfId="12708" xr:uid="{00000000-0005-0000-0000-0000A9120000}"/>
    <cellStyle name="20% - Accent4 2 4 3 2 3 2" xfId="23271" xr:uid="{00000000-0005-0000-0000-0000AA120000}"/>
    <cellStyle name="20% - Accent4 2 4 3 2 4" xfId="14927" xr:uid="{00000000-0005-0000-0000-0000AB120000}"/>
    <cellStyle name="20% - Accent4 2 4 3 2 4 2" xfId="25490" xr:uid="{00000000-0005-0000-0000-0000AC120000}"/>
    <cellStyle name="20% - Accent4 2 4 3 2 5" xfId="18833" xr:uid="{00000000-0005-0000-0000-0000AD120000}"/>
    <cellStyle name="20% - Accent4 2 4 3 3" xfId="7537" xr:uid="{00000000-0005-0000-0000-0000AE120000}"/>
    <cellStyle name="20% - Accent4 2 4 3 3 2" xfId="9756" xr:uid="{00000000-0005-0000-0000-0000AF120000}"/>
    <cellStyle name="20% - Accent4 2 4 3 3 2 2" xfId="20319" xr:uid="{00000000-0005-0000-0000-0000B0120000}"/>
    <cellStyle name="20% - Accent4 2 4 3 3 3" xfId="11975" xr:uid="{00000000-0005-0000-0000-0000B1120000}"/>
    <cellStyle name="20% - Accent4 2 4 3 3 3 2" xfId="22538" xr:uid="{00000000-0005-0000-0000-0000B2120000}"/>
    <cellStyle name="20% - Accent4 2 4 3 3 4" xfId="14194" xr:uid="{00000000-0005-0000-0000-0000B3120000}"/>
    <cellStyle name="20% - Accent4 2 4 3 3 4 2" xfId="24757" xr:uid="{00000000-0005-0000-0000-0000B4120000}"/>
    <cellStyle name="20% - Accent4 2 4 3 3 5" xfId="18100" xr:uid="{00000000-0005-0000-0000-0000B5120000}"/>
    <cellStyle name="20% - Accent4 2 4 3 4" xfId="9013" xr:uid="{00000000-0005-0000-0000-0000B6120000}"/>
    <cellStyle name="20% - Accent4 2 4 3 4 2" xfId="19576" xr:uid="{00000000-0005-0000-0000-0000B7120000}"/>
    <cellStyle name="20% - Accent4 2 4 3 5" xfId="11232" xr:uid="{00000000-0005-0000-0000-0000B8120000}"/>
    <cellStyle name="20% - Accent4 2 4 3 5 2" xfId="21795" xr:uid="{00000000-0005-0000-0000-0000B9120000}"/>
    <cellStyle name="20% - Accent4 2 4 3 6" xfId="13451" xr:uid="{00000000-0005-0000-0000-0000BA120000}"/>
    <cellStyle name="20% - Accent4 2 4 3 6 2" xfId="24014" xr:uid="{00000000-0005-0000-0000-0000BB120000}"/>
    <cellStyle name="20% - Accent4 2 4 3 7" xfId="17351" xr:uid="{00000000-0005-0000-0000-0000BC120000}"/>
    <cellStyle name="20% - Accent4 2 4 4" xfId="529" xr:uid="{00000000-0005-0000-0000-0000BD120000}"/>
    <cellStyle name="20% - Accent4 2 4 4 2" xfId="8271" xr:uid="{00000000-0005-0000-0000-0000BE120000}"/>
    <cellStyle name="20% - Accent4 2 4 4 2 2" xfId="10490" xr:uid="{00000000-0005-0000-0000-0000BF120000}"/>
    <cellStyle name="20% - Accent4 2 4 4 2 2 2" xfId="21053" xr:uid="{00000000-0005-0000-0000-0000C0120000}"/>
    <cellStyle name="20% - Accent4 2 4 4 2 3" xfId="12709" xr:uid="{00000000-0005-0000-0000-0000C1120000}"/>
    <cellStyle name="20% - Accent4 2 4 4 2 3 2" xfId="23272" xr:uid="{00000000-0005-0000-0000-0000C2120000}"/>
    <cellStyle name="20% - Accent4 2 4 4 2 4" xfId="14928" xr:uid="{00000000-0005-0000-0000-0000C3120000}"/>
    <cellStyle name="20% - Accent4 2 4 4 2 4 2" xfId="25491" xr:uid="{00000000-0005-0000-0000-0000C4120000}"/>
    <cellStyle name="20% - Accent4 2 4 4 2 5" xfId="18834" xr:uid="{00000000-0005-0000-0000-0000C5120000}"/>
    <cellStyle name="20% - Accent4 2 4 4 3" xfId="7538" xr:uid="{00000000-0005-0000-0000-0000C6120000}"/>
    <cellStyle name="20% - Accent4 2 4 4 3 2" xfId="9757" xr:uid="{00000000-0005-0000-0000-0000C7120000}"/>
    <cellStyle name="20% - Accent4 2 4 4 3 2 2" xfId="20320" xr:uid="{00000000-0005-0000-0000-0000C8120000}"/>
    <cellStyle name="20% - Accent4 2 4 4 3 3" xfId="11976" xr:uid="{00000000-0005-0000-0000-0000C9120000}"/>
    <cellStyle name="20% - Accent4 2 4 4 3 3 2" xfId="22539" xr:uid="{00000000-0005-0000-0000-0000CA120000}"/>
    <cellStyle name="20% - Accent4 2 4 4 3 4" xfId="14195" xr:uid="{00000000-0005-0000-0000-0000CB120000}"/>
    <cellStyle name="20% - Accent4 2 4 4 3 4 2" xfId="24758" xr:uid="{00000000-0005-0000-0000-0000CC120000}"/>
    <cellStyle name="20% - Accent4 2 4 4 3 5" xfId="18101" xr:uid="{00000000-0005-0000-0000-0000CD120000}"/>
    <cellStyle name="20% - Accent4 2 4 4 4" xfId="9014" xr:uid="{00000000-0005-0000-0000-0000CE120000}"/>
    <cellStyle name="20% - Accent4 2 4 4 4 2" xfId="19577" xr:uid="{00000000-0005-0000-0000-0000CF120000}"/>
    <cellStyle name="20% - Accent4 2 4 4 5" xfId="11233" xr:uid="{00000000-0005-0000-0000-0000D0120000}"/>
    <cellStyle name="20% - Accent4 2 4 4 5 2" xfId="21796" xr:uid="{00000000-0005-0000-0000-0000D1120000}"/>
    <cellStyle name="20% - Accent4 2 4 4 6" xfId="13452" xr:uid="{00000000-0005-0000-0000-0000D2120000}"/>
    <cellStyle name="20% - Accent4 2 4 4 6 2" xfId="24015" xr:uid="{00000000-0005-0000-0000-0000D3120000}"/>
    <cellStyle name="20% - Accent4 2 4 4 7" xfId="17352" xr:uid="{00000000-0005-0000-0000-0000D4120000}"/>
    <cellStyle name="20% - Accent4 2 4 5" xfId="530" xr:uid="{00000000-0005-0000-0000-0000D5120000}"/>
    <cellStyle name="20% - Accent4 2 4 5 2" xfId="8272" xr:uid="{00000000-0005-0000-0000-0000D6120000}"/>
    <cellStyle name="20% - Accent4 2 4 5 2 2" xfId="10491" xr:uid="{00000000-0005-0000-0000-0000D7120000}"/>
    <cellStyle name="20% - Accent4 2 4 5 2 2 2" xfId="21054" xr:uid="{00000000-0005-0000-0000-0000D8120000}"/>
    <cellStyle name="20% - Accent4 2 4 5 2 3" xfId="12710" xr:uid="{00000000-0005-0000-0000-0000D9120000}"/>
    <cellStyle name="20% - Accent4 2 4 5 2 3 2" xfId="23273" xr:uid="{00000000-0005-0000-0000-0000DA120000}"/>
    <cellStyle name="20% - Accent4 2 4 5 2 4" xfId="14929" xr:uid="{00000000-0005-0000-0000-0000DB120000}"/>
    <cellStyle name="20% - Accent4 2 4 5 2 4 2" xfId="25492" xr:uid="{00000000-0005-0000-0000-0000DC120000}"/>
    <cellStyle name="20% - Accent4 2 4 5 2 5" xfId="18835" xr:uid="{00000000-0005-0000-0000-0000DD120000}"/>
    <cellStyle name="20% - Accent4 2 4 5 3" xfId="7539" xr:uid="{00000000-0005-0000-0000-0000DE120000}"/>
    <cellStyle name="20% - Accent4 2 4 5 3 2" xfId="9758" xr:uid="{00000000-0005-0000-0000-0000DF120000}"/>
    <cellStyle name="20% - Accent4 2 4 5 3 2 2" xfId="20321" xr:uid="{00000000-0005-0000-0000-0000E0120000}"/>
    <cellStyle name="20% - Accent4 2 4 5 3 3" xfId="11977" xr:uid="{00000000-0005-0000-0000-0000E1120000}"/>
    <cellStyle name="20% - Accent4 2 4 5 3 3 2" xfId="22540" xr:uid="{00000000-0005-0000-0000-0000E2120000}"/>
    <cellStyle name="20% - Accent4 2 4 5 3 4" xfId="14196" xr:uid="{00000000-0005-0000-0000-0000E3120000}"/>
    <cellStyle name="20% - Accent4 2 4 5 3 4 2" xfId="24759" xr:uid="{00000000-0005-0000-0000-0000E4120000}"/>
    <cellStyle name="20% - Accent4 2 4 5 3 5" xfId="18102" xr:uid="{00000000-0005-0000-0000-0000E5120000}"/>
    <cellStyle name="20% - Accent4 2 4 5 4" xfId="9015" xr:uid="{00000000-0005-0000-0000-0000E6120000}"/>
    <cellStyle name="20% - Accent4 2 4 5 4 2" xfId="19578" xr:uid="{00000000-0005-0000-0000-0000E7120000}"/>
    <cellStyle name="20% - Accent4 2 4 5 5" xfId="11234" xr:uid="{00000000-0005-0000-0000-0000E8120000}"/>
    <cellStyle name="20% - Accent4 2 4 5 5 2" xfId="21797" xr:uid="{00000000-0005-0000-0000-0000E9120000}"/>
    <cellStyle name="20% - Accent4 2 4 5 6" xfId="13453" xr:uid="{00000000-0005-0000-0000-0000EA120000}"/>
    <cellStyle name="20% - Accent4 2 4 5 6 2" xfId="24016" xr:uid="{00000000-0005-0000-0000-0000EB120000}"/>
    <cellStyle name="20% - Accent4 2 4 5 7" xfId="17353" xr:uid="{00000000-0005-0000-0000-0000EC120000}"/>
    <cellStyle name="20% - Accent4 2 4 6" xfId="531" xr:uid="{00000000-0005-0000-0000-0000ED120000}"/>
    <cellStyle name="20% - Accent4 2 4 6 2" xfId="8273" xr:uid="{00000000-0005-0000-0000-0000EE120000}"/>
    <cellStyle name="20% - Accent4 2 4 6 2 2" xfId="10492" xr:uid="{00000000-0005-0000-0000-0000EF120000}"/>
    <cellStyle name="20% - Accent4 2 4 6 2 2 2" xfId="21055" xr:uid="{00000000-0005-0000-0000-0000F0120000}"/>
    <cellStyle name="20% - Accent4 2 4 6 2 3" xfId="12711" xr:uid="{00000000-0005-0000-0000-0000F1120000}"/>
    <cellStyle name="20% - Accent4 2 4 6 2 3 2" xfId="23274" xr:uid="{00000000-0005-0000-0000-0000F2120000}"/>
    <cellStyle name="20% - Accent4 2 4 6 2 4" xfId="14930" xr:uid="{00000000-0005-0000-0000-0000F3120000}"/>
    <cellStyle name="20% - Accent4 2 4 6 2 4 2" xfId="25493" xr:uid="{00000000-0005-0000-0000-0000F4120000}"/>
    <cellStyle name="20% - Accent4 2 4 6 2 5" xfId="18836" xr:uid="{00000000-0005-0000-0000-0000F5120000}"/>
    <cellStyle name="20% - Accent4 2 4 6 3" xfId="7540" xr:uid="{00000000-0005-0000-0000-0000F6120000}"/>
    <cellStyle name="20% - Accent4 2 4 6 3 2" xfId="9759" xr:uid="{00000000-0005-0000-0000-0000F7120000}"/>
    <cellStyle name="20% - Accent4 2 4 6 3 2 2" xfId="20322" xr:uid="{00000000-0005-0000-0000-0000F8120000}"/>
    <cellStyle name="20% - Accent4 2 4 6 3 3" xfId="11978" xr:uid="{00000000-0005-0000-0000-0000F9120000}"/>
    <cellStyle name="20% - Accent4 2 4 6 3 3 2" xfId="22541" xr:uid="{00000000-0005-0000-0000-0000FA120000}"/>
    <cellStyle name="20% - Accent4 2 4 6 3 4" xfId="14197" xr:uid="{00000000-0005-0000-0000-0000FB120000}"/>
    <cellStyle name="20% - Accent4 2 4 6 3 4 2" xfId="24760" xr:uid="{00000000-0005-0000-0000-0000FC120000}"/>
    <cellStyle name="20% - Accent4 2 4 6 3 5" xfId="18103" xr:uid="{00000000-0005-0000-0000-0000FD120000}"/>
    <cellStyle name="20% - Accent4 2 4 6 4" xfId="9016" xr:uid="{00000000-0005-0000-0000-0000FE120000}"/>
    <cellStyle name="20% - Accent4 2 4 6 4 2" xfId="19579" xr:uid="{00000000-0005-0000-0000-0000FF120000}"/>
    <cellStyle name="20% - Accent4 2 4 6 5" xfId="11235" xr:uid="{00000000-0005-0000-0000-000000130000}"/>
    <cellStyle name="20% - Accent4 2 4 6 5 2" xfId="21798" xr:uid="{00000000-0005-0000-0000-000001130000}"/>
    <cellStyle name="20% - Accent4 2 4 6 6" xfId="13454" xr:uid="{00000000-0005-0000-0000-000002130000}"/>
    <cellStyle name="20% - Accent4 2 4 6 6 2" xfId="24017" xr:uid="{00000000-0005-0000-0000-000003130000}"/>
    <cellStyle name="20% - Accent4 2 4 6 7" xfId="17354" xr:uid="{00000000-0005-0000-0000-000004130000}"/>
    <cellStyle name="20% - Accent4 2 4 7" xfId="532" xr:uid="{00000000-0005-0000-0000-000005130000}"/>
    <cellStyle name="20% - Accent4 2 4 7 2" xfId="8274" xr:uid="{00000000-0005-0000-0000-000006130000}"/>
    <cellStyle name="20% - Accent4 2 4 7 2 2" xfId="10493" xr:uid="{00000000-0005-0000-0000-000007130000}"/>
    <cellStyle name="20% - Accent4 2 4 7 2 2 2" xfId="21056" xr:uid="{00000000-0005-0000-0000-000008130000}"/>
    <cellStyle name="20% - Accent4 2 4 7 2 3" xfId="12712" xr:uid="{00000000-0005-0000-0000-000009130000}"/>
    <cellStyle name="20% - Accent4 2 4 7 2 3 2" xfId="23275" xr:uid="{00000000-0005-0000-0000-00000A130000}"/>
    <cellStyle name="20% - Accent4 2 4 7 2 4" xfId="14931" xr:uid="{00000000-0005-0000-0000-00000B130000}"/>
    <cellStyle name="20% - Accent4 2 4 7 2 4 2" xfId="25494" xr:uid="{00000000-0005-0000-0000-00000C130000}"/>
    <cellStyle name="20% - Accent4 2 4 7 2 5" xfId="18837" xr:uid="{00000000-0005-0000-0000-00000D130000}"/>
    <cellStyle name="20% - Accent4 2 4 7 3" xfId="7541" xr:uid="{00000000-0005-0000-0000-00000E130000}"/>
    <cellStyle name="20% - Accent4 2 4 7 3 2" xfId="9760" xr:uid="{00000000-0005-0000-0000-00000F130000}"/>
    <cellStyle name="20% - Accent4 2 4 7 3 2 2" xfId="20323" xr:uid="{00000000-0005-0000-0000-000010130000}"/>
    <cellStyle name="20% - Accent4 2 4 7 3 3" xfId="11979" xr:uid="{00000000-0005-0000-0000-000011130000}"/>
    <cellStyle name="20% - Accent4 2 4 7 3 3 2" xfId="22542" xr:uid="{00000000-0005-0000-0000-000012130000}"/>
    <cellStyle name="20% - Accent4 2 4 7 3 4" xfId="14198" xr:uid="{00000000-0005-0000-0000-000013130000}"/>
    <cellStyle name="20% - Accent4 2 4 7 3 4 2" xfId="24761" xr:uid="{00000000-0005-0000-0000-000014130000}"/>
    <cellStyle name="20% - Accent4 2 4 7 3 5" xfId="18104" xr:uid="{00000000-0005-0000-0000-000015130000}"/>
    <cellStyle name="20% - Accent4 2 4 7 4" xfId="9017" xr:uid="{00000000-0005-0000-0000-000016130000}"/>
    <cellStyle name="20% - Accent4 2 4 7 4 2" xfId="19580" xr:uid="{00000000-0005-0000-0000-000017130000}"/>
    <cellStyle name="20% - Accent4 2 4 7 5" xfId="11236" xr:uid="{00000000-0005-0000-0000-000018130000}"/>
    <cellStyle name="20% - Accent4 2 4 7 5 2" xfId="21799" xr:uid="{00000000-0005-0000-0000-000019130000}"/>
    <cellStyle name="20% - Accent4 2 4 7 6" xfId="13455" xr:uid="{00000000-0005-0000-0000-00001A130000}"/>
    <cellStyle name="20% - Accent4 2 4 7 6 2" xfId="24018" xr:uid="{00000000-0005-0000-0000-00001B130000}"/>
    <cellStyle name="20% - Accent4 2 4 7 7" xfId="17355" xr:uid="{00000000-0005-0000-0000-00001C130000}"/>
    <cellStyle name="20% - Accent4 2 4 8" xfId="533" xr:uid="{00000000-0005-0000-0000-00001D130000}"/>
    <cellStyle name="20% - Accent4 2 4 8 2" xfId="8275" xr:uid="{00000000-0005-0000-0000-00001E130000}"/>
    <cellStyle name="20% - Accent4 2 4 8 2 2" xfId="10494" xr:uid="{00000000-0005-0000-0000-00001F130000}"/>
    <cellStyle name="20% - Accent4 2 4 8 2 2 2" xfId="21057" xr:uid="{00000000-0005-0000-0000-000020130000}"/>
    <cellStyle name="20% - Accent4 2 4 8 2 3" xfId="12713" xr:uid="{00000000-0005-0000-0000-000021130000}"/>
    <cellStyle name="20% - Accent4 2 4 8 2 3 2" xfId="23276" xr:uid="{00000000-0005-0000-0000-000022130000}"/>
    <cellStyle name="20% - Accent4 2 4 8 2 4" xfId="14932" xr:uid="{00000000-0005-0000-0000-000023130000}"/>
    <cellStyle name="20% - Accent4 2 4 8 2 4 2" xfId="25495" xr:uid="{00000000-0005-0000-0000-000024130000}"/>
    <cellStyle name="20% - Accent4 2 4 8 2 5" xfId="18838" xr:uid="{00000000-0005-0000-0000-000025130000}"/>
    <cellStyle name="20% - Accent4 2 4 8 3" xfId="7542" xr:uid="{00000000-0005-0000-0000-000026130000}"/>
    <cellStyle name="20% - Accent4 2 4 8 3 2" xfId="9761" xr:uid="{00000000-0005-0000-0000-000027130000}"/>
    <cellStyle name="20% - Accent4 2 4 8 3 2 2" xfId="20324" xr:uid="{00000000-0005-0000-0000-000028130000}"/>
    <cellStyle name="20% - Accent4 2 4 8 3 3" xfId="11980" xr:uid="{00000000-0005-0000-0000-000029130000}"/>
    <cellStyle name="20% - Accent4 2 4 8 3 3 2" xfId="22543" xr:uid="{00000000-0005-0000-0000-00002A130000}"/>
    <cellStyle name="20% - Accent4 2 4 8 3 4" xfId="14199" xr:uid="{00000000-0005-0000-0000-00002B130000}"/>
    <cellStyle name="20% - Accent4 2 4 8 3 4 2" xfId="24762" xr:uid="{00000000-0005-0000-0000-00002C130000}"/>
    <cellStyle name="20% - Accent4 2 4 8 3 5" xfId="18105" xr:uid="{00000000-0005-0000-0000-00002D130000}"/>
    <cellStyle name="20% - Accent4 2 4 8 4" xfId="9018" xr:uid="{00000000-0005-0000-0000-00002E130000}"/>
    <cellStyle name="20% - Accent4 2 4 8 4 2" xfId="19581" xr:uid="{00000000-0005-0000-0000-00002F130000}"/>
    <cellStyle name="20% - Accent4 2 4 8 5" xfId="11237" xr:uid="{00000000-0005-0000-0000-000030130000}"/>
    <cellStyle name="20% - Accent4 2 4 8 5 2" xfId="21800" xr:uid="{00000000-0005-0000-0000-000031130000}"/>
    <cellStyle name="20% - Accent4 2 4 8 6" xfId="13456" xr:uid="{00000000-0005-0000-0000-000032130000}"/>
    <cellStyle name="20% - Accent4 2 4 8 6 2" xfId="24019" xr:uid="{00000000-0005-0000-0000-000033130000}"/>
    <cellStyle name="20% - Accent4 2 4 8 7" xfId="17356" xr:uid="{00000000-0005-0000-0000-000034130000}"/>
    <cellStyle name="20% - Accent4 2 4 9" xfId="534" xr:uid="{00000000-0005-0000-0000-000035130000}"/>
    <cellStyle name="20% - Accent4 2 4 9 2" xfId="8276" xr:uid="{00000000-0005-0000-0000-000036130000}"/>
    <cellStyle name="20% - Accent4 2 4 9 2 2" xfId="10495" xr:uid="{00000000-0005-0000-0000-000037130000}"/>
    <cellStyle name="20% - Accent4 2 4 9 2 2 2" xfId="21058" xr:uid="{00000000-0005-0000-0000-000038130000}"/>
    <cellStyle name="20% - Accent4 2 4 9 2 3" xfId="12714" xr:uid="{00000000-0005-0000-0000-000039130000}"/>
    <cellStyle name="20% - Accent4 2 4 9 2 3 2" xfId="23277" xr:uid="{00000000-0005-0000-0000-00003A130000}"/>
    <cellStyle name="20% - Accent4 2 4 9 2 4" xfId="14933" xr:uid="{00000000-0005-0000-0000-00003B130000}"/>
    <cellStyle name="20% - Accent4 2 4 9 2 4 2" xfId="25496" xr:uid="{00000000-0005-0000-0000-00003C130000}"/>
    <cellStyle name="20% - Accent4 2 4 9 2 5" xfId="18839" xr:uid="{00000000-0005-0000-0000-00003D130000}"/>
    <cellStyle name="20% - Accent4 2 4 9 3" xfId="7543" xr:uid="{00000000-0005-0000-0000-00003E130000}"/>
    <cellStyle name="20% - Accent4 2 4 9 3 2" xfId="9762" xr:uid="{00000000-0005-0000-0000-00003F130000}"/>
    <cellStyle name="20% - Accent4 2 4 9 3 2 2" xfId="20325" xr:uid="{00000000-0005-0000-0000-000040130000}"/>
    <cellStyle name="20% - Accent4 2 4 9 3 3" xfId="11981" xr:uid="{00000000-0005-0000-0000-000041130000}"/>
    <cellStyle name="20% - Accent4 2 4 9 3 3 2" xfId="22544" xr:uid="{00000000-0005-0000-0000-000042130000}"/>
    <cellStyle name="20% - Accent4 2 4 9 3 4" xfId="14200" xr:uid="{00000000-0005-0000-0000-000043130000}"/>
    <cellStyle name="20% - Accent4 2 4 9 3 4 2" xfId="24763" xr:uid="{00000000-0005-0000-0000-000044130000}"/>
    <cellStyle name="20% - Accent4 2 4 9 3 5" xfId="18106" xr:uid="{00000000-0005-0000-0000-000045130000}"/>
    <cellStyle name="20% - Accent4 2 4 9 4" xfId="9019" xr:uid="{00000000-0005-0000-0000-000046130000}"/>
    <cellStyle name="20% - Accent4 2 4 9 4 2" xfId="19582" xr:uid="{00000000-0005-0000-0000-000047130000}"/>
    <cellStyle name="20% - Accent4 2 4 9 5" xfId="11238" xr:uid="{00000000-0005-0000-0000-000048130000}"/>
    <cellStyle name="20% - Accent4 2 4 9 5 2" xfId="21801" xr:uid="{00000000-0005-0000-0000-000049130000}"/>
    <cellStyle name="20% - Accent4 2 4 9 6" xfId="13457" xr:uid="{00000000-0005-0000-0000-00004A130000}"/>
    <cellStyle name="20% - Accent4 2 4 9 6 2" xfId="24020" xr:uid="{00000000-0005-0000-0000-00004B130000}"/>
    <cellStyle name="20% - Accent4 2 4 9 7" xfId="17357" xr:uid="{00000000-0005-0000-0000-00004C130000}"/>
    <cellStyle name="20% - Accent4 2 5" xfId="535" xr:uid="{00000000-0005-0000-0000-00004D130000}"/>
    <cellStyle name="20% - Accent4 2 5 10" xfId="8277" xr:uid="{00000000-0005-0000-0000-00004E130000}"/>
    <cellStyle name="20% - Accent4 2 5 10 2" xfId="10496" xr:uid="{00000000-0005-0000-0000-00004F130000}"/>
    <cellStyle name="20% - Accent4 2 5 10 2 2" xfId="21059" xr:uid="{00000000-0005-0000-0000-000050130000}"/>
    <cellStyle name="20% - Accent4 2 5 10 3" xfId="12715" xr:uid="{00000000-0005-0000-0000-000051130000}"/>
    <cellStyle name="20% - Accent4 2 5 10 3 2" xfId="23278" xr:uid="{00000000-0005-0000-0000-000052130000}"/>
    <cellStyle name="20% - Accent4 2 5 10 4" xfId="14934" xr:uid="{00000000-0005-0000-0000-000053130000}"/>
    <cellStyle name="20% - Accent4 2 5 10 4 2" xfId="25497" xr:uid="{00000000-0005-0000-0000-000054130000}"/>
    <cellStyle name="20% - Accent4 2 5 10 5" xfId="18840" xr:uid="{00000000-0005-0000-0000-000055130000}"/>
    <cellStyle name="20% - Accent4 2 5 11" xfId="7544" xr:uid="{00000000-0005-0000-0000-000056130000}"/>
    <cellStyle name="20% - Accent4 2 5 11 2" xfId="9763" xr:uid="{00000000-0005-0000-0000-000057130000}"/>
    <cellStyle name="20% - Accent4 2 5 11 2 2" xfId="20326" xr:uid="{00000000-0005-0000-0000-000058130000}"/>
    <cellStyle name="20% - Accent4 2 5 11 3" xfId="11982" xr:uid="{00000000-0005-0000-0000-000059130000}"/>
    <cellStyle name="20% - Accent4 2 5 11 3 2" xfId="22545" xr:uid="{00000000-0005-0000-0000-00005A130000}"/>
    <cellStyle name="20% - Accent4 2 5 11 4" xfId="14201" xr:uid="{00000000-0005-0000-0000-00005B130000}"/>
    <cellStyle name="20% - Accent4 2 5 11 4 2" xfId="24764" xr:uid="{00000000-0005-0000-0000-00005C130000}"/>
    <cellStyle name="20% - Accent4 2 5 11 5" xfId="18107" xr:uid="{00000000-0005-0000-0000-00005D130000}"/>
    <cellStyle name="20% - Accent4 2 5 12" xfId="9020" xr:uid="{00000000-0005-0000-0000-00005E130000}"/>
    <cellStyle name="20% - Accent4 2 5 12 2" xfId="19583" xr:uid="{00000000-0005-0000-0000-00005F130000}"/>
    <cellStyle name="20% - Accent4 2 5 13" xfId="11239" xr:uid="{00000000-0005-0000-0000-000060130000}"/>
    <cellStyle name="20% - Accent4 2 5 13 2" xfId="21802" xr:uid="{00000000-0005-0000-0000-000061130000}"/>
    <cellStyle name="20% - Accent4 2 5 14" xfId="13458" xr:uid="{00000000-0005-0000-0000-000062130000}"/>
    <cellStyle name="20% - Accent4 2 5 14 2" xfId="24021" xr:uid="{00000000-0005-0000-0000-000063130000}"/>
    <cellStyle name="20% - Accent4 2 5 15" xfId="17358" xr:uid="{00000000-0005-0000-0000-000064130000}"/>
    <cellStyle name="20% - Accent4 2 5 2" xfId="536" xr:uid="{00000000-0005-0000-0000-000065130000}"/>
    <cellStyle name="20% - Accent4 2 5 2 2" xfId="8278" xr:uid="{00000000-0005-0000-0000-000066130000}"/>
    <cellStyle name="20% - Accent4 2 5 2 2 2" xfId="10497" xr:uid="{00000000-0005-0000-0000-000067130000}"/>
    <cellStyle name="20% - Accent4 2 5 2 2 2 2" xfId="21060" xr:uid="{00000000-0005-0000-0000-000068130000}"/>
    <cellStyle name="20% - Accent4 2 5 2 2 3" xfId="12716" xr:uid="{00000000-0005-0000-0000-000069130000}"/>
    <cellStyle name="20% - Accent4 2 5 2 2 3 2" xfId="23279" xr:uid="{00000000-0005-0000-0000-00006A130000}"/>
    <cellStyle name="20% - Accent4 2 5 2 2 4" xfId="14935" xr:uid="{00000000-0005-0000-0000-00006B130000}"/>
    <cellStyle name="20% - Accent4 2 5 2 2 4 2" xfId="25498" xr:uid="{00000000-0005-0000-0000-00006C130000}"/>
    <cellStyle name="20% - Accent4 2 5 2 2 5" xfId="18841" xr:uid="{00000000-0005-0000-0000-00006D130000}"/>
    <cellStyle name="20% - Accent4 2 5 2 3" xfId="7545" xr:uid="{00000000-0005-0000-0000-00006E130000}"/>
    <cellStyle name="20% - Accent4 2 5 2 3 2" xfId="9764" xr:uid="{00000000-0005-0000-0000-00006F130000}"/>
    <cellStyle name="20% - Accent4 2 5 2 3 2 2" xfId="20327" xr:uid="{00000000-0005-0000-0000-000070130000}"/>
    <cellStyle name="20% - Accent4 2 5 2 3 3" xfId="11983" xr:uid="{00000000-0005-0000-0000-000071130000}"/>
    <cellStyle name="20% - Accent4 2 5 2 3 3 2" xfId="22546" xr:uid="{00000000-0005-0000-0000-000072130000}"/>
    <cellStyle name="20% - Accent4 2 5 2 3 4" xfId="14202" xr:uid="{00000000-0005-0000-0000-000073130000}"/>
    <cellStyle name="20% - Accent4 2 5 2 3 4 2" xfId="24765" xr:uid="{00000000-0005-0000-0000-000074130000}"/>
    <cellStyle name="20% - Accent4 2 5 2 3 5" xfId="18108" xr:uid="{00000000-0005-0000-0000-000075130000}"/>
    <cellStyle name="20% - Accent4 2 5 2 4" xfId="9021" xr:uid="{00000000-0005-0000-0000-000076130000}"/>
    <cellStyle name="20% - Accent4 2 5 2 4 2" xfId="19584" xr:uid="{00000000-0005-0000-0000-000077130000}"/>
    <cellStyle name="20% - Accent4 2 5 2 5" xfId="11240" xr:uid="{00000000-0005-0000-0000-000078130000}"/>
    <cellStyle name="20% - Accent4 2 5 2 5 2" xfId="21803" xr:uid="{00000000-0005-0000-0000-000079130000}"/>
    <cellStyle name="20% - Accent4 2 5 2 6" xfId="13459" xr:uid="{00000000-0005-0000-0000-00007A130000}"/>
    <cellStyle name="20% - Accent4 2 5 2 6 2" xfId="24022" xr:uid="{00000000-0005-0000-0000-00007B130000}"/>
    <cellStyle name="20% - Accent4 2 5 2 7" xfId="17359" xr:uid="{00000000-0005-0000-0000-00007C130000}"/>
    <cellStyle name="20% - Accent4 2 5 3" xfId="537" xr:uid="{00000000-0005-0000-0000-00007D130000}"/>
    <cellStyle name="20% - Accent4 2 5 3 2" xfId="8279" xr:uid="{00000000-0005-0000-0000-00007E130000}"/>
    <cellStyle name="20% - Accent4 2 5 3 2 2" xfId="10498" xr:uid="{00000000-0005-0000-0000-00007F130000}"/>
    <cellStyle name="20% - Accent4 2 5 3 2 2 2" xfId="21061" xr:uid="{00000000-0005-0000-0000-000080130000}"/>
    <cellStyle name="20% - Accent4 2 5 3 2 3" xfId="12717" xr:uid="{00000000-0005-0000-0000-000081130000}"/>
    <cellStyle name="20% - Accent4 2 5 3 2 3 2" xfId="23280" xr:uid="{00000000-0005-0000-0000-000082130000}"/>
    <cellStyle name="20% - Accent4 2 5 3 2 4" xfId="14936" xr:uid="{00000000-0005-0000-0000-000083130000}"/>
    <cellStyle name="20% - Accent4 2 5 3 2 4 2" xfId="25499" xr:uid="{00000000-0005-0000-0000-000084130000}"/>
    <cellStyle name="20% - Accent4 2 5 3 2 5" xfId="18842" xr:uid="{00000000-0005-0000-0000-000085130000}"/>
    <cellStyle name="20% - Accent4 2 5 3 3" xfId="7546" xr:uid="{00000000-0005-0000-0000-000086130000}"/>
    <cellStyle name="20% - Accent4 2 5 3 3 2" xfId="9765" xr:uid="{00000000-0005-0000-0000-000087130000}"/>
    <cellStyle name="20% - Accent4 2 5 3 3 2 2" xfId="20328" xr:uid="{00000000-0005-0000-0000-000088130000}"/>
    <cellStyle name="20% - Accent4 2 5 3 3 3" xfId="11984" xr:uid="{00000000-0005-0000-0000-000089130000}"/>
    <cellStyle name="20% - Accent4 2 5 3 3 3 2" xfId="22547" xr:uid="{00000000-0005-0000-0000-00008A130000}"/>
    <cellStyle name="20% - Accent4 2 5 3 3 4" xfId="14203" xr:uid="{00000000-0005-0000-0000-00008B130000}"/>
    <cellStyle name="20% - Accent4 2 5 3 3 4 2" xfId="24766" xr:uid="{00000000-0005-0000-0000-00008C130000}"/>
    <cellStyle name="20% - Accent4 2 5 3 3 5" xfId="18109" xr:uid="{00000000-0005-0000-0000-00008D130000}"/>
    <cellStyle name="20% - Accent4 2 5 3 4" xfId="9022" xr:uid="{00000000-0005-0000-0000-00008E130000}"/>
    <cellStyle name="20% - Accent4 2 5 3 4 2" xfId="19585" xr:uid="{00000000-0005-0000-0000-00008F130000}"/>
    <cellStyle name="20% - Accent4 2 5 3 5" xfId="11241" xr:uid="{00000000-0005-0000-0000-000090130000}"/>
    <cellStyle name="20% - Accent4 2 5 3 5 2" xfId="21804" xr:uid="{00000000-0005-0000-0000-000091130000}"/>
    <cellStyle name="20% - Accent4 2 5 3 6" xfId="13460" xr:uid="{00000000-0005-0000-0000-000092130000}"/>
    <cellStyle name="20% - Accent4 2 5 3 6 2" xfId="24023" xr:uid="{00000000-0005-0000-0000-000093130000}"/>
    <cellStyle name="20% - Accent4 2 5 3 7" xfId="17360" xr:uid="{00000000-0005-0000-0000-000094130000}"/>
    <cellStyle name="20% - Accent4 2 5 4" xfId="538" xr:uid="{00000000-0005-0000-0000-000095130000}"/>
    <cellStyle name="20% - Accent4 2 5 4 2" xfId="8280" xr:uid="{00000000-0005-0000-0000-000096130000}"/>
    <cellStyle name="20% - Accent4 2 5 4 2 2" xfId="10499" xr:uid="{00000000-0005-0000-0000-000097130000}"/>
    <cellStyle name="20% - Accent4 2 5 4 2 2 2" xfId="21062" xr:uid="{00000000-0005-0000-0000-000098130000}"/>
    <cellStyle name="20% - Accent4 2 5 4 2 3" xfId="12718" xr:uid="{00000000-0005-0000-0000-000099130000}"/>
    <cellStyle name="20% - Accent4 2 5 4 2 3 2" xfId="23281" xr:uid="{00000000-0005-0000-0000-00009A130000}"/>
    <cellStyle name="20% - Accent4 2 5 4 2 4" xfId="14937" xr:uid="{00000000-0005-0000-0000-00009B130000}"/>
    <cellStyle name="20% - Accent4 2 5 4 2 4 2" xfId="25500" xr:uid="{00000000-0005-0000-0000-00009C130000}"/>
    <cellStyle name="20% - Accent4 2 5 4 2 5" xfId="18843" xr:uid="{00000000-0005-0000-0000-00009D130000}"/>
    <cellStyle name="20% - Accent4 2 5 4 3" xfId="7547" xr:uid="{00000000-0005-0000-0000-00009E130000}"/>
    <cellStyle name="20% - Accent4 2 5 4 3 2" xfId="9766" xr:uid="{00000000-0005-0000-0000-00009F130000}"/>
    <cellStyle name="20% - Accent4 2 5 4 3 2 2" xfId="20329" xr:uid="{00000000-0005-0000-0000-0000A0130000}"/>
    <cellStyle name="20% - Accent4 2 5 4 3 3" xfId="11985" xr:uid="{00000000-0005-0000-0000-0000A1130000}"/>
    <cellStyle name="20% - Accent4 2 5 4 3 3 2" xfId="22548" xr:uid="{00000000-0005-0000-0000-0000A2130000}"/>
    <cellStyle name="20% - Accent4 2 5 4 3 4" xfId="14204" xr:uid="{00000000-0005-0000-0000-0000A3130000}"/>
    <cellStyle name="20% - Accent4 2 5 4 3 4 2" xfId="24767" xr:uid="{00000000-0005-0000-0000-0000A4130000}"/>
    <cellStyle name="20% - Accent4 2 5 4 3 5" xfId="18110" xr:uid="{00000000-0005-0000-0000-0000A5130000}"/>
    <cellStyle name="20% - Accent4 2 5 4 4" xfId="9023" xr:uid="{00000000-0005-0000-0000-0000A6130000}"/>
    <cellStyle name="20% - Accent4 2 5 4 4 2" xfId="19586" xr:uid="{00000000-0005-0000-0000-0000A7130000}"/>
    <cellStyle name="20% - Accent4 2 5 4 5" xfId="11242" xr:uid="{00000000-0005-0000-0000-0000A8130000}"/>
    <cellStyle name="20% - Accent4 2 5 4 5 2" xfId="21805" xr:uid="{00000000-0005-0000-0000-0000A9130000}"/>
    <cellStyle name="20% - Accent4 2 5 4 6" xfId="13461" xr:uid="{00000000-0005-0000-0000-0000AA130000}"/>
    <cellStyle name="20% - Accent4 2 5 4 6 2" xfId="24024" xr:uid="{00000000-0005-0000-0000-0000AB130000}"/>
    <cellStyle name="20% - Accent4 2 5 4 7" xfId="17361" xr:uid="{00000000-0005-0000-0000-0000AC130000}"/>
    <cellStyle name="20% - Accent4 2 5 5" xfId="539" xr:uid="{00000000-0005-0000-0000-0000AD130000}"/>
    <cellStyle name="20% - Accent4 2 5 5 2" xfId="8281" xr:uid="{00000000-0005-0000-0000-0000AE130000}"/>
    <cellStyle name="20% - Accent4 2 5 5 2 2" xfId="10500" xr:uid="{00000000-0005-0000-0000-0000AF130000}"/>
    <cellStyle name="20% - Accent4 2 5 5 2 2 2" xfId="21063" xr:uid="{00000000-0005-0000-0000-0000B0130000}"/>
    <cellStyle name="20% - Accent4 2 5 5 2 3" xfId="12719" xr:uid="{00000000-0005-0000-0000-0000B1130000}"/>
    <cellStyle name="20% - Accent4 2 5 5 2 3 2" xfId="23282" xr:uid="{00000000-0005-0000-0000-0000B2130000}"/>
    <cellStyle name="20% - Accent4 2 5 5 2 4" xfId="14938" xr:uid="{00000000-0005-0000-0000-0000B3130000}"/>
    <cellStyle name="20% - Accent4 2 5 5 2 4 2" xfId="25501" xr:uid="{00000000-0005-0000-0000-0000B4130000}"/>
    <cellStyle name="20% - Accent4 2 5 5 2 5" xfId="18844" xr:uid="{00000000-0005-0000-0000-0000B5130000}"/>
    <cellStyle name="20% - Accent4 2 5 5 3" xfId="7548" xr:uid="{00000000-0005-0000-0000-0000B6130000}"/>
    <cellStyle name="20% - Accent4 2 5 5 3 2" xfId="9767" xr:uid="{00000000-0005-0000-0000-0000B7130000}"/>
    <cellStyle name="20% - Accent4 2 5 5 3 2 2" xfId="20330" xr:uid="{00000000-0005-0000-0000-0000B8130000}"/>
    <cellStyle name="20% - Accent4 2 5 5 3 3" xfId="11986" xr:uid="{00000000-0005-0000-0000-0000B9130000}"/>
    <cellStyle name="20% - Accent4 2 5 5 3 3 2" xfId="22549" xr:uid="{00000000-0005-0000-0000-0000BA130000}"/>
    <cellStyle name="20% - Accent4 2 5 5 3 4" xfId="14205" xr:uid="{00000000-0005-0000-0000-0000BB130000}"/>
    <cellStyle name="20% - Accent4 2 5 5 3 4 2" xfId="24768" xr:uid="{00000000-0005-0000-0000-0000BC130000}"/>
    <cellStyle name="20% - Accent4 2 5 5 3 5" xfId="18111" xr:uid="{00000000-0005-0000-0000-0000BD130000}"/>
    <cellStyle name="20% - Accent4 2 5 5 4" xfId="9024" xr:uid="{00000000-0005-0000-0000-0000BE130000}"/>
    <cellStyle name="20% - Accent4 2 5 5 4 2" xfId="19587" xr:uid="{00000000-0005-0000-0000-0000BF130000}"/>
    <cellStyle name="20% - Accent4 2 5 5 5" xfId="11243" xr:uid="{00000000-0005-0000-0000-0000C0130000}"/>
    <cellStyle name="20% - Accent4 2 5 5 5 2" xfId="21806" xr:uid="{00000000-0005-0000-0000-0000C1130000}"/>
    <cellStyle name="20% - Accent4 2 5 5 6" xfId="13462" xr:uid="{00000000-0005-0000-0000-0000C2130000}"/>
    <cellStyle name="20% - Accent4 2 5 5 6 2" xfId="24025" xr:uid="{00000000-0005-0000-0000-0000C3130000}"/>
    <cellStyle name="20% - Accent4 2 5 5 7" xfId="17362" xr:uid="{00000000-0005-0000-0000-0000C4130000}"/>
    <cellStyle name="20% - Accent4 2 5 6" xfId="540" xr:uid="{00000000-0005-0000-0000-0000C5130000}"/>
    <cellStyle name="20% - Accent4 2 5 6 2" xfId="8282" xr:uid="{00000000-0005-0000-0000-0000C6130000}"/>
    <cellStyle name="20% - Accent4 2 5 6 2 2" xfId="10501" xr:uid="{00000000-0005-0000-0000-0000C7130000}"/>
    <cellStyle name="20% - Accent4 2 5 6 2 2 2" xfId="21064" xr:uid="{00000000-0005-0000-0000-0000C8130000}"/>
    <cellStyle name="20% - Accent4 2 5 6 2 3" xfId="12720" xr:uid="{00000000-0005-0000-0000-0000C9130000}"/>
    <cellStyle name="20% - Accent4 2 5 6 2 3 2" xfId="23283" xr:uid="{00000000-0005-0000-0000-0000CA130000}"/>
    <cellStyle name="20% - Accent4 2 5 6 2 4" xfId="14939" xr:uid="{00000000-0005-0000-0000-0000CB130000}"/>
    <cellStyle name="20% - Accent4 2 5 6 2 4 2" xfId="25502" xr:uid="{00000000-0005-0000-0000-0000CC130000}"/>
    <cellStyle name="20% - Accent4 2 5 6 2 5" xfId="18845" xr:uid="{00000000-0005-0000-0000-0000CD130000}"/>
    <cellStyle name="20% - Accent4 2 5 6 3" xfId="7549" xr:uid="{00000000-0005-0000-0000-0000CE130000}"/>
    <cellStyle name="20% - Accent4 2 5 6 3 2" xfId="9768" xr:uid="{00000000-0005-0000-0000-0000CF130000}"/>
    <cellStyle name="20% - Accent4 2 5 6 3 2 2" xfId="20331" xr:uid="{00000000-0005-0000-0000-0000D0130000}"/>
    <cellStyle name="20% - Accent4 2 5 6 3 3" xfId="11987" xr:uid="{00000000-0005-0000-0000-0000D1130000}"/>
    <cellStyle name="20% - Accent4 2 5 6 3 3 2" xfId="22550" xr:uid="{00000000-0005-0000-0000-0000D2130000}"/>
    <cellStyle name="20% - Accent4 2 5 6 3 4" xfId="14206" xr:uid="{00000000-0005-0000-0000-0000D3130000}"/>
    <cellStyle name="20% - Accent4 2 5 6 3 4 2" xfId="24769" xr:uid="{00000000-0005-0000-0000-0000D4130000}"/>
    <cellStyle name="20% - Accent4 2 5 6 3 5" xfId="18112" xr:uid="{00000000-0005-0000-0000-0000D5130000}"/>
    <cellStyle name="20% - Accent4 2 5 6 4" xfId="9025" xr:uid="{00000000-0005-0000-0000-0000D6130000}"/>
    <cellStyle name="20% - Accent4 2 5 6 4 2" xfId="19588" xr:uid="{00000000-0005-0000-0000-0000D7130000}"/>
    <cellStyle name="20% - Accent4 2 5 6 5" xfId="11244" xr:uid="{00000000-0005-0000-0000-0000D8130000}"/>
    <cellStyle name="20% - Accent4 2 5 6 5 2" xfId="21807" xr:uid="{00000000-0005-0000-0000-0000D9130000}"/>
    <cellStyle name="20% - Accent4 2 5 6 6" xfId="13463" xr:uid="{00000000-0005-0000-0000-0000DA130000}"/>
    <cellStyle name="20% - Accent4 2 5 6 6 2" xfId="24026" xr:uid="{00000000-0005-0000-0000-0000DB130000}"/>
    <cellStyle name="20% - Accent4 2 5 6 7" xfId="17363" xr:uid="{00000000-0005-0000-0000-0000DC130000}"/>
    <cellStyle name="20% - Accent4 2 5 7" xfId="541" xr:uid="{00000000-0005-0000-0000-0000DD130000}"/>
    <cellStyle name="20% - Accent4 2 5 7 2" xfId="8283" xr:uid="{00000000-0005-0000-0000-0000DE130000}"/>
    <cellStyle name="20% - Accent4 2 5 7 2 2" xfId="10502" xr:uid="{00000000-0005-0000-0000-0000DF130000}"/>
    <cellStyle name="20% - Accent4 2 5 7 2 2 2" xfId="21065" xr:uid="{00000000-0005-0000-0000-0000E0130000}"/>
    <cellStyle name="20% - Accent4 2 5 7 2 3" xfId="12721" xr:uid="{00000000-0005-0000-0000-0000E1130000}"/>
    <cellStyle name="20% - Accent4 2 5 7 2 3 2" xfId="23284" xr:uid="{00000000-0005-0000-0000-0000E2130000}"/>
    <cellStyle name="20% - Accent4 2 5 7 2 4" xfId="14940" xr:uid="{00000000-0005-0000-0000-0000E3130000}"/>
    <cellStyle name="20% - Accent4 2 5 7 2 4 2" xfId="25503" xr:uid="{00000000-0005-0000-0000-0000E4130000}"/>
    <cellStyle name="20% - Accent4 2 5 7 2 5" xfId="18846" xr:uid="{00000000-0005-0000-0000-0000E5130000}"/>
    <cellStyle name="20% - Accent4 2 5 7 3" xfId="7550" xr:uid="{00000000-0005-0000-0000-0000E6130000}"/>
    <cellStyle name="20% - Accent4 2 5 7 3 2" xfId="9769" xr:uid="{00000000-0005-0000-0000-0000E7130000}"/>
    <cellStyle name="20% - Accent4 2 5 7 3 2 2" xfId="20332" xr:uid="{00000000-0005-0000-0000-0000E8130000}"/>
    <cellStyle name="20% - Accent4 2 5 7 3 3" xfId="11988" xr:uid="{00000000-0005-0000-0000-0000E9130000}"/>
    <cellStyle name="20% - Accent4 2 5 7 3 3 2" xfId="22551" xr:uid="{00000000-0005-0000-0000-0000EA130000}"/>
    <cellStyle name="20% - Accent4 2 5 7 3 4" xfId="14207" xr:uid="{00000000-0005-0000-0000-0000EB130000}"/>
    <cellStyle name="20% - Accent4 2 5 7 3 4 2" xfId="24770" xr:uid="{00000000-0005-0000-0000-0000EC130000}"/>
    <cellStyle name="20% - Accent4 2 5 7 3 5" xfId="18113" xr:uid="{00000000-0005-0000-0000-0000ED130000}"/>
    <cellStyle name="20% - Accent4 2 5 7 4" xfId="9026" xr:uid="{00000000-0005-0000-0000-0000EE130000}"/>
    <cellStyle name="20% - Accent4 2 5 7 4 2" xfId="19589" xr:uid="{00000000-0005-0000-0000-0000EF130000}"/>
    <cellStyle name="20% - Accent4 2 5 7 5" xfId="11245" xr:uid="{00000000-0005-0000-0000-0000F0130000}"/>
    <cellStyle name="20% - Accent4 2 5 7 5 2" xfId="21808" xr:uid="{00000000-0005-0000-0000-0000F1130000}"/>
    <cellStyle name="20% - Accent4 2 5 7 6" xfId="13464" xr:uid="{00000000-0005-0000-0000-0000F2130000}"/>
    <cellStyle name="20% - Accent4 2 5 7 6 2" xfId="24027" xr:uid="{00000000-0005-0000-0000-0000F3130000}"/>
    <cellStyle name="20% - Accent4 2 5 7 7" xfId="17364" xr:uid="{00000000-0005-0000-0000-0000F4130000}"/>
    <cellStyle name="20% - Accent4 2 5 8" xfId="542" xr:uid="{00000000-0005-0000-0000-0000F5130000}"/>
    <cellStyle name="20% - Accent4 2 5 8 2" xfId="8284" xr:uid="{00000000-0005-0000-0000-0000F6130000}"/>
    <cellStyle name="20% - Accent4 2 5 8 2 2" xfId="10503" xr:uid="{00000000-0005-0000-0000-0000F7130000}"/>
    <cellStyle name="20% - Accent4 2 5 8 2 2 2" xfId="21066" xr:uid="{00000000-0005-0000-0000-0000F8130000}"/>
    <cellStyle name="20% - Accent4 2 5 8 2 3" xfId="12722" xr:uid="{00000000-0005-0000-0000-0000F9130000}"/>
    <cellStyle name="20% - Accent4 2 5 8 2 3 2" xfId="23285" xr:uid="{00000000-0005-0000-0000-0000FA130000}"/>
    <cellStyle name="20% - Accent4 2 5 8 2 4" xfId="14941" xr:uid="{00000000-0005-0000-0000-0000FB130000}"/>
    <cellStyle name="20% - Accent4 2 5 8 2 4 2" xfId="25504" xr:uid="{00000000-0005-0000-0000-0000FC130000}"/>
    <cellStyle name="20% - Accent4 2 5 8 2 5" xfId="18847" xr:uid="{00000000-0005-0000-0000-0000FD130000}"/>
    <cellStyle name="20% - Accent4 2 5 8 3" xfId="7551" xr:uid="{00000000-0005-0000-0000-0000FE130000}"/>
    <cellStyle name="20% - Accent4 2 5 8 3 2" xfId="9770" xr:uid="{00000000-0005-0000-0000-0000FF130000}"/>
    <cellStyle name="20% - Accent4 2 5 8 3 2 2" xfId="20333" xr:uid="{00000000-0005-0000-0000-000000140000}"/>
    <cellStyle name="20% - Accent4 2 5 8 3 3" xfId="11989" xr:uid="{00000000-0005-0000-0000-000001140000}"/>
    <cellStyle name="20% - Accent4 2 5 8 3 3 2" xfId="22552" xr:uid="{00000000-0005-0000-0000-000002140000}"/>
    <cellStyle name="20% - Accent4 2 5 8 3 4" xfId="14208" xr:uid="{00000000-0005-0000-0000-000003140000}"/>
    <cellStyle name="20% - Accent4 2 5 8 3 4 2" xfId="24771" xr:uid="{00000000-0005-0000-0000-000004140000}"/>
    <cellStyle name="20% - Accent4 2 5 8 3 5" xfId="18114" xr:uid="{00000000-0005-0000-0000-000005140000}"/>
    <cellStyle name="20% - Accent4 2 5 8 4" xfId="9027" xr:uid="{00000000-0005-0000-0000-000006140000}"/>
    <cellStyle name="20% - Accent4 2 5 8 4 2" xfId="19590" xr:uid="{00000000-0005-0000-0000-000007140000}"/>
    <cellStyle name="20% - Accent4 2 5 8 5" xfId="11246" xr:uid="{00000000-0005-0000-0000-000008140000}"/>
    <cellStyle name="20% - Accent4 2 5 8 5 2" xfId="21809" xr:uid="{00000000-0005-0000-0000-000009140000}"/>
    <cellStyle name="20% - Accent4 2 5 8 6" xfId="13465" xr:uid="{00000000-0005-0000-0000-00000A140000}"/>
    <cellStyle name="20% - Accent4 2 5 8 6 2" xfId="24028" xr:uid="{00000000-0005-0000-0000-00000B140000}"/>
    <cellStyle name="20% - Accent4 2 5 8 7" xfId="17365" xr:uid="{00000000-0005-0000-0000-00000C140000}"/>
    <cellStyle name="20% - Accent4 2 5 9" xfId="543" xr:uid="{00000000-0005-0000-0000-00000D140000}"/>
    <cellStyle name="20% - Accent4 2 5 9 2" xfId="8285" xr:uid="{00000000-0005-0000-0000-00000E140000}"/>
    <cellStyle name="20% - Accent4 2 5 9 2 2" xfId="10504" xr:uid="{00000000-0005-0000-0000-00000F140000}"/>
    <cellStyle name="20% - Accent4 2 5 9 2 2 2" xfId="21067" xr:uid="{00000000-0005-0000-0000-000010140000}"/>
    <cellStyle name="20% - Accent4 2 5 9 2 3" xfId="12723" xr:uid="{00000000-0005-0000-0000-000011140000}"/>
    <cellStyle name="20% - Accent4 2 5 9 2 3 2" xfId="23286" xr:uid="{00000000-0005-0000-0000-000012140000}"/>
    <cellStyle name="20% - Accent4 2 5 9 2 4" xfId="14942" xr:uid="{00000000-0005-0000-0000-000013140000}"/>
    <cellStyle name="20% - Accent4 2 5 9 2 4 2" xfId="25505" xr:uid="{00000000-0005-0000-0000-000014140000}"/>
    <cellStyle name="20% - Accent4 2 5 9 2 5" xfId="18848" xr:uid="{00000000-0005-0000-0000-000015140000}"/>
    <cellStyle name="20% - Accent4 2 5 9 3" xfId="7552" xr:uid="{00000000-0005-0000-0000-000016140000}"/>
    <cellStyle name="20% - Accent4 2 5 9 3 2" xfId="9771" xr:uid="{00000000-0005-0000-0000-000017140000}"/>
    <cellStyle name="20% - Accent4 2 5 9 3 2 2" xfId="20334" xr:uid="{00000000-0005-0000-0000-000018140000}"/>
    <cellStyle name="20% - Accent4 2 5 9 3 3" xfId="11990" xr:uid="{00000000-0005-0000-0000-000019140000}"/>
    <cellStyle name="20% - Accent4 2 5 9 3 3 2" xfId="22553" xr:uid="{00000000-0005-0000-0000-00001A140000}"/>
    <cellStyle name="20% - Accent4 2 5 9 3 4" xfId="14209" xr:uid="{00000000-0005-0000-0000-00001B140000}"/>
    <cellStyle name="20% - Accent4 2 5 9 3 4 2" xfId="24772" xr:uid="{00000000-0005-0000-0000-00001C140000}"/>
    <cellStyle name="20% - Accent4 2 5 9 3 5" xfId="18115" xr:uid="{00000000-0005-0000-0000-00001D140000}"/>
    <cellStyle name="20% - Accent4 2 5 9 4" xfId="9028" xr:uid="{00000000-0005-0000-0000-00001E140000}"/>
    <cellStyle name="20% - Accent4 2 5 9 4 2" xfId="19591" xr:uid="{00000000-0005-0000-0000-00001F140000}"/>
    <cellStyle name="20% - Accent4 2 5 9 5" xfId="11247" xr:uid="{00000000-0005-0000-0000-000020140000}"/>
    <cellStyle name="20% - Accent4 2 5 9 5 2" xfId="21810" xr:uid="{00000000-0005-0000-0000-000021140000}"/>
    <cellStyle name="20% - Accent4 2 5 9 6" xfId="13466" xr:uid="{00000000-0005-0000-0000-000022140000}"/>
    <cellStyle name="20% - Accent4 2 5 9 6 2" xfId="24029" xr:uid="{00000000-0005-0000-0000-000023140000}"/>
    <cellStyle name="20% - Accent4 2 5 9 7" xfId="17366" xr:uid="{00000000-0005-0000-0000-000024140000}"/>
    <cellStyle name="20% - Accent4 2 6" xfId="544" xr:uid="{00000000-0005-0000-0000-000025140000}"/>
    <cellStyle name="20% - Accent4 2 6 10" xfId="13467" xr:uid="{00000000-0005-0000-0000-000026140000}"/>
    <cellStyle name="20% - Accent4 2 6 10 2" xfId="24030" xr:uid="{00000000-0005-0000-0000-000027140000}"/>
    <cellStyle name="20% - Accent4 2 6 11" xfId="17367" xr:uid="{00000000-0005-0000-0000-000028140000}"/>
    <cellStyle name="20% - Accent4 2 6 2" xfId="545" xr:uid="{00000000-0005-0000-0000-000029140000}"/>
    <cellStyle name="20% - Accent4 2 6 2 2" xfId="8287" xr:uid="{00000000-0005-0000-0000-00002A140000}"/>
    <cellStyle name="20% - Accent4 2 6 2 2 2" xfId="10506" xr:uid="{00000000-0005-0000-0000-00002B140000}"/>
    <cellStyle name="20% - Accent4 2 6 2 2 2 2" xfId="21069" xr:uid="{00000000-0005-0000-0000-00002C140000}"/>
    <cellStyle name="20% - Accent4 2 6 2 2 3" xfId="12725" xr:uid="{00000000-0005-0000-0000-00002D140000}"/>
    <cellStyle name="20% - Accent4 2 6 2 2 3 2" xfId="23288" xr:uid="{00000000-0005-0000-0000-00002E140000}"/>
    <cellStyle name="20% - Accent4 2 6 2 2 4" xfId="14944" xr:uid="{00000000-0005-0000-0000-00002F140000}"/>
    <cellStyle name="20% - Accent4 2 6 2 2 4 2" xfId="25507" xr:uid="{00000000-0005-0000-0000-000030140000}"/>
    <cellStyle name="20% - Accent4 2 6 2 2 5" xfId="18850" xr:uid="{00000000-0005-0000-0000-000031140000}"/>
    <cellStyle name="20% - Accent4 2 6 2 3" xfId="7554" xr:uid="{00000000-0005-0000-0000-000032140000}"/>
    <cellStyle name="20% - Accent4 2 6 2 3 2" xfId="9773" xr:uid="{00000000-0005-0000-0000-000033140000}"/>
    <cellStyle name="20% - Accent4 2 6 2 3 2 2" xfId="20336" xr:uid="{00000000-0005-0000-0000-000034140000}"/>
    <cellStyle name="20% - Accent4 2 6 2 3 3" xfId="11992" xr:uid="{00000000-0005-0000-0000-000035140000}"/>
    <cellStyle name="20% - Accent4 2 6 2 3 3 2" xfId="22555" xr:uid="{00000000-0005-0000-0000-000036140000}"/>
    <cellStyle name="20% - Accent4 2 6 2 3 4" xfId="14211" xr:uid="{00000000-0005-0000-0000-000037140000}"/>
    <cellStyle name="20% - Accent4 2 6 2 3 4 2" xfId="24774" xr:uid="{00000000-0005-0000-0000-000038140000}"/>
    <cellStyle name="20% - Accent4 2 6 2 3 5" xfId="18117" xr:uid="{00000000-0005-0000-0000-000039140000}"/>
    <cellStyle name="20% - Accent4 2 6 2 4" xfId="9030" xr:uid="{00000000-0005-0000-0000-00003A140000}"/>
    <cellStyle name="20% - Accent4 2 6 2 4 2" xfId="19593" xr:uid="{00000000-0005-0000-0000-00003B140000}"/>
    <cellStyle name="20% - Accent4 2 6 2 5" xfId="11249" xr:uid="{00000000-0005-0000-0000-00003C140000}"/>
    <cellStyle name="20% - Accent4 2 6 2 5 2" xfId="21812" xr:uid="{00000000-0005-0000-0000-00003D140000}"/>
    <cellStyle name="20% - Accent4 2 6 2 6" xfId="13468" xr:uid="{00000000-0005-0000-0000-00003E140000}"/>
    <cellStyle name="20% - Accent4 2 6 2 6 2" xfId="24031" xr:uid="{00000000-0005-0000-0000-00003F140000}"/>
    <cellStyle name="20% - Accent4 2 6 2 7" xfId="17368" xr:uid="{00000000-0005-0000-0000-000040140000}"/>
    <cellStyle name="20% - Accent4 2 6 3" xfId="546" xr:uid="{00000000-0005-0000-0000-000041140000}"/>
    <cellStyle name="20% - Accent4 2 6 3 2" xfId="8288" xr:uid="{00000000-0005-0000-0000-000042140000}"/>
    <cellStyle name="20% - Accent4 2 6 3 2 2" xfId="10507" xr:uid="{00000000-0005-0000-0000-000043140000}"/>
    <cellStyle name="20% - Accent4 2 6 3 2 2 2" xfId="21070" xr:uid="{00000000-0005-0000-0000-000044140000}"/>
    <cellStyle name="20% - Accent4 2 6 3 2 3" xfId="12726" xr:uid="{00000000-0005-0000-0000-000045140000}"/>
    <cellStyle name="20% - Accent4 2 6 3 2 3 2" xfId="23289" xr:uid="{00000000-0005-0000-0000-000046140000}"/>
    <cellStyle name="20% - Accent4 2 6 3 2 4" xfId="14945" xr:uid="{00000000-0005-0000-0000-000047140000}"/>
    <cellStyle name="20% - Accent4 2 6 3 2 4 2" xfId="25508" xr:uid="{00000000-0005-0000-0000-000048140000}"/>
    <cellStyle name="20% - Accent4 2 6 3 2 5" xfId="18851" xr:uid="{00000000-0005-0000-0000-000049140000}"/>
    <cellStyle name="20% - Accent4 2 6 3 3" xfId="7555" xr:uid="{00000000-0005-0000-0000-00004A140000}"/>
    <cellStyle name="20% - Accent4 2 6 3 3 2" xfId="9774" xr:uid="{00000000-0005-0000-0000-00004B140000}"/>
    <cellStyle name="20% - Accent4 2 6 3 3 2 2" xfId="20337" xr:uid="{00000000-0005-0000-0000-00004C140000}"/>
    <cellStyle name="20% - Accent4 2 6 3 3 3" xfId="11993" xr:uid="{00000000-0005-0000-0000-00004D140000}"/>
    <cellStyle name="20% - Accent4 2 6 3 3 3 2" xfId="22556" xr:uid="{00000000-0005-0000-0000-00004E140000}"/>
    <cellStyle name="20% - Accent4 2 6 3 3 4" xfId="14212" xr:uid="{00000000-0005-0000-0000-00004F140000}"/>
    <cellStyle name="20% - Accent4 2 6 3 3 4 2" xfId="24775" xr:uid="{00000000-0005-0000-0000-000050140000}"/>
    <cellStyle name="20% - Accent4 2 6 3 3 5" xfId="18118" xr:uid="{00000000-0005-0000-0000-000051140000}"/>
    <cellStyle name="20% - Accent4 2 6 3 4" xfId="9031" xr:uid="{00000000-0005-0000-0000-000052140000}"/>
    <cellStyle name="20% - Accent4 2 6 3 4 2" xfId="19594" xr:uid="{00000000-0005-0000-0000-000053140000}"/>
    <cellStyle name="20% - Accent4 2 6 3 5" xfId="11250" xr:uid="{00000000-0005-0000-0000-000054140000}"/>
    <cellStyle name="20% - Accent4 2 6 3 5 2" xfId="21813" xr:uid="{00000000-0005-0000-0000-000055140000}"/>
    <cellStyle name="20% - Accent4 2 6 3 6" xfId="13469" xr:uid="{00000000-0005-0000-0000-000056140000}"/>
    <cellStyle name="20% - Accent4 2 6 3 6 2" xfId="24032" xr:uid="{00000000-0005-0000-0000-000057140000}"/>
    <cellStyle name="20% - Accent4 2 6 3 7" xfId="17369" xr:uid="{00000000-0005-0000-0000-000058140000}"/>
    <cellStyle name="20% - Accent4 2 6 4" xfId="547" xr:uid="{00000000-0005-0000-0000-000059140000}"/>
    <cellStyle name="20% - Accent4 2 6 4 2" xfId="8289" xr:uid="{00000000-0005-0000-0000-00005A140000}"/>
    <cellStyle name="20% - Accent4 2 6 4 2 2" xfId="10508" xr:uid="{00000000-0005-0000-0000-00005B140000}"/>
    <cellStyle name="20% - Accent4 2 6 4 2 2 2" xfId="21071" xr:uid="{00000000-0005-0000-0000-00005C140000}"/>
    <cellStyle name="20% - Accent4 2 6 4 2 3" xfId="12727" xr:uid="{00000000-0005-0000-0000-00005D140000}"/>
    <cellStyle name="20% - Accent4 2 6 4 2 3 2" xfId="23290" xr:uid="{00000000-0005-0000-0000-00005E140000}"/>
    <cellStyle name="20% - Accent4 2 6 4 2 4" xfId="14946" xr:uid="{00000000-0005-0000-0000-00005F140000}"/>
    <cellStyle name="20% - Accent4 2 6 4 2 4 2" xfId="25509" xr:uid="{00000000-0005-0000-0000-000060140000}"/>
    <cellStyle name="20% - Accent4 2 6 4 2 5" xfId="18852" xr:uid="{00000000-0005-0000-0000-000061140000}"/>
    <cellStyle name="20% - Accent4 2 6 4 3" xfId="7556" xr:uid="{00000000-0005-0000-0000-000062140000}"/>
    <cellStyle name="20% - Accent4 2 6 4 3 2" xfId="9775" xr:uid="{00000000-0005-0000-0000-000063140000}"/>
    <cellStyle name="20% - Accent4 2 6 4 3 2 2" xfId="20338" xr:uid="{00000000-0005-0000-0000-000064140000}"/>
    <cellStyle name="20% - Accent4 2 6 4 3 3" xfId="11994" xr:uid="{00000000-0005-0000-0000-000065140000}"/>
    <cellStyle name="20% - Accent4 2 6 4 3 3 2" xfId="22557" xr:uid="{00000000-0005-0000-0000-000066140000}"/>
    <cellStyle name="20% - Accent4 2 6 4 3 4" xfId="14213" xr:uid="{00000000-0005-0000-0000-000067140000}"/>
    <cellStyle name="20% - Accent4 2 6 4 3 4 2" xfId="24776" xr:uid="{00000000-0005-0000-0000-000068140000}"/>
    <cellStyle name="20% - Accent4 2 6 4 3 5" xfId="18119" xr:uid="{00000000-0005-0000-0000-000069140000}"/>
    <cellStyle name="20% - Accent4 2 6 4 4" xfId="9032" xr:uid="{00000000-0005-0000-0000-00006A140000}"/>
    <cellStyle name="20% - Accent4 2 6 4 4 2" xfId="19595" xr:uid="{00000000-0005-0000-0000-00006B140000}"/>
    <cellStyle name="20% - Accent4 2 6 4 5" xfId="11251" xr:uid="{00000000-0005-0000-0000-00006C140000}"/>
    <cellStyle name="20% - Accent4 2 6 4 5 2" xfId="21814" xr:uid="{00000000-0005-0000-0000-00006D140000}"/>
    <cellStyle name="20% - Accent4 2 6 4 6" xfId="13470" xr:uid="{00000000-0005-0000-0000-00006E140000}"/>
    <cellStyle name="20% - Accent4 2 6 4 6 2" xfId="24033" xr:uid="{00000000-0005-0000-0000-00006F140000}"/>
    <cellStyle name="20% - Accent4 2 6 4 7" xfId="17370" xr:uid="{00000000-0005-0000-0000-000070140000}"/>
    <cellStyle name="20% - Accent4 2 6 5" xfId="548" xr:uid="{00000000-0005-0000-0000-000071140000}"/>
    <cellStyle name="20% - Accent4 2 6 5 2" xfId="8290" xr:uid="{00000000-0005-0000-0000-000072140000}"/>
    <cellStyle name="20% - Accent4 2 6 5 2 2" xfId="10509" xr:uid="{00000000-0005-0000-0000-000073140000}"/>
    <cellStyle name="20% - Accent4 2 6 5 2 2 2" xfId="21072" xr:uid="{00000000-0005-0000-0000-000074140000}"/>
    <cellStyle name="20% - Accent4 2 6 5 2 3" xfId="12728" xr:uid="{00000000-0005-0000-0000-000075140000}"/>
    <cellStyle name="20% - Accent4 2 6 5 2 3 2" xfId="23291" xr:uid="{00000000-0005-0000-0000-000076140000}"/>
    <cellStyle name="20% - Accent4 2 6 5 2 4" xfId="14947" xr:uid="{00000000-0005-0000-0000-000077140000}"/>
    <cellStyle name="20% - Accent4 2 6 5 2 4 2" xfId="25510" xr:uid="{00000000-0005-0000-0000-000078140000}"/>
    <cellStyle name="20% - Accent4 2 6 5 2 5" xfId="18853" xr:uid="{00000000-0005-0000-0000-000079140000}"/>
    <cellStyle name="20% - Accent4 2 6 5 3" xfId="7557" xr:uid="{00000000-0005-0000-0000-00007A140000}"/>
    <cellStyle name="20% - Accent4 2 6 5 3 2" xfId="9776" xr:uid="{00000000-0005-0000-0000-00007B140000}"/>
    <cellStyle name="20% - Accent4 2 6 5 3 2 2" xfId="20339" xr:uid="{00000000-0005-0000-0000-00007C140000}"/>
    <cellStyle name="20% - Accent4 2 6 5 3 3" xfId="11995" xr:uid="{00000000-0005-0000-0000-00007D140000}"/>
    <cellStyle name="20% - Accent4 2 6 5 3 3 2" xfId="22558" xr:uid="{00000000-0005-0000-0000-00007E140000}"/>
    <cellStyle name="20% - Accent4 2 6 5 3 4" xfId="14214" xr:uid="{00000000-0005-0000-0000-00007F140000}"/>
    <cellStyle name="20% - Accent4 2 6 5 3 4 2" xfId="24777" xr:uid="{00000000-0005-0000-0000-000080140000}"/>
    <cellStyle name="20% - Accent4 2 6 5 3 5" xfId="18120" xr:uid="{00000000-0005-0000-0000-000081140000}"/>
    <cellStyle name="20% - Accent4 2 6 5 4" xfId="9033" xr:uid="{00000000-0005-0000-0000-000082140000}"/>
    <cellStyle name="20% - Accent4 2 6 5 4 2" xfId="19596" xr:uid="{00000000-0005-0000-0000-000083140000}"/>
    <cellStyle name="20% - Accent4 2 6 5 5" xfId="11252" xr:uid="{00000000-0005-0000-0000-000084140000}"/>
    <cellStyle name="20% - Accent4 2 6 5 5 2" xfId="21815" xr:uid="{00000000-0005-0000-0000-000085140000}"/>
    <cellStyle name="20% - Accent4 2 6 5 6" xfId="13471" xr:uid="{00000000-0005-0000-0000-000086140000}"/>
    <cellStyle name="20% - Accent4 2 6 5 6 2" xfId="24034" xr:uid="{00000000-0005-0000-0000-000087140000}"/>
    <cellStyle name="20% - Accent4 2 6 5 7" xfId="17371" xr:uid="{00000000-0005-0000-0000-000088140000}"/>
    <cellStyle name="20% - Accent4 2 6 6" xfId="8286" xr:uid="{00000000-0005-0000-0000-000089140000}"/>
    <cellStyle name="20% - Accent4 2 6 6 2" xfId="10505" xr:uid="{00000000-0005-0000-0000-00008A140000}"/>
    <cellStyle name="20% - Accent4 2 6 6 2 2" xfId="21068" xr:uid="{00000000-0005-0000-0000-00008B140000}"/>
    <cellStyle name="20% - Accent4 2 6 6 3" xfId="12724" xr:uid="{00000000-0005-0000-0000-00008C140000}"/>
    <cellStyle name="20% - Accent4 2 6 6 3 2" xfId="23287" xr:uid="{00000000-0005-0000-0000-00008D140000}"/>
    <cellStyle name="20% - Accent4 2 6 6 4" xfId="14943" xr:uid="{00000000-0005-0000-0000-00008E140000}"/>
    <cellStyle name="20% - Accent4 2 6 6 4 2" xfId="25506" xr:uid="{00000000-0005-0000-0000-00008F140000}"/>
    <cellStyle name="20% - Accent4 2 6 6 5" xfId="18849" xr:uid="{00000000-0005-0000-0000-000090140000}"/>
    <cellStyle name="20% - Accent4 2 6 7" xfId="7553" xr:uid="{00000000-0005-0000-0000-000091140000}"/>
    <cellStyle name="20% - Accent4 2 6 7 2" xfId="9772" xr:uid="{00000000-0005-0000-0000-000092140000}"/>
    <cellStyle name="20% - Accent4 2 6 7 2 2" xfId="20335" xr:uid="{00000000-0005-0000-0000-000093140000}"/>
    <cellStyle name="20% - Accent4 2 6 7 3" xfId="11991" xr:uid="{00000000-0005-0000-0000-000094140000}"/>
    <cellStyle name="20% - Accent4 2 6 7 3 2" xfId="22554" xr:uid="{00000000-0005-0000-0000-000095140000}"/>
    <cellStyle name="20% - Accent4 2 6 7 4" xfId="14210" xr:uid="{00000000-0005-0000-0000-000096140000}"/>
    <cellStyle name="20% - Accent4 2 6 7 4 2" xfId="24773" xr:uid="{00000000-0005-0000-0000-000097140000}"/>
    <cellStyle name="20% - Accent4 2 6 7 5" xfId="18116" xr:uid="{00000000-0005-0000-0000-000098140000}"/>
    <cellStyle name="20% - Accent4 2 6 8" xfId="9029" xr:uid="{00000000-0005-0000-0000-000099140000}"/>
    <cellStyle name="20% - Accent4 2 6 8 2" xfId="19592" xr:uid="{00000000-0005-0000-0000-00009A140000}"/>
    <cellStyle name="20% - Accent4 2 6 9" xfId="11248" xr:uid="{00000000-0005-0000-0000-00009B140000}"/>
    <cellStyle name="20% - Accent4 2 6 9 2" xfId="21811" xr:uid="{00000000-0005-0000-0000-00009C140000}"/>
    <cellStyle name="20% - Accent4 2 7" xfId="549" xr:uid="{00000000-0005-0000-0000-00009D140000}"/>
    <cellStyle name="20% - Accent4 2 7 2" xfId="8291" xr:uid="{00000000-0005-0000-0000-00009E140000}"/>
    <cellStyle name="20% - Accent4 2 7 2 2" xfId="10510" xr:uid="{00000000-0005-0000-0000-00009F140000}"/>
    <cellStyle name="20% - Accent4 2 7 2 2 2" xfId="21073" xr:uid="{00000000-0005-0000-0000-0000A0140000}"/>
    <cellStyle name="20% - Accent4 2 7 2 3" xfId="12729" xr:uid="{00000000-0005-0000-0000-0000A1140000}"/>
    <cellStyle name="20% - Accent4 2 7 2 3 2" xfId="23292" xr:uid="{00000000-0005-0000-0000-0000A2140000}"/>
    <cellStyle name="20% - Accent4 2 7 2 4" xfId="14948" xr:uid="{00000000-0005-0000-0000-0000A3140000}"/>
    <cellStyle name="20% - Accent4 2 7 2 4 2" xfId="25511" xr:uid="{00000000-0005-0000-0000-0000A4140000}"/>
    <cellStyle name="20% - Accent4 2 7 2 5" xfId="18854" xr:uid="{00000000-0005-0000-0000-0000A5140000}"/>
    <cellStyle name="20% - Accent4 2 7 3" xfId="7558" xr:uid="{00000000-0005-0000-0000-0000A6140000}"/>
    <cellStyle name="20% - Accent4 2 7 3 2" xfId="9777" xr:uid="{00000000-0005-0000-0000-0000A7140000}"/>
    <cellStyle name="20% - Accent4 2 7 3 2 2" xfId="20340" xr:uid="{00000000-0005-0000-0000-0000A8140000}"/>
    <cellStyle name="20% - Accent4 2 7 3 3" xfId="11996" xr:uid="{00000000-0005-0000-0000-0000A9140000}"/>
    <cellStyle name="20% - Accent4 2 7 3 3 2" xfId="22559" xr:uid="{00000000-0005-0000-0000-0000AA140000}"/>
    <cellStyle name="20% - Accent4 2 7 3 4" xfId="14215" xr:uid="{00000000-0005-0000-0000-0000AB140000}"/>
    <cellStyle name="20% - Accent4 2 7 3 4 2" xfId="24778" xr:uid="{00000000-0005-0000-0000-0000AC140000}"/>
    <cellStyle name="20% - Accent4 2 7 3 5" xfId="18121" xr:uid="{00000000-0005-0000-0000-0000AD140000}"/>
    <cellStyle name="20% - Accent4 2 7 4" xfId="9034" xr:uid="{00000000-0005-0000-0000-0000AE140000}"/>
    <cellStyle name="20% - Accent4 2 7 4 2" xfId="19597" xr:uid="{00000000-0005-0000-0000-0000AF140000}"/>
    <cellStyle name="20% - Accent4 2 7 5" xfId="11253" xr:uid="{00000000-0005-0000-0000-0000B0140000}"/>
    <cellStyle name="20% - Accent4 2 7 5 2" xfId="21816" xr:uid="{00000000-0005-0000-0000-0000B1140000}"/>
    <cellStyle name="20% - Accent4 2 7 6" xfId="13472" xr:uid="{00000000-0005-0000-0000-0000B2140000}"/>
    <cellStyle name="20% - Accent4 2 7 6 2" xfId="24035" xr:uid="{00000000-0005-0000-0000-0000B3140000}"/>
    <cellStyle name="20% - Accent4 2 7 7" xfId="17372" xr:uid="{00000000-0005-0000-0000-0000B4140000}"/>
    <cellStyle name="20% - Accent4 2 8" xfId="550" xr:uid="{00000000-0005-0000-0000-0000B5140000}"/>
    <cellStyle name="20% - Accent4 2 8 2" xfId="8292" xr:uid="{00000000-0005-0000-0000-0000B6140000}"/>
    <cellStyle name="20% - Accent4 2 8 2 2" xfId="10511" xr:uid="{00000000-0005-0000-0000-0000B7140000}"/>
    <cellStyle name="20% - Accent4 2 8 2 2 2" xfId="21074" xr:uid="{00000000-0005-0000-0000-0000B8140000}"/>
    <cellStyle name="20% - Accent4 2 8 2 3" xfId="12730" xr:uid="{00000000-0005-0000-0000-0000B9140000}"/>
    <cellStyle name="20% - Accent4 2 8 2 3 2" xfId="23293" xr:uid="{00000000-0005-0000-0000-0000BA140000}"/>
    <cellStyle name="20% - Accent4 2 8 2 4" xfId="14949" xr:uid="{00000000-0005-0000-0000-0000BB140000}"/>
    <cellStyle name="20% - Accent4 2 8 2 4 2" xfId="25512" xr:uid="{00000000-0005-0000-0000-0000BC140000}"/>
    <cellStyle name="20% - Accent4 2 8 2 5" xfId="18855" xr:uid="{00000000-0005-0000-0000-0000BD140000}"/>
    <cellStyle name="20% - Accent4 2 8 3" xfId="7559" xr:uid="{00000000-0005-0000-0000-0000BE140000}"/>
    <cellStyle name="20% - Accent4 2 8 3 2" xfId="9778" xr:uid="{00000000-0005-0000-0000-0000BF140000}"/>
    <cellStyle name="20% - Accent4 2 8 3 2 2" xfId="20341" xr:uid="{00000000-0005-0000-0000-0000C0140000}"/>
    <cellStyle name="20% - Accent4 2 8 3 3" xfId="11997" xr:uid="{00000000-0005-0000-0000-0000C1140000}"/>
    <cellStyle name="20% - Accent4 2 8 3 3 2" xfId="22560" xr:uid="{00000000-0005-0000-0000-0000C2140000}"/>
    <cellStyle name="20% - Accent4 2 8 3 4" xfId="14216" xr:uid="{00000000-0005-0000-0000-0000C3140000}"/>
    <cellStyle name="20% - Accent4 2 8 3 4 2" xfId="24779" xr:uid="{00000000-0005-0000-0000-0000C4140000}"/>
    <cellStyle name="20% - Accent4 2 8 3 5" xfId="18122" xr:uid="{00000000-0005-0000-0000-0000C5140000}"/>
    <cellStyle name="20% - Accent4 2 8 4" xfId="9035" xr:uid="{00000000-0005-0000-0000-0000C6140000}"/>
    <cellStyle name="20% - Accent4 2 8 4 2" xfId="19598" xr:uid="{00000000-0005-0000-0000-0000C7140000}"/>
    <cellStyle name="20% - Accent4 2 8 5" xfId="11254" xr:uid="{00000000-0005-0000-0000-0000C8140000}"/>
    <cellStyle name="20% - Accent4 2 8 5 2" xfId="21817" xr:uid="{00000000-0005-0000-0000-0000C9140000}"/>
    <cellStyle name="20% - Accent4 2 8 6" xfId="13473" xr:uid="{00000000-0005-0000-0000-0000CA140000}"/>
    <cellStyle name="20% - Accent4 2 8 6 2" xfId="24036" xr:uid="{00000000-0005-0000-0000-0000CB140000}"/>
    <cellStyle name="20% - Accent4 2 8 7" xfId="17373" xr:uid="{00000000-0005-0000-0000-0000CC140000}"/>
    <cellStyle name="20% - Accent4 2 9" xfId="551" xr:uid="{00000000-0005-0000-0000-0000CD140000}"/>
    <cellStyle name="20% - Accent4 2 9 2" xfId="8293" xr:uid="{00000000-0005-0000-0000-0000CE140000}"/>
    <cellStyle name="20% - Accent4 2 9 2 2" xfId="10512" xr:uid="{00000000-0005-0000-0000-0000CF140000}"/>
    <cellStyle name="20% - Accent4 2 9 2 2 2" xfId="21075" xr:uid="{00000000-0005-0000-0000-0000D0140000}"/>
    <cellStyle name="20% - Accent4 2 9 2 3" xfId="12731" xr:uid="{00000000-0005-0000-0000-0000D1140000}"/>
    <cellStyle name="20% - Accent4 2 9 2 3 2" xfId="23294" xr:uid="{00000000-0005-0000-0000-0000D2140000}"/>
    <cellStyle name="20% - Accent4 2 9 2 4" xfId="14950" xr:uid="{00000000-0005-0000-0000-0000D3140000}"/>
    <cellStyle name="20% - Accent4 2 9 2 4 2" xfId="25513" xr:uid="{00000000-0005-0000-0000-0000D4140000}"/>
    <cellStyle name="20% - Accent4 2 9 2 5" xfId="18856" xr:uid="{00000000-0005-0000-0000-0000D5140000}"/>
    <cellStyle name="20% - Accent4 2 9 3" xfId="7560" xr:uid="{00000000-0005-0000-0000-0000D6140000}"/>
    <cellStyle name="20% - Accent4 2 9 3 2" xfId="9779" xr:uid="{00000000-0005-0000-0000-0000D7140000}"/>
    <cellStyle name="20% - Accent4 2 9 3 2 2" xfId="20342" xr:uid="{00000000-0005-0000-0000-0000D8140000}"/>
    <cellStyle name="20% - Accent4 2 9 3 3" xfId="11998" xr:uid="{00000000-0005-0000-0000-0000D9140000}"/>
    <cellStyle name="20% - Accent4 2 9 3 3 2" xfId="22561" xr:uid="{00000000-0005-0000-0000-0000DA140000}"/>
    <cellStyle name="20% - Accent4 2 9 3 4" xfId="14217" xr:uid="{00000000-0005-0000-0000-0000DB140000}"/>
    <cellStyle name="20% - Accent4 2 9 3 4 2" xfId="24780" xr:uid="{00000000-0005-0000-0000-0000DC140000}"/>
    <cellStyle name="20% - Accent4 2 9 3 5" xfId="18123" xr:uid="{00000000-0005-0000-0000-0000DD140000}"/>
    <cellStyle name="20% - Accent4 2 9 4" xfId="9036" xr:uid="{00000000-0005-0000-0000-0000DE140000}"/>
    <cellStyle name="20% - Accent4 2 9 4 2" xfId="19599" xr:uid="{00000000-0005-0000-0000-0000DF140000}"/>
    <cellStyle name="20% - Accent4 2 9 5" xfId="11255" xr:uid="{00000000-0005-0000-0000-0000E0140000}"/>
    <cellStyle name="20% - Accent4 2 9 5 2" xfId="21818" xr:uid="{00000000-0005-0000-0000-0000E1140000}"/>
    <cellStyle name="20% - Accent4 2 9 6" xfId="13474" xr:uid="{00000000-0005-0000-0000-0000E2140000}"/>
    <cellStyle name="20% - Accent4 2 9 6 2" xfId="24037" xr:uid="{00000000-0005-0000-0000-0000E3140000}"/>
    <cellStyle name="20% - Accent4 2 9 7" xfId="17374" xr:uid="{00000000-0005-0000-0000-0000E4140000}"/>
    <cellStyle name="20% - Accent4 20" xfId="552" xr:uid="{00000000-0005-0000-0000-0000E5140000}"/>
    <cellStyle name="20% - Accent4 21" xfId="553" xr:uid="{00000000-0005-0000-0000-0000E6140000}"/>
    <cellStyle name="20% - Accent4 22" xfId="554" xr:uid="{00000000-0005-0000-0000-0000E7140000}"/>
    <cellStyle name="20% - Accent4 23" xfId="555" xr:uid="{00000000-0005-0000-0000-0000E8140000}"/>
    <cellStyle name="20% - Accent4 24" xfId="556" xr:uid="{00000000-0005-0000-0000-0000E9140000}"/>
    <cellStyle name="20% - Accent4 25" xfId="557" xr:uid="{00000000-0005-0000-0000-0000EA140000}"/>
    <cellStyle name="20% - Accent4 26" xfId="558" xr:uid="{00000000-0005-0000-0000-0000EB140000}"/>
    <cellStyle name="20% - Accent4 3" xfId="559" xr:uid="{00000000-0005-0000-0000-0000EC140000}"/>
    <cellStyle name="20% - Accent4 3 10" xfId="560" xr:uid="{00000000-0005-0000-0000-0000ED140000}"/>
    <cellStyle name="20% - Accent4 3 2" xfId="561" xr:uid="{00000000-0005-0000-0000-0000EE140000}"/>
    <cellStyle name="20% - Accent4 3 2 2" xfId="8294" xr:uid="{00000000-0005-0000-0000-0000EF140000}"/>
    <cellStyle name="20% - Accent4 3 2 2 2" xfId="10513" xr:uid="{00000000-0005-0000-0000-0000F0140000}"/>
    <cellStyle name="20% - Accent4 3 2 2 2 2" xfId="21076" xr:uid="{00000000-0005-0000-0000-0000F1140000}"/>
    <cellStyle name="20% - Accent4 3 2 2 3" xfId="12732" xr:uid="{00000000-0005-0000-0000-0000F2140000}"/>
    <cellStyle name="20% - Accent4 3 2 2 3 2" xfId="23295" xr:uid="{00000000-0005-0000-0000-0000F3140000}"/>
    <cellStyle name="20% - Accent4 3 2 2 4" xfId="14951" xr:uid="{00000000-0005-0000-0000-0000F4140000}"/>
    <cellStyle name="20% - Accent4 3 2 2 4 2" xfId="25514" xr:uid="{00000000-0005-0000-0000-0000F5140000}"/>
    <cellStyle name="20% - Accent4 3 2 2 5" xfId="18857" xr:uid="{00000000-0005-0000-0000-0000F6140000}"/>
    <cellStyle name="20% - Accent4 3 2 3" xfId="7561" xr:uid="{00000000-0005-0000-0000-0000F7140000}"/>
    <cellStyle name="20% - Accent4 3 2 3 2" xfId="9780" xr:uid="{00000000-0005-0000-0000-0000F8140000}"/>
    <cellStyle name="20% - Accent4 3 2 3 2 2" xfId="20343" xr:uid="{00000000-0005-0000-0000-0000F9140000}"/>
    <cellStyle name="20% - Accent4 3 2 3 3" xfId="11999" xr:uid="{00000000-0005-0000-0000-0000FA140000}"/>
    <cellStyle name="20% - Accent4 3 2 3 3 2" xfId="22562" xr:uid="{00000000-0005-0000-0000-0000FB140000}"/>
    <cellStyle name="20% - Accent4 3 2 3 4" xfId="14218" xr:uid="{00000000-0005-0000-0000-0000FC140000}"/>
    <cellStyle name="20% - Accent4 3 2 3 4 2" xfId="24781" xr:uid="{00000000-0005-0000-0000-0000FD140000}"/>
    <cellStyle name="20% - Accent4 3 2 3 5" xfId="18124" xr:uid="{00000000-0005-0000-0000-0000FE140000}"/>
    <cellStyle name="20% - Accent4 3 2 4" xfId="9037" xr:uid="{00000000-0005-0000-0000-0000FF140000}"/>
    <cellStyle name="20% - Accent4 3 2 4 2" xfId="19600" xr:uid="{00000000-0005-0000-0000-000000150000}"/>
    <cellStyle name="20% - Accent4 3 2 5" xfId="11256" xr:uid="{00000000-0005-0000-0000-000001150000}"/>
    <cellStyle name="20% - Accent4 3 2 5 2" xfId="21819" xr:uid="{00000000-0005-0000-0000-000002150000}"/>
    <cellStyle name="20% - Accent4 3 2 6" xfId="13475" xr:uid="{00000000-0005-0000-0000-000003150000}"/>
    <cellStyle name="20% - Accent4 3 2 6 2" xfId="24038" xr:uid="{00000000-0005-0000-0000-000004150000}"/>
    <cellStyle name="20% - Accent4 3 2 7" xfId="17375" xr:uid="{00000000-0005-0000-0000-000005150000}"/>
    <cellStyle name="20% - Accent4 3 3" xfId="562" xr:uid="{00000000-0005-0000-0000-000006150000}"/>
    <cellStyle name="20% - Accent4 3 3 2" xfId="8295" xr:uid="{00000000-0005-0000-0000-000007150000}"/>
    <cellStyle name="20% - Accent4 3 3 2 2" xfId="10514" xr:uid="{00000000-0005-0000-0000-000008150000}"/>
    <cellStyle name="20% - Accent4 3 3 2 2 2" xfId="21077" xr:uid="{00000000-0005-0000-0000-000009150000}"/>
    <cellStyle name="20% - Accent4 3 3 2 3" xfId="12733" xr:uid="{00000000-0005-0000-0000-00000A150000}"/>
    <cellStyle name="20% - Accent4 3 3 2 3 2" xfId="23296" xr:uid="{00000000-0005-0000-0000-00000B150000}"/>
    <cellStyle name="20% - Accent4 3 3 2 4" xfId="14952" xr:uid="{00000000-0005-0000-0000-00000C150000}"/>
    <cellStyle name="20% - Accent4 3 3 2 4 2" xfId="25515" xr:uid="{00000000-0005-0000-0000-00000D150000}"/>
    <cellStyle name="20% - Accent4 3 3 2 5" xfId="18858" xr:uid="{00000000-0005-0000-0000-00000E150000}"/>
    <cellStyle name="20% - Accent4 3 3 3" xfId="7562" xr:uid="{00000000-0005-0000-0000-00000F150000}"/>
    <cellStyle name="20% - Accent4 3 3 3 2" xfId="9781" xr:uid="{00000000-0005-0000-0000-000010150000}"/>
    <cellStyle name="20% - Accent4 3 3 3 2 2" xfId="20344" xr:uid="{00000000-0005-0000-0000-000011150000}"/>
    <cellStyle name="20% - Accent4 3 3 3 3" xfId="12000" xr:uid="{00000000-0005-0000-0000-000012150000}"/>
    <cellStyle name="20% - Accent4 3 3 3 3 2" xfId="22563" xr:uid="{00000000-0005-0000-0000-000013150000}"/>
    <cellStyle name="20% - Accent4 3 3 3 4" xfId="14219" xr:uid="{00000000-0005-0000-0000-000014150000}"/>
    <cellStyle name="20% - Accent4 3 3 3 4 2" xfId="24782" xr:uid="{00000000-0005-0000-0000-000015150000}"/>
    <cellStyle name="20% - Accent4 3 3 3 5" xfId="18125" xr:uid="{00000000-0005-0000-0000-000016150000}"/>
    <cellStyle name="20% - Accent4 3 3 4" xfId="9038" xr:uid="{00000000-0005-0000-0000-000017150000}"/>
    <cellStyle name="20% - Accent4 3 3 4 2" xfId="19601" xr:uid="{00000000-0005-0000-0000-000018150000}"/>
    <cellStyle name="20% - Accent4 3 3 5" xfId="11257" xr:uid="{00000000-0005-0000-0000-000019150000}"/>
    <cellStyle name="20% - Accent4 3 3 5 2" xfId="21820" xr:uid="{00000000-0005-0000-0000-00001A150000}"/>
    <cellStyle name="20% - Accent4 3 3 6" xfId="13476" xr:uid="{00000000-0005-0000-0000-00001B150000}"/>
    <cellStyle name="20% - Accent4 3 3 6 2" xfId="24039" xr:uid="{00000000-0005-0000-0000-00001C150000}"/>
    <cellStyle name="20% - Accent4 3 3 7" xfId="17376" xr:uid="{00000000-0005-0000-0000-00001D150000}"/>
    <cellStyle name="20% - Accent4 3 4" xfId="563" xr:uid="{00000000-0005-0000-0000-00001E150000}"/>
    <cellStyle name="20% - Accent4 3 4 2" xfId="8296" xr:uid="{00000000-0005-0000-0000-00001F150000}"/>
    <cellStyle name="20% - Accent4 3 4 2 2" xfId="10515" xr:uid="{00000000-0005-0000-0000-000020150000}"/>
    <cellStyle name="20% - Accent4 3 4 2 2 2" xfId="21078" xr:uid="{00000000-0005-0000-0000-000021150000}"/>
    <cellStyle name="20% - Accent4 3 4 2 3" xfId="12734" xr:uid="{00000000-0005-0000-0000-000022150000}"/>
    <cellStyle name="20% - Accent4 3 4 2 3 2" xfId="23297" xr:uid="{00000000-0005-0000-0000-000023150000}"/>
    <cellStyle name="20% - Accent4 3 4 2 4" xfId="14953" xr:uid="{00000000-0005-0000-0000-000024150000}"/>
    <cellStyle name="20% - Accent4 3 4 2 4 2" xfId="25516" xr:uid="{00000000-0005-0000-0000-000025150000}"/>
    <cellStyle name="20% - Accent4 3 4 2 5" xfId="18859" xr:uid="{00000000-0005-0000-0000-000026150000}"/>
    <cellStyle name="20% - Accent4 3 4 3" xfId="7563" xr:uid="{00000000-0005-0000-0000-000027150000}"/>
    <cellStyle name="20% - Accent4 3 4 3 2" xfId="9782" xr:uid="{00000000-0005-0000-0000-000028150000}"/>
    <cellStyle name="20% - Accent4 3 4 3 2 2" xfId="20345" xr:uid="{00000000-0005-0000-0000-000029150000}"/>
    <cellStyle name="20% - Accent4 3 4 3 3" xfId="12001" xr:uid="{00000000-0005-0000-0000-00002A150000}"/>
    <cellStyle name="20% - Accent4 3 4 3 3 2" xfId="22564" xr:uid="{00000000-0005-0000-0000-00002B150000}"/>
    <cellStyle name="20% - Accent4 3 4 3 4" xfId="14220" xr:uid="{00000000-0005-0000-0000-00002C150000}"/>
    <cellStyle name="20% - Accent4 3 4 3 4 2" xfId="24783" xr:uid="{00000000-0005-0000-0000-00002D150000}"/>
    <cellStyle name="20% - Accent4 3 4 3 5" xfId="18126" xr:uid="{00000000-0005-0000-0000-00002E150000}"/>
    <cellStyle name="20% - Accent4 3 4 4" xfId="9039" xr:uid="{00000000-0005-0000-0000-00002F150000}"/>
    <cellStyle name="20% - Accent4 3 4 4 2" xfId="19602" xr:uid="{00000000-0005-0000-0000-000030150000}"/>
    <cellStyle name="20% - Accent4 3 4 5" xfId="11258" xr:uid="{00000000-0005-0000-0000-000031150000}"/>
    <cellStyle name="20% - Accent4 3 4 5 2" xfId="21821" xr:uid="{00000000-0005-0000-0000-000032150000}"/>
    <cellStyle name="20% - Accent4 3 4 6" xfId="13477" xr:uid="{00000000-0005-0000-0000-000033150000}"/>
    <cellStyle name="20% - Accent4 3 4 6 2" xfId="24040" xr:uid="{00000000-0005-0000-0000-000034150000}"/>
    <cellStyle name="20% - Accent4 3 4 7" xfId="17377" xr:uid="{00000000-0005-0000-0000-000035150000}"/>
    <cellStyle name="20% - Accent4 3 5" xfId="564" xr:uid="{00000000-0005-0000-0000-000036150000}"/>
    <cellStyle name="20% - Accent4 3 5 2" xfId="8297" xr:uid="{00000000-0005-0000-0000-000037150000}"/>
    <cellStyle name="20% - Accent4 3 5 2 2" xfId="10516" xr:uid="{00000000-0005-0000-0000-000038150000}"/>
    <cellStyle name="20% - Accent4 3 5 2 2 2" xfId="21079" xr:uid="{00000000-0005-0000-0000-000039150000}"/>
    <cellStyle name="20% - Accent4 3 5 2 3" xfId="12735" xr:uid="{00000000-0005-0000-0000-00003A150000}"/>
    <cellStyle name="20% - Accent4 3 5 2 3 2" xfId="23298" xr:uid="{00000000-0005-0000-0000-00003B150000}"/>
    <cellStyle name="20% - Accent4 3 5 2 4" xfId="14954" xr:uid="{00000000-0005-0000-0000-00003C150000}"/>
    <cellStyle name="20% - Accent4 3 5 2 4 2" xfId="25517" xr:uid="{00000000-0005-0000-0000-00003D150000}"/>
    <cellStyle name="20% - Accent4 3 5 2 5" xfId="18860" xr:uid="{00000000-0005-0000-0000-00003E150000}"/>
    <cellStyle name="20% - Accent4 3 5 3" xfId="7564" xr:uid="{00000000-0005-0000-0000-00003F150000}"/>
    <cellStyle name="20% - Accent4 3 5 3 2" xfId="9783" xr:uid="{00000000-0005-0000-0000-000040150000}"/>
    <cellStyle name="20% - Accent4 3 5 3 2 2" xfId="20346" xr:uid="{00000000-0005-0000-0000-000041150000}"/>
    <cellStyle name="20% - Accent4 3 5 3 3" xfId="12002" xr:uid="{00000000-0005-0000-0000-000042150000}"/>
    <cellStyle name="20% - Accent4 3 5 3 3 2" xfId="22565" xr:uid="{00000000-0005-0000-0000-000043150000}"/>
    <cellStyle name="20% - Accent4 3 5 3 4" xfId="14221" xr:uid="{00000000-0005-0000-0000-000044150000}"/>
    <cellStyle name="20% - Accent4 3 5 3 4 2" xfId="24784" xr:uid="{00000000-0005-0000-0000-000045150000}"/>
    <cellStyle name="20% - Accent4 3 5 3 5" xfId="18127" xr:uid="{00000000-0005-0000-0000-000046150000}"/>
    <cellStyle name="20% - Accent4 3 5 4" xfId="9040" xr:uid="{00000000-0005-0000-0000-000047150000}"/>
    <cellStyle name="20% - Accent4 3 5 4 2" xfId="19603" xr:uid="{00000000-0005-0000-0000-000048150000}"/>
    <cellStyle name="20% - Accent4 3 5 5" xfId="11259" xr:uid="{00000000-0005-0000-0000-000049150000}"/>
    <cellStyle name="20% - Accent4 3 5 5 2" xfId="21822" xr:uid="{00000000-0005-0000-0000-00004A150000}"/>
    <cellStyle name="20% - Accent4 3 5 6" xfId="13478" xr:uid="{00000000-0005-0000-0000-00004B150000}"/>
    <cellStyle name="20% - Accent4 3 5 6 2" xfId="24041" xr:uid="{00000000-0005-0000-0000-00004C150000}"/>
    <cellStyle name="20% - Accent4 3 5 7" xfId="17378" xr:uid="{00000000-0005-0000-0000-00004D150000}"/>
    <cellStyle name="20% - Accent4 3 6" xfId="565" xr:uid="{00000000-0005-0000-0000-00004E150000}"/>
    <cellStyle name="20% - Accent4 3 7" xfId="566" xr:uid="{00000000-0005-0000-0000-00004F150000}"/>
    <cellStyle name="20% - Accent4 3 8" xfId="567" xr:uid="{00000000-0005-0000-0000-000050150000}"/>
    <cellStyle name="20% - Accent4 3 9" xfId="568" xr:uid="{00000000-0005-0000-0000-000051150000}"/>
    <cellStyle name="20% - Accent4 4" xfId="569" xr:uid="{00000000-0005-0000-0000-000052150000}"/>
    <cellStyle name="20% - Accent4 4 2" xfId="570" xr:uid="{00000000-0005-0000-0000-000053150000}"/>
    <cellStyle name="20% - Accent4 4 3" xfId="571" xr:uid="{00000000-0005-0000-0000-000054150000}"/>
    <cellStyle name="20% - Accent4 4 4" xfId="572" xr:uid="{00000000-0005-0000-0000-000055150000}"/>
    <cellStyle name="20% - Accent4 4 5" xfId="573" xr:uid="{00000000-0005-0000-0000-000056150000}"/>
    <cellStyle name="20% - Accent4 4 6" xfId="574" xr:uid="{00000000-0005-0000-0000-000057150000}"/>
    <cellStyle name="20% - Accent4 5" xfId="575" xr:uid="{00000000-0005-0000-0000-000058150000}"/>
    <cellStyle name="20% - Accent4 5 2" xfId="576" xr:uid="{00000000-0005-0000-0000-000059150000}"/>
    <cellStyle name="20% - Accent4 5 3" xfId="577" xr:uid="{00000000-0005-0000-0000-00005A150000}"/>
    <cellStyle name="20% - Accent4 5 4" xfId="578" xr:uid="{00000000-0005-0000-0000-00005B150000}"/>
    <cellStyle name="20% - Accent4 5 5" xfId="579" xr:uid="{00000000-0005-0000-0000-00005C150000}"/>
    <cellStyle name="20% - Accent4 5 6" xfId="580" xr:uid="{00000000-0005-0000-0000-00005D150000}"/>
    <cellStyle name="20% - Accent4 6" xfId="581" xr:uid="{00000000-0005-0000-0000-00005E150000}"/>
    <cellStyle name="20% - Accent4 6 2" xfId="582" xr:uid="{00000000-0005-0000-0000-00005F150000}"/>
    <cellStyle name="20% - Accent4 6 3" xfId="583" xr:uid="{00000000-0005-0000-0000-000060150000}"/>
    <cellStyle name="20% - Accent4 6 4" xfId="584" xr:uid="{00000000-0005-0000-0000-000061150000}"/>
    <cellStyle name="20% - Accent4 6 5" xfId="585" xr:uid="{00000000-0005-0000-0000-000062150000}"/>
    <cellStyle name="20% - Accent4 6 6" xfId="586" xr:uid="{00000000-0005-0000-0000-000063150000}"/>
    <cellStyle name="20% - Accent4 7" xfId="587" xr:uid="{00000000-0005-0000-0000-000064150000}"/>
    <cellStyle name="20% - Accent4 7 10" xfId="11260" xr:uid="{00000000-0005-0000-0000-000065150000}"/>
    <cellStyle name="20% - Accent4 7 10 2" xfId="21823" xr:uid="{00000000-0005-0000-0000-000066150000}"/>
    <cellStyle name="20% - Accent4 7 11" xfId="13479" xr:uid="{00000000-0005-0000-0000-000067150000}"/>
    <cellStyle name="20% - Accent4 7 11 2" xfId="24042" xr:uid="{00000000-0005-0000-0000-000068150000}"/>
    <cellStyle name="20% - Accent4 7 12" xfId="17379" xr:uid="{00000000-0005-0000-0000-000069150000}"/>
    <cellStyle name="20% - Accent4 7 2" xfId="588" xr:uid="{00000000-0005-0000-0000-00006A150000}"/>
    <cellStyle name="20% - Accent4 7 3" xfId="589" xr:uid="{00000000-0005-0000-0000-00006B150000}"/>
    <cellStyle name="20% - Accent4 7 4" xfId="590" xr:uid="{00000000-0005-0000-0000-00006C150000}"/>
    <cellStyle name="20% - Accent4 7 5" xfId="591" xr:uid="{00000000-0005-0000-0000-00006D150000}"/>
    <cellStyle name="20% - Accent4 7 6" xfId="592" xr:uid="{00000000-0005-0000-0000-00006E150000}"/>
    <cellStyle name="20% - Accent4 7 7" xfId="8298" xr:uid="{00000000-0005-0000-0000-00006F150000}"/>
    <cellStyle name="20% - Accent4 7 7 2" xfId="10517" xr:uid="{00000000-0005-0000-0000-000070150000}"/>
    <cellStyle name="20% - Accent4 7 7 2 2" xfId="21080" xr:uid="{00000000-0005-0000-0000-000071150000}"/>
    <cellStyle name="20% - Accent4 7 7 3" xfId="12736" xr:uid="{00000000-0005-0000-0000-000072150000}"/>
    <cellStyle name="20% - Accent4 7 7 3 2" xfId="23299" xr:uid="{00000000-0005-0000-0000-000073150000}"/>
    <cellStyle name="20% - Accent4 7 7 4" xfId="14955" xr:uid="{00000000-0005-0000-0000-000074150000}"/>
    <cellStyle name="20% - Accent4 7 7 4 2" xfId="25518" xr:uid="{00000000-0005-0000-0000-000075150000}"/>
    <cellStyle name="20% - Accent4 7 7 5" xfId="18861" xr:uid="{00000000-0005-0000-0000-000076150000}"/>
    <cellStyle name="20% - Accent4 7 8" xfId="7565" xr:uid="{00000000-0005-0000-0000-000077150000}"/>
    <cellStyle name="20% - Accent4 7 8 2" xfId="9784" xr:uid="{00000000-0005-0000-0000-000078150000}"/>
    <cellStyle name="20% - Accent4 7 8 2 2" xfId="20347" xr:uid="{00000000-0005-0000-0000-000079150000}"/>
    <cellStyle name="20% - Accent4 7 8 3" xfId="12003" xr:uid="{00000000-0005-0000-0000-00007A150000}"/>
    <cellStyle name="20% - Accent4 7 8 3 2" xfId="22566" xr:uid="{00000000-0005-0000-0000-00007B150000}"/>
    <cellStyle name="20% - Accent4 7 8 4" xfId="14222" xr:uid="{00000000-0005-0000-0000-00007C150000}"/>
    <cellStyle name="20% - Accent4 7 8 4 2" xfId="24785" xr:uid="{00000000-0005-0000-0000-00007D150000}"/>
    <cellStyle name="20% - Accent4 7 8 5" xfId="18128" xr:uid="{00000000-0005-0000-0000-00007E150000}"/>
    <cellStyle name="20% - Accent4 7 9" xfId="9041" xr:uid="{00000000-0005-0000-0000-00007F150000}"/>
    <cellStyle name="20% - Accent4 7 9 2" xfId="19604" xr:uid="{00000000-0005-0000-0000-000080150000}"/>
    <cellStyle name="20% - Accent4 8" xfId="593" xr:uid="{00000000-0005-0000-0000-000081150000}"/>
    <cellStyle name="20% - Accent4 8 2" xfId="594" xr:uid="{00000000-0005-0000-0000-000082150000}"/>
    <cellStyle name="20% - Accent4 8 3" xfId="595" xr:uid="{00000000-0005-0000-0000-000083150000}"/>
    <cellStyle name="20% - Accent4 8 4" xfId="596" xr:uid="{00000000-0005-0000-0000-000084150000}"/>
    <cellStyle name="20% - Accent4 8 5" xfId="597" xr:uid="{00000000-0005-0000-0000-000085150000}"/>
    <cellStyle name="20% - Accent4 8 6" xfId="598" xr:uid="{00000000-0005-0000-0000-000086150000}"/>
    <cellStyle name="20% - Accent4 9" xfId="599" xr:uid="{00000000-0005-0000-0000-000087150000}"/>
    <cellStyle name="20% - Accent4 9 2" xfId="600" xr:uid="{00000000-0005-0000-0000-000088150000}"/>
    <cellStyle name="20% - Accent4 9 3" xfId="601" xr:uid="{00000000-0005-0000-0000-000089150000}"/>
    <cellStyle name="20% - Accent4 9 4" xfId="602" xr:uid="{00000000-0005-0000-0000-00008A150000}"/>
    <cellStyle name="20% - Accent4 9 5" xfId="603" xr:uid="{00000000-0005-0000-0000-00008B150000}"/>
    <cellStyle name="20% - Accent5" xfId="1" xr:uid="{00000000-0005-0000-0000-00008C150000}"/>
    <cellStyle name="20% - Accent5 10" xfId="604" xr:uid="{00000000-0005-0000-0000-00008D150000}"/>
    <cellStyle name="20% - Accent5 11" xfId="605" xr:uid="{00000000-0005-0000-0000-00008E150000}"/>
    <cellStyle name="20% - Accent5 12" xfId="606" xr:uid="{00000000-0005-0000-0000-00008F150000}"/>
    <cellStyle name="20% - Accent5 13" xfId="607" xr:uid="{00000000-0005-0000-0000-000090150000}"/>
    <cellStyle name="20% - Accent5 14" xfId="608" xr:uid="{00000000-0005-0000-0000-000091150000}"/>
    <cellStyle name="20% - Accent5 15" xfId="609" xr:uid="{00000000-0005-0000-0000-000092150000}"/>
    <cellStyle name="20% - Accent5 16" xfId="610" xr:uid="{00000000-0005-0000-0000-000093150000}"/>
    <cellStyle name="20% - Accent5 17" xfId="8077" xr:uid="{00000000-0005-0000-0000-000094150000}"/>
    <cellStyle name="20% - Accent5 17 2" xfId="10296" xr:uid="{00000000-0005-0000-0000-000095150000}"/>
    <cellStyle name="20% - Accent5 17 2 2" xfId="20859" xr:uid="{00000000-0005-0000-0000-000096150000}"/>
    <cellStyle name="20% - Accent5 17 3" xfId="12515" xr:uid="{00000000-0005-0000-0000-000097150000}"/>
    <cellStyle name="20% - Accent5 17 3 2" xfId="23078" xr:uid="{00000000-0005-0000-0000-000098150000}"/>
    <cellStyle name="20% - Accent5 17 4" xfId="14734" xr:uid="{00000000-0005-0000-0000-000099150000}"/>
    <cellStyle name="20% - Accent5 17 4 2" xfId="25297" xr:uid="{00000000-0005-0000-0000-00009A150000}"/>
    <cellStyle name="20% - Accent5 17 5" xfId="18640" xr:uid="{00000000-0005-0000-0000-00009B150000}"/>
    <cellStyle name="20% - Accent5 18" xfId="7344" xr:uid="{00000000-0005-0000-0000-00009C150000}"/>
    <cellStyle name="20% - Accent5 18 2" xfId="9563" xr:uid="{00000000-0005-0000-0000-00009D150000}"/>
    <cellStyle name="20% - Accent5 18 2 2" xfId="20126" xr:uid="{00000000-0005-0000-0000-00009E150000}"/>
    <cellStyle name="20% - Accent5 18 3" xfId="11782" xr:uid="{00000000-0005-0000-0000-00009F150000}"/>
    <cellStyle name="20% - Accent5 18 3 2" xfId="22345" xr:uid="{00000000-0005-0000-0000-0000A0150000}"/>
    <cellStyle name="20% - Accent5 18 4" xfId="14001" xr:uid="{00000000-0005-0000-0000-0000A1150000}"/>
    <cellStyle name="20% - Accent5 18 4 2" xfId="24564" xr:uid="{00000000-0005-0000-0000-0000A2150000}"/>
    <cellStyle name="20% - Accent5 18 5" xfId="17907" xr:uid="{00000000-0005-0000-0000-0000A3150000}"/>
    <cellStyle name="20% - Accent5 19" xfId="8820" xr:uid="{00000000-0005-0000-0000-0000A4150000}"/>
    <cellStyle name="20% - Accent5 19 2" xfId="19383" xr:uid="{00000000-0005-0000-0000-0000A5150000}"/>
    <cellStyle name="20% - Accent5 2" xfId="611" xr:uid="{00000000-0005-0000-0000-0000A6150000}"/>
    <cellStyle name="20% - Accent5 2 10" xfId="612" xr:uid="{00000000-0005-0000-0000-0000A7150000}"/>
    <cellStyle name="20% - Accent5 2 10 2" xfId="8299" xr:uid="{00000000-0005-0000-0000-0000A8150000}"/>
    <cellStyle name="20% - Accent5 2 10 2 2" xfId="10518" xr:uid="{00000000-0005-0000-0000-0000A9150000}"/>
    <cellStyle name="20% - Accent5 2 10 2 2 2" xfId="21081" xr:uid="{00000000-0005-0000-0000-0000AA150000}"/>
    <cellStyle name="20% - Accent5 2 10 2 3" xfId="12737" xr:uid="{00000000-0005-0000-0000-0000AB150000}"/>
    <cellStyle name="20% - Accent5 2 10 2 3 2" xfId="23300" xr:uid="{00000000-0005-0000-0000-0000AC150000}"/>
    <cellStyle name="20% - Accent5 2 10 2 4" xfId="14956" xr:uid="{00000000-0005-0000-0000-0000AD150000}"/>
    <cellStyle name="20% - Accent5 2 10 2 4 2" xfId="25519" xr:uid="{00000000-0005-0000-0000-0000AE150000}"/>
    <cellStyle name="20% - Accent5 2 10 2 5" xfId="18862" xr:uid="{00000000-0005-0000-0000-0000AF150000}"/>
    <cellStyle name="20% - Accent5 2 10 3" xfId="7566" xr:uid="{00000000-0005-0000-0000-0000B0150000}"/>
    <cellStyle name="20% - Accent5 2 10 3 2" xfId="9785" xr:uid="{00000000-0005-0000-0000-0000B1150000}"/>
    <cellStyle name="20% - Accent5 2 10 3 2 2" xfId="20348" xr:uid="{00000000-0005-0000-0000-0000B2150000}"/>
    <cellStyle name="20% - Accent5 2 10 3 3" xfId="12004" xr:uid="{00000000-0005-0000-0000-0000B3150000}"/>
    <cellStyle name="20% - Accent5 2 10 3 3 2" xfId="22567" xr:uid="{00000000-0005-0000-0000-0000B4150000}"/>
    <cellStyle name="20% - Accent5 2 10 3 4" xfId="14223" xr:uid="{00000000-0005-0000-0000-0000B5150000}"/>
    <cellStyle name="20% - Accent5 2 10 3 4 2" xfId="24786" xr:uid="{00000000-0005-0000-0000-0000B6150000}"/>
    <cellStyle name="20% - Accent5 2 10 3 5" xfId="18129" xr:uid="{00000000-0005-0000-0000-0000B7150000}"/>
    <cellStyle name="20% - Accent5 2 10 4" xfId="9042" xr:uid="{00000000-0005-0000-0000-0000B8150000}"/>
    <cellStyle name="20% - Accent5 2 10 4 2" xfId="19605" xr:uid="{00000000-0005-0000-0000-0000B9150000}"/>
    <cellStyle name="20% - Accent5 2 10 5" xfId="11261" xr:uid="{00000000-0005-0000-0000-0000BA150000}"/>
    <cellStyle name="20% - Accent5 2 10 5 2" xfId="21824" xr:uid="{00000000-0005-0000-0000-0000BB150000}"/>
    <cellStyle name="20% - Accent5 2 10 6" xfId="13480" xr:uid="{00000000-0005-0000-0000-0000BC150000}"/>
    <cellStyle name="20% - Accent5 2 10 6 2" xfId="24043" xr:uid="{00000000-0005-0000-0000-0000BD150000}"/>
    <cellStyle name="20% - Accent5 2 10 7" xfId="17380" xr:uid="{00000000-0005-0000-0000-0000BE150000}"/>
    <cellStyle name="20% - Accent5 2 11" xfId="613" xr:uid="{00000000-0005-0000-0000-0000BF150000}"/>
    <cellStyle name="20% - Accent5 2 11 2" xfId="614" xr:uid="{00000000-0005-0000-0000-0000C0150000}"/>
    <cellStyle name="20% - Accent5 2 11 2 2" xfId="8300" xr:uid="{00000000-0005-0000-0000-0000C1150000}"/>
    <cellStyle name="20% - Accent5 2 11 2 2 2" xfId="10519" xr:uid="{00000000-0005-0000-0000-0000C2150000}"/>
    <cellStyle name="20% - Accent5 2 11 2 2 2 2" xfId="21082" xr:uid="{00000000-0005-0000-0000-0000C3150000}"/>
    <cellStyle name="20% - Accent5 2 11 2 2 3" xfId="12738" xr:uid="{00000000-0005-0000-0000-0000C4150000}"/>
    <cellStyle name="20% - Accent5 2 11 2 2 3 2" xfId="23301" xr:uid="{00000000-0005-0000-0000-0000C5150000}"/>
    <cellStyle name="20% - Accent5 2 11 2 2 4" xfId="14957" xr:uid="{00000000-0005-0000-0000-0000C6150000}"/>
    <cellStyle name="20% - Accent5 2 11 2 2 4 2" xfId="25520" xr:uid="{00000000-0005-0000-0000-0000C7150000}"/>
    <cellStyle name="20% - Accent5 2 11 2 2 5" xfId="18863" xr:uid="{00000000-0005-0000-0000-0000C8150000}"/>
    <cellStyle name="20% - Accent5 2 11 2 3" xfId="7567" xr:uid="{00000000-0005-0000-0000-0000C9150000}"/>
    <cellStyle name="20% - Accent5 2 11 2 3 2" xfId="9786" xr:uid="{00000000-0005-0000-0000-0000CA150000}"/>
    <cellStyle name="20% - Accent5 2 11 2 3 2 2" xfId="20349" xr:uid="{00000000-0005-0000-0000-0000CB150000}"/>
    <cellStyle name="20% - Accent5 2 11 2 3 3" xfId="12005" xr:uid="{00000000-0005-0000-0000-0000CC150000}"/>
    <cellStyle name="20% - Accent5 2 11 2 3 3 2" xfId="22568" xr:uid="{00000000-0005-0000-0000-0000CD150000}"/>
    <cellStyle name="20% - Accent5 2 11 2 3 4" xfId="14224" xr:uid="{00000000-0005-0000-0000-0000CE150000}"/>
    <cellStyle name="20% - Accent5 2 11 2 3 4 2" xfId="24787" xr:uid="{00000000-0005-0000-0000-0000CF150000}"/>
    <cellStyle name="20% - Accent5 2 11 2 3 5" xfId="18130" xr:uid="{00000000-0005-0000-0000-0000D0150000}"/>
    <cellStyle name="20% - Accent5 2 11 2 4" xfId="9043" xr:uid="{00000000-0005-0000-0000-0000D1150000}"/>
    <cellStyle name="20% - Accent5 2 11 2 4 2" xfId="19606" xr:uid="{00000000-0005-0000-0000-0000D2150000}"/>
    <cellStyle name="20% - Accent5 2 11 2 5" xfId="11262" xr:uid="{00000000-0005-0000-0000-0000D3150000}"/>
    <cellStyle name="20% - Accent5 2 11 2 5 2" xfId="21825" xr:uid="{00000000-0005-0000-0000-0000D4150000}"/>
    <cellStyle name="20% - Accent5 2 11 2 6" xfId="13481" xr:uid="{00000000-0005-0000-0000-0000D5150000}"/>
    <cellStyle name="20% - Accent5 2 11 2 6 2" xfId="24044" xr:uid="{00000000-0005-0000-0000-0000D6150000}"/>
    <cellStyle name="20% - Accent5 2 11 2 7" xfId="17381" xr:uid="{00000000-0005-0000-0000-0000D7150000}"/>
    <cellStyle name="20% - Accent5 2 11 3" xfId="615" xr:uid="{00000000-0005-0000-0000-0000D8150000}"/>
    <cellStyle name="20% - Accent5 2 11 3 2" xfId="8301" xr:uid="{00000000-0005-0000-0000-0000D9150000}"/>
    <cellStyle name="20% - Accent5 2 11 3 2 2" xfId="10520" xr:uid="{00000000-0005-0000-0000-0000DA150000}"/>
    <cellStyle name="20% - Accent5 2 11 3 2 2 2" xfId="21083" xr:uid="{00000000-0005-0000-0000-0000DB150000}"/>
    <cellStyle name="20% - Accent5 2 11 3 2 3" xfId="12739" xr:uid="{00000000-0005-0000-0000-0000DC150000}"/>
    <cellStyle name="20% - Accent5 2 11 3 2 3 2" xfId="23302" xr:uid="{00000000-0005-0000-0000-0000DD150000}"/>
    <cellStyle name="20% - Accent5 2 11 3 2 4" xfId="14958" xr:uid="{00000000-0005-0000-0000-0000DE150000}"/>
    <cellStyle name="20% - Accent5 2 11 3 2 4 2" xfId="25521" xr:uid="{00000000-0005-0000-0000-0000DF150000}"/>
    <cellStyle name="20% - Accent5 2 11 3 2 5" xfId="18864" xr:uid="{00000000-0005-0000-0000-0000E0150000}"/>
    <cellStyle name="20% - Accent5 2 11 3 3" xfId="7568" xr:uid="{00000000-0005-0000-0000-0000E1150000}"/>
    <cellStyle name="20% - Accent5 2 11 3 3 2" xfId="9787" xr:uid="{00000000-0005-0000-0000-0000E2150000}"/>
    <cellStyle name="20% - Accent5 2 11 3 3 2 2" xfId="20350" xr:uid="{00000000-0005-0000-0000-0000E3150000}"/>
    <cellStyle name="20% - Accent5 2 11 3 3 3" xfId="12006" xr:uid="{00000000-0005-0000-0000-0000E4150000}"/>
    <cellStyle name="20% - Accent5 2 11 3 3 3 2" xfId="22569" xr:uid="{00000000-0005-0000-0000-0000E5150000}"/>
    <cellStyle name="20% - Accent5 2 11 3 3 4" xfId="14225" xr:uid="{00000000-0005-0000-0000-0000E6150000}"/>
    <cellStyle name="20% - Accent5 2 11 3 3 4 2" xfId="24788" xr:uid="{00000000-0005-0000-0000-0000E7150000}"/>
    <cellStyle name="20% - Accent5 2 11 3 3 5" xfId="18131" xr:uid="{00000000-0005-0000-0000-0000E8150000}"/>
    <cellStyle name="20% - Accent5 2 11 3 4" xfId="9044" xr:uid="{00000000-0005-0000-0000-0000E9150000}"/>
    <cellStyle name="20% - Accent5 2 11 3 4 2" xfId="19607" xr:uid="{00000000-0005-0000-0000-0000EA150000}"/>
    <cellStyle name="20% - Accent5 2 11 3 5" xfId="11263" xr:uid="{00000000-0005-0000-0000-0000EB150000}"/>
    <cellStyle name="20% - Accent5 2 11 3 5 2" xfId="21826" xr:uid="{00000000-0005-0000-0000-0000EC150000}"/>
    <cellStyle name="20% - Accent5 2 11 3 6" xfId="13482" xr:uid="{00000000-0005-0000-0000-0000ED150000}"/>
    <cellStyle name="20% - Accent5 2 11 3 6 2" xfId="24045" xr:uid="{00000000-0005-0000-0000-0000EE150000}"/>
    <cellStyle name="20% - Accent5 2 11 3 7" xfId="17382" xr:uid="{00000000-0005-0000-0000-0000EF150000}"/>
    <cellStyle name="20% - Accent5 2 11 4" xfId="616" xr:uid="{00000000-0005-0000-0000-0000F0150000}"/>
    <cellStyle name="20% - Accent5 2 11 4 2" xfId="8302" xr:uid="{00000000-0005-0000-0000-0000F1150000}"/>
    <cellStyle name="20% - Accent5 2 11 4 2 2" xfId="10521" xr:uid="{00000000-0005-0000-0000-0000F2150000}"/>
    <cellStyle name="20% - Accent5 2 11 4 2 2 2" xfId="21084" xr:uid="{00000000-0005-0000-0000-0000F3150000}"/>
    <cellStyle name="20% - Accent5 2 11 4 2 3" xfId="12740" xr:uid="{00000000-0005-0000-0000-0000F4150000}"/>
    <cellStyle name="20% - Accent5 2 11 4 2 3 2" xfId="23303" xr:uid="{00000000-0005-0000-0000-0000F5150000}"/>
    <cellStyle name="20% - Accent5 2 11 4 2 4" xfId="14959" xr:uid="{00000000-0005-0000-0000-0000F6150000}"/>
    <cellStyle name="20% - Accent5 2 11 4 2 4 2" xfId="25522" xr:uid="{00000000-0005-0000-0000-0000F7150000}"/>
    <cellStyle name="20% - Accent5 2 11 4 2 5" xfId="18865" xr:uid="{00000000-0005-0000-0000-0000F8150000}"/>
    <cellStyle name="20% - Accent5 2 11 4 3" xfId="7569" xr:uid="{00000000-0005-0000-0000-0000F9150000}"/>
    <cellStyle name="20% - Accent5 2 11 4 3 2" xfId="9788" xr:uid="{00000000-0005-0000-0000-0000FA150000}"/>
    <cellStyle name="20% - Accent5 2 11 4 3 2 2" xfId="20351" xr:uid="{00000000-0005-0000-0000-0000FB150000}"/>
    <cellStyle name="20% - Accent5 2 11 4 3 3" xfId="12007" xr:uid="{00000000-0005-0000-0000-0000FC150000}"/>
    <cellStyle name="20% - Accent5 2 11 4 3 3 2" xfId="22570" xr:uid="{00000000-0005-0000-0000-0000FD150000}"/>
    <cellStyle name="20% - Accent5 2 11 4 3 4" xfId="14226" xr:uid="{00000000-0005-0000-0000-0000FE150000}"/>
    <cellStyle name="20% - Accent5 2 11 4 3 4 2" xfId="24789" xr:uid="{00000000-0005-0000-0000-0000FF150000}"/>
    <cellStyle name="20% - Accent5 2 11 4 3 5" xfId="18132" xr:uid="{00000000-0005-0000-0000-000000160000}"/>
    <cellStyle name="20% - Accent5 2 11 4 4" xfId="9045" xr:uid="{00000000-0005-0000-0000-000001160000}"/>
    <cellStyle name="20% - Accent5 2 11 4 4 2" xfId="19608" xr:uid="{00000000-0005-0000-0000-000002160000}"/>
    <cellStyle name="20% - Accent5 2 11 4 5" xfId="11264" xr:uid="{00000000-0005-0000-0000-000003160000}"/>
    <cellStyle name="20% - Accent5 2 11 4 5 2" xfId="21827" xr:uid="{00000000-0005-0000-0000-000004160000}"/>
    <cellStyle name="20% - Accent5 2 11 4 6" xfId="13483" xr:uid="{00000000-0005-0000-0000-000005160000}"/>
    <cellStyle name="20% - Accent5 2 11 4 6 2" xfId="24046" xr:uid="{00000000-0005-0000-0000-000006160000}"/>
    <cellStyle name="20% - Accent5 2 11 4 7" xfId="17383" xr:uid="{00000000-0005-0000-0000-000007160000}"/>
    <cellStyle name="20% - Accent5 2 11 5" xfId="617" xr:uid="{00000000-0005-0000-0000-000008160000}"/>
    <cellStyle name="20% - Accent5 2 11 5 2" xfId="8303" xr:uid="{00000000-0005-0000-0000-000009160000}"/>
    <cellStyle name="20% - Accent5 2 11 5 2 2" xfId="10522" xr:uid="{00000000-0005-0000-0000-00000A160000}"/>
    <cellStyle name="20% - Accent5 2 11 5 2 2 2" xfId="21085" xr:uid="{00000000-0005-0000-0000-00000B160000}"/>
    <cellStyle name="20% - Accent5 2 11 5 2 3" xfId="12741" xr:uid="{00000000-0005-0000-0000-00000C160000}"/>
    <cellStyle name="20% - Accent5 2 11 5 2 3 2" xfId="23304" xr:uid="{00000000-0005-0000-0000-00000D160000}"/>
    <cellStyle name="20% - Accent5 2 11 5 2 4" xfId="14960" xr:uid="{00000000-0005-0000-0000-00000E160000}"/>
    <cellStyle name="20% - Accent5 2 11 5 2 4 2" xfId="25523" xr:uid="{00000000-0005-0000-0000-00000F160000}"/>
    <cellStyle name="20% - Accent5 2 11 5 2 5" xfId="18866" xr:uid="{00000000-0005-0000-0000-000010160000}"/>
    <cellStyle name="20% - Accent5 2 11 5 3" xfId="7570" xr:uid="{00000000-0005-0000-0000-000011160000}"/>
    <cellStyle name="20% - Accent5 2 11 5 3 2" xfId="9789" xr:uid="{00000000-0005-0000-0000-000012160000}"/>
    <cellStyle name="20% - Accent5 2 11 5 3 2 2" xfId="20352" xr:uid="{00000000-0005-0000-0000-000013160000}"/>
    <cellStyle name="20% - Accent5 2 11 5 3 3" xfId="12008" xr:uid="{00000000-0005-0000-0000-000014160000}"/>
    <cellStyle name="20% - Accent5 2 11 5 3 3 2" xfId="22571" xr:uid="{00000000-0005-0000-0000-000015160000}"/>
    <cellStyle name="20% - Accent5 2 11 5 3 4" xfId="14227" xr:uid="{00000000-0005-0000-0000-000016160000}"/>
    <cellStyle name="20% - Accent5 2 11 5 3 4 2" xfId="24790" xr:uid="{00000000-0005-0000-0000-000017160000}"/>
    <cellStyle name="20% - Accent5 2 11 5 3 5" xfId="18133" xr:uid="{00000000-0005-0000-0000-000018160000}"/>
    <cellStyle name="20% - Accent5 2 11 5 4" xfId="9046" xr:uid="{00000000-0005-0000-0000-000019160000}"/>
    <cellStyle name="20% - Accent5 2 11 5 4 2" xfId="19609" xr:uid="{00000000-0005-0000-0000-00001A160000}"/>
    <cellStyle name="20% - Accent5 2 11 5 5" xfId="11265" xr:uid="{00000000-0005-0000-0000-00001B160000}"/>
    <cellStyle name="20% - Accent5 2 11 5 5 2" xfId="21828" xr:uid="{00000000-0005-0000-0000-00001C160000}"/>
    <cellStyle name="20% - Accent5 2 11 5 6" xfId="13484" xr:uid="{00000000-0005-0000-0000-00001D160000}"/>
    <cellStyle name="20% - Accent5 2 11 5 6 2" xfId="24047" xr:uid="{00000000-0005-0000-0000-00001E160000}"/>
    <cellStyle name="20% - Accent5 2 11 5 7" xfId="17384" xr:uid="{00000000-0005-0000-0000-00001F160000}"/>
    <cellStyle name="20% - Accent5 2 12" xfId="618" xr:uid="{00000000-0005-0000-0000-000020160000}"/>
    <cellStyle name="20% - Accent5 2 13" xfId="619" xr:uid="{00000000-0005-0000-0000-000021160000}"/>
    <cellStyle name="20% - Accent5 2 14" xfId="620" xr:uid="{00000000-0005-0000-0000-000022160000}"/>
    <cellStyle name="20% - Accent5 2 15" xfId="621" xr:uid="{00000000-0005-0000-0000-000023160000}"/>
    <cellStyle name="20% - Accent5 2 15 2" xfId="8304" xr:uid="{00000000-0005-0000-0000-000024160000}"/>
    <cellStyle name="20% - Accent5 2 15 2 2" xfId="10523" xr:uid="{00000000-0005-0000-0000-000025160000}"/>
    <cellStyle name="20% - Accent5 2 15 2 2 2" xfId="21086" xr:uid="{00000000-0005-0000-0000-000026160000}"/>
    <cellStyle name="20% - Accent5 2 15 2 3" xfId="12742" xr:uid="{00000000-0005-0000-0000-000027160000}"/>
    <cellStyle name="20% - Accent5 2 15 2 3 2" xfId="23305" xr:uid="{00000000-0005-0000-0000-000028160000}"/>
    <cellStyle name="20% - Accent5 2 15 2 4" xfId="14961" xr:uid="{00000000-0005-0000-0000-000029160000}"/>
    <cellStyle name="20% - Accent5 2 15 2 4 2" xfId="25524" xr:uid="{00000000-0005-0000-0000-00002A160000}"/>
    <cellStyle name="20% - Accent5 2 15 2 5" xfId="18867" xr:uid="{00000000-0005-0000-0000-00002B160000}"/>
    <cellStyle name="20% - Accent5 2 15 3" xfId="7571" xr:uid="{00000000-0005-0000-0000-00002C160000}"/>
    <cellStyle name="20% - Accent5 2 15 3 2" xfId="9790" xr:uid="{00000000-0005-0000-0000-00002D160000}"/>
    <cellStyle name="20% - Accent5 2 15 3 2 2" xfId="20353" xr:uid="{00000000-0005-0000-0000-00002E160000}"/>
    <cellStyle name="20% - Accent5 2 15 3 3" xfId="12009" xr:uid="{00000000-0005-0000-0000-00002F160000}"/>
    <cellStyle name="20% - Accent5 2 15 3 3 2" xfId="22572" xr:uid="{00000000-0005-0000-0000-000030160000}"/>
    <cellStyle name="20% - Accent5 2 15 3 4" xfId="14228" xr:uid="{00000000-0005-0000-0000-000031160000}"/>
    <cellStyle name="20% - Accent5 2 15 3 4 2" xfId="24791" xr:uid="{00000000-0005-0000-0000-000032160000}"/>
    <cellStyle name="20% - Accent5 2 15 3 5" xfId="18134" xr:uid="{00000000-0005-0000-0000-000033160000}"/>
    <cellStyle name="20% - Accent5 2 15 4" xfId="9047" xr:uid="{00000000-0005-0000-0000-000034160000}"/>
    <cellStyle name="20% - Accent5 2 15 4 2" xfId="19610" xr:uid="{00000000-0005-0000-0000-000035160000}"/>
    <cellStyle name="20% - Accent5 2 15 5" xfId="11266" xr:uid="{00000000-0005-0000-0000-000036160000}"/>
    <cellStyle name="20% - Accent5 2 15 5 2" xfId="21829" xr:uid="{00000000-0005-0000-0000-000037160000}"/>
    <cellStyle name="20% - Accent5 2 15 6" xfId="13485" xr:uid="{00000000-0005-0000-0000-000038160000}"/>
    <cellStyle name="20% - Accent5 2 15 6 2" xfId="24048" xr:uid="{00000000-0005-0000-0000-000039160000}"/>
    <cellStyle name="20% - Accent5 2 15 7" xfId="17385" xr:uid="{00000000-0005-0000-0000-00003A160000}"/>
    <cellStyle name="20% - Accent5 2 16" xfId="622" xr:uid="{00000000-0005-0000-0000-00003B160000}"/>
    <cellStyle name="20% - Accent5 2 2" xfId="623" xr:uid="{00000000-0005-0000-0000-00003C160000}"/>
    <cellStyle name="20% - Accent5 2 2 10" xfId="8305" xr:uid="{00000000-0005-0000-0000-00003D160000}"/>
    <cellStyle name="20% - Accent5 2 2 10 2" xfId="10524" xr:uid="{00000000-0005-0000-0000-00003E160000}"/>
    <cellStyle name="20% - Accent5 2 2 10 2 2" xfId="21087" xr:uid="{00000000-0005-0000-0000-00003F160000}"/>
    <cellStyle name="20% - Accent5 2 2 10 3" xfId="12743" xr:uid="{00000000-0005-0000-0000-000040160000}"/>
    <cellStyle name="20% - Accent5 2 2 10 3 2" xfId="23306" xr:uid="{00000000-0005-0000-0000-000041160000}"/>
    <cellStyle name="20% - Accent5 2 2 10 4" xfId="14962" xr:uid="{00000000-0005-0000-0000-000042160000}"/>
    <cellStyle name="20% - Accent5 2 2 10 4 2" xfId="25525" xr:uid="{00000000-0005-0000-0000-000043160000}"/>
    <cellStyle name="20% - Accent5 2 2 10 5" xfId="18868" xr:uid="{00000000-0005-0000-0000-000044160000}"/>
    <cellStyle name="20% - Accent5 2 2 11" xfId="7572" xr:uid="{00000000-0005-0000-0000-000045160000}"/>
    <cellStyle name="20% - Accent5 2 2 11 2" xfId="9791" xr:uid="{00000000-0005-0000-0000-000046160000}"/>
    <cellStyle name="20% - Accent5 2 2 11 2 2" xfId="20354" xr:uid="{00000000-0005-0000-0000-000047160000}"/>
    <cellStyle name="20% - Accent5 2 2 11 3" xfId="12010" xr:uid="{00000000-0005-0000-0000-000048160000}"/>
    <cellStyle name="20% - Accent5 2 2 11 3 2" xfId="22573" xr:uid="{00000000-0005-0000-0000-000049160000}"/>
    <cellStyle name="20% - Accent5 2 2 11 4" xfId="14229" xr:uid="{00000000-0005-0000-0000-00004A160000}"/>
    <cellStyle name="20% - Accent5 2 2 11 4 2" xfId="24792" xr:uid="{00000000-0005-0000-0000-00004B160000}"/>
    <cellStyle name="20% - Accent5 2 2 11 5" xfId="18135" xr:uid="{00000000-0005-0000-0000-00004C160000}"/>
    <cellStyle name="20% - Accent5 2 2 12" xfId="9048" xr:uid="{00000000-0005-0000-0000-00004D160000}"/>
    <cellStyle name="20% - Accent5 2 2 12 2" xfId="19611" xr:uid="{00000000-0005-0000-0000-00004E160000}"/>
    <cellStyle name="20% - Accent5 2 2 13" xfId="11267" xr:uid="{00000000-0005-0000-0000-00004F160000}"/>
    <cellStyle name="20% - Accent5 2 2 13 2" xfId="21830" xr:uid="{00000000-0005-0000-0000-000050160000}"/>
    <cellStyle name="20% - Accent5 2 2 14" xfId="13486" xr:uid="{00000000-0005-0000-0000-000051160000}"/>
    <cellStyle name="20% - Accent5 2 2 14 2" xfId="24049" xr:uid="{00000000-0005-0000-0000-000052160000}"/>
    <cellStyle name="20% - Accent5 2 2 15" xfId="17386" xr:uid="{00000000-0005-0000-0000-000053160000}"/>
    <cellStyle name="20% - Accent5 2 2 2" xfId="624" xr:uid="{00000000-0005-0000-0000-000054160000}"/>
    <cellStyle name="20% - Accent5 2 2 2 2" xfId="8306" xr:uid="{00000000-0005-0000-0000-000055160000}"/>
    <cellStyle name="20% - Accent5 2 2 2 2 2" xfId="10525" xr:uid="{00000000-0005-0000-0000-000056160000}"/>
    <cellStyle name="20% - Accent5 2 2 2 2 2 2" xfId="21088" xr:uid="{00000000-0005-0000-0000-000057160000}"/>
    <cellStyle name="20% - Accent5 2 2 2 2 3" xfId="12744" xr:uid="{00000000-0005-0000-0000-000058160000}"/>
    <cellStyle name="20% - Accent5 2 2 2 2 3 2" xfId="23307" xr:uid="{00000000-0005-0000-0000-000059160000}"/>
    <cellStyle name="20% - Accent5 2 2 2 2 4" xfId="14963" xr:uid="{00000000-0005-0000-0000-00005A160000}"/>
    <cellStyle name="20% - Accent5 2 2 2 2 4 2" xfId="25526" xr:uid="{00000000-0005-0000-0000-00005B160000}"/>
    <cellStyle name="20% - Accent5 2 2 2 2 5" xfId="18869" xr:uid="{00000000-0005-0000-0000-00005C160000}"/>
    <cellStyle name="20% - Accent5 2 2 2 3" xfId="7573" xr:uid="{00000000-0005-0000-0000-00005D160000}"/>
    <cellStyle name="20% - Accent5 2 2 2 3 2" xfId="9792" xr:uid="{00000000-0005-0000-0000-00005E160000}"/>
    <cellStyle name="20% - Accent5 2 2 2 3 2 2" xfId="20355" xr:uid="{00000000-0005-0000-0000-00005F160000}"/>
    <cellStyle name="20% - Accent5 2 2 2 3 3" xfId="12011" xr:uid="{00000000-0005-0000-0000-000060160000}"/>
    <cellStyle name="20% - Accent5 2 2 2 3 3 2" xfId="22574" xr:uid="{00000000-0005-0000-0000-000061160000}"/>
    <cellStyle name="20% - Accent5 2 2 2 3 4" xfId="14230" xr:uid="{00000000-0005-0000-0000-000062160000}"/>
    <cellStyle name="20% - Accent5 2 2 2 3 4 2" xfId="24793" xr:uid="{00000000-0005-0000-0000-000063160000}"/>
    <cellStyle name="20% - Accent5 2 2 2 3 5" xfId="18136" xr:uid="{00000000-0005-0000-0000-000064160000}"/>
    <cellStyle name="20% - Accent5 2 2 2 4" xfId="9049" xr:uid="{00000000-0005-0000-0000-000065160000}"/>
    <cellStyle name="20% - Accent5 2 2 2 4 2" xfId="19612" xr:uid="{00000000-0005-0000-0000-000066160000}"/>
    <cellStyle name="20% - Accent5 2 2 2 5" xfId="11268" xr:uid="{00000000-0005-0000-0000-000067160000}"/>
    <cellStyle name="20% - Accent5 2 2 2 5 2" xfId="21831" xr:uid="{00000000-0005-0000-0000-000068160000}"/>
    <cellStyle name="20% - Accent5 2 2 2 6" xfId="13487" xr:uid="{00000000-0005-0000-0000-000069160000}"/>
    <cellStyle name="20% - Accent5 2 2 2 6 2" xfId="24050" xr:uid="{00000000-0005-0000-0000-00006A160000}"/>
    <cellStyle name="20% - Accent5 2 2 2 7" xfId="17387" xr:uid="{00000000-0005-0000-0000-00006B160000}"/>
    <cellStyle name="20% - Accent5 2 2 3" xfId="625" xr:uid="{00000000-0005-0000-0000-00006C160000}"/>
    <cellStyle name="20% - Accent5 2 2 3 2" xfId="8307" xr:uid="{00000000-0005-0000-0000-00006D160000}"/>
    <cellStyle name="20% - Accent5 2 2 3 2 2" xfId="10526" xr:uid="{00000000-0005-0000-0000-00006E160000}"/>
    <cellStyle name="20% - Accent5 2 2 3 2 2 2" xfId="21089" xr:uid="{00000000-0005-0000-0000-00006F160000}"/>
    <cellStyle name="20% - Accent5 2 2 3 2 3" xfId="12745" xr:uid="{00000000-0005-0000-0000-000070160000}"/>
    <cellStyle name="20% - Accent5 2 2 3 2 3 2" xfId="23308" xr:uid="{00000000-0005-0000-0000-000071160000}"/>
    <cellStyle name="20% - Accent5 2 2 3 2 4" xfId="14964" xr:uid="{00000000-0005-0000-0000-000072160000}"/>
    <cellStyle name="20% - Accent5 2 2 3 2 4 2" xfId="25527" xr:uid="{00000000-0005-0000-0000-000073160000}"/>
    <cellStyle name="20% - Accent5 2 2 3 2 5" xfId="18870" xr:uid="{00000000-0005-0000-0000-000074160000}"/>
    <cellStyle name="20% - Accent5 2 2 3 3" xfId="7574" xr:uid="{00000000-0005-0000-0000-000075160000}"/>
    <cellStyle name="20% - Accent5 2 2 3 3 2" xfId="9793" xr:uid="{00000000-0005-0000-0000-000076160000}"/>
    <cellStyle name="20% - Accent5 2 2 3 3 2 2" xfId="20356" xr:uid="{00000000-0005-0000-0000-000077160000}"/>
    <cellStyle name="20% - Accent5 2 2 3 3 3" xfId="12012" xr:uid="{00000000-0005-0000-0000-000078160000}"/>
    <cellStyle name="20% - Accent5 2 2 3 3 3 2" xfId="22575" xr:uid="{00000000-0005-0000-0000-000079160000}"/>
    <cellStyle name="20% - Accent5 2 2 3 3 4" xfId="14231" xr:uid="{00000000-0005-0000-0000-00007A160000}"/>
    <cellStyle name="20% - Accent5 2 2 3 3 4 2" xfId="24794" xr:uid="{00000000-0005-0000-0000-00007B160000}"/>
    <cellStyle name="20% - Accent5 2 2 3 3 5" xfId="18137" xr:uid="{00000000-0005-0000-0000-00007C160000}"/>
    <cellStyle name="20% - Accent5 2 2 3 4" xfId="9050" xr:uid="{00000000-0005-0000-0000-00007D160000}"/>
    <cellStyle name="20% - Accent5 2 2 3 4 2" xfId="19613" xr:uid="{00000000-0005-0000-0000-00007E160000}"/>
    <cellStyle name="20% - Accent5 2 2 3 5" xfId="11269" xr:uid="{00000000-0005-0000-0000-00007F160000}"/>
    <cellStyle name="20% - Accent5 2 2 3 5 2" xfId="21832" xr:uid="{00000000-0005-0000-0000-000080160000}"/>
    <cellStyle name="20% - Accent5 2 2 3 6" xfId="13488" xr:uid="{00000000-0005-0000-0000-000081160000}"/>
    <cellStyle name="20% - Accent5 2 2 3 6 2" xfId="24051" xr:uid="{00000000-0005-0000-0000-000082160000}"/>
    <cellStyle name="20% - Accent5 2 2 3 7" xfId="17388" xr:uid="{00000000-0005-0000-0000-000083160000}"/>
    <cellStyle name="20% - Accent5 2 2 4" xfId="626" xr:uid="{00000000-0005-0000-0000-000084160000}"/>
    <cellStyle name="20% - Accent5 2 2 4 2" xfId="8308" xr:uid="{00000000-0005-0000-0000-000085160000}"/>
    <cellStyle name="20% - Accent5 2 2 4 2 2" xfId="10527" xr:uid="{00000000-0005-0000-0000-000086160000}"/>
    <cellStyle name="20% - Accent5 2 2 4 2 2 2" xfId="21090" xr:uid="{00000000-0005-0000-0000-000087160000}"/>
    <cellStyle name="20% - Accent5 2 2 4 2 3" xfId="12746" xr:uid="{00000000-0005-0000-0000-000088160000}"/>
    <cellStyle name="20% - Accent5 2 2 4 2 3 2" xfId="23309" xr:uid="{00000000-0005-0000-0000-000089160000}"/>
    <cellStyle name="20% - Accent5 2 2 4 2 4" xfId="14965" xr:uid="{00000000-0005-0000-0000-00008A160000}"/>
    <cellStyle name="20% - Accent5 2 2 4 2 4 2" xfId="25528" xr:uid="{00000000-0005-0000-0000-00008B160000}"/>
    <cellStyle name="20% - Accent5 2 2 4 2 5" xfId="18871" xr:uid="{00000000-0005-0000-0000-00008C160000}"/>
    <cellStyle name="20% - Accent5 2 2 4 3" xfId="7575" xr:uid="{00000000-0005-0000-0000-00008D160000}"/>
    <cellStyle name="20% - Accent5 2 2 4 3 2" xfId="9794" xr:uid="{00000000-0005-0000-0000-00008E160000}"/>
    <cellStyle name="20% - Accent5 2 2 4 3 2 2" xfId="20357" xr:uid="{00000000-0005-0000-0000-00008F160000}"/>
    <cellStyle name="20% - Accent5 2 2 4 3 3" xfId="12013" xr:uid="{00000000-0005-0000-0000-000090160000}"/>
    <cellStyle name="20% - Accent5 2 2 4 3 3 2" xfId="22576" xr:uid="{00000000-0005-0000-0000-000091160000}"/>
    <cellStyle name="20% - Accent5 2 2 4 3 4" xfId="14232" xr:uid="{00000000-0005-0000-0000-000092160000}"/>
    <cellStyle name="20% - Accent5 2 2 4 3 4 2" xfId="24795" xr:uid="{00000000-0005-0000-0000-000093160000}"/>
    <cellStyle name="20% - Accent5 2 2 4 3 5" xfId="18138" xr:uid="{00000000-0005-0000-0000-000094160000}"/>
    <cellStyle name="20% - Accent5 2 2 4 4" xfId="9051" xr:uid="{00000000-0005-0000-0000-000095160000}"/>
    <cellStyle name="20% - Accent5 2 2 4 4 2" xfId="19614" xr:uid="{00000000-0005-0000-0000-000096160000}"/>
    <cellStyle name="20% - Accent5 2 2 4 5" xfId="11270" xr:uid="{00000000-0005-0000-0000-000097160000}"/>
    <cellStyle name="20% - Accent5 2 2 4 5 2" xfId="21833" xr:uid="{00000000-0005-0000-0000-000098160000}"/>
    <cellStyle name="20% - Accent5 2 2 4 6" xfId="13489" xr:uid="{00000000-0005-0000-0000-000099160000}"/>
    <cellStyle name="20% - Accent5 2 2 4 6 2" xfId="24052" xr:uid="{00000000-0005-0000-0000-00009A160000}"/>
    <cellStyle name="20% - Accent5 2 2 4 7" xfId="17389" xr:uid="{00000000-0005-0000-0000-00009B160000}"/>
    <cellStyle name="20% - Accent5 2 2 5" xfId="627" xr:uid="{00000000-0005-0000-0000-00009C160000}"/>
    <cellStyle name="20% - Accent5 2 2 5 2" xfId="8309" xr:uid="{00000000-0005-0000-0000-00009D160000}"/>
    <cellStyle name="20% - Accent5 2 2 5 2 2" xfId="10528" xr:uid="{00000000-0005-0000-0000-00009E160000}"/>
    <cellStyle name="20% - Accent5 2 2 5 2 2 2" xfId="21091" xr:uid="{00000000-0005-0000-0000-00009F160000}"/>
    <cellStyle name="20% - Accent5 2 2 5 2 3" xfId="12747" xr:uid="{00000000-0005-0000-0000-0000A0160000}"/>
    <cellStyle name="20% - Accent5 2 2 5 2 3 2" xfId="23310" xr:uid="{00000000-0005-0000-0000-0000A1160000}"/>
    <cellStyle name="20% - Accent5 2 2 5 2 4" xfId="14966" xr:uid="{00000000-0005-0000-0000-0000A2160000}"/>
    <cellStyle name="20% - Accent5 2 2 5 2 4 2" xfId="25529" xr:uid="{00000000-0005-0000-0000-0000A3160000}"/>
    <cellStyle name="20% - Accent5 2 2 5 2 5" xfId="18872" xr:uid="{00000000-0005-0000-0000-0000A4160000}"/>
    <cellStyle name="20% - Accent5 2 2 5 3" xfId="7576" xr:uid="{00000000-0005-0000-0000-0000A5160000}"/>
    <cellStyle name="20% - Accent5 2 2 5 3 2" xfId="9795" xr:uid="{00000000-0005-0000-0000-0000A6160000}"/>
    <cellStyle name="20% - Accent5 2 2 5 3 2 2" xfId="20358" xr:uid="{00000000-0005-0000-0000-0000A7160000}"/>
    <cellStyle name="20% - Accent5 2 2 5 3 3" xfId="12014" xr:uid="{00000000-0005-0000-0000-0000A8160000}"/>
    <cellStyle name="20% - Accent5 2 2 5 3 3 2" xfId="22577" xr:uid="{00000000-0005-0000-0000-0000A9160000}"/>
    <cellStyle name="20% - Accent5 2 2 5 3 4" xfId="14233" xr:uid="{00000000-0005-0000-0000-0000AA160000}"/>
    <cellStyle name="20% - Accent5 2 2 5 3 4 2" xfId="24796" xr:uid="{00000000-0005-0000-0000-0000AB160000}"/>
    <cellStyle name="20% - Accent5 2 2 5 3 5" xfId="18139" xr:uid="{00000000-0005-0000-0000-0000AC160000}"/>
    <cellStyle name="20% - Accent5 2 2 5 4" xfId="9052" xr:uid="{00000000-0005-0000-0000-0000AD160000}"/>
    <cellStyle name="20% - Accent5 2 2 5 4 2" xfId="19615" xr:uid="{00000000-0005-0000-0000-0000AE160000}"/>
    <cellStyle name="20% - Accent5 2 2 5 5" xfId="11271" xr:uid="{00000000-0005-0000-0000-0000AF160000}"/>
    <cellStyle name="20% - Accent5 2 2 5 5 2" xfId="21834" xr:uid="{00000000-0005-0000-0000-0000B0160000}"/>
    <cellStyle name="20% - Accent5 2 2 5 6" xfId="13490" xr:uid="{00000000-0005-0000-0000-0000B1160000}"/>
    <cellStyle name="20% - Accent5 2 2 5 6 2" xfId="24053" xr:uid="{00000000-0005-0000-0000-0000B2160000}"/>
    <cellStyle name="20% - Accent5 2 2 5 7" xfId="17390" xr:uid="{00000000-0005-0000-0000-0000B3160000}"/>
    <cellStyle name="20% - Accent5 2 2 6" xfId="628" xr:uid="{00000000-0005-0000-0000-0000B4160000}"/>
    <cellStyle name="20% - Accent5 2 2 6 2" xfId="8310" xr:uid="{00000000-0005-0000-0000-0000B5160000}"/>
    <cellStyle name="20% - Accent5 2 2 6 2 2" xfId="10529" xr:uid="{00000000-0005-0000-0000-0000B6160000}"/>
    <cellStyle name="20% - Accent5 2 2 6 2 2 2" xfId="21092" xr:uid="{00000000-0005-0000-0000-0000B7160000}"/>
    <cellStyle name="20% - Accent5 2 2 6 2 3" xfId="12748" xr:uid="{00000000-0005-0000-0000-0000B8160000}"/>
    <cellStyle name="20% - Accent5 2 2 6 2 3 2" xfId="23311" xr:uid="{00000000-0005-0000-0000-0000B9160000}"/>
    <cellStyle name="20% - Accent5 2 2 6 2 4" xfId="14967" xr:uid="{00000000-0005-0000-0000-0000BA160000}"/>
    <cellStyle name="20% - Accent5 2 2 6 2 4 2" xfId="25530" xr:uid="{00000000-0005-0000-0000-0000BB160000}"/>
    <cellStyle name="20% - Accent5 2 2 6 2 5" xfId="18873" xr:uid="{00000000-0005-0000-0000-0000BC160000}"/>
    <cellStyle name="20% - Accent5 2 2 6 3" xfId="7577" xr:uid="{00000000-0005-0000-0000-0000BD160000}"/>
    <cellStyle name="20% - Accent5 2 2 6 3 2" xfId="9796" xr:uid="{00000000-0005-0000-0000-0000BE160000}"/>
    <cellStyle name="20% - Accent5 2 2 6 3 2 2" xfId="20359" xr:uid="{00000000-0005-0000-0000-0000BF160000}"/>
    <cellStyle name="20% - Accent5 2 2 6 3 3" xfId="12015" xr:uid="{00000000-0005-0000-0000-0000C0160000}"/>
    <cellStyle name="20% - Accent5 2 2 6 3 3 2" xfId="22578" xr:uid="{00000000-0005-0000-0000-0000C1160000}"/>
    <cellStyle name="20% - Accent5 2 2 6 3 4" xfId="14234" xr:uid="{00000000-0005-0000-0000-0000C2160000}"/>
    <cellStyle name="20% - Accent5 2 2 6 3 4 2" xfId="24797" xr:uid="{00000000-0005-0000-0000-0000C3160000}"/>
    <cellStyle name="20% - Accent5 2 2 6 3 5" xfId="18140" xr:uid="{00000000-0005-0000-0000-0000C4160000}"/>
    <cellStyle name="20% - Accent5 2 2 6 4" xfId="9053" xr:uid="{00000000-0005-0000-0000-0000C5160000}"/>
    <cellStyle name="20% - Accent5 2 2 6 4 2" xfId="19616" xr:uid="{00000000-0005-0000-0000-0000C6160000}"/>
    <cellStyle name="20% - Accent5 2 2 6 5" xfId="11272" xr:uid="{00000000-0005-0000-0000-0000C7160000}"/>
    <cellStyle name="20% - Accent5 2 2 6 5 2" xfId="21835" xr:uid="{00000000-0005-0000-0000-0000C8160000}"/>
    <cellStyle name="20% - Accent5 2 2 6 6" xfId="13491" xr:uid="{00000000-0005-0000-0000-0000C9160000}"/>
    <cellStyle name="20% - Accent5 2 2 6 6 2" xfId="24054" xr:uid="{00000000-0005-0000-0000-0000CA160000}"/>
    <cellStyle name="20% - Accent5 2 2 6 7" xfId="17391" xr:uid="{00000000-0005-0000-0000-0000CB160000}"/>
    <cellStyle name="20% - Accent5 2 2 7" xfId="629" xr:uid="{00000000-0005-0000-0000-0000CC160000}"/>
    <cellStyle name="20% - Accent5 2 2 7 2" xfId="8311" xr:uid="{00000000-0005-0000-0000-0000CD160000}"/>
    <cellStyle name="20% - Accent5 2 2 7 2 2" xfId="10530" xr:uid="{00000000-0005-0000-0000-0000CE160000}"/>
    <cellStyle name="20% - Accent5 2 2 7 2 2 2" xfId="21093" xr:uid="{00000000-0005-0000-0000-0000CF160000}"/>
    <cellStyle name="20% - Accent5 2 2 7 2 3" xfId="12749" xr:uid="{00000000-0005-0000-0000-0000D0160000}"/>
    <cellStyle name="20% - Accent5 2 2 7 2 3 2" xfId="23312" xr:uid="{00000000-0005-0000-0000-0000D1160000}"/>
    <cellStyle name="20% - Accent5 2 2 7 2 4" xfId="14968" xr:uid="{00000000-0005-0000-0000-0000D2160000}"/>
    <cellStyle name="20% - Accent5 2 2 7 2 4 2" xfId="25531" xr:uid="{00000000-0005-0000-0000-0000D3160000}"/>
    <cellStyle name="20% - Accent5 2 2 7 2 5" xfId="18874" xr:uid="{00000000-0005-0000-0000-0000D4160000}"/>
    <cellStyle name="20% - Accent5 2 2 7 3" xfId="7578" xr:uid="{00000000-0005-0000-0000-0000D5160000}"/>
    <cellStyle name="20% - Accent5 2 2 7 3 2" xfId="9797" xr:uid="{00000000-0005-0000-0000-0000D6160000}"/>
    <cellStyle name="20% - Accent5 2 2 7 3 2 2" xfId="20360" xr:uid="{00000000-0005-0000-0000-0000D7160000}"/>
    <cellStyle name="20% - Accent5 2 2 7 3 3" xfId="12016" xr:uid="{00000000-0005-0000-0000-0000D8160000}"/>
    <cellStyle name="20% - Accent5 2 2 7 3 3 2" xfId="22579" xr:uid="{00000000-0005-0000-0000-0000D9160000}"/>
    <cellStyle name="20% - Accent5 2 2 7 3 4" xfId="14235" xr:uid="{00000000-0005-0000-0000-0000DA160000}"/>
    <cellStyle name="20% - Accent5 2 2 7 3 4 2" xfId="24798" xr:uid="{00000000-0005-0000-0000-0000DB160000}"/>
    <cellStyle name="20% - Accent5 2 2 7 3 5" xfId="18141" xr:uid="{00000000-0005-0000-0000-0000DC160000}"/>
    <cellStyle name="20% - Accent5 2 2 7 4" xfId="9054" xr:uid="{00000000-0005-0000-0000-0000DD160000}"/>
    <cellStyle name="20% - Accent5 2 2 7 4 2" xfId="19617" xr:uid="{00000000-0005-0000-0000-0000DE160000}"/>
    <cellStyle name="20% - Accent5 2 2 7 5" xfId="11273" xr:uid="{00000000-0005-0000-0000-0000DF160000}"/>
    <cellStyle name="20% - Accent5 2 2 7 5 2" xfId="21836" xr:uid="{00000000-0005-0000-0000-0000E0160000}"/>
    <cellStyle name="20% - Accent5 2 2 7 6" xfId="13492" xr:uid="{00000000-0005-0000-0000-0000E1160000}"/>
    <cellStyle name="20% - Accent5 2 2 7 6 2" xfId="24055" xr:uid="{00000000-0005-0000-0000-0000E2160000}"/>
    <cellStyle name="20% - Accent5 2 2 7 7" xfId="17392" xr:uid="{00000000-0005-0000-0000-0000E3160000}"/>
    <cellStyle name="20% - Accent5 2 2 8" xfId="630" xr:uid="{00000000-0005-0000-0000-0000E4160000}"/>
    <cellStyle name="20% - Accent5 2 2 8 2" xfId="8312" xr:uid="{00000000-0005-0000-0000-0000E5160000}"/>
    <cellStyle name="20% - Accent5 2 2 8 2 2" xfId="10531" xr:uid="{00000000-0005-0000-0000-0000E6160000}"/>
    <cellStyle name="20% - Accent5 2 2 8 2 2 2" xfId="21094" xr:uid="{00000000-0005-0000-0000-0000E7160000}"/>
    <cellStyle name="20% - Accent5 2 2 8 2 3" xfId="12750" xr:uid="{00000000-0005-0000-0000-0000E8160000}"/>
    <cellStyle name="20% - Accent5 2 2 8 2 3 2" xfId="23313" xr:uid="{00000000-0005-0000-0000-0000E9160000}"/>
    <cellStyle name="20% - Accent5 2 2 8 2 4" xfId="14969" xr:uid="{00000000-0005-0000-0000-0000EA160000}"/>
    <cellStyle name="20% - Accent5 2 2 8 2 4 2" xfId="25532" xr:uid="{00000000-0005-0000-0000-0000EB160000}"/>
    <cellStyle name="20% - Accent5 2 2 8 2 5" xfId="18875" xr:uid="{00000000-0005-0000-0000-0000EC160000}"/>
    <cellStyle name="20% - Accent5 2 2 8 3" xfId="7579" xr:uid="{00000000-0005-0000-0000-0000ED160000}"/>
    <cellStyle name="20% - Accent5 2 2 8 3 2" xfId="9798" xr:uid="{00000000-0005-0000-0000-0000EE160000}"/>
    <cellStyle name="20% - Accent5 2 2 8 3 2 2" xfId="20361" xr:uid="{00000000-0005-0000-0000-0000EF160000}"/>
    <cellStyle name="20% - Accent5 2 2 8 3 3" xfId="12017" xr:uid="{00000000-0005-0000-0000-0000F0160000}"/>
    <cellStyle name="20% - Accent5 2 2 8 3 3 2" xfId="22580" xr:uid="{00000000-0005-0000-0000-0000F1160000}"/>
    <cellStyle name="20% - Accent5 2 2 8 3 4" xfId="14236" xr:uid="{00000000-0005-0000-0000-0000F2160000}"/>
    <cellStyle name="20% - Accent5 2 2 8 3 4 2" xfId="24799" xr:uid="{00000000-0005-0000-0000-0000F3160000}"/>
    <cellStyle name="20% - Accent5 2 2 8 3 5" xfId="18142" xr:uid="{00000000-0005-0000-0000-0000F4160000}"/>
    <cellStyle name="20% - Accent5 2 2 8 4" xfId="9055" xr:uid="{00000000-0005-0000-0000-0000F5160000}"/>
    <cellStyle name="20% - Accent5 2 2 8 4 2" xfId="19618" xr:uid="{00000000-0005-0000-0000-0000F6160000}"/>
    <cellStyle name="20% - Accent5 2 2 8 5" xfId="11274" xr:uid="{00000000-0005-0000-0000-0000F7160000}"/>
    <cellStyle name="20% - Accent5 2 2 8 5 2" xfId="21837" xr:uid="{00000000-0005-0000-0000-0000F8160000}"/>
    <cellStyle name="20% - Accent5 2 2 8 6" xfId="13493" xr:uid="{00000000-0005-0000-0000-0000F9160000}"/>
    <cellStyle name="20% - Accent5 2 2 8 6 2" xfId="24056" xr:uid="{00000000-0005-0000-0000-0000FA160000}"/>
    <cellStyle name="20% - Accent5 2 2 8 7" xfId="17393" xr:uid="{00000000-0005-0000-0000-0000FB160000}"/>
    <cellStyle name="20% - Accent5 2 2 9" xfId="631" xr:uid="{00000000-0005-0000-0000-0000FC160000}"/>
    <cellStyle name="20% - Accent5 2 2 9 2" xfId="8313" xr:uid="{00000000-0005-0000-0000-0000FD160000}"/>
    <cellStyle name="20% - Accent5 2 2 9 2 2" xfId="10532" xr:uid="{00000000-0005-0000-0000-0000FE160000}"/>
    <cellStyle name="20% - Accent5 2 2 9 2 2 2" xfId="21095" xr:uid="{00000000-0005-0000-0000-0000FF160000}"/>
    <cellStyle name="20% - Accent5 2 2 9 2 3" xfId="12751" xr:uid="{00000000-0005-0000-0000-000000170000}"/>
    <cellStyle name="20% - Accent5 2 2 9 2 3 2" xfId="23314" xr:uid="{00000000-0005-0000-0000-000001170000}"/>
    <cellStyle name="20% - Accent5 2 2 9 2 4" xfId="14970" xr:uid="{00000000-0005-0000-0000-000002170000}"/>
    <cellStyle name="20% - Accent5 2 2 9 2 4 2" xfId="25533" xr:uid="{00000000-0005-0000-0000-000003170000}"/>
    <cellStyle name="20% - Accent5 2 2 9 2 5" xfId="18876" xr:uid="{00000000-0005-0000-0000-000004170000}"/>
    <cellStyle name="20% - Accent5 2 2 9 3" xfId="7580" xr:uid="{00000000-0005-0000-0000-000005170000}"/>
    <cellStyle name="20% - Accent5 2 2 9 3 2" xfId="9799" xr:uid="{00000000-0005-0000-0000-000006170000}"/>
    <cellStyle name="20% - Accent5 2 2 9 3 2 2" xfId="20362" xr:uid="{00000000-0005-0000-0000-000007170000}"/>
    <cellStyle name="20% - Accent5 2 2 9 3 3" xfId="12018" xr:uid="{00000000-0005-0000-0000-000008170000}"/>
    <cellStyle name="20% - Accent5 2 2 9 3 3 2" xfId="22581" xr:uid="{00000000-0005-0000-0000-000009170000}"/>
    <cellStyle name="20% - Accent5 2 2 9 3 4" xfId="14237" xr:uid="{00000000-0005-0000-0000-00000A170000}"/>
    <cellStyle name="20% - Accent5 2 2 9 3 4 2" xfId="24800" xr:uid="{00000000-0005-0000-0000-00000B170000}"/>
    <cellStyle name="20% - Accent5 2 2 9 3 5" xfId="18143" xr:uid="{00000000-0005-0000-0000-00000C170000}"/>
    <cellStyle name="20% - Accent5 2 2 9 4" xfId="9056" xr:uid="{00000000-0005-0000-0000-00000D170000}"/>
    <cellStyle name="20% - Accent5 2 2 9 4 2" xfId="19619" xr:uid="{00000000-0005-0000-0000-00000E170000}"/>
    <cellStyle name="20% - Accent5 2 2 9 5" xfId="11275" xr:uid="{00000000-0005-0000-0000-00000F170000}"/>
    <cellStyle name="20% - Accent5 2 2 9 5 2" xfId="21838" xr:uid="{00000000-0005-0000-0000-000010170000}"/>
    <cellStyle name="20% - Accent5 2 2 9 6" xfId="13494" xr:uid="{00000000-0005-0000-0000-000011170000}"/>
    <cellStyle name="20% - Accent5 2 2 9 6 2" xfId="24057" xr:uid="{00000000-0005-0000-0000-000012170000}"/>
    <cellStyle name="20% - Accent5 2 2 9 7" xfId="17394" xr:uid="{00000000-0005-0000-0000-000013170000}"/>
    <cellStyle name="20% - Accent5 2 3" xfId="632" xr:uid="{00000000-0005-0000-0000-000014170000}"/>
    <cellStyle name="20% - Accent5 2 3 10" xfId="8314" xr:uid="{00000000-0005-0000-0000-000015170000}"/>
    <cellStyle name="20% - Accent5 2 3 10 2" xfId="10533" xr:uid="{00000000-0005-0000-0000-000016170000}"/>
    <cellStyle name="20% - Accent5 2 3 10 2 2" xfId="21096" xr:uid="{00000000-0005-0000-0000-000017170000}"/>
    <cellStyle name="20% - Accent5 2 3 10 3" xfId="12752" xr:uid="{00000000-0005-0000-0000-000018170000}"/>
    <cellStyle name="20% - Accent5 2 3 10 3 2" xfId="23315" xr:uid="{00000000-0005-0000-0000-000019170000}"/>
    <cellStyle name="20% - Accent5 2 3 10 4" xfId="14971" xr:uid="{00000000-0005-0000-0000-00001A170000}"/>
    <cellStyle name="20% - Accent5 2 3 10 4 2" xfId="25534" xr:uid="{00000000-0005-0000-0000-00001B170000}"/>
    <cellStyle name="20% - Accent5 2 3 10 5" xfId="18877" xr:uid="{00000000-0005-0000-0000-00001C170000}"/>
    <cellStyle name="20% - Accent5 2 3 11" xfId="7581" xr:uid="{00000000-0005-0000-0000-00001D170000}"/>
    <cellStyle name="20% - Accent5 2 3 11 2" xfId="9800" xr:uid="{00000000-0005-0000-0000-00001E170000}"/>
    <cellStyle name="20% - Accent5 2 3 11 2 2" xfId="20363" xr:uid="{00000000-0005-0000-0000-00001F170000}"/>
    <cellStyle name="20% - Accent5 2 3 11 3" xfId="12019" xr:uid="{00000000-0005-0000-0000-000020170000}"/>
    <cellStyle name="20% - Accent5 2 3 11 3 2" xfId="22582" xr:uid="{00000000-0005-0000-0000-000021170000}"/>
    <cellStyle name="20% - Accent5 2 3 11 4" xfId="14238" xr:uid="{00000000-0005-0000-0000-000022170000}"/>
    <cellStyle name="20% - Accent5 2 3 11 4 2" xfId="24801" xr:uid="{00000000-0005-0000-0000-000023170000}"/>
    <cellStyle name="20% - Accent5 2 3 11 5" xfId="18144" xr:uid="{00000000-0005-0000-0000-000024170000}"/>
    <cellStyle name="20% - Accent5 2 3 12" xfId="9057" xr:uid="{00000000-0005-0000-0000-000025170000}"/>
    <cellStyle name="20% - Accent5 2 3 12 2" xfId="19620" xr:uid="{00000000-0005-0000-0000-000026170000}"/>
    <cellStyle name="20% - Accent5 2 3 13" xfId="11276" xr:uid="{00000000-0005-0000-0000-000027170000}"/>
    <cellStyle name="20% - Accent5 2 3 13 2" xfId="21839" xr:uid="{00000000-0005-0000-0000-000028170000}"/>
    <cellStyle name="20% - Accent5 2 3 14" xfId="13495" xr:uid="{00000000-0005-0000-0000-000029170000}"/>
    <cellStyle name="20% - Accent5 2 3 14 2" xfId="24058" xr:uid="{00000000-0005-0000-0000-00002A170000}"/>
    <cellStyle name="20% - Accent5 2 3 15" xfId="17395" xr:uid="{00000000-0005-0000-0000-00002B170000}"/>
    <cellStyle name="20% - Accent5 2 3 2" xfId="633" xr:uid="{00000000-0005-0000-0000-00002C170000}"/>
    <cellStyle name="20% - Accent5 2 3 2 2" xfId="8315" xr:uid="{00000000-0005-0000-0000-00002D170000}"/>
    <cellStyle name="20% - Accent5 2 3 2 2 2" xfId="10534" xr:uid="{00000000-0005-0000-0000-00002E170000}"/>
    <cellStyle name="20% - Accent5 2 3 2 2 2 2" xfId="21097" xr:uid="{00000000-0005-0000-0000-00002F170000}"/>
    <cellStyle name="20% - Accent5 2 3 2 2 3" xfId="12753" xr:uid="{00000000-0005-0000-0000-000030170000}"/>
    <cellStyle name="20% - Accent5 2 3 2 2 3 2" xfId="23316" xr:uid="{00000000-0005-0000-0000-000031170000}"/>
    <cellStyle name="20% - Accent5 2 3 2 2 4" xfId="14972" xr:uid="{00000000-0005-0000-0000-000032170000}"/>
    <cellStyle name="20% - Accent5 2 3 2 2 4 2" xfId="25535" xr:uid="{00000000-0005-0000-0000-000033170000}"/>
    <cellStyle name="20% - Accent5 2 3 2 2 5" xfId="18878" xr:uid="{00000000-0005-0000-0000-000034170000}"/>
    <cellStyle name="20% - Accent5 2 3 2 3" xfId="7582" xr:uid="{00000000-0005-0000-0000-000035170000}"/>
    <cellStyle name="20% - Accent5 2 3 2 3 2" xfId="9801" xr:uid="{00000000-0005-0000-0000-000036170000}"/>
    <cellStyle name="20% - Accent5 2 3 2 3 2 2" xfId="20364" xr:uid="{00000000-0005-0000-0000-000037170000}"/>
    <cellStyle name="20% - Accent5 2 3 2 3 3" xfId="12020" xr:uid="{00000000-0005-0000-0000-000038170000}"/>
    <cellStyle name="20% - Accent5 2 3 2 3 3 2" xfId="22583" xr:uid="{00000000-0005-0000-0000-000039170000}"/>
    <cellStyle name="20% - Accent5 2 3 2 3 4" xfId="14239" xr:uid="{00000000-0005-0000-0000-00003A170000}"/>
    <cellStyle name="20% - Accent5 2 3 2 3 4 2" xfId="24802" xr:uid="{00000000-0005-0000-0000-00003B170000}"/>
    <cellStyle name="20% - Accent5 2 3 2 3 5" xfId="18145" xr:uid="{00000000-0005-0000-0000-00003C170000}"/>
    <cellStyle name="20% - Accent5 2 3 2 4" xfId="9058" xr:uid="{00000000-0005-0000-0000-00003D170000}"/>
    <cellStyle name="20% - Accent5 2 3 2 4 2" xfId="19621" xr:uid="{00000000-0005-0000-0000-00003E170000}"/>
    <cellStyle name="20% - Accent5 2 3 2 5" xfId="11277" xr:uid="{00000000-0005-0000-0000-00003F170000}"/>
    <cellStyle name="20% - Accent5 2 3 2 5 2" xfId="21840" xr:uid="{00000000-0005-0000-0000-000040170000}"/>
    <cellStyle name="20% - Accent5 2 3 2 6" xfId="13496" xr:uid="{00000000-0005-0000-0000-000041170000}"/>
    <cellStyle name="20% - Accent5 2 3 2 6 2" xfId="24059" xr:uid="{00000000-0005-0000-0000-000042170000}"/>
    <cellStyle name="20% - Accent5 2 3 2 7" xfId="17396" xr:uid="{00000000-0005-0000-0000-000043170000}"/>
    <cellStyle name="20% - Accent5 2 3 3" xfId="634" xr:uid="{00000000-0005-0000-0000-000044170000}"/>
    <cellStyle name="20% - Accent5 2 3 3 2" xfId="8316" xr:uid="{00000000-0005-0000-0000-000045170000}"/>
    <cellStyle name="20% - Accent5 2 3 3 2 2" xfId="10535" xr:uid="{00000000-0005-0000-0000-000046170000}"/>
    <cellStyle name="20% - Accent5 2 3 3 2 2 2" xfId="21098" xr:uid="{00000000-0005-0000-0000-000047170000}"/>
    <cellStyle name="20% - Accent5 2 3 3 2 3" xfId="12754" xr:uid="{00000000-0005-0000-0000-000048170000}"/>
    <cellStyle name="20% - Accent5 2 3 3 2 3 2" xfId="23317" xr:uid="{00000000-0005-0000-0000-000049170000}"/>
    <cellStyle name="20% - Accent5 2 3 3 2 4" xfId="14973" xr:uid="{00000000-0005-0000-0000-00004A170000}"/>
    <cellStyle name="20% - Accent5 2 3 3 2 4 2" xfId="25536" xr:uid="{00000000-0005-0000-0000-00004B170000}"/>
    <cellStyle name="20% - Accent5 2 3 3 2 5" xfId="18879" xr:uid="{00000000-0005-0000-0000-00004C170000}"/>
    <cellStyle name="20% - Accent5 2 3 3 3" xfId="7583" xr:uid="{00000000-0005-0000-0000-00004D170000}"/>
    <cellStyle name="20% - Accent5 2 3 3 3 2" xfId="9802" xr:uid="{00000000-0005-0000-0000-00004E170000}"/>
    <cellStyle name="20% - Accent5 2 3 3 3 2 2" xfId="20365" xr:uid="{00000000-0005-0000-0000-00004F170000}"/>
    <cellStyle name="20% - Accent5 2 3 3 3 3" xfId="12021" xr:uid="{00000000-0005-0000-0000-000050170000}"/>
    <cellStyle name="20% - Accent5 2 3 3 3 3 2" xfId="22584" xr:uid="{00000000-0005-0000-0000-000051170000}"/>
    <cellStyle name="20% - Accent5 2 3 3 3 4" xfId="14240" xr:uid="{00000000-0005-0000-0000-000052170000}"/>
    <cellStyle name="20% - Accent5 2 3 3 3 4 2" xfId="24803" xr:uid="{00000000-0005-0000-0000-000053170000}"/>
    <cellStyle name="20% - Accent5 2 3 3 3 5" xfId="18146" xr:uid="{00000000-0005-0000-0000-000054170000}"/>
    <cellStyle name="20% - Accent5 2 3 3 4" xfId="9059" xr:uid="{00000000-0005-0000-0000-000055170000}"/>
    <cellStyle name="20% - Accent5 2 3 3 4 2" xfId="19622" xr:uid="{00000000-0005-0000-0000-000056170000}"/>
    <cellStyle name="20% - Accent5 2 3 3 5" xfId="11278" xr:uid="{00000000-0005-0000-0000-000057170000}"/>
    <cellStyle name="20% - Accent5 2 3 3 5 2" xfId="21841" xr:uid="{00000000-0005-0000-0000-000058170000}"/>
    <cellStyle name="20% - Accent5 2 3 3 6" xfId="13497" xr:uid="{00000000-0005-0000-0000-000059170000}"/>
    <cellStyle name="20% - Accent5 2 3 3 6 2" xfId="24060" xr:uid="{00000000-0005-0000-0000-00005A170000}"/>
    <cellStyle name="20% - Accent5 2 3 3 7" xfId="17397" xr:uid="{00000000-0005-0000-0000-00005B170000}"/>
    <cellStyle name="20% - Accent5 2 3 4" xfId="635" xr:uid="{00000000-0005-0000-0000-00005C170000}"/>
    <cellStyle name="20% - Accent5 2 3 4 2" xfId="8317" xr:uid="{00000000-0005-0000-0000-00005D170000}"/>
    <cellStyle name="20% - Accent5 2 3 4 2 2" xfId="10536" xr:uid="{00000000-0005-0000-0000-00005E170000}"/>
    <cellStyle name="20% - Accent5 2 3 4 2 2 2" xfId="21099" xr:uid="{00000000-0005-0000-0000-00005F170000}"/>
    <cellStyle name="20% - Accent5 2 3 4 2 3" xfId="12755" xr:uid="{00000000-0005-0000-0000-000060170000}"/>
    <cellStyle name="20% - Accent5 2 3 4 2 3 2" xfId="23318" xr:uid="{00000000-0005-0000-0000-000061170000}"/>
    <cellStyle name="20% - Accent5 2 3 4 2 4" xfId="14974" xr:uid="{00000000-0005-0000-0000-000062170000}"/>
    <cellStyle name="20% - Accent5 2 3 4 2 4 2" xfId="25537" xr:uid="{00000000-0005-0000-0000-000063170000}"/>
    <cellStyle name="20% - Accent5 2 3 4 2 5" xfId="18880" xr:uid="{00000000-0005-0000-0000-000064170000}"/>
    <cellStyle name="20% - Accent5 2 3 4 3" xfId="7584" xr:uid="{00000000-0005-0000-0000-000065170000}"/>
    <cellStyle name="20% - Accent5 2 3 4 3 2" xfId="9803" xr:uid="{00000000-0005-0000-0000-000066170000}"/>
    <cellStyle name="20% - Accent5 2 3 4 3 2 2" xfId="20366" xr:uid="{00000000-0005-0000-0000-000067170000}"/>
    <cellStyle name="20% - Accent5 2 3 4 3 3" xfId="12022" xr:uid="{00000000-0005-0000-0000-000068170000}"/>
    <cellStyle name="20% - Accent5 2 3 4 3 3 2" xfId="22585" xr:uid="{00000000-0005-0000-0000-000069170000}"/>
    <cellStyle name="20% - Accent5 2 3 4 3 4" xfId="14241" xr:uid="{00000000-0005-0000-0000-00006A170000}"/>
    <cellStyle name="20% - Accent5 2 3 4 3 4 2" xfId="24804" xr:uid="{00000000-0005-0000-0000-00006B170000}"/>
    <cellStyle name="20% - Accent5 2 3 4 3 5" xfId="18147" xr:uid="{00000000-0005-0000-0000-00006C170000}"/>
    <cellStyle name="20% - Accent5 2 3 4 4" xfId="9060" xr:uid="{00000000-0005-0000-0000-00006D170000}"/>
    <cellStyle name="20% - Accent5 2 3 4 4 2" xfId="19623" xr:uid="{00000000-0005-0000-0000-00006E170000}"/>
    <cellStyle name="20% - Accent5 2 3 4 5" xfId="11279" xr:uid="{00000000-0005-0000-0000-00006F170000}"/>
    <cellStyle name="20% - Accent5 2 3 4 5 2" xfId="21842" xr:uid="{00000000-0005-0000-0000-000070170000}"/>
    <cellStyle name="20% - Accent5 2 3 4 6" xfId="13498" xr:uid="{00000000-0005-0000-0000-000071170000}"/>
    <cellStyle name="20% - Accent5 2 3 4 6 2" xfId="24061" xr:uid="{00000000-0005-0000-0000-000072170000}"/>
    <cellStyle name="20% - Accent5 2 3 4 7" xfId="17398" xr:uid="{00000000-0005-0000-0000-000073170000}"/>
    <cellStyle name="20% - Accent5 2 3 5" xfId="636" xr:uid="{00000000-0005-0000-0000-000074170000}"/>
    <cellStyle name="20% - Accent5 2 3 5 2" xfId="8318" xr:uid="{00000000-0005-0000-0000-000075170000}"/>
    <cellStyle name="20% - Accent5 2 3 5 2 2" xfId="10537" xr:uid="{00000000-0005-0000-0000-000076170000}"/>
    <cellStyle name="20% - Accent5 2 3 5 2 2 2" xfId="21100" xr:uid="{00000000-0005-0000-0000-000077170000}"/>
    <cellStyle name="20% - Accent5 2 3 5 2 3" xfId="12756" xr:uid="{00000000-0005-0000-0000-000078170000}"/>
    <cellStyle name="20% - Accent5 2 3 5 2 3 2" xfId="23319" xr:uid="{00000000-0005-0000-0000-000079170000}"/>
    <cellStyle name="20% - Accent5 2 3 5 2 4" xfId="14975" xr:uid="{00000000-0005-0000-0000-00007A170000}"/>
    <cellStyle name="20% - Accent5 2 3 5 2 4 2" xfId="25538" xr:uid="{00000000-0005-0000-0000-00007B170000}"/>
    <cellStyle name="20% - Accent5 2 3 5 2 5" xfId="18881" xr:uid="{00000000-0005-0000-0000-00007C170000}"/>
    <cellStyle name="20% - Accent5 2 3 5 3" xfId="7585" xr:uid="{00000000-0005-0000-0000-00007D170000}"/>
    <cellStyle name="20% - Accent5 2 3 5 3 2" xfId="9804" xr:uid="{00000000-0005-0000-0000-00007E170000}"/>
    <cellStyle name="20% - Accent5 2 3 5 3 2 2" xfId="20367" xr:uid="{00000000-0005-0000-0000-00007F170000}"/>
    <cellStyle name="20% - Accent5 2 3 5 3 3" xfId="12023" xr:uid="{00000000-0005-0000-0000-000080170000}"/>
    <cellStyle name="20% - Accent5 2 3 5 3 3 2" xfId="22586" xr:uid="{00000000-0005-0000-0000-000081170000}"/>
    <cellStyle name="20% - Accent5 2 3 5 3 4" xfId="14242" xr:uid="{00000000-0005-0000-0000-000082170000}"/>
    <cellStyle name="20% - Accent5 2 3 5 3 4 2" xfId="24805" xr:uid="{00000000-0005-0000-0000-000083170000}"/>
    <cellStyle name="20% - Accent5 2 3 5 3 5" xfId="18148" xr:uid="{00000000-0005-0000-0000-000084170000}"/>
    <cellStyle name="20% - Accent5 2 3 5 4" xfId="9061" xr:uid="{00000000-0005-0000-0000-000085170000}"/>
    <cellStyle name="20% - Accent5 2 3 5 4 2" xfId="19624" xr:uid="{00000000-0005-0000-0000-000086170000}"/>
    <cellStyle name="20% - Accent5 2 3 5 5" xfId="11280" xr:uid="{00000000-0005-0000-0000-000087170000}"/>
    <cellStyle name="20% - Accent5 2 3 5 5 2" xfId="21843" xr:uid="{00000000-0005-0000-0000-000088170000}"/>
    <cellStyle name="20% - Accent5 2 3 5 6" xfId="13499" xr:uid="{00000000-0005-0000-0000-000089170000}"/>
    <cellStyle name="20% - Accent5 2 3 5 6 2" xfId="24062" xr:uid="{00000000-0005-0000-0000-00008A170000}"/>
    <cellStyle name="20% - Accent5 2 3 5 7" xfId="17399" xr:uid="{00000000-0005-0000-0000-00008B170000}"/>
    <cellStyle name="20% - Accent5 2 3 6" xfId="637" xr:uid="{00000000-0005-0000-0000-00008C170000}"/>
    <cellStyle name="20% - Accent5 2 3 6 2" xfId="8319" xr:uid="{00000000-0005-0000-0000-00008D170000}"/>
    <cellStyle name="20% - Accent5 2 3 6 2 2" xfId="10538" xr:uid="{00000000-0005-0000-0000-00008E170000}"/>
    <cellStyle name="20% - Accent5 2 3 6 2 2 2" xfId="21101" xr:uid="{00000000-0005-0000-0000-00008F170000}"/>
    <cellStyle name="20% - Accent5 2 3 6 2 3" xfId="12757" xr:uid="{00000000-0005-0000-0000-000090170000}"/>
    <cellStyle name="20% - Accent5 2 3 6 2 3 2" xfId="23320" xr:uid="{00000000-0005-0000-0000-000091170000}"/>
    <cellStyle name="20% - Accent5 2 3 6 2 4" xfId="14976" xr:uid="{00000000-0005-0000-0000-000092170000}"/>
    <cellStyle name="20% - Accent5 2 3 6 2 4 2" xfId="25539" xr:uid="{00000000-0005-0000-0000-000093170000}"/>
    <cellStyle name="20% - Accent5 2 3 6 2 5" xfId="18882" xr:uid="{00000000-0005-0000-0000-000094170000}"/>
    <cellStyle name="20% - Accent5 2 3 6 3" xfId="7586" xr:uid="{00000000-0005-0000-0000-000095170000}"/>
    <cellStyle name="20% - Accent5 2 3 6 3 2" xfId="9805" xr:uid="{00000000-0005-0000-0000-000096170000}"/>
    <cellStyle name="20% - Accent5 2 3 6 3 2 2" xfId="20368" xr:uid="{00000000-0005-0000-0000-000097170000}"/>
    <cellStyle name="20% - Accent5 2 3 6 3 3" xfId="12024" xr:uid="{00000000-0005-0000-0000-000098170000}"/>
    <cellStyle name="20% - Accent5 2 3 6 3 3 2" xfId="22587" xr:uid="{00000000-0005-0000-0000-000099170000}"/>
    <cellStyle name="20% - Accent5 2 3 6 3 4" xfId="14243" xr:uid="{00000000-0005-0000-0000-00009A170000}"/>
    <cellStyle name="20% - Accent5 2 3 6 3 4 2" xfId="24806" xr:uid="{00000000-0005-0000-0000-00009B170000}"/>
    <cellStyle name="20% - Accent5 2 3 6 3 5" xfId="18149" xr:uid="{00000000-0005-0000-0000-00009C170000}"/>
    <cellStyle name="20% - Accent5 2 3 6 4" xfId="9062" xr:uid="{00000000-0005-0000-0000-00009D170000}"/>
    <cellStyle name="20% - Accent5 2 3 6 4 2" xfId="19625" xr:uid="{00000000-0005-0000-0000-00009E170000}"/>
    <cellStyle name="20% - Accent5 2 3 6 5" xfId="11281" xr:uid="{00000000-0005-0000-0000-00009F170000}"/>
    <cellStyle name="20% - Accent5 2 3 6 5 2" xfId="21844" xr:uid="{00000000-0005-0000-0000-0000A0170000}"/>
    <cellStyle name="20% - Accent5 2 3 6 6" xfId="13500" xr:uid="{00000000-0005-0000-0000-0000A1170000}"/>
    <cellStyle name="20% - Accent5 2 3 6 6 2" xfId="24063" xr:uid="{00000000-0005-0000-0000-0000A2170000}"/>
    <cellStyle name="20% - Accent5 2 3 6 7" xfId="17400" xr:uid="{00000000-0005-0000-0000-0000A3170000}"/>
    <cellStyle name="20% - Accent5 2 3 7" xfId="638" xr:uid="{00000000-0005-0000-0000-0000A4170000}"/>
    <cellStyle name="20% - Accent5 2 3 7 2" xfId="8320" xr:uid="{00000000-0005-0000-0000-0000A5170000}"/>
    <cellStyle name="20% - Accent5 2 3 7 2 2" xfId="10539" xr:uid="{00000000-0005-0000-0000-0000A6170000}"/>
    <cellStyle name="20% - Accent5 2 3 7 2 2 2" xfId="21102" xr:uid="{00000000-0005-0000-0000-0000A7170000}"/>
    <cellStyle name="20% - Accent5 2 3 7 2 3" xfId="12758" xr:uid="{00000000-0005-0000-0000-0000A8170000}"/>
    <cellStyle name="20% - Accent5 2 3 7 2 3 2" xfId="23321" xr:uid="{00000000-0005-0000-0000-0000A9170000}"/>
    <cellStyle name="20% - Accent5 2 3 7 2 4" xfId="14977" xr:uid="{00000000-0005-0000-0000-0000AA170000}"/>
    <cellStyle name="20% - Accent5 2 3 7 2 4 2" xfId="25540" xr:uid="{00000000-0005-0000-0000-0000AB170000}"/>
    <cellStyle name="20% - Accent5 2 3 7 2 5" xfId="18883" xr:uid="{00000000-0005-0000-0000-0000AC170000}"/>
    <cellStyle name="20% - Accent5 2 3 7 3" xfId="7587" xr:uid="{00000000-0005-0000-0000-0000AD170000}"/>
    <cellStyle name="20% - Accent5 2 3 7 3 2" xfId="9806" xr:uid="{00000000-0005-0000-0000-0000AE170000}"/>
    <cellStyle name="20% - Accent5 2 3 7 3 2 2" xfId="20369" xr:uid="{00000000-0005-0000-0000-0000AF170000}"/>
    <cellStyle name="20% - Accent5 2 3 7 3 3" xfId="12025" xr:uid="{00000000-0005-0000-0000-0000B0170000}"/>
    <cellStyle name="20% - Accent5 2 3 7 3 3 2" xfId="22588" xr:uid="{00000000-0005-0000-0000-0000B1170000}"/>
    <cellStyle name="20% - Accent5 2 3 7 3 4" xfId="14244" xr:uid="{00000000-0005-0000-0000-0000B2170000}"/>
    <cellStyle name="20% - Accent5 2 3 7 3 4 2" xfId="24807" xr:uid="{00000000-0005-0000-0000-0000B3170000}"/>
    <cellStyle name="20% - Accent5 2 3 7 3 5" xfId="18150" xr:uid="{00000000-0005-0000-0000-0000B4170000}"/>
    <cellStyle name="20% - Accent5 2 3 7 4" xfId="9063" xr:uid="{00000000-0005-0000-0000-0000B5170000}"/>
    <cellStyle name="20% - Accent5 2 3 7 4 2" xfId="19626" xr:uid="{00000000-0005-0000-0000-0000B6170000}"/>
    <cellStyle name="20% - Accent5 2 3 7 5" xfId="11282" xr:uid="{00000000-0005-0000-0000-0000B7170000}"/>
    <cellStyle name="20% - Accent5 2 3 7 5 2" xfId="21845" xr:uid="{00000000-0005-0000-0000-0000B8170000}"/>
    <cellStyle name="20% - Accent5 2 3 7 6" xfId="13501" xr:uid="{00000000-0005-0000-0000-0000B9170000}"/>
    <cellStyle name="20% - Accent5 2 3 7 6 2" xfId="24064" xr:uid="{00000000-0005-0000-0000-0000BA170000}"/>
    <cellStyle name="20% - Accent5 2 3 7 7" xfId="17401" xr:uid="{00000000-0005-0000-0000-0000BB170000}"/>
    <cellStyle name="20% - Accent5 2 3 8" xfId="639" xr:uid="{00000000-0005-0000-0000-0000BC170000}"/>
    <cellStyle name="20% - Accent5 2 3 8 2" xfId="8321" xr:uid="{00000000-0005-0000-0000-0000BD170000}"/>
    <cellStyle name="20% - Accent5 2 3 8 2 2" xfId="10540" xr:uid="{00000000-0005-0000-0000-0000BE170000}"/>
    <cellStyle name="20% - Accent5 2 3 8 2 2 2" xfId="21103" xr:uid="{00000000-0005-0000-0000-0000BF170000}"/>
    <cellStyle name="20% - Accent5 2 3 8 2 3" xfId="12759" xr:uid="{00000000-0005-0000-0000-0000C0170000}"/>
    <cellStyle name="20% - Accent5 2 3 8 2 3 2" xfId="23322" xr:uid="{00000000-0005-0000-0000-0000C1170000}"/>
    <cellStyle name="20% - Accent5 2 3 8 2 4" xfId="14978" xr:uid="{00000000-0005-0000-0000-0000C2170000}"/>
    <cellStyle name="20% - Accent5 2 3 8 2 4 2" xfId="25541" xr:uid="{00000000-0005-0000-0000-0000C3170000}"/>
    <cellStyle name="20% - Accent5 2 3 8 2 5" xfId="18884" xr:uid="{00000000-0005-0000-0000-0000C4170000}"/>
    <cellStyle name="20% - Accent5 2 3 8 3" xfId="7588" xr:uid="{00000000-0005-0000-0000-0000C5170000}"/>
    <cellStyle name="20% - Accent5 2 3 8 3 2" xfId="9807" xr:uid="{00000000-0005-0000-0000-0000C6170000}"/>
    <cellStyle name="20% - Accent5 2 3 8 3 2 2" xfId="20370" xr:uid="{00000000-0005-0000-0000-0000C7170000}"/>
    <cellStyle name="20% - Accent5 2 3 8 3 3" xfId="12026" xr:uid="{00000000-0005-0000-0000-0000C8170000}"/>
    <cellStyle name="20% - Accent5 2 3 8 3 3 2" xfId="22589" xr:uid="{00000000-0005-0000-0000-0000C9170000}"/>
    <cellStyle name="20% - Accent5 2 3 8 3 4" xfId="14245" xr:uid="{00000000-0005-0000-0000-0000CA170000}"/>
    <cellStyle name="20% - Accent5 2 3 8 3 4 2" xfId="24808" xr:uid="{00000000-0005-0000-0000-0000CB170000}"/>
    <cellStyle name="20% - Accent5 2 3 8 3 5" xfId="18151" xr:uid="{00000000-0005-0000-0000-0000CC170000}"/>
    <cellStyle name="20% - Accent5 2 3 8 4" xfId="9064" xr:uid="{00000000-0005-0000-0000-0000CD170000}"/>
    <cellStyle name="20% - Accent5 2 3 8 4 2" xfId="19627" xr:uid="{00000000-0005-0000-0000-0000CE170000}"/>
    <cellStyle name="20% - Accent5 2 3 8 5" xfId="11283" xr:uid="{00000000-0005-0000-0000-0000CF170000}"/>
    <cellStyle name="20% - Accent5 2 3 8 5 2" xfId="21846" xr:uid="{00000000-0005-0000-0000-0000D0170000}"/>
    <cellStyle name="20% - Accent5 2 3 8 6" xfId="13502" xr:uid="{00000000-0005-0000-0000-0000D1170000}"/>
    <cellStyle name="20% - Accent5 2 3 8 6 2" xfId="24065" xr:uid="{00000000-0005-0000-0000-0000D2170000}"/>
    <cellStyle name="20% - Accent5 2 3 8 7" xfId="17402" xr:uid="{00000000-0005-0000-0000-0000D3170000}"/>
    <cellStyle name="20% - Accent5 2 3 9" xfId="640" xr:uid="{00000000-0005-0000-0000-0000D4170000}"/>
    <cellStyle name="20% - Accent5 2 3 9 2" xfId="8322" xr:uid="{00000000-0005-0000-0000-0000D5170000}"/>
    <cellStyle name="20% - Accent5 2 3 9 2 2" xfId="10541" xr:uid="{00000000-0005-0000-0000-0000D6170000}"/>
    <cellStyle name="20% - Accent5 2 3 9 2 2 2" xfId="21104" xr:uid="{00000000-0005-0000-0000-0000D7170000}"/>
    <cellStyle name="20% - Accent5 2 3 9 2 3" xfId="12760" xr:uid="{00000000-0005-0000-0000-0000D8170000}"/>
    <cellStyle name="20% - Accent5 2 3 9 2 3 2" xfId="23323" xr:uid="{00000000-0005-0000-0000-0000D9170000}"/>
    <cellStyle name="20% - Accent5 2 3 9 2 4" xfId="14979" xr:uid="{00000000-0005-0000-0000-0000DA170000}"/>
    <cellStyle name="20% - Accent5 2 3 9 2 4 2" xfId="25542" xr:uid="{00000000-0005-0000-0000-0000DB170000}"/>
    <cellStyle name="20% - Accent5 2 3 9 2 5" xfId="18885" xr:uid="{00000000-0005-0000-0000-0000DC170000}"/>
    <cellStyle name="20% - Accent5 2 3 9 3" xfId="7589" xr:uid="{00000000-0005-0000-0000-0000DD170000}"/>
    <cellStyle name="20% - Accent5 2 3 9 3 2" xfId="9808" xr:uid="{00000000-0005-0000-0000-0000DE170000}"/>
    <cellStyle name="20% - Accent5 2 3 9 3 2 2" xfId="20371" xr:uid="{00000000-0005-0000-0000-0000DF170000}"/>
    <cellStyle name="20% - Accent5 2 3 9 3 3" xfId="12027" xr:uid="{00000000-0005-0000-0000-0000E0170000}"/>
    <cellStyle name="20% - Accent5 2 3 9 3 3 2" xfId="22590" xr:uid="{00000000-0005-0000-0000-0000E1170000}"/>
    <cellStyle name="20% - Accent5 2 3 9 3 4" xfId="14246" xr:uid="{00000000-0005-0000-0000-0000E2170000}"/>
    <cellStyle name="20% - Accent5 2 3 9 3 4 2" xfId="24809" xr:uid="{00000000-0005-0000-0000-0000E3170000}"/>
    <cellStyle name="20% - Accent5 2 3 9 3 5" xfId="18152" xr:uid="{00000000-0005-0000-0000-0000E4170000}"/>
    <cellStyle name="20% - Accent5 2 3 9 4" xfId="9065" xr:uid="{00000000-0005-0000-0000-0000E5170000}"/>
    <cellStyle name="20% - Accent5 2 3 9 4 2" xfId="19628" xr:uid="{00000000-0005-0000-0000-0000E6170000}"/>
    <cellStyle name="20% - Accent5 2 3 9 5" xfId="11284" xr:uid="{00000000-0005-0000-0000-0000E7170000}"/>
    <cellStyle name="20% - Accent5 2 3 9 5 2" xfId="21847" xr:uid="{00000000-0005-0000-0000-0000E8170000}"/>
    <cellStyle name="20% - Accent5 2 3 9 6" xfId="13503" xr:uid="{00000000-0005-0000-0000-0000E9170000}"/>
    <cellStyle name="20% - Accent5 2 3 9 6 2" xfId="24066" xr:uid="{00000000-0005-0000-0000-0000EA170000}"/>
    <cellStyle name="20% - Accent5 2 3 9 7" xfId="17403" xr:uid="{00000000-0005-0000-0000-0000EB170000}"/>
    <cellStyle name="20% - Accent5 2 4" xfId="641" xr:uid="{00000000-0005-0000-0000-0000EC170000}"/>
    <cellStyle name="20% - Accent5 2 4 10" xfId="8323" xr:uid="{00000000-0005-0000-0000-0000ED170000}"/>
    <cellStyle name="20% - Accent5 2 4 10 2" xfId="10542" xr:uid="{00000000-0005-0000-0000-0000EE170000}"/>
    <cellStyle name="20% - Accent5 2 4 10 2 2" xfId="21105" xr:uid="{00000000-0005-0000-0000-0000EF170000}"/>
    <cellStyle name="20% - Accent5 2 4 10 3" xfId="12761" xr:uid="{00000000-0005-0000-0000-0000F0170000}"/>
    <cellStyle name="20% - Accent5 2 4 10 3 2" xfId="23324" xr:uid="{00000000-0005-0000-0000-0000F1170000}"/>
    <cellStyle name="20% - Accent5 2 4 10 4" xfId="14980" xr:uid="{00000000-0005-0000-0000-0000F2170000}"/>
    <cellStyle name="20% - Accent5 2 4 10 4 2" xfId="25543" xr:uid="{00000000-0005-0000-0000-0000F3170000}"/>
    <cellStyle name="20% - Accent5 2 4 10 5" xfId="18886" xr:uid="{00000000-0005-0000-0000-0000F4170000}"/>
    <cellStyle name="20% - Accent5 2 4 11" xfId="7590" xr:uid="{00000000-0005-0000-0000-0000F5170000}"/>
    <cellStyle name="20% - Accent5 2 4 11 2" xfId="9809" xr:uid="{00000000-0005-0000-0000-0000F6170000}"/>
    <cellStyle name="20% - Accent5 2 4 11 2 2" xfId="20372" xr:uid="{00000000-0005-0000-0000-0000F7170000}"/>
    <cellStyle name="20% - Accent5 2 4 11 3" xfId="12028" xr:uid="{00000000-0005-0000-0000-0000F8170000}"/>
    <cellStyle name="20% - Accent5 2 4 11 3 2" xfId="22591" xr:uid="{00000000-0005-0000-0000-0000F9170000}"/>
    <cellStyle name="20% - Accent5 2 4 11 4" xfId="14247" xr:uid="{00000000-0005-0000-0000-0000FA170000}"/>
    <cellStyle name="20% - Accent5 2 4 11 4 2" xfId="24810" xr:uid="{00000000-0005-0000-0000-0000FB170000}"/>
    <cellStyle name="20% - Accent5 2 4 11 5" xfId="18153" xr:uid="{00000000-0005-0000-0000-0000FC170000}"/>
    <cellStyle name="20% - Accent5 2 4 12" xfId="9066" xr:uid="{00000000-0005-0000-0000-0000FD170000}"/>
    <cellStyle name="20% - Accent5 2 4 12 2" xfId="19629" xr:uid="{00000000-0005-0000-0000-0000FE170000}"/>
    <cellStyle name="20% - Accent5 2 4 13" xfId="11285" xr:uid="{00000000-0005-0000-0000-0000FF170000}"/>
    <cellStyle name="20% - Accent5 2 4 13 2" xfId="21848" xr:uid="{00000000-0005-0000-0000-000000180000}"/>
    <cellStyle name="20% - Accent5 2 4 14" xfId="13504" xr:uid="{00000000-0005-0000-0000-000001180000}"/>
    <cellStyle name="20% - Accent5 2 4 14 2" xfId="24067" xr:uid="{00000000-0005-0000-0000-000002180000}"/>
    <cellStyle name="20% - Accent5 2 4 15" xfId="17404" xr:uid="{00000000-0005-0000-0000-000003180000}"/>
    <cellStyle name="20% - Accent5 2 4 2" xfId="642" xr:uid="{00000000-0005-0000-0000-000004180000}"/>
    <cellStyle name="20% - Accent5 2 4 2 2" xfId="8324" xr:uid="{00000000-0005-0000-0000-000005180000}"/>
    <cellStyle name="20% - Accent5 2 4 2 2 2" xfId="10543" xr:uid="{00000000-0005-0000-0000-000006180000}"/>
    <cellStyle name="20% - Accent5 2 4 2 2 2 2" xfId="21106" xr:uid="{00000000-0005-0000-0000-000007180000}"/>
    <cellStyle name="20% - Accent5 2 4 2 2 3" xfId="12762" xr:uid="{00000000-0005-0000-0000-000008180000}"/>
    <cellStyle name="20% - Accent5 2 4 2 2 3 2" xfId="23325" xr:uid="{00000000-0005-0000-0000-000009180000}"/>
    <cellStyle name="20% - Accent5 2 4 2 2 4" xfId="14981" xr:uid="{00000000-0005-0000-0000-00000A180000}"/>
    <cellStyle name="20% - Accent5 2 4 2 2 4 2" xfId="25544" xr:uid="{00000000-0005-0000-0000-00000B180000}"/>
    <cellStyle name="20% - Accent5 2 4 2 2 5" xfId="18887" xr:uid="{00000000-0005-0000-0000-00000C180000}"/>
    <cellStyle name="20% - Accent5 2 4 2 3" xfId="7591" xr:uid="{00000000-0005-0000-0000-00000D180000}"/>
    <cellStyle name="20% - Accent5 2 4 2 3 2" xfId="9810" xr:uid="{00000000-0005-0000-0000-00000E180000}"/>
    <cellStyle name="20% - Accent5 2 4 2 3 2 2" xfId="20373" xr:uid="{00000000-0005-0000-0000-00000F180000}"/>
    <cellStyle name="20% - Accent5 2 4 2 3 3" xfId="12029" xr:uid="{00000000-0005-0000-0000-000010180000}"/>
    <cellStyle name="20% - Accent5 2 4 2 3 3 2" xfId="22592" xr:uid="{00000000-0005-0000-0000-000011180000}"/>
    <cellStyle name="20% - Accent5 2 4 2 3 4" xfId="14248" xr:uid="{00000000-0005-0000-0000-000012180000}"/>
    <cellStyle name="20% - Accent5 2 4 2 3 4 2" xfId="24811" xr:uid="{00000000-0005-0000-0000-000013180000}"/>
    <cellStyle name="20% - Accent5 2 4 2 3 5" xfId="18154" xr:uid="{00000000-0005-0000-0000-000014180000}"/>
    <cellStyle name="20% - Accent5 2 4 2 4" xfId="9067" xr:uid="{00000000-0005-0000-0000-000015180000}"/>
    <cellStyle name="20% - Accent5 2 4 2 4 2" xfId="19630" xr:uid="{00000000-0005-0000-0000-000016180000}"/>
    <cellStyle name="20% - Accent5 2 4 2 5" xfId="11286" xr:uid="{00000000-0005-0000-0000-000017180000}"/>
    <cellStyle name="20% - Accent5 2 4 2 5 2" xfId="21849" xr:uid="{00000000-0005-0000-0000-000018180000}"/>
    <cellStyle name="20% - Accent5 2 4 2 6" xfId="13505" xr:uid="{00000000-0005-0000-0000-000019180000}"/>
    <cellStyle name="20% - Accent5 2 4 2 6 2" xfId="24068" xr:uid="{00000000-0005-0000-0000-00001A180000}"/>
    <cellStyle name="20% - Accent5 2 4 2 7" xfId="17405" xr:uid="{00000000-0005-0000-0000-00001B180000}"/>
    <cellStyle name="20% - Accent5 2 4 3" xfId="643" xr:uid="{00000000-0005-0000-0000-00001C180000}"/>
    <cellStyle name="20% - Accent5 2 4 3 2" xfId="8325" xr:uid="{00000000-0005-0000-0000-00001D180000}"/>
    <cellStyle name="20% - Accent5 2 4 3 2 2" xfId="10544" xr:uid="{00000000-0005-0000-0000-00001E180000}"/>
    <cellStyle name="20% - Accent5 2 4 3 2 2 2" xfId="21107" xr:uid="{00000000-0005-0000-0000-00001F180000}"/>
    <cellStyle name="20% - Accent5 2 4 3 2 3" xfId="12763" xr:uid="{00000000-0005-0000-0000-000020180000}"/>
    <cellStyle name="20% - Accent5 2 4 3 2 3 2" xfId="23326" xr:uid="{00000000-0005-0000-0000-000021180000}"/>
    <cellStyle name="20% - Accent5 2 4 3 2 4" xfId="14982" xr:uid="{00000000-0005-0000-0000-000022180000}"/>
    <cellStyle name="20% - Accent5 2 4 3 2 4 2" xfId="25545" xr:uid="{00000000-0005-0000-0000-000023180000}"/>
    <cellStyle name="20% - Accent5 2 4 3 2 5" xfId="18888" xr:uid="{00000000-0005-0000-0000-000024180000}"/>
    <cellStyle name="20% - Accent5 2 4 3 3" xfId="7592" xr:uid="{00000000-0005-0000-0000-000025180000}"/>
    <cellStyle name="20% - Accent5 2 4 3 3 2" xfId="9811" xr:uid="{00000000-0005-0000-0000-000026180000}"/>
    <cellStyle name="20% - Accent5 2 4 3 3 2 2" xfId="20374" xr:uid="{00000000-0005-0000-0000-000027180000}"/>
    <cellStyle name="20% - Accent5 2 4 3 3 3" xfId="12030" xr:uid="{00000000-0005-0000-0000-000028180000}"/>
    <cellStyle name="20% - Accent5 2 4 3 3 3 2" xfId="22593" xr:uid="{00000000-0005-0000-0000-000029180000}"/>
    <cellStyle name="20% - Accent5 2 4 3 3 4" xfId="14249" xr:uid="{00000000-0005-0000-0000-00002A180000}"/>
    <cellStyle name="20% - Accent5 2 4 3 3 4 2" xfId="24812" xr:uid="{00000000-0005-0000-0000-00002B180000}"/>
    <cellStyle name="20% - Accent5 2 4 3 3 5" xfId="18155" xr:uid="{00000000-0005-0000-0000-00002C180000}"/>
    <cellStyle name="20% - Accent5 2 4 3 4" xfId="9068" xr:uid="{00000000-0005-0000-0000-00002D180000}"/>
    <cellStyle name="20% - Accent5 2 4 3 4 2" xfId="19631" xr:uid="{00000000-0005-0000-0000-00002E180000}"/>
    <cellStyle name="20% - Accent5 2 4 3 5" xfId="11287" xr:uid="{00000000-0005-0000-0000-00002F180000}"/>
    <cellStyle name="20% - Accent5 2 4 3 5 2" xfId="21850" xr:uid="{00000000-0005-0000-0000-000030180000}"/>
    <cellStyle name="20% - Accent5 2 4 3 6" xfId="13506" xr:uid="{00000000-0005-0000-0000-000031180000}"/>
    <cellStyle name="20% - Accent5 2 4 3 6 2" xfId="24069" xr:uid="{00000000-0005-0000-0000-000032180000}"/>
    <cellStyle name="20% - Accent5 2 4 3 7" xfId="17406" xr:uid="{00000000-0005-0000-0000-000033180000}"/>
    <cellStyle name="20% - Accent5 2 4 4" xfId="644" xr:uid="{00000000-0005-0000-0000-000034180000}"/>
    <cellStyle name="20% - Accent5 2 4 4 2" xfId="8326" xr:uid="{00000000-0005-0000-0000-000035180000}"/>
    <cellStyle name="20% - Accent5 2 4 4 2 2" xfId="10545" xr:uid="{00000000-0005-0000-0000-000036180000}"/>
    <cellStyle name="20% - Accent5 2 4 4 2 2 2" xfId="21108" xr:uid="{00000000-0005-0000-0000-000037180000}"/>
    <cellStyle name="20% - Accent5 2 4 4 2 3" xfId="12764" xr:uid="{00000000-0005-0000-0000-000038180000}"/>
    <cellStyle name="20% - Accent5 2 4 4 2 3 2" xfId="23327" xr:uid="{00000000-0005-0000-0000-000039180000}"/>
    <cellStyle name="20% - Accent5 2 4 4 2 4" xfId="14983" xr:uid="{00000000-0005-0000-0000-00003A180000}"/>
    <cellStyle name="20% - Accent5 2 4 4 2 4 2" xfId="25546" xr:uid="{00000000-0005-0000-0000-00003B180000}"/>
    <cellStyle name="20% - Accent5 2 4 4 2 5" xfId="18889" xr:uid="{00000000-0005-0000-0000-00003C180000}"/>
    <cellStyle name="20% - Accent5 2 4 4 3" xfId="7593" xr:uid="{00000000-0005-0000-0000-00003D180000}"/>
    <cellStyle name="20% - Accent5 2 4 4 3 2" xfId="9812" xr:uid="{00000000-0005-0000-0000-00003E180000}"/>
    <cellStyle name="20% - Accent5 2 4 4 3 2 2" xfId="20375" xr:uid="{00000000-0005-0000-0000-00003F180000}"/>
    <cellStyle name="20% - Accent5 2 4 4 3 3" xfId="12031" xr:uid="{00000000-0005-0000-0000-000040180000}"/>
    <cellStyle name="20% - Accent5 2 4 4 3 3 2" xfId="22594" xr:uid="{00000000-0005-0000-0000-000041180000}"/>
    <cellStyle name="20% - Accent5 2 4 4 3 4" xfId="14250" xr:uid="{00000000-0005-0000-0000-000042180000}"/>
    <cellStyle name="20% - Accent5 2 4 4 3 4 2" xfId="24813" xr:uid="{00000000-0005-0000-0000-000043180000}"/>
    <cellStyle name="20% - Accent5 2 4 4 3 5" xfId="18156" xr:uid="{00000000-0005-0000-0000-000044180000}"/>
    <cellStyle name="20% - Accent5 2 4 4 4" xfId="9069" xr:uid="{00000000-0005-0000-0000-000045180000}"/>
    <cellStyle name="20% - Accent5 2 4 4 4 2" xfId="19632" xr:uid="{00000000-0005-0000-0000-000046180000}"/>
    <cellStyle name="20% - Accent5 2 4 4 5" xfId="11288" xr:uid="{00000000-0005-0000-0000-000047180000}"/>
    <cellStyle name="20% - Accent5 2 4 4 5 2" xfId="21851" xr:uid="{00000000-0005-0000-0000-000048180000}"/>
    <cellStyle name="20% - Accent5 2 4 4 6" xfId="13507" xr:uid="{00000000-0005-0000-0000-000049180000}"/>
    <cellStyle name="20% - Accent5 2 4 4 6 2" xfId="24070" xr:uid="{00000000-0005-0000-0000-00004A180000}"/>
    <cellStyle name="20% - Accent5 2 4 4 7" xfId="17407" xr:uid="{00000000-0005-0000-0000-00004B180000}"/>
    <cellStyle name="20% - Accent5 2 4 5" xfId="645" xr:uid="{00000000-0005-0000-0000-00004C180000}"/>
    <cellStyle name="20% - Accent5 2 4 5 2" xfId="8327" xr:uid="{00000000-0005-0000-0000-00004D180000}"/>
    <cellStyle name="20% - Accent5 2 4 5 2 2" xfId="10546" xr:uid="{00000000-0005-0000-0000-00004E180000}"/>
    <cellStyle name="20% - Accent5 2 4 5 2 2 2" xfId="21109" xr:uid="{00000000-0005-0000-0000-00004F180000}"/>
    <cellStyle name="20% - Accent5 2 4 5 2 3" xfId="12765" xr:uid="{00000000-0005-0000-0000-000050180000}"/>
    <cellStyle name="20% - Accent5 2 4 5 2 3 2" xfId="23328" xr:uid="{00000000-0005-0000-0000-000051180000}"/>
    <cellStyle name="20% - Accent5 2 4 5 2 4" xfId="14984" xr:uid="{00000000-0005-0000-0000-000052180000}"/>
    <cellStyle name="20% - Accent5 2 4 5 2 4 2" xfId="25547" xr:uid="{00000000-0005-0000-0000-000053180000}"/>
    <cellStyle name="20% - Accent5 2 4 5 2 5" xfId="18890" xr:uid="{00000000-0005-0000-0000-000054180000}"/>
    <cellStyle name="20% - Accent5 2 4 5 3" xfId="7594" xr:uid="{00000000-0005-0000-0000-000055180000}"/>
    <cellStyle name="20% - Accent5 2 4 5 3 2" xfId="9813" xr:uid="{00000000-0005-0000-0000-000056180000}"/>
    <cellStyle name="20% - Accent5 2 4 5 3 2 2" xfId="20376" xr:uid="{00000000-0005-0000-0000-000057180000}"/>
    <cellStyle name="20% - Accent5 2 4 5 3 3" xfId="12032" xr:uid="{00000000-0005-0000-0000-000058180000}"/>
    <cellStyle name="20% - Accent5 2 4 5 3 3 2" xfId="22595" xr:uid="{00000000-0005-0000-0000-000059180000}"/>
    <cellStyle name="20% - Accent5 2 4 5 3 4" xfId="14251" xr:uid="{00000000-0005-0000-0000-00005A180000}"/>
    <cellStyle name="20% - Accent5 2 4 5 3 4 2" xfId="24814" xr:uid="{00000000-0005-0000-0000-00005B180000}"/>
    <cellStyle name="20% - Accent5 2 4 5 3 5" xfId="18157" xr:uid="{00000000-0005-0000-0000-00005C180000}"/>
    <cellStyle name="20% - Accent5 2 4 5 4" xfId="9070" xr:uid="{00000000-0005-0000-0000-00005D180000}"/>
    <cellStyle name="20% - Accent5 2 4 5 4 2" xfId="19633" xr:uid="{00000000-0005-0000-0000-00005E180000}"/>
    <cellStyle name="20% - Accent5 2 4 5 5" xfId="11289" xr:uid="{00000000-0005-0000-0000-00005F180000}"/>
    <cellStyle name="20% - Accent5 2 4 5 5 2" xfId="21852" xr:uid="{00000000-0005-0000-0000-000060180000}"/>
    <cellStyle name="20% - Accent5 2 4 5 6" xfId="13508" xr:uid="{00000000-0005-0000-0000-000061180000}"/>
    <cellStyle name="20% - Accent5 2 4 5 6 2" xfId="24071" xr:uid="{00000000-0005-0000-0000-000062180000}"/>
    <cellStyle name="20% - Accent5 2 4 5 7" xfId="17408" xr:uid="{00000000-0005-0000-0000-000063180000}"/>
    <cellStyle name="20% - Accent5 2 4 6" xfId="646" xr:uid="{00000000-0005-0000-0000-000064180000}"/>
    <cellStyle name="20% - Accent5 2 4 6 2" xfId="8328" xr:uid="{00000000-0005-0000-0000-000065180000}"/>
    <cellStyle name="20% - Accent5 2 4 6 2 2" xfId="10547" xr:uid="{00000000-0005-0000-0000-000066180000}"/>
    <cellStyle name="20% - Accent5 2 4 6 2 2 2" xfId="21110" xr:uid="{00000000-0005-0000-0000-000067180000}"/>
    <cellStyle name="20% - Accent5 2 4 6 2 3" xfId="12766" xr:uid="{00000000-0005-0000-0000-000068180000}"/>
    <cellStyle name="20% - Accent5 2 4 6 2 3 2" xfId="23329" xr:uid="{00000000-0005-0000-0000-000069180000}"/>
    <cellStyle name="20% - Accent5 2 4 6 2 4" xfId="14985" xr:uid="{00000000-0005-0000-0000-00006A180000}"/>
    <cellStyle name="20% - Accent5 2 4 6 2 4 2" xfId="25548" xr:uid="{00000000-0005-0000-0000-00006B180000}"/>
    <cellStyle name="20% - Accent5 2 4 6 2 5" xfId="18891" xr:uid="{00000000-0005-0000-0000-00006C180000}"/>
    <cellStyle name="20% - Accent5 2 4 6 3" xfId="7595" xr:uid="{00000000-0005-0000-0000-00006D180000}"/>
    <cellStyle name="20% - Accent5 2 4 6 3 2" xfId="9814" xr:uid="{00000000-0005-0000-0000-00006E180000}"/>
    <cellStyle name="20% - Accent5 2 4 6 3 2 2" xfId="20377" xr:uid="{00000000-0005-0000-0000-00006F180000}"/>
    <cellStyle name="20% - Accent5 2 4 6 3 3" xfId="12033" xr:uid="{00000000-0005-0000-0000-000070180000}"/>
    <cellStyle name="20% - Accent5 2 4 6 3 3 2" xfId="22596" xr:uid="{00000000-0005-0000-0000-000071180000}"/>
    <cellStyle name="20% - Accent5 2 4 6 3 4" xfId="14252" xr:uid="{00000000-0005-0000-0000-000072180000}"/>
    <cellStyle name="20% - Accent5 2 4 6 3 4 2" xfId="24815" xr:uid="{00000000-0005-0000-0000-000073180000}"/>
    <cellStyle name="20% - Accent5 2 4 6 3 5" xfId="18158" xr:uid="{00000000-0005-0000-0000-000074180000}"/>
    <cellStyle name="20% - Accent5 2 4 6 4" xfId="9071" xr:uid="{00000000-0005-0000-0000-000075180000}"/>
    <cellStyle name="20% - Accent5 2 4 6 4 2" xfId="19634" xr:uid="{00000000-0005-0000-0000-000076180000}"/>
    <cellStyle name="20% - Accent5 2 4 6 5" xfId="11290" xr:uid="{00000000-0005-0000-0000-000077180000}"/>
    <cellStyle name="20% - Accent5 2 4 6 5 2" xfId="21853" xr:uid="{00000000-0005-0000-0000-000078180000}"/>
    <cellStyle name="20% - Accent5 2 4 6 6" xfId="13509" xr:uid="{00000000-0005-0000-0000-000079180000}"/>
    <cellStyle name="20% - Accent5 2 4 6 6 2" xfId="24072" xr:uid="{00000000-0005-0000-0000-00007A180000}"/>
    <cellStyle name="20% - Accent5 2 4 6 7" xfId="17409" xr:uid="{00000000-0005-0000-0000-00007B180000}"/>
    <cellStyle name="20% - Accent5 2 4 7" xfId="647" xr:uid="{00000000-0005-0000-0000-00007C180000}"/>
    <cellStyle name="20% - Accent5 2 4 7 2" xfId="8329" xr:uid="{00000000-0005-0000-0000-00007D180000}"/>
    <cellStyle name="20% - Accent5 2 4 7 2 2" xfId="10548" xr:uid="{00000000-0005-0000-0000-00007E180000}"/>
    <cellStyle name="20% - Accent5 2 4 7 2 2 2" xfId="21111" xr:uid="{00000000-0005-0000-0000-00007F180000}"/>
    <cellStyle name="20% - Accent5 2 4 7 2 3" xfId="12767" xr:uid="{00000000-0005-0000-0000-000080180000}"/>
    <cellStyle name="20% - Accent5 2 4 7 2 3 2" xfId="23330" xr:uid="{00000000-0005-0000-0000-000081180000}"/>
    <cellStyle name="20% - Accent5 2 4 7 2 4" xfId="14986" xr:uid="{00000000-0005-0000-0000-000082180000}"/>
    <cellStyle name="20% - Accent5 2 4 7 2 4 2" xfId="25549" xr:uid="{00000000-0005-0000-0000-000083180000}"/>
    <cellStyle name="20% - Accent5 2 4 7 2 5" xfId="18892" xr:uid="{00000000-0005-0000-0000-000084180000}"/>
    <cellStyle name="20% - Accent5 2 4 7 3" xfId="7596" xr:uid="{00000000-0005-0000-0000-000085180000}"/>
    <cellStyle name="20% - Accent5 2 4 7 3 2" xfId="9815" xr:uid="{00000000-0005-0000-0000-000086180000}"/>
    <cellStyle name="20% - Accent5 2 4 7 3 2 2" xfId="20378" xr:uid="{00000000-0005-0000-0000-000087180000}"/>
    <cellStyle name="20% - Accent5 2 4 7 3 3" xfId="12034" xr:uid="{00000000-0005-0000-0000-000088180000}"/>
    <cellStyle name="20% - Accent5 2 4 7 3 3 2" xfId="22597" xr:uid="{00000000-0005-0000-0000-000089180000}"/>
    <cellStyle name="20% - Accent5 2 4 7 3 4" xfId="14253" xr:uid="{00000000-0005-0000-0000-00008A180000}"/>
    <cellStyle name="20% - Accent5 2 4 7 3 4 2" xfId="24816" xr:uid="{00000000-0005-0000-0000-00008B180000}"/>
    <cellStyle name="20% - Accent5 2 4 7 3 5" xfId="18159" xr:uid="{00000000-0005-0000-0000-00008C180000}"/>
    <cellStyle name="20% - Accent5 2 4 7 4" xfId="9072" xr:uid="{00000000-0005-0000-0000-00008D180000}"/>
    <cellStyle name="20% - Accent5 2 4 7 4 2" xfId="19635" xr:uid="{00000000-0005-0000-0000-00008E180000}"/>
    <cellStyle name="20% - Accent5 2 4 7 5" xfId="11291" xr:uid="{00000000-0005-0000-0000-00008F180000}"/>
    <cellStyle name="20% - Accent5 2 4 7 5 2" xfId="21854" xr:uid="{00000000-0005-0000-0000-000090180000}"/>
    <cellStyle name="20% - Accent5 2 4 7 6" xfId="13510" xr:uid="{00000000-0005-0000-0000-000091180000}"/>
    <cellStyle name="20% - Accent5 2 4 7 6 2" xfId="24073" xr:uid="{00000000-0005-0000-0000-000092180000}"/>
    <cellStyle name="20% - Accent5 2 4 7 7" xfId="17410" xr:uid="{00000000-0005-0000-0000-000093180000}"/>
    <cellStyle name="20% - Accent5 2 4 8" xfId="648" xr:uid="{00000000-0005-0000-0000-000094180000}"/>
    <cellStyle name="20% - Accent5 2 4 8 2" xfId="8330" xr:uid="{00000000-0005-0000-0000-000095180000}"/>
    <cellStyle name="20% - Accent5 2 4 8 2 2" xfId="10549" xr:uid="{00000000-0005-0000-0000-000096180000}"/>
    <cellStyle name="20% - Accent5 2 4 8 2 2 2" xfId="21112" xr:uid="{00000000-0005-0000-0000-000097180000}"/>
    <cellStyle name="20% - Accent5 2 4 8 2 3" xfId="12768" xr:uid="{00000000-0005-0000-0000-000098180000}"/>
    <cellStyle name="20% - Accent5 2 4 8 2 3 2" xfId="23331" xr:uid="{00000000-0005-0000-0000-000099180000}"/>
    <cellStyle name="20% - Accent5 2 4 8 2 4" xfId="14987" xr:uid="{00000000-0005-0000-0000-00009A180000}"/>
    <cellStyle name="20% - Accent5 2 4 8 2 4 2" xfId="25550" xr:uid="{00000000-0005-0000-0000-00009B180000}"/>
    <cellStyle name="20% - Accent5 2 4 8 2 5" xfId="18893" xr:uid="{00000000-0005-0000-0000-00009C180000}"/>
    <cellStyle name="20% - Accent5 2 4 8 3" xfId="7597" xr:uid="{00000000-0005-0000-0000-00009D180000}"/>
    <cellStyle name="20% - Accent5 2 4 8 3 2" xfId="9816" xr:uid="{00000000-0005-0000-0000-00009E180000}"/>
    <cellStyle name="20% - Accent5 2 4 8 3 2 2" xfId="20379" xr:uid="{00000000-0005-0000-0000-00009F180000}"/>
    <cellStyle name="20% - Accent5 2 4 8 3 3" xfId="12035" xr:uid="{00000000-0005-0000-0000-0000A0180000}"/>
    <cellStyle name="20% - Accent5 2 4 8 3 3 2" xfId="22598" xr:uid="{00000000-0005-0000-0000-0000A1180000}"/>
    <cellStyle name="20% - Accent5 2 4 8 3 4" xfId="14254" xr:uid="{00000000-0005-0000-0000-0000A2180000}"/>
    <cellStyle name="20% - Accent5 2 4 8 3 4 2" xfId="24817" xr:uid="{00000000-0005-0000-0000-0000A3180000}"/>
    <cellStyle name="20% - Accent5 2 4 8 3 5" xfId="18160" xr:uid="{00000000-0005-0000-0000-0000A4180000}"/>
    <cellStyle name="20% - Accent5 2 4 8 4" xfId="9073" xr:uid="{00000000-0005-0000-0000-0000A5180000}"/>
    <cellStyle name="20% - Accent5 2 4 8 4 2" xfId="19636" xr:uid="{00000000-0005-0000-0000-0000A6180000}"/>
    <cellStyle name="20% - Accent5 2 4 8 5" xfId="11292" xr:uid="{00000000-0005-0000-0000-0000A7180000}"/>
    <cellStyle name="20% - Accent5 2 4 8 5 2" xfId="21855" xr:uid="{00000000-0005-0000-0000-0000A8180000}"/>
    <cellStyle name="20% - Accent5 2 4 8 6" xfId="13511" xr:uid="{00000000-0005-0000-0000-0000A9180000}"/>
    <cellStyle name="20% - Accent5 2 4 8 6 2" xfId="24074" xr:uid="{00000000-0005-0000-0000-0000AA180000}"/>
    <cellStyle name="20% - Accent5 2 4 8 7" xfId="17411" xr:uid="{00000000-0005-0000-0000-0000AB180000}"/>
    <cellStyle name="20% - Accent5 2 4 9" xfId="649" xr:uid="{00000000-0005-0000-0000-0000AC180000}"/>
    <cellStyle name="20% - Accent5 2 4 9 2" xfId="8331" xr:uid="{00000000-0005-0000-0000-0000AD180000}"/>
    <cellStyle name="20% - Accent5 2 4 9 2 2" xfId="10550" xr:uid="{00000000-0005-0000-0000-0000AE180000}"/>
    <cellStyle name="20% - Accent5 2 4 9 2 2 2" xfId="21113" xr:uid="{00000000-0005-0000-0000-0000AF180000}"/>
    <cellStyle name="20% - Accent5 2 4 9 2 3" xfId="12769" xr:uid="{00000000-0005-0000-0000-0000B0180000}"/>
    <cellStyle name="20% - Accent5 2 4 9 2 3 2" xfId="23332" xr:uid="{00000000-0005-0000-0000-0000B1180000}"/>
    <cellStyle name="20% - Accent5 2 4 9 2 4" xfId="14988" xr:uid="{00000000-0005-0000-0000-0000B2180000}"/>
    <cellStyle name="20% - Accent5 2 4 9 2 4 2" xfId="25551" xr:uid="{00000000-0005-0000-0000-0000B3180000}"/>
    <cellStyle name="20% - Accent5 2 4 9 2 5" xfId="18894" xr:uid="{00000000-0005-0000-0000-0000B4180000}"/>
    <cellStyle name="20% - Accent5 2 4 9 3" xfId="7598" xr:uid="{00000000-0005-0000-0000-0000B5180000}"/>
    <cellStyle name="20% - Accent5 2 4 9 3 2" xfId="9817" xr:uid="{00000000-0005-0000-0000-0000B6180000}"/>
    <cellStyle name="20% - Accent5 2 4 9 3 2 2" xfId="20380" xr:uid="{00000000-0005-0000-0000-0000B7180000}"/>
    <cellStyle name="20% - Accent5 2 4 9 3 3" xfId="12036" xr:uid="{00000000-0005-0000-0000-0000B8180000}"/>
    <cellStyle name="20% - Accent5 2 4 9 3 3 2" xfId="22599" xr:uid="{00000000-0005-0000-0000-0000B9180000}"/>
    <cellStyle name="20% - Accent5 2 4 9 3 4" xfId="14255" xr:uid="{00000000-0005-0000-0000-0000BA180000}"/>
    <cellStyle name="20% - Accent5 2 4 9 3 4 2" xfId="24818" xr:uid="{00000000-0005-0000-0000-0000BB180000}"/>
    <cellStyle name="20% - Accent5 2 4 9 3 5" xfId="18161" xr:uid="{00000000-0005-0000-0000-0000BC180000}"/>
    <cellStyle name="20% - Accent5 2 4 9 4" xfId="9074" xr:uid="{00000000-0005-0000-0000-0000BD180000}"/>
    <cellStyle name="20% - Accent5 2 4 9 4 2" xfId="19637" xr:uid="{00000000-0005-0000-0000-0000BE180000}"/>
    <cellStyle name="20% - Accent5 2 4 9 5" xfId="11293" xr:uid="{00000000-0005-0000-0000-0000BF180000}"/>
    <cellStyle name="20% - Accent5 2 4 9 5 2" xfId="21856" xr:uid="{00000000-0005-0000-0000-0000C0180000}"/>
    <cellStyle name="20% - Accent5 2 4 9 6" xfId="13512" xr:uid="{00000000-0005-0000-0000-0000C1180000}"/>
    <cellStyle name="20% - Accent5 2 4 9 6 2" xfId="24075" xr:uid="{00000000-0005-0000-0000-0000C2180000}"/>
    <cellStyle name="20% - Accent5 2 4 9 7" xfId="17412" xr:uid="{00000000-0005-0000-0000-0000C3180000}"/>
    <cellStyle name="20% - Accent5 2 5" xfId="650" xr:uid="{00000000-0005-0000-0000-0000C4180000}"/>
    <cellStyle name="20% - Accent5 2 5 10" xfId="13513" xr:uid="{00000000-0005-0000-0000-0000C5180000}"/>
    <cellStyle name="20% - Accent5 2 5 10 2" xfId="24076" xr:uid="{00000000-0005-0000-0000-0000C6180000}"/>
    <cellStyle name="20% - Accent5 2 5 11" xfId="17413" xr:uid="{00000000-0005-0000-0000-0000C7180000}"/>
    <cellStyle name="20% - Accent5 2 5 2" xfId="651" xr:uid="{00000000-0005-0000-0000-0000C8180000}"/>
    <cellStyle name="20% - Accent5 2 5 2 2" xfId="8333" xr:uid="{00000000-0005-0000-0000-0000C9180000}"/>
    <cellStyle name="20% - Accent5 2 5 2 2 2" xfId="10552" xr:uid="{00000000-0005-0000-0000-0000CA180000}"/>
    <cellStyle name="20% - Accent5 2 5 2 2 2 2" xfId="21115" xr:uid="{00000000-0005-0000-0000-0000CB180000}"/>
    <cellStyle name="20% - Accent5 2 5 2 2 3" xfId="12771" xr:uid="{00000000-0005-0000-0000-0000CC180000}"/>
    <cellStyle name="20% - Accent5 2 5 2 2 3 2" xfId="23334" xr:uid="{00000000-0005-0000-0000-0000CD180000}"/>
    <cellStyle name="20% - Accent5 2 5 2 2 4" xfId="14990" xr:uid="{00000000-0005-0000-0000-0000CE180000}"/>
    <cellStyle name="20% - Accent5 2 5 2 2 4 2" xfId="25553" xr:uid="{00000000-0005-0000-0000-0000CF180000}"/>
    <cellStyle name="20% - Accent5 2 5 2 2 5" xfId="18896" xr:uid="{00000000-0005-0000-0000-0000D0180000}"/>
    <cellStyle name="20% - Accent5 2 5 2 3" xfId="7600" xr:uid="{00000000-0005-0000-0000-0000D1180000}"/>
    <cellStyle name="20% - Accent5 2 5 2 3 2" xfId="9819" xr:uid="{00000000-0005-0000-0000-0000D2180000}"/>
    <cellStyle name="20% - Accent5 2 5 2 3 2 2" xfId="20382" xr:uid="{00000000-0005-0000-0000-0000D3180000}"/>
    <cellStyle name="20% - Accent5 2 5 2 3 3" xfId="12038" xr:uid="{00000000-0005-0000-0000-0000D4180000}"/>
    <cellStyle name="20% - Accent5 2 5 2 3 3 2" xfId="22601" xr:uid="{00000000-0005-0000-0000-0000D5180000}"/>
    <cellStyle name="20% - Accent5 2 5 2 3 4" xfId="14257" xr:uid="{00000000-0005-0000-0000-0000D6180000}"/>
    <cellStyle name="20% - Accent5 2 5 2 3 4 2" xfId="24820" xr:uid="{00000000-0005-0000-0000-0000D7180000}"/>
    <cellStyle name="20% - Accent5 2 5 2 3 5" xfId="18163" xr:uid="{00000000-0005-0000-0000-0000D8180000}"/>
    <cellStyle name="20% - Accent5 2 5 2 4" xfId="9076" xr:uid="{00000000-0005-0000-0000-0000D9180000}"/>
    <cellStyle name="20% - Accent5 2 5 2 4 2" xfId="19639" xr:uid="{00000000-0005-0000-0000-0000DA180000}"/>
    <cellStyle name="20% - Accent5 2 5 2 5" xfId="11295" xr:uid="{00000000-0005-0000-0000-0000DB180000}"/>
    <cellStyle name="20% - Accent5 2 5 2 5 2" xfId="21858" xr:uid="{00000000-0005-0000-0000-0000DC180000}"/>
    <cellStyle name="20% - Accent5 2 5 2 6" xfId="13514" xr:uid="{00000000-0005-0000-0000-0000DD180000}"/>
    <cellStyle name="20% - Accent5 2 5 2 6 2" xfId="24077" xr:uid="{00000000-0005-0000-0000-0000DE180000}"/>
    <cellStyle name="20% - Accent5 2 5 2 7" xfId="17414" xr:uid="{00000000-0005-0000-0000-0000DF180000}"/>
    <cellStyle name="20% - Accent5 2 5 3" xfId="652" xr:uid="{00000000-0005-0000-0000-0000E0180000}"/>
    <cellStyle name="20% - Accent5 2 5 3 2" xfId="8334" xr:uid="{00000000-0005-0000-0000-0000E1180000}"/>
    <cellStyle name="20% - Accent5 2 5 3 2 2" xfId="10553" xr:uid="{00000000-0005-0000-0000-0000E2180000}"/>
    <cellStyle name="20% - Accent5 2 5 3 2 2 2" xfId="21116" xr:uid="{00000000-0005-0000-0000-0000E3180000}"/>
    <cellStyle name="20% - Accent5 2 5 3 2 3" xfId="12772" xr:uid="{00000000-0005-0000-0000-0000E4180000}"/>
    <cellStyle name="20% - Accent5 2 5 3 2 3 2" xfId="23335" xr:uid="{00000000-0005-0000-0000-0000E5180000}"/>
    <cellStyle name="20% - Accent5 2 5 3 2 4" xfId="14991" xr:uid="{00000000-0005-0000-0000-0000E6180000}"/>
    <cellStyle name="20% - Accent5 2 5 3 2 4 2" xfId="25554" xr:uid="{00000000-0005-0000-0000-0000E7180000}"/>
    <cellStyle name="20% - Accent5 2 5 3 2 5" xfId="18897" xr:uid="{00000000-0005-0000-0000-0000E8180000}"/>
    <cellStyle name="20% - Accent5 2 5 3 3" xfId="7601" xr:uid="{00000000-0005-0000-0000-0000E9180000}"/>
    <cellStyle name="20% - Accent5 2 5 3 3 2" xfId="9820" xr:uid="{00000000-0005-0000-0000-0000EA180000}"/>
    <cellStyle name="20% - Accent5 2 5 3 3 2 2" xfId="20383" xr:uid="{00000000-0005-0000-0000-0000EB180000}"/>
    <cellStyle name="20% - Accent5 2 5 3 3 3" xfId="12039" xr:uid="{00000000-0005-0000-0000-0000EC180000}"/>
    <cellStyle name="20% - Accent5 2 5 3 3 3 2" xfId="22602" xr:uid="{00000000-0005-0000-0000-0000ED180000}"/>
    <cellStyle name="20% - Accent5 2 5 3 3 4" xfId="14258" xr:uid="{00000000-0005-0000-0000-0000EE180000}"/>
    <cellStyle name="20% - Accent5 2 5 3 3 4 2" xfId="24821" xr:uid="{00000000-0005-0000-0000-0000EF180000}"/>
    <cellStyle name="20% - Accent5 2 5 3 3 5" xfId="18164" xr:uid="{00000000-0005-0000-0000-0000F0180000}"/>
    <cellStyle name="20% - Accent5 2 5 3 4" xfId="9077" xr:uid="{00000000-0005-0000-0000-0000F1180000}"/>
    <cellStyle name="20% - Accent5 2 5 3 4 2" xfId="19640" xr:uid="{00000000-0005-0000-0000-0000F2180000}"/>
    <cellStyle name="20% - Accent5 2 5 3 5" xfId="11296" xr:uid="{00000000-0005-0000-0000-0000F3180000}"/>
    <cellStyle name="20% - Accent5 2 5 3 5 2" xfId="21859" xr:uid="{00000000-0005-0000-0000-0000F4180000}"/>
    <cellStyle name="20% - Accent5 2 5 3 6" xfId="13515" xr:uid="{00000000-0005-0000-0000-0000F5180000}"/>
    <cellStyle name="20% - Accent5 2 5 3 6 2" xfId="24078" xr:uid="{00000000-0005-0000-0000-0000F6180000}"/>
    <cellStyle name="20% - Accent5 2 5 3 7" xfId="17415" xr:uid="{00000000-0005-0000-0000-0000F7180000}"/>
    <cellStyle name="20% - Accent5 2 5 4" xfId="653" xr:uid="{00000000-0005-0000-0000-0000F8180000}"/>
    <cellStyle name="20% - Accent5 2 5 4 2" xfId="8335" xr:uid="{00000000-0005-0000-0000-0000F9180000}"/>
    <cellStyle name="20% - Accent5 2 5 4 2 2" xfId="10554" xr:uid="{00000000-0005-0000-0000-0000FA180000}"/>
    <cellStyle name="20% - Accent5 2 5 4 2 2 2" xfId="21117" xr:uid="{00000000-0005-0000-0000-0000FB180000}"/>
    <cellStyle name="20% - Accent5 2 5 4 2 3" xfId="12773" xr:uid="{00000000-0005-0000-0000-0000FC180000}"/>
    <cellStyle name="20% - Accent5 2 5 4 2 3 2" xfId="23336" xr:uid="{00000000-0005-0000-0000-0000FD180000}"/>
    <cellStyle name="20% - Accent5 2 5 4 2 4" xfId="14992" xr:uid="{00000000-0005-0000-0000-0000FE180000}"/>
    <cellStyle name="20% - Accent5 2 5 4 2 4 2" xfId="25555" xr:uid="{00000000-0005-0000-0000-0000FF180000}"/>
    <cellStyle name="20% - Accent5 2 5 4 2 5" xfId="18898" xr:uid="{00000000-0005-0000-0000-000000190000}"/>
    <cellStyle name="20% - Accent5 2 5 4 3" xfId="7602" xr:uid="{00000000-0005-0000-0000-000001190000}"/>
    <cellStyle name="20% - Accent5 2 5 4 3 2" xfId="9821" xr:uid="{00000000-0005-0000-0000-000002190000}"/>
    <cellStyle name="20% - Accent5 2 5 4 3 2 2" xfId="20384" xr:uid="{00000000-0005-0000-0000-000003190000}"/>
    <cellStyle name="20% - Accent5 2 5 4 3 3" xfId="12040" xr:uid="{00000000-0005-0000-0000-000004190000}"/>
    <cellStyle name="20% - Accent5 2 5 4 3 3 2" xfId="22603" xr:uid="{00000000-0005-0000-0000-000005190000}"/>
    <cellStyle name="20% - Accent5 2 5 4 3 4" xfId="14259" xr:uid="{00000000-0005-0000-0000-000006190000}"/>
    <cellStyle name="20% - Accent5 2 5 4 3 4 2" xfId="24822" xr:uid="{00000000-0005-0000-0000-000007190000}"/>
    <cellStyle name="20% - Accent5 2 5 4 3 5" xfId="18165" xr:uid="{00000000-0005-0000-0000-000008190000}"/>
    <cellStyle name="20% - Accent5 2 5 4 4" xfId="9078" xr:uid="{00000000-0005-0000-0000-000009190000}"/>
    <cellStyle name="20% - Accent5 2 5 4 4 2" xfId="19641" xr:uid="{00000000-0005-0000-0000-00000A190000}"/>
    <cellStyle name="20% - Accent5 2 5 4 5" xfId="11297" xr:uid="{00000000-0005-0000-0000-00000B190000}"/>
    <cellStyle name="20% - Accent5 2 5 4 5 2" xfId="21860" xr:uid="{00000000-0005-0000-0000-00000C190000}"/>
    <cellStyle name="20% - Accent5 2 5 4 6" xfId="13516" xr:uid="{00000000-0005-0000-0000-00000D190000}"/>
    <cellStyle name="20% - Accent5 2 5 4 6 2" xfId="24079" xr:uid="{00000000-0005-0000-0000-00000E190000}"/>
    <cellStyle name="20% - Accent5 2 5 4 7" xfId="17416" xr:uid="{00000000-0005-0000-0000-00000F190000}"/>
    <cellStyle name="20% - Accent5 2 5 5" xfId="654" xr:uid="{00000000-0005-0000-0000-000010190000}"/>
    <cellStyle name="20% - Accent5 2 5 5 2" xfId="8336" xr:uid="{00000000-0005-0000-0000-000011190000}"/>
    <cellStyle name="20% - Accent5 2 5 5 2 2" xfId="10555" xr:uid="{00000000-0005-0000-0000-000012190000}"/>
    <cellStyle name="20% - Accent5 2 5 5 2 2 2" xfId="21118" xr:uid="{00000000-0005-0000-0000-000013190000}"/>
    <cellStyle name="20% - Accent5 2 5 5 2 3" xfId="12774" xr:uid="{00000000-0005-0000-0000-000014190000}"/>
    <cellStyle name="20% - Accent5 2 5 5 2 3 2" xfId="23337" xr:uid="{00000000-0005-0000-0000-000015190000}"/>
    <cellStyle name="20% - Accent5 2 5 5 2 4" xfId="14993" xr:uid="{00000000-0005-0000-0000-000016190000}"/>
    <cellStyle name="20% - Accent5 2 5 5 2 4 2" xfId="25556" xr:uid="{00000000-0005-0000-0000-000017190000}"/>
    <cellStyle name="20% - Accent5 2 5 5 2 5" xfId="18899" xr:uid="{00000000-0005-0000-0000-000018190000}"/>
    <cellStyle name="20% - Accent5 2 5 5 3" xfId="7603" xr:uid="{00000000-0005-0000-0000-000019190000}"/>
    <cellStyle name="20% - Accent5 2 5 5 3 2" xfId="9822" xr:uid="{00000000-0005-0000-0000-00001A190000}"/>
    <cellStyle name="20% - Accent5 2 5 5 3 2 2" xfId="20385" xr:uid="{00000000-0005-0000-0000-00001B190000}"/>
    <cellStyle name="20% - Accent5 2 5 5 3 3" xfId="12041" xr:uid="{00000000-0005-0000-0000-00001C190000}"/>
    <cellStyle name="20% - Accent5 2 5 5 3 3 2" xfId="22604" xr:uid="{00000000-0005-0000-0000-00001D190000}"/>
    <cellStyle name="20% - Accent5 2 5 5 3 4" xfId="14260" xr:uid="{00000000-0005-0000-0000-00001E190000}"/>
    <cellStyle name="20% - Accent5 2 5 5 3 4 2" xfId="24823" xr:uid="{00000000-0005-0000-0000-00001F190000}"/>
    <cellStyle name="20% - Accent5 2 5 5 3 5" xfId="18166" xr:uid="{00000000-0005-0000-0000-000020190000}"/>
    <cellStyle name="20% - Accent5 2 5 5 4" xfId="9079" xr:uid="{00000000-0005-0000-0000-000021190000}"/>
    <cellStyle name="20% - Accent5 2 5 5 4 2" xfId="19642" xr:uid="{00000000-0005-0000-0000-000022190000}"/>
    <cellStyle name="20% - Accent5 2 5 5 5" xfId="11298" xr:uid="{00000000-0005-0000-0000-000023190000}"/>
    <cellStyle name="20% - Accent5 2 5 5 5 2" xfId="21861" xr:uid="{00000000-0005-0000-0000-000024190000}"/>
    <cellStyle name="20% - Accent5 2 5 5 6" xfId="13517" xr:uid="{00000000-0005-0000-0000-000025190000}"/>
    <cellStyle name="20% - Accent5 2 5 5 6 2" xfId="24080" xr:uid="{00000000-0005-0000-0000-000026190000}"/>
    <cellStyle name="20% - Accent5 2 5 5 7" xfId="17417" xr:uid="{00000000-0005-0000-0000-000027190000}"/>
    <cellStyle name="20% - Accent5 2 5 6" xfId="8332" xr:uid="{00000000-0005-0000-0000-000028190000}"/>
    <cellStyle name="20% - Accent5 2 5 6 2" xfId="10551" xr:uid="{00000000-0005-0000-0000-000029190000}"/>
    <cellStyle name="20% - Accent5 2 5 6 2 2" xfId="21114" xr:uid="{00000000-0005-0000-0000-00002A190000}"/>
    <cellStyle name="20% - Accent5 2 5 6 3" xfId="12770" xr:uid="{00000000-0005-0000-0000-00002B190000}"/>
    <cellStyle name="20% - Accent5 2 5 6 3 2" xfId="23333" xr:uid="{00000000-0005-0000-0000-00002C190000}"/>
    <cellStyle name="20% - Accent5 2 5 6 4" xfId="14989" xr:uid="{00000000-0005-0000-0000-00002D190000}"/>
    <cellStyle name="20% - Accent5 2 5 6 4 2" xfId="25552" xr:uid="{00000000-0005-0000-0000-00002E190000}"/>
    <cellStyle name="20% - Accent5 2 5 6 5" xfId="18895" xr:uid="{00000000-0005-0000-0000-00002F190000}"/>
    <cellStyle name="20% - Accent5 2 5 7" xfId="7599" xr:uid="{00000000-0005-0000-0000-000030190000}"/>
    <cellStyle name="20% - Accent5 2 5 7 2" xfId="9818" xr:uid="{00000000-0005-0000-0000-000031190000}"/>
    <cellStyle name="20% - Accent5 2 5 7 2 2" xfId="20381" xr:uid="{00000000-0005-0000-0000-000032190000}"/>
    <cellStyle name="20% - Accent5 2 5 7 3" xfId="12037" xr:uid="{00000000-0005-0000-0000-000033190000}"/>
    <cellStyle name="20% - Accent5 2 5 7 3 2" xfId="22600" xr:uid="{00000000-0005-0000-0000-000034190000}"/>
    <cellStyle name="20% - Accent5 2 5 7 4" xfId="14256" xr:uid="{00000000-0005-0000-0000-000035190000}"/>
    <cellStyle name="20% - Accent5 2 5 7 4 2" xfId="24819" xr:uid="{00000000-0005-0000-0000-000036190000}"/>
    <cellStyle name="20% - Accent5 2 5 7 5" xfId="18162" xr:uid="{00000000-0005-0000-0000-000037190000}"/>
    <cellStyle name="20% - Accent5 2 5 8" xfId="9075" xr:uid="{00000000-0005-0000-0000-000038190000}"/>
    <cellStyle name="20% - Accent5 2 5 8 2" xfId="19638" xr:uid="{00000000-0005-0000-0000-000039190000}"/>
    <cellStyle name="20% - Accent5 2 5 9" xfId="11294" xr:uid="{00000000-0005-0000-0000-00003A190000}"/>
    <cellStyle name="20% - Accent5 2 5 9 2" xfId="21857" xr:uid="{00000000-0005-0000-0000-00003B190000}"/>
    <cellStyle name="20% - Accent5 2 6" xfId="655" xr:uid="{00000000-0005-0000-0000-00003C190000}"/>
    <cellStyle name="20% - Accent5 2 6 10" xfId="13518" xr:uid="{00000000-0005-0000-0000-00003D190000}"/>
    <cellStyle name="20% - Accent5 2 6 10 2" xfId="24081" xr:uid="{00000000-0005-0000-0000-00003E190000}"/>
    <cellStyle name="20% - Accent5 2 6 11" xfId="17418" xr:uid="{00000000-0005-0000-0000-00003F190000}"/>
    <cellStyle name="20% - Accent5 2 6 2" xfId="656" xr:uid="{00000000-0005-0000-0000-000040190000}"/>
    <cellStyle name="20% - Accent5 2 6 2 2" xfId="8338" xr:uid="{00000000-0005-0000-0000-000041190000}"/>
    <cellStyle name="20% - Accent5 2 6 2 2 2" xfId="10557" xr:uid="{00000000-0005-0000-0000-000042190000}"/>
    <cellStyle name="20% - Accent5 2 6 2 2 2 2" xfId="21120" xr:uid="{00000000-0005-0000-0000-000043190000}"/>
    <cellStyle name="20% - Accent5 2 6 2 2 3" xfId="12776" xr:uid="{00000000-0005-0000-0000-000044190000}"/>
    <cellStyle name="20% - Accent5 2 6 2 2 3 2" xfId="23339" xr:uid="{00000000-0005-0000-0000-000045190000}"/>
    <cellStyle name="20% - Accent5 2 6 2 2 4" xfId="14995" xr:uid="{00000000-0005-0000-0000-000046190000}"/>
    <cellStyle name="20% - Accent5 2 6 2 2 4 2" xfId="25558" xr:uid="{00000000-0005-0000-0000-000047190000}"/>
    <cellStyle name="20% - Accent5 2 6 2 2 5" xfId="18901" xr:uid="{00000000-0005-0000-0000-000048190000}"/>
    <cellStyle name="20% - Accent5 2 6 2 3" xfId="7605" xr:uid="{00000000-0005-0000-0000-000049190000}"/>
    <cellStyle name="20% - Accent5 2 6 2 3 2" xfId="9824" xr:uid="{00000000-0005-0000-0000-00004A190000}"/>
    <cellStyle name="20% - Accent5 2 6 2 3 2 2" xfId="20387" xr:uid="{00000000-0005-0000-0000-00004B190000}"/>
    <cellStyle name="20% - Accent5 2 6 2 3 3" xfId="12043" xr:uid="{00000000-0005-0000-0000-00004C190000}"/>
    <cellStyle name="20% - Accent5 2 6 2 3 3 2" xfId="22606" xr:uid="{00000000-0005-0000-0000-00004D190000}"/>
    <cellStyle name="20% - Accent5 2 6 2 3 4" xfId="14262" xr:uid="{00000000-0005-0000-0000-00004E190000}"/>
    <cellStyle name="20% - Accent5 2 6 2 3 4 2" xfId="24825" xr:uid="{00000000-0005-0000-0000-00004F190000}"/>
    <cellStyle name="20% - Accent5 2 6 2 3 5" xfId="18168" xr:uid="{00000000-0005-0000-0000-000050190000}"/>
    <cellStyle name="20% - Accent5 2 6 2 4" xfId="9081" xr:uid="{00000000-0005-0000-0000-000051190000}"/>
    <cellStyle name="20% - Accent5 2 6 2 4 2" xfId="19644" xr:uid="{00000000-0005-0000-0000-000052190000}"/>
    <cellStyle name="20% - Accent5 2 6 2 5" xfId="11300" xr:uid="{00000000-0005-0000-0000-000053190000}"/>
    <cellStyle name="20% - Accent5 2 6 2 5 2" xfId="21863" xr:uid="{00000000-0005-0000-0000-000054190000}"/>
    <cellStyle name="20% - Accent5 2 6 2 6" xfId="13519" xr:uid="{00000000-0005-0000-0000-000055190000}"/>
    <cellStyle name="20% - Accent5 2 6 2 6 2" xfId="24082" xr:uid="{00000000-0005-0000-0000-000056190000}"/>
    <cellStyle name="20% - Accent5 2 6 2 7" xfId="17419" xr:uid="{00000000-0005-0000-0000-000057190000}"/>
    <cellStyle name="20% - Accent5 2 6 3" xfId="657" xr:uid="{00000000-0005-0000-0000-000058190000}"/>
    <cellStyle name="20% - Accent5 2 6 3 2" xfId="8339" xr:uid="{00000000-0005-0000-0000-000059190000}"/>
    <cellStyle name="20% - Accent5 2 6 3 2 2" xfId="10558" xr:uid="{00000000-0005-0000-0000-00005A190000}"/>
    <cellStyle name="20% - Accent5 2 6 3 2 2 2" xfId="21121" xr:uid="{00000000-0005-0000-0000-00005B190000}"/>
    <cellStyle name="20% - Accent5 2 6 3 2 3" xfId="12777" xr:uid="{00000000-0005-0000-0000-00005C190000}"/>
    <cellStyle name="20% - Accent5 2 6 3 2 3 2" xfId="23340" xr:uid="{00000000-0005-0000-0000-00005D190000}"/>
    <cellStyle name="20% - Accent5 2 6 3 2 4" xfId="14996" xr:uid="{00000000-0005-0000-0000-00005E190000}"/>
    <cellStyle name="20% - Accent5 2 6 3 2 4 2" xfId="25559" xr:uid="{00000000-0005-0000-0000-00005F190000}"/>
    <cellStyle name="20% - Accent5 2 6 3 2 5" xfId="18902" xr:uid="{00000000-0005-0000-0000-000060190000}"/>
    <cellStyle name="20% - Accent5 2 6 3 3" xfId="7606" xr:uid="{00000000-0005-0000-0000-000061190000}"/>
    <cellStyle name="20% - Accent5 2 6 3 3 2" xfId="9825" xr:uid="{00000000-0005-0000-0000-000062190000}"/>
    <cellStyle name="20% - Accent5 2 6 3 3 2 2" xfId="20388" xr:uid="{00000000-0005-0000-0000-000063190000}"/>
    <cellStyle name="20% - Accent5 2 6 3 3 3" xfId="12044" xr:uid="{00000000-0005-0000-0000-000064190000}"/>
    <cellStyle name="20% - Accent5 2 6 3 3 3 2" xfId="22607" xr:uid="{00000000-0005-0000-0000-000065190000}"/>
    <cellStyle name="20% - Accent5 2 6 3 3 4" xfId="14263" xr:uid="{00000000-0005-0000-0000-000066190000}"/>
    <cellStyle name="20% - Accent5 2 6 3 3 4 2" xfId="24826" xr:uid="{00000000-0005-0000-0000-000067190000}"/>
    <cellStyle name="20% - Accent5 2 6 3 3 5" xfId="18169" xr:uid="{00000000-0005-0000-0000-000068190000}"/>
    <cellStyle name="20% - Accent5 2 6 3 4" xfId="9082" xr:uid="{00000000-0005-0000-0000-000069190000}"/>
    <cellStyle name="20% - Accent5 2 6 3 4 2" xfId="19645" xr:uid="{00000000-0005-0000-0000-00006A190000}"/>
    <cellStyle name="20% - Accent5 2 6 3 5" xfId="11301" xr:uid="{00000000-0005-0000-0000-00006B190000}"/>
    <cellStyle name="20% - Accent5 2 6 3 5 2" xfId="21864" xr:uid="{00000000-0005-0000-0000-00006C190000}"/>
    <cellStyle name="20% - Accent5 2 6 3 6" xfId="13520" xr:uid="{00000000-0005-0000-0000-00006D190000}"/>
    <cellStyle name="20% - Accent5 2 6 3 6 2" xfId="24083" xr:uid="{00000000-0005-0000-0000-00006E190000}"/>
    <cellStyle name="20% - Accent5 2 6 3 7" xfId="17420" xr:uid="{00000000-0005-0000-0000-00006F190000}"/>
    <cellStyle name="20% - Accent5 2 6 4" xfId="658" xr:uid="{00000000-0005-0000-0000-000070190000}"/>
    <cellStyle name="20% - Accent5 2 6 4 2" xfId="8340" xr:uid="{00000000-0005-0000-0000-000071190000}"/>
    <cellStyle name="20% - Accent5 2 6 4 2 2" xfId="10559" xr:uid="{00000000-0005-0000-0000-000072190000}"/>
    <cellStyle name="20% - Accent5 2 6 4 2 2 2" xfId="21122" xr:uid="{00000000-0005-0000-0000-000073190000}"/>
    <cellStyle name="20% - Accent5 2 6 4 2 3" xfId="12778" xr:uid="{00000000-0005-0000-0000-000074190000}"/>
    <cellStyle name="20% - Accent5 2 6 4 2 3 2" xfId="23341" xr:uid="{00000000-0005-0000-0000-000075190000}"/>
    <cellStyle name="20% - Accent5 2 6 4 2 4" xfId="14997" xr:uid="{00000000-0005-0000-0000-000076190000}"/>
    <cellStyle name="20% - Accent5 2 6 4 2 4 2" xfId="25560" xr:uid="{00000000-0005-0000-0000-000077190000}"/>
    <cellStyle name="20% - Accent5 2 6 4 2 5" xfId="18903" xr:uid="{00000000-0005-0000-0000-000078190000}"/>
    <cellStyle name="20% - Accent5 2 6 4 3" xfId="7607" xr:uid="{00000000-0005-0000-0000-000079190000}"/>
    <cellStyle name="20% - Accent5 2 6 4 3 2" xfId="9826" xr:uid="{00000000-0005-0000-0000-00007A190000}"/>
    <cellStyle name="20% - Accent5 2 6 4 3 2 2" xfId="20389" xr:uid="{00000000-0005-0000-0000-00007B190000}"/>
    <cellStyle name="20% - Accent5 2 6 4 3 3" xfId="12045" xr:uid="{00000000-0005-0000-0000-00007C190000}"/>
    <cellStyle name="20% - Accent5 2 6 4 3 3 2" xfId="22608" xr:uid="{00000000-0005-0000-0000-00007D190000}"/>
    <cellStyle name="20% - Accent5 2 6 4 3 4" xfId="14264" xr:uid="{00000000-0005-0000-0000-00007E190000}"/>
    <cellStyle name="20% - Accent5 2 6 4 3 4 2" xfId="24827" xr:uid="{00000000-0005-0000-0000-00007F190000}"/>
    <cellStyle name="20% - Accent5 2 6 4 3 5" xfId="18170" xr:uid="{00000000-0005-0000-0000-000080190000}"/>
    <cellStyle name="20% - Accent5 2 6 4 4" xfId="9083" xr:uid="{00000000-0005-0000-0000-000081190000}"/>
    <cellStyle name="20% - Accent5 2 6 4 4 2" xfId="19646" xr:uid="{00000000-0005-0000-0000-000082190000}"/>
    <cellStyle name="20% - Accent5 2 6 4 5" xfId="11302" xr:uid="{00000000-0005-0000-0000-000083190000}"/>
    <cellStyle name="20% - Accent5 2 6 4 5 2" xfId="21865" xr:uid="{00000000-0005-0000-0000-000084190000}"/>
    <cellStyle name="20% - Accent5 2 6 4 6" xfId="13521" xr:uid="{00000000-0005-0000-0000-000085190000}"/>
    <cellStyle name="20% - Accent5 2 6 4 6 2" xfId="24084" xr:uid="{00000000-0005-0000-0000-000086190000}"/>
    <cellStyle name="20% - Accent5 2 6 4 7" xfId="17421" xr:uid="{00000000-0005-0000-0000-000087190000}"/>
    <cellStyle name="20% - Accent5 2 6 5" xfId="659" xr:uid="{00000000-0005-0000-0000-000088190000}"/>
    <cellStyle name="20% - Accent5 2 6 5 2" xfId="8341" xr:uid="{00000000-0005-0000-0000-000089190000}"/>
    <cellStyle name="20% - Accent5 2 6 5 2 2" xfId="10560" xr:uid="{00000000-0005-0000-0000-00008A190000}"/>
    <cellStyle name="20% - Accent5 2 6 5 2 2 2" xfId="21123" xr:uid="{00000000-0005-0000-0000-00008B190000}"/>
    <cellStyle name="20% - Accent5 2 6 5 2 3" xfId="12779" xr:uid="{00000000-0005-0000-0000-00008C190000}"/>
    <cellStyle name="20% - Accent5 2 6 5 2 3 2" xfId="23342" xr:uid="{00000000-0005-0000-0000-00008D190000}"/>
    <cellStyle name="20% - Accent5 2 6 5 2 4" xfId="14998" xr:uid="{00000000-0005-0000-0000-00008E190000}"/>
    <cellStyle name="20% - Accent5 2 6 5 2 4 2" xfId="25561" xr:uid="{00000000-0005-0000-0000-00008F190000}"/>
    <cellStyle name="20% - Accent5 2 6 5 2 5" xfId="18904" xr:uid="{00000000-0005-0000-0000-000090190000}"/>
    <cellStyle name="20% - Accent5 2 6 5 3" xfId="7608" xr:uid="{00000000-0005-0000-0000-000091190000}"/>
    <cellStyle name="20% - Accent5 2 6 5 3 2" xfId="9827" xr:uid="{00000000-0005-0000-0000-000092190000}"/>
    <cellStyle name="20% - Accent5 2 6 5 3 2 2" xfId="20390" xr:uid="{00000000-0005-0000-0000-000093190000}"/>
    <cellStyle name="20% - Accent5 2 6 5 3 3" xfId="12046" xr:uid="{00000000-0005-0000-0000-000094190000}"/>
    <cellStyle name="20% - Accent5 2 6 5 3 3 2" xfId="22609" xr:uid="{00000000-0005-0000-0000-000095190000}"/>
    <cellStyle name="20% - Accent5 2 6 5 3 4" xfId="14265" xr:uid="{00000000-0005-0000-0000-000096190000}"/>
    <cellStyle name="20% - Accent5 2 6 5 3 4 2" xfId="24828" xr:uid="{00000000-0005-0000-0000-000097190000}"/>
    <cellStyle name="20% - Accent5 2 6 5 3 5" xfId="18171" xr:uid="{00000000-0005-0000-0000-000098190000}"/>
    <cellStyle name="20% - Accent5 2 6 5 4" xfId="9084" xr:uid="{00000000-0005-0000-0000-000099190000}"/>
    <cellStyle name="20% - Accent5 2 6 5 4 2" xfId="19647" xr:uid="{00000000-0005-0000-0000-00009A190000}"/>
    <cellStyle name="20% - Accent5 2 6 5 5" xfId="11303" xr:uid="{00000000-0005-0000-0000-00009B190000}"/>
    <cellStyle name="20% - Accent5 2 6 5 5 2" xfId="21866" xr:uid="{00000000-0005-0000-0000-00009C190000}"/>
    <cellStyle name="20% - Accent5 2 6 5 6" xfId="13522" xr:uid="{00000000-0005-0000-0000-00009D190000}"/>
    <cellStyle name="20% - Accent5 2 6 5 6 2" xfId="24085" xr:uid="{00000000-0005-0000-0000-00009E190000}"/>
    <cellStyle name="20% - Accent5 2 6 5 7" xfId="17422" xr:uid="{00000000-0005-0000-0000-00009F190000}"/>
    <cellStyle name="20% - Accent5 2 6 6" xfId="8337" xr:uid="{00000000-0005-0000-0000-0000A0190000}"/>
    <cellStyle name="20% - Accent5 2 6 6 2" xfId="10556" xr:uid="{00000000-0005-0000-0000-0000A1190000}"/>
    <cellStyle name="20% - Accent5 2 6 6 2 2" xfId="21119" xr:uid="{00000000-0005-0000-0000-0000A2190000}"/>
    <cellStyle name="20% - Accent5 2 6 6 3" xfId="12775" xr:uid="{00000000-0005-0000-0000-0000A3190000}"/>
    <cellStyle name="20% - Accent5 2 6 6 3 2" xfId="23338" xr:uid="{00000000-0005-0000-0000-0000A4190000}"/>
    <cellStyle name="20% - Accent5 2 6 6 4" xfId="14994" xr:uid="{00000000-0005-0000-0000-0000A5190000}"/>
    <cellStyle name="20% - Accent5 2 6 6 4 2" xfId="25557" xr:uid="{00000000-0005-0000-0000-0000A6190000}"/>
    <cellStyle name="20% - Accent5 2 6 6 5" xfId="18900" xr:uid="{00000000-0005-0000-0000-0000A7190000}"/>
    <cellStyle name="20% - Accent5 2 6 7" xfId="7604" xr:uid="{00000000-0005-0000-0000-0000A8190000}"/>
    <cellStyle name="20% - Accent5 2 6 7 2" xfId="9823" xr:uid="{00000000-0005-0000-0000-0000A9190000}"/>
    <cellStyle name="20% - Accent5 2 6 7 2 2" xfId="20386" xr:uid="{00000000-0005-0000-0000-0000AA190000}"/>
    <cellStyle name="20% - Accent5 2 6 7 3" xfId="12042" xr:uid="{00000000-0005-0000-0000-0000AB190000}"/>
    <cellStyle name="20% - Accent5 2 6 7 3 2" xfId="22605" xr:uid="{00000000-0005-0000-0000-0000AC190000}"/>
    <cellStyle name="20% - Accent5 2 6 7 4" xfId="14261" xr:uid="{00000000-0005-0000-0000-0000AD190000}"/>
    <cellStyle name="20% - Accent5 2 6 7 4 2" xfId="24824" xr:uid="{00000000-0005-0000-0000-0000AE190000}"/>
    <cellStyle name="20% - Accent5 2 6 7 5" xfId="18167" xr:uid="{00000000-0005-0000-0000-0000AF190000}"/>
    <cellStyle name="20% - Accent5 2 6 8" xfId="9080" xr:uid="{00000000-0005-0000-0000-0000B0190000}"/>
    <cellStyle name="20% - Accent5 2 6 8 2" xfId="19643" xr:uid="{00000000-0005-0000-0000-0000B1190000}"/>
    <cellStyle name="20% - Accent5 2 6 9" xfId="11299" xr:uid="{00000000-0005-0000-0000-0000B2190000}"/>
    <cellStyle name="20% - Accent5 2 6 9 2" xfId="21862" xr:uid="{00000000-0005-0000-0000-0000B3190000}"/>
    <cellStyle name="20% - Accent5 2 7" xfId="660" xr:uid="{00000000-0005-0000-0000-0000B4190000}"/>
    <cellStyle name="20% - Accent5 2 7 2" xfId="8342" xr:uid="{00000000-0005-0000-0000-0000B5190000}"/>
    <cellStyle name="20% - Accent5 2 7 2 2" xfId="10561" xr:uid="{00000000-0005-0000-0000-0000B6190000}"/>
    <cellStyle name="20% - Accent5 2 7 2 2 2" xfId="21124" xr:uid="{00000000-0005-0000-0000-0000B7190000}"/>
    <cellStyle name="20% - Accent5 2 7 2 3" xfId="12780" xr:uid="{00000000-0005-0000-0000-0000B8190000}"/>
    <cellStyle name="20% - Accent5 2 7 2 3 2" xfId="23343" xr:uid="{00000000-0005-0000-0000-0000B9190000}"/>
    <cellStyle name="20% - Accent5 2 7 2 4" xfId="14999" xr:uid="{00000000-0005-0000-0000-0000BA190000}"/>
    <cellStyle name="20% - Accent5 2 7 2 4 2" xfId="25562" xr:uid="{00000000-0005-0000-0000-0000BB190000}"/>
    <cellStyle name="20% - Accent5 2 7 2 5" xfId="18905" xr:uid="{00000000-0005-0000-0000-0000BC190000}"/>
    <cellStyle name="20% - Accent5 2 7 3" xfId="7609" xr:uid="{00000000-0005-0000-0000-0000BD190000}"/>
    <cellStyle name="20% - Accent5 2 7 3 2" xfId="9828" xr:uid="{00000000-0005-0000-0000-0000BE190000}"/>
    <cellStyle name="20% - Accent5 2 7 3 2 2" xfId="20391" xr:uid="{00000000-0005-0000-0000-0000BF190000}"/>
    <cellStyle name="20% - Accent5 2 7 3 3" xfId="12047" xr:uid="{00000000-0005-0000-0000-0000C0190000}"/>
    <cellStyle name="20% - Accent5 2 7 3 3 2" xfId="22610" xr:uid="{00000000-0005-0000-0000-0000C1190000}"/>
    <cellStyle name="20% - Accent5 2 7 3 4" xfId="14266" xr:uid="{00000000-0005-0000-0000-0000C2190000}"/>
    <cellStyle name="20% - Accent5 2 7 3 4 2" xfId="24829" xr:uid="{00000000-0005-0000-0000-0000C3190000}"/>
    <cellStyle name="20% - Accent5 2 7 3 5" xfId="18172" xr:uid="{00000000-0005-0000-0000-0000C4190000}"/>
    <cellStyle name="20% - Accent5 2 7 4" xfId="9085" xr:uid="{00000000-0005-0000-0000-0000C5190000}"/>
    <cellStyle name="20% - Accent5 2 7 4 2" xfId="19648" xr:uid="{00000000-0005-0000-0000-0000C6190000}"/>
    <cellStyle name="20% - Accent5 2 7 5" xfId="11304" xr:uid="{00000000-0005-0000-0000-0000C7190000}"/>
    <cellStyle name="20% - Accent5 2 7 5 2" xfId="21867" xr:uid="{00000000-0005-0000-0000-0000C8190000}"/>
    <cellStyle name="20% - Accent5 2 7 6" xfId="13523" xr:uid="{00000000-0005-0000-0000-0000C9190000}"/>
    <cellStyle name="20% - Accent5 2 7 6 2" xfId="24086" xr:uid="{00000000-0005-0000-0000-0000CA190000}"/>
    <cellStyle name="20% - Accent5 2 7 7" xfId="17423" xr:uid="{00000000-0005-0000-0000-0000CB190000}"/>
    <cellStyle name="20% - Accent5 2 8" xfId="661" xr:uid="{00000000-0005-0000-0000-0000CC190000}"/>
    <cellStyle name="20% - Accent5 2 8 2" xfId="8343" xr:uid="{00000000-0005-0000-0000-0000CD190000}"/>
    <cellStyle name="20% - Accent5 2 8 2 2" xfId="10562" xr:uid="{00000000-0005-0000-0000-0000CE190000}"/>
    <cellStyle name="20% - Accent5 2 8 2 2 2" xfId="21125" xr:uid="{00000000-0005-0000-0000-0000CF190000}"/>
    <cellStyle name="20% - Accent5 2 8 2 3" xfId="12781" xr:uid="{00000000-0005-0000-0000-0000D0190000}"/>
    <cellStyle name="20% - Accent5 2 8 2 3 2" xfId="23344" xr:uid="{00000000-0005-0000-0000-0000D1190000}"/>
    <cellStyle name="20% - Accent5 2 8 2 4" xfId="15000" xr:uid="{00000000-0005-0000-0000-0000D2190000}"/>
    <cellStyle name="20% - Accent5 2 8 2 4 2" xfId="25563" xr:uid="{00000000-0005-0000-0000-0000D3190000}"/>
    <cellStyle name="20% - Accent5 2 8 2 5" xfId="18906" xr:uid="{00000000-0005-0000-0000-0000D4190000}"/>
    <cellStyle name="20% - Accent5 2 8 3" xfId="7610" xr:uid="{00000000-0005-0000-0000-0000D5190000}"/>
    <cellStyle name="20% - Accent5 2 8 3 2" xfId="9829" xr:uid="{00000000-0005-0000-0000-0000D6190000}"/>
    <cellStyle name="20% - Accent5 2 8 3 2 2" xfId="20392" xr:uid="{00000000-0005-0000-0000-0000D7190000}"/>
    <cellStyle name="20% - Accent5 2 8 3 3" xfId="12048" xr:uid="{00000000-0005-0000-0000-0000D8190000}"/>
    <cellStyle name="20% - Accent5 2 8 3 3 2" xfId="22611" xr:uid="{00000000-0005-0000-0000-0000D9190000}"/>
    <cellStyle name="20% - Accent5 2 8 3 4" xfId="14267" xr:uid="{00000000-0005-0000-0000-0000DA190000}"/>
    <cellStyle name="20% - Accent5 2 8 3 4 2" xfId="24830" xr:uid="{00000000-0005-0000-0000-0000DB190000}"/>
    <cellStyle name="20% - Accent5 2 8 3 5" xfId="18173" xr:uid="{00000000-0005-0000-0000-0000DC190000}"/>
    <cellStyle name="20% - Accent5 2 8 4" xfId="9086" xr:uid="{00000000-0005-0000-0000-0000DD190000}"/>
    <cellStyle name="20% - Accent5 2 8 4 2" xfId="19649" xr:uid="{00000000-0005-0000-0000-0000DE190000}"/>
    <cellStyle name="20% - Accent5 2 8 5" xfId="11305" xr:uid="{00000000-0005-0000-0000-0000DF190000}"/>
    <cellStyle name="20% - Accent5 2 8 5 2" xfId="21868" xr:uid="{00000000-0005-0000-0000-0000E0190000}"/>
    <cellStyle name="20% - Accent5 2 8 6" xfId="13524" xr:uid="{00000000-0005-0000-0000-0000E1190000}"/>
    <cellStyle name="20% - Accent5 2 8 6 2" xfId="24087" xr:uid="{00000000-0005-0000-0000-0000E2190000}"/>
    <cellStyle name="20% - Accent5 2 8 7" xfId="17424" xr:uid="{00000000-0005-0000-0000-0000E3190000}"/>
    <cellStyle name="20% - Accent5 2 9" xfId="662" xr:uid="{00000000-0005-0000-0000-0000E4190000}"/>
    <cellStyle name="20% - Accent5 2 9 2" xfId="8344" xr:uid="{00000000-0005-0000-0000-0000E5190000}"/>
    <cellStyle name="20% - Accent5 2 9 2 2" xfId="10563" xr:uid="{00000000-0005-0000-0000-0000E6190000}"/>
    <cellStyle name="20% - Accent5 2 9 2 2 2" xfId="21126" xr:uid="{00000000-0005-0000-0000-0000E7190000}"/>
    <cellStyle name="20% - Accent5 2 9 2 3" xfId="12782" xr:uid="{00000000-0005-0000-0000-0000E8190000}"/>
    <cellStyle name="20% - Accent5 2 9 2 3 2" xfId="23345" xr:uid="{00000000-0005-0000-0000-0000E9190000}"/>
    <cellStyle name="20% - Accent5 2 9 2 4" xfId="15001" xr:uid="{00000000-0005-0000-0000-0000EA190000}"/>
    <cellStyle name="20% - Accent5 2 9 2 4 2" xfId="25564" xr:uid="{00000000-0005-0000-0000-0000EB190000}"/>
    <cellStyle name="20% - Accent5 2 9 2 5" xfId="18907" xr:uid="{00000000-0005-0000-0000-0000EC190000}"/>
    <cellStyle name="20% - Accent5 2 9 3" xfId="7611" xr:uid="{00000000-0005-0000-0000-0000ED190000}"/>
    <cellStyle name="20% - Accent5 2 9 3 2" xfId="9830" xr:uid="{00000000-0005-0000-0000-0000EE190000}"/>
    <cellStyle name="20% - Accent5 2 9 3 2 2" xfId="20393" xr:uid="{00000000-0005-0000-0000-0000EF190000}"/>
    <cellStyle name="20% - Accent5 2 9 3 3" xfId="12049" xr:uid="{00000000-0005-0000-0000-0000F0190000}"/>
    <cellStyle name="20% - Accent5 2 9 3 3 2" xfId="22612" xr:uid="{00000000-0005-0000-0000-0000F1190000}"/>
    <cellStyle name="20% - Accent5 2 9 3 4" xfId="14268" xr:uid="{00000000-0005-0000-0000-0000F2190000}"/>
    <cellStyle name="20% - Accent5 2 9 3 4 2" xfId="24831" xr:uid="{00000000-0005-0000-0000-0000F3190000}"/>
    <cellStyle name="20% - Accent5 2 9 3 5" xfId="18174" xr:uid="{00000000-0005-0000-0000-0000F4190000}"/>
    <cellStyle name="20% - Accent5 2 9 4" xfId="9087" xr:uid="{00000000-0005-0000-0000-0000F5190000}"/>
    <cellStyle name="20% - Accent5 2 9 4 2" xfId="19650" xr:uid="{00000000-0005-0000-0000-0000F6190000}"/>
    <cellStyle name="20% - Accent5 2 9 5" xfId="11306" xr:uid="{00000000-0005-0000-0000-0000F7190000}"/>
    <cellStyle name="20% - Accent5 2 9 5 2" xfId="21869" xr:uid="{00000000-0005-0000-0000-0000F8190000}"/>
    <cellStyle name="20% - Accent5 2 9 6" xfId="13525" xr:uid="{00000000-0005-0000-0000-0000F9190000}"/>
    <cellStyle name="20% - Accent5 2 9 6 2" xfId="24088" xr:uid="{00000000-0005-0000-0000-0000FA190000}"/>
    <cellStyle name="20% - Accent5 2 9 7" xfId="17425" xr:uid="{00000000-0005-0000-0000-0000FB190000}"/>
    <cellStyle name="20% - Accent5 20" xfId="11039" xr:uid="{00000000-0005-0000-0000-0000FC190000}"/>
    <cellStyle name="20% - Accent5 20 2" xfId="21602" xr:uid="{00000000-0005-0000-0000-0000FD190000}"/>
    <cellStyle name="20% - Accent5 21" xfId="13258" xr:uid="{00000000-0005-0000-0000-0000FE190000}"/>
    <cellStyle name="20% - Accent5 21 2" xfId="23821" xr:uid="{00000000-0005-0000-0000-0000FF190000}"/>
    <cellStyle name="20% - Accent5 22" xfId="17159" xr:uid="{00000000-0005-0000-0000-0000001A0000}"/>
    <cellStyle name="20% - Accent5 23" xfId="27221" xr:uid="{00000000-0005-0000-0000-0000011A0000}"/>
    <cellStyle name="20% - Accent5 24" xfId="27222" xr:uid="{00000000-0005-0000-0000-0000021A0000}"/>
    <cellStyle name="20% - Accent5 25" xfId="27226" xr:uid="{00000000-0005-0000-0000-0000031A0000}"/>
    <cellStyle name="20% - Accent5 25 2" xfId="27244" xr:uid="{00000000-0005-0000-0000-0000041A0000}"/>
    <cellStyle name="20% - Accent5 26" xfId="27249" xr:uid="{00000000-0005-0000-0000-0000051A0000}"/>
    <cellStyle name="20% - Accent5 3" xfId="663" xr:uid="{00000000-0005-0000-0000-0000061A0000}"/>
    <cellStyle name="20% - Accent5 3 10" xfId="664" xr:uid="{00000000-0005-0000-0000-0000071A0000}"/>
    <cellStyle name="20% - Accent5 3 2" xfId="665" xr:uid="{00000000-0005-0000-0000-0000081A0000}"/>
    <cellStyle name="20% - Accent5 3 2 2" xfId="8345" xr:uid="{00000000-0005-0000-0000-0000091A0000}"/>
    <cellStyle name="20% - Accent5 3 2 2 2" xfId="10564" xr:uid="{00000000-0005-0000-0000-00000A1A0000}"/>
    <cellStyle name="20% - Accent5 3 2 2 2 2" xfId="21127" xr:uid="{00000000-0005-0000-0000-00000B1A0000}"/>
    <cellStyle name="20% - Accent5 3 2 2 3" xfId="12783" xr:uid="{00000000-0005-0000-0000-00000C1A0000}"/>
    <cellStyle name="20% - Accent5 3 2 2 3 2" xfId="23346" xr:uid="{00000000-0005-0000-0000-00000D1A0000}"/>
    <cellStyle name="20% - Accent5 3 2 2 4" xfId="15002" xr:uid="{00000000-0005-0000-0000-00000E1A0000}"/>
    <cellStyle name="20% - Accent5 3 2 2 4 2" xfId="25565" xr:uid="{00000000-0005-0000-0000-00000F1A0000}"/>
    <cellStyle name="20% - Accent5 3 2 2 5" xfId="18908" xr:uid="{00000000-0005-0000-0000-0000101A0000}"/>
    <cellStyle name="20% - Accent5 3 2 3" xfId="7612" xr:uid="{00000000-0005-0000-0000-0000111A0000}"/>
    <cellStyle name="20% - Accent5 3 2 3 2" xfId="9831" xr:uid="{00000000-0005-0000-0000-0000121A0000}"/>
    <cellStyle name="20% - Accent5 3 2 3 2 2" xfId="20394" xr:uid="{00000000-0005-0000-0000-0000131A0000}"/>
    <cellStyle name="20% - Accent5 3 2 3 3" xfId="12050" xr:uid="{00000000-0005-0000-0000-0000141A0000}"/>
    <cellStyle name="20% - Accent5 3 2 3 3 2" xfId="22613" xr:uid="{00000000-0005-0000-0000-0000151A0000}"/>
    <cellStyle name="20% - Accent5 3 2 3 4" xfId="14269" xr:uid="{00000000-0005-0000-0000-0000161A0000}"/>
    <cellStyle name="20% - Accent5 3 2 3 4 2" xfId="24832" xr:uid="{00000000-0005-0000-0000-0000171A0000}"/>
    <cellStyle name="20% - Accent5 3 2 3 5" xfId="18175" xr:uid="{00000000-0005-0000-0000-0000181A0000}"/>
    <cellStyle name="20% - Accent5 3 2 4" xfId="9088" xr:uid="{00000000-0005-0000-0000-0000191A0000}"/>
    <cellStyle name="20% - Accent5 3 2 4 2" xfId="19651" xr:uid="{00000000-0005-0000-0000-00001A1A0000}"/>
    <cellStyle name="20% - Accent5 3 2 5" xfId="11307" xr:uid="{00000000-0005-0000-0000-00001B1A0000}"/>
    <cellStyle name="20% - Accent5 3 2 5 2" xfId="21870" xr:uid="{00000000-0005-0000-0000-00001C1A0000}"/>
    <cellStyle name="20% - Accent5 3 2 6" xfId="13526" xr:uid="{00000000-0005-0000-0000-00001D1A0000}"/>
    <cellStyle name="20% - Accent5 3 2 6 2" xfId="24089" xr:uid="{00000000-0005-0000-0000-00001E1A0000}"/>
    <cellStyle name="20% - Accent5 3 2 7" xfId="17426" xr:uid="{00000000-0005-0000-0000-00001F1A0000}"/>
    <cellStyle name="20% - Accent5 3 3" xfId="666" xr:uid="{00000000-0005-0000-0000-0000201A0000}"/>
    <cellStyle name="20% - Accent5 3 3 2" xfId="8346" xr:uid="{00000000-0005-0000-0000-0000211A0000}"/>
    <cellStyle name="20% - Accent5 3 3 2 2" xfId="10565" xr:uid="{00000000-0005-0000-0000-0000221A0000}"/>
    <cellStyle name="20% - Accent5 3 3 2 2 2" xfId="21128" xr:uid="{00000000-0005-0000-0000-0000231A0000}"/>
    <cellStyle name="20% - Accent5 3 3 2 3" xfId="12784" xr:uid="{00000000-0005-0000-0000-0000241A0000}"/>
    <cellStyle name="20% - Accent5 3 3 2 3 2" xfId="23347" xr:uid="{00000000-0005-0000-0000-0000251A0000}"/>
    <cellStyle name="20% - Accent5 3 3 2 4" xfId="15003" xr:uid="{00000000-0005-0000-0000-0000261A0000}"/>
    <cellStyle name="20% - Accent5 3 3 2 4 2" xfId="25566" xr:uid="{00000000-0005-0000-0000-0000271A0000}"/>
    <cellStyle name="20% - Accent5 3 3 2 5" xfId="18909" xr:uid="{00000000-0005-0000-0000-0000281A0000}"/>
    <cellStyle name="20% - Accent5 3 3 3" xfId="7613" xr:uid="{00000000-0005-0000-0000-0000291A0000}"/>
    <cellStyle name="20% - Accent5 3 3 3 2" xfId="9832" xr:uid="{00000000-0005-0000-0000-00002A1A0000}"/>
    <cellStyle name="20% - Accent5 3 3 3 2 2" xfId="20395" xr:uid="{00000000-0005-0000-0000-00002B1A0000}"/>
    <cellStyle name="20% - Accent5 3 3 3 3" xfId="12051" xr:uid="{00000000-0005-0000-0000-00002C1A0000}"/>
    <cellStyle name="20% - Accent5 3 3 3 3 2" xfId="22614" xr:uid="{00000000-0005-0000-0000-00002D1A0000}"/>
    <cellStyle name="20% - Accent5 3 3 3 4" xfId="14270" xr:uid="{00000000-0005-0000-0000-00002E1A0000}"/>
    <cellStyle name="20% - Accent5 3 3 3 4 2" xfId="24833" xr:uid="{00000000-0005-0000-0000-00002F1A0000}"/>
    <cellStyle name="20% - Accent5 3 3 3 5" xfId="18176" xr:uid="{00000000-0005-0000-0000-0000301A0000}"/>
    <cellStyle name="20% - Accent5 3 3 4" xfId="9089" xr:uid="{00000000-0005-0000-0000-0000311A0000}"/>
    <cellStyle name="20% - Accent5 3 3 4 2" xfId="19652" xr:uid="{00000000-0005-0000-0000-0000321A0000}"/>
    <cellStyle name="20% - Accent5 3 3 5" xfId="11308" xr:uid="{00000000-0005-0000-0000-0000331A0000}"/>
    <cellStyle name="20% - Accent5 3 3 5 2" xfId="21871" xr:uid="{00000000-0005-0000-0000-0000341A0000}"/>
    <cellStyle name="20% - Accent5 3 3 6" xfId="13527" xr:uid="{00000000-0005-0000-0000-0000351A0000}"/>
    <cellStyle name="20% - Accent5 3 3 6 2" xfId="24090" xr:uid="{00000000-0005-0000-0000-0000361A0000}"/>
    <cellStyle name="20% - Accent5 3 3 7" xfId="17427" xr:uid="{00000000-0005-0000-0000-0000371A0000}"/>
    <cellStyle name="20% - Accent5 3 4" xfId="667" xr:uid="{00000000-0005-0000-0000-0000381A0000}"/>
    <cellStyle name="20% - Accent5 3 4 2" xfId="8347" xr:uid="{00000000-0005-0000-0000-0000391A0000}"/>
    <cellStyle name="20% - Accent5 3 4 2 2" xfId="10566" xr:uid="{00000000-0005-0000-0000-00003A1A0000}"/>
    <cellStyle name="20% - Accent5 3 4 2 2 2" xfId="21129" xr:uid="{00000000-0005-0000-0000-00003B1A0000}"/>
    <cellStyle name="20% - Accent5 3 4 2 3" xfId="12785" xr:uid="{00000000-0005-0000-0000-00003C1A0000}"/>
    <cellStyle name="20% - Accent5 3 4 2 3 2" xfId="23348" xr:uid="{00000000-0005-0000-0000-00003D1A0000}"/>
    <cellStyle name="20% - Accent5 3 4 2 4" xfId="15004" xr:uid="{00000000-0005-0000-0000-00003E1A0000}"/>
    <cellStyle name="20% - Accent5 3 4 2 4 2" xfId="25567" xr:uid="{00000000-0005-0000-0000-00003F1A0000}"/>
    <cellStyle name="20% - Accent5 3 4 2 5" xfId="18910" xr:uid="{00000000-0005-0000-0000-0000401A0000}"/>
    <cellStyle name="20% - Accent5 3 4 3" xfId="7614" xr:uid="{00000000-0005-0000-0000-0000411A0000}"/>
    <cellStyle name="20% - Accent5 3 4 3 2" xfId="9833" xr:uid="{00000000-0005-0000-0000-0000421A0000}"/>
    <cellStyle name="20% - Accent5 3 4 3 2 2" xfId="20396" xr:uid="{00000000-0005-0000-0000-0000431A0000}"/>
    <cellStyle name="20% - Accent5 3 4 3 3" xfId="12052" xr:uid="{00000000-0005-0000-0000-0000441A0000}"/>
    <cellStyle name="20% - Accent5 3 4 3 3 2" xfId="22615" xr:uid="{00000000-0005-0000-0000-0000451A0000}"/>
    <cellStyle name="20% - Accent5 3 4 3 4" xfId="14271" xr:uid="{00000000-0005-0000-0000-0000461A0000}"/>
    <cellStyle name="20% - Accent5 3 4 3 4 2" xfId="24834" xr:uid="{00000000-0005-0000-0000-0000471A0000}"/>
    <cellStyle name="20% - Accent5 3 4 3 5" xfId="18177" xr:uid="{00000000-0005-0000-0000-0000481A0000}"/>
    <cellStyle name="20% - Accent5 3 4 4" xfId="9090" xr:uid="{00000000-0005-0000-0000-0000491A0000}"/>
    <cellStyle name="20% - Accent5 3 4 4 2" xfId="19653" xr:uid="{00000000-0005-0000-0000-00004A1A0000}"/>
    <cellStyle name="20% - Accent5 3 4 5" xfId="11309" xr:uid="{00000000-0005-0000-0000-00004B1A0000}"/>
    <cellStyle name="20% - Accent5 3 4 5 2" xfId="21872" xr:uid="{00000000-0005-0000-0000-00004C1A0000}"/>
    <cellStyle name="20% - Accent5 3 4 6" xfId="13528" xr:uid="{00000000-0005-0000-0000-00004D1A0000}"/>
    <cellStyle name="20% - Accent5 3 4 6 2" xfId="24091" xr:uid="{00000000-0005-0000-0000-00004E1A0000}"/>
    <cellStyle name="20% - Accent5 3 4 7" xfId="17428" xr:uid="{00000000-0005-0000-0000-00004F1A0000}"/>
    <cellStyle name="20% - Accent5 3 5" xfId="668" xr:uid="{00000000-0005-0000-0000-0000501A0000}"/>
    <cellStyle name="20% - Accent5 3 5 2" xfId="8348" xr:uid="{00000000-0005-0000-0000-0000511A0000}"/>
    <cellStyle name="20% - Accent5 3 5 2 2" xfId="10567" xr:uid="{00000000-0005-0000-0000-0000521A0000}"/>
    <cellStyle name="20% - Accent5 3 5 2 2 2" xfId="21130" xr:uid="{00000000-0005-0000-0000-0000531A0000}"/>
    <cellStyle name="20% - Accent5 3 5 2 3" xfId="12786" xr:uid="{00000000-0005-0000-0000-0000541A0000}"/>
    <cellStyle name="20% - Accent5 3 5 2 3 2" xfId="23349" xr:uid="{00000000-0005-0000-0000-0000551A0000}"/>
    <cellStyle name="20% - Accent5 3 5 2 4" xfId="15005" xr:uid="{00000000-0005-0000-0000-0000561A0000}"/>
    <cellStyle name="20% - Accent5 3 5 2 4 2" xfId="25568" xr:uid="{00000000-0005-0000-0000-0000571A0000}"/>
    <cellStyle name="20% - Accent5 3 5 2 5" xfId="18911" xr:uid="{00000000-0005-0000-0000-0000581A0000}"/>
    <cellStyle name="20% - Accent5 3 5 3" xfId="7615" xr:uid="{00000000-0005-0000-0000-0000591A0000}"/>
    <cellStyle name="20% - Accent5 3 5 3 2" xfId="9834" xr:uid="{00000000-0005-0000-0000-00005A1A0000}"/>
    <cellStyle name="20% - Accent5 3 5 3 2 2" xfId="20397" xr:uid="{00000000-0005-0000-0000-00005B1A0000}"/>
    <cellStyle name="20% - Accent5 3 5 3 3" xfId="12053" xr:uid="{00000000-0005-0000-0000-00005C1A0000}"/>
    <cellStyle name="20% - Accent5 3 5 3 3 2" xfId="22616" xr:uid="{00000000-0005-0000-0000-00005D1A0000}"/>
    <cellStyle name="20% - Accent5 3 5 3 4" xfId="14272" xr:uid="{00000000-0005-0000-0000-00005E1A0000}"/>
    <cellStyle name="20% - Accent5 3 5 3 4 2" xfId="24835" xr:uid="{00000000-0005-0000-0000-00005F1A0000}"/>
    <cellStyle name="20% - Accent5 3 5 3 5" xfId="18178" xr:uid="{00000000-0005-0000-0000-0000601A0000}"/>
    <cellStyle name="20% - Accent5 3 5 4" xfId="9091" xr:uid="{00000000-0005-0000-0000-0000611A0000}"/>
    <cellStyle name="20% - Accent5 3 5 4 2" xfId="19654" xr:uid="{00000000-0005-0000-0000-0000621A0000}"/>
    <cellStyle name="20% - Accent5 3 5 5" xfId="11310" xr:uid="{00000000-0005-0000-0000-0000631A0000}"/>
    <cellStyle name="20% - Accent5 3 5 5 2" xfId="21873" xr:uid="{00000000-0005-0000-0000-0000641A0000}"/>
    <cellStyle name="20% - Accent5 3 5 6" xfId="13529" xr:uid="{00000000-0005-0000-0000-0000651A0000}"/>
    <cellStyle name="20% - Accent5 3 5 6 2" xfId="24092" xr:uid="{00000000-0005-0000-0000-0000661A0000}"/>
    <cellStyle name="20% - Accent5 3 5 7" xfId="17429" xr:uid="{00000000-0005-0000-0000-0000671A0000}"/>
    <cellStyle name="20% - Accent5 3 6" xfId="669" xr:uid="{00000000-0005-0000-0000-0000681A0000}"/>
    <cellStyle name="20% - Accent5 3 6 2" xfId="670" xr:uid="{00000000-0005-0000-0000-0000691A0000}"/>
    <cellStyle name="20% - Accent5 3 6 2 2" xfId="8349" xr:uid="{00000000-0005-0000-0000-00006A1A0000}"/>
    <cellStyle name="20% - Accent5 3 6 2 2 2" xfId="10568" xr:uid="{00000000-0005-0000-0000-00006B1A0000}"/>
    <cellStyle name="20% - Accent5 3 6 2 2 2 2" xfId="21131" xr:uid="{00000000-0005-0000-0000-00006C1A0000}"/>
    <cellStyle name="20% - Accent5 3 6 2 2 3" xfId="12787" xr:uid="{00000000-0005-0000-0000-00006D1A0000}"/>
    <cellStyle name="20% - Accent5 3 6 2 2 3 2" xfId="23350" xr:uid="{00000000-0005-0000-0000-00006E1A0000}"/>
    <cellStyle name="20% - Accent5 3 6 2 2 4" xfId="15006" xr:uid="{00000000-0005-0000-0000-00006F1A0000}"/>
    <cellStyle name="20% - Accent5 3 6 2 2 4 2" xfId="25569" xr:uid="{00000000-0005-0000-0000-0000701A0000}"/>
    <cellStyle name="20% - Accent5 3 6 2 2 5" xfId="18912" xr:uid="{00000000-0005-0000-0000-0000711A0000}"/>
    <cellStyle name="20% - Accent5 3 6 2 3" xfId="7616" xr:uid="{00000000-0005-0000-0000-0000721A0000}"/>
    <cellStyle name="20% - Accent5 3 6 2 3 2" xfId="9835" xr:uid="{00000000-0005-0000-0000-0000731A0000}"/>
    <cellStyle name="20% - Accent5 3 6 2 3 2 2" xfId="20398" xr:uid="{00000000-0005-0000-0000-0000741A0000}"/>
    <cellStyle name="20% - Accent5 3 6 2 3 3" xfId="12054" xr:uid="{00000000-0005-0000-0000-0000751A0000}"/>
    <cellStyle name="20% - Accent5 3 6 2 3 3 2" xfId="22617" xr:uid="{00000000-0005-0000-0000-0000761A0000}"/>
    <cellStyle name="20% - Accent5 3 6 2 3 4" xfId="14273" xr:uid="{00000000-0005-0000-0000-0000771A0000}"/>
    <cellStyle name="20% - Accent5 3 6 2 3 4 2" xfId="24836" xr:uid="{00000000-0005-0000-0000-0000781A0000}"/>
    <cellStyle name="20% - Accent5 3 6 2 3 5" xfId="18179" xr:uid="{00000000-0005-0000-0000-0000791A0000}"/>
    <cellStyle name="20% - Accent5 3 6 2 4" xfId="9092" xr:uid="{00000000-0005-0000-0000-00007A1A0000}"/>
    <cellStyle name="20% - Accent5 3 6 2 4 2" xfId="19655" xr:uid="{00000000-0005-0000-0000-00007B1A0000}"/>
    <cellStyle name="20% - Accent5 3 6 2 5" xfId="11311" xr:uid="{00000000-0005-0000-0000-00007C1A0000}"/>
    <cellStyle name="20% - Accent5 3 6 2 5 2" xfId="21874" xr:uid="{00000000-0005-0000-0000-00007D1A0000}"/>
    <cellStyle name="20% - Accent5 3 6 2 6" xfId="13530" xr:uid="{00000000-0005-0000-0000-00007E1A0000}"/>
    <cellStyle name="20% - Accent5 3 6 2 6 2" xfId="24093" xr:uid="{00000000-0005-0000-0000-00007F1A0000}"/>
    <cellStyle name="20% - Accent5 3 6 2 7" xfId="17430" xr:uid="{00000000-0005-0000-0000-0000801A0000}"/>
    <cellStyle name="20% - Accent5 3 6 3" xfId="671" xr:uid="{00000000-0005-0000-0000-0000811A0000}"/>
    <cellStyle name="20% - Accent5 3 6 3 2" xfId="8350" xr:uid="{00000000-0005-0000-0000-0000821A0000}"/>
    <cellStyle name="20% - Accent5 3 6 3 2 2" xfId="10569" xr:uid="{00000000-0005-0000-0000-0000831A0000}"/>
    <cellStyle name="20% - Accent5 3 6 3 2 2 2" xfId="21132" xr:uid="{00000000-0005-0000-0000-0000841A0000}"/>
    <cellStyle name="20% - Accent5 3 6 3 2 3" xfId="12788" xr:uid="{00000000-0005-0000-0000-0000851A0000}"/>
    <cellStyle name="20% - Accent5 3 6 3 2 3 2" xfId="23351" xr:uid="{00000000-0005-0000-0000-0000861A0000}"/>
    <cellStyle name="20% - Accent5 3 6 3 2 4" xfId="15007" xr:uid="{00000000-0005-0000-0000-0000871A0000}"/>
    <cellStyle name="20% - Accent5 3 6 3 2 4 2" xfId="25570" xr:uid="{00000000-0005-0000-0000-0000881A0000}"/>
    <cellStyle name="20% - Accent5 3 6 3 2 5" xfId="18913" xr:uid="{00000000-0005-0000-0000-0000891A0000}"/>
    <cellStyle name="20% - Accent5 3 6 3 3" xfId="7617" xr:uid="{00000000-0005-0000-0000-00008A1A0000}"/>
    <cellStyle name="20% - Accent5 3 6 3 3 2" xfId="9836" xr:uid="{00000000-0005-0000-0000-00008B1A0000}"/>
    <cellStyle name="20% - Accent5 3 6 3 3 2 2" xfId="20399" xr:uid="{00000000-0005-0000-0000-00008C1A0000}"/>
    <cellStyle name="20% - Accent5 3 6 3 3 3" xfId="12055" xr:uid="{00000000-0005-0000-0000-00008D1A0000}"/>
    <cellStyle name="20% - Accent5 3 6 3 3 3 2" xfId="22618" xr:uid="{00000000-0005-0000-0000-00008E1A0000}"/>
    <cellStyle name="20% - Accent5 3 6 3 3 4" xfId="14274" xr:uid="{00000000-0005-0000-0000-00008F1A0000}"/>
    <cellStyle name="20% - Accent5 3 6 3 3 4 2" xfId="24837" xr:uid="{00000000-0005-0000-0000-0000901A0000}"/>
    <cellStyle name="20% - Accent5 3 6 3 3 5" xfId="18180" xr:uid="{00000000-0005-0000-0000-0000911A0000}"/>
    <cellStyle name="20% - Accent5 3 6 3 4" xfId="9093" xr:uid="{00000000-0005-0000-0000-0000921A0000}"/>
    <cellStyle name="20% - Accent5 3 6 3 4 2" xfId="19656" xr:uid="{00000000-0005-0000-0000-0000931A0000}"/>
    <cellStyle name="20% - Accent5 3 6 3 5" xfId="11312" xr:uid="{00000000-0005-0000-0000-0000941A0000}"/>
    <cellStyle name="20% - Accent5 3 6 3 5 2" xfId="21875" xr:uid="{00000000-0005-0000-0000-0000951A0000}"/>
    <cellStyle name="20% - Accent5 3 6 3 6" xfId="13531" xr:uid="{00000000-0005-0000-0000-0000961A0000}"/>
    <cellStyle name="20% - Accent5 3 6 3 6 2" xfId="24094" xr:uid="{00000000-0005-0000-0000-0000971A0000}"/>
    <cellStyle name="20% - Accent5 3 6 3 7" xfId="17431" xr:uid="{00000000-0005-0000-0000-0000981A0000}"/>
    <cellStyle name="20% - Accent5 3 6 4" xfId="672" xr:uid="{00000000-0005-0000-0000-0000991A0000}"/>
    <cellStyle name="20% - Accent5 3 6 4 2" xfId="8351" xr:uid="{00000000-0005-0000-0000-00009A1A0000}"/>
    <cellStyle name="20% - Accent5 3 6 4 2 2" xfId="10570" xr:uid="{00000000-0005-0000-0000-00009B1A0000}"/>
    <cellStyle name="20% - Accent5 3 6 4 2 2 2" xfId="21133" xr:uid="{00000000-0005-0000-0000-00009C1A0000}"/>
    <cellStyle name="20% - Accent5 3 6 4 2 3" xfId="12789" xr:uid="{00000000-0005-0000-0000-00009D1A0000}"/>
    <cellStyle name="20% - Accent5 3 6 4 2 3 2" xfId="23352" xr:uid="{00000000-0005-0000-0000-00009E1A0000}"/>
    <cellStyle name="20% - Accent5 3 6 4 2 4" xfId="15008" xr:uid="{00000000-0005-0000-0000-00009F1A0000}"/>
    <cellStyle name="20% - Accent5 3 6 4 2 4 2" xfId="25571" xr:uid="{00000000-0005-0000-0000-0000A01A0000}"/>
    <cellStyle name="20% - Accent5 3 6 4 2 5" xfId="18914" xr:uid="{00000000-0005-0000-0000-0000A11A0000}"/>
    <cellStyle name="20% - Accent5 3 6 4 3" xfId="7618" xr:uid="{00000000-0005-0000-0000-0000A21A0000}"/>
    <cellStyle name="20% - Accent5 3 6 4 3 2" xfId="9837" xr:uid="{00000000-0005-0000-0000-0000A31A0000}"/>
    <cellStyle name="20% - Accent5 3 6 4 3 2 2" xfId="20400" xr:uid="{00000000-0005-0000-0000-0000A41A0000}"/>
    <cellStyle name="20% - Accent5 3 6 4 3 3" xfId="12056" xr:uid="{00000000-0005-0000-0000-0000A51A0000}"/>
    <cellStyle name="20% - Accent5 3 6 4 3 3 2" xfId="22619" xr:uid="{00000000-0005-0000-0000-0000A61A0000}"/>
    <cellStyle name="20% - Accent5 3 6 4 3 4" xfId="14275" xr:uid="{00000000-0005-0000-0000-0000A71A0000}"/>
    <cellStyle name="20% - Accent5 3 6 4 3 4 2" xfId="24838" xr:uid="{00000000-0005-0000-0000-0000A81A0000}"/>
    <cellStyle name="20% - Accent5 3 6 4 3 5" xfId="18181" xr:uid="{00000000-0005-0000-0000-0000A91A0000}"/>
    <cellStyle name="20% - Accent5 3 6 4 4" xfId="9094" xr:uid="{00000000-0005-0000-0000-0000AA1A0000}"/>
    <cellStyle name="20% - Accent5 3 6 4 4 2" xfId="19657" xr:uid="{00000000-0005-0000-0000-0000AB1A0000}"/>
    <cellStyle name="20% - Accent5 3 6 4 5" xfId="11313" xr:uid="{00000000-0005-0000-0000-0000AC1A0000}"/>
    <cellStyle name="20% - Accent5 3 6 4 5 2" xfId="21876" xr:uid="{00000000-0005-0000-0000-0000AD1A0000}"/>
    <cellStyle name="20% - Accent5 3 6 4 6" xfId="13532" xr:uid="{00000000-0005-0000-0000-0000AE1A0000}"/>
    <cellStyle name="20% - Accent5 3 6 4 6 2" xfId="24095" xr:uid="{00000000-0005-0000-0000-0000AF1A0000}"/>
    <cellStyle name="20% - Accent5 3 6 4 7" xfId="17432" xr:uid="{00000000-0005-0000-0000-0000B01A0000}"/>
    <cellStyle name="20% - Accent5 3 6 5" xfId="673" xr:uid="{00000000-0005-0000-0000-0000B11A0000}"/>
    <cellStyle name="20% - Accent5 3 6 5 2" xfId="8352" xr:uid="{00000000-0005-0000-0000-0000B21A0000}"/>
    <cellStyle name="20% - Accent5 3 6 5 2 2" xfId="10571" xr:uid="{00000000-0005-0000-0000-0000B31A0000}"/>
    <cellStyle name="20% - Accent5 3 6 5 2 2 2" xfId="21134" xr:uid="{00000000-0005-0000-0000-0000B41A0000}"/>
    <cellStyle name="20% - Accent5 3 6 5 2 3" xfId="12790" xr:uid="{00000000-0005-0000-0000-0000B51A0000}"/>
    <cellStyle name="20% - Accent5 3 6 5 2 3 2" xfId="23353" xr:uid="{00000000-0005-0000-0000-0000B61A0000}"/>
    <cellStyle name="20% - Accent5 3 6 5 2 4" xfId="15009" xr:uid="{00000000-0005-0000-0000-0000B71A0000}"/>
    <cellStyle name="20% - Accent5 3 6 5 2 4 2" xfId="25572" xr:uid="{00000000-0005-0000-0000-0000B81A0000}"/>
    <cellStyle name="20% - Accent5 3 6 5 2 5" xfId="18915" xr:uid="{00000000-0005-0000-0000-0000B91A0000}"/>
    <cellStyle name="20% - Accent5 3 6 5 3" xfId="7619" xr:uid="{00000000-0005-0000-0000-0000BA1A0000}"/>
    <cellStyle name="20% - Accent5 3 6 5 3 2" xfId="9838" xr:uid="{00000000-0005-0000-0000-0000BB1A0000}"/>
    <cellStyle name="20% - Accent5 3 6 5 3 2 2" xfId="20401" xr:uid="{00000000-0005-0000-0000-0000BC1A0000}"/>
    <cellStyle name="20% - Accent5 3 6 5 3 3" xfId="12057" xr:uid="{00000000-0005-0000-0000-0000BD1A0000}"/>
    <cellStyle name="20% - Accent5 3 6 5 3 3 2" xfId="22620" xr:uid="{00000000-0005-0000-0000-0000BE1A0000}"/>
    <cellStyle name="20% - Accent5 3 6 5 3 4" xfId="14276" xr:uid="{00000000-0005-0000-0000-0000BF1A0000}"/>
    <cellStyle name="20% - Accent5 3 6 5 3 4 2" xfId="24839" xr:uid="{00000000-0005-0000-0000-0000C01A0000}"/>
    <cellStyle name="20% - Accent5 3 6 5 3 5" xfId="18182" xr:uid="{00000000-0005-0000-0000-0000C11A0000}"/>
    <cellStyle name="20% - Accent5 3 6 5 4" xfId="9095" xr:uid="{00000000-0005-0000-0000-0000C21A0000}"/>
    <cellStyle name="20% - Accent5 3 6 5 4 2" xfId="19658" xr:uid="{00000000-0005-0000-0000-0000C31A0000}"/>
    <cellStyle name="20% - Accent5 3 6 5 5" xfId="11314" xr:uid="{00000000-0005-0000-0000-0000C41A0000}"/>
    <cellStyle name="20% - Accent5 3 6 5 5 2" xfId="21877" xr:uid="{00000000-0005-0000-0000-0000C51A0000}"/>
    <cellStyle name="20% - Accent5 3 6 5 6" xfId="13533" xr:uid="{00000000-0005-0000-0000-0000C61A0000}"/>
    <cellStyle name="20% - Accent5 3 6 5 6 2" xfId="24096" xr:uid="{00000000-0005-0000-0000-0000C71A0000}"/>
    <cellStyle name="20% - Accent5 3 6 5 7" xfId="17433" xr:uid="{00000000-0005-0000-0000-0000C81A0000}"/>
    <cellStyle name="20% - Accent5 3 7" xfId="674" xr:uid="{00000000-0005-0000-0000-0000C91A0000}"/>
    <cellStyle name="20% - Accent5 3 8" xfId="675" xr:uid="{00000000-0005-0000-0000-0000CA1A0000}"/>
    <cellStyle name="20% - Accent5 3 9" xfId="676" xr:uid="{00000000-0005-0000-0000-0000CB1A0000}"/>
    <cellStyle name="20% - Accent5 4" xfId="677" xr:uid="{00000000-0005-0000-0000-0000CC1A0000}"/>
    <cellStyle name="20% - Accent5 4 10" xfId="678" xr:uid="{00000000-0005-0000-0000-0000CD1A0000}"/>
    <cellStyle name="20% - Accent5 4 2" xfId="679" xr:uid="{00000000-0005-0000-0000-0000CE1A0000}"/>
    <cellStyle name="20% - Accent5 4 2 2" xfId="680" xr:uid="{00000000-0005-0000-0000-0000CF1A0000}"/>
    <cellStyle name="20% - Accent5 4 2 2 2" xfId="8353" xr:uid="{00000000-0005-0000-0000-0000D01A0000}"/>
    <cellStyle name="20% - Accent5 4 2 2 2 2" xfId="10572" xr:uid="{00000000-0005-0000-0000-0000D11A0000}"/>
    <cellStyle name="20% - Accent5 4 2 2 2 2 2" xfId="21135" xr:uid="{00000000-0005-0000-0000-0000D21A0000}"/>
    <cellStyle name="20% - Accent5 4 2 2 2 3" xfId="12791" xr:uid="{00000000-0005-0000-0000-0000D31A0000}"/>
    <cellStyle name="20% - Accent5 4 2 2 2 3 2" xfId="23354" xr:uid="{00000000-0005-0000-0000-0000D41A0000}"/>
    <cellStyle name="20% - Accent5 4 2 2 2 4" xfId="15010" xr:uid="{00000000-0005-0000-0000-0000D51A0000}"/>
    <cellStyle name="20% - Accent5 4 2 2 2 4 2" xfId="25573" xr:uid="{00000000-0005-0000-0000-0000D61A0000}"/>
    <cellStyle name="20% - Accent5 4 2 2 2 5" xfId="18916" xr:uid="{00000000-0005-0000-0000-0000D71A0000}"/>
    <cellStyle name="20% - Accent5 4 2 2 3" xfId="7620" xr:uid="{00000000-0005-0000-0000-0000D81A0000}"/>
    <cellStyle name="20% - Accent5 4 2 2 3 2" xfId="9839" xr:uid="{00000000-0005-0000-0000-0000D91A0000}"/>
    <cellStyle name="20% - Accent5 4 2 2 3 2 2" xfId="20402" xr:uid="{00000000-0005-0000-0000-0000DA1A0000}"/>
    <cellStyle name="20% - Accent5 4 2 2 3 3" xfId="12058" xr:uid="{00000000-0005-0000-0000-0000DB1A0000}"/>
    <cellStyle name="20% - Accent5 4 2 2 3 3 2" xfId="22621" xr:uid="{00000000-0005-0000-0000-0000DC1A0000}"/>
    <cellStyle name="20% - Accent5 4 2 2 3 4" xfId="14277" xr:uid="{00000000-0005-0000-0000-0000DD1A0000}"/>
    <cellStyle name="20% - Accent5 4 2 2 3 4 2" xfId="24840" xr:uid="{00000000-0005-0000-0000-0000DE1A0000}"/>
    <cellStyle name="20% - Accent5 4 2 2 3 5" xfId="18183" xr:uid="{00000000-0005-0000-0000-0000DF1A0000}"/>
    <cellStyle name="20% - Accent5 4 2 2 4" xfId="9096" xr:uid="{00000000-0005-0000-0000-0000E01A0000}"/>
    <cellStyle name="20% - Accent5 4 2 2 4 2" xfId="19659" xr:uid="{00000000-0005-0000-0000-0000E11A0000}"/>
    <cellStyle name="20% - Accent5 4 2 2 5" xfId="11315" xr:uid="{00000000-0005-0000-0000-0000E21A0000}"/>
    <cellStyle name="20% - Accent5 4 2 2 5 2" xfId="21878" xr:uid="{00000000-0005-0000-0000-0000E31A0000}"/>
    <cellStyle name="20% - Accent5 4 2 2 6" xfId="13534" xr:uid="{00000000-0005-0000-0000-0000E41A0000}"/>
    <cellStyle name="20% - Accent5 4 2 2 6 2" xfId="24097" xr:uid="{00000000-0005-0000-0000-0000E51A0000}"/>
    <cellStyle name="20% - Accent5 4 2 2 7" xfId="17434" xr:uid="{00000000-0005-0000-0000-0000E61A0000}"/>
    <cellStyle name="20% - Accent5 4 2 3" xfId="681" xr:uid="{00000000-0005-0000-0000-0000E71A0000}"/>
    <cellStyle name="20% - Accent5 4 2 3 2" xfId="8354" xr:uid="{00000000-0005-0000-0000-0000E81A0000}"/>
    <cellStyle name="20% - Accent5 4 2 3 2 2" xfId="10573" xr:uid="{00000000-0005-0000-0000-0000E91A0000}"/>
    <cellStyle name="20% - Accent5 4 2 3 2 2 2" xfId="21136" xr:uid="{00000000-0005-0000-0000-0000EA1A0000}"/>
    <cellStyle name="20% - Accent5 4 2 3 2 3" xfId="12792" xr:uid="{00000000-0005-0000-0000-0000EB1A0000}"/>
    <cellStyle name="20% - Accent5 4 2 3 2 3 2" xfId="23355" xr:uid="{00000000-0005-0000-0000-0000EC1A0000}"/>
    <cellStyle name="20% - Accent5 4 2 3 2 4" xfId="15011" xr:uid="{00000000-0005-0000-0000-0000ED1A0000}"/>
    <cellStyle name="20% - Accent5 4 2 3 2 4 2" xfId="25574" xr:uid="{00000000-0005-0000-0000-0000EE1A0000}"/>
    <cellStyle name="20% - Accent5 4 2 3 2 5" xfId="18917" xr:uid="{00000000-0005-0000-0000-0000EF1A0000}"/>
    <cellStyle name="20% - Accent5 4 2 3 3" xfId="7621" xr:uid="{00000000-0005-0000-0000-0000F01A0000}"/>
    <cellStyle name="20% - Accent5 4 2 3 3 2" xfId="9840" xr:uid="{00000000-0005-0000-0000-0000F11A0000}"/>
    <cellStyle name="20% - Accent5 4 2 3 3 2 2" xfId="20403" xr:uid="{00000000-0005-0000-0000-0000F21A0000}"/>
    <cellStyle name="20% - Accent5 4 2 3 3 3" xfId="12059" xr:uid="{00000000-0005-0000-0000-0000F31A0000}"/>
    <cellStyle name="20% - Accent5 4 2 3 3 3 2" xfId="22622" xr:uid="{00000000-0005-0000-0000-0000F41A0000}"/>
    <cellStyle name="20% - Accent5 4 2 3 3 4" xfId="14278" xr:uid="{00000000-0005-0000-0000-0000F51A0000}"/>
    <cellStyle name="20% - Accent5 4 2 3 3 4 2" xfId="24841" xr:uid="{00000000-0005-0000-0000-0000F61A0000}"/>
    <cellStyle name="20% - Accent5 4 2 3 3 5" xfId="18184" xr:uid="{00000000-0005-0000-0000-0000F71A0000}"/>
    <cellStyle name="20% - Accent5 4 2 3 4" xfId="9097" xr:uid="{00000000-0005-0000-0000-0000F81A0000}"/>
    <cellStyle name="20% - Accent5 4 2 3 4 2" xfId="19660" xr:uid="{00000000-0005-0000-0000-0000F91A0000}"/>
    <cellStyle name="20% - Accent5 4 2 3 5" xfId="11316" xr:uid="{00000000-0005-0000-0000-0000FA1A0000}"/>
    <cellStyle name="20% - Accent5 4 2 3 5 2" xfId="21879" xr:uid="{00000000-0005-0000-0000-0000FB1A0000}"/>
    <cellStyle name="20% - Accent5 4 2 3 6" xfId="13535" xr:uid="{00000000-0005-0000-0000-0000FC1A0000}"/>
    <cellStyle name="20% - Accent5 4 2 3 6 2" xfId="24098" xr:uid="{00000000-0005-0000-0000-0000FD1A0000}"/>
    <cellStyle name="20% - Accent5 4 2 3 7" xfId="17435" xr:uid="{00000000-0005-0000-0000-0000FE1A0000}"/>
    <cellStyle name="20% - Accent5 4 2 4" xfId="682" xr:uid="{00000000-0005-0000-0000-0000FF1A0000}"/>
    <cellStyle name="20% - Accent5 4 2 4 2" xfId="8355" xr:uid="{00000000-0005-0000-0000-0000001B0000}"/>
    <cellStyle name="20% - Accent5 4 2 4 2 2" xfId="10574" xr:uid="{00000000-0005-0000-0000-0000011B0000}"/>
    <cellStyle name="20% - Accent5 4 2 4 2 2 2" xfId="21137" xr:uid="{00000000-0005-0000-0000-0000021B0000}"/>
    <cellStyle name="20% - Accent5 4 2 4 2 3" xfId="12793" xr:uid="{00000000-0005-0000-0000-0000031B0000}"/>
    <cellStyle name="20% - Accent5 4 2 4 2 3 2" xfId="23356" xr:uid="{00000000-0005-0000-0000-0000041B0000}"/>
    <cellStyle name="20% - Accent5 4 2 4 2 4" xfId="15012" xr:uid="{00000000-0005-0000-0000-0000051B0000}"/>
    <cellStyle name="20% - Accent5 4 2 4 2 4 2" xfId="25575" xr:uid="{00000000-0005-0000-0000-0000061B0000}"/>
    <cellStyle name="20% - Accent5 4 2 4 2 5" xfId="18918" xr:uid="{00000000-0005-0000-0000-0000071B0000}"/>
    <cellStyle name="20% - Accent5 4 2 4 3" xfId="7622" xr:uid="{00000000-0005-0000-0000-0000081B0000}"/>
    <cellStyle name="20% - Accent5 4 2 4 3 2" xfId="9841" xr:uid="{00000000-0005-0000-0000-0000091B0000}"/>
    <cellStyle name="20% - Accent5 4 2 4 3 2 2" xfId="20404" xr:uid="{00000000-0005-0000-0000-00000A1B0000}"/>
    <cellStyle name="20% - Accent5 4 2 4 3 3" xfId="12060" xr:uid="{00000000-0005-0000-0000-00000B1B0000}"/>
    <cellStyle name="20% - Accent5 4 2 4 3 3 2" xfId="22623" xr:uid="{00000000-0005-0000-0000-00000C1B0000}"/>
    <cellStyle name="20% - Accent5 4 2 4 3 4" xfId="14279" xr:uid="{00000000-0005-0000-0000-00000D1B0000}"/>
    <cellStyle name="20% - Accent5 4 2 4 3 4 2" xfId="24842" xr:uid="{00000000-0005-0000-0000-00000E1B0000}"/>
    <cellStyle name="20% - Accent5 4 2 4 3 5" xfId="18185" xr:uid="{00000000-0005-0000-0000-00000F1B0000}"/>
    <cellStyle name="20% - Accent5 4 2 4 4" xfId="9098" xr:uid="{00000000-0005-0000-0000-0000101B0000}"/>
    <cellStyle name="20% - Accent5 4 2 4 4 2" xfId="19661" xr:uid="{00000000-0005-0000-0000-0000111B0000}"/>
    <cellStyle name="20% - Accent5 4 2 4 5" xfId="11317" xr:uid="{00000000-0005-0000-0000-0000121B0000}"/>
    <cellStyle name="20% - Accent5 4 2 4 5 2" xfId="21880" xr:uid="{00000000-0005-0000-0000-0000131B0000}"/>
    <cellStyle name="20% - Accent5 4 2 4 6" xfId="13536" xr:uid="{00000000-0005-0000-0000-0000141B0000}"/>
    <cellStyle name="20% - Accent5 4 2 4 6 2" xfId="24099" xr:uid="{00000000-0005-0000-0000-0000151B0000}"/>
    <cellStyle name="20% - Accent5 4 2 4 7" xfId="17436" xr:uid="{00000000-0005-0000-0000-0000161B0000}"/>
    <cellStyle name="20% - Accent5 4 2 5" xfId="683" xr:uid="{00000000-0005-0000-0000-0000171B0000}"/>
    <cellStyle name="20% - Accent5 4 2 5 2" xfId="8356" xr:uid="{00000000-0005-0000-0000-0000181B0000}"/>
    <cellStyle name="20% - Accent5 4 2 5 2 2" xfId="10575" xr:uid="{00000000-0005-0000-0000-0000191B0000}"/>
    <cellStyle name="20% - Accent5 4 2 5 2 2 2" xfId="21138" xr:uid="{00000000-0005-0000-0000-00001A1B0000}"/>
    <cellStyle name="20% - Accent5 4 2 5 2 3" xfId="12794" xr:uid="{00000000-0005-0000-0000-00001B1B0000}"/>
    <cellStyle name="20% - Accent5 4 2 5 2 3 2" xfId="23357" xr:uid="{00000000-0005-0000-0000-00001C1B0000}"/>
    <cellStyle name="20% - Accent5 4 2 5 2 4" xfId="15013" xr:uid="{00000000-0005-0000-0000-00001D1B0000}"/>
    <cellStyle name="20% - Accent5 4 2 5 2 4 2" xfId="25576" xr:uid="{00000000-0005-0000-0000-00001E1B0000}"/>
    <cellStyle name="20% - Accent5 4 2 5 2 5" xfId="18919" xr:uid="{00000000-0005-0000-0000-00001F1B0000}"/>
    <cellStyle name="20% - Accent5 4 2 5 3" xfId="7623" xr:uid="{00000000-0005-0000-0000-0000201B0000}"/>
    <cellStyle name="20% - Accent5 4 2 5 3 2" xfId="9842" xr:uid="{00000000-0005-0000-0000-0000211B0000}"/>
    <cellStyle name="20% - Accent5 4 2 5 3 2 2" xfId="20405" xr:uid="{00000000-0005-0000-0000-0000221B0000}"/>
    <cellStyle name="20% - Accent5 4 2 5 3 3" xfId="12061" xr:uid="{00000000-0005-0000-0000-0000231B0000}"/>
    <cellStyle name="20% - Accent5 4 2 5 3 3 2" xfId="22624" xr:uid="{00000000-0005-0000-0000-0000241B0000}"/>
    <cellStyle name="20% - Accent5 4 2 5 3 4" xfId="14280" xr:uid="{00000000-0005-0000-0000-0000251B0000}"/>
    <cellStyle name="20% - Accent5 4 2 5 3 4 2" xfId="24843" xr:uid="{00000000-0005-0000-0000-0000261B0000}"/>
    <cellStyle name="20% - Accent5 4 2 5 3 5" xfId="18186" xr:uid="{00000000-0005-0000-0000-0000271B0000}"/>
    <cellStyle name="20% - Accent5 4 2 5 4" xfId="9099" xr:uid="{00000000-0005-0000-0000-0000281B0000}"/>
    <cellStyle name="20% - Accent5 4 2 5 4 2" xfId="19662" xr:uid="{00000000-0005-0000-0000-0000291B0000}"/>
    <cellStyle name="20% - Accent5 4 2 5 5" xfId="11318" xr:uid="{00000000-0005-0000-0000-00002A1B0000}"/>
    <cellStyle name="20% - Accent5 4 2 5 5 2" xfId="21881" xr:uid="{00000000-0005-0000-0000-00002B1B0000}"/>
    <cellStyle name="20% - Accent5 4 2 5 6" xfId="13537" xr:uid="{00000000-0005-0000-0000-00002C1B0000}"/>
    <cellStyle name="20% - Accent5 4 2 5 6 2" xfId="24100" xr:uid="{00000000-0005-0000-0000-00002D1B0000}"/>
    <cellStyle name="20% - Accent5 4 2 5 7" xfId="17437" xr:uid="{00000000-0005-0000-0000-00002E1B0000}"/>
    <cellStyle name="20% - Accent5 4 3" xfId="684" xr:uid="{00000000-0005-0000-0000-00002F1B0000}"/>
    <cellStyle name="20% - Accent5 4 3 2" xfId="8357" xr:uid="{00000000-0005-0000-0000-0000301B0000}"/>
    <cellStyle name="20% - Accent5 4 3 2 2" xfId="10576" xr:uid="{00000000-0005-0000-0000-0000311B0000}"/>
    <cellStyle name="20% - Accent5 4 3 2 2 2" xfId="21139" xr:uid="{00000000-0005-0000-0000-0000321B0000}"/>
    <cellStyle name="20% - Accent5 4 3 2 3" xfId="12795" xr:uid="{00000000-0005-0000-0000-0000331B0000}"/>
    <cellStyle name="20% - Accent5 4 3 2 3 2" xfId="23358" xr:uid="{00000000-0005-0000-0000-0000341B0000}"/>
    <cellStyle name="20% - Accent5 4 3 2 4" xfId="15014" xr:uid="{00000000-0005-0000-0000-0000351B0000}"/>
    <cellStyle name="20% - Accent5 4 3 2 4 2" xfId="25577" xr:uid="{00000000-0005-0000-0000-0000361B0000}"/>
    <cellStyle name="20% - Accent5 4 3 2 5" xfId="18920" xr:uid="{00000000-0005-0000-0000-0000371B0000}"/>
    <cellStyle name="20% - Accent5 4 3 3" xfId="7624" xr:uid="{00000000-0005-0000-0000-0000381B0000}"/>
    <cellStyle name="20% - Accent5 4 3 3 2" xfId="9843" xr:uid="{00000000-0005-0000-0000-0000391B0000}"/>
    <cellStyle name="20% - Accent5 4 3 3 2 2" xfId="20406" xr:uid="{00000000-0005-0000-0000-00003A1B0000}"/>
    <cellStyle name="20% - Accent5 4 3 3 3" xfId="12062" xr:uid="{00000000-0005-0000-0000-00003B1B0000}"/>
    <cellStyle name="20% - Accent5 4 3 3 3 2" xfId="22625" xr:uid="{00000000-0005-0000-0000-00003C1B0000}"/>
    <cellStyle name="20% - Accent5 4 3 3 4" xfId="14281" xr:uid="{00000000-0005-0000-0000-00003D1B0000}"/>
    <cellStyle name="20% - Accent5 4 3 3 4 2" xfId="24844" xr:uid="{00000000-0005-0000-0000-00003E1B0000}"/>
    <cellStyle name="20% - Accent5 4 3 3 5" xfId="18187" xr:uid="{00000000-0005-0000-0000-00003F1B0000}"/>
    <cellStyle name="20% - Accent5 4 3 4" xfId="9100" xr:uid="{00000000-0005-0000-0000-0000401B0000}"/>
    <cellStyle name="20% - Accent5 4 3 4 2" xfId="19663" xr:uid="{00000000-0005-0000-0000-0000411B0000}"/>
    <cellStyle name="20% - Accent5 4 3 5" xfId="11319" xr:uid="{00000000-0005-0000-0000-0000421B0000}"/>
    <cellStyle name="20% - Accent5 4 3 5 2" xfId="21882" xr:uid="{00000000-0005-0000-0000-0000431B0000}"/>
    <cellStyle name="20% - Accent5 4 3 6" xfId="13538" xr:uid="{00000000-0005-0000-0000-0000441B0000}"/>
    <cellStyle name="20% - Accent5 4 3 6 2" xfId="24101" xr:uid="{00000000-0005-0000-0000-0000451B0000}"/>
    <cellStyle name="20% - Accent5 4 3 7" xfId="17438" xr:uid="{00000000-0005-0000-0000-0000461B0000}"/>
    <cellStyle name="20% - Accent5 4 4" xfId="685" xr:uid="{00000000-0005-0000-0000-0000471B0000}"/>
    <cellStyle name="20% - Accent5 4 4 2" xfId="8358" xr:uid="{00000000-0005-0000-0000-0000481B0000}"/>
    <cellStyle name="20% - Accent5 4 4 2 2" xfId="10577" xr:uid="{00000000-0005-0000-0000-0000491B0000}"/>
    <cellStyle name="20% - Accent5 4 4 2 2 2" xfId="21140" xr:uid="{00000000-0005-0000-0000-00004A1B0000}"/>
    <cellStyle name="20% - Accent5 4 4 2 3" xfId="12796" xr:uid="{00000000-0005-0000-0000-00004B1B0000}"/>
    <cellStyle name="20% - Accent5 4 4 2 3 2" xfId="23359" xr:uid="{00000000-0005-0000-0000-00004C1B0000}"/>
    <cellStyle name="20% - Accent5 4 4 2 4" xfId="15015" xr:uid="{00000000-0005-0000-0000-00004D1B0000}"/>
    <cellStyle name="20% - Accent5 4 4 2 4 2" xfId="25578" xr:uid="{00000000-0005-0000-0000-00004E1B0000}"/>
    <cellStyle name="20% - Accent5 4 4 2 5" xfId="18921" xr:uid="{00000000-0005-0000-0000-00004F1B0000}"/>
    <cellStyle name="20% - Accent5 4 4 3" xfId="7625" xr:uid="{00000000-0005-0000-0000-0000501B0000}"/>
    <cellStyle name="20% - Accent5 4 4 3 2" xfId="9844" xr:uid="{00000000-0005-0000-0000-0000511B0000}"/>
    <cellStyle name="20% - Accent5 4 4 3 2 2" xfId="20407" xr:uid="{00000000-0005-0000-0000-0000521B0000}"/>
    <cellStyle name="20% - Accent5 4 4 3 3" xfId="12063" xr:uid="{00000000-0005-0000-0000-0000531B0000}"/>
    <cellStyle name="20% - Accent5 4 4 3 3 2" xfId="22626" xr:uid="{00000000-0005-0000-0000-0000541B0000}"/>
    <cellStyle name="20% - Accent5 4 4 3 4" xfId="14282" xr:uid="{00000000-0005-0000-0000-0000551B0000}"/>
    <cellStyle name="20% - Accent5 4 4 3 4 2" xfId="24845" xr:uid="{00000000-0005-0000-0000-0000561B0000}"/>
    <cellStyle name="20% - Accent5 4 4 3 5" xfId="18188" xr:uid="{00000000-0005-0000-0000-0000571B0000}"/>
    <cellStyle name="20% - Accent5 4 4 4" xfId="9101" xr:uid="{00000000-0005-0000-0000-0000581B0000}"/>
    <cellStyle name="20% - Accent5 4 4 4 2" xfId="19664" xr:uid="{00000000-0005-0000-0000-0000591B0000}"/>
    <cellStyle name="20% - Accent5 4 4 5" xfId="11320" xr:uid="{00000000-0005-0000-0000-00005A1B0000}"/>
    <cellStyle name="20% - Accent5 4 4 5 2" xfId="21883" xr:uid="{00000000-0005-0000-0000-00005B1B0000}"/>
    <cellStyle name="20% - Accent5 4 4 6" xfId="13539" xr:uid="{00000000-0005-0000-0000-00005C1B0000}"/>
    <cellStyle name="20% - Accent5 4 4 6 2" xfId="24102" xr:uid="{00000000-0005-0000-0000-00005D1B0000}"/>
    <cellStyle name="20% - Accent5 4 4 7" xfId="17439" xr:uid="{00000000-0005-0000-0000-00005E1B0000}"/>
    <cellStyle name="20% - Accent5 4 5" xfId="686" xr:uid="{00000000-0005-0000-0000-00005F1B0000}"/>
    <cellStyle name="20% - Accent5 4 5 2" xfId="8359" xr:uid="{00000000-0005-0000-0000-0000601B0000}"/>
    <cellStyle name="20% - Accent5 4 5 2 2" xfId="10578" xr:uid="{00000000-0005-0000-0000-0000611B0000}"/>
    <cellStyle name="20% - Accent5 4 5 2 2 2" xfId="21141" xr:uid="{00000000-0005-0000-0000-0000621B0000}"/>
    <cellStyle name="20% - Accent5 4 5 2 3" xfId="12797" xr:uid="{00000000-0005-0000-0000-0000631B0000}"/>
    <cellStyle name="20% - Accent5 4 5 2 3 2" xfId="23360" xr:uid="{00000000-0005-0000-0000-0000641B0000}"/>
    <cellStyle name="20% - Accent5 4 5 2 4" xfId="15016" xr:uid="{00000000-0005-0000-0000-0000651B0000}"/>
    <cellStyle name="20% - Accent5 4 5 2 4 2" xfId="25579" xr:uid="{00000000-0005-0000-0000-0000661B0000}"/>
    <cellStyle name="20% - Accent5 4 5 2 5" xfId="18922" xr:uid="{00000000-0005-0000-0000-0000671B0000}"/>
    <cellStyle name="20% - Accent5 4 5 3" xfId="7626" xr:uid="{00000000-0005-0000-0000-0000681B0000}"/>
    <cellStyle name="20% - Accent5 4 5 3 2" xfId="9845" xr:uid="{00000000-0005-0000-0000-0000691B0000}"/>
    <cellStyle name="20% - Accent5 4 5 3 2 2" xfId="20408" xr:uid="{00000000-0005-0000-0000-00006A1B0000}"/>
    <cellStyle name="20% - Accent5 4 5 3 3" xfId="12064" xr:uid="{00000000-0005-0000-0000-00006B1B0000}"/>
    <cellStyle name="20% - Accent5 4 5 3 3 2" xfId="22627" xr:uid="{00000000-0005-0000-0000-00006C1B0000}"/>
    <cellStyle name="20% - Accent5 4 5 3 4" xfId="14283" xr:uid="{00000000-0005-0000-0000-00006D1B0000}"/>
    <cellStyle name="20% - Accent5 4 5 3 4 2" xfId="24846" xr:uid="{00000000-0005-0000-0000-00006E1B0000}"/>
    <cellStyle name="20% - Accent5 4 5 3 5" xfId="18189" xr:uid="{00000000-0005-0000-0000-00006F1B0000}"/>
    <cellStyle name="20% - Accent5 4 5 4" xfId="9102" xr:uid="{00000000-0005-0000-0000-0000701B0000}"/>
    <cellStyle name="20% - Accent5 4 5 4 2" xfId="19665" xr:uid="{00000000-0005-0000-0000-0000711B0000}"/>
    <cellStyle name="20% - Accent5 4 5 5" xfId="11321" xr:uid="{00000000-0005-0000-0000-0000721B0000}"/>
    <cellStyle name="20% - Accent5 4 5 5 2" xfId="21884" xr:uid="{00000000-0005-0000-0000-0000731B0000}"/>
    <cellStyle name="20% - Accent5 4 5 6" xfId="13540" xr:uid="{00000000-0005-0000-0000-0000741B0000}"/>
    <cellStyle name="20% - Accent5 4 5 6 2" xfId="24103" xr:uid="{00000000-0005-0000-0000-0000751B0000}"/>
    <cellStyle name="20% - Accent5 4 5 7" xfId="17440" xr:uid="{00000000-0005-0000-0000-0000761B0000}"/>
    <cellStyle name="20% - Accent5 4 6" xfId="687" xr:uid="{00000000-0005-0000-0000-0000771B0000}"/>
    <cellStyle name="20% - Accent5 4 6 2" xfId="8360" xr:uid="{00000000-0005-0000-0000-0000781B0000}"/>
    <cellStyle name="20% - Accent5 4 6 2 2" xfId="10579" xr:uid="{00000000-0005-0000-0000-0000791B0000}"/>
    <cellStyle name="20% - Accent5 4 6 2 2 2" xfId="21142" xr:uid="{00000000-0005-0000-0000-00007A1B0000}"/>
    <cellStyle name="20% - Accent5 4 6 2 3" xfId="12798" xr:uid="{00000000-0005-0000-0000-00007B1B0000}"/>
    <cellStyle name="20% - Accent5 4 6 2 3 2" xfId="23361" xr:uid="{00000000-0005-0000-0000-00007C1B0000}"/>
    <cellStyle name="20% - Accent5 4 6 2 4" xfId="15017" xr:uid="{00000000-0005-0000-0000-00007D1B0000}"/>
    <cellStyle name="20% - Accent5 4 6 2 4 2" xfId="25580" xr:uid="{00000000-0005-0000-0000-00007E1B0000}"/>
    <cellStyle name="20% - Accent5 4 6 2 5" xfId="18923" xr:uid="{00000000-0005-0000-0000-00007F1B0000}"/>
    <cellStyle name="20% - Accent5 4 6 3" xfId="7627" xr:uid="{00000000-0005-0000-0000-0000801B0000}"/>
    <cellStyle name="20% - Accent5 4 6 3 2" xfId="9846" xr:uid="{00000000-0005-0000-0000-0000811B0000}"/>
    <cellStyle name="20% - Accent5 4 6 3 2 2" xfId="20409" xr:uid="{00000000-0005-0000-0000-0000821B0000}"/>
    <cellStyle name="20% - Accent5 4 6 3 3" xfId="12065" xr:uid="{00000000-0005-0000-0000-0000831B0000}"/>
    <cellStyle name="20% - Accent5 4 6 3 3 2" xfId="22628" xr:uid="{00000000-0005-0000-0000-0000841B0000}"/>
    <cellStyle name="20% - Accent5 4 6 3 4" xfId="14284" xr:uid="{00000000-0005-0000-0000-0000851B0000}"/>
    <cellStyle name="20% - Accent5 4 6 3 4 2" xfId="24847" xr:uid="{00000000-0005-0000-0000-0000861B0000}"/>
    <cellStyle name="20% - Accent5 4 6 3 5" xfId="18190" xr:uid="{00000000-0005-0000-0000-0000871B0000}"/>
    <cellStyle name="20% - Accent5 4 6 4" xfId="9103" xr:uid="{00000000-0005-0000-0000-0000881B0000}"/>
    <cellStyle name="20% - Accent5 4 6 4 2" xfId="19666" xr:uid="{00000000-0005-0000-0000-0000891B0000}"/>
    <cellStyle name="20% - Accent5 4 6 5" xfId="11322" xr:uid="{00000000-0005-0000-0000-00008A1B0000}"/>
    <cellStyle name="20% - Accent5 4 6 5 2" xfId="21885" xr:uid="{00000000-0005-0000-0000-00008B1B0000}"/>
    <cellStyle name="20% - Accent5 4 6 6" xfId="13541" xr:uid="{00000000-0005-0000-0000-00008C1B0000}"/>
    <cellStyle name="20% - Accent5 4 6 6 2" xfId="24104" xr:uid="{00000000-0005-0000-0000-00008D1B0000}"/>
    <cellStyle name="20% - Accent5 4 6 7" xfId="17441" xr:uid="{00000000-0005-0000-0000-00008E1B0000}"/>
    <cellStyle name="20% - Accent5 4 7" xfId="688" xr:uid="{00000000-0005-0000-0000-00008F1B0000}"/>
    <cellStyle name="20% - Accent5 4 8" xfId="689" xr:uid="{00000000-0005-0000-0000-0000901B0000}"/>
    <cellStyle name="20% - Accent5 4 9" xfId="690" xr:uid="{00000000-0005-0000-0000-0000911B0000}"/>
    <cellStyle name="20% - Accent5 5" xfId="691" xr:uid="{00000000-0005-0000-0000-0000921B0000}"/>
    <cellStyle name="20% - Accent5 5 2" xfId="692" xr:uid="{00000000-0005-0000-0000-0000931B0000}"/>
    <cellStyle name="20% - Accent5 5 3" xfId="693" xr:uid="{00000000-0005-0000-0000-0000941B0000}"/>
    <cellStyle name="20% - Accent5 5 4" xfId="694" xr:uid="{00000000-0005-0000-0000-0000951B0000}"/>
    <cellStyle name="20% - Accent5 5 5" xfId="695" xr:uid="{00000000-0005-0000-0000-0000961B0000}"/>
    <cellStyle name="20% - Accent5 5 6" xfId="696" xr:uid="{00000000-0005-0000-0000-0000971B0000}"/>
    <cellStyle name="20% - Accent5 6" xfId="697" xr:uid="{00000000-0005-0000-0000-0000981B0000}"/>
    <cellStyle name="20% - Accent5 6 2" xfId="698" xr:uid="{00000000-0005-0000-0000-0000991B0000}"/>
    <cellStyle name="20% - Accent5 6 3" xfId="699" xr:uid="{00000000-0005-0000-0000-00009A1B0000}"/>
    <cellStyle name="20% - Accent5 6 4" xfId="700" xr:uid="{00000000-0005-0000-0000-00009B1B0000}"/>
    <cellStyle name="20% - Accent5 6 5" xfId="701" xr:uid="{00000000-0005-0000-0000-00009C1B0000}"/>
    <cellStyle name="20% - Accent5 6 6" xfId="702" xr:uid="{00000000-0005-0000-0000-00009D1B0000}"/>
    <cellStyle name="20% - Accent5 7" xfId="703" xr:uid="{00000000-0005-0000-0000-00009E1B0000}"/>
    <cellStyle name="20% - Accent5 7 10" xfId="11323" xr:uid="{00000000-0005-0000-0000-00009F1B0000}"/>
    <cellStyle name="20% - Accent5 7 10 2" xfId="21886" xr:uid="{00000000-0005-0000-0000-0000A01B0000}"/>
    <cellStyle name="20% - Accent5 7 11" xfId="13542" xr:uid="{00000000-0005-0000-0000-0000A11B0000}"/>
    <cellStyle name="20% - Accent5 7 11 2" xfId="24105" xr:uid="{00000000-0005-0000-0000-0000A21B0000}"/>
    <cellStyle name="20% - Accent5 7 12" xfId="17442" xr:uid="{00000000-0005-0000-0000-0000A31B0000}"/>
    <cellStyle name="20% - Accent5 7 2" xfId="704" xr:uid="{00000000-0005-0000-0000-0000A41B0000}"/>
    <cellStyle name="20% - Accent5 7 3" xfId="705" xr:uid="{00000000-0005-0000-0000-0000A51B0000}"/>
    <cellStyle name="20% - Accent5 7 4" xfId="706" xr:uid="{00000000-0005-0000-0000-0000A61B0000}"/>
    <cellStyle name="20% - Accent5 7 5" xfId="707" xr:uid="{00000000-0005-0000-0000-0000A71B0000}"/>
    <cellStyle name="20% - Accent5 7 6" xfId="708" xr:uid="{00000000-0005-0000-0000-0000A81B0000}"/>
    <cellStyle name="20% - Accent5 7 7" xfId="8361" xr:uid="{00000000-0005-0000-0000-0000A91B0000}"/>
    <cellStyle name="20% - Accent5 7 7 2" xfId="10580" xr:uid="{00000000-0005-0000-0000-0000AA1B0000}"/>
    <cellStyle name="20% - Accent5 7 7 2 2" xfId="21143" xr:uid="{00000000-0005-0000-0000-0000AB1B0000}"/>
    <cellStyle name="20% - Accent5 7 7 3" xfId="12799" xr:uid="{00000000-0005-0000-0000-0000AC1B0000}"/>
    <cellStyle name="20% - Accent5 7 7 3 2" xfId="23362" xr:uid="{00000000-0005-0000-0000-0000AD1B0000}"/>
    <cellStyle name="20% - Accent5 7 7 4" xfId="15018" xr:uid="{00000000-0005-0000-0000-0000AE1B0000}"/>
    <cellStyle name="20% - Accent5 7 7 4 2" xfId="25581" xr:uid="{00000000-0005-0000-0000-0000AF1B0000}"/>
    <cellStyle name="20% - Accent5 7 7 5" xfId="18924" xr:uid="{00000000-0005-0000-0000-0000B01B0000}"/>
    <cellStyle name="20% - Accent5 7 8" xfId="7628" xr:uid="{00000000-0005-0000-0000-0000B11B0000}"/>
    <cellStyle name="20% - Accent5 7 8 2" xfId="9847" xr:uid="{00000000-0005-0000-0000-0000B21B0000}"/>
    <cellStyle name="20% - Accent5 7 8 2 2" xfId="20410" xr:uid="{00000000-0005-0000-0000-0000B31B0000}"/>
    <cellStyle name="20% - Accent5 7 8 3" xfId="12066" xr:uid="{00000000-0005-0000-0000-0000B41B0000}"/>
    <cellStyle name="20% - Accent5 7 8 3 2" xfId="22629" xr:uid="{00000000-0005-0000-0000-0000B51B0000}"/>
    <cellStyle name="20% - Accent5 7 8 4" xfId="14285" xr:uid="{00000000-0005-0000-0000-0000B61B0000}"/>
    <cellStyle name="20% - Accent5 7 8 4 2" xfId="24848" xr:uid="{00000000-0005-0000-0000-0000B71B0000}"/>
    <cellStyle name="20% - Accent5 7 8 5" xfId="18191" xr:uid="{00000000-0005-0000-0000-0000B81B0000}"/>
    <cellStyle name="20% - Accent5 7 9" xfId="9104" xr:uid="{00000000-0005-0000-0000-0000B91B0000}"/>
    <cellStyle name="20% - Accent5 7 9 2" xfId="19667" xr:uid="{00000000-0005-0000-0000-0000BA1B0000}"/>
    <cellStyle name="20% - Accent5 8" xfId="709" xr:uid="{00000000-0005-0000-0000-0000BB1B0000}"/>
    <cellStyle name="20% - Accent5 8 2" xfId="710" xr:uid="{00000000-0005-0000-0000-0000BC1B0000}"/>
    <cellStyle name="20% - Accent5 9" xfId="711" xr:uid="{00000000-0005-0000-0000-0000BD1B0000}"/>
    <cellStyle name="20% - Accent6 10" xfId="712" xr:uid="{00000000-0005-0000-0000-0000BE1B0000}"/>
    <cellStyle name="20% - Accent6 10 2" xfId="713" xr:uid="{00000000-0005-0000-0000-0000BF1B0000}"/>
    <cellStyle name="20% - Accent6 10 3" xfId="714" xr:uid="{00000000-0005-0000-0000-0000C01B0000}"/>
    <cellStyle name="20% - Accent6 10 4" xfId="715" xr:uid="{00000000-0005-0000-0000-0000C11B0000}"/>
    <cellStyle name="20% - Accent6 10 5" xfId="716" xr:uid="{00000000-0005-0000-0000-0000C21B0000}"/>
    <cellStyle name="20% - Accent6 11" xfId="717" xr:uid="{00000000-0005-0000-0000-0000C31B0000}"/>
    <cellStyle name="20% - Accent6 11 2" xfId="718" xr:uid="{00000000-0005-0000-0000-0000C41B0000}"/>
    <cellStyle name="20% - Accent6 11 3" xfId="719" xr:uid="{00000000-0005-0000-0000-0000C51B0000}"/>
    <cellStyle name="20% - Accent6 11 4" xfId="720" xr:uid="{00000000-0005-0000-0000-0000C61B0000}"/>
    <cellStyle name="20% - Accent6 11 5" xfId="721" xr:uid="{00000000-0005-0000-0000-0000C71B0000}"/>
    <cellStyle name="20% - Accent6 12" xfId="722" xr:uid="{00000000-0005-0000-0000-0000C81B0000}"/>
    <cellStyle name="20% - Accent6 12 2" xfId="723" xr:uid="{00000000-0005-0000-0000-0000C91B0000}"/>
    <cellStyle name="20% - Accent6 12 3" xfId="724" xr:uid="{00000000-0005-0000-0000-0000CA1B0000}"/>
    <cellStyle name="20% - Accent6 12 4" xfId="725" xr:uid="{00000000-0005-0000-0000-0000CB1B0000}"/>
    <cellStyle name="20% - Accent6 12 5" xfId="726" xr:uid="{00000000-0005-0000-0000-0000CC1B0000}"/>
    <cellStyle name="20% - Accent6 13" xfId="727" xr:uid="{00000000-0005-0000-0000-0000CD1B0000}"/>
    <cellStyle name="20% - Accent6 14" xfId="728" xr:uid="{00000000-0005-0000-0000-0000CE1B0000}"/>
    <cellStyle name="20% - Accent6 14 2" xfId="8362" xr:uid="{00000000-0005-0000-0000-0000CF1B0000}"/>
    <cellStyle name="20% - Accent6 14 2 2" xfId="10581" xr:uid="{00000000-0005-0000-0000-0000D01B0000}"/>
    <cellStyle name="20% - Accent6 14 2 2 2" xfId="21144" xr:uid="{00000000-0005-0000-0000-0000D11B0000}"/>
    <cellStyle name="20% - Accent6 14 2 3" xfId="12800" xr:uid="{00000000-0005-0000-0000-0000D21B0000}"/>
    <cellStyle name="20% - Accent6 14 2 3 2" xfId="23363" xr:uid="{00000000-0005-0000-0000-0000D31B0000}"/>
    <cellStyle name="20% - Accent6 14 2 4" xfId="15019" xr:uid="{00000000-0005-0000-0000-0000D41B0000}"/>
    <cellStyle name="20% - Accent6 14 2 4 2" xfId="25582" xr:uid="{00000000-0005-0000-0000-0000D51B0000}"/>
    <cellStyle name="20% - Accent6 14 2 5" xfId="18925" xr:uid="{00000000-0005-0000-0000-0000D61B0000}"/>
    <cellStyle name="20% - Accent6 14 3" xfId="7629" xr:uid="{00000000-0005-0000-0000-0000D71B0000}"/>
    <cellStyle name="20% - Accent6 14 3 2" xfId="9848" xr:uid="{00000000-0005-0000-0000-0000D81B0000}"/>
    <cellStyle name="20% - Accent6 14 3 2 2" xfId="20411" xr:uid="{00000000-0005-0000-0000-0000D91B0000}"/>
    <cellStyle name="20% - Accent6 14 3 3" xfId="12067" xr:uid="{00000000-0005-0000-0000-0000DA1B0000}"/>
    <cellStyle name="20% - Accent6 14 3 3 2" xfId="22630" xr:uid="{00000000-0005-0000-0000-0000DB1B0000}"/>
    <cellStyle name="20% - Accent6 14 3 4" xfId="14286" xr:uid="{00000000-0005-0000-0000-0000DC1B0000}"/>
    <cellStyle name="20% - Accent6 14 3 4 2" xfId="24849" xr:uid="{00000000-0005-0000-0000-0000DD1B0000}"/>
    <cellStyle name="20% - Accent6 14 3 5" xfId="18192" xr:uid="{00000000-0005-0000-0000-0000DE1B0000}"/>
    <cellStyle name="20% - Accent6 14 4" xfId="9105" xr:uid="{00000000-0005-0000-0000-0000DF1B0000}"/>
    <cellStyle name="20% - Accent6 14 4 2" xfId="19668" xr:uid="{00000000-0005-0000-0000-0000E01B0000}"/>
    <cellStyle name="20% - Accent6 14 5" xfId="11324" xr:uid="{00000000-0005-0000-0000-0000E11B0000}"/>
    <cellStyle name="20% - Accent6 14 5 2" xfId="21887" xr:uid="{00000000-0005-0000-0000-0000E21B0000}"/>
    <cellStyle name="20% - Accent6 14 6" xfId="13543" xr:uid="{00000000-0005-0000-0000-0000E31B0000}"/>
    <cellStyle name="20% - Accent6 14 6 2" xfId="24106" xr:uid="{00000000-0005-0000-0000-0000E41B0000}"/>
    <cellStyle name="20% - Accent6 14 7" xfId="17443" xr:uid="{00000000-0005-0000-0000-0000E51B0000}"/>
    <cellStyle name="20% - Accent6 15" xfId="729" xr:uid="{00000000-0005-0000-0000-0000E61B0000}"/>
    <cellStyle name="20% - Accent6 16" xfId="730" xr:uid="{00000000-0005-0000-0000-0000E71B0000}"/>
    <cellStyle name="20% - Accent6 17" xfId="731" xr:uid="{00000000-0005-0000-0000-0000E81B0000}"/>
    <cellStyle name="20% - Accent6 18" xfId="732" xr:uid="{00000000-0005-0000-0000-0000E91B0000}"/>
    <cellStyle name="20% - Accent6 19" xfId="733" xr:uid="{00000000-0005-0000-0000-0000EA1B0000}"/>
    <cellStyle name="20% - Accent6 2" xfId="734" xr:uid="{00000000-0005-0000-0000-0000EB1B0000}"/>
    <cellStyle name="20% - Accent6 2 10" xfId="735" xr:uid="{00000000-0005-0000-0000-0000EC1B0000}"/>
    <cellStyle name="20% - Accent6 2 10 2" xfId="736" xr:uid="{00000000-0005-0000-0000-0000ED1B0000}"/>
    <cellStyle name="20% - Accent6 2 10 2 2" xfId="8363" xr:uid="{00000000-0005-0000-0000-0000EE1B0000}"/>
    <cellStyle name="20% - Accent6 2 10 2 2 2" xfId="10582" xr:uid="{00000000-0005-0000-0000-0000EF1B0000}"/>
    <cellStyle name="20% - Accent6 2 10 2 2 2 2" xfId="21145" xr:uid="{00000000-0005-0000-0000-0000F01B0000}"/>
    <cellStyle name="20% - Accent6 2 10 2 2 3" xfId="12801" xr:uid="{00000000-0005-0000-0000-0000F11B0000}"/>
    <cellStyle name="20% - Accent6 2 10 2 2 3 2" xfId="23364" xr:uid="{00000000-0005-0000-0000-0000F21B0000}"/>
    <cellStyle name="20% - Accent6 2 10 2 2 4" xfId="15020" xr:uid="{00000000-0005-0000-0000-0000F31B0000}"/>
    <cellStyle name="20% - Accent6 2 10 2 2 4 2" xfId="25583" xr:uid="{00000000-0005-0000-0000-0000F41B0000}"/>
    <cellStyle name="20% - Accent6 2 10 2 2 5" xfId="18926" xr:uid="{00000000-0005-0000-0000-0000F51B0000}"/>
    <cellStyle name="20% - Accent6 2 10 2 3" xfId="7630" xr:uid="{00000000-0005-0000-0000-0000F61B0000}"/>
    <cellStyle name="20% - Accent6 2 10 2 3 2" xfId="9849" xr:uid="{00000000-0005-0000-0000-0000F71B0000}"/>
    <cellStyle name="20% - Accent6 2 10 2 3 2 2" xfId="20412" xr:uid="{00000000-0005-0000-0000-0000F81B0000}"/>
    <cellStyle name="20% - Accent6 2 10 2 3 3" xfId="12068" xr:uid="{00000000-0005-0000-0000-0000F91B0000}"/>
    <cellStyle name="20% - Accent6 2 10 2 3 3 2" xfId="22631" xr:uid="{00000000-0005-0000-0000-0000FA1B0000}"/>
    <cellStyle name="20% - Accent6 2 10 2 3 4" xfId="14287" xr:uid="{00000000-0005-0000-0000-0000FB1B0000}"/>
    <cellStyle name="20% - Accent6 2 10 2 3 4 2" xfId="24850" xr:uid="{00000000-0005-0000-0000-0000FC1B0000}"/>
    <cellStyle name="20% - Accent6 2 10 2 3 5" xfId="18193" xr:uid="{00000000-0005-0000-0000-0000FD1B0000}"/>
    <cellStyle name="20% - Accent6 2 10 2 4" xfId="9106" xr:uid="{00000000-0005-0000-0000-0000FE1B0000}"/>
    <cellStyle name="20% - Accent6 2 10 2 4 2" xfId="19669" xr:uid="{00000000-0005-0000-0000-0000FF1B0000}"/>
    <cellStyle name="20% - Accent6 2 10 2 5" xfId="11325" xr:uid="{00000000-0005-0000-0000-0000001C0000}"/>
    <cellStyle name="20% - Accent6 2 10 2 5 2" xfId="21888" xr:uid="{00000000-0005-0000-0000-0000011C0000}"/>
    <cellStyle name="20% - Accent6 2 10 2 6" xfId="13544" xr:uid="{00000000-0005-0000-0000-0000021C0000}"/>
    <cellStyle name="20% - Accent6 2 10 2 6 2" xfId="24107" xr:uid="{00000000-0005-0000-0000-0000031C0000}"/>
    <cellStyle name="20% - Accent6 2 10 2 7" xfId="17444" xr:uid="{00000000-0005-0000-0000-0000041C0000}"/>
    <cellStyle name="20% - Accent6 2 10 3" xfId="737" xr:uid="{00000000-0005-0000-0000-0000051C0000}"/>
    <cellStyle name="20% - Accent6 2 10 3 2" xfId="8364" xr:uid="{00000000-0005-0000-0000-0000061C0000}"/>
    <cellStyle name="20% - Accent6 2 10 3 2 2" xfId="10583" xr:uid="{00000000-0005-0000-0000-0000071C0000}"/>
    <cellStyle name="20% - Accent6 2 10 3 2 2 2" xfId="21146" xr:uid="{00000000-0005-0000-0000-0000081C0000}"/>
    <cellStyle name="20% - Accent6 2 10 3 2 3" xfId="12802" xr:uid="{00000000-0005-0000-0000-0000091C0000}"/>
    <cellStyle name="20% - Accent6 2 10 3 2 3 2" xfId="23365" xr:uid="{00000000-0005-0000-0000-00000A1C0000}"/>
    <cellStyle name="20% - Accent6 2 10 3 2 4" xfId="15021" xr:uid="{00000000-0005-0000-0000-00000B1C0000}"/>
    <cellStyle name="20% - Accent6 2 10 3 2 4 2" xfId="25584" xr:uid="{00000000-0005-0000-0000-00000C1C0000}"/>
    <cellStyle name="20% - Accent6 2 10 3 2 5" xfId="18927" xr:uid="{00000000-0005-0000-0000-00000D1C0000}"/>
    <cellStyle name="20% - Accent6 2 10 3 3" xfId="7631" xr:uid="{00000000-0005-0000-0000-00000E1C0000}"/>
    <cellStyle name="20% - Accent6 2 10 3 3 2" xfId="9850" xr:uid="{00000000-0005-0000-0000-00000F1C0000}"/>
    <cellStyle name="20% - Accent6 2 10 3 3 2 2" xfId="20413" xr:uid="{00000000-0005-0000-0000-0000101C0000}"/>
    <cellStyle name="20% - Accent6 2 10 3 3 3" xfId="12069" xr:uid="{00000000-0005-0000-0000-0000111C0000}"/>
    <cellStyle name="20% - Accent6 2 10 3 3 3 2" xfId="22632" xr:uid="{00000000-0005-0000-0000-0000121C0000}"/>
    <cellStyle name="20% - Accent6 2 10 3 3 4" xfId="14288" xr:uid="{00000000-0005-0000-0000-0000131C0000}"/>
    <cellStyle name="20% - Accent6 2 10 3 3 4 2" xfId="24851" xr:uid="{00000000-0005-0000-0000-0000141C0000}"/>
    <cellStyle name="20% - Accent6 2 10 3 3 5" xfId="18194" xr:uid="{00000000-0005-0000-0000-0000151C0000}"/>
    <cellStyle name="20% - Accent6 2 10 3 4" xfId="9107" xr:uid="{00000000-0005-0000-0000-0000161C0000}"/>
    <cellStyle name="20% - Accent6 2 10 3 4 2" xfId="19670" xr:uid="{00000000-0005-0000-0000-0000171C0000}"/>
    <cellStyle name="20% - Accent6 2 10 3 5" xfId="11326" xr:uid="{00000000-0005-0000-0000-0000181C0000}"/>
    <cellStyle name="20% - Accent6 2 10 3 5 2" xfId="21889" xr:uid="{00000000-0005-0000-0000-0000191C0000}"/>
    <cellStyle name="20% - Accent6 2 10 3 6" xfId="13545" xr:uid="{00000000-0005-0000-0000-00001A1C0000}"/>
    <cellStyle name="20% - Accent6 2 10 3 6 2" xfId="24108" xr:uid="{00000000-0005-0000-0000-00001B1C0000}"/>
    <cellStyle name="20% - Accent6 2 10 3 7" xfId="17445" xr:uid="{00000000-0005-0000-0000-00001C1C0000}"/>
    <cellStyle name="20% - Accent6 2 10 4" xfId="738" xr:uid="{00000000-0005-0000-0000-00001D1C0000}"/>
    <cellStyle name="20% - Accent6 2 10 4 2" xfId="8365" xr:uid="{00000000-0005-0000-0000-00001E1C0000}"/>
    <cellStyle name="20% - Accent6 2 10 4 2 2" xfId="10584" xr:uid="{00000000-0005-0000-0000-00001F1C0000}"/>
    <cellStyle name="20% - Accent6 2 10 4 2 2 2" xfId="21147" xr:uid="{00000000-0005-0000-0000-0000201C0000}"/>
    <cellStyle name="20% - Accent6 2 10 4 2 3" xfId="12803" xr:uid="{00000000-0005-0000-0000-0000211C0000}"/>
    <cellStyle name="20% - Accent6 2 10 4 2 3 2" xfId="23366" xr:uid="{00000000-0005-0000-0000-0000221C0000}"/>
    <cellStyle name="20% - Accent6 2 10 4 2 4" xfId="15022" xr:uid="{00000000-0005-0000-0000-0000231C0000}"/>
    <cellStyle name="20% - Accent6 2 10 4 2 4 2" xfId="25585" xr:uid="{00000000-0005-0000-0000-0000241C0000}"/>
    <cellStyle name="20% - Accent6 2 10 4 2 5" xfId="18928" xr:uid="{00000000-0005-0000-0000-0000251C0000}"/>
    <cellStyle name="20% - Accent6 2 10 4 3" xfId="7632" xr:uid="{00000000-0005-0000-0000-0000261C0000}"/>
    <cellStyle name="20% - Accent6 2 10 4 3 2" xfId="9851" xr:uid="{00000000-0005-0000-0000-0000271C0000}"/>
    <cellStyle name="20% - Accent6 2 10 4 3 2 2" xfId="20414" xr:uid="{00000000-0005-0000-0000-0000281C0000}"/>
    <cellStyle name="20% - Accent6 2 10 4 3 3" xfId="12070" xr:uid="{00000000-0005-0000-0000-0000291C0000}"/>
    <cellStyle name="20% - Accent6 2 10 4 3 3 2" xfId="22633" xr:uid="{00000000-0005-0000-0000-00002A1C0000}"/>
    <cellStyle name="20% - Accent6 2 10 4 3 4" xfId="14289" xr:uid="{00000000-0005-0000-0000-00002B1C0000}"/>
    <cellStyle name="20% - Accent6 2 10 4 3 4 2" xfId="24852" xr:uid="{00000000-0005-0000-0000-00002C1C0000}"/>
    <cellStyle name="20% - Accent6 2 10 4 3 5" xfId="18195" xr:uid="{00000000-0005-0000-0000-00002D1C0000}"/>
    <cellStyle name="20% - Accent6 2 10 4 4" xfId="9108" xr:uid="{00000000-0005-0000-0000-00002E1C0000}"/>
    <cellStyle name="20% - Accent6 2 10 4 4 2" xfId="19671" xr:uid="{00000000-0005-0000-0000-00002F1C0000}"/>
    <cellStyle name="20% - Accent6 2 10 4 5" xfId="11327" xr:uid="{00000000-0005-0000-0000-0000301C0000}"/>
    <cellStyle name="20% - Accent6 2 10 4 5 2" xfId="21890" xr:uid="{00000000-0005-0000-0000-0000311C0000}"/>
    <cellStyle name="20% - Accent6 2 10 4 6" xfId="13546" xr:uid="{00000000-0005-0000-0000-0000321C0000}"/>
    <cellStyle name="20% - Accent6 2 10 4 6 2" xfId="24109" xr:uid="{00000000-0005-0000-0000-0000331C0000}"/>
    <cellStyle name="20% - Accent6 2 10 4 7" xfId="17446" xr:uid="{00000000-0005-0000-0000-0000341C0000}"/>
    <cellStyle name="20% - Accent6 2 10 5" xfId="739" xr:uid="{00000000-0005-0000-0000-0000351C0000}"/>
    <cellStyle name="20% - Accent6 2 10 5 2" xfId="8366" xr:uid="{00000000-0005-0000-0000-0000361C0000}"/>
    <cellStyle name="20% - Accent6 2 10 5 2 2" xfId="10585" xr:uid="{00000000-0005-0000-0000-0000371C0000}"/>
    <cellStyle name="20% - Accent6 2 10 5 2 2 2" xfId="21148" xr:uid="{00000000-0005-0000-0000-0000381C0000}"/>
    <cellStyle name="20% - Accent6 2 10 5 2 3" xfId="12804" xr:uid="{00000000-0005-0000-0000-0000391C0000}"/>
    <cellStyle name="20% - Accent6 2 10 5 2 3 2" xfId="23367" xr:uid="{00000000-0005-0000-0000-00003A1C0000}"/>
    <cellStyle name="20% - Accent6 2 10 5 2 4" xfId="15023" xr:uid="{00000000-0005-0000-0000-00003B1C0000}"/>
    <cellStyle name="20% - Accent6 2 10 5 2 4 2" xfId="25586" xr:uid="{00000000-0005-0000-0000-00003C1C0000}"/>
    <cellStyle name="20% - Accent6 2 10 5 2 5" xfId="18929" xr:uid="{00000000-0005-0000-0000-00003D1C0000}"/>
    <cellStyle name="20% - Accent6 2 10 5 3" xfId="7633" xr:uid="{00000000-0005-0000-0000-00003E1C0000}"/>
    <cellStyle name="20% - Accent6 2 10 5 3 2" xfId="9852" xr:uid="{00000000-0005-0000-0000-00003F1C0000}"/>
    <cellStyle name="20% - Accent6 2 10 5 3 2 2" xfId="20415" xr:uid="{00000000-0005-0000-0000-0000401C0000}"/>
    <cellStyle name="20% - Accent6 2 10 5 3 3" xfId="12071" xr:uid="{00000000-0005-0000-0000-0000411C0000}"/>
    <cellStyle name="20% - Accent6 2 10 5 3 3 2" xfId="22634" xr:uid="{00000000-0005-0000-0000-0000421C0000}"/>
    <cellStyle name="20% - Accent6 2 10 5 3 4" xfId="14290" xr:uid="{00000000-0005-0000-0000-0000431C0000}"/>
    <cellStyle name="20% - Accent6 2 10 5 3 4 2" xfId="24853" xr:uid="{00000000-0005-0000-0000-0000441C0000}"/>
    <cellStyle name="20% - Accent6 2 10 5 3 5" xfId="18196" xr:uid="{00000000-0005-0000-0000-0000451C0000}"/>
    <cellStyle name="20% - Accent6 2 10 5 4" xfId="9109" xr:uid="{00000000-0005-0000-0000-0000461C0000}"/>
    <cellStyle name="20% - Accent6 2 10 5 4 2" xfId="19672" xr:uid="{00000000-0005-0000-0000-0000471C0000}"/>
    <cellStyle name="20% - Accent6 2 10 5 5" xfId="11328" xr:uid="{00000000-0005-0000-0000-0000481C0000}"/>
    <cellStyle name="20% - Accent6 2 10 5 5 2" xfId="21891" xr:uid="{00000000-0005-0000-0000-0000491C0000}"/>
    <cellStyle name="20% - Accent6 2 10 5 6" xfId="13547" xr:uid="{00000000-0005-0000-0000-00004A1C0000}"/>
    <cellStyle name="20% - Accent6 2 10 5 6 2" xfId="24110" xr:uid="{00000000-0005-0000-0000-00004B1C0000}"/>
    <cellStyle name="20% - Accent6 2 10 5 7" xfId="17447" xr:uid="{00000000-0005-0000-0000-00004C1C0000}"/>
    <cellStyle name="20% - Accent6 2 11" xfId="740" xr:uid="{00000000-0005-0000-0000-00004D1C0000}"/>
    <cellStyle name="20% - Accent6 2 11 2" xfId="8367" xr:uid="{00000000-0005-0000-0000-00004E1C0000}"/>
    <cellStyle name="20% - Accent6 2 11 2 2" xfId="10586" xr:uid="{00000000-0005-0000-0000-00004F1C0000}"/>
    <cellStyle name="20% - Accent6 2 11 2 2 2" xfId="21149" xr:uid="{00000000-0005-0000-0000-0000501C0000}"/>
    <cellStyle name="20% - Accent6 2 11 2 3" xfId="12805" xr:uid="{00000000-0005-0000-0000-0000511C0000}"/>
    <cellStyle name="20% - Accent6 2 11 2 3 2" xfId="23368" xr:uid="{00000000-0005-0000-0000-0000521C0000}"/>
    <cellStyle name="20% - Accent6 2 11 2 4" xfId="15024" xr:uid="{00000000-0005-0000-0000-0000531C0000}"/>
    <cellStyle name="20% - Accent6 2 11 2 4 2" xfId="25587" xr:uid="{00000000-0005-0000-0000-0000541C0000}"/>
    <cellStyle name="20% - Accent6 2 11 2 5" xfId="18930" xr:uid="{00000000-0005-0000-0000-0000551C0000}"/>
    <cellStyle name="20% - Accent6 2 11 3" xfId="7634" xr:uid="{00000000-0005-0000-0000-0000561C0000}"/>
    <cellStyle name="20% - Accent6 2 11 3 2" xfId="9853" xr:uid="{00000000-0005-0000-0000-0000571C0000}"/>
    <cellStyle name="20% - Accent6 2 11 3 2 2" xfId="20416" xr:uid="{00000000-0005-0000-0000-0000581C0000}"/>
    <cellStyle name="20% - Accent6 2 11 3 3" xfId="12072" xr:uid="{00000000-0005-0000-0000-0000591C0000}"/>
    <cellStyle name="20% - Accent6 2 11 3 3 2" xfId="22635" xr:uid="{00000000-0005-0000-0000-00005A1C0000}"/>
    <cellStyle name="20% - Accent6 2 11 3 4" xfId="14291" xr:uid="{00000000-0005-0000-0000-00005B1C0000}"/>
    <cellStyle name="20% - Accent6 2 11 3 4 2" xfId="24854" xr:uid="{00000000-0005-0000-0000-00005C1C0000}"/>
    <cellStyle name="20% - Accent6 2 11 3 5" xfId="18197" xr:uid="{00000000-0005-0000-0000-00005D1C0000}"/>
    <cellStyle name="20% - Accent6 2 11 4" xfId="9110" xr:uid="{00000000-0005-0000-0000-00005E1C0000}"/>
    <cellStyle name="20% - Accent6 2 11 4 2" xfId="19673" xr:uid="{00000000-0005-0000-0000-00005F1C0000}"/>
    <cellStyle name="20% - Accent6 2 11 5" xfId="11329" xr:uid="{00000000-0005-0000-0000-0000601C0000}"/>
    <cellStyle name="20% - Accent6 2 11 5 2" xfId="21892" xr:uid="{00000000-0005-0000-0000-0000611C0000}"/>
    <cellStyle name="20% - Accent6 2 11 6" xfId="13548" xr:uid="{00000000-0005-0000-0000-0000621C0000}"/>
    <cellStyle name="20% - Accent6 2 11 6 2" xfId="24111" xr:uid="{00000000-0005-0000-0000-0000631C0000}"/>
    <cellStyle name="20% - Accent6 2 11 7" xfId="17448" xr:uid="{00000000-0005-0000-0000-0000641C0000}"/>
    <cellStyle name="20% - Accent6 2 12" xfId="741" xr:uid="{00000000-0005-0000-0000-0000651C0000}"/>
    <cellStyle name="20% - Accent6 2 13" xfId="742" xr:uid="{00000000-0005-0000-0000-0000661C0000}"/>
    <cellStyle name="20% - Accent6 2 14" xfId="743" xr:uid="{00000000-0005-0000-0000-0000671C0000}"/>
    <cellStyle name="20% - Accent6 2 15" xfId="744" xr:uid="{00000000-0005-0000-0000-0000681C0000}"/>
    <cellStyle name="20% - Accent6 2 15 2" xfId="8368" xr:uid="{00000000-0005-0000-0000-0000691C0000}"/>
    <cellStyle name="20% - Accent6 2 15 2 2" xfId="10587" xr:uid="{00000000-0005-0000-0000-00006A1C0000}"/>
    <cellStyle name="20% - Accent6 2 15 2 2 2" xfId="21150" xr:uid="{00000000-0005-0000-0000-00006B1C0000}"/>
    <cellStyle name="20% - Accent6 2 15 2 3" xfId="12806" xr:uid="{00000000-0005-0000-0000-00006C1C0000}"/>
    <cellStyle name="20% - Accent6 2 15 2 3 2" xfId="23369" xr:uid="{00000000-0005-0000-0000-00006D1C0000}"/>
    <cellStyle name="20% - Accent6 2 15 2 4" xfId="15025" xr:uid="{00000000-0005-0000-0000-00006E1C0000}"/>
    <cellStyle name="20% - Accent6 2 15 2 4 2" xfId="25588" xr:uid="{00000000-0005-0000-0000-00006F1C0000}"/>
    <cellStyle name="20% - Accent6 2 15 2 5" xfId="18931" xr:uid="{00000000-0005-0000-0000-0000701C0000}"/>
    <cellStyle name="20% - Accent6 2 15 3" xfId="7635" xr:uid="{00000000-0005-0000-0000-0000711C0000}"/>
    <cellStyle name="20% - Accent6 2 15 3 2" xfId="9854" xr:uid="{00000000-0005-0000-0000-0000721C0000}"/>
    <cellStyle name="20% - Accent6 2 15 3 2 2" xfId="20417" xr:uid="{00000000-0005-0000-0000-0000731C0000}"/>
    <cellStyle name="20% - Accent6 2 15 3 3" xfId="12073" xr:uid="{00000000-0005-0000-0000-0000741C0000}"/>
    <cellStyle name="20% - Accent6 2 15 3 3 2" xfId="22636" xr:uid="{00000000-0005-0000-0000-0000751C0000}"/>
    <cellStyle name="20% - Accent6 2 15 3 4" xfId="14292" xr:uid="{00000000-0005-0000-0000-0000761C0000}"/>
    <cellStyle name="20% - Accent6 2 15 3 4 2" xfId="24855" xr:uid="{00000000-0005-0000-0000-0000771C0000}"/>
    <cellStyle name="20% - Accent6 2 15 3 5" xfId="18198" xr:uid="{00000000-0005-0000-0000-0000781C0000}"/>
    <cellStyle name="20% - Accent6 2 15 4" xfId="9111" xr:uid="{00000000-0005-0000-0000-0000791C0000}"/>
    <cellStyle name="20% - Accent6 2 15 4 2" xfId="19674" xr:uid="{00000000-0005-0000-0000-00007A1C0000}"/>
    <cellStyle name="20% - Accent6 2 15 5" xfId="11330" xr:uid="{00000000-0005-0000-0000-00007B1C0000}"/>
    <cellStyle name="20% - Accent6 2 15 5 2" xfId="21893" xr:uid="{00000000-0005-0000-0000-00007C1C0000}"/>
    <cellStyle name="20% - Accent6 2 15 6" xfId="13549" xr:uid="{00000000-0005-0000-0000-00007D1C0000}"/>
    <cellStyle name="20% - Accent6 2 15 6 2" xfId="24112" xr:uid="{00000000-0005-0000-0000-00007E1C0000}"/>
    <cellStyle name="20% - Accent6 2 15 7" xfId="17449" xr:uid="{00000000-0005-0000-0000-00007F1C0000}"/>
    <cellStyle name="20% - Accent6 2 16" xfId="745" xr:uid="{00000000-0005-0000-0000-0000801C0000}"/>
    <cellStyle name="20% - Accent6 2 2" xfId="746" xr:uid="{00000000-0005-0000-0000-0000811C0000}"/>
    <cellStyle name="20% - Accent6 2 2 10" xfId="8369" xr:uid="{00000000-0005-0000-0000-0000821C0000}"/>
    <cellStyle name="20% - Accent6 2 2 10 2" xfId="10588" xr:uid="{00000000-0005-0000-0000-0000831C0000}"/>
    <cellStyle name="20% - Accent6 2 2 10 2 2" xfId="21151" xr:uid="{00000000-0005-0000-0000-0000841C0000}"/>
    <cellStyle name="20% - Accent6 2 2 10 3" xfId="12807" xr:uid="{00000000-0005-0000-0000-0000851C0000}"/>
    <cellStyle name="20% - Accent6 2 2 10 3 2" xfId="23370" xr:uid="{00000000-0005-0000-0000-0000861C0000}"/>
    <cellStyle name="20% - Accent6 2 2 10 4" xfId="15026" xr:uid="{00000000-0005-0000-0000-0000871C0000}"/>
    <cellStyle name="20% - Accent6 2 2 10 4 2" xfId="25589" xr:uid="{00000000-0005-0000-0000-0000881C0000}"/>
    <cellStyle name="20% - Accent6 2 2 10 5" xfId="18932" xr:uid="{00000000-0005-0000-0000-0000891C0000}"/>
    <cellStyle name="20% - Accent6 2 2 11" xfId="7636" xr:uid="{00000000-0005-0000-0000-00008A1C0000}"/>
    <cellStyle name="20% - Accent6 2 2 11 2" xfId="9855" xr:uid="{00000000-0005-0000-0000-00008B1C0000}"/>
    <cellStyle name="20% - Accent6 2 2 11 2 2" xfId="20418" xr:uid="{00000000-0005-0000-0000-00008C1C0000}"/>
    <cellStyle name="20% - Accent6 2 2 11 3" xfId="12074" xr:uid="{00000000-0005-0000-0000-00008D1C0000}"/>
    <cellStyle name="20% - Accent6 2 2 11 3 2" xfId="22637" xr:uid="{00000000-0005-0000-0000-00008E1C0000}"/>
    <cellStyle name="20% - Accent6 2 2 11 4" xfId="14293" xr:uid="{00000000-0005-0000-0000-00008F1C0000}"/>
    <cellStyle name="20% - Accent6 2 2 11 4 2" xfId="24856" xr:uid="{00000000-0005-0000-0000-0000901C0000}"/>
    <cellStyle name="20% - Accent6 2 2 11 5" xfId="18199" xr:uid="{00000000-0005-0000-0000-0000911C0000}"/>
    <cellStyle name="20% - Accent6 2 2 12" xfId="9112" xr:uid="{00000000-0005-0000-0000-0000921C0000}"/>
    <cellStyle name="20% - Accent6 2 2 12 2" xfId="19675" xr:uid="{00000000-0005-0000-0000-0000931C0000}"/>
    <cellStyle name="20% - Accent6 2 2 13" xfId="11331" xr:uid="{00000000-0005-0000-0000-0000941C0000}"/>
    <cellStyle name="20% - Accent6 2 2 13 2" xfId="21894" xr:uid="{00000000-0005-0000-0000-0000951C0000}"/>
    <cellStyle name="20% - Accent6 2 2 14" xfId="13550" xr:uid="{00000000-0005-0000-0000-0000961C0000}"/>
    <cellStyle name="20% - Accent6 2 2 14 2" xfId="24113" xr:uid="{00000000-0005-0000-0000-0000971C0000}"/>
    <cellStyle name="20% - Accent6 2 2 15" xfId="17450" xr:uid="{00000000-0005-0000-0000-0000981C0000}"/>
    <cellStyle name="20% - Accent6 2 2 2" xfId="747" xr:uid="{00000000-0005-0000-0000-0000991C0000}"/>
    <cellStyle name="20% - Accent6 2 2 2 2" xfId="8370" xr:uid="{00000000-0005-0000-0000-00009A1C0000}"/>
    <cellStyle name="20% - Accent6 2 2 2 2 2" xfId="10589" xr:uid="{00000000-0005-0000-0000-00009B1C0000}"/>
    <cellStyle name="20% - Accent6 2 2 2 2 2 2" xfId="21152" xr:uid="{00000000-0005-0000-0000-00009C1C0000}"/>
    <cellStyle name="20% - Accent6 2 2 2 2 3" xfId="12808" xr:uid="{00000000-0005-0000-0000-00009D1C0000}"/>
    <cellStyle name="20% - Accent6 2 2 2 2 3 2" xfId="23371" xr:uid="{00000000-0005-0000-0000-00009E1C0000}"/>
    <cellStyle name="20% - Accent6 2 2 2 2 4" xfId="15027" xr:uid="{00000000-0005-0000-0000-00009F1C0000}"/>
    <cellStyle name="20% - Accent6 2 2 2 2 4 2" xfId="25590" xr:uid="{00000000-0005-0000-0000-0000A01C0000}"/>
    <cellStyle name="20% - Accent6 2 2 2 2 5" xfId="18933" xr:uid="{00000000-0005-0000-0000-0000A11C0000}"/>
    <cellStyle name="20% - Accent6 2 2 2 3" xfId="7637" xr:uid="{00000000-0005-0000-0000-0000A21C0000}"/>
    <cellStyle name="20% - Accent6 2 2 2 3 2" xfId="9856" xr:uid="{00000000-0005-0000-0000-0000A31C0000}"/>
    <cellStyle name="20% - Accent6 2 2 2 3 2 2" xfId="20419" xr:uid="{00000000-0005-0000-0000-0000A41C0000}"/>
    <cellStyle name="20% - Accent6 2 2 2 3 3" xfId="12075" xr:uid="{00000000-0005-0000-0000-0000A51C0000}"/>
    <cellStyle name="20% - Accent6 2 2 2 3 3 2" xfId="22638" xr:uid="{00000000-0005-0000-0000-0000A61C0000}"/>
    <cellStyle name="20% - Accent6 2 2 2 3 4" xfId="14294" xr:uid="{00000000-0005-0000-0000-0000A71C0000}"/>
    <cellStyle name="20% - Accent6 2 2 2 3 4 2" xfId="24857" xr:uid="{00000000-0005-0000-0000-0000A81C0000}"/>
    <cellStyle name="20% - Accent6 2 2 2 3 5" xfId="18200" xr:uid="{00000000-0005-0000-0000-0000A91C0000}"/>
    <cellStyle name="20% - Accent6 2 2 2 4" xfId="9113" xr:uid="{00000000-0005-0000-0000-0000AA1C0000}"/>
    <cellStyle name="20% - Accent6 2 2 2 4 2" xfId="19676" xr:uid="{00000000-0005-0000-0000-0000AB1C0000}"/>
    <cellStyle name="20% - Accent6 2 2 2 5" xfId="11332" xr:uid="{00000000-0005-0000-0000-0000AC1C0000}"/>
    <cellStyle name="20% - Accent6 2 2 2 5 2" xfId="21895" xr:uid="{00000000-0005-0000-0000-0000AD1C0000}"/>
    <cellStyle name="20% - Accent6 2 2 2 6" xfId="13551" xr:uid="{00000000-0005-0000-0000-0000AE1C0000}"/>
    <cellStyle name="20% - Accent6 2 2 2 6 2" xfId="24114" xr:uid="{00000000-0005-0000-0000-0000AF1C0000}"/>
    <cellStyle name="20% - Accent6 2 2 2 7" xfId="17451" xr:uid="{00000000-0005-0000-0000-0000B01C0000}"/>
    <cellStyle name="20% - Accent6 2 2 3" xfId="748" xr:uid="{00000000-0005-0000-0000-0000B11C0000}"/>
    <cellStyle name="20% - Accent6 2 2 3 2" xfId="8371" xr:uid="{00000000-0005-0000-0000-0000B21C0000}"/>
    <cellStyle name="20% - Accent6 2 2 3 2 2" xfId="10590" xr:uid="{00000000-0005-0000-0000-0000B31C0000}"/>
    <cellStyle name="20% - Accent6 2 2 3 2 2 2" xfId="21153" xr:uid="{00000000-0005-0000-0000-0000B41C0000}"/>
    <cellStyle name="20% - Accent6 2 2 3 2 3" xfId="12809" xr:uid="{00000000-0005-0000-0000-0000B51C0000}"/>
    <cellStyle name="20% - Accent6 2 2 3 2 3 2" xfId="23372" xr:uid="{00000000-0005-0000-0000-0000B61C0000}"/>
    <cellStyle name="20% - Accent6 2 2 3 2 4" xfId="15028" xr:uid="{00000000-0005-0000-0000-0000B71C0000}"/>
    <cellStyle name="20% - Accent6 2 2 3 2 4 2" xfId="25591" xr:uid="{00000000-0005-0000-0000-0000B81C0000}"/>
    <cellStyle name="20% - Accent6 2 2 3 2 5" xfId="18934" xr:uid="{00000000-0005-0000-0000-0000B91C0000}"/>
    <cellStyle name="20% - Accent6 2 2 3 3" xfId="7638" xr:uid="{00000000-0005-0000-0000-0000BA1C0000}"/>
    <cellStyle name="20% - Accent6 2 2 3 3 2" xfId="9857" xr:uid="{00000000-0005-0000-0000-0000BB1C0000}"/>
    <cellStyle name="20% - Accent6 2 2 3 3 2 2" xfId="20420" xr:uid="{00000000-0005-0000-0000-0000BC1C0000}"/>
    <cellStyle name="20% - Accent6 2 2 3 3 3" xfId="12076" xr:uid="{00000000-0005-0000-0000-0000BD1C0000}"/>
    <cellStyle name="20% - Accent6 2 2 3 3 3 2" xfId="22639" xr:uid="{00000000-0005-0000-0000-0000BE1C0000}"/>
    <cellStyle name="20% - Accent6 2 2 3 3 4" xfId="14295" xr:uid="{00000000-0005-0000-0000-0000BF1C0000}"/>
    <cellStyle name="20% - Accent6 2 2 3 3 4 2" xfId="24858" xr:uid="{00000000-0005-0000-0000-0000C01C0000}"/>
    <cellStyle name="20% - Accent6 2 2 3 3 5" xfId="18201" xr:uid="{00000000-0005-0000-0000-0000C11C0000}"/>
    <cellStyle name="20% - Accent6 2 2 3 4" xfId="9114" xr:uid="{00000000-0005-0000-0000-0000C21C0000}"/>
    <cellStyle name="20% - Accent6 2 2 3 4 2" xfId="19677" xr:uid="{00000000-0005-0000-0000-0000C31C0000}"/>
    <cellStyle name="20% - Accent6 2 2 3 5" xfId="11333" xr:uid="{00000000-0005-0000-0000-0000C41C0000}"/>
    <cellStyle name="20% - Accent6 2 2 3 5 2" xfId="21896" xr:uid="{00000000-0005-0000-0000-0000C51C0000}"/>
    <cellStyle name="20% - Accent6 2 2 3 6" xfId="13552" xr:uid="{00000000-0005-0000-0000-0000C61C0000}"/>
    <cellStyle name="20% - Accent6 2 2 3 6 2" xfId="24115" xr:uid="{00000000-0005-0000-0000-0000C71C0000}"/>
    <cellStyle name="20% - Accent6 2 2 3 7" xfId="17452" xr:uid="{00000000-0005-0000-0000-0000C81C0000}"/>
    <cellStyle name="20% - Accent6 2 2 4" xfId="749" xr:uid="{00000000-0005-0000-0000-0000C91C0000}"/>
    <cellStyle name="20% - Accent6 2 2 4 2" xfId="8372" xr:uid="{00000000-0005-0000-0000-0000CA1C0000}"/>
    <cellStyle name="20% - Accent6 2 2 4 2 2" xfId="10591" xr:uid="{00000000-0005-0000-0000-0000CB1C0000}"/>
    <cellStyle name="20% - Accent6 2 2 4 2 2 2" xfId="21154" xr:uid="{00000000-0005-0000-0000-0000CC1C0000}"/>
    <cellStyle name="20% - Accent6 2 2 4 2 3" xfId="12810" xr:uid="{00000000-0005-0000-0000-0000CD1C0000}"/>
    <cellStyle name="20% - Accent6 2 2 4 2 3 2" xfId="23373" xr:uid="{00000000-0005-0000-0000-0000CE1C0000}"/>
    <cellStyle name="20% - Accent6 2 2 4 2 4" xfId="15029" xr:uid="{00000000-0005-0000-0000-0000CF1C0000}"/>
    <cellStyle name="20% - Accent6 2 2 4 2 4 2" xfId="25592" xr:uid="{00000000-0005-0000-0000-0000D01C0000}"/>
    <cellStyle name="20% - Accent6 2 2 4 2 5" xfId="18935" xr:uid="{00000000-0005-0000-0000-0000D11C0000}"/>
    <cellStyle name="20% - Accent6 2 2 4 3" xfId="7639" xr:uid="{00000000-0005-0000-0000-0000D21C0000}"/>
    <cellStyle name="20% - Accent6 2 2 4 3 2" xfId="9858" xr:uid="{00000000-0005-0000-0000-0000D31C0000}"/>
    <cellStyle name="20% - Accent6 2 2 4 3 2 2" xfId="20421" xr:uid="{00000000-0005-0000-0000-0000D41C0000}"/>
    <cellStyle name="20% - Accent6 2 2 4 3 3" xfId="12077" xr:uid="{00000000-0005-0000-0000-0000D51C0000}"/>
    <cellStyle name="20% - Accent6 2 2 4 3 3 2" xfId="22640" xr:uid="{00000000-0005-0000-0000-0000D61C0000}"/>
    <cellStyle name="20% - Accent6 2 2 4 3 4" xfId="14296" xr:uid="{00000000-0005-0000-0000-0000D71C0000}"/>
    <cellStyle name="20% - Accent6 2 2 4 3 4 2" xfId="24859" xr:uid="{00000000-0005-0000-0000-0000D81C0000}"/>
    <cellStyle name="20% - Accent6 2 2 4 3 5" xfId="18202" xr:uid="{00000000-0005-0000-0000-0000D91C0000}"/>
    <cellStyle name="20% - Accent6 2 2 4 4" xfId="9115" xr:uid="{00000000-0005-0000-0000-0000DA1C0000}"/>
    <cellStyle name="20% - Accent6 2 2 4 4 2" xfId="19678" xr:uid="{00000000-0005-0000-0000-0000DB1C0000}"/>
    <cellStyle name="20% - Accent6 2 2 4 5" xfId="11334" xr:uid="{00000000-0005-0000-0000-0000DC1C0000}"/>
    <cellStyle name="20% - Accent6 2 2 4 5 2" xfId="21897" xr:uid="{00000000-0005-0000-0000-0000DD1C0000}"/>
    <cellStyle name="20% - Accent6 2 2 4 6" xfId="13553" xr:uid="{00000000-0005-0000-0000-0000DE1C0000}"/>
    <cellStyle name="20% - Accent6 2 2 4 6 2" xfId="24116" xr:uid="{00000000-0005-0000-0000-0000DF1C0000}"/>
    <cellStyle name="20% - Accent6 2 2 4 7" xfId="17453" xr:uid="{00000000-0005-0000-0000-0000E01C0000}"/>
    <cellStyle name="20% - Accent6 2 2 5" xfId="750" xr:uid="{00000000-0005-0000-0000-0000E11C0000}"/>
    <cellStyle name="20% - Accent6 2 2 5 2" xfId="8373" xr:uid="{00000000-0005-0000-0000-0000E21C0000}"/>
    <cellStyle name="20% - Accent6 2 2 5 2 2" xfId="10592" xr:uid="{00000000-0005-0000-0000-0000E31C0000}"/>
    <cellStyle name="20% - Accent6 2 2 5 2 2 2" xfId="21155" xr:uid="{00000000-0005-0000-0000-0000E41C0000}"/>
    <cellStyle name="20% - Accent6 2 2 5 2 3" xfId="12811" xr:uid="{00000000-0005-0000-0000-0000E51C0000}"/>
    <cellStyle name="20% - Accent6 2 2 5 2 3 2" xfId="23374" xr:uid="{00000000-0005-0000-0000-0000E61C0000}"/>
    <cellStyle name="20% - Accent6 2 2 5 2 4" xfId="15030" xr:uid="{00000000-0005-0000-0000-0000E71C0000}"/>
    <cellStyle name="20% - Accent6 2 2 5 2 4 2" xfId="25593" xr:uid="{00000000-0005-0000-0000-0000E81C0000}"/>
    <cellStyle name="20% - Accent6 2 2 5 2 5" xfId="18936" xr:uid="{00000000-0005-0000-0000-0000E91C0000}"/>
    <cellStyle name="20% - Accent6 2 2 5 3" xfId="7640" xr:uid="{00000000-0005-0000-0000-0000EA1C0000}"/>
    <cellStyle name="20% - Accent6 2 2 5 3 2" xfId="9859" xr:uid="{00000000-0005-0000-0000-0000EB1C0000}"/>
    <cellStyle name="20% - Accent6 2 2 5 3 2 2" xfId="20422" xr:uid="{00000000-0005-0000-0000-0000EC1C0000}"/>
    <cellStyle name="20% - Accent6 2 2 5 3 3" xfId="12078" xr:uid="{00000000-0005-0000-0000-0000ED1C0000}"/>
    <cellStyle name="20% - Accent6 2 2 5 3 3 2" xfId="22641" xr:uid="{00000000-0005-0000-0000-0000EE1C0000}"/>
    <cellStyle name="20% - Accent6 2 2 5 3 4" xfId="14297" xr:uid="{00000000-0005-0000-0000-0000EF1C0000}"/>
    <cellStyle name="20% - Accent6 2 2 5 3 4 2" xfId="24860" xr:uid="{00000000-0005-0000-0000-0000F01C0000}"/>
    <cellStyle name="20% - Accent6 2 2 5 3 5" xfId="18203" xr:uid="{00000000-0005-0000-0000-0000F11C0000}"/>
    <cellStyle name="20% - Accent6 2 2 5 4" xfId="9116" xr:uid="{00000000-0005-0000-0000-0000F21C0000}"/>
    <cellStyle name="20% - Accent6 2 2 5 4 2" xfId="19679" xr:uid="{00000000-0005-0000-0000-0000F31C0000}"/>
    <cellStyle name="20% - Accent6 2 2 5 5" xfId="11335" xr:uid="{00000000-0005-0000-0000-0000F41C0000}"/>
    <cellStyle name="20% - Accent6 2 2 5 5 2" xfId="21898" xr:uid="{00000000-0005-0000-0000-0000F51C0000}"/>
    <cellStyle name="20% - Accent6 2 2 5 6" xfId="13554" xr:uid="{00000000-0005-0000-0000-0000F61C0000}"/>
    <cellStyle name="20% - Accent6 2 2 5 6 2" xfId="24117" xr:uid="{00000000-0005-0000-0000-0000F71C0000}"/>
    <cellStyle name="20% - Accent6 2 2 5 7" xfId="17454" xr:uid="{00000000-0005-0000-0000-0000F81C0000}"/>
    <cellStyle name="20% - Accent6 2 2 6" xfId="751" xr:uid="{00000000-0005-0000-0000-0000F91C0000}"/>
    <cellStyle name="20% - Accent6 2 2 6 2" xfId="8374" xr:uid="{00000000-0005-0000-0000-0000FA1C0000}"/>
    <cellStyle name="20% - Accent6 2 2 6 2 2" xfId="10593" xr:uid="{00000000-0005-0000-0000-0000FB1C0000}"/>
    <cellStyle name="20% - Accent6 2 2 6 2 2 2" xfId="21156" xr:uid="{00000000-0005-0000-0000-0000FC1C0000}"/>
    <cellStyle name="20% - Accent6 2 2 6 2 3" xfId="12812" xr:uid="{00000000-0005-0000-0000-0000FD1C0000}"/>
    <cellStyle name="20% - Accent6 2 2 6 2 3 2" xfId="23375" xr:uid="{00000000-0005-0000-0000-0000FE1C0000}"/>
    <cellStyle name="20% - Accent6 2 2 6 2 4" xfId="15031" xr:uid="{00000000-0005-0000-0000-0000FF1C0000}"/>
    <cellStyle name="20% - Accent6 2 2 6 2 4 2" xfId="25594" xr:uid="{00000000-0005-0000-0000-0000001D0000}"/>
    <cellStyle name="20% - Accent6 2 2 6 2 5" xfId="18937" xr:uid="{00000000-0005-0000-0000-0000011D0000}"/>
    <cellStyle name="20% - Accent6 2 2 6 3" xfId="7641" xr:uid="{00000000-0005-0000-0000-0000021D0000}"/>
    <cellStyle name="20% - Accent6 2 2 6 3 2" xfId="9860" xr:uid="{00000000-0005-0000-0000-0000031D0000}"/>
    <cellStyle name="20% - Accent6 2 2 6 3 2 2" xfId="20423" xr:uid="{00000000-0005-0000-0000-0000041D0000}"/>
    <cellStyle name="20% - Accent6 2 2 6 3 3" xfId="12079" xr:uid="{00000000-0005-0000-0000-0000051D0000}"/>
    <cellStyle name="20% - Accent6 2 2 6 3 3 2" xfId="22642" xr:uid="{00000000-0005-0000-0000-0000061D0000}"/>
    <cellStyle name="20% - Accent6 2 2 6 3 4" xfId="14298" xr:uid="{00000000-0005-0000-0000-0000071D0000}"/>
    <cellStyle name="20% - Accent6 2 2 6 3 4 2" xfId="24861" xr:uid="{00000000-0005-0000-0000-0000081D0000}"/>
    <cellStyle name="20% - Accent6 2 2 6 3 5" xfId="18204" xr:uid="{00000000-0005-0000-0000-0000091D0000}"/>
    <cellStyle name="20% - Accent6 2 2 6 4" xfId="9117" xr:uid="{00000000-0005-0000-0000-00000A1D0000}"/>
    <cellStyle name="20% - Accent6 2 2 6 4 2" xfId="19680" xr:uid="{00000000-0005-0000-0000-00000B1D0000}"/>
    <cellStyle name="20% - Accent6 2 2 6 5" xfId="11336" xr:uid="{00000000-0005-0000-0000-00000C1D0000}"/>
    <cellStyle name="20% - Accent6 2 2 6 5 2" xfId="21899" xr:uid="{00000000-0005-0000-0000-00000D1D0000}"/>
    <cellStyle name="20% - Accent6 2 2 6 6" xfId="13555" xr:uid="{00000000-0005-0000-0000-00000E1D0000}"/>
    <cellStyle name="20% - Accent6 2 2 6 6 2" xfId="24118" xr:uid="{00000000-0005-0000-0000-00000F1D0000}"/>
    <cellStyle name="20% - Accent6 2 2 6 7" xfId="17455" xr:uid="{00000000-0005-0000-0000-0000101D0000}"/>
    <cellStyle name="20% - Accent6 2 2 7" xfId="752" xr:uid="{00000000-0005-0000-0000-0000111D0000}"/>
    <cellStyle name="20% - Accent6 2 2 7 2" xfId="8375" xr:uid="{00000000-0005-0000-0000-0000121D0000}"/>
    <cellStyle name="20% - Accent6 2 2 7 2 2" xfId="10594" xr:uid="{00000000-0005-0000-0000-0000131D0000}"/>
    <cellStyle name="20% - Accent6 2 2 7 2 2 2" xfId="21157" xr:uid="{00000000-0005-0000-0000-0000141D0000}"/>
    <cellStyle name="20% - Accent6 2 2 7 2 3" xfId="12813" xr:uid="{00000000-0005-0000-0000-0000151D0000}"/>
    <cellStyle name="20% - Accent6 2 2 7 2 3 2" xfId="23376" xr:uid="{00000000-0005-0000-0000-0000161D0000}"/>
    <cellStyle name="20% - Accent6 2 2 7 2 4" xfId="15032" xr:uid="{00000000-0005-0000-0000-0000171D0000}"/>
    <cellStyle name="20% - Accent6 2 2 7 2 4 2" xfId="25595" xr:uid="{00000000-0005-0000-0000-0000181D0000}"/>
    <cellStyle name="20% - Accent6 2 2 7 2 5" xfId="18938" xr:uid="{00000000-0005-0000-0000-0000191D0000}"/>
    <cellStyle name="20% - Accent6 2 2 7 3" xfId="7642" xr:uid="{00000000-0005-0000-0000-00001A1D0000}"/>
    <cellStyle name="20% - Accent6 2 2 7 3 2" xfId="9861" xr:uid="{00000000-0005-0000-0000-00001B1D0000}"/>
    <cellStyle name="20% - Accent6 2 2 7 3 2 2" xfId="20424" xr:uid="{00000000-0005-0000-0000-00001C1D0000}"/>
    <cellStyle name="20% - Accent6 2 2 7 3 3" xfId="12080" xr:uid="{00000000-0005-0000-0000-00001D1D0000}"/>
    <cellStyle name="20% - Accent6 2 2 7 3 3 2" xfId="22643" xr:uid="{00000000-0005-0000-0000-00001E1D0000}"/>
    <cellStyle name="20% - Accent6 2 2 7 3 4" xfId="14299" xr:uid="{00000000-0005-0000-0000-00001F1D0000}"/>
    <cellStyle name="20% - Accent6 2 2 7 3 4 2" xfId="24862" xr:uid="{00000000-0005-0000-0000-0000201D0000}"/>
    <cellStyle name="20% - Accent6 2 2 7 3 5" xfId="18205" xr:uid="{00000000-0005-0000-0000-0000211D0000}"/>
    <cellStyle name="20% - Accent6 2 2 7 4" xfId="9118" xr:uid="{00000000-0005-0000-0000-0000221D0000}"/>
    <cellStyle name="20% - Accent6 2 2 7 4 2" xfId="19681" xr:uid="{00000000-0005-0000-0000-0000231D0000}"/>
    <cellStyle name="20% - Accent6 2 2 7 5" xfId="11337" xr:uid="{00000000-0005-0000-0000-0000241D0000}"/>
    <cellStyle name="20% - Accent6 2 2 7 5 2" xfId="21900" xr:uid="{00000000-0005-0000-0000-0000251D0000}"/>
    <cellStyle name="20% - Accent6 2 2 7 6" xfId="13556" xr:uid="{00000000-0005-0000-0000-0000261D0000}"/>
    <cellStyle name="20% - Accent6 2 2 7 6 2" xfId="24119" xr:uid="{00000000-0005-0000-0000-0000271D0000}"/>
    <cellStyle name="20% - Accent6 2 2 7 7" xfId="17456" xr:uid="{00000000-0005-0000-0000-0000281D0000}"/>
    <cellStyle name="20% - Accent6 2 2 8" xfId="753" xr:uid="{00000000-0005-0000-0000-0000291D0000}"/>
    <cellStyle name="20% - Accent6 2 2 8 2" xfId="8376" xr:uid="{00000000-0005-0000-0000-00002A1D0000}"/>
    <cellStyle name="20% - Accent6 2 2 8 2 2" xfId="10595" xr:uid="{00000000-0005-0000-0000-00002B1D0000}"/>
    <cellStyle name="20% - Accent6 2 2 8 2 2 2" xfId="21158" xr:uid="{00000000-0005-0000-0000-00002C1D0000}"/>
    <cellStyle name="20% - Accent6 2 2 8 2 3" xfId="12814" xr:uid="{00000000-0005-0000-0000-00002D1D0000}"/>
    <cellStyle name="20% - Accent6 2 2 8 2 3 2" xfId="23377" xr:uid="{00000000-0005-0000-0000-00002E1D0000}"/>
    <cellStyle name="20% - Accent6 2 2 8 2 4" xfId="15033" xr:uid="{00000000-0005-0000-0000-00002F1D0000}"/>
    <cellStyle name="20% - Accent6 2 2 8 2 4 2" xfId="25596" xr:uid="{00000000-0005-0000-0000-0000301D0000}"/>
    <cellStyle name="20% - Accent6 2 2 8 2 5" xfId="18939" xr:uid="{00000000-0005-0000-0000-0000311D0000}"/>
    <cellStyle name="20% - Accent6 2 2 8 3" xfId="7643" xr:uid="{00000000-0005-0000-0000-0000321D0000}"/>
    <cellStyle name="20% - Accent6 2 2 8 3 2" xfId="9862" xr:uid="{00000000-0005-0000-0000-0000331D0000}"/>
    <cellStyle name="20% - Accent6 2 2 8 3 2 2" xfId="20425" xr:uid="{00000000-0005-0000-0000-0000341D0000}"/>
    <cellStyle name="20% - Accent6 2 2 8 3 3" xfId="12081" xr:uid="{00000000-0005-0000-0000-0000351D0000}"/>
    <cellStyle name="20% - Accent6 2 2 8 3 3 2" xfId="22644" xr:uid="{00000000-0005-0000-0000-0000361D0000}"/>
    <cellStyle name="20% - Accent6 2 2 8 3 4" xfId="14300" xr:uid="{00000000-0005-0000-0000-0000371D0000}"/>
    <cellStyle name="20% - Accent6 2 2 8 3 4 2" xfId="24863" xr:uid="{00000000-0005-0000-0000-0000381D0000}"/>
    <cellStyle name="20% - Accent6 2 2 8 3 5" xfId="18206" xr:uid="{00000000-0005-0000-0000-0000391D0000}"/>
    <cellStyle name="20% - Accent6 2 2 8 4" xfId="9119" xr:uid="{00000000-0005-0000-0000-00003A1D0000}"/>
    <cellStyle name="20% - Accent6 2 2 8 4 2" xfId="19682" xr:uid="{00000000-0005-0000-0000-00003B1D0000}"/>
    <cellStyle name="20% - Accent6 2 2 8 5" xfId="11338" xr:uid="{00000000-0005-0000-0000-00003C1D0000}"/>
    <cellStyle name="20% - Accent6 2 2 8 5 2" xfId="21901" xr:uid="{00000000-0005-0000-0000-00003D1D0000}"/>
    <cellStyle name="20% - Accent6 2 2 8 6" xfId="13557" xr:uid="{00000000-0005-0000-0000-00003E1D0000}"/>
    <cellStyle name="20% - Accent6 2 2 8 6 2" xfId="24120" xr:uid="{00000000-0005-0000-0000-00003F1D0000}"/>
    <cellStyle name="20% - Accent6 2 2 8 7" xfId="17457" xr:uid="{00000000-0005-0000-0000-0000401D0000}"/>
    <cellStyle name="20% - Accent6 2 2 9" xfId="754" xr:uid="{00000000-0005-0000-0000-0000411D0000}"/>
    <cellStyle name="20% - Accent6 2 2 9 2" xfId="8377" xr:uid="{00000000-0005-0000-0000-0000421D0000}"/>
    <cellStyle name="20% - Accent6 2 2 9 2 2" xfId="10596" xr:uid="{00000000-0005-0000-0000-0000431D0000}"/>
    <cellStyle name="20% - Accent6 2 2 9 2 2 2" xfId="21159" xr:uid="{00000000-0005-0000-0000-0000441D0000}"/>
    <cellStyle name="20% - Accent6 2 2 9 2 3" xfId="12815" xr:uid="{00000000-0005-0000-0000-0000451D0000}"/>
    <cellStyle name="20% - Accent6 2 2 9 2 3 2" xfId="23378" xr:uid="{00000000-0005-0000-0000-0000461D0000}"/>
    <cellStyle name="20% - Accent6 2 2 9 2 4" xfId="15034" xr:uid="{00000000-0005-0000-0000-0000471D0000}"/>
    <cellStyle name="20% - Accent6 2 2 9 2 4 2" xfId="25597" xr:uid="{00000000-0005-0000-0000-0000481D0000}"/>
    <cellStyle name="20% - Accent6 2 2 9 2 5" xfId="18940" xr:uid="{00000000-0005-0000-0000-0000491D0000}"/>
    <cellStyle name="20% - Accent6 2 2 9 3" xfId="7644" xr:uid="{00000000-0005-0000-0000-00004A1D0000}"/>
    <cellStyle name="20% - Accent6 2 2 9 3 2" xfId="9863" xr:uid="{00000000-0005-0000-0000-00004B1D0000}"/>
    <cellStyle name="20% - Accent6 2 2 9 3 2 2" xfId="20426" xr:uid="{00000000-0005-0000-0000-00004C1D0000}"/>
    <cellStyle name="20% - Accent6 2 2 9 3 3" xfId="12082" xr:uid="{00000000-0005-0000-0000-00004D1D0000}"/>
    <cellStyle name="20% - Accent6 2 2 9 3 3 2" xfId="22645" xr:uid="{00000000-0005-0000-0000-00004E1D0000}"/>
    <cellStyle name="20% - Accent6 2 2 9 3 4" xfId="14301" xr:uid="{00000000-0005-0000-0000-00004F1D0000}"/>
    <cellStyle name="20% - Accent6 2 2 9 3 4 2" xfId="24864" xr:uid="{00000000-0005-0000-0000-0000501D0000}"/>
    <cellStyle name="20% - Accent6 2 2 9 3 5" xfId="18207" xr:uid="{00000000-0005-0000-0000-0000511D0000}"/>
    <cellStyle name="20% - Accent6 2 2 9 4" xfId="9120" xr:uid="{00000000-0005-0000-0000-0000521D0000}"/>
    <cellStyle name="20% - Accent6 2 2 9 4 2" xfId="19683" xr:uid="{00000000-0005-0000-0000-0000531D0000}"/>
    <cellStyle name="20% - Accent6 2 2 9 5" xfId="11339" xr:uid="{00000000-0005-0000-0000-0000541D0000}"/>
    <cellStyle name="20% - Accent6 2 2 9 5 2" xfId="21902" xr:uid="{00000000-0005-0000-0000-0000551D0000}"/>
    <cellStyle name="20% - Accent6 2 2 9 6" xfId="13558" xr:uid="{00000000-0005-0000-0000-0000561D0000}"/>
    <cellStyle name="20% - Accent6 2 2 9 6 2" xfId="24121" xr:uid="{00000000-0005-0000-0000-0000571D0000}"/>
    <cellStyle name="20% - Accent6 2 2 9 7" xfId="17458" xr:uid="{00000000-0005-0000-0000-0000581D0000}"/>
    <cellStyle name="20% - Accent6 2 3" xfId="755" xr:uid="{00000000-0005-0000-0000-0000591D0000}"/>
    <cellStyle name="20% - Accent6 2 3 10" xfId="8378" xr:uid="{00000000-0005-0000-0000-00005A1D0000}"/>
    <cellStyle name="20% - Accent6 2 3 10 2" xfId="10597" xr:uid="{00000000-0005-0000-0000-00005B1D0000}"/>
    <cellStyle name="20% - Accent6 2 3 10 2 2" xfId="21160" xr:uid="{00000000-0005-0000-0000-00005C1D0000}"/>
    <cellStyle name="20% - Accent6 2 3 10 3" xfId="12816" xr:uid="{00000000-0005-0000-0000-00005D1D0000}"/>
    <cellStyle name="20% - Accent6 2 3 10 3 2" xfId="23379" xr:uid="{00000000-0005-0000-0000-00005E1D0000}"/>
    <cellStyle name="20% - Accent6 2 3 10 4" xfId="15035" xr:uid="{00000000-0005-0000-0000-00005F1D0000}"/>
    <cellStyle name="20% - Accent6 2 3 10 4 2" xfId="25598" xr:uid="{00000000-0005-0000-0000-0000601D0000}"/>
    <cellStyle name="20% - Accent6 2 3 10 5" xfId="18941" xr:uid="{00000000-0005-0000-0000-0000611D0000}"/>
    <cellStyle name="20% - Accent6 2 3 11" xfId="7645" xr:uid="{00000000-0005-0000-0000-0000621D0000}"/>
    <cellStyle name="20% - Accent6 2 3 11 2" xfId="9864" xr:uid="{00000000-0005-0000-0000-0000631D0000}"/>
    <cellStyle name="20% - Accent6 2 3 11 2 2" xfId="20427" xr:uid="{00000000-0005-0000-0000-0000641D0000}"/>
    <cellStyle name="20% - Accent6 2 3 11 3" xfId="12083" xr:uid="{00000000-0005-0000-0000-0000651D0000}"/>
    <cellStyle name="20% - Accent6 2 3 11 3 2" xfId="22646" xr:uid="{00000000-0005-0000-0000-0000661D0000}"/>
    <cellStyle name="20% - Accent6 2 3 11 4" xfId="14302" xr:uid="{00000000-0005-0000-0000-0000671D0000}"/>
    <cellStyle name="20% - Accent6 2 3 11 4 2" xfId="24865" xr:uid="{00000000-0005-0000-0000-0000681D0000}"/>
    <cellStyle name="20% - Accent6 2 3 11 5" xfId="18208" xr:uid="{00000000-0005-0000-0000-0000691D0000}"/>
    <cellStyle name="20% - Accent6 2 3 12" xfId="9121" xr:uid="{00000000-0005-0000-0000-00006A1D0000}"/>
    <cellStyle name="20% - Accent6 2 3 12 2" xfId="19684" xr:uid="{00000000-0005-0000-0000-00006B1D0000}"/>
    <cellStyle name="20% - Accent6 2 3 13" xfId="11340" xr:uid="{00000000-0005-0000-0000-00006C1D0000}"/>
    <cellStyle name="20% - Accent6 2 3 13 2" xfId="21903" xr:uid="{00000000-0005-0000-0000-00006D1D0000}"/>
    <cellStyle name="20% - Accent6 2 3 14" xfId="13559" xr:uid="{00000000-0005-0000-0000-00006E1D0000}"/>
    <cellStyle name="20% - Accent6 2 3 14 2" xfId="24122" xr:uid="{00000000-0005-0000-0000-00006F1D0000}"/>
    <cellStyle name="20% - Accent6 2 3 15" xfId="17459" xr:uid="{00000000-0005-0000-0000-0000701D0000}"/>
    <cellStyle name="20% - Accent6 2 3 2" xfId="756" xr:uid="{00000000-0005-0000-0000-0000711D0000}"/>
    <cellStyle name="20% - Accent6 2 3 2 2" xfId="8379" xr:uid="{00000000-0005-0000-0000-0000721D0000}"/>
    <cellStyle name="20% - Accent6 2 3 2 2 2" xfId="10598" xr:uid="{00000000-0005-0000-0000-0000731D0000}"/>
    <cellStyle name="20% - Accent6 2 3 2 2 2 2" xfId="21161" xr:uid="{00000000-0005-0000-0000-0000741D0000}"/>
    <cellStyle name="20% - Accent6 2 3 2 2 3" xfId="12817" xr:uid="{00000000-0005-0000-0000-0000751D0000}"/>
    <cellStyle name="20% - Accent6 2 3 2 2 3 2" xfId="23380" xr:uid="{00000000-0005-0000-0000-0000761D0000}"/>
    <cellStyle name="20% - Accent6 2 3 2 2 4" xfId="15036" xr:uid="{00000000-0005-0000-0000-0000771D0000}"/>
    <cellStyle name="20% - Accent6 2 3 2 2 4 2" xfId="25599" xr:uid="{00000000-0005-0000-0000-0000781D0000}"/>
    <cellStyle name="20% - Accent6 2 3 2 2 5" xfId="18942" xr:uid="{00000000-0005-0000-0000-0000791D0000}"/>
    <cellStyle name="20% - Accent6 2 3 2 3" xfId="7646" xr:uid="{00000000-0005-0000-0000-00007A1D0000}"/>
    <cellStyle name="20% - Accent6 2 3 2 3 2" xfId="9865" xr:uid="{00000000-0005-0000-0000-00007B1D0000}"/>
    <cellStyle name="20% - Accent6 2 3 2 3 2 2" xfId="20428" xr:uid="{00000000-0005-0000-0000-00007C1D0000}"/>
    <cellStyle name="20% - Accent6 2 3 2 3 3" xfId="12084" xr:uid="{00000000-0005-0000-0000-00007D1D0000}"/>
    <cellStyle name="20% - Accent6 2 3 2 3 3 2" xfId="22647" xr:uid="{00000000-0005-0000-0000-00007E1D0000}"/>
    <cellStyle name="20% - Accent6 2 3 2 3 4" xfId="14303" xr:uid="{00000000-0005-0000-0000-00007F1D0000}"/>
    <cellStyle name="20% - Accent6 2 3 2 3 4 2" xfId="24866" xr:uid="{00000000-0005-0000-0000-0000801D0000}"/>
    <cellStyle name="20% - Accent6 2 3 2 3 5" xfId="18209" xr:uid="{00000000-0005-0000-0000-0000811D0000}"/>
    <cellStyle name="20% - Accent6 2 3 2 4" xfId="9122" xr:uid="{00000000-0005-0000-0000-0000821D0000}"/>
    <cellStyle name="20% - Accent6 2 3 2 4 2" xfId="19685" xr:uid="{00000000-0005-0000-0000-0000831D0000}"/>
    <cellStyle name="20% - Accent6 2 3 2 5" xfId="11341" xr:uid="{00000000-0005-0000-0000-0000841D0000}"/>
    <cellStyle name="20% - Accent6 2 3 2 5 2" xfId="21904" xr:uid="{00000000-0005-0000-0000-0000851D0000}"/>
    <cellStyle name="20% - Accent6 2 3 2 6" xfId="13560" xr:uid="{00000000-0005-0000-0000-0000861D0000}"/>
    <cellStyle name="20% - Accent6 2 3 2 6 2" xfId="24123" xr:uid="{00000000-0005-0000-0000-0000871D0000}"/>
    <cellStyle name="20% - Accent6 2 3 2 7" xfId="17460" xr:uid="{00000000-0005-0000-0000-0000881D0000}"/>
    <cellStyle name="20% - Accent6 2 3 3" xfId="757" xr:uid="{00000000-0005-0000-0000-0000891D0000}"/>
    <cellStyle name="20% - Accent6 2 3 3 2" xfId="8380" xr:uid="{00000000-0005-0000-0000-00008A1D0000}"/>
    <cellStyle name="20% - Accent6 2 3 3 2 2" xfId="10599" xr:uid="{00000000-0005-0000-0000-00008B1D0000}"/>
    <cellStyle name="20% - Accent6 2 3 3 2 2 2" xfId="21162" xr:uid="{00000000-0005-0000-0000-00008C1D0000}"/>
    <cellStyle name="20% - Accent6 2 3 3 2 3" xfId="12818" xr:uid="{00000000-0005-0000-0000-00008D1D0000}"/>
    <cellStyle name="20% - Accent6 2 3 3 2 3 2" xfId="23381" xr:uid="{00000000-0005-0000-0000-00008E1D0000}"/>
    <cellStyle name="20% - Accent6 2 3 3 2 4" xfId="15037" xr:uid="{00000000-0005-0000-0000-00008F1D0000}"/>
    <cellStyle name="20% - Accent6 2 3 3 2 4 2" xfId="25600" xr:uid="{00000000-0005-0000-0000-0000901D0000}"/>
    <cellStyle name="20% - Accent6 2 3 3 2 5" xfId="18943" xr:uid="{00000000-0005-0000-0000-0000911D0000}"/>
    <cellStyle name="20% - Accent6 2 3 3 3" xfId="7647" xr:uid="{00000000-0005-0000-0000-0000921D0000}"/>
    <cellStyle name="20% - Accent6 2 3 3 3 2" xfId="9866" xr:uid="{00000000-0005-0000-0000-0000931D0000}"/>
    <cellStyle name="20% - Accent6 2 3 3 3 2 2" xfId="20429" xr:uid="{00000000-0005-0000-0000-0000941D0000}"/>
    <cellStyle name="20% - Accent6 2 3 3 3 3" xfId="12085" xr:uid="{00000000-0005-0000-0000-0000951D0000}"/>
    <cellStyle name="20% - Accent6 2 3 3 3 3 2" xfId="22648" xr:uid="{00000000-0005-0000-0000-0000961D0000}"/>
    <cellStyle name="20% - Accent6 2 3 3 3 4" xfId="14304" xr:uid="{00000000-0005-0000-0000-0000971D0000}"/>
    <cellStyle name="20% - Accent6 2 3 3 3 4 2" xfId="24867" xr:uid="{00000000-0005-0000-0000-0000981D0000}"/>
    <cellStyle name="20% - Accent6 2 3 3 3 5" xfId="18210" xr:uid="{00000000-0005-0000-0000-0000991D0000}"/>
    <cellStyle name="20% - Accent6 2 3 3 4" xfId="9123" xr:uid="{00000000-0005-0000-0000-00009A1D0000}"/>
    <cellStyle name="20% - Accent6 2 3 3 4 2" xfId="19686" xr:uid="{00000000-0005-0000-0000-00009B1D0000}"/>
    <cellStyle name="20% - Accent6 2 3 3 5" xfId="11342" xr:uid="{00000000-0005-0000-0000-00009C1D0000}"/>
    <cellStyle name="20% - Accent6 2 3 3 5 2" xfId="21905" xr:uid="{00000000-0005-0000-0000-00009D1D0000}"/>
    <cellStyle name="20% - Accent6 2 3 3 6" xfId="13561" xr:uid="{00000000-0005-0000-0000-00009E1D0000}"/>
    <cellStyle name="20% - Accent6 2 3 3 6 2" xfId="24124" xr:uid="{00000000-0005-0000-0000-00009F1D0000}"/>
    <cellStyle name="20% - Accent6 2 3 3 7" xfId="17461" xr:uid="{00000000-0005-0000-0000-0000A01D0000}"/>
    <cellStyle name="20% - Accent6 2 3 4" xfId="758" xr:uid="{00000000-0005-0000-0000-0000A11D0000}"/>
    <cellStyle name="20% - Accent6 2 3 4 2" xfId="8381" xr:uid="{00000000-0005-0000-0000-0000A21D0000}"/>
    <cellStyle name="20% - Accent6 2 3 4 2 2" xfId="10600" xr:uid="{00000000-0005-0000-0000-0000A31D0000}"/>
    <cellStyle name="20% - Accent6 2 3 4 2 2 2" xfId="21163" xr:uid="{00000000-0005-0000-0000-0000A41D0000}"/>
    <cellStyle name="20% - Accent6 2 3 4 2 3" xfId="12819" xr:uid="{00000000-0005-0000-0000-0000A51D0000}"/>
    <cellStyle name="20% - Accent6 2 3 4 2 3 2" xfId="23382" xr:uid="{00000000-0005-0000-0000-0000A61D0000}"/>
    <cellStyle name="20% - Accent6 2 3 4 2 4" xfId="15038" xr:uid="{00000000-0005-0000-0000-0000A71D0000}"/>
    <cellStyle name="20% - Accent6 2 3 4 2 4 2" xfId="25601" xr:uid="{00000000-0005-0000-0000-0000A81D0000}"/>
    <cellStyle name="20% - Accent6 2 3 4 2 5" xfId="18944" xr:uid="{00000000-0005-0000-0000-0000A91D0000}"/>
    <cellStyle name="20% - Accent6 2 3 4 3" xfId="7648" xr:uid="{00000000-0005-0000-0000-0000AA1D0000}"/>
    <cellStyle name="20% - Accent6 2 3 4 3 2" xfId="9867" xr:uid="{00000000-0005-0000-0000-0000AB1D0000}"/>
    <cellStyle name="20% - Accent6 2 3 4 3 2 2" xfId="20430" xr:uid="{00000000-0005-0000-0000-0000AC1D0000}"/>
    <cellStyle name="20% - Accent6 2 3 4 3 3" xfId="12086" xr:uid="{00000000-0005-0000-0000-0000AD1D0000}"/>
    <cellStyle name="20% - Accent6 2 3 4 3 3 2" xfId="22649" xr:uid="{00000000-0005-0000-0000-0000AE1D0000}"/>
    <cellStyle name="20% - Accent6 2 3 4 3 4" xfId="14305" xr:uid="{00000000-0005-0000-0000-0000AF1D0000}"/>
    <cellStyle name="20% - Accent6 2 3 4 3 4 2" xfId="24868" xr:uid="{00000000-0005-0000-0000-0000B01D0000}"/>
    <cellStyle name="20% - Accent6 2 3 4 3 5" xfId="18211" xr:uid="{00000000-0005-0000-0000-0000B11D0000}"/>
    <cellStyle name="20% - Accent6 2 3 4 4" xfId="9124" xr:uid="{00000000-0005-0000-0000-0000B21D0000}"/>
    <cellStyle name="20% - Accent6 2 3 4 4 2" xfId="19687" xr:uid="{00000000-0005-0000-0000-0000B31D0000}"/>
    <cellStyle name="20% - Accent6 2 3 4 5" xfId="11343" xr:uid="{00000000-0005-0000-0000-0000B41D0000}"/>
    <cellStyle name="20% - Accent6 2 3 4 5 2" xfId="21906" xr:uid="{00000000-0005-0000-0000-0000B51D0000}"/>
    <cellStyle name="20% - Accent6 2 3 4 6" xfId="13562" xr:uid="{00000000-0005-0000-0000-0000B61D0000}"/>
    <cellStyle name="20% - Accent6 2 3 4 6 2" xfId="24125" xr:uid="{00000000-0005-0000-0000-0000B71D0000}"/>
    <cellStyle name="20% - Accent6 2 3 4 7" xfId="17462" xr:uid="{00000000-0005-0000-0000-0000B81D0000}"/>
    <cellStyle name="20% - Accent6 2 3 5" xfId="759" xr:uid="{00000000-0005-0000-0000-0000B91D0000}"/>
    <cellStyle name="20% - Accent6 2 3 5 2" xfId="8382" xr:uid="{00000000-0005-0000-0000-0000BA1D0000}"/>
    <cellStyle name="20% - Accent6 2 3 5 2 2" xfId="10601" xr:uid="{00000000-0005-0000-0000-0000BB1D0000}"/>
    <cellStyle name="20% - Accent6 2 3 5 2 2 2" xfId="21164" xr:uid="{00000000-0005-0000-0000-0000BC1D0000}"/>
    <cellStyle name="20% - Accent6 2 3 5 2 3" xfId="12820" xr:uid="{00000000-0005-0000-0000-0000BD1D0000}"/>
    <cellStyle name="20% - Accent6 2 3 5 2 3 2" xfId="23383" xr:uid="{00000000-0005-0000-0000-0000BE1D0000}"/>
    <cellStyle name="20% - Accent6 2 3 5 2 4" xfId="15039" xr:uid="{00000000-0005-0000-0000-0000BF1D0000}"/>
    <cellStyle name="20% - Accent6 2 3 5 2 4 2" xfId="25602" xr:uid="{00000000-0005-0000-0000-0000C01D0000}"/>
    <cellStyle name="20% - Accent6 2 3 5 2 5" xfId="18945" xr:uid="{00000000-0005-0000-0000-0000C11D0000}"/>
    <cellStyle name="20% - Accent6 2 3 5 3" xfId="7649" xr:uid="{00000000-0005-0000-0000-0000C21D0000}"/>
    <cellStyle name="20% - Accent6 2 3 5 3 2" xfId="9868" xr:uid="{00000000-0005-0000-0000-0000C31D0000}"/>
    <cellStyle name="20% - Accent6 2 3 5 3 2 2" xfId="20431" xr:uid="{00000000-0005-0000-0000-0000C41D0000}"/>
    <cellStyle name="20% - Accent6 2 3 5 3 3" xfId="12087" xr:uid="{00000000-0005-0000-0000-0000C51D0000}"/>
    <cellStyle name="20% - Accent6 2 3 5 3 3 2" xfId="22650" xr:uid="{00000000-0005-0000-0000-0000C61D0000}"/>
    <cellStyle name="20% - Accent6 2 3 5 3 4" xfId="14306" xr:uid="{00000000-0005-0000-0000-0000C71D0000}"/>
    <cellStyle name="20% - Accent6 2 3 5 3 4 2" xfId="24869" xr:uid="{00000000-0005-0000-0000-0000C81D0000}"/>
    <cellStyle name="20% - Accent6 2 3 5 3 5" xfId="18212" xr:uid="{00000000-0005-0000-0000-0000C91D0000}"/>
    <cellStyle name="20% - Accent6 2 3 5 4" xfId="9125" xr:uid="{00000000-0005-0000-0000-0000CA1D0000}"/>
    <cellStyle name="20% - Accent6 2 3 5 4 2" xfId="19688" xr:uid="{00000000-0005-0000-0000-0000CB1D0000}"/>
    <cellStyle name="20% - Accent6 2 3 5 5" xfId="11344" xr:uid="{00000000-0005-0000-0000-0000CC1D0000}"/>
    <cellStyle name="20% - Accent6 2 3 5 5 2" xfId="21907" xr:uid="{00000000-0005-0000-0000-0000CD1D0000}"/>
    <cellStyle name="20% - Accent6 2 3 5 6" xfId="13563" xr:uid="{00000000-0005-0000-0000-0000CE1D0000}"/>
    <cellStyle name="20% - Accent6 2 3 5 6 2" xfId="24126" xr:uid="{00000000-0005-0000-0000-0000CF1D0000}"/>
    <cellStyle name="20% - Accent6 2 3 5 7" xfId="17463" xr:uid="{00000000-0005-0000-0000-0000D01D0000}"/>
    <cellStyle name="20% - Accent6 2 3 6" xfId="760" xr:uid="{00000000-0005-0000-0000-0000D11D0000}"/>
    <cellStyle name="20% - Accent6 2 3 6 2" xfId="8383" xr:uid="{00000000-0005-0000-0000-0000D21D0000}"/>
    <cellStyle name="20% - Accent6 2 3 6 2 2" xfId="10602" xr:uid="{00000000-0005-0000-0000-0000D31D0000}"/>
    <cellStyle name="20% - Accent6 2 3 6 2 2 2" xfId="21165" xr:uid="{00000000-0005-0000-0000-0000D41D0000}"/>
    <cellStyle name="20% - Accent6 2 3 6 2 3" xfId="12821" xr:uid="{00000000-0005-0000-0000-0000D51D0000}"/>
    <cellStyle name="20% - Accent6 2 3 6 2 3 2" xfId="23384" xr:uid="{00000000-0005-0000-0000-0000D61D0000}"/>
    <cellStyle name="20% - Accent6 2 3 6 2 4" xfId="15040" xr:uid="{00000000-0005-0000-0000-0000D71D0000}"/>
    <cellStyle name="20% - Accent6 2 3 6 2 4 2" xfId="25603" xr:uid="{00000000-0005-0000-0000-0000D81D0000}"/>
    <cellStyle name="20% - Accent6 2 3 6 2 5" xfId="18946" xr:uid="{00000000-0005-0000-0000-0000D91D0000}"/>
    <cellStyle name="20% - Accent6 2 3 6 3" xfId="7650" xr:uid="{00000000-0005-0000-0000-0000DA1D0000}"/>
    <cellStyle name="20% - Accent6 2 3 6 3 2" xfId="9869" xr:uid="{00000000-0005-0000-0000-0000DB1D0000}"/>
    <cellStyle name="20% - Accent6 2 3 6 3 2 2" xfId="20432" xr:uid="{00000000-0005-0000-0000-0000DC1D0000}"/>
    <cellStyle name="20% - Accent6 2 3 6 3 3" xfId="12088" xr:uid="{00000000-0005-0000-0000-0000DD1D0000}"/>
    <cellStyle name="20% - Accent6 2 3 6 3 3 2" xfId="22651" xr:uid="{00000000-0005-0000-0000-0000DE1D0000}"/>
    <cellStyle name="20% - Accent6 2 3 6 3 4" xfId="14307" xr:uid="{00000000-0005-0000-0000-0000DF1D0000}"/>
    <cellStyle name="20% - Accent6 2 3 6 3 4 2" xfId="24870" xr:uid="{00000000-0005-0000-0000-0000E01D0000}"/>
    <cellStyle name="20% - Accent6 2 3 6 3 5" xfId="18213" xr:uid="{00000000-0005-0000-0000-0000E11D0000}"/>
    <cellStyle name="20% - Accent6 2 3 6 4" xfId="9126" xr:uid="{00000000-0005-0000-0000-0000E21D0000}"/>
    <cellStyle name="20% - Accent6 2 3 6 4 2" xfId="19689" xr:uid="{00000000-0005-0000-0000-0000E31D0000}"/>
    <cellStyle name="20% - Accent6 2 3 6 5" xfId="11345" xr:uid="{00000000-0005-0000-0000-0000E41D0000}"/>
    <cellStyle name="20% - Accent6 2 3 6 5 2" xfId="21908" xr:uid="{00000000-0005-0000-0000-0000E51D0000}"/>
    <cellStyle name="20% - Accent6 2 3 6 6" xfId="13564" xr:uid="{00000000-0005-0000-0000-0000E61D0000}"/>
    <cellStyle name="20% - Accent6 2 3 6 6 2" xfId="24127" xr:uid="{00000000-0005-0000-0000-0000E71D0000}"/>
    <cellStyle name="20% - Accent6 2 3 6 7" xfId="17464" xr:uid="{00000000-0005-0000-0000-0000E81D0000}"/>
    <cellStyle name="20% - Accent6 2 3 7" xfId="761" xr:uid="{00000000-0005-0000-0000-0000E91D0000}"/>
    <cellStyle name="20% - Accent6 2 3 7 2" xfId="8384" xr:uid="{00000000-0005-0000-0000-0000EA1D0000}"/>
    <cellStyle name="20% - Accent6 2 3 7 2 2" xfId="10603" xr:uid="{00000000-0005-0000-0000-0000EB1D0000}"/>
    <cellStyle name="20% - Accent6 2 3 7 2 2 2" xfId="21166" xr:uid="{00000000-0005-0000-0000-0000EC1D0000}"/>
    <cellStyle name="20% - Accent6 2 3 7 2 3" xfId="12822" xr:uid="{00000000-0005-0000-0000-0000ED1D0000}"/>
    <cellStyle name="20% - Accent6 2 3 7 2 3 2" xfId="23385" xr:uid="{00000000-0005-0000-0000-0000EE1D0000}"/>
    <cellStyle name="20% - Accent6 2 3 7 2 4" xfId="15041" xr:uid="{00000000-0005-0000-0000-0000EF1D0000}"/>
    <cellStyle name="20% - Accent6 2 3 7 2 4 2" xfId="25604" xr:uid="{00000000-0005-0000-0000-0000F01D0000}"/>
    <cellStyle name="20% - Accent6 2 3 7 2 5" xfId="18947" xr:uid="{00000000-0005-0000-0000-0000F11D0000}"/>
    <cellStyle name="20% - Accent6 2 3 7 3" xfId="7651" xr:uid="{00000000-0005-0000-0000-0000F21D0000}"/>
    <cellStyle name="20% - Accent6 2 3 7 3 2" xfId="9870" xr:uid="{00000000-0005-0000-0000-0000F31D0000}"/>
    <cellStyle name="20% - Accent6 2 3 7 3 2 2" xfId="20433" xr:uid="{00000000-0005-0000-0000-0000F41D0000}"/>
    <cellStyle name="20% - Accent6 2 3 7 3 3" xfId="12089" xr:uid="{00000000-0005-0000-0000-0000F51D0000}"/>
    <cellStyle name="20% - Accent6 2 3 7 3 3 2" xfId="22652" xr:uid="{00000000-0005-0000-0000-0000F61D0000}"/>
    <cellStyle name="20% - Accent6 2 3 7 3 4" xfId="14308" xr:uid="{00000000-0005-0000-0000-0000F71D0000}"/>
    <cellStyle name="20% - Accent6 2 3 7 3 4 2" xfId="24871" xr:uid="{00000000-0005-0000-0000-0000F81D0000}"/>
    <cellStyle name="20% - Accent6 2 3 7 3 5" xfId="18214" xr:uid="{00000000-0005-0000-0000-0000F91D0000}"/>
    <cellStyle name="20% - Accent6 2 3 7 4" xfId="9127" xr:uid="{00000000-0005-0000-0000-0000FA1D0000}"/>
    <cellStyle name="20% - Accent6 2 3 7 4 2" xfId="19690" xr:uid="{00000000-0005-0000-0000-0000FB1D0000}"/>
    <cellStyle name="20% - Accent6 2 3 7 5" xfId="11346" xr:uid="{00000000-0005-0000-0000-0000FC1D0000}"/>
    <cellStyle name="20% - Accent6 2 3 7 5 2" xfId="21909" xr:uid="{00000000-0005-0000-0000-0000FD1D0000}"/>
    <cellStyle name="20% - Accent6 2 3 7 6" xfId="13565" xr:uid="{00000000-0005-0000-0000-0000FE1D0000}"/>
    <cellStyle name="20% - Accent6 2 3 7 6 2" xfId="24128" xr:uid="{00000000-0005-0000-0000-0000FF1D0000}"/>
    <cellStyle name="20% - Accent6 2 3 7 7" xfId="17465" xr:uid="{00000000-0005-0000-0000-0000001E0000}"/>
    <cellStyle name="20% - Accent6 2 3 8" xfId="762" xr:uid="{00000000-0005-0000-0000-0000011E0000}"/>
    <cellStyle name="20% - Accent6 2 3 8 2" xfId="8385" xr:uid="{00000000-0005-0000-0000-0000021E0000}"/>
    <cellStyle name="20% - Accent6 2 3 8 2 2" xfId="10604" xr:uid="{00000000-0005-0000-0000-0000031E0000}"/>
    <cellStyle name="20% - Accent6 2 3 8 2 2 2" xfId="21167" xr:uid="{00000000-0005-0000-0000-0000041E0000}"/>
    <cellStyle name="20% - Accent6 2 3 8 2 3" xfId="12823" xr:uid="{00000000-0005-0000-0000-0000051E0000}"/>
    <cellStyle name="20% - Accent6 2 3 8 2 3 2" xfId="23386" xr:uid="{00000000-0005-0000-0000-0000061E0000}"/>
    <cellStyle name="20% - Accent6 2 3 8 2 4" xfId="15042" xr:uid="{00000000-0005-0000-0000-0000071E0000}"/>
    <cellStyle name="20% - Accent6 2 3 8 2 4 2" xfId="25605" xr:uid="{00000000-0005-0000-0000-0000081E0000}"/>
    <cellStyle name="20% - Accent6 2 3 8 2 5" xfId="18948" xr:uid="{00000000-0005-0000-0000-0000091E0000}"/>
    <cellStyle name="20% - Accent6 2 3 8 3" xfId="7652" xr:uid="{00000000-0005-0000-0000-00000A1E0000}"/>
    <cellStyle name="20% - Accent6 2 3 8 3 2" xfId="9871" xr:uid="{00000000-0005-0000-0000-00000B1E0000}"/>
    <cellStyle name="20% - Accent6 2 3 8 3 2 2" xfId="20434" xr:uid="{00000000-0005-0000-0000-00000C1E0000}"/>
    <cellStyle name="20% - Accent6 2 3 8 3 3" xfId="12090" xr:uid="{00000000-0005-0000-0000-00000D1E0000}"/>
    <cellStyle name="20% - Accent6 2 3 8 3 3 2" xfId="22653" xr:uid="{00000000-0005-0000-0000-00000E1E0000}"/>
    <cellStyle name="20% - Accent6 2 3 8 3 4" xfId="14309" xr:uid="{00000000-0005-0000-0000-00000F1E0000}"/>
    <cellStyle name="20% - Accent6 2 3 8 3 4 2" xfId="24872" xr:uid="{00000000-0005-0000-0000-0000101E0000}"/>
    <cellStyle name="20% - Accent6 2 3 8 3 5" xfId="18215" xr:uid="{00000000-0005-0000-0000-0000111E0000}"/>
    <cellStyle name="20% - Accent6 2 3 8 4" xfId="9128" xr:uid="{00000000-0005-0000-0000-0000121E0000}"/>
    <cellStyle name="20% - Accent6 2 3 8 4 2" xfId="19691" xr:uid="{00000000-0005-0000-0000-0000131E0000}"/>
    <cellStyle name="20% - Accent6 2 3 8 5" xfId="11347" xr:uid="{00000000-0005-0000-0000-0000141E0000}"/>
    <cellStyle name="20% - Accent6 2 3 8 5 2" xfId="21910" xr:uid="{00000000-0005-0000-0000-0000151E0000}"/>
    <cellStyle name="20% - Accent6 2 3 8 6" xfId="13566" xr:uid="{00000000-0005-0000-0000-0000161E0000}"/>
    <cellStyle name="20% - Accent6 2 3 8 6 2" xfId="24129" xr:uid="{00000000-0005-0000-0000-0000171E0000}"/>
    <cellStyle name="20% - Accent6 2 3 8 7" xfId="17466" xr:uid="{00000000-0005-0000-0000-0000181E0000}"/>
    <cellStyle name="20% - Accent6 2 3 9" xfId="763" xr:uid="{00000000-0005-0000-0000-0000191E0000}"/>
    <cellStyle name="20% - Accent6 2 3 9 2" xfId="8386" xr:uid="{00000000-0005-0000-0000-00001A1E0000}"/>
    <cellStyle name="20% - Accent6 2 3 9 2 2" xfId="10605" xr:uid="{00000000-0005-0000-0000-00001B1E0000}"/>
    <cellStyle name="20% - Accent6 2 3 9 2 2 2" xfId="21168" xr:uid="{00000000-0005-0000-0000-00001C1E0000}"/>
    <cellStyle name="20% - Accent6 2 3 9 2 3" xfId="12824" xr:uid="{00000000-0005-0000-0000-00001D1E0000}"/>
    <cellStyle name="20% - Accent6 2 3 9 2 3 2" xfId="23387" xr:uid="{00000000-0005-0000-0000-00001E1E0000}"/>
    <cellStyle name="20% - Accent6 2 3 9 2 4" xfId="15043" xr:uid="{00000000-0005-0000-0000-00001F1E0000}"/>
    <cellStyle name="20% - Accent6 2 3 9 2 4 2" xfId="25606" xr:uid="{00000000-0005-0000-0000-0000201E0000}"/>
    <cellStyle name="20% - Accent6 2 3 9 2 5" xfId="18949" xr:uid="{00000000-0005-0000-0000-0000211E0000}"/>
    <cellStyle name="20% - Accent6 2 3 9 3" xfId="7653" xr:uid="{00000000-0005-0000-0000-0000221E0000}"/>
    <cellStyle name="20% - Accent6 2 3 9 3 2" xfId="9872" xr:uid="{00000000-0005-0000-0000-0000231E0000}"/>
    <cellStyle name="20% - Accent6 2 3 9 3 2 2" xfId="20435" xr:uid="{00000000-0005-0000-0000-0000241E0000}"/>
    <cellStyle name="20% - Accent6 2 3 9 3 3" xfId="12091" xr:uid="{00000000-0005-0000-0000-0000251E0000}"/>
    <cellStyle name="20% - Accent6 2 3 9 3 3 2" xfId="22654" xr:uid="{00000000-0005-0000-0000-0000261E0000}"/>
    <cellStyle name="20% - Accent6 2 3 9 3 4" xfId="14310" xr:uid="{00000000-0005-0000-0000-0000271E0000}"/>
    <cellStyle name="20% - Accent6 2 3 9 3 4 2" xfId="24873" xr:uid="{00000000-0005-0000-0000-0000281E0000}"/>
    <cellStyle name="20% - Accent6 2 3 9 3 5" xfId="18216" xr:uid="{00000000-0005-0000-0000-0000291E0000}"/>
    <cellStyle name="20% - Accent6 2 3 9 4" xfId="9129" xr:uid="{00000000-0005-0000-0000-00002A1E0000}"/>
    <cellStyle name="20% - Accent6 2 3 9 4 2" xfId="19692" xr:uid="{00000000-0005-0000-0000-00002B1E0000}"/>
    <cellStyle name="20% - Accent6 2 3 9 5" xfId="11348" xr:uid="{00000000-0005-0000-0000-00002C1E0000}"/>
    <cellStyle name="20% - Accent6 2 3 9 5 2" xfId="21911" xr:uid="{00000000-0005-0000-0000-00002D1E0000}"/>
    <cellStyle name="20% - Accent6 2 3 9 6" xfId="13567" xr:uid="{00000000-0005-0000-0000-00002E1E0000}"/>
    <cellStyle name="20% - Accent6 2 3 9 6 2" xfId="24130" xr:uid="{00000000-0005-0000-0000-00002F1E0000}"/>
    <cellStyle name="20% - Accent6 2 3 9 7" xfId="17467" xr:uid="{00000000-0005-0000-0000-0000301E0000}"/>
    <cellStyle name="20% - Accent6 2 4" xfId="764" xr:uid="{00000000-0005-0000-0000-0000311E0000}"/>
    <cellStyle name="20% - Accent6 2 4 10" xfId="8387" xr:uid="{00000000-0005-0000-0000-0000321E0000}"/>
    <cellStyle name="20% - Accent6 2 4 10 2" xfId="10606" xr:uid="{00000000-0005-0000-0000-0000331E0000}"/>
    <cellStyle name="20% - Accent6 2 4 10 2 2" xfId="21169" xr:uid="{00000000-0005-0000-0000-0000341E0000}"/>
    <cellStyle name="20% - Accent6 2 4 10 3" xfId="12825" xr:uid="{00000000-0005-0000-0000-0000351E0000}"/>
    <cellStyle name="20% - Accent6 2 4 10 3 2" xfId="23388" xr:uid="{00000000-0005-0000-0000-0000361E0000}"/>
    <cellStyle name="20% - Accent6 2 4 10 4" xfId="15044" xr:uid="{00000000-0005-0000-0000-0000371E0000}"/>
    <cellStyle name="20% - Accent6 2 4 10 4 2" xfId="25607" xr:uid="{00000000-0005-0000-0000-0000381E0000}"/>
    <cellStyle name="20% - Accent6 2 4 10 5" xfId="18950" xr:uid="{00000000-0005-0000-0000-0000391E0000}"/>
    <cellStyle name="20% - Accent6 2 4 11" xfId="7654" xr:uid="{00000000-0005-0000-0000-00003A1E0000}"/>
    <cellStyle name="20% - Accent6 2 4 11 2" xfId="9873" xr:uid="{00000000-0005-0000-0000-00003B1E0000}"/>
    <cellStyle name="20% - Accent6 2 4 11 2 2" xfId="20436" xr:uid="{00000000-0005-0000-0000-00003C1E0000}"/>
    <cellStyle name="20% - Accent6 2 4 11 3" xfId="12092" xr:uid="{00000000-0005-0000-0000-00003D1E0000}"/>
    <cellStyle name="20% - Accent6 2 4 11 3 2" xfId="22655" xr:uid="{00000000-0005-0000-0000-00003E1E0000}"/>
    <cellStyle name="20% - Accent6 2 4 11 4" xfId="14311" xr:uid="{00000000-0005-0000-0000-00003F1E0000}"/>
    <cellStyle name="20% - Accent6 2 4 11 4 2" xfId="24874" xr:uid="{00000000-0005-0000-0000-0000401E0000}"/>
    <cellStyle name="20% - Accent6 2 4 11 5" xfId="18217" xr:uid="{00000000-0005-0000-0000-0000411E0000}"/>
    <cellStyle name="20% - Accent6 2 4 12" xfId="9130" xr:uid="{00000000-0005-0000-0000-0000421E0000}"/>
    <cellStyle name="20% - Accent6 2 4 12 2" xfId="19693" xr:uid="{00000000-0005-0000-0000-0000431E0000}"/>
    <cellStyle name="20% - Accent6 2 4 13" xfId="11349" xr:uid="{00000000-0005-0000-0000-0000441E0000}"/>
    <cellStyle name="20% - Accent6 2 4 13 2" xfId="21912" xr:uid="{00000000-0005-0000-0000-0000451E0000}"/>
    <cellStyle name="20% - Accent6 2 4 14" xfId="13568" xr:uid="{00000000-0005-0000-0000-0000461E0000}"/>
    <cellStyle name="20% - Accent6 2 4 14 2" xfId="24131" xr:uid="{00000000-0005-0000-0000-0000471E0000}"/>
    <cellStyle name="20% - Accent6 2 4 15" xfId="17468" xr:uid="{00000000-0005-0000-0000-0000481E0000}"/>
    <cellStyle name="20% - Accent6 2 4 2" xfId="765" xr:uid="{00000000-0005-0000-0000-0000491E0000}"/>
    <cellStyle name="20% - Accent6 2 4 2 2" xfId="8388" xr:uid="{00000000-0005-0000-0000-00004A1E0000}"/>
    <cellStyle name="20% - Accent6 2 4 2 2 2" xfId="10607" xr:uid="{00000000-0005-0000-0000-00004B1E0000}"/>
    <cellStyle name="20% - Accent6 2 4 2 2 2 2" xfId="21170" xr:uid="{00000000-0005-0000-0000-00004C1E0000}"/>
    <cellStyle name="20% - Accent6 2 4 2 2 3" xfId="12826" xr:uid="{00000000-0005-0000-0000-00004D1E0000}"/>
    <cellStyle name="20% - Accent6 2 4 2 2 3 2" xfId="23389" xr:uid="{00000000-0005-0000-0000-00004E1E0000}"/>
    <cellStyle name="20% - Accent6 2 4 2 2 4" xfId="15045" xr:uid="{00000000-0005-0000-0000-00004F1E0000}"/>
    <cellStyle name="20% - Accent6 2 4 2 2 4 2" xfId="25608" xr:uid="{00000000-0005-0000-0000-0000501E0000}"/>
    <cellStyle name="20% - Accent6 2 4 2 2 5" xfId="18951" xr:uid="{00000000-0005-0000-0000-0000511E0000}"/>
    <cellStyle name="20% - Accent6 2 4 2 3" xfId="7655" xr:uid="{00000000-0005-0000-0000-0000521E0000}"/>
    <cellStyle name="20% - Accent6 2 4 2 3 2" xfId="9874" xr:uid="{00000000-0005-0000-0000-0000531E0000}"/>
    <cellStyle name="20% - Accent6 2 4 2 3 2 2" xfId="20437" xr:uid="{00000000-0005-0000-0000-0000541E0000}"/>
    <cellStyle name="20% - Accent6 2 4 2 3 3" xfId="12093" xr:uid="{00000000-0005-0000-0000-0000551E0000}"/>
    <cellStyle name="20% - Accent6 2 4 2 3 3 2" xfId="22656" xr:uid="{00000000-0005-0000-0000-0000561E0000}"/>
    <cellStyle name="20% - Accent6 2 4 2 3 4" xfId="14312" xr:uid="{00000000-0005-0000-0000-0000571E0000}"/>
    <cellStyle name="20% - Accent6 2 4 2 3 4 2" xfId="24875" xr:uid="{00000000-0005-0000-0000-0000581E0000}"/>
    <cellStyle name="20% - Accent6 2 4 2 3 5" xfId="18218" xr:uid="{00000000-0005-0000-0000-0000591E0000}"/>
    <cellStyle name="20% - Accent6 2 4 2 4" xfId="9131" xr:uid="{00000000-0005-0000-0000-00005A1E0000}"/>
    <cellStyle name="20% - Accent6 2 4 2 4 2" xfId="19694" xr:uid="{00000000-0005-0000-0000-00005B1E0000}"/>
    <cellStyle name="20% - Accent6 2 4 2 5" xfId="11350" xr:uid="{00000000-0005-0000-0000-00005C1E0000}"/>
    <cellStyle name="20% - Accent6 2 4 2 5 2" xfId="21913" xr:uid="{00000000-0005-0000-0000-00005D1E0000}"/>
    <cellStyle name="20% - Accent6 2 4 2 6" xfId="13569" xr:uid="{00000000-0005-0000-0000-00005E1E0000}"/>
    <cellStyle name="20% - Accent6 2 4 2 6 2" xfId="24132" xr:uid="{00000000-0005-0000-0000-00005F1E0000}"/>
    <cellStyle name="20% - Accent6 2 4 2 7" xfId="17469" xr:uid="{00000000-0005-0000-0000-0000601E0000}"/>
    <cellStyle name="20% - Accent6 2 4 3" xfId="766" xr:uid="{00000000-0005-0000-0000-0000611E0000}"/>
    <cellStyle name="20% - Accent6 2 4 3 2" xfId="8389" xr:uid="{00000000-0005-0000-0000-0000621E0000}"/>
    <cellStyle name="20% - Accent6 2 4 3 2 2" xfId="10608" xr:uid="{00000000-0005-0000-0000-0000631E0000}"/>
    <cellStyle name="20% - Accent6 2 4 3 2 2 2" xfId="21171" xr:uid="{00000000-0005-0000-0000-0000641E0000}"/>
    <cellStyle name="20% - Accent6 2 4 3 2 3" xfId="12827" xr:uid="{00000000-0005-0000-0000-0000651E0000}"/>
    <cellStyle name="20% - Accent6 2 4 3 2 3 2" xfId="23390" xr:uid="{00000000-0005-0000-0000-0000661E0000}"/>
    <cellStyle name="20% - Accent6 2 4 3 2 4" xfId="15046" xr:uid="{00000000-0005-0000-0000-0000671E0000}"/>
    <cellStyle name="20% - Accent6 2 4 3 2 4 2" xfId="25609" xr:uid="{00000000-0005-0000-0000-0000681E0000}"/>
    <cellStyle name="20% - Accent6 2 4 3 2 5" xfId="18952" xr:uid="{00000000-0005-0000-0000-0000691E0000}"/>
    <cellStyle name="20% - Accent6 2 4 3 3" xfId="7656" xr:uid="{00000000-0005-0000-0000-00006A1E0000}"/>
    <cellStyle name="20% - Accent6 2 4 3 3 2" xfId="9875" xr:uid="{00000000-0005-0000-0000-00006B1E0000}"/>
    <cellStyle name="20% - Accent6 2 4 3 3 2 2" xfId="20438" xr:uid="{00000000-0005-0000-0000-00006C1E0000}"/>
    <cellStyle name="20% - Accent6 2 4 3 3 3" xfId="12094" xr:uid="{00000000-0005-0000-0000-00006D1E0000}"/>
    <cellStyle name="20% - Accent6 2 4 3 3 3 2" xfId="22657" xr:uid="{00000000-0005-0000-0000-00006E1E0000}"/>
    <cellStyle name="20% - Accent6 2 4 3 3 4" xfId="14313" xr:uid="{00000000-0005-0000-0000-00006F1E0000}"/>
    <cellStyle name="20% - Accent6 2 4 3 3 4 2" xfId="24876" xr:uid="{00000000-0005-0000-0000-0000701E0000}"/>
    <cellStyle name="20% - Accent6 2 4 3 3 5" xfId="18219" xr:uid="{00000000-0005-0000-0000-0000711E0000}"/>
    <cellStyle name="20% - Accent6 2 4 3 4" xfId="9132" xr:uid="{00000000-0005-0000-0000-0000721E0000}"/>
    <cellStyle name="20% - Accent6 2 4 3 4 2" xfId="19695" xr:uid="{00000000-0005-0000-0000-0000731E0000}"/>
    <cellStyle name="20% - Accent6 2 4 3 5" xfId="11351" xr:uid="{00000000-0005-0000-0000-0000741E0000}"/>
    <cellStyle name="20% - Accent6 2 4 3 5 2" xfId="21914" xr:uid="{00000000-0005-0000-0000-0000751E0000}"/>
    <cellStyle name="20% - Accent6 2 4 3 6" xfId="13570" xr:uid="{00000000-0005-0000-0000-0000761E0000}"/>
    <cellStyle name="20% - Accent6 2 4 3 6 2" xfId="24133" xr:uid="{00000000-0005-0000-0000-0000771E0000}"/>
    <cellStyle name="20% - Accent6 2 4 3 7" xfId="17470" xr:uid="{00000000-0005-0000-0000-0000781E0000}"/>
    <cellStyle name="20% - Accent6 2 4 4" xfId="767" xr:uid="{00000000-0005-0000-0000-0000791E0000}"/>
    <cellStyle name="20% - Accent6 2 4 4 2" xfId="8390" xr:uid="{00000000-0005-0000-0000-00007A1E0000}"/>
    <cellStyle name="20% - Accent6 2 4 4 2 2" xfId="10609" xr:uid="{00000000-0005-0000-0000-00007B1E0000}"/>
    <cellStyle name="20% - Accent6 2 4 4 2 2 2" xfId="21172" xr:uid="{00000000-0005-0000-0000-00007C1E0000}"/>
    <cellStyle name="20% - Accent6 2 4 4 2 3" xfId="12828" xr:uid="{00000000-0005-0000-0000-00007D1E0000}"/>
    <cellStyle name="20% - Accent6 2 4 4 2 3 2" xfId="23391" xr:uid="{00000000-0005-0000-0000-00007E1E0000}"/>
    <cellStyle name="20% - Accent6 2 4 4 2 4" xfId="15047" xr:uid="{00000000-0005-0000-0000-00007F1E0000}"/>
    <cellStyle name="20% - Accent6 2 4 4 2 4 2" xfId="25610" xr:uid="{00000000-0005-0000-0000-0000801E0000}"/>
    <cellStyle name="20% - Accent6 2 4 4 2 5" xfId="18953" xr:uid="{00000000-0005-0000-0000-0000811E0000}"/>
    <cellStyle name="20% - Accent6 2 4 4 3" xfId="7657" xr:uid="{00000000-0005-0000-0000-0000821E0000}"/>
    <cellStyle name="20% - Accent6 2 4 4 3 2" xfId="9876" xr:uid="{00000000-0005-0000-0000-0000831E0000}"/>
    <cellStyle name="20% - Accent6 2 4 4 3 2 2" xfId="20439" xr:uid="{00000000-0005-0000-0000-0000841E0000}"/>
    <cellStyle name="20% - Accent6 2 4 4 3 3" xfId="12095" xr:uid="{00000000-0005-0000-0000-0000851E0000}"/>
    <cellStyle name="20% - Accent6 2 4 4 3 3 2" xfId="22658" xr:uid="{00000000-0005-0000-0000-0000861E0000}"/>
    <cellStyle name="20% - Accent6 2 4 4 3 4" xfId="14314" xr:uid="{00000000-0005-0000-0000-0000871E0000}"/>
    <cellStyle name="20% - Accent6 2 4 4 3 4 2" xfId="24877" xr:uid="{00000000-0005-0000-0000-0000881E0000}"/>
    <cellStyle name="20% - Accent6 2 4 4 3 5" xfId="18220" xr:uid="{00000000-0005-0000-0000-0000891E0000}"/>
    <cellStyle name="20% - Accent6 2 4 4 4" xfId="9133" xr:uid="{00000000-0005-0000-0000-00008A1E0000}"/>
    <cellStyle name="20% - Accent6 2 4 4 4 2" xfId="19696" xr:uid="{00000000-0005-0000-0000-00008B1E0000}"/>
    <cellStyle name="20% - Accent6 2 4 4 5" xfId="11352" xr:uid="{00000000-0005-0000-0000-00008C1E0000}"/>
    <cellStyle name="20% - Accent6 2 4 4 5 2" xfId="21915" xr:uid="{00000000-0005-0000-0000-00008D1E0000}"/>
    <cellStyle name="20% - Accent6 2 4 4 6" xfId="13571" xr:uid="{00000000-0005-0000-0000-00008E1E0000}"/>
    <cellStyle name="20% - Accent6 2 4 4 6 2" xfId="24134" xr:uid="{00000000-0005-0000-0000-00008F1E0000}"/>
    <cellStyle name="20% - Accent6 2 4 4 7" xfId="17471" xr:uid="{00000000-0005-0000-0000-0000901E0000}"/>
    <cellStyle name="20% - Accent6 2 4 5" xfId="768" xr:uid="{00000000-0005-0000-0000-0000911E0000}"/>
    <cellStyle name="20% - Accent6 2 4 5 2" xfId="8391" xr:uid="{00000000-0005-0000-0000-0000921E0000}"/>
    <cellStyle name="20% - Accent6 2 4 5 2 2" xfId="10610" xr:uid="{00000000-0005-0000-0000-0000931E0000}"/>
    <cellStyle name="20% - Accent6 2 4 5 2 2 2" xfId="21173" xr:uid="{00000000-0005-0000-0000-0000941E0000}"/>
    <cellStyle name="20% - Accent6 2 4 5 2 3" xfId="12829" xr:uid="{00000000-0005-0000-0000-0000951E0000}"/>
    <cellStyle name="20% - Accent6 2 4 5 2 3 2" xfId="23392" xr:uid="{00000000-0005-0000-0000-0000961E0000}"/>
    <cellStyle name="20% - Accent6 2 4 5 2 4" xfId="15048" xr:uid="{00000000-0005-0000-0000-0000971E0000}"/>
    <cellStyle name="20% - Accent6 2 4 5 2 4 2" xfId="25611" xr:uid="{00000000-0005-0000-0000-0000981E0000}"/>
    <cellStyle name="20% - Accent6 2 4 5 2 5" xfId="18954" xr:uid="{00000000-0005-0000-0000-0000991E0000}"/>
    <cellStyle name="20% - Accent6 2 4 5 3" xfId="7658" xr:uid="{00000000-0005-0000-0000-00009A1E0000}"/>
    <cellStyle name="20% - Accent6 2 4 5 3 2" xfId="9877" xr:uid="{00000000-0005-0000-0000-00009B1E0000}"/>
    <cellStyle name="20% - Accent6 2 4 5 3 2 2" xfId="20440" xr:uid="{00000000-0005-0000-0000-00009C1E0000}"/>
    <cellStyle name="20% - Accent6 2 4 5 3 3" xfId="12096" xr:uid="{00000000-0005-0000-0000-00009D1E0000}"/>
    <cellStyle name="20% - Accent6 2 4 5 3 3 2" xfId="22659" xr:uid="{00000000-0005-0000-0000-00009E1E0000}"/>
    <cellStyle name="20% - Accent6 2 4 5 3 4" xfId="14315" xr:uid="{00000000-0005-0000-0000-00009F1E0000}"/>
    <cellStyle name="20% - Accent6 2 4 5 3 4 2" xfId="24878" xr:uid="{00000000-0005-0000-0000-0000A01E0000}"/>
    <cellStyle name="20% - Accent6 2 4 5 3 5" xfId="18221" xr:uid="{00000000-0005-0000-0000-0000A11E0000}"/>
    <cellStyle name="20% - Accent6 2 4 5 4" xfId="9134" xr:uid="{00000000-0005-0000-0000-0000A21E0000}"/>
    <cellStyle name="20% - Accent6 2 4 5 4 2" xfId="19697" xr:uid="{00000000-0005-0000-0000-0000A31E0000}"/>
    <cellStyle name="20% - Accent6 2 4 5 5" xfId="11353" xr:uid="{00000000-0005-0000-0000-0000A41E0000}"/>
    <cellStyle name="20% - Accent6 2 4 5 5 2" xfId="21916" xr:uid="{00000000-0005-0000-0000-0000A51E0000}"/>
    <cellStyle name="20% - Accent6 2 4 5 6" xfId="13572" xr:uid="{00000000-0005-0000-0000-0000A61E0000}"/>
    <cellStyle name="20% - Accent6 2 4 5 6 2" xfId="24135" xr:uid="{00000000-0005-0000-0000-0000A71E0000}"/>
    <cellStyle name="20% - Accent6 2 4 5 7" xfId="17472" xr:uid="{00000000-0005-0000-0000-0000A81E0000}"/>
    <cellStyle name="20% - Accent6 2 4 6" xfId="769" xr:uid="{00000000-0005-0000-0000-0000A91E0000}"/>
    <cellStyle name="20% - Accent6 2 4 6 2" xfId="8392" xr:uid="{00000000-0005-0000-0000-0000AA1E0000}"/>
    <cellStyle name="20% - Accent6 2 4 6 2 2" xfId="10611" xr:uid="{00000000-0005-0000-0000-0000AB1E0000}"/>
    <cellStyle name="20% - Accent6 2 4 6 2 2 2" xfId="21174" xr:uid="{00000000-0005-0000-0000-0000AC1E0000}"/>
    <cellStyle name="20% - Accent6 2 4 6 2 3" xfId="12830" xr:uid="{00000000-0005-0000-0000-0000AD1E0000}"/>
    <cellStyle name="20% - Accent6 2 4 6 2 3 2" xfId="23393" xr:uid="{00000000-0005-0000-0000-0000AE1E0000}"/>
    <cellStyle name="20% - Accent6 2 4 6 2 4" xfId="15049" xr:uid="{00000000-0005-0000-0000-0000AF1E0000}"/>
    <cellStyle name="20% - Accent6 2 4 6 2 4 2" xfId="25612" xr:uid="{00000000-0005-0000-0000-0000B01E0000}"/>
    <cellStyle name="20% - Accent6 2 4 6 2 5" xfId="18955" xr:uid="{00000000-0005-0000-0000-0000B11E0000}"/>
    <cellStyle name="20% - Accent6 2 4 6 3" xfId="7659" xr:uid="{00000000-0005-0000-0000-0000B21E0000}"/>
    <cellStyle name="20% - Accent6 2 4 6 3 2" xfId="9878" xr:uid="{00000000-0005-0000-0000-0000B31E0000}"/>
    <cellStyle name="20% - Accent6 2 4 6 3 2 2" xfId="20441" xr:uid="{00000000-0005-0000-0000-0000B41E0000}"/>
    <cellStyle name="20% - Accent6 2 4 6 3 3" xfId="12097" xr:uid="{00000000-0005-0000-0000-0000B51E0000}"/>
    <cellStyle name="20% - Accent6 2 4 6 3 3 2" xfId="22660" xr:uid="{00000000-0005-0000-0000-0000B61E0000}"/>
    <cellStyle name="20% - Accent6 2 4 6 3 4" xfId="14316" xr:uid="{00000000-0005-0000-0000-0000B71E0000}"/>
    <cellStyle name="20% - Accent6 2 4 6 3 4 2" xfId="24879" xr:uid="{00000000-0005-0000-0000-0000B81E0000}"/>
    <cellStyle name="20% - Accent6 2 4 6 3 5" xfId="18222" xr:uid="{00000000-0005-0000-0000-0000B91E0000}"/>
    <cellStyle name="20% - Accent6 2 4 6 4" xfId="9135" xr:uid="{00000000-0005-0000-0000-0000BA1E0000}"/>
    <cellStyle name="20% - Accent6 2 4 6 4 2" xfId="19698" xr:uid="{00000000-0005-0000-0000-0000BB1E0000}"/>
    <cellStyle name="20% - Accent6 2 4 6 5" xfId="11354" xr:uid="{00000000-0005-0000-0000-0000BC1E0000}"/>
    <cellStyle name="20% - Accent6 2 4 6 5 2" xfId="21917" xr:uid="{00000000-0005-0000-0000-0000BD1E0000}"/>
    <cellStyle name="20% - Accent6 2 4 6 6" xfId="13573" xr:uid="{00000000-0005-0000-0000-0000BE1E0000}"/>
    <cellStyle name="20% - Accent6 2 4 6 6 2" xfId="24136" xr:uid="{00000000-0005-0000-0000-0000BF1E0000}"/>
    <cellStyle name="20% - Accent6 2 4 6 7" xfId="17473" xr:uid="{00000000-0005-0000-0000-0000C01E0000}"/>
    <cellStyle name="20% - Accent6 2 4 7" xfId="770" xr:uid="{00000000-0005-0000-0000-0000C11E0000}"/>
    <cellStyle name="20% - Accent6 2 4 7 2" xfId="8393" xr:uid="{00000000-0005-0000-0000-0000C21E0000}"/>
    <cellStyle name="20% - Accent6 2 4 7 2 2" xfId="10612" xr:uid="{00000000-0005-0000-0000-0000C31E0000}"/>
    <cellStyle name="20% - Accent6 2 4 7 2 2 2" xfId="21175" xr:uid="{00000000-0005-0000-0000-0000C41E0000}"/>
    <cellStyle name="20% - Accent6 2 4 7 2 3" xfId="12831" xr:uid="{00000000-0005-0000-0000-0000C51E0000}"/>
    <cellStyle name="20% - Accent6 2 4 7 2 3 2" xfId="23394" xr:uid="{00000000-0005-0000-0000-0000C61E0000}"/>
    <cellStyle name="20% - Accent6 2 4 7 2 4" xfId="15050" xr:uid="{00000000-0005-0000-0000-0000C71E0000}"/>
    <cellStyle name="20% - Accent6 2 4 7 2 4 2" xfId="25613" xr:uid="{00000000-0005-0000-0000-0000C81E0000}"/>
    <cellStyle name="20% - Accent6 2 4 7 2 5" xfId="18956" xr:uid="{00000000-0005-0000-0000-0000C91E0000}"/>
    <cellStyle name="20% - Accent6 2 4 7 3" xfId="7660" xr:uid="{00000000-0005-0000-0000-0000CA1E0000}"/>
    <cellStyle name="20% - Accent6 2 4 7 3 2" xfId="9879" xr:uid="{00000000-0005-0000-0000-0000CB1E0000}"/>
    <cellStyle name="20% - Accent6 2 4 7 3 2 2" xfId="20442" xr:uid="{00000000-0005-0000-0000-0000CC1E0000}"/>
    <cellStyle name="20% - Accent6 2 4 7 3 3" xfId="12098" xr:uid="{00000000-0005-0000-0000-0000CD1E0000}"/>
    <cellStyle name="20% - Accent6 2 4 7 3 3 2" xfId="22661" xr:uid="{00000000-0005-0000-0000-0000CE1E0000}"/>
    <cellStyle name="20% - Accent6 2 4 7 3 4" xfId="14317" xr:uid="{00000000-0005-0000-0000-0000CF1E0000}"/>
    <cellStyle name="20% - Accent6 2 4 7 3 4 2" xfId="24880" xr:uid="{00000000-0005-0000-0000-0000D01E0000}"/>
    <cellStyle name="20% - Accent6 2 4 7 3 5" xfId="18223" xr:uid="{00000000-0005-0000-0000-0000D11E0000}"/>
    <cellStyle name="20% - Accent6 2 4 7 4" xfId="9136" xr:uid="{00000000-0005-0000-0000-0000D21E0000}"/>
    <cellStyle name="20% - Accent6 2 4 7 4 2" xfId="19699" xr:uid="{00000000-0005-0000-0000-0000D31E0000}"/>
    <cellStyle name="20% - Accent6 2 4 7 5" xfId="11355" xr:uid="{00000000-0005-0000-0000-0000D41E0000}"/>
    <cellStyle name="20% - Accent6 2 4 7 5 2" xfId="21918" xr:uid="{00000000-0005-0000-0000-0000D51E0000}"/>
    <cellStyle name="20% - Accent6 2 4 7 6" xfId="13574" xr:uid="{00000000-0005-0000-0000-0000D61E0000}"/>
    <cellStyle name="20% - Accent6 2 4 7 6 2" xfId="24137" xr:uid="{00000000-0005-0000-0000-0000D71E0000}"/>
    <cellStyle name="20% - Accent6 2 4 7 7" xfId="17474" xr:uid="{00000000-0005-0000-0000-0000D81E0000}"/>
    <cellStyle name="20% - Accent6 2 4 8" xfId="771" xr:uid="{00000000-0005-0000-0000-0000D91E0000}"/>
    <cellStyle name="20% - Accent6 2 4 8 2" xfId="8394" xr:uid="{00000000-0005-0000-0000-0000DA1E0000}"/>
    <cellStyle name="20% - Accent6 2 4 8 2 2" xfId="10613" xr:uid="{00000000-0005-0000-0000-0000DB1E0000}"/>
    <cellStyle name="20% - Accent6 2 4 8 2 2 2" xfId="21176" xr:uid="{00000000-0005-0000-0000-0000DC1E0000}"/>
    <cellStyle name="20% - Accent6 2 4 8 2 3" xfId="12832" xr:uid="{00000000-0005-0000-0000-0000DD1E0000}"/>
    <cellStyle name="20% - Accent6 2 4 8 2 3 2" xfId="23395" xr:uid="{00000000-0005-0000-0000-0000DE1E0000}"/>
    <cellStyle name="20% - Accent6 2 4 8 2 4" xfId="15051" xr:uid="{00000000-0005-0000-0000-0000DF1E0000}"/>
    <cellStyle name="20% - Accent6 2 4 8 2 4 2" xfId="25614" xr:uid="{00000000-0005-0000-0000-0000E01E0000}"/>
    <cellStyle name="20% - Accent6 2 4 8 2 5" xfId="18957" xr:uid="{00000000-0005-0000-0000-0000E11E0000}"/>
    <cellStyle name="20% - Accent6 2 4 8 3" xfId="7661" xr:uid="{00000000-0005-0000-0000-0000E21E0000}"/>
    <cellStyle name="20% - Accent6 2 4 8 3 2" xfId="9880" xr:uid="{00000000-0005-0000-0000-0000E31E0000}"/>
    <cellStyle name="20% - Accent6 2 4 8 3 2 2" xfId="20443" xr:uid="{00000000-0005-0000-0000-0000E41E0000}"/>
    <cellStyle name="20% - Accent6 2 4 8 3 3" xfId="12099" xr:uid="{00000000-0005-0000-0000-0000E51E0000}"/>
    <cellStyle name="20% - Accent6 2 4 8 3 3 2" xfId="22662" xr:uid="{00000000-0005-0000-0000-0000E61E0000}"/>
    <cellStyle name="20% - Accent6 2 4 8 3 4" xfId="14318" xr:uid="{00000000-0005-0000-0000-0000E71E0000}"/>
    <cellStyle name="20% - Accent6 2 4 8 3 4 2" xfId="24881" xr:uid="{00000000-0005-0000-0000-0000E81E0000}"/>
    <cellStyle name="20% - Accent6 2 4 8 3 5" xfId="18224" xr:uid="{00000000-0005-0000-0000-0000E91E0000}"/>
    <cellStyle name="20% - Accent6 2 4 8 4" xfId="9137" xr:uid="{00000000-0005-0000-0000-0000EA1E0000}"/>
    <cellStyle name="20% - Accent6 2 4 8 4 2" xfId="19700" xr:uid="{00000000-0005-0000-0000-0000EB1E0000}"/>
    <cellStyle name="20% - Accent6 2 4 8 5" xfId="11356" xr:uid="{00000000-0005-0000-0000-0000EC1E0000}"/>
    <cellStyle name="20% - Accent6 2 4 8 5 2" xfId="21919" xr:uid="{00000000-0005-0000-0000-0000ED1E0000}"/>
    <cellStyle name="20% - Accent6 2 4 8 6" xfId="13575" xr:uid="{00000000-0005-0000-0000-0000EE1E0000}"/>
    <cellStyle name="20% - Accent6 2 4 8 6 2" xfId="24138" xr:uid="{00000000-0005-0000-0000-0000EF1E0000}"/>
    <cellStyle name="20% - Accent6 2 4 8 7" xfId="17475" xr:uid="{00000000-0005-0000-0000-0000F01E0000}"/>
    <cellStyle name="20% - Accent6 2 4 9" xfId="772" xr:uid="{00000000-0005-0000-0000-0000F11E0000}"/>
    <cellStyle name="20% - Accent6 2 4 9 2" xfId="8395" xr:uid="{00000000-0005-0000-0000-0000F21E0000}"/>
    <cellStyle name="20% - Accent6 2 4 9 2 2" xfId="10614" xr:uid="{00000000-0005-0000-0000-0000F31E0000}"/>
    <cellStyle name="20% - Accent6 2 4 9 2 2 2" xfId="21177" xr:uid="{00000000-0005-0000-0000-0000F41E0000}"/>
    <cellStyle name="20% - Accent6 2 4 9 2 3" xfId="12833" xr:uid="{00000000-0005-0000-0000-0000F51E0000}"/>
    <cellStyle name="20% - Accent6 2 4 9 2 3 2" xfId="23396" xr:uid="{00000000-0005-0000-0000-0000F61E0000}"/>
    <cellStyle name="20% - Accent6 2 4 9 2 4" xfId="15052" xr:uid="{00000000-0005-0000-0000-0000F71E0000}"/>
    <cellStyle name="20% - Accent6 2 4 9 2 4 2" xfId="25615" xr:uid="{00000000-0005-0000-0000-0000F81E0000}"/>
    <cellStyle name="20% - Accent6 2 4 9 2 5" xfId="18958" xr:uid="{00000000-0005-0000-0000-0000F91E0000}"/>
    <cellStyle name="20% - Accent6 2 4 9 3" xfId="7662" xr:uid="{00000000-0005-0000-0000-0000FA1E0000}"/>
    <cellStyle name="20% - Accent6 2 4 9 3 2" xfId="9881" xr:uid="{00000000-0005-0000-0000-0000FB1E0000}"/>
    <cellStyle name="20% - Accent6 2 4 9 3 2 2" xfId="20444" xr:uid="{00000000-0005-0000-0000-0000FC1E0000}"/>
    <cellStyle name="20% - Accent6 2 4 9 3 3" xfId="12100" xr:uid="{00000000-0005-0000-0000-0000FD1E0000}"/>
    <cellStyle name="20% - Accent6 2 4 9 3 3 2" xfId="22663" xr:uid="{00000000-0005-0000-0000-0000FE1E0000}"/>
    <cellStyle name="20% - Accent6 2 4 9 3 4" xfId="14319" xr:uid="{00000000-0005-0000-0000-0000FF1E0000}"/>
    <cellStyle name="20% - Accent6 2 4 9 3 4 2" xfId="24882" xr:uid="{00000000-0005-0000-0000-0000001F0000}"/>
    <cellStyle name="20% - Accent6 2 4 9 3 5" xfId="18225" xr:uid="{00000000-0005-0000-0000-0000011F0000}"/>
    <cellStyle name="20% - Accent6 2 4 9 4" xfId="9138" xr:uid="{00000000-0005-0000-0000-0000021F0000}"/>
    <cellStyle name="20% - Accent6 2 4 9 4 2" xfId="19701" xr:uid="{00000000-0005-0000-0000-0000031F0000}"/>
    <cellStyle name="20% - Accent6 2 4 9 5" xfId="11357" xr:uid="{00000000-0005-0000-0000-0000041F0000}"/>
    <cellStyle name="20% - Accent6 2 4 9 5 2" xfId="21920" xr:uid="{00000000-0005-0000-0000-0000051F0000}"/>
    <cellStyle name="20% - Accent6 2 4 9 6" xfId="13576" xr:uid="{00000000-0005-0000-0000-0000061F0000}"/>
    <cellStyle name="20% - Accent6 2 4 9 6 2" xfId="24139" xr:uid="{00000000-0005-0000-0000-0000071F0000}"/>
    <cellStyle name="20% - Accent6 2 4 9 7" xfId="17476" xr:uid="{00000000-0005-0000-0000-0000081F0000}"/>
    <cellStyle name="20% - Accent6 2 5" xfId="773" xr:uid="{00000000-0005-0000-0000-0000091F0000}"/>
    <cellStyle name="20% - Accent6 2 5 10" xfId="8396" xr:uid="{00000000-0005-0000-0000-00000A1F0000}"/>
    <cellStyle name="20% - Accent6 2 5 10 2" xfId="10615" xr:uid="{00000000-0005-0000-0000-00000B1F0000}"/>
    <cellStyle name="20% - Accent6 2 5 10 2 2" xfId="21178" xr:uid="{00000000-0005-0000-0000-00000C1F0000}"/>
    <cellStyle name="20% - Accent6 2 5 10 3" xfId="12834" xr:uid="{00000000-0005-0000-0000-00000D1F0000}"/>
    <cellStyle name="20% - Accent6 2 5 10 3 2" xfId="23397" xr:uid="{00000000-0005-0000-0000-00000E1F0000}"/>
    <cellStyle name="20% - Accent6 2 5 10 4" xfId="15053" xr:uid="{00000000-0005-0000-0000-00000F1F0000}"/>
    <cellStyle name="20% - Accent6 2 5 10 4 2" xfId="25616" xr:uid="{00000000-0005-0000-0000-0000101F0000}"/>
    <cellStyle name="20% - Accent6 2 5 10 5" xfId="18959" xr:uid="{00000000-0005-0000-0000-0000111F0000}"/>
    <cellStyle name="20% - Accent6 2 5 11" xfId="7663" xr:uid="{00000000-0005-0000-0000-0000121F0000}"/>
    <cellStyle name="20% - Accent6 2 5 11 2" xfId="9882" xr:uid="{00000000-0005-0000-0000-0000131F0000}"/>
    <cellStyle name="20% - Accent6 2 5 11 2 2" xfId="20445" xr:uid="{00000000-0005-0000-0000-0000141F0000}"/>
    <cellStyle name="20% - Accent6 2 5 11 3" xfId="12101" xr:uid="{00000000-0005-0000-0000-0000151F0000}"/>
    <cellStyle name="20% - Accent6 2 5 11 3 2" xfId="22664" xr:uid="{00000000-0005-0000-0000-0000161F0000}"/>
    <cellStyle name="20% - Accent6 2 5 11 4" xfId="14320" xr:uid="{00000000-0005-0000-0000-0000171F0000}"/>
    <cellStyle name="20% - Accent6 2 5 11 4 2" xfId="24883" xr:uid="{00000000-0005-0000-0000-0000181F0000}"/>
    <cellStyle name="20% - Accent6 2 5 11 5" xfId="18226" xr:uid="{00000000-0005-0000-0000-0000191F0000}"/>
    <cellStyle name="20% - Accent6 2 5 12" xfId="9139" xr:uid="{00000000-0005-0000-0000-00001A1F0000}"/>
    <cellStyle name="20% - Accent6 2 5 12 2" xfId="19702" xr:uid="{00000000-0005-0000-0000-00001B1F0000}"/>
    <cellStyle name="20% - Accent6 2 5 13" xfId="11358" xr:uid="{00000000-0005-0000-0000-00001C1F0000}"/>
    <cellStyle name="20% - Accent6 2 5 13 2" xfId="21921" xr:uid="{00000000-0005-0000-0000-00001D1F0000}"/>
    <cellStyle name="20% - Accent6 2 5 14" xfId="13577" xr:uid="{00000000-0005-0000-0000-00001E1F0000}"/>
    <cellStyle name="20% - Accent6 2 5 14 2" xfId="24140" xr:uid="{00000000-0005-0000-0000-00001F1F0000}"/>
    <cellStyle name="20% - Accent6 2 5 15" xfId="17477" xr:uid="{00000000-0005-0000-0000-0000201F0000}"/>
    <cellStyle name="20% - Accent6 2 5 2" xfId="774" xr:uid="{00000000-0005-0000-0000-0000211F0000}"/>
    <cellStyle name="20% - Accent6 2 5 2 2" xfId="8397" xr:uid="{00000000-0005-0000-0000-0000221F0000}"/>
    <cellStyle name="20% - Accent6 2 5 2 2 2" xfId="10616" xr:uid="{00000000-0005-0000-0000-0000231F0000}"/>
    <cellStyle name="20% - Accent6 2 5 2 2 2 2" xfId="21179" xr:uid="{00000000-0005-0000-0000-0000241F0000}"/>
    <cellStyle name="20% - Accent6 2 5 2 2 3" xfId="12835" xr:uid="{00000000-0005-0000-0000-0000251F0000}"/>
    <cellStyle name="20% - Accent6 2 5 2 2 3 2" xfId="23398" xr:uid="{00000000-0005-0000-0000-0000261F0000}"/>
    <cellStyle name="20% - Accent6 2 5 2 2 4" xfId="15054" xr:uid="{00000000-0005-0000-0000-0000271F0000}"/>
    <cellStyle name="20% - Accent6 2 5 2 2 4 2" xfId="25617" xr:uid="{00000000-0005-0000-0000-0000281F0000}"/>
    <cellStyle name="20% - Accent6 2 5 2 2 5" xfId="18960" xr:uid="{00000000-0005-0000-0000-0000291F0000}"/>
    <cellStyle name="20% - Accent6 2 5 2 3" xfId="7664" xr:uid="{00000000-0005-0000-0000-00002A1F0000}"/>
    <cellStyle name="20% - Accent6 2 5 2 3 2" xfId="9883" xr:uid="{00000000-0005-0000-0000-00002B1F0000}"/>
    <cellStyle name="20% - Accent6 2 5 2 3 2 2" xfId="20446" xr:uid="{00000000-0005-0000-0000-00002C1F0000}"/>
    <cellStyle name="20% - Accent6 2 5 2 3 3" xfId="12102" xr:uid="{00000000-0005-0000-0000-00002D1F0000}"/>
    <cellStyle name="20% - Accent6 2 5 2 3 3 2" xfId="22665" xr:uid="{00000000-0005-0000-0000-00002E1F0000}"/>
    <cellStyle name="20% - Accent6 2 5 2 3 4" xfId="14321" xr:uid="{00000000-0005-0000-0000-00002F1F0000}"/>
    <cellStyle name="20% - Accent6 2 5 2 3 4 2" xfId="24884" xr:uid="{00000000-0005-0000-0000-0000301F0000}"/>
    <cellStyle name="20% - Accent6 2 5 2 3 5" xfId="18227" xr:uid="{00000000-0005-0000-0000-0000311F0000}"/>
    <cellStyle name="20% - Accent6 2 5 2 4" xfId="9140" xr:uid="{00000000-0005-0000-0000-0000321F0000}"/>
    <cellStyle name="20% - Accent6 2 5 2 4 2" xfId="19703" xr:uid="{00000000-0005-0000-0000-0000331F0000}"/>
    <cellStyle name="20% - Accent6 2 5 2 5" xfId="11359" xr:uid="{00000000-0005-0000-0000-0000341F0000}"/>
    <cellStyle name="20% - Accent6 2 5 2 5 2" xfId="21922" xr:uid="{00000000-0005-0000-0000-0000351F0000}"/>
    <cellStyle name="20% - Accent6 2 5 2 6" xfId="13578" xr:uid="{00000000-0005-0000-0000-0000361F0000}"/>
    <cellStyle name="20% - Accent6 2 5 2 6 2" xfId="24141" xr:uid="{00000000-0005-0000-0000-0000371F0000}"/>
    <cellStyle name="20% - Accent6 2 5 2 7" xfId="17478" xr:uid="{00000000-0005-0000-0000-0000381F0000}"/>
    <cellStyle name="20% - Accent6 2 5 3" xfId="775" xr:uid="{00000000-0005-0000-0000-0000391F0000}"/>
    <cellStyle name="20% - Accent6 2 5 3 2" xfId="8398" xr:uid="{00000000-0005-0000-0000-00003A1F0000}"/>
    <cellStyle name="20% - Accent6 2 5 3 2 2" xfId="10617" xr:uid="{00000000-0005-0000-0000-00003B1F0000}"/>
    <cellStyle name="20% - Accent6 2 5 3 2 2 2" xfId="21180" xr:uid="{00000000-0005-0000-0000-00003C1F0000}"/>
    <cellStyle name="20% - Accent6 2 5 3 2 3" xfId="12836" xr:uid="{00000000-0005-0000-0000-00003D1F0000}"/>
    <cellStyle name="20% - Accent6 2 5 3 2 3 2" xfId="23399" xr:uid="{00000000-0005-0000-0000-00003E1F0000}"/>
    <cellStyle name="20% - Accent6 2 5 3 2 4" xfId="15055" xr:uid="{00000000-0005-0000-0000-00003F1F0000}"/>
    <cellStyle name="20% - Accent6 2 5 3 2 4 2" xfId="25618" xr:uid="{00000000-0005-0000-0000-0000401F0000}"/>
    <cellStyle name="20% - Accent6 2 5 3 2 5" xfId="18961" xr:uid="{00000000-0005-0000-0000-0000411F0000}"/>
    <cellStyle name="20% - Accent6 2 5 3 3" xfId="7665" xr:uid="{00000000-0005-0000-0000-0000421F0000}"/>
    <cellStyle name="20% - Accent6 2 5 3 3 2" xfId="9884" xr:uid="{00000000-0005-0000-0000-0000431F0000}"/>
    <cellStyle name="20% - Accent6 2 5 3 3 2 2" xfId="20447" xr:uid="{00000000-0005-0000-0000-0000441F0000}"/>
    <cellStyle name="20% - Accent6 2 5 3 3 3" xfId="12103" xr:uid="{00000000-0005-0000-0000-0000451F0000}"/>
    <cellStyle name="20% - Accent6 2 5 3 3 3 2" xfId="22666" xr:uid="{00000000-0005-0000-0000-0000461F0000}"/>
    <cellStyle name="20% - Accent6 2 5 3 3 4" xfId="14322" xr:uid="{00000000-0005-0000-0000-0000471F0000}"/>
    <cellStyle name="20% - Accent6 2 5 3 3 4 2" xfId="24885" xr:uid="{00000000-0005-0000-0000-0000481F0000}"/>
    <cellStyle name="20% - Accent6 2 5 3 3 5" xfId="18228" xr:uid="{00000000-0005-0000-0000-0000491F0000}"/>
    <cellStyle name="20% - Accent6 2 5 3 4" xfId="9141" xr:uid="{00000000-0005-0000-0000-00004A1F0000}"/>
    <cellStyle name="20% - Accent6 2 5 3 4 2" xfId="19704" xr:uid="{00000000-0005-0000-0000-00004B1F0000}"/>
    <cellStyle name="20% - Accent6 2 5 3 5" xfId="11360" xr:uid="{00000000-0005-0000-0000-00004C1F0000}"/>
    <cellStyle name="20% - Accent6 2 5 3 5 2" xfId="21923" xr:uid="{00000000-0005-0000-0000-00004D1F0000}"/>
    <cellStyle name="20% - Accent6 2 5 3 6" xfId="13579" xr:uid="{00000000-0005-0000-0000-00004E1F0000}"/>
    <cellStyle name="20% - Accent6 2 5 3 6 2" xfId="24142" xr:uid="{00000000-0005-0000-0000-00004F1F0000}"/>
    <cellStyle name="20% - Accent6 2 5 3 7" xfId="17479" xr:uid="{00000000-0005-0000-0000-0000501F0000}"/>
    <cellStyle name="20% - Accent6 2 5 4" xfId="776" xr:uid="{00000000-0005-0000-0000-0000511F0000}"/>
    <cellStyle name="20% - Accent6 2 5 4 2" xfId="8399" xr:uid="{00000000-0005-0000-0000-0000521F0000}"/>
    <cellStyle name="20% - Accent6 2 5 4 2 2" xfId="10618" xr:uid="{00000000-0005-0000-0000-0000531F0000}"/>
    <cellStyle name="20% - Accent6 2 5 4 2 2 2" xfId="21181" xr:uid="{00000000-0005-0000-0000-0000541F0000}"/>
    <cellStyle name="20% - Accent6 2 5 4 2 3" xfId="12837" xr:uid="{00000000-0005-0000-0000-0000551F0000}"/>
    <cellStyle name="20% - Accent6 2 5 4 2 3 2" xfId="23400" xr:uid="{00000000-0005-0000-0000-0000561F0000}"/>
    <cellStyle name="20% - Accent6 2 5 4 2 4" xfId="15056" xr:uid="{00000000-0005-0000-0000-0000571F0000}"/>
    <cellStyle name="20% - Accent6 2 5 4 2 4 2" xfId="25619" xr:uid="{00000000-0005-0000-0000-0000581F0000}"/>
    <cellStyle name="20% - Accent6 2 5 4 2 5" xfId="18962" xr:uid="{00000000-0005-0000-0000-0000591F0000}"/>
    <cellStyle name="20% - Accent6 2 5 4 3" xfId="7666" xr:uid="{00000000-0005-0000-0000-00005A1F0000}"/>
    <cellStyle name="20% - Accent6 2 5 4 3 2" xfId="9885" xr:uid="{00000000-0005-0000-0000-00005B1F0000}"/>
    <cellStyle name="20% - Accent6 2 5 4 3 2 2" xfId="20448" xr:uid="{00000000-0005-0000-0000-00005C1F0000}"/>
    <cellStyle name="20% - Accent6 2 5 4 3 3" xfId="12104" xr:uid="{00000000-0005-0000-0000-00005D1F0000}"/>
    <cellStyle name="20% - Accent6 2 5 4 3 3 2" xfId="22667" xr:uid="{00000000-0005-0000-0000-00005E1F0000}"/>
    <cellStyle name="20% - Accent6 2 5 4 3 4" xfId="14323" xr:uid="{00000000-0005-0000-0000-00005F1F0000}"/>
    <cellStyle name="20% - Accent6 2 5 4 3 4 2" xfId="24886" xr:uid="{00000000-0005-0000-0000-0000601F0000}"/>
    <cellStyle name="20% - Accent6 2 5 4 3 5" xfId="18229" xr:uid="{00000000-0005-0000-0000-0000611F0000}"/>
    <cellStyle name="20% - Accent6 2 5 4 4" xfId="9142" xr:uid="{00000000-0005-0000-0000-0000621F0000}"/>
    <cellStyle name="20% - Accent6 2 5 4 4 2" xfId="19705" xr:uid="{00000000-0005-0000-0000-0000631F0000}"/>
    <cellStyle name="20% - Accent6 2 5 4 5" xfId="11361" xr:uid="{00000000-0005-0000-0000-0000641F0000}"/>
    <cellStyle name="20% - Accent6 2 5 4 5 2" xfId="21924" xr:uid="{00000000-0005-0000-0000-0000651F0000}"/>
    <cellStyle name="20% - Accent6 2 5 4 6" xfId="13580" xr:uid="{00000000-0005-0000-0000-0000661F0000}"/>
    <cellStyle name="20% - Accent6 2 5 4 6 2" xfId="24143" xr:uid="{00000000-0005-0000-0000-0000671F0000}"/>
    <cellStyle name="20% - Accent6 2 5 4 7" xfId="17480" xr:uid="{00000000-0005-0000-0000-0000681F0000}"/>
    <cellStyle name="20% - Accent6 2 5 5" xfId="777" xr:uid="{00000000-0005-0000-0000-0000691F0000}"/>
    <cellStyle name="20% - Accent6 2 5 5 2" xfId="8400" xr:uid="{00000000-0005-0000-0000-00006A1F0000}"/>
    <cellStyle name="20% - Accent6 2 5 5 2 2" xfId="10619" xr:uid="{00000000-0005-0000-0000-00006B1F0000}"/>
    <cellStyle name="20% - Accent6 2 5 5 2 2 2" xfId="21182" xr:uid="{00000000-0005-0000-0000-00006C1F0000}"/>
    <cellStyle name="20% - Accent6 2 5 5 2 3" xfId="12838" xr:uid="{00000000-0005-0000-0000-00006D1F0000}"/>
    <cellStyle name="20% - Accent6 2 5 5 2 3 2" xfId="23401" xr:uid="{00000000-0005-0000-0000-00006E1F0000}"/>
    <cellStyle name="20% - Accent6 2 5 5 2 4" xfId="15057" xr:uid="{00000000-0005-0000-0000-00006F1F0000}"/>
    <cellStyle name="20% - Accent6 2 5 5 2 4 2" xfId="25620" xr:uid="{00000000-0005-0000-0000-0000701F0000}"/>
    <cellStyle name="20% - Accent6 2 5 5 2 5" xfId="18963" xr:uid="{00000000-0005-0000-0000-0000711F0000}"/>
    <cellStyle name="20% - Accent6 2 5 5 3" xfId="7667" xr:uid="{00000000-0005-0000-0000-0000721F0000}"/>
    <cellStyle name="20% - Accent6 2 5 5 3 2" xfId="9886" xr:uid="{00000000-0005-0000-0000-0000731F0000}"/>
    <cellStyle name="20% - Accent6 2 5 5 3 2 2" xfId="20449" xr:uid="{00000000-0005-0000-0000-0000741F0000}"/>
    <cellStyle name="20% - Accent6 2 5 5 3 3" xfId="12105" xr:uid="{00000000-0005-0000-0000-0000751F0000}"/>
    <cellStyle name="20% - Accent6 2 5 5 3 3 2" xfId="22668" xr:uid="{00000000-0005-0000-0000-0000761F0000}"/>
    <cellStyle name="20% - Accent6 2 5 5 3 4" xfId="14324" xr:uid="{00000000-0005-0000-0000-0000771F0000}"/>
    <cellStyle name="20% - Accent6 2 5 5 3 4 2" xfId="24887" xr:uid="{00000000-0005-0000-0000-0000781F0000}"/>
    <cellStyle name="20% - Accent6 2 5 5 3 5" xfId="18230" xr:uid="{00000000-0005-0000-0000-0000791F0000}"/>
    <cellStyle name="20% - Accent6 2 5 5 4" xfId="9143" xr:uid="{00000000-0005-0000-0000-00007A1F0000}"/>
    <cellStyle name="20% - Accent6 2 5 5 4 2" xfId="19706" xr:uid="{00000000-0005-0000-0000-00007B1F0000}"/>
    <cellStyle name="20% - Accent6 2 5 5 5" xfId="11362" xr:uid="{00000000-0005-0000-0000-00007C1F0000}"/>
    <cellStyle name="20% - Accent6 2 5 5 5 2" xfId="21925" xr:uid="{00000000-0005-0000-0000-00007D1F0000}"/>
    <cellStyle name="20% - Accent6 2 5 5 6" xfId="13581" xr:uid="{00000000-0005-0000-0000-00007E1F0000}"/>
    <cellStyle name="20% - Accent6 2 5 5 6 2" xfId="24144" xr:uid="{00000000-0005-0000-0000-00007F1F0000}"/>
    <cellStyle name="20% - Accent6 2 5 5 7" xfId="17481" xr:uid="{00000000-0005-0000-0000-0000801F0000}"/>
    <cellStyle name="20% - Accent6 2 5 6" xfId="778" xr:uid="{00000000-0005-0000-0000-0000811F0000}"/>
    <cellStyle name="20% - Accent6 2 5 6 2" xfId="8401" xr:uid="{00000000-0005-0000-0000-0000821F0000}"/>
    <cellStyle name="20% - Accent6 2 5 6 2 2" xfId="10620" xr:uid="{00000000-0005-0000-0000-0000831F0000}"/>
    <cellStyle name="20% - Accent6 2 5 6 2 2 2" xfId="21183" xr:uid="{00000000-0005-0000-0000-0000841F0000}"/>
    <cellStyle name="20% - Accent6 2 5 6 2 3" xfId="12839" xr:uid="{00000000-0005-0000-0000-0000851F0000}"/>
    <cellStyle name="20% - Accent6 2 5 6 2 3 2" xfId="23402" xr:uid="{00000000-0005-0000-0000-0000861F0000}"/>
    <cellStyle name="20% - Accent6 2 5 6 2 4" xfId="15058" xr:uid="{00000000-0005-0000-0000-0000871F0000}"/>
    <cellStyle name="20% - Accent6 2 5 6 2 4 2" xfId="25621" xr:uid="{00000000-0005-0000-0000-0000881F0000}"/>
    <cellStyle name="20% - Accent6 2 5 6 2 5" xfId="18964" xr:uid="{00000000-0005-0000-0000-0000891F0000}"/>
    <cellStyle name="20% - Accent6 2 5 6 3" xfId="7668" xr:uid="{00000000-0005-0000-0000-00008A1F0000}"/>
    <cellStyle name="20% - Accent6 2 5 6 3 2" xfId="9887" xr:uid="{00000000-0005-0000-0000-00008B1F0000}"/>
    <cellStyle name="20% - Accent6 2 5 6 3 2 2" xfId="20450" xr:uid="{00000000-0005-0000-0000-00008C1F0000}"/>
    <cellStyle name="20% - Accent6 2 5 6 3 3" xfId="12106" xr:uid="{00000000-0005-0000-0000-00008D1F0000}"/>
    <cellStyle name="20% - Accent6 2 5 6 3 3 2" xfId="22669" xr:uid="{00000000-0005-0000-0000-00008E1F0000}"/>
    <cellStyle name="20% - Accent6 2 5 6 3 4" xfId="14325" xr:uid="{00000000-0005-0000-0000-00008F1F0000}"/>
    <cellStyle name="20% - Accent6 2 5 6 3 4 2" xfId="24888" xr:uid="{00000000-0005-0000-0000-0000901F0000}"/>
    <cellStyle name="20% - Accent6 2 5 6 3 5" xfId="18231" xr:uid="{00000000-0005-0000-0000-0000911F0000}"/>
    <cellStyle name="20% - Accent6 2 5 6 4" xfId="9144" xr:uid="{00000000-0005-0000-0000-0000921F0000}"/>
    <cellStyle name="20% - Accent6 2 5 6 4 2" xfId="19707" xr:uid="{00000000-0005-0000-0000-0000931F0000}"/>
    <cellStyle name="20% - Accent6 2 5 6 5" xfId="11363" xr:uid="{00000000-0005-0000-0000-0000941F0000}"/>
    <cellStyle name="20% - Accent6 2 5 6 5 2" xfId="21926" xr:uid="{00000000-0005-0000-0000-0000951F0000}"/>
    <cellStyle name="20% - Accent6 2 5 6 6" xfId="13582" xr:uid="{00000000-0005-0000-0000-0000961F0000}"/>
    <cellStyle name="20% - Accent6 2 5 6 6 2" xfId="24145" xr:uid="{00000000-0005-0000-0000-0000971F0000}"/>
    <cellStyle name="20% - Accent6 2 5 6 7" xfId="17482" xr:uid="{00000000-0005-0000-0000-0000981F0000}"/>
    <cellStyle name="20% - Accent6 2 5 7" xfId="779" xr:uid="{00000000-0005-0000-0000-0000991F0000}"/>
    <cellStyle name="20% - Accent6 2 5 7 2" xfId="8402" xr:uid="{00000000-0005-0000-0000-00009A1F0000}"/>
    <cellStyle name="20% - Accent6 2 5 7 2 2" xfId="10621" xr:uid="{00000000-0005-0000-0000-00009B1F0000}"/>
    <cellStyle name="20% - Accent6 2 5 7 2 2 2" xfId="21184" xr:uid="{00000000-0005-0000-0000-00009C1F0000}"/>
    <cellStyle name="20% - Accent6 2 5 7 2 3" xfId="12840" xr:uid="{00000000-0005-0000-0000-00009D1F0000}"/>
    <cellStyle name="20% - Accent6 2 5 7 2 3 2" xfId="23403" xr:uid="{00000000-0005-0000-0000-00009E1F0000}"/>
    <cellStyle name="20% - Accent6 2 5 7 2 4" xfId="15059" xr:uid="{00000000-0005-0000-0000-00009F1F0000}"/>
    <cellStyle name="20% - Accent6 2 5 7 2 4 2" xfId="25622" xr:uid="{00000000-0005-0000-0000-0000A01F0000}"/>
    <cellStyle name="20% - Accent6 2 5 7 2 5" xfId="18965" xr:uid="{00000000-0005-0000-0000-0000A11F0000}"/>
    <cellStyle name="20% - Accent6 2 5 7 3" xfId="7669" xr:uid="{00000000-0005-0000-0000-0000A21F0000}"/>
    <cellStyle name="20% - Accent6 2 5 7 3 2" xfId="9888" xr:uid="{00000000-0005-0000-0000-0000A31F0000}"/>
    <cellStyle name="20% - Accent6 2 5 7 3 2 2" xfId="20451" xr:uid="{00000000-0005-0000-0000-0000A41F0000}"/>
    <cellStyle name="20% - Accent6 2 5 7 3 3" xfId="12107" xr:uid="{00000000-0005-0000-0000-0000A51F0000}"/>
    <cellStyle name="20% - Accent6 2 5 7 3 3 2" xfId="22670" xr:uid="{00000000-0005-0000-0000-0000A61F0000}"/>
    <cellStyle name="20% - Accent6 2 5 7 3 4" xfId="14326" xr:uid="{00000000-0005-0000-0000-0000A71F0000}"/>
    <cellStyle name="20% - Accent6 2 5 7 3 4 2" xfId="24889" xr:uid="{00000000-0005-0000-0000-0000A81F0000}"/>
    <cellStyle name="20% - Accent6 2 5 7 3 5" xfId="18232" xr:uid="{00000000-0005-0000-0000-0000A91F0000}"/>
    <cellStyle name="20% - Accent6 2 5 7 4" xfId="9145" xr:uid="{00000000-0005-0000-0000-0000AA1F0000}"/>
    <cellStyle name="20% - Accent6 2 5 7 4 2" xfId="19708" xr:uid="{00000000-0005-0000-0000-0000AB1F0000}"/>
    <cellStyle name="20% - Accent6 2 5 7 5" xfId="11364" xr:uid="{00000000-0005-0000-0000-0000AC1F0000}"/>
    <cellStyle name="20% - Accent6 2 5 7 5 2" xfId="21927" xr:uid="{00000000-0005-0000-0000-0000AD1F0000}"/>
    <cellStyle name="20% - Accent6 2 5 7 6" xfId="13583" xr:uid="{00000000-0005-0000-0000-0000AE1F0000}"/>
    <cellStyle name="20% - Accent6 2 5 7 6 2" xfId="24146" xr:uid="{00000000-0005-0000-0000-0000AF1F0000}"/>
    <cellStyle name="20% - Accent6 2 5 7 7" xfId="17483" xr:uid="{00000000-0005-0000-0000-0000B01F0000}"/>
    <cellStyle name="20% - Accent6 2 5 8" xfId="780" xr:uid="{00000000-0005-0000-0000-0000B11F0000}"/>
    <cellStyle name="20% - Accent6 2 5 8 2" xfId="8403" xr:uid="{00000000-0005-0000-0000-0000B21F0000}"/>
    <cellStyle name="20% - Accent6 2 5 8 2 2" xfId="10622" xr:uid="{00000000-0005-0000-0000-0000B31F0000}"/>
    <cellStyle name="20% - Accent6 2 5 8 2 2 2" xfId="21185" xr:uid="{00000000-0005-0000-0000-0000B41F0000}"/>
    <cellStyle name="20% - Accent6 2 5 8 2 3" xfId="12841" xr:uid="{00000000-0005-0000-0000-0000B51F0000}"/>
    <cellStyle name="20% - Accent6 2 5 8 2 3 2" xfId="23404" xr:uid="{00000000-0005-0000-0000-0000B61F0000}"/>
    <cellStyle name="20% - Accent6 2 5 8 2 4" xfId="15060" xr:uid="{00000000-0005-0000-0000-0000B71F0000}"/>
    <cellStyle name="20% - Accent6 2 5 8 2 4 2" xfId="25623" xr:uid="{00000000-0005-0000-0000-0000B81F0000}"/>
    <cellStyle name="20% - Accent6 2 5 8 2 5" xfId="18966" xr:uid="{00000000-0005-0000-0000-0000B91F0000}"/>
    <cellStyle name="20% - Accent6 2 5 8 3" xfId="7670" xr:uid="{00000000-0005-0000-0000-0000BA1F0000}"/>
    <cellStyle name="20% - Accent6 2 5 8 3 2" xfId="9889" xr:uid="{00000000-0005-0000-0000-0000BB1F0000}"/>
    <cellStyle name="20% - Accent6 2 5 8 3 2 2" xfId="20452" xr:uid="{00000000-0005-0000-0000-0000BC1F0000}"/>
    <cellStyle name="20% - Accent6 2 5 8 3 3" xfId="12108" xr:uid="{00000000-0005-0000-0000-0000BD1F0000}"/>
    <cellStyle name="20% - Accent6 2 5 8 3 3 2" xfId="22671" xr:uid="{00000000-0005-0000-0000-0000BE1F0000}"/>
    <cellStyle name="20% - Accent6 2 5 8 3 4" xfId="14327" xr:uid="{00000000-0005-0000-0000-0000BF1F0000}"/>
    <cellStyle name="20% - Accent6 2 5 8 3 4 2" xfId="24890" xr:uid="{00000000-0005-0000-0000-0000C01F0000}"/>
    <cellStyle name="20% - Accent6 2 5 8 3 5" xfId="18233" xr:uid="{00000000-0005-0000-0000-0000C11F0000}"/>
    <cellStyle name="20% - Accent6 2 5 8 4" xfId="9146" xr:uid="{00000000-0005-0000-0000-0000C21F0000}"/>
    <cellStyle name="20% - Accent6 2 5 8 4 2" xfId="19709" xr:uid="{00000000-0005-0000-0000-0000C31F0000}"/>
    <cellStyle name="20% - Accent6 2 5 8 5" xfId="11365" xr:uid="{00000000-0005-0000-0000-0000C41F0000}"/>
    <cellStyle name="20% - Accent6 2 5 8 5 2" xfId="21928" xr:uid="{00000000-0005-0000-0000-0000C51F0000}"/>
    <cellStyle name="20% - Accent6 2 5 8 6" xfId="13584" xr:uid="{00000000-0005-0000-0000-0000C61F0000}"/>
    <cellStyle name="20% - Accent6 2 5 8 6 2" xfId="24147" xr:uid="{00000000-0005-0000-0000-0000C71F0000}"/>
    <cellStyle name="20% - Accent6 2 5 8 7" xfId="17484" xr:uid="{00000000-0005-0000-0000-0000C81F0000}"/>
    <cellStyle name="20% - Accent6 2 5 9" xfId="781" xr:uid="{00000000-0005-0000-0000-0000C91F0000}"/>
    <cellStyle name="20% - Accent6 2 5 9 2" xfId="8404" xr:uid="{00000000-0005-0000-0000-0000CA1F0000}"/>
    <cellStyle name="20% - Accent6 2 5 9 2 2" xfId="10623" xr:uid="{00000000-0005-0000-0000-0000CB1F0000}"/>
    <cellStyle name="20% - Accent6 2 5 9 2 2 2" xfId="21186" xr:uid="{00000000-0005-0000-0000-0000CC1F0000}"/>
    <cellStyle name="20% - Accent6 2 5 9 2 3" xfId="12842" xr:uid="{00000000-0005-0000-0000-0000CD1F0000}"/>
    <cellStyle name="20% - Accent6 2 5 9 2 3 2" xfId="23405" xr:uid="{00000000-0005-0000-0000-0000CE1F0000}"/>
    <cellStyle name="20% - Accent6 2 5 9 2 4" xfId="15061" xr:uid="{00000000-0005-0000-0000-0000CF1F0000}"/>
    <cellStyle name="20% - Accent6 2 5 9 2 4 2" xfId="25624" xr:uid="{00000000-0005-0000-0000-0000D01F0000}"/>
    <cellStyle name="20% - Accent6 2 5 9 2 5" xfId="18967" xr:uid="{00000000-0005-0000-0000-0000D11F0000}"/>
    <cellStyle name="20% - Accent6 2 5 9 3" xfId="7671" xr:uid="{00000000-0005-0000-0000-0000D21F0000}"/>
    <cellStyle name="20% - Accent6 2 5 9 3 2" xfId="9890" xr:uid="{00000000-0005-0000-0000-0000D31F0000}"/>
    <cellStyle name="20% - Accent6 2 5 9 3 2 2" xfId="20453" xr:uid="{00000000-0005-0000-0000-0000D41F0000}"/>
    <cellStyle name="20% - Accent6 2 5 9 3 3" xfId="12109" xr:uid="{00000000-0005-0000-0000-0000D51F0000}"/>
    <cellStyle name="20% - Accent6 2 5 9 3 3 2" xfId="22672" xr:uid="{00000000-0005-0000-0000-0000D61F0000}"/>
    <cellStyle name="20% - Accent6 2 5 9 3 4" xfId="14328" xr:uid="{00000000-0005-0000-0000-0000D71F0000}"/>
    <cellStyle name="20% - Accent6 2 5 9 3 4 2" xfId="24891" xr:uid="{00000000-0005-0000-0000-0000D81F0000}"/>
    <cellStyle name="20% - Accent6 2 5 9 3 5" xfId="18234" xr:uid="{00000000-0005-0000-0000-0000D91F0000}"/>
    <cellStyle name="20% - Accent6 2 5 9 4" xfId="9147" xr:uid="{00000000-0005-0000-0000-0000DA1F0000}"/>
    <cellStyle name="20% - Accent6 2 5 9 4 2" xfId="19710" xr:uid="{00000000-0005-0000-0000-0000DB1F0000}"/>
    <cellStyle name="20% - Accent6 2 5 9 5" xfId="11366" xr:uid="{00000000-0005-0000-0000-0000DC1F0000}"/>
    <cellStyle name="20% - Accent6 2 5 9 5 2" xfId="21929" xr:uid="{00000000-0005-0000-0000-0000DD1F0000}"/>
    <cellStyle name="20% - Accent6 2 5 9 6" xfId="13585" xr:uid="{00000000-0005-0000-0000-0000DE1F0000}"/>
    <cellStyle name="20% - Accent6 2 5 9 6 2" xfId="24148" xr:uid="{00000000-0005-0000-0000-0000DF1F0000}"/>
    <cellStyle name="20% - Accent6 2 5 9 7" xfId="17485" xr:uid="{00000000-0005-0000-0000-0000E01F0000}"/>
    <cellStyle name="20% - Accent6 2 6" xfId="782" xr:uid="{00000000-0005-0000-0000-0000E11F0000}"/>
    <cellStyle name="20% - Accent6 2 6 2" xfId="8405" xr:uid="{00000000-0005-0000-0000-0000E21F0000}"/>
    <cellStyle name="20% - Accent6 2 6 2 2" xfId="10624" xr:uid="{00000000-0005-0000-0000-0000E31F0000}"/>
    <cellStyle name="20% - Accent6 2 6 2 2 2" xfId="21187" xr:uid="{00000000-0005-0000-0000-0000E41F0000}"/>
    <cellStyle name="20% - Accent6 2 6 2 3" xfId="12843" xr:uid="{00000000-0005-0000-0000-0000E51F0000}"/>
    <cellStyle name="20% - Accent6 2 6 2 3 2" xfId="23406" xr:uid="{00000000-0005-0000-0000-0000E61F0000}"/>
    <cellStyle name="20% - Accent6 2 6 2 4" xfId="15062" xr:uid="{00000000-0005-0000-0000-0000E71F0000}"/>
    <cellStyle name="20% - Accent6 2 6 2 4 2" xfId="25625" xr:uid="{00000000-0005-0000-0000-0000E81F0000}"/>
    <cellStyle name="20% - Accent6 2 6 2 5" xfId="18968" xr:uid="{00000000-0005-0000-0000-0000E91F0000}"/>
    <cellStyle name="20% - Accent6 2 6 3" xfId="7672" xr:uid="{00000000-0005-0000-0000-0000EA1F0000}"/>
    <cellStyle name="20% - Accent6 2 6 3 2" xfId="9891" xr:uid="{00000000-0005-0000-0000-0000EB1F0000}"/>
    <cellStyle name="20% - Accent6 2 6 3 2 2" xfId="20454" xr:uid="{00000000-0005-0000-0000-0000EC1F0000}"/>
    <cellStyle name="20% - Accent6 2 6 3 3" xfId="12110" xr:uid="{00000000-0005-0000-0000-0000ED1F0000}"/>
    <cellStyle name="20% - Accent6 2 6 3 3 2" xfId="22673" xr:uid="{00000000-0005-0000-0000-0000EE1F0000}"/>
    <cellStyle name="20% - Accent6 2 6 3 4" xfId="14329" xr:uid="{00000000-0005-0000-0000-0000EF1F0000}"/>
    <cellStyle name="20% - Accent6 2 6 3 4 2" xfId="24892" xr:uid="{00000000-0005-0000-0000-0000F01F0000}"/>
    <cellStyle name="20% - Accent6 2 6 3 5" xfId="18235" xr:uid="{00000000-0005-0000-0000-0000F11F0000}"/>
    <cellStyle name="20% - Accent6 2 6 4" xfId="9148" xr:uid="{00000000-0005-0000-0000-0000F21F0000}"/>
    <cellStyle name="20% - Accent6 2 6 4 2" xfId="19711" xr:uid="{00000000-0005-0000-0000-0000F31F0000}"/>
    <cellStyle name="20% - Accent6 2 6 5" xfId="11367" xr:uid="{00000000-0005-0000-0000-0000F41F0000}"/>
    <cellStyle name="20% - Accent6 2 6 5 2" xfId="21930" xr:uid="{00000000-0005-0000-0000-0000F51F0000}"/>
    <cellStyle name="20% - Accent6 2 6 6" xfId="13586" xr:uid="{00000000-0005-0000-0000-0000F61F0000}"/>
    <cellStyle name="20% - Accent6 2 6 6 2" xfId="24149" xr:uid="{00000000-0005-0000-0000-0000F71F0000}"/>
    <cellStyle name="20% - Accent6 2 6 7" xfId="17486" xr:uid="{00000000-0005-0000-0000-0000F81F0000}"/>
    <cellStyle name="20% - Accent6 2 7" xfId="783" xr:uid="{00000000-0005-0000-0000-0000F91F0000}"/>
    <cellStyle name="20% - Accent6 2 7 2" xfId="8406" xr:uid="{00000000-0005-0000-0000-0000FA1F0000}"/>
    <cellStyle name="20% - Accent6 2 7 2 2" xfId="10625" xr:uid="{00000000-0005-0000-0000-0000FB1F0000}"/>
    <cellStyle name="20% - Accent6 2 7 2 2 2" xfId="21188" xr:uid="{00000000-0005-0000-0000-0000FC1F0000}"/>
    <cellStyle name="20% - Accent6 2 7 2 3" xfId="12844" xr:uid="{00000000-0005-0000-0000-0000FD1F0000}"/>
    <cellStyle name="20% - Accent6 2 7 2 3 2" xfId="23407" xr:uid="{00000000-0005-0000-0000-0000FE1F0000}"/>
    <cellStyle name="20% - Accent6 2 7 2 4" xfId="15063" xr:uid="{00000000-0005-0000-0000-0000FF1F0000}"/>
    <cellStyle name="20% - Accent6 2 7 2 4 2" xfId="25626" xr:uid="{00000000-0005-0000-0000-000000200000}"/>
    <cellStyle name="20% - Accent6 2 7 2 5" xfId="18969" xr:uid="{00000000-0005-0000-0000-000001200000}"/>
    <cellStyle name="20% - Accent6 2 7 3" xfId="7673" xr:uid="{00000000-0005-0000-0000-000002200000}"/>
    <cellStyle name="20% - Accent6 2 7 3 2" xfId="9892" xr:uid="{00000000-0005-0000-0000-000003200000}"/>
    <cellStyle name="20% - Accent6 2 7 3 2 2" xfId="20455" xr:uid="{00000000-0005-0000-0000-000004200000}"/>
    <cellStyle name="20% - Accent6 2 7 3 3" xfId="12111" xr:uid="{00000000-0005-0000-0000-000005200000}"/>
    <cellStyle name="20% - Accent6 2 7 3 3 2" xfId="22674" xr:uid="{00000000-0005-0000-0000-000006200000}"/>
    <cellStyle name="20% - Accent6 2 7 3 4" xfId="14330" xr:uid="{00000000-0005-0000-0000-000007200000}"/>
    <cellStyle name="20% - Accent6 2 7 3 4 2" xfId="24893" xr:uid="{00000000-0005-0000-0000-000008200000}"/>
    <cellStyle name="20% - Accent6 2 7 3 5" xfId="18236" xr:uid="{00000000-0005-0000-0000-000009200000}"/>
    <cellStyle name="20% - Accent6 2 7 4" xfId="9149" xr:uid="{00000000-0005-0000-0000-00000A200000}"/>
    <cellStyle name="20% - Accent6 2 7 4 2" xfId="19712" xr:uid="{00000000-0005-0000-0000-00000B200000}"/>
    <cellStyle name="20% - Accent6 2 7 5" xfId="11368" xr:uid="{00000000-0005-0000-0000-00000C200000}"/>
    <cellStyle name="20% - Accent6 2 7 5 2" xfId="21931" xr:uid="{00000000-0005-0000-0000-00000D200000}"/>
    <cellStyle name="20% - Accent6 2 7 6" xfId="13587" xr:uid="{00000000-0005-0000-0000-00000E200000}"/>
    <cellStyle name="20% - Accent6 2 7 6 2" xfId="24150" xr:uid="{00000000-0005-0000-0000-00000F200000}"/>
    <cellStyle name="20% - Accent6 2 7 7" xfId="17487" xr:uid="{00000000-0005-0000-0000-000010200000}"/>
    <cellStyle name="20% - Accent6 2 8" xfId="784" xr:uid="{00000000-0005-0000-0000-000011200000}"/>
    <cellStyle name="20% - Accent6 2 8 2" xfId="8407" xr:uid="{00000000-0005-0000-0000-000012200000}"/>
    <cellStyle name="20% - Accent6 2 8 2 2" xfId="10626" xr:uid="{00000000-0005-0000-0000-000013200000}"/>
    <cellStyle name="20% - Accent6 2 8 2 2 2" xfId="21189" xr:uid="{00000000-0005-0000-0000-000014200000}"/>
    <cellStyle name="20% - Accent6 2 8 2 3" xfId="12845" xr:uid="{00000000-0005-0000-0000-000015200000}"/>
    <cellStyle name="20% - Accent6 2 8 2 3 2" xfId="23408" xr:uid="{00000000-0005-0000-0000-000016200000}"/>
    <cellStyle name="20% - Accent6 2 8 2 4" xfId="15064" xr:uid="{00000000-0005-0000-0000-000017200000}"/>
    <cellStyle name="20% - Accent6 2 8 2 4 2" xfId="25627" xr:uid="{00000000-0005-0000-0000-000018200000}"/>
    <cellStyle name="20% - Accent6 2 8 2 5" xfId="18970" xr:uid="{00000000-0005-0000-0000-000019200000}"/>
    <cellStyle name="20% - Accent6 2 8 3" xfId="7674" xr:uid="{00000000-0005-0000-0000-00001A200000}"/>
    <cellStyle name="20% - Accent6 2 8 3 2" xfId="9893" xr:uid="{00000000-0005-0000-0000-00001B200000}"/>
    <cellStyle name="20% - Accent6 2 8 3 2 2" xfId="20456" xr:uid="{00000000-0005-0000-0000-00001C200000}"/>
    <cellStyle name="20% - Accent6 2 8 3 3" xfId="12112" xr:uid="{00000000-0005-0000-0000-00001D200000}"/>
    <cellStyle name="20% - Accent6 2 8 3 3 2" xfId="22675" xr:uid="{00000000-0005-0000-0000-00001E200000}"/>
    <cellStyle name="20% - Accent6 2 8 3 4" xfId="14331" xr:uid="{00000000-0005-0000-0000-00001F200000}"/>
    <cellStyle name="20% - Accent6 2 8 3 4 2" xfId="24894" xr:uid="{00000000-0005-0000-0000-000020200000}"/>
    <cellStyle name="20% - Accent6 2 8 3 5" xfId="18237" xr:uid="{00000000-0005-0000-0000-000021200000}"/>
    <cellStyle name="20% - Accent6 2 8 4" xfId="9150" xr:uid="{00000000-0005-0000-0000-000022200000}"/>
    <cellStyle name="20% - Accent6 2 8 4 2" xfId="19713" xr:uid="{00000000-0005-0000-0000-000023200000}"/>
    <cellStyle name="20% - Accent6 2 8 5" xfId="11369" xr:uid="{00000000-0005-0000-0000-000024200000}"/>
    <cellStyle name="20% - Accent6 2 8 5 2" xfId="21932" xr:uid="{00000000-0005-0000-0000-000025200000}"/>
    <cellStyle name="20% - Accent6 2 8 6" xfId="13588" xr:uid="{00000000-0005-0000-0000-000026200000}"/>
    <cellStyle name="20% - Accent6 2 8 6 2" xfId="24151" xr:uid="{00000000-0005-0000-0000-000027200000}"/>
    <cellStyle name="20% - Accent6 2 8 7" xfId="17488" xr:uid="{00000000-0005-0000-0000-000028200000}"/>
    <cellStyle name="20% - Accent6 2 9" xfId="785" xr:uid="{00000000-0005-0000-0000-000029200000}"/>
    <cellStyle name="20% - Accent6 2 9 2" xfId="8408" xr:uid="{00000000-0005-0000-0000-00002A200000}"/>
    <cellStyle name="20% - Accent6 2 9 2 2" xfId="10627" xr:uid="{00000000-0005-0000-0000-00002B200000}"/>
    <cellStyle name="20% - Accent6 2 9 2 2 2" xfId="21190" xr:uid="{00000000-0005-0000-0000-00002C200000}"/>
    <cellStyle name="20% - Accent6 2 9 2 3" xfId="12846" xr:uid="{00000000-0005-0000-0000-00002D200000}"/>
    <cellStyle name="20% - Accent6 2 9 2 3 2" xfId="23409" xr:uid="{00000000-0005-0000-0000-00002E200000}"/>
    <cellStyle name="20% - Accent6 2 9 2 4" xfId="15065" xr:uid="{00000000-0005-0000-0000-00002F200000}"/>
    <cellStyle name="20% - Accent6 2 9 2 4 2" xfId="25628" xr:uid="{00000000-0005-0000-0000-000030200000}"/>
    <cellStyle name="20% - Accent6 2 9 2 5" xfId="18971" xr:uid="{00000000-0005-0000-0000-000031200000}"/>
    <cellStyle name="20% - Accent6 2 9 3" xfId="7675" xr:uid="{00000000-0005-0000-0000-000032200000}"/>
    <cellStyle name="20% - Accent6 2 9 3 2" xfId="9894" xr:uid="{00000000-0005-0000-0000-000033200000}"/>
    <cellStyle name="20% - Accent6 2 9 3 2 2" xfId="20457" xr:uid="{00000000-0005-0000-0000-000034200000}"/>
    <cellStyle name="20% - Accent6 2 9 3 3" xfId="12113" xr:uid="{00000000-0005-0000-0000-000035200000}"/>
    <cellStyle name="20% - Accent6 2 9 3 3 2" xfId="22676" xr:uid="{00000000-0005-0000-0000-000036200000}"/>
    <cellStyle name="20% - Accent6 2 9 3 4" xfId="14332" xr:uid="{00000000-0005-0000-0000-000037200000}"/>
    <cellStyle name="20% - Accent6 2 9 3 4 2" xfId="24895" xr:uid="{00000000-0005-0000-0000-000038200000}"/>
    <cellStyle name="20% - Accent6 2 9 3 5" xfId="18238" xr:uid="{00000000-0005-0000-0000-000039200000}"/>
    <cellStyle name="20% - Accent6 2 9 4" xfId="9151" xr:uid="{00000000-0005-0000-0000-00003A200000}"/>
    <cellStyle name="20% - Accent6 2 9 4 2" xfId="19714" xr:uid="{00000000-0005-0000-0000-00003B200000}"/>
    <cellStyle name="20% - Accent6 2 9 5" xfId="11370" xr:uid="{00000000-0005-0000-0000-00003C200000}"/>
    <cellStyle name="20% - Accent6 2 9 5 2" xfId="21933" xr:uid="{00000000-0005-0000-0000-00003D200000}"/>
    <cellStyle name="20% - Accent6 2 9 6" xfId="13589" xr:uid="{00000000-0005-0000-0000-00003E200000}"/>
    <cellStyle name="20% - Accent6 2 9 6 2" xfId="24152" xr:uid="{00000000-0005-0000-0000-00003F200000}"/>
    <cellStyle name="20% - Accent6 2 9 7" xfId="17489" xr:uid="{00000000-0005-0000-0000-000040200000}"/>
    <cellStyle name="20% - Accent6 20" xfId="786" xr:uid="{00000000-0005-0000-0000-000041200000}"/>
    <cellStyle name="20% - Accent6 21" xfId="787" xr:uid="{00000000-0005-0000-0000-000042200000}"/>
    <cellStyle name="20% - Accent6 22" xfId="788" xr:uid="{00000000-0005-0000-0000-000043200000}"/>
    <cellStyle name="20% - Accent6 23" xfId="789" xr:uid="{00000000-0005-0000-0000-000044200000}"/>
    <cellStyle name="20% - Accent6 24" xfId="790" xr:uid="{00000000-0005-0000-0000-000045200000}"/>
    <cellStyle name="20% - Accent6 25" xfId="791" xr:uid="{00000000-0005-0000-0000-000046200000}"/>
    <cellStyle name="20% - Accent6 26" xfId="792" xr:uid="{00000000-0005-0000-0000-000047200000}"/>
    <cellStyle name="20% - Accent6 27" xfId="793" xr:uid="{00000000-0005-0000-0000-000048200000}"/>
    <cellStyle name="20% - Accent6 3" xfId="794" xr:uid="{00000000-0005-0000-0000-000049200000}"/>
    <cellStyle name="20% - Accent6 3 10" xfId="795" xr:uid="{00000000-0005-0000-0000-00004A200000}"/>
    <cellStyle name="20% - Accent6 3 2" xfId="796" xr:uid="{00000000-0005-0000-0000-00004B200000}"/>
    <cellStyle name="20% - Accent6 3 2 2" xfId="8409" xr:uid="{00000000-0005-0000-0000-00004C200000}"/>
    <cellStyle name="20% - Accent6 3 2 2 2" xfId="10628" xr:uid="{00000000-0005-0000-0000-00004D200000}"/>
    <cellStyle name="20% - Accent6 3 2 2 2 2" xfId="21191" xr:uid="{00000000-0005-0000-0000-00004E200000}"/>
    <cellStyle name="20% - Accent6 3 2 2 3" xfId="12847" xr:uid="{00000000-0005-0000-0000-00004F200000}"/>
    <cellStyle name="20% - Accent6 3 2 2 3 2" xfId="23410" xr:uid="{00000000-0005-0000-0000-000050200000}"/>
    <cellStyle name="20% - Accent6 3 2 2 4" xfId="15066" xr:uid="{00000000-0005-0000-0000-000051200000}"/>
    <cellStyle name="20% - Accent6 3 2 2 4 2" xfId="25629" xr:uid="{00000000-0005-0000-0000-000052200000}"/>
    <cellStyle name="20% - Accent6 3 2 2 5" xfId="18972" xr:uid="{00000000-0005-0000-0000-000053200000}"/>
    <cellStyle name="20% - Accent6 3 2 3" xfId="7676" xr:uid="{00000000-0005-0000-0000-000054200000}"/>
    <cellStyle name="20% - Accent6 3 2 3 2" xfId="9895" xr:uid="{00000000-0005-0000-0000-000055200000}"/>
    <cellStyle name="20% - Accent6 3 2 3 2 2" xfId="20458" xr:uid="{00000000-0005-0000-0000-000056200000}"/>
    <cellStyle name="20% - Accent6 3 2 3 3" xfId="12114" xr:uid="{00000000-0005-0000-0000-000057200000}"/>
    <cellStyle name="20% - Accent6 3 2 3 3 2" xfId="22677" xr:uid="{00000000-0005-0000-0000-000058200000}"/>
    <cellStyle name="20% - Accent6 3 2 3 4" xfId="14333" xr:uid="{00000000-0005-0000-0000-000059200000}"/>
    <cellStyle name="20% - Accent6 3 2 3 4 2" xfId="24896" xr:uid="{00000000-0005-0000-0000-00005A200000}"/>
    <cellStyle name="20% - Accent6 3 2 3 5" xfId="18239" xr:uid="{00000000-0005-0000-0000-00005B200000}"/>
    <cellStyle name="20% - Accent6 3 2 4" xfId="9152" xr:uid="{00000000-0005-0000-0000-00005C200000}"/>
    <cellStyle name="20% - Accent6 3 2 4 2" xfId="19715" xr:uid="{00000000-0005-0000-0000-00005D200000}"/>
    <cellStyle name="20% - Accent6 3 2 5" xfId="11371" xr:uid="{00000000-0005-0000-0000-00005E200000}"/>
    <cellStyle name="20% - Accent6 3 2 5 2" xfId="21934" xr:uid="{00000000-0005-0000-0000-00005F200000}"/>
    <cellStyle name="20% - Accent6 3 2 6" xfId="13590" xr:uid="{00000000-0005-0000-0000-000060200000}"/>
    <cellStyle name="20% - Accent6 3 2 6 2" xfId="24153" xr:uid="{00000000-0005-0000-0000-000061200000}"/>
    <cellStyle name="20% - Accent6 3 2 7" xfId="17490" xr:uid="{00000000-0005-0000-0000-000062200000}"/>
    <cellStyle name="20% - Accent6 3 3" xfId="797" xr:uid="{00000000-0005-0000-0000-000063200000}"/>
    <cellStyle name="20% - Accent6 3 3 2" xfId="8410" xr:uid="{00000000-0005-0000-0000-000064200000}"/>
    <cellStyle name="20% - Accent6 3 3 2 2" xfId="10629" xr:uid="{00000000-0005-0000-0000-000065200000}"/>
    <cellStyle name="20% - Accent6 3 3 2 2 2" xfId="21192" xr:uid="{00000000-0005-0000-0000-000066200000}"/>
    <cellStyle name="20% - Accent6 3 3 2 3" xfId="12848" xr:uid="{00000000-0005-0000-0000-000067200000}"/>
    <cellStyle name="20% - Accent6 3 3 2 3 2" xfId="23411" xr:uid="{00000000-0005-0000-0000-000068200000}"/>
    <cellStyle name="20% - Accent6 3 3 2 4" xfId="15067" xr:uid="{00000000-0005-0000-0000-000069200000}"/>
    <cellStyle name="20% - Accent6 3 3 2 4 2" xfId="25630" xr:uid="{00000000-0005-0000-0000-00006A200000}"/>
    <cellStyle name="20% - Accent6 3 3 2 5" xfId="18973" xr:uid="{00000000-0005-0000-0000-00006B200000}"/>
    <cellStyle name="20% - Accent6 3 3 3" xfId="7677" xr:uid="{00000000-0005-0000-0000-00006C200000}"/>
    <cellStyle name="20% - Accent6 3 3 3 2" xfId="9896" xr:uid="{00000000-0005-0000-0000-00006D200000}"/>
    <cellStyle name="20% - Accent6 3 3 3 2 2" xfId="20459" xr:uid="{00000000-0005-0000-0000-00006E200000}"/>
    <cellStyle name="20% - Accent6 3 3 3 3" xfId="12115" xr:uid="{00000000-0005-0000-0000-00006F200000}"/>
    <cellStyle name="20% - Accent6 3 3 3 3 2" xfId="22678" xr:uid="{00000000-0005-0000-0000-000070200000}"/>
    <cellStyle name="20% - Accent6 3 3 3 4" xfId="14334" xr:uid="{00000000-0005-0000-0000-000071200000}"/>
    <cellStyle name="20% - Accent6 3 3 3 4 2" xfId="24897" xr:uid="{00000000-0005-0000-0000-000072200000}"/>
    <cellStyle name="20% - Accent6 3 3 3 5" xfId="18240" xr:uid="{00000000-0005-0000-0000-000073200000}"/>
    <cellStyle name="20% - Accent6 3 3 4" xfId="9153" xr:uid="{00000000-0005-0000-0000-000074200000}"/>
    <cellStyle name="20% - Accent6 3 3 4 2" xfId="19716" xr:uid="{00000000-0005-0000-0000-000075200000}"/>
    <cellStyle name="20% - Accent6 3 3 5" xfId="11372" xr:uid="{00000000-0005-0000-0000-000076200000}"/>
    <cellStyle name="20% - Accent6 3 3 5 2" xfId="21935" xr:uid="{00000000-0005-0000-0000-000077200000}"/>
    <cellStyle name="20% - Accent6 3 3 6" xfId="13591" xr:uid="{00000000-0005-0000-0000-000078200000}"/>
    <cellStyle name="20% - Accent6 3 3 6 2" xfId="24154" xr:uid="{00000000-0005-0000-0000-000079200000}"/>
    <cellStyle name="20% - Accent6 3 3 7" xfId="17491" xr:uid="{00000000-0005-0000-0000-00007A200000}"/>
    <cellStyle name="20% - Accent6 3 4" xfId="798" xr:uid="{00000000-0005-0000-0000-00007B200000}"/>
    <cellStyle name="20% - Accent6 3 4 2" xfId="8411" xr:uid="{00000000-0005-0000-0000-00007C200000}"/>
    <cellStyle name="20% - Accent6 3 4 2 2" xfId="10630" xr:uid="{00000000-0005-0000-0000-00007D200000}"/>
    <cellStyle name="20% - Accent6 3 4 2 2 2" xfId="21193" xr:uid="{00000000-0005-0000-0000-00007E200000}"/>
    <cellStyle name="20% - Accent6 3 4 2 3" xfId="12849" xr:uid="{00000000-0005-0000-0000-00007F200000}"/>
    <cellStyle name="20% - Accent6 3 4 2 3 2" xfId="23412" xr:uid="{00000000-0005-0000-0000-000080200000}"/>
    <cellStyle name="20% - Accent6 3 4 2 4" xfId="15068" xr:uid="{00000000-0005-0000-0000-000081200000}"/>
    <cellStyle name="20% - Accent6 3 4 2 4 2" xfId="25631" xr:uid="{00000000-0005-0000-0000-000082200000}"/>
    <cellStyle name="20% - Accent6 3 4 2 5" xfId="18974" xr:uid="{00000000-0005-0000-0000-000083200000}"/>
    <cellStyle name="20% - Accent6 3 4 3" xfId="7678" xr:uid="{00000000-0005-0000-0000-000084200000}"/>
    <cellStyle name="20% - Accent6 3 4 3 2" xfId="9897" xr:uid="{00000000-0005-0000-0000-000085200000}"/>
    <cellStyle name="20% - Accent6 3 4 3 2 2" xfId="20460" xr:uid="{00000000-0005-0000-0000-000086200000}"/>
    <cellStyle name="20% - Accent6 3 4 3 3" xfId="12116" xr:uid="{00000000-0005-0000-0000-000087200000}"/>
    <cellStyle name="20% - Accent6 3 4 3 3 2" xfId="22679" xr:uid="{00000000-0005-0000-0000-000088200000}"/>
    <cellStyle name="20% - Accent6 3 4 3 4" xfId="14335" xr:uid="{00000000-0005-0000-0000-000089200000}"/>
    <cellStyle name="20% - Accent6 3 4 3 4 2" xfId="24898" xr:uid="{00000000-0005-0000-0000-00008A200000}"/>
    <cellStyle name="20% - Accent6 3 4 3 5" xfId="18241" xr:uid="{00000000-0005-0000-0000-00008B200000}"/>
    <cellStyle name="20% - Accent6 3 4 4" xfId="9154" xr:uid="{00000000-0005-0000-0000-00008C200000}"/>
    <cellStyle name="20% - Accent6 3 4 4 2" xfId="19717" xr:uid="{00000000-0005-0000-0000-00008D200000}"/>
    <cellStyle name="20% - Accent6 3 4 5" xfId="11373" xr:uid="{00000000-0005-0000-0000-00008E200000}"/>
    <cellStyle name="20% - Accent6 3 4 5 2" xfId="21936" xr:uid="{00000000-0005-0000-0000-00008F200000}"/>
    <cellStyle name="20% - Accent6 3 4 6" xfId="13592" xr:uid="{00000000-0005-0000-0000-000090200000}"/>
    <cellStyle name="20% - Accent6 3 4 6 2" xfId="24155" xr:uid="{00000000-0005-0000-0000-000091200000}"/>
    <cellStyle name="20% - Accent6 3 4 7" xfId="17492" xr:uid="{00000000-0005-0000-0000-000092200000}"/>
    <cellStyle name="20% - Accent6 3 5" xfId="799" xr:uid="{00000000-0005-0000-0000-000093200000}"/>
    <cellStyle name="20% - Accent6 3 5 2" xfId="8412" xr:uid="{00000000-0005-0000-0000-000094200000}"/>
    <cellStyle name="20% - Accent6 3 5 2 2" xfId="10631" xr:uid="{00000000-0005-0000-0000-000095200000}"/>
    <cellStyle name="20% - Accent6 3 5 2 2 2" xfId="21194" xr:uid="{00000000-0005-0000-0000-000096200000}"/>
    <cellStyle name="20% - Accent6 3 5 2 3" xfId="12850" xr:uid="{00000000-0005-0000-0000-000097200000}"/>
    <cellStyle name="20% - Accent6 3 5 2 3 2" xfId="23413" xr:uid="{00000000-0005-0000-0000-000098200000}"/>
    <cellStyle name="20% - Accent6 3 5 2 4" xfId="15069" xr:uid="{00000000-0005-0000-0000-000099200000}"/>
    <cellStyle name="20% - Accent6 3 5 2 4 2" xfId="25632" xr:uid="{00000000-0005-0000-0000-00009A200000}"/>
    <cellStyle name="20% - Accent6 3 5 2 5" xfId="18975" xr:uid="{00000000-0005-0000-0000-00009B200000}"/>
    <cellStyle name="20% - Accent6 3 5 3" xfId="7679" xr:uid="{00000000-0005-0000-0000-00009C200000}"/>
    <cellStyle name="20% - Accent6 3 5 3 2" xfId="9898" xr:uid="{00000000-0005-0000-0000-00009D200000}"/>
    <cellStyle name="20% - Accent6 3 5 3 2 2" xfId="20461" xr:uid="{00000000-0005-0000-0000-00009E200000}"/>
    <cellStyle name="20% - Accent6 3 5 3 3" xfId="12117" xr:uid="{00000000-0005-0000-0000-00009F200000}"/>
    <cellStyle name="20% - Accent6 3 5 3 3 2" xfId="22680" xr:uid="{00000000-0005-0000-0000-0000A0200000}"/>
    <cellStyle name="20% - Accent6 3 5 3 4" xfId="14336" xr:uid="{00000000-0005-0000-0000-0000A1200000}"/>
    <cellStyle name="20% - Accent6 3 5 3 4 2" xfId="24899" xr:uid="{00000000-0005-0000-0000-0000A2200000}"/>
    <cellStyle name="20% - Accent6 3 5 3 5" xfId="18242" xr:uid="{00000000-0005-0000-0000-0000A3200000}"/>
    <cellStyle name="20% - Accent6 3 5 4" xfId="9155" xr:uid="{00000000-0005-0000-0000-0000A4200000}"/>
    <cellStyle name="20% - Accent6 3 5 4 2" xfId="19718" xr:uid="{00000000-0005-0000-0000-0000A5200000}"/>
    <cellStyle name="20% - Accent6 3 5 5" xfId="11374" xr:uid="{00000000-0005-0000-0000-0000A6200000}"/>
    <cellStyle name="20% - Accent6 3 5 5 2" xfId="21937" xr:uid="{00000000-0005-0000-0000-0000A7200000}"/>
    <cellStyle name="20% - Accent6 3 5 6" xfId="13593" xr:uid="{00000000-0005-0000-0000-0000A8200000}"/>
    <cellStyle name="20% - Accent6 3 5 6 2" xfId="24156" xr:uid="{00000000-0005-0000-0000-0000A9200000}"/>
    <cellStyle name="20% - Accent6 3 5 7" xfId="17493" xr:uid="{00000000-0005-0000-0000-0000AA200000}"/>
    <cellStyle name="20% - Accent6 3 6" xfId="800" xr:uid="{00000000-0005-0000-0000-0000AB200000}"/>
    <cellStyle name="20% - Accent6 3 7" xfId="801" xr:uid="{00000000-0005-0000-0000-0000AC200000}"/>
    <cellStyle name="20% - Accent6 3 8" xfId="802" xr:uid="{00000000-0005-0000-0000-0000AD200000}"/>
    <cellStyle name="20% - Accent6 3 9" xfId="803" xr:uid="{00000000-0005-0000-0000-0000AE200000}"/>
    <cellStyle name="20% - Accent6 4" xfId="804" xr:uid="{00000000-0005-0000-0000-0000AF200000}"/>
    <cellStyle name="20% - Accent6 4 2" xfId="805" xr:uid="{00000000-0005-0000-0000-0000B0200000}"/>
    <cellStyle name="20% - Accent6 4 3" xfId="806" xr:uid="{00000000-0005-0000-0000-0000B1200000}"/>
    <cellStyle name="20% - Accent6 4 4" xfId="807" xr:uid="{00000000-0005-0000-0000-0000B2200000}"/>
    <cellStyle name="20% - Accent6 4 5" xfId="808" xr:uid="{00000000-0005-0000-0000-0000B3200000}"/>
    <cellStyle name="20% - Accent6 4 6" xfId="809" xr:uid="{00000000-0005-0000-0000-0000B4200000}"/>
    <cellStyle name="20% - Accent6 5" xfId="810" xr:uid="{00000000-0005-0000-0000-0000B5200000}"/>
    <cellStyle name="20% - Accent6 5 2" xfId="811" xr:uid="{00000000-0005-0000-0000-0000B6200000}"/>
    <cellStyle name="20% - Accent6 5 3" xfId="812" xr:uid="{00000000-0005-0000-0000-0000B7200000}"/>
    <cellStyle name="20% - Accent6 5 4" xfId="813" xr:uid="{00000000-0005-0000-0000-0000B8200000}"/>
    <cellStyle name="20% - Accent6 5 5" xfId="814" xr:uid="{00000000-0005-0000-0000-0000B9200000}"/>
    <cellStyle name="20% - Accent6 5 6" xfId="815" xr:uid="{00000000-0005-0000-0000-0000BA200000}"/>
    <cellStyle name="20% - Accent6 6" xfId="816" xr:uid="{00000000-0005-0000-0000-0000BB200000}"/>
    <cellStyle name="20% - Accent6 6 2" xfId="817" xr:uid="{00000000-0005-0000-0000-0000BC200000}"/>
    <cellStyle name="20% - Accent6 6 3" xfId="818" xr:uid="{00000000-0005-0000-0000-0000BD200000}"/>
    <cellStyle name="20% - Accent6 6 4" xfId="819" xr:uid="{00000000-0005-0000-0000-0000BE200000}"/>
    <cellStyle name="20% - Accent6 6 5" xfId="820" xr:uid="{00000000-0005-0000-0000-0000BF200000}"/>
    <cellStyle name="20% - Accent6 6 6" xfId="821" xr:uid="{00000000-0005-0000-0000-0000C0200000}"/>
    <cellStyle name="20% - Accent6 7" xfId="822" xr:uid="{00000000-0005-0000-0000-0000C1200000}"/>
    <cellStyle name="20% - Accent6 7 10" xfId="11375" xr:uid="{00000000-0005-0000-0000-0000C2200000}"/>
    <cellStyle name="20% - Accent6 7 10 2" xfId="21938" xr:uid="{00000000-0005-0000-0000-0000C3200000}"/>
    <cellStyle name="20% - Accent6 7 11" xfId="13594" xr:uid="{00000000-0005-0000-0000-0000C4200000}"/>
    <cellStyle name="20% - Accent6 7 11 2" xfId="24157" xr:uid="{00000000-0005-0000-0000-0000C5200000}"/>
    <cellStyle name="20% - Accent6 7 12" xfId="17494" xr:uid="{00000000-0005-0000-0000-0000C6200000}"/>
    <cellStyle name="20% - Accent6 7 2" xfId="823" xr:uid="{00000000-0005-0000-0000-0000C7200000}"/>
    <cellStyle name="20% - Accent6 7 3" xfId="824" xr:uid="{00000000-0005-0000-0000-0000C8200000}"/>
    <cellStyle name="20% - Accent6 7 4" xfId="825" xr:uid="{00000000-0005-0000-0000-0000C9200000}"/>
    <cellStyle name="20% - Accent6 7 5" xfId="826" xr:uid="{00000000-0005-0000-0000-0000CA200000}"/>
    <cellStyle name="20% - Accent6 7 6" xfId="827" xr:uid="{00000000-0005-0000-0000-0000CB200000}"/>
    <cellStyle name="20% - Accent6 7 7" xfId="8413" xr:uid="{00000000-0005-0000-0000-0000CC200000}"/>
    <cellStyle name="20% - Accent6 7 7 2" xfId="10632" xr:uid="{00000000-0005-0000-0000-0000CD200000}"/>
    <cellStyle name="20% - Accent6 7 7 2 2" xfId="21195" xr:uid="{00000000-0005-0000-0000-0000CE200000}"/>
    <cellStyle name="20% - Accent6 7 7 3" xfId="12851" xr:uid="{00000000-0005-0000-0000-0000CF200000}"/>
    <cellStyle name="20% - Accent6 7 7 3 2" xfId="23414" xr:uid="{00000000-0005-0000-0000-0000D0200000}"/>
    <cellStyle name="20% - Accent6 7 7 4" xfId="15070" xr:uid="{00000000-0005-0000-0000-0000D1200000}"/>
    <cellStyle name="20% - Accent6 7 7 4 2" xfId="25633" xr:uid="{00000000-0005-0000-0000-0000D2200000}"/>
    <cellStyle name="20% - Accent6 7 7 5" xfId="18976" xr:uid="{00000000-0005-0000-0000-0000D3200000}"/>
    <cellStyle name="20% - Accent6 7 8" xfId="7680" xr:uid="{00000000-0005-0000-0000-0000D4200000}"/>
    <cellStyle name="20% - Accent6 7 8 2" xfId="9899" xr:uid="{00000000-0005-0000-0000-0000D5200000}"/>
    <cellStyle name="20% - Accent6 7 8 2 2" xfId="20462" xr:uid="{00000000-0005-0000-0000-0000D6200000}"/>
    <cellStyle name="20% - Accent6 7 8 3" xfId="12118" xr:uid="{00000000-0005-0000-0000-0000D7200000}"/>
    <cellStyle name="20% - Accent6 7 8 3 2" xfId="22681" xr:uid="{00000000-0005-0000-0000-0000D8200000}"/>
    <cellStyle name="20% - Accent6 7 8 4" xfId="14337" xr:uid="{00000000-0005-0000-0000-0000D9200000}"/>
    <cellStyle name="20% - Accent6 7 8 4 2" xfId="24900" xr:uid="{00000000-0005-0000-0000-0000DA200000}"/>
    <cellStyle name="20% - Accent6 7 8 5" xfId="18243" xr:uid="{00000000-0005-0000-0000-0000DB200000}"/>
    <cellStyle name="20% - Accent6 7 9" xfId="9156" xr:uid="{00000000-0005-0000-0000-0000DC200000}"/>
    <cellStyle name="20% - Accent6 7 9 2" xfId="19719" xr:uid="{00000000-0005-0000-0000-0000DD200000}"/>
    <cellStyle name="20% - Accent6 8" xfId="828" xr:uid="{00000000-0005-0000-0000-0000DE200000}"/>
    <cellStyle name="20% - Accent6 8 2" xfId="829" xr:uid="{00000000-0005-0000-0000-0000DF200000}"/>
    <cellStyle name="20% - Accent6 8 3" xfId="830" xr:uid="{00000000-0005-0000-0000-0000E0200000}"/>
    <cellStyle name="20% - Accent6 8 4" xfId="831" xr:uid="{00000000-0005-0000-0000-0000E1200000}"/>
    <cellStyle name="20% - Accent6 8 5" xfId="832" xr:uid="{00000000-0005-0000-0000-0000E2200000}"/>
    <cellStyle name="20% - Accent6 8 6" xfId="833" xr:uid="{00000000-0005-0000-0000-0000E3200000}"/>
    <cellStyle name="20% - Accent6 9" xfId="834" xr:uid="{00000000-0005-0000-0000-0000E4200000}"/>
    <cellStyle name="20% - Accent6 9 2" xfId="835" xr:uid="{00000000-0005-0000-0000-0000E5200000}"/>
    <cellStyle name="20% - Accent6 9 3" xfId="836" xr:uid="{00000000-0005-0000-0000-0000E6200000}"/>
    <cellStyle name="20% - Accent6 9 4" xfId="837" xr:uid="{00000000-0005-0000-0000-0000E7200000}"/>
    <cellStyle name="20% - Accent6 9 5" xfId="838" xr:uid="{00000000-0005-0000-0000-0000E8200000}"/>
    <cellStyle name="20% - Akzent1" xfId="3792" xr:uid="{00000000-0005-0000-0000-0000E9200000}"/>
    <cellStyle name="20% - Akzent2" xfId="3793" xr:uid="{00000000-0005-0000-0000-0000EA200000}"/>
    <cellStyle name="20% - Akzent3" xfId="3794" xr:uid="{00000000-0005-0000-0000-0000EB200000}"/>
    <cellStyle name="20% - Akzent4" xfId="3795" xr:uid="{00000000-0005-0000-0000-0000EC200000}"/>
    <cellStyle name="20% - Akzent5" xfId="3796" xr:uid="{00000000-0005-0000-0000-0000ED200000}"/>
    <cellStyle name="20% - Akzent6" xfId="3797" xr:uid="{00000000-0005-0000-0000-0000EE200000}"/>
    <cellStyle name="40 % - Accent1" xfId="3940" xr:uid="{00000000-0005-0000-0000-0000EF200000}"/>
    <cellStyle name="40 % - Accent2" xfId="3941" xr:uid="{00000000-0005-0000-0000-0000F0200000}"/>
    <cellStyle name="40 % - Accent3" xfId="3942" xr:uid="{00000000-0005-0000-0000-0000F1200000}"/>
    <cellStyle name="40 % - Accent4" xfId="3943" xr:uid="{00000000-0005-0000-0000-0000F2200000}"/>
    <cellStyle name="40 % - Accent5" xfId="3944" xr:uid="{00000000-0005-0000-0000-0000F3200000}"/>
    <cellStyle name="40 % - Accent6" xfId="3945" xr:uid="{00000000-0005-0000-0000-0000F4200000}"/>
    <cellStyle name="40% - Accent1 10" xfId="839" xr:uid="{00000000-0005-0000-0000-0000F5200000}"/>
    <cellStyle name="40% - Accent1 10 2" xfId="840" xr:uid="{00000000-0005-0000-0000-0000F6200000}"/>
    <cellStyle name="40% - Accent1 10 3" xfId="841" xr:uid="{00000000-0005-0000-0000-0000F7200000}"/>
    <cellStyle name="40% - Accent1 10 4" xfId="842" xr:uid="{00000000-0005-0000-0000-0000F8200000}"/>
    <cellStyle name="40% - Accent1 10 5" xfId="843" xr:uid="{00000000-0005-0000-0000-0000F9200000}"/>
    <cellStyle name="40% - Accent1 11" xfId="844" xr:uid="{00000000-0005-0000-0000-0000FA200000}"/>
    <cellStyle name="40% - Accent1 11 2" xfId="845" xr:uid="{00000000-0005-0000-0000-0000FB200000}"/>
    <cellStyle name="40% - Accent1 11 3" xfId="846" xr:uid="{00000000-0005-0000-0000-0000FC200000}"/>
    <cellStyle name="40% - Accent1 11 4" xfId="847" xr:uid="{00000000-0005-0000-0000-0000FD200000}"/>
    <cellStyle name="40% - Accent1 11 5" xfId="848" xr:uid="{00000000-0005-0000-0000-0000FE200000}"/>
    <cellStyle name="40% - Accent1 12" xfId="849" xr:uid="{00000000-0005-0000-0000-0000FF200000}"/>
    <cellStyle name="40% - Accent1 12 2" xfId="850" xr:uid="{00000000-0005-0000-0000-000000210000}"/>
    <cellStyle name="40% - Accent1 12 3" xfId="851" xr:uid="{00000000-0005-0000-0000-000001210000}"/>
    <cellStyle name="40% - Accent1 12 4" xfId="852" xr:uid="{00000000-0005-0000-0000-000002210000}"/>
    <cellStyle name="40% - Accent1 12 5" xfId="853" xr:uid="{00000000-0005-0000-0000-000003210000}"/>
    <cellStyle name="40% - Accent1 13" xfId="854" xr:uid="{00000000-0005-0000-0000-000004210000}"/>
    <cellStyle name="40% - Accent1 14" xfId="855" xr:uid="{00000000-0005-0000-0000-000005210000}"/>
    <cellStyle name="40% - Accent1 15" xfId="856" xr:uid="{00000000-0005-0000-0000-000006210000}"/>
    <cellStyle name="40% - Accent1 16" xfId="857" xr:uid="{00000000-0005-0000-0000-000007210000}"/>
    <cellStyle name="40% - Accent1 17" xfId="858" xr:uid="{00000000-0005-0000-0000-000008210000}"/>
    <cellStyle name="40% - Accent1 18" xfId="859" xr:uid="{00000000-0005-0000-0000-000009210000}"/>
    <cellStyle name="40% - Accent1 19" xfId="860" xr:uid="{00000000-0005-0000-0000-00000A210000}"/>
    <cellStyle name="40% - Accent1 2" xfId="861" xr:uid="{00000000-0005-0000-0000-00000B210000}"/>
    <cellStyle name="40% - Accent1 2 10" xfId="862" xr:uid="{00000000-0005-0000-0000-00000C210000}"/>
    <cellStyle name="40% - Accent1 2 10 2" xfId="8414" xr:uid="{00000000-0005-0000-0000-00000D210000}"/>
    <cellStyle name="40% - Accent1 2 10 2 2" xfId="10633" xr:uid="{00000000-0005-0000-0000-00000E210000}"/>
    <cellStyle name="40% - Accent1 2 10 2 2 2" xfId="21196" xr:uid="{00000000-0005-0000-0000-00000F210000}"/>
    <cellStyle name="40% - Accent1 2 10 2 3" xfId="12852" xr:uid="{00000000-0005-0000-0000-000010210000}"/>
    <cellStyle name="40% - Accent1 2 10 2 3 2" xfId="23415" xr:uid="{00000000-0005-0000-0000-000011210000}"/>
    <cellStyle name="40% - Accent1 2 10 2 4" xfId="15071" xr:uid="{00000000-0005-0000-0000-000012210000}"/>
    <cellStyle name="40% - Accent1 2 10 2 4 2" xfId="25634" xr:uid="{00000000-0005-0000-0000-000013210000}"/>
    <cellStyle name="40% - Accent1 2 10 2 5" xfId="18977" xr:uid="{00000000-0005-0000-0000-000014210000}"/>
    <cellStyle name="40% - Accent1 2 10 3" xfId="7681" xr:uid="{00000000-0005-0000-0000-000015210000}"/>
    <cellStyle name="40% - Accent1 2 10 3 2" xfId="9900" xr:uid="{00000000-0005-0000-0000-000016210000}"/>
    <cellStyle name="40% - Accent1 2 10 3 2 2" xfId="20463" xr:uid="{00000000-0005-0000-0000-000017210000}"/>
    <cellStyle name="40% - Accent1 2 10 3 3" xfId="12119" xr:uid="{00000000-0005-0000-0000-000018210000}"/>
    <cellStyle name="40% - Accent1 2 10 3 3 2" xfId="22682" xr:uid="{00000000-0005-0000-0000-000019210000}"/>
    <cellStyle name="40% - Accent1 2 10 3 4" xfId="14338" xr:uid="{00000000-0005-0000-0000-00001A210000}"/>
    <cellStyle name="40% - Accent1 2 10 3 4 2" xfId="24901" xr:uid="{00000000-0005-0000-0000-00001B210000}"/>
    <cellStyle name="40% - Accent1 2 10 3 5" xfId="18244" xr:uid="{00000000-0005-0000-0000-00001C210000}"/>
    <cellStyle name="40% - Accent1 2 10 4" xfId="9157" xr:uid="{00000000-0005-0000-0000-00001D210000}"/>
    <cellStyle name="40% - Accent1 2 10 4 2" xfId="19720" xr:uid="{00000000-0005-0000-0000-00001E210000}"/>
    <cellStyle name="40% - Accent1 2 10 5" xfId="11376" xr:uid="{00000000-0005-0000-0000-00001F210000}"/>
    <cellStyle name="40% - Accent1 2 10 5 2" xfId="21939" xr:uid="{00000000-0005-0000-0000-000020210000}"/>
    <cellStyle name="40% - Accent1 2 10 6" xfId="13595" xr:uid="{00000000-0005-0000-0000-000021210000}"/>
    <cellStyle name="40% - Accent1 2 10 6 2" xfId="24158" xr:uid="{00000000-0005-0000-0000-000022210000}"/>
    <cellStyle name="40% - Accent1 2 10 7" xfId="17495" xr:uid="{00000000-0005-0000-0000-000023210000}"/>
    <cellStyle name="40% - Accent1 2 11" xfId="863" xr:uid="{00000000-0005-0000-0000-000024210000}"/>
    <cellStyle name="40% - Accent1 2 11 2" xfId="864" xr:uid="{00000000-0005-0000-0000-000025210000}"/>
    <cellStyle name="40% - Accent1 2 11 2 2" xfId="8415" xr:uid="{00000000-0005-0000-0000-000026210000}"/>
    <cellStyle name="40% - Accent1 2 11 2 2 2" xfId="10634" xr:uid="{00000000-0005-0000-0000-000027210000}"/>
    <cellStyle name="40% - Accent1 2 11 2 2 2 2" xfId="21197" xr:uid="{00000000-0005-0000-0000-000028210000}"/>
    <cellStyle name="40% - Accent1 2 11 2 2 3" xfId="12853" xr:uid="{00000000-0005-0000-0000-000029210000}"/>
    <cellStyle name="40% - Accent1 2 11 2 2 3 2" xfId="23416" xr:uid="{00000000-0005-0000-0000-00002A210000}"/>
    <cellStyle name="40% - Accent1 2 11 2 2 4" xfId="15072" xr:uid="{00000000-0005-0000-0000-00002B210000}"/>
    <cellStyle name="40% - Accent1 2 11 2 2 4 2" xfId="25635" xr:uid="{00000000-0005-0000-0000-00002C210000}"/>
    <cellStyle name="40% - Accent1 2 11 2 2 5" xfId="18978" xr:uid="{00000000-0005-0000-0000-00002D210000}"/>
    <cellStyle name="40% - Accent1 2 11 2 3" xfId="7682" xr:uid="{00000000-0005-0000-0000-00002E210000}"/>
    <cellStyle name="40% - Accent1 2 11 2 3 2" xfId="9901" xr:uid="{00000000-0005-0000-0000-00002F210000}"/>
    <cellStyle name="40% - Accent1 2 11 2 3 2 2" xfId="20464" xr:uid="{00000000-0005-0000-0000-000030210000}"/>
    <cellStyle name="40% - Accent1 2 11 2 3 3" xfId="12120" xr:uid="{00000000-0005-0000-0000-000031210000}"/>
    <cellStyle name="40% - Accent1 2 11 2 3 3 2" xfId="22683" xr:uid="{00000000-0005-0000-0000-000032210000}"/>
    <cellStyle name="40% - Accent1 2 11 2 3 4" xfId="14339" xr:uid="{00000000-0005-0000-0000-000033210000}"/>
    <cellStyle name="40% - Accent1 2 11 2 3 4 2" xfId="24902" xr:uid="{00000000-0005-0000-0000-000034210000}"/>
    <cellStyle name="40% - Accent1 2 11 2 3 5" xfId="18245" xr:uid="{00000000-0005-0000-0000-000035210000}"/>
    <cellStyle name="40% - Accent1 2 11 2 4" xfId="9158" xr:uid="{00000000-0005-0000-0000-000036210000}"/>
    <cellStyle name="40% - Accent1 2 11 2 4 2" xfId="19721" xr:uid="{00000000-0005-0000-0000-000037210000}"/>
    <cellStyle name="40% - Accent1 2 11 2 5" xfId="11377" xr:uid="{00000000-0005-0000-0000-000038210000}"/>
    <cellStyle name="40% - Accent1 2 11 2 5 2" xfId="21940" xr:uid="{00000000-0005-0000-0000-000039210000}"/>
    <cellStyle name="40% - Accent1 2 11 2 6" xfId="13596" xr:uid="{00000000-0005-0000-0000-00003A210000}"/>
    <cellStyle name="40% - Accent1 2 11 2 6 2" xfId="24159" xr:uid="{00000000-0005-0000-0000-00003B210000}"/>
    <cellStyle name="40% - Accent1 2 11 2 7" xfId="17496" xr:uid="{00000000-0005-0000-0000-00003C210000}"/>
    <cellStyle name="40% - Accent1 2 11 3" xfId="865" xr:uid="{00000000-0005-0000-0000-00003D210000}"/>
    <cellStyle name="40% - Accent1 2 11 3 2" xfId="8416" xr:uid="{00000000-0005-0000-0000-00003E210000}"/>
    <cellStyle name="40% - Accent1 2 11 3 2 2" xfId="10635" xr:uid="{00000000-0005-0000-0000-00003F210000}"/>
    <cellStyle name="40% - Accent1 2 11 3 2 2 2" xfId="21198" xr:uid="{00000000-0005-0000-0000-000040210000}"/>
    <cellStyle name="40% - Accent1 2 11 3 2 3" xfId="12854" xr:uid="{00000000-0005-0000-0000-000041210000}"/>
    <cellStyle name="40% - Accent1 2 11 3 2 3 2" xfId="23417" xr:uid="{00000000-0005-0000-0000-000042210000}"/>
    <cellStyle name="40% - Accent1 2 11 3 2 4" xfId="15073" xr:uid="{00000000-0005-0000-0000-000043210000}"/>
    <cellStyle name="40% - Accent1 2 11 3 2 4 2" xfId="25636" xr:uid="{00000000-0005-0000-0000-000044210000}"/>
    <cellStyle name="40% - Accent1 2 11 3 2 5" xfId="18979" xr:uid="{00000000-0005-0000-0000-000045210000}"/>
    <cellStyle name="40% - Accent1 2 11 3 3" xfId="7683" xr:uid="{00000000-0005-0000-0000-000046210000}"/>
    <cellStyle name="40% - Accent1 2 11 3 3 2" xfId="9902" xr:uid="{00000000-0005-0000-0000-000047210000}"/>
    <cellStyle name="40% - Accent1 2 11 3 3 2 2" xfId="20465" xr:uid="{00000000-0005-0000-0000-000048210000}"/>
    <cellStyle name="40% - Accent1 2 11 3 3 3" xfId="12121" xr:uid="{00000000-0005-0000-0000-000049210000}"/>
    <cellStyle name="40% - Accent1 2 11 3 3 3 2" xfId="22684" xr:uid="{00000000-0005-0000-0000-00004A210000}"/>
    <cellStyle name="40% - Accent1 2 11 3 3 4" xfId="14340" xr:uid="{00000000-0005-0000-0000-00004B210000}"/>
    <cellStyle name="40% - Accent1 2 11 3 3 4 2" xfId="24903" xr:uid="{00000000-0005-0000-0000-00004C210000}"/>
    <cellStyle name="40% - Accent1 2 11 3 3 5" xfId="18246" xr:uid="{00000000-0005-0000-0000-00004D210000}"/>
    <cellStyle name="40% - Accent1 2 11 3 4" xfId="9159" xr:uid="{00000000-0005-0000-0000-00004E210000}"/>
    <cellStyle name="40% - Accent1 2 11 3 4 2" xfId="19722" xr:uid="{00000000-0005-0000-0000-00004F210000}"/>
    <cellStyle name="40% - Accent1 2 11 3 5" xfId="11378" xr:uid="{00000000-0005-0000-0000-000050210000}"/>
    <cellStyle name="40% - Accent1 2 11 3 5 2" xfId="21941" xr:uid="{00000000-0005-0000-0000-000051210000}"/>
    <cellStyle name="40% - Accent1 2 11 3 6" xfId="13597" xr:uid="{00000000-0005-0000-0000-000052210000}"/>
    <cellStyle name="40% - Accent1 2 11 3 6 2" xfId="24160" xr:uid="{00000000-0005-0000-0000-000053210000}"/>
    <cellStyle name="40% - Accent1 2 11 3 7" xfId="17497" xr:uid="{00000000-0005-0000-0000-000054210000}"/>
    <cellStyle name="40% - Accent1 2 11 4" xfId="866" xr:uid="{00000000-0005-0000-0000-000055210000}"/>
    <cellStyle name="40% - Accent1 2 11 4 2" xfId="8417" xr:uid="{00000000-0005-0000-0000-000056210000}"/>
    <cellStyle name="40% - Accent1 2 11 4 2 2" xfId="10636" xr:uid="{00000000-0005-0000-0000-000057210000}"/>
    <cellStyle name="40% - Accent1 2 11 4 2 2 2" xfId="21199" xr:uid="{00000000-0005-0000-0000-000058210000}"/>
    <cellStyle name="40% - Accent1 2 11 4 2 3" xfId="12855" xr:uid="{00000000-0005-0000-0000-000059210000}"/>
    <cellStyle name="40% - Accent1 2 11 4 2 3 2" xfId="23418" xr:uid="{00000000-0005-0000-0000-00005A210000}"/>
    <cellStyle name="40% - Accent1 2 11 4 2 4" xfId="15074" xr:uid="{00000000-0005-0000-0000-00005B210000}"/>
    <cellStyle name="40% - Accent1 2 11 4 2 4 2" xfId="25637" xr:uid="{00000000-0005-0000-0000-00005C210000}"/>
    <cellStyle name="40% - Accent1 2 11 4 2 5" xfId="18980" xr:uid="{00000000-0005-0000-0000-00005D210000}"/>
    <cellStyle name="40% - Accent1 2 11 4 3" xfId="7684" xr:uid="{00000000-0005-0000-0000-00005E210000}"/>
    <cellStyle name="40% - Accent1 2 11 4 3 2" xfId="9903" xr:uid="{00000000-0005-0000-0000-00005F210000}"/>
    <cellStyle name="40% - Accent1 2 11 4 3 2 2" xfId="20466" xr:uid="{00000000-0005-0000-0000-000060210000}"/>
    <cellStyle name="40% - Accent1 2 11 4 3 3" xfId="12122" xr:uid="{00000000-0005-0000-0000-000061210000}"/>
    <cellStyle name="40% - Accent1 2 11 4 3 3 2" xfId="22685" xr:uid="{00000000-0005-0000-0000-000062210000}"/>
    <cellStyle name="40% - Accent1 2 11 4 3 4" xfId="14341" xr:uid="{00000000-0005-0000-0000-000063210000}"/>
    <cellStyle name="40% - Accent1 2 11 4 3 4 2" xfId="24904" xr:uid="{00000000-0005-0000-0000-000064210000}"/>
    <cellStyle name="40% - Accent1 2 11 4 3 5" xfId="18247" xr:uid="{00000000-0005-0000-0000-000065210000}"/>
    <cellStyle name="40% - Accent1 2 11 4 4" xfId="9160" xr:uid="{00000000-0005-0000-0000-000066210000}"/>
    <cellStyle name="40% - Accent1 2 11 4 4 2" xfId="19723" xr:uid="{00000000-0005-0000-0000-000067210000}"/>
    <cellStyle name="40% - Accent1 2 11 4 5" xfId="11379" xr:uid="{00000000-0005-0000-0000-000068210000}"/>
    <cellStyle name="40% - Accent1 2 11 4 5 2" xfId="21942" xr:uid="{00000000-0005-0000-0000-000069210000}"/>
    <cellStyle name="40% - Accent1 2 11 4 6" xfId="13598" xr:uid="{00000000-0005-0000-0000-00006A210000}"/>
    <cellStyle name="40% - Accent1 2 11 4 6 2" xfId="24161" xr:uid="{00000000-0005-0000-0000-00006B210000}"/>
    <cellStyle name="40% - Accent1 2 11 4 7" xfId="17498" xr:uid="{00000000-0005-0000-0000-00006C210000}"/>
    <cellStyle name="40% - Accent1 2 11 5" xfId="867" xr:uid="{00000000-0005-0000-0000-00006D210000}"/>
    <cellStyle name="40% - Accent1 2 11 5 2" xfId="8418" xr:uid="{00000000-0005-0000-0000-00006E210000}"/>
    <cellStyle name="40% - Accent1 2 11 5 2 2" xfId="10637" xr:uid="{00000000-0005-0000-0000-00006F210000}"/>
    <cellStyle name="40% - Accent1 2 11 5 2 2 2" xfId="21200" xr:uid="{00000000-0005-0000-0000-000070210000}"/>
    <cellStyle name="40% - Accent1 2 11 5 2 3" xfId="12856" xr:uid="{00000000-0005-0000-0000-000071210000}"/>
    <cellStyle name="40% - Accent1 2 11 5 2 3 2" xfId="23419" xr:uid="{00000000-0005-0000-0000-000072210000}"/>
    <cellStyle name="40% - Accent1 2 11 5 2 4" xfId="15075" xr:uid="{00000000-0005-0000-0000-000073210000}"/>
    <cellStyle name="40% - Accent1 2 11 5 2 4 2" xfId="25638" xr:uid="{00000000-0005-0000-0000-000074210000}"/>
    <cellStyle name="40% - Accent1 2 11 5 2 5" xfId="18981" xr:uid="{00000000-0005-0000-0000-000075210000}"/>
    <cellStyle name="40% - Accent1 2 11 5 3" xfId="7685" xr:uid="{00000000-0005-0000-0000-000076210000}"/>
    <cellStyle name="40% - Accent1 2 11 5 3 2" xfId="9904" xr:uid="{00000000-0005-0000-0000-000077210000}"/>
    <cellStyle name="40% - Accent1 2 11 5 3 2 2" xfId="20467" xr:uid="{00000000-0005-0000-0000-000078210000}"/>
    <cellStyle name="40% - Accent1 2 11 5 3 3" xfId="12123" xr:uid="{00000000-0005-0000-0000-000079210000}"/>
    <cellStyle name="40% - Accent1 2 11 5 3 3 2" xfId="22686" xr:uid="{00000000-0005-0000-0000-00007A210000}"/>
    <cellStyle name="40% - Accent1 2 11 5 3 4" xfId="14342" xr:uid="{00000000-0005-0000-0000-00007B210000}"/>
    <cellStyle name="40% - Accent1 2 11 5 3 4 2" xfId="24905" xr:uid="{00000000-0005-0000-0000-00007C210000}"/>
    <cellStyle name="40% - Accent1 2 11 5 3 5" xfId="18248" xr:uid="{00000000-0005-0000-0000-00007D210000}"/>
    <cellStyle name="40% - Accent1 2 11 5 4" xfId="9161" xr:uid="{00000000-0005-0000-0000-00007E210000}"/>
    <cellStyle name="40% - Accent1 2 11 5 4 2" xfId="19724" xr:uid="{00000000-0005-0000-0000-00007F210000}"/>
    <cellStyle name="40% - Accent1 2 11 5 5" xfId="11380" xr:uid="{00000000-0005-0000-0000-000080210000}"/>
    <cellStyle name="40% - Accent1 2 11 5 5 2" xfId="21943" xr:uid="{00000000-0005-0000-0000-000081210000}"/>
    <cellStyle name="40% - Accent1 2 11 5 6" xfId="13599" xr:uid="{00000000-0005-0000-0000-000082210000}"/>
    <cellStyle name="40% - Accent1 2 11 5 6 2" xfId="24162" xr:uid="{00000000-0005-0000-0000-000083210000}"/>
    <cellStyle name="40% - Accent1 2 11 5 7" xfId="17499" xr:uid="{00000000-0005-0000-0000-000084210000}"/>
    <cellStyle name="40% - Accent1 2 12" xfId="868" xr:uid="{00000000-0005-0000-0000-000085210000}"/>
    <cellStyle name="40% - Accent1 2 13" xfId="869" xr:uid="{00000000-0005-0000-0000-000086210000}"/>
    <cellStyle name="40% - Accent1 2 14" xfId="870" xr:uid="{00000000-0005-0000-0000-000087210000}"/>
    <cellStyle name="40% - Accent1 2 15" xfId="871" xr:uid="{00000000-0005-0000-0000-000088210000}"/>
    <cellStyle name="40% - Accent1 2 15 2" xfId="8419" xr:uid="{00000000-0005-0000-0000-000089210000}"/>
    <cellStyle name="40% - Accent1 2 15 2 2" xfId="10638" xr:uid="{00000000-0005-0000-0000-00008A210000}"/>
    <cellStyle name="40% - Accent1 2 15 2 2 2" xfId="21201" xr:uid="{00000000-0005-0000-0000-00008B210000}"/>
    <cellStyle name="40% - Accent1 2 15 2 3" xfId="12857" xr:uid="{00000000-0005-0000-0000-00008C210000}"/>
    <cellStyle name="40% - Accent1 2 15 2 3 2" xfId="23420" xr:uid="{00000000-0005-0000-0000-00008D210000}"/>
    <cellStyle name="40% - Accent1 2 15 2 4" xfId="15076" xr:uid="{00000000-0005-0000-0000-00008E210000}"/>
    <cellStyle name="40% - Accent1 2 15 2 4 2" xfId="25639" xr:uid="{00000000-0005-0000-0000-00008F210000}"/>
    <cellStyle name="40% - Accent1 2 15 2 5" xfId="18982" xr:uid="{00000000-0005-0000-0000-000090210000}"/>
    <cellStyle name="40% - Accent1 2 15 3" xfId="7686" xr:uid="{00000000-0005-0000-0000-000091210000}"/>
    <cellStyle name="40% - Accent1 2 15 3 2" xfId="9905" xr:uid="{00000000-0005-0000-0000-000092210000}"/>
    <cellStyle name="40% - Accent1 2 15 3 2 2" xfId="20468" xr:uid="{00000000-0005-0000-0000-000093210000}"/>
    <cellStyle name="40% - Accent1 2 15 3 3" xfId="12124" xr:uid="{00000000-0005-0000-0000-000094210000}"/>
    <cellStyle name="40% - Accent1 2 15 3 3 2" xfId="22687" xr:uid="{00000000-0005-0000-0000-000095210000}"/>
    <cellStyle name="40% - Accent1 2 15 3 4" xfId="14343" xr:uid="{00000000-0005-0000-0000-000096210000}"/>
    <cellStyle name="40% - Accent1 2 15 3 4 2" xfId="24906" xr:uid="{00000000-0005-0000-0000-000097210000}"/>
    <cellStyle name="40% - Accent1 2 15 3 5" xfId="18249" xr:uid="{00000000-0005-0000-0000-000098210000}"/>
    <cellStyle name="40% - Accent1 2 15 4" xfId="9162" xr:uid="{00000000-0005-0000-0000-000099210000}"/>
    <cellStyle name="40% - Accent1 2 15 4 2" xfId="19725" xr:uid="{00000000-0005-0000-0000-00009A210000}"/>
    <cellStyle name="40% - Accent1 2 15 5" xfId="11381" xr:uid="{00000000-0005-0000-0000-00009B210000}"/>
    <cellStyle name="40% - Accent1 2 15 5 2" xfId="21944" xr:uid="{00000000-0005-0000-0000-00009C210000}"/>
    <cellStyle name="40% - Accent1 2 15 6" xfId="13600" xr:uid="{00000000-0005-0000-0000-00009D210000}"/>
    <cellStyle name="40% - Accent1 2 15 6 2" xfId="24163" xr:uid="{00000000-0005-0000-0000-00009E210000}"/>
    <cellStyle name="40% - Accent1 2 15 7" xfId="17500" xr:uid="{00000000-0005-0000-0000-00009F210000}"/>
    <cellStyle name="40% - Accent1 2 16" xfId="872" xr:uid="{00000000-0005-0000-0000-0000A0210000}"/>
    <cellStyle name="40% - Accent1 2 2" xfId="873" xr:uid="{00000000-0005-0000-0000-0000A1210000}"/>
    <cellStyle name="40% - Accent1 2 2 10" xfId="8420" xr:uid="{00000000-0005-0000-0000-0000A2210000}"/>
    <cellStyle name="40% - Accent1 2 2 10 2" xfId="10639" xr:uid="{00000000-0005-0000-0000-0000A3210000}"/>
    <cellStyle name="40% - Accent1 2 2 10 2 2" xfId="21202" xr:uid="{00000000-0005-0000-0000-0000A4210000}"/>
    <cellStyle name="40% - Accent1 2 2 10 3" xfId="12858" xr:uid="{00000000-0005-0000-0000-0000A5210000}"/>
    <cellStyle name="40% - Accent1 2 2 10 3 2" xfId="23421" xr:uid="{00000000-0005-0000-0000-0000A6210000}"/>
    <cellStyle name="40% - Accent1 2 2 10 4" xfId="15077" xr:uid="{00000000-0005-0000-0000-0000A7210000}"/>
    <cellStyle name="40% - Accent1 2 2 10 4 2" xfId="25640" xr:uid="{00000000-0005-0000-0000-0000A8210000}"/>
    <cellStyle name="40% - Accent1 2 2 10 5" xfId="18983" xr:uid="{00000000-0005-0000-0000-0000A9210000}"/>
    <cellStyle name="40% - Accent1 2 2 11" xfId="7687" xr:uid="{00000000-0005-0000-0000-0000AA210000}"/>
    <cellStyle name="40% - Accent1 2 2 11 2" xfId="9906" xr:uid="{00000000-0005-0000-0000-0000AB210000}"/>
    <cellStyle name="40% - Accent1 2 2 11 2 2" xfId="20469" xr:uid="{00000000-0005-0000-0000-0000AC210000}"/>
    <cellStyle name="40% - Accent1 2 2 11 3" xfId="12125" xr:uid="{00000000-0005-0000-0000-0000AD210000}"/>
    <cellStyle name="40% - Accent1 2 2 11 3 2" xfId="22688" xr:uid="{00000000-0005-0000-0000-0000AE210000}"/>
    <cellStyle name="40% - Accent1 2 2 11 4" xfId="14344" xr:uid="{00000000-0005-0000-0000-0000AF210000}"/>
    <cellStyle name="40% - Accent1 2 2 11 4 2" xfId="24907" xr:uid="{00000000-0005-0000-0000-0000B0210000}"/>
    <cellStyle name="40% - Accent1 2 2 11 5" xfId="18250" xr:uid="{00000000-0005-0000-0000-0000B1210000}"/>
    <cellStyle name="40% - Accent1 2 2 12" xfId="9163" xr:uid="{00000000-0005-0000-0000-0000B2210000}"/>
    <cellStyle name="40% - Accent1 2 2 12 2" xfId="19726" xr:uid="{00000000-0005-0000-0000-0000B3210000}"/>
    <cellStyle name="40% - Accent1 2 2 13" xfId="11382" xr:uid="{00000000-0005-0000-0000-0000B4210000}"/>
    <cellStyle name="40% - Accent1 2 2 13 2" xfId="21945" xr:uid="{00000000-0005-0000-0000-0000B5210000}"/>
    <cellStyle name="40% - Accent1 2 2 14" xfId="13601" xr:uid="{00000000-0005-0000-0000-0000B6210000}"/>
    <cellStyle name="40% - Accent1 2 2 14 2" xfId="24164" xr:uid="{00000000-0005-0000-0000-0000B7210000}"/>
    <cellStyle name="40% - Accent1 2 2 15" xfId="17501" xr:uid="{00000000-0005-0000-0000-0000B8210000}"/>
    <cellStyle name="40% - Accent1 2 2 2" xfId="874" xr:uid="{00000000-0005-0000-0000-0000B9210000}"/>
    <cellStyle name="40% - Accent1 2 2 2 2" xfId="8421" xr:uid="{00000000-0005-0000-0000-0000BA210000}"/>
    <cellStyle name="40% - Accent1 2 2 2 2 2" xfId="10640" xr:uid="{00000000-0005-0000-0000-0000BB210000}"/>
    <cellStyle name="40% - Accent1 2 2 2 2 2 2" xfId="21203" xr:uid="{00000000-0005-0000-0000-0000BC210000}"/>
    <cellStyle name="40% - Accent1 2 2 2 2 3" xfId="12859" xr:uid="{00000000-0005-0000-0000-0000BD210000}"/>
    <cellStyle name="40% - Accent1 2 2 2 2 3 2" xfId="23422" xr:uid="{00000000-0005-0000-0000-0000BE210000}"/>
    <cellStyle name="40% - Accent1 2 2 2 2 4" xfId="15078" xr:uid="{00000000-0005-0000-0000-0000BF210000}"/>
    <cellStyle name="40% - Accent1 2 2 2 2 4 2" xfId="25641" xr:uid="{00000000-0005-0000-0000-0000C0210000}"/>
    <cellStyle name="40% - Accent1 2 2 2 2 5" xfId="18984" xr:uid="{00000000-0005-0000-0000-0000C1210000}"/>
    <cellStyle name="40% - Accent1 2 2 2 3" xfId="7688" xr:uid="{00000000-0005-0000-0000-0000C2210000}"/>
    <cellStyle name="40% - Accent1 2 2 2 3 2" xfId="9907" xr:uid="{00000000-0005-0000-0000-0000C3210000}"/>
    <cellStyle name="40% - Accent1 2 2 2 3 2 2" xfId="20470" xr:uid="{00000000-0005-0000-0000-0000C4210000}"/>
    <cellStyle name="40% - Accent1 2 2 2 3 3" xfId="12126" xr:uid="{00000000-0005-0000-0000-0000C5210000}"/>
    <cellStyle name="40% - Accent1 2 2 2 3 3 2" xfId="22689" xr:uid="{00000000-0005-0000-0000-0000C6210000}"/>
    <cellStyle name="40% - Accent1 2 2 2 3 4" xfId="14345" xr:uid="{00000000-0005-0000-0000-0000C7210000}"/>
    <cellStyle name="40% - Accent1 2 2 2 3 4 2" xfId="24908" xr:uid="{00000000-0005-0000-0000-0000C8210000}"/>
    <cellStyle name="40% - Accent1 2 2 2 3 5" xfId="18251" xr:uid="{00000000-0005-0000-0000-0000C9210000}"/>
    <cellStyle name="40% - Accent1 2 2 2 4" xfId="9164" xr:uid="{00000000-0005-0000-0000-0000CA210000}"/>
    <cellStyle name="40% - Accent1 2 2 2 4 2" xfId="19727" xr:uid="{00000000-0005-0000-0000-0000CB210000}"/>
    <cellStyle name="40% - Accent1 2 2 2 5" xfId="11383" xr:uid="{00000000-0005-0000-0000-0000CC210000}"/>
    <cellStyle name="40% - Accent1 2 2 2 5 2" xfId="21946" xr:uid="{00000000-0005-0000-0000-0000CD210000}"/>
    <cellStyle name="40% - Accent1 2 2 2 6" xfId="13602" xr:uid="{00000000-0005-0000-0000-0000CE210000}"/>
    <cellStyle name="40% - Accent1 2 2 2 6 2" xfId="24165" xr:uid="{00000000-0005-0000-0000-0000CF210000}"/>
    <cellStyle name="40% - Accent1 2 2 2 7" xfId="17502" xr:uid="{00000000-0005-0000-0000-0000D0210000}"/>
    <cellStyle name="40% - Accent1 2 2 3" xfId="875" xr:uid="{00000000-0005-0000-0000-0000D1210000}"/>
    <cellStyle name="40% - Accent1 2 2 3 2" xfId="8422" xr:uid="{00000000-0005-0000-0000-0000D2210000}"/>
    <cellStyle name="40% - Accent1 2 2 3 2 2" xfId="10641" xr:uid="{00000000-0005-0000-0000-0000D3210000}"/>
    <cellStyle name="40% - Accent1 2 2 3 2 2 2" xfId="21204" xr:uid="{00000000-0005-0000-0000-0000D4210000}"/>
    <cellStyle name="40% - Accent1 2 2 3 2 3" xfId="12860" xr:uid="{00000000-0005-0000-0000-0000D5210000}"/>
    <cellStyle name="40% - Accent1 2 2 3 2 3 2" xfId="23423" xr:uid="{00000000-0005-0000-0000-0000D6210000}"/>
    <cellStyle name="40% - Accent1 2 2 3 2 4" xfId="15079" xr:uid="{00000000-0005-0000-0000-0000D7210000}"/>
    <cellStyle name="40% - Accent1 2 2 3 2 4 2" xfId="25642" xr:uid="{00000000-0005-0000-0000-0000D8210000}"/>
    <cellStyle name="40% - Accent1 2 2 3 2 5" xfId="18985" xr:uid="{00000000-0005-0000-0000-0000D9210000}"/>
    <cellStyle name="40% - Accent1 2 2 3 3" xfId="7689" xr:uid="{00000000-0005-0000-0000-0000DA210000}"/>
    <cellStyle name="40% - Accent1 2 2 3 3 2" xfId="9908" xr:uid="{00000000-0005-0000-0000-0000DB210000}"/>
    <cellStyle name="40% - Accent1 2 2 3 3 2 2" xfId="20471" xr:uid="{00000000-0005-0000-0000-0000DC210000}"/>
    <cellStyle name="40% - Accent1 2 2 3 3 3" xfId="12127" xr:uid="{00000000-0005-0000-0000-0000DD210000}"/>
    <cellStyle name="40% - Accent1 2 2 3 3 3 2" xfId="22690" xr:uid="{00000000-0005-0000-0000-0000DE210000}"/>
    <cellStyle name="40% - Accent1 2 2 3 3 4" xfId="14346" xr:uid="{00000000-0005-0000-0000-0000DF210000}"/>
    <cellStyle name="40% - Accent1 2 2 3 3 4 2" xfId="24909" xr:uid="{00000000-0005-0000-0000-0000E0210000}"/>
    <cellStyle name="40% - Accent1 2 2 3 3 5" xfId="18252" xr:uid="{00000000-0005-0000-0000-0000E1210000}"/>
    <cellStyle name="40% - Accent1 2 2 3 4" xfId="9165" xr:uid="{00000000-0005-0000-0000-0000E2210000}"/>
    <cellStyle name="40% - Accent1 2 2 3 4 2" xfId="19728" xr:uid="{00000000-0005-0000-0000-0000E3210000}"/>
    <cellStyle name="40% - Accent1 2 2 3 5" xfId="11384" xr:uid="{00000000-0005-0000-0000-0000E4210000}"/>
    <cellStyle name="40% - Accent1 2 2 3 5 2" xfId="21947" xr:uid="{00000000-0005-0000-0000-0000E5210000}"/>
    <cellStyle name="40% - Accent1 2 2 3 6" xfId="13603" xr:uid="{00000000-0005-0000-0000-0000E6210000}"/>
    <cellStyle name="40% - Accent1 2 2 3 6 2" xfId="24166" xr:uid="{00000000-0005-0000-0000-0000E7210000}"/>
    <cellStyle name="40% - Accent1 2 2 3 7" xfId="17503" xr:uid="{00000000-0005-0000-0000-0000E8210000}"/>
    <cellStyle name="40% - Accent1 2 2 4" xfId="876" xr:uid="{00000000-0005-0000-0000-0000E9210000}"/>
    <cellStyle name="40% - Accent1 2 2 4 2" xfId="8423" xr:uid="{00000000-0005-0000-0000-0000EA210000}"/>
    <cellStyle name="40% - Accent1 2 2 4 2 2" xfId="10642" xr:uid="{00000000-0005-0000-0000-0000EB210000}"/>
    <cellStyle name="40% - Accent1 2 2 4 2 2 2" xfId="21205" xr:uid="{00000000-0005-0000-0000-0000EC210000}"/>
    <cellStyle name="40% - Accent1 2 2 4 2 3" xfId="12861" xr:uid="{00000000-0005-0000-0000-0000ED210000}"/>
    <cellStyle name="40% - Accent1 2 2 4 2 3 2" xfId="23424" xr:uid="{00000000-0005-0000-0000-0000EE210000}"/>
    <cellStyle name="40% - Accent1 2 2 4 2 4" xfId="15080" xr:uid="{00000000-0005-0000-0000-0000EF210000}"/>
    <cellStyle name="40% - Accent1 2 2 4 2 4 2" xfId="25643" xr:uid="{00000000-0005-0000-0000-0000F0210000}"/>
    <cellStyle name="40% - Accent1 2 2 4 2 5" xfId="18986" xr:uid="{00000000-0005-0000-0000-0000F1210000}"/>
    <cellStyle name="40% - Accent1 2 2 4 3" xfId="7690" xr:uid="{00000000-0005-0000-0000-0000F2210000}"/>
    <cellStyle name="40% - Accent1 2 2 4 3 2" xfId="9909" xr:uid="{00000000-0005-0000-0000-0000F3210000}"/>
    <cellStyle name="40% - Accent1 2 2 4 3 2 2" xfId="20472" xr:uid="{00000000-0005-0000-0000-0000F4210000}"/>
    <cellStyle name="40% - Accent1 2 2 4 3 3" xfId="12128" xr:uid="{00000000-0005-0000-0000-0000F5210000}"/>
    <cellStyle name="40% - Accent1 2 2 4 3 3 2" xfId="22691" xr:uid="{00000000-0005-0000-0000-0000F6210000}"/>
    <cellStyle name="40% - Accent1 2 2 4 3 4" xfId="14347" xr:uid="{00000000-0005-0000-0000-0000F7210000}"/>
    <cellStyle name="40% - Accent1 2 2 4 3 4 2" xfId="24910" xr:uid="{00000000-0005-0000-0000-0000F8210000}"/>
    <cellStyle name="40% - Accent1 2 2 4 3 5" xfId="18253" xr:uid="{00000000-0005-0000-0000-0000F9210000}"/>
    <cellStyle name="40% - Accent1 2 2 4 4" xfId="9166" xr:uid="{00000000-0005-0000-0000-0000FA210000}"/>
    <cellStyle name="40% - Accent1 2 2 4 4 2" xfId="19729" xr:uid="{00000000-0005-0000-0000-0000FB210000}"/>
    <cellStyle name="40% - Accent1 2 2 4 5" xfId="11385" xr:uid="{00000000-0005-0000-0000-0000FC210000}"/>
    <cellStyle name="40% - Accent1 2 2 4 5 2" xfId="21948" xr:uid="{00000000-0005-0000-0000-0000FD210000}"/>
    <cellStyle name="40% - Accent1 2 2 4 6" xfId="13604" xr:uid="{00000000-0005-0000-0000-0000FE210000}"/>
    <cellStyle name="40% - Accent1 2 2 4 6 2" xfId="24167" xr:uid="{00000000-0005-0000-0000-0000FF210000}"/>
    <cellStyle name="40% - Accent1 2 2 4 7" xfId="17504" xr:uid="{00000000-0005-0000-0000-000000220000}"/>
    <cellStyle name="40% - Accent1 2 2 5" xfId="877" xr:uid="{00000000-0005-0000-0000-000001220000}"/>
    <cellStyle name="40% - Accent1 2 2 5 2" xfId="8424" xr:uid="{00000000-0005-0000-0000-000002220000}"/>
    <cellStyle name="40% - Accent1 2 2 5 2 2" xfId="10643" xr:uid="{00000000-0005-0000-0000-000003220000}"/>
    <cellStyle name="40% - Accent1 2 2 5 2 2 2" xfId="21206" xr:uid="{00000000-0005-0000-0000-000004220000}"/>
    <cellStyle name="40% - Accent1 2 2 5 2 3" xfId="12862" xr:uid="{00000000-0005-0000-0000-000005220000}"/>
    <cellStyle name="40% - Accent1 2 2 5 2 3 2" xfId="23425" xr:uid="{00000000-0005-0000-0000-000006220000}"/>
    <cellStyle name="40% - Accent1 2 2 5 2 4" xfId="15081" xr:uid="{00000000-0005-0000-0000-000007220000}"/>
    <cellStyle name="40% - Accent1 2 2 5 2 4 2" xfId="25644" xr:uid="{00000000-0005-0000-0000-000008220000}"/>
    <cellStyle name="40% - Accent1 2 2 5 2 5" xfId="18987" xr:uid="{00000000-0005-0000-0000-000009220000}"/>
    <cellStyle name="40% - Accent1 2 2 5 3" xfId="7691" xr:uid="{00000000-0005-0000-0000-00000A220000}"/>
    <cellStyle name="40% - Accent1 2 2 5 3 2" xfId="9910" xr:uid="{00000000-0005-0000-0000-00000B220000}"/>
    <cellStyle name="40% - Accent1 2 2 5 3 2 2" xfId="20473" xr:uid="{00000000-0005-0000-0000-00000C220000}"/>
    <cellStyle name="40% - Accent1 2 2 5 3 3" xfId="12129" xr:uid="{00000000-0005-0000-0000-00000D220000}"/>
    <cellStyle name="40% - Accent1 2 2 5 3 3 2" xfId="22692" xr:uid="{00000000-0005-0000-0000-00000E220000}"/>
    <cellStyle name="40% - Accent1 2 2 5 3 4" xfId="14348" xr:uid="{00000000-0005-0000-0000-00000F220000}"/>
    <cellStyle name="40% - Accent1 2 2 5 3 4 2" xfId="24911" xr:uid="{00000000-0005-0000-0000-000010220000}"/>
    <cellStyle name="40% - Accent1 2 2 5 3 5" xfId="18254" xr:uid="{00000000-0005-0000-0000-000011220000}"/>
    <cellStyle name="40% - Accent1 2 2 5 4" xfId="9167" xr:uid="{00000000-0005-0000-0000-000012220000}"/>
    <cellStyle name="40% - Accent1 2 2 5 4 2" xfId="19730" xr:uid="{00000000-0005-0000-0000-000013220000}"/>
    <cellStyle name="40% - Accent1 2 2 5 5" xfId="11386" xr:uid="{00000000-0005-0000-0000-000014220000}"/>
    <cellStyle name="40% - Accent1 2 2 5 5 2" xfId="21949" xr:uid="{00000000-0005-0000-0000-000015220000}"/>
    <cellStyle name="40% - Accent1 2 2 5 6" xfId="13605" xr:uid="{00000000-0005-0000-0000-000016220000}"/>
    <cellStyle name="40% - Accent1 2 2 5 6 2" xfId="24168" xr:uid="{00000000-0005-0000-0000-000017220000}"/>
    <cellStyle name="40% - Accent1 2 2 5 7" xfId="17505" xr:uid="{00000000-0005-0000-0000-000018220000}"/>
    <cellStyle name="40% - Accent1 2 2 6" xfId="878" xr:uid="{00000000-0005-0000-0000-000019220000}"/>
    <cellStyle name="40% - Accent1 2 2 6 2" xfId="8425" xr:uid="{00000000-0005-0000-0000-00001A220000}"/>
    <cellStyle name="40% - Accent1 2 2 6 2 2" xfId="10644" xr:uid="{00000000-0005-0000-0000-00001B220000}"/>
    <cellStyle name="40% - Accent1 2 2 6 2 2 2" xfId="21207" xr:uid="{00000000-0005-0000-0000-00001C220000}"/>
    <cellStyle name="40% - Accent1 2 2 6 2 3" xfId="12863" xr:uid="{00000000-0005-0000-0000-00001D220000}"/>
    <cellStyle name="40% - Accent1 2 2 6 2 3 2" xfId="23426" xr:uid="{00000000-0005-0000-0000-00001E220000}"/>
    <cellStyle name="40% - Accent1 2 2 6 2 4" xfId="15082" xr:uid="{00000000-0005-0000-0000-00001F220000}"/>
    <cellStyle name="40% - Accent1 2 2 6 2 4 2" xfId="25645" xr:uid="{00000000-0005-0000-0000-000020220000}"/>
    <cellStyle name="40% - Accent1 2 2 6 2 5" xfId="18988" xr:uid="{00000000-0005-0000-0000-000021220000}"/>
    <cellStyle name="40% - Accent1 2 2 6 3" xfId="7692" xr:uid="{00000000-0005-0000-0000-000022220000}"/>
    <cellStyle name="40% - Accent1 2 2 6 3 2" xfId="9911" xr:uid="{00000000-0005-0000-0000-000023220000}"/>
    <cellStyle name="40% - Accent1 2 2 6 3 2 2" xfId="20474" xr:uid="{00000000-0005-0000-0000-000024220000}"/>
    <cellStyle name="40% - Accent1 2 2 6 3 3" xfId="12130" xr:uid="{00000000-0005-0000-0000-000025220000}"/>
    <cellStyle name="40% - Accent1 2 2 6 3 3 2" xfId="22693" xr:uid="{00000000-0005-0000-0000-000026220000}"/>
    <cellStyle name="40% - Accent1 2 2 6 3 4" xfId="14349" xr:uid="{00000000-0005-0000-0000-000027220000}"/>
    <cellStyle name="40% - Accent1 2 2 6 3 4 2" xfId="24912" xr:uid="{00000000-0005-0000-0000-000028220000}"/>
    <cellStyle name="40% - Accent1 2 2 6 3 5" xfId="18255" xr:uid="{00000000-0005-0000-0000-000029220000}"/>
    <cellStyle name="40% - Accent1 2 2 6 4" xfId="9168" xr:uid="{00000000-0005-0000-0000-00002A220000}"/>
    <cellStyle name="40% - Accent1 2 2 6 4 2" xfId="19731" xr:uid="{00000000-0005-0000-0000-00002B220000}"/>
    <cellStyle name="40% - Accent1 2 2 6 5" xfId="11387" xr:uid="{00000000-0005-0000-0000-00002C220000}"/>
    <cellStyle name="40% - Accent1 2 2 6 5 2" xfId="21950" xr:uid="{00000000-0005-0000-0000-00002D220000}"/>
    <cellStyle name="40% - Accent1 2 2 6 6" xfId="13606" xr:uid="{00000000-0005-0000-0000-00002E220000}"/>
    <cellStyle name="40% - Accent1 2 2 6 6 2" xfId="24169" xr:uid="{00000000-0005-0000-0000-00002F220000}"/>
    <cellStyle name="40% - Accent1 2 2 6 7" xfId="17506" xr:uid="{00000000-0005-0000-0000-000030220000}"/>
    <cellStyle name="40% - Accent1 2 2 7" xfId="879" xr:uid="{00000000-0005-0000-0000-000031220000}"/>
    <cellStyle name="40% - Accent1 2 2 7 2" xfId="8426" xr:uid="{00000000-0005-0000-0000-000032220000}"/>
    <cellStyle name="40% - Accent1 2 2 7 2 2" xfId="10645" xr:uid="{00000000-0005-0000-0000-000033220000}"/>
    <cellStyle name="40% - Accent1 2 2 7 2 2 2" xfId="21208" xr:uid="{00000000-0005-0000-0000-000034220000}"/>
    <cellStyle name="40% - Accent1 2 2 7 2 3" xfId="12864" xr:uid="{00000000-0005-0000-0000-000035220000}"/>
    <cellStyle name="40% - Accent1 2 2 7 2 3 2" xfId="23427" xr:uid="{00000000-0005-0000-0000-000036220000}"/>
    <cellStyle name="40% - Accent1 2 2 7 2 4" xfId="15083" xr:uid="{00000000-0005-0000-0000-000037220000}"/>
    <cellStyle name="40% - Accent1 2 2 7 2 4 2" xfId="25646" xr:uid="{00000000-0005-0000-0000-000038220000}"/>
    <cellStyle name="40% - Accent1 2 2 7 2 5" xfId="18989" xr:uid="{00000000-0005-0000-0000-000039220000}"/>
    <cellStyle name="40% - Accent1 2 2 7 3" xfId="7693" xr:uid="{00000000-0005-0000-0000-00003A220000}"/>
    <cellStyle name="40% - Accent1 2 2 7 3 2" xfId="9912" xr:uid="{00000000-0005-0000-0000-00003B220000}"/>
    <cellStyle name="40% - Accent1 2 2 7 3 2 2" xfId="20475" xr:uid="{00000000-0005-0000-0000-00003C220000}"/>
    <cellStyle name="40% - Accent1 2 2 7 3 3" xfId="12131" xr:uid="{00000000-0005-0000-0000-00003D220000}"/>
    <cellStyle name="40% - Accent1 2 2 7 3 3 2" xfId="22694" xr:uid="{00000000-0005-0000-0000-00003E220000}"/>
    <cellStyle name="40% - Accent1 2 2 7 3 4" xfId="14350" xr:uid="{00000000-0005-0000-0000-00003F220000}"/>
    <cellStyle name="40% - Accent1 2 2 7 3 4 2" xfId="24913" xr:uid="{00000000-0005-0000-0000-000040220000}"/>
    <cellStyle name="40% - Accent1 2 2 7 3 5" xfId="18256" xr:uid="{00000000-0005-0000-0000-000041220000}"/>
    <cellStyle name="40% - Accent1 2 2 7 4" xfId="9169" xr:uid="{00000000-0005-0000-0000-000042220000}"/>
    <cellStyle name="40% - Accent1 2 2 7 4 2" xfId="19732" xr:uid="{00000000-0005-0000-0000-000043220000}"/>
    <cellStyle name="40% - Accent1 2 2 7 5" xfId="11388" xr:uid="{00000000-0005-0000-0000-000044220000}"/>
    <cellStyle name="40% - Accent1 2 2 7 5 2" xfId="21951" xr:uid="{00000000-0005-0000-0000-000045220000}"/>
    <cellStyle name="40% - Accent1 2 2 7 6" xfId="13607" xr:uid="{00000000-0005-0000-0000-000046220000}"/>
    <cellStyle name="40% - Accent1 2 2 7 6 2" xfId="24170" xr:uid="{00000000-0005-0000-0000-000047220000}"/>
    <cellStyle name="40% - Accent1 2 2 7 7" xfId="17507" xr:uid="{00000000-0005-0000-0000-000048220000}"/>
    <cellStyle name="40% - Accent1 2 2 8" xfId="880" xr:uid="{00000000-0005-0000-0000-000049220000}"/>
    <cellStyle name="40% - Accent1 2 2 8 2" xfId="8427" xr:uid="{00000000-0005-0000-0000-00004A220000}"/>
    <cellStyle name="40% - Accent1 2 2 8 2 2" xfId="10646" xr:uid="{00000000-0005-0000-0000-00004B220000}"/>
    <cellStyle name="40% - Accent1 2 2 8 2 2 2" xfId="21209" xr:uid="{00000000-0005-0000-0000-00004C220000}"/>
    <cellStyle name="40% - Accent1 2 2 8 2 3" xfId="12865" xr:uid="{00000000-0005-0000-0000-00004D220000}"/>
    <cellStyle name="40% - Accent1 2 2 8 2 3 2" xfId="23428" xr:uid="{00000000-0005-0000-0000-00004E220000}"/>
    <cellStyle name="40% - Accent1 2 2 8 2 4" xfId="15084" xr:uid="{00000000-0005-0000-0000-00004F220000}"/>
    <cellStyle name="40% - Accent1 2 2 8 2 4 2" xfId="25647" xr:uid="{00000000-0005-0000-0000-000050220000}"/>
    <cellStyle name="40% - Accent1 2 2 8 2 5" xfId="18990" xr:uid="{00000000-0005-0000-0000-000051220000}"/>
    <cellStyle name="40% - Accent1 2 2 8 3" xfId="7694" xr:uid="{00000000-0005-0000-0000-000052220000}"/>
    <cellStyle name="40% - Accent1 2 2 8 3 2" xfId="9913" xr:uid="{00000000-0005-0000-0000-000053220000}"/>
    <cellStyle name="40% - Accent1 2 2 8 3 2 2" xfId="20476" xr:uid="{00000000-0005-0000-0000-000054220000}"/>
    <cellStyle name="40% - Accent1 2 2 8 3 3" xfId="12132" xr:uid="{00000000-0005-0000-0000-000055220000}"/>
    <cellStyle name="40% - Accent1 2 2 8 3 3 2" xfId="22695" xr:uid="{00000000-0005-0000-0000-000056220000}"/>
    <cellStyle name="40% - Accent1 2 2 8 3 4" xfId="14351" xr:uid="{00000000-0005-0000-0000-000057220000}"/>
    <cellStyle name="40% - Accent1 2 2 8 3 4 2" xfId="24914" xr:uid="{00000000-0005-0000-0000-000058220000}"/>
    <cellStyle name="40% - Accent1 2 2 8 3 5" xfId="18257" xr:uid="{00000000-0005-0000-0000-000059220000}"/>
    <cellStyle name="40% - Accent1 2 2 8 4" xfId="9170" xr:uid="{00000000-0005-0000-0000-00005A220000}"/>
    <cellStyle name="40% - Accent1 2 2 8 4 2" xfId="19733" xr:uid="{00000000-0005-0000-0000-00005B220000}"/>
    <cellStyle name="40% - Accent1 2 2 8 5" xfId="11389" xr:uid="{00000000-0005-0000-0000-00005C220000}"/>
    <cellStyle name="40% - Accent1 2 2 8 5 2" xfId="21952" xr:uid="{00000000-0005-0000-0000-00005D220000}"/>
    <cellStyle name="40% - Accent1 2 2 8 6" xfId="13608" xr:uid="{00000000-0005-0000-0000-00005E220000}"/>
    <cellStyle name="40% - Accent1 2 2 8 6 2" xfId="24171" xr:uid="{00000000-0005-0000-0000-00005F220000}"/>
    <cellStyle name="40% - Accent1 2 2 8 7" xfId="17508" xr:uid="{00000000-0005-0000-0000-000060220000}"/>
    <cellStyle name="40% - Accent1 2 2 9" xfId="881" xr:uid="{00000000-0005-0000-0000-000061220000}"/>
    <cellStyle name="40% - Accent1 2 2 9 2" xfId="8428" xr:uid="{00000000-0005-0000-0000-000062220000}"/>
    <cellStyle name="40% - Accent1 2 2 9 2 2" xfId="10647" xr:uid="{00000000-0005-0000-0000-000063220000}"/>
    <cellStyle name="40% - Accent1 2 2 9 2 2 2" xfId="21210" xr:uid="{00000000-0005-0000-0000-000064220000}"/>
    <cellStyle name="40% - Accent1 2 2 9 2 3" xfId="12866" xr:uid="{00000000-0005-0000-0000-000065220000}"/>
    <cellStyle name="40% - Accent1 2 2 9 2 3 2" xfId="23429" xr:uid="{00000000-0005-0000-0000-000066220000}"/>
    <cellStyle name="40% - Accent1 2 2 9 2 4" xfId="15085" xr:uid="{00000000-0005-0000-0000-000067220000}"/>
    <cellStyle name="40% - Accent1 2 2 9 2 4 2" xfId="25648" xr:uid="{00000000-0005-0000-0000-000068220000}"/>
    <cellStyle name="40% - Accent1 2 2 9 2 5" xfId="18991" xr:uid="{00000000-0005-0000-0000-000069220000}"/>
    <cellStyle name="40% - Accent1 2 2 9 3" xfId="7695" xr:uid="{00000000-0005-0000-0000-00006A220000}"/>
    <cellStyle name="40% - Accent1 2 2 9 3 2" xfId="9914" xr:uid="{00000000-0005-0000-0000-00006B220000}"/>
    <cellStyle name="40% - Accent1 2 2 9 3 2 2" xfId="20477" xr:uid="{00000000-0005-0000-0000-00006C220000}"/>
    <cellStyle name="40% - Accent1 2 2 9 3 3" xfId="12133" xr:uid="{00000000-0005-0000-0000-00006D220000}"/>
    <cellStyle name="40% - Accent1 2 2 9 3 3 2" xfId="22696" xr:uid="{00000000-0005-0000-0000-00006E220000}"/>
    <cellStyle name="40% - Accent1 2 2 9 3 4" xfId="14352" xr:uid="{00000000-0005-0000-0000-00006F220000}"/>
    <cellStyle name="40% - Accent1 2 2 9 3 4 2" xfId="24915" xr:uid="{00000000-0005-0000-0000-000070220000}"/>
    <cellStyle name="40% - Accent1 2 2 9 3 5" xfId="18258" xr:uid="{00000000-0005-0000-0000-000071220000}"/>
    <cellStyle name="40% - Accent1 2 2 9 4" xfId="9171" xr:uid="{00000000-0005-0000-0000-000072220000}"/>
    <cellStyle name="40% - Accent1 2 2 9 4 2" xfId="19734" xr:uid="{00000000-0005-0000-0000-000073220000}"/>
    <cellStyle name="40% - Accent1 2 2 9 5" xfId="11390" xr:uid="{00000000-0005-0000-0000-000074220000}"/>
    <cellStyle name="40% - Accent1 2 2 9 5 2" xfId="21953" xr:uid="{00000000-0005-0000-0000-000075220000}"/>
    <cellStyle name="40% - Accent1 2 2 9 6" xfId="13609" xr:uid="{00000000-0005-0000-0000-000076220000}"/>
    <cellStyle name="40% - Accent1 2 2 9 6 2" xfId="24172" xr:uid="{00000000-0005-0000-0000-000077220000}"/>
    <cellStyle name="40% - Accent1 2 2 9 7" xfId="17509" xr:uid="{00000000-0005-0000-0000-000078220000}"/>
    <cellStyle name="40% - Accent1 2 3" xfId="882" xr:uid="{00000000-0005-0000-0000-000079220000}"/>
    <cellStyle name="40% - Accent1 2 3 10" xfId="8429" xr:uid="{00000000-0005-0000-0000-00007A220000}"/>
    <cellStyle name="40% - Accent1 2 3 10 2" xfId="10648" xr:uid="{00000000-0005-0000-0000-00007B220000}"/>
    <cellStyle name="40% - Accent1 2 3 10 2 2" xfId="21211" xr:uid="{00000000-0005-0000-0000-00007C220000}"/>
    <cellStyle name="40% - Accent1 2 3 10 3" xfId="12867" xr:uid="{00000000-0005-0000-0000-00007D220000}"/>
    <cellStyle name="40% - Accent1 2 3 10 3 2" xfId="23430" xr:uid="{00000000-0005-0000-0000-00007E220000}"/>
    <cellStyle name="40% - Accent1 2 3 10 4" xfId="15086" xr:uid="{00000000-0005-0000-0000-00007F220000}"/>
    <cellStyle name="40% - Accent1 2 3 10 4 2" xfId="25649" xr:uid="{00000000-0005-0000-0000-000080220000}"/>
    <cellStyle name="40% - Accent1 2 3 10 5" xfId="18992" xr:uid="{00000000-0005-0000-0000-000081220000}"/>
    <cellStyle name="40% - Accent1 2 3 11" xfId="7696" xr:uid="{00000000-0005-0000-0000-000082220000}"/>
    <cellStyle name="40% - Accent1 2 3 11 2" xfId="9915" xr:uid="{00000000-0005-0000-0000-000083220000}"/>
    <cellStyle name="40% - Accent1 2 3 11 2 2" xfId="20478" xr:uid="{00000000-0005-0000-0000-000084220000}"/>
    <cellStyle name="40% - Accent1 2 3 11 3" xfId="12134" xr:uid="{00000000-0005-0000-0000-000085220000}"/>
    <cellStyle name="40% - Accent1 2 3 11 3 2" xfId="22697" xr:uid="{00000000-0005-0000-0000-000086220000}"/>
    <cellStyle name="40% - Accent1 2 3 11 4" xfId="14353" xr:uid="{00000000-0005-0000-0000-000087220000}"/>
    <cellStyle name="40% - Accent1 2 3 11 4 2" xfId="24916" xr:uid="{00000000-0005-0000-0000-000088220000}"/>
    <cellStyle name="40% - Accent1 2 3 11 5" xfId="18259" xr:uid="{00000000-0005-0000-0000-000089220000}"/>
    <cellStyle name="40% - Accent1 2 3 12" xfId="9172" xr:uid="{00000000-0005-0000-0000-00008A220000}"/>
    <cellStyle name="40% - Accent1 2 3 12 2" xfId="19735" xr:uid="{00000000-0005-0000-0000-00008B220000}"/>
    <cellStyle name="40% - Accent1 2 3 13" xfId="11391" xr:uid="{00000000-0005-0000-0000-00008C220000}"/>
    <cellStyle name="40% - Accent1 2 3 13 2" xfId="21954" xr:uid="{00000000-0005-0000-0000-00008D220000}"/>
    <cellStyle name="40% - Accent1 2 3 14" xfId="13610" xr:uid="{00000000-0005-0000-0000-00008E220000}"/>
    <cellStyle name="40% - Accent1 2 3 14 2" xfId="24173" xr:uid="{00000000-0005-0000-0000-00008F220000}"/>
    <cellStyle name="40% - Accent1 2 3 15" xfId="17510" xr:uid="{00000000-0005-0000-0000-000090220000}"/>
    <cellStyle name="40% - Accent1 2 3 2" xfId="883" xr:uid="{00000000-0005-0000-0000-000091220000}"/>
    <cellStyle name="40% - Accent1 2 3 2 2" xfId="8430" xr:uid="{00000000-0005-0000-0000-000092220000}"/>
    <cellStyle name="40% - Accent1 2 3 2 2 2" xfId="10649" xr:uid="{00000000-0005-0000-0000-000093220000}"/>
    <cellStyle name="40% - Accent1 2 3 2 2 2 2" xfId="21212" xr:uid="{00000000-0005-0000-0000-000094220000}"/>
    <cellStyle name="40% - Accent1 2 3 2 2 3" xfId="12868" xr:uid="{00000000-0005-0000-0000-000095220000}"/>
    <cellStyle name="40% - Accent1 2 3 2 2 3 2" xfId="23431" xr:uid="{00000000-0005-0000-0000-000096220000}"/>
    <cellStyle name="40% - Accent1 2 3 2 2 4" xfId="15087" xr:uid="{00000000-0005-0000-0000-000097220000}"/>
    <cellStyle name="40% - Accent1 2 3 2 2 4 2" xfId="25650" xr:uid="{00000000-0005-0000-0000-000098220000}"/>
    <cellStyle name="40% - Accent1 2 3 2 2 5" xfId="18993" xr:uid="{00000000-0005-0000-0000-000099220000}"/>
    <cellStyle name="40% - Accent1 2 3 2 3" xfId="7697" xr:uid="{00000000-0005-0000-0000-00009A220000}"/>
    <cellStyle name="40% - Accent1 2 3 2 3 2" xfId="9916" xr:uid="{00000000-0005-0000-0000-00009B220000}"/>
    <cellStyle name="40% - Accent1 2 3 2 3 2 2" xfId="20479" xr:uid="{00000000-0005-0000-0000-00009C220000}"/>
    <cellStyle name="40% - Accent1 2 3 2 3 3" xfId="12135" xr:uid="{00000000-0005-0000-0000-00009D220000}"/>
    <cellStyle name="40% - Accent1 2 3 2 3 3 2" xfId="22698" xr:uid="{00000000-0005-0000-0000-00009E220000}"/>
    <cellStyle name="40% - Accent1 2 3 2 3 4" xfId="14354" xr:uid="{00000000-0005-0000-0000-00009F220000}"/>
    <cellStyle name="40% - Accent1 2 3 2 3 4 2" xfId="24917" xr:uid="{00000000-0005-0000-0000-0000A0220000}"/>
    <cellStyle name="40% - Accent1 2 3 2 3 5" xfId="18260" xr:uid="{00000000-0005-0000-0000-0000A1220000}"/>
    <cellStyle name="40% - Accent1 2 3 2 4" xfId="9173" xr:uid="{00000000-0005-0000-0000-0000A2220000}"/>
    <cellStyle name="40% - Accent1 2 3 2 4 2" xfId="19736" xr:uid="{00000000-0005-0000-0000-0000A3220000}"/>
    <cellStyle name="40% - Accent1 2 3 2 5" xfId="11392" xr:uid="{00000000-0005-0000-0000-0000A4220000}"/>
    <cellStyle name="40% - Accent1 2 3 2 5 2" xfId="21955" xr:uid="{00000000-0005-0000-0000-0000A5220000}"/>
    <cellStyle name="40% - Accent1 2 3 2 6" xfId="13611" xr:uid="{00000000-0005-0000-0000-0000A6220000}"/>
    <cellStyle name="40% - Accent1 2 3 2 6 2" xfId="24174" xr:uid="{00000000-0005-0000-0000-0000A7220000}"/>
    <cellStyle name="40% - Accent1 2 3 2 7" xfId="17511" xr:uid="{00000000-0005-0000-0000-0000A8220000}"/>
    <cellStyle name="40% - Accent1 2 3 3" xfId="884" xr:uid="{00000000-0005-0000-0000-0000A9220000}"/>
    <cellStyle name="40% - Accent1 2 3 3 2" xfId="8431" xr:uid="{00000000-0005-0000-0000-0000AA220000}"/>
    <cellStyle name="40% - Accent1 2 3 3 2 2" xfId="10650" xr:uid="{00000000-0005-0000-0000-0000AB220000}"/>
    <cellStyle name="40% - Accent1 2 3 3 2 2 2" xfId="21213" xr:uid="{00000000-0005-0000-0000-0000AC220000}"/>
    <cellStyle name="40% - Accent1 2 3 3 2 3" xfId="12869" xr:uid="{00000000-0005-0000-0000-0000AD220000}"/>
    <cellStyle name="40% - Accent1 2 3 3 2 3 2" xfId="23432" xr:uid="{00000000-0005-0000-0000-0000AE220000}"/>
    <cellStyle name="40% - Accent1 2 3 3 2 4" xfId="15088" xr:uid="{00000000-0005-0000-0000-0000AF220000}"/>
    <cellStyle name="40% - Accent1 2 3 3 2 4 2" xfId="25651" xr:uid="{00000000-0005-0000-0000-0000B0220000}"/>
    <cellStyle name="40% - Accent1 2 3 3 2 5" xfId="18994" xr:uid="{00000000-0005-0000-0000-0000B1220000}"/>
    <cellStyle name="40% - Accent1 2 3 3 3" xfId="7698" xr:uid="{00000000-0005-0000-0000-0000B2220000}"/>
    <cellStyle name="40% - Accent1 2 3 3 3 2" xfId="9917" xr:uid="{00000000-0005-0000-0000-0000B3220000}"/>
    <cellStyle name="40% - Accent1 2 3 3 3 2 2" xfId="20480" xr:uid="{00000000-0005-0000-0000-0000B4220000}"/>
    <cellStyle name="40% - Accent1 2 3 3 3 3" xfId="12136" xr:uid="{00000000-0005-0000-0000-0000B5220000}"/>
    <cellStyle name="40% - Accent1 2 3 3 3 3 2" xfId="22699" xr:uid="{00000000-0005-0000-0000-0000B6220000}"/>
    <cellStyle name="40% - Accent1 2 3 3 3 4" xfId="14355" xr:uid="{00000000-0005-0000-0000-0000B7220000}"/>
    <cellStyle name="40% - Accent1 2 3 3 3 4 2" xfId="24918" xr:uid="{00000000-0005-0000-0000-0000B8220000}"/>
    <cellStyle name="40% - Accent1 2 3 3 3 5" xfId="18261" xr:uid="{00000000-0005-0000-0000-0000B9220000}"/>
    <cellStyle name="40% - Accent1 2 3 3 4" xfId="9174" xr:uid="{00000000-0005-0000-0000-0000BA220000}"/>
    <cellStyle name="40% - Accent1 2 3 3 4 2" xfId="19737" xr:uid="{00000000-0005-0000-0000-0000BB220000}"/>
    <cellStyle name="40% - Accent1 2 3 3 5" xfId="11393" xr:uid="{00000000-0005-0000-0000-0000BC220000}"/>
    <cellStyle name="40% - Accent1 2 3 3 5 2" xfId="21956" xr:uid="{00000000-0005-0000-0000-0000BD220000}"/>
    <cellStyle name="40% - Accent1 2 3 3 6" xfId="13612" xr:uid="{00000000-0005-0000-0000-0000BE220000}"/>
    <cellStyle name="40% - Accent1 2 3 3 6 2" xfId="24175" xr:uid="{00000000-0005-0000-0000-0000BF220000}"/>
    <cellStyle name="40% - Accent1 2 3 3 7" xfId="17512" xr:uid="{00000000-0005-0000-0000-0000C0220000}"/>
    <cellStyle name="40% - Accent1 2 3 4" xfId="885" xr:uid="{00000000-0005-0000-0000-0000C1220000}"/>
    <cellStyle name="40% - Accent1 2 3 4 2" xfId="8432" xr:uid="{00000000-0005-0000-0000-0000C2220000}"/>
    <cellStyle name="40% - Accent1 2 3 4 2 2" xfId="10651" xr:uid="{00000000-0005-0000-0000-0000C3220000}"/>
    <cellStyle name="40% - Accent1 2 3 4 2 2 2" xfId="21214" xr:uid="{00000000-0005-0000-0000-0000C4220000}"/>
    <cellStyle name="40% - Accent1 2 3 4 2 3" xfId="12870" xr:uid="{00000000-0005-0000-0000-0000C5220000}"/>
    <cellStyle name="40% - Accent1 2 3 4 2 3 2" xfId="23433" xr:uid="{00000000-0005-0000-0000-0000C6220000}"/>
    <cellStyle name="40% - Accent1 2 3 4 2 4" xfId="15089" xr:uid="{00000000-0005-0000-0000-0000C7220000}"/>
    <cellStyle name="40% - Accent1 2 3 4 2 4 2" xfId="25652" xr:uid="{00000000-0005-0000-0000-0000C8220000}"/>
    <cellStyle name="40% - Accent1 2 3 4 2 5" xfId="18995" xr:uid="{00000000-0005-0000-0000-0000C9220000}"/>
    <cellStyle name="40% - Accent1 2 3 4 3" xfId="7699" xr:uid="{00000000-0005-0000-0000-0000CA220000}"/>
    <cellStyle name="40% - Accent1 2 3 4 3 2" xfId="9918" xr:uid="{00000000-0005-0000-0000-0000CB220000}"/>
    <cellStyle name="40% - Accent1 2 3 4 3 2 2" xfId="20481" xr:uid="{00000000-0005-0000-0000-0000CC220000}"/>
    <cellStyle name="40% - Accent1 2 3 4 3 3" xfId="12137" xr:uid="{00000000-0005-0000-0000-0000CD220000}"/>
    <cellStyle name="40% - Accent1 2 3 4 3 3 2" xfId="22700" xr:uid="{00000000-0005-0000-0000-0000CE220000}"/>
    <cellStyle name="40% - Accent1 2 3 4 3 4" xfId="14356" xr:uid="{00000000-0005-0000-0000-0000CF220000}"/>
    <cellStyle name="40% - Accent1 2 3 4 3 4 2" xfId="24919" xr:uid="{00000000-0005-0000-0000-0000D0220000}"/>
    <cellStyle name="40% - Accent1 2 3 4 3 5" xfId="18262" xr:uid="{00000000-0005-0000-0000-0000D1220000}"/>
    <cellStyle name="40% - Accent1 2 3 4 4" xfId="9175" xr:uid="{00000000-0005-0000-0000-0000D2220000}"/>
    <cellStyle name="40% - Accent1 2 3 4 4 2" xfId="19738" xr:uid="{00000000-0005-0000-0000-0000D3220000}"/>
    <cellStyle name="40% - Accent1 2 3 4 5" xfId="11394" xr:uid="{00000000-0005-0000-0000-0000D4220000}"/>
    <cellStyle name="40% - Accent1 2 3 4 5 2" xfId="21957" xr:uid="{00000000-0005-0000-0000-0000D5220000}"/>
    <cellStyle name="40% - Accent1 2 3 4 6" xfId="13613" xr:uid="{00000000-0005-0000-0000-0000D6220000}"/>
    <cellStyle name="40% - Accent1 2 3 4 6 2" xfId="24176" xr:uid="{00000000-0005-0000-0000-0000D7220000}"/>
    <cellStyle name="40% - Accent1 2 3 4 7" xfId="17513" xr:uid="{00000000-0005-0000-0000-0000D8220000}"/>
    <cellStyle name="40% - Accent1 2 3 5" xfId="886" xr:uid="{00000000-0005-0000-0000-0000D9220000}"/>
    <cellStyle name="40% - Accent1 2 3 5 2" xfId="8433" xr:uid="{00000000-0005-0000-0000-0000DA220000}"/>
    <cellStyle name="40% - Accent1 2 3 5 2 2" xfId="10652" xr:uid="{00000000-0005-0000-0000-0000DB220000}"/>
    <cellStyle name="40% - Accent1 2 3 5 2 2 2" xfId="21215" xr:uid="{00000000-0005-0000-0000-0000DC220000}"/>
    <cellStyle name="40% - Accent1 2 3 5 2 3" xfId="12871" xr:uid="{00000000-0005-0000-0000-0000DD220000}"/>
    <cellStyle name="40% - Accent1 2 3 5 2 3 2" xfId="23434" xr:uid="{00000000-0005-0000-0000-0000DE220000}"/>
    <cellStyle name="40% - Accent1 2 3 5 2 4" xfId="15090" xr:uid="{00000000-0005-0000-0000-0000DF220000}"/>
    <cellStyle name="40% - Accent1 2 3 5 2 4 2" xfId="25653" xr:uid="{00000000-0005-0000-0000-0000E0220000}"/>
    <cellStyle name="40% - Accent1 2 3 5 2 5" xfId="18996" xr:uid="{00000000-0005-0000-0000-0000E1220000}"/>
    <cellStyle name="40% - Accent1 2 3 5 3" xfId="7700" xr:uid="{00000000-0005-0000-0000-0000E2220000}"/>
    <cellStyle name="40% - Accent1 2 3 5 3 2" xfId="9919" xr:uid="{00000000-0005-0000-0000-0000E3220000}"/>
    <cellStyle name="40% - Accent1 2 3 5 3 2 2" xfId="20482" xr:uid="{00000000-0005-0000-0000-0000E4220000}"/>
    <cellStyle name="40% - Accent1 2 3 5 3 3" xfId="12138" xr:uid="{00000000-0005-0000-0000-0000E5220000}"/>
    <cellStyle name="40% - Accent1 2 3 5 3 3 2" xfId="22701" xr:uid="{00000000-0005-0000-0000-0000E6220000}"/>
    <cellStyle name="40% - Accent1 2 3 5 3 4" xfId="14357" xr:uid="{00000000-0005-0000-0000-0000E7220000}"/>
    <cellStyle name="40% - Accent1 2 3 5 3 4 2" xfId="24920" xr:uid="{00000000-0005-0000-0000-0000E8220000}"/>
    <cellStyle name="40% - Accent1 2 3 5 3 5" xfId="18263" xr:uid="{00000000-0005-0000-0000-0000E9220000}"/>
    <cellStyle name="40% - Accent1 2 3 5 4" xfId="9176" xr:uid="{00000000-0005-0000-0000-0000EA220000}"/>
    <cellStyle name="40% - Accent1 2 3 5 4 2" xfId="19739" xr:uid="{00000000-0005-0000-0000-0000EB220000}"/>
    <cellStyle name="40% - Accent1 2 3 5 5" xfId="11395" xr:uid="{00000000-0005-0000-0000-0000EC220000}"/>
    <cellStyle name="40% - Accent1 2 3 5 5 2" xfId="21958" xr:uid="{00000000-0005-0000-0000-0000ED220000}"/>
    <cellStyle name="40% - Accent1 2 3 5 6" xfId="13614" xr:uid="{00000000-0005-0000-0000-0000EE220000}"/>
    <cellStyle name="40% - Accent1 2 3 5 6 2" xfId="24177" xr:uid="{00000000-0005-0000-0000-0000EF220000}"/>
    <cellStyle name="40% - Accent1 2 3 5 7" xfId="17514" xr:uid="{00000000-0005-0000-0000-0000F0220000}"/>
    <cellStyle name="40% - Accent1 2 3 6" xfId="887" xr:uid="{00000000-0005-0000-0000-0000F1220000}"/>
    <cellStyle name="40% - Accent1 2 3 6 2" xfId="8434" xr:uid="{00000000-0005-0000-0000-0000F2220000}"/>
    <cellStyle name="40% - Accent1 2 3 6 2 2" xfId="10653" xr:uid="{00000000-0005-0000-0000-0000F3220000}"/>
    <cellStyle name="40% - Accent1 2 3 6 2 2 2" xfId="21216" xr:uid="{00000000-0005-0000-0000-0000F4220000}"/>
    <cellStyle name="40% - Accent1 2 3 6 2 3" xfId="12872" xr:uid="{00000000-0005-0000-0000-0000F5220000}"/>
    <cellStyle name="40% - Accent1 2 3 6 2 3 2" xfId="23435" xr:uid="{00000000-0005-0000-0000-0000F6220000}"/>
    <cellStyle name="40% - Accent1 2 3 6 2 4" xfId="15091" xr:uid="{00000000-0005-0000-0000-0000F7220000}"/>
    <cellStyle name="40% - Accent1 2 3 6 2 4 2" xfId="25654" xr:uid="{00000000-0005-0000-0000-0000F8220000}"/>
    <cellStyle name="40% - Accent1 2 3 6 2 5" xfId="18997" xr:uid="{00000000-0005-0000-0000-0000F9220000}"/>
    <cellStyle name="40% - Accent1 2 3 6 3" xfId="7701" xr:uid="{00000000-0005-0000-0000-0000FA220000}"/>
    <cellStyle name="40% - Accent1 2 3 6 3 2" xfId="9920" xr:uid="{00000000-0005-0000-0000-0000FB220000}"/>
    <cellStyle name="40% - Accent1 2 3 6 3 2 2" xfId="20483" xr:uid="{00000000-0005-0000-0000-0000FC220000}"/>
    <cellStyle name="40% - Accent1 2 3 6 3 3" xfId="12139" xr:uid="{00000000-0005-0000-0000-0000FD220000}"/>
    <cellStyle name="40% - Accent1 2 3 6 3 3 2" xfId="22702" xr:uid="{00000000-0005-0000-0000-0000FE220000}"/>
    <cellStyle name="40% - Accent1 2 3 6 3 4" xfId="14358" xr:uid="{00000000-0005-0000-0000-0000FF220000}"/>
    <cellStyle name="40% - Accent1 2 3 6 3 4 2" xfId="24921" xr:uid="{00000000-0005-0000-0000-000000230000}"/>
    <cellStyle name="40% - Accent1 2 3 6 3 5" xfId="18264" xr:uid="{00000000-0005-0000-0000-000001230000}"/>
    <cellStyle name="40% - Accent1 2 3 6 4" xfId="9177" xr:uid="{00000000-0005-0000-0000-000002230000}"/>
    <cellStyle name="40% - Accent1 2 3 6 4 2" xfId="19740" xr:uid="{00000000-0005-0000-0000-000003230000}"/>
    <cellStyle name="40% - Accent1 2 3 6 5" xfId="11396" xr:uid="{00000000-0005-0000-0000-000004230000}"/>
    <cellStyle name="40% - Accent1 2 3 6 5 2" xfId="21959" xr:uid="{00000000-0005-0000-0000-000005230000}"/>
    <cellStyle name="40% - Accent1 2 3 6 6" xfId="13615" xr:uid="{00000000-0005-0000-0000-000006230000}"/>
    <cellStyle name="40% - Accent1 2 3 6 6 2" xfId="24178" xr:uid="{00000000-0005-0000-0000-000007230000}"/>
    <cellStyle name="40% - Accent1 2 3 6 7" xfId="17515" xr:uid="{00000000-0005-0000-0000-000008230000}"/>
    <cellStyle name="40% - Accent1 2 3 7" xfId="888" xr:uid="{00000000-0005-0000-0000-000009230000}"/>
    <cellStyle name="40% - Accent1 2 3 7 2" xfId="8435" xr:uid="{00000000-0005-0000-0000-00000A230000}"/>
    <cellStyle name="40% - Accent1 2 3 7 2 2" xfId="10654" xr:uid="{00000000-0005-0000-0000-00000B230000}"/>
    <cellStyle name="40% - Accent1 2 3 7 2 2 2" xfId="21217" xr:uid="{00000000-0005-0000-0000-00000C230000}"/>
    <cellStyle name="40% - Accent1 2 3 7 2 3" xfId="12873" xr:uid="{00000000-0005-0000-0000-00000D230000}"/>
    <cellStyle name="40% - Accent1 2 3 7 2 3 2" xfId="23436" xr:uid="{00000000-0005-0000-0000-00000E230000}"/>
    <cellStyle name="40% - Accent1 2 3 7 2 4" xfId="15092" xr:uid="{00000000-0005-0000-0000-00000F230000}"/>
    <cellStyle name="40% - Accent1 2 3 7 2 4 2" xfId="25655" xr:uid="{00000000-0005-0000-0000-000010230000}"/>
    <cellStyle name="40% - Accent1 2 3 7 2 5" xfId="18998" xr:uid="{00000000-0005-0000-0000-000011230000}"/>
    <cellStyle name="40% - Accent1 2 3 7 3" xfId="7702" xr:uid="{00000000-0005-0000-0000-000012230000}"/>
    <cellStyle name="40% - Accent1 2 3 7 3 2" xfId="9921" xr:uid="{00000000-0005-0000-0000-000013230000}"/>
    <cellStyle name="40% - Accent1 2 3 7 3 2 2" xfId="20484" xr:uid="{00000000-0005-0000-0000-000014230000}"/>
    <cellStyle name="40% - Accent1 2 3 7 3 3" xfId="12140" xr:uid="{00000000-0005-0000-0000-000015230000}"/>
    <cellStyle name="40% - Accent1 2 3 7 3 3 2" xfId="22703" xr:uid="{00000000-0005-0000-0000-000016230000}"/>
    <cellStyle name="40% - Accent1 2 3 7 3 4" xfId="14359" xr:uid="{00000000-0005-0000-0000-000017230000}"/>
    <cellStyle name="40% - Accent1 2 3 7 3 4 2" xfId="24922" xr:uid="{00000000-0005-0000-0000-000018230000}"/>
    <cellStyle name="40% - Accent1 2 3 7 3 5" xfId="18265" xr:uid="{00000000-0005-0000-0000-000019230000}"/>
    <cellStyle name="40% - Accent1 2 3 7 4" xfId="9178" xr:uid="{00000000-0005-0000-0000-00001A230000}"/>
    <cellStyle name="40% - Accent1 2 3 7 4 2" xfId="19741" xr:uid="{00000000-0005-0000-0000-00001B230000}"/>
    <cellStyle name="40% - Accent1 2 3 7 5" xfId="11397" xr:uid="{00000000-0005-0000-0000-00001C230000}"/>
    <cellStyle name="40% - Accent1 2 3 7 5 2" xfId="21960" xr:uid="{00000000-0005-0000-0000-00001D230000}"/>
    <cellStyle name="40% - Accent1 2 3 7 6" xfId="13616" xr:uid="{00000000-0005-0000-0000-00001E230000}"/>
    <cellStyle name="40% - Accent1 2 3 7 6 2" xfId="24179" xr:uid="{00000000-0005-0000-0000-00001F230000}"/>
    <cellStyle name="40% - Accent1 2 3 7 7" xfId="17516" xr:uid="{00000000-0005-0000-0000-000020230000}"/>
    <cellStyle name="40% - Accent1 2 3 8" xfId="889" xr:uid="{00000000-0005-0000-0000-000021230000}"/>
    <cellStyle name="40% - Accent1 2 3 8 2" xfId="8436" xr:uid="{00000000-0005-0000-0000-000022230000}"/>
    <cellStyle name="40% - Accent1 2 3 8 2 2" xfId="10655" xr:uid="{00000000-0005-0000-0000-000023230000}"/>
    <cellStyle name="40% - Accent1 2 3 8 2 2 2" xfId="21218" xr:uid="{00000000-0005-0000-0000-000024230000}"/>
    <cellStyle name="40% - Accent1 2 3 8 2 3" xfId="12874" xr:uid="{00000000-0005-0000-0000-000025230000}"/>
    <cellStyle name="40% - Accent1 2 3 8 2 3 2" xfId="23437" xr:uid="{00000000-0005-0000-0000-000026230000}"/>
    <cellStyle name="40% - Accent1 2 3 8 2 4" xfId="15093" xr:uid="{00000000-0005-0000-0000-000027230000}"/>
    <cellStyle name="40% - Accent1 2 3 8 2 4 2" xfId="25656" xr:uid="{00000000-0005-0000-0000-000028230000}"/>
    <cellStyle name="40% - Accent1 2 3 8 2 5" xfId="18999" xr:uid="{00000000-0005-0000-0000-000029230000}"/>
    <cellStyle name="40% - Accent1 2 3 8 3" xfId="7703" xr:uid="{00000000-0005-0000-0000-00002A230000}"/>
    <cellStyle name="40% - Accent1 2 3 8 3 2" xfId="9922" xr:uid="{00000000-0005-0000-0000-00002B230000}"/>
    <cellStyle name="40% - Accent1 2 3 8 3 2 2" xfId="20485" xr:uid="{00000000-0005-0000-0000-00002C230000}"/>
    <cellStyle name="40% - Accent1 2 3 8 3 3" xfId="12141" xr:uid="{00000000-0005-0000-0000-00002D230000}"/>
    <cellStyle name="40% - Accent1 2 3 8 3 3 2" xfId="22704" xr:uid="{00000000-0005-0000-0000-00002E230000}"/>
    <cellStyle name="40% - Accent1 2 3 8 3 4" xfId="14360" xr:uid="{00000000-0005-0000-0000-00002F230000}"/>
    <cellStyle name="40% - Accent1 2 3 8 3 4 2" xfId="24923" xr:uid="{00000000-0005-0000-0000-000030230000}"/>
    <cellStyle name="40% - Accent1 2 3 8 3 5" xfId="18266" xr:uid="{00000000-0005-0000-0000-000031230000}"/>
    <cellStyle name="40% - Accent1 2 3 8 4" xfId="9179" xr:uid="{00000000-0005-0000-0000-000032230000}"/>
    <cellStyle name="40% - Accent1 2 3 8 4 2" xfId="19742" xr:uid="{00000000-0005-0000-0000-000033230000}"/>
    <cellStyle name="40% - Accent1 2 3 8 5" xfId="11398" xr:uid="{00000000-0005-0000-0000-000034230000}"/>
    <cellStyle name="40% - Accent1 2 3 8 5 2" xfId="21961" xr:uid="{00000000-0005-0000-0000-000035230000}"/>
    <cellStyle name="40% - Accent1 2 3 8 6" xfId="13617" xr:uid="{00000000-0005-0000-0000-000036230000}"/>
    <cellStyle name="40% - Accent1 2 3 8 6 2" xfId="24180" xr:uid="{00000000-0005-0000-0000-000037230000}"/>
    <cellStyle name="40% - Accent1 2 3 8 7" xfId="17517" xr:uid="{00000000-0005-0000-0000-000038230000}"/>
    <cellStyle name="40% - Accent1 2 3 9" xfId="890" xr:uid="{00000000-0005-0000-0000-000039230000}"/>
    <cellStyle name="40% - Accent1 2 3 9 2" xfId="8437" xr:uid="{00000000-0005-0000-0000-00003A230000}"/>
    <cellStyle name="40% - Accent1 2 3 9 2 2" xfId="10656" xr:uid="{00000000-0005-0000-0000-00003B230000}"/>
    <cellStyle name="40% - Accent1 2 3 9 2 2 2" xfId="21219" xr:uid="{00000000-0005-0000-0000-00003C230000}"/>
    <cellStyle name="40% - Accent1 2 3 9 2 3" xfId="12875" xr:uid="{00000000-0005-0000-0000-00003D230000}"/>
    <cellStyle name="40% - Accent1 2 3 9 2 3 2" xfId="23438" xr:uid="{00000000-0005-0000-0000-00003E230000}"/>
    <cellStyle name="40% - Accent1 2 3 9 2 4" xfId="15094" xr:uid="{00000000-0005-0000-0000-00003F230000}"/>
    <cellStyle name="40% - Accent1 2 3 9 2 4 2" xfId="25657" xr:uid="{00000000-0005-0000-0000-000040230000}"/>
    <cellStyle name="40% - Accent1 2 3 9 2 5" xfId="19000" xr:uid="{00000000-0005-0000-0000-000041230000}"/>
    <cellStyle name="40% - Accent1 2 3 9 3" xfId="7704" xr:uid="{00000000-0005-0000-0000-000042230000}"/>
    <cellStyle name="40% - Accent1 2 3 9 3 2" xfId="9923" xr:uid="{00000000-0005-0000-0000-000043230000}"/>
    <cellStyle name="40% - Accent1 2 3 9 3 2 2" xfId="20486" xr:uid="{00000000-0005-0000-0000-000044230000}"/>
    <cellStyle name="40% - Accent1 2 3 9 3 3" xfId="12142" xr:uid="{00000000-0005-0000-0000-000045230000}"/>
    <cellStyle name="40% - Accent1 2 3 9 3 3 2" xfId="22705" xr:uid="{00000000-0005-0000-0000-000046230000}"/>
    <cellStyle name="40% - Accent1 2 3 9 3 4" xfId="14361" xr:uid="{00000000-0005-0000-0000-000047230000}"/>
    <cellStyle name="40% - Accent1 2 3 9 3 4 2" xfId="24924" xr:uid="{00000000-0005-0000-0000-000048230000}"/>
    <cellStyle name="40% - Accent1 2 3 9 3 5" xfId="18267" xr:uid="{00000000-0005-0000-0000-000049230000}"/>
    <cellStyle name="40% - Accent1 2 3 9 4" xfId="9180" xr:uid="{00000000-0005-0000-0000-00004A230000}"/>
    <cellStyle name="40% - Accent1 2 3 9 4 2" xfId="19743" xr:uid="{00000000-0005-0000-0000-00004B230000}"/>
    <cellStyle name="40% - Accent1 2 3 9 5" xfId="11399" xr:uid="{00000000-0005-0000-0000-00004C230000}"/>
    <cellStyle name="40% - Accent1 2 3 9 5 2" xfId="21962" xr:uid="{00000000-0005-0000-0000-00004D230000}"/>
    <cellStyle name="40% - Accent1 2 3 9 6" xfId="13618" xr:uid="{00000000-0005-0000-0000-00004E230000}"/>
    <cellStyle name="40% - Accent1 2 3 9 6 2" xfId="24181" xr:uid="{00000000-0005-0000-0000-00004F230000}"/>
    <cellStyle name="40% - Accent1 2 3 9 7" xfId="17518" xr:uid="{00000000-0005-0000-0000-000050230000}"/>
    <cellStyle name="40% - Accent1 2 4" xfId="891" xr:uid="{00000000-0005-0000-0000-000051230000}"/>
    <cellStyle name="40% - Accent1 2 4 10" xfId="8438" xr:uid="{00000000-0005-0000-0000-000052230000}"/>
    <cellStyle name="40% - Accent1 2 4 10 2" xfId="10657" xr:uid="{00000000-0005-0000-0000-000053230000}"/>
    <cellStyle name="40% - Accent1 2 4 10 2 2" xfId="21220" xr:uid="{00000000-0005-0000-0000-000054230000}"/>
    <cellStyle name="40% - Accent1 2 4 10 3" xfId="12876" xr:uid="{00000000-0005-0000-0000-000055230000}"/>
    <cellStyle name="40% - Accent1 2 4 10 3 2" xfId="23439" xr:uid="{00000000-0005-0000-0000-000056230000}"/>
    <cellStyle name="40% - Accent1 2 4 10 4" xfId="15095" xr:uid="{00000000-0005-0000-0000-000057230000}"/>
    <cellStyle name="40% - Accent1 2 4 10 4 2" xfId="25658" xr:uid="{00000000-0005-0000-0000-000058230000}"/>
    <cellStyle name="40% - Accent1 2 4 10 5" xfId="19001" xr:uid="{00000000-0005-0000-0000-000059230000}"/>
    <cellStyle name="40% - Accent1 2 4 11" xfId="7705" xr:uid="{00000000-0005-0000-0000-00005A230000}"/>
    <cellStyle name="40% - Accent1 2 4 11 2" xfId="9924" xr:uid="{00000000-0005-0000-0000-00005B230000}"/>
    <cellStyle name="40% - Accent1 2 4 11 2 2" xfId="20487" xr:uid="{00000000-0005-0000-0000-00005C230000}"/>
    <cellStyle name="40% - Accent1 2 4 11 3" xfId="12143" xr:uid="{00000000-0005-0000-0000-00005D230000}"/>
    <cellStyle name="40% - Accent1 2 4 11 3 2" xfId="22706" xr:uid="{00000000-0005-0000-0000-00005E230000}"/>
    <cellStyle name="40% - Accent1 2 4 11 4" xfId="14362" xr:uid="{00000000-0005-0000-0000-00005F230000}"/>
    <cellStyle name="40% - Accent1 2 4 11 4 2" xfId="24925" xr:uid="{00000000-0005-0000-0000-000060230000}"/>
    <cellStyle name="40% - Accent1 2 4 11 5" xfId="18268" xr:uid="{00000000-0005-0000-0000-000061230000}"/>
    <cellStyle name="40% - Accent1 2 4 12" xfId="9181" xr:uid="{00000000-0005-0000-0000-000062230000}"/>
    <cellStyle name="40% - Accent1 2 4 12 2" xfId="19744" xr:uid="{00000000-0005-0000-0000-000063230000}"/>
    <cellStyle name="40% - Accent1 2 4 13" xfId="11400" xr:uid="{00000000-0005-0000-0000-000064230000}"/>
    <cellStyle name="40% - Accent1 2 4 13 2" xfId="21963" xr:uid="{00000000-0005-0000-0000-000065230000}"/>
    <cellStyle name="40% - Accent1 2 4 14" xfId="13619" xr:uid="{00000000-0005-0000-0000-000066230000}"/>
    <cellStyle name="40% - Accent1 2 4 14 2" xfId="24182" xr:uid="{00000000-0005-0000-0000-000067230000}"/>
    <cellStyle name="40% - Accent1 2 4 15" xfId="17519" xr:uid="{00000000-0005-0000-0000-000068230000}"/>
    <cellStyle name="40% - Accent1 2 4 2" xfId="892" xr:uid="{00000000-0005-0000-0000-000069230000}"/>
    <cellStyle name="40% - Accent1 2 4 2 2" xfId="8439" xr:uid="{00000000-0005-0000-0000-00006A230000}"/>
    <cellStyle name="40% - Accent1 2 4 2 2 2" xfId="10658" xr:uid="{00000000-0005-0000-0000-00006B230000}"/>
    <cellStyle name="40% - Accent1 2 4 2 2 2 2" xfId="21221" xr:uid="{00000000-0005-0000-0000-00006C230000}"/>
    <cellStyle name="40% - Accent1 2 4 2 2 3" xfId="12877" xr:uid="{00000000-0005-0000-0000-00006D230000}"/>
    <cellStyle name="40% - Accent1 2 4 2 2 3 2" xfId="23440" xr:uid="{00000000-0005-0000-0000-00006E230000}"/>
    <cellStyle name="40% - Accent1 2 4 2 2 4" xfId="15096" xr:uid="{00000000-0005-0000-0000-00006F230000}"/>
    <cellStyle name="40% - Accent1 2 4 2 2 4 2" xfId="25659" xr:uid="{00000000-0005-0000-0000-000070230000}"/>
    <cellStyle name="40% - Accent1 2 4 2 2 5" xfId="19002" xr:uid="{00000000-0005-0000-0000-000071230000}"/>
    <cellStyle name="40% - Accent1 2 4 2 3" xfId="7706" xr:uid="{00000000-0005-0000-0000-000072230000}"/>
    <cellStyle name="40% - Accent1 2 4 2 3 2" xfId="9925" xr:uid="{00000000-0005-0000-0000-000073230000}"/>
    <cellStyle name="40% - Accent1 2 4 2 3 2 2" xfId="20488" xr:uid="{00000000-0005-0000-0000-000074230000}"/>
    <cellStyle name="40% - Accent1 2 4 2 3 3" xfId="12144" xr:uid="{00000000-0005-0000-0000-000075230000}"/>
    <cellStyle name="40% - Accent1 2 4 2 3 3 2" xfId="22707" xr:uid="{00000000-0005-0000-0000-000076230000}"/>
    <cellStyle name="40% - Accent1 2 4 2 3 4" xfId="14363" xr:uid="{00000000-0005-0000-0000-000077230000}"/>
    <cellStyle name="40% - Accent1 2 4 2 3 4 2" xfId="24926" xr:uid="{00000000-0005-0000-0000-000078230000}"/>
    <cellStyle name="40% - Accent1 2 4 2 3 5" xfId="18269" xr:uid="{00000000-0005-0000-0000-000079230000}"/>
    <cellStyle name="40% - Accent1 2 4 2 4" xfId="9182" xr:uid="{00000000-0005-0000-0000-00007A230000}"/>
    <cellStyle name="40% - Accent1 2 4 2 4 2" xfId="19745" xr:uid="{00000000-0005-0000-0000-00007B230000}"/>
    <cellStyle name="40% - Accent1 2 4 2 5" xfId="11401" xr:uid="{00000000-0005-0000-0000-00007C230000}"/>
    <cellStyle name="40% - Accent1 2 4 2 5 2" xfId="21964" xr:uid="{00000000-0005-0000-0000-00007D230000}"/>
    <cellStyle name="40% - Accent1 2 4 2 6" xfId="13620" xr:uid="{00000000-0005-0000-0000-00007E230000}"/>
    <cellStyle name="40% - Accent1 2 4 2 6 2" xfId="24183" xr:uid="{00000000-0005-0000-0000-00007F230000}"/>
    <cellStyle name="40% - Accent1 2 4 2 7" xfId="17520" xr:uid="{00000000-0005-0000-0000-000080230000}"/>
    <cellStyle name="40% - Accent1 2 4 3" xfId="893" xr:uid="{00000000-0005-0000-0000-000081230000}"/>
    <cellStyle name="40% - Accent1 2 4 3 2" xfId="8440" xr:uid="{00000000-0005-0000-0000-000082230000}"/>
    <cellStyle name="40% - Accent1 2 4 3 2 2" xfId="10659" xr:uid="{00000000-0005-0000-0000-000083230000}"/>
    <cellStyle name="40% - Accent1 2 4 3 2 2 2" xfId="21222" xr:uid="{00000000-0005-0000-0000-000084230000}"/>
    <cellStyle name="40% - Accent1 2 4 3 2 3" xfId="12878" xr:uid="{00000000-0005-0000-0000-000085230000}"/>
    <cellStyle name="40% - Accent1 2 4 3 2 3 2" xfId="23441" xr:uid="{00000000-0005-0000-0000-000086230000}"/>
    <cellStyle name="40% - Accent1 2 4 3 2 4" xfId="15097" xr:uid="{00000000-0005-0000-0000-000087230000}"/>
    <cellStyle name="40% - Accent1 2 4 3 2 4 2" xfId="25660" xr:uid="{00000000-0005-0000-0000-000088230000}"/>
    <cellStyle name="40% - Accent1 2 4 3 2 5" xfId="19003" xr:uid="{00000000-0005-0000-0000-000089230000}"/>
    <cellStyle name="40% - Accent1 2 4 3 3" xfId="7707" xr:uid="{00000000-0005-0000-0000-00008A230000}"/>
    <cellStyle name="40% - Accent1 2 4 3 3 2" xfId="9926" xr:uid="{00000000-0005-0000-0000-00008B230000}"/>
    <cellStyle name="40% - Accent1 2 4 3 3 2 2" xfId="20489" xr:uid="{00000000-0005-0000-0000-00008C230000}"/>
    <cellStyle name="40% - Accent1 2 4 3 3 3" xfId="12145" xr:uid="{00000000-0005-0000-0000-00008D230000}"/>
    <cellStyle name="40% - Accent1 2 4 3 3 3 2" xfId="22708" xr:uid="{00000000-0005-0000-0000-00008E230000}"/>
    <cellStyle name="40% - Accent1 2 4 3 3 4" xfId="14364" xr:uid="{00000000-0005-0000-0000-00008F230000}"/>
    <cellStyle name="40% - Accent1 2 4 3 3 4 2" xfId="24927" xr:uid="{00000000-0005-0000-0000-000090230000}"/>
    <cellStyle name="40% - Accent1 2 4 3 3 5" xfId="18270" xr:uid="{00000000-0005-0000-0000-000091230000}"/>
    <cellStyle name="40% - Accent1 2 4 3 4" xfId="9183" xr:uid="{00000000-0005-0000-0000-000092230000}"/>
    <cellStyle name="40% - Accent1 2 4 3 4 2" xfId="19746" xr:uid="{00000000-0005-0000-0000-000093230000}"/>
    <cellStyle name="40% - Accent1 2 4 3 5" xfId="11402" xr:uid="{00000000-0005-0000-0000-000094230000}"/>
    <cellStyle name="40% - Accent1 2 4 3 5 2" xfId="21965" xr:uid="{00000000-0005-0000-0000-000095230000}"/>
    <cellStyle name="40% - Accent1 2 4 3 6" xfId="13621" xr:uid="{00000000-0005-0000-0000-000096230000}"/>
    <cellStyle name="40% - Accent1 2 4 3 6 2" xfId="24184" xr:uid="{00000000-0005-0000-0000-000097230000}"/>
    <cellStyle name="40% - Accent1 2 4 3 7" xfId="17521" xr:uid="{00000000-0005-0000-0000-000098230000}"/>
    <cellStyle name="40% - Accent1 2 4 4" xfId="894" xr:uid="{00000000-0005-0000-0000-000099230000}"/>
    <cellStyle name="40% - Accent1 2 4 4 2" xfId="8441" xr:uid="{00000000-0005-0000-0000-00009A230000}"/>
    <cellStyle name="40% - Accent1 2 4 4 2 2" xfId="10660" xr:uid="{00000000-0005-0000-0000-00009B230000}"/>
    <cellStyle name="40% - Accent1 2 4 4 2 2 2" xfId="21223" xr:uid="{00000000-0005-0000-0000-00009C230000}"/>
    <cellStyle name="40% - Accent1 2 4 4 2 3" xfId="12879" xr:uid="{00000000-0005-0000-0000-00009D230000}"/>
    <cellStyle name="40% - Accent1 2 4 4 2 3 2" xfId="23442" xr:uid="{00000000-0005-0000-0000-00009E230000}"/>
    <cellStyle name="40% - Accent1 2 4 4 2 4" xfId="15098" xr:uid="{00000000-0005-0000-0000-00009F230000}"/>
    <cellStyle name="40% - Accent1 2 4 4 2 4 2" xfId="25661" xr:uid="{00000000-0005-0000-0000-0000A0230000}"/>
    <cellStyle name="40% - Accent1 2 4 4 2 5" xfId="19004" xr:uid="{00000000-0005-0000-0000-0000A1230000}"/>
    <cellStyle name="40% - Accent1 2 4 4 3" xfId="7708" xr:uid="{00000000-0005-0000-0000-0000A2230000}"/>
    <cellStyle name="40% - Accent1 2 4 4 3 2" xfId="9927" xr:uid="{00000000-0005-0000-0000-0000A3230000}"/>
    <cellStyle name="40% - Accent1 2 4 4 3 2 2" xfId="20490" xr:uid="{00000000-0005-0000-0000-0000A4230000}"/>
    <cellStyle name="40% - Accent1 2 4 4 3 3" xfId="12146" xr:uid="{00000000-0005-0000-0000-0000A5230000}"/>
    <cellStyle name="40% - Accent1 2 4 4 3 3 2" xfId="22709" xr:uid="{00000000-0005-0000-0000-0000A6230000}"/>
    <cellStyle name="40% - Accent1 2 4 4 3 4" xfId="14365" xr:uid="{00000000-0005-0000-0000-0000A7230000}"/>
    <cellStyle name="40% - Accent1 2 4 4 3 4 2" xfId="24928" xr:uid="{00000000-0005-0000-0000-0000A8230000}"/>
    <cellStyle name="40% - Accent1 2 4 4 3 5" xfId="18271" xr:uid="{00000000-0005-0000-0000-0000A9230000}"/>
    <cellStyle name="40% - Accent1 2 4 4 4" xfId="9184" xr:uid="{00000000-0005-0000-0000-0000AA230000}"/>
    <cellStyle name="40% - Accent1 2 4 4 4 2" xfId="19747" xr:uid="{00000000-0005-0000-0000-0000AB230000}"/>
    <cellStyle name="40% - Accent1 2 4 4 5" xfId="11403" xr:uid="{00000000-0005-0000-0000-0000AC230000}"/>
    <cellStyle name="40% - Accent1 2 4 4 5 2" xfId="21966" xr:uid="{00000000-0005-0000-0000-0000AD230000}"/>
    <cellStyle name="40% - Accent1 2 4 4 6" xfId="13622" xr:uid="{00000000-0005-0000-0000-0000AE230000}"/>
    <cellStyle name="40% - Accent1 2 4 4 6 2" xfId="24185" xr:uid="{00000000-0005-0000-0000-0000AF230000}"/>
    <cellStyle name="40% - Accent1 2 4 4 7" xfId="17522" xr:uid="{00000000-0005-0000-0000-0000B0230000}"/>
    <cellStyle name="40% - Accent1 2 4 5" xfId="895" xr:uid="{00000000-0005-0000-0000-0000B1230000}"/>
    <cellStyle name="40% - Accent1 2 4 5 2" xfId="8442" xr:uid="{00000000-0005-0000-0000-0000B2230000}"/>
    <cellStyle name="40% - Accent1 2 4 5 2 2" xfId="10661" xr:uid="{00000000-0005-0000-0000-0000B3230000}"/>
    <cellStyle name="40% - Accent1 2 4 5 2 2 2" xfId="21224" xr:uid="{00000000-0005-0000-0000-0000B4230000}"/>
    <cellStyle name="40% - Accent1 2 4 5 2 3" xfId="12880" xr:uid="{00000000-0005-0000-0000-0000B5230000}"/>
    <cellStyle name="40% - Accent1 2 4 5 2 3 2" xfId="23443" xr:uid="{00000000-0005-0000-0000-0000B6230000}"/>
    <cellStyle name="40% - Accent1 2 4 5 2 4" xfId="15099" xr:uid="{00000000-0005-0000-0000-0000B7230000}"/>
    <cellStyle name="40% - Accent1 2 4 5 2 4 2" xfId="25662" xr:uid="{00000000-0005-0000-0000-0000B8230000}"/>
    <cellStyle name="40% - Accent1 2 4 5 2 5" xfId="19005" xr:uid="{00000000-0005-0000-0000-0000B9230000}"/>
    <cellStyle name="40% - Accent1 2 4 5 3" xfId="7709" xr:uid="{00000000-0005-0000-0000-0000BA230000}"/>
    <cellStyle name="40% - Accent1 2 4 5 3 2" xfId="9928" xr:uid="{00000000-0005-0000-0000-0000BB230000}"/>
    <cellStyle name="40% - Accent1 2 4 5 3 2 2" xfId="20491" xr:uid="{00000000-0005-0000-0000-0000BC230000}"/>
    <cellStyle name="40% - Accent1 2 4 5 3 3" xfId="12147" xr:uid="{00000000-0005-0000-0000-0000BD230000}"/>
    <cellStyle name="40% - Accent1 2 4 5 3 3 2" xfId="22710" xr:uid="{00000000-0005-0000-0000-0000BE230000}"/>
    <cellStyle name="40% - Accent1 2 4 5 3 4" xfId="14366" xr:uid="{00000000-0005-0000-0000-0000BF230000}"/>
    <cellStyle name="40% - Accent1 2 4 5 3 4 2" xfId="24929" xr:uid="{00000000-0005-0000-0000-0000C0230000}"/>
    <cellStyle name="40% - Accent1 2 4 5 3 5" xfId="18272" xr:uid="{00000000-0005-0000-0000-0000C1230000}"/>
    <cellStyle name="40% - Accent1 2 4 5 4" xfId="9185" xr:uid="{00000000-0005-0000-0000-0000C2230000}"/>
    <cellStyle name="40% - Accent1 2 4 5 4 2" xfId="19748" xr:uid="{00000000-0005-0000-0000-0000C3230000}"/>
    <cellStyle name="40% - Accent1 2 4 5 5" xfId="11404" xr:uid="{00000000-0005-0000-0000-0000C4230000}"/>
    <cellStyle name="40% - Accent1 2 4 5 5 2" xfId="21967" xr:uid="{00000000-0005-0000-0000-0000C5230000}"/>
    <cellStyle name="40% - Accent1 2 4 5 6" xfId="13623" xr:uid="{00000000-0005-0000-0000-0000C6230000}"/>
    <cellStyle name="40% - Accent1 2 4 5 6 2" xfId="24186" xr:uid="{00000000-0005-0000-0000-0000C7230000}"/>
    <cellStyle name="40% - Accent1 2 4 5 7" xfId="17523" xr:uid="{00000000-0005-0000-0000-0000C8230000}"/>
    <cellStyle name="40% - Accent1 2 4 6" xfId="896" xr:uid="{00000000-0005-0000-0000-0000C9230000}"/>
    <cellStyle name="40% - Accent1 2 4 6 2" xfId="8443" xr:uid="{00000000-0005-0000-0000-0000CA230000}"/>
    <cellStyle name="40% - Accent1 2 4 6 2 2" xfId="10662" xr:uid="{00000000-0005-0000-0000-0000CB230000}"/>
    <cellStyle name="40% - Accent1 2 4 6 2 2 2" xfId="21225" xr:uid="{00000000-0005-0000-0000-0000CC230000}"/>
    <cellStyle name="40% - Accent1 2 4 6 2 3" xfId="12881" xr:uid="{00000000-0005-0000-0000-0000CD230000}"/>
    <cellStyle name="40% - Accent1 2 4 6 2 3 2" xfId="23444" xr:uid="{00000000-0005-0000-0000-0000CE230000}"/>
    <cellStyle name="40% - Accent1 2 4 6 2 4" xfId="15100" xr:uid="{00000000-0005-0000-0000-0000CF230000}"/>
    <cellStyle name="40% - Accent1 2 4 6 2 4 2" xfId="25663" xr:uid="{00000000-0005-0000-0000-0000D0230000}"/>
    <cellStyle name="40% - Accent1 2 4 6 2 5" xfId="19006" xr:uid="{00000000-0005-0000-0000-0000D1230000}"/>
    <cellStyle name="40% - Accent1 2 4 6 3" xfId="7710" xr:uid="{00000000-0005-0000-0000-0000D2230000}"/>
    <cellStyle name="40% - Accent1 2 4 6 3 2" xfId="9929" xr:uid="{00000000-0005-0000-0000-0000D3230000}"/>
    <cellStyle name="40% - Accent1 2 4 6 3 2 2" xfId="20492" xr:uid="{00000000-0005-0000-0000-0000D4230000}"/>
    <cellStyle name="40% - Accent1 2 4 6 3 3" xfId="12148" xr:uid="{00000000-0005-0000-0000-0000D5230000}"/>
    <cellStyle name="40% - Accent1 2 4 6 3 3 2" xfId="22711" xr:uid="{00000000-0005-0000-0000-0000D6230000}"/>
    <cellStyle name="40% - Accent1 2 4 6 3 4" xfId="14367" xr:uid="{00000000-0005-0000-0000-0000D7230000}"/>
    <cellStyle name="40% - Accent1 2 4 6 3 4 2" xfId="24930" xr:uid="{00000000-0005-0000-0000-0000D8230000}"/>
    <cellStyle name="40% - Accent1 2 4 6 3 5" xfId="18273" xr:uid="{00000000-0005-0000-0000-0000D9230000}"/>
    <cellStyle name="40% - Accent1 2 4 6 4" xfId="9186" xr:uid="{00000000-0005-0000-0000-0000DA230000}"/>
    <cellStyle name="40% - Accent1 2 4 6 4 2" xfId="19749" xr:uid="{00000000-0005-0000-0000-0000DB230000}"/>
    <cellStyle name="40% - Accent1 2 4 6 5" xfId="11405" xr:uid="{00000000-0005-0000-0000-0000DC230000}"/>
    <cellStyle name="40% - Accent1 2 4 6 5 2" xfId="21968" xr:uid="{00000000-0005-0000-0000-0000DD230000}"/>
    <cellStyle name="40% - Accent1 2 4 6 6" xfId="13624" xr:uid="{00000000-0005-0000-0000-0000DE230000}"/>
    <cellStyle name="40% - Accent1 2 4 6 6 2" xfId="24187" xr:uid="{00000000-0005-0000-0000-0000DF230000}"/>
    <cellStyle name="40% - Accent1 2 4 6 7" xfId="17524" xr:uid="{00000000-0005-0000-0000-0000E0230000}"/>
    <cellStyle name="40% - Accent1 2 4 7" xfId="897" xr:uid="{00000000-0005-0000-0000-0000E1230000}"/>
    <cellStyle name="40% - Accent1 2 4 7 2" xfId="8444" xr:uid="{00000000-0005-0000-0000-0000E2230000}"/>
    <cellStyle name="40% - Accent1 2 4 7 2 2" xfId="10663" xr:uid="{00000000-0005-0000-0000-0000E3230000}"/>
    <cellStyle name="40% - Accent1 2 4 7 2 2 2" xfId="21226" xr:uid="{00000000-0005-0000-0000-0000E4230000}"/>
    <cellStyle name="40% - Accent1 2 4 7 2 3" xfId="12882" xr:uid="{00000000-0005-0000-0000-0000E5230000}"/>
    <cellStyle name="40% - Accent1 2 4 7 2 3 2" xfId="23445" xr:uid="{00000000-0005-0000-0000-0000E6230000}"/>
    <cellStyle name="40% - Accent1 2 4 7 2 4" xfId="15101" xr:uid="{00000000-0005-0000-0000-0000E7230000}"/>
    <cellStyle name="40% - Accent1 2 4 7 2 4 2" xfId="25664" xr:uid="{00000000-0005-0000-0000-0000E8230000}"/>
    <cellStyle name="40% - Accent1 2 4 7 2 5" xfId="19007" xr:uid="{00000000-0005-0000-0000-0000E9230000}"/>
    <cellStyle name="40% - Accent1 2 4 7 3" xfId="7711" xr:uid="{00000000-0005-0000-0000-0000EA230000}"/>
    <cellStyle name="40% - Accent1 2 4 7 3 2" xfId="9930" xr:uid="{00000000-0005-0000-0000-0000EB230000}"/>
    <cellStyle name="40% - Accent1 2 4 7 3 2 2" xfId="20493" xr:uid="{00000000-0005-0000-0000-0000EC230000}"/>
    <cellStyle name="40% - Accent1 2 4 7 3 3" xfId="12149" xr:uid="{00000000-0005-0000-0000-0000ED230000}"/>
    <cellStyle name="40% - Accent1 2 4 7 3 3 2" xfId="22712" xr:uid="{00000000-0005-0000-0000-0000EE230000}"/>
    <cellStyle name="40% - Accent1 2 4 7 3 4" xfId="14368" xr:uid="{00000000-0005-0000-0000-0000EF230000}"/>
    <cellStyle name="40% - Accent1 2 4 7 3 4 2" xfId="24931" xr:uid="{00000000-0005-0000-0000-0000F0230000}"/>
    <cellStyle name="40% - Accent1 2 4 7 3 5" xfId="18274" xr:uid="{00000000-0005-0000-0000-0000F1230000}"/>
    <cellStyle name="40% - Accent1 2 4 7 4" xfId="9187" xr:uid="{00000000-0005-0000-0000-0000F2230000}"/>
    <cellStyle name="40% - Accent1 2 4 7 4 2" xfId="19750" xr:uid="{00000000-0005-0000-0000-0000F3230000}"/>
    <cellStyle name="40% - Accent1 2 4 7 5" xfId="11406" xr:uid="{00000000-0005-0000-0000-0000F4230000}"/>
    <cellStyle name="40% - Accent1 2 4 7 5 2" xfId="21969" xr:uid="{00000000-0005-0000-0000-0000F5230000}"/>
    <cellStyle name="40% - Accent1 2 4 7 6" xfId="13625" xr:uid="{00000000-0005-0000-0000-0000F6230000}"/>
    <cellStyle name="40% - Accent1 2 4 7 6 2" xfId="24188" xr:uid="{00000000-0005-0000-0000-0000F7230000}"/>
    <cellStyle name="40% - Accent1 2 4 7 7" xfId="17525" xr:uid="{00000000-0005-0000-0000-0000F8230000}"/>
    <cellStyle name="40% - Accent1 2 4 8" xfId="898" xr:uid="{00000000-0005-0000-0000-0000F9230000}"/>
    <cellStyle name="40% - Accent1 2 4 8 2" xfId="8445" xr:uid="{00000000-0005-0000-0000-0000FA230000}"/>
    <cellStyle name="40% - Accent1 2 4 8 2 2" xfId="10664" xr:uid="{00000000-0005-0000-0000-0000FB230000}"/>
    <cellStyle name="40% - Accent1 2 4 8 2 2 2" xfId="21227" xr:uid="{00000000-0005-0000-0000-0000FC230000}"/>
    <cellStyle name="40% - Accent1 2 4 8 2 3" xfId="12883" xr:uid="{00000000-0005-0000-0000-0000FD230000}"/>
    <cellStyle name="40% - Accent1 2 4 8 2 3 2" xfId="23446" xr:uid="{00000000-0005-0000-0000-0000FE230000}"/>
    <cellStyle name="40% - Accent1 2 4 8 2 4" xfId="15102" xr:uid="{00000000-0005-0000-0000-0000FF230000}"/>
    <cellStyle name="40% - Accent1 2 4 8 2 4 2" xfId="25665" xr:uid="{00000000-0005-0000-0000-000000240000}"/>
    <cellStyle name="40% - Accent1 2 4 8 2 5" xfId="19008" xr:uid="{00000000-0005-0000-0000-000001240000}"/>
    <cellStyle name="40% - Accent1 2 4 8 3" xfId="7712" xr:uid="{00000000-0005-0000-0000-000002240000}"/>
    <cellStyle name="40% - Accent1 2 4 8 3 2" xfId="9931" xr:uid="{00000000-0005-0000-0000-000003240000}"/>
    <cellStyle name="40% - Accent1 2 4 8 3 2 2" xfId="20494" xr:uid="{00000000-0005-0000-0000-000004240000}"/>
    <cellStyle name="40% - Accent1 2 4 8 3 3" xfId="12150" xr:uid="{00000000-0005-0000-0000-000005240000}"/>
    <cellStyle name="40% - Accent1 2 4 8 3 3 2" xfId="22713" xr:uid="{00000000-0005-0000-0000-000006240000}"/>
    <cellStyle name="40% - Accent1 2 4 8 3 4" xfId="14369" xr:uid="{00000000-0005-0000-0000-000007240000}"/>
    <cellStyle name="40% - Accent1 2 4 8 3 4 2" xfId="24932" xr:uid="{00000000-0005-0000-0000-000008240000}"/>
    <cellStyle name="40% - Accent1 2 4 8 3 5" xfId="18275" xr:uid="{00000000-0005-0000-0000-000009240000}"/>
    <cellStyle name="40% - Accent1 2 4 8 4" xfId="9188" xr:uid="{00000000-0005-0000-0000-00000A240000}"/>
    <cellStyle name="40% - Accent1 2 4 8 4 2" xfId="19751" xr:uid="{00000000-0005-0000-0000-00000B240000}"/>
    <cellStyle name="40% - Accent1 2 4 8 5" xfId="11407" xr:uid="{00000000-0005-0000-0000-00000C240000}"/>
    <cellStyle name="40% - Accent1 2 4 8 5 2" xfId="21970" xr:uid="{00000000-0005-0000-0000-00000D240000}"/>
    <cellStyle name="40% - Accent1 2 4 8 6" xfId="13626" xr:uid="{00000000-0005-0000-0000-00000E240000}"/>
    <cellStyle name="40% - Accent1 2 4 8 6 2" xfId="24189" xr:uid="{00000000-0005-0000-0000-00000F240000}"/>
    <cellStyle name="40% - Accent1 2 4 8 7" xfId="17526" xr:uid="{00000000-0005-0000-0000-000010240000}"/>
    <cellStyle name="40% - Accent1 2 4 9" xfId="899" xr:uid="{00000000-0005-0000-0000-000011240000}"/>
    <cellStyle name="40% - Accent1 2 4 9 2" xfId="8446" xr:uid="{00000000-0005-0000-0000-000012240000}"/>
    <cellStyle name="40% - Accent1 2 4 9 2 2" xfId="10665" xr:uid="{00000000-0005-0000-0000-000013240000}"/>
    <cellStyle name="40% - Accent1 2 4 9 2 2 2" xfId="21228" xr:uid="{00000000-0005-0000-0000-000014240000}"/>
    <cellStyle name="40% - Accent1 2 4 9 2 3" xfId="12884" xr:uid="{00000000-0005-0000-0000-000015240000}"/>
    <cellStyle name="40% - Accent1 2 4 9 2 3 2" xfId="23447" xr:uid="{00000000-0005-0000-0000-000016240000}"/>
    <cellStyle name="40% - Accent1 2 4 9 2 4" xfId="15103" xr:uid="{00000000-0005-0000-0000-000017240000}"/>
    <cellStyle name="40% - Accent1 2 4 9 2 4 2" xfId="25666" xr:uid="{00000000-0005-0000-0000-000018240000}"/>
    <cellStyle name="40% - Accent1 2 4 9 2 5" xfId="19009" xr:uid="{00000000-0005-0000-0000-000019240000}"/>
    <cellStyle name="40% - Accent1 2 4 9 3" xfId="7713" xr:uid="{00000000-0005-0000-0000-00001A240000}"/>
    <cellStyle name="40% - Accent1 2 4 9 3 2" xfId="9932" xr:uid="{00000000-0005-0000-0000-00001B240000}"/>
    <cellStyle name="40% - Accent1 2 4 9 3 2 2" xfId="20495" xr:uid="{00000000-0005-0000-0000-00001C240000}"/>
    <cellStyle name="40% - Accent1 2 4 9 3 3" xfId="12151" xr:uid="{00000000-0005-0000-0000-00001D240000}"/>
    <cellStyle name="40% - Accent1 2 4 9 3 3 2" xfId="22714" xr:uid="{00000000-0005-0000-0000-00001E240000}"/>
    <cellStyle name="40% - Accent1 2 4 9 3 4" xfId="14370" xr:uid="{00000000-0005-0000-0000-00001F240000}"/>
    <cellStyle name="40% - Accent1 2 4 9 3 4 2" xfId="24933" xr:uid="{00000000-0005-0000-0000-000020240000}"/>
    <cellStyle name="40% - Accent1 2 4 9 3 5" xfId="18276" xr:uid="{00000000-0005-0000-0000-000021240000}"/>
    <cellStyle name="40% - Accent1 2 4 9 4" xfId="9189" xr:uid="{00000000-0005-0000-0000-000022240000}"/>
    <cellStyle name="40% - Accent1 2 4 9 4 2" xfId="19752" xr:uid="{00000000-0005-0000-0000-000023240000}"/>
    <cellStyle name="40% - Accent1 2 4 9 5" xfId="11408" xr:uid="{00000000-0005-0000-0000-000024240000}"/>
    <cellStyle name="40% - Accent1 2 4 9 5 2" xfId="21971" xr:uid="{00000000-0005-0000-0000-000025240000}"/>
    <cellStyle name="40% - Accent1 2 4 9 6" xfId="13627" xr:uid="{00000000-0005-0000-0000-000026240000}"/>
    <cellStyle name="40% - Accent1 2 4 9 6 2" xfId="24190" xr:uid="{00000000-0005-0000-0000-000027240000}"/>
    <cellStyle name="40% - Accent1 2 4 9 7" xfId="17527" xr:uid="{00000000-0005-0000-0000-000028240000}"/>
    <cellStyle name="40% - Accent1 2 5" xfId="900" xr:uid="{00000000-0005-0000-0000-000029240000}"/>
    <cellStyle name="40% - Accent1 2 5 10" xfId="8447" xr:uid="{00000000-0005-0000-0000-00002A240000}"/>
    <cellStyle name="40% - Accent1 2 5 10 2" xfId="10666" xr:uid="{00000000-0005-0000-0000-00002B240000}"/>
    <cellStyle name="40% - Accent1 2 5 10 2 2" xfId="21229" xr:uid="{00000000-0005-0000-0000-00002C240000}"/>
    <cellStyle name="40% - Accent1 2 5 10 3" xfId="12885" xr:uid="{00000000-0005-0000-0000-00002D240000}"/>
    <cellStyle name="40% - Accent1 2 5 10 3 2" xfId="23448" xr:uid="{00000000-0005-0000-0000-00002E240000}"/>
    <cellStyle name="40% - Accent1 2 5 10 4" xfId="15104" xr:uid="{00000000-0005-0000-0000-00002F240000}"/>
    <cellStyle name="40% - Accent1 2 5 10 4 2" xfId="25667" xr:uid="{00000000-0005-0000-0000-000030240000}"/>
    <cellStyle name="40% - Accent1 2 5 10 5" xfId="19010" xr:uid="{00000000-0005-0000-0000-000031240000}"/>
    <cellStyle name="40% - Accent1 2 5 11" xfId="7714" xr:uid="{00000000-0005-0000-0000-000032240000}"/>
    <cellStyle name="40% - Accent1 2 5 11 2" xfId="9933" xr:uid="{00000000-0005-0000-0000-000033240000}"/>
    <cellStyle name="40% - Accent1 2 5 11 2 2" xfId="20496" xr:uid="{00000000-0005-0000-0000-000034240000}"/>
    <cellStyle name="40% - Accent1 2 5 11 3" xfId="12152" xr:uid="{00000000-0005-0000-0000-000035240000}"/>
    <cellStyle name="40% - Accent1 2 5 11 3 2" xfId="22715" xr:uid="{00000000-0005-0000-0000-000036240000}"/>
    <cellStyle name="40% - Accent1 2 5 11 4" xfId="14371" xr:uid="{00000000-0005-0000-0000-000037240000}"/>
    <cellStyle name="40% - Accent1 2 5 11 4 2" xfId="24934" xr:uid="{00000000-0005-0000-0000-000038240000}"/>
    <cellStyle name="40% - Accent1 2 5 11 5" xfId="18277" xr:uid="{00000000-0005-0000-0000-000039240000}"/>
    <cellStyle name="40% - Accent1 2 5 12" xfId="9190" xr:uid="{00000000-0005-0000-0000-00003A240000}"/>
    <cellStyle name="40% - Accent1 2 5 12 2" xfId="19753" xr:uid="{00000000-0005-0000-0000-00003B240000}"/>
    <cellStyle name="40% - Accent1 2 5 13" xfId="11409" xr:uid="{00000000-0005-0000-0000-00003C240000}"/>
    <cellStyle name="40% - Accent1 2 5 13 2" xfId="21972" xr:uid="{00000000-0005-0000-0000-00003D240000}"/>
    <cellStyle name="40% - Accent1 2 5 14" xfId="13628" xr:uid="{00000000-0005-0000-0000-00003E240000}"/>
    <cellStyle name="40% - Accent1 2 5 14 2" xfId="24191" xr:uid="{00000000-0005-0000-0000-00003F240000}"/>
    <cellStyle name="40% - Accent1 2 5 15" xfId="17528" xr:uid="{00000000-0005-0000-0000-000040240000}"/>
    <cellStyle name="40% - Accent1 2 5 2" xfId="901" xr:uid="{00000000-0005-0000-0000-000041240000}"/>
    <cellStyle name="40% - Accent1 2 5 2 2" xfId="8448" xr:uid="{00000000-0005-0000-0000-000042240000}"/>
    <cellStyle name="40% - Accent1 2 5 2 2 2" xfId="10667" xr:uid="{00000000-0005-0000-0000-000043240000}"/>
    <cellStyle name="40% - Accent1 2 5 2 2 2 2" xfId="21230" xr:uid="{00000000-0005-0000-0000-000044240000}"/>
    <cellStyle name="40% - Accent1 2 5 2 2 3" xfId="12886" xr:uid="{00000000-0005-0000-0000-000045240000}"/>
    <cellStyle name="40% - Accent1 2 5 2 2 3 2" xfId="23449" xr:uid="{00000000-0005-0000-0000-000046240000}"/>
    <cellStyle name="40% - Accent1 2 5 2 2 4" xfId="15105" xr:uid="{00000000-0005-0000-0000-000047240000}"/>
    <cellStyle name="40% - Accent1 2 5 2 2 4 2" xfId="25668" xr:uid="{00000000-0005-0000-0000-000048240000}"/>
    <cellStyle name="40% - Accent1 2 5 2 2 5" xfId="19011" xr:uid="{00000000-0005-0000-0000-000049240000}"/>
    <cellStyle name="40% - Accent1 2 5 2 3" xfId="7715" xr:uid="{00000000-0005-0000-0000-00004A240000}"/>
    <cellStyle name="40% - Accent1 2 5 2 3 2" xfId="9934" xr:uid="{00000000-0005-0000-0000-00004B240000}"/>
    <cellStyle name="40% - Accent1 2 5 2 3 2 2" xfId="20497" xr:uid="{00000000-0005-0000-0000-00004C240000}"/>
    <cellStyle name="40% - Accent1 2 5 2 3 3" xfId="12153" xr:uid="{00000000-0005-0000-0000-00004D240000}"/>
    <cellStyle name="40% - Accent1 2 5 2 3 3 2" xfId="22716" xr:uid="{00000000-0005-0000-0000-00004E240000}"/>
    <cellStyle name="40% - Accent1 2 5 2 3 4" xfId="14372" xr:uid="{00000000-0005-0000-0000-00004F240000}"/>
    <cellStyle name="40% - Accent1 2 5 2 3 4 2" xfId="24935" xr:uid="{00000000-0005-0000-0000-000050240000}"/>
    <cellStyle name="40% - Accent1 2 5 2 3 5" xfId="18278" xr:uid="{00000000-0005-0000-0000-000051240000}"/>
    <cellStyle name="40% - Accent1 2 5 2 4" xfId="9191" xr:uid="{00000000-0005-0000-0000-000052240000}"/>
    <cellStyle name="40% - Accent1 2 5 2 4 2" xfId="19754" xr:uid="{00000000-0005-0000-0000-000053240000}"/>
    <cellStyle name="40% - Accent1 2 5 2 5" xfId="11410" xr:uid="{00000000-0005-0000-0000-000054240000}"/>
    <cellStyle name="40% - Accent1 2 5 2 5 2" xfId="21973" xr:uid="{00000000-0005-0000-0000-000055240000}"/>
    <cellStyle name="40% - Accent1 2 5 2 6" xfId="13629" xr:uid="{00000000-0005-0000-0000-000056240000}"/>
    <cellStyle name="40% - Accent1 2 5 2 6 2" xfId="24192" xr:uid="{00000000-0005-0000-0000-000057240000}"/>
    <cellStyle name="40% - Accent1 2 5 2 7" xfId="17529" xr:uid="{00000000-0005-0000-0000-000058240000}"/>
    <cellStyle name="40% - Accent1 2 5 3" xfId="902" xr:uid="{00000000-0005-0000-0000-000059240000}"/>
    <cellStyle name="40% - Accent1 2 5 3 2" xfId="8449" xr:uid="{00000000-0005-0000-0000-00005A240000}"/>
    <cellStyle name="40% - Accent1 2 5 3 2 2" xfId="10668" xr:uid="{00000000-0005-0000-0000-00005B240000}"/>
    <cellStyle name="40% - Accent1 2 5 3 2 2 2" xfId="21231" xr:uid="{00000000-0005-0000-0000-00005C240000}"/>
    <cellStyle name="40% - Accent1 2 5 3 2 3" xfId="12887" xr:uid="{00000000-0005-0000-0000-00005D240000}"/>
    <cellStyle name="40% - Accent1 2 5 3 2 3 2" xfId="23450" xr:uid="{00000000-0005-0000-0000-00005E240000}"/>
    <cellStyle name="40% - Accent1 2 5 3 2 4" xfId="15106" xr:uid="{00000000-0005-0000-0000-00005F240000}"/>
    <cellStyle name="40% - Accent1 2 5 3 2 4 2" xfId="25669" xr:uid="{00000000-0005-0000-0000-000060240000}"/>
    <cellStyle name="40% - Accent1 2 5 3 2 5" xfId="19012" xr:uid="{00000000-0005-0000-0000-000061240000}"/>
    <cellStyle name="40% - Accent1 2 5 3 3" xfId="7716" xr:uid="{00000000-0005-0000-0000-000062240000}"/>
    <cellStyle name="40% - Accent1 2 5 3 3 2" xfId="9935" xr:uid="{00000000-0005-0000-0000-000063240000}"/>
    <cellStyle name="40% - Accent1 2 5 3 3 2 2" xfId="20498" xr:uid="{00000000-0005-0000-0000-000064240000}"/>
    <cellStyle name="40% - Accent1 2 5 3 3 3" xfId="12154" xr:uid="{00000000-0005-0000-0000-000065240000}"/>
    <cellStyle name="40% - Accent1 2 5 3 3 3 2" xfId="22717" xr:uid="{00000000-0005-0000-0000-000066240000}"/>
    <cellStyle name="40% - Accent1 2 5 3 3 4" xfId="14373" xr:uid="{00000000-0005-0000-0000-000067240000}"/>
    <cellStyle name="40% - Accent1 2 5 3 3 4 2" xfId="24936" xr:uid="{00000000-0005-0000-0000-000068240000}"/>
    <cellStyle name="40% - Accent1 2 5 3 3 5" xfId="18279" xr:uid="{00000000-0005-0000-0000-000069240000}"/>
    <cellStyle name="40% - Accent1 2 5 3 4" xfId="9192" xr:uid="{00000000-0005-0000-0000-00006A240000}"/>
    <cellStyle name="40% - Accent1 2 5 3 4 2" xfId="19755" xr:uid="{00000000-0005-0000-0000-00006B240000}"/>
    <cellStyle name="40% - Accent1 2 5 3 5" xfId="11411" xr:uid="{00000000-0005-0000-0000-00006C240000}"/>
    <cellStyle name="40% - Accent1 2 5 3 5 2" xfId="21974" xr:uid="{00000000-0005-0000-0000-00006D240000}"/>
    <cellStyle name="40% - Accent1 2 5 3 6" xfId="13630" xr:uid="{00000000-0005-0000-0000-00006E240000}"/>
    <cellStyle name="40% - Accent1 2 5 3 6 2" xfId="24193" xr:uid="{00000000-0005-0000-0000-00006F240000}"/>
    <cellStyle name="40% - Accent1 2 5 3 7" xfId="17530" xr:uid="{00000000-0005-0000-0000-000070240000}"/>
    <cellStyle name="40% - Accent1 2 5 4" xfId="903" xr:uid="{00000000-0005-0000-0000-000071240000}"/>
    <cellStyle name="40% - Accent1 2 5 4 2" xfId="8450" xr:uid="{00000000-0005-0000-0000-000072240000}"/>
    <cellStyle name="40% - Accent1 2 5 4 2 2" xfId="10669" xr:uid="{00000000-0005-0000-0000-000073240000}"/>
    <cellStyle name="40% - Accent1 2 5 4 2 2 2" xfId="21232" xr:uid="{00000000-0005-0000-0000-000074240000}"/>
    <cellStyle name="40% - Accent1 2 5 4 2 3" xfId="12888" xr:uid="{00000000-0005-0000-0000-000075240000}"/>
    <cellStyle name="40% - Accent1 2 5 4 2 3 2" xfId="23451" xr:uid="{00000000-0005-0000-0000-000076240000}"/>
    <cellStyle name="40% - Accent1 2 5 4 2 4" xfId="15107" xr:uid="{00000000-0005-0000-0000-000077240000}"/>
    <cellStyle name="40% - Accent1 2 5 4 2 4 2" xfId="25670" xr:uid="{00000000-0005-0000-0000-000078240000}"/>
    <cellStyle name="40% - Accent1 2 5 4 2 5" xfId="19013" xr:uid="{00000000-0005-0000-0000-000079240000}"/>
    <cellStyle name="40% - Accent1 2 5 4 3" xfId="7717" xr:uid="{00000000-0005-0000-0000-00007A240000}"/>
    <cellStyle name="40% - Accent1 2 5 4 3 2" xfId="9936" xr:uid="{00000000-0005-0000-0000-00007B240000}"/>
    <cellStyle name="40% - Accent1 2 5 4 3 2 2" xfId="20499" xr:uid="{00000000-0005-0000-0000-00007C240000}"/>
    <cellStyle name="40% - Accent1 2 5 4 3 3" xfId="12155" xr:uid="{00000000-0005-0000-0000-00007D240000}"/>
    <cellStyle name="40% - Accent1 2 5 4 3 3 2" xfId="22718" xr:uid="{00000000-0005-0000-0000-00007E240000}"/>
    <cellStyle name="40% - Accent1 2 5 4 3 4" xfId="14374" xr:uid="{00000000-0005-0000-0000-00007F240000}"/>
    <cellStyle name="40% - Accent1 2 5 4 3 4 2" xfId="24937" xr:uid="{00000000-0005-0000-0000-000080240000}"/>
    <cellStyle name="40% - Accent1 2 5 4 3 5" xfId="18280" xr:uid="{00000000-0005-0000-0000-000081240000}"/>
    <cellStyle name="40% - Accent1 2 5 4 4" xfId="9193" xr:uid="{00000000-0005-0000-0000-000082240000}"/>
    <cellStyle name="40% - Accent1 2 5 4 4 2" xfId="19756" xr:uid="{00000000-0005-0000-0000-000083240000}"/>
    <cellStyle name="40% - Accent1 2 5 4 5" xfId="11412" xr:uid="{00000000-0005-0000-0000-000084240000}"/>
    <cellStyle name="40% - Accent1 2 5 4 5 2" xfId="21975" xr:uid="{00000000-0005-0000-0000-000085240000}"/>
    <cellStyle name="40% - Accent1 2 5 4 6" xfId="13631" xr:uid="{00000000-0005-0000-0000-000086240000}"/>
    <cellStyle name="40% - Accent1 2 5 4 6 2" xfId="24194" xr:uid="{00000000-0005-0000-0000-000087240000}"/>
    <cellStyle name="40% - Accent1 2 5 4 7" xfId="17531" xr:uid="{00000000-0005-0000-0000-000088240000}"/>
    <cellStyle name="40% - Accent1 2 5 5" xfId="904" xr:uid="{00000000-0005-0000-0000-000089240000}"/>
    <cellStyle name="40% - Accent1 2 5 5 2" xfId="8451" xr:uid="{00000000-0005-0000-0000-00008A240000}"/>
    <cellStyle name="40% - Accent1 2 5 5 2 2" xfId="10670" xr:uid="{00000000-0005-0000-0000-00008B240000}"/>
    <cellStyle name="40% - Accent1 2 5 5 2 2 2" xfId="21233" xr:uid="{00000000-0005-0000-0000-00008C240000}"/>
    <cellStyle name="40% - Accent1 2 5 5 2 3" xfId="12889" xr:uid="{00000000-0005-0000-0000-00008D240000}"/>
    <cellStyle name="40% - Accent1 2 5 5 2 3 2" xfId="23452" xr:uid="{00000000-0005-0000-0000-00008E240000}"/>
    <cellStyle name="40% - Accent1 2 5 5 2 4" xfId="15108" xr:uid="{00000000-0005-0000-0000-00008F240000}"/>
    <cellStyle name="40% - Accent1 2 5 5 2 4 2" xfId="25671" xr:uid="{00000000-0005-0000-0000-000090240000}"/>
    <cellStyle name="40% - Accent1 2 5 5 2 5" xfId="19014" xr:uid="{00000000-0005-0000-0000-000091240000}"/>
    <cellStyle name="40% - Accent1 2 5 5 3" xfId="7718" xr:uid="{00000000-0005-0000-0000-000092240000}"/>
    <cellStyle name="40% - Accent1 2 5 5 3 2" xfId="9937" xr:uid="{00000000-0005-0000-0000-000093240000}"/>
    <cellStyle name="40% - Accent1 2 5 5 3 2 2" xfId="20500" xr:uid="{00000000-0005-0000-0000-000094240000}"/>
    <cellStyle name="40% - Accent1 2 5 5 3 3" xfId="12156" xr:uid="{00000000-0005-0000-0000-000095240000}"/>
    <cellStyle name="40% - Accent1 2 5 5 3 3 2" xfId="22719" xr:uid="{00000000-0005-0000-0000-000096240000}"/>
    <cellStyle name="40% - Accent1 2 5 5 3 4" xfId="14375" xr:uid="{00000000-0005-0000-0000-000097240000}"/>
    <cellStyle name="40% - Accent1 2 5 5 3 4 2" xfId="24938" xr:uid="{00000000-0005-0000-0000-000098240000}"/>
    <cellStyle name="40% - Accent1 2 5 5 3 5" xfId="18281" xr:uid="{00000000-0005-0000-0000-000099240000}"/>
    <cellStyle name="40% - Accent1 2 5 5 4" xfId="9194" xr:uid="{00000000-0005-0000-0000-00009A240000}"/>
    <cellStyle name="40% - Accent1 2 5 5 4 2" xfId="19757" xr:uid="{00000000-0005-0000-0000-00009B240000}"/>
    <cellStyle name="40% - Accent1 2 5 5 5" xfId="11413" xr:uid="{00000000-0005-0000-0000-00009C240000}"/>
    <cellStyle name="40% - Accent1 2 5 5 5 2" xfId="21976" xr:uid="{00000000-0005-0000-0000-00009D240000}"/>
    <cellStyle name="40% - Accent1 2 5 5 6" xfId="13632" xr:uid="{00000000-0005-0000-0000-00009E240000}"/>
    <cellStyle name="40% - Accent1 2 5 5 6 2" xfId="24195" xr:uid="{00000000-0005-0000-0000-00009F240000}"/>
    <cellStyle name="40% - Accent1 2 5 5 7" xfId="17532" xr:uid="{00000000-0005-0000-0000-0000A0240000}"/>
    <cellStyle name="40% - Accent1 2 5 6" xfId="905" xr:uid="{00000000-0005-0000-0000-0000A1240000}"/>
    <cellStyle name="40% - Accent1 2 5 6 2" xfId="8452" xr:uid="{00000000-0005-0000-0000-0000A2240000}"/>
    <cellStyle name="40% - Accent1 2 5 6 2 2" xfId="10671" xr:uid="{00000000-0005-0000-0000-0000A3240000}"/>
    <cellStyle name="40% - Accent1 2 5 6 2 2 2" xfId="21234" xr:uid="{00000000-0005-0000-0000-0000A4240000}"/>
    <cellStyle name="40% - Accent1 2 5 6 2 3" xfId="12890" xr:uid="{00000000-0005-0000-0000-0000A5240000}"/>
    <cellStyle name="40% - Accent1 2 5 6 2 3 2" xfId="23453" xr:uid="{00000000-0005-0000-0000-0000A6240000}"/>
    <cellStyle name="40% - Accent1 2 5 6 2 4" xfId="15109" xr:uid="{00000000-0005-0000-0000-0000A7240000}"/>
    <cellStyle name="40% - Accent1 2 5 6 2 4 2" xfId="25672" xr:uid="{00000000-0005-0000-0000-0000A8240000}"/>
    <cellStyle name="40% - Accent1 2 5 6 2 5" xfId="19015" xr:uid="{00000000-0005-0000-0000-0000A9240000}"/>
    <cellStyle name="40% - Accent1 2 5 6 3" xfId="7719" xr:uid="{00000000-0005-0000-0000-0000AA240000}"/>
    <cellStyle name="40% - Accent1 2 5 6 3 2" xfId="9938" xr:uid="{00000000-0005-0000-0000-0000AB240000}"/>
    <cellStyle name="40% - Accent1 2 5 6 3 2 2" xfId="20501" xr:uid="{00000000-0005-0000-0000-0000AC240000}"/>
    <cellStyle name="40% - Accent1 2 5 6 3 3" xfId="12157" xr:uid="{00000000-0005-0000-0000-0000AD240000}"/>
    <cellStyle name="40% - Accent1 2 5 6 3 3 2" xfId="22720" xr:uid="{00000000-0005-0000-0000-0000AE240000}"/>
    <cellStyle name="40% - Accent1 2 5 6 3 4" xfId="14376" xr:uid="{00000000-0005-0000-0000-0000AF240000}"/>
    <cellStyle name="40% - Accent1 2 5 6 3 4 2" xfId="24939" xr:uid="{00000000-0005-0000-0000-0000B0240000}"/>
    <cellStyle name="40% - Accent1 2 5 6 3 5" xfId="18282" xr:uid="{00000000-0005-0000-0000-0000B1240000}"/>
    <cellStyle name="40% - Accent1 2 5 6 4" xfId="9195" xr:uid="{00000000-0005-0000-0000-0000B2240000}"/>
    <cellStyle name="40% - Accent1 2 5 6 4 2" xfId="19758" xr:uid="{00000000-0005-0000-0000-0000B3240000}"/>
    <cellStyle name="40% - Accent1 2 5 6 5" xfId="11414" xr:uid="{00000000-0005-0000-0000-0000B4240000}"/>
    <cellStyle name="40% - Accent1 2 5 6 5 2" xfId="21977" xr:uid="{00000000-0005-0000-0000-0000B5240000}"/>
    <cellStyle name="40% - Accent1 2 5 6 6" xfId="13633" xr:uid="{00000000-0005-0000-0000-0000B6240000}"/>
    <cellStyle name="40% - Accent1 2 5 6 6 2" xfId="24196" xr:uid="{00000000-0005-0000-0000-0000B7240000}"/>
    <cellStyle name="40% - Accent1 2 5 6 7" xfId="17533" xr:uid="{00000000-0005-0000-0000-0000B8240000}"/>
    <cellStyle name="40% - Accent1 2 5 7" xfId="906" xr:uid="{00000000-0005-0000-0000-0000B9240000}"/>
    <cellStyle name="40% - Accent1 2 5 7 2" xfId="8453" xr:uid="{00000000-0005-0000-0000-0000BA240000}"/>
    <cellStyle name="40% - Accent1 2 5 7 2 2" xfId="10672" xr:uid="{00000000-0005-0000-0000-0000BB240000}"/>
    <cellStyle name="40% - Accent1 2 5 7 2 2 2" xfId="21235" xr:uid="{00000000-0005-0000-0000-0000BC240000}"/>
    <cellStyle name="40% - Accent1 2 5 7 2 3" xfId="12891" xr:uid="{00000000-0005-0000-0000-0000BD240000}"/>
    <cellStyle name="40% - Accent1 2 5 7 2 3 2" xfId="23454" xr:uid="{00000000-0005-0000-0000-0000BE240000}"/>
    <cellStyle name="40% - Accent1 2 5 7 2 4" xfId="15110" xr:uid="{00000000-0005-0000-0000-0000BF240000}"/>
    <cellStyle name="40% - Accent1 2 5 7 2 4 2" xfId="25673" xr:uid="{00000000-0005-0000-0000-0000C0240000}"/>
    <cellStyle name="40% - Accent1 2 5 7 2 5" xfId="19016" xr:uid="{00000000-0005-0000-0000-0000C1240000}"/>
    <cellStyle name="40% - Accent1 2 5 7 3" xfId="7720" xr:uid="{00000000-0005-0000-0000-0000C2240000}"/>
    <cellStyle name="40% - Accent1 2 5 7 3 2" xfId="9939" xr:uid="{00000000-0005-0000-0000-0000C3240000}"/>
    <cellStyle name="40% - Accent1 2 5 7 3 2 2" xfId="20502" xr:uid="{00000000-0005-0000-0000-0000C4240000}"/>
    <cellStyle name="40% - Accent1 2 5 7 3 3" xfId="12158" xr:uid="{00000000-0005-0000-0000-0000C5240000}"/>
    <cellStyle name="40% - Accent1 2 5 7 3 3 2" xfId="22721" xr:uid="{00000000-0005-0000-0000-0000C6240000}"/>
    <cellStyle name="40% - Accent1 2 5 7 3 4" xfId="14377" xr:uid="{00000000-0005-0000-0000-0000C7240000}"/>
    <cellStyle name="40% - Accent1 2 5 7 3 4 2" xfId="24940" xr:uid="{00000000-0005-0000-0000-0000C8240000}"/>
    <cellStyle name="40% - Accent1 2 5 7 3 5" xfId="18283" xr:uid="{00000000-0005-0000-0000-0000C9240000}"/>
    <cellStyle name="40% - Accent1 2 5 7 4" xfId="9196" xr:uid="{00000000-0005-0000-0000-0000CA240000}"/>
    <cellStyle name="40% - Accent1 2 5 7 4 2" xfId="19759" xr:uid="{00000000-0005-0000-0000-0000CB240000}"/>
    <cellStyle name="40% - Accent1 2 5 7 5" xfId="11415" xr:uid="{00000000-0005-0000-0000-0000CC240000}"/>
    <cellStyle name="40% - Accent1 2 5 7 5 2" xfId="21978" xr:uid="{00000000-0005-0000-0000-0000CD240000}"/>
    <cellStyle name="40% - Accent1 2 5 7 6" xfId="13634" xr:uid="{00000000-0005-0000-0000-0000CE240000}"/>
    <cellStyle name="40% - Accent1 2 5 7 6 2" xfId="24197" xr:uid="{00000000-0005-0000-0000-0000CF240000}"/>
    <cellStyle name="40% - Accent1 2 5 7 7" xfId="17534" xr:uid="{00000000-0005-0000-0000-0000D0240000}"/>
    <cellStyle name="40% - Accent1 2 5 8" xfId="907" xr:uid="{00000000-0005-0000-0000-0000D1240000}"/>
    <cellStyle name="40% - Accent1 2 5 8 2" xfId="8454" xr:uid="{00000000-0005-0000-0000-0000D2240000}"/>
    <cellStyle name="40% - Accent1 2 5 8 2 2" xfId="10673" xr:uid="{00000000-0005-0000-0000-0000D3240000}"/>
    <cellStyle name="40% - Accent1 2 5 8 2 2 2" xfId="21236" xr:uid="{00000000-0005-0000-0000-0000D4240000}"/>
    <cellStyle name="40% - Accent1 2 5 8 2 3" xfId="12892" xr:uid="{00000000-0005-0000-0000-0000D5240000}"/>
    <cellStyle name="40% - Accent1 2 5 8 2 3 2" xfId="23455" xr:uid="{00000000-0005-0000-0000-0000D6240000}"/>
    <cellStyle name="40% - Accent1 2 5 8 2 4" xfId="15111" xr:uid="{00000000-0005-0000-0000-0000D7240000}"/>
    <cellStyle name="40% - Accent1 2 5 8 2 4 2" xfId="25674" xr:uid="{00000000-0005-0000-0000-0000D8240000}"/>
    <cellStyle name="40% - Accent1 2 5 8 2 5" xfId="19017" xr:uid="{00000000-0005-0000-0000-0000D9240000}"/>
    <cellStyle name="40% - Accent1 2 5 8 3" xfId="7721" xr:uid="{00000000-0005-0000-0000-0000DA240000}"/>
    <cellStyle name="40% - Accent1 2 5 8 3 2" xfId="9940" xr:uid="{00000000-0005-0000-0000-0000DB240000}"/>
    <cellStyle name="40% - Accent1 2 5 8 3 2 2" xfId="20503" xr:uid="{00000000-0005-0000-0000-0000DC240000}"/>
    <cellStyle name="40% - Accent1 2 5 8 3 3" xfId="12159" xr:uid="{00000000-0005-0000-0000-0000DD240000}"/>
    <cellStyle name="40% - Accent1 2 5 8 3 3 2" xfId="22722" xr:uid="{00000000-0005-0000-0000-0000DE240000}"/>
    <cellStyle name="40% - Accent1 2 5 8 3 4" xfId="14378" xr:uid="{00000000-0005-0000-0000-0000DF240000}"/>
    <cellStyle name="40% - Accent1 2 5 8 3 4 2" xfId="24941" xr:uid="{00000000-0005-0000-0000-0000E0240000}"/>
    <cellStyle name="40% - Accent1 2 5 8 3 5" xfId="18284" xr:uid="{00000000-0005-0000-0000-0000E1240000}"/>
    <cellStyle name="40% - Accent1 2 5 8 4" xfId="9197" xr:uid="{00000000-0005-0000-0000-0000E2240000}"/>
    <cellStyle name="40% - Accent1 2 5 8 4 2" xfId="19760" xr:uid="{00000000-0005-0000-0000-0000E3240000}"/>
    <cellStyle name="40% - Accent1 2 5 8 5" xfId="11416" xr:uid="{00000000-0005-0000-0000-0000E4240000}"/>
    <cellStyle name="40% - Accent1 2 5 8 5 2" xfId="21979" xr:uid="{00000000-0005-0000-0000-0000E5240000}"/>
    <cellStyle name="40% - Accent1 2 5 8 6" xfId="13635" xr:uid="{00000000-0005-0000-0000-0000E6240000}"/>
    <cellStyle name="40% - Accent1 2 5 8 6 2" xfId="24198" xr:uid="{00000000-0005-0000-0000-0000E7240000}"/>
    <cellStyle name="40% - Accent1 2 5 8 7" xfId="17535" xr:uid="{00000000-0005-0000-0000-0000E8240000}"/>
    <cellStyle name="40% - Accent1 2 5 9" xfId="908" xr:uid="{00000000-0005-0000-0000-0000E9240000}"/>
    <cellStyle name="40% - Accent1 2 5 9 2" xfId="8455" xr:uid="{00000000-0005-0000-0000-0000EA240000}"/>
    <cellStyle name="40% - Accent1 2 5 9 2 2" xfId="10674" xr:uid="{00000000-0005-0000-0000-0000EB240000}"/>
    <cellStyle name="40% - Accent1 2 5 9 2 2 2" xfId="21237" xr:uid="{00000000-0005-0000-0000-0000EC240000}"/>
    <cellStyle name="40% - Accent1 2 5 9 2 3" xfId="12893" xr:uid="{00000000-0005-0000-0000-0000ED240000}"/>
    <cellStyle name="40% - Accent1 2 5 9 2 3 2" xfId="23456" xr:uid="{00000000-0005-0000-0000-0000EE240000}"/>
    <cellStyle name="40% - Accent1 2 5 9 2 4" xfId="15112" xr:uid="{00000000-0005-0000-0000-0000EF240000}"/>
    <cellStyle name="40% - Accent1 2 5 9 2 4 2" xfId="25675" xr:uid="{00000000-0005-0000-0000-0000F0240000}"/>
    <cellStyle name="40% - Accent1 2 5 9 2 5" xfId="19018" xr:uid="{00000000-0005-0000-0000-0000F1240000}"/>
    <cellStyle name="40% - Accent1 2 5 9 3" xfId="7722" xr:uid="{00000000-0005-0000-0000-0000F2240000}"/>
    <cellStyle name="40% - Accent1 2 5 9 3 2" xfId="9941" xr:uid="{00000000-0005-0000-0000-0000F3240000}"/>
    <cellStyle name="40% - Accent1 2 5 9 3 2 2" xfId="20504" xr:uid="{00000000-0005-0000-0000-0000F4240000}"/>
    <cellStyle name="40% - Accent1 2 5 9 3 3" xfId="12160" xr:uid="{00000000-0005-0000-0000-0000F5240000}"/>
    <cellStyle name="40% - Accent1 2 5 9 3 3 2" xfId="22723" xr:uid="{00000000-0005-0000-0000-0000F6240000}"/>
    <cellStyle name="40% - Accent1 2 5 9 3 4" xfId="14379" xr:uid="{00000000-0005-0000-0000-0000F7240000}"/>
    <cellStyle name="40% - Accent1 2 5 9 3 4 2" xfId="24942" xr:uid="{00000000-0005-0000-0000-0000F8240000}"/>
    <cellStyle name="40% - Accent1 2 5 9 3 5" xfId="18285" xr:uid="{00000000-0005-0000-0000-0000F9240000}"/>
    <cellStyle name="40% - Accent1 2 5 9 4" xfId="9198" xr:uid="{00000000-0005-0000-0000-0000FA240000}"/>
    <cellStyle name="40% - Accent1 2 5 9 4 2" xfId="19761" xr:uid="{00000000-0005-0000-0000-0000FB240000}"/>
    <cellStyle name="40% - Accent1 2 5 9 5" xfId="11417" xr:uid="{00000000-0005-0000-0000-0000FC240000}"/>
    <cellStyle name="40% - Accent1 2 5 9 5 2" xfId="21980" xr:uid="{00000000-0005-0000-0000-0000FD240000}"/>
    <cellStyle name="40% - Accent1 2 5 9 6" xfId="13636" xr:uid="{00000000-0005-0000-0000-0000FE240000}"/>
    <cellStyle name="40% - Accent1 2 5 9 6 2" xfId="24199" xr:uid="{00000000-0005-0000-0000-0000FF240000}"/>
    <cellStyle name="40% - Accent1 2 5 9 7" xfId="17536" xr:uid="{00000000-0005-0000-0000-000000250000}"/>
    <cellStyle name="40% - Accent1 2 6" xfId="909" xr:uid="{00000000-0005-0000-0000-000001250000}"/>
    <cellStyle name="40% - Accent1 2 6 10" xfId="13637" xr:uid="{00000000-0005-0000-0000-000002250000}"/>
    <cellStyle name="40% - Accent1 2 6 10 2" xfId="24200" xr:uid="{00000000-0005-0000-0000-000003250000}"/>
    <cellStyle name="40% - Accent1 2 6 11" xfId="17537" xr:uid="{00000000-0005-0000-0000-000004250000}"/>
    <cellStyle name="40% - Accent1 2 6 2" xfId="910" xr:uid="{00000000-0005-0000-0000-000005250000}"/>
    <cellStyle name="40% - Accent1 2 6 2 2" xfId="8457" xr:uid="{00000000-0005-0000-0000-000006250000}"/>
    <cellStyle name="40% - Accent1 2 6 2 2 2" xfId="10676" xr:uid="{00000000-0005-0000-0000-000007250000}"/>
    <cellStyle name="40% - Accent1 2 6 2 2 2 2" xfId="21239" xr:uid="{00000000-0005-0000-0000-000008250000}"/>
    <cellStyle name="40% - Accent1 2 6 2 2 3" xfId="12895" xr:uid="{00000000-0005-0000-0000-000009250000}"/>
    <cellStyle name="40% - Accent1 2 6 2 2 3 2" xfId="23458" xr:uid="{00000000-0005-0000-0000-00000A250000}"/>
    <cellStyle name="40% - Accent1 2 6 2 2 4" xfId="15114" xr:uid="{00000000-0005-0000-0000-00000B250000}"/>
    <cellStyle name="40% - Accent1 2 6 2 2 4 2" xfId="25677" xr:uid="{00000000-0005-0000-0000-00000C250000}"/>
    <cellStyle name="40% - Accent1 2 6 2 2 5" xfId="19020" xr:uid="{00000000-0005-0000-0000-00000D250000}"/>
    <cellStyle name="40% - Accent1 2 6 2 3" xfId="7724" xr:uid="{00000000-0005-0000-0000-00000E250000}"/>
    <cellStyle name="40% - Accent1 2 6 2 3 2" xfId="9943" xr:uid="{00000000-0005-0000-0000-00000F250000}"/>
    <cellStyle name="40% - Accent1 2 6 2 3 2 2" xfId="20506" xr:uid="{00000000-0005-0000-0000-000010250000}"/>
    <cellStyle name="40% - Accent1 2 6 2 3 3" xfId="12162" xr:uid="{00000000-0005-0000-0000-000011250000}"/>
    <cellStyle name="40% - Accent1 2 6 2 3 3 2" xfId="22725" xr:uid="{00000000-0005-0000-0000-000012250000}"/>
    <cellStyle name="40% - Accent1 2 6 2 3 4" xfId="14381" xr:uid="{00000000-0005-0000-0000-000013250000}"/>
    <cellStyle name="40% - Accent1 2 6 2 3 4 2" xfId="24944" xr:uid="{00000000-0005-0000-0000-000014250000}"/>
    <cellStyle name="40% - Accent1 2 6 2 3 5" xfId="18287" xr:uid="{00000000-0005-0000-0000-000015250000}"/>
    <cellStyle name="40% - Accent1 2 6 2 4" xfId="9200" xr:uid="{00000000-0005-0000-0000-000016250000}"/>
    <cellStyle name="40% - Accent1 2 6 2 4 2" xfId="19763" xr:uid="{00000000-0005-0000-0000-000017250000}"/>
    <cellStyle name="40% - Accent1 2 6 2 5" xfId="11419" xr:uid="{00000000-0005-0000-0000-000018250000}"/>
    <cellStyle name="40% - Accent1 2 6 2 5 2" xfId="21982" xr:uid="{00000000-0005-0000-0000-000019250000}"/>
    <cellStyle name="40% - Accent1 2 6 2 6" xfId="13638" xr:uid="{00000000-0005-0000-0000-00001A250000}"/>
    <cellStyle name="40% - Accent1 2 6 2 6 2" xfId="24201" xr:uid="{00000000-0005-0000-0000-00001B250000}"/>
    <cellStyle name="40% - Accent1 2 6 2 7" xfId="17538" xr:uid="{00000000-0005-0000-0000-00001C250000}"/>
    <cellStyle name="40% - Accent1 2 6 3" xfId="911" xr:uid="{00000000-0005-0000-0000-00001D250000}"/>
    <cellStyle name="40% - Accent1 2 6 3 2" xfId="8458" xr:uid="{00000000-0005-0000-0000-00001E250000}"/>
    <cellStyle name="40% - Accent1 2 6 3 2 2" xfId="10677" xr:uid="{00000000-0005-0000-0000-00001F250000}"/>
    <cellStyle name="40% - Accent1 2 6 3 2 2 2" xfId="21240" xr:uid="{00000000-0005-0000-0000-000020250000}"/>
    <cellStyle name="40% - Accent1 2 6 3 2 3" xfId="12896" xr:uid="{00000000-0005-0000-0000-000021250000}"/>
    <cellStyle name="40% - Accent1 2 6 3 2 3 2" xfId="23459" xr:uid="{00000000-0005-0000-0000-000022250000}"/>
    <cellStyle name="40% - Accent1 2 6 3 2 4" xfId="15115" xr:uid="{00000000-0005-0000-0000-000023250000}"/>
    <cellStyle name="40% - Accent1 2 6 3 2 4 2" xfId="25678" xr:uid="{00000000-0005-0000-0000-000024250000}"/>
    <cellStyle name="40% - Accent1 2 6 3 2 5" xfId="19021" xr:uid="{00000000-0005-0000-0000-000025250000}"/>
    <cellStyle name="40% - Accent1 2 6 3 3" xfId="7725" xr:uid="{00000000-0005-0000-0000-000026250000}"/>
    <cellStyle name="40% - Accent1 2 6 3 3 2" xfId="9944" xr:uid="{00000000-0005-0000-0000-000027250000}"/>
    <cellStyle name="40% - Accent1 2 6 3 3 2 2" xfId="20507" xr:uid="{00000000-0005-0000-0000-000028250000}"/>
    <cellStyle name="40% - Accent1 2 6 3 3 3" xfId="12163" xr:uid="{00000000-0005-0000-0000-000029250000}"/>
    <cellStyle name="40% - Accent1 2 6 3 3 3 2" xfId="22726" xr:uid="{00000000-0005-0000-0000-00002A250000}"/>
    <cellStyle name="40% - Accent1 2 6 3 3 4" xfId="14382" xr:uid="{00000000-0005-0000-0000-00002B250000}"/>
    <cellStyle name="40% - Accent1 2 6 3 3 4 2" xfId="24945" xr:uid="{00000000-0005-0000-0000-00002C250000}"/>
    <cellStyle name="40% - Accent1 2 6 3 3 5" xfId="18288" xr:uid="{00000000-0005-0000-0000-00002D250000}"/>
    <cellStyle name="40% - Accent1 2 6 3 4" xfId="9201" xr:uid="{00000000-0005-0000-0000-00002E250000}"/>
    <cellStyle name="40% - Accent1 2 6 3 4 2" xfId="19764" xr:uid="{00000000-0005-0000-0000-00002F250000}"/>
    <cellStyle name="40% - Accent1 2 6 3 5" xfId="11420" xr:uid="{00000000-0005-0000-0000-000030250000}"/>
    <cellStyle name="40% - Accent1 2 6 3 5 2" xfId="21983" xr:uid="{00000000-0005-0000-0000-000031250000}"/>
    <cellStyle name="40% - Accent1 2 6 3 6" xfId="13639" xr:uid="{00000000-0005-0000-0000-000032250000}"/>
    <cellStyle name="40% - Accent1 2 6 3 6 2" xfId="24202" xr:uid="{00000000-0005-0000-0000-000033250000}"/>
    <cellStyle name="40% - Accent1 2 6 3 7" xfId="17539" xr:uid="{00000000-0005-0000-0000-000034250000}"/>
    <cellStyle name="40% - Accent1 2 6 4" xfId="912" xr:uid="{00000000-0005-0000-0000-000035250000}"/>
    <cellStyle name="40% - Accent1 2 6 4 2" xfId="8459" xr:uid="{00000000-0005-0000-0000-000036250000}"/>
    <cellStyle name="40% - Accent1 2 6 4 2 2" xfId="10678" xr:uid="{00000000-0005-0000-0000-000037250000}"/>
    <cellStyle name="40% - Accent1 2 6 4 2 2 2" xfId="21241" xr:uid="{00000000-0005-0000-0000-000038250000}"/>
    <cellStyle name="40% - Accent1 2 6 4 2 3" xfId="12897" xr:uid="{00000000-0005-0000-0000-000039250000}"/>
    <cellStyle name="40% - Accent1 2 6 4 2 3 2" xfId="23460" xr:uid="{00000000-0005-0000-0000-00003A250000}"/>
    <cellStyle name="40% - Accent1 2 6 4 2 4" xfId="15116" xr:uid="{00000000-0005-0000-0000-00003B250000}"/>
    <cellStyle name="40% - Accent1 2 6 4 2 4 2" xfId="25679" xr:uid="{00000000-0005-0000-0000-00003C250000}"/>
    <cellStyle name="40% - Accent1 2 6 4 2 5" xfId="19022" xr:uid="{00000000-0005-0000-0000-00003D250000}"/>
    <cellStyle name="40% - Accent1 2 6 4 3" xfId="7726" xr:uid="{00000000-0005-0000-0000-00003E250000}"/>
    <cellStyle name="40% - Accent1 2 6 4 3 2" xfId="9945" xr:uid="{00000000-0005-0000-0000-00003F250000}"/>
    <cellStyle name="40% - Accent1 2 6 4 3 2 2" xfId="20508" xr:uid="{00000000-0005-0000-0000-000040250000}"/>
    <cellStyle name="40% - Accent1 2 6 4 3 3" xfId="12164" xr:uid="{00000000-0005-0000-0000-000041250000}"/>
    <cellStyle name="40% - Accent1 2 6 4 3 3 2" xfId="22727" xr:uid="{00000000-0005-0000-0000-000042250000}"/>
    <cellStyle name="40% - Accent1 2 6 4 3 4" xfId="14383" xr:uid="{00000000-0005-0000-0000-000043250000}"/>
    <cellStyle name="40% - Accent1 2 6 4 3 4 2" xfId="24946" xr:uid="{00000000-0005-0000-0000-000044250000}"/>
    <cellStyle name="40% - Accent1 2 6 4 3 5" xfId="18289" xr:uid="{00000000-0005-0000-0000-000045250000}"/>
    <cellStyle name="40% - Accent1 2 6 4 4" xfId="9202" xr:uid="{00000000-0005-0000-0000-000046250000}"/>
    <cellStyle name="40% - Accent1 2 6 4 4 2" xfId="19765" xr:uid="{00000000-0005-0000-0000-000047250000}"/>
    <cellStyle name="40% - Accent1 2 6 4 5" xfId="11421" xr:uid="{00000000-0005-0000-0000-000048250000}"/>
    <cellStyle name="40% - Accent1 2 6 4 5 2" xfId="21984" xr:uid="{00000000-0005-0000-0000-000049250000}"/>
    <cellStyle name="40% - Accent1 2 6 4 6" xfId="13640" xr:uid="{00000000-0005-0000-0000-00004A250000}"/>
    <cellStyle name="40% - Accent1 2 6 4 6 2" xfId="24203" xr:uid="{00000000-0005-0000-0000-00004B250000}"/>
    <cellStyle name="40% - Accent1 2 6 4 7" xfId="17540" xr:uid="{00000000-0005-0000-0000-00004C250000}"/>
    <cellStyle name="40% - Accent1 2 6 5" xfId="913" xr:uid="{00000000-0005-0000-0000-00004D250000}"/>
    <cellStyle name="40% - Accent1 2 6 5 2" xfId="8460" xr:uid="{00000000-0005-0000-0000-00004E250000}"/>
    <cellStyle name="40% - Accent1 2 6 5 2 2" xfId="10679" xr:uid="{00000000-0005-0000-0000-00004F250000}"/>
    <cellStyle name="40% - Accent1 2 6 5 2 2 2" xfId="21242" xr:uid="{00000000-0005-0000-0000-000050250000}"/>
    <cellStyle name="40% - Accent1 2 6 5 2 3" xfId="12898" xr:uid="{00000000-0005-0000-0000-000051250000}"/>
    <cellStyle name="40% - Accent1 2 6 5 2 3 2" xfId="23461" xr:uid="{00000000-0005-0000-0000-000052250000}"/>
    <cellStyle name="40% - Accent1 2 6 5 2 4" xfId="15117" xr:uid="{00000000-0005-0000-0000-000053250000}"/>
    <cellStyle name="40% - Accent1 2 6 5 2 4 2" xfId="25680" xr:uid="{00000000-0005-0000-0000-000054250000}"/>
    <cellStyle name="40% - Accent1 2 6 5 2 5" xfId="19023" xr:uid="{00000000-0005-0000-0000-000055250000}"/>
    <cellStyle name="40% - Accent1 2 6 5 3" xfId="7727" xr:uid="{00000000-0005-0000-0000-000056250000}"/>
    <cellStyle name="40% - Accent1 2 6 5 3 2" xfId="9946" xr:uid="{00000000-0005-0000-0000-000057250000}"/>
    <cellStyle name="40% - Accent1 2 6 5 3 2 2" xfId="20509" xr:uid="{00000000-0005-0000-0000-000058250000}"/>
    <cellStyle name="40% - Accent1 2 6 5 3 3" xfId="12165" xr:uid="{00000000-0005-0000-0000-000059250000}"/>
    <cellStyle name="40% - Accent1 2 6 5 3 3 2" xfId="22728" xr:uid="{00000000-0005-0000-0000-00005A250000}"/>
    <cellStyle name="40% - Accent1 2 6 5 3 4" xfId="14384" xr:uid="{00000000-0005-0000-0000-00005B250000}"/>
    <cellStyle name="40% - Accent1 2 6 5 3 4 2" xfId="24947" xr:uid="{00000000-0005-0000-0000-00005C250000}"/>
    <cellStyle name="40% - Accent1 2 6 5 3 5" xfId="18290" xr:uid="{00000000-0005-0000-0000-00005D250000}"/>
    <cellStyle name="40% - Accent1 2 6 5 4" xfId="9203" xr:uid="{00000000-0005-0000-0000-00005E250000}"/>
    <cellStyle name="40% - Accent1 2 6 5 4 2" xfId="19766" xr:uid="{00000000-0005-0000-0000-00005F250000}"/>
    <cellStyle name="40% - Accent1 2 6 5 5" xfId="11422" xr:uid="{00000000-0005-0000-0000-000060250000}"/>
    <cellStyle name="40% - Accent1 2 6 5 5 2" xfId="21985" xr:uid="{00000000-0005-0000-0000-000061250000}"/>
    <cellStyle name="40% - Accent1 2 6 5 6" xfId="13641" xr:uid="{00000000-0005-0000-0000-000062250000}"/>
    <cellStyle name="40% - Accent1 2 6 5 6 2" xfId="24204" xr:uid="{00000000-0005-0000-0000-000063250000}"/>
    <cellStyle name="40% - Accent1 2 6 5 7" xfId="17541" xr:uid="{00000000-0005-0000-0000-000064250000}"/>
    <cellStyle name="40% - Accent1 2 6 6" xfId="8456" xr:uid="{00000000-0005-0000-0000-000065250000}"/>
    <cellStyle name="40% - Accent1 2 6 6 2" xfId="10675" xr:uid="{00000000-0005-0000-0000-000066250000}"/>
    <cellStyle name="40% - Accent1 2 6 6 2 2" xfId="21238" xr:uid="{00000000-0005-0000-0000-000067250000}"/>
    <cellStyle name="40% - Accent1 2 6 6 3" xfId="12894" xr:uid="{00000000-0005-0000-0000-000068250000}"/>
    <cellStyle name="40% - Accent1 2 6 6 3 2" xfId="23457" xr:uid="{00000000-0005-0000-0000-000069250000}"/>
    <cellStyle name="40% - Accent1 2 6 6 4" xfId="15113" xr:uid="{00000000-0005-0000-0000-00006A250000}"/>
    <cellStyle name="40% - Accent1 2 6 6 4 2" xfId="25676" xr:uid="{00000000-0005-0000-0000-00006B250000}"/>
    <cellStyle name="40% - Accent1 2 6 6 5" xfId="19019" xr:uid="{00000000-0005-0000-0000-00006C250000}"/>
    <cellStyle name="40% - Accent1 2 6 7" xfId="7723" xr:uid="{00000000-0005-0000-0000-00006D250000}"/>
    <cellStyle name="40% - Accent1 2 6 7 2" xfId="9942" xr:uid="{00000000-0005-0000-0000-00006E250000}"/>
    <cellStyle name="40% - Accent1 2 6 7 2 2" xfId="20505" xr:uid="{00000000-0005-0000-0000-00006F250000}"/>
    <cellStyle name="40% - Accent1 2 6 7 3" xfId="12161" xr:uid="{00000000-0005-0000-0000-000070250000}"/>
    <cellStyle name="40% - Accent1 2 6 7 3 2" xfId="22724" xr:uid="{00000000-0005-0000-0000-000071250000}"/>
    <cellStyle name="40% - Accent1 2 6 7 4" xfId="14380" xr:uid="{00000000-0005-0000-0000-000072250000}"/>
    <cellStyle name="40% - Accent1 2 6 7 4 2" xfId="24943" xr:uid="{00000000-0005-0000-0000-000073250000}"/>
    <cellStyle name="40% - Accent1 2 6 7 5" xfId="18286" xr:uid="{00000000-0005-0000-0000-000074250000}"/>
    <cellStyle name="40% - Accent1 2 6 8" xfId="9199" xr:uid="{00000000-0005-0000-0000-000075250000}"/>
    <cellStyle name="40% - Accent1 2 6 8 2" xfId="19762" xr:uid="{00000000-0005-0000-0000-000076250000}"/>
    <cellStyle name="40% - Accent1 2 6 9" xfId="11418" xr:uid="{00000000-0005-0000-0000-000077250000}"/>
    <cellStyle name="40% - Accent1 2 6 9 2" xfId="21981" xr:uid="{00000000-0005-0000-0000-000078250000}"/>
    <cellStyle name="40% - Accent1 2 7" xfId="914" xr:uid="{00000000-0005-0000-0000-000079250000}"/>
    <cellStyle name="40% - Accent1 2 7 2" xfId="8461" xr:uid="{00000000-0005-0000-0000-00007A250000}"/>
    <cellStyle name="40% - Accent1 2 7 2 2" xfId="10680" xr:uid="{00000000-0005-0000-0000-00007B250000}"/>
    <cellStyle name="40% - Accent1 2 7 2 2 2" xfId="21243" xr:uid="{00000000-0005-0000-0000-00007C250000}"/>
    <cellStyle name="40% - Accent1 2 7 2 3" xfId="12899" xr:uid="{00000000-0005-0000-0000-00007D250000}"/>
    <cellStyle name="40% - Accent1 2 7 2 3 2" xfId="23462" xr:uid="{00000000-0005-0000-0000-00007E250000}"/>
    <cellStyle name="40% - Accent1 2 7 2 4" xfId="15118" xr:uid="{00000000-0005-0000-0000-00007F250000}"/>
    <cellStyle name="40% - Accent1 2 7 2 4 2" xfId="25681" xr:uid="{00000000-0005-0000-0000-000080250000}"/>
    <cellStyle name="40% - Accent1 2 7 2 5" xfId="19024" xr:uid="{00000000-0005-0000-0000-000081250000}"/>
    <cellStyle name="40% - Accent1 2 7 3" xfId="7728" xr:uid="{00000000-0005-0000-0000-000082250000}"/>
    <cellStyle name="40% - Accent1 2 7 3 2" xfId="9947" xr:uid="{00000000-0005-0000-0000-000083250000}"/>
    <cellStyle name="40% - Accent1 2 7 3 2 2" xfId="20510" xr:uid="{00000000-0005-0000-0000-000084250000}"/>
    <cellStyle name="40% - Accent1 2 7 3 3" xfId="12166" xr:uid="{00000000-0005-0000-0000-000085250000}"/>
    <cellStyle name="40% - Accent1 2 7 3 3 2" xfId="22729" xr:uid="{00000000-0005-0000-0000-000086250000}"/>
    <cellStyle name="40% - Accent1 2 7 3 4" xfId="14385" xr:uid="{00000000-0005-0000-0000-000087250000}"/>
    <cellStyle name="40% - Accent1 2 7 3 4 2" xfId="24948" xr:uid="{00000000-0005-0000-0000-000088250000}"/>
    <cellStyle name="40% - Accent1 2 7 3 5" xfId="18291" xr:uid="{00000000-0005-0000-0000-000089250000}"/>
    <cellStyle name="40% - Accent1 2 7 4" xfId="9204" xr:uid="{00000000-0005-0000-0000-00008A250000}"/>
    <cellStyle name="40% - Accent1 2 7 4 2" xfId="19767" xr:uid="{00000000-0005-0000-0000-00008B250000}"/>
    <cellStyle name="40% - Accent1 2 7 5" xfId="11423" xr:uid="{00000000-0005-0000-0000-00008C250000}"/>
    <cellStyle name="40% - Accent1 2 7 5 2" xfId="21986" xr:uid="{00000000-0005-0000-0000-00008D250000}"/>
    <cellStyle name="40% - Accent1 2 7 6" xfId="13642" xr:uid="{00000000-0005-0000-0000-00008E250000}"/>
    <cellStyle name="40% - Accent1 2 7 6 2" xfId="24205" xr:uid="{00000000-0005-0000-0000-00008F250000}"/>
    <cellStyle name="40% - Accent1 2 7 7" xfId="17542" xr:uid="{00000000-0005-0000-0000-000090250000}"/>
    <cellStyle name="40% - Accent1 2 8" xfId="915" xr:uid="{00000000-0005-0000-0000-000091250000}"/>
    <cellStyle name="40% - Accent1 2 8 2" xfId="8462" xr:uid="{00000000-0005-0000-0000-000092250000}"/>
    <cellStyle name="40% - Accent1 2 8 2 2" xfId="10681" xr:uid="{00000000-0005-0000-0000-000093250000}"/>
    <cellStyle name="40% - Accent1 2 8 2 2 2" xfId="21244" xr:uid="{00000000-0005-0000-0000-000094250000}"/>
    <cellStyle name="40% - Accent1 2 8 2 3" xfId="12900" xr:uid="{00000000-0005-0000-0000-000095250000}"/>
    <cellStyle name="40% - Accent1 2 8 2 3 2" xfId="23463" xr:uid="{00000000-0005-0000-0000-000096250000}"/>
    <cellStyle name="40% - Accent1 2 8 2 4" xfId="15119" xr:uid="{00000000-0005-0000-0000-000097250000}"/>
    <cellStyle name="40% - Accent1 2 8 2 4 2" xfId="25682" xr:uid="{00000000-0005-0000-0000-000098250000}"/>
    <cellStyle name="40% - Accent1 2 8 2 5" xfId="19025" xr:uid="{00000000-0005-0000-0000-000099250000}"/>
    <cellStyle name="40% - Accent1 2 8 3" xfId="7729" xr:uid="{00000000-0005-0000-0000-00009A250000}"/>
    <cellStyle name="40% - Accent1 2 8 3 2" xfId="9948" xr:uid="{00000000-0005-0000-0000-00009B250000}"/>
    <cellStyle name="40% - Accent1 2 8 3 2 2" xfId="20511" xr:uid="{00000000-0005-0000-0000-00009C250000}"/>
    <cellStyle name="40% - Accent1 2 8 3 3" xfId="12167" xr:uid="{00000000-0005-0000-0000-00009D250000}"/>
    <cellStyle name="40% - Accent1 2 8 3 3 2" xfId="22730" xr:uid="{00000000-0005-0000-0000-00009E250000}"/>
    <cellStyle name="40% - Accent1 2 8 3 4" xfId="14386" xr:uid="{00000000-0005-0000-0000-00009F250000}"/>
    <cellStyle name="40% - Accent1 2 8 3 4 2" xfId="24949" xr:uid="{00000000-0005-0000-0000-0000A0250000}"/>
    <cellStyle name="40% - Accent1 2 8 3 5" xfId="18292" xr:uid="{00000000-0005-0000-0000-0000A1250000}"/>
    <cellStyle name="40% - Accent1 2 8 4" xfId="9205" xr:uid="{00000000-0005-0000-0000-0000A2250000}"/>
    <cellStyle name="40% - Accent1 2 8 4 2" xfId="19768" xr:uid="{00000000-0005-0000-0000-0000A3250000}"/>
    <cellStyle name="40% - Accent1 2 8 5" xfId="11424" xr:uid="{00000000-0005-0000-0000-0000A4250000}"/>
    <cellStyle name="40% - Accent1 2 8 5 2" xfId="21987" xr:uid="{00000000-0005-0000-0000-0000A5250000}"/>
    <cellStyle name="40% - Accent1 2 8 6" xfId="13643" xr:uid="{00000000-0005-0000-0000-0000A6250000}"/>
    <cellStyle name="40% - Accent1 2 8 6 2" xfId="24206" xr:uid="{00000000-0005-0000-0000-0000A7250000}"/>
    <cellStyle name="40% - Accent1 2 8 7" xfId="17543" xr:uid="{00000000-0005-0000-0000-0000A8250000}"/>
    <cellStyle name="40% - Accent1 2 9" xfId="916" xr:uid="{00000000-0005-0000-0000-0000A9250000}"/>
    <cellStyle name="40% - Accent1 2 9 2" xfId="8463" xr:uid="{00000000-0005-0000-0000-0000AA250000}"/>
    <cellStyle name="40% - Accent1 2 9 2 2" xfId="10682" xr:uid="{00000000-0005-0000-0000-0000AB250000}"/>
    <cellStyle name="40% - Accent1 2 9 2 2 2" xfId="21245" xr:uid="{00000000-0005-0000-0000-0000AC250000}"/>
    <cellStyle name="40% - Accent1 2 9 2 3" xfId="12901" xr:uid="{00000000-0005-0000-0000-0000AD250000}"/>
    <cellStyle name="40% - Accent1 2 9 2 3 2" xfId="23464" xr:uid="{00000000-0005-0000-0000-0000AE250000}"/>
    <cellStyle name="40% - Accent1 2 9 2 4" xfId="15120" xr:uid="{00000000-0005-0000-0000-0000AF250000}"/>
    <cellStyle name="40% - Accent1 2 9 2 4 2" xfId="25683" xr:uid="{00000000-0005-0000-0000-0000B0250000}"/>
    <cellStyle name="40% - Accent1 2 9 2 5" xfId="19026" xr:uid="{00000000-0005-0000-0000-0000B1250000}"/>
    <cellStyle name="40% - Accent1 2 9 3" xfId="7730" xr:uid="{00000000-0005-0000-0000-0000B2250000}"/>
    <cellStyle name="40% - Accent1 2 9 3 2" xfId="9949" xr:uid="{00000000-0005-0000-0000-0000B3250000}"/>
    <cellStyle name="40% - Accent1 2 9 3 2 2" xfId="20512" xr:uid="{00000000-0005-0000-0000-0000B4250000}"/>
    <cellStyle name="40% - Accent1 2 9 3 3" xfId="12168" xr:uid="{00000000-0005-0000-0000-0000B5250000}"/>
    <cellStyle name="40% - Accent1 2 9 3 3 2" xfId="22731" xr:uid="{00000000-0005-0000-0000-0000B6250000}"/>
    <cellStyle name="40% - Accent1 2 9 3 4" xfId="14387" xr:uid="{00000000-0005-0000-0000-0000B7250000}"/>
    <cellStyle name="40% - Accent1 2 9 3 4 2" xfId="24950" xr:uid="{00000000-0005-0000-0000-0000B8250000}"/>
    <cellStyle name="40% - Accent1 2 9 3 5" xfId="18293" xr:uid="{00000000-0005-0000-0000-0000B9250000}"/>
    <cellStyle name="40% - Accent1 2 9 4" xfId="9206" xr:uid="{00000000-0005-0000-0000-0000BA250000}"/>
    <cellStyle name="40% - Accent1 2 9 4 2" xfId="19769" xr:uid="{00000000-0005-0000-0000-0000BB250000}"/>
    <cellStyle name="40% - Accent1 2 9 5" xfId="11425" xr:uid="{00000000-0005-0000-0000-0000BC250000}"/>
    <cellStyle name="40% - Accent1 2 9 5 2" xfId="21988" xr:uid="{00000000-0005-0000-0000-0000BD250000}"/>
    <cellStyle name="40% - Accent1 2 9 6" xfId="13644" xr:uid="{00000000-0005-0000-0000-0000BE250000}"/>
    <cellStyle name="40% - Accent1 2 9 6 2" xfId="24207" xr:uid="{00000000-0005-0000-0000-0000BF250000}"/>
    <cellStyle name="40% - Accent1 2 9 7" xfId="17544" xr:uid="{00000000-0005-0000-0000-0000C0250000}"/>
    <cellStyle name="40% - Accent1 20" xfId="917" xr:uid="{00000000-0005-0000-0000-0000C1250000}"/>
    <cellStyle name="40% - Accent1 21" xfId="918" xr:uid="{00000000-0005-0000-0000-0000C2250000}"/>
    <cellStyle name="40% - Accent1 22" xfId="919" xr:uid="{00000000-0005-0000-0000-0000C3250000}"/>
    <cellStyle name="40% - Accent1 23" xfId="920" xr:uid="{00000000-0005-0000-0000-0000C4250000}"/>
    <cellStyle name="40% - Accent1 24" xfId="921" xr:uid="{00000000-0005-0000-0000-0000C5250000}"/>
    <cellStyle name="40% - Accent1 25" xfId="922" xr:uid="{00000000-0005-0000-0000-0000C6250000}"/>
    <cellStyle name="40% - Accent1 26" xfId="923" xr:uid="{00000000-0005-0000-0000-0000C7250000}"/>
    <cellStyle name="40% - Accent1 3" xfId="924" xr:uid="{00000000-0005-0000-0000-0000C8250000}"/>
    <cellStyle name="40% - Accent1 3 10" xfId="925" xr:uid="{00000000-0005-0000-0000-0000C9250000}"/>
    <cellStyle name="40% - Accent1 3 2" xfId="926" xr:uid="{00000000-0005-0000-0000-0000CA250000}"/>
    <cellStyle name="40% - Accent1 3 2 2" xfId="8464" xr:uid="{00000000-0005-0000-0000-0000CB250000}"/>
    <cellStyle name="40% - Accent1 3 2 2 2" xfId="10683" xr:uid="{00000000-0005-0000-0000-0000CC250000}"/>
    <cellStyle name="40% - Accent1 3 2 2 2 2" xfId="21246" xr:uid="{00000000-0005-0000-0000-0000CD250000}"/>
    <cellStyle name="40% - Accent1 3 2 2 3" xfId="12902" xr:uid="{00000000-0005-0000-0000-0000CE250000}"/>
    <cellStyle name="40% - Accent1 3 2 2 3 2" xfId="23465" xr:uid="{00000000-0005-0000-0000-0000CF250000}"/>
    <cellStyle name="40% - Accent1 3 2 2 4" xfId="15121" xr:uid="{00000000-0005-0000-0000-0000D0250000}"/>
    <cellStyle name="40% - Accent1 3 2 2 4 2" xfId="25684" xr:uid="{00000000-0005-0000-0000-0000D1250000}"/>
    <cellStyle name="40% - Accent1 3 2 2 5" xfId="19027" xr:uid="{00000000-0005-0000-0000-0000D2250000}"/>
    <cellStyle name="40% - Accent1 3 2 3" xfId="7731" xr:uid="{00000000-0005-0000-0000-0000D3250000}"/>
    <cellStyle name="40% - Accent1 3 2 3 2" xfId="9950" xr:uid="{00000000-0005-0000-0000-0000D4250000}"/>
    <cellStyle name="40% - Accent1 3 2 3 2 2" xfId="20513" xr:uid="{00000000-0005-0000-0000-0000D5250000}"/>
    <cellStyle name="40% - Accent1 3 2 3 3" xfId="12169" xr:uid="{00000000-0005-0000-0000-0000D6250000}"/>
    <cellStyle name="40% - Accent1 3 2 3 3 2" xfId="22732" xr:uid="{00000000-0005-0000-0000-0000D7250000}"/>
    <cellStyle name="40% - Accent1 3 2 3 4" xfId="14388" xr:uid="{00000000-0005-0000-0000-0000D8250000}"/>
    <cellStyle name="40% - Accent1 3 2 3 4 2" xfId="24951" xr:uid="{00000000-0005-0000-0000-0000D9250000}"/>
    <cellStyle name="40% - Accent1 3 2 3 5" xfId="18294" xr:uid="{00000000-0005-0000-0000-0000DA250000}"/>
    <cellStyle name="40% - Accent1 3 2 4" xfId="9207" xr:uid="{00000000-0005-0000-0000-0000DB250000}"/>
    <cellStyle name="40% - Accent1 3 2 4 2" xfId="19770" xr:uid="{00000000-0005-0000-0000-0000DC250000}"/>
    <cellStyle name="40% - Accent1 3 2 5" xfId="11426" xr:uid="{00000000-0005-0000-0000-0000DD250000}"/>
    <cellStyle name="40% - Accent1 3 2 5 2" xfId="21989" xr:uid="{00000000-0005-0000-0000-0000DE250000}"/>
    <cellStyle name="40% - Accent1 3 2 6" xfId="13645" xr:uid="{00000000-0005-0000-0000-0000DF250000}"/>
    <cellStyle name="40% - Accent1 3 2 6 2" xfId="24208" xr:uid="{00000000-0005-0000-0000-0000E0250000}"/>
    <cellStyle name="40% - Accent1 3 2 7" xfId="17545" xr:uid="{00000000-0005-0000-0000-0000E1250000}"/>
    <cellStyle name="40% - Accent1 3 3" xfId="927" xr:uid="{00000000-0005-0000-0000-0000E2250000}"/>
    <cellStyle name="40% - Accent1 3 3 2" xfId="8465" xr:uid="{00000000-0005-0000-0000-0000E3250000}"/>
    <cellStyle name="40% - Accent1 3 3 2 2" xfId="10684" xr:uid="{00000000-0005-0000-0000-0000E4250000}"/>
    <cellStyle name="40% - Accent1 3 3 2 2 2" xfId="21247" xr:uid="{00000000-0005-0000-0000-0000E5250000}"/>
    <cellStyle name="40% - Accent1 3 3 2 3" xfId="12903" xr:uid="{00000000-0005-0000-0000-0000E6250000}"/>
    <cellStyle name="40% - Accent1 3 3 2 3 2" xfId="23466" xr:uid="{00000000-0005-0000-0000-0000E7250000}"/>
    <cellStyle name="40% - Accent1 3 3 2 4" xfId="15122" xr:uid="{00000000-0005-0000-0000-0000E8250000}"/>
    <cellStyle name="40% - Accent1 3 3 2 4 2" xfId="25685" xr:uid="{00000000-0005-0000-0000-0000E9250000}"/>
    <cellStyle name="40% - Accent1 3 3 2 5" xfId="19028" xr:uid="{00000000-0005-0000-0000-0000EA250000}"/>
    <cellStyle name="40% - Accent1 3 3 3" xfId="7732" xr:uid="{00000000-0005-0000-0000-0000EB250000}"/>
    <cellStyle name="40% - Accent1 3 3 3 2" xfId="9951" xr:uid="{00000000-0005-0000-0000-0000EC250000}"/>
    <cellStyle name="40% - Accent1 3 3 3 2 2" xfId="20514" xr:uid="{00000000-0005-0000-0000-0000ED250000}"/>
    <cellStyle name="40% - Accent1 3 3 3 3" xfId="12170" xr:uid="{00000000-0005-0000-0000-0000EE250000}"/>
    <cellStyle name="40% - Accent1 3 3 3 3 2" xfId="22733" xr:uid="{00000000-0005-0000-0000-0000EF250000}"/>
    <cellStyle name="40% - Accent1 3 3 3 4" xfId="14389" xr:uid="{00000000-0005-0000-0000-0000F0250000}"/>
    <cellStyle name="40% - Accent1 3 3 3 4 2" xfId="24952" xr:uid="{00000000-0005-0000-0000-0000F1250000}"/>
    <cellStyle name="40% - Accent1 3 3 3 5" xfId="18295" xr:uid="{00000000-0005-0000-0000-0000F2250000}"/>
    <cellStyle name="40% - Accent1 3 3 4" xfId="9208" xr:uid="{00000000-0005-0000-0000-0000F3250000}"/>
    <cellStyle name="40% - Accent1 3 3 4 2" xfId="19771" xr:uid="{00000000-0005-0000-0000-0000F4250000}"/>
    <cellStyle name="40% - Accent1 3 3 5" xfId="11427" xr:uid="{00000000-0005-0000-0000-0000F5250000}"/>
    <cellStyle name="40% - Accent1 3 3 5 2" xfId="21990" xr:uid="{00000000-0005-0000-0000-0000F6250000}"/>
    <cellStyle name="40% - Accent1 3 3 6" xfId="13646" xr:uid="{00000000-0005-0000-0000-0000F7250000}"/>
    <cellStyle name="40% - Accent1 3 3 6 2" xfId="24209" xr:uid="{00000000-0005-0000-0000-0000F8250000}"/>
    <cellStyle name="40% - Accent1 3 3 7" xfId="17546" xr:uid="{00000000-0005-0000-0000-0000F9250000}"/>
    <cellStyle name="40% - Accent1 3 4" xfId="928" xr:uid="{00000000-0005-0000-0000-0000FA250000}"/>
    <cellStyle name="40% - Accent1 3 4 2" xfId="8466" xr:uid="{00000000-0005-0000-0000-0000FB250000}"/>
    <cellStyle name="40% - Accent1 3 4 2 2" xfId="10685" xr:uid="{00000000-0005-0000-0000-0000FC250000}"/>
    <cellStyle name="40% - Accent1 3 4 2 2 2" xfId="21248" xr:uid="{00000000-0005-0000-0000-0000FD250000}"/>
    <cellStyle name="40% - Accent1 3 4 2 3" xfId="12904" xr:uid="{00000000-0005-0000-0000-0000FE250000}"/>
    <cellStyle name="40% - Accent1 3 4 2 3 2" xfId="23467" xr:uid="{00000000-0005-0000-0000-0000FF250000}"/>
    <cellStyle name="40% - Accent1 3 4 2 4" xfId="15123" xr:uid="{00000000-0005-0000-0000-000000260000}"/>
    <cellStyle name="40% - Accent1 3 4 2 4 2" xfId="25686" xr:uid="{00000000-0005-0000-0000-000001260000}"/>
    <cellStyle name="40% - Accent1 3 4 2 5" xfId="19029" xr:uid="{00000000-0005-0000-0000-000002260000}"/>
    <cellStyle name="40% - Accent1 3 4 3" xfId="7733" xr:uid="{00000000-0005-0000-0000-000003260000}"/>
    <cellStyle name="40% - Accent1 3 4 3 2" xfId="9952" xr:uid="{00000000-0005-0000-0000-000004260000}"/>
    <cellStyle name="40% - Accent1 3 4 3 2 2" xfId="20515" xr:uid="{00000000-0005-0000-0000-000005260000}"/>
    <cellStyle name="40% - Accent1 3 4 3 3" xfId="12171" xr:uid="{00000000-0005-0000-0000-000006260000}"/>
    <cellStyle name="40% - Accent1 3 4 3 3 2" xfId="22734" xr:uid="{00000000-0005-0000-0000-000007260000}"/>
    <cellStyle name="40% - Accent1 3 4 3 4" xfId="14390" xr:uid="{00000000-0005-0000-0000-000008260000}"/>
    <cellStyle name="40% - Accent1 3 4 3 4 2" xfId="24953" xr:uid="{00000000-0005-0000-0000-000009260000}"/>
    <cellStyle name="40% - Accent1 3 4 3 5" xfId="18296" xr:uid="{00000000-0005-0000-0000-00000A260000}"/>
    <cellStyle name="40% - Accent1 3 4 4" xfId="9209" xr:uid="{00000000-0005-0000-0000-00000B260000}"/>
    <cellStyle name="40% - Accent1 3 4 4 2" xfId="19772" xr:uid="{00000000-0005-0000-0000-00000C260000}"/>
    <cellStyle name="40% - Accent1 3 4 5" xfId="11428" xr:uid="{00000000-0005-0000-0000-00000D260000}"/>
    <cellStyle name="40% - Accent1 3 4 5 2" xfId="21991" xr:uid="{00000000-0005-0000-0000-00000E260000}"/>
    <cellStyle name="40% - Accent1 3 4 6" xfId="13647" xr:uid="{00000000-0005-0000-0000-00000F260000}"/>
    <cellStyle name="40% - Accent1 3 4 6 2" xfId="24210" xr:uid="{00000000-0005-0000-0000-000010260000}"/>
    <cellStyle name="40% - Accent1 3 4 7" xfId="17547" xr:uid="{00000000-0005-0000-0000-000011260000}"/>
    <cellStyle name="40% - Accent1 3 5" xfId="929" xr:uid="{00000000-0005-0000-0000-000012260000}"/>
    <cellStyle name="40% - Accent1 3 5 2" xfId="8467" xr:uid="{00000000-0005-0000-0000-000013260000}"/>
    <cellStyle name="40% - Accent1 3 5 2 2" xfId="10686" xr:uid="{00000000-0005-0000-0000-000014260000}"/>
    <cellStyle name="40% - Accent1 3 5 2 2 2" xfId="21249" xr:uid="{00000000-0005-0000-0000-000015260000}"/>
    <cellStyle name="40% - Accent1 3 5 2 3" xfId="12905" xr:uid="{00000000-0005-0000-0000-000016260000}"/>
    <cellStyle name="40% - Accent1 3 5 2 3 2" xfId="23468" xr:uid="{00000000-0005-0000-0000-000017260000}"/>
    <cellStyle name="40% - Accent1 3 5 2 4" xfId="15124" xr:uid="{00000000-0005-0000-0000-000018260000}"/>
    <cellStyle name="40% - Accent1 3 5 2 4 2" xfId="25687" xr:uid="{00000000-0005-0000-0000-000019260000}"/>
    <cellStyle name="40% - Accent1 3 5 2 5" xfId="19030" xr:uid="{00000000-0005-0000-0000-00001A260000}"/>
    <cellStyle name="40% - Accent1 3 5 3" xfId="7734" xr:uid="{00000000-0005-0000-0000-00001B260000}"/>
    <cellStyle name="40% - Accent1 3 5 3 2" xfId="9953" xr:uid="{00000000-0005-0000-0000-00001C260000}"/>
    <cellStyle name="40% - Accent1 3 5 3 2 2" xfId="20516" xr:uid="{00000000-0005-0000-0000-00001D260000}"/>
    <cellStyle name="40% - Accent1 3 5 3 3" xfId="12172" xr:uid="{00000000-0005-0000-0000-00001E260000}"/>
    <cellStyle name="40% - Accent1 3 5 3 3 2" xfId="22735" xr:uid="{00000000-0005-0000-0000-00001F260000}"/>
    <cellStyle name="40% - Accent1 3 5 3 4" xfId="14391" xr:uid="{00000000-0005-0000-0000-000020260000}"/>
    <cellStyle name="40% - Accent1 3 5 3 4 2" xfId="24954" xr:uid="{00000000-0005-0000-0000-000021260000}"/>
    <cellStyle name="40% - Accent1 3 5 3 5" xfId="18297" xr:uid="{00000000-0005-0000-0000-000022260000}"/>
    <cellStyle name="40% - Accent1 3 5 4" xfId="9210" xr:uid="{00000000-0005-0000-0000-000023260000}"/>
    <cellStyle name="40% - Accent1 3 5 4 2" xfId="19773" xr:uid="{00000000-0005-0000-0000-000024260000}"/>
    <cellStyle name="40% - Accent1 3 5 5" xfId="11429" xr:uid="{00000000-0005-0000-0000-000025260000}"/>
    <cellStyle name="40% - Accent1 3 5 5 2" xfId="21992" xr:uid="{00000000-0005-0000-0000-000026260000}"/>
    <cellStyle name="40% - Accent1 3 5 6" xfId="13648" xr:uid="{00000000-0005-0000-0000-000027260000}"/>
    <cellStyle name="40% - Accent1 3 5 6 2" xfId="24211" xr:uid="{00000000-0005-0000-0000-000028260000}"/>
    <cellStyle name="40% - Accent1 3 5 7" xfId="17548" xr:uid="{00000000-0005-0000-0000-000029260000}"/>
    <cellStyle name="40% - Accent1 3 6" xfId="930" xr:uid="{00000000-0005-0000-0000-00002A260000}"/>
    <cellStyle name="40% - Accent1 3 7" xfId="931" xr:uid="{00000000-0005-0000-0000-00002B260000}"/>
    <cellStyle name="40% - Accent1 3 8" xfId="932" xr:uid="{00000000-0005-0000-0000-00002C260000}"/>
    <cellStyle name="40% - Accent1 3 9" xfId="933" xr:uid="{00000000-0005-0000-0000-00002D260000}"/>
    <cellStyle name="40% - Accent1 4" xfId="934" xr:uid="{00000000-0005-0000-0000-00002E260000}"/>
    <cellStyle name="40% - Accent1 4 2" xfId="935" xr:uid="{00000000-0005-0000-0000-00002F260000}"/>
    <cellStyle name="40% - Accent1 4 3" xfId="936" xr:uid="{00000000-0005-0000-0000-000030260000}"/>
    <cellStyle name="40% - Accent1 4 4" xfId="937" xr:uid="{00000000-0005-0000-0000-000031260000}"/>
    <cellStyle name="40% - Accent1 4 5" xfId="938" xr:uid="{00000000-0005-0000-0000-000032260000}"/>
    <cellStyle name="40% - Accent1 4 6" xfId="939" xr:uid="{00000000-0005-0000-0000-000033260000}"/>
    <cellStyle name="40% - Accent1 5" xfId="940" xr:uid="{00000000-0005-0000-0000-000034260000}"/>
    <cellStyle name="40% - Accent1 5 2" xfId="941" xr:uid="{00000000-0005-0000-0000-000035260000}"/>
    <cellStyle name="40% - Accent1 5 3" xfId="942" xr:uid="{00000000-0005-0000-0000-000036260000}"/>
    <cellStyle name="40% - Accent1 5 4" xfId="943" xr:uid="{00000000-0005-0000-0000-000037260000}"/>
    <cellStyle name="40% - Accent1 5 5" xfId="944" xr:uid="{00000000-0005-0000-0000-000038260000}"/>
    <cellStyle name="40% - Accent1 5 6" xfId="945" xr:uid="{00000000-0005-0000-0000-000039260000}"/>
    <cellStyle name="40% - Accent1 6" xfId="946" xr:uid="{00000000-0005-0000-0000-00003A260000}"/>
    <cellStyle name="40% - Accent1 6 2" xfId="947" xr:uid="{00000000-0005-0000-0000-00003B260000}"/>
    <cellStyle name="40% - Accent1 6 3" xfId="948" xr:uid="{00000000-0005-0000-0000-00003C260000}"/>
    <cellStyle name="40% - Accent1 6 4" xfId="949" xr:uid="{00000000-0005-0000-0000-00003D260000}"/>
    <cellStyle name="40% - Accent1 6 5" xfId="950" xr:uid="{00000000-0005-0000-0000-00003E260000}"/>
    <cellStyle name="40% - Accent1 6 6" xfId="951" xr:uid="{00000000-0005-0000-0000-00003F260000}"/>
    <cellStyle name="40% - Accent1 7" xfId="952" xr:uid="{00000000-0005-0000-0000-000040260000}"/>
    <cellStyle name="40% - Accent1 7 10" xfId="11430" xr:uid="{00000000-0005-0000-0000-000041260000}"/>
    <cellStyle name="40% - Accent1 7 10 2" xfId="21993" xr:uid="{00000000-0005-0000-0000-000042260000}"/>
    <cellStyle name="40% - Accent1 7 11" xfId="13649" xr:uid="{00000000-0005-0000-0000-000043260000}"/>
    <cellStyle name="40% - Accent1 7 11 2" xfId="24212" xr:uid="{00000000-0005-0000-0000-000044260000}"/>
    <cellStyle name="40% - Accent1 7 12" xfId="17549" xr:uid="{00000000-0005-0000-0000-000045260000}"/>
    <cellStyle name="40% - Accent1 7 2" xfId="953" xr:uid="{00000000-0005-0000-0000-000046260000}"/>
    <cellStyle name="40% - Accent1 7 3" xfId="954" xr:uid="{00000000-0005-0000-0000-000047260000}"/>
    <cellStyle name="40% - Accent1 7 4" xfId="955" xr:uid="{00000000-0005-0000-0000-000048260000}"/>
    <cellStyle name="40% - Accent1 7 5" xfId="956" xr:uid="{00000000-0005-0000-0000-000049260000}"/>
    <cellStyle name="40% - Accent1 7 6" xfId="957" xr:uid="{00000000-0005-0000-0000-00004A260000}"/>
    <cellStyle name="40% - Accent1 7 7" xfId="8468" xr:uid="{00000000-0005-0000-0000-00004B260000}"/>
    <cellStyle name="40% - Accent1 7 7 2" xfId="10687" xr:uid="{00000000-0005-0000-0000-00004C260000}"/>
    <cellStyle name="40% - Accent1 7 7 2 2" xfId="21250" xr:uid="{00000000-0005-0000-0000-00004D260000}"/>
    <cellStyle name="40% - Accent1 7 7 3" xfId="12906" xr:uid="{00000000-0005-0000-0000-00004E260000}"/>
    <cellStyle name="40% - Accent1 7 7 3 2" xfId="23469" xr:uid="{00000000-0005-0000-0000-00004F260000}"/>
    <cellStyle name="40% - Accent1 7 7 4" xfId="15125" xr:uid="{00000000-0005-0000-0000-000050260000}"/>
    <cellStyle name="40% - Accent1 7 7 4 2" xfId="25688" xr:uid="{00000000-0005-0000-0000-000051260000}"/>
    <cellStyle name="40% - Accent1 7 7 5" xfId="19031" xr:uid="{00000000-0005-0000-0000-000052260000}"/>
    <cellStyle name="40% - Accent1 7 8" xfId="7735" xr:uid="{00000000-0005-0000-0000-000053260000}"/>
    <cellStyle name="40% - Accent1 7 8 2" xfId="9954" xr:uid="{00000000-0005-0000-0000-000054260000}"/>
    <cellStyle name="40% - Accent1 7 8 2 2" xfId="20517" xr:uid="{00000000-0005-0000-0000-000055260000}"/>
    <cellStyle name="40% - Accent1 7 8 3" xfId="12173" xr:uid="{00000000-0005-0000-0000-000056260000}"/>
    <cellStyle name="40% - Accent1 7 8 3 2" xfId="22736" xr:uid="{00000000-0005-0000-0000-000057260000}"/>
    <cellStyle name="40% - Accent1 7 8 4" xfId="14392" xr:uid="{00000000-0005-0000-0000-000058260000}"/>
    <cellStyle name="40% - Accent1 7 8 4 2" xfId="24955" xr:uid="{00000000-0005-0000-0000-000059260000}"/>
    <cellStyle name="40% - Accent1 7 8 5" xfId="18298" xr:uid="{00000000-0005-0000-0000-00005A260000}"/>
    <cellStyle name="40% - Accent1 7 9" xfId="9211" xr:uid="{00000000-0005-0000-0000-00005B260000}"/>
    <cellStyle name="40% - Accent1 7 9 2" xfId="19774" xr:uid="{00000000-0005-0000-0000-00005C260000}"/>
    <cellStyle name="40% - Accent1 8" xfId="958" xr:uid="{00000000-0005-0000-0000-00005D260000}"/>
    <cellStyle name="40% - Accent1 8 2" xfId="959" xr:uid="{00000000-0005-0000-0000-00005E260000}"/>
    <cellStyle name="40% - Accent1 8 3" xfId="960" xr:uid="{00000000-0005-0000-0000-00005F260000}"/>
    <cellStyle name="40% - Accent1 8 4" xfId="961" xr:uid="{00000000-0005-0000-0000-000060260000}"/>
    <cellStyle name="40% - Accent1 8 5" xfId="962" xr:uid="{00000000-0005-0000-0000-000061260000}"/>
    <cellStyle name="40% - Accent1 8 6" xfId="963" xr:uid="{00000000-0005-0000-0000-000062260000}"/>
    <cellStyle name="40% - Accent1 9" xfId="964" xr:uid="{00000000-0005-0000-0000-000063260000}"/>
    <cellStyle name="40% - Accent1 9 2" xfId="965" xr:uid="{00000000-0005-0000-0000-000064260000}"/>
    <cellStyle name="40% - Accent1 9 3" xfId="966" xr:uid="{00000000-0005-0000-0000-000065260000}"/>
    <cellStyle name="40% - Accent1 9 4" xfId="967" xr:uid="{00000000-0005-0000-0000-000066260000}"/>
    <cellStyle name="40% - Accent1 9 5" xfId="968" xr:uid="{00000000-0005-0000-0000-000067260000}"/>
    <cellStyle name="40% - Accent2 10" xfId="969" xr:uid="{00000000-0005-0000-0000-000068260000}"/>
    <cellStyle name="40% - Accent2 11" xfId="970" xr:uid="{00000000-0005-0000-0000-000069260000}"/>
    <cellStyle name="40% - Accent2 12" xfId="971" xr:uid="{00000000-0005-0000-0000-00006A260000}"/>
    <cellStyle name="40% - Accent2 13" xfId="972" xr:uid="{00000000-0005-0000-0000-00006B260000}"/>
    <cellStyle name="40% - Accent2 14" xfId="973" xr:uid="{00000000-0005-0000-0000-00006C260000}"/>
    <cellStyle name="40% - Accent2 15" xfId="974" xr:uid="{00000000-0005-0000-0000-00006D260000}"/>
    <cellStyle name="40% - Accent2 16" xfId="975" xr:uid="{00000000-0005-0000-0000-00006E260000}"/>
    <cellStyle name="40% - Accent2 2" xfId="976" xr:uid="{00000000-0005-0000-0000-00006F260000}"/>
    <cellStyle name="40% - Accent2 2 10" xfId="977" xr:uid="{00000000-0005-0000-0000-000070260000}"/>
    <cellStyle name="40% - Accent2 2 10 2" xfId="8469" xr:uid="{00000000-0005-0000-0000-000071260000}"/>
    <cellStyle name="40% - Accent2 2 10 2 2" xfId="10688" xr:uid="{00000000-0005-0000-0000-000072260000}"/>
    <cellStyle name="40% - Accent2 2 10 2 2 2" xfId="21251" xr:uid="{00000000-0005-0000-0000-000073260000}"/>
    <cellStyle name="40% - Accent2 2 10 2 3" xfId="12907" xr:uid="{00000000-0005-0000-0000-000074260000}"/>
    <cellStyle name="40% - Accent2 2 10 2 3 2" xfId="23470" xr:uid="{00000000-0005-0000-0000-000075260000}"/>
    <cellStyle name="40% - Accent2 2 10 2 4" xfId="15126" xr:uid="{00000000-0005-0000-0000-000076260000}"/>
    <cellStyle name="40% - Accent2 2 10 2 4 2" xfId="25689" xr:uid="{00000000-0005-0000-0000-000077260000}"/>
    <cellStyle name="40% - Accent2 2 10 2 5" xfId="19032" xr:uid="{00000000-0005-0000-0000-000078260000}"/>
    <cellStyle name="40% - Accent2 2 10 3" xfId="7736" xr:uid="{00000000-0005-0000-0000-000079260000}"/>
    <cellStyle name="40% - Accent2 2 10 3 2" xfId="9955" xr:uid="{00000000-0005-0000-0000-00007A260000}"/>
    <cellStyle name="40% - Accent2 2 10 3 2 2" xfId="20518" xr:uid="{00000000-0005-0000-0000-00007B260000}"/>
    <cellStyle name="40% - Accent2 2 10 3 3" xfId="12174" xr:uid="{00000000-0005-0000-0000-00007C260000}"/>
    <cellStyle name="40% - Accent2 2 10 3 3 2" xfId="22737" xr:uid="{00000000-0005-0000-0000-00007D260000}"/>
    <cellStyle name="40% - Accent2 2 10 3 4" xfId="14393" xr:uid="{00000000-0005-0000-0000-00007E260000}"/>
    <cellStyle name="40% - Accent2 2 10 3 4 2" xfId="24956" xr:uid="{00000000-0005-0000-0000-00007F260000}"/>
    <cellStyle name="40% - Accent2 2 10 3 5" xfId="18299" xr:uid="{00000000-0005-0000-0000-000080260000}"/>
    <cellStyle name="40% - Accent2 2 10 4" xfId="9212" xr:uid="{00000000-0005-0000-0000-000081260000}"/>
    <cellStyle name="40% - Accent2 2 10 4 2" xfId="19775" xr:uid="{00000000-0005-0000-0000-000082260000}"/>
    <cellStyle name="40% - Accent2 2 10 5" xfId="11431" xr:uid="{00000000-0005-0000-0000-000083260000}"/>
    <cellStyle name="40% - Accent2 2 10 5 2" xfId="21994" xr:uid="{00000000-0005-0000-0000-000084260000}"/>
    <cellStyle name="40% - Accent2 2 10 6" xfId="13650" xr:uid="{00000000-0005-0000-0000-000085260000}"/>
    <cellStyle name="40% - Accent2 2 10 6 2" xfId="24213" xr:uid="{00000000-0005-0000-0000-000086260000}"/>
    <cellStyle name="40% - Accent2 2 10 7" xfId="17550" xr:uid="{00000000-0005-0000-0000-000087260000}"/>
    <cellStyle name="40% - Accent2 2 11" xfId="978" xr:uid="{00000000-0005-0000-0000-000088260000}"/>
    <cellStyle name="40% - Accent2 2 11 2" xfId="979" xr:uid="{00000000-0005-0000-0000-000089260000}"/>
    <cellStyle name="40% - Accent2 2 11 2 2" xfId="8470" xr:uid="{00000000-0005-0000-0000-00008A260000}"/>
    <cellStyle name="40% - Accent2 2 11 2 2 2" xfId="10689" xr:uid="{00000000-0005-0000-0000-00008B260000}"/>
    <cellStyle name="40% - Accent2 2 11 2 2 2 2" xfId="21252" xr:uid="{00000000-0005-0000-0000-00008C260000}"/>
    <cellStyle name="40% - Accent2 2 11 2 2 3" xfId="12908" xr:uid="{00000000-0005-0000-0000-00008D260000}"/>
    <cellStyle name="40% - Accent2 2 11 2 2 3 2" xfId="23471" xr:uid="{00000000-0005-0000-0000-00008E260000}"/>
    <cellStyle name="40% - Accent2 2 11 2 2 4" xfId="15127" xr:uid="{00000000-0005-0000-0000-00008F260000}"/>
    <cellStyle name="40% - Accent2 2 11 2 2 4 2" xfId="25690" xr:uid="{00000000-0005-0000-0000-000090260000}"/>
    <cellStyle name="40% - Accent2 2 11 2 2 5" xfId="19033" xr:uid="{00000000-0005-0000-0000-000091260000}"/>
    <cellStyle name="40% - Accent2 2 11 2 3" xfId="7737" xr:uid="{00000000-0005-0000-0000-000092260000}"/>
    <cellStyle name="40% - Accent2 2 11 2 3 2" xfId="9956" xr:uid="{00000000-0005-0000-0000-000093260000}"/>
    <cellStyle name="40% - Accent2 2 11 2 3 2 2" xfId="20519" xr:uid="{00000000-0005-0000-0000-000094260000}"/>
    <cellStyle name="40% - Accent2 2 11 2 3 3" xfId="12175" xr:uid="{00000000-0005-0000-0000-000095260000}"/>
    <cellStyle name="40% - Accent2 2 11 2 3 3 2" xfId="22738" xr:uid="{00000000-0005-0000-0000-000096260000}"/>
    <cellStyle name="40% - Accent2 2 11 2 3 4" xfId="14394" xr:uid="{00000000-0005-0000-0000-000097260000}"/>
    <cellStyle name="40% - Accent2 2 11 2 3 4 2" xfId="24957" xr:uid="{00000000-0005-0000-0000-000098260000}"/>
    <cellStyle name="40% - Accent2 2 11 2 3 5" xfId="18300" xr:uid="{00000000-0005-0000-0000-000099260000}"/>
    <cellStyle name="40% - Accent2 2 11 2 4" xfId="9213" xr:uid="{00000000-0005-0000-0000-00009A260000}"/>
    <cellStyle name="40% - Accent2 2 11 2 4 2" xfId="19776" xr:uid="{00000000-0005-0000-0000-00009B260000}"/>
    <cellStyle name="40% - Accent2 2 11 2 5" xfId="11432" xr:uid="{00000000-0005-0000-0000-00009C260000}"/>
    <cellStyle name="40% - Accent2 2 11 2 5 2" xfId="21995" xr:uid="{00000000-0005-0000-0000-00009D260000}"/>
    <cellStyle name="40% - Accent2 2 11 2 6" xfId="13651" xr:uid="{00000000-0005-0000-0000-00009E260000}"/>
    <cellStyle name="40% - Accent2 2 11 2 6 2" xfId="24214" xr:uid="{00000000-0005-0000-0000-00009F260000}"/>
    <cellStyle name="40% - Accent2 2 11 2 7" xfId="17551" xr:uid="{00000000-0005-0000-0000-0000A0260000}"/>
    <cellStyle name="40% - Accent2 2 11 3" xfId="980" xr:uid="{00000000-0005-0000-0000-0000A1260000}"/>
    <cellStyle name="40% - Accent2 2 11 3 2" xfId="8471" xr:uid="{00000000-0005-0000-0000-0000A2260000}"/>
    <cellStyle name="40% - Accent2 2 11 3 2 2" xfId="10690" xr:uid="{00000000-0005-0000-0000-0000A3260000}"/>
    <cellStyle name="40% - Accent2 2 11 3 2 2 2" xfId="21253" xr:uid="{00000000-0005-0000-0000-0000A4260000}"/>
    <cellStyle name="40% - Accent2 2 11 3 2 3" xfId="12909" xr:uid="{00000000-0005-0000-0000-0000A5260000}"/>
    <cellStyle name="40% - Accent2 2 11 3 2 3 2" xfId="23472" xr:uid="{00000000-0005-0000-0000-0000A6260000}"/>
    <cellStyle name="40% - Accent2 2 11 3 2 4" xfId="15128" xr:uid="{00000000-0005-0000-0000-0000A7260000}"/>
    <cellStyle name="40% - Accent2 2 11 3 2 4 2" xfId="25691" xr:uid="{00000000-0005-0000-0000-0000A8260000}"/>
    <cellStyle name="40% - Accent2 2 11 3 2 5" xfId="19034" xr:uid="{00000000-0005-0000-0000-0000A9260000}"/>
    <cellStyle name="40% - Accent2 2 11 3 3" xfId="7738" xr:uid="{00000000-0005-0000-0000-0000AA260000}"/>
    <cellStyle name="40% - Accent2 2 11 3 3 2" xfId="9957" xr:uid="{00000000-0005-0000-0000-0000AB260000}"/>
    <cellStyle name="40% - Accent2 2 11 3 3 2 2" xfId="20520" xr:uid="{00000000-0005-0000-0000-0000AC260000}"/>
    <cellStyle name="40% - Accent2 2 11 3 3 3" xfId="12176" xr:uid="{00000000-0005-0000-0000-0000AD260000}"/>
    <cellStyle name="40% - Accent2 2 11 3 3 3 2" xfId="22739" xr:uid="{00000000-0005-0000-0000-0000AE260000}"/>
    <cellStyle name="40% - Accent2 2 11 3 3 4" xfId="14395" xr:uid="{00000000-0005-0000-0000-0000AF260000}"/>
    <cellStyle name="40% - Accent2 2 11 3 3 4 2" xfId="24958" xr:uid="{00000000-0005-0000-0000-0000B0260000}"/>
    <cellStyle name="40% - Accent2 2 11 3 3 5" xfId="18301" xr:uid="{00000000-0005-0000-0000-0000B1260000}"/>
    <cellStyle name="40% - Accent2 2 11 3 4" xfId="9214" xr:uid="{00000000-0005-0000-0000-0000B2260000}"/>
    <cellStyle name="40% - Accent2 2 11 3 4 2" xfId="19777" xr:uid="{00000000-0005-0000-0000-0000B3260000}"/>
    <cellStyle name="40% - Accent2 2 11 3 5" xfId="11433" xr:uid="{00000000-0005-0000-0000-0000B4260000}"/>
    <cellStyle name="40% - Accent2 2 11 3 5 2" xfId="21996" xr:uid="{00000000-0005-0000-0000-0000B5260000}"/>
    <cellStyle name="40% - Accent2 2 11 3 6" xfId="13652" xr:uid="{00000000-0005-0000-0000-0000B6260000}"/>
    <cellStyle name="40% - Accent2 2 11 3 6 2" xfId="24215" xr:uid="{00000000-0005-0000-0000-0000B7260000}"/>
    <cellStyle name="40% - Accent2 2 11 3 7" xfId="17552" xr:uid="{00000000-0005-0000-0000-0000B8260000}"/>
    <cellStyle name="40% - Accent2 2 11 4" xfId="981" xr:uid="{00000000-0005-0000-0000-0000B9260000}"/>
    <cellStyle name="40% - Accent2 2 11 4 2" xfId="8472" xr:uid="{00000000-0005-0000-0000-0000BA260000}"/>
    <cellStyle name="40% - Accent2 2 11 4 2 2" xfId="10691" xr:uid="{00000000-0005-0000-0000-0000BB260000}"/>
    <cellStyle name="40% - Accent2 2 11 4 2 2 2" xfId="21254" xr:uid="{00000000-0005-0000-0000-0000BC260000}"/>
    <cellStyle name="40% - Accent2 2 11 4 2 3" xfId="12910" xr:uid="{00000000-0005-0000-0000-0000BD260000}"/>
    <cellStyle name="40% - Accent2 2 11 4 2 3 2" xfId="23473" xr:uid="{00000000-0005-0000-0000-0000BE260000}"/>
    <cellStyle name="40% - Accent2 2 11 4 2 4" xfId="15129" xr:uid="{00000000-0005-0000-0000-0000BF260000}"/>
    <cellStyle name="40% - Accent2 2 11 4 2 4 2" xfId="25692" xr:uid="{00000000-0005-0000-0000-0000C0260000}"/>
    <cellStyle name="40% - Accent2 2 11 4 2 5" xfId="19035" xr:uid="{00000000-0005-0000-0000-0000C1260000}"/>
    <cellStyle name="40% - Accent2 2 11 4 3" xfId="7739" xr:uid="{00000000-0005-0000-0000-0000C2260000}"/>
    <cellStyle name="40% - Accent2 2 11 4 3 2" xfId="9958" xr:uid="{00000000-0005-0000-0000-0000C3260000}"/>
    <cellStyle name="40% - Accent2 2 11 4 3 2 2" xfId="20521" xr:uid="{00000000-0005-0000-0000-0000C4260000}"/>
    <cellStyle name="40% - Accent2 2 11 4 3 3" xfId="12177" xr:uid="{00000000-0005-0000-0000-0000C5260000}"/>
    <cellStyle name="40% - Accent2 2 11 4 3 3 2" xfId="22740" xr:uid="{00000000-0005-0000-0000-0000C6260000}"/>
    <cellStyle name="40% - Accent2 2 11 4 3 4" xfId="14396" xr:uid="{00000000-0005-0000-0000-0000C7260000}"/>
    <cellStyle name="40% - Accent2 2 11 4 3 4 2" xfId="24959" xr:uid="{00000000-0005-0000-0000-0000C8260000}"/>
    <cellStyle name="40% - Accent2 2 11 4 3 5" xfId="18302" xr:uid="{00000000-0005-0000-0000-0000C9260000}"/>
    <cellStyle name="40% - Accent2 2 11 4 4" xfId="9215" xr:uid="{00000000-0005-0000-0000-0000CA260000}"/>
    <cellStyle name="40% - Accent2 2 11 4 4 2" xfId="19778" xr:uid="{00000000-0005-0000-0000-0000CB260000}"/>
    <cellStyle name="40% - Accent2 2 11 4 5" xfId="11434" xr:uid="{00000000-0005-0000-0000-0000CC260000}"/>
    <cellStyle name="40% - Accent2 2 11 4 5 2" xfId="21997" xr:uid="{00000000-0005-0000-0000-0000CD260000}"/>
    <cellStyle name="40% - Accent2 2 11 4 6" xfId="13653" xr:uid="{00000000-0005-0000-0000-0000CE260000}"/>
    <cellStyle name="40% - Accent2 2 11 4 6 2" xfId="24216" xr:uid="{00000000-0005-0000-0000-0000CF260000}"/>
    <cellStyle name="40% - Accent2 2 11 4 7" xfId="17553" xr:uid="{00000000-0005-0000-0000-0000D0260000}"/>
    <cellStyle name="40% - Accent2 2 11 5" xfId="982" xr:uid="{00000000-0005-0000-0000-0000D1260000}"/>
    <cellStyle name="40% - Accent2 2 11 5 2" xfId="8473" xr:uid="{00000000-0005-0000-0000-0000D2260000}"/>
    <cellStyle name="40% - Accent2 2 11 5 2 2" xfId="10692" xr:uid="{00000000-0005-0000-0000-0000D3260000}"/>
    <cellStyle name="40% - Accent2 2 11 5 2 2 2" xfId="21255" xr:uid="{00000000-0005-0000-0000-0000D4260000}"/>
    <cellStyle name="40% - Accent2 2 11 5 2 3" xfId="12911" xr:uid="{00000000-0005-0000-0000-0000D5260000}"/>
    <cellStyle name="40% - Accent2 2 11 5 2 3 2" xfId="23474" xr:uid="{00000000-0005-0000-0000-0000D6260000}"/>
    <cellStyle name="40% - Accent2 2 11 5 2 4" xfId="15130" xr:uid="{00000000-0005-0000-0000-0000D7260000}"/>
    <cellStyle name="40% - Accent2 2 11 5 2 4 2" xfId="25693" xr:uid="{00000000-0005-0000-0000-0000D8260000}"/>
    <cellStyle name="40% - Accent2 2 11 5 2 5" xfId="19036" xr:uid="{00000000-0005-0000-0000-0000D9260000}"/>
    <cellStyle name="40% - Accent2 2 11 5 3" xfId="7740" xr:uid="{00000000-0005-0000-0000-0000DA260000}"/>
    <cellStyle name="40% - Accent2 2 11 5 3 2" xfId="9959" xr:uid="{00000000-0005-0000-0000-0000DB260000}"/>
    <cellStyle name="40% - Accent2 2 11 5 3 2 2" xfId="20522" xr:uid="{00000000-0005-0000-0000-0000DC260000}"/>
    <cellStyle name="40% - Accent2 2 11 5 3 3" xfId="12178" xr:uid="{00000000-0005-0000-0000-0000DD260000}"/>
    <cellStyle name="40% - Accent2 2 11 5 3 3 2" xfId="22741" xr:uid="{00000000-0005-0000-0000-0000DE260000}"/>
    <cellStyle name="40% - Accent2 2 11 5 3 4" xfId="14397" xr:uid="{00000000-0005-0000-0000-0000DF260000}"/>
    <cellStyle name="40% - Accent2 2 11 5 3 4 2" xfId="24960" xr:uid="{00000000-0005-0000-0000-0000E0260000}"/>
    <cellStyle name="40% - Accent2 2 11 5 3 5" xfId="18303" xr:uid="{00000000-0005-0000-0000-0000E1260000}"/>
    <cellStyle name="40% - Accent2 2 11 5 4" xfId="9216" xr:uid="{00000000-0005-0000-0000-0000E2260000}"/>
    <cellStyle name="40% - Accent2 2 11 5 4 2" xfId="19779" xr:uid="{00000000-0005-0000-0000-0000E3260000}"/>
    <cellStyle name="40% - Accent2 2 11 5 5" xfId="11435" xr:uid="{00000000-0005-0000-0000-0000E4260000}"/>
    <cellStyle name="40% - Accent2 2 11 5 5 2" xfId="21998" xr:uid="{00000000-0005-0000-0000-0000E5260000}"/>
    <cellStyle name="40% - Accent2 2 11 5 6" xfId="13654" xr:uid="{00000000-0005-0000-0000-0000E6260000}"/>
    <cellStyle name="40% - Accent2 2 11 5 6 2" xfId="24217" xr:uid="{00000000-0005-0000-0000-0000E7260000}"/>
    <cellStyle name="40% - Accent2 2 11 5 7" xfId="17554" xr:uid="{00000000-0005-0000-0000-0000E8260000}"/>
    <cellStyle name="40% - Accent2 2 12" xfId="983" xr:uid="{00000000-0005-0000-0000-0000E9260000}"/>
    <cellStyle name="40% - Accent2 2 13" xfId="984" xr:uid="{00000000-0005-0000-0000-0000EA260000}"/>
    <cellStyle name="40% - Accent2 2 14" xfId="985" xr:uid="{00000000-0005-0000-0000-0000EB260000}"/>
    <cellStyle name="40% - Accent2 2 15" xfId="986" xr:uid="{00000000-0005-0000-0000-0000EC260000}"/>
    <cellStyle name="40% - Accent2 2 15 2" xfId="8474" xr:uid="{00000000-0005-0000-0000-0000ED260000}"/>
    <cellStyle name="40% - Accent2 2 15 2 2" xfId="10693" xr:uid="{00000000-0005-0000-0000-0000EE260000}"/>
    <cellStyle name="40% - Accent2 2 15 2 2 2" xfId="21256" xr:uid="{00000000-0005-0000-0000-0000EF260000}"/>
    <cellStyle name="40% - Accent2 2 15 2 3" xfId="12912" xr:uid="{00000000-0005-0000-0000-0000F0260000}"/>
    <cellStyle name="40% - Accent2 2 15 2 3 2" xfId="23475" xr:uid="{00000000-0005-0000-0000-0000F1260000}"/>
    <cellStyle name="40% - Accent2 2 15 2 4" xfId="15131" xr:uid="{00000000-0005-0000-0000-0000F2260000}"/>
    <cellStyle name="40% - Accent2 2 15 2 4 2" xfId="25694" xr:uid="{00000000-0005-0000-0000-0000F3260000}"/>
    <cellStyle name="40% - Accent2 2 15 2 5" xfId="19037" xr:uid="{00000000-0005-0000-0000-0000F4260000}"/>
    <cellStyle name="40% - Accent2 2 15 3" xfId="7741" xr:uid="{00000000-0005-0000-0000-0000F5260000}"/>
    <cellStyle name="40% - Accent2 2 15 3 2" xfId="9960" xr:uid="{00000000-0005-0000-0000-0000F6260000}"/>
    <cellStyle name="40% - Accent2 2 15 3 2 2" xfId="20523" xr:uid="{00000000-0005-0000-0000-0000F7260000}"/>
    <cellStyle name="40% - Accent2 2 15 3 3" xfId="12179" xr:uid="{00000000-0005-0000-0000-0000F8260000}"/>
    <cellStyle name="40% - Accent2 2 15 3 3 2" xfId="22742" xr:uid="{00000000-0005-0000-0000-0000F9260000}"/>
    <cellStyle name="40% - Accent2 2 15 3 4" xfId="14398" xr:uid="{00000000-0005-0000-0000-0000FA260000}"/>
    <cellStyle name="40% - Accent2 2 15 3 4 2" xfId="24961" xr:uid="{00000000-0005-0000-0000-0000FB260000}"/>
    <cellStyle name="40% - Accent2 2 15 3 5" xfId="18304" xr:uid="{00000000-0005-0000-0000-0000FC260000}"/>
    <cellStyle name="40% - Accent2 2 15 4" xfId="9217" xr:uid="{00000000-0005-0000-0000-0000FD260000}"/>
    <cellStyle name="40% - Accent2 2 15 4 2" xfId="19780" xr:uid="{00000000-0005-0000-0000-0000FE260000}"/>
    <cellStyle name="40% - Accent2 2 15 5" xfId="11436" xr:uid="{00000000-0005-0000-0000-0000FF260000}"/>
    <cellStyle name="40% - Accent2 2 15 5 2" xfId="21999" xr:uid="{00000000-0005-0000-0000-000000270000}"/>
    <cellStyle name="40% - Accent2 2 15 6" xfId="13655" xr:uid="{00000000-0005-0000-0000-000001270000}"/>
    <cellStyle name="40% - Accent2 2 15 6 2" xfId="24218" xr:uid="{00000000-0005-0000-0000-000002270000}"/>
    <cellStyle name="40% - Accent2 2 15 7" xfId="17555" xr:uid="{00000000-0005-0000-0000-000003270000}"/>
    <cellStyle name="40% - Accent2 2 16" xfId="987" xr:uid="{00000000-0005-0000-0000-000004270000}"/>
    <cellStyle name="40% - Accent2 2 2" xfId="988" xr:uid="{00000000-0005-0000-0000-000005270000}"/>
    <cellStyle name="40% - Accent2 2 2 10" xfId="8475" xr:uid="{00000000-0005-0000-0000-000006270000}"/>
    <cellStyle name="40% - Accent2 2 2 10 2" xfId="10694" xr:uid="{00000000-0005-0000-0000-000007270000}"/>
    <cellStyle name="40% - Accent2 2 2 10 2 2" xfId="21257" xr:uid="{00000000-0005-0000-0000-000008270000}"/>
    <cellStyle name="40% - Accent2 2 2 10 3" xfId="12913" xr:uid="{00000000-0005-0000-0000-000009270000}"/>
    <cellStyle name="40% - Accent2 2 2 10 3 2" xfId="23476" xr:uid="{00000000-0005-0000-0000-00000A270000}"/>
    <cellStyle name="40% - Accent2 2 2 10 4" xfId="15132" xr:uid="{00000000-0005-0000-0000-00000B270000}"/>
    <cellStyle name="40% - Accent2 2 2 10 4 2" xfId="25695" xr:uid="{00000000-0005-0000-0000-00000C270000}"/>
    <cellStyle name="40% - Accent2 2 2 10 5" xfId="19038" xr:uid="{00000000-0005-0000-0000-00000D270000}"/>
    <cellStyle name="40% - Accent2 2 2 11" xfId="7742" xr:uid="{00000000-0005-0000-0000-00000E270000}"/>
    <cellStyle name="40% - Accent2 2 2 11 2" xfId="9961" xr:uid="{00000000-0005-0000-0000-00000F270000}"/>
    <cellStyle name="40% - Accent2 2 2 11 2 2" xfId="20524" xr:uid="{00000000-0005-0000-0000-000010270000}"/>
    <cellStyle name="40% - Accent2 2 2 11 3" xfId="12180" xr:uid="{00000000-0005-0000-0000-000011270000}"/>
    <cellStyle name="40% - Accent2 2 2 11 3 2" xfId="22743" xr:uid="{00000000-0005-0000-0000-000012270000}"/>
    <cellStyle name="40% - Accent2 2 2 11 4" xfId="14399" xr:uid="{00000000-0005-0000-0000-000013270000}"/>
    <cellStyle name="40% - Accent2 2 2 11 4 2" xfId="24962" xr:uid="{00000000-0005-0000-0000-000014270000}"/>
    <cellStyle name="40% - Accent2 2 2 11 5" xfId="18305" xr:uid="{00000000-0005-0000-0000-000015270000}"/>
    <cellStyle name="40% - Accent2 2 2 12" xfId="9218" xr:uid="{00000000-0005-0000-0000-000016270000}"/>
    <cellStyle name="40% - Accent2 2 2 12 2" xfId="19781" xr:uid="{00000000-0005-0000-0000-000017270000}"/>
    <cellStyle name="40% - Accent2 2 2 13" xfId="11437" xr:uid="{00000000-0005-0000-0000-000018270000}"/>
    <cellStyle name="40% - Accent2 2 2 13 2" xfId="22000" xr:uid="{00000000-0005-0000-0000-000019270000}"/>
    <cellStyle name="40% - Accent2 2 2 14" xfId="13656" xr:uid="{00000000-0005-0000-0000-00001A270000}"/>
    <cellStyle name="40% - Accent2 2 2 14 2" xfId="24219" xr:uid="{00000000-0005-0000-0000-00001B270000}"/>
    <cellStyle name="40% - Accent2 2 2 15" xfId="17556" xr:uid="{00000000-0005-0000-0000-00001C270000}"/>
    <cellStyle name="40% - Accent2 2 2 2" xfId="989" xr:uid="{00000000-0005-0000-0000-00001D270000}"/>
    <cellStyle name="40% - Accent2 2 2 2 2" xfId="8476" xr:uid="{00000000-0005-0000-0000-00001E270000}"/>
    <cellStyle name="40% - Accent2 2 2 2 2 2" xfId="10695" xr:uid="{00000000-0005-0000-0000-00001F270000}"/>
    <cellStyle name="40% - Accent2 2 2 2 2 2 2" xfId="21258" xr:uid="{00000000-0005-0000-0000-000020270000}"/>
    <cellStyle name="40% - Accent2 2 2 2 2 3" xfId="12914" xr:uid="{00000000-0005-0000-0000-000021270000}"/>
    <cellStyle name="40% - Accent2 2 2 2 2 3 2" xfId="23477" xr:uid="{00000000-0005-0000-0000-000022270000}"/>
    <cellStyle name="40% - Accent2 2 2 2 2 4" xfId="15133" xr:uid="{00000000-0005-0000-0000-000023270000}"/>
    <cellStyle name="40% - Accent2 2 2 2 2 4 2" xfId="25696" xr:uid="{00000000-0005-0000-0000-000024270000}"/>
    <cellStyle name="40% - Accent2 2 2 2 2 5" xfId="19039" xr:uid="{00000000-0005-0000-0000-000025270000}"/>
    <cellStyle name="40% - Accent2 2 2 2 3" xfId="7743" xr:uid="{00000000-0005-0000-0000-000026270000}"/>
    <cellStyle name="40% - Accent2 2 2 2 3 2" xfId="9962" xr:uid="{00000000-0005-0000-0000-000027270000}"/>
    <cellStyle name="40% - Accent2 2 2 2 3 2 2" xfId="20525" xr:uid="{00000000-0005-0000-0000-000028270000}"/>
    <cellStyle name="40% - Accent2 2 2 2 3 3" xfId="12181" xr:uid="{00000000-0005-0000-0000-000029270000}"/>
    <cellStyle name="40% - Accent2 2 2 2 3 3 2" xfId="22744" xr:uid="{00000000-0005-0000-0000-00002A270000}"/>
    <cellStyle name="40% - Accent2 2 2 2 3 4" xfId="14400" xr:uid="{00000000-0005-0000-0000-00002B270000}"/>
    <cellStyle name="40% - Accent2 2 2 2 3 4 2" xfId="24963" xr:uid="{00000000-0005-0000-0000-00002C270000}"/>
    <cellStyle name="40% - Accent2 2 2 2 3 5" xfId="18306" xr:uid="{00000000-0005-0000-0000-00002D270000}"/>
    <cellStyle name="40% - Accent2 2 2 2 4" xfId="9219" xr:uid="{00000000-0005-0000-0000-00002E270000}"/>
    <cellStyle name="40% - Accent2 2 2 2 4 2" xfId="19782" xr:uid="{00000000-0005-0000-0000-00002F270000}"/>
    <cellStyle name="40% - Accent2 2 2 2 5" xfId="11438" xr:uid="{00000000-0005-0000-0000-000030270000}"/>
    <cellStyle name="40% - Accent2 2 2 2 5 2" xfId="22001" xr:uid="{00000000-0005-0000-0000-000031270000}"/>
    <cellStyle name="40% - Accent2 2 2 2 6" xfId="13657" xr:uid="{00000000-0005-0000-0000-000032270000}"/>
    <cellStyle name="40% - Accent2 2 2 2 6 2" xfId="24220" xr:uid="{00000000-0005-0000-0000-000033270000}"/>
    <cellStyle name="40% - Accent2 2 2 2 7" xfId="17557" xr:uid="{00000000-0005-0000-0000-000034270000}"/>
    <cellStyle name="40% - Accent2 2 2 3" xfId="990" xr:uid="{00000000-0005-0000-0000-000035270000}"/>
    <cellStyle name="40% - Accent2 2 2 3 2" xfId="8477" xr:uid="{00000000-0005-0000-0000-000036270000}"/>
    <cellStyle name="40% - Accent2 2 2 3 2 2" xfId="10696" xr:uid="{00000000-0005-0000-0000-000037270000}"/>
    <cellStyle name="40% - Accent2 2 2 3 2 2 2" xfId="21259" xr:uid="{00000000-0005-0000-0000-000038270000}"/>
    <cellStyle name="40% - Accent2 2 2 3 2 3" xfId="12915" xr:uid="{00000000-0005-0000-0000-000039270000}"/>
    <cellStyle name="40% - Accent2 2 2 3 2 3 2" xfId="23478" xr:uid="{00000000-0005-0000-0000-00003A270000}"/>
    <cellStyle name="40% - Accent2 2 2 3 2 4" xfId="15134" xr:uid="{00000000-0005-0000-0000-00003B270000}"/>
    <cellStyle name="40% - Accent2 2 2 3 2 4 2" xfId="25697" xr:uid="{00000000-0005-0000-0000-00003C270000}"/>
    <cellStyle name="40% - Accent2 2 2 3 2 5" xfId="19040" xr:uid="{00000000-0005-0000-0000-00003D270000}"/>
    <cellStyle name="40% - Accent2 2 2 3 3" xfId="7744" xr:uid="{00000000-0005-0000-0000-00003E270000}"/>
    <cellStyle name="40% - Accent2 2 2 3 3 2" xfId="9963" xr:uid="{00000000-0005-0000-0000-00003F270000}"/>
    <cellStyle name="40% - Accent2 2 2 3 3 2 2" xfId="20526" xr:uid="{00000000-0005-0000-0000-000040270000}"/>
    <cellStyle name="40% - Accent2 2 2 3 3 3" xfId="12182" xr:uid="{00000000-0005-0000-0000-000041270000}"/>
    <cellStyle name="40% - Accent2 2 2 3 3 3 2" xfId="22745" xr:uid="{00000000-0005-0000-0000-000042270000}"/>
    <cellStyle name="40% - Accent2 2 2 3 3 4" xfId="14401" xr:uid="{00000000-0005-0000-0000-000043270000}"/>
    <cellStyle name="40% - Accent2 2 2 3 3 4 2" xfId="24964" xr:uid="{00000000-0005-0000-0000-000044270000}"/>
    <cellStyle name="40% - Accent2 2 2 3 3 5" xfId="18307" xr:uid="{00000000-0005-0000-0000-000045270000}"/>
    <cellStyle name="40% - Accent2 2 2 3 4" xfId="9220" xr:uid="{00000000-0005-0000-0000-000046270000}"/>
    <cellStyle name="40% - Accent2 2 2 3 4 2" xfId="19783" xr:uid="{00000000-0005-0000-0000-000047270000}"/>
    <cellStyle name="40% - Accent2 2 2 3 5" xfId="11439" xr:uid="{00000000-0005-0000-0000-000048270000}"/>
    <cellStyle name="40% - Accent2 2 2 3 5 2" xfId="22002" xr:uid="{00000000-0005-0000-0000-000049270000}"/>
    <cellStyle name="40% - Accent2 2 2 3 6" xfId="13658" xr:uid="{00000000-0005-0000-0000-00004A270000}"/>
    <cellStyle name="40% - Accent2 2 2 3 6 2" xfId="24221" xr:uid="{00000000-0005-0000-0000-00004B270000}"/>
    <cellStyle name="40% - Accent2 2 2 3 7" xfId="17558" xr:uid="{00000000-0005-0000-0000-00004C270000}"/>
    <cellStyle name="40% - Accent2 2 2 4" xfId="991" xr:uid="{00000000-0005-0000-0000-00004D270000}"/>
    <cellStyle name="40% - Accent2 2 2 4 2" xfId="8478" xr:uid="{00000000-0005-0000-0000-00004E270000}"/>
    <cellStyle name="40% - Accent2 2 2 4 2 2" xfId="10697" xr:uid="{00000000-0005-0000-0000-00004F270000}"/>
    <cellStyle name="40% - Accent2 2 2 4 2 2 2" xfId="21260" xr:uid="{00000000-0005-0000-0000-000050270000}"/>
    <cellStyle name="40% - Accent2 2 2 4 2 3" xfId="12916" xr:uid="{00000000-0005-0000-0000-000051270000}"/>
    <cellStyle name="40% - Accent2 2 2 4 2 3 2" xfId="23479" xr:uid="{00000000-0005-0000-0000-000052270000}"/>
    <cellStyle name="40% - Accent2 2 2 4 2 4" xfId="15135" xr:uid="{00000000-0005-0000-0000-000053270000}"/>
    <cellStyle name="40% - Accent2 2 2 4 2 4 2" xfId="25698" xr:uid="{00000000-0005-0000-0000-000054270000}"/>
    <cellStyle name="40% - Accent2 2 2 4 2 5" xfId="19041" xr:uid="{00000000-0005-0000-0000-000055270000}"/>
    <cellStyle name="40% - Accent2 2 2 4 3" xfId="7745" xr:uid="{00000000-0005-0000-0000-000056270000}"/>
    <cellStyle name="40% - Accent2 2 2 4 3 2" xfId="9964" xr:uid="{00000000-0005-0000-0000-000057270000}"/>
    <cellStyle name="40% - Accent2 2 2 4 3 2 2" xfId="20527" xr:uid="{00000000-0005-0000-0000-000058270000}"/>
    <cellStyle name="40% - Accent2 2 2 4 3 3" xfId="12183" xr:uid="{00000000-0005-0000-0000-000059270000}"/>
    <cellStyle name="40% - Accent2 2 2 4 3 3 2" xfId="22746" xr:uid="{00000000-0005-0000-0000-00005A270000}"/>
    <cellStyle name="40% - Accent2 2 2 4 3 4" xfId="14402" xr:uid="{00000000-0005-0000-0000-00005B270000}"/>
    <cellStyle name="40% - Accent2 2 2 4 3 4 2" xfId="24965" xr:uid="{00000000-0005-0000-0000-00005C270000}"/>
    <cellStyle name="40% - Accent2 2 2 4 3 5" xfId="18308" xr:uid="{00000000-0005-0000-0000-00005D270000}"/>
    <cellStyle name="40% - Accent2 2 2 4 4" xfId="9221" xr:uid="{00000000-0005-0000-0000-00005E270000}"/>
    <cellStyle name="40% - Accent2 2 2 4 4 2" xfId="19784" xr:uid="{00000000-0005-0000-0000-00005F270000}"/>
    <cellStyle name="40% - Accent2 2 2 4 5" xfId="11440" xr:uid="{00000000-0005-0000-0000-000060270000}"/>
    <cellStyle name="40% - Accent2 2 2 4 5 2" xfId="22003" xr:uid="{00000000-0005-0000-0000-000061270000}"/>
    <cellStyle name="40% - Accent2 2 2 4 6" xfId="13659" xr:uid="{00000000-0005-0000-0000-000062270000}"/>
    <cellStyle name="40% - Accent2 2 2 4 6 2" xfId="24222" xr:uid="{00000000-0005-0000-0000-000063270000}"/>
    <cellStyle name="40% - Accent2 2 2 4 7" xfId="17559" xr:uid="{00000000-0005-0000-0000-000064270000}"/>
    <cellStyle name="40% - Accent2 2 2 5" xfId="992" xr:uid="{00000000-0005-0000-0000-000065270000}"/>
    <cellStyle name="40% - Accent2 2 2 5 2" xfId="8479" xr:uid="{00000000-0005-0000-0000-000066270000}"/>
    <cellStyle name="40% - Accent2 2 2 5 2 2" xfId="10698" xr:uid="{00000000-0005-0000-0000-000067270000}"/>
    <cellStyle name="40% - Accent2 2 2 5 2 2 2" xfId="21261" xr:uid="{00000000-0005-0000-0000-000068270000}"/>
    <cellStyle name="40% - Accent2 2 2 5 2 3" xfId="12917" xr:uid="{00000000-0005-0000-0000-000069270000}"/>
    <cellStyle name="40% - Accent2 2 2 5 2 3 2" xfId="23480" xr:uid="{00000000-0005-0000-0000-00006A270000}"/>
    <cellStyle name="40% - Accent2 2 2 5 2 4" xfId="15136" xr:uid="{00000000-0005-0000-0000-00006B270000}"/>
    <cellStyle name="40% - Accent2 2 2 5 2 4 2" xfId="25699" xr:uid="{00000000-0005-0000-0000-00006C270000}"/>
    <cellStyle name="40% - Accent2 2 2 5 2 5" xfId="19042" xr:uid="{00000000-0005-0000-0000-00006D270000}"/>
    <cellStyle name="40% - Accent2 2 2 5 3" xfId="7746" xr:uid="{00000000-0005-0000-0000-00006E270000}"/>
    <cellStyle name="40% - Accent2 2 2 5 3 2" xfId="9965" xr:uid="{00000000-0005-0000-0000-00006F270000}"/>
    <cellStyle name="40% - Accent2 2 2 5 3 2 2" xfId="20528" xr:uid="{00000000-0005-0000-0000-000070270000}"/>
    <cellStyle name="40% - Accent2 2 2 5 3 3" xfId="12184" xr:uid="{00000000-0005-0000-0000-000071270000}"/>
    <cellStyle name="40% - Accent2 2 2 5 3 3 2" xfId="22747" xr:uid="{00000000-0005-0000-0000-000072270000}"/>
    <cellStyle name="40% - Accent2 2 2 5 3 4" xfId="14403" xr:uid="{00000000-0005-0000-0000-000073270000}"/>
    <cellStyle name="40% - Accent2 2 2 5 3 4 2" xfId="24966" xr:uid="{00000000-0005-0000-0000-000074270000}"/>
    <cellStyle name="40% - Accent2 2 2 5 3 5" xfId="18309" xr:uid="{00000000-0005-0000-0000-000075270000}"/>
    <cellStyle name="40% - Accent2 2 2 5 4" xfId="9222" xr:uid="{00000000-0005-0000-0000-000076270000}"/>
    <cellStyle name="40% - Accent2 2 2 5 4 2" xfId="19785" xr:uid="{00000000-0005-0000-0000-000077270000}"/>
    <cellStyle name="40% - Accent2 2 2 5 5" xfId="11441" xr:uid="{00000000-0005-0000-0000-000078270000}"/>
    <cellStyle name="40% - Accent2 2 2 5 5 2" xfId="22004" xr:uid="{00000000-0005-0000-0000-000079270000}"/>
    <cellStyle name="40% - Accent2 2 2 5 6" xfId="13660" xr:uid="{00000000-0005-0000-0000-00007A270000}"/>
    <cellStyle name="40% - Accent2 2 2 5 6 2" xfId="24223" xr:uid="{00000000-0005-0000-0000-00007B270000}"/>
    <cellStyle name="40% - Accent2 2 2 5 7" xfId="17560" xr:uid="{00000000-0005-0000-0000-00007C270000}"/>
    <cellStyle name="40% - Accent2 2 2 6" xfId="993" xr:uid="{00000000-0005-0000-0000-00007D270000}"/>
    <cellStyle name="40% - Accent2 2 2 6 2" xfId="8480" xr:uid="{00000000-0005-0000-0000-00007E270000}"/>
    <cellStyle name="40% - Accent2 2 2 6 2 2" xfId="10699" xr:uid="{00000000-0005-0000-0000-00007F270000}"/>
    <cellStyle name="40% - Accent2 2 2 6 2 2 2" xfId="21262" xr:uid="{00000000-0005-0000-0000-000080270000}"/>
    <cellStyle name="40% - Accent2 2 2 6 2 3" xfId="12918" xr:uid="{00000000-0005-0000-0000-000081270000}"/>
    <cellStyle name="40% - Accent2 2 2 6 2 3 2" xfId="23481" xr:uid="{00000000-0005-0000-0000-000082270000}"/>
    <cellStyle name="40% - Accent2 2 2 6 2 4" xfId="15137" xr:uid="{00000000-0005-0000-0000-000083270000}"/>
    <cellStyle name="40% - Accent2 2 2 6 2 4 2" xfId="25700" xr:uid="{00000000-0005-0000-0000-000084270000}"/>
    <cellStyle name="40% - Accent2 2 2 6 2 5" xfId="19043" xr:uid="{00000000-0005-0000-0000-000085270000}"/>
    <cellStyle name="40% - Accent2 2 2 6 3" xfId="7747" xr:uid="{00000000-0005-0000-0000-000086270000}"/>
    <cellStyle name="40% - Accent2 2 2 6 3 2" xfId="9966" xr:uid="{00000000-0005-0000-0000-000087270000}"/>
    <cellStyle name="40% - Accent2 2 2 6 3 2 2" xfId="20529" xr:uid="{00000000-0005-0000-0000-000088270000}"/>
    <cellStyle name="40% - Accent2 2 2 6 3 3" xfId="12185" xr:uid="{00000000-0005-0000-0000-000089270000}"/>
    <cellStyle name="40% - Accent2 2 2 6 3 3 2" xfId="22748" xr:uid="{00000000-0005-0000-0000-00008A270000}"/>
    <cellStyle name="40% - Accent2 2 2 6 3 4" xfId="14404" xr:uid="{00000000-0005-0000-0000-00008B270000}"/>
    <cellStyle name="40% - Accent2 2 2 6 3 4 2" xfId="24967" xr:uid="{00000000-0005-0000-0000-00008C270000}"/>
    <cellStyle name="40% - Accent2 2 2 6 3 5" xfId="18310" xr:uid="{00000000-0005-0000-0000-00008D270000}"/>
    <cellStyle name="40% - Accent2 2 2 6 4" xfId="9223" xr:uid="{00000000-0005-0000-0000-00008E270000}"/>
    <cellStyle name="40% - Accent2 2 2 6 4 2" xfId="19786" xr:uid="{00000000-0005-0000-0000-00008F270000}"/>
    <cellStyle name="40% - Accent2 2 2 6 5" xfId="11442" xr:uid="{00000000-0005-0000-0000-000090270000}"/>
    <cellStyle name="40% - Accent2 2 2 6 5 2" xfId="22005" xr:uid="{00000000-0005-0000-0000-000091270000}"/>
    <cellStyle name="40% - Accent2 2 2 6 6" xfId="13661" xr:uid="{00000000-0005-0000-0000-000092270000}"/>
    <cellStyle name="40% - Accent2 2 2 6 6 2" xfId="24224" xr:uid="{00000000-0005-0000-0000-000093270000}"/>
    <cellStyle name="40% - Accent2 2 2 6 7" xfId="17561" xr:uid="{00000000-0005-0000-0000-000094270000}"/>
    <cellStyle name="40% - Accent2 2 2 7" xfId="994" xr:uid="{00000000-0005-0000-0000-000095270000}"/>
    <cellStyle name="40% - Accent2 2 2 7 2" xfId="8481" xr:uid="{00000000-0005-0000-0000-000096270000}"/>
    <cellStyle name="40% - Accent2 2 2 7 2 2" xfId="10700" xr:uid="{00000000-0005-0000-0000-000097270000}"/>
    <cellStyle name="40% - Accent2 2 2 7 2 2 2" xfId="21263" xr:uid="{00000000-0005-0000-0000-000098270000}"/>
    <cellStyle name="40% - Accent2 2 2 7 2 3" xfId="12919" xr:uid="{00000000-0005-0000-0000-000099270000}"/>
    <cellStyle name="40% - Accent2 2 2 7 2 3 2" xfId="23482" xr:uid="{00000000-0005-0000-0000-00009A270000}"/>
    <cellStyle name="40% - Accent2 2 2 7 2 4" xfId="15138" xr:uid="{00000000-0005-0000-0000-00009B270000}"/>
    <cellStyle name="40% - Accent2 2 2 7 2 4 2" xfId="25701" xr:uid="{00000000-0005-0000-0000-00009C270000}"/>
    <cellStyle name="40% - Accent2 2 2 7 2 5" xfId="19044" xr:uid="{00000000-0005-0000-0000-00009D270000}"/>
    <cellStyle name="40% - Accent2 2 2 7 3" xfId="7748" xr:uid="{00000000-0005-0000-0000-00009E270000}"/>
    <cellStyle name="40% - Accent2 2 2 7 3 2" xfId="9967" xr:uid="{00000000-0005-0000-0000-00009F270000}"/>
    <cellStyle name="40% - Accent2 2 2 7 3 2 2" xfId="20530" xr:uid="{00000000-0005-0000-0000-0000A0270000}"/>
    <cellStyle name="40% - Accent2 2 2 7 3 3" xfId="12186" xr:uid="{00000000-0005-0000-0000-0000A1270000}"/>
    <cellStyle name="40% - Accent2 2 2 7 3 3 2" xfId="22749" xr:uid="{00000000-0005-0000-0000-0000A2270000}"/>
    <cellStyle name="40% - Accent2 2 2 7 3 4" xfId="14405" xr:uid="{00000000-0005-0000-0000-0000A3270000}"/>
    <cellStyle name="40% - Accent2 2 2 7 3 4 2" xfId="24968" xr:uid="{00000000-0005-0000-0000-0000A4270000}"/>
    <cellStyle name="40% - Accent2 2 2 7 3 5" xfId="18311" xr:uid="{00000000-0005-0000-0000-0000A5270000}"/>
    <cellStyle name="40% - Accent2 2 2 7 4" xfId="9224" xr:uid="{00000000-0005-0000-0000-0000A6270000}"/>
    <cellStyle name="40% - Accent2 2 2 7 4 2" xfId="19787" xr:uid="{00000000-0005-0000-0000-0000A7270000}"/>
    <cellStyle name="40% - Accent2 2 2 7 5" xfId="11443" xr:uid="{00000000-0005-0000-0000-0000A8270000}"/>
    <cellStyle name="40% - Accent2 2 2 7 5 2" xfId="22006" xr:uid="{00000000-0005-0000-0000-0000A9270000}"/>
    <cellStyle name="40% - Accent2 2 2 7 6" xfId="13662" xr:uid="{00000000-0005-0000-0000-0000AA270000}"/>
    <cellStyle name="40% - Accent2 2 2 7 6 2" xfId="24225" xr:uid="{00000000-0005-0000-0000-0000AB270000}"/>
    <cellStyle name="40% - Accent2 2 2 7 7" xfId="17562" xr:uid="{00000000-0005-0000-0000-0000AC270000}"/>
    <cellStyle name="40% - Accent2 2 2 8" xfId="995" xr:uid="{00000000-0005-0000-0000-0000AD270000}"/>
    <cellStyle name="40% - Accent2 2 2 8 2" xfId="8482" xr:uid="{00000000-0005-0000-0000-0000AE270000}"/>
    <cellStyle name="40% - Accent2 2 2 8 2 2" xfId="10701" xr:uid="{00000000-0005-0000-0000-0000AF270000}"/>
    <cellStyle name="40% - Accent2 2 2 8 2 2 2" xfId="21264" xr:uid="{00000000-0005-0000-0000-0000B0270000}"/>
    <cellStyle name="40% - Accent2 2 2 8 2 3" xfId="12920" xr:uid="{00000000-0005-0000-0000-0000B1270000}"/>
    <cellStyle name="40% - Accent2 2 2 8 2 3 2" xfId="23483" xr:uid="{00000000-0005-0000-0000-0000B2270000}"/>
    <cellStyle name="40% - Accent2 2 2 8 2 4" xfId="15139" xr:uid="{00000000-0005-0000-0000-0000B3270000}"/>
    <cellStyle name="40% - Accent2 2 2 8 2 4 2" xfId="25702" xr:uid="{00000000-0005-0000-0000-0000B4270000}"/>
    <cellStyle name="40% - Accent2 2 2 8 2 5" xfId="19045" xr:uid="{00000000-0005-0000-0000-0000B5270000}"/>
    <cellStyle name="40% - Accent2 2 2 8 3" xfId="7749" xr:uid="{00000000-0005-0000-0000-0000B6270000}"/>
    <cellStyle name="40% - Accent2 2 2 8 3 2" xfId="9968" xr:uid="{00000000-0005-0000-0000-0000B7270000}"/>
    <cellStyle name="40% - Accent2 2 2 8 3 2 2" xfId="20531" xr:uid="{00000000-0005-0000-0000-0000B8270000}"/>
    <cellStyle name="40% - Accent2 2 2 8 3 3" xfId="12187" xr:uid="{00000000-0005-0000-0000-0000B9270000}"/>
    <cellStyle name="40% - Accent2 2 2 8 3 3 2" xfId="22750" xr:uid="{00000000-0005-0000-0000-0000BA270000}"/>
    <cellStyle name="40% - Accent2 2 2 8 3 4" xfId="14406" xr:uid="{00000000-0005-0000-0000-0000BB270000}"/>
    <cellStyle name="40% - Accent2 2 2 8 3 4 2" xfId="24969" xr:uid="{00000000-0005-0000-0000-0000BC270000}"/>
    <cellStyle name="40% - Accent2 2 2 8 3 5" xfId="18312" xr:uid="{00000000-0005-0000-0000-0000BD270000}"/>
    <cellStyle name="40% - Accent2 2 2 8 4" xfId="9225" xr:uid="{00000000-0005-0000-0000-0000BE270000}"/>
    <cellStyle name="40% - Accent2 2 2 8 4 2" xfId="19788" xr:uid="{00000000-0005-0000-0000-0000BF270000}"/>
    <cellStyle name="40% - Accent2 2 2 8 5" xfId="11444" xr:uid="{00000000-0005-0000-0000-0000C0270000}"/>
    <cellStyle name="40% - Accent2 2 2 8 5 2" xfId="22007" xr:uid="{00000000-0005-0000-0000-0000C1270000}"/>
    <cellStyle name="40% - Accent2 2 2 8 6" xfId="13663" xr:uid="{00000000-0005-0000-0000-0000C2270000}"/>
    <cellStyle name="40% - Accent2 2 2 8 6 2" xfId="24226" xr:uid="{00000000-0005-0000-0000-0000C3270000}"/>
    <cellStyle name="40% - Accent2 2 2 8 7" xfId="17563" xr:uid="{00000000-0005-0000-0000-0000C4270000}"/>
    <cellStyle name="40% - Accent2 2 2 9" xfId="996" xr:uid="{00000000-0005-0000-0000-0000C5270000}"/>
    <cellStyle name="40% - Accent2 2 2 9 2" xfId="8483" xr:uid="{00000000-0005-0000-0000-0000C6270000}"/>
    <cellStyle name="40% - Accent2 2 2 9 2 2" xfId="10702" xr:uid="{00000000-0005-0000-0000-0000C7270000}"/>
    <cellStyle name="40% - Accent2 2 2 9 2 2 2" xfId="21265" xr:uid="{00000000-0005-0000-0000-0000C8270000}"/>
    <cellStyle name="40% - Accent2 2 2 9 2 3" xfId="12921" xr:uid="{00000000-0005-0000-0000-0000C9270000}"/>
    <cellStyle name="40% - Accent2 2 2 9 2 3 2" xfId="23484" xr:uid="{00000000-0005-0000-0000-0000CA270000}"/>
    <cellStyle name="40% - Accent2 2 2 9 2 4" xfId="15140" xr:uid="{00000000-0005-0000-0000-0000CB270000}"/>
    <cellStyle name="40% - Accent2 2 2 9 2 4 2" xfId="25703" xr:uid="{00000000-0005-0000-0000-0000CC270000}"/>
    <cellStyle name="40% - Accent2 2 2 9 2 5" xfId="19046" xr:uid="{00000000-0005-0000-0000-0000CD270000}"/>
    <cellStyle name="40% - Accent2 2 2 9 3" xfId="7750" xr:uid="{00000000-0005-0000-0000-0000CE270000}"/>
    <cellStyle name="40% - Accent2 2 2 9 3 2" xfId="9969" xr:uid="{00000000-0005-0000-0000-0000CF270000}"/>
    <cellStyle name="40% - Accent2 2 2 9 3 2 2" xfId="20532" xr:uid="{00000000-0005-0000-0000-0000D0270000}"/>
    <cellStyle name="40% - Accent2 2 2 9 3 3" xfId="12188" xr:uid="{00000000-0005-0000-0000-0000D1270000}"/>
    <cellStyle name="40% - Accent2 2 2 9 3 3 2" xfId="22751" xr:uid="{00000000-0005-0000-0000-0000D2270000}"/>
    <cellStyle name="40% - Accent2 2 2 9 3 4" xfId="14407" xr:uid="{00000000-0005-0000-0000-0000D3270000}"/>
    <cellStyle name="40% - Accent2 2 2 9 3 4 2" xfId="24970" xr:uid="{00000000-0005-0000-0000-0000D4270000}"/>
    <cellStyle name="40% - Accent2 2 2 9 3 5" xfId="18313" xr:uid="{00000000-0005-0000-0000-0000D5270000}"/>
    <cellStyle name="40% - Accent2 2 2 9 4" xfId="9226" xr:uid="{00000000-0005-0000-0000-0000D6270000}"/>
    <cellStyle name="40% - Accent2 2 2 9 4 2" xfId="19789" xr:uid="{00000000-0005-0000-0000-0000D7270000}"/>
    <cellStyle name="40% - Accent2 2 2 9 5" xfId="11445" xr:uid="{00000000-0005-0000-0000-0000D8270000}"/>
    <cellStyle name="40% - Accent2 2 2 9 5 2" xfId="22008" xr:uid="{00000000-0005-0000-0000-0000D9270000}"/>
    <cellStyle name="40% - Accent2 2 2 9 6" xfId="13664" xr:uid="{00000000-0005-0000-0000-0000DA270000}"/>
    <cellStyle name="40% - Accent2 2 2 9 6 2" xfId="24227" xr:uid="{00000000-0005-0000-0000-0000DB270000}"/>
    <cellStyle name="40% - Accent2 2 2 9 7" xfId="17564" xr:uid="{00000000-0005-0000-0000-0000DC270000}"/>
    <cellStyle name="40% - Accent2 2 3" xfId="997" xr:uid="{00000000-0005-0000-0000-0000DD270000}"/>
    <cellStyle name="40% - Accent2 2 3 10" xfId="8484" xr:uid="{00000000-0005-0000-0000-0000DE270000}"/>
    <cellStyle name="40% - Accent2 2 3 10 2" xfId="10703" xr:uid="{00000000-0005-0000-0000-0000DF270000}"/>
    <cellStyle name="40% - Accent2 2 3 10 2 2" xfId="21266" xr:uid="{00000000-0005-0000-0000-0000E0270000}"/>
    <cellStyle name="40% - Accent2 2 3 10 3" xfId="12922" xr:uid="{00000000-0005-0000-0000-0000E1270000}"/>
    <cellStyle name="40% - Accent2 2 3 10 3 2" xfId="23485" xr:uid="{00000000-0005-0000-0000-0000E2270000}"/>
    <cellStyle name="40% - Accent2 2 3 10 4" xfId="15141" xr:uid="{00000000-0005-0000-0000-0000E3270000}"/>
    <cellStyle name="40% - Accent2 2 3 10 4 2" xfId="25704" xr:uid="{00000000-0005-0000-0000-0000E4270000}"/>
    <cellStyle name="40% - Accent2 2 3 10 5" xfId="19047" xr:uid="{00000000-0005-0000-0000-0000E5270000}"/>
    <cellStyle name="40% - Accent2 2 3 11" xfId="7751" xr:uid="{00000000-0005-0000-0000-0000E6270000}"/>
    <cellStyle name="40% - Accent2 2 3 11 2" xfId="9970" xr:uid="{00000000-0005-0000-0000-0000E7270000}"/>
    <cellStyle name="40% - Accent2 2 3 11 2 2" xfId="20533" xr:uid="{00000000-0005-0000-0000-0000E8270000}"/>
    <cellStyle name="40% - Accent2 2 3 11 3" xfId="12189" xr:uid="{00000000-0005-0000-0000-0000E9270000}"/>
    <cellStyle name="40% - Accent2 2 3 11 3 2" xfId="22752" xr:uid="{00000000-0005-0000-0000-0000EA270000}"/>
    <cellStyle name="40% - Accent2 2 3 11 4" xfId="14408" xr:uid="{00000000-0005-0000-0000-0000EB270000}"/>
    <cellStyle name="40% - Accent2 2 3 11 4 2" xfId="24971" xr:uid="{00000000-0005-0000-0000-0000EC270000}"/>
    <cellStyle name="40% - Accent2 2 3 11 5" xfId="18314" xr:uid="{00000000-0005-0000-0000-0000ED270000}"/>
    <cellStyle name="40% - Accent2 2 3 12" xfId="9227" xr:uid="{00000000-0005-0000-0000-0000EE270000}"/>
    <cellStyle name="40% - Accent2 2 3 12 2" xfId="19790" xr:uid="{00000000-0005-0000-0000-0000EF270000}"/>
    <cellStyle name="40% - Accent2 2 3 13" xfId="11446" xr:uid="{00000000-0005-0000-0000-0000F0270000}"/>
    <cellStyle name="40% - Accent2 2 3 13 2" xfId="22009" xr:uid="{00000000-0005-0000-0000-0000F1270000}"/>
    <cellStyle name="40% - Accent2 2 3 14" xfId="13665" xr:uid="{00000000-0005-0000-0000-0000F2270000}"/>
    <cellStyle name="40% - Accent2 2 3 14 2" xfId="24228" xr:uid="{00000000-0005-0000-0000-0000F3270000}"/>
    <cellStyle name="40% - Accent2 2 3 15" xfId="17565" xr:uid="{00000000-0005-0000-0000-0000F4270000}"/>
    <cellStyle name="40% - Accent2 2 3 2" xfId="998" xr:uid="{00000000-0005-0000-0000-0000F5270000}"/>
    <cellStyle name="40% - Accent2 2 3 2 2" xfId="8485" xr:uid="{00000000-0005-0000-0000-0000F6270000}"/>
    <cellStyle name="40% - Accent2 2 3 2 2 2" xfId="10704" xr:uid="{00000000-0005-0000-0000-0000F7270000}"/>
    <cellStyle name="40% - Accent2 2 3 2 2 2 2" xfId="21267" xr:uid="{00000000-0005-0000-0000-0000F8270000}"/>
    <cellStyle name="40% - Accent2 2 3 2 2 3" xfId="12923" xr:uid="{00000000-0005-0000-0000-0000F9270000}"/>
    <cellStyle name="40% - Accent2 2 3 2 2 3 2" xfId="23486" xr:uid="{00000000-0005-0000-0000-0000FA270000}"/>
    <cellStyle name="40% - Accent2 2 3 2 2 4" xfId="15142" xr:uid="{00000000-0005-0000-0000-0000FB270000}"/>
    <cellStyle name="40% - Accent2 2 3 2 2 4 2" xfId="25705" xr:uid="{00000000-0005-0000-0000-0000FC270000}"/>
    <cellStyle name="40% - Accent2 2 3 2 2 5" xfId="19048" xr:uid="{00000000-0005-0000-0000-0000FD270000}"/>
    <cellStyle name="40% - Accent2 2 3 2 3" xfId="7752" xr:uid="{00000000-0005-0000-0000-0000FE270000}"/>
    <cellStyle name="40% - Accent2 2 3 2 3 2" xfId="9971" xr:uid="{00000000-0005-0000-0000-0000FF270000}"/>
    <cellStyle name="40% - Accent2 2 3 2 3 2 2" xfId="20534" xr:uid="{00000000-0005-0000-0000-000000280000}"/>
    <cellStyle name="40% - Accent2 2 3 2 3 3" xfId="12190" xr:uid="{00000000-0005-0000-0000-000001280000}"/>
    <cellStyle name="40% - Accent2 2 3 2 3 3 2" xfId="22753" xr:uid="{00000000-0005-0000-0000-000002280000}"/>
    <cellStyle name="40% - Accent2 2 3 2 3 4" xfId="14409" xr:uid="{00000000-0005-0000-0000-000003280000}"/>
    <cellStyle name="40% - Accent2 2 3 2 3 4 2" xfId="24972" xr:uid="{00000000-0005-0000-0000-000004280000}"/>
    <cellStyle name="40% - Accent2 2 3 2 3 5" xfId="18315" xr:uid="{00000000-0005-0000-0000-000005280000}"/>
    <cellStyle name="40% - Accent2 2 3 2 4" xfId="9228" xr:uid="{00000000-0005-0000-0000-000006280000}"/>
    <cellStyle name="40% - Accent2 2 3 2 4 2" xfId="19791" xr:uid="{00000000-0005-0000-0000-000007280000}"/>
    <cellStyle name="40% - Accent2 2 3 2 5" xfId="11447" xr:uid="{00000000-0005-0000-0000-000008280000}"/>
    <cellStyle name="40% - Accent2 2 3 2 5 2" xfId="22010" xr:uid="{00000000-0005-0000-0000-000009280000}"/>
    <cellStyle name="40% - Accent2 2 3 2 6" xfId="13666" xr:uid="{00000000-0005-0000-0000-00000A280000}"/>
    <cellStyle name="40% - Accent2 2 3 2 6 2" xfId="24229" xr:uid="{00000000-0005-0000-0000-00000B280000}"/>
    <cellStyle name="40% - Accent2 2 3 2 7" xfId="17566" xr:uid="{00000000-0005-0000-0000-00000C280000}"/>
    <cellStyle name="40% - Accent2 2 3 3" xfId="999" xr:uid="{00000000-0005-0000-0000-00000D280000}"/>
    <cellStyle name="40% - Accent2 2 3 3 2" xfId="8486" xr:uid="{00000000-0005-0000-0000-00000E280000}"/>
    <cellStyle name="40% - Accent2 2 3 3 2 2" xfId="10705" xr:uid="{00000000-0005-0000-0000-00000F280000}"/>
    <cellStyle name="40% - Accent2 2 3 3 2 2 2" xfId="21268" xr:uid="{00000000-0005-0000-0000-000010280000}"/>
    <cellStyle name="40% - Accent2 2 3 3 2 3" xfId="12924" xr:uid="{00000000-0005-0000-0000-000011280000}"/>
    <cellStyle name="40% - Accent2 2 3 3 2 3 2" xfId="23487" xr:uid="{00000000-0005-0000-0000-000012280000}"/>
    <cellStyle name="40% - Accent2 2 3 3 2 4" xfId="15143" xr:uid="{00000000-0005-0000-0000-000013280000}"/>
    <cellStyle name="40% - Accent2 2 3 3 2 4 2" xfId="25706" xr:uid="{00000000-0005-0000-0000-000014280000}"/>
    <cellStyle name="40% - Accent2 2 3 3 2 5" xfId="19049" xr:uid="{00000000-0005-0000-0000-000015280000}"/>
    <cellStyle name="40% - Accent2 2 3 3 3" xfId="7753" xr:uid="{00000000-0005-0000-0000-000016280000}"/>
    <cellStyle name="40% - Accent2 2 3 3 3 2" xfId="9972" xr:uid="{00000000-0005-0000-0000-000017280000}"/>
    <cellStyle name="40% - Accent2 2 3 3 3 2 2" xfId="20535" xr:uid="{00000000-0005-0000-0000-000018280000}"/>
    <cellStyle name="40% - Accent2 2 3 3 3 3" xfId="12191" xr:uid="{00000000-0005-0000-0000-000019280000}"/>
    <cellStyle name="40% - Accent2 2 3 3 3 3 2" xfId="22754" xr:uid="{00000000-0005-0000-0000-00001A280000}"/>
    <cellStyle name="40% - Accent2 2 3 3 3 4" xfId="14410" xr:uid="{00000000-0005-0000-0000-00001B280000}"/>
    <cellStyle name="40% - Accent2 2 3 3 3 4 2" xfId="24973" xr:uid="{00000000-0005-0000-0000-00001C280000}"/>
    <cellStyle name="40% - Accent2 2 3 3 3 5" xfId="18316" xr:uid="{00000000-0005-0000-0000-00001D280000}"/>
    <cellStyle name="40% - Accent2 2 3 3 4" xfId="9229" xr:uid="{00000000-0005-0000-0000-00001E280000}"/>
    <cellStyle name="40% - Accent2 2 3 3 4 2" xfId="19792" xr:uid="{00000000-0005-0000-0000-00001F280000}"/>
    <cellStyle name="40% - Accent2 2 3 3 5" xfId="11448" xr:uid="{00000000-0005-0000-0000-000020280000}"/>
    <cellStyle name="40% - Accent2 2 3 3 5 2" xfId="22011" xr:uid="{00000000-0005-0000-0000-000021280000}"/>
    <cellStyle name="40% - Accent2 2 3 3 6" xfId="13667" xr:uid="{00000000-0005-0000-0000-000022280000}"/>
    <cellStyle name="40% - Accent2 2 3 3 6 2" xfId="24230" xr:uid="{00000000-0005-0000-0000-000023280000}"/>
    <cellStyle name="40% - Accent2 2 3 3 7" xfId="17567" xr:uid="{00000000-0005-0000-0000-000024280000}"/>
    <cellStyle name="40% - Accent2 2 3 4" xfId="1000" xr:uid="{00000000-0005-0000-0000-000025280000}"/>
    <cellStyle name="40% - Accent2 2 3 4 2" xfId="8487" xr:uid="{00000000-0005-0000-0000-000026280000}"/>
    <cellStyle name="40% - Accent2 2 3 4 2 2" xfId="10706" xr:uid="{00000000-0005-0000-0000-000027280000}"/>
    <cellStyle name="40% - Accent2 2 3 4 2 2 2" xfId="21269" xr:uid="{00000000-0005-0000-0000-000028280000}"/>
    <cellStyle name="40% - Accent2 2 3 4 2 3" xfId="12925" xr:uid="{00000000-0005-0000-0000-000029280000}"/>
    <cellStyle name="40% - Accent2 2 3 4 2 3 2" xfId="23488" xr:uid="{00000000-0005-0000-0000-00002A280000}"/>
    <cellStyle name="40% - Accent2 2 3 4 2 4" xfId="15144" xr:uid="{00000000-0005-0000-0000-00002B280000}"/>
    <cellStyle name="40% - Accent2 2 3 4 2 4 2" xfId="25707" xr:uid="{00000000-0005-0000-0000-00002C280000}"/>
    <cellStyle name="40% - Accent2 2 3 4 2 5" xfId="19050" xr:uid="{00000000-0005-0000-0000-00002D280000}"/>
    <cellStyle name="40% - Accent2 2 3 4 3" xfId="7754" xr:uid="{00000000-0005-0000-0000-00002E280000}"/>
    <cellStyle name="40% - Accent2 2 3 4 3 2" xfId="9973" xr:uid="{00000000-0005-0000-0000-00002F280000}"/>
    <cellStyle name="40% - Accent2 2 3 4 3 2 2" xfId="20536" xr:uid="{00000000-0005-0000-0000-000030280000}"/>
    <cellStyle name="40% - Accent2 2 3 4 3 3" xfId="12192" xr:uid="{00000000-0005-0000-0000-000031280000}"/>
    <cellStyle name="40% - Accent2 2 3 4 3 3 2" xfId="22755" xr:uid="{00000000-0005-0000-0000-000032280000}"/>
    <cellStyle name="40% - Accent2 2 3 4 3 4" xfId="14411" xr:uid="{00000000-0005-0000-0000-000033280000}"/>
    <cellStyle name="40% - Accent2 2 3 4 3 4 2" xfId="24974" xr:uid="{00000000-0005-0000-0000-000034280000}"/>
    <cellStyle name="40% - Accent2 2 3 4 3 5" xfId="18317" xr:uid="{00000000-0005-0000-0000-000035280000}"/>
    <cellStyle name="40% - Accent2 2 3 4 4" xfId="9230" xr:uid="{00000000-0005-0000-0000-000036280000}"/>
    <cellStyle name="40% - Accent2 2 3 4 4 2" xfId="19793" xr:uid="{00000000-0005-0000-0000-000037280000}"/>
    <cellStyle name="40% - Accent2 2 3 4 5" xfId="11449" xr:uid="{00000000-0005-0000-0000-000038280000}"/>
    <cellStyle name="40% - Accent2 2 3 4 5 2" xfId="22012" xr:uid="{00000000-0005-0000-0000-000039280000}"/>
    <cellStyle name="40% - Accent2 2 3 4 6" xfId="13668" xr:uid="{00000000-0005-0000-0000-00003A280000}"/>
    <cellStyle name="40% - Accent2 2 3 4 6 2" xfId="24231" xr:uid="{00000000-0005-0000-0000-00003B280000}"/>
    <cellStyle name="40% - Accent2 2 3 4 7" xfId="17568" xr:uid="{00000000-0005-0000-0000-00003C280000}"/>
    <cellStyle name="40% - Accent2 2 3 5" xfId="1001" xr:uid="{00000000-0005-0000-0000-00003D280000}"/>
    <cellStyle name="40% - Accent2 2 3 5 2" xfId="8488" xr:uid="{00000000-0005-0000-0000-00003E280000}"/>
    <cellStyle name="40% - Accent2 2 3 5 2 2" xfId="10707" xr:uid="{00000000-0005-0000-0000-00003F280000}"/>
    <cellStyle name="40% - Accent2 2 3 5 2 2 2" xfId="21270" xr:uid="{00000000-0005-0000-0000-000040280000}"/>
    <cellStyle name="40% - Accent2 2 3 5 2 3" xfId="12926" xr:uid="{00000000-0005-0000-0000-000041280000}"/>
    <cellStyle name="40% - Accent2 2 3 5 2 3 2" xfId="23489" xr:uid="{00000000-0005-0000-0000-000042280000}"/>
    <cellStyle name="40% - Accent2 2 3 5 2 4" xfId="15145" xr:uid="{00000000-0005-0000-0000-000043280000}"/>
    <cellStyle name="40% - Accent2 2 3 5 2 4 2" xfId="25708" xr:uid="{00000000-0005-0000-0000-000044280000}"/>
    <cellStyle name="40% - Accent2 2 3 5 2 5" xfId="19051" xr:uid="{00000000-0005-0000-0000-000045280000}"/>
    <cellStyle name="40% - Accent2 2 3 5 3" xfId="7755" xr:uid="{00000000-0005-0000-0000-000046280000}"/>
    <cellStyle name="40% - Accent2 2 3 5 3 2" xfId="9974" xr:uid="{00000000-0005-0000-0000-000047280000}"/>
    <cellStyle name="40% - Accent2 2 3 5 3 2 2" xfId="20537" xr:uid="{00000000-0005-0000-0000-000048280000}"/>
    <cellStyle name="40% - Accent2 2 3 5 3 3" xfId="12193" xr:uid="{00000000-0005-0000-0000-000049280000}"/>
    <cellStyle name="40% - Accent2 2 3 5 3 3 2" xfId="22756" xr:uid="{00000000-0005-0000-0000-00004A280000}"/>
    <cellStyle name="40% - Accent2 2 3 5 3 4" xfId="14412" xr:uid="{00000000-0005-0000-0000-00004B280000}"/>
    <cellStyle name="40% - Accent2 2 3 5 3 4 2" xfId="24975" xr:uid="{00000000-0005-0000-0000-00004C280000}"/>
    <cellStyle name="40% - Accent2 2 3 5 3 5" xfId="18318" xr:uid="{00000000-0005-0000-0000-00004D280000}"/>
    <cellStyle name="40% - Accent2 2 3 5 4" xfId="9231" xr:uid="{00000000-0005-0000-0000-00004E280000}"/>
    <cellStyle name="40% - Accent2 2 3 5 4 2" xfId="19794" xr:uid="{00000000-0005-0000-0000-00004F280000}"/>
    <cellStyle name="40% - Accent2 2 3 5 5" xfId="11450" xr:uid="{00000000-0005-0000-0000-000050280000}"/>
    <cellStyle name="40% - Accent2 2 3 5 5 2" xfId="22013" xr:uid="{00000000-0005-0000-0000-000051280000}"/>
    <cellStyle name="40% - Accent2 2 3 5 6" xfId="13669" xr:uid="{00000000-0005-0000-0000-000052280000}"/>
    <cellStyle name="40% - Accent2 2 3 5 6 2" xfId="24232" xr:uid="{00000000-0005-0000-0000-000053280000}"/>
    <cellStyle name="40% - Accent2 2 3 5 7" xfId="17569" xr:uid="{00000000-0005-0000-0000-000054280000}"/>
    <cellStyle name="40% - Accent2 2 3 6" xfId="1002" xr:uid="{00000000-0005-0000-0000-000055280000}"/>
    <cellStyle name="40% - Accent2 2 3 6 2" xfId="8489" xr:uid="{00000000-0005-0000-0000-000056280000}"/>
    <cellStyle name="40% - Accent2 2 3 6 2 2" xfId="10708" xr:uid="{00000000-0005-0000-0000-000057280000}"/>
    <cellStyle name="40% - Accent2 2 3 6 2 2 2" xfId="21271" xr:uid="{00000000-0005-0000-0000-000058280000}"/>
    <cellStyle name="40% - Accent2 2 3 6 2 3" xfId="12927" xr:uid="{00000000-0005-0000-0000-000059280000}"/>
    <cellStyle name="40% - Accent2 2 3 6 2 3 2" xfId="23490" xr:uid="{00000000-0005-0000-0000-00005A280000}"/>
    <cellStyle name="40% - Accent2 2 3 6 2 4" xfId="15146" xr:uid="{00000000-0005-0000-0000-00005B280000}"/>
    <cellStyle name="40% - Accent2 2 3 6 2 4 2" xfId="25709" xr:uid="{00000000-0005-0000-0000-00005C280000}"/>
    <cellStyle name="40% - Accent2 2 3 6 2 5" xfId="19052" xr:uid="{00000000-0005-0000-0000-00005D280000}"/>
    <cellStyle name="40% - Accent2 2 3 6 3" xfId="7756" xr:uid="{00000000-0005-0000-0000-00005E280000}"/>
    <cellStyle name="40% - Accent2 2 3 6 3 2" xfId="9975" xr:uid="{00000000-0005-0000-0000-00005F280000}"/>
    <cellStyle name="40% - Accent2 2 3 6 3 2 2" xfId="20538" xr:uid="{00000000-0005-0000-0000-000060280000}"/>
    <cellStyle name="40% - Accent2 2 3 6 3 3" xfId="12194" xr:uid="{00000000-0005-0000-0000-000061280000}"/>
    <cellStyle name="40% - Accent2 2 3 6 3 3 2" xfId="22757" xr:uid="{00000000-0005-0000-0000-000062280000}"/>
    <cellStyle name="40% - Accent2 2 3 6 3 4" xfId="14413" xr:uid="{00000000-0005-0000-0000-000063280000}"/>
    <cellStyle name="40% - Accent2 2 3 6 3 4 2" xfId="24976" xr:uid="{00000000-0005-0000-0000-000064280000}"/>
    <cellStyle name="40% - Accent2 2 3 6 3 5" xfId="18319" xr:uid="{00000000-0005-0000-0000-000065280000}"/>
    <cellStyle name="40% - Accent2 2 3 6 4" xfId="9232" xr:uid="{00000000-0005-0000-0000-000066280000}"/>
    <cellStyle name="40% - Accent2 2 3 6 4 2" xfId="19795" xr:uid="{00000000-0005-0000-0000-000067280000}"/>
    <cellStyle name="40% - Accent2 2 3 6 5" xfId="11451" xr:uid="{00000000-0005-0000-0000-000068280000}"/>
    <cellStyle name="40% - Accent2 2 3 6 5 2" xfId="22014" xr:uid="{00000000-0005-0000-0000-000069280000}"/>
    <cellStyle name="40% - Accent2 2 3 6 6" xfId="13670" xr:uid="{00000000-0005-0000-0000-00006A280000}"/>
    <cellStyle name="40% - Accent2 2 3 6 6 2" xfId="24233" xr:uid="{00000000-0005-0000-0000-00006B280000}"/>
    <cellStyle name="40% - Accent2 2 3 6 7" xfId="17570" xr:uid="{00000000-0005-0000-0000-00006C280000}"/>
    <cellStyle name="40% - Accent2 2 3 7" xfId="1003" xr:uid="{00000000-0005-0000-0000-00006D280000}"/>
    <cellStyle name="40% - Accent2 2 3 7 2" xfId="8490" xr:uid="{00000000-0005-0000-0000-00006E280000}"/>
    <cellStyle name="40% - Accent2 2 3 7 2 2" xfId="10709" xr:uid="{00000000-0005-0000-0000-00006F280000}"/>
    <cellStyle name="40% - Accent2 2 3 7 2 2 2" xfId="21272" xr:uid="{00000000-0005-0000-0000-000070280000}"/>
    <cellStyle name="40% - Accent2 2 3 7 2 3" xfId="12928" xr:uid="{00000000-0005-0000-0000-000071280000}"/>
    <cellStyle name="40% - Accent2 2 3 7 2 3 2" xfId="23491" xr:uid="{00000000-0005-0000-0000-000072280000}"/>
    <cellStyle name="40% - Accent2 2 3 7 2 4" xfId="15147" xr:uid="{00000000-0005-0000-0000-000073280000}"/>
    <cellStyle name="40% - Accent2 2 3 7 2 4 2" xfId="25710" xr:uid="{00000000-0005-0000-0000-000074280000}"/>
    <cellStyle name="40% - Accent2 2 3 7 2 5" xfId="19053" xr:uid="{00000000-0005-0000-0000-000075280000}"/>
    <cellStyle name="40% - Accent2 2 3 7 3" xfId="7757" xr:uid="{00000000-0005-0000-0000-000076280000}"/>
    <cellStyle name="40% - Accent2 2 3 7 3 2" xfId="9976" xr:uid="{00000000-0005-0000-0000-000077280000}"/>
    <cellStyle name="40% - Accent2 2 3 7 3 2 2" xfId="20539" xr:uid="{00000000-0005-0000-0000-000078280000}"/>
    <cellStyle name="40% - Accent2 2 3 7 3 3" xfId="12195" xr:uid="{00000000-0005-0000-0000-000079280000}"/>
    <cellStyle name="40% - Accent2 2 3 7 3 3 2" xfId="22758" xr:uid="{00000000-0005-0000-0000-00007A280000}"/>
    <cellStyle name="40% - Accent2 2 3 7 3 4" xfId="14414" xr:uid="{00000000-0005-0000-0000-00007B280000}"/>
    <cellStyle name="40% - Accent2 2 3 7 3 4 2" xfId="24977" xr:uid="{00000000-0005-0000-0000-00007C280000}"/>
    <cellStyle name="40% - Accent2 2 3 7 3 5" xfId="18320" xr:uid="{00000000-0005-0000-0000-00007D280000}"/>
    <cellStyle name="40% - Accent2 2 3 7 4" xfId="9233" xr:uid="{00000000-0005-0000-0000-00007E280000}"/>
    <cellStyle name="40% - Accent2 2 3 7 4 2" xfId="19796" xr:uid="{00000000-0005-0000-0000-00007F280000}"/>
    <cellStyle name="40% - Accent2 2 3 7 5" xfId="11452" xr:uid="{00000000-0005-0000-0000-000080280000}"/>
    <cellStyle name="40% - Accent2 2 3 7 5 2" xfId="22015" xr:uid="{00000000-0005-0000-0000-000081280000}"/>
    <cellStyle name="40% - Accent2 2 3 7 6" xfId="13671" xr:uid="{00000000-0005-0000-0000-000082280000}"/>
    <cellStyle name="40% - Accent2 2 3 7 6 2" xfId="24234" xr:uid="{00000000-0005-0000-0000-000083280000}"/>
    <cellStyle name="40% - Accent2 2 3 7 7" xfId="17571" xr:uid="{00000000-0005-0000-0000-000084280000}"/>
    <cellStyle name="40% - Accent2 2 3 8" xfId="1004" xr:uid="{00000000-0005-0000-0000-000085280000}"/>
    <cellStyle name="40% - Accent2 2 3 8 2" xfId="8491" xr:uid="{00000000-0005-0000-0000-000086280000}"/>
    <cellStyle name="40% - Accent2 2 3 8 2 2" xfId="10710" xr:uid="{00000000-0005-0000-0000-000087280000}"/>
    <cellStyle name="40% - Accent2 2 3 8 2 2 2" xfId="21273" xr:uid="{00000000-0005-0000-0000-000088280000}"/>
    <cellStyle name="40% - Accent2 2 3 8 2 3" xfId="12929" xr:uid="{00000000-0005-0000-0000-000089280000}"/>
    <cellStyle name="40% - Accent2 2 3 8 2 3 2" xfId="23492" xr:uid="{00000000-0005-0000-0000-00008A280000}"/>
    <cellStyle name="40% - Accent2 2 3 8 2 4" xfId="15148" xr:uid="{00000000-0005-0000-0000-00008B280000}"/>
    <cellStyle name="40% - Accent2 2 3 8 2 4 2" xfId="25711" xr:uid="{00000000-0005-0000-0000-00008C280000}"/>
    <cellStyle name="40% - Accent2 2 3 8 2 5" xfId="19054" xr:uid="{00000000-0005-0000-0000-00008D280000}"/>
    <cellStyle name="40% - Accent2 2 3 8 3" xfId="7758" xr:uid="{00000000-0005-0000-0000-00008E280000}"/>
    <cellStyle name="40% - Accent2 2 3 8 3 2" xfId="9977" xr:uid="{00000000-0005-0000-0000-00008F280000}"/>
    <cellStyle name="40% - Accent2 2 3 8 3 2 2" xfId="20540" xr:uid="{00000000-0005-0000-0000-000090280000}"/>
    <cellStyle name="40% - Accent2 2 3 8 3 3" xfId="12196" xr:uid="{00000000-0005-0000-0000-000091280000}"/>
    <cellStyle name="40% - Accent2 2 3 8 3 3 2" xfId="22759" xr:uid="{00000000-0005-0000-0000-000092280000}"/>
    <cellStyle name="40% - Accent2 2 3 8 3 4" xfId="14415" xr:uid="{00000000-0005-0000-0000-000093280000}"/>
    <cellStyle name="40% - Accent2 2 3 8 3 4 2" xfId="24978" xr:uid="{00000000-0005-0000-0000-000094280000}"/>
    <cellStyle name="40% - Accent2 2 3 8 3 5" xfId="18321" xr:uid="{00000000-0005-0000-0000-000095280000}"/>
    <cellStyle name="40% - Accent2 2 3 8 4" xfId="9234" xr:uid="{00000000-0005-0000-0000-000096280000}"/>
    <cellStyle name="40% - Accent2 2 3 8 4 2" xfId="19797" xr:uid="{00000000-0005-0000-0000-000097280000}"/>
    <cellStyle name="40% - Accent2 2 3 8 5" xfId="11453" xr:uid="{00000000-0005-0000-0000-000098280000}"/>
    <cellStyle name="40% - Accent2 2 3 8 5 2" xfId="22016" xr:uid="{00000000-0005-0000-0000-000099280000}"/>
    <cellStyle name="40% - Accent2 2 3 8 6" xfId="13672" xr:uid="{00000000-0005-0000-0000-00009A280000}"/>
    <cellStyle name="40% - Accent2 2 3 8 6 2" xfId="24235" xr:uid="{00000000-0005-0000-0000-00009B280000}"/>
    <cellStyle name="40% - Accent2 2 3 8 7" xfId="17572" xr:uid="{00000000-0005-0000-0000-00009C280000}"/>
    <cellStyle name="40% - Accent2 2 3 9" xfId="1005" xr:uid="{00000000-0005-0000-0000-00009D280000}"/>
    <cellStyle name="40% - Accent2 2 3 9 2" xfId="8492" xr:uid="{00000000-0005-0000-0000-00009E280000}"/>
    <cellStyle name="40% - Accent2 2 3 9 2 2" xfId="10711" xr:uid="{00000000-0005-0000-0000-00009F280000}"/>
    <cellStyle name="40% - Accent2 2 3 9 2 2 2" xfId="21274" xr:uid="{00000000-0005-0000-0000-0000A0280000}"/>
    <cellStyle name="40% - Accent2 2 3 9 2 3" xfId="12930" xr:uid="{00000000-0005-0000-0000-0000A1280000}"/>
    <cellStyle name="40% - Accent2 2 3 9 2 3 2" xfId="23493" xr:uid="{00000000-0005-0000-0000-0000A2280000}"/>
    <cellStyle name="40% - Accent2 2 3 9 2 4" xfId="15149" xr:uid="{00000000-0005-0000-0000-0000A3280000}"/>
    <cellStyle name="40% - Accent2 2 3 9 2 4 2" xfId="25712" xr:uid="{00000000-0005-0000-0000-0000A4280000}"/>
    <cellStyle name="40% - Accent2 2 3 9 2 5" xfId="19055" xr:uid="{00000000-0005-0000-0000-0000A5280000}"/>
    <cellStyle name="40% - Accent2 2 3 9 3" xfId="7759" xr:uid="{00000000-0005-0000-0000-0000A6280000}"/>
    <cellStyle name="40% - Accent2 2 3 9 3 2" xfId="9978" xr:uid="{00000000-0005-0000-0000-0000A7280000}"/>
    <cellStyle name="40% - Accent2 2 3 9 3 2 2" xfId="20541" xr:uid="{00000000-0005-0000-0000-0000A8280000}"/>
    <cellStyle name="40% - Accent2 2 3 9 3 3" xfId="12197" xr:uid="{00000000-0005-0000-0000-0000A9280000}"/>
    <cellStyle name="40% - Accent2 2 3 9 3 3 2" xfId="22760" xr:uid="{00000000-0005-0000-0000-0000AA280000}"/>
    <cellStyle name="40% - Accent2 2 3 9 3 4" xfId="14416" xr:uid="{00000000-0005-0000-0000-0000AB280000}"/>
    <cellStyle name="40% - Accent2 2 3 9 3 4 2" xfId="24979" xr:uid="{00000000-0005-0000-0000-0000AC280000}"/>
    <cellStyle name="40% - Accent2 2 3 9 3 5" xfId="18322" xr:uid="{00000000-0005-0000-0000-0000AD280000}"/>
    <cellStyle name="40% - Accent2 2 3 9 4" xfId="9235" xr:uid="{00000000-0005-0000-0000-0000AE280000}"/>
    <cellStyle name="40% - Accent2 2 3 9 4 2" xfId="19798" xr:uid="{00000000-0005-0000-0000-0000AF280000}"/>
    <cellStyle name="40% - Accent2 2 3 9 5" xfId="11454" xr:uid="{00000000-0005-0000-0000-0000B0280000}"/>
    <cellStyle name="40% - Accent2 2 3 9 5 2" xfId="22017" xr:uid="{00000000-0005-0000-0000-0000B1280000}"/>
    <cellStyle name="40% - Accent2 2 3 9 6" xfId="13673" xr:uid="{00000000-0005-0000-0000-0000B2280000}"/>
    <cellStyle name="40% - Accent2 2 3 9 6 2" xfId="24236" xr:uid="{00000000-0005-0000-0000-0000B3280000}"/>
    <cellStyle name="40% - Accent2 2 3 9 7" xfId="17573" xr:uid="{00000000-0005-0000-0000-0000B4280000}"/>
    <cellStyle name="40% - Accent2 2 4" xfId="1006" xr:uid="{00000000-0005-0000-0000-0000B5280000}"/>
    <cellStyle name="40% - Accent2 2 4 10" xfId="8493" xr:uid="{00000000-0005-0000-0000-0000B6280000}"/>
    <cellStyle name="40% - Accent2 2 4 10 2" xfId="10712" xr:uid="{00000000-0005-0000-0000-0000B7280000}"/>
    <cellStyle name="40% - Accent2 2 4 10 2 2" xfId="21275" xr:uid="{00000000-0005-0000-0000-0000B8280000}"/>
    <cellStyle name="40% - Accent2 2 4 10 3" xfId="12931" xr:uid="{00000000-0005-0000-0000-0000B9280000}"/>
    <cellStyle name="40% - Accent2 2 4 10 3 2" xfId="23494" xr:uid="{00000000-0005-0000-0000-0000BA280000}"/>
    <cellStyle name="40% - Accent2 2 4 10 4" xfId="15150" xr:uid="{00000000-0005-0000-0000-0000BB280000}"/>
    <cellStyle name="40% - Accent2 2 4 10 4 2" xfId="25713" xr:uid="{00000000-0005-0000-0000-0000BC280000}"/>
    <cellStyle name="40% - Accent2 2 4 10 5" xfId="19056" xr:uid="{00000000-0005-0000-0000-0000BD280000}"/>
    <cellStyle name="40% - Accent2 2 4 11" xfId="7760" xr:uid="{00000000-0005-0000-0000-0000BE280000}"/>
    <cellStyle name="40% - Accent2 2 4 11 2" xfId="9979" xr:uid="{00000000-0005-0000-0000-0000BF280000}"/>
    <cellStyle name="40% - Accent2 2 4 11 2 2" xfId="20542" xr:uid="{00000000-0005-0000-0000-0000C0280000}"/>
    <cellStyle name="40% - Accent2 2 4 11 3" xfId="12198" xr:uid="{00000000-0005-0000-0000-0000C1280000}"/>
    <cellStyle name="40% - Accent2 2 4 11 3 2" xfId="22761" xr:uid="{00000000-0005-0000-0000-0000C2280000}"/>
    <cellStyle name="40% - Accent2 2 4 11 4" xfId="14417" xr:uid="{00000000-0005-0000-0000-0000C3280000}"/>
    <cellStyle name="40% - Accent2 2 4 11 4 2" xfId="24980" xr:uid="{00000000-0005-0000-0000-0000C4280000}"/>
    <cellStyle name="40% - Accent2 2 4 11 5" xfId="18323" xr:uid="{00000000-0005-0000-0000-0000C5280000}"/>
    <cellStyle name="40% - Accent2 2 4 12" xfId="9236" xr:uid="{00000000-0005-0000-0000-0000C6280000}"/>
    <cellStyle name="40% - Accent2 2 4 12 2" xfId="19799" xr:uid="{00000000-0005-0000-0000-0000C7280000}"/>
    <cellStyle name="40% - Accent2 2 4 13" xfId="11455" xr:uid="{00000000-0005-0000-0000-0000C8280000}"/>
    <cellStyle name="40% - Accent2 2 4 13 2" xfId="22018" xr:uid="{00000000-0005-0000-0000-0000C9280000}"/>
    <cellStyle name="40% - Accent2 2 4 14" xfId="13674" xr:uid="{00000000-0005-0000-0000-0000CA280000}"/>
    <cellStyle name="40% - Accent2 2 4 14 2" xfId="24237" xr:uid="{00000000-0005-0000-0000-0000CB280000}"/>
    <cellStyle name="40% - Accent2 2 4 15" xfId="17574" xr:uid="{00000000-0005-0000-0000-0000CC280000}"/>
    <cellStyle name="40% - Accent2 2 4 2" xfId="1007" xr:uid="{00000000-0005-0000-0000-0000CD280000}"/>
    <cellStyle name="40% - Accent2 2 4 2 2" xfId="8494" xr:uid="{00000000-0005-0000-0000-0000CE280000}"/>
    <cellStyle name="40% - Accent2 2 4 2 2 2" xfId="10713" xr:uid="{00000000-0005-0000-0000-0000CF280000}"/>
    <cellStyle name="40% - Accent2 2 4 2 2 2 2" xfId="21276" xr:uid="{00000000-0005-0000-0000-0000D0280000}"/>
    <cellStyle name="40% - Accent2 2 4 2 2 3" xfId="12932" xr:uid="{00000000-0005-0000-0000-0000D1280000}"/>
    <cellStyle name="40% - Accent2 2 4 2 2 3 2" xfId="23495" xr:uid="{00000000-0005-0000-0000-0000D2280000}"/>
    <cellStyle name="40% - Accent2 2 4 2 2 4" xfId="15151" xr:uid="{00000000-0005-0000-0000-0000D3280000}"/>
    <cellStyle name="40% - Accent2 2 4 2 2 4 2" xfId="25714" xr:uid="{00000000-0005-0000-0000-0000D4280000}"/>
    <cellStyle name="40% - Accent2 2 4 2 2 5" xfId="19057" xr:uid="{00000000-0005-0000-0000-0000D5280000}"/>
    <cellStyle name="40% - Accent2 2 4 2 3" xfId="7761" xr:uid="{00000000-0005-0000-0000-0000D6280000}"/>
    <cellStyle name="40% - Accent2 2 4 2 3 2" xfId="9980" xr:uid="{00000000-0005-0000-0000-0000D7280000}"/>
    <cellStyle name="40% - Accent2 2 4 2 3 2 2" xfId="20543" xr:uid="{00000000-0005-0000-0000-0000D8280000}"/>
    <cellStyle name="40% - Accent2 2 4 2 3 3" xfId="12199" xr:uid="{00000000-0005-0000-0000-0000D9280000}"/>
    <cellStyle name="40% - Accent2 2 4 2 3 3 2" xfId="22762" xr:uid="{00000000-0005-0000-0000-0000DA280000}"/>
    <cellStyle name="40% - Accent2 2 4 2 3 4" xfId="14418" xr:uid="{00000000-0005-0000-0000-0000DB280000}"/>
    <cellStyle name="40% - Accent2 2 4 2 3 4 2" xfId="24981" xr:uid="{00000000-0005-0000-0000-0000DC280000}"/>
    <cellStyle name="40% - Accent2 2 4 2 3 5" xfId="18324" xr:uid="{00000000-0005-0000-0000-0000DD280000}"/>
    <cellStyle name="40% - Accent2 2 4 2 4" xfId="9237" xr:uid="{00000000-0005-0000-0000-0000DE280000}"/>
    <cellStyle name="40% - Accent2 2 4 2 4 2" xfId="19800" xr:uid="{00000000-0005-0000-0000-0000DF280000}"/>
    <cellStyle name="40% - Accent2 2 4 2 5" xfId="11456" xr:uid="{00000000-0005-0000-0000-0000E0280000}"/>
    <cellStyle name="40% - Accent2 2 4 2 5 2" xfId="22019" xr:uid="{00000000-0005-0000-0000-0000E1280000}"/>
    <cellStyle name="40% - Accent2 2 4 2 6" xfId="13675" xr:uid="{00000000-0005-0000-0000-0000E2280000}"/>
    <cellStyle name="40% - Accent2 2 4 2 6 2" xfId="24238" xr:uid="{00000000-0005-0000-0000-0000E3280000}"/>
    <cellStyle name="40% - Accent2 2 4 2 7" xfId="17575" xr:uid="{00000000-0005-0000-0000-0000E4280000}"/>
    <cellStyle name="40% - Accent2 2 4 3" xfId="1008" xr:uid="{00000000-0005-0000-0000-0000E5280000}"/>
    <cellStyle name="40% - Accent2 2 4 3 2" xfId="8495" xr:uid="{00000000-0005-0000-0000-0000E6280000}"/>
    <cellStyle name="40% - Accent2 2 4 3 2 2" xfId="10714" xr:uid="{00000000-0005-0000-0000-0000E7280000}"/>
    <cellStyle name="40% - Accent2 2 4 3 2 2 2" xfId="21277" xr:uid="{00000000-0005-0000-0000-0000E8280000}"/>
    <cellStyle name="40% - Accent2 2 4 3 2 3" xfId="12933" xr:uid="{00000000-0005-0000-0000-0000E9280000}"/>
    <cellStyle name="40% - Accent2 2 4 3 2 3 2" xfId="23496" xr:uid="{00000000-0005-0000-0000-0000EA280000}"/>
    <cellStyle name="40% - Accent2 2 4 3 2 4" xfId="15152" xr:uid="{00000000-0005-0000-0000-0000EB280000}"/>
    <cellStyle name="40% - Accent2 2 4 3 2 4 2" xfId="25715" xr:uid="{00000000-0005-0000-0000-0000EC280000}"/>
    <cellStyle name="40% - Accent2 2 4 3 2 5" xfId="19058" xr:uid="{00000000-0005-0000-0000-0000ED280000}"/>
    <cellStyle name="40% - Accent2 2 4 3 3" xfId="7762" xr:uid="{00000000-0005-0000-0000-0000EE280000}"/>
    <cellStyle name="40% - Accent2 2 4 3 3 2" xfId="9981" xr:uid="{00000000-0005-0000-0000-0000EF280000}"/>
    <cellStyle name="40% - Accent2 2 4 3 3 2 2" xfId="20544" xr:uid="{00000000-0005-0000-0000-0000F0280000}"/>
    <cellStyle name="40% - Accent2 2 4 3 3 3" xfId="12200" xr:uid="{00000000-0005-0000-0000-0000F1280000}"/>
    <cellStyle name="40% - Accent2 2 4 3 3 3 2" xfId="22763" xr:uid="{00000000-0005-0000-0000-0000F2280000}"/>
    <cellStyle name="40% - Accent2 2 4 3 3 4" xfId="14419" xr:uid="{00000000-0005-0000-0000-0000F3280000}"/>
    <cellStyle name="40% - Accent2 2 4 3 3 4 2" xfId="24982" xr:uid="{00000000-0005-0000-0000-0000F4280000}"/>
    <cellStyle name="40% - Accent2 2 4 3 3 5" xfId="18325" xr:uid="{00000000-0005-0000-0000-0000F5280000}"/>
    <cellStyle name="40% - Accent2 2 4 3 4" xfId="9238" xr:uid="{00000000-0005-0000-0000-0000F6280000}"/>
    <cellStyle name="40% - Accent2 2 4 3 4 2" xfId="19801" xr:uid="{00000000-0005-0000-0000-0000F7280000}"/>
    <cellStyle name="40% - Accent2 2 4 3 5" xfId="11457" xr:uid="{00000000-0005-0000-0000-0000F8280000}"/>
    <cellStyle name="40% - Accent2 2 4 3 5 2" xfId="22020" xr:uid="{00000000-0005-0000-0000-0000F9280000}"/>
    <cellStyle name="40% - Accent2 2 4 3 6" xfId="13676" xr:uid="{00000000-0005-0000-0000-0000FA280000}"/>
    <cellStyle name="40% - Accent2 2 4 3 6 2" xfId="24239" xr:uid="{00000000-0005-0000-0000-0000FB280000}"/>
    <cellStyle name="40% - Accent2 2 4 3 7" xfId="17576" xr:uid="{00000000-0005-0000-0000-0000FC280000}"/>
    <cellStyle name="40% - Accent2 2 4 4" xfId="1009" xr:uid="{00000000-0005-0000-0000-0000FD280000}"/>
    <cellStyle name="40% - Accent2 2 4 4 2" xfId="8496" xr:uid="{00000000-0005-0000-0000-0000FE280000}"/>
    <cellStyle name="40% - Accent2 2 4 4 2 2" xfId="10715" xr:uid="{00000000-0005-0000-0000-0000FF280000}"/>
    <cellStyle name="40% - Accent2 2 4 4 2 2 2" xfId="21278" xr:uid="{00000000-0005-0000-0000-000000290000}"/>
    <cellStyle name="40% - Accent2 2 4 4 2 3" xfId="12934" xr:uid="{00000000-0005-0000-0000-000001290000}"/>
    <cellStyle name="40% - Accent2 2 4 4 2 3 2" xfId="23497" xr:uid="{00000000-0005-0000-0000-000002290000}"/>
    <cellStyle name="40% - Accent2 2 4 4 2 4" xfId="15153" xr:uid="{00000000-0005-0000-0000-000003290000}"/>
    <cellStyle name="40% - Accent2 2 4 4 2 4 2" xfId="25716" xr:uid="{00000000-0005-0000-0000-000004290000}"/>
    <cellStyle name="40% - Accent2 2 4 4 2 5" xfId="19059" xr:uid="{00000000-0005-0000-0000-000005290000}"/>
    <cellStyle name="40% - Accent2 2 4 4 3" xfId="7763" xr:uid="{00000000-0005-0000-0000-000006290000}"/>
    <cellStyle name="40% - Accent2 2 4 4 3 2" xfId="9982" xr:uid="{00000000-0005-0000-0000-000007290000}"/>
    <cellStyle name="40% - Accent2 2 4 4 3 2 2" xfId="20545" xr:uid="{00000000-0005-0000-0000-000008290000}"/>
    <cellStyle name="40% - Accent2 2 4 4 3 3" xfId="12201" xr:uid="{00000000-0005-0000-0000-000009290000}"/>
    <cellStyle name="40% - Accent2 2 4 4 3 3 2" xfId="22764" xr:uid="{00000000-0005-0000-0000-00000A290000}"/>
    <cellStyle name="40% - Accent2 2 4 4 3 4" xfId="14420" xr:uid="{00000000-0005-0000-0000-00000B290000}"/>
    <cellStyle name="40% - Accent2 2 4 4 3 4 2" xfId="24983" xr:uid="{00000000-0005-0000-0000-00000C290000}"/>
    <cellStyle name="40% - Accent2 2 4 4 3 5" xfId="18326" xr:uid="{00000000-0005-0000-0000-00000D290000}"/>
    <cellStyle name="40% - Accent2 2 4 4 4" xfId="9239" xr:uid="{00000000-0005-0000-0000-00000E290000}"/>
    <cellStyle name="40% - Accent2 2 4 4 4 2" xfId="19802" xr:uid="{00000000-0005-0000-0000-00000F290000}"/>
    <cellStyle name="40% - Accent2 2 4 4 5" xfId="11458" xr:uid="{00000000-0005-0000-0000-000010290000}"/>
    <cellStyle name="40% - Accent2 2 4 4 5 2" xfId="22021" xr:uid="{00000000-0005-0000-0000-000011290000}"/>
    <cellStyle name="40% - Accent2 2 4 4 6" xfId="13677" xr:uid="{00000000-0005-0000-0000-000012290000}"/>
    <cellStyle name="40% - Accent2 2 4 4 6 2" xfId="24240" xr:uid="{00000000-0005-0000-0000-000013290000}"/>
    <cellStyle name="40% - Accent2 2 4 4 7" xfId="17577" xr:uid="{00000000-0005-0000-0000-000014290000}"/>
    <cellStyle name="40% - Accent2 2 4 5" xfId="1010" xr:uid="{00000000-0005-0000-0000-000015290000}"/>
    <cellStyle name="40% - Accent2 2 4 5 2" xfId="8497" xr:uid="{00000000-0005-0000-0000-000016290000}"/>
    <cellStyle name="40% - Accent2 2 4 5 2 2" xfId="10716" xr:uid="{00000000-0005-0000-0000-000017290000}"/>
    <cellStyle name="40% - Accent2 2 4 5 2 2 2" xfId="21279" xr:uid="{00000000-0005-0000-0000-000018290000}"/>
    <cellStyle name="40% - Accent2 2 4 5 2 3" xfId="12935" xr:uid="{00000000-0005-0000-0000-000019290000}"/>
    <cellStyle name="40% - Accent2 2 4 5 2 3 2" xfId="23498" xr:uid="{00000000-0005-0000-0000-00001A290000}"/>
    <cellStyle name="40% - Accent2 2 4 5 2 4" xfId="15154" xr:uid="{00000000-0005-0000-0000-00001B290000}"/>
    <cellStyle name="40% - Accent2 2 4 5 2 4 2" xfId="25717" xr:uid="{00000000-0005-0000-0000-00001C290000}"/>
    <cellStyle name="40% - Accent2 2 4 5 2 5" xfId="19060" xr:uid="{00000000-0005-0000-0000-00001D290000}"/>
    <cellStyle name="40% - Accent2 2 4 5 3" xfId="7764" xr:uid="{00000000-0005-0000-0000-00001E290000}"/>
    <cellStyle name="40% - Accent2 2 4 5 3 2" xfId="9983" xr:uid="{00000000-0005-0000-0000-00001F290000}"/>
    <cellStyle name="40% - Accent2 2 4 5 3 2 2" xfId="20546" xr:uid="{00000000-0005-0000-0000-000020290000}"/>
    <cellStyle name="40% - Accent2 2 4 5 3 3" xfId="12202" xr:uid="{00000000-0005-0000-0000-000021290000}"/>
    <cellStyle name="40% - Accent2 2 4 5 3 3 2" xfId="22765" xr:uid="{00000000-0005-0000-0000-000022290000}"/>
    <cellStyle name="40% - Accent2 2 4 5 3 4" xfId="14421" xr:uid="{00000000-0005-0000-0000-000023290000}"/>
    <cellStyle name="40% - Accent2 2 4 5 3 4 2" xfId="24984" xr:uid="{00000000-0005-0000-0000-000024290000}"/>
    <cellStyle name="40% - Accent2 2 4 5 3 5" xfId="18327" xr:uid="{00000000-0005-0000-0000-000025290000}"/>
    <cellStyle name="40% - Accent2 2 4 5 4" xfId="9240" xr:uid="{00000000-0005-0000-0000-000026290000}"/>
    <cellStyle name="40% - Accent2 2 4 5 4 2" xfId="19803" xr:uid="{00000000-0005-0000-0000-000027290000}"/>
    <cellStyle name="40% - Accent2 2 4 5 5" xfId="11459" xr:uid="{00000000-0005-0000-0000-000028290000}"/>
    <cellStyle name="40% - Accent2 2 4 5 5 2" xfId="22022" xr:uid="{00000000-0005-0000-0000-000029290000}"/>
    <cellStyle name="40% - Accent2 2 4 5 6" xfId="13678" xr:uid="{00000000-0005-0000-0000-00002A290000}"/>
    <cellStyle name="40% - Accent2 2 4 5 6 2" xfId="24241" xr:uid="{00000000-0005-0000-0000-00002B290000}"/>
    <cellStyle name="40% - Accent2 2 4 5 7" xfId="17578" xr:uid="{00000000-0005-0000-0000-00002C290000}"/>
    <cellStyle name="40% - Accent2 2 4 6" xfId="1011" xr:uid="{00000000-0005-0000-0000-00002D290000}"/>
    <cellStyle name="40% - Accent2 2 4 6 2" xfId="8498" xr:uid="{00000000-0005-0000-0000-00002E290000}"/>
    <cellStyle name="40% - Accent2 2 4 6 2 2" xfId="10717" xr:uid="{00000000-0005-0000-0000-00002F290000}"/>
    <cellStyle name="40% - Accent2 2 4 6 2 2 2" xfId="21280" xr:uid="{00000000-0005-0000-0000-000030290000}"/>
    <cellStyle name="40% - Accent2 2 4 6 2 3" xfId="12936" xr:uid="{00000000-0005-0000-0000-000031290000}"/>
    <cellStyle name="40% - Accent2 2 4 6 2 3 2" xfId="23499" xr:uid="{00000000-0005-0000-0000-000032290000}"/>
    <cellStyle name="40% - Accent2 2 4 6 2 4" xfId="15155" xr:uid="{00000000-0005-0000-0000-000033290000}"/>
    <cellStyle name="40% - Accent2 2 4 6 2 4 2" xfId="25718" xr:uid="{00000000-0005-0000-0000-000034290000}"/>
    <cellStyle name="40% - Accent2 2 4 6 2 5" xfId="19061" xr:uid="{00000000-0005-0000-0000-000035290000}"/>
    <cellStyle name="40% - Accent2 2 4 6 3" xfId="7765" xr:uid="{00000000-0005-0000-0000-000036290000}"/>
    <cellStyle name="40% - Accent2 2 4 6 3 2" xfId="9984" xr:uid="{00000000-0005-0000-0000-000037290000}"/>
    <cellStyle name="40% - Accent2 2 4 6 3 2 2" xfId="20547" xr:uid="{00000000-0005-0000-0000-000038290000}"/>
    <cellStyle name="40% - Accent2 2 4 6 3 3" xfId="12203" xr:uid="{00000000-0005-0000-0000-000039290000}"/>
    <cellStyle name="40% - Accent2 2 4 6 3 3 2" xfId="22766" xr:uid="{00000000-0005-0000-0000-00003A290000}"/>
    <cellStyle name="40% - Accent2 2 4 6 3 4" xfId="14422" xr:uid="{00000000-0005-0000-0000-00003B290000}"/>
    <cellStyle name="40% - Accent2 2 4 6 3 4 2" xfId="24985" xr:uid="{00000000-0005-0000-0000-00003C290000}"/>
    <cellStyle name="40% - Accent2 2 4 6 3 5" xfId="18328" xr:uid="{00000000-0005-0000-0000-00003D290000}"/>
    <cellStyle name="40% - Accent2 2 4 6 4" xfId="9241" xr:uid="{00000000-0005-0000-0000-00003E290000}"/>
    <cellStyle name="40% - Accent2 2 4 6 4 2" xfId="19804" xr:uid="{00000000-0005-0000-0000-00003F290000}"/>
    <cellStyle name="40% - Accent2 2 4 6 5" xfId="11460" xr:uid="{00000000-0005-0000-0000-000040290000}"/>
    <cellStyle name="40% - Accent2 2 4 6 5 2" xfId="22023" xr:uid="{00000000-0005-0000-0000-000041290000}"/>
    <cellStyle name="40% - Accent2 2 4 6 6" xfId="13679" xr:uid="{00000000-0005-0000-0000-000042290000}"/>
    <cellStyle name="40% - Accent2 2 4 6 6 2" xfId="24242" xr:uid="{00000000-0005-0000-0000-000043290000}"/>
    <cellStyle name="40% - Accent2 2 4 6 7" xfId="17579" xr:uid="{00000000-0005-0000-0000-000044290000}"/>
    <cellStyle name="40% - Accent2 2 4 7" xfId="1012" xr:uid="{00000000-0005-0000-0000-000045290000}"/>
    <cellStyle name="40% - Accent2 2 4 7 2" xfId="8499" xr:uid="{00000000-0005-0000-0000-000046290000}"/>
    <cellStyle name="40% - Accent2 2 4 7 2 2" xfId="10718" xr:uid="{00000000-0005-0000-0000-000047290000}"/>
    <cellStyle name="40% - Accent2 2 4 7 2 2 2" xfId="21281" xr:uid="{00000000-0005-0000-0000-000048290000}"/>
    <cellStyle name="40% - Accent2 2 4 7 2 3" xfId="12937" xr:uid="{00000000-0005-0000-0000-000049290000}"/>
    <cellStyle name="40% - Accent2 2 4 7 2 3 2" xfId="23500" xr:uid="{00000000-0005-0000-0000-00004A290000}"/>
    <cellStyle name="40% - Accent2 2 4 7 2 4" xfId="15156" xr:uid="{00000000-0005-0000-0000-00004B290000}"/>
    <cellStyle name="40% - Accent2 2 4 7 2 4 2" xfId="25719" xr:uid="{00000000-0005-0000-0000-00004C290000}"/>
    <cellStyle name="40% - Accent2 2 4 7 2 5" xfId="19062" xr:uid="{00000000-0005-0000-0000-00004D290000}"/>
    <cellStyle name="40% - Accent2 2 4 7 3" xfId="7766" xr:uid="{00000000-0005-0000-0000-00004E290000}"/>
    <cellStyle name="40% - Accent2 2 4 7 3 2" xfId="9985" xr:uid="{00000000-0005-0000-0000-00004F290000}"/>
    <cellStyle name="40% - Accent2 2 4 7 3 2 2" xfId="20548" xr:uid="{00000000-0005-0000-0000-000050290000}"/>
    <cellStyle name="40% - Accent2 2 4 7 3 3" xfId="12204" xr:uid="{00000000-0005-0000-0000-000051290000}"/>
    <cellStyle name="40% - Accent2 2 4 7 3 3 2" xfId="22767" xr:uid="{00000000-0005-0000-0000-000052290000}"/>
    <cellStyle name="40% - Accent2 2 4 7 3 4" xfId="14423" xr:uid="{00000000-0005-0000-0000-000053290000}"/>
    <cellStyle name="40% - Accent2 2 4 7 3 4 2" xfId="24986" xr:uid="{00000000-0005-0000-0000-000054290000}"/>
    <cellStyle name="40% - Accent2 2 4 7 3 5" xfId="18329" xr:uid="{00000000-0005-0000-0000-000055290000}"/>
    <cellStyle name="40% - Accent2 2 4 7 4" xfId="9242" xr:uid="{00000000-0005-0000-0000-000056290000}"/>
    <cellStyle name="40% - Accent2 2 4 7 4 2" xfId="19805" xr:uid="{00000000-0005-0000-0000-000057290000}"/>
    <cellStyle name="40% - Accent2 2 4 7 5" xfId="11461" xr:uid="{00000000-0005-0000-0000-000058290000}"/>
    <cellStyle name="40% - Accent2 2 4 7 5 2" xfId="22024" xr:uid="{00000000-0005-0000-0000-000059290000}"/>
    <cellStyle name="40% - Accent2 2 4 7 6" xfId="13680" xr:uid="{00000000-0005-0000-0000-00005A290000}"/>
    <cellStyle name="40% - Accent2 2 4 7 6 2" xfId="24243" xr:uid="{00000000-0005-0000-0000-00005B290000}"/>
    <cellStyle name="40% - Accent2 2 4 7 7" xfId="17580" xr:uid="{00000000-0005-0000-0000-00005C290000}"/>
    <cellStyle name="40% - Accent2 2 4 8" xfId="1013" xr:uid="{00000000-0005-0000-0000-00005D290000}"/>
    <cellStyle name="40% - Accent2 2 4 8 2" xfId="8500" xr:uid="{00000000-0005-0000-0000-00005E290000}"/>
    <cellStyle name="40% - Accent2 2 4 8 2 2" xfId="10719" xr:uid="{00000000-0005-0000-0000-00005F290000}"/>
    <cellStyle name="40% - Accent2 2 4 8 2 2 2" xfId="21282" xr:uid="{00000000-0005-0000-0000-000060290000}"/>
    <cellStyle name="40% - Accent2 2 4 8 2 3" xfId="12938" xr:uid="{00000000-0005-0000-0000-000061290000}"/>
    <cellStyle name="40% - Accent2 2 4 8 2 3 2" xfId="23501" xr:uid="{00000000-0005-0000-0000-000062290000}"/>
    <cellStyle name="40% - Accent2 2 4 8 2 4" xfId="15157" xr:uid="{00000000-0005-0000-0000-000063290000}"/>
    <cellStyle name="40% - Accent2 2 4 8 2 4 2" xfId="25720" xr:uid="{00000000-0005-0000-0000-000064290000}"/>
    <cellStyle name="40% - Accent2 2 4 8 2 5" xfId="19063" xr:uid="{00000000-0005-0000-0000-000065290000}"/>
    <cellStyle name="40% - Accent2 2 4 8 3" xfId="7767" xr:uid="{00000000-0005-0000-0000-000066290000}"/>
    <cellStyle name="40% - Accent2 2 4 8 3 2" xfId="9986" xr:uid="{00000000-0005-0000-0000-000067290000}"/>
    <cellStyle name="40% - Accent2 2 4 8 3 2 2" xfId="20549" xr:uid="{00000000-0005-0000-0000-000068290000}"/>
    <cellStyle name="40% - Accent2 2 4 8 3 3" xfId="12205" xr:uid="{00000000-0005-0000-0000-000069290000}"/>
    <cellStyle name="40% - Accent2 2 4 8 3 3 2" xfId="22768" xr:uid="{00000000-0005-0000-0000-00006A290000}"/>
    <cellStyle name="40% - Accent2 2 4 8 3 4" xfId="14424" xr:uid="{00000000-0005-0000-0000-00006B290000}"/>
    <cellStyle name="40% - Accent2 2 4 8 3 4 2" xfId="24987" xr:uid="{00000000-0005-0000-0000-00006C290000}"/>
    <cellStyle name="40% - Accent2 2 4 8 3 5" xfId="18330" xr:uid="{00000000-0005-0000-0000-00006D290000}"/>
    <cellStyle name="40% - Accent2 2 4 8 4" xfId="9243" xr:uid="{00000000-0005-0000-0000-00006E290000}"/>
    <cellStyle name="40% - Accent2 2 4 8 4 2" xfId="19806" xr:uid="{00000000-0005-0000-0000-00006F290000}"/>
    <cellStyle name="40% - Accent2 2 4 8 5" xfId="11462" xr:uid="{00000000-0005-0000-0000-000070290000}"/>
    <cellStyle name="40% - Accent2 2 4 8 5 2" xfId="22025" xr:uid="{00000000-0005-0000-0000-000071290000}"/>
    <cellStyle name="40% - Accent2 2 4 8 6" xfId="13681" xr:uid="{00000000-0005-0000-0000-000072290000}"/>
    <cellStyle name="40% - Accent2 2 4 8 6 2" xfId="24244" xr:uid="{00000000-0005-0000-0000-000073290000}"/>
    <cellStyle name="40% - Accent2 2 4 8 7" xfId="17581" xr:uid="{00000000-0005-0000-0000-000074290000}"/>
    <cellStyle name="40% - Accent2 2 4 9" xfId="1014" xr:uid="{00000000-0005-0000-0000-000075290000}"/>
    <cellStyle name="40% - Accent2 2 4 9 2" xfId="8501" xr:uid="{00000000-0005-0000-0000-000076290000}"/>
    <cellStyle name="40% - Accent2 2 4 9 2 2" xfId="10720" xr:uid="{00000000-0005-0000-0000-000077290000}"/>
    <cellStyle name="40% - Accent2 2 4 9 2 2 2" xfId="21283" xr:uid="{00000000-0005-0000-0000-000078290000}"/>
    <cellStyle name="40% - Accent2 2 4 9 2 3" xfId="12939" xr:uid="{00000000-0005-0000-0000-000079290000}"/>
    <cellStyle name="40% - Accent2 2 4 9 2 3 2" xfId="23502" xr:uid="{00000000-0005-0000-0000-00007A290000}"/>
    <cellStyle name="40% - Accent2 2 4 9 2 4" xfId="15158" xr:uid="{00000000-0005-0000-0000-00007B290000}"/>
    <cellStyle name="40% - Accent2 2 4 9 2 4 2" xfId="25721" xr:uid="{00000000-0005-0000-0000-00007C290000}"/>
    <cellStyle name="40% - Accent2 2 4 9 2 5" xfId="19064" xr:uid="{00000000-0005-0000-0000-00007D290000}"/>
    <cellStyle name="40% - Accent2 2 4 9 3" xfId="7768" xr:uid="{00000000-0005-0000-0000-00007E290000}"/>
    <cellStyle name="40% - Accent2 2 4 9 3 2" xfId="9987" xr:uid="{00000000-0005-0000-0000-00007F290000}"/>
    <cellStyle name="40% - Accent2 2 4 9 3 2 2" xfId="20550" xr:uid="{00000000-0005-0000-0000-000080290000}"/>
    <cellStyle name="40% - Accent2 2 4 9 3 3" xfId="12206" xr:uid="{00000000-0005-0000-0000-000081290000}"/>
    <cellStyle name="40% - Accent2 2 4 9 3 3 2" xfId="22769" xr:uid="{00000000-0005-0000-0000-000082290000}"/>
    <cellStyle name="40% - Accent2 2 4 9 3 4" xfId="14425" xr:uid="{00000000-0005-0000-0000-000083290000}"/>
    <cellStyle name="40% - Accent2 2 4 9 3 4 2" xfId="24988" xr:uid="{00000000-0005-0000-0000-000084290000}"/>
    <cellStyle name="40% - Accent2 2 4 9 3 5" xfId="18331" xr:uid="{00000000-0005-0000-0000-000085290000}"/>
    <cellStyle name="40% - Accent2 2 4 9 4" xfId="9244" xr:uid="{00000000-0005-0000-0000-000086290000}"/>
    <cellStyle name="40% - Accent2 2 4 9 4 2" xfId="19807" xr:uid="{00000000-0005-0000-0000-000087290000}"/>
    <cellStyle name="40% - Accent2 2 4 9 5" xfId="11463" xr:uid="{00000000-0005-0000-0000-000088290000}"/>
    <cellStyle name="40% - Accent2 2 4 9 5 2" xfId="22026" xr:uid="{00000000-0005-0000-0000-000089290000}"/>
    <cellStyle name="40% - Accent2 2 4 9 6" xfId="13682" xr:uid="{00000000-0005-0000-0000-00008A290000}"/>
    <cellStyle name="40% - Accent2 2 4 9 6 2" xfId="24245" xr:uid="{00000000-0005-0000-0000-00008B290000}"/>
    <cellStyle name="40% - Accent2 2 4 9 7" xfId="17582" xr:uid="{00000000-0005-0000-0000-00008C290000}"/>
    <cellStyle name="40% - Accent2 2 5" xfId="1015" xr:uid="{00000000-0005-0000-0000-00008D290000}"/>
    <cellStyle name="40% - Accent2 2 5 10" xfId="13683" xr:uid="{00000000-0005-0000-0000-00008E290000}"/>
    <cellStyle name="40% - Accent2 2 5 10 2" xfId="24246" xr:uid="{00000000-0005-0000-0000-00008F290000}"/>
    <cellStyle name="40% - Accent2 2 5 11" xfId="17583" xr:uid="{00000000-0005-0000-0000-000090290000}"/>
    <cellStyle name="40% - Accent2 2 5 2" xfId="1016" xr:uid="{00000000-0005-0000-0000-000091290000}"/>
    <cellStyle name="40% - Accent2 2 5 2 2" xfId="8503" xr:uid="{00000000-0005-0000-0000-000092290000}"/>
    <cellStyle name="40% - Accent2 2 5 2 2 2" xfId="10722" xr:uid="{00000000-0005-0000-0000-000093290000}"/>
    <cellStyle name="40% - Accent2 2 5 2 2 2 2" xfId="21285" xr:uid="{00000000-0005-0000-0000-000094290000}"/>
    <cellStyle name="40% - Accent2 2 5 2 2 3" xfId="12941" xr:uid="{00000000-0005-0000-0000-000095290000}"/>
    <cellStyle name="40% - Accent2 2 5 2 2 3 2" xfId="23504" xr:uid="{00000000-0005-0000-0000-000096290000}"/>
    <cellStyle name="40% - Accent2 2 5 2 2 4" xfId="15160" xr:uid="{00000000-0005-0000-0000-000097290000}"/>
    <cellStyle name="40% - Accent2 2 5 2 2 4 2" xfId="25723" xr:uid="{00000000-0005-0000-0000-000098290000}"/>
    <cellStyle name="40% - Accent2 2 5 2 2 5" xfId="19066" xr:uid="{00000000-0005-0000-0000-000099290000}"/>
    <cellStyle name="40% - Accent2 2 5 2 3" xfId="7770" xr:uid="{00000000-0005-0000-0000-00009A290000}"/>
    <cellStyle name="40% - Accent2 2 5 2 3 2" xfId="9989" xr:uid="{00000000-0005-0000-0000-00009B290000}"/>
    <cellStyle name="40% - Accent2 2 5 2 3 2 2" xfId="20552" xr:uid="{00000000-0005-0000-0000-00009C290000}"/>
    <cellStyle name="40% - Accent2 2 5 2 3 3" xfId="12208" xr:uid="{00000000-0005-0000-0000-00009D290000}"/>
    <cellStyle name="40% - Accent2 2 5 2 3 3 2" xfId="22771" xr:uid="{00000000-0005-0000-0000-00009E290000}"/>
    <cellStyle name="40% - Accent2 2 5 2 3 4" xfId="14427" xr:uid="{00000000-0005-0000-0000-00009F290000}"/>
    <cellStyle name="40% - Accent2 2 5 2 3 4 2" xfId="24990" xr:uid="{00000000-0005-0000-0000-0000A0290000}"/>
    <cellStyle name="40% - Accent2 2 5 2 3 5" xfId="18333" xr:uid="{00000000-0005-0000-0000-0000A1290000}"/>
    <cellStyle name="40% - Accent2 2 5 2 4" xfId="9246" xr:uid="{00000000-0005-0000-0000-0000A2290000}"/>
    <cellStyle name="40% - Accent2 2 5 2 4 2" xfId="19809" xr:uid="{00000000-0005-0000-0000-0000A3290000}"/>
    <cellStyle name="40% - Accent2 2 5 2 5" xfId="11465" xr:uid="{00000000-0005-0000-0000-0000A4290000}"/>
    <cellStyle name="40% - Accent2 2 5 2 5 2" xfId="22028" xr:uid="{00000000-0005-0000-0000-0000A5290000}"/>
    <cellStyle name="40% - Accent2 2 5 2 6" xfId="13684" xr:uid="{00000000-0005-0000-0000-0000A6290000}"/>
    <cellStyle name="40% - Accent2 2 5 2 6 2" xfId="24247" xr:uid="{00000000-0005-0000-0000-0000A7290000}"/>
    <cellStyle name="40% - Accent2 2 5 2 7" xfId="17584" xr:uid="{00000000-0005-0000-0000-0000A8290000}"/>
    <cellStyle name="40% - Accent2 2 5 3" xfId="1017" xr:uid="{00000000-0005-0000-0000-0000A9290000}"/>
    <cellStyle name="40% - Accent2 2 5 3 2" xfId="8504" xr:uid="{00000000-0005-0000-0000-0000AA290000}"/>
    <cellStyle name="40% - Accent2 2 5 3 2 2" xfId="10723" xr:uid="{00000000-0005-0000-0000-0000AB290000}"/>
    <cellStyle name="40% - Accent2 2 5 3 2 2 2" xfId="21286" xr:uid="{00000000-0005-0000-0000-0000AC290000}"/>
    <cellStyle name="40% - Accent2 2 5 3 2 3" xfId="12942" xr:uid="{00000000-0005-0000-0000-0000AD290000}"/>
    <cellStyle name="40% - Accent2 2 5 3 2 3 2" xfId="23505" xr:uid="{00000000-0005-0000-0000-0000AE290000}"/>
    <cellStyle name="40% - Accent2 2 5 3 2 4" xfId="15161" xr:uid="{00000000-0005-0000-0000-0000AF290000}"/>
    <cellStyle name="40% - Accent2 2 5 3 2 4 2" xfId="25724" xr:uid="{00000000-0005-0000-0000-0000B0290000}"/>
    <cellStyle name="40% - Accent2 2 5 3 2 5" xfId="19067" xr:uid="{00000000-0005-0000-0000-0000B1290000}"/>
    <cellStyle name="40% - Accent2 2 5 3 3" xfId="7771" xr:uid="{00000000-0005-0000-0000-0000B2290000}"/>
    <cellStyle name="40% - Accent2 2 5 3 3 2" xfId="9990" xr:uid="{00000000-0005-0000-0000-0000B3290000}"/>
    <cellStyle name="40% - Accent2 2 5 3 3 2 2" xfId="20553" xr:uid="{00000000-0005-0000-0000-0000B4290000}"/>
    <cellStyle name="40% - Accent2 2 5 3 3 3" xfId="12209" xr:uid="{00000000-0005-0000-0000-0000B5290000}"/>
    <cellStyle name="40% - Accent2 2 5 3 3 3 2" xfId="22772" xr:uid="{00000000-0005-0000-0000-0000B6290000}"/>
    <cellStyle name="40% - Accent2 2 5 3 3 4" xfId="14428" xr:uid="{00000000-0005-0000-0000-0000B7290000}"/>
    <cellStyle name="40% - Accent2 2 5 3 3 4 2" xfId="24991" xr:uid="{00000000-0005-0000-0000-0000B8290000}"/>
    <cellStyle name="40% - Accent2 2 5 3 3 5" xfId="18334" xr:uid="{00000000-0005-0000-0000-0000B9290000}"/>
    <cellStyle name="40% - Accent2 2 5 3 4" xfId="9247" xr:uid="{00000000-0005-0000-0000-0000BA290000}"/>
    <cellStyle name="40% - Accent2 2 5 3 4 2" xfId="19810" xr:uid="{00000000-0005-0000-0000-0000BB290000}"/>
    <cellStyle name="40% - Accent2 2 5 3 5" xfId="11466" xr:uid="{00000000-0005-0000-0000-0000BC290000}"/>
    <cellStyle name="40% - Accent2 2 5 3 5 2" xfId="22029" xr:uid="{00000000-0005-0000-0000-0000BD290000}"/>
    <cellStyle name="40% - Accent2 2 5 3 6" xfId="13685" xr:uid="{00000000-0005-0000-0000-0000BE290000}"/>
    <cellStyle name="40% - Accent2 2 5 3 6 2" xfId="24248" xr:uid="{00000000-0005-0000-0000-0000BF290000}"/>
    <cellStyle name="40% - Accent2 2 5 3 7" xfId="17585" xr:uid="{00000000-0005-0000-0000-0000C0290000}"/>
    <cellStyle name="40% - Accent2 2 5 4" xfId="1018" xr:uid="{00000000-0005-0000-0000-0000C1290000}"/>
    <cellStyle name="40% - Accent2 2 5 4 2" xfId="8505" xr:uid="{00000000-0005-0000-0000-0000C2290000}"/>
    <cellStyle name="40% - Accent2 2 5 4 2 2" xfId="10724" xr:uid="{00000000-0005-0000-0000-0000C3290000}"/>
    <cellStyle name="40% - Accent2 2 5 4 2 2 2" xfId="21287" xr:uid="{00000000-0005-0000-0000-0000C4290000}"/>
    <cellStyle name="40% - Accent2 2 5 4 2 3" xfId="12943" xr:uid="{00000000-0005-0000-0000-0000C5290000}"/>
    <cellStyle name="40% - Accent2 2 5 4 2 3 2" xfId="23506" xr:uid="{00000000-0005-0000-0000-0000C6290000}"/>
    <cellStyle name="40% - Accent2 2 5 4 2 4" xfId="15162" xr:uid="{00000000-0005-0000-0000-0000C7290000}"/>
    <cellStyle name="40% - Accent2 2 5 4 2 4 2" xfId="25725" xr:uid="{00000000-0005-0000-0000-0000C8290000}"/>
    <cellStyle name="40% - Accent2 2 5 4 2 5" xfId="19068" xr:uid="{00000000-0005-0000-0000-0000C9290000}"/>
    <cellStyle name="40% - Accent2 2 5 4 3" xfId="7772" xr:uid="{00000000-0005-0000-0000-0000CA290000}"/>
    <cellStyle name="40% - Accent2 2 5 4 3 2" xfId="9991" xr:uid="{00000000-0005-0000-0000-0000CB290000}"/>
    <cellStyle name="40% - Accent2 2 5 4 3 2 2" xfId="20554" xr:uid="{00000000-0005-0000-0000-0000CC290000}"/>
    <cellStyle name="40% - Accent2 2 5 4 3 3" xfId="12210" xr:uid="{00000000-0005-0000-0000-0000CD290000}"/>
    <cellStyle name="40% - Accent2 2 5 4 3 3 2" xfId="22773" xr:uid="{00000000-0005-0000-0000-0000CE290000}"/>
    <cellStyle name="40% - Accent2 2 5 4 3 4" xfId="14429" xr:uid="{00000000-0005-0000-0000-0000CF290000}"/>
    <cellStyle name="40% - Accent2 2 5 4 3 4 2" xfId="24992" xr:uid="{00000000-0005-0000-0000-0000D0290000}"/>
    <cellStyle name="40% - Accent2 2 5 4 3 5" xfId="18335" xr:uid="{00000000-0005-0000-0000-0000D1290000}"/>
    <cellStyle name="40% - Accent2 2 5 4 4" xfId="9248" xr:uid="{00000000-0005-0000-0000-0000D2290000}"/>
    <cellStyle name="40% - Accent2 2 5 4 4 2" xfId="19811" xr:uid="{00000000-0005-0000-0000-0000D3290000}"/>
    <cellStyle name="40% - Accent2 2 5 4 5" xfId="11467" xr:uid="{00000000-0005-0000-0000-0000D4290000}"/>
    <cellStyle name="40% - Accent2 2 5 4 5 2" xfId="22030" xr:uid="{00000000-0005-0000-0000-0000D5290000}"/>
    <cellStyle name="40% - Accent2 2 5 4 6" xfId="13686" xr:uid="{00000000-0005-0000-0000-0000D6290000}"/>
    <cellStyle name="40% - Accent2 2 5 4 6 2" xfId="24249" xr:uid="{00000000-0005-0000-0000-0000D7290000}"/>
    <cellStyle name="40% - Accent2 2 5 4 7" xfId="17586" xr:uid="{00000000-0005-0000-0000-0000D8290000}"/>
    <cellStyle name="40% - Accent2 2 5 5" xfId="1019" xr:uid="{00000000-0005-0000-0000-0000D9290000}"/>
    <cellStyle name="40% - Accent2 2 5 5 2" xfId="8506" xr:uid="{00000000-0005-0000-0000-0000DA290000}"/>
    <cellStyle name="40% - Accent2 2 5 5 2 2" xfId="10725" xr:uid="{00000000-0005-0000-0000-0000DB290000}"/>
    <cellStyle name="40% - Accent2 2 5 5 2 2 2" xfId="21288" xr:uid="{00000000-0005-0000-0000-0000DC290000}"/>
    <cellStyle name="40% - Accent2 2 5 5 2 3" xfId="12944" xr:uid="{00000000-0005-0000-0000-0000DD290000}"/>
    <cellStyle name="40% - Accent2 2 5 5 2 3 2" xfId="23507" xr:uid="{00000000-0005-0000-0000-0000DE290000}"/>
    <cellStyle name="40% - Accent2 2 5 5 2 4" xfId="15163" xr:uid="{00000000-0005-0000-0000-0000DF290000}"/>
    <cellStyle name="40% - Accent2 2 5 5 2 4 2" xfId="25726" xr:uid="{00000000-0005-0000-0000-0000E0290000}"/>
    <cellStyle name="40% - Accent2 2 5 5 2 5" xfId="19069" xr:uid="{00000000-0005-0000-0000-0000E1290000}"/>
    <cellStyle name="40% - Accent2 2 5 5 3" xfId="7773" xr:uid="{00000000-0005-0000-0000-0000E2290000}"/>
    <cellStyle name="40% - Accent2 2 5 5 3 2" xfId="9992" xr:uid="{00000000-0005-0000-0000-0000E3290000}"/>
    <cellStyle name="40% - Accent2 2 5 5 3 2 2" xfId="20555" xr:uid="{00000000-0005-0000-0000-0000E4290000}"/>
    <cellStyle name="40% - Accent2 2 5 5 3 3" xfId="12211" xr:uid="{00000000-0005-0000-0000-0000E5290000}"/>
    <cellStyle name="40% - Accent2 2 5 5 3 3 2" xfId="22774" xr:uid="{00000000-0005-0000-0000-0000E6290000}"/>
    <cellStyle name="40% - Accent2 2 5 5 3 4" xfId="14430" xr:uid="{00000000-0005-0000-0000-0000E7290000}"/>
    <cellStyle name="40% - Accent2 2 5 5 3 4 2" xfId="24993" xr:uid="{00000000-0005-0000-0000-0000E8290000}"/>
    <cellStyle name="40% - Accent2 2 5 5 3 5" xfId="18336" xr:uid="{00000000-0005-0000-0000-0000E9290000}"/>
    <cellStyle name="40% - Accent2 2 5 5 4" xfId="9249" xr:uid="{00000000-0005-0000-0000-0000EA290000}"/>
    <cellStyle name="40% - Accent2 2 5 5 4 2" xfId="19812" xr:uid="{00000000-0005-0000-0000-0000EB290000}"/>
    <cellStyle name="40% - Accent2 2 5 5 5" xfId="11468" xr:uid="{00000000-0005-0000-0000-0000EC290000}"/>
    <cellStyle name="40% - Accent2 2 5 5 5 2" xfId="22031" xr:uid="{00000000-0005-0000-0000-0000ED290000}"/>
    <cellStyle name="40% - Accent2 2 5 5 6" xfId="13687" xr:uid="{00000000-0005-0000-0000-0000EE290000}"/>
    <cellStyle name="40% - Accent2 2 5 5 6 2" xfId="24250" xr:uid="{00000000-0005-0000-0000-0000EF290000}"/>
    <cellStyle name="40% - Accent2 2 5 5 7" xfId="17587" xr:uid="{00000000-0005-0000-0000-0000F0290000}"/>
    <cellStyle name="40% - Accent2 2 5 6" xfId="8502" xr:uid="{00000000-0005-0000-0000-0000F1290000}"/>
    <cellStyle name="40% - Accent2 2 5 6 2" xfId="10721" xr:uid="{00000000-0005-0000-0000-0000F2290000}"/>
    <cellStyle name="40% - Accent2 2 5 6 2 2" xfId="21284" xr:uid="{00000000-0005-0000-0000-0000F3290000}"/>
    <cellStyle name="40% - Accent2 2 5 6 3" xfId="12940" xr:uid="{00000000-0005-0000-0000-0000F4290000}"/>
    <cellStyle name="40% - Accent2 2 5 6 3 2" xfId="23503" xr:uid="{00000000-0005-0000-0000-0000F5290000}"/>
    <cellStyle name="40% - Accent2 2 5 6 4" xfId="15159" xr:uid="{00000000-0005-0000-0000-0000F6290000}"/>
    <cellStyle name="40% - Accent2 2 5 6 4 2" xfId="25722" xr:uid="{00000000-0005-0000-0000-0000F7290000}"/>
    <cellStyle name="40% - Accent2 2 5 6 5" xfId="19065" xr:uid="{00000000-0005-0000-0000-0000F8290000}"/>
    <cellStyle name="40% - Accent2 2 5 7" xfId="7769" xr:uid="{00000000-0005-0000-0000-0000F9290000}"/>
    <cellStyle name="40% - Accent2 2 5 7 2" xfId="9988" xr:uid="{00000000-0005-0000-0000-0000FA290000}"/>
    <cellStyle name="40% - Accent2 2 5 7 2 2" xfId="20551" xr:uid="{00000000-0005-0000-0000-0000FB290000}"/>
    <cellStyle name="40% - Accent2 2 5 7 3" xfId="12207" xr:uid="{00000000-0005-0000-0000-0000FC290000}"/>
    <cellStyle name="40% - Accent2 2 5 7 3 2" xfId="22770" xr:uid="{00000000-0005-0000-0000-0000FD290000}"/>
    <cellStyle name="40% - Accent2 2 5 7 4" xfId="14426" xr:uid="{00000000-0005-0000-0000-0000FE290000}"/>
    <cellStyle name="40% - Accent2 2 5 7 4 2" xfId="24989" xr:uid="{00000000-0005-0000-0000-0000FF290000}"/>
    <cellStyle name="40% - Accent2 2 5 7 5" xfId="18332" xr:uid="{00000000-0005-0000-0000-0000002A0000}"/>
    <cellStyle name="40% - Accent2 2 5 8" xfId="9245" xr:uid="{00000000-0005-0000-0000-0000012A0000}"/>
    <cellStyle name="40% - Accent2 2 5 8 2" xfId="19808" xr:uid="{00000000-0005-0000-0000-0000022A0000}"/>
    <cellStyle name="40% - Accent2 2 5 9" xfId="11464" xr:uid="{00000000-0005-0000-0000-0000032A0000}"/>
    <cellStyle name="40% - Accent2 2 5 9 2" xfId="22027" xr:uid="{00000000-0005-0000-0000-0000042A0000}"/>
    <cellStyle name="40% - Accent2 2 6" xfId="1020" xr:uid="{00000000-0005-0000-0000-0000052A0000}"/>
    <cellStyle name="40% - Accent2 2 6 10" xfId="13688" xr:uid="{00000000-0005-0000-0000-0000062A0000}"/>
    <cellStyle name="40% - Accent2 2 6 10 2" xfId="24251" xr:uid="{00000000-0005-0000-0000-0000072A0000}"/>
    <cellStyle name="40% - Accent2 2 6 11" xfId="17588" xr:uid="{00000000-0005-0000-0000-0000082A0000}"/>
    <cellStyle name="40% - Accent2 2 6 2" xfId="1021" xr:uid="{00000000-0005-0000-0000-0000092A0000}"/>
    <cellStyle name="40% - Accent2 2 6 2 2" xfId="8508" xr:uid="{00000000-0005-0000-0000-00000A2A0000}"/>
    <cellStyle name="40% - Accent2 2 6 2 2 2" xfId="10727" xr:uid="{00000000-0005-0000-0000-00000B2A0000}"/>
    <cellStyle name="40% - Accent2 2 6 2 2 2 2" xfId="21290" xr:uid="{00000000-0005-0000-0000-00000C2A0000}"/>
    <cellStyle name="40% - Accent2 2 6 2 2 3" xfId="12946" xr:uid="{00000000-0005-0000-0000-00000D2A0000}"/>
    <cellStyle name="40% - Accent2 2 6 2 2 3 2" xfId="23509" xr:uid="{00000000-0005-0000-0000-00000E2A0000}"/>
    <cellStyle name="40% - Accent2 2 6 2 2 4" xfId="15165" xr:uid="{00000000-0005-0000-0000-00000F2A0000}"/>
    <cellStyle name="40% - Accent2 2 6 2 2 4 2" xfId="25728" xr:uid="{00000000-0005-0000-0000-0000102A0000}"/>
    <cellStyle name="40% - Accent2 2 6 2 2 5" xfId="19071" xr:uid="{00000000-0005-0000-0000-0000112A0000}"/>
    <cellStyle name="40% - Accent2 2 6 2 3" xfId="7775" xr:uid="{00000000-0005-0000-0000-0000122A0000}"/>
    <cellStyle name="40% - Accent2 2 6 2 3 2" xfId="9994" xr:uid="{00000000-0005-0000-0000-0000132A0000}"/>
    <cellStyle name="40% - Accent2 2 6 2 3 2 2" xfId="20557" xr:uid="{00000000-0005-0000-0000-0000142A0000}"/>
    <cellStyle name="40% - Accent2 2 6 2 3 3" xfId="12213" xr:uid="{00000000-0005-0000-0000-0000152A0000}"/>
    <cellStyle name="40% - Accent2 2 6 2 3 3 2" xfId="22776" xr:uid="{00000000-0005-0000-0000-0000162A0000}"/>
    <cellStyle name="40% - Accent2 2 6 2 3 4" xfId="14432" xr:uid="{00000000-0005-0000-0000-0000172A0000}"/>
    <cellStyle name="40% - Accent2 2 6 2 3 4 2" xfId="24995" xr:uid="{00000000-0005-0000-0000-0000182A0000}"/>
    <cellStyle name="40% - Accent2 2 6 2 3 5" xfId="18338" xr:uid="{00000000-0005-0000-0000-0000192A0000}"/>
    <cellStyle name="40% - Accent2 2 6 2 4" xfId="9251" xr:uid="{00000000-0005-0000-0000-00001A2A0000}"/>
    <cellStyle name="40% - Accent2 2 6 2 4 2" xfId="19814" xr:uid="{00000000-0005-0000-0000-00001B2A0000}"/>
    <cellStyle name="40% - Accent2 2 6 2 5" xfId="11470" xr:uid="{00000000-0005-0000-0000-00001C2A0000}"/>
    <cellStyle name="40% - Accent2 2 6 2 5 2" xfId="22033" xr:uid="{00000000-0005-0000-0000-00001D2A0000}"/>
    <cellStyle name="40% - Accent2 2 6 2 6" xfId="13689" xr:uid="{00000000-0005-0000-0000-00001E2A0000}"/>
    <cellStyle name="40% - Accent2 2 6 2 6 2" xfId="24252" xr:uid="{00000000-0005-0000-0000-00001F2A0000}"/>
    <cellStyle name="40% - Accent2 2 6 2 7" xfId="17589" xr:uid="{00000000-0005-0000-0000-0000202A0000}"/>
    <cellStyle name="40% - Accent2 2 6 3" xfId="1022" xr:uid="{00000000-0005-0000-0000-0000212A0000}"/>
    <cellStyle name="40% - Accent2 2 6 3 2" xfId="8509" xr:uid="{00000000-0005-0000-0000-0000222A0000}"/>
    <cellStyle name="40% - Accent2 2 6 3 2 2" xfId="10728" xr:uid="{00000000-0005-0000-0000-0000232A0000}"/>
    <cellStyle name="40% - Accent2 2 6 3 2 2 2" xfId="21291" xr:uid="{00000000-0005-0000-0000-0000242A0000}"/>
    <cellStyle name="40% - Accent2 2 6 3 2 3" xfId="12947" xr:uid="{00000000-0005-0000-0000-0000252A0000}"/>
    <cellStyle name="40% - Accent2 2 6 3 2 3 2" xfId="23510" xr:uid="{00000000-0005-0000-0000-0000262A0000}"/>
    <cellStyle name="40% - Accent2 2 6 3 2 4" xfId="15166" xr:uid="{00000000-0005-0000-0000-0000272A0000}"/>
    <cellStyle name="40% - Accent2 2 6 3 2 4 2" xfId="25729" xr:uid="{00000000-0005-0000-0000-0000282A0000}"/>
    <cellStyle name="40% - Accent2 2 6 3 2 5" xfId="19072" xr:uid="{00000000-0005-0000-0000-0000292A0000}"/>
    <cellStyle name="40% - Accent2 2 6 3 3" xfId="7776" xr:uid="{00000000-0005-0000-0000-00002A2A0000}"/>
    <cellStyle name="40% - Accent2 2 6 3 3 2" xfId="9995" xr:uid="{00000000-0005-0000-0000-00002B2A0000}"/>
    <cellStyle name="40% - Accent2 2 6 3 3 2 2" xfId="20558" xr:uid="{00000000-0005-0000-0000-00002C2A0000}"/>
    <cellStyle name="40% - Accent2 2 6 3 3 3" xfId="12214" xr:uid="{00000000-0005-0000-0000-00002D2A0000}"/>
    <cellStyle name="40% - Accent2 2 6 3 3 3 2" xfId="22777" xr:uid="{00000000-0005-0000-0000-00002E2A0000}"/>
    <cellStyle name="40% - Accent2 2 6 3 3 4" xfId="14433" xr:uid="{00000000-0005-0000-0000-00002F2A0000}"/>
    <cellStyle name="40% - Accent2 2 6 3 3 4 2" xfId="24996" xr:uid="{00000000-0005-0000-0000-0000302A0000}"/>
    <cellStyle name="40% - Accent2 2 6 3 3 5" xfId="18339" xr:uid="{00000000-0005-0000-0000-0000312A0000}"/>
    <cellStyle name="40% - Accent2 2 6 3 4" xfId="9252" xr:uid="{00000000-0005-0000-0000-0000322A0000}"/>
    <cellStyle name="40% - Accent2 2 6 3 4 2" xfId="19815" xr:uid="{00000000-0005-0000-0000-0000332A0000}"/>
    <cellStyle name="40% - Accent2 2 6 3 5" xfId="11471" xr:uid="{00000000-0005-0000-0000-0000342A0000}"/>
    <cellStyle name="40% - Accent2 2 6 3 5 2" xfId="22034" xr:uid="{00000000-0005-0000-0000-0000352A0000}"/>
    <cellStyle name="40% - Accent2 2 6 3 6" xfId="13690" xr:uid="{00000000-0005-0000-0000-0000362A0000}"/>
    <cellStyle name="40% - Accent2 2 6 3 6 2" xfId="24253" xr:uid="{00000000-0005-0000-0000-0000372A0000}"/>
    <cellStyle name="40% - Accent2 2 6 3 7" xfId="17590" xr:uid="{00000000-0005-0000-0000-0000382A0000}"/>
    <cellStyle name="40% - Accent2 2 6 4" xfId="1023" xr:uid="{00000000-0005-0000-0000-0000392A0000}"/>
    <cellStyle name="40% - Accent2 2 6 4 2" xfId="8510" xr:uid="{00000000-0005-0000-0000-00003A2A0000}"/>
    <cellStyle name="40% - Accent2 2 6 4 2 2" xfId="10729" xr:uid="{00000000-0005-0000-0000-00003B2A0000}"/>
    <cellStyle name="40% - Accent2 2 6 4 2 2 2" xfId="21292" xr:uid="{00000000-0005-0000-0000-00003C2A0000}"/>
    <cellStyle name="40% - Accent2 2 6 4 2 3" xfId="12948" xr:uid="{00000000-0005-0000-0000-00003D2A0000}"/>
    <cellStyle name="40% - Accent2 2 6 4 2 3 2" xfId="23511" xr:uid="{00000000-0005-0000-0000-00003E2A0000}"/>
    <cellStyle name="40% - Accent2 2 6 4 2 4" xfId="15167" xr:uid="{00000000-0005-0000-0000-00003F2A0000}"/>
    <cellStyle name="40% - Accent2 2 6 4 2 4 2" xfId="25730" xr:uid="{00000000-0005-0000-0000-0000402A0000}"/>
    <cellStyle name="40% - Accent2 2 6 4 2 5" xfId="19073" xr:uid="{00000000-0005-0000-0000-0000412A0000}"/>
    <cellStyle name="40% - Accent2 2 6 4 3" xfId="7777" xr:uid="{00000000-0005-0000-0000-0000422A0000}"/>
    <cellStyle name="40% - Accent2 2 6 4 3 2" xfId="9996" xr:uid="{00000000-0005-0000-0000-0000432A0000}"/>
    <cellStyle name="40% - Accent2 2 6 4 3 2 2" xfId="20559" xr:uid="{00000000-0005-0000-0000-0000442A0000}"/>
    <cellStyle name="40% - Accent2 2 6 4 3 3" xfId="12215" xr:uid="{00000000-0005-0000-0000-0000452A0000}"/>
    <cellStyle name="40% - Accent2 2 6 4 3 3 2" xfId="22778" xr:uid="{00000000-0005-0000-0000-0000462A0000}"/>
    <cellStyle name="40% - Accent2 2 6 4 3 4" xfId="14434" xr:uid="{00000000-0005-0000-0000-0000472A0000}"/>
    <cellStyle name="40% - Accent2 2 6 4 3 4 2" xfId="24997" xr:uid="{00000000-0005-0000-0000-0000482A0000}"/>
    <cellStyle name="40% - Accent2 2 6 4 3 5" xfId="18340" xr:uid="{00000000-0005-0000-0000-0000492A0000}"/>
    <cellStyle name="40% - Accent2 2 6 4 4" xfId="9253" xr:uid="{00000000-0005-0000-0000-00004A2A0000}"/>
    <cellStyle name="40% - Accent2 2 6 4 4 2" xfId="19816" xr:uid="{00000000-0005-0000-0000-00004B2A0000}"/>
    <cellStyle name="40% - Accent2 2 6 4 5" xfId="11472" xr:uid="{00000000-0005-0000-0000-00004C2A0000}"/>
    <cellStyle name="40% - Accent2 2 6 4 5 2" xfId="22035" xr:uid="{00000000-0005-0000-0000-00004D2A0000}"/>
    <cellStyle name="40% - Accent2 2 6 4 6" xfId="13691" xr:uid="{00000000-0005-0000-0000-00004E2A0000}"/>
    <cellStyle name="40% - Accent2 2 6 4 6 2" xfId="24254" xr:uid="{00000000-0005-0000-0000-00004F2A0000}"/>
    <cellStyle name="40% - Accent2 2 6 4 7" xfId="17591" xr:uid="{00000000-0005-0000-0000-0000502A0000}"/>
    <cellStyle name="40% - Accent2 2 6 5" xfId="1024" xr:uid="{00000000-0005-0000-0000-0000512A0000}"/>
    <cellStyle name="40% - Accent2 2 6 5 2" xfId="8511" xr:uid="{00000000-0005-0000-0000-0000522A0000}"/>
    <cellStyle name="40% - Accent2 2 6 5 2 2" xfId="10730" xr:uid="{00000000-0005-0000-0000-0000532A0000}"/>
    <cellStyle name="40% - Accent2 2 6 5 2 2 2" xfId="21293" xr:uid="{00000000-0005-0000-0000-0000542A0000}"/>
    <cellStyle name="40% - Accent2 2 6 5 2 3" xfId="12949" xr:uid="{00000000-0005-0000-0000-0000552A0000}"/>
    <cellStyle name="40% - Accent2 2 6 5 2 3 2" xfId="23512" xr:uid="{00000000-0005-0000-0000-0000562A0000}"/>
    <cellStyle name="40% - Accent2 2 6 5 2 4" xfId="15168" xr:uid="{00000000-0005-0000-0000-0000572A0000}"/>
    <cellStyle name="40% - Accent2 2 6 5 2 4 2" xfId="25731" xr:uid="{00000000-0005-0000-0000-0000582A0000}"/>
    <cellStyle name="40% - Accent2 2 6 5 2 5" xfId="19074" xr:uid="{00000000-0005-0000-0000-0000592A0000}"/>
    <cellStyle name="40% - Accent2 2 6 5 3" xfId="7778" xr:uid="{00000000-0005-0000-0000-00005A2A0000}"/>
    <cellStyle name="40% - Accent2 2 6 5 3 2" xfId="9997" xr:uid="{00000000-0005-0000-0000-00005B2A0000}"/>
    <cellStyle name="40% - Accent2 2 6 5 3 2 2" xfId="20560" xr:uid="{00000000-0005-0000-0000-00005C2A0000}"/>
    <cellStyle name="40% - Accent2 2 6 5 3 3" xfId="12216" xr:uid="{00000000-0005-0000-0000-00005D2A0000}"/>
    <cellStyle name="40% - Accent2 2 6 5 3 3 2" xfId="22779" xr:uid="{00000000-0005-0000-0000-00005E2A0000}"/>
    <cellStyle name="40% - Accent2 2 6 5 3 4" xfId="14435" xr:uid="{00000000-0005-0000-0000-00005F2A0000}"/>
    <cellStyle name="40% - Accent2 2 6 5 3 4 2" xfId="24998" xr:uid="{00000000-0005-0000-0000-0000602A0000}"/>
    <cellStyle name="40% - Accent2 2 6 5 3 5" xfId="18341" xr:uid="{00000000-0005-0000-0000-0000612A0000}"/>
    <cellStyle name="40% - Accent2 2 6 5 4" xfId="9254" xr:uid="{00000000-0005-0000-0000-0000622A0000}"/>
    <cellStyle name="40% - Accent2 2 6 5 4 2" xfId="19817" xr:uid="{00000000-0005-0000-0000-0000632A0000}"/>
    <cellStyle name="40% - Accent2 2 6 5 5" xfId="11473" xr:uid="{00000000-0005-0000-0000-0000642A0000}"/>
    <cellStyle name="40% - Accent2 2 6 5 5 2" xfId="22036" xr:uid="{00000000-0005-0000-0000-0000652A0000}"/>
    <cellStyle name="40% - Accent2 2 6 5 6" xfId="13692" xr:uid="{00000000-0005-0000-0000-0000662A0000}"/>
    <cellStyle name="40% - Accent2 2 6 5 6 2" xfId="24255" xr:uid="{00000000-0005-0000-0000-0000672A0000}"/>
    <cellStyle name="40% - Accent2 2 6 5 7" xfId="17592" xr:uid="{00000000-0005-0000-0000-0000682A0000}"/>
    <cellStyle name="40% - Accent2 2 6 6" xfId="8507" xr:uid="{00000000-0005-0000-0000-0000692A0000}"/>
    <cellStyle name="40% - Accent2 2 6 6 2" xfId="10726" xr:uid="{00000000-0005-0000-0000-00006A2A0000}"/>
    <cellStyle name="40% - Accent2 2 6 6 2 2" xfId="21289" xr:uid="{00000000-0005-0000-0000-00006B2A0000}"/>
    <cellStyle name="40% - Accent2 2 6 6 3" xfId="12945" xr:uid="{00000000-0005-0000-0000-00006C2A0000}"/>
    <cellStyle name="40% - Accent2 2 6 6 3 2" xfId="23508" xr:uid="{00000000-0005-0000-0000-00006D2A0000}"/>
    <cellStyle name="40% - Accent2 2 6 6 4" xfId="15164" xr:uid="{00000000-0005-0000-0000-00006E2A0000}"/>
    <cellStyle name="40% - Accent2 2 6 6 4 2" xfId="25727" xr:uid="{00000000-0005-0000-0000-00006F2A0000}"/>
    <cellStyle name="40% - Accent2 2 6 6 5" xfId="19070" xr:uid="{00000000-0005-0000-0000-0000702A0000}"/>
    <cellStyle name="40% - Accent2 2 6 7" xfId="7774" xr:uid="{00000000-0005-0000-0000-0000712A0000}"/>
    <cellStyle name="40% - Accent2 2 6 7 2" xfId="9993" xr:uid="{00000000-0005-0000-0000-0000722A0000}"/>
    <cellStyle name="40% - Accent2 2 6 7 2 2" xfId="20556" xr:uid="{00000000-0005-0000-0000-0000732A0000}"/>
    <cellStyle name="40% - Accent2 2 6 7 3" xfId="12212" xr:uid="{00000000-0005-0000-0000-0000742A0000}"/>
    <cellStyle name="40% - Accent2 2 6 7 3 2" xfId="22775" xr:uid="{00000000-0005-0000-0000-0000752A0000}"/>
    <cellStyle name="40% - Accent2 2 6 7 4" xfId="14431" xr:uid="{00000000-0005-0000-0000-0000762A0000}"/>
    <cellStyle name="40% - Accent2 2 6 7 4 2" xfId="24994" xr:uid="{00000000-0005-0000-0000-0000772A0000}"/>
    <cellStyle name="40% - Accent2 2 6 7 5" xfId="18337" xr:uid="{00000000-0005-0000-0000-0000782A0000}"/>
    <cellStyle name="40% - Accent2 2 6 8" xfId="9250" xr:uid="{00000000-0005-0000-0000-0000792A0000}"/>
    <cellStyle name="40% - Accent2 2 6 8 2" xfId="19813" xr:uid="{00000000-0005-0000-0000-00007A2A0000}"/>
    <cellStyle name="40% - Accent2 2 6 9" xfId="11469" xr:uid="{00000000-0005-0000-0000-00007B2A0000}"/>
    <cellStyle name="40% - Accent2 2 6 9 2" xfId="22032" xr:uid="{00000000-0005-0000-0000-00007C2A0000}"/>
    <cellStyle name="40% - Accent2 2 7" xfId="1025" xr:uid="{00000000-0005-0000-0000-00007D2A0000}"/>
    <cellStyle name="40% - Accent2 2 7 2" xfId="8512" xr:uid="{00000000-0005-0000-0000-00007E2A0000}"/>
    <cellStyle name="40% - Accent2 2 7 2 2" xfId="10731" xr:uid="{00000000-0005-0000-0000-00007F2A0000}"/>
    <cellStyle name="40% - Accent2 2 7 2 2 2" xfId="21294" xr:uid="{00000000-0005-0000-0000-0000802A0000}"/>
    <cellStyle name="40% - Accent2 2 7 2 3" xfId="12950" xr:uid="{00000000-0005-0000-0000-0000812A0000}"/>
    <cellStyle name="40% - Accent2 2 7 2 3 2" xfId="23513" xr:uid="{00000000-0005-0000-0000-0000822A0000}"/>
    <cellStyle name="40% - Accent2 2 7 2 4" xfId="15169" xr:uid="{00000000-0005-0000-0000-0000832A0000}"/>
    <cellStyle name="40% - Accent2 2 7 2 4 2" xfId="25732" xr:uid="{00000000-0005-0000-0000-0000842A0000}"/>
    <cellStyle name="40% - Accent2 2 7 2 5" xfId="19075" xr:uid="{00000000-0005-0000-0000-0000852A0000}"/>
    <cellStyle name="40% - Accent2 2 7 3" xfId="7779" xr:uid="{00000000-0005-0000-0000-0000862A0000}"/>
    <cellStyle name="40% - Accent2 2 7 3 2" xfId="9998" xr:uid="{00000000-0005-0000-0000-0000872A0000}"/>
    <cellStyle name="40% - Accent2 2 7 3 2 2" xfId="20561" xr:uid="{00000000-0005-0000-0000-0000882A0000}"/>
    <cellStyle name="40% - Accent2 2 7 3 3" xfId="12217" xr:uid="{00000000-0005-0000-0000-0000892A0000}"/>
    <cellStyle name="40% - Accent2 2 7 3 3 2" xfId="22780" xr:uid="{00000000-0005-0000-0000-00008A2A0000}"/>
    <cellStyle name="40% - Accent2 2 7 3 4" xfId="14436" xr:uid="{00000000-0005-0000-0000-00008B2A0000}"/>
    <cellStyle name="40% - Accent2 2 7 3 4 2" xfId="24999" xr:uid="{00000000-0005-0000-0000-00008C2A0000}"/>
    <cellStyle name="40% - Accent2 2 7 3 5" xfId="18342" xr:uid="{00000000-0005-0000-0000-00008D2A0000}"/>
    <cellStyle name="40% - Accent2 2 7 4" xfId="9255" xr:uid="{00000000-0005-0000-0000-00008E2A0000}"/>
    <cellStyle name="40% - Accent2 2 7 4 2" xfId="19818" xr:uid="{00000000-0005-0000-0000-00008F2A0000}"/>
    <cellStyle name="40% - Accent2 2 7 5" xfId="11474" xr:uid="{00000000-0005-0000-0000-0000902A0000}"/>
    <cellStyle name="40% - Accent2 2 7 5 2" xfId="22037" xr:uid="{00000000-0005-0000-0000-0000912A0000}"/>
    <cellStyle name="40% - Accent2 2 7 6" xfId="13693" xr:uid="{00000000-0005-0000-0000-0000922A0000}"/>
    <cellStyle name="40% - Accent2 2 7 6 2" xfId="24256" xr:uid="{00000000-0005-0000-0000-0000932A0000}"/>
    <cellStyle name="40% - Accent2 2 7 7" xfId="17593" xr:uid="{00000000-0005-0000-0000-0000942A0000}"/>
    <cellStyle name="40% - Accent2 2 8" xfId="1026" xr:uid="{00000000-0005-0000-0000-0000952A0000}"/>
    <cellStyle name="40% - Accent2 2 8 2" xfId="8513" xr:uid="{00000000-0005-0000-0000-0000962A0000}"/>
    <cellStyle name="40% - Accent2 2 8 2 2" xfId="10732" xr:uid="{00000000-0005-0000-0000-0000972A0000}"/>
    <cellStyle name="40% - Accent2 2 8 2 2 2" xfId="21295" xr:uid="{00000000-0005-0000-0000-0000982A0000}"/>
    <cellStyle name="40% - Accent2 2 8 2 3" xfId="12951" xr:uid="{00000000-0005-0000-0000-0000992A0000}"/>
    <cellStyle name="40% - Accent2 2 8 2 3 2" xfId="23514" xr:uid="{00000000-0005-0000-0000-00009A2A0000}"/>
    <cellStyle name="40% - Accent2 2 8 2 4" xfId="15170" xr:uid="{00000000-0005-0000-0000-00009B2A0000}"/>
    <cellStyle name="40% - Accent2 2 8 2 4 2" xfId="25733" xr:uid="{00000000-0005-0000-0000-00009C2A0000}"/>
    <cellStyle name="40% - Accent2 2 8 2 5" xfId="19076" xr:uid="{00000000-0005-0000-0000-00009D2A0000}"/>
    <cellStyle name="40% - Accent2 2 8 3" xfId="7780" xr:uid="{00000000-0005-0000-0000-00009E2A0000}"/>
    <cellStyle name="40% - Accent2 2 8 3 2" xfId="9999" xr:uid="{00000000-0005-0000-0000-00009F2A0000}"/>
    <cellStyle name="40% - Accent2 2 8 3 2 2" xfId="20562" xr:uid="{00000000-0005-0000-0000-0000A02A0000}"/>
    <cellStyle name="40% - Accent2 2 8 3 3" xfId="12218" xr:uid="{00000000-0005-0000-0000-0000A12A0000}"/>
    <cellStyle name="40% - Accent2 2 8 3 3 2" xfId="22781" xr:uid="{00000000-0005-0000-0000-0000A22A0000}"/>
    <cellStyle name="40% - Accent2 2 8 3 4" xfId="14437" xr:uid="{00000000-0005-0000-0000-0000A32A0000}"/>
    <cellStyle name="40% - Accent2 2 8 3 4 2" xfId="25000" xr:uid="{00000000-0005-0000-0000-0000A42A0000}"/>
    <cellStyle name="40% - Accent2 2 8 3 5" xfId="18343" xr:uid="{00000000-0005-0000-0000-0000A52A0000}"/>
    <cellStyle name="40% - Accent2 2 8 4" xfId="9256" xr:uid="{00000000-0005-0000-0000-0000A62A0000}"/>
    <cellStyle name="40% - Accent2 2 8 4 2" xfId="19819" xr:uid="{00000000-0005-0000-0000-0000A72A0000}"/>
    <cellStyle name="40% - Accent2 2 8 5" xfId="11475" xr:uid="{00000000-0005-0000-0000-0000A82A0000}"/>
    <cellStyle name="40% - Accent2 2 8 5 2" xfId="22038" xr:uid="{00000000-0005-0000-0000-0000A92A0000}"/>
    <cellStyle name="40% - Accent2 2 8 6" xfId="13694" xr:uid="{00000000-0005-0000-0000-0000AA2A0000}"/>
    <cellStyle name="40% - Accent2 2 8 6 2" xfId="24257" xr:uid="{00000000-0005-0000-0000-0000AB2A0000}"/>
    <cellStyle name="40% - Accent2 2 8 7" xfId="17594" xr:uid="{00000000-0005-0000-0000-0000AC2A0000}"/>
    <cellStyle name="40% - Accent2 2 9" xfId="1027" xr:uid="{00000000-0005-0000-0000-0000AD2A0000}"/>
    <cellStyle name="40% - Accent2 2 9 2" xfId="8514" xr:uid="{00000000-0005-0000-0000-0000AE2A0000}"/>
    <cellStyle name="40% - Accent2 2 9 2 2" xfId="10733" xr:uid="{00000000-0005-0000-0000-0000AF2A0000}"/>
    <cellStyle name="40% - Accent2 2 9 2 2 2" xfId="21296" xr:uid="{00000000-0005-0000-0000-0000B02A0000}"/>
    <cellStyle name="40% - Accent2 2 9 2 3" xfId="12952" xr:uid="{00000000-0005-0000-0000-0000B12A0000}"/>
    <cellStyle name="40% - Accent2 2 9 2 3 2" xfId="23515" xr:uid="{00000000-0005-0000-0000-0000B22A0000}"/>
    <cellStyle name="40% - Accent2 2 9 2 4" xfId="15171" xr:uid="{00000000-0005-0000-0000-0000B32A0000}"/>
    <cellStyle name="40% - Accent2 2 9 2 4 2" xfId="25734" xr:uid="{00000000-0005-0000-0000-0000B42A0000}"/>
    <cellStyle name="40% - Accent2 2 9 2 5" xfId="19077" xr:uid="{00000000-0005-0000-0000-0000B52A0000}"/>
    <cellStyle name="40% - Accent2 2 9 3" xfId="7781" xr:uid="{00000000-0005-0000-0000-0000B62A0000}"/>
    <cellStyle name="40% - Accent2 2 9 3 2" xfId="10000" xr:uid="{00000000-0005-0000-0000-0000B72A0000}"/>
    <cellStyle name="40% - Accent2 2 9 3 2 2" xfId="20563" xr:uid="{00000000-0005-0000-0000-0000B82A0000}"/>
    <cellStyle name="40% - Accent2 2 9 3 3" xfId="12219" xr:uid="{00000000-0005-0000-0000-0000B92A0000}"/>
    <cellStyle name="40% - Accent2 2 9 3 3 2" xfId="22782" xr:uid="{00000000-0005-0000-0000-0000BA2A0000}"/>
    <cellStyle name="40% - Accent2 2 9 3 4" xfId="14438" xr:uid="{00000000-0005-0000-0000-0000BB2A0000}"/>
    <cellStyle name="40% - Accent2 2 9 3 4 2" xfId="25001" xr:uid="{00000000-0005-0000-0000-0000BC2A0000}"/>
    <cellStyle name="40% - Accent2 2 9 3 5" xfId="18344" xr:uid="{00000000-0005-0000-0000-0000BD2A0000}"/>
    <cellStyle name="40% - Accent2 2 9 4" xfId="9257" xr:uid="{00000000-0005-0000-0000-0000BE2A0000}"/>
    <cellStyle name="40% - Accent2 2 9 4 2" xfId="19820" xr:uid="{00000000-0005-0000-0000-0000BF2A0000}"/>
    <cellStyle name="40% - Accent2 2 9 5" xfId="11476" xr:uid="{00000000-0005-0000-0000-0000C02A0000}"/>
    <cellStyle name="40% - Accent2 2 9 5 2" xfId="22039" xr:uid="{00000000-0005-0000-0000-0000C12A0000}"/>
    <cellStyle name="40% - Accent2 2 9 6" xfId="13695" xr:uid="{00000000-0005-0000-0000-0000C22A0000}"/>
    <cellStyle name="40% - Accent2 2 9 6 2" xfId="24258" xr:uid="{00000000-0005-0000-0000-0000C32A0000}"/>
    <cellStyle name="40% - Accent2 2 9 7" xfId="17595" xr:uid="{00000000-0005-0000-0000-0000C42A0000}"/>
    <cellStyle name="40% - Accent2 3" xfId="1028" xr:uid="{00000000-0005-0000-0000-0000C52A0000}"/>
    <cellStyle name="40% - Accent2 3 10" xfId="1029" xr:uid="{00000000-0005-0000-0000-0000C62A0000}"/>
    <cellStyle name="40% - Accent2 3 2" xfId="1030" xr:uid="{00000000-0005-0000-0000-0000C72A0000}"/>
    <cellStyle name="40% - Accent2 3 2 2" xfId="8515" xr:uid="{00000000-0005-0000-0000-0000C82A0000}"/>
    <cellStyle name="40% - Accent2 3 2 2 2" xfId="10734" xr:uid="{00000000-0005-0000-0000-0000C92A0000}"/>
    <cellStyle name="40% - Accent2 3 2 2 2 2" xfId="21297" xr:uid="{00000000-0005-0000-0000-0000CA2A0000}"/>
    <cellStyle name="40% - Accent2 3 2 2 3" xfId="12953" xr:uid="{00000000-0005-0000-0000-0000CB2A0000}"/>
    <cellStyle name="40% - Accent2 3 2 2 3 2" xfId="23516" xr:uid="{00000000-0005-0000-0000-0000CC2A0000}"/>
    <cellStyle name="40% - Accent2 3 2 2 4" xfId="15172" xr:uid="{00000000-0005-0000-0000-0000CD2A0000}"/>
    <cellStyle name="40% - Accent2 3 2 2 4 2" xfId="25735" xr:uid="{00000000-0005-0000-0000-0000CE2A0000}"/>
    <cellStyle name="40% - Accent2 3 2 2 5" xfId="19078" xr:uid="{00000000-0005-0000-0000-0000CF2A0000}"/>
    <cellStyle name="40% - Accent2 3 2 3" xfId="7782" xr:uid="{00000000-0005-0000-0000-0000D02A0000}"/>
    <cellStyle name="40% - Accent2 3 2 3 2" xfId="10001" xr:uid="{00000000-0005-0000-0000-0000D12A0000}"/>
    <cellStyle name="40% - Accent2 3 2 3 2 2" xfId="20564" xr:uid="{00000000-0005-0000-0000-0000D22A0000}"/>
    <cellStyle name="40% - Accent2 3 2 3 3" xfId="12220" xr:uid="{00000000-0005-0000-0000-0000D32A0000}"/>
    <cellStyle name="40% - Accent2 3 2 3 3 2" xfId="22783" xr:uid="{00000000-0005-0000-0000-0000D42A0000}"/>
    <cellStyle name="40% - Accent2 3 2 3 4" xfId="14439" xr:uid="{00000000-0005-0000-0000-0000D52A0000}"/>
    <cellStyle name="40% - Accent2 3 2 3 4 2" xfId="25002" xr:uid="{00000000-0005-0000-0000-0000D62A0000}"/>
    <cellStyle name="40% - Accent2 3 2 3 5" xfId="18345" xr:uid="{00000000-0005-0000-0000-0000D72A0000}"/>
    <cellStyle name="40% - Accent2 3 2 4" xfId="9258" xr:uid="{00000000-0005-0000-0000-0000D82A0000}"/>
    <cellStyle name="40% - Accent2 3 2 4 2" xfId="19821" xr:uid="{00000000-0005-0000-0000-0000D92A0000}"/>
    <cellStyle name="40% - Accent2 3 2 5" xfId="11477" xr:uid="{00000000-0005-0000-0000-0000DA2A0000}"/>
    <cellStyle name="40% - Accent2 3 2 5 2" xfId="22040" xr:uid="{00000000-0005-0000-0000-0000DB2A0000}"/>
    <cellStyle name="40% - Accent2 3 2 6" xfId="13696" xr:uid="{00000000-0005-0000-0000-0000DC2A0000}"/>
    <cellStyle name="40% - Accent2 3 2 6 2" xfId="24259" xr:uid="{00000000-0005-0000-0000-0000DD2A0000}"/>
    <cellStyle name="40% - Accent2 3 2 7" xfId="17596" xr:uid="{00000000-0005-0000-0000-0000DE2A0000}"/>
    <cellStyle name="40% - Accent2 3 3" xfId="1031" xr:uid="{00000000-0005-0000-0000-0000DF2A0000}"/>
    <cellStyle name="40% - Accent2 3 3 2" xfId="8516" xr:uid="{00000000-0005-0000-0000-0000E02A0000}"/>
    <cellStyle name="40% - Accent2 3 3 2 2" xfId="10735" xr:uid="{00000000-0005-0000-0000-0000E12A0000}"/>
    <cellStyle name="40% - Accent2 3 3 2 2 2" xfId="21298" xr:uid="{00000000-0005-0000-0000-0000E22A0000}"/>
    <cellStyle name="40% - Accent2 3 3 2 3" xfId="12954" xr:uid="{00000000-0005-0000-0000-0000E32A0000}"/>
    <cellStyle name="40% - Accent2 3 3 2 3 2" xfId="23517" xr:uid="{00000000-0005-0000-0000-0000E42A0000}"/>
    <cellStyle name="40% - Accent2 3 3 2 4" xfId="15173" xr:uid="{00000000-0005-0000-0000-0000E52A0000}"/>
    <cellStyle name="40% - Accent2 3 3 2 4 2" xfId="25736" xr:uid="{00000000-0005-0000-0000-0000E62A0000}"/>
    <cellStyle name="40% - Accent2 3 3 2 5" xfId="19079" xr:uid="{00000000-0005-0000-0000-0000E72A0000}"/>
    <cellStyle name="40% - Accent2 3 3 3" xfId="7783" xr:uid="{00000000-0005-0000-0000-0000E82A0000}"/>
    <cellStyle name="40% - Accent2 3 3 3 2" xfId="10002" xr:uid="{00000000-0005-0000-0000-0000E92A0000}"/>
    <cellStyle name="40% - Accent2 3 3 3 2 2" xfId="20565" xr:uid="{00000000-0005-0000-0000-0000EA2A0000}"/>
    <cellStyle name="40% - Accent2 3 3 3 3" xfId="12221" xr:uid="{00000000-0005-0000-0000-0000EB2A0000}"/>
    <cellStyle name="40% - Accent2 3 3 3 3 2" xfId="22784" xr:uid="{00000000-0005-0000-0000-0000EC2A0000}"/>
    <cellStyle name="40% - Accent2 3 3 3 4" xfId="14440" xr:uid="{00000000-0005-0000-0000-0000ED2A0000}"/>
    <cellStyle name="40% - Accent2 3 3 3 4 2" xfId="25003" xr:uid="{00000000-0005-0000-0000-0000EE2A0000}"/>
    <cellStyle name="40% - Accent2 3 3 3 5" xfId="18346" xr:uid="{00000000-0005-0000-0000-0000EF2A0000}"/>
    <cellStyle name="40% - Accent2 3 3 4" xfId="9259" xr:uid="{00000000-0005-0000-0000-0000F02A0000}"/>
    <cellStyle name="40% - Accent2 3 3 4 2" xfId="19822" xr:uid="{00000000-0005-0000-0000-0000F12A0000}"/>
    <cellStyle name="40% - Accent2 3 3 5" xfId="11478" xr:uid="{00000000-0005-0000-0000-0000F22A0000}"/>
    <cellStyle name="40% - Accent2 3 3 5 2" xfId="22041" xr:uid="{00000000-0005-0000-0000-0000F32A0000}"/>
    <cellStyle name="40% - Accent2 3 3 6" xfId="13697" xr:uid="{00000000-0005-0000-0000-0000F42A0000}"/>
    <cellStyle name="40% - Accent2 3 3 6 2" xfId="24260" xr:uid="{00000000-0005-0000-0000-0000F52A0000}"/>
    <cellStyle name="40% - Accent2 3 3 7" xfId="17597" xr:uid="{00000000-0005-0000-0000-0000F62A0000}"/>
    <cellStyle name="40% - Accent2 3 4" xfId="1032" xr:uid="{00000000-0005-0000-0000-0000F72A0000}"/>
    <cellStyle name="40% - Accent2 3 4 2" xfId="8517" xr:uid="{00000000-0005-0000-0000-0000F82A0000}"/>
    <cellStyle name="40% - Accent2 3 4 2 2" xfId="10736" xr:uid="{00000000-0005-0000-0000-0000F92A0000}"/>
    <cellStyle name="40% - Accent2 3 4 2 2 2" xfId="21299" xr:uid="{00000000-0005-0000-0000-0000FA2A0000}"/>
    <cellStyle name="40% - Accent2 3 4 2 3" xfId="12955" xr:uid="{00000000-0005-0000-0000-0000FB2A0000}"/>
    <cellStyle name="40% - Accent2 3 4 2 3 2" xfId="23518" xr:uid="{00000000-0005-0000-0000-0000FC2A0000}"/>
    <cellStyle name="40% - Accent2 3 4 2 4" xfId="15174" xr:uid="{00000000-0005-0000-0000-0000FD2A0000}"/>
    <cellStyle name="40% - Accent2 3 4 2 4 2" xfId="25737" xr:uid="{00000000-0005-0000-0000-0000FE2A0000}"/>
    <cellStyle name="40% - Accent2 3 4 2 5" xfId="19080" xr:uid="{00000000-0005-0000-0000-0000FF2A0000}"/>
    <cellStyle name="40% - Accent2 3 4 3" xfId="7784" xr:uid="{00000000-0005-0000-0000-0000002B0000}"/>
    <cellStyle name="40% - Accent2 3 4 3 2" xfId="10003" xr:uid="{00000000-0005-0000-0000-0000012B0000}"/>
    <cellStyle name="40% - Accent2 3 4 3 2 2" xfId="20566" xr:uid="{00000000-0005-0000-0000-0000022B0000}"/>
    <cellStyle name="40% - Accent2 3 4 3 3" xfId="12222" xr:uid="{00000000-0005-0000-0000-0000032B0000}"/>
    <cellStyle name="40% - Accent2 3 4 3 3 2" xfId="22785" xr:uid="{00000000-0005-0000-0000-0000042B0000}"/>
    <cellStyle name="40% - Accent2 3 4 3 4" xfId="14441" xr:uid="{00000000-0005-0000-0000-0000052B0000}"/>
    <cellStyle name="40% - Accent2 3 4 3 4 2" xfId="25004" xr:uid="{00000000-0005-0000-0000-0000062B0000}"/>
    <cellStyle name="40% - Accent2 3 4 3 5" xfId="18347" xr:uid="{00000000-0005-0000-0000-0000072B0000}"/>
    <cellStyle name="40% - Accent2 3 4 4" xfId="9260" xr:uid="{00000000-0005-0000-0000-0000082B0000}"/>
    <cellStyle name="40% - Accent2 3 4 4 2" xfId="19823" xr:uid="{00000000-0005-0000-0000-0000092B0000}"/>
    <cellStyle name="40% - Accent2 3 4 5" xfId="11479" xr:uid="{00000000-0005-0000-0000-00000A2B0000}"/>
    <cellStyle name="40% - Accent2 3 4 5 2" xfId="22042" xr:uid="{00000000-0005-0000-0000-00000B2B0000}"/>
    <cellStyle name="40% - Accent2 3 4 6" xfId="13698" xr:uid="{00000000-0005-0000-0000-00000C2B0000}"/>
    <cellStyle name="40% - Accent2 3 4 6 2" xfId="24261" xr:uid="{00000000-0005-0000-0000-00000D2B0000}"/>
    <cellStyle name="40% - Accent2 3 4 7" xfId="17598" xr:uid="{00000000-0005-0000-0000-00000E2B0000}"/>
    <cellStyle name="40% - Accent2 3 5" xfId="1033" xr:uid="{00000000-0005-0000-0000-00000F2B0000}"/>
    <cellStyle name="40% - Accent2 3 5 2" xfId="8518" xr:uid="{00000000-0005-0000-0000-0000102B0000}"/>
    <cellStyle name="40% - Accent2 3 5 2 2" xfId="10737" xr:uid="{00000000-0005-0000-0000-0000112B0000}"/>
    <cellStyle name="40% - Accent2 3 5 2 2 2" xfId="21300" xr:uid="{00000000-0005-0000-0000-0000122B0000}"/>
    <cellStyle name="40% - Accent2 3 5 2 3" xfId="12956" xr:uid="{00000000-0005-0000-0000-0000132B0000}"/>
    <cellStyle name="40% - Accent2 3 5 2 3 2" xfId="23519" xr:uid="{00000000-0005-0000-0000-0000142B0000}"/>
    <cellStyle name="40% - Accent2 3 5 2 4" xfId="15175" xr:uid="{00000000-0005-0000-0000-0000152B0000}"/>
    <cellStyle name="40% - Accent2 3 5 2 4 2" xfId="25738" xr:uid="{00000000-0005-0000-0000-0000162B0000}"/>
    <cellStyle name="40% - Accent2 3 5 2 5" xfId="19081" xr:uid="{00000000-0005-0000-0000-0000172B0000}"/>
    <cellStyle name="40% - Accent2 3 5 3" xfId="7785" xr:uid="{00000000-0005-0000-0000-0000182B0000}"/>
    <cellStyle name="40% - Accent2 3 5 3 2" xfId="10004" xr:uid="{00000000-0005-0000-0000-0000192B0000}"/>
    <cellStyle name="40% - Accent2 3 5 3 2 2" xfId="20567" xr:uid="{00000000-0005-0000-0000-00001A2B0000}"/>
    <cellStyle name="40% - Accent2 3 5 3 3" xfId="12223" xr:uid="{00000000-0005-0000-0000-00001B2B0000}"/>
    <cellStyle name="40% - Accent2 3 5 3 3 2" xfId="22786" xr:uid="{00000000-0005-0000-0000-00001C2B0000}"/>
    <cellStyle name="40% - Accent2 3 5 3 4" xfId="14442" xr:uid="{00000000-0005-0000-0000-00001D2B0000}"/>
    <cellStyle name="40% - Accent2 3 5 3 4 2" xfId="25005" xr:uid="{00000000-0005-0000-0000-00001E2B0000}"/>
    <cellStyle name="40% - Accent2 3 5 3 5" xfId="18348" xr:uid="{00000000-0005-0000-0000-00001F2B0000}"/>
    <cellStyle name="40% - Accent2 3 5 4" xfId="9261" xr:uid="{00000000-0005-0000-0000-0000202B0000}"/>
    <cellStyle name="40% - Accent2 3 5 4 2" xfId="19824" xr:uid="{00000000-0005-0000-0000-0000212B0000}"/>
    <cellStyle name="40% - Accent2 3 5 5" xfId="11480" xr:uid="{00000000-0005-0000-0000-0000222B0000}"/>
    <cellStyle name="40% - Accent2 3 5 5 2" xfId="22043" xr:uid="{00000000-0005-0000-0000-0000232B0000}"/>
    <cellStyle name="40% - Accent2 3 5 6" xfId="13699" xr:uid="{00000000-0005-0000-0000-0000242B0000}"/>
    <cellStyle name="40% - Accent2 3 5 6 2" xfId="24262" xr:uid="{00000000-0005-0000-0000-0000252B0000}"/>
    <cellStyle name="40% - Accent2 3 5 7" xfId="17599" xr:uid="{00000000-0005-0000-0000-0000262B0000}"/>
    <cellStyle name="40% - Accent2 3 6" xfId="1034" xr:uid="{00000000-0005-0000-0000-0000272B0000}"/>
    <cellStyle name="40% - Accent2 3 6 2" xfId="1035" xr:uid="{00000000-0005-0000-0000-0000282B0000}"/>
    <cellStyle name="40% - Accent2 3 6 2 2" xfId="8519" xr:uid="{00000000-0005-0000-0000-0000292B0000}"/>
    <cellStyle name="40% - Accent2 3 6 2 2 2" xfId="10738" xr:uid="{00000000-0005-0000-0000-00002A2B0000}"/>
    <cellStyle name="40% - Accent2 3 6 2 2 2 2" xfId="21301" xr:uid="{00000000-0005-0000-0000-00002B2B0000}"/>
    <cellStyle name="40% - Accent2 3 6 2 2 3" xfId="12957" xr:uid="{00000000-0005-0000-0000-00002C2B0000}"/>
    <cellStyle name="40% - Accent2 3 6 2 2 3 2" xfId="23520" xr:uid="{00000000-0005-0000-0000-00002D2B0000}"/>
    <cellStyle name="40% - Accent2 3 6 2 2 4" xfId="15176" xr:uid="{00000000-0005-0000-0000-00002E2B0000}"/>
    <cellStyle name="40% - Accent2 3 6 2 2 4 2" xfId="25739" xr:uid="{00000000-0005-0000-0000-00002F2B0000}"/>
    <cellStyle name="40% - Accent2 3 6 2 2 5" xfId="19082" xr:uid="{00000000-0005-0000-0000-0000302B0000}"/>
    <cellStyle name="40% - Accent2 3 6 2 3" xfId="7786" xr:uid="{00000000-0005-0000-0000-0000312B0000}"/>
    <cellStyle name="40% - Accent2 3 6 2 3 2" xfId="10005" xr:uid="{00000000-0005-0000-0000-0000322B0000}"/>
    <cellStyle name="40% - Accent2 3 6 2 3 2 2" xfId="20568" xr:uid="{00000000-0005-0000-0000-0000332B0000}"/>
    <cellStyle name="40% - Accent2 3 6 2 3 3" xfId="12224" xr:uid="{00000000-0005-0000-0000-0000342B0000}"/>
    <cellStyle name="40% - Accent2 3 6 2 3 3 2" xfId="22787" xr:uid="{00000000-0005-0000-0000-0000352B0000}"/>
    <cellStyle name="40% - Accent2 3 6 2 3 4" xfId="14443" xr:uid="{00000000-0005-0000-0000-0000362B0000}"/>
    <cellStyle name="40% - Accent2 3 6 2 3 4 2" xfId="25006" xr:uid="{00000000-0005-0000-0000-0000372B0000}"/>
    <cellStyle name="40% - Accent2 3 6 2 3 5" xfId="18349" xr:uid="{00000000-0005-0000-0000-0000382B0000}"/>
    <cellStyle name="40% - Accent2 3 6 2 4" xfId="9262" xr:uid="{00000000-0005-0000-0000-0000392B0000}"/>
    <cellStyle name="40% - Accent2 3 6 2 4 2" xfId="19825" xr:uid="{00000000-0005-0000-0000-00003A2B0000}"/>
    <cellStyle name="40% - Accent2 3 6 2 5" xfId="11481" xr:uid="{00000000-0005-0000-0000-00003B2B0000}"/>
    <cellStyle name="40% - Accent2 3 6 2 5 2" xfId="22044" xr:uid="{00000000-0005-0000-0000-00003C2B0000}"/>
    <cellStyle name="40% - Accent2 3 6 2 6" xfId="13700" xr:uid="{00000000-0005-0000-0000-00003D2B0000}"/>
    <cellStyle name="40% - Accent2 3 6 2 6 2" xfId="24263" xr:uid="{00000000-0005-0000-0000-00003E2B0000}"/>
    <cellStyle name="40% - Accent2 3 6 2 7" xfId="17600" xr:uid="{00000000-0005-0000-0000-00003F2B0000}"/>
    <cellStyle name="40% - Accent2 3 6 3" xfId="1036" xr:uid="{00000000-0005-0000-0000-0000402B0000}"/>
    <cellStyle name="40% - Accent2 3 6 3 2" xfId="8520" xr:uid="{00000000-0005-0000-0000-0000412B0000}"/>
    <cellStyle name="40% - Accent2 3 6 3 2 2" xfId="10739" xr:uid="{00000000-0005-0000-0000-0000422B0000}"/>
    <cellStyle name="40% - Accent2 3 6 3 2 2 2" xfId="21302" xr:uid="{00000000-0005-0000-0000-0000432B0000}"/>
    <cellStyle name="40% - Accent2 3 6 3 2 3" xfId="12958" xr:uid="{00000000-0005-0000-0000-0000442B0000}"/>
    <cellStyle name="40% - Accent2 3 6 3 2 3 2" xfId="23521" xr:uid="{00000000-0005-0000-0000-0000452B0000}"/>
    <cellStyle name="40% - Accent2 3 6 3 2 4" xfId="15177" xr:uid="{00000000-0005-0000-0000-0000462B0000}"/>
    <cellStyle name="40% - Accent2 3 6 3 2 4 2" xfId="25740" xr:uid="{00000000-0005-0000-0000-0000472B0000}"/>
    <cellStyle name="40% - Accent2 3 6 3 2 5" xfId="19083" xr:uid="{00000000-0005-0000-0000-0000482B0000}"/>
    <cellStyle name="40% - Accent2 3 6 3 3" xfId="7787" xr:uid="{00000000-0005-0000-0000-0000492B0000}"/>
    <cellStyle name="40% - Accent2 3 6 3 3 2" xfId="10006" xr:uid="{00000000-0005-0000-0000-00004A2B0000}"/>
    <cellStyle name="40% - Accent2 3 6 3 3 2 2" xfId="20569" xr:uid="{00000000-0005-0000-0000-00004B2B0000}"/>
    <cellStyle name="40% - Accent2 3 6 3 3 3" xfId="12225" xr:uid="{00000000-0005-0000-0000-00004C2B0000}"/>
    <cellStyle name="40% - Accent2 3 6 3 3 3 2" xfId="22788" xr:uid="{00000000-0005-0000-0000-00004D2B0000}"/>
    <cellStyle name="40% - Accent2 3 6 3 3 4" xfId="14444" xr:uid="{00000000-0005-0000-0000-00004E2B0000}"/>
    <cellStyle name="40% - Accent2 3 6 3 3 4 2" xfId="25007" xr:uid="{00000000-0005-0000-0000-00004F2B0000}"/>
    <cellStyle name="40% - Accent2 3 6 3 3 5" xfId="18350" xr:uid="{00000000-0005-0000-0000-0000502B0000}"/>
    <cellStyle name="40% - Accent2 3 6 3 4" xfId="9263" xr:uid="{00000000-0005-0000-0000-0000512B0000}"/>
    <cellStyle name="40% - Accent2 3 6 3 4 2" xfId="19826" xr:uid="{00000000-0005-0000-0000-0000522B0000}"/>
    <cellStyle name="40% - Accent2 3 6 3 5" xfId="11482" xr:uid="{00000000-0005-0000-0000-0000532B0000}"/>
    <cellStyle name="40% - Accent2 3 6 3 5 2" xfId="22045" xr:uid="{00000000-0005-0000-0000-0000542B0000}"/>
    <cellStyle name="40% - Accent2 3 6 3 6" xfId="13701" xr:uid="{00000000-0005-0000-0000-0000552B0000}"/>
    <cellStyle name="40% - Accent2 3 6 3 6 2" xfId="24264" xr:uid="{00000000-0005-0000-0000-0000562B0000}"/>
    <cellStyle name="40% - Accent2 3 6 3 7" xfId="17601" xr:uid="{00000000-0005-0000-0000-0000572B0000}"/>
    <cellStyle name="40% - Accent2 3 6 4" xfId="1037" xr:uid="{00000000-0005-0000-0000-0000582B0000}"/>
    <cellStyle name="40% - Accent2 3 6 4 2" xfId="8521" xr:uid="{00000000-0005-0000-0000-0000592B0000}"/>
    <cellStyle name="40% - Accent2 3 6 4 2 2" xfId="10740" xr:uid="{00000000-0005-0000-0000-00005A2B0000}"/>
    <cellStyle name="40% - Accent2 3 6 4 2 2 2" xfId="21303" xr:uid="{00000000-0005-0000-0000-00005B2B0000}"/>
    <cellStyle name="40% - Accent2 3 6 4 2 3" xfId="12959" xr:uid="{00000000-0005-0000-0000-00005C2B0000}"/>
    <cellStyle name="40% - Accent2 3 6 4 2 3 2" xfId="23522" xr:uid="{00000000-0005-0000-0000-00005D2B0000}"/>
    <cellStyle name="40% - Accent2 3 6 4 2 4" xfId="15178" xr:uid="{00000000-0005-0000-0000-00005E2B0000}"/>
    <cellStyle name="40% - Accent2 3 6 4 2 4 2" xfId="25741" xr:uid="{00000000-0005-0000-0000-00005F2B0000}"/>
    <cellStyle name="40% - Accent2 3 6 4 2 5" xfId="19084" xr:uid="{00000000-0005-0000-0000-0000602B0000}"/>
    <cellStyle name="40% - Accent2 3 6 4 3" xfId="7788" xr:uid="{00000000-0005-0000-0000-0000612B0000}"/>
    <cellStyle name="40% - Accent2 3 6 4 3 2" xfId="10007" xr:uid="{00000000-0005-0000-0000-0000622B0000}"/>
    <cellStyle name="40% - Accent2 3 6 4 3 2 2" xfId="20570" xr:uid="{00000000-0005-0000-0000-0000632B0000}"/>
    <cellStyle name="40% - Accent2 3 6 4 3 3" xfId="12226" xr:uid="{00000000-0005-0000-0000-0000642B0000}"/>
    <cellStyle name="40% - Accent2 3 6 4 3 3 2" xfId="22789" xr:uid="{00000000-0005-0000-0000-0000652B0000}"/>
    <cellStyle name="40% - Accent2 3 6 4 3 4" xfId="14445" xr:uid="{00000000-0005-0000-0000-0000662B0000}"/>
    <cellStyle name="40% - Accent2 3 6 4 3 4 2" xfId="25008" xr:uid="{00000000-0005-0000-0000-0000672B0000}"/>
    <cellStyle name="40% - Accent2 3 6 4 3 5" xfId="18351" xr:uid="{00000000-0005-0000-0000-0000682B0000}"/>
    <cellStyle name="40% - Accent2 3 6 4 4" xfId="9264" xr:uid="{00000000-0005-0000-0000-0000692B0000}"/>
    <cellStyle name="40% - Accent2 3 6 4 4 2" xfId="19827" xr:uid="{00000000-0005-0000-0000-00006A2B0000}"/>
    <cellStyle name="40% - Accent2 3 6 4 5" xfId="11483" xr:uid="{00000000-0005-0000-0000-00006B2B0000}"/>
    <cellStyle name="40% - Accent2 3 6 4 5 2" xfId="22046" xr:uid="{00000000-0005-0000-0000-00006C2B0000}"/>
    <cellStyle name="40% - Accent2 3 6 4 6" xfId="13702" xr:uid="{00000000-0005-0000-0000-00006D2B0000}"/>
    <cellStyle name="40% - Accent2 3 6 4 6 2" xfId="24265" xr:uid="{00000000-0005-0000-0000-00006E2B0000}"/>
    <cellStyle name="40% - Accent2 3 6 4 7" xfId="17602" xr:uid="{00000000-0005-0000-0000-00006F2B0000}"/>
    <cellStyle name="40% - Accent2 3 6 5" xfId="1038" xr:uid="{00000000-0005-0000-0000-0000702B0000}"/>
    <cellStyle name="40% - Accent2 3 6 5 2" xfId="8522" xr:uid="{00000000-0005-0000-0000-0000712B0000}"/>
    <cellStyle name="40% - Accent2 3 6 5 2 2" xfId="10741" xr:uid="{00000000-0005-0000-0000-0000722B0000}"/>
    <cellStyle name="40% - Accent2 3 6 5 2 2 2" xfId="21304" xr:uid="{00000000-0005-0000-0000-0000732B0000}"/>
    <cellStyle name="40% - Accent2 3 6 5 2 3" xfId="12960" xr:uid="{00000000-0005-0000-0000-0000742B0000}"/>
    <cellStyle name="40% - Accent2 3 6 5 2 3 2" xfId="23523" xr:uid="{00000000-0005-0000-0000-0000752B0000}"/>
    <cellStyle name="40% - Accent2 3 6 5 2 4" xfId="15179" xr:uid="{00000000-0005-0000-0000-0000762B0000}"/>
    <cellStyle name="40% - Accent2 3 6 5 2 4 2" xfId="25742" xr:uid="{00000000-0005-0000-0000-0000772B0000}"/>
    <cellStyle name="40% - Accent2 3 6 5 2 5" xfId="19085" xr:uid="{00000000-0005-0000-0000-0000782B0000}"/>
    <cellStyle name="40% - Accent2 3 6 5 3" xfId="7789" xr:uid="{00000000-0005-0000-0000-0000792B0000}"/>
    <cellStyle name="40% - Accent2 3 6 5 3 2" xfId="10008" xr:uid="{00000000-0005-0000-0000-00007A2B0000}"/>
    <cellStyle name="40% - Accent2 3 6 5 3 2 2" xfId="20571" xr:uid="{00000000-0005-0000-0000-00007B2B0000}"/>
    <cellStyle name="40% - Accent2 3 6 5 3 3" xfId="12227" xr:uid="{00000000-0005-0000-0000-00007C2B0000}"/>
    <cellStyle name="40% - Accent2 3 6 5 3 3 2" xfId="22790" xr:uid="{00000000-0005-0000-0000-00007D2B0000}"/>
    <cellStyle name="40% - Accent2 3 6 5 3 4" xfId="14446" xr:uid="{00000000-0005-0000-0000-00007E2B0000}"/>
    <cellStyle name="40% - Accent2 3 6 5 3 4 2" xfId="25009" xr:uid="{00000000-0005-0000-0000-00007F2B0000}"/>
    <cellStyle name="40% - Accent2 3 6 5 3 5" xfId="18352" xr:uid="{00000000-0005-0000-0000-0000802B0000}"/>
    <cellStyle name="40% - Accent2 3 6 5 4" xfId="9265" xr:uid="{00000000-0005-0000-0000-0000812B0000}"/>
    <cellStyle name="40% - Accent2 3 6 5 4 2" xfId="19828" xr:uid="{00000000-0005-0000-0000-0000822B0000}"/>
    <cellStyle name="40% - Accent2 3 6 5 5" xfId="11484" xr:uid="{00000000-0005-0000-0000-0000832B0000}"/>
    <cellStyle name="40% - Accent2 3 6 5 5 2" xfId="22047" xr:uid="{00000000-0005-0000-0000-0000842B0000}"/>
    <cellStyle name="40% - Accent2 3 6 5 6" xfId="13703" xr:uid="{00000000-0005-0000-0000-0000852B0000}"/>
    <cellStyle name="40% - Accent2 3 6 5 6 2" xfId="24266" xr:uid="{00000000-0005-0000-0000-0000862B0000}"/>
    <cellStyle name="40% - Accent2 3 6 5 7" xfId="17603" xr:uid="{00000000-0005-0000-0000-0000872B0000}"/>
    <cellStyle name="40% - Accent2 3 7" xfId="1039" xr:uid="{00000000-0005-0000-0000-0000882B0000}"/>
    <cellStyle name="40% - Accent2 3 8" xfId="1040" xr:uid="{00000000-0005-0000-0000-0000892B0000}"/>
    <cellStyle name="40% - Accent2 3 9" xfId="1041" xr:uid="{00000000-0005-0000-0000-00008A2B0000}"/>
    <cellStyle name="40% - Accent2 4" xfId="1042" xr:uid="{00000000-0005-0000-0000-00008B2B0000}"/>
    <cellStyle name="40% - Accent2 4 10" xfId="1043" xr:uid="{00000000-0005-0000-0000-00008C2B0000}"/>
    <cellStyle name="40% - Accent2 4 2" xfId="1044" xr:uid="{00000000-0005-0000-0000-00008D2B0000}"/>
    <cellStyle name="40% - Accent2 4 2 2" xfId="1045" xr:uid="{00000000-0005-0000-0000-00008E2B0000}"/>
    <cellStyle name="40% - Accent2 4 2 2 2" xfId="8523" xr:uid="{00000000-0005-0000-0000-00008F2B0000}"/>
    <cellStyle name="40% - Accent2 4 2 2 2 2" xfId="10742" xr:uid="{00000000-0005-0000-0000-0000902B0000}"/>
    <cellStyle name="40% - Accent2 4 2 2 2 2 2" xfId="21305" xr:uid="{00000000-0005-0000-0000-0000912B0000}"/>
    <cellStyle name="40% - Accent2 4 2 2 2 3" xfId="12961" xr:uid="{00000000-0005-0000-0000-0000922B0000}"/>
    <cellStyle name="40% - Accent2 4 2 2 2 3 2" xfId="23524" xr:uid="{00000000-0005-0000-0000-0000932B0000}"/>
    <cellStyle name="40% - Accent2 4 2 2 2 4" xfId="15180" xr:uid="{00000000-0005-0000-0000-0000942B0000}"/>
    <cellStyle name="40% - Accent2 4 2 2 2 4 2" xfId="25743" xr:uid="{00000000-0005-0000-0000-0000952B0000}"/>
    <cellStyle name="40% - Accent2 4 2 2 2 5" xfId="19086" xr:uid="{00000000-0005-0000-0000-0000962B0000}"/>
    <cellStyle name="40% - Accent2 4 2 2 3" xfId="7790" xr:uid="{00000000-0005-0000-0000-0000972B0000}"/>
    <cellStyle name="40% - Accent2 4 2 2 3 2" xfId="10009" xr:uid="{00000000-0005-0000-0000-0000982B0000}"/>
    <cellStyle name="40% - Accent2 4 2 2 3 2 2" xfId="20572" xr:uid="{00000000-0005-0000-0000-0000992B0000}"/>
    <cellStyle name="40% - Accent2 4 2 2 3 3" xfId="12228" xr:uid="{00000000-0005-0000-0000-00009A2B0000}"/>
    <cellStyle name="40% - Accent2 4 2 2 3 3 2" xfId="22791" xr:uid="{00000000-0005-0000-0000-00009B2B0000}"/>
    <cellStyle name="40% - Accent2 4 2 2 3 4" xfId="14447" xr:uid="{00000000-0005-0000-0000-00009C2B0000}"/>
    <cellStyle name="40% - Accent2 4 2 2 3 4 2" xfId="25010" xr:uid="{00000000-0005-0000-0000-00009D2B0000}"/>
    <cellStyle name="40% - Accent2 4 2 2 3 5" xfId="18353" xr:uid="{00000000-0005-0000-0000-00009E2B0000}"/>
    <cellStyle name="40% - Accent2 4 2 2 4" xfId="9266" xr:uid="{00000000-0005-0000-0000-00009F2B0000}"/>
    <cellStyle name="40% - Accent2 4 2 2 4 2" xfId="19829" xr:uid="{00000000-0005-0000-0000-0000A02B0000}"/>
    <cellStyle name="40% - Accent2 4 2 2 5" xfId="11485" xr:uid="{00000000-0005-0000-0000-0000A12B0000}"/>
    <cellStyle name="40% - Accent2 4 2 2 5 2" xfId="22048" xr:uid="{00000000-0005-0000-0000-0000A22B0000}"/>
    <cellStyle name="40% - Accent2 4 2 2 6" xfId="13704" xr:uid="{00000000-0005-0000-0000-0000A32B0000}"/>
    <cellStyle name="40% - Accent2 4 2 2 6 2" xfId="24267" xr:uid="{00000000-0005-0000-0000-0000A42B0000}"/>
    <cellStyle name="40% - Accent2 4 2 2 7" xfId="17604" xr:uid="{00000000-0005-0000-0000-0000A52B0000}"/>
    <cellStyle name="40% - Accent2 4 2 3" xfId="1046" xr:uid="{00000000-0005-0000-0000-0000A62B0000}"/>
    <cellStyle name="40% - Accent2 4 2 3 2" xfId="8524" xr:uid="{00000000-0005-0000-0000-0000A72B0000}"/>
    <cellStyle name="40% - Accent2 4 2 3 2 2" xfId="10743" xr:uid="{00000000-0005-0000-0000-0000A82B0000}"/>
    <cellStyle name="40% - Accent2 4 2 3 2 2 2" xfId="21306" xr:uid="{00000000-0005-0000-0000-0000A92B0000}"/>
    <cellStyle name="40% - Accent2 4 2 3 2 3" xfId="12962" xr:uid="{00000000-0005-0000-0000-0000AA2B0000}"/>
    <cellStyle name="40% - Accent2 4 2 3 2 3 2" xfId="23525" xr:uid="{00000000-0005-0000-0000-0000AB2B0000}"/>
    <cellStyle name="40% - Accent2 4 2 3 2 4" xfId="15181" xr:uid="{00000000-0005-0000-0000-0000AC2B0000}"/>
    <cellStyle name="40% - Accent2 4 2 3 2 4 2" xfId="25744" xr:uid="{00000000-0005-0000-0000-0000AD2B0000}"/>
    <cellStyle name="40% - Accent2 4 2 3 2 5" xfId="19087" xr:uid="{00000000-0005-0000-0000-0000AE2B0000}"/>
    <cellStyle name="40% - Accent2 4 2 3 3" xfId="7791" xr:uid="{00000000-0005-0000-0000-0000AF2B0000}"/>
    <cellStyle name="40% - Accent2 4 2 3 3 2" xfId="10010" xr:uid="{00000000-0005-0000-0000-0000B02B0000}"/>
    <cellStyle name="40% - Accent2 4 2 3 3 2 2" xfId="20573" xr:uid="{00000000-0005-0000-0000-0000B12B0000}"/>
    <cellStyle name="40% - Accent2 4 2 3 3 3" xfId="12229" xr:uid="{00000000-0005-0000-0000-0000B22B0000}"/>
    <cellStyle name="40% - Accent2 4 2 3 3 3 2" xfId="22792" xr:uid="{00000000-0005-0000-0000-0000B32B0000}"/>
    <cellStyle name="40% - Accent2 4 2 3 3 4" xfId="14448" xr:uid="{00000000-0005-0000-0000-0000B42B0000}"/>
    <cellStyle name="40% - Accent2 4 2 3 3 4 2" xfId="25011" xr:uid="{00000000-0005-0000-0000-0000B52B0000}"/>
    <cellStyle name="40% - Accent2 4 2 3 3 5" xfId="18354" xr:uid="{00000000-0005-0000-0000-0000B62B0000}"/>
    <cellStyle name="40% - Accent2 4 2 3 4" xfId="9267" xr:uid="{00000000-0005-0000-0000-0000B72B0000}"/>
    <cellStyle name="40% - Accent2 4 2 3 4 2" xfId="19830" xr:uid="{00000000-0005-0000-0000-0000B82B0000}"/>
    <cellStyle name="40% - Accent2 4 2 3 5" xfId="11486" xr:uid="{00000000-0005-0000-0000-0000B92B0000}"/>
    <cellStyle name="40% - Accent2 4 2 3 5 2" xfId="22049" xr:uid="{00000000-0005-0000-0000-0000BA2B0000}"/>
    <cellStyle name="40% - Accent2 4 2 3 6" xfId="13705" xr:uid="{00000000-0005-0000-0000-0000BB2B0000}"/>
    <cellStyle name="40% - Accent2 4 2 3 6 2" xfId="24268" xr:uid="{00000000-0005-0000-0000-0000BC2B0000}"/>
    <cellStyle name="40% - Accent2 4 2 3 7" xfId="17605" xr:uid="{00000000-0005-0000-0000-0000BD2B0000}"/>
    <cellStyle name="40% - Accent2 4 2 4" xfId="1047" xr:uid="{00000000-0005-0000-0000-0000BE2B0000}"/>
    <cellStyle name="40% - Accent2 4 2 4 2" xfId="8525" xr:uid="{00000000-0005-0000-0000-0000BF2B0000}"/>
    <cellStyle name="40% - Accent2 4 2 4 2 2" xfId="10744" xr:uid="{00000000-0005-0000-0000-0000C02B0000}"/>
    <cellStyle name="40% - Accent2 4 2 4 2 2 2" xfId="21307" xr:uid="{00000000-0005-0000-0000-0000C12B0000}"/>
    <cellStyle name="40% - Accent2 4 2 4 2 3" xfId="12963" xr:uid="{00000000-0005-0000-0000-0000C22B0000}"/>
    <cellStyle name="40% - Accent2 4 2 4 2 3 2" xfId="23526" xr:uid="{00000000-0005-0000-0000-0000C32B0000}"/>
    <cellStyle name="40% - Accent2 4 2 4 2 4" xfId="15182" xr:uid="{00000000-0005-0000-0000-0000C42B0000}"/>
    <cellStyle name="40% - Accent2 4 2 4 2 4 2" xfId="25745" xr:uid="{00000000-0005-0000-0000-0000C52B0000}"/>
    <cellStyle name="40% - Accent2 4 2 4 2 5" xfId="19088" xr:uid="{00000000-0005-0000-0000-0000C62B0000}"/>
    <cellStyle name="40% - Accent2 4 2 4 3" xfId="7792" xr:uid="{00000000-0005-0000-0000-0000C72B0000}"/>
    <cellStyle name="40% - Accent2 4 2 4 3 2" xfId="10011" xr:uid="{00000000-0005-0000-0000-0000C82B0000}"/>
    <cellStyle name="40% - Accent2 4 2 4 3 2 2" xfId="20574" xr:uid="{00000000-0005-0000-0000-0000C92B0000}"/>
    <cellStyle name="40% - Accent2 4 2 4 3 3" xfId="12230" xr:uid="{00000000-0005-0000-0000-0000CA2B0000}"/>
    <cellStyle name="40% - Accent2 4 2 4 3 3 2" xfId="22793" xr:uid="{00000000-0005-0000-0000-0000CB2B0000}"/>
    <cellStyle name="40% - Accent2 4 2 4 3 4" xfId="14449" xr:uid="{00000000-0005-0000-0000-0000CC2B0000}"/>
    <cellStyle name="40% - Accent2 4 2 4 3 4 2" xfId="25012" xr:uid="{00000000-0005-0000-0000-0000CD2B0000}"/>
    <cellStyle name="40% - Accent2 4 2 4 3 5" xfId="18355" xr:uid="{00000000-0005-0000-0000-0000CE2B0000}"/>
    <cellStyle name="40% - Accent2 4 2 4 4" xfId="9268" xr:uid="{00000000-0005-0000-0000-0000CF2B0000}"/>
    <cellStyle name="40% - Accent2 4 2 4 4 2" xfId="19831" xr:uid="{00000000-0005-0000-0000-0000D02B0000}"/>
    <cellStyle name="40% - Accent2 4 2 4 5" xfId="11487" xr:uid="{00000000-0005-0000-0000-0000D12B0000}"/>
    <cellStyle name="40% - Accent2 4 2 4 5 2" xfId="22050" xr:uid="{00000000-0005-0000-0000-0000D22B0000}"/>
    <cellStyle name="40% - Accent2 4 2 4 6" xfId="13706" xr:uid="{00000000-0005-0000-0000-0000D32B0000}"/>
    <cellStyle name="40% - Accent2 4 2 4 6 2" xfId="24269" xr:uid="{00000000-0005-0000-0000-0000D42B0000}"/>
    <cellStyle name="40% - Accent2 4 2 4 7" xfId="17606" xr:uid="{00000000-0005-0000-0000-0000D52B0000}"/>
    <cellStyle name="40% - Accent2 4 2 5" xfId="1048" xr:uid="{00000000-0005-0000-0000-0000D62B0000}"/>
    <cellStyle name="40% - Accent2 4 2 5 2" xfId="8526" xr:uid="{00000000-0005-0000-0000-0000D72B0000}"/>
    <cellStyle name="40% - Accent2 4 2 5 2 2" xfId="10745" xr:uid="{00000000-0005-0000-0000-0000D82B0000}"/>
    <cellStyle name="40% - Accent2 4 2 5 2 2 2" xfId="21308" xr:uid="{00000000-0005-0000-0000-0000D92B0000}"/>
    <cellStyle name="40% - Accent2 4 2 5 2 3" xfId="12964" xr:uid="{00000000-0005-0000-0000-0000DA2B0000}"/>
    <cellStyle name="40% - Accent2 4 2 5 2 3 2" xfId="23527" xr:uid="{00000000-0005-0000-0000-0000DB2B0000}"/>
    <cellStyle name="40% - Accent2 4 2 5 2 4" xfId="15183" xr:uid="{00000000-0005-0000-0000-0000DC2B0000}"/>
    <cellStyle name="40% - Accent2 4 2 5 2 4 2" xfId="25746" xr:uid="{00000000-0005-0000-0000-0000DD2B0000}"/>
    <cellStyle name="40% - Accent2 4 2 5 2 5" xfId="19089" xr:uid="{00000000-0005-0000-0000-0000DE2B0000}"/>
    <cellStyle name="40% - Accent2 4 2 5 3" xfId="7793" xr:uid="{00000000-0005-0000-0000-0000DF2B0000}"/>
    <cellStyle name="40% - Accent2 4 2 5 3 2" xfId="10012" xr:uid="{00000000-0005-0000-0000-0000E02B0000}"/>
    <cellStyle name="40% - Accent2 4 2 5 3 2 2" xfId="20575" xr:uid="{00000000-0005-0000-0000-0000E12B0000}"/>
    <cellStyle name="40% - Accent2 4 2 5 3 3" xfId="12231" xr:uid="{00000000-0005-0000-0000-0000E22B0000}"/>
    <cellStyle name="40% - Accent2 4 2 5 3 3 2" xfId="22794" xr:uid="{00000000-0005-0000-0000-0000E32B0000}"/>
    <cellStyle name="40% - Accent2 4 2 5 3 4" xfId="14450" xr:uid="{00000000-0005-0000-0000-0000E42B0000}"/>
    <cellStyle name="40% - Accent2 4 2 5 3 4 2" xfId="25013" xr:uid="{00000000-0005-0000-0000-0000E52B0000}"/>
    <cellStyle name="40% - Accent2 4 2 5 3 5" xfId="18356" xr:uid="{00000000-0005-0000-0000-0000E62B0000}"/>
    <cellStyle name="40% - Accent2 4 2 5 4" xfId="9269" xr:uid="{00000000-0005-0000-0000-0000E72B0000}"/>
    <cellStyle name="40% - Accent2 4 2 5 4 2" xfId="19832" xr:uid="{00000000-0005-0000-0000-0000E82B0000}"/>
    <cellStyle name="40% - Accent2 4 2 5 5" xfId="11488" xr:uid="{00000000-0005-0000-0000-0000E92B0000}"/>
    <cellStyle name="40% - Accent2 4 2 5 5 2" xfId="22051" xr:uid="{00000000-0005-0000-0000-0000EA2B0000}"/>
    <cellStyle name="40% - Accent2 4 2 5 6" xfId="13707" xr:uid="{00000000-0005-0000-0000-0000EB2B0000}"/>
    <cellStyle name="40% - Accent2 4 2 5 6 2" xfId="24270" xr:uid="{00000000-0005-0000-0000-0000EC2B0000}"/>
    <cellStyle name="40% - Accent2 4 2 5 7" xfId="17607" xr:uid="{00000000-0005-0000-0000-0000ED2B0000}"/>
    <cellStyle name="40% - Accent2 4 3" xfId="1049" xr:uid="{00000000-0005-0000-0000-0000EE2B0000}"/>
    <cellStyle name="40% - Accent2 4 3 2" xfId="8527" xr:uid="{00000000-0005-0000-0000-0000EF2B0000}"/>
    <cellStyle name="40% - Accent2 4 3 2 2" xfId="10746" xr:uid="{00000000-0005-0000-0000-0000F02B0000}"/>
    <cellStyle name="40% - Accent2 4 3 2 2 2" xfId="21309" xr:uid="{00000000-0005-0000-0000-0000F12B0000}"/>
    <cellStyle name="40% - Accent2 4 3 2 3" xfId="12965" xr:uid="{00000000-0005-0000-0000-0000F22B0000}"/>
    <cellStyle name="40% - Accent2 4 3 2 3 2" xfId="23528" xr:uid="{00000000-0005-0000-0000-0000F32B0000}"/>
    <cellStyle name="40% - Accent2 4 3 2 4" xfId="15184" xr:uid="{00000000-0005-0000-0000-0000F42B0000}"/>
    <cellStyle name="40% - Accent2 4 3 2 4 2" xfId="25747" xr:uid="{00000000-0005-0000-0000-0000F52B0000}"/>
    <cellStyle name="40% - Accent2 4 3 2 5" xfId="19090" xr:uid="{00000000-0005-0000-0000-0000F62B0000}"/>
    <cellStyle name="40% - Accent2 4 3 3" xfId="7794" xr:uid="{00000000-0005-0000-0000-0000F72B0000}"/>
    <cellStyle name="40% - Accent2 4 3 3 2" xfId="10013" xr:uid="{00000000-0005-0000-0000-0000F82B0000}"/>
    <cellStyle name="40% - Accent2 4 3 3 2 2" xfId="20576" xr:uid="{00000000-0005-0000-0000-0000F92B0000}"/>
    <cellStyle name="40% - Accent2 4 3 3 3" xfId="12232" xr:uid="{00000000-0005-0000-0000-0000FA2B0000}"/>
    <cellStyle name="40% - Accent2 4 3 3 3 2" xfId="22795" xr:uid="{00000000-0005-0000-0000-0000FB2B0000}"/>
    <cellStyle name="40% - Accent2 4 3 3 4" xfId="14451" xr:uid="{00000000-0005-0000-0000-0000FC2B0000}"/>
    <cellStyle name="40% - Accent2 4 3 3 4 2" xfId="25014" xr:uid="{00000000-0005-0000-0000-0000FD2B0000}"/>
    <cellStyle name="40% - Accent2 4 3 3 5" xfId="18357" xr:uid="{00000000-0005-0000-0000-0000FE2B0000}"/>
    <cellStyle name="40% - Accent2 4 3 4" xfId="9270" xr:uid="{00000000-0005-0000-0000-0000FF2B0000}"/>
    <cellStyle name="40% - Accent2 4 3 4 2" xfId="19833" xr:uid="{00000000-0005-0000-0000-0000002C0000}"/>
    <cellStyle name="40% - Accent2 4 3 5" xfId="11489" xr:uid="{00000000-0005-0000-0000-0000012C0000}"/>
    <cellStyle name="40% - Accent2 4 3 5 2" xfId="22052" xr:uid="{00000000-0005-0000-0000-0000022C0000}"/>
    <cellStyle name="40% - Accent2 4 3 6" xfId="13708" xr:uid="{00000000-0005-0000-0000-0000032C0000}"/>
    <cellStyle name="40% - Accent2 4 3 6 2" xfId="24271" xr:uid="{00000000-0005-0000-0000-0000042C0000}"/>
    <cellStyle name="40% - Accent2 4 3 7" xfId="17608" xr:uid="{00000000-0005-0000-0000-0000052C0000}"/>
    <cellStyle name="40% - Accent2 4 4" xfId="1050" xr:uid="{00000000-0005-0000-0000-0000062C0000}"/>
    <cellStyle name="40% - Accent2 4 4 2" xfId="8528" xr:uid="{00000000-0005-0000-0000-0000072C0000}"/>
    <cellStyle name="40% - Accent2 4 4 2 2" xfId="10747" xr:uid="{00000000-0005-0000-0000-0000082C0000}"/>
    <cellStyle name="40% - Accent2 4 4 2 2 2" xfId="21310" xr:uid="{00000000-0005-0000-0000-0000092C0000}"/>
    <cellStyle name="40% - Accent2 4 4 2 3" xfId="12966" xr:uid="{00000000-0005-0000-0000-00000A2C0000}"/>
    <cellStyle name="40% - Accent2 4 4 2 3 2" xfId="23529" xr:uid="{00000000-0005-0000-0000-00000B2C0000}"/>
    <cellStyle name="40% - Accent2 4 4 2 4" xfId="15185" xr:uid="{00000000-0005-0000-0000-00000C2C0000}"/>
    <cellStyle name="40% - Accent2 4 4 2 4 2" xfId="25748" xr:uid="{00000000-0005-0000-0000-00000D2C0000}"/>
    <cellStyle name="40% - Accent2 4 4 2 5" xfId="19091" xr:uid="{00000000-0005-0000-0000-00000E2C0000}"/>
    <cellStyle name="40% - Accent2 4 4 3" xfId="7795" xr:uid="{00000000-0005-0000-0000-00000F2C0000}"/>
    <cellStyle name="40% - Accent2 4 4 3 2" xfId="10014" xr:uid="{00000000-0005-0000-0000-0000102C0000}"/>
    <cellStyle name="40% - Accent2 4 4 3 2 2" xfId="20577" xr:uid="{00000000-0005-0000-0000-0000112C0000}"/>
    <cellStyle name="40% - Accent2 4 4 3 3" xfId="12233" xr:uid="{00000000-0005-0000-0000-0000122C0000}"/>
    <cellStyle name="40% - Accent2 4 4 3 3 2" xfId="22796" xr:uid="{00000000-0005-0000-0000-0000132C0000}"/>
    <cellStyle name="40% - Accent2 4 4 3 4" xfId="14452" xr:uid="{00000000-0005-0000-0000-0000142C0000}"/>
    <cellStyle name="40% - Accent2 4 4 3 4 2" xfId="25015" xr:uid="{00000000-0005-0000-0000-0000152C0000}"/>
    <cellStyle name="40% - Accent2 4 4 3 5" xfId="18358" xr:uid="{00000000-0005-0000-0000-0000162C0000}"/>
    <cellStyle name="40% - Accent2 4 4 4" xfId="9271" xr:uid="{00000000-0005-0000-0000-0000172C0000}"/>
    <cellStyle name="40% - Accent2 4 4 4 2" xfId="19834" xr:uid="{00000000-0005-0000-0000-0000182C0000}"/>
    <cellStyle name="40% - Accent2 4 4 5" xfId="11490" xr:uid="{00000000-0005-0000-0000-0000192C0000}"/>
    <cellStyle name="40% - Accent2 4 4 5 2" xfId="22053" xr:uid="{00000000-0005-0000-0000-00001A2C0000}"/>
    <cellStyle name="40% - Accent2 4 4 6" xfId="13709" xr:uid="{00000000-0005-0000-0000-00001B2C0000}"/>
    <cellStyle name="40% - Accent2 4 4 6 2" xfId="24272" xr:uid="{00000000-0005-0000-0000-00001C2C0000}"/>
    <cellStyle name="40% - Accent2 4 4 7" xfId="17609" xr:uid="{00000000-0005-0000-0000-00001D2C0000}"/>
    <cellStyle name="40% - Accent2 4 5" xfId="1051" xr:uid="{00000000-0005-0000-0000-00001E2C0000}"/>
    <cellStyle name="40% - Accent2 4 5 2" xfId="8529" xr:uid="{00000000-0005-0000-0000-00001F2C0000}"/>
    <cellStyle name="40% - Accent2 4 5 2 2" xfId="10748" xr:uid="{00000000-0005-0000-0000-0000202C0000}"/>
    <cellStyle name="40% - Accent2 4 5 2 2 2" xfId="21311" xr:uid="{00000000-0005-0000-0000-0000212C0000}"/>
    <cellStyle name="40% - Accent2 4 5 2 3" xfId="12967" xr:uid="{00000000-0005-0000-0000-0000222C0000}"/>
    <cellStyle name="40% - Accent2 4 5 2 3 2" xfId="23530" xr:uid="{00000000-0005-0000-0000-0000232C0000}"/>
    <cellStyle name="40% - Accent2 4 5 2 4" xfId="15186" xr:uid="{00000000-0005-0000-0000-0000242C0000}"/>
    <cellStyle name="40% - Accent2 4 5 2 4 2" xfId="25749" xr:uid="{00000000-0005-0000-0000-0000252C0000}"/>
    <cellStyle name="40% - Accent2 4 5 2 5" xfId="19092" xr:uid="{00000000-0005-0000-0000-0000262C0000}"/>
    <cellStyle name="40% - Accent2 4 5 3" xfId="7796" xr:uid="{00000000-0005-0000-0000-0000272C0000}"/>
    <cellStyle name="40% - Accent2 4 5 3 2" xfId="10015" xr:uid="{00000000-0005-0000-0000-0000282C0000}"/>
    <cellStyle name="40% - Accent2 4 5 3 2 2" xfId="20578" xr:uid="{00000000-0005-0000-0000-0000292C0000}"/>
    <cellStyle name="40% - Accent2 4 5 3 3" xfId="12234" xr:uid="{00000000-0005-0000-0000-00002A2C0000}"/>
    <cellStyle name="40% - Accent2 4 5 3 3 2" xfId="22797" xr:uid="{00000000-0005-0000-0000-00002B2C0000}"/>
    <cellStyle name="40% - Accent2 4 5 3 4" xfId="14453" xr:uid="{00000000-0005-0000-0000-00002C2C0000}"/>
    <cellStyle name="40% - Accent2 4 5 3 4 2" xfId="25016" xr:uid="{00000000-0005-0000-0000-00002D2C0000}"/>
    <cellStyle name="40% - Accent2 4 5 3 5" xfId="18359" xr:uid="{00000000-0005-0000-0000-00002E2C0000}"/>
    <cellStyle name="40% - Accent2 4 5 4" xfId="9272" xr:uid="{00000000-0005-0000-0000-00002F2C0000}"/>
    <cellStyle name="40% - Accent2 4 5 4 2" xfId="19835" xr:uid="{00000000-0005-0000-0000-0000302C0000}"/>
    <cellStyle name="40% - Accent2 4 5 5" xfId="11491" xr:uid="{00000000-0005-0000-0000-0000312C0000}"/>
    <cellStyle name="40% - Accent2 4 5 5 2" xfId="22054" xr:uid="{00000000-0005-0000-0000-0000322C0000}"/>
    <cellStyle name="40% - Accent2 4 5 6" xfId="13710" xr:uid="{00000000-0005-0000-0000-0000332C0000}"/>
    <cellStyle name="40% - Accent2 4 5 6 2" xfId="24273" xr:uid="{00000000-0005-0000-0000-0000342C0000}"/>
    <cellStyle name="40% - Accent2 4 5 7" xfId="17610" xr:uid="{00000000-0005-0000-0000-0000352C0000}"/>
    <cellStyle name="40% - Accent2 4 6" xfId="1052" xr:uid="{00000000-0005-0000-0000-0000362C0000}"/>
    <cellStyle name="40% - Accent2 4 6 2" xfId="8530" xr:uid="{00000000-0005-0000-0000-0000372C0000}"/>
    <cellStyle name="40% - Accent2 4 6 2 2" xfId="10749" xr:uid="{00000000-0005-0000-0000-0000382C0000}"/>
    <cellStyle name="40% - Accent2 4 6 2 2 2" xfId="21312" xr:uid="{00000000-0005-0000-0000-0000392C0000}"/>
    <cellStyle name="40% - Accent2 4 6 2 3" xfId="12968" xr:uid="{00000000-0005-0000-0000-00003A2C0000}"/>
    <cellStyle name="40% - Accent2 4 6 2 3 2" xfId="23531" xr:uid="{00000000-0005-0000-0000-00003B2C0000}"/>
    <cellStyle name="40% - Accent2 4 6 2 4" xfId="15187" xr:uid="{00000000-0005-0000-0000-00003C2C0000}"/>
    <cellStyle name="40% - Accent2 4 6 2 4 2" xfId="25750" xr:uid="{00000000-0005-0000-0000-00003D2C0000}"/>
    <cellStyle name="40% - Accent2 4 6 2 5" xfId="19093" xr:uid="{00000000-0005-0000-0000-00003E2C0000}"/>
    <cellStyle name="40% - Accent2 4 6 3" xfId="7797" xr:uid="{00000000-0005-0000-0000-00003F2C0000}"/>
    <cellStyle name="40% - Accent2 4 6 3 2" xfId="10016" xr:uid="{00000000-0005-0000-0000-0000402C0000}"/>
    <cellStyle name="40% - Accent2 4 6 3 2 2" xfId="20579" xr:uid="{00000000-0005-0000-0000-0000412C0000}"/>
    <cellStyle name="40% - Accent2 4 6 3 3" xfId="12235" xr:uid="{00000000-0005-0000-0000-0000422C0000}"/>
    <cellStyle name="40% - Accent2 4 6 3 3 2" xfId="22798" xr:uid="{00000000-0005-0000-0000-0000432C0000}"/>
    <cellStyle name="40% - Accent2 4 6 3 4" xfId="14454" xr:uid="{00000000-0005-0000-0000-0000442C0000}"/>
    <cellStyle name="40% - Accent2 4 6 3 4 2" xfId="25017" xr:uid="{00000000-0005-0000-0000-0000452C0000}"/>
    <cellStyle name="40% - Accent2 4 6 3 5" xfId="18360" xr:uid="{00000000-0005-0000-0000-0000462C0000}"/>
    <cellStyle name="40% - Accent2 4 6 4" xfId="9273" xr:uid="{00000000-0005-0000-0000-0000472C0000}"/>
    <cellStyle name="40% - Accent2 4 6 4 2" xfId="19836" xr:uid="{00000000-0005-0000-0000-0000482C0000}"/>
    <cellStyle name="40% - Accent2 4 6 5" xfId="11492" xr:uid="{00000000-0005-0000-0000-0000492C0000}"/>
    <cellStyle name="40% - Accent2 4 6 5 2" xfId="22055" xr:uid="{00000000-0005-0000-0000-00004A2C0000}"/>
    <cellStyle name="40% - Accent2 4 6 6" xfId="13711" xr:uid="{00000000-0005-0000-0000-00004B2C0000}"/>
    <cellStyle name="40% - Accent2 4 6 6 2" xfId="24274" xr:uid="{00000000-0005-0000-0000-00004C2C0000}"/>
    <cellStyle name="40% - Accent2 4 6 7" xfId="17611" xr:uid="{00000000-0005-0000-0000-00004D2C0000}"/>
    <cellStyle name="40% - Accent2 4 7" xfId="1053" xr:uid="{00000000-0005-0000-0000-00004E2C0000}"/>
    <cellStyle name="40% - Accent2 4 8" xfId="1054" xr:uid="{00000000-0005-0000-0000-00004F2C0000}"/>
    <cellStyle name="40% - Accent2 4 9" xfId="1055" xr:uid="{00000000-0005-0000-0000-0000502C0000}"/>
    <cellStyle name="40% - Accent2 5" xfId="1056" xr:uid="{00000000-0005-0000-0000-0000512C0000}"/>
    <cellStyle name="40% - Accent2 5 2" xfId="1057" xr:uid="{00000000-0005-0000-0000-0000522C0000}"/>
    <cellStyle name="40% - Accent2 5 3" xfId="1058" xr:uid="{00000000-0005-0000-0000-0000532C0000}"/>
    <cellStyle name="40% - Accent2 5 4" xfId="1059" xr:uid="{00000000-0005-0000-0000-0000542C0000}"/>
    <cellStyle name="40% - Accent2 5 5" xfId="1060" xr:uid="{00000000-0005-0000-0000-0000552C0000}"/>
    <cellStyle name="40% - Accent2 5 6" xfId="1061" xr:uid="{00000000-0005-0000-0000-0000562C0000}"/>
    <cellStyle name="40% - Accent2 6" xfId="1062" xr:uid="{00000000-0005-0000-0000-0000572C0000}"/>
    <cellStyle name="40% - Accent2 6 2" xfId="1063" xr:uid="{00000000-0005-0000-0000-0000582C0000}"/>
    <cellStyle name="40% - Accent2 6 3" xfId="1064" xr:uid="{00000000-0005-0000-0000-0000592C0000}"/>
    <cellStyle name="40% - Accent2 6 4" xfId="1065" xr:uid="{00000000-0005-0000-0000-00005A2C0000}"/>
    <cellStyle name="40% - Accent2 6 5" xfId="1066" xr:uid="{00000000-0005-0000-0000-00005B2C0000}"/>
    <cellStyle name="40% - Accent2 6 6" xfId="1067" xr:uid="{00000000-0005-0000-0000-00005C2C0000}"/>
    <cellStyle name="40% - Accent2 7" xfId="1068" xr:uid="{00000000-0005-0000-0000-00005D2C0000}"/>
    <cellStyle name="40% - Accent2 7 10" xfId="11493" xr:uid="{00000000-0005-0000-0000-00005E2C0000}"/>
    <cellStyle name="40% - Accent2 7 10 2" xfId="22056" xr:uid="{00000000-0005-0000-0000-00005F2C0000}"/>
    <cellStyle name="40% - Accent2 7 11" xfId="13712" xr:uid="{00000000-0005-0000-0000-0000602C0000}"/>
    <cellStyle name="40% - Accent2 7 11 2" xfId="24275" xr:uid="{00000000-0005-0000-0000-0000612C0000}"/>
    <cellStyle name="40% - Accent2 7 12" xfId="17612" xr:uid="{00000000-0005-0000-0000-0000622C0000}"/>
    <cellStyle name="40% - Accent2 7 2" xfId="1069" xr:uid="{00000000-0005-0000-0000-0000632C0000}"/>
    <cellStyle name="40% - Accent2 7 3" xfId="1070" xr:uid="{00000000-0005-0000-0000-0000642C0000}"/>
    <cellStyle name="40% - Accent2 7 4" xfId="1071" xr:uid="{00000000-0005-0000-0000-0000652C0000}"/>
    <cellStyle name="40% - Accent2 7 5" xfId="1072" xr:uid="{00000000-0005-0000-0000-0000662C0000}"/>
    <cellStyle name="40% - Accent2 7 6" xfId="1073" xr:uid="{00000000-0005-0000-0000-0000672C0000}"/>
    <cellStyle name="40% - Accent2 7 7" xfId="8531" xr:uid="{00000000-0005-0000-0000-0000682C0000}"/>
    <cellStyle name="40% - Accent2 7 7 2" xfId="10750" xr:uid="{00000000-0005-0000-0000-0000692C0000}"/>
    <cellStyle name="40% - Accent2 7 7 2 2" xfId="21313" xr:uid="{00000000-0005-0000-0000-00006A2C0000}"/>
    <cellStyle name="40% - Accent2 7 7 3" xfId="12969" xr:uid="{00000000-0005-0000-0000-00006B2C0000}"/>
    <cellStyle name="40% - Accent2 7 7 3 2" xfId="23532" xr:uid="{00000000-0005-0000-0000-00006C2C0000}"/>
    <cellStyle name="40% - Accent2 7 7 4" xfId="15188" xr:uid="{00000000-0005-0000-0000-00006D2C0000}"/>
    <cellStyle name="40% - Accent2 7 7 4 2" xfId="25751" xr:uid="{00000000-0005-0000-0000-00006E2C0000}"/>
    <cellStyle name="40% - Accent2 7 7 5" xfId="19094" xr:uid="{00000000-0005-0000-0000-00006F2C0000}"/>
    <cellStyle name="40% - Accent2 7 8" xfId="7798" xr:uid="{00000000-0005-0000-0000-0000702C0000}"/>
    <cellStyle name="40% - Accent2 7 8 2" xfId="10017" xr:uid="{00000000-0005-0000-0000-0000712C0000}"/>
    <cellStyle name="40% - Accent2 7 8 2 2" xfId="20580" xr:uid="{00000000-0005-0000-0000-0000722C0000}"/>
    <cellStyle name="40% - Accent2 7 8 3" xfId="12236" xr:uid="{00000000-0005-0000-0000-0000732C0000}"/>
    <cellStyle name="40% - Accent2 7 8 3 2" xfId="22799" xr:uid="{00000000-0005-0000-0000-0000742C0000}"/>
    <cellStyle name="40% - Accent2 7 8 4" xfId="14455" xr:uid="{00000000-0005-0000-0000-0000752C0000}"/>
    <cellStyle name="40% - Accent2 7 8 4 2" xfId="25018" xr:uid="{00000000-0005-0000-0000-0000762C0000}"/>
    <cellStyle name="40% - Accent2 7 8 5" xfId="18361" xr:uid="{00000000-0005-0000-0000-0000772C0000}"/>
    <cellStyle name="40% - Accent2 7 9" xfId="9274" xr:uid="{00000000-0005-0000-0000-0000782C0000}"/>
    <cellStyle name="40% - Accent2 7 9 2" xfId="19837" xr:uid="{00000000-0005-0000-0000-0000792C0000}"/>
    <cellStyle name="40% - Accent2 8" xfId="1074" xr:uid="{00000000-0005-0000-0000-00007A2C0000}"/>
    <cellStyle name="40% - Accent2 8 2" xfId="1075" xr:uid="{00000000-0005-0000-0000-00007B2C0000}"/>
    <cellStyle name="40% - Accent2 9" xfId="1076" xr:uid="{00000000-0005-0000-0000-00007C2C0000}"/>
    <cellStyle name="40% - Accent3 10" xfId="1077" xr:uid="{00000000-0005-0000-0000-00007D2C0000}"/>
    <cellStyle name="40% - Accent3 10 2" xfId="1078" xr:uid="{00000000-0005-0000-0000-00007E2C0000}"/>
    <cellStyle name="40% - Accent3 10 3" xfId="1079" xr:uid="{00000000-0005-0000-0000-00007F2C0000}"/>
    <cellStyle name="40% - Accent3 10 4" xfId="1080" xr:uid="{00000000-0005-0000-0000-0000802C0000}"/>
    <cellStyle name="40% - Accent3 10 5" xfId="1081" xr:uid="{00000000-0005-0000-0000-0000812C0000}"/>
    <cellStyle name="40% - Accent3 11" xfId="1082" xr:uid="{00000000-0005-0000-0000-0000822C0000}"/>
    <cellStyle name="40% - Accent3 11 2" xfId="1083" xr:uid="{00000000-0005-0000-0000-0000832C0000}"/>
    <cellStyle name="40% - Accent3 11 3" xfId="1084" xr:uid="{00000000-0005-0000-0000-0000842C0000}"/>
    <cellStyle name="40% - Accent3 11 4" xfId="1085" xr:uid="{00000000-0005-0000-0000-0000852C0000}"/>
    <cellStyle name="40% - Accent3 11 5" xfId="1086" xr:uid="{00000000-0005-0000-0000-0000862C0000}"/>
    <cellStyle name="40% - Accent3 12" xfId="1087" xr:uid="{00000000-0005-0000-0000-0000872C0000}"/>
    <cellStyle name="40% - Accent3 12 2" xfId="1088" xr:uid="{00000000-0005-0000-0000-0000882C0000}"/>
    <cellStyle name="40% - Accent3 12 3" xfId="1089" xr:uid="{00000000-0005-0000-0000-0000892C0000}"/>
    <cellStyle name="40% - Accent3 12 4" xfId="1090" xr:uid="{00000000-0005-0000-0000-00008A2C0000}"/>
    <cellStyle name="40% - Accent3 12 5" xfId="1091" xr:uid="{00000000-0005-0000-0000-00008B2C0000}"/>
    <cellStyle name="40% - Accent3 13" xfId="1092" xr:uid="{00000000-0005-0000-0000-00008C2C0000}"/>
    <cellStyle name="40% - Accent3 14" xfId="1093" xr:uid="{00000000-0005-0000-0000-00008D2C0000}"/>
    <cellStyle name="40% - Accent3 15" xfId="1094" xr:uid="{00000000-0005-0000-0000-00008E2C0000}"/>
    <cellStyle name="40% - Accent3 16" xfId="1095" xr:uid="{00000000-0005-0000-0000-00008F2C0000}"/>
    <cellStyle name="40% - Accent3 17" xfId="1096" xr:uid="{00000000-0005-0000-0000-0000902C0000}"/>
    <cellStyle name="40% - Accent3 18" xfId="1097" xr:uid="{00000000-0005-0000-0000-0000912C0000}"/>
    <cellStyle name="40% - Accent3 19" xfId="1098" xr:uid="{00000000-0005-0000-0000-0000922C0000}"/>
    <cellStyle name="40% - Accent3 2" xfId="1099" xr:uid="{00000000-0005-0000-0000-0000932C0000}"/>
    <cellStyle name="40% - Accent3 2 10" xfId="1100" xr:uid="{00000000-0005-0000-0000-0000942C0000}"/>
    <cellStyle name="40% - Accent3 2 10 2" xfId="8532" xr:uid="{00000000-0005-0000-0000-0000952C0000}"/>
    <cellStyle name="40% - Accent3 2 10 2 2" xfId="10751" xr:uid="{00000000-0005-0000-0000-0000962C0000}"/>
    <cellStyle name="40% - Accent3 2 10 2 2 2" xfId="21314" xr:uid="{00000000-0005-0000-0000-0000972C0000}"/>
    <cellStyle name="40% - Accent3 2 10 2 3" xfId="12970" xr:uid="{00000000-0005-0000-0000-0000982C0000}"/>
    <cellStyle name="40% - Accent3 2 10 2 3 2" xfId="23533" xr:uid="{00000000-0005-0000-0000-0000992C0000}"/>
    <cellStyle name="40% - Accent3 2 10 2 4" xfId="15189" xr:uid="{00000000-0005-0000-0000-00009A2C0000}"/>
    <cellStyle name="40% - Accent3 2 10 2 4 2" xfId="25752" xr:uid="{00000000-0005-0000-0000-00009B2C0000}"/>
    <cellStyle name="40% - Accent3 2 10 2 5" xfId="19095" xr:uid="{00000000-0005-0000-0000-00009C2C0000}"/>
    <cellStyle name="40% - Accent3 2 10 3" xfId="7799" xr:uid="{00000000-0005-0000-0000-00009D2C0000}"/>
    <cellStyle name="40% - Accent3 2 10 3 2" xfId="10018" xr:uid="{00000000-0005-0000-0000-00009E2C0000}"/>
    <cellStyle name="40% - Accent3 2 10 3 2 2" xfId="20581" xr:uid="{00000000-0005-0000-0000-00009F2C0000}"/>
    <cellStyle name="40% - Accent3 2 10 3 3" xfId="12237" xr:uid="{00000000-0005-0000-0000-0000A02C0000}"/>
    <cellStyle name="40% - Accent3 2 10 3 3 2" xfId="22800" xr:uid="{00000000-0005-0000-0000-0000A12C0000}"/>
    <cellStyle name="40% - Accent3 2 10 3 4" xfId="14456" xr:uid="{00000000-0005-0000-0000-0000A22C0000}"/>
    <cellStyle name="40% - Accent3 2 10 3 4 2" xfId="25019" xr:uid="{00000000-0005-0000-0000-0000A32C0000}"/>
    <cellStyle name="40% - Accent3 2 10 3 5" xfId="18362" xr:uid="{00000000-0005-0000-0000-0000A42C0000}"/>
    <cellStyle name="40% - Accent3 2 10 4" xfId="9275" xr:uid="{00000000-0005-0000-0000-0000A52C0000}"/>
    <cellStyle name="40% - Accent3 2 10 4 2" xfId="19838" xr:uid="{00000000-0005-0000-0000-0000A62C0000}"/>
    <cellStyle name="40% - Accent3 2 10 5" xfId="11494" xr:uid="{00000000-0005-0000-0000-0000A72C0000}"/>
    <cellStyle name="40% - Accent3 2 10 5 2" xfId="22057" xr:uid="{00000000-0005-0000-0000-0000A82C0000}"/>
    <cellStyle name="40% - Accent3 2 10 6" xfId="13713" xr:uid="{00000000-0005-0000-0000-0000A92C0000}"/>
    <cellStyle name="40% - Accent3 2 10 6 2" xfId="24276" xr:uid="{00000000-0005-0000-0000-0000AA2C0000}"/>
    <cellStyle name="40% - Accent3 2 10 7" xfId="17613" xr:uid="{00000000-0005-0000-0000-0000AB2C0000}"/>
    <cellStyle name="40% - Accent3 2 11" xfId="1101" xr:uid="{00000000-0005-0000-0000-0000AC2C0000}"/>
    <cellStyle name="40% - Accent3 2 11 2" xfId="1102" xr:uid="{00000000-0005-0000-0000-0000AD2C0000}"/>
    <cellStyle name="40% - Accent3 2 11 2 2" xfId="8533" xr:uid="{00000000-0005-0000-0000-0000AE2C0000}"/>
    <cellStyle name="40% - Accent3 2 11 2 2 2" xfId="10752" xr:uid="{00000000-0005-0000-0000-0000AF2C0000}"/>
    <cellStyle name="40% - Accent3 2 11 2 2 2 2" xfId="21315" xr:uid="{00000000-0005-0000-0000-0000B02C0000}"/>
    <cellStyle name="40% - Accent3 2 11 2 2 3" xfId="12971" xr:uid="{00000000-0005-0000-0000-0000B12C0000}"/>
    <cellStyle name="40% - Accent3 2 11 2 2 3 2" xfId="23534" xr:uid="{00000000-0005-0000-0000-0000B22C0000}"/>
    <cellStyle name="40% - Accent3 2 11 2 2 4" xfId="15190" xr:uid="{00000000-0005-0000-0000-0000B32C0000}"/>
    <cellStyle name="40% - Accent3 2 11 2 2 4 2" xfId="25753" xr:uid="{00000000-0005-0000-0000-0000B42C0000}"/>
    <cellStyle name="40% - Accent3 2 11 2 2 5" xfId="19096" xr:uid="{00000000-0005-0000-0000-0000B52C0000}"/>
    <cellStyle name="40% - Accent3 2 11 2 3" xfId="7800" xr:uid="{00000000-0005-0000-0000-0000B62C0000}"/>
    <cellStyle name="40% - Accent3 2 11 2 3 2" xfId="10019" xr:uid="{00000000-0005-0000-0000-0000B72C0000}"/>
    <cellStyle name="40% - Accent3 2 11 2 3 2 2" xfId="20582" xr:uid="{00000000-0005-0000-0000-0000B82C0000}"/>
    <cellStyle name="40% - Accent3 2 11 2 3 3" xfId="12238" xr:uid="{00000000-0005-0000-0000-0000B92C0000}"/>
    <cellStyle name="40% - Accent3 2 11 2 3 3 2" xfId="22801" xr:uid="{00000000-0005-0000-0000-0000BA2C0000}"/>
    <cellStyle name="40% - Accent3 2 11 2 3 4" xfId="14457" xr:uid="{00000000-0005-0000-0000-0000BB2C0000}"/>
    <cellStyle name="40% - Accent3 2 11 2 3 4 2" xfId="25020" xr:uid="{00000000-0005-0000-0000-0000BC2C0000}"/>
    <cellStyle name="40% - Accent3 2 11 2 3 5" xfId="18363" xr:uid="{00000000-0005-0000-0000-0000BD2C0000}"/>
    <cellStyle name="40% - Accent3 2 11 2 4" xfId="9276" xr:uid="{00000000-0005-0000-0000-0000BE2C0000}"/>
    <cellStyle name="40% - Accent3 2 11 2 4 2" xfId="19839" xr:uid="{00000000-0005-0000-0000-0000BF2C0000}"/>
    <cellStyle name="40% - Accent3 2 11 2 5" xfId="11495" xr:uid="{00000000-0005-0000-0000-0000C02C0000}"/>
    <cellStyle name="40% - Accent3 2 11 2 5 2" xfId="22058" xr:uid="{00000000-0005-0000-0000-0000C12C0000}"/>
    <cellStyle name="40% - Accent3 2 11 2 6" xfId="13714" xr:uid="{00000000-0005-0000-0000-0000C22C0000}"/>
    <cellStyle name="40% - Accent3 2 11 2 6 2" xfId="24277" xr:uid="{00000000-0005-0000-0000-0000C32C0000}"/>
    <cellStyle name="40% - Accent3 2 11 2 7" xfId="17614" xr:uid="{00000000-0005-0000-0000-0000C42C0000}"/>
    <cellStyle name="40% - Accent3 2 11 3" xfId="1103" xr:uid="{00000000-0005-0000-0000-0000C52C0000}"/>
    <cellStyle name="40% - Accent3 2 11 3 2" xfId="8534" xr:uid="{00000000-0005-0000-0000-0000C62C0000}"/>
    <cellStyle name="40% - Accent3 2 11 3 2 2" xfId="10753" xr:uid="{00000000-0005-0000-0000-0000C72C0000}"/>
    <cellStyle name="40% - Accent3 2 11 3 2 2 2" xfId="21316" xr:uid="{00000000-0005-0000-0000-0000C82C0000}"/>
    <cellStyle name="40% - Accent3 2 11 3 2 3" xfId="12972" xr:uid="{00000000-0005-0000-0000-0000C92C0000}"/>
    <cellStyle name="40% - Accent3 2 11 3 2 3 2" xfId="23535" xr:uid="{00000000-0005-0000-0000-0000CA2C0000}"/>
    <cellStyle name="40% - Accent3 2 11 3 2 4" xfId="15191" xr:uid="{00000000-0005-0000-0000-0000CB2C0000}"/>
    <cellStyle name="40% - Accent3 2 11 3 2 4 2" xfId="25754" xr:uid="{00000000-0005-0000-0000-0000CC2C0000}"/>
    <cellStyle name="40% - Accent3 2 11 3 2 5" xfId="19097" xr:uid="{00000000-0005-0000-0000-0000CD2C0000}"/>
    <cellStyle name="40% - Accent3 2 11 3 3" xfId="7801" xr:uid="{00000000-0005-0000-0000-0000CE2C0000}"/>
    <cellStyle name="40% - Accent3 2 11 3 3 2" xfId="10020" xr:uid="{00000000-0005-0000-0000-0000CF2C0000}"/>
    <cellStyle name="40% - Accent3 2 11 3 3 2 2" xfId="20583" xr:uid="{00000000-0005-0000-0000-0000D02C0000}"/>
    <cellStyle name="40% - Accent3 2 11 3 3 3" xfId="12239" xr:uid="{00000000-0005-0000-0000-0000D12C0000}"/>
    <cellStyle name="40% - Accent3 2 11 3 3 3 2" xfId="22802" xr:uid="{00000000-0005-0000-0000-0000D22C0000}"/>
    <cellStyle name="40% - Accent3 2 11 3 3 4" xfId="14458" xr:uid="{00000000-0005-0000-0000-0000D32C0000}"/>
    <cellStyle name="40% - Accent3 2 11 3 3 4 2" xfId="25021" xr:uid="{00000000-0005-0000-0000-0000D42C0000}"/>
    <cellStyle name="40% - Accent3 2 11 3 3 5" xfId="18364" xr:uid="{00000000-0005-0000-0000-0000D52C0000}"/>
    <cellStyle name="40% - Accent3 2 11 3 4" xfId="9277" xr:uid="{00000000-0005-0000-0000-0000D62C0000}"/>
    <cellStyle name="40% - Accent3 2 11 3 4 2" xfId="19840" xr:uid="{00000000-0005-0000-0000-0000D72C0000}"/>
    <cellStyle name="40% - Accent3 2 11 3 5" xfId="11496" xr:uid="{00000000-0005-0000-0000-0000D82C0000}"/>
    <cellStyle name="40% - Accent3 2 11 3 5 2" xfId="22059" xr:uid="{00000000-0005-0000-0000-0000D92C0000}"/>
    <cellStyle name="40% - Accent3 2 11 3 6" xfId="13715" xr:uid="{00000000-0005-0000-0000-0000DA2C0000}"/>
    <cellStyle name="40% - Accent3 2 11 3 6 2" xfId="24278" xr:uid="{00000000-0005-0000-0000-0000DB2C0000}"/>
    <cellStyle name="40% - Accent3 2 11 3 7" xfId="17615" xr:uid="{00000000-0005-0000-0000-0000DC2C0000}"/>
    <cellStyle name="40% - Accent3 2 11 4" xfId="1104" xr:uid="{00000000-0005-0000-0000-0000DD2C0000}"/>
    <cellStyle name="40% - Accent3 2 11 4 2" xfId="8535" xr:uid="{00000000-0005-0000-0000-0000DE2C0000}"/>
    <cellStyle name="40% - Accent3 2 11 4 2 2" xfId="10754" xr:uid="{00000000-0005-0000-0000-0000DF2C0000}"/>
    <cellStyle name="40% - Accent3 2 11 4 2 2 2" xfId="21317" xr:uid="{00000000-0005-0000-0000-0000E02C0000}"/>
    <cellStyle name="40% - Accent3 2 11 4 2 3" xfId="12973" xr:uid="{00000000-0005-0000-0000-0000E12C0000}"/>
    <cellStyle name="40% - Accent3 2 11 4 2 3 2" xfId="23536" xr:uid="{00000000-0005-0000-0000-0000E22C0000}"/>
    <cellStyle name="40% - Accent3 2 11 4 2 4" xfId="15192" xr:uid="{00000000-0005-0000-0000-0000E32C0000}"/>
    <cellStyle name="40% - Accent3 2 11 4 2 4 2" xfId="25755" xr:uid="{00000000-0005-0000-0000-0000E42C0000}"/>
    <cellStyle name="40% - Accent3 2 11 4 2 5" xfId="19098" xr:uid="{00000000-0005-0000-0000-0000E52C0000}"/>
    <cellStyle name="40% - Accent3 2 11 4 3" xfId="7802" xr:uid="{00000000-0005-0000-0000-0000E62C0000}"/>
    <cellStyle name="40% - Accent3 2 11 4 3 2" xfId="10021" xr:uid="{00000000-0005-0000-0000-0000E72C0000}"/>
    <cellStyle name="40% - Accent3 2 11 4 3 2 2" xfId="20584" xr:uid="{00000000-0005-0000-0000-0000E82C0000}"/>
    <cellStyle name="40% - Accent3 2 11 4 3 3" xfId="12240" xr:uid="{00000000-0005-0000-0000-0000E92C0000}"/>
    <cellStyle name="40% - Accent3 2 11 4 3 3 2" xfId="22803" xr:uid="{00000000-0005-0000-0000-0000EA2C0000}"/>
    <cellStyle name="40% - Accent3 2 11 4 3 4" xfId="14459" xr:uid="{00000000-0005-0000-0000-0000EB2C0000}"/>
    <cellStyle name="40% - Accent3 2 11 4 3 4 2" xfId="25022" xr:uid="{00000000-0005-0000-0000-0000EC2C0000}"/>
    <cellStyle name="40% - Accent3 2 11 4 3 5" xfId="18365" xr:uid="{00000000-0005-0000-0000-0000ED2C0000}"/>
    <cellStyle name="40% - Accent3 2 11 4 4" xfId="9278" xr:uid="{00000000-0005-0000-0000-0000EE2C0000}"/>
    <cellStyle name="40% - Accent3 2 11 4 4 2" xfId="19841" xr:uid="{00000000-0005-0000-0000-0000EF2C0000}"/>
    <cellStyle name="40% - Accent3 2 11 4 5" xfId="11497" xr:uid="{00000000-0005-0000-0000-0000F02C0000}"/>
    <cellStyle name="40% - Accent3 2 11 4 5 2" xfId="22060" xr:uid="{00000000-0005-0000-0000-0000F12C0000}"/>
    <cellStyle name="40% - Accent3 2 11 4 6" xfId="13716" xr:uid="{00000000-0005-0000-0000-0000F22C0000}"/>
    <cellStyle name="40% - Accent3 2 11 4 6 2" xfId="24279" xr:uid="{00000000-0005-0000-0000-0000F32C0000}"/>
    <cellStyle name="40% - Accent3 2 11 4 7" xfId="17616" xr:uid="{00000000-0005-0000-0000-0000F42C0000}"/>
    <cellStyle name="40% - Accent3 2 11 5" xfId="1105" xr:uid="{00000000-0005-0000-0000-0000F52C0000}"/>
    <cellStyle name="40% - Accent3 2 11 5 2" xfId="8536" xr:uid="{00000000-0005-0000-0000-0000F62C0000}"/>
    <cellStyle name="40% - Accent3 2 11 5 2 2" xfId="10755" xr:uid="{00000000-0005-0000-0000-0000F72C0000}"/>
    <cellStyle name="40% - Accent3 2 11 5 2 2 2" xfId="21318" xr:uid="{00000000-0005-0000-0000-0000F82C0000}"/>
    <cellStyle name="40% - Accent3 2 11 5 2 3" xfId="12974" xr:uid="{00000000-0005-0000-0000-0000F92C0000}"/>
    <cellStyle name="40% - Accent3 2 11 5 2 3 2" xfId="23537" xr:uid="{00000000-0005-0000-0000-0000FA2C0000}"/>
    <cellStyle name="40% - Accent3 2 11 5 2 4" xfId="15193" xr:uid="{00000000-0005-0000-0000-0000FB2C0000}"/>
    <cellStyle name="40% - Accent3 2 11 5 2 4 2" xfId="25756" xr:uid="{00000000-0005-0000-0000-0000FC2C0000}"/>
    <cellStyle name="40% - Accent3 2 11 5 2 5" xfId="19099" xr:uid="{00000000-0005-0000-0000-0000FD2C0000}"/>
    <cellStyle name="40% - Accent3 2 11 5 3" xfId="7803" xr:uid="{00000000-0005-0000-0000-0000FE2C0000}"/>
    <cellStyle name="40% - Accent3 2 11 5 3 2" xfId="10022" xr:uid="{00000000-0005-0000-0000-0000FF2C0000}"/>
    <cellStyle name="40% - Accent3 2 11 5 3 2 2" xfId="20585" xr:uid="{00000000-0005-0000-0000-0000002D0000}"/>
    <cellStyle name="40% - Accent3 2 11 5 3 3" xfId="12241" xr:uid="{00000000-0005-0000-0000-0000012D0000}"/>
    <cellStyle name="40% - Accent3 2 11 5 3 3 2" xfId="22804" xr:uid="{00000000-0005-0000-0000-0000022D0000}"/>
    <cellStyle name="40% - Accent3 2 11 5 3 4" xfId="14460" xr:uid="{00000000-0005-0000-0000-0000032D0000}"/>
    <cellStyle name="40% - Accent3 2 11 5 3 4 2" xfId="25023" xr:uid="{00000000-0005-0000-0000-0000042D0000}"/>
    <cellStyle name="40% - Accent3 2 11 5 3 5" xfId="18366" xr:uid="{00000000-0005-0000-0000-0000052D0000}"/>
    <cellStyle name="40% - Accent3 2 11 5 4" xfId="9279" xr:uid="{00000000-0005-0000-0000-0000062D0000}"/>
    <cellStyle name="40% - Accent3 2 11 5 4 2" xfId="19842" xr:uid="{00000000-0005-0000-0000-0000072D0000}"/>
    <cellStyle name="40% - Accent3 2 11 5 5" xfId="11498" xr:uid="{00000000-0005-0000-0000-0000082D0000}"/>
    <cellStyle name="40% - Accent3 2 11 5 5 2" xfId="22061" xr:uid="{00000000-0005-0000-0000-0000092D0000}"/>
    <cellStyle name="40% - Accent3 2 11 5 6" xfId="13717" xr:uid="{00000000-0005-0000-0000-00000A2D0000}"/>
    <cellStyle name="40% - Accent3 2 11 5 6 2" xfId="24280" xr:uid="{00000000-0005-0000-0000-00000B2D0000}"/>
    <cellStyle name="40% - Accent3 2 11 5 7" xfId="17617" xr:uid="{00000000-0005-0000-0000-00000C2D0000}"/>
    <cellStyle name="40% - Accent3 2 12" xfId="1106" xr:uid="{00000000-0005-0000-0000-00000D2D0000}"/>
    <cellStyle name="40% - Accent3 2 13" xfId="1107" xr:uid="{00000000-0005-0000-0000-00000E2D0000}"/>
    <cellStyle name="40% - Accent3 2 14" xfId="1108" xr:uid="{00000000-0005-0000-0000-00000F2D0000}"/>
    <cellStyle name="40% - Accent3 2 15" xfId="1109" xr:uid="{00000000-0005-0000-0000-0000102D0000}"/>
    <cellStyle name="40% - Accent3 2 15 2" xfId="8537" xr:uid="{00000000-0005-0000-0000-0000112D0000}"/>
    <cellStyle name="40% - Accent3 2 15 2 2" xfId="10756" xr:uid="{00000000-0005-0000-0000-0000122D0000}"/>
    <cellStyle name="40% - Accent3 2 15 2 2 2" xfId="21319" xr:uid="{00000000-0005-0000-0000-0000132D0000}"/>
    <cellStyle name="40% - Accent3 2 15 2 3" xfId="12975" xr:uid="{00000000-0005-0000-0000-0000142D0000}"/>
    <cellStyle name="40% - Accent3 2 15 2 3 2" xfId="23538" xr:uid="{00000000-0005-0000-0000-0000152D0000}"/>
    <cellStyle name="40% - Accent3 2 15 2 4" xfId="15194" xr:uid="{00000000-0005-0000-0000-0000162D0000}"/>
    <cellStyle name="40% - Accent3 2 15 2 4 2" xfId="25757" xr:uid="{00000000-0005-0000-0000-0000172D0000}"/>
    <cellStyle name="40% - Accent3 2 15 2 5" xfId="19100" xr:uid="{00000000-0005-0000-0000-0000182D0000}"/>
    <cellStyle name="40% - Accent3 2 15 3" xfId="7804" xr:uid="{00000000-0005-0000-0000-0000192D0000}"/>
    <cellStyle name="40% - Accent3 2 15 3 2" xfId="10023" xr:uid="{00000000-0005-0000-0000-00001A2D0000}"/>
    <cellStyle name="40% - Accent3 2 15 3 2 2" xfId="20586" xr:uid="{00000000-0005-0000-0000-00001B2D0000}"/>
    <cellStyle name="40% - Accent3 2 15 3 3" xfId="12242" xr:uid="{00000000-0005-0000-0000-00001C2D0000}"/>
    <cellStyle name="40% - Accent3 2 15 3 3 2" xfId="22805" xr:uid="{00000000-0005-0000-0000-00001D2D0000}"/>
    <cellStyle name="40% - Accent3 2 15 3 4" xfId="14461" xr:uid="{00000000-0005-0000-0000-00001E2D0000}"/>
    <cellStyle name="40% - Accent3 2 15 3 4 2" xfId="25024" xr:uid="{00000000-0005-0000-0000-00001F2D0000}"/>
    <cellStyle name="40% - Accent3 2 15 3 5" xfId="18367" xr:uid="{00000000-0005-0000-0000-0000202D0000}"/>
    <cellStyle name="40% - Accent3 2 15 4" xfId="9280" xr:uid="{00000000-0005-0000-0000-0000212D0000}"/>
    <cellStyle name="40% - Accent3 2 15 4 2" xfId="19843" xr:uid="{00000000-0005-0000-0000-0000222D0000}"/>
    <cellStyle name="40% - Accent3 2 15 5" xfId="11499" xr:uid="{00000000-0005-0000-0000-0000232D0000}"/>
    <cellStyle name="40% - Accent3 2 15 5 2" xfId="22062" xr:uid="{00000000-0005-0000-0000-0000242D0000}"/>
    <cellStyle name="40% - Accent3 2 15 6" xfId="13718" xr:uid="{00000000-0005-0000-0000-0000252D0000}"/>
    <cellStyle name="40% - Accent3 2 15 6 2" xfId="24281" xr:uid="{00000000-0005-0000-0000-0000262D0000}"/>
    <cellStyle name="40% - Accent3 2 15 7" xfId="17618" xr:uid="{00000000-0005-0000-0000-0000272D0000}"/>
    <cellStyle name="40% - Accent3 2 16" xfId="1110" xr:uid="{00000000-0005-0000-0000-0000282D0000}"/>
    <cellStyle name="40% - Accent3 2 2" xfId="1111" xr:uid="{00000000-0005-0000-0000-0000292D0000}"/>
    <cellStyle name="40% - Accent3 2 2 10" xfId="8538" xr:uid="{00000000-0005-0000-0000-00002A2D0000}"/>
    <cellStyle name="40% - Accent3 2 2 10 2" xfId="10757" xr:uid="{00000000-0005-0000-0000-00002B2D0000}"/>
    <cellStyle name="40% - Accent3 2 2 10 2 2" xfId="21320" xr:uid="{00000000-0005-0000-0000-00002C2D0000}"/>
    <cellStyle name="40% - Accent3 2 2 10 3" xfId="12976" xr:uid="{00000000-0005-0000-0000-00002D2D0000}"/>
    <cellStyle name="40% - Accent3 2 2 10 3 2" xfId="23539" xr:uid="{00000000-0005-0000-0000-00002E2D0000}"/>
    <cellStyle name="40% - Accent3 2 2 10 4" xfId="15195" xr:uid="{00000000-0005-0000-0000-00002F2D0000}"/>
    <cellStyle name="40% - Accent3 2 2 10 4 2" xfId="25758" xr:uid="{00000000-0005-0000-0000-0000302D0000}"/>
    <cellStyle name="40% - Accent3 2 2 10 5" xfId="19101" xr:uid="{00000000-0005-0000-0000-0000312D0000}"/>
    <cellStyle name="40% - Accent3 2 2 11" xfId="7805" xr:uid="{00000000-0005-0000-0000-0000322D0000}"/>
    <cellStyle name="40% - Accent3 2 2 11 2" xfId="10024" xr:uid="{00000000-0005-0000-0000-0000332D0000}"/>
    <cellStyle name="40% - Accent3 2 2 11 2 2" xfId="20587" xr:uid="{00000000-0005-0000-0000-0000342D0000}"/>
    <cellStyle name="40% - Accent3 2 2 11 3" xfId="12243" xr:uid="{00000000-0005-0000-0000-0000352D0000}"/>
    <cellStyle name="40% - Accent3 2 2 11 3 2" xfId="22806" xr:uid="{00000000-0005-0000-0000-0000362D0000}"/>
    <cellStyle name="40% - Accent3 2 2 11 4" xfId="14462" xr:uid="{00000000-0005-0000-0000-0000372D0000}"/>
    <cellStyle name="40% - Accent3 2 2 11 4 2" xfId="25025" xr:uid="{00000000-0005-0000-0000-0000382D0000}"/>
    <cellStyle name="40% - Accent3 2 2 11 5" xfId="18368" xr:uid="{00000000-0005-0000-0000-0000392D0000}"/>
    <cellStyle name="40% - Accent3 2 2 12" xfId="9281" xr:uid="{00000000-0005-0000-0000-00003A2D0000}"/>
    <cellStyle name="40% - Accent3 2 2 12 2" xfId="19844" xr:uid="{00000000-0005-0000-0000-00003B2D0000}"/>
    <cellStyle name="40% - Accent3 2 2 13" xfId="11500" xr:uid="{00000000-0005-0000-0000-00003C2D0000}"/>
    <cellStyle name="40% - Accent3 2 2 13 2" xfId="22063" xr:uid="{00000000-0005-0000-0000-00003D2D0000}"/>
    <cellStyle name="40% - Accent3 2 2 14" xfId="13719" xr:uid="{00000000-0005-0000-0000-00003E2D0000}"/>
    <cellStyle name="40% - Accent3 2 2 14 2" xfId="24282" xr:uid="{00000000-0005-0000-0000-00003F2D0000}"/>
    <cellStyle name="40% - Accent3 2 2 15" xfId="17619" xr:uid="{00000000-0005-0000-0000-0000402D0000}"/>
    <cellStyle name="40% - Accent3 2 2 2" xfId="1112" xr:uid="{00000000-0005-0000-0000-0000412D0000}"/>
    <cellStyle name="40% - Accent3 2 2 2 2" xfId="8539" xr:uid="{00000000-0005-0000-0000-0000422D0000}"/>
    <cellStyle name="40% - Accent3 2 2 2 2 2" xfId="10758" xr:uid="{00000000-0005-0000-0000-0000432D0000}"/>
    <cellStyle name="40% - Accent3 2 2 2 2 2 2" xfId="21321" xr:uid="{00000000-0005-0000-0000-0000442D0000}"/>
    <cellStyle name="40% - Accent3 2 2 2 2 3" xfId="12977" xr:uid="{00000000-0005-0000-0000-0000452D0000}"/>
    <cellStyle name="40% - Accent3 2 2 2 2 3 2" xfId="23540" xr:uid="{00000000-0005-0000-0000-0000462D0000}"/>
    <cellStyle name="40% - Accent3 2 2 2 2 4" xfId="15196" xr:uid="{00000000-0005-0000-0000-0000472D0000}"/>
    <cellStyle name="40% - Accent3 2 2 2 2 4 2" xfId="25759" xr:uid="{00000000-0005-0000-0000-0000482D0000}"/>
    <cellStyle name="40% - Accent3 2 2 2 2 5" xfId="19102" xr:uid="{00000000-0005-0000-0000-0000492D0000}"/>
    <cellStyle name="40% - Accent3 2 2 2 3" xfId="7806" xr:uid="{00000000-0005-0000-0000-00004A2D0000}"/>
    <cellStyle name="40% - Accent3 2 2 2 3 2" xfId="10025" xr:uid="{00000000-0005-0000-0000-00004B2D0000}"/>
    <cellStyle name="40% - Accent3 2 2 2 3 2 2" xfId="20588" xr:uid="{00000000-0005-0000-0000-00004C2D0000}"/>
    <cellStyle name="40% - Accent3 2 2 2 3 3" xfId="12244" xr:uid="{00000000-0005-0000-0000-00004D2D0000}"/>
    <cellStyle name="40% - Accent3 2 2 2 3 3 2" xfId="22807" xr:uid="{00000000-0005-0000-0000-00004E2D0000}"/>
    <cellStyle name="40% - Accent3 2 2 2 3 4" xfId="14463" xr:uid="{00000000-0005-0000-0000-00004F2D0000}"/>
    <cellStyle name="40% - Accent3 2 2 2 3 4 2" xfId="25026" xr:uid="{00000000-0005-0000-0000-0000502D0000}"/>
    <cellStyle name="40% - Accent3 2 2 2 3 5" xfId="18369" xr:uid="{00000000-0005-0000-0000-0000512D0000}"/>
    <cellStyle name="40% - Accent3 2 2 2 4" xfId="9282" xr:uid="{00000000-0005-0000-0000-0000522D0000}"/>
    <cellStyle name="40% - Accent3 2 2 2 4 2" xfId="19845" xr:uid="{00000000-0005-0000-0000-0000532D0000}"/>
    <cellStyle name="40% - Accent3 2 2 2 5" xfId="11501" xr:uid="{00000000-0005-0000-0000-0000542D0000}"/>
    <cellStyle name="40% - Accent3 2 2 2 5 2" xfId="22064" xr:uid="{00000000-0005-0000-0000-0000552D0000}"/>
    <cellStyle name="40% - Accent3 2 2 2 6" xfId="13720" xr:uid="{00000000-0005-0000-0000-0000562D0000}"/>
    <cellStyle name="40% - Accent3 2 2 2 6 2" xfId="24283" xr:uid="{00000000-0005-0000-0000-0000572D0000}"/>
    <cellStyle name="40% - Accent3 2 2 2 7" xfId="17620" xr:uid="{00000000-0005-0000-0000-0000582D0000}"/>
    <cellStyle name="40% - Accent3 2 2 3" xfId="1113" xr:uid="{00000000-0005-0000-0000-0000592D0000}"/>
    <cellStyle name="40% - Accent3 2 2 3 2" xfId="8540" xr:uid="{00000000-0005-0000-0000-00005A2D0000}"/>
    <cellStyle name="40% - Accent3 2 2 3 2 2" xfId="10759" xr:uid="{00000000-0005-0000-0000-00005B2D0000}"/>
    <cellStyle name="40% - Accent3 2 2 3 2 2 2" xfId="21322" xr:uid="{00000000-0005-0000-0000-00005C2D0000}"/>
    <cellStyle name="40% - Accent3 2 2 3 2 3" xfId="12978" xr:uid="{00000000-0005-0000-0000-00005D2D0000}"/>
    <cellStyle name="40% - Accent3 2 2 3 2 3 2" xfId="23541" xr:uid="{00000000-0005-0000-0000-00005E2D0000}"/>
    <cellStyle name="40% - Accent3 2 2 3 2 4" xfId="15197" xr:uid="{00000000-0005-0000-0000-00005F2D0000}"/>
    <cellStyle name="40% - Accent3 2 2 3 2 4 2" xfId="25760" xr:uid="{00000000-0005-0000-0000-0000602D0000}"/>
    <cellStyle name="40% - Accent3 2 2 3 2 5" xfId="19103" xr:uid="{00000000-0005-0000-0000-0000612D0000}"/>
    <cellStyle name="40% - Accent3 2 2 3 3" xfId="7807" xr:uid="{00000000-0005-0000-0000-0000622D0000}"/>
    <cellStyle name="40% - Accent3 2 2 3 3 2" xfId="10026" xr:uid="{00000000-0005-0000-0000-0000632D0000}"/>
    <cellStyle name="40% - Accent3 2 2 3 3 2 2" xfId="20589" xr:uid="{00000000-0005-0000-0000-0000642D0000}"/>
    <cellStyle name="40% - Accent3 2 2 3 3 3" xfId="12245" xr:uid="{00000000-0005-0000-0000-0000652D0000}"/>
    <cellStyle name="40% - Accent3 2 2 3 3 3 2" xfId="22808" xr:uid="{00000000-0005-0000-0000-0000662D0000}"/>
    <cellStyle name="40% - Accent3 2 2 3 3 4" xfId="14464" xr:uid="{00000000-0005-0000-0000-0000672D0000}"/>
    <cellStyle name="40% - Accent3 2 2 3 3 4 2" xfId="25027" xr:uid="{00000000-0005-0000-0000-0000682D0000}"/>
    <cellStyle name="40% - Accent3 2 2 3 3 5" xfId="18370" xr:uid="{00000000-0005-0000-0000-0000692D0000}"/>
    <cellStyle name="40% - Accent3 2 2 3 4" xfId="9283" xr:uid="{00000000-0005-0000-0000-00006A2D0000}"/>
    <cellStyle name="40% - Accent3 2 2 3 4 2" xfId="19846" xr:uid="{00000000-0005-0000-0000-00006B2D0000}"/>
    <cellStyle name="40% - Accent3 2 2 3 5" xfId="11502" xr:uid="{00000000-0005-0000-0000-00006C2D0000}"/>
    <cellStyle name="40% - Accent3 2 2 3 5 2" xfId="22065" xr:uid="{00000000-0005-0000-0000-00006D2D0000}"/>
    <cellStyle name="40% - Accent3 2 2 3 6" xfId="13721" xr:uid="{00000000-0005-0000-0000-00006E2D0000}"/>
    <cellStyle name="40% - Accent3 2 2 3 6 2" xfId="24284" xr:uid="{00000000-0005-0000-0000-00006F2D0000}"/>
    <cellStyle name="40% - Accent3 2 2 3 7" xfId="17621" xr:uid="{00000000-0005-0000-0000-0000702D0000}"/>
    <cellStyle name="40% - Accent3 2 2 4" xfId="1114" xr:uid="{00000000-0005-0000-0000-0000712D0000}"/>
    <cellStyle name="40% - Accent3 2 2 4 2" xfId="8541" xr:uid="{00000000-0005-0000-0000-0000722D0000}"/>
    <cellStyle name="40% - Accent3 2 2 4 2 2" xfId="10760" xr:uid="{00000000-0005-0000-0000-0000732D0000}"/>
    <cellStyle name="40% - Accent3 2 2 4 2 2 2" xfId="21323" xr:uid="{00000000-0005-0000-0000-0000742D0000}"/>
    <cellStyle name="40% - Accent3 2 2 4 2 3" xfId="12979" xr:uid="{00000000-0005-0000-0000-0000752D0000}"/>
    <cellStyle name="40% - Accent3 2 2 4 2 3 2" xfId="23542" xr:uid="{00000000-0005-0000-0000-0000762D0000}"/>
    <cellStyle name="40% - Accent3 2 2 4 2 4" xfId="15198" xr:uid="{00000000-0005-0000-0000-0000772D0000}"/>
    <cellStyle name="40% - Accent3 2 2 4 2 4 2" xfId="25761" xr:uid="{00000000-0005-0000-0000-0000782D0000}"/>
    <cellStyle name="40% - Accent3 2 2 4 2 5" xfId="19104" xr:uid="{00000000-0005-0000-0000-0000792D0000}"/>
    <cellStyle name="40% - Accent3 2 2 4 3" xfId="7808" xr:uid="{00000000-0005-0000-0000-00007A2D0000}"/>
    <cellStyle name="40% - Accent3 2 2 4 3 2" xfId="10027" xr:uid="{00000000-0005-0000-0000-00007B2D0000}"/>
    <cellStyle name="40% - Accent3 2 2 4 3 2 2" xfId="20590" xr:uid="{00000000-0005-0000-0000-00007C2D0000}"/>
    <cellStyle name="40% - Accent3 2 2 4 3 3" xfId="12246" xr:uid="{00000000-0005-0000-0000-00007D2D0000}"/>
    <cellStyle name="40% - Accent3 2 2 4 3 3 2" xfId="22809" xr:uid="{00000000-0005-0000-0000-00007E2D0000}"/>
    <cellStyle name="40% - Accent3 2 2 4 3 4" xfId="14465" xr:uid="{00000000-0005-0000-0000-00007F2D0000}"/>
    <cellStyle name="40% - Accent3 2 2 4 3 4 2" xfId="25028" xr:uid="{00000000-0005-0000-0000-0000802D0000}"/>
    <cellStyle name="40% - Accent3 2 2 4 3 5" xfId="18371" xr:uid="{00000000-0005-0000-0000-0000812D0000}"/>
    <cellStyle name="40% - Accent3 2 2 4 4" xfId="9284" xr:uid="{00000000-0005-0000-0000-0000822D0000}"/>
    <cellStyle name="40% - Accent3 2 2 4 4 2" xfId="19847" xr:uid="{00000000-0005-0000-0000-0000832D0000}"/>
    <cellStyle name="40% - Accent3 2 2 4 5" xfId="11503" xr:uid="{00000000-0005-0000-0000-0000842D0000}"/>
    <cellStyle name="40% - Accent3 2 2 4 5 2" xfId="22066" xr:uid="{00000000-0005-0000-0000-0000852D0000}"/>
    <cellStyle name="40% - Accent3 2 2 4 6" xfId="13722" xr:uid="{00000000-0005-0000-0000-0000862D0000}"/>
    <cellStyle name="40% - Accent3 2 2 4 6 2" xfId="24285" xr:uid="{00000000-0005-0000-0000-0000872D0000}"/>
    <cellStyle name="40% - Accent3 2 2 4 7" xfId="17622" xr:uid="{00000000-0005-0000-0000-0000882D0000}"/>
    <cellStyle name="40% - Accent3 2 2 5" xfId="1115" xr:uid="{00000000-0005-0000-0000-0000892D0000}"/>
    <cellStyle name="40% - Accent3 2 2 5 2" xfId="8542" xr:uid="{00000000-0005-0000-0000-00008A2D0000}"/>
    <cellStyle name="40% - Accent3 2 2 5 2 2" xfId="10761" xr:uid="{00000000-0005-0000-0000-00008B2D0000}"/>
    <cellStyle name="40% - Accent3 2 2 5 2 2 2" xfId="21324" xr:uid="{00000000-0005-0000-0000-00008C2D0000}"/>
    <cellStyle name="40% - Accent3 2 2 5 2 3" xfId="12980" xr:uid="{00000000-0005-0000-0000-00008D2D0000}"/>
    <cellStyle name="40% - Accent3 2 2 5 2 3 2" xfId="23543" xr:uid="{00000000-0005-0000-0000-00008E2D0000}"/>
    <cellStyle name="40% - Accent3 2 2 5 2 4" xfId="15199" xr:uid="{00000000-0005-0000-0000-00008F2D0000}"/>
    <cellStyle name="40% - Accent3 2 2 5 2 4 2" xfId="25762" xr:uid="{00000000-0005-0000-0000-0000902D0000}"/>
    <cellStyle name="40% - Accent3 2 2 5 2 5" xfId="19105" xr:uid="{00000000-0005-0000-0000-0000912D0000}"/>
    <cellStyle name="40% - Accent3 2 2 5 3" xfId="7809" xr:uid="{00000000-0005-0000-0000-0000922D0000}"/>
    <cellStyle name="40% - Accent3 2 2 5 3 2" xfId="10028" xr:uid="{00000000-0005-0000-0000-0000932D0000}"/>
    <cellStyle name="40% - Accent3 2 2 5 3 2 2" xfId="20591" xr:uid="{00000000-0005-0000-0000-0000942D0000}"/>
    <cellStyle name="40% - Accent3 2 2 5 3 3" xfId="12247" xr:uid="{00000000-0005-0000-0000-0000952D0000}"/>
    <cellStyle name="40% - Accent3 2 2 5 3 3 2" xfId="22810" xr:uid="{00000000-0005-0000-0000-0000962D0000}"/>
    <cellStyle name="40% - Accent3 2 2 5 3 4" xfId="14466" xr:uid="{00000000-0005-0000-0000-0000972D0000}"/>
    <cellStyle name="40% - Accent3 2 2 5 3 4 2" xfId="25029" xr:uid="{00000000-0005-0000-0000-0000982D0000}"/>
    <cellStyle name="40% - Accent3 2 2 5 3 5" xfId="18372" xr:uid="{00000000-0005-0000-0000-0000992D0000}"/>
    <cellStyle name="40% - Accent3 2 2 5 4" xfId="9285" xr:uid="{00000000-0005-0000-0000-00009A2D0000}"/>
    <cellStyle name="40% - Accent3 2 2 5 4 2" xfId="19848" xr:uid="{00000000-0005-0000-0000-00009B2D0000}"/>
    <cellStyle name="40% - Accent3 2 2 5 5" xfId="11504" xr:uid="{00000000-0005-0000-0000-00009C2D0000}"/>
    <cellStyle name="40% - Accent3 2 2 5 5 2" xfId="22067" xr:uid="{00000000-0005-0000-0000-00009D2D0000}"/>
    <cellStyle name="40% - Accent3 2 2 5 6" xfId="13723" xr:uid="{00000000-0005-0000-0000-00009E2D0000}"/>
    <cellStyle name="40% - Accent3 2 2 5 6 2" xfId="24286" xr:uid="{00000000-0005-0000-0000-00009F2D0000}"/>
    <cellStyle name="40% - Accent3 2 2 5 7" xfId="17623" xr:uid="{00000000-0005-0000-0000-0000A02D0000}"/>
    <cellStyle name="40% - Accent3 2 2 6" xfId="1116" xr:uid="{00000000-0005-0000-0000-0000A12D0000}"/>
    <cellStyle name="40% - Accent3 2 2 6 2" xfId="8543" xr:uid="{00000000-0005-0000-0000-0000A22D0000}"/>
    <cellStyle name="40% - Accent3 2 2 6 2 2" xfId="10762" xr:uid="{00000000-0005-0000-0000-0000A32D0000}"/>
    <cellStyle name="40% - Accent3 2 2 6 2 2 2" xfId="21325" xr:uid="{00000000-0005-0000-0000-0000A42D0000}"/>
    <cellStyle name="40% - Accent3 2 2 6 2 3" xfId="12981" xr:uid="{00000000-0005-0000-0000-0000A52D0000}"/>
    <cellStyle name="40% - Accent3 2 2 6 2 3 2" xfId="23544" xr:uid="{00000000-0005-0000-0000-0000A62D0000}"/>
    <cellStyle name="40% - Accent3 2 2 6 2 4" xfId="15200" xr:uid="{00000000-0005-0000-0000-0000A72D0000}"/>
    <cellStyle name="40% - Accent3 2 2 6 2 4 2" xfId="25763" xr:uid="{00000000-0005-0000-0000-0000A82D0000}"/>
    <cellStyle name="40% - Accent3 2 2 6 2 5" xfId="19106" xr:uid="{00000000-0005-0000-0000-0000A92D0000}"/>
    <cellStyle name="40% - Accent3 2 2 6 3" xfId="7810" xr:uid="{00000000-0005-0000-0000-0000AA2D0000}"/>
    <cellStyle name="40% - Accent3 2 2 6 3 2" xfId="10029" xr:uid="{00000000-0005-0000-0000-0000AB2D0000}"/>
    <cellStyle name="40% - Accent3 2 2 6 3 2 2" xfId="20592" xr:uid="{00000000-0005-0000-0000-0000AC2D0000}"/>
    <cellStyle name="40% - Accent3 2 2 6 3 3" xfId="12248" xr:uid="{00000000-0005-0000-0000-0000AD2D0000}"/>
    <cellStyle name="40% - Accent3 2 2 6 3 3 2" xfId="22811" xr:uid="{00000000-0005-0000-0000-0000AE2D0000}"/>
    <cellStyle name="40% - Accent3 2 2 6 3 4" xfId="14467" xr:uid="{00000000-0005-0000-0000-0000AF2D0000}"/>
    <cellStyle name="40% - Accent3 2 2 6 3 4 2" xfId="25030" xr:uid="{00000000-0005-0000-0000-0000B02D0000}"/>
    <cellStyle name="40% - Accent3 2 2 6 3 5" xfId="18373" xr:uid="{00000000-0005-0000-0000-0000B12D0000}"/>
    <cellStyle name="40% - Accent3 2 2 6 4" xfId="9286" xr:uid="{00000000-0005-0000-0000-0000B22D0000}"/>
    <cellStyle name="40% - Accent3 2 2 6 4 2" xfId="19849" xr:uid="{00000000-0005-0000-0000-0000B32D0000}"/>
    <cellStyle name="40% - Accent3 2 2 6 5" xfId="11505" xr:uid="{00000000-0005-0000-0000-0000B42D0000}"/>
    <cellStyle name="40% - Accent3 2 2 6 5 2" xfId="22068" xr:uid="{00000000-0005-0000-0000-0000B52D0000}"/>
    <cellStyle name="40% - Accent3 2 2 6 6" xfId="13724" xr:uid="{00000000-0005-0000-0000-0000B62D0000}"/>
    <cellStyle name="40% - Accent3 2 2 6 6 2" xfId="24287" xr:uid="{00000000-0005-0000-0000-0000B72D0000}"/>
    <cellStyle name="40% - Accent3 2 2 6 7" xfId="17624" xr:uid="{00000000-0005-0000-0000-0000B82D0000}"/>
    <cellStyle name="40% - Accent3 2 2 7" xfId="1117" xr:uid="{00000000-0005-0000-0000-0000B92D0000}"/>
    <cellStyle name="40% - Accent3 2 2 7 2" xfId="8544" xr:uid="{00000000-0005-0000-0000-0000BA2D0000}"/>
    <cellStyle name="40% - Accent3 2 2 7 2 2" xfId="10763" xr:uid="{00000000-0005-0000-0000-0000BB2D0000}"/>
    <cellStyle name="40% - Accent3 2 2 7 2 2 2" xfId="21326" xr:uid="{00000000-0005-0000-0000-0000BC2D0000}"/>
    <cellStyle name="40% - Accent3 2 2 7 2 3" xfId="12982" xr:uid="{00000000-0005-0000-0000-0000BD2D0000}"/>
    <cellStyle name="40% - Accent3 2 2 7 2 3 2" xfId="23545" xr:uid="{00000000-0005-0000-0000-0000BE2D0000}"/>
    <cellStyle name="40% - Accent3 2 2 7 2 4" xfId="15201" xr:uid="{00000000-0005-0000-0000-0000BF2D0000}"/>
    <cellStyle name="40% - Accent3 2 2 7 2 4 2" xfId="25764" xr:uid="{00000000-0005-0000-0000-0000C02D0000}"/>
    <cellStyle name="40% - Accent3 2 2 7 2 5" xfId="19107" xr:uid="{00000000-0005-0000-0000-0000C12D0000}"/>
    <cellStyle name="40% - Accent3 2 2 7 3" xfId="7811" xr:uid="{00000000-0005-0000-0000-0000C22D0000}"/>
    <cellStyle name="40% - Accent3 2 2 7 3 2" xfId="10030" xr:uid="{00000000-0005-0000-0000-0000C32D0000}"/>
    <cellStyle name="40% - Accent3 2 2 7 3 2 2" xfId="20593" xr:uid="{00000000-0005-0000-0000-0000C42D0000}"/>
    <cellStyle name="40% - Accent3 2 2 7 3 3" xfId="12249" xr:uid="{00000000-0005-0000-0000-0000C52D0000}"/>
    <cellStyle name="40% - Accent3 2 2 7 3 3 2" xfId="22812" xr:uid="{00000000-0005-0000-0000-0000C62D0000}"/>
    <cellStyle name="40% - Accent3 2 2 7 3 4" xfId="14468" xr:uid="{00000000-0005-0000-0000-0000C72D0000}"/>
    <cellStyle name="40% - Accent3 2 2 7 3 4 2" xfId="25031" xr:uid="{00000000-0005-0000-0000-0000C82D0000}"/>
    <cellStyle name="40% - Accent3 2 2 7 3 5" xfId="18374" xr:uid="{00000000-0005-0000-0000-0000C92D0000}"/>
    <cellStyle name="40% - Accent3 2 2 7 4" xfId="9287" xr:uid="{00000000-0005-0000-0000-0000CA2D0000}"/>
    <cellStyle name="40% - Accent3 2 2 7 4 2" xfId="19850" xr:uid="{00000000-0005-0000-0000-0000CB2D0000}"/>
    <cellStyle name="40% - Accent3 2 2 7 5" xfId="11506" xr:uid="{00000000-0005-0000-0000-0000CC2D0000}"/>
    <cellStyle name="40% - Accent3 2 2 7 5 2" xfId="22069" xr:uid="{00000000-0005-0000-0000-0000CD2D0000}"/>
    <cellStyle name="40% - Accent3 2 2 7 6" xfId="13725" xr:uid="{00000000-0005-0000-0000-0000CE2D0000}"/>
    <cellStyle name="40% - Accent3 2 2 7 6 2" xfId="24288" xr:uid="{00000000-0005-0000-0000-0000CF2D0000}"/>
    <cellStyle name="40% - Accent3 2 2 7 7" xfId="17625" xr:uid="{00000000-0005-0000-0000-0000D02D0000}"/>
    <cellStyle name="40% - Accent3 2 2 8" xfId="1118" xr:uid="{00000000-0005-0000-0000-0000D12D0000}"/>
    <cellStyle name="40% - Accent3 2 2 8 2" xfId="8545" xr:uid="{00000000-0005-0000-0000-0000D22D0000}"/>
    <cellStyle name="40% - Accent3 2 2 8 2 2" xfId="10764" xr:uid="{00000000-0005-0000-0000-0000D32D0000}"/>
    <cellStyle name="40% - Accent3 2 2 8 2 2 2" xfId="21327" xr:uid="{00000000-0005-0000-0000-0000D42D0000}"/>
    <cellStyle name="40% - Accent3 2 2 8 2 3" xfId="12983" xr:uid="{00000000-0005-0000-0000-0000D52D0000}"/>
    <cellStyle name="40% - Accent3 2 2 8 2 3 2" xfId="23546" xr:uid="{00000000-0005-0000-0000-0000D62D0000}"/>
    <cellStyle name="40% - Accent3 2 2 8 2 4" xfId="15202" xr:uid="{00000000-0005-0000-0000-0000D72D0000}"/>
    <cellStyle name="40% - Accent3 2 2 8 2 4 2" xfId="25765" xr:uid="{00000000-0005-0000-0000-0000D82D0000}"/>
    <cellStyle name="40% - Accent3 2 2 8 2 5" xfId="19108" xr:uid="{00000000-0005-0000-0000-0000D92D0000}"/>
    <cellStyle name="40% - Accent3 2 2 8 3" xfId="7812" xr:uid="{00000000-0005-0000-0000-0000DA2D0000}"/>
    <cellStyle name="40% - Accent3 2 2 8 3 2" xfId="10031" xr:uid="{00000000-0005-0000-0000-0000DB2D0000}"/>
    <cellStyle name="40% - Accent3 2 2 8 3 2 2" xfId="20594" xr:uid="{00000000-0005-0000-0000-0000DC2D0000}"/>
    <cellStyle name="40% - Accent3 2 2 8 3 3" xfId="12250" xr:uid="{00000000-0005-0000-0000-0000DD2D0000}"/>
    <cellStyle name="40% - Accent3 2 2 8 3 3 2" xfId="22813" xr:uid="{00000000-0005-0000-0000-0000DE2D0000}"/>
    <cellStyle name="40% - Accent3 2 2 8 3 4" xfId="14469" xr:uid="{00000000-0005-0000-0000-0000DF2D0000}"/>
    <cellStyle name="40% - Accent3 2 2 8 3 4 2" xfId="25032" xr:uid="{00000000-0005-0000-0000-0000E02D0000}"/>
    <cellStyle name="40% - Accent3 2 2 8 3 5" xfId="18375" xr:uid="{00000000-0005-0000-0000-0000E12D0000}"/>
    <cellStyle name="40% - Accent3 2 2 8 4" xfId="9288" xr:uid="{00000000-0005-0000-0000-0000E22D0000}"/>
    <cellStyle name="40% - Accent3 2 2 8 4 2" xfId="19851" xr:uid="{00000000-0005-0000-0000-0000E32D0000}"/>
    <cellStyle name="40% - Accent3 2 2 8 5" xfId="11507" xr:uid="{00000000-0005-0000-0000-0000E42D0000}"/>
    <cellStyle name="40% - Accent3 2 2 8 5 2" xfId="22070" xr:uid="{00000000-0005-0000-0000-0000E52D0000}"/>
    <cellStyle name="40% - Accent3 2 2 8 6" xfId="13726" xr:uid="{00000000-0005-0000-0000-0000E62D0000}"/>
    <cellStyle name="40% - Accent3 2 2 8 6 2" xfId="24289" xr:uid="{00000000-0005-0000-0000-0000E72D0000}"/>
    <cellStyle name="40% - Accent3 2 2 8 7" xfId="17626" xr:uid="{00000000-0005-0000-0000-0000E82D0000}"/>
    <cellStyle name="40% - Accent3 2 2 9" xfId="1119" xr:uid="{00000000-0005-0000-0000-0000E92D0000}"/>
    <cellStyle name="40% - Accent3 2 2 9 2" xfId="8546" xr:uid="{00000000-0005-0000-0000-0000EA2D0000}"/>
    <cellStyle name="40% - Accent3 2 2 9 2 2" xfId="10765" xr:uid="{00000000-0005-0000-0000-0000EB2D0000}"/>
    <cellStyle name="40% - Accent3 2 2 9 2 2 2" xfId="21328" xr:uid="{00000000-0005-0000-0000-0000EC2D0000}"/>
    <cellStyle name="40% - Accent3 2 2 9 2 3" xfId="12984" xr:uid="{00000000-0005-0000-0000-0000ED2D0000}"/>
    <cellStyle name="40% - Accent3 2 2 9 2 3 2" xfId="23547" xr:uid="{00000000-0005-0000-0000-0000EE2D0000}"/>
    <cellStyle name="40% - Accent3 2 2 9 2 4" xfId="15203" xr:uid="{00000000-0005-0000-0000-0000EF2D0000}"/>
    <cellStyle name="40% - Accent3 2 2 9 2 4 2" xfId="25766" xr:uid="{00000000-0005-0000-0000-0000F02D0000}"/>
    <cellStyle name="40% - Accent3 2 2 9 2 5" xfId="19109" xr:uid="{00000000-0005-0000-0000-0000F12D0000}"/>
    <cellStyle name="40% - Accent3 2 2 9 3" xfId="7813" xr:uid="{00000000-0005-0000-0000-0000F22D0000}"/>
    <cellStyle name="40% - Accent3 2 2 9 3 2" xfId="10032" xr:uid="{00000000-0005-0000-0000-0000F32D0000}"/>
    <cellStyle name="40% - Accent3 2 2 9 3 2 2" xfId="20595" xr:uid="{00000000-0005-0000-0000-0000F42D0000}"/>
    <cellStyle name="40% - Accent3 2 2 9 3 3" xfId="12251" xr:uid="{00000000-0005-0000-0000-0000F52D0000}"/>
    <cellStyle name="40% - Accent3 2 2 9 3 3 2" xfId="22814" xr:uid="{00000000-0005-0000-0000-0000F62D0000}"/>
    <cellStyle name="40% - Accent3 2 2 9 3 4" xfId="14470" xr:uid="{00000000-0005-0000-0000-0000F72D0000}"/>
    <cellStyle name="40% - Accent3 2 2 9 3 4 2" xfId="25033" xr:uid="{00000000-0005-0000-0000-0000F82D0000}"/>
    <cellStyle name="40% - Accent3 2 2 9 3 5" xfId="18376" xr:uid="{00000000-0005-0000-0000-0000F92D0000}"/>
    <cellStyle name="40% - Accent3 2 2 9 4" xfId="9289" xr:uid="{00000000-0005-0000-0000-0000FA2D0000}"/>
    <cellStyle name="40% - Accent3 2 2 9 4 2" xfId="19852" xr:uid="{00000000-0005-0000-0000-0000FB2D0000}"/>
    <cellStyle name="40% - Accent3 2 2 9 5" xfId="11508" xr:uid="{00000000-0005-0000-0000-0000FC2D0000}"/>
    <cellStyle name="40% - Accent3 2 2 9 5 2" xfId="22071" xr:uid="{00000000-0005-0000-0000-0000FD2D0000}"/>
    <cellStyle name="40% - Accent3 2 2 9 6" xfId="13727" xr:uid="{00000000-0005-0000-0000-0000FE2D0000}"/>
    <cellStyle name="40% - Accent3 2 2 9 6 2" xfId="24290" xr:uid="{00000000-0005-0000-0000-0000FF2D0000}"/>
    <cellStyle name="40% - Accent3 2 2 9 7" xfId="17627" xr:uid="{00000000-0005-0000-0000-0000002E0000}"/>
    <cellStyle name="40% - Accent3 2 3" xfId="1120" xr:uid="{00000000-0005-0000-0000-0000012E0000}"/>
    <cellStyle name="40% - Accent3 2 3 10" xfId="8547" xr:uid="{00000000-0005-0000-0000-0000022E0000}"/>
    <cellStyle name="40% - Accent3 2 3 10 2" xfId="10766" xr:uid="{00000000-0005-0000-0000-0000032E0000}"/>
    <cellStyle name="40% - Accent3 2 3 10 2 2" xfId="21329" xr:uid="{00000000-0005-0000-0000-0000042E0000}"/>
    <cellStyle name="40% - Accent3 2 3 10 3" xfId="12985" xr:uid="{00000000-0005-0000-0000-0000052E0000}"/>
    <cellStyle name="40% - Accent3 2 3 10 3 2" xfId="23548" xr:uid="{00000000-0005-0000-0000-0000062E0000}"/>
    <cellStyle name="40% - Accent3 2 3 10 4" xfId="15204" xr:uid="{00000000-0005-0000-0000-0000072E0000}"/>
    <cellStyle name="40% - Accent3 2 3 10 4 2" xfId="25767" xr:uid="{00000000-0005-0000-0000-0000082E0000}"/>
    <cellStyle name="40% - Accent3 2 3 10 5" xfId="19110" xr:uid="{00000000-0005-0000-0000-0000092E0000}"/>
    <cellStyle name="40% - Accent3 2 3 11" xfId="7814" xr:uid="{00000000-0005-0000-0000-00000A2E0000}"/>
    <cellStyle name="40% - Accent3 2 3 11 2" xfId="10033" xr:uid="{00000000-0005-0000-0000-00000B2E0000}"/>
    <cellStyle name="40% - Accent3 2 3 11 2 2" xfId="20596" xr:uid="{00000000-0005-0000-0000-00000C2E0000}"/>
    <cellStyle name="40% - Accent3 2 3 11 3" xfId="12252" xr:uid="{00000000-0005-0000-0000-00000D2E0000}"/>
    <cellStyle name="40% - Accent3 2 3 11 3 2" xfId="22815" xr:uid="{00000000-0005-0000-0000-00000E2E0000}"/>
    <cellStyle name="40% - Accent3 2 3 11 4" xfId="14471" xr:uid="{00000000-0005-0000-0000-00000F2E0000}"/>
    <cellStyle name="40% - Accent3 2 3 11 4 2" xfId="25034" xr:uid="{00000000-0005-0000-0000-0000102E0000}"/>
    <cellStyle name="40% - Accent3 2 3 11 5" xfId="18377" xr:uid="{00000000-0005-0000-0000-0000112E0000}"/>
    <cellStyle name="40% - Accent3 2 3 12" xfId="9290" xr:uid="{00000000-0005-0000-0000-0000122E0000}"/>
    <cellStyle name="40% - Accent3 2 3 12 2" xfId="19853" xr:uid="{00000000-0005-0000-0000-0000132E0000}"/>
    <cellStyle name="40% - Accent3 2 3 13" xfId="11509" xr:uid="{00000000-0005-0000-0000-0000142E0000}"/>
    <cellStyle name="40% - Accent3 2 3 13 2" xfId="22072" xr:uid="{00000000-0005-0000-0000-0000152E0000}"/>
    <cellStyle name="40% - Accent3 2 3 14" xfId="13728" xr:uid="{00000000-0005-0000-0000-0000162E0000}"/>
    <cellStyle name="40% - Accent3 2 3 14 2" xfId="24291" xr:uid="{00000000-0005-0000-0000-0000172E0000}"/>
    <cellStyle name="40% - Accent3 2 3 15" xfId="17628" xr:uid="{00000000-0005-0000-0000-0000182E0000}"/>
    <cellStyle name="40% - Accent3 2 3 2" xfId="1121" xr:uid="{00000000-0005-0000-0000-0000192E0000}"/>
    <cellStyle name="40% - Accent3 2 3 2 2" xfId="8548" xr:uid="{00000000-0005-0000-0000-00001A2E0000}"/>
    <cellStyle name="40% - Accent3 2 3 2 2 2" xfId="10767" xr:uid="{00000000-0005-0000-0000-00001B2E0000}"/>
    <cellStyle name="40% - Accent3 2 3 2 2 2 2" xfId="21330" xr:uid="{00000000-0005-0000-0000-00001C2E0000}"/>
    <cellStyle name="40% - Accent3 2 3 2 2 3" xfId="12986" xr:uid="{00000000-0005-0000-0000-00001D2E0000}"/>
    <cellStyle name="40% - Accent3 2 3 2 2 3 2" xfId="23549" xr:uid="{00000000-0005-0000-0000-00001E2E0000}"/>
    <cellStyle name="40% - Accent3 2 3 2 2 4" xfId="15205" xr:uid="{00000000-0005-0000-0000-00001F2E0000}"/>
    <cellStyle name="40% - Accent3 2 3 2 2 4 2" xfId="25768" xr:uid="{00000000-0005-0000-0000-0000202E0000}"/>
    <cellStyle name="40% - Accent3 2 3 2 2 5" xfId="19111" xr:uid="{00000000-0005-0000-0000-0000212E0000}"/>
    <cellStyle name="40% - Accent3 2 3 2 3" xfId="7815" xr:uid="{00000000-0005-0000-0000-0000222E0000}"/>
    <cellStyle name="40% - Accent3 2 3 2 3 2" xfId="10034" xr:uid="{00000000-0005-0000-0000-0000232E0000}"/>
    <cellStyle name="40% - Accent3 2 3 2 3 2 2" xfId="20597" xr:uid="{00000000-0005-0000-0000-0000242E0000}"/>
    <cellStyle name="40% - Accent3 2 3 2 3 3" xfId="12253" xr:uid="{00000000-0005-0000-0000-0000252E0000}"/>
    <cellStyle name="40% - Accent3 2 3 2 3 3 2" xfId="22816" xr:uid="{00000000-0005-0000-0000-0000262E0000}"/>
    <cellStyle name="40% - Accent3 2 3 2 3 4" xfId="14472" xr:uid="{00000000-0005-0000-0000-0000272E0000}"/>
    <cellStyle name="40% - Accent3 2 3 2 3 4 2" xfId="25035" xr:uid="{00000000-0005-0000-0000-0000282E0000}"/>
    <cellStyle name="40% - Accent3 2 3 2 3 5" xfId="18378" xr:uid="{00000000-0005-0000-0000-0000292E0000}"/>
    <cellStyle name="40% - Accent3 2 3 2 4" xfId="9291" xr:uid="{00000000-0005-0000-0000-00002A2E0000}"/>
    <cellStyle name="40% - Accent3 2 3 2 4 2" xfId="19854" xr:uid="{00000000-0005-0000-0000-00002B2E0000}"/>
    <cellStyle name="40% - Accent3 2 3 2 5" xfId="11510" xr:uid="{00000000-0005-0000-0000-00002C2E0000}"/>
    <cellStyle name="40% - Accent3 2 3 2 5 2" xfId="22073" xr:uid="{00000000-0005-0000-0000-00002D2E0000}"/>
    <cellStyle name="40% - Accent3 2 3 2 6" xfId="13729" xr:uid="{00000000-0005-0000-0000-00002E2E0000}"/>
    <cellStyle name="40% - Accent3 2 3 2 6 2" xfId="24292" xr:uid="{00000000-0005-0000-0000-00002F2E0000}"/>
    <cellStyle name="40% - Accent3 2 3 2 7" xfId="17629" xr:uid="{00000000-0005-0000-0000-0000302E0000}"/>
    <cellStyle name="40% - Accent3 2 3 3" xfId="1122" xr:uid="{00000000-0005-0000-0000-0000312E0000}"/>
    <cellStyle name="40% - Accent3 2 3 3 2" xfId="8549" xr:uid="{00000000-0005-0000-0000-0000322E0000}"/>
    <cellStyle name="40% - Accent3 2 3 3 2 2" xfId="10768" xr:uid="{00000000-0005-0000-0000-0000332E0000}"/>
    <cellStyle name="40% - Accent3 2 3 3 2 2 2" xfId="21331" xr:uid="{00000000-0005-0000-0000-0000342E0000}"/>
    <cellStyle name="40% - Accent3 2 3 3 2 3" xfId="12987" xr:uid="{00000000-0005-0000-0000-0000352E0000}"/>
    <cellStyle name="40% - Accent3 2 3 3 2 3 2" xfId="23550" xr:uid="{00000000-0005-0000-0000-0000362E0000}"/>
    <cellStyle name="40% - Accent3 2 3 3 2 4" xfId="15206" xr:uid="{00000000-0005-0000-0000-0000372E0000}"/>
    <cellStyle name="40% - Accent3 2 3 3 2 4 2" xfId="25769" xr:uid="{00000000-0005-0000-0000-0000382E0000}"/>
    <cellStyle name="40% - Accent3 2 3 3 2 5" xfId="19112" xr:uid="{00000000-0005-0000-0000-0000392E0000}"/>
    <cellStyle name="40% - Accent3 2 3 3 3" xfId="7816" xr:uid="{00000000-0005-0000-0000-00003A2E0000}"/>
    <cellStyle name="40% - Accent3 2 3 3 3 2" xfId="10035" xr:uid="{00000000-0005-0000-0000-00003B2E0000}"/>
    <cellStyle name="40% - Accent3 2 3 3 3 2 2" xfId="20598" xr:uid="{00000000-0005-0000-0000-00003C2E0000}"/>
    <cellStyle name="40% - Accent3 2 3 3 3 3" xfId="12254" xr:uid="{00000000-0005-0000-0000-00003D2E0000}"/>
    <cellStyle name="40% - Accent3 2 3 3 3 3 2" xfId="22817" xr:uid="{00000000-0005-0000-0000-00003E2E0000}"/>
    <cellStyle name="40% - Accent3 2 3 3 3 4" xfId="14473" xr:uid="{00000000-0005-0000-0000-00003F2E0000}"/>
    <cellStyle name="40% - Accent3 2 3 3 3 4 2" xfId="25036" xr:uid="{00000000-0005-0000-0000-0000402E0000}"/>
    <cellStyle name="40% - Accent3 2 3 3 3 5" xfId="18379" xr:uid="{00000000-0005-0000-0000-0000412E0000}"/>
    <cellStyle name="40% - Accent3 2 3 3 4" xfId="9292" xr:uid="{00000000-0005-0000-0000-0000422E0000}"/>
    <cellStyle name="40% - Accent3 2 3 3 4 2" xfId="19855" xr:uid="{00000000-0005-0000-0000-0000432E0000}"/>
    <cellStyle name="40% - Accent3 2 3 3 5" xfId="11511" xr:uid="{00000000-0005-0000-0000-0000442E0000}"/>
    <cellStyle name="40% - Accent3 2 3 3 5 2" xfId="22074" xr:uid="{00000000-0005-0000-0000-0000452E0000}"/>
    <cellStyle name="40% - Accent3 2 3 3 6" xfId="13730" xr:uid="{00000000-0005-0000-0000-0000462E0000}"/>
    <cellStyle name="40% - Accent3 2 3 3 6 2" xfId="24293" xr:uid="{00000000-0005-0000-0000-0000472E0000}"/>
    <cellStyle name="40% - Accent3 2 3 3 7" xfId="17630" xr:uid="{00000000-0005-0000-0000-0000482E0000}"/>
    <cellStyle name="40% - Accent3 2 3 4" xfId="1123" xr:uid="{00000000-0005-0000-0000-0000492E0000}"/>
    <cellStyle name="40% - Accent3 2 3 4 2" xfId="8550" xr:uid="{00000000-0005-0000-0000-00004A2E0000}"/>
    <cellStyle name="40% - Accent3 2 3 4 2 2" xfId="10769" xr:uid="{00000000-0005-0000-0000-00004B2E0000}"/>
    <cellStyle name="40% - Accent3 2 3 4 2 2 2" xfId="21332" xr:uid="{00000000-0005-0000-0000-00004C2E0000}"/>
    <cellStyle name="40% - Accent3 2 3 4 2 3" xfId="12988" xr:uid="{00000000-0005-0000-0000-00004D2E0000}"/>
    <cellStyle name="40% - Accent3 2 3 4 2 3 2" xfId="23551" xr:uid="{00000000-0005-0000-0000-00004E2E0000}"/>
    <cellStyle name="40% - Accent3 2 3 4 2 4" xfId="15207" xr:uid="{00000000-0005-0000-0000-00004F2E0000}"/>
    <cellStyle name="40% - Accent3 2 3 4 2 4 2" xfId="25770" xr:uid="{00000000-0005-0000-0000-0000502E0000}"/>
    <cellStyle name="40% - Accent3 2 3 4 2 5" xfId="19113" xr:uid="{00000000-0005-0000-0000-0000512E0000}"/>
    <cellStyle name="40% - Accent3 2 3 4 3" xfId="7817" xr:uid="{00000000-0005-0000-0000-0000522E0000}"/>
    <cellStyle name="40% - Accent3 2 3 4 3 2" xfId="10036" xr:uid="{00000000-0005-0000-0000-0000532E0000}"/>
    <cellStyle name="40% - Accent3 2 3 4 3 2 2" xfId="20599" xr:uid="{00000000-0005-0000-0000-0000542E0000}"/>
    <cellStyle name="40% - Accent3 2 3 4 3 3" xfId="12255" xr:uid="{00000000-0005-0000-0000-0000552E0000}"/>
    <cellStyle name="40% - Accent3 2 3 4 3 3 2" xfId="22818" xr:uid="{00000000-0005-0000-0000-0000562E0000}"/>
    <cellStyle name="40% - Accent3 2 3 4 3 4" xfId="14474" xr:uid="{00000000-0005-0000-0000-0000572E0000}"/>
    <cellStyle name="40% - Accent3 2 3 4 3 4 2" xfId="25037" xr:uid="{00000000-0005-0000-0000-0000582E0000}"/>
    <cellStyle name="40% - Accent3 2 3 4 3 5" xfId="18380" xr:uid="{00000000-0005-0000-0000-0000592E0000}"/>
    <cellStyle name="40% - Accent3 2 3 4 4" xfId="9293" xr:uid="{00000000-0005-0000-0000-00005A2E0000}"/>
    <cellStyle name="40% - Accent3 2 3 4 4 2" xfId="19856" xr:uid="{00000000-0005-0000-0000-00005B2E0000}"/>
    <cellStyle name="40% - Accent3 2 3 4 5" xfId="11512" xr:uid="{00000000-0005-0000-0000-00005C2E0000}"/>
    <cellStyle name="40% - Accent3 2 3 4 5 2" xfId="22075" xr:uid="{00000000-0005-0000-0000-00005D2E0000}"/>
    <cellStyle name="40% - Accent3 2 3 4 6" xfId="13731" xr:uid="{00000000-0005-0000-0000-00005E2E0000}"/>
    <cellStyle name="40% - Accent3 2 3 4 6 2" xfId="24294" xr:uid="{00000000-0005-0000-0000-00005F2E0000}"/>
    <cellStyle name="40% - Accent3 2 3 4 7" xfId="17631" xr:uid="{00000000-0005-0000-0000-0000602E0000}"/>
    <cellStyle name="40% - Accent3 2 3 5" xfId="1124" xr:uid="{00000000-0005-0000-0000-0000612E0000}"/>
    <cellStyle name="40% - Accent3 2 3 5 2" xfId="8551" xr:uid="{00000000-0005-0000-0000-0000622E0000}"/>
    <cellStyle name="40% - Accent3 2 3 5 2 2" xfId="10770" xr:uid="{00000000-0005-0000-0000-0000632E0000}"/>
    <cellStyle name="40% - Accent3 2 3 5 2 2 2" xfId="21333" xr:uid="{00000000-0005-0000-0000-0000642E0000}"/>
    <cellStyle name="40% - Accent3 2 3 5 2 3" xfId="12989" xr:uid="{00000000-0005-0000-0000-0000652E0000}"/>
    <cellStyle name="40% - Accent3 2 3 5 2 3 2" xfId="23552" xr:uid="{00000000-0005-0000-0000-0000662E0000}"/>
    <cellStyle name="40% - Accent3 2 3 5 2 4" xfId="15208" xr:uid="{00000000-0005-0000-0000-0000672E0000}"/>
    <cellStyle name="40% - Accent3 2 3 5 2 4 2" xfId="25771" xr:uid="{00000000-0005-0000-0000-0000682E0000}"/>
    <cellStyle name="40% - Accent3 2 3 5 2 5" xfId="19114" xr:uid="{00000000-0005-0000-0000-0000692E0000}"/>
    <cellStyle name="40% - Accent3 2 3 5 3" xfId="7818" xr:uid="{00000000-0005-0000-0000-00006A2E0000}"/>
    <cellStyle name="40% - Accent3 2 3 5 3 2" xfId="10037" xr:uid="{00000000-0005-0000-0000-00006B2E0000}"/>
    <cellStyle name="40% - Accent3 2 3 5 3 2 2" xfId="20600" xr:uid="{00000000-0005-0000-0000-00006C2E0000}"/>
    <cellStyle name="40% - Accent3 2 3 5 3 3" xfId="12256" xr:uid="{00000000-0005-0000-0000-00006D2E0000}"/>
    <cellStyle name="40% - Accent3 2 3 5 3 3 2" xfId="22819" xr:uid="{00000000-0005-0000-0000-00006E2E0000}"/>
    <cellStyle name="40% - Accent3 2 3 5 3 4" xfId="14475" xr:uid="{00000000-0005-0000-0000-00006F2E0000}"/>
    <cellStyle name="40% - Accent3 2 3 5 3 4 2" xfId="25038" xr:uid="{00000000-0005-0000-0000-0000702E0000}"/>
    <cellStyle name="40% - Accent3 2 3 5 3 5" xfId="18381" xr:uid="{00000000-0005-0000-0000-0000712E0000}"/>
    <cellStyle name="40% - Accent3 2 3 5 4" xfId="9294" xr:uid="{00000000-0005-0000-0000-0000722E0000}"/>
    <cellStyle name="40% - Accent3 2 3 5 4 2" xfId="19857" xr:uid="{00000000-0005-0000-0000-0000732E0000}"/>
    <cellStyle name="40% - Accent3 2 3 5 5" xfId="11513" xr:uid="{00000000-0005-0000-0000-0000742E0000}"/>
    <cellStyle name="40% - Accent3 2 3 5 5 2" xfId="22076" xr:uid="{00000000-0005-0000-0000-0000752E0000}"/>
    <cellStyle name="40% - Accent3 2 3 5 6" xfId="13732" xr:uid="{00000000-0005-0000-0000-0000762E0000}"/>
    <cellStyle name="40% - Accent3 2 3 5 6 2" xfId="24295" xr:uid="{00000000-0005-0000-0000-0000772E0000}"/>
    <cellStyle name="40% - Accent3 2 3 5 7" xfId="17632" xr:uid="{00000000-0005-0000-0000-0000782E0000}"/>
    <cellStyle name="40% - Accent3 2 3 6" xfId="1125" xr:uid="{00000000-0005-0000-0000-0000792E0000}"/>
    <cellStyle name="40% - Accent3 2 3 6 2" xfId="8552" xr:uid="{00000000-0005-0000-0000-00007A2E0000}"/>
    <cellStyle name="40% - Accent3 2 3 6 2 2" xfId="10771" xr:uid="{00000000-0005-0000-0000-00007B2E0000}"/>
    <cellStyle name="40% - Accent3 2 3 6 2 2 2" xfId="21334" xr:uid="{00000000-0005-0000-0000-00007C2E0000}"/>
    <cellStyle name="40% - Accent3 2 3 6 2 3" xfId="12990" xr:uid="{00000000-0005-0000-0000-00007D2E0000}"/>
    <cellStyle name="40% - Accent3 2 3 6 2 3 2" xfId="23553" xr:uid="{00000000-0005-0000-0000-00007E2E0000}"/>
    <cellStyle name="40% - Accent3 2 3 6 2 4" xfId="15209" xr:uid="{00000000-0005-0000-0000-00007F2E0000}"/>
    <cellStyle name="40% - Accent3 2 3 6 2 4 2" xfId="25772" xr:uid="{00000000-0005-0000-0000-0000802E0000}"/>
    <cellStyle name="40% - Accent3 2 3 6 2 5" xfId="19115" xr:uid="{00000000-0005-0000-0000-0000812E0000}"/>
    <cellStyle name="40% - Accent3 2 3 6 3" xfId="7819" xr:uid="{00000000-0005-0000-0000-0000822E0000}"/>
    <cellStyle name="40% - Accent3 2 3 6 3 2" xfId="10038" xr:uid="{00000000-0005-0000-0000-0000832E0000}"/>
    <cellStyle name="40% - Accent3 2 3 6 3 2 2" xfId="20601" xr:uid="{00000000-0005-0000-0000-0000842E0000}"/>
    <cellStyle name="40% - Accent3 2 3 6 3 3" xfId="12257" xr:uid="{00000000-0005-0000-0000-0000852E0000}"/>
    <cellStyle name="40% - Accent3 2 3 6 3 3 2" xfId="22820" xr:uid="{00000000-0005-0000-0000-0000862E0000}"/>
    <cellStyle name="40% - Accent3 2 3 6 3 4" xfId="14476" xr:uid="{00000000-0005-0000-0000-0000872E0000}"/>
    <cellStyle name="40% - Accent3 2 3 6 3 4 2" xfId="25039" xr:uid="{00000000-0005-0000-0000-0000882E0000}"/>
    <cellStyle name="40% - Accent3 2 3 6 3 5" xfId="18382" xr:uid="{00000000-0005-0000-0000-0000892E0000}"/>
    <cellStyle name="40% - Accent3 2 3 6 4" xfId="9295" xr:uid="{00000000-0005-0000-0000-00008A2E0000}"/>
    <cellStyle name="40% - Accent3 2 3 6 4 2" xfId="19858" xr:uid="{00000000-0005-0000-0000-00008B2E0000}"/>
    <cellStyle name="40% - Accent3 2 3 6 5" xfId="11514" xr:uid="{00000000-0005-0000-0000-00008C2E0000}"/>
    <cellStyle name="40% - Accent3 2 3 6 5 2" xfId="22077" xr:uid="{00000000-0005-0000-0000-00008D2E0000}"/>
    <cellStyle name="40% - Accent3 2 3 6 6" xfId="13733" xr:uid="{00000000-0005-0000-0000-00008E2E0000}"/>
    <cellStyle name="40% - Accent3 2 3 6 6 2" xfId="24296" xr:uid="{00000000-0005-0000-0000-00008F2E0000}"/>
    <cellStyle name="40% - Accent3 2 3 6 7" xfId="17633" xr:uid="{00000000-0005-0000-0000-0000902E0000}"/>
    <cellStyle name="40% - Accent3 2 3 7" xfId="1126" xr:uid="{00000000-0005-0000-0000-0000912E0000}"/>
    <cellStyle name="40% - Accent3 2 3 7 2" xfId="8553" xr:uid="{00000000-0005-0000-0000-0000922E0000}"/>
    <cellStyle name="40% - Accent3 2 3 7 2 2" xfId="10772" xr:uid="{00000000-0005-0000-0000-0000932E0000}"/>
    <cellStyle name="40% - Accent3 2 3 7 2 2 2" xfId="21335" xr:uid="{00000000-0005-0000-0000-0000942E0000}"/>
    <cellStyle name="40% - Accent3 2 3 7 2 3" xfId="12991" xr:uid="{00000000-0005-0000-0000-0000952E0000}"/>
    <cellStyle name="40% - Accent3 2 3 7 2 3 2" xfId="23554" xr:uid="{00000000-0005-0000-0000-0000962E0000}"/>
    <cellStyle name="40% - Accent3 2 3 7 2 4" xfId="15210" xr:uid="{00000000-0005-0000-0000-0000972E0000}"/>
    <cellStyle name="40% - Accent3 2 3 7 2 4 2" xfId="25773" xr:uid="{00000000-0005-0000-0000-0000982E0000}"/>
    <cellStyle name="40% - Accent3 2 3 7 2 5" xfId="19116" xr:uid="{00000000-0005-0000-0000-0000992E0000}"/>
    <cellStyle name="40% - Accent3 2 3 7 3" xfId="7820" xr:uid="{00000000-0005-0000-0000-00009A2E0000}"/>
    <cellStyle name="40% - Accent3 2 3 7 3 2" xfId="10039" xr:uid="{00000000-0005-0000-0000-00009B2E0000}"/>
    <cellStyle name="40% - Accent3 2 3 7 3 2 2" xfId="20602" xr:uid="{00000000-0005-0000-0000-00009C2E0000}"/>
    <cellStyle name="40% - Accent3 2 3 7 3 3" xfId="12258" xr:uid="{00000000-0005-0000-0000-00009D2E0000}"/>
    <cellStyle name="40% - Accent3 2 3 7 3 3 2" xfId="22821" xr:uid="{00000000-0005-0000-0000-00009E2E0000}"/>
    <cellStyle name="40% - Accent3 2 3 7 3 4" xfId="14477" xr:uid="{00000000-0005-0000-0000-00009F2E0000}"/>
    <cellStyle name="40% - Accent3 2 3 7 3 4 2" xfId="25040" xr:uid="{00000000-0005-0000-0000-0000A02E0000}"/>
    <cellStyle name="40% - Accent3 2 3 7 3 5" xfId="18383" xr:uid="{00000000-0005-0000-0000-0000A12E0000}"/>
    <cellStyle name="40% - Accent3 2 3 7 4" xfId="9296" xr:uid="{00000000-0005-0000-0000-0000A22E0000}"/>
    <cellStyle name="40% - Accent3 2 3 7 4 2" xfId="19859" xr:uid="{00000000-0005-0000-0000-0000A32E0000}"/>
    <cellStyle name="40% - Accent3 2 3 7 5" xfId="11515" xr:uid="{00000000-0005-0000-0000-0000A42E0000}"/>
    <cellStyle name="40% - Accent3 2 3 7 5 2" xfId="22078" xr:uid="{00000000-0005-0000-0000-0000A52E0000}"/>
    <cellStyle name="40% - Accent3 2 3 7 6" xfId="13734" xr:uid="{00000000-0005-0000-0000-0000A62E0000}"/>
    <cellStyle name="40% - Accent3 2 3 7 6 2" xfId="24297" xr:uid="{00000000-0005-0000-0000-0000A72E0000}"/>
    <cellStyle name="40% - Accent3 2 3 7 7" xfId="17634" xr:uid="{00000000-0005-0000-0000-0000A82E0000}"/>
    <cellStyle name="40% - Accent3 2 3 8" xfId="1127" xr:uid="{00000000-0005-0000-0000-0000A92E0000}"/>
    <cellStyle name="40% - Accent3 2 3 8 2" xfId="8554" xr:uid="{00000000-0005-0000-0000-0000AA2E0000}"/>
    <cellStyle name="40% - Accent3 2 3 8 2 2" xfId="10773" xr:uid="{00000000-0005-0000-0000-0000AB2E0000}"/>
    <cellStyle name="40% - Accent3 2 3 8 2 2 2" xfId="21336" xr:uid="{00000000-0005-0000-0000-0000AC2E0000}"/>
    <cellStyle name="40% - Accent3 2 3 8 2 3" xfId="12992" xr:uid="{00000000-0005-0000-0000-0000AD2E0000}"/>
    <cellStyle name="40% - Accent3 2 3 8 2 3 2" xfId="23555" xr:uid="{00000000-0005-0000-0000-0000AE2E0000}"/>
    <cellStyle name="40% - Accent3 2 3 8 2 4" xfId="15211" xr:uid="{00000000-0005-0000-0000-0000AF2E0000}"/>
    <cellStyle name="40% - Accent3 2 3 8 2 4 2" xfId="25774" xr:uid="{00000000-0005-0000-0000-0000B02E0000}"/>
    <cellStyle name="40% - Accent3 2 3 8 2 5" xfId="19117" xr:uid="{00000000-0005-0000-0000-0000B12E0000}"/>
    <cellStyle name="40% - Accent3 2 3 8 3" xfId="7821" xr:uid="{00000000-0005-0000-0000-0000B22E0000}"/>
    <cellStyle name="40% - Accent3 2 3 8 3 2" xfId="10040" xr:uid="{00000000-0005-0000-0000-0000B32E0000}"/>
    <cellStyle name="40% - Accent3 2 3 8 3 2 2" xfId="20603" xr:uid="{00000000-0005-0000-0000-0000B42E0000}"/>
    <cellStyle name="40% - Accent3 2 3 8 3 3" xfId="12259" xr:uid="{00000000-0005-0000-0000-0000B52E0000}"/>
    <cellStyle name="40% - Accent3 2 3 8 3 3 2" xfId="22822" xr:uid="{00000000-0005-0000-0000-0000B62E0000}"/>
    <cellStyle name="40% - Accent3 2 3 8 3 4" xfId="14478" xr:uid="{00000000-0005-0000-0000-0000B72E0000}"/>
    <cellStyle name="40% - Accent3 2 3 8 3 4 2" xfId="25041" xr:uid="{00000000-0005-0000-0000-0000B82E0000}"/>
    <cellStyle name="40% - Accent3 2 3 8 3 5" xfId="18384" xr:uid="{00000000-0005-0000-0000-0000B92E0000}"/>
    <cellStyle name="40% - Accent3 2 3 8 4" xfId="9297" xr:uid="{00000000-0005-0000-0000-0000BA2E0000}"/>
    <cellStyle name="40% - Accent3 2 3 8 4 2" xfId="19860" xr:uid="{00000000-0005-0000-0000-0000BB2E0000}"/>
    <cellStyle name="40% - Accent3 2 3 8 5" xfId="11516" xr:uid="{00000000-0005-0000-0000-0000BC2E0000}"/>
    <cellStyle name="40% - Accent3 2 3 8 5 2" xfId="22079" xr:uid="{00000000-0005-0000-0000-0000BD2E0000}"/>
    <cellStyle name="40% - Accent3 2 3 8 6" xfId="13735" xr:uid="{00000000-0005-0000-0000-0000BE2E0000}"/>
    <cellStyle name="40% - Accent3 2 3 8 6 2" xfId="24298" xr:uid="{00000000-0005-0000-0000-0000BF2E0000}"/>
    <cellStyle name="40% - Accent3 2 3 8 7" xfId="17635" xr:uid="{00000000-0005-0000-0000-0000C02E0000}"/>
    <cellStyle name="40% - Accent3 2 3 9" xfId="1128" xr:uid="{00000000-0005-0000-0000-0000C12E0000}"/>
    <cellStyle name="40% - Accent3 2 3 9 2" xfId="8555" xr:uid="{00000000-0005-0000-0000-0000C22E0000}"/>
    <cellStyle name="40% - Accent3 2 3 9 2 2" xfId="10774" xr:uid="{00000000-0005-0000-0000-0000C32E0000}"/>
    <cellStyle name="40% - Accent3 2 3 9 2 2 2" xfId="21337" xr:uid="{00000000-0005-0000-0000-0000C42E0000}"/>
    <cellStyle name="40% - Accent3 2 3 9 2 3" xfId="12993" xr:uid="{00000000-0005-0000-0000-0000C52E0000}"/>
    <cellStyle name="40% - Accent3 2 3 9 2 3 2" xfId="23556" xr:uid="{00000000-0005-0000-0000-0000C62E0000}"/>
    <cellStyle name="40% - Accent3 2 3 9 2 4" xfId="15212" xr:uid="{00000000-0005-0000-0000-0000C72E0000}"/>
    <cellStyle name="40% - Accent3 2 3 9 2 4 2" xfId="25775" xr:uid="{00000000-0005-0000-0000-0000C82E0000}"/>
    <cellStyle name="40% - Accent3 2 3 9 2 5" xfId="19118" xr:uid="{00000000-0005-0000-0000-0000C92E0000}"/>
    <cellStyle name="40% - Accent3 2 3 9 3" xfId="7822" xr:uid="{00000000-0005-0000-0000-0000CA2E0000}"/>
    <cellStyle name="40% - Accent3 2 3 9 3 2" xfId="10041" xr:uid="{00000000-0005-0000-0000-0000CB2E0000}"/>
    <cellStyle name="40% - Accent3 2 3 9 3 2 2" xfId="20604" xr:uid="{00000000-0005-0000-0000-0000CC2E0000}"/>
    <cellStyle name="40% - Accent3 2 3 9 3 3" xfId="12260" xr:uid="{00000000-0005-0000-0000-0000CD2E0000}"/>
    <cellStyle name="40% - Accent3 2 3 9 3 3 2" xfId="22823" xr:uid="{00000000-0005-0000-0000-0000CE2E0000}"/>
    <cellStyle name="40% - Accent3 2 3 9 3 4" xfId="14479" xr:uid="{00000000-0005-0000-0000-0000CF2E0000}"/>
    <cellStyle name="40% - Accent3 2 3 9 3 4 2" xfId="25042" xr:uid="{00000000-0005-0000-0000-0000D02E0000}"/>
    <cellStyle name="40% - Accent3 2 3 9 3 5" xfId="18385" xr:uid="{00000000-0005-0000-0000-0000D12E0000}"/>
    <cellStyle name="40% - Accent3 2 3 9 4" xfId="9298" xr:uid="{00000000-0005-0000-0000-0000D22E0000}"/>
    <cellStyle name="40% - Accent3 2 3 9 4 2" xfId="19861" xr:uid="{00000000-0005-0000-0000-0000D32E0000}"/>
    <cellStyle name="40% - Accent3 2 3 9 5" xfId="11517" xr:uid="{00000000-0005-0000-0000-0000D42E0000}"/>
    <cellStyle name="40% - Accent3 2 3 9 5 2" xfId="22080" xr:uid="{00000000-0005-0000-0000-0000D52E0000}"/>
    <cellStyle name="40% - Accent3 2 3 9 6" xfId="13736" xr:uid="{00000000-0005-0000-0000-0000D62E0000}"/>
    <cellStyle name="40% - Accent3 2 3 9 6 2" xfId="24299" xr:uid="{00000000-0005-0000-0000-0000D72E0000}"/>
    <cellStyle name="40% - Accent3 2 3 9 7" xfId="17636" xr:uid="{00000000-0005-0000-0000-0000D82E0000}"/>
    <cellStyle name="40% - Accent3 2 4" xfId="1129" xr:uid="{00000000-0005-0000-0000-0000D92E0000}"/>
    <cellStyle name="40% - Accent3 2 4 10" xfId="8556" xr:uid="{00000000-0005-0000-0000-0000DA2E0000}"/>
    <cellStyle name="40% - Accent3 2 4 10 2" xfId="10775" xr:uid="{00000000-0005-0000-0000-0000DB2E0000}"/>
    <cellStyle name="40% - Accent3 2 4 10 2 2" xfId="21338" xr:uid="{00000000-0005-0000-0000-0000DC2E0000}"/>
    <cellStyle name="40% - Accent3 2 4 10 3" xfId="12994" xr:uid="{00000000-0005-0000-0000-0000DD2E0000}"/>
    <cellStyle name="40% - Accent3 2 4 10 3 2" xfId="23557" xr:uid="{00000000-0005-0000-0000-0000DE2E0000}"/>
    <cellStyle name="40% - Accent3 2 4 10 4" xfId="15213" xr:uid="{00000000-0005-0000-0000-0000DF2E0000}"/>
    <cellStyle name="40% - Accent3 2 4 10 4 2" xfId="25776" xr:uid="{00000000-0005-0000-0000-0000E02E0000}"/>
    <cellStyle name="40% - Accent3 2 4 10 5" xfId="19119" xr:uid="{00000000-0005-0000-0000-0000E12E0000}"/>
    <cellStyle name="40% - Accent3 2 4 11" xfId="7823" xr:uid="{00000000-0005-0000-0000-0000E22E0000}"/>
    <cellStyle name="40% - Accent3 2 4 11 2" xfId="10042" xr:uid="{00000000-0005-0000-0000-0000E32E0000}"/>
    <cellStyle name="40% - Accent3 2 4 11 2 2" xfId="20605" xr:uid="{00000000-0005-0000-0000-0000E42E0000}"/>
    <cellStyle name="40% - Accent3 2 4 11 3" xfId="12261" xr:uid="{00000000-0005-0000-0000-0000E52E0000}"/>
    <cellStyle name="40% - Accent3 2 4 11 3 2" xfId="22824" xr:uid="{00000000-0005-0000-0000-0000E62E0000}"/>
    <cellStyle name="40% - Accent3 2 4 11 4" xfId="14480" xr:uid="{00000000-0005-0000-0000-0000E72E0000}"/>
    <cellStyle name="40% - Accent3 2 4 11 4 2" xfId="25043" xr:uid="{00000000-0005-0000-0000-0000E82E0000}"/>
    <cellStyle name="40% - Accent3 2 4 11 5" xfId="18386" xr:uid="{00000000-0005-0000-0000-0000E92E0000}"/>
    <cellStyle name="40% - Accent3 2 4 12" xfId="9299" xr:uid="{00000000-0005-0000-0000-0000EA2E0000}"/>
    <cellStyle name="40% - Accent3 2 4 12 2" xfId="19862" xr:uid="{00000000-0005-0000-0000-0000EB2E0000}"/>
    <cellStyle name="40% - Accent3 2 4 13" xfId="11518" xr:uid="{00000000-0005-0000-0000-0000EC2E0000}"/>
    <cellStyle name="40% - Accent3 2 4 13 2" xfId="22081" xr:uid="{00000000-0005-0000-0000-0000ED2E0000}"/>
    <cellStyle name="40% - Accent3 2 4 14" xfId="13737" xr:uid="{00000000-0005-0000-0000-0000EE2E0000}"/>
    <cellStyle name="40% - Accent3 2 4 14 2" xfId="24300" xr:uid="{00000000-0005-0000-0000-0000EF2E0000}"/>
    <cellStyle name="40% - Accent3 2 4 15" xfId="17637" xr:uid="{00000000-0005-0000-0000-0000F02E0000}"/>
    <cellStyle name="40% - Accent3 2 4 2" xfId="1130" xr:uid="{00000000-0005-0000-0000-0000F12E0000}"/>
    <cellStyle name="40% - Accent3 2 4 2 2" xfId="8557" xr:uid="{00000000-0005-0000-0000-0000F22E0000}"/>
    <cellStyle name="40% - Accent3 2 4 2 2 2" xfId="10776" xr:uid="{00000000-0005-0000-0000-0000F32E0000}"/>
    <cellStyle name="40% - Accent3 2 4 2 2 2 2" xfId="21339" xr:uid="{00000000-0005-0000-0000-0000F42E0000}"/>
    <cellStyle name="40% - Accent3 2 4 2 2 3" xfId="12995" xr:uid="{00000000-0005-0000-0000-0000F52E0000}"/>
    <cellStyle name="40% - Accent3 2 4 2 2 3 2" xfId="23558" xr:uid="{00000000-0005-0000-0000-0000F62E0000}"/>
    <cellStyle name="40% - Accent3 2 4 2 2 4" xfId="15214" xr:uid="{00000000-0005-0000-0000-0000F72E0000}"/>
    <cellStyle name="40% - Accent3 2 4 2 2 4 2" xfId="25777" xr:uid="{00000000-0005-0000-0000-0000F82E0000}"/>
    <cellStyle name="40% - Accent3 2 4 2 2 5" xfId="19120" xr:uid="{00000000-0005-0000-0000-0000F92E0000}"/>
    <cellStyle name="40% - Accent3 2 4 2 3" xfId="7824" xr:uid="{00000000-0005-0000-0000-0000FA2E0000}"/>
    <cellStyle name="40% - Accent3 2 4 2 3 2" xfId="10043" xr:uid="{00000000-0005-0000-0000-0000FB2E0000}"/>
    <cellStyle name="40% - Accent3 2 4 2 3 2 2" xfId="20606" xr:uid="{00000000-0005-0000-0000-0000FC2E0000}"/>
    <cellStyle name="40% - Accent3 2 4 2 3 3" xfId="12262" xr:uid="{00000000-0005-0000-0000-0000FD2E0000}"/>
    <cellStyle name="40% - Accent3 2 4 2 3 3 2" xfId="22825" xr:uid="{00000000-0005-0000-0000-0000FE2E0000}"/>
    <cellStyle name="40% - Accent3 2 4 2 3 4" xfId="14481" xr:uid="{00000000-0005-0000-0000-0000FF2E0000}"/>
    <cellStyle name="40% - Accent3 2 4 2 3 4 2" xfId="25044" xr:uid="{00000000-0005-0000-0000-0000002F0000}"/>
    <cellStyle name="40% - Accent3 2 4 2 3 5" xfId="18387" xr:uid="{00000000-0005-0000-0000-0000012F0000}"/>
    <cellStyle name="40% - Accent3 2 4 2 4" xfId="9300" xr:uid="{00000000-0005-0000-0000-0000022F0000}"/>
    <cellStyle name="40% - Accent3 2 4 2 4 2" xfId="19863" xr:uid="{00000000-0005-0000-0000-0000032F0000}"/>
    <cellStyle name="40% - Accent3 2 4 2 5" xfId="11519" xr:uid="{00000000-0005-0000-0000-0000042F0000}"/>
    <cellStyle name="40% - Accent3 2 4 2 5 2" xfId="22082" xr:uid="{00000000-0005-0000-0000-0000052F0000}"/>
    <cellStyle name="40% - Accent3 2 4 2 6" xfId="13738" xr:uid="{00000000-0005-0000-0000-0000062F0000}"/>
    <cellStyle name="40% - Accent3 2 4 2 6 2" xfId="24301" xr:uid="{00000000-0005-0000-0000-0000072F0000}"/>
    <cellStyle name="40% - Accent3 2 4 2 7" xfId="17638" xr:uid="{00000000-0005-0000-0000-0000082F0000}"/>
    <cellStyle name="40% - Accent3 2 4 3" xfId="1131" xr:uid="{00000000-0005-0000-0000-0000092F0000}"/>
    <cellStyle name="40% - Accent3 2 4 3 2" xfId="8558" xr:uid="{00000000-0005-0000-0000-00000A2F0000}"/>
    <cellStyle name="40% - Accent3 2 4 3 2 2" xfId="10777" xr:uid="{00000000-0005-0000-0000-00000B2F0000}"/>
    <cellStyle name="40% - Accent3 2 4 3 2 2 2" xfId="21340" xr:uid="{00000000-0005-0000-0000-00000C2F0000}"/>
    <cellStyle name="40% - Accent3 2 4 3 2 3" xfId="12996" xr:uid="{00000000-0005-0000-0000-00000D2F0000}"/>
    <cellStyle name="40% - Accent3 2 4 3 2 3 2" xfId="23559" xr:uid="{00000000-0005-0000-0000-00000E2F0000}"/>
    <cellStyle name="40% - Accent3 2 4 3 2 4" xfId="15215" xr:uid="{00000000-0005-0000-0000-00000F2F0000}"/>
    <cellStyle name="40% - Accent3 2 4 3 2 4 2" xfId="25778" xr:uid="{00000000-0005-0000-0000-0000102F0000}"/>
    <cellStyle name="40% - Accent3 2 4 3 2 5" xfId="19121" xr:uid="{00000000-0005-0000-0000-0000112F0000}"/>
    <cellStyle name="40% - Accent3 2 4 3 3" xfId="7825" xr:uid="{00000000-0005-0000-0000-0000122F0000}"/>
    <cellStyle name="40% - Accent3 2 4 3 3 2" xfId="10044" xr:uid="{00000000-0005-0000-0000-0000132F0000}"/>
    <cellStyle name="40% - Accent3 2 4 3 3 2 2" xfId="20607" xr:uid="{00000000-0005-0000-0000-0000142F0000}"/>
    <cellStyle name="40% - Accent3 2 4 3 3 3" xfId="12263" xr:uid="{00000000-0005-0000-0000-0000152F0000}"/>
    <cellStyle name="40% - Accent3 2 4 3 3 3 2" xfId="22826" xr:uid="{00000000-0005-0000-0000-0000162F0000}"/>
    <cellStyle name="40% - Accent3 2 4 3 3 4" xfId="14482" xr:uid="{00000000-0005-0000-0000-0000172F0000}"/>
    <cellStyle name="40% - Accent3 2 4 3 3 4 2" xfId="25045" xr:uid="{00000000-0005-0000-0000-0000182F0000}"/>
    <cellStyle name="40% - Accent3 2 4 3 3 5" xfId="18388" xr:uid="{00000000-0005-0000-0000-0000192F0000}"/>
    <cellStyle name="40% - Accent3 2 4 3 4" xfId="9301" xr:uid="{00000000-0005-0000-0000-00001A2F0000}"/>
    <cellStyle name="40% - Accent3 2 4 3 4 2" xfId="19864" xr:uid="{00000000-0005-0000-0000-00001B2F0000}"/>
    <cellStyle name="40% - Accent3 2 4 3 5" xfId="11520" xr:uid="{00000000-0005-0000-0000-00001C2F0000}"/>
    <cellStyle name="40% - Accent3 2 4 3 5 2" xfId="22083" xr:uid="{00000000-0005-0000-0000-00001D2F0000}"/>
    <cellStyle name="40% - Accent3 2 4 3 6" xfId="13739" xr:uid="{00000000-0005-0000-0000-00001E2F0000}"/>
    <cellStyle name="40% - Accent3 2 4 3 6 2" xfId="24302" xr:uid="{00000000-0005-0000-0000-00001F2F0000}"/>
    <cellStyle name="40% - Accent3 2 4 3 7" xfId="17639" xr:uid="{00000000-0005-0000-0000-0000202F0000}"/>
    <cellStyle name="40% - Accent3 2 4 4" xfId="1132" xr:uid="{00000000-0005-0000-0000-0000212F0000}"/>
    <cellStyle name="40% - Accent3 2 4 4 2" xfId="8559" xr:uid="{00000000-0005-0000-0000-0000222F0000}"/>
    <cellStyle name="40% - Accent3 2 4 4 2 2" xfId="10778" xr:uid="{00000000-0005-0000-0000-0000232F0000}"/>
    <cellStyle name="40% - Accent3 2 4 4 2 2 2" xfId="21341" xr:uid="{00000000-0005-0000-0000-0000242F0000}"/>
    <cellStyle name="40% - Accent3 2 4 4 2 3" xfId="12997" xr:uid="{00000000-0005-0000-0000-0000252F0000}"/>
    <cellStyle name="40% - Accent3 2 4 4 2 3 2" xfId="23560" xr:uid="{00000000-0005-0000-0000-0000262F0000}"/>
    <cellStyle name="40% - Accent3 2 4 4 2 4" xfId="15216" xr:uid="{00000000-0005-0000-0000-0000272F0000}"/>
    <cellStyle name="40% - Accent3 2 4 4 2 4 2" xfId="25779" xr:uid="{00000000-0005-0000-0000-0000282F0000}"/>
    <cellStyle name="40% - Accent3 2 4 4 2 5" xfId="19122" xr:uid="{00000000-0005-0000-0000-0000292F0000}"/>
    <cellStyle name="40% - Accent3 2 4 4 3" xfId="7826" xr:uid="{00000000-0005-0000-0000-00002A2F0000}"/>
    <cellStyle name="40% - Accent3 2 4 4 3 2" xfId="10045" xr:uid="{00000000-0005-0000-0000-00002B2F0000}"/>
    <cellStyle name="40% - Accent3 2 4 4 3 2 2" xfId="20608" xr:uid="{00000000-0005-0000-0000-00002C2F0000}"/>
    <cellStyle name="40% - Accent3 2 4 4 3 3" xfId="12264" xr:uid="{00000000-0005-0000-0000-00002D2F0000}"/>
    <cellStyle name="40% - Accent3 2 4 4 3 3 2" xfId="22827" xr:uid="{00000000-0005-0000-0000-00002E2F0000}"/>
    <cellStyle name="40% - Accent3 2 4 4 3 4" xfId="14483" xr:uid="{00000000-0005-0000-0000-00002F2F0000}"/>
    <cellStyle name="40% - Accent3 2 4 4 3 4 2" xfId="25046" xr:uid="{00000000-0005-0000-0000-0000302F0000}"/>
    <cellStyle name="40% - Accent3 2 4 4 3 5" xfId="18389" xr:uid="{00000000-0005-0000-0000-0000312F0000}"/>
    <cellStyle name="40% - Accent3 2 4 4 4" xfId="9302" xr:uid="{00000000-0005-0000-0000-0000322F0000}"/>
    <cellStyle name="40% - Accent3 2 4 4 4 2" xfId="19865" xr:uid="{00000000-0005-0000-0000-0000332F0000}"/>
    <cellStyle name="40% - Accent3 2 4 4 5" xfId="11521" xr:uid="{00000000-0005-0000-0000-0000342F0000}"/>
    <cellStyle name="40% - Accent3 2 4 4 5 2" xfId="22084" xr:uid="{00000000-0005-0000-0000-0000352F0000}"/>
    <cellStyle name="40% - Accent3 2 4 4 6" xfId="13740" xr:uid="{00000000-0005-0000-0000-0000362F0000}"/>
    <cellStyle name="40% - Accent3 2 4 4 6 2" xfId="24303" xr:uid="{00000000-0005-0000-0000-0000372F0000}"/>
    <cellStyle name="40% - Accent3 2 4 4 7" xfId="17640" xr:uid="{00000000-0005-0000-0000-0000382F0000}"/>
    <cellStyle name="40% - Accent3 2 4 5" xfId="1133" xr:uid="{00000000-0005-0000-0000-0000392F0000}"/>
    <cellStyle name="40% - Accent3 2 4 5 2" xfId="8560" xr:uid="{00000000-0005-0000-0000-00003A2F0000}"/>
    <cellStyle name="40% - Accent3 2 4 5 2 2" xfId="10779" xr:uid="{00000000-0005-0000-0000-00003B2F0000}"/>
    <cellStyle name="40% - Accent3 2 4 5 2 2 2" xfId="21342" xr:uid="{00000000-0005-0000-0000-00003C2F0000}"/>
    <cellStyle name="40% - Accent3 2 4 5 2 3" xfId="12998" xr:uid="{00000000-0005-0000-0000-00003D2F0000}"/>
    <cellStyle name="40% - Accent3 2 4 5 2 3 2" xfId="23561" xr:uid="{00000000-0005-0000-0000-00003E2F0000}"/>
    <cellStyle name="40% - Accent3 2 4 5 2 4" xfId="15217" xr:uid="{00000000-0005-0000-0000-00003F2F0000}"/>
    <cellStyle name="40% - Accent3 2 4 5 2 4 2" xfId="25780" xr:uid="{00000000-0005-0000-0000-0000402F0000}"/>
    <cellStyle name="40% - Accent3 2 4 5 2 5" xfId="19123" xr:uid="{00000000-0005-0000-0000-0000412F0000}"/>
    <cellStyle name="40% - Accent3 2 4 5 3" xfId="7827" xr:uid="{00000000-0005-0000-0000-0000422F0000}"/>
    <cellStyle name="40% - Accent3 2 4 5 3 2" xfId="10046" xr:uid="{00000000-0005-0000-0000-0000432F0000}"/>
    <cellStyle name="40% - Accent3 2 4 5 3 2 2" xfId="20609" xr:uid="{00000000-0005-0000-0000-0000442F0000}"/>
    <cellStyle name="40% - Accent3 2 4 5 3 3" xfId="12265" xr:uid="{00000000-0005-0000-0000-0000452F0000}"/>
    <cellStyle name="40% - Accent3 2 4 5 3 3 2" xfId="22828" xr:uid="{00000000-0005-0000-0000-0000462F0000}"/>
    <cellStyle name="40% - Accent3 2 4 5 3 4" xfId="14484" xr:uid="{00000000-0005-0000-0000-0000472F0000}"/>
    <cellStyle name="40% - Accent3 2 4 5 3 4 2" xfId="25047" xr:uid="{00000000-0005-0000-0000-0000482F0000}"/>
    <cellStyle name="40% - Accent3 2 4 5 3 5" xfId="18390" xr:uid="{00000000-0005-0000-0000-0000492F0000}"/>
    <cellStyle name="40% - Accent3 2 4 5 4" xfId="9303" xr:uid="{00000000-0005-0000-0000-00004A2F0000}"/>
    <cellStyle name="40% - Accent3 2 4 5 4 2" xfId="19866" xr:uid="{00000000-0005-0000-0000-00004B2F0000}"/>
    <cellStyle name="40% - Accent3 2 4 5 5" xfId="11522" xr:uid="{00000000-0005-0000-0000-00004C2F0000}"/>
    <cellStyle name="40% - Accent3 2 4 5 5 2" xfId="22085" xr:uid="{00000000-0005-0000-0000-00004D2F0000}"/>
    <cellStyle name="40% - Accent3 2 4 5 6" xfId="13741" xr:uid="{00000000-0005-0000-0000-00004E2F0000}"/>
    <cellStyle name="40% - Accent3 2 4 5 6 2" xfId="24304" xr:uid="{00000000-0005-0000-0000-00004F2F0000}"/>
    <cellStyle name="40% - Accent3 2 4 5 7" xfId="17641" xr:uid="{00000000-0005-0000-0000-0000502F0000}"/>
    <cellStyle name="40% - Accent3 2 4 6" xfId="1134" xr:uid="{00000000-0005-0000-0000-0000512F0000}"/>
    <cellStyle name="40% - Accent3 2 4 6 2" xfId="8561" xr:uid="{00000000-0005-0000-0000-0000522F0000}"/>
    <cellStyle name="40% - Accent3 2 4 6 2 2" xfId="10780" xr:uid="{00000000-0005-0000-0000-0000532F0000}"/>
    <cellStyle name="40% - Accent3 2 4 6 2 2 2" xfId="21343" xr:uid="{00000000-0005-0000-0000-0000542F0000}"/>
    <cellStyle name="40% - Accent3 2 4 6 2 3" xfId="12999" xr:uid="{00000000-0005-0000-0000-0000552F0000}"/>
    <cellStyle name="40% - Accent3 2 4 6 2 3 2" xfId="23562" xr:uid="{00000000-0005-0000-0000-0000562F0000}"/>
    <cellStyle name="40% - Accent3 2 4 6 2 4" xfId="15218" xr:uid="{00000000-0005-0000-0000-0000572F0000}"/>
    <cellStyle name="40% - Accent3 2 4 6 2 4 2" xfId="25781" xr:uid="{00000000-0005-0000-0000-0000582F0000}"/>
    <cellStyle name="40% - Accent3 2 4 6 2 5" xfId="19124" xr:uid="{00000000-0005-0000-0000-0000592F0000}"/>
    <cellStyle name="40% - Accent3 2 4 6 3" xfId="7828" xr:uid="{00000000-0005-0000-0000-00005A2F0000}"/>
    <cellStyle name="40% - Accent3 2 4 6 3 2" xfId="10047" xr:uid="{00000000-0005-0000-0000-00005B2F0000}"/>
    <cellStyle name="40% - Accent3 2 4 6 3 2 2" xfId="20610" xr:uid="{00000000-0005-0000-0000-00005C2F0000}"/>
    <cellStyle name="40% - Accent3 2 4 6 3 3" xfId="12266" xr:uid="{00000000-0005-0000-0000-00005D2F0000}"/>
    <cellStyle name="40% - Accent3 2 4 6 3 3 2" xfId="22829" xr:uid="{00000000-0005-0000-0000-00005E2F0000}"/>
    <cellStyle name="40% - Accent3 2 4 6 3 4" xfId="14485" xr:uid="{00000000-0005-0000-0000-00005F2F0000}"/>
    <cellStyle name="40% - Accent3 2 4 6 3 4 2" xfId="25048" xr:uid="{00000000-0005-0000-0000-0000602F0000}"/>
    <cellStyle name="40% - Accent3 2 4 6 3 5" xfId="18391" xr:uid="{00000000-0005-0000-0000-0000612F0000}"/>
    <cellStyle name="40% - Accent3 2 4 6 4" xfId="9304" xr:uid="{00000000-0005-0000-0000-0000622F0000}"/>
    <cellStyle name="40% - Accent3 2 4 6 4 2" xfId="19867" xr:uid="{00000000-0005-0000-0000-0000632F0000}"/>
    <cellStyle name="40% - Accent3 2 4 6 5" xfId="11523" xr:uid="{00000000-0005-0000-0000-0000642F0000}"/>
    <cellStyle name="40% - Accent3 2 4 6 5 2" xfId="22086" xr:uid="{00000000-0005-0000-0000-0000652F0000}"/>
    <cellStyle name="40% - Accent3 2 4 6 6" xfId="13742" xr:uid="{00000000-0005-0000-0000-0000662F0000}"/>
    <cellStyle name="40% - Accent3 2 4 6 6 2" xfId="24305" xr:uid="{00000000-0005-0000-0000-0000672F0000}"/>
    <cellStyle name="40% - Accent3 2 4 6 7" xfId="17642" xr:uid="{00000000-0005-0000-0000-0000682F0000}"/>
    <cellStyle name="40% - Accent3 2 4 7" xfId="1135" xr:uid="{00000000-0005-0000-0000-0000692F0000}"/>
    <cellStyle name="40% - Accent3 2 4 7 2" xfId="8562" xr:uid="{00000000-0005-0000-0000-00006A2F0000}"/>
    <cellStyle name="40% - Accent3 2 4 7 2 2" xfId="10781" xr:uid="{00000000-0005-0000-0000-00006B2F0000}"/>
    <cellStyle name="40% - Accent3 2 4 7 2 2 2" xfId="21344" xr:uid="{00000000-0005-0000-0000-00006C2F0000}"/>
    <cellStyle name="40% - Accent3 2 4 7 2 3" xfId="13000" xr:uid="{00000000-0005-0000-0000-00006D2F0000}"/>
    <cellStyle name="40% - Accent3 2 4 7 2 3 2" xfId="23563" xr:uid="{00000000-0005-0000-0000-00006E2F0000}"/>
    <cellStyle name="40% - Accent3 2 4 7 2 4" xfId="15219" xr:uid="{00000000-0005-0000-0000-00006F2F0000}"/>
    <cellStyle name="40% - Accent3 2 4 7 2 4 2" xfId="25782" xr:uid="{00000000-0005-0000-0000-0000702F0000}"/>
    <cellStyle name="40% - Accent3 2 4 7 2 5" xfId="19125" xr:uid="{00000000-0005-0000-0000-0000712F0000}"/>
    <cellStyle name="40% - Accent3 2 4 7 3" xfId="7829" xr:uid="{00000000-0005-0000-0000-0000722F0000}"/>
    <cellStyle name="40% - Accent3 2 4 7 3 2" xfId="10048" xr:uid="{00000000-0005-0000-0000-0000732F0000}"/>
    <cellStyle name="40% - Accent3 2 4 7 3 2 2" xfId="20611" xr:uid="{00000000-0005-0000-0000-0000742F0000}"/>
    <cellStyle name="40% - Accent3 2 4 7 3 3" xfId="12267" xr:uid="{00000000-0005-0000-0000-0000752F0000}"/>
    <cellStyle name="40% - Accent3 2 4 7 3 3 2" xfId="22830" xr:uid="{00000000-0005-0000-0000-0000762F0000}"/>
    <cellStyle name="40% - Accent3 2 4 7 3 4" xfId="14486" xr:uid="{00000000-0005-0000-0000-0000772F0000}"/>
    <cellStyle name="40% - Accent3 2 4 7 3 4 2" xfId="25049" xr:uid="{00000000-0005-0000-0000-0000782F0000}"/>
    <cellStyle name="40% - Accent3 2 4 7 3 5" xfId="18392" xr:uid="{00000000-0005-0000-0000-0000792F0000}"/>
    <cellStyle name="40% - Accent3 2 4 7 4" xfId="9305" xr:uid="{00000000-0005-0000-0000-00007A2F0000}"/>
    <cellStyle name="40% - Accent3 2 4 7 4 2" xfId="19868" xr:uid="{00000000-0005-0000-0000-00007B2F0000}"/>
    <cellStyle name="40% - Accent3 2 4 7 5" xfId="11524" xr:uid="{00000000-0005-0000-0000-00007C2F0000}"/>
    <cellStyle name="40% - Accent3 2 4 7 5 2" xfId="22087" xr:uid="{00000000-0005-0000-0000-00007D2F0000}"/>
    <cellStyle name="40% - Accent3 2 4 7 6" xfId="13743" xr:uid="{00000000-0005-0000-0000-00007E2F0000}"/>
    <cellStyle name="40% - Accent3 2 4 7 6 2" xfId="24306" xr:uid="{00000000-0005-0000-0000-00007F2F0000}"/>
    <cellStyle name="40% - Accent3 2 4 7 7" xfId="17643" xr:uid="{00000000-0005-0000-0000-0000802F0000}"/>
    <cellStyle name="40% - Accent3 2 4 8" xfId="1136" xr:uid="{00000000-0005-0000-0000-0000812F0000}"/>
    <cellStyle name="40% - Accent3 2 4 8 2" xfId="8563" xr:uid="{00000000-0005-0000-0000-0000822F0000}"/>
    <cellStyle name="40% - Accent3 2 4 8 2 2" xfId="10782" xr:uid="{00000000-0005-0000-0000-0000832F0000}"/>
    <cellStyle name="40% - Accent3 2 4 8 2 2 2" xfId="21345" xr:uid="{00000000-0005-0000-0000-0000842F0000}"/>
    <cellStyle name="40% - Accent3 2 4 8 2 3" xfId="13001" xr:uid="{00000000-0005-0000-0000-0000852F0000}"/>
    <cellStyle name="40% - Accent3 2 4 8 2 3 2" xfId="23564" xr:uid="{00000000-0005-0000-0000-0000862F0000}"/>
    <cellStyle name="40% - Accent3 2 4 8 2 4" xfId="15220" xr:uid="{00000000-0005-0000-0000-0000872F0000}"/>
    <cellStyle name="40% - Accent3 2 4 8 2 4 2" xfId="25783" xr:uid="{00000000-0005-0000-0000-0000882F0000}"/>
    <cellStyle name="40% - Accent3 2 4 8 2 5" xfId="19126" xr:uid="{00000000-0005-0000-0000-0000892F0000}"/>
    <cellStyle name="40% - Accent3 2 4 8 3" xfId="7830" xr:uid="{00000000-0005-0000-0000-00008A2F0000}"/>
    <cellStyle name="40% - Accent3 2 4 8 3 2" xfId="10049" xr:uid="{00000000-0005-0000-0000-00008B2F0000}"/>
    <cellStyle name="40% - Accent3 2 4 8 3 2 2" xfId="20612" xr:uid="{00000000-0005-0000-0000-00008C2F0000}"/>
    <cellStyle name="40% - Accent3 2 4 8 3 3" xfId="12268" xr:uid="{00000000-0005-0000-0000-00008D2F0000}"/>
    <cellStyle name="40% - Accent3 2 4 8 3 3 2" xfId="22831" xr:uid="{00000000-0005-0000-0000-00008E2F0000}"/>
    <cellStyle name="40% - Accent3 2 4 8 3 4" xfId="14487" xr:uid="{00000000-0005-0000-0000-00008F2F0000}"/>
    <cellStyle name="40% - Accent3 2 4 8 3 4 2" xfId="25050" xr:uid="{00000000-0005-0000-0000-0000902F0000}"/>
    <cellStyle name="40% - Accent3 2 4 8 3 5" xfId="18393" xr:uid="{00000000-0005-0000-0000-0000912F0000}"/>
    <cellStyle name="40% - Accent3 2 4 8 4" xfId="9306" xr:uid="{00000000-0005-0000-0000-0000922F0000}"/>
    <cellStyle name="40% - Accent3 2 4 8 4 2" xfId="19869" xr:uid="{00000000-0005-0000-0000-0000932F0000}"/>
    <cellStyle name="40% - Accent3 2 4 8 5" xfId="11525" xr:uid="{00000000-0005-0000-0000-0000942F0000}"/>
    <cellStyle name="40% - Accent3 2 4 8 5 2" xfId="22088" xr:uid="{00000000-0005-0000-0000-0000952F0000}"/>
    <cellStyle name="40% - Accent3 2 4 8 6" xfId="13744" xr:uid="{00000000-0005-0000-0000-0000962F0000}"/>
    <cellStyle name="40% - Accent3 2 4 8 6 2" xfId="24307" xr:uid="{00000000-0005-0000-0000-0000972F0000}"/>
    <cellStyle name="40% - Accent3 2 4 8 7" xfId="17644" xr:uid="{00000000-0005-0000-0000-0000982F0000}"/>
    <cellStyle name="40% - Accent3 2 4 9" xfId="1137" xr:uid="{00000000-0005-0000-0000-0000992F0000}"/>
    <cellStyle name="40% - Accent3 2 4 9 2" xfId="8564" xr:uid="{00000000-0005-0000-0000-00009A2F0000}"/>
    <cellStyle name="40% - Accent3 2 4 9 2 2" xfId="10783" xr:uid="{00000000-0005-0000-0000-00009B2F0000}"/>
    <cellStyle name="40% - Accent3 2 4 9 2 2 2" xfId="21346" xr:uid="{00000000-0005-0000-0000-00009C2F0000}"/>
    <cellStyle name="40% - Accent3 2 4 9 2 3" xfId="13002" xr:uid="{00000000-0005-0000-0000-00009D2F0000}"/>
    <cellStyle name="40% - Accent3 2 4 9 2 3 2" xfId="23565" xr:uid="{00000000-0005-0000-0000-00009E2F0000}"/>
    <cellStyle name="40% - Accent3 2 4 9 2 4" xfId="15221" xr:uid="{00000000-0005-0000-0000-00009F2F0000}"/>
    <cellStyle name="40% - Accent3 2 4 9 2 4 2" xfId="25784" xr:uid="{00000000-0005-0000-0000-0000A02F0000}"/>
    <cellStyle name="40% - Accent3 2 4 9 2 5" xfId="19127" xr:uid="{00000000-0005-0000-0000-0000A12F0000}"/>
    <cellStyle name="40% - Accent3 2 4 9 3" xfId="7831" xr:uid="{00000000-0005-0000-0000-0000A22F0000}"/>
    <cellStyle name="40% - Accent3 2 4 9 3 2" xfId="10050" xr:uid="{00000000-0005-0000-0000-0000A32F0000}"/>
    <cellStyle name="40% - Accent3 2 4 9 3 2 2" xfId="20613" xr:uid="{00000000-0005-0000-0000-0000A42F0000}"/>
    <cellStyle name="40% - Accent3 2 4 9 3 3" xfId="12269" xr:uid="{00000000-0005-0000-0000-0000A52F0000}"/>
    <cellStyle name="40% - Accent3 2 4 9 3 3 2" xfId="22832" xr:uid="{00000000-0005-0000-0000-0000A62F0000}"/>
    <cellStyle name="40% - Accent3 2 4 9 3 4" xfId="14488" xr:uid="{00000000-0005-0000-0000-0000A72F0000}"/>
    <cellStyle name="40% - Accent3 2 4 9 3 4 2" xfId="25051" xr:uid="{00000000-0005-0000-0000-0000A82F0000}"/>
    <cellStyle name="40% - Accent3 2 4 9 3 5" xfId="18394" xr:uid="{00000000-0005-0000-0000-0000A92F0000}"/>
    <cellStyle name="40% - Accent3 2 4 9 4" xfId="9307" xr:uid="{00000000-0005-0000-0000-0000AA2F0000}"/>
    <cellStyle name="40% - Accent3 2 4 9 4 2" xfId="19870" xr:uid="{00000000-0005-0000-0000-0000AB2F0000}"/>
    <cellStyle name="40% - Accent3 2 4 9 5" xfId="11526" xr:uid="{00000000-0005-0000-0000-0000AC2F0000}"/>
    <cellStyle name="40% - Accent3 2 4 9 5 2" xfId="22089" xr:uid="{00000000-0005-0000-0000-0000AD2F0000}"/>
    <cellStyle name="40% - Accent3 2 4 9 6" xfId="13745" xr:uid="{00000000-0005-0000-0000-0000AE2F0000}"/>
    <cellStyle name="40% - Accent3 2 4 9 6 2" xfId="24308" xr:uid="{00000000-0005-0000-0000-0000AF2F0000}"/>
    <cellStyle name="40% - Accent3 2 4 9 7" xfId="17645" xr:uid="{00000000-0005-0000-0000-0000B02F0000}"/>
    <cellStyle name="40% - Accent3 2 5" xfId="1138" xr:uid="{00000000-0005-0000-0000-0000B12F0000}"/>
    <cellStyle name="40% - Accent3 2 5 10" xfId="8565" xr:uid="{00000000-0005-0000-0000-0000B22F0000}"/>
    <cellStyle name="40% - Accent3 2 5 10 2" xfId="10784" xr:uid="{00000000-0005-0000-0000-0000B32F0000}"/>
    <cellStyle name="40% - Accent3 2 5 10 2 2" xfId="21347" xr:uid="{00000000-0005-0000-0000-0000B42F0000}"/>
    <cellStyle name="40% - Accent3 2 5 10 3" xfId="13003" xr:uid="{00000000-0005-0000-0000-0000B52F0000}"/>
    <cellStyle name="40% - Accent3 2 5 10 3 2" xfId="23566" xr:uid="{00000000-0005-0000-0000-0000B62F0000}"/>
    <cellStyle name="40% - Accent3 2 5 10 4" xfId="15222" xr:uid="{00000000-0005-0000-0000-0000B72F0000}"/>
    <cellStyle name="40% - Accent3 2 5 10 4 2" xfId="25785" xr:uid="{00000000-0005-0000-0000-0000B82F0000}"/>
    <cellStyle name="40% - Accent3 2 5 10 5" xfId="19128" xr:uid="{00000000-0005-0000-0000-0000B92F0000}"/>
    <cellStyle name="40% - Accent3 2 5 11" xfId="7832" xr:uid="{00000000-0005-0000-0000-0000BA2F0000}"/>
    <cellStyle name="40% - Accent3 2 5 11 2" xfId="10051" xr:uid="{00000000-0005-0000-0000-0000BB2F0000}"/>
    <cellStyle name="40% - Accent3 2 5 11 2 2" xfId="20614" xr:uid="{00000000-0005-0000-0000-0000BC2F0000}"/>
    <cellStyle name="40% - Accent3 2 5 11 3" xfId="12270" xr:uid="{00000000-0005-0000-0000-0000BD2F0000}"/>
    <cellStyle name="40% - Accent3 2 5 11 3 2" xfId="22833" xr:uid="{00000000-0005-0000-0000-0000BE2F0000}"/>
    <cellStyle name="40% - Accent3 2 5 11 4" xfId="14489" xr:uid="{00000000-0005-0000-0000-0000BF2F0000}"/>
    <cellStyle name="40% - Accent3 2 5 11 4 2" xfId="25052" xr:uid="{00000000-0005-0000-0000-0000C02F0000}"/>
    <cellStyle name="40% - Accent3 2 5 11 5" xfId="18395" xr:uid="{00000000-0005-0000-0000-0000C12F0000}"/>
    <cellStyle name="40% - Accent3 2 5 12" xfId="9308" xr:uid="{00000000-0005-0000-0000-0000C22F0000}"/>
    <cellStyle name="40% - Accent3 2 5 12 2" xfId="19871" xr:uid="{00000000-0005-0000-0000-0000C32F0000}"/>
    <cellStyle name="40% - Accent3 2 5 13" xfId="11527" xr:uid="{00000000-0005-0000-0000-0000C42F0000}"/>
    <cellStyle name="40% - Accent3 2 5 13 2" xfId="22090" xr:uid="{00000000-0005-0000-0000-0000C52F0000}"/>
    <cellStyle name="40% - Accent3 2 5 14" xfId="13746" xr:uid="{00000000-0005-0000-0000-0000C62F0000}"/>
    <cellStyle name="40% - Accent3 2 5 14 2" xfId="24309" xr:uid="{00000000-0005-0000-0000-0000C72F0000}"/>
    <cellStyle name="40% - Accent3 2 5 15" xfId="17646" xr:uid="{00000000-0005-0000-0000-0000C82F0000}"/>
    <cellStyle name="40% - Accent3 2 5 2" xfId="1139" xr:uid="{00000000-0005-0000-0000-0000C92F0000}"/>
    <cellStyle name="40% - Accent3 2 5 2 2" xfId="8566" xr:uid="{00000000-0005-0000-0000-0000CA2F0000}"/>
    <cellStyle name="40% - Accent3 2 5 2 2 2" xfId="10785" xr:uid="{00000000-0005-0000-0000-0000CB2F0000}"/>
    <cellStyle name="40% - Accent3 2 5 2 2 2 2" xfId="21348" xr:uid="{00000000-0005-0000-0000-0000CC2F0000}"/>
    <cellStyle name="40% - Accent3 2 5 2 2 3" xfId="13004" xr:uid="{00000000-0005-0000-0000-0000CD2F0000}"/>
    <cellStyle name="40% - Accent3 2 5 2 2 3 2" xfId="23567" xr:uid="{00000000-0005-0000-0000-0000CE2F0000}"/>
    <cellStyle name="40% - Accent3 2 5 2 2 4" xfId="15223" xr:uid="{00000000-0005-0000-0000-0000CF2F0000}"/>
    <cellStyle name="40% - Accent3 2 5 2 2 4 2" xfId="25786" xr:uid="{00000000-0005-0000-0000-0000D02F0000}"/>
    <cellStyle name="40% - Accent3 2 5 2 2 5" xfId="19129" xr:uid="{00000000-0005-0000-0000-0000D12F0000}"/>
    <cellStyle name="40% - Accent3 2 5 2 3" xfId="7833" xr:uid="{00000000-0005-0000-0000-0000D22F0000}"/>
    <cellStyle name="40% - Accent3 2 5 2 3 2" xfId="10052" xr:uid="{00000000-0005-0000-0000-0000D32F0000}"/>
    <cellStyle name="40% - Accent3 2 5 2 3 2 2" xfId="20615" xr:uid="{00000000-0005-0000-0000-0000D42F0000}"/>
    <cellStyle name="40% - Accent3 2 5 2 3 3" xfId="12271" xr:uid="{00000000-0005-0000-0000-0000D52F0000}"/>
    <cellStyle name="40% - Accent3 2 5 2 3 3 2" xfId="22834" xr:uid="{00000000-0005-0000-0000-0000D62F0000}"/>
    <cellStyle name="40% - Accent3 2 5 2 3 4" xfId="14490" xr:uid="{00000000-0005-0000-0000-0000D72F0000}"/>
    <cellStyle name="40% - Accent3 2 5 2 3 4 2" xfId="25053" xr:uid="{00000000-0005-0000-0000-0000D82F0000}"/>
    <cellStyle name="40% - Accent3 2 5 2 3 5" xfId="18396" xr:uid="{00000000-0005-0000-0000-0000D92F0000}"/>
    <cellStyle name="40% - Accent3 2 5 2 4" xfId="9309" xr:uid="{00000000-0005-0000-0000-0000DA2F0000}"/>
    <cellStyle name="40% - Accent3 2 5 2 4 2" xfId="19872" xr:uid="{00000000-0005-0000-0000-0000DB2F0000}"/>
    <cellStyle name="40% - Accent3 2 5 2 5" xfId="11528" xr:uid="{00000000-0005-0000-0000-0000DC2F0000}"/>
    <cellStyle name="40% - Accent3 2 5 2 5 2" xfId="22091" xr:uid="{00000000-0005-0000-0000-0000DD2F0000}"/>
    <cellStyle name="40% - Accent3 2 5 2 6" xfId="13747" xr:uid="{00000000-0005-0000-0000-0000DE2F0000}"/>
    <cellStyle name="40% - Accent3 2 5 2 6 2" xfId="24310" xr:uid="{00000000-0005-0000-0000-0000DF2F0000}"/>
    <cellStyle name="40% - Accent3 2 5 2 7" xfId="17647" xr:uid="{00000000-0005-0000-0000-0000E02F0000}"/>
    <cellStyle name="40% - Accent3 2 5 3" xfId="1140" xr:uid="{00000000-0005-0000-0000-0000E12F0000}"/>
    <cellStyle name="40% - Accent3 2 5 3 2" xfId="8567" xr:uid="{00000000-0005-0000-0000-0000E22F0000}"/>
    <cellStyle name="40% - Accent3 2 5 3 2 2" xfId="10786" xr:uid="{00000000-0005-0000-0000-0000E32F0000}"/>
    <cellStyle name="40% - Accent3 2 5 3 2 2 2" xfId="21349" xr:uid="{00000000-0005-0000-0000-0000E42F0000}"/>
    <cellStyle name="40% - Accent3 2 5 3 2 3" xfId="13005" xr:uid="{00000000-0005-0000-0000-0000E52F0000}"/>
    <cellStyle name="40% - Accent3 2 5 3 2 3 2" xfId="23568" xr:uid="{00000000-0005-0000-0000-0000E62F0000}"/>
    <cellStyle name="40% - Accent3 2 5 3 2 4" xfId="15224" xr:uid="{00000000-0005-0000-0000-0000E72F0000}"/>
    <cellStyle name="40% - Accent3 2 5 3 2 4 2" xfId="25787" xr:uid="{00000000-0005-0000-0000-0000E82F0000}"/>
    <cellStyle name="40% - Accent3 2 5 3 2 5" xfId="19130" xr:uid="{00000000-0005-0000-0000-0000E92F0000}"/>
    <cellStyle name="40% - Accent3 2 5 3 3" xfId="7834" xr:uid="{00000000-0005-0000-0000-0000EA2F0000}"/>
    <cellStyle name="40% - Accent3 2 5 3 3 2" xfId="10053" xr:uid="{00000000-0005-0000-0000-0000EB2F0000}"/>
    <cellStyle name="40% - Accent3 2 5 3 3 2 2" xfId="20616" xr:uid="{00000000-0005-0000-0000-0000EC2F0000}"/>
    <cellStyle name="40% - Accent3 2 5 3 3 3" xfId="12272" xr:uid="{00000000-0005-0000-0000-0000ED2F0000}"/>
    <cellStyle name="40% - Accent3 2 5 3 3 3 2" xfId="22835" xr:uid="{00000000-0005-0000-0000-0000EE2F0000}"/>
    <cellStyle name="40% - Accent3 2 5 3 3 4" xfId="14491" xr:uid="{00000000-0005-0000-0000-0000EF2F0000}"/>
    <cellStyle name="40% - Accent3 2 5 3 3 4 2" xfId="25054" xr:uid="{00000000-0005-0000-0000-0000F02F0000}"/>
    <cellStyle name="40% - Accent3 2 5 3 3 5" xfId="18397" xr:uid="{00000000-0005-0000-0000-0000F12F0000}"/>
    <cellStyle name="40% - Accent3 2 5 3 4" xfId="9310" xr:uid="{00000000-0005-0000-0000-0000F22F0000}"/>
    <cellStyle name="40% - Accent3 2 5 3 4 2" xfId="19873" xr:uid="{00000000-0005-0000-0000-0000F32F0000}"/>
    <cellStyle name="40% - Accent3 2 5 3 5" xfId="11529" xr:uid="{00000000-0005-0000-0000-0000F42F0000}"/>
    <cellStyle name="40% - Accent3 2 5 3 5 2" xfId="22092" xr:uid="{00000000-0005-0000-0000-0000F52F0000}"/>
    <cellStyle name="40% - Accent3 2 5 3 6" xfId="13748" xr:uid="{00000000-0005-0000-0000-0000F62F0000}"/>
    <cellStyle name="40% - Accent3 2 5 3 6 2" xfId="24311" xr:uid="{00000000-0005-0000-0000-0000F72F0000}"/>
    <cellStyle name="40% - Accent3 2 5 3 7" xfId="17648" xr:uid="{00000000-0005-0000-0000-0000F82F0000}"/>
    <cellStyle name="40% - Accent3 2 5 4" xfId="1141" xr:uid="{00000000-0005-0000-0000-0000F92F0000}"/>
    <cellStyle name="40% - Accent3 2 5 4 2" xfId="8568" xr:uid="{00000000-0005-0000-0000-0000FA2F0000}"/>
    <cellStyle name="40% - Accent3 2 5 4 2 2" xfId="10787" xr:uid="{00000000-0005-0000-0000-0000FB2F0000}"/>
    <cellStyle name="40% - Accent3 2 5 4 2 2 2" xfId="21350" xr:uid="{00000000-0005-0000-0000-0000FC2F0000}"/>
    <cellStyle name="40% - Accent3 2 5 4 2 3" xfId="13006" xr:uid="{00000000-0005-0000-0000-0000FD2F0000}"/>
    <cellStyle name="40% - Accent3 2 5 4 2 3 2" xfId="23569" xr:uid="{00000000-0005-0000-0000-0000FE2F0000}"/>
    <cellStyle name="40% - Accent3 2 5 4 2 4" xfId="15225" xr:uid="{00000000-0005-0000-0000-0000FF2F0000}"/>
    <cellStyle name="40% - Accent3 2 5 4 2 4 2" xfId="25788" xr:uid="{00000000-0005-0000-0000-000000300000}"/>
    <cellStyle name="40% - Accent3 2 5 4 2 5" xfId="19131" xr:uid="{00000000-0005-0000-0000-000001300000}"/>
    <cellStyle name="40% - Accent3 2 5 4 3" xfId="7835" xr:uid="{00000000-0005-0000-0000-000002300000}"/>
    <cellStyle name="40% - Accent3 2 5 4 3 2" xfId="10054" xr:uid="{00000000-0005-0000-0000-000003300000}"/>
    <cellStyle name="40% - Accent3 2 5 4 3 2 2" xfId="20617" xr:uid="{00000000-0005-0000-0000-000004300000}"/>
    <cellStyle name="40% - Accent3 2 5 4 3 3" xfId="12273" xr:uid="{00000000-0005-0000-0000-000005300000}"/>
    <cellStyle name="40% - Accent3 2 5 4 3 3 2" xfId="22836" xr:uid="{00000000-0005-0000-0000-000006300000}"/>
    <cellStyle name="40% - Accent3 2 5 4 3 4" xfId="14492" xr:uid="{00000000-0005-0000-0000-000007300000}"/>
    <cellStyle name="40% - Accent3 2 5 4 3 4 2" xfId="25055" xr:uid="{00000000-0005-0000-0000-000008300000}"/>
    <cellStyle name="40% - Accent3 2 5 4 3 5" xfId="18398" xr:uid="{00000000-0005-0000-0000-000009300000}"/>
    <cellStyle name="40% - Accent3 2 5 4 4" xfId="9311" xr:uid="{00000000-0005-0000-0000-00000A300000}"/>
    <cellStyle name="40% - Accent3 2 5 4 4 2" xfId="19874" xr:uid="{00000000-0005-0000-0000-00000B300000}"/>
    <cellStyle name="40% - Accent3 2 5 4 5" xfId="11530" xr:uid="{00000000-0005-0000-0000-00000C300000}"/>
    <cellStyle name="40% - Accent3 2 5 4 5 2" xfId="22093" xr:uid="{00000000-0005-0000-0000-00000D300000}"/>
    <cellStyle name="40% - Accent3 2 5 4 6" xfId="13749" xr:uid="{00000000-0005-0000-0000-00000E300000}"/>
    <cellStyle name="40% - Accent3 2 5 4 6 2" xfId="24312" xr:uid="{00000000-0005-0000-0000-00000F300000}"/>
    <cellStyle name="40% - Accent3 2 5 4 7" xfId="17649" xr:uid="{00000000-0005-0000-0000-000010300000}"/>
    <cellStyle name="40% - Accent3 2 5 5" xfId="1142" xr:uid="{00000000-0005-0000-0000-000011300000}"/>
    <cellStyle name="40% - Accent3 2 5 5 2" xfId="8569" xr:uid="{00000000-0005-0000-0000-000012300000}"/>
    <cellStyle name="40% - Accent3 2 5 5 2 2" xfId="10788" xr:uid="{00000000-0005-0000-0000-000013300000}"/>
    <cellStyle name="40% - Accent3 2 5 5 2 2 2" xfId="21351" xr:uid="{00000000-0005-0000-0000-000014300000}"/>
    <cellStyle name="40% - Accent3 2 5 5 2 3" xfId="13007" xr:uid="{00000000-0005-0000-0000-000015300000}"/>
    <cellStyle name="40% - Accent3 2 5 5 2 3 2" xfId="23570" xr:uid="{00000000-0005-0000-0000-000016300000}"/>
    <cellStyle name="40% - Accent3 2 5 5 2 4" xfId="15226" xr:uid="{00000000-0005-0000-0000-000017300000}"/>
    <cellStyle name="40% - Accent3 2 5 5 2 4 2" xfId="25789" xr:uid="{00000000-0005-0000-0000-000018300000}"/>
    <cellStyle name="40% - Accent3 2 5 5 2 5" xfId="19132" xr:uid="{00000000-0005-0000-0000-000019300000}"/>
    <cellStyle name="40% - Accent3 2 5 5 3" xfId="7836" xr:uid="{00000000-0005-0000-0000-00001A300000}"/>
    <cellStyle name="40% - Accent3 2 5 5 3 2" xfId="10055" xr:uid="{00000000-0005-0000-0000-00001B300000}"/>
    <cellStyle name="40% - Accent3 2 5 5 3 2 2" xfId="20618" xr:uid="{00000000-0005-0000-0000-00001C300000}"/>
    <cellStyle name="40% - Accent3 2 5 5 3 3" xfId="12274" xr:uid="{00000000-0005-0000-0000-00001D300000}"/>
    <cellStyle name="40% - Accent3 2 5 5 3 3 2" xfId="22837" xr:uid="{00000000-0005-0000-0000-00001E300000}"/>
    <cellStyle name="40% - Accent3 2 5 5 3 4" xfId="14493" xr:uid="{00000000-0005-0000-0000-00001F300000}"/>
    <cellStyle name="40% - Accent3 2 5 5 3 4 2" xfId="25056" xr:uid="{00000000-0005-0000-0000-000020300000}"/>
    <cellStyle name="40% - Accent3 2 5 5 3 5" xfId="18399" xr:uid="{00000000-0005-0000-0000-000021300000}"/>
    <cellStyle name="40% - Accent3 2 5 5 4" xfId="9312" xr:uid="{00000000-0005-0000-0000-000022300000}"/>
    <cellStyle name="40% - Accent3 2 5 5 4 2" xfId="19875" xr:uid="{00000000-0005-0000-0000-000023300000}"/>
    <cellStyle name="40% - Accent3 2 5 5 5" xfId="11531" xr:uid="{00000000-0005-0000-0000-000024300000}"/>
    <cellStyle name="40% - Accent3 2 5 5 5 2" xfId="22094" xr:uid="{00000000-0005-0000-0000-000025300000}"/>
    <cellStyle name="40% - Accent3 2 5 5 6" xfId="13750" xr:uid="{00000000-0005-0000-0000-000026300000}"/>
    <cellStyle name="40% - Accent3 2 5 5 6 2" xfId="24313" xr:uid="{00000000-0005-0000-0000-000027300000}"/>
    <cellStyle name="40% - Accent3 2 5 5 7" xfId="17650" xr:uid="{00000000-0005-0000-0000-000028300000}"/>
    <cellStyle name="40% - Accent3 2 5 6" xfId="1143" xr:uid="{00000000-0005-0000-0000-000029300000}"/>
    <cellStyle name="40% - Accent3 2 5 6 2" xfId="8570" xr:uid="{00000000-0005-0000-0000-00002A300000}"/>
    <cellStyle name="40% - Accent3 2 5 6 2 2" xfId="10789" xr:uid="{00000000-0005-0000-0000-00002B300000}"/>
    <cellStyle name="40% - Accent3 2 5 6 2 2 2" xfId="21352" xr:uid="{00000000-0005-0000-0000-00002C300000}"/>
    <cellStyle name="40% - Accent3 2 5 6 2 3" xfId="13008" xr:uid="{00000000-0005-0000-0000-00002D300000}"/>
    <cellStyle name="40% - Accent3 2 5 6 2 3 2" xfId="23571" xr:uid="{00000000-0005-0000-0000-00002E300000}"/>
    <cellStyle name="40% - Accent3 2 5 6 2 4" xfId="15227" xr:uid="{00000000-0005-0000-0000-00002F300000}"/>
    <cellStyle name="40% - Accent3 2 5 6 2 4 2" xfId="25790" xr:uid="{00000000-0005-0000-0000-000030300000}"/>
    <cellStyle name="40% - Accent3 2 5 6 2 5" xfId="19133" xr:uid="{00000000-0005-0000-0000-000031300000}"/>
    <cellStyle name="40% - Accent3 2 5 6 3" xfId="7837" xr:uid="{00000000-0005-0000-0000-000032300000}"/>
    <cellStyle name="40% - Accent3 2 5 6 3 2" xfId="10056" xr:uid="{00000000-0005-0000-0000-000033300000}"/>
    <cellStyle name="40% - Accent3 2 5 6 3 2 2" xfId="20619" xr:uid="{00000000-0005-0000-0000-000034300000}"/>
    <cellStyle name="40% - Accent3 2 5 6 3 3" xfId="12275" xr:uid="{00000000-0005-0000-0000-000035300000}"/>
    <cellStyle name="40% - Accent3 2 5 6 3 3 2" xfId="22838" xr:uid="{00000000-0005-0000-0000-000036300000}"/>
    <cellStyle name="40% - Accent3 2 5 6 3 4" xfId="14494" xr:uid="{00000000-0005-0000-0000-000037300000}"/>
    <cellStyle name="40% - Accent3 2 5 6 3 4 2" xfId="25057" xr:uid="{00000000-0005-0000-0000-000038300000}"/>
    <cellStyle name="40% - Accent3 2 5 6 3 5" xfId="18400" xr:uid="{00000000-0005-0000-0000-000039300000}"/>
    <cellStyle name="40% - Accent3 2 5 6 4" xfId="9313" xr:uid="{00000000-0005-0000-0000-00003A300000}"/>
    <cellStyle name="40% - Accent3 2 5 6 4 2" xfId="19876" xr:uid="{00000000-0005-0000-0000-00003B300000}"/>
    <cellStyle name="40% - Accent3 2 5 6 5" xfId="11532" xr:uid="{00000000-0005-0000-0000-00003C300000}"/>
    <cellStyle name="40% - Accent3 2 5 6 5 2" xfId="22095" xr:uid="{00000000-0005-0000-0000-00003D300000}"/>
    <cellStyle name="40% - Accent3 2 5 6 6" xfId="13751" xr:uid="{00000000-0005-0000-0000-00003E300000}"/>
    <cellStyle name="40% - Accent3 2 5 6 6 2" xfId="24314" xr:uid="{00000000-0005-0000-0000-00003F300000}"/>
    <cellStyle name="40% - Accent3 2 5 6 7" xfId="17651" xr:uid="{00000000-0005-0000-0000-000040300000}"/>
    <cellStyle name="40% - Accent3 2 5 7" xfId="1144" xr:uid="{00000000-0005-0000-0000-000041300000}"/>
    <cellStyle name="40% - Accent3 2 5 7 2" xfId="8571" xr:uid="{00000000-0005-0000-0000-000042300000}"/>
    <cellStyle name="40% - Accent3 2 5 7 2 2" xfId="10790" xr:uid="{00000000-0005-0000-0000-000043300000}"/>
    <cellStyle name="40% - Accent3 2 5 7 2 2 2" xfId="21353" xr:uid="{00000000-0005-0000-0000-000044300000}"/>
    <cellStyle name="40% - Accent3 2 5 7 2 3" xfId="13009" xr:uid="{00000000-0005-0000-0000-000045300000}"/>
    <cellStyle name="40% - Accent3 2 5 7 2 3 2" xfId="23572" xr:uid="{00000000-0005-0000-0000-000046300000}"/>
    <cellStyle name="40% - Accent3 2 5 7 2 4" xfId="15228" xr:uid="{00000000-0005-0000-0000-000047300000}"/>
    <cellStyle name="40% - Accent3 2 5 7 2 4 2" xfId="25791" xr:uid="{00000000-0005-0000-0000-000048300000}"/>
    <cellStyle name="40% - Accent3 2 5 7 2 5" xfId="19134" xr:uid="{00000000-0005-0000-0000-000049300000}"/>
    <cellStyle name="40% - Accent3 2 5 7 3" xfId="7838" xr:uid="{00000000-0005-0000-0000-00004A300000}"/>
    <cellStyle name="40% - Accent3 2 5 7 3 2" xfId="10057" xr:uid="{00000000-0005-0000-0000-00004B300000}"/>
    <cellStyle name="40% - Accent3 2 5 7 3 2 2" xfId="20620" xr:uid="{00000000-0005-0000-0000-00004C300000}"/>
    <cellStyle name="40% - Accent3 2 5 7 3 3" xfId="12276" xr:uid="{00000000-0005-0000-0000-00004D300000}"/>
    <cellStyle name="40% - Accent3 2 5 7 3 3 2" xfId="22839" xr:uid="{00000000-0005-0000-0000-00004E300000}"/>
    <cellStyle name="40% - Accent3 2 5 7 3 4" xfId="14495" xr:uid="{00000000-0005-0000-0000-00004F300000}"/>
    <cellStyle name="40% - Accent3 2 5 7 3 4 2" xfId="25058" xr:uid="{00000000-0005-0000-0000-000050300000}"/>
    <cellStyle name="40% - Accent3 2 5 7 3 5" xfId="18401" xr:uid="{00000000-0005-0000-0000-000051300000}"/>
    <cellStyle name="40% - Accent3 2 5 7 4" xfId="9314" xr:uid="{00000000-0005-0000-0000-000052300000}"/>
    <cellStyle name="40% - Accent3 2 5 7 4 2" xfId="19877" xr:uid="{00000000-0005-0000-0000-000053300000}"/>
    <cellStyle name="40% - Accent3 2 5 7 5" xfId="11533" xr:uid="{00000000-0005-0000-0000-000054300000}"/>
    <cellStyle name="40% - Accent3 2 5 7 5 2" xfId="22096" xr:uid="{00000000-0005-0000-0000-000055300000}"/>
    <cellStyle name="40% - Accent3 2 5 7 6" xfId="13752" xr:uid="{00000000-0005-0000-0000-000056300000}"/>
    <cellStyle name="40% - Accent3 2 5 7 6 2" xfId="24315" xr:uid="{00000000-0005-0000-0000-000057300000}"/>
    <cellStyle name="40% - Accent3 2 5 7 7" xfId="17652" xr:uid="{00000000-0005-0000-0000-000058300000}"/>
    <cellStyle name="40% - Accent3 2 5 8" xfId="1145" xr:uid="{00000000-0005-0000-0000-000059300000}"/>
    <cellStyle name="40% - Accent3 2 5 8 2" xfId="8572" xr:uid="{00000000-0005-0000-0000-00005A300000}"/>
    <cellStyle name="40% - Accent3 2 5 8 2 2" xfId="10791" xr:uid="{00000000-0005-0000-0000-00005B300000}"/>
    <cellStyle name="40% - Accent3 2 5 8 2 2 2" xfId="21354" xr:uid="{00000000-0005-0000-0000-00005C300000}"/>
    <cellStyle name="40% - Accent3 2 5 8 2 3" xfId="13010" xr:uid="{00000000-0005-0000-0000-00005D300000}"/>
    <cellStyle name="40% - Accent3 2 5 8 2 3 2" xfId="23573" xr:uid="{00000000-0005-0000-0000-00005E300000}"/>
    <cellStyle name="40% - Accent3 2 5 8 2 4" xfId="15229" xr:uid="{00000000-0005-0000-0000-00005F300000}"/>
    <cellStyle name="40% - Accent3 2 5 8 2 4 2" xfId="25792" xr:uid="{00000000-0005-0000-0000-000060300000}"/>
    <cellStyle name="40% - Accent3 2 5 8 2 5" xfId="19135" xr:uid="{00000000-0005-0000-0000-000061300000}"/>
    <cellStyle name="40% - Accent3 2 5 8 3" xfId="7839" xr:uid="{00000000-0005-0000-0000-000062300000}"/>
    <cellStyle name="40% - Accent3 2 5 8 3 2" xfId="10058" xr:uid="{00000000-0005-0000-0000-000063300000}"/>
    <cellStyle name="40% - Accent3 2 5 8 3 2 2" xfId="20621" xr:uid="{00000000-0005-0000-0000-000064300000}"/>
    <cellStyle name="40% - Accent3 2 5 8 3 3" xfId="12277" xr:uid="{00000000-0005-0000-0000-000065300000}"/>
    <cellStyle name="40% - Accent3 2 5 8 3 3 2" xfId="22840" xr:uid="{00000000-0005-0000-0000-000066300000}"/>
    <cellStyle name="40% - Accent3 2 5 8 3 4" xfId="14496" xr:uid="{00000000-0005-0000-0000-000067300000}"/>
    <cellStyle name="40% - Accent3 2 5 8 3 4 2" xfId="25059" xr:uid="{00000000-0005-0000-0000-000068300000}"/>
    <cellStyle name="40% - Accent3 2 5 8 3 5" xfId="18402" xr:uid="{00000000-0005-0000-0000-000069300000}"/>
    <cellStyle name="40% - Accent3 2 5 8 4" xfId="9315" xr:uid="{00000000-0005-0000-0000-00006A300000}"/>
    <cellStyle name="40% - Accent3 2 5 8 4 2" xfId="19878" xr:uid="{00000000-0005-0000-0000-00006B300000}"/>
    <cellStyle name="40% - Accent3 2 5 8 5" xfId="11534" xr:uid="{00000000-0005-0000-0000-00006C300000}"/>
    <cellStyle name="40% - Accent3 2 5 8 5 2" xfId="22097" xr:uid="{00000000-0005-0000-0000-00006D300000}"/>
    <cellStyle name="40% - Accent3 2 5 8 6" xfId="13753" xr:uid="{00000000-0005-0000-0000-00006E300000}"/>
    <cellStyle name="40% - Accent3 2 5 8 6 2" xfId="24316" xr:uid="{00000000-0005-0000-0000-00006F300000}"/>
    <cellStyle name="40% - Accent3 2 5 8 7" xfId="17653" xr:uid="{00000000-0005-0000-0000-000070300000}"/>
    <cellStyle name="40% - Accent3 2 5 9" xfId="1146" xr:uid="{00000000-0005-0000-0000-000071300000}"/>
    <cellStyle name="40% - Accent3 2 5 9 2" xfId="8573" xr:uid="{00000000-0005-0000-0000-000072300000}"/>
    <cellStyle name="40% - Accent3 2 5 9 2 2" xfId="10792" xr:uid="{00000000-0005-0000-0000-000073300000}"/>
    <cellStyle name="40% - Accent3 2 5 9 2 2 2" xfId="21355" xr:uid="{00000000-0005-0000-0000-000074300000}"/>
    <cellStyle name="40% - Accent3 2 5 9 2 3" xfId="13011" xr:uid="{00000000-0005-0000-0000-000075300000}"/>
    <cellStyle name="40% - Accent3 2 5 9 2 3 2" xfId="23574" xr:uid="{00000000-0005-0000-0000-000076300000}"/>
    <cellStyle name="40% - Accent3 2 5 9 2 4" xfId="15230" xr:uid="{00000000-0005-0000-0000-000077300000}"/>
    <cellStyle name="40% - Accent3 2 5 9 2 4 2" xfId="25793" xr:uid="{00000000-0005-0000-0000-000078300000}"/>
    <cellStyle name="40% - Accent3 2 5 9 2 5" xfId="19136" xr:uid="{00000000-0005-0000-0000-000079300000}"/>
    <cellStyle name="40% - Accent3 2 5 9 3" xfId="7840" xr:uid="{00000000-0005-0000-0000-00007A300000}"/>
    <cellStyle name="40% - Accent3 2 5 9 3 2" xfId="10059" xr:uid="{00000000-0005-0000-0000-00007B300000}"/>
    <cellStyle name="40% - Accent3 2 5 9 3 2 2" xfId="20622" xr:uid="{00000000-0005-0000-0000-00007C300000}"/>
    <cellStyle name="40% - Accent3 2 5 9 3 3" xfId="12278" xr:uid="{00000000-0005-0000-0000-00007D300000}"/>
    <cellStyle name="40% - Accent3 2 5 9 3 3 2" xfId="22841" xr:uid="{00000000-0005-0000-0000-00007E300000}"/>
    <cellStyle name="40% - Accent3 2 5 9 3 4" xfId="14497" xr:uid="{00000000-0005-0000-0000-00007F300000}"/>
    <cellStyle name="40% - Accent3 2 5 9 3 4 2" xfId="25060" xr:uid="{00000000-0005-0000-0000-000080300000}"/>
    <cellStyle name="40% - Accent3 2 5 9 3 5" xfId="18403" xr:uid="{00000000-0005-0000-0000-000081300000}"/>
    <cellStyle name="40% - Accent3 2 5 9 4" xfId="9316" xr:uid="{00000000-0005-0000-0000-000082300000}"/>
    <cellStyle name="40% - Accent3 2 5 9 4 2" xfId="19879" xr:uid="{00000000-0005-0000-0000-000083300000}"/>
    <cellStyle name="40% - Accent3 2 5 9 5" xfId="11535" xr:uid="{00000000-0005-0000-0000-000084300000}"/>
    <cellStyle name="40% - Accent3 2 5 9 5 2" xfId="22098" xr:uid="{00000000-0005-0000-0000-000085300000}"/>
    <cellStyle name="40% - Accent3 2 5 9 6" xfId="13754" xr:uid="{00000000-0005-0000-0000-000086300000}"/>
    <cellStyle name="40% - Accent3 2 5 9 6 2" xfId="24317" xr:uid="{00000000-0005-0000-0000-000087300000}"/>
    <cellStyle name="40% - Accent3 2 5 9 7" xfId="17654" xr:uid="{00000000-0005-0000-0000-000088300000}"/>
    <cellStyle name="40% - Accent3 2 6" xfId="1147" xr:uid="{00000000-0005-0000-0000-000089300000}"/>
    <cellStyle name="40% - Accent3 2 6 10" xfId="13755" xr:uid="{00000000-0005-0000-0000-00008A300000}"/>
    <cellStyle name="40% - Accent3 2 6 10 2" xfId="24318" xr:uid="{00000000-0005-0000-0000-00008B300000}"/>
    <cellStyle name="40% - Accent3 2 6 11" xfId="17655" xr:uid="{00000000-0005-0000-0000-00008C300000}"/>
    <cellStyle name="40% - Accent3 2 6 2" xfId="1148" xr:uid="{00000000-0005-0000-0000-00008D300000}"/>
    <cellStyle name="40% - Accent3 2 6 2 2" xfId="8575" xr:uid="{00000000-0005-0000-0000-00008E300000}"/>
    <cellStyle name="40% - Accent3 2 6 2 2 2" xfId="10794" xr:uid="{00000000-0005-0000-0000-00008F300000}"/>
    <cellStyle name="40% - Accent3 2 6 2 2 2 2" xfId="21357" xr:uid="{00000000-0005-0000-0000-000090300000}"/>
    <cellStyle name="40% - Accent3 2 6 2 2 3" xfId="13013" xr:uid="{00000000-0005-0000-0000-000091300000}"/>
    <cellStyle name="40% - Accent3 2 6 2 2 3 2" xfId="23576" xr:uid="{00000000-0005-0000-0000-000092300000}"/>
    <cellStyle name="40% - Accent3 2 6 2 2 4" xfId="15232" xr:uid="{00000000-0005-0000-0000-000093300000}"/>
    <cellStyle name="40% - Accent3 2 6 2 2 4 2" xfId="25795" xr:uid="{00000000-0005-0000-0000-000094300000}"/>
    <cellStyle name="40% - Accent3 2 6 2 2 5" xfId="19138" xr:uid="{00000000-0005-0000-0000-000095300000}"/>
    <cellStyle name="40% - Accent3 2 6 2 3" xfId="7842" xr:uid="{00000000-0005-0000-0000-000096300000}"/>
    <cellStyle name="40% - Accent3 2 6 2 3 2" xfId="10061" xr:uid="{00000000-0005-0000-0000-000097300000}"/>
    <cellStyle name="40% - Accent3 2 6 2 3 2 2" xfId="20624" xr:uid="{00000000-0005-0000-0000-000098300000}"/>
    <cellStyle name="40% - Accent3 2 6 2 3 3" xfId="12280" xr:uid="{00000000-0005-0000-0000-000099300000}"/>
    <cellStyle name="40% - Accent3 2 6 2 3 3 2" xfId="22843" xr:uid="{00000000-0005-0000-0000-00009A300000}"/>
    <cellStyle name="40% - Accent3 2 6 2 3 4" xfId="14499" xr:uid="{00000000-0005-0000-0000-00009B300000}"/>
    <cellStyle name="40% - Accent3 2 6 2 3 4 2" xfId="25062" xr:uid="{00000000-0005-0000-0000-00009C300000}"/>
    <cellStyle name="40% - Accent3 2 6 2 3 5" xfId="18405" xr:uid="{00000000-0005-0000-0000-00009D300000}"/>
    <cellStyle name="40% - Accent3 2 6 2 4" xfId="9318" xr:uid="{00000000-0005-0000-0000-00009E300000}"/>
    <cellStyle name="40% - Accent3 2 6 2 4 2" xfId="19881" xr:uid="{00000000-0005-0000-0000-00009F300000}"/>
    <cellStyle name="40% - Accent3 2 6 2 5" xfId="11537" xr:uid="{00000000-0005-0000-0000-0000A0300000}"/>
    <cellStyle name="40% - Accent3 2 6 2 5 2" xfId="22100" xr:uid="{00000000-0005-0000-0000-0000A1300000}"/>
    <cellStyle name="40% - Accent3 2 6 2 6" xfId="13756" xr:uid="{00000000-0005-0000-0000-0000A2300000}"/>
    <cellStyle name="40% - Accent3 2 6 2 6 2" xfId="24319" xr:uid="{00000000-0005-0000-0000-0000A3300000}"/>
    <cellStyle name="40% - Accent3 2 6 2 7" xfId="17656" xr:uid="{00000000-0005-0000-0000-0000A4300000}"/>
    <cellStyle name="40% - Accent3 2 6 3" xfId="1149" xr:uid="{00000000-0005-0000-0000-0000A5300000}"/>
    <cellStyle name="40% - Accent3 2 6 3 2" xfId="8576" xr:uid="{00000000-0005-0000-0000-0000A6300000}"/>
    <cellStyle name="40% - Accent3 2 6 3 2 2" xfId="10795" xr:uid="{00000000-0005-0000-0000-0000A7300000}"/>
    <cellStyle name="40% - Accent3 2 6 3 2 2 2" xfId="21358" xr:uid="{00000000-0005-0000-0000-0000A8300000}"/>
    <cellStyle name="40% - Accent3 2 6 3 2 3" xfId="13014" xr:uid="{00000000-0005-0000-0000-0000A9300000}"/>
    <cellStyle name="40% - Accent3 2 6 3 2 3 2" xfId="23577" xr:uid="{00000000-0005-0000-0000-0000AA300000}"/>
    <cellStyle name="40% - Accent3 2 6 3 2 4" xfId="15233" xr:uid="{00000000-0005-0000-0000-0000AB300000}"/>
    <cellStyle name="40% - Accent3 2 6 3 2 4 2" xfId="25796" xr:uid="{00000000-0005-0000-0000-0000AC300000}"/>
    <cellStyle name="40% - Accent3 2 6 3 2 5" xfId="19139" xr:uid="{00000000-0005-0000-0000-0000AD300000}"/>
    <cellStyle name="40% - Accent3 2 6 3 3" xfId="7843" xr:uid="{00000000-0005-0000-0000-0000AE300000}"/>
    <cellStyle name="40% - Accent3 2 6 3 3 2" xfId="10062" xr:uid="{00000000-0005-0000-0000-0000AF300000}"/>
    <cellStyle name="40% - Accent3 2 6 3 3 2 2" xfId="20625" xr:uid="{00000000-0005-0000-0000-0000B0300000}"/>
    <cellStyle name="40% - Accent3 2 6 3 3 3" xfId="12281" xr:uid="{00000000-0005-0000-0000-0000B1300000}"/>
    <cellStyle name="40% - Accent3 2 6 3 3 3 2" xfId="22844" xr:uid="{00000000-0005-0000-0000-0000B2300000}"/>
    <cellStyle name="40% - Accent3 2 6 3 3 4" xfId="14500" xr:uid="{00000000-0005-0000-0000-0000B3300000}"/>
    <cellStyle name="40% - Accent3 2 6 3 3 4 2" xfId="25063" xr:uid="{00000000-0005-0000-0000-0000B4300000}"/>
    <cellStyle name="40% - Accent3 2 6 3 3 5" xfId="18406" xr:uid="{00000000-0005-0000-0000-0000B5300000}"/>
    <cellStyle name="40% - Accent3 2 6 3 4" xfId="9319" xr:uid="{00000000-0005-0000-0000-0000B6300000}"/>
    <cellStyle name="40% - Accent3 2 6 3 4 2" xfId="19882" xr:uid="{00000000-0005-0000-0000-0000B7300000}"/>
    <cellStyle name="40% - Accent3 2 6 3 5" xfId="11538" xr:uid="{00000000-0005-0000-0000-0000B8300000}"/>
    <cellStyle name="40% - Accent3 2 6 3 5 2" xfId="22101" xr:uid="{00000000-0005-0000-0000-0000B9300000}"/>
    <cellStyle name="40% - Accent3 2 6 3 6" xfId="13757" xr:uid="{00000000-0005-0000-0000-0000BA300000}"/>
    <cellStyle name="40% - Accent3 2 6 3 6 2" xfId="24320" xr:uid="{00000000-0005-0000-0000-0000BB300000}"/>
    <cellStyle name="40% - Accent3 2 6 3 7" xfId="17657" xr:uid="{00000000-0005-0000-0000-0000BC300000}"/>
    <cellStyle name="40% - Accent3 2 6 4" xfId="1150" xr:uid="{00000000-0005-0000-0000-0000BD300000}"/>
    <cellStyle name="40% - Accent3 2 6 4 2" xfId="8577" xr:uid="{00000000-0005-0000-0000-0000BE300000}"/>
    <cellStyle name="40% - Accent3 2 6 4 2 2" xfId="10796" xr:uid="{00000000-0005-0000-0000-0000BF300000}"/>
    <cellStyle name="40% - Accent3 2 6 4 2 2 2" xfId="21359" xr:uid="{00000000-0005-0000-0000-0000C0300000}"/>
    <cellStyle name="40% - Accent3 2 6 4 2 3" xfId="13015" xr:uid="{00000000-0005-0000-0000-0000C1300000}"/>
    <cellStyle name="40% - Accent3 2 6 4 2 3 2" xfId="23578" xr:uid="{00000000-0005-0000-0000-0000C2300000}"/>
    <cellStyle name="40% - Accent3 2 6 4 2 4" xfId="15234" xr:uid="{00000000-0005-0000-0000-0000C3300000}"/>
    <cellStyle name="40% - Accent3 2 6 4 2 4 2" xfId="25797" xr:uid="{00000000-0005-0000-0000-0000C4300000}"/>
    <cellStyle name="40% - Accent3 2 6 4 2 5" xfId="19140" xr:uid="{00000000-0005-0000-0000-0000C5300000}"/>
    <cellStyle name="40% - Accent3 2 6 4 3" xfId="7844" xr:uid="{00000000-0005-0000-0000-0000C6300000}"/>
    <cellStyle name="40% - Accent3 2 6 4 3 2" xfId="10063" xr:uid="{00000000-0005-0000-0000-0000C7300000}"/>
    <cellStyle name="40% - Accent3 2 6 4 3 2 2" xfId="20626" xr:uid="{00000000-0005-0000-0000-0000C8300000}"/>
    <cellStyle name="40% - Accent3 2 6 4 3 3" xfId="12282" xr:uid="{00000000-0005-0000-0000-0000C9300000}"/>
    <cellStyle name="40% - Accent3 2 6 4 3 3 2" xfId="22845" xr:uid="{00000000-0005-0000-0000-0000CA300000}"/>
    <cellStyle name="40% - Accent3 2 6 4 3 4" xfId="14501" xr:uid="{00000000-0005-0000-0000-0000CB300000}"/>
    <cellStyle name="40% - Accent3 2 6 4 3 4 2" xfId="25064" xr:uid="{00000000-0005-0000-0000-0000CC300000}"/>
    <cellStyle name="40% - Accent3 2 6 4 3 5" xfId="18407" xr:uid="{00000000-0005-0000-0000-0000CD300000}"/>
    <cellStyle name="40% - Accent3 2 6 4 4" xfId="9320" xr:uid="{00000000-0005-0000-0000-0000CE300000}"/>
    <cellStyle name="40% - Accent3 2 6 4 4 2" xfId="19883" xr:uid="{00000000-0005-0000-0000-0000CF300000}"/>
    <cellStyle name="40% - Accent3 2 6 4 5" xfId="11539" xr:uid="{00000000-0005-0000-0000-0000D0300000}"/>
    <cellStyle name="40% - Accent3 2 6 4 5 2" xfId="22102" xr:uid="{00000000-0005-0000-0000-0000D1300000}"/>
    <cellStyle name="40% - Accent3 2 6 4 6" xfId="13758" xr:uid="{00000000-0005-0000-0000-0000D2300000}"/>
    <cellStyle name="40% - Accent3 2 6 4 6 2" xfId="24321" xr:uid="{00000000-0005-0000-0000-0000D3300000}"/>
    <cellStyle name="40% - Accent3 2 6 4 7" xfId="17658" xr:uid="{00000000-0005-0000-0000-0000D4300000}"/>
    <cellStyle name="40% - Accent3 2 6 5" xfId="1151" xr:uid="{00000000-0005-0000-0000-0000D5300000}"/>
    <cellStyle name="40% - Accent3 2 6 5 2" xfId="8578" xr:uid="{00000000-0005-0000-0000-0000D6300000}"/>
    <cellStyle name="40% - Accent3 2 6 5 2 2" xfId="10797" xr:uid="{00000000-0005-0000-0000-0000D7300000}"/>
    <cellStyle name="40% - Accent3 2 6 5 2 2 2" xfId="21360" xr:uid="{00000000-0005-0000-0000-0000D8300000}"/>
    <cellStyle name="40% - Accent3 2 6 5 2 3" xfId="13016" xr:uid="{00000000-0005-0000-0000-0000D9300000}"/>
    <cellStyle name="40% - Accent3 2 6 5 2 3 2" xfId="23579" xr:uid="{00000000-0005-0000-0000-0000DA300000}"/>
    <cellStyle name="40% - Accent3 2 6 5 2 4" xfId="15235" xr:uid="{00000000-0005-0000-0000-0000DB300000}"/>
    <cellStyle name="40% - Accent3 2 6 5 2 4 2" xfId="25798" xr:uid="{00000000-0005-0000-0000-0000DC300000}"/>
    <cellStyle name="40% - Accent3 2 6 5 2 5" xfId="19141" xr:uid="{00000000-0005-0000-0000-0000DD300000}"/>
    <cellStyle name="40% - Accent3 2 6 5 3" xfId="7845" xr:uid="{00000000-0005-0000-0000-0000DE300000}"/>
    <cellStyle name="40% - Accent3 2 6 5 3 2" xfId="10064" xr:uid="{00000000-0005-0000-0000-0000DF300000}"/>
    <cellStyle name="40% - Accent3 2 6 5 3 2 2" xfId="20627" xr:uid="{00000000-0005-0000-0000-0000E0300000}"/>
    <cellStyle name="40% - Accent3 2 6 5 3 3" xfId="12283" xr:uid="{00000000-0005-0000-0000-0000E1300000}"/>
    <cellStyle name="40% - Accent3 2 6 5 3 3 2" xfId="22846" xr:uid="{00000000-0005-0000-0000-0000E2300000}"/>
    <cellStyle name="40% - Accent3 2 6 5 3 4" xfId="14502" xr:uid="{00000000-0005-0000-0000-0000E3300000}"/>
    <cellStyle name="40% - Accent3 2 6 5 3 4 2" xfId="25065" xr:uid="{00000000-0005-0000-0000-0000E4300000}"/>
    <cellStyle name="40% - Accent3 2 6 5 3 5" xfId="18408" xr:uid="{00000000-0005-0000-0000-0000E5300000}"/>
    <cellStyle name="40% - Accent3 2 6 5 4" xfId="9321" xr:uid="{00000000-0005-0000-0000-0000E6300000}"/>
    <cellStyle name="40% - Accent3 2 6 5 4 2" xfId="19884" xr:uid="{00000000-0005-0000-0000-0000E7300000}"/>
    <cellStyle name="40% - Accent3 2 6 5 5" xfId="11540" xr:uid="{00000000-0005-0000-0000-0000E8300000}"/>
    <cellStyle name="40% - Accent3 2 6 5 5 2" xfId="22103" xr:uid="{00000000-0005-0000-0000-0000E9300000}"/>
    <cellStyle name="40% - Accent3 2 6 5 6" xfId="13759" xr:uid="{00000000-0005-0000-0000-0000EA300000}"/>
    <cellStyle name="40% - Accent3 2 6 5 6 2" xfId="24322" xr:uid="{00000000-0005-0000-0000-0000EB300000}"/>
    <cellStyle name="40% - Accent3 2 6 5 7" xfId="17659" xr:uid="{00000000-0005-0000-0000-0000EC300000}"/>
    <cellStyle name="40% - Accent3 2 6 6" xfId="8574" xr:uid="{00000000-0005-0000-0000-0000ED300000}"/>
    <cellStyle name="40% - Accent3 2 6 6 2" xfId="10793" xr:uid="{00000000-0005-0000-0000-0000EE300000}"/>
    <cellStyle name="40% - Accent3 2 6 6 2 2" xfId="21356" xr:uid="{00000000-0005-0000-0000-0000EF300000}"/>
    <cellStyle name="40% - Accent3 2 6 6 3" xfId="13012" xr:uid="{00000000-0005-0000-0000-0000F0300000}"/>
    <cellStyle name="40% - Accent3 2 6 6 3 2" xfId="23575" xr:uid="{00000000-0005-0000-0000-0000F1300000}"/>
    <cellStyle name="40% - Accent3 2 6 6 4" xfId="15231" xr:uid="{00000000-0005-0000-0000-0000F2300000}"/>
    <cellStyle name="40% - Accent3 2 6 6 4 2" xfId="25794" xr:uid="{00000000-0005-0000-0000-0000F3300000}"/>
    <cellStyle name="40% - Accent3 2 6 6 5" xfId="19137" xr:uid="{00000000-0005-0000-0000-0000F4300000}"/>
    <cellStyle name="40% - Accent3 2 6 7" xfId="7841" xr:uid="{00000000-0005-0000-0000-0000F5300000}"/>
    <cellStyle name="40% - Accent3 2 6 7 2" xfId="10060" xr:uid="{00000000-0005-0000-0000-0000F6300000}"/>
    <cellStyle name="40% - Accent3 2 6 7 2 2" xfId="20623" xr:uid="{00000000-0005-0000-0000-0000F7300000}"/>
    <cellStyle name="40% - Accent3 2 6 7 3" xfId="12279" xr:uid="{00000000-0005-0000-0000-0000F8300000}"/>
    <cellStyle name="40% - Accent3 2 6 7 3 2" xfId="22842" xr:uid="{00000000-0005-0000-0000-0000F9300000}"/>
    <cellStyle name="40% - Accent3 2 6 7 4" xfId="14498" xr:uid="{00000000-0005-0000-0000-0000FA300000}"/>
    <cellStyle name="40% - Accent3 2 6 7 4 2" xfId="25061" xr:uid="{00000000-0005-0000-0000-0000FB300000}"/>
    <cellStyle name="40% - Accent3 2 6 7 5" xfId="18404" xr:uid="{00000000-0005-0000-0000-0000FC300000}"/>
    <cellStyle name="40% - Accent3 2 6 8" xfId="9317" xr:uid="{00000000-0005-0000-0000-0000FD300000}"/>
    <cellStyle name="40% - Accent3 2 6 8 2" xfId="19880" xr:uid="{00000000-0005-0000-0000-0000FE300000}"/>
    <cellStyle name="40% - Accent3 2 6 9" xfId="11536" xr:uid="{00000000-0005-0000-0000-0000FF300000}"/>
    <cellStyle name="40% - Accent3 2 6 9 2" xfId="22099" xr:uid="{00000000-0005-0000-0000-000000310000}"/>
    <cellStyle name="40% - Accent3 2 7" xfId="1152" xr:uid="{00000000-0005-0000-0000-000001310000}"/>
    <cellStyle name="40% - Accent3 2 7 2" xfId="8579" xr:uid="{00000000-0005-0000-0000-000002310000}"/>
    <cellStyle name="40% - Accent3 2 7 2 2" xfId="10798" xr:uid="{00000000-0005-0000-0000-000003310000}"/>
    <cellStyle name="40% - Accent3 2 7 2 2 2" xfId="21361" xr:uid="{00000000-0005-0000-0000-000004310000}"/>
    <cellStyle name="40% - Accent3 2 7 2 3" xfId="13017" xr:uid="{00000000-0005-0000-0000-000005310000}"/>
    <cellStyle name="40% - Accent3 2 7 2 3 2" xfId="23580" xr:uid="{00000000-0005-0000-0000-000006310000}"/>
    <cellStyle name="40% - Accent3 2 7 2 4" xfId="15236" xr:uid="{00000000-0005-0000-0000-000007310000}"/>
    <cellStyle name="40% - Accent3 2 7 2 4 2" xfId="25799" xr:uid="{00000000-0005-0000-0000-000008310000}"/>
    <cellStyle name="40% - Accent3 2 7 2 5" xfId="19142" xr:uid="{00000000-0005-0000-0000-000009310000}"/>
    <cellStyle name="40% - Accent3 2 7 3" xfId="7846" xr:uid="{00000000-0005-0000-0000-00000A310000}"/>
    <cellStyle name="40% - Accent3 2 7 3 2" xfId="10065" xr:uid="{00000000-0005-0000-0000-00000B310000}"/>
    <cellStyle name="40% - Accent3 2 7 3 2 2" xfId="20628" xr:uid="{00000000-0005-0000-0000-00000C310000}"/>
    <cellStyle name="40% - Accent3 2 7 3 3" xfId="12284" xr:uid="{00000000-0005-0000-0000-00000D310000}"/>
    <cellStyle name="40% - Accent3 2 7 3 3 2" xfId="22847" xr:uid="{00000000-0005-0000-0000-00000E310000}"/>
    <cellStyle name="40% - Accent3 2 7 3 4" xfId="14503" xr:uid="{00000000-0005-0000-0000-00000F310000}"/>
    <cellStyle name="40% - Accent3 2 7 3 4 2" xfId="25066" xr:uid="{00000000-0005-0000-0000-000010310000}"/>
    <cellStyle name="40% - Accent3 2 7 3 5" xfId="18409" xr:uid="{00000000-0005-0000-0000-000011310000}"/>
    <cellStyle name="40% - Accent3 2 7 4" xfId="9322" xr:uid="{00000000-0005-0000-0000-000012310000}"/>
    <cellStyle name="40% - Accent3 2 7 4 2" xfId="19885" xr:uid="{00000000-0005-0000-0000-000013310000}"/>
    <cellStyle name="40% - Accent3 2 7 5" xfId="11541" xr:uid="{00000000-0005-0000-0000-000014310000}"/>
    <cellStyle name="40% - Accent3 2 7 5 2" xfId="22104" xr:uid="{00000000-0005-0000-0000-000015310000}"/>
    <cellStyle name="40% - Accent3 2 7 6" xfId="13760" xr:uid="{00000000-0005-0000-0000-000016310000}"/>
    <cellStyle name="40% - Accent3 2 7 6 2" xfId="24323" xr:uid="{00000000-0005-0000-0000-000017310000}"/>
    <cellStyle name="40% - Accent3 2 7 7" xfId="17660" xr:uid="{00000000-0005-0000-0000-000018310000}"/>
    <cellStyle name="40% - Accent3 2 8" xfId="1153" xr:uid="{00000000-0005-0000-0000-000019310000}"/>
    <cellStyle name="40% - Accent3 2 8 2" xfId="8580" xr:uid="{00000000-0005-0000-0000-00001A310000}"/>
    <cellStyle name="40% - Accent3 2 8 2 2" xfId="10799" xr:uid="{00000000-0005-0000-0000-00001B310000}"/>
    <cellStyle name="40% - Accent3 2 8 2 2 2" xfId="21362" xr:uid="{00000000-0005-0000-0000-00001C310000}"/>
    <cellStyle name="40% - Accent3 2 8 2 3" xfId="13018" xr:uid="{00000000-0005-0000-0000-00001D310000}"/>
    <cellStyle name="40% - Accent3 2 8 2 3 2" xfId="23581" xr:uid="{00000000-0005-0000-0000-00001E310000}"/>
    <cellStyle name="40% - Accent3 2 8 2 4" xfId="15237" xr:uid="{00000000-0005-0000-0000-00001F310000}"/>
    <cellStyle name="40% - Accent3 2 8 2 4 2" xfId="25800" xr:uid="{00000000-0005-0000-0000-000020310000}"/>
    <cellStyle name="40% - Accent3 2 8 2 5" xfId="19143" xr:uid="{00000000-0005-0000-0000-000021310000}"/>
    <cellStyle name="40% - Accent3 2 8 3" xfId="7847" xr:uid="{00000000-0005-0000-0000-000022310000}"/>
    <cellStyle name="40% - Accent3 2 8 3 2" xfId="10066" xr:uid="{00000000-0005-0000-0000-000023310000}"/>
    <cellStyle name="40% - Accent3 2 8 3 2 2" xfId="20629" xr:uid="{00000000-0005-0000-0000-000024310000}"/>
    <cellStyle name="40% - Accent3 2 8 3 3" xfId="12285" xr:uid="{00000000-0005-0000-0000-000025310000}"/>
    <cellStyle name="40% - Accent3 2 8 3 3 2" xfId="22848" xr:uid="{00000000-0005-0000-0000-000026310000}"/>
    <cellStyle name="40% - Accent3 2 8 3 4" xfId="14504" xr:uid="{00000000-0005-0000-0000-000027310000}"/>
    <cellStyle name="40% - Accent3 2 8 3 4 2" xfId="25067" xr:uid="{00000000-0005-0000-0000-000028310000}"/>
    <cellStyle name="40% - Accent3 2 8 3 5" xfId="18410" xr:uid="{00000000-0005-0000-0000-000029310000}"/>
    <cellStyle name="40% - Accent3 2 8 4" xfId="9323" xr:uid="{00000000-0005-0000-0000-00002A310000}"/>
    <cellStyle name="40% - Accent3 2 8 4 2" xfId="19886" xr:uid="{00000000-0005-0000-0000-00002B310000}"/>
    <cellStyle name="40% - Accent3 2 8 5" xfId="11542" xr:uid="{00000000-0005-0000-0000-00002C310000}"/>
    <cellStyle name="40% - Accent3 2 8 5 2" xfId="22105" xr:uid="{00000000-0005-0000-0000-00002D310000}"/>
    <cellStyle name="40% - Accent3 2 8 6" xfId="13761" xr:uid="{00000000-0005-0000-0000-00002E310000}"/>
    <cellStyle name="40% - Accent3 2 8 6 2" xfId="24324" xr:uid="{00000000-0005-0000-0000-00002F310000}"/>
    <cellStyle name="40% - Accent3 2 8 7" xfId="17661" xr:uid="{00000000-0005-0000-0000-000030310000}"/>
    <cellStyle name="40% - Accent3 2 9" xfId="1154" xr:uid="{00000000-0005-0000-0000-000031310000}"/>
    <cellStyle name="40% - Accent3 2 9 2" xfId="8581" xr:uid="{00000000-0005-0000-0000-000032310000}"/>
    <cellStyle name="40% - Accent3 2 9 2 2" xfId="10800" xr:uid="{00000000-0005-0000-0000-000033310000}"/>
    <cellStyle name="40% - Accent3 2 9 2 2 2" xfId="21363" xr:uid="{00000000-0005-0000-0000-000034310000}"/>
    <cellStyle name="40% - Accent3 2 9 2 3" xfId="13019" xr:uid="{00000000-0005-0000-0000-000035310000}"/>
    <cellStyle name="40% - Accent3 2 9 2 3 2" xfId="23582" xr:uid="{00000000-0005-0000-0000-000036310000}"/>
    <cellStyle name="40% - Accent3 2 9 2 4" xfId="15238" xr:uid="{00000000-0005-0000-0000-000037310000}"/>
    <cellStyle name="40% - Accent3 2 9 2 4 2" xfId="25801" xr:uid="{00000000-0005-0000-0000-000038310000}"/>
    <cellStyle name="40% - Accent3 2 9 2 5" xfId="19144" xr:uid="{00000000-0005-0000-0000-000039310000}"/>
    <cellStyle name="40% - Accent3 2 9 3" xfId="7848" xr:uid="{00000000-0005-0000-0000-00003A310000}"/>
    <cellStyle name="40% - Accent3 2 9 3 2" xfId="10067" xr:uid="{00000000-0005-0000-0000-00003B310000}"/>
    <cellStyle name="40% - Accent3 2 9 3 2 2" xfId="20630" xr:uid="{00000000-0005-0000-0000-00003C310000}"/>
    <cellStyle name="40% - Accent3 2 9 3 3" xfId="12286" xr:uid="{00000000-0005-0000-0000-00003D310000}"/>
    <cellStyle name="40% - Accent3 2 9 3 3 2" xfId="22849" xr:uid="{00000000-0005-0000-0000-00003E310000}"/>
    <cellStyle name="40% - Accent3 2 9 3 4" xfId="14505" xr:uid="{00000000-0005-0000-0000-00003F310000}"/>
    <cellStyle name="40% - Accent3 2 9 3 4 2" xfId="25068" xr:uid="{00000000-0005-0000-0000-000040310000}"/>
    <cellStyle name="40% - Accent3 2 9 3 5" xfId="18411" xr:uid="{00000000-0005-0000-0000-000041310000}"/>
    <cellStyle name="40% - Accent3 2 9 4" xfId="9324" xr:uid="{00000000-0005-0000-0000-000042310000}"/>
    <cellStyle name="40% - Accent3 2 9 4 2" xfId="19887" xr:uid="{00000000-0005-0000-0000-000043310000}"/>
    <cellStyle name="40% - Accent3 2 9 5" xfId="11543" xr:uid="{00000000-0005-0000-0000-000044310000}"/>
    <cellStyle name="40% - Accent3 2 9 5 2" xfId="22106" xr:uid="{00000000-0005-0000-0000-000045310000}"/>
    <cellStyle name="40% - Accent3 2 9 6" xfId="13762" xr:uid="{00000000-0005-0000-0000-000046310000}"/>
    <cellStyle name="40% - Accent3 2 9 6 2" xfId="24325" xr:uid="{00000000-0005-0000-0000-000047310000}"/>
    <cellStyle name="40% - Accent3 2 9 7" xfId="17662" xr:uid="{00000000-0005-0000-0000-000048310000}"/>
    <cellStyle name="40% - Accent3 20" xfId="1155" xr:uid="{00000000-0005-0000-0000-000049310000}"/>
    <cellStyle name="40% - Accent3 21" xfId="1156" xr:uid="{00000000-0005-0000-0000-00004A310000}"/>
    <cellStyle name="40% - Accent3 22" xfId="1157" xr:uid="{00000000-0005-0000-0000-00004B310000}"/>
    <cellStyle name="40% - Accent3 23" xfId="1158" xr:uid="{00000000-0005-0000-0000-00004C310000}"/>
    <cellStyle name="40% - Accent3 24" xfId="1159" xr:uid="{00000000-0005-0000-0000-00004D310000}"/>
    <cellStyle name="40% - Accent3 25" xfId="1160" xr:uid="{00000000-0005-0000-0000-00004E310000}"/>
    <cellStyle name="40% - Accent3 26" xfId="1161" xr:uid="{00000000-0005-0000-0000-00004F310000}"/>
    <cellStyle name="40% - Accent3 27" xfId="8078" xr:uid="{00000000-0005-0000-0000-000050310000}"/>
    <cellStyle name="40% - Accent3 27 2" xfId="10297" xr:uid="{00000000-0005-0000-0000-000051310000}"/>
    <cellStyle name="40% - Accent3 27 2 2" xfId="20860" xr:uid="{00000000-0005-0000-0000-000052310000}"/>
    <cellStyle name="40% - Accent3 27 3" xfId="12516" xr:uid="{00000000-0005-0000-0000-000053310000}"/>
    <cellStyle name="40% - Accent3 27 3 2" xfId="23079" xr:uid="{00000000-0005-0000-0000-000054310000}"/>
    <cellStyle name="40% - Accent3 27 4" xfId="14735" xr:uid="{00000000-0005-0000-0000-000055310000}"/>
    <cellStyle name="40% - Accent3 27 4 2" xfId="25298" xr:uid="{00000000-0005-0000-0000-000056310000}"/>
    <cellStyle name="40% - Accent3 27 5" xfId="18641" xr:uid="{00000000-0005-0000-0000-000057310000}"/>
    <cellStyle name="40% - Accent3 28" xfId="7345" xr:uid="{00000000-0005-0000-0000-000058310000}"/>
    <cellStyle name="40% - Accent3 28 2" xfId="9564" xr:uid="{00000000-0005-0000-0000-000059310000}"/>
    <cellStyle name="40% - Accent3 28 2 2" xfId="20127" xr:uid="{00000000-0005-0000-0000-00005A310000}"/>
    <cellStyle name="40% - Accent3 28 3" xfId="11783" xr:uid="{00000000-0005-0000-0000-00005B310000}"/>
    <cellStyle name="40% - Accent3 28 3 2" xfId="22346" xr:uid="{00000000-0005-0000-0000-00005C310000}"/>
    <cellStyle name="40% - Accent3 28 4" xfId="14002" xr:uid="{00000000-0005-0000-0000-00005D310000}"/>
    <cellStyle name="40% - Accent3 28 4 2" xfId="24565" xr:uid="{00000000-0005-0000-0000-00005E310000}"/>
    <cellStyle name="40% - Accent3 28 5" xfId="17908" xr:uid="{00000000-0005-0000-0000-00005F310000}"/>
    <cellStyle name="40% - Accent3 29" xfId="8821" xr:uid="{00000000-0005-0000-0000-000060310000}"/>
    <cellStyle name="40% - Accent3 29 2" xfId="19384" xr:uid="{00000000-0005-0000-0000-000061310000}"/>
    <cellStyle name="40% - Accent3 3" xfId="1162" xr:uid="{00000000-0005-0000-0000-000062310000}"/>
    <cellStyle name="40% - Accent3 3 10" xfId="1163" xr:uid="{00000000-0005-0000-0000-000063310000}"/>
    <cellStyle name="40% - Accent3 3 2" xfId="1164" xr:uid="{00000000-0005-0000-0000-000064310000}"/>
    <cellStyle name="40% - Accent3 3 2 2" xfId="8582" xr:uid="{00000000-0005-0000-0000-000065310000}"/>
    <cellStyle name="40% - Accent3 3 2 2 2" xfId="10801" xr:uid="{00000000-0005-0000-0000-000066310000}"/>
    <cellStyle name="40% - Accent3 3 2 2 2 2" xfId="21364" xr:uid="{00000000-0005-0000-0000-000067310000}"/>
    <cellStyle name="40% - Accent3 3 2 2 3" xfId="13020" xr:uid="{00000000-0005-0000-0000-000068310000}"/>
    <cellStyle name="40% - Accent3 3 2 2 3 2" xfId="23583" xr:uid="{00000000-0005-0000-0000-000069310000}"/>
    <cellStyle name="40% - Accent3 3 2 2 4" xfId="15239" xr:uid="{00000000-0005-0000-0000-00006A310000}"/>
    <cellStyle name="40% - Accent3 3 2 2 4 2" xfId="25802" xr:uid="{00000000-0005-0000-0000-00006B310000}"/>
    <cellStyle name="40% - Accent3 3 2 2 5" xfId="19145" xr:uid="{00000000-0005-0000-0000-00006C310000}"/>
    <cellStyle name="40% - Accent3 3 2 3" xfId="7849" xr:uid="{00000000-0005-0000-0000-00006D310000}"/>
    <cellStyle name="40% - Accent3 3 2 3 2" xfId="10068" xr:uid="{00000000-0005-0000-0000-00006E310000}"/>
    <cellStyle name="40% - Accent3 3 2 3 2 2" xfId="20631" xr:uid="{00000000-0005-0000-0000-00006F310000}"/>
    <cellStyle name="40% - Accent3 3 2 3 3" xfId="12287" xr:uid="{00000000-0005-0000-0000-000070310000}"/>
    <cellStyle name="40% - Accent3 3 2 3 3 2" xfId="22850" xr:uid="{00000000-0005-0000-0000-000071310000}"/>
    <cellStyle name="40% - Accent3 3 2 3 4" xfId="14506" xr:uid="{00000000-0005-0000-0000-000072310000}"/>
    <cellStyle name="40% - Accent3 3 2 3 4 2" xfId="25069" xr:uid="{00000000-0005-0000-0000-000073310000}"/>
    <cellStyle name="40% - Accent3 3 2 3 5" xfId="18412" xr:uid="{00000000-0005-0000-0000-000074310000}"/>
    <cellStyle name="40% - Accent3 3 2 4" xfId="9325" xr:uid="{00000000-0005-0000-0000-000075310000}"/>
    <cellStyle name="40% - Accent3 3 2 4 2" xfId="19888" xr:uid="{00000000-0005-0000-0000-000076310000}"/>
    <cellStyle name="40% - Accent3 3 2 5" xfId="11544" xr:uid="{00000000-0005-0000-0000-000077310000}"/>
    <cellStyle name="40% - Accent3 3 2 5 2" xfId="22107" xr:uid="{00000000-0005-0000-0000-000078310000}"/>
    <cellStyle name="40% - Accent3 3 2 6" xfId="13763" xr:uid="{00000000-0005-0000-0000-000079310000}"/>
    <cellStyle name="40% - Accent3 3 2 6 2" xfId="24326" xr:uid="{00000000-0005-0000-0000-00007A310000}"/>
    <cellStyle name="40% - Accent3 3 2 7" xfId="17663" xr:uid="{00000000-0005-0000-0000-00007B310000}"/>
    <cellStyle name="40% - Accent3 3 3" xfId="1165" xr:uid="{00000000-0005-0000-0000-00007C310000}"/>
    <cellStyle name="40% - Accent3 3 3 2" xfId="8583" xr:uid="{00000000-0005-0000-0000-00007D310000}"/>
    <cellStyle name="40% - Accent3 3 3 2 2" xfId="10802" xr:uid="{00000000-0005-0000-0000-00007E310000}"/>
    <cellStyle name="40% - Accent3 3 3 2 2 2" xfId="21365" xr:uid="{00000000-0005-0000-0000-00007F310000}"/>
    <cellStyle name="40% - Accent3 3 3 2 3" xfId="13021" xr:uid="{00000000-0005-0000-0000-000080310000}"/>
    <cellStyle name="40% - Accent3 3 3 2 3 2" xfId="23584" xr:uid="{00000000-0005-0000-0000-000081310000}"/>
    <cellStyle name="40% - Accent3 3 3 2 4" xfId="15240" xr:uid="{00000000-0005-0000-0000-000082310000}"/>
    <cellStyle name="40% - Accent3 3 3 2 4 2" xfId="25803" xr:uid="{00000000-0005-0000-0000-000083310000}"/>
    <cellStyle name="40% - Accent3 3 3 2 5" xfId="19146" xr:uid="{00000000-0005-0000-0000-000084310000}"/>
    <cellStyle name="40% - Accent3 3 3 3" xfId="7850" xr:uid="{00000000-0005-0000-0000-000085310000}"/>
    <cellStyle name="40% - Accent3 3 3 3 2" xfId="10069" xr:uid="{00000000-0005-0000-0000-000086310000}"/>
    <cellStyle name="40% - Accent3 3 3 3 2 2" xfId="20632" xr:uid="{00000000-0005-0000-0000-000087310000}"/>
    <cellStyle name="40% - Accent3 3 3 3 3" xfId="12288" xr:uid="{00000000-0005-0000-0000-000088310000}"/>
    <cellStyle name="40% - Accent3 3 3 3 3 2" xfId="22851" xr:uid="{00000000-0005-0000-0000-000089310000}"/>
    <cellStyle name="40% - Accent3 3 3 3 4" xfId="14507" xr:uid="{00000000-0005-0000-0000-00008A310000}"/>
    <cellStyle name="40% - Accent3 3 3 3 4 2" xfId="25070" xr:uid="{00000000-0005-0000-0000-00008B310000}"/>
    <cellStyle name="40% - Accent3 3 3 3 5" xfId="18413" xr:uid="{00000000-0005-0000-0000-00008C310000}"/>
    <cellStyle name="40% - Accent3 3 3 4" xfId="9326" xr:uid="{00000000-0005-0000-0000-00008D310000}"/>
    <cellStyle name="40% - Accent3 3 3 4 2" xfId="19889" xr:uid="{00000000-0005-0000-0000-00008E310000}"/>
    <cellStyle name="40% - Accent3 3 3 5" xfId="11545" xr:uid="{00000000-0005-0000-0000-00008F310000}"/>
    <cellStyle name="40% - Accent3 3 3 5 2" xfId="22108" xr:uid="{00000000-0005-0000-0000-000090310000}"/>
    <cellStyle name="40% - Accent3 3 3 6" xfId="13764" xr:uid="{00000000-0005-0000-0000-000091310000}"/>
    <cellStyle name="40% - Accent3 3 3 6 2" xfId="24327" xr:uid="{00000000-0005-0000-0000-000092310000}"/>
    <cellStyle name="40% - Accent3 3 3 7" xfId="17664" xr:uid="{00000000-0005-0000-0000-000093310000}"/>
    <cellStyle name="40% - Accent3 3 4" xfId="1166" xr:uid="{00000000-0005-0000-0000-000094310000}"/>
    <cellStyle name="40% - Accent3 3 4 2" xfId="8584" xr:uid="{00000000-0005-0000-0000-000095310000}"/>
    <cellStyle name="40% - Accent3 3 4 2 2" xfId="10803" xr:uid="{00000000-0005-0000-0000-000096310000}"/>
    <cellStyle name="40% - Accent3 3 4 2 2 2" xfId="21366" xr:uid="{00000000-0005-0000-0000-000097310000}"/>
    <cellStyle name="40% - Accent3 3 4 2 3" xfId="13022" xr:uid="{00000000-0005-0000-0000-000098310000}"/>
    <cellStyle name="40% - Accent3 3 4 2 3 2" xfId="23585" xr:uid="{00000000-0005-0000-0000-000099310000}"/>
    <cellStyle name="40% - Accent3 3 4 2 4" xfId="15241" xr:uid="{00000000-0005-0000-0000-00009A310000}"/>
    <cellStyle name="40% - Accent3 3 4 2 4 2" xfId="25804" xr:uid="{00000000-0005-0000-0000-00009B310000}"/>
    <cellStyle name="40% - Accent3 3 4 2 5" xfId="19147" xr:uid="{00000000-0005-0000-0000-00009C310000}"/>
    <cellStyle name="40% - Accent3 3 4 3" xfId="7851" xr:uid="{00000000-0005-0000-0000-00009D310000}"/>
    <cellStyle name="40% - Accent3 3 4 3 2" xfId="10070" xr:uid="{00000000-0005-0000-0000-00009E310000}"/>
    <cellStyle name="40% - Accent3 3 4 3 2 2" xfId="20633" xr:uid="{00000000-0005-0000-0000-00009F310000}"/>
    <cellStyle name="40% - Accent3 3 4 3 3" xfId="12289" xr:uid="{00000000-0005-0000-0000-0000A0310000}"/>
    <cellStyle name="40% - Accent3 3 4 3 3 2" xfId="22852" xr:uid="{00000000-0005-0000-0000-0000A1310000}"/>
    <cellStyle name="40% - Accent3 3 4 3 4" xfId="14508" xr:uid="{00000000-0005-0000-0000-0000A2310000}"/>
    <cellStyle name="40% - Accent3 3 4 3 4 2" xfId="25071" xr:uid="{00000000-0005-0000-0000-0000A3310000}"/>
    <cellStyle name="40% - Accent3 3 4 3 5" xfId="18414" xr:uid="{00000000-0005-0000-0000-0000A4310000}"/>
    <cellStyle name="40% - Accent3 3 4 4" xfId="9327" xr:uid="{00000000-0005-0000-0000-0000A5310000}"/>
    <cellStyle name="40% - Accent3 3 4 4 2" xfId="19890" xr:uid="{00000000-0005-0000-0000-0000A6310000}"/>
    <cellStyle name="40% - Accent3 3 4 5" xfId="11546" xr:uid="{00000000-0005-0000-0000-0000A7310000}"/>
    <cellStyle name="40% - Accent3 3 4 5 2" xfId="22109" xr:uid="{00000000-0005-0000-0000-0000A8310000}"/>
    <cellStyle name="40% - Accent3 3 4 6" xfId="13765" xr:uid="{00000000-0005-0000-0000-0000A9310000}"/>
    <cellStyle name="40% - Accent3 3 4 6 2" xfId="24328" xr:uid="{00000000-0005-0000-0000-0000AA310000}"/>
    <cellStyle name="40% - Accent3 3 4 7" xfId="17665" xr:uid="{00000000-0005-0000-0000-0000AB310000}"/>
    <cellStyle name="40% - Accent3 3 5" xfId="1167" xr:uid="{00000000-0005-0000-0000-0000AC310000}"/>
    <cellStyle name="40% - Accent3 3 5 2" xfId="8585" xr:uid="{00000000-0005-0000-0000-0000AD310000}"/>
    <cellStyle name="40% - Accent3 3 5 2 2" xfId="10804" xr:uid="{00000000-0005-0000-0000-0000AE310000}"/>
    <cellStyle name="40% - Accent3 3 5 2 2 2" xfId="21367" xr:uid="{00000000-0005-0000-0000-0000AF310000}"/>
    <cellStyle name="40% - Accent3 3 5 2 3" xfId="13023" xr:uid="{00000000-0005-0000-0000-0000B0310000}"/>
    <cellStyle name="40% - Accent3 3 5 2 3 2" xfId="23586" xr:uid="{00000000-0005-0000-0000-0000B1310000}"/>
    <cellStyle name="40% - Accent3 3 5 2 4" xfId="15242" xr:uid="{00000000-0005-0000-0000-0000B2310000}"/>
    <cellStyle name="40% - Accent3 3 5 2 4 2" xfId="25805" xr:uid="{00000000-0005-0000-0000-0000B3310000}"/>
    <cellStyle name="40% - Accent3 3 5 2 5" xfId="19148" xr:uid="{00000000-0005-0000-0000-0000B4310000}"/>
    <cellStyle name="40% - Accent3 3 5 3" xfId="7852" xr:uid="{00000000-0005-0000-0000-0000B5310000}"/>
    <cellStyle name="40% - Accent3 3 5 3 2" xfId="10071" xr:uid="{00000000-0005-0000-0000-0000B6310000}"/>
    <cellStyle name="40% - Accent3 3 5 3 2 2" xfId="20634" xr:uid="{00000000-0005-0000-0000-0000B7310000}"/>
    <cellStyle name="40% - Accent3 3 5 3 3" xfId="12290" xr:uid="{00000000-0005-0000-0000-0000B8310000}"/>
    <cellStyle name="40% - Accent3 3 5 3 3 2" xfId="22853" xr:uid="{00000000-0005-0000-0000-0000B9310000}"/>
    <cellStyle name="40% - Accent3 3 5 3 4" xfId="14509" xr:uid="{00000000-0005-0000-0000-0000BA310000}"/>
    <cellStyle name="40% - Accent3 3 5 3 4 2" xfId="25072" xr:uid="{00000000-0005-0000-0000-0000BB310000}"/>
    <cellStyle name="40% - Accent3 3 5 3 5" xfId="18415" xr:uid="{00000000-0005-0000-0000-0000BC310000}"/>
    <cellStyle name="40% - Accent3 3 5 4" xfId="9328" xr:uid="{00000000-0005-0000-0000-0000BD310000}"/>
    <cellStyle name="40% - Accent3 3 5 4 2" xfId="19891" xr:uid="{00000000-0005-0000-0000-0000BE310000}"/>
    <cellStyle name="40% - Accent3 3 5 5" xfId="11547" xr:uid="{00000000-0005-0000-0000-0000BF310000}"/>
    <cellStyle name="40% - Accent3 3 5 5 2" xfId="22110" xr:uid="{00000000-0005-0000-0000-0000C0310000}"/>
    <cellStyle name="40% - Accent3 3 5 6" xfId="13766" xr:uid="{00000000-0005-0000-0000-0000C1310000}"/>
    <cellStyle name="40% - Accent3 3 5 6 2" xfId="24329" xr:uid="{00000000-0005-0000-0000-0000C2310000}"/>
    <cellStyle name="40% - Accent3 3 5 7" xfId="17666" xr:uid="{00000000-0005-0000-0000-0000C3310000}"/>
    <cellStyle name="40% - Accent3 3 6" xfId="1168" xr:uid="{00000000-0005-0000-0000-0000C4310000}"/>
    <cellStyle name="40% - Accent3 3 7" xfId="1169" xr:uid="{00000000-0005-0000-0000-0000C5310000}"/>
    <cellStyle name="40% - Accent3 3 8" xfId="1170" xr:uid="{00000000-0005-0000-0000-0000C6310000}"/>
    <cellStyle name="40% - Accent3 3 9" xfId="1171" xr:uid="{00000000-0005-0000-0000-0000C7310000}"/>
    <cellStyle name="40% - Accent3 30" xfId="11040" xr:uid="{00000000-0005-0000-0000-0000C8310000}"/>
    <cellStyle name="40% - Accent3 30 2" xfId="21603" xr:uid="{00000000-0005-0000-0000-0000C9310000}"/>
    <cellStyle name="40% - Accent3 31" xfId="13259" xr:uid="{00000000-0005-0000-0000-0000CA310000}"/>
    <cellStyle name="40% - Accent3 31 2" xfId="23822" xr:uid="{00000000-0005-0000-0000-0000CB310000}"/>
    <cellStyle name="40% - Accent3 4" xfId="1172" xr:uid="{00000000-0005-0000-0000-0000CC310000}"/>
    <cellStyle name="40% - Accent3 4 2" xfId="1173" xr:uid="{00000000-0005-0000-0000-0000CD310000}"/>
    <cellStyle name="40% - Accent3 4 3" xfId="1174" xr:uid="{00000000-0005-0000-0000-0000CE310000}"/>
    <cellStyle name="40% - Accent3 4 4" xfId="1175" xr:uid="{00000000-0005-0000-0000-0000CF310000}"/>
    <cellStyle name="40% - Accent3 4 5" xfId="1176" xr:uid="{00000000-0005-0000-0000-0000D0310000}"/>
    <cellStyle name="40% - Accent3 4 6" xfId="1177" xr:uid="{00000000-0005-0000-0000-0000D1310000}"/>
    <cellStyle name="40% - Accent3 5" xfId="1178" xr:uid="{00000000-0005-0000-0000-0000D2310000}"/>
    <cellStyle name="40% - Accent3 5 2" xfId="1179" xr:uid="{00000000-0005-0000-0000-0000D3310000}"/>
    <cellStyle name="40% - Accent3 5 3" xfId="1180" xr:uid="{00000000-0005-0000-0000-0000D4310000}"/>
    <cellStyle name="40% - Accent3 5 4" xfId="1181" xr:uid="{00000000-0005-0000-0000-0000D5310000}"/>
    <cellStyle name="40% - Accent3 5 5" xfId="1182" xr:uid="{00000000-0005-0000-0000-0000D6310000}"/>
    <cellStyle name="40% - Accent3 5 6" xfId="1183" xr:uid="{00000000-0005-0000-0000-0000D7310000}"/>
    <cellStyle name="40% - Accent3 6" xfId="1184" xr:uid="{00000000-0005-0000-0000-0000D8310000}"/>
    <cellStyle name="40% - Accent3 6 2" xfId="1185" xr:uid="{00000000-0005-0000-0000-0000D9310000}"/>
    <cellStyle name="40% - Accent3 6 3" xfId="1186" xr:uid="{00000000-0005-0000-0000-0000DA310000}"/>
    <cellStyle name="40% - Accent3 6 4" xfId="1187" xr:uid="{00000000-0005-0000-0000-0000DB310000}"/>
    <cellStyle name="40% - Accent3 6 5" xfId="1188" xr:uid="{00000000-0005-0000-0000-0000DC310000}"/>
    <cellStyle name="40% - Accent3 6 6" xfId="1189" xr:uid="{00000000-0005-0000-0000-0000DD310000}"/>
    <cellStyle name="40% - Accent3 7" xfId="1190" xr:uid="{00000000-0005-0000-0000-0000DE310000}"/>
    <cellStyle name="40% - Accent3 7 10" xfId="11548" xr:uid="{00000000-0005-0000-0000-0000DF310000}"/>
    <cellStyle name="40% - Accent3 7 10 2" xfId="22111" xr:uid="{00000000-0005-0000-0000-0000E0310000}"/>
    <cellStyle name="40% - Accent3 7 11" xfId="13767" xr:uid="{00000000-0005-0000-0000-0000E1310000}"/>
    <cellStyle name="40% - Accent3 7 11 2" xfId="24330" xr:uid="{00000000-0005-0000-0000-0000E2310000}"/>
    <cellStyle name="40% - Accent3 7 12" xfId="17667" xr:uid="{00000000-0005-0000-0000-0000E3310000}"/>
    <cellStyle name="40% - Accent3 7 2" xfId="1191" xr:uid="{00000000-0005-0000-0000-0000E4310000}"/>
    <cellStyle name="40% - Accent3 7 3" xfId="1192" xr:uid="{00000000-0005-0000-0000-0000E5310000}"/>
    <cellStyle name="40% - Accent3 7 4" xfId="1193" xr:uid="{00000000-0005-0000-0000-0000E6310000}"/>
    <cellStyle name="40% - Accent3 7 5" xfId="1194" xr:uid="{00000000-0005-0000-0000-0000E7310000}"/>
    <cellStyle name="40% - Accent3 7 6" xfId="1195" xr:uid="{00000000-0005-0000-0000-0000E8310000}"/>
    <cellStyle name="40% - Accent3 7 7" xfId="8586" xr:uid="{00000000-0005-0000-0000-0000E9310000}"/>
    <cellStyle name="40% - Accent3 7 7 2" xfId="10805" xr:uid="{00000000-0005-0000-0000-0000EA310000}"/>
    <cellStyle name="40% - Accent3 7 7 2 2" xfId="21368" xr:uid="{00000000-0005-0000-0000-0000EB310000}"/>
    <cellStyle name="40% - Accent3 7 7 3" xfId="13024" xr:uid="{00000000-0005-0000-0000-0000EC310000}"/>
    <cellStyle name="40% - Accent3 7 7 3 2" xfId="23587" xr:uid="{00000000-0005-0000-0000-0000ED310000}"/>
    <cellStyle name="40% - Accent3 7 7 4" xfId="15243" xr:uid="{00000000-0005-0000-0000-0000EE310000}"/>
    <cellStyle name="40% - Accent3 7 7 4 2" xfId="25806" xr:uid="{00000000-0005-0000-0000-0000EF310000}"/>
    <cellStyle name="40% - Accent3 7 7 5" xfId="19149" xr:uid="{00000000-0005-0000-0000-0000F0310000}"/>
    <cellStyle name="40% - Accent3 7 8" xfId="7853" xr:uid="{00000000-0005-0000-0000-0000F1310000}"/>
    <cellStyle name="40% - Accent3 7 8 2" xfId="10072" xr:uid="{00000000-0005-0000-0000-0000F2310000}"/>
    <cellStyle name="40% - Accent3 7 8 2 2" xfId="20635" xr:uid="{00000000-0005-0000-0000-0000F3310000}"/>
    <cellStyle name="40% - Accent3 7 8 3" xfId="12291" xr:uid="{00000000-0005-0000-0000-0000F4310000}"/>
    <cellStyle name="40% - Accent3 7 8 3 2" xfId="22854" xr:uid="{00000000-0005-0000-0000-0000F5310000}"/>
    <cellStyle name="40% - Accent3 7 8 4" xfId="14510" xr:uid="{00000000-0005-0000-0000-0000F6310000}"/>
    <cellStyle name="40% - Accent3 7 8 4 2" xfId="25073" xr:uid="{00000000-0005-0000-0000-0000F7310000}"/>
    <cellStyle name="40% - Accent3 7 8 5" xfId="18416" xr:uid="{00000000-0005-0000-0000-0000F8310000}"/>
    <cellStyle name="40% - Accent3 7 9" xfId="9329" xr:uid="{00000000-0005-0000-0000-0000F9310000}"/>
    <cellStyle name="40% - Accent3 7 9 2" xfId="19892" xr:uid="{00000000-0005-0000-0000-0000FA310000}"/>
    <cellStyle name="40% - Accent3 8" xfId="1196" xr:uid="{00000000-0005-0000-0000-0000FB310000}"/>
    <cellStyle name="40% - Accent3 8 2" xfId="1197" xr:uid="{00000000-0005-0000-0000-0000FC310000}"/>
    <cellStyle name="40% - Accent3 8 3" xfId="1198" xr:uid="{00000000-0005-0000-0000-0000FD310000}"/>
    <cellStyle name="40% - Accent3 8 4" xfId="1199" xr:uid="{00000000-0005-0000-0000-0000FE310000}"/>
    <cellStyle name="40% - Accent3 8 5" xfId="1200" xr:uid="{00000000-0005-0000-0000-0000FF310000}"/>
    <cellStyle name="40% - Accent3 8 6" xfId="1201" xr:uid="{00000000-0005-0000-0000-000000320000}"/>
    <cellStyle name="40% - Accent3 9" xfId="1202" xr:uid="{00000000-0005-0000-0000-000001320000}"/>
    <cellStyle name="40% - Accent3 9 2" xfId="1203" xr:uid="{00000000-0005-0000-0000-000002320000}"/>
    <cellStyle name="40% - Accent3 9 3" xfId="1204" xr:uid="{00000000-0005-0000-0000-000003320000}"/>
    <cellStyle name="40% - Accent3 9 4" xfId="1205" xr:uid="{00000000-0005-0000-0000-000004320000}"/>
    <cellStyle name="40% - Accent3 9 5" xfId="1206" xr:uid="{00000000-0005-0000-0000-000005320000}"/>
    <cellStyle name="40% - Accent4 10" xfId="1207" xr:uid="{00000000-0005-0000-0000-000006320000}"/>
    <cellStyle name="40% - Accent4 10 2" xfId="1208" xr:uid="{00000000-0005-0000-0000-000007320000}"/>
    <cellStyle name="40% - Accent4 10 3" xfId="1209" xr:uid="{00000000-0005-0000-0000-000008320000}"/>
    <cellStyle name="40% - Accent4 10 4" xfId="1210" xr:uid="{00000000-0005-0000-0000-000009320000}"/>
    <cellStyle name="40% - Accent4 10 5" xfId="1211" xr:uid="{00000000-0005-0000-0000-00000A320000}"/>
    <cellStyle name="40% - Accent4 11" xfId="1212" xr:uid="{00000000-0005-0000-0000-00000B320000}"/>
    <cellStyle name="40% - Accent4 11 2" xfId="1213" xr:uid="{00000000-0005-0000-0000-00000C320000}"/>
    <cellStyle name="40% - Accent4 11 3" xfId="1214" xr:uid="{00000000-0005-0000-0000-00000D320000}"/>
    <cellStyle name="40% - Accent4 11 4" xfId="1215" xr:uid="{00000000-0005-0000-0000-00000E320000}"/>
    <cellStyle name="40% - Accent4 11 5" xfId="1216" xr:uid="{00000000-0005-0000-0000-00000F320000}"/>
    <cellStyle name="40% - Accent4 12" xfId="1217" xr:uid="{00000000-0005-0000-0000-000010320000}"/>
    <cellStyle name="40% - Accent4 12 2" xfId="1218" xr:uid="{00000000-0005-0000-0000-000011320000}"/>
    <cellStyle name="40% - Accent4 12 3" xfId="1219" xr:uid="{00000000-0005-0000-0000-000012320000}"/>
    <cellStyle name="40% - Accent4 12 4" xfId="1220" xr:uid="{00000000-0005-0000-0000-000013320000}"/>
    <cellStyle name="40% - Accent4 12 5" xfId="1221" xr:uid="{00000000-0005-0000-0000-000014320000}"/>
    <cellStyle name="40% - Accent4 13" xfId="1222" xr:uid="{00000000-0005-0000-0000-000015320000}"/>
    <cellStyle name="40% - Accent4 14" xfId="1223" xr:uid="{00000000-0005-0000-0000-000016320000}"/>
    <cellStyle name="40% - Accent4 15" xfId="1224" xr:uid="{00000000-0005-0000-0000-000017320000}"/>
    <cellStyle name="40% - Accent4 16" xfId="1225" xr:uid="{00000000-0005-0000-0000-000018320000}"/>
    <cellStyle name="40% - Accent4 17" xfId="1226" xr:uid="{00000000-0005-0000-0000-000019320000}"/>
    <cellStyle name="40% - Accent4 18" xfId="1227" xr:uid="{00000000-0005-0000-0000-00001A320000}"/>
    <cellStyle name="40% - Accent4 19" xfId="1228" xr:uid="{00000000-0005-0000-0000-00001B320000}"/>
    <cellStyle name="40% - Accent4 2" xfId="1229" xr:uid="{00000000-0005-0000-0000-00001C320000}"/>
    <cellStyle name="40% - Accent4 2 10" xfId="1230" xr:uid="{00000000-0005-0000-0000-00001D320000}"/>
    <cellStyle name="40% - Accent4 2 10 2" xfId="8587" xr:uid="{00000000-0005-0000-0000-00001E320000}"/>
    <cellStyle name="40% - Accent4 2 10 2 2" xfId="10806" xr:uid="{00000000-0005-0000-0000-00001F320000}"/>
    <cellStyle name="40% - Accent4 2 10 2 2 2" xfId="21369" xr:uid="{00000000-0005-0000-0000-000020320000}"/>
    <cellStyle name="40% - Accent4 2 10 2 3" xfId="13025" xr:uid="{00000000-0005-0000-0000-000021320000}"/>
    <cellStyle name="40% - Accent4 2 10 2 3 2" xfId="23588" xr:uid="{00000000-0005-0000-0000-000022320000}"/>
    <cellStyle name="40% - Accent4 2 10 2 4" xfId="15244" xr:uid="{00000000-0005-0000-0000-000023320000}"/>
    <cellStyle name="40% - Accent4 2 10 2 4 2" xfId="25807" xr:uid="{00000000-0005-0000-0000-000024320000}"/>
    <cellStyle name="40% - Accent4 2 10 2 5" xfId="19150" xr:uid="{00000000-0005-0000-0000-000025320000}"/>
    <cellStyle name="40% - Accent4 2 10 3" xfId="7854" xr:uid="{00000000-0005-0000-0000-000026320000}"/>
    <cellStyle name="40% - Accent4 2 10 3 2" xfId="10073" xr:uid="{00000000-0005-0000-0000-000027320000}"/>
    <cellStyle name="40% - Accent4 2 10 3 2 2" xfId="20636" xr:uid="{00000000-0005-0000-0000-000028320000}"/>
    <cellStyle name="40% - Accent4 2 10 3 3" xfId="12292" xr:uid="{00000000-0005-0000-0000-000029320000}"/>
    <cellStyle name="40% - Accent4 2 10 3 3 2" xfId="22855" xr:uid="{00000000-0005-0000-0000-00002A320000}"/>
    <cellStyle name="40% - Accent4 2 10 3 4" xfId="14511" xr:uid="{00000000-0005-0000-0000-00002B320000}"/>
    <cellStyle name="40% - Accent4 2 10 3 4 2" xfId="25074" xr:uid="{00000000-0005-0000-0000-00002C320000}"/>
    <cellStyle name="40% - Accent4 2 10 3 5" xfId="18417" xr:uid="{00000000-0005-0000-0000-00002D320000}"/>
    <cellStyle name="40% - Accent4 2 10 4" xfId="9330" xr:uid="{00000000-0005-0000-0000-00002E320000}"/>
    <cellStyle name="40% - Accent4 2 10 4 2" xfId="19893" xr:uid="{00000000-0005-0000-0000-00002F320000}"/>
    <cellStyle name="40% - Accent4 2 10 5" xfId="11549" xr:uid="{00000000-0005-0000-0000-000030320000}"/>
    <cellStyle name="40% - Accent4 2 10 5 2" xfId="22112" xr:uid="{00000000-0005-0000-0000-000031320000}"/>
    <cellStyle name="40% - Accent4 2 10 6" xfId="13768" xr:uid="{00000000-0005-0000-0000-000032320000}"/>
    <cellStyle name="40% - Accent4 2 10 6 2" xfId="24331" xr:uid="{00000000-0005-0000-0000-000033320000}"/>
    <cellStyle name="40% - Accent4 2 10 7" xfId="17668" xr:uid="{00000000-0005-0000-0000-000034320000}"/>
    <cellStyle name="40% - Accent4 2 11" xfId="1231" xr:uid="{00000000-0005-0000-0000-000035320000}"/>
    <cellStyle name="40% - Accent4 2 11 2" xfId="1232" xr:uid="{00000000-0005-0000-0000-000036320000}"/>
    <cellStyle name="40% - Accent4 2 11 2 2" xfId="8588" xr:uid="{00000000-0005-0000-0000-000037320000}"/>
    <cellStyle name="40% - Accent4 2 11 2 2 2" xfId="10807" xr:uid="{00000000-0005-0000-0000-000038320000}"/>
    <cellStyle name="40% - Accent4 2 11 2 2 2 2" xfId="21370" xr:uid="{00000000-0005-0000-0000-000039320000}"/>
    <cellStyle name="40% - Accent4 2 11 2 2 3" xfId="13026" xr:uid="{00000000-0005-0000-0000-00003A320000}"/>
    <cellStyle name="40% - Accent4 2 11 2 2 3 2" xfId="23589" xr:uid="{00000000-0005-0000-0000-00003B320000}"/>
    <cellStyle name="40% - Accent4 2 11 2 2 4" xfId="15245" xr:uid="{00000000-0005-0000-0000-00003C320000}"/>
    <cellStyle name="40% - Accent4 2 11 2 2 4 2" xfId="25808" xr:uid="{00000000-0005-0000-0000-00003D320000}"/>
    <cellStyle name="40% - Accent4 2 11 2 2 5" xfId="19151" xr:uid="{00000000-0005-0000-0000-00003E320000}"/>
    <cellStyle name="40% - Accent4 2 11 2 3" xfId="7855" xr:uid="{00000000-0005-0000-0000-00003F320000}"/>
    <cellStyle name="40% - Accent4 2 11 2 3 2" xfId="10074" xr:uid="{00000000-0005-0000-0000-000040320000}"/>
    <cellStyle name="40% - Accent4 2 11 2 3 2 2" xfId="20637" xr:uid="{00000000-0005-0000-0000-000041320000}"/>
    <cellStyle name="40% - Accent4 2 11 2 3 3" xfId="12293" xr:uid="{00000000-0005-0000-0000-000042320000}"/>
    <cellStyle name="40% - Accent4 2 11 2 3 3 2" xfId="22856" xr:uid="{00000000-0005-0000-0000-000043320000}"/>
    <cellStyle name="40% - Accent4 2 11 2 3 4" xfId="14512" xr:uid="{00000000-0005-0000-0000-000044320000}"/>
    <cellStyle name="40% - Accent4 2 11 2 3 4 2" xfId="25075" xr:uid="{00000000-0005-0000-0000-000045320000}"/>
    <cellStyle name="40% - Accent4 2 11 2 3 5" xfId="18418" xr:uid="{00000000-0005-0000-0000-000046320000}"/>
    <cellStyle name="40% - Accent4 2 11 2 4" xfId="9331" xr:uid="{00000000-0005-0000-0000-000047320000}"/>
    <cellStyle name="40% - Accent4 2 11 2 4 2" xfId="19894" xr:uid="{00000000-0005-0000-0000-000048320000}"/>
    <cellStyle name="40% - Accent4 2 11 2 5" xfId="11550" xr:uid="{00000000-0005-0000-0000-000049320000}"/>
    <cellStyle name="40% - Accent4 2 11 2 5 2" xfId="22113" xr:uid="{00000000-0005-0000-0000-00004A320000}"/>
    <cellStyle name="40% - Accent4 2 11 2 6" xfId="13769" xr:uid="{00000000-0005-0000-0000-00004B320000}"/>
    <cellStyle name="40% - Accent4 2 11 2 6 2" xfId="24332" xr:uid="{00000000-0005-0000-0000-00004C320000}"/>
    <cellStyle name="40% - Accent4 2 11 2 7" xfId="17669" xr:uid="{00000000-0005-0000-0000-00004D320000}"/>
    <cellStyle name="40% - Accent4 2 11 3" xfId="1233" xr:uid="{00000000-0005-0000-0000-00004E320000}"/>
    <cellStyle name="40% - Accent4 2 11 3 2" xfId="8589" xr:uid="{00000000-0005-0000-0000-00004F320000}"/>
    <cellStyle name="40% - Accent4 2 11 3 2 2" xfId="10808" xr:uid="{00000000-0005-0000-0000-000050320000}"/>
    <cellStyle name="40% - Accent4 2 11 3 2 2 2" xfId="21371" xr:uid="{00000000-0005-0000-0000-000051320000}"/>
    <cellStyle name="40% - Accent4 2 11 3 2 3" xfId="13027" xr:uid="{00000000-0005-0000-0000-000052320000}"/>
    <cellStyle name="40% - Accent4 2 11 3 2 3 2" xfId="23590" xr:uid="{00000000-0005-0000-0000-000053320000}"/>
    <cellStyle name="40% - Accent4 2 11 3 2 4" xfId="15246" xr:uid="{00000000-0005-0000-0000-000054320000}"/>
    <cellStyle name="40% - Accent4 2 11 3 2 4 2" xfId="25809" xr:uid="{00000000-0005-0000-0000-000055320000}"/>
    <cellStyle name="40% - Accent4 2 11 3 2 5" xfId="19152" xr:uid="{00000000-0005-0000-0000-000056320000}"/>
    <cellStyle name="40% - Accent4 2 11 3 3" xfId="7856" xr:uid="{00000000-0005-0000-0000-000057320000}"/>
    <cellStyle name="40% - Accent4 2 11 3 3 2" xfId="10075" xr:uid="{00000000-0005-0000-0000-000058320000}"/>
    <cellStyle name="40% - Accent4 2 11 3 3 2 2" xfId="20638" xr:uid="{00000000-0005-0000-0000-000059320000}"/>
    <cellStyle name="40% - Accent4 2 11 3 3 3" xfId="12294" xr:uid="{00000000-0005-0000-0000-00005A320000}"/>
    <cellStyle name="40% - Accent4 2 11 3 3 3 2" xfId="22857" xr:uid="{00000000-0005-0000-0000-00005B320000}"/>
    <cellStyle name="40% - Accent4 2 11 3 3 4" xfId="14513" xr:uid="{00000000-0005-0000-0000-00005C320000}"/>
    <cellStyle name="40% - Accent4 2 11 3 3 4 2" xfId="25076" xr:uid="{00000000-0005-0000-0000-00005D320000}"/>
    <cellStyle name="40% - Accent4 2 11 3 3 5" xfId="18419" xr:uid="{00000000-0005-0000-0000-00005E320000}"/>
    <cellStyle name="40% - Accent4 2 11 3 4" xfId="9332" xr:uid="{00000000-0005-0000-0000-00005F320000}"/>
    <cellStyle name="40% - Accent4 2 11 3 4 2" xfId="19895" xr:uid="{00000000-0005-0000-0000-000060320000}"/>
    <cellStyle name="40% - Accent4 2 11 3 5" xfId="11551" xr:uid="{00000000-0005-0000-0000-000061320000}"/>
    <cellStyle name="40% - Accent4 2 11 3 5 2" xfId="22114" xr:uid="{00000000-0005-0000-0000-000062320000}"/>
    <cellStyle name="40% - Accent4 2 11 3 6" xfId="13770" xr:uid="{00000000-0005-0000-0000-000063320000}"/>
    <cellStyle name="40% - Accent4 2 11 3 6 2" xfId="24333" xr:uid="{00000000-0005-0000-0000-000064320000}"/>
    <cellStyle name="40% - Accent4 2 11 3 7" xfId="17670" xr:uid="{00000000-0005-0000-0000-000065320000}"/>
    <cellStyle name="40% - Accent4 2 11 4" xfId="1234" xr:uid="{00000000-0005-0000-0000-000066320000}"/>
    <cellStyle name="40% - Accent4 2 11 4 2" xfId="8590" xr:uid="{00000000-0005-0000-0000-000067320000}"/>
    <cellStyle name="40% - Accent4 2 11 4 2 2" xfId="10809" xr:uid="{00000000-0005-0000-0000-000068320000}"/>
    <cellStyle name="40% - Accent4 2 11 4 2 2 2" xfId="21372" xr:uid="{00000000-0005-0000-0000-000069320000}"/>
    <cellStyle name="40% - Accent4 2 11 4 2 3" xfId="13028" xr:uid="{00000000-0005-0000-0000-00006A320000}"/>
    <cellStyle name="40% - Accent4 2 11 4 2 3 2" xfId="23591" xr:uid="{00000000-0005-0000-0000-00006B320000}"/>
    <cellStyle name="40% - Accent4 2 11 4 2 4" xfId="15247" xr:uid="{00000000-0005-0000-0000-00006C320000}"/>
    <cellStyle name="40% - Accent4 2 11 4 2 4 2" xfId="25810" xr:uid="{00000000-0005-0000-0000-00006D320000}"/>
    <cellStyle name="40% - Accent4 2 11 4 2 5" xfId="19153" xr:uid="{00000000-0005-0000-0000-00006E320000}"/>
    <cellStyle name="40% - Accent4 2 11 4 3" xfId="7857" xr:uid="{00000000-0005-0000-0000-00006F320000}"/>
    <cellStyle name="40% - Accent4 2 11 4 3 2" xfId="10076" xr:uid="{00000000-0005-0000-0000-000070320000}"/>
    <cellStyle name="40% - Accent4 2 11 4 3 2 2" xfId="20639" xr:uid="{00000000-0005-0000-0000-000071320000}"/>
    <cellStyle name="40% - Accent4 2 11 4 3 3" xfId="12295" xr:uid="{00000000-0005-0000-0000-000072320000}"/>
    <cellStyle name="40% - Accent4 2 11 4 3 3 2" xfId="22858" xr:uid="{00000000-0005-0000-0000-000073320000}"/>
    <cellStyle name="40% - Accent4 2 11 4 3 4" xfId="14514" xr:uid="{00000000-0005-0000-0000-000074320000}"/>
    <cellStyle name="40% - Accent4 2 11 4 3 4 2" xfId="25077" xr:uid="{00000000-0005-0000-0000-000075320000}"/>
    <cellStyle name="40% - Accent4 2 11 4 3 5" xfId="18420" xr:uid="{00000000-0005-0000-0000-000076320000}"/>
    <cellStyle name="40% - Accent4 2 11 4 4" xfId="9333" xr:uid="{00000000-0005-0000-0000-000077320000}"/>
    <cellStyle name="40% - Accent4 2 11 4 4 2" xfId="19896" xr:uid="{00000000-0005-0000-0000-000078320000}"/>
    <cellStyle name="40% - Accent4 2 11 4 5" xfId="11552" xr:uid="{00000000-0005-0000-0000-000079320000}"/>
    <cellStyle name="40% - Accent4 2 11 4 5 2" xfId="22115" xr:uid="{00000000-0005-0000-0000-00007A320000}"/>
    <cellStyle name="40% - Accent4 2 11 4 6" xfId="13771" xr:uid="{00000000-0005-0000-0000-00007B320000}"/>
    <cellStyle name="40% - Accent4 2 11 4 6 2" xfId="24334" xr:uid="{00000000-0005-0000-0000-00007C320000}"/>
    <cellStyle name="40% - Accent4 2 11 4 7" xfId="17671" xr:uid="{00000000-0005-0000-0000-00007D320000}"/>
    <cellStyle name="40% - Accent4 2 11 5" xfId="1235" xr:uid="{00000000-0005-0000-0000-00007E320000}"/>
    <cellStyle name="40% - Accent4 2 11 5 2" xfId="8591" xr:uid="{00000000-0005-0000-0000-00007F320000}"/>
    <cellStyle name="40% - Accent4 2 11 5 2 2" xfId="10810" xr:uid="{00000000-0005-0000-0000-000080320000}"/>
    <cellStyle name="40% - Accent4 2 11 5 2 2 2" xfId="21373" xr:uid="{00000000-0005-0000-0000-000081320000}"/>
    <cellStyle name="40% - Accent4 2 11 5 2 3" xfId="13029" xr:uid="{00000000-0005-0000-0000-000082320000}"/>
    <cellStyle name="40% - Accent4 2 11 5 2 3 2" xfId="23592" xr:uid="{00000000-0005-0000-0000-000083320000}"/>
    <cellStyle name="40% - Accent4 2 11 5 2 4" xfId="15248" xr:uid="{00000000-0005-0000-0000-000084320000}"/>
    <cellStyle name="40% - Accent4 2 11 5 2 4 2" xfId="25811" xr:uid="{00000000-0005-0000-0000-000085320000}"/>
    <cellStyle name="40% - Accent4 2 11 5 2 5" xfId="19154" xr:uid="{00000000-0005-0000-0000-000086320000}"/>
    <cellStyle name="40% - Accent4 2 11 5 3" xfId="7858" xr:uid="{00000000-0005-0000-0000-000087320000}"/>
    <cellStyle name="40% - Accent4 2 11 5 3 2" xfId="10077" xr:uid="{00000000-0005-0000-0000-000088320000}"/>
    <cellStyle name="40% - Accent4 2 11 5 3 2 2" xfId="20640" xr:uid="{00000000-0005-0000-0000-000089320000}"/>
    <cellStyle name="40% - Accent4 2 11 5 3 3" xfId="12296" xr:uid="{00000000-0005-0000-0000-00008A320000}"/>
    <cellStyle name="40% - Accent4 2 11 5 3 3 2" xfId="22859" xr:uid="{00000000-0005-0000-0000-00008B320000}"/>
    <cellStyle name="40% - Accent4 2 11 5 3 4" xfId="14515" xr:uid="{00000000-0005-0000-0000-00008C320000}"/>
    <cellStyle name="40% - Accent4 2 11 5 3 4 2" xfId="25078" xr:uid="{00000000-0005-0000-0000-00008D320000}"/>
    <cellStyle name="40% - Accent4 2 11 5 3 5" xfId="18421" xr:uid="{00000000-0005-0000-0000-00008E320000}"/>
    <cellStyle name="40% - Accent4 2 11 5 4" xfId="9334" xr:uid="{00000000-0005-0000-0000-00008F320000}"/>
    <cellStyle name="40% - Accent4 2 11 5 4 2" xfId="19897" xr:uid="{00000000-0005-0000-0000-000090320000}"/>
    <cellStyle name="40% - Accent4 2 11 5 5" xfId="11553" xr:uid="{00000000-0005-0000-0000-000091320000}"/>
    <cellStyle name="40% - Accent4 2 11 5 5 2" xfId="22116" xr:uid="{00000000-0005-0000-0000-000092320000}"/>
    <cellStyle name="40% - Accent4 2 11 5 6" xfId="13772" xr:uid="{00000000-0005-0000-0000-000093320000}"/>
    <cellStyle name="40% - Accent4 2 11 5 6 2" xfId="24335" xr:uid="{00000000-0005-0000-0000-000094320000}"/>
    <cellStyle name="40% - Accent4 2 11 5 7" xfId="17672" xr:uid="{00000000-0005-0000-0000-000095320000}"/>
    <cellStyle name="40% - Accent4 2 12" xfId="1236" xr:uid="{00000000-0005-0000-0000-000096320000}"/>
    <cellStyle name="40% - Accent4 2 13" xfId="1237" xr:uid="{00000000-0005-0000-0000-000097320000}"/>
    <cellStyle name="40% - Accent4 2 14" xfId="1238" xr:uid="{00000000-0005-0000-0000-000098320000}"/>
    <cellStyle name="40% - Accent4 2 15" xfId="1239" xr:uid="{00000000-0005-0000-0000-000099320000}"/>
    <cellStyle name="40% - Accent4 2 15 2" xfId="8592" xr:uid="{00000000-0005-0000-0000-00009A320000}"/>
    <cellStyle name="40% - Accent4 2 15 2 2" xfId="10811" xr:uid="{00000000-0005-0000-0000-00009B320000}"/>
    <cellStyle name="40% - Accent4 2 15 2 2 2" xfId="21374" xr:uid="{00000000-0005-0000-0000-00009C320000}"/>
    <cellStyle name="40% - Accent4 2 15 2 3" xfId="13030" xr:uid="{00000000-0005-0000-0000-00009D320000}"/>
    <cellStyle name="40% - Accent4 2 15 2 3 2" xfId="23593" xr:uid="{00000000-0005-0000-0000-00009E320000}"/>
    <cellStyle name="40% - Accent4 2 15 2 4" xfId="15249" xr:uid="{00000000-0005-0000-0000-00009F320000}"/>
    <cellStyle name="40% - Accent4 2 15 2 4 2" xfId="25812" xr:uid="{00000000-0005-0000-0000-0000A0320000}"/>
    <cellStyle name="40% - Accent4 2 15 2 5" xfId="19155" xr:uid="{00000000-0005-0000-0000-0000A1320000}"/>
    <cellStyle name="40% - Accent4 2 15 3" xfId="7859" xr:uid="{00000000-0005-0000-0000-0000A2320000}"/>
    <cellStyle name="40% - Accent4 2 15 3 2" xfId="10078" xr:uid="{00000000-0005-0000-0000-0000A3320000}"/>
    <cellStyle name="40% - Accent4 2 15 3 2 2" xfId="20641" xr:uid="{00000000-0005-0000-0000-0000A4320000}"/>
    <cellStyle name="40% - Accent4 2 15 3 3" xfId="12297" xr:uid="{00000000-0005-0000-0000-0000A5320000}"/>
    <cellStyle name="40% - Accent4 2 15 3 3 2" xfId="22860" xr:uid="{00000000-0005-0000-0000-0000A6320000}"/>
    <cellStyle name="40% - Accent4 2 15 3 4" xfId="14516" xr:uid="{00000000-0005-0000-0000-0000A7320000}"/>
    <cellStyle name="40% - Accent4 2 15 3 4 2" xfId="25079" xr:uid="{00000000-0005-0000-0000-0000A8320000}"/>
    <cellStyle name="40% - Accent4 2 15 3 5" xfId="18422" xr:uid="{00000000-0005-0000-0000-0000A9320000}"/>
    <cellStyle name="40% - Accent4 2 15 4" xfId="9335" xr:uid="{00000000-0005-0000-0000-0000AA320000}"/>
    <cellStyle name="40% - Accent4 2 15 4 2" xfId="19898" xr:uid="{00000000-0005-0000-0000-0000AB320000}"/>
    <cellStyle name="40% - Accent4 2 15 5" xfId="11554" xr:uid="{00000000-0005-0000-0000-0000AC320000}"/>
    <cellStyle name="40% - Accent4 2 15 5 2" xfId="22117" xr:uid="{00000000-0005-0000-0000-0000AD320000}"/>
    <cellStyle name="40% - Accent4 2 15 6" xfId="13773" xr:uid="{00000000-0005-0000-0000-0000AE320000}"/>
    <cellStyle name="40% - Accent4 2 15 6 2" xfId="24336" xr:uid="{00000000-0005-0000-0000-0000AF320000}"/>
    <cellStyle name="40% - Accent4 2 15 7" xfId="17673" xr:uid="{00000000-0005-0000-0000-0000B0320000}"/>
    <cellStyle name="40% - Accent4 2 16" xfId="1240" xr:uid="{00000000-0005-0000-0000-0000B1320000}"/>
    <cellStyle name="40% - Accent4 2 2" xfId="1241" xr:uid="{00000000-0005-0000-0000-0000B2320000}"/>
    <cellStyle name="40% - Accent4 2 2 10" xfId="8593" xr:uid="{00000000-0005-0000-0000-0000B3320000}"/>
    <cellStyle name="40% - Accent4 2 2 10 2" xfId="10812" xr:uid="{00000000-0005-0000-0000-0000B4320000}"/>
    <cellStyle name="40% - Accent4 2 2 10 2 2" xfId="21375" xr:uid="{00000000-0005-0000-0000-0000B5320000}"/>
    <cellStyle name="40% - Accent4 2 2 10 3" xfId="13031" xr:uid="{00000000-0005-0000-0000-0000B6320000}"/>
    <cellStyle name="40% - Accent4 2 2 10 3 2" xfId="23594" xr:uid="{00000000-0005-0000-0000-0000B7320000}"/>
    <cellStyle name="40% - Accent4 2 2 10 4" xfId="15250" xr:uid="{00000000-0005-0000-0000-0000B8320000}"/>
    <cellStyle name="40% - Accent4 2 2 10 4 2" xfId="25813" xr:uid="{00000000-0005-0000-0000-0000B9320000}"/>
    <cellStyle name="40% - Accent4 2 2 10 5" xfId="19156" xr:uid="{00000000-0005-0000-0000-0000BA320000}"/>
    <cellStyle name="40% - Accent4 2 2 11" xfId="7860" xr:uid="{00000000-0005-0000-0000-0000BB320000}"/>
    <cellStyle name="40% - Accent4 2 2 11 2" xfId="10079" xr:uid="{00000000-0005-0000-0000-0000BC320000}"/>
    <cellStyle name="40% - Accent4 2 2 11 2 2" xfId="20642" xr:uid="{00000000-0005-0000-0000-0000BD320000}"/>
    <cellStyle name="40% - Accent4 2 2 11 3" xfId="12298" xr:uid="{00000000-0005-0000-0000-0000BE320000}"/>
    <cellStyle name="40% - Accent4 2 2 11 3 2" xfId="22861" xr:uid="{00000000-0005-0000-0000-0000BF320000}"/>
    <cellStyle name="40% - Accent4 2 2 11 4" xfId="14517" xr:uid="{00000000-0005-0000-0000-0000C0320000}"/>
    <cellStyle name="40% - Accent4 2 2 11 4 2" xfId="25080" xr:uid="{00000000-0005-0000-0000-0000C1320000}"/>
    <cellStyle name="40% - Accent4 2 2 11 5" xfId="18423" xr:uid="{00000000-0005-0000-0000-0000C2320000}"/>
    <cellStyle name="40% - Accent4 2 2 12" xfId="9336" xr:uid="{00000000-0005-0000-0000-0000C3320000}"/>
    <cellStyle name="40% - Accent4 2 2 12 2" xfId="19899" xr:uid="{00000000-0005-0000-0000-0000C4320000}"/>
    <cellStyle name="40% - Accent4 2 2 13" xfId="11555" xr:uid="{00000000-0005-0000-0000-0000C5320000}"/>
    <cellStyle name="40% - Accent4 2 2 13 2" xfId="22118" xr:uid="{00000000-0005-0000-0000-0000C6320000}"/>
    <cellStyle name="40% - Accent4 2 2 14" xfId="13774" xr:uid="{00000000-0005-0000-0000-0000C7320000}"/>
    <cellStyle name="40% - Accent4 2 2 14 2" xfId="24337" xr:uid="{00000000-0005-0000-0000-0000C8320000}"/>
    <cellStyle name="40% - Accent4 2 2 15" xfId="17674" xr:uid="{00000000-0005-0000-0000-0000C9320000}"/>
    <cellStyle name="40% - Accent4 2 2 2" xfId="1242" xr:uid="{00000000-0005-0000-0000-0000CA320000}"/>
    <cellStyle name="40% - Accent4 2 2 2 2" xfId="8594" xr:uid="{00000000-0005-0000-0000-0000CB320000}"/>
    <cellStyle name="40% - Accent4 2 2 2 2 2" xfId="10813" xr:uid="{00000000-0005-0000-0000-0000CC320000}"/>
    <cellStyle name="40% - Accent4 2 2 2 2 2 2" xfId="21376" xr:uid="{00000000-0005-0000-0000-0000CD320000}"/>
    <cellStyle name="40% - Accent4 2 2 2 2 3" xfId="13032" xr:uid="{00000000-0005-0000-0000-0000CE320000}"/>
    <cellStyle name="40% - Accent4 2 2 2 2 3 2" xfId="23595" xr:uid="{00000000-0005-0000-0000-0000CF320000}"/>
    <cellStyle name="40% - Accent4 2 2 2 2 4" xfId="15251" xr:uid="{00000000-0005-0000-0000-0000D0320000}"/>
    <cellStyle name="40% - Accent4 2 2 2 2 4 2" xfId="25814" xr:uid="{00000000-0005-0000-0000-0000D1320000}"/>
    <cellStyle name="40% - Accent4 2 2 2 2 5" xfId="19157" xr:uid="{00000000-0005-0000-0000-0000D2320000}"/>
    <cellStyle name="40% - Accent4 2 2 2 3" xfId="7861" xr:uid="{00000000-0005-0000-0000-0000D3320000}"/>
    <cellStyle name="40% - Accent4 2 2 2 3 2" xfId="10080" xr:uid="{00000000-0005-0000-0000-0000D4320000}"/>
    <cellStyle name="40% - Accent4 2 2 2 3 2 2" xfId="20643" xr:uid="{00000000-0005-0000-0000-0000D5320000}"/>
    <cellStyle name="40% - Accent4 2 2 2 3 3" xfId="12299" xr:uid="{00000000-0005-0000-0000-0000D6320000}"/>
    <cellStyle name="40% - Accent4 2 2 2 3 3 2" xfId="22862" xr:uid="{00000000-0005-0000-0000-0000D7320000}"/>
    <cellStyle name="40% - Accent4 2 2 2 3 4" xfId="14518" xr:uid="{00000000-0005-0000-0000-0000D8320000}"/>
    <cellStyle name="40% - Accent4 2 2 2 3 4 2" xfId="25081" xr:uid="{00000000-0005-0000-0000-0000D9320000}"/>
    <cellStyle name="40% - Accent4 2 2 2 3 5" xfId="18424" xr:uid="{00000000-0005-0000-0000-0000DA320000}"/>
    <cellStyle name="40% - Accent4 2 2 2 4" xfId="9337" xr:uid="{00000000-0005-0000-0000-0000DB320000}"/>
    <cellStyle name="40% - Accent4 2 2 2 4 2" xfId="19900" xr:uid="{00000000-0005-0000-0000-0000DC320000}"/>
    <cellStyle name="40% - Accent4 2 2 2 5" xfId="11556" xr:uid="{00000000-0005-0000-0000-0000DD320000}"/>
    <cellStyle name="40% - Accent4 2 2 2 5 2" xfId="22119" xr:uid="{00000000-0005-0000-0000-0000DE320000}"/>
    <cellStyle name="40% - Accent4 2 2 2 6" xfId="13775" xr:uid="{00000000-0005-0000-0000-0000DF320000}"/>
    <cellStyle name="40% - Accent4 2 2 2 6 2" xfId="24338" xr:uid="{00000000-0005-0000-0000-0000E0320000}"/>
    <cellStyle name="40% - Accent4 2 2 2 7" xfId="17675" xr:uid="{00000000-0005-0000-0000-0000E1320000}"/>
    <cellStyle name="40% - Accent4 2 2 3" xfId="1243" xr:uid="{00000000-0005-0000-0000-0000E2320000}"/>
    <cellStyle name="40% - Accent4 2 2 3 2" xfId="8595" xr:uid="{00000000-0005-0000-0000-0000E3320000}"/>
    <cellStyle name="40% - Accent4 2 2 3 2 2" xfId="10814" xr:uid="{00000000-0005-0000-0000-0000E4320000}"/>
    <cellStyle name="40% - Accent4 2 2 3 2 2 2" xfId="21377" xr:uid="{00000000-0005-0000-0000-0000E5320000}"/>
    <cellStyle name="40% - Accent4 2 2 3 2 3" xfId="13033" xr:uid="{00000000-0005-0000-0000-0000E6320000}"/>
    <cellStyle name="40% - Accent4 2 2 3 2 3 2" xfId="23596" xr:uid="{00000000-0005-0000-0000-0000E7320000}"/>
    <cellStyle name="40% - Accent4 2 2 3 2 4" xfId="15252" xr:uid="{00000000-0005-0000-0000-0000E8320000}"/>
    <cellStyle name="40% - Accent4 2 2 3 2 4 2" xfId="25815" xr:uid="{00000000-0005-0000-0000-0000E9320000}"/>
    <cellStyle name="40% - Accent4 2 2 3 2 5" xfId="19158" xr:uid="{00000000-0005-0000-0000-0000EA320000}"/>
    <cellStyle name="40% - Accent4 2 2 3 3" xfId="7862" xr:uid="{00000000-0005-0000-0000-0000EB320000}"/>
    <cellStyle name="40% - Accent4 2 2 3 3 2" xfId="10081" xr:uid="{00000000-0005-0000-0000-0000EC320000}"/>
    <cellStyle name="40% - Accent4 2 2 3 3 2 2" xfId="20644" xr:uid="{00000000-0005-0000-0000-0000ED320000}"/>
    <cellStyle name="40% - Accent4 2 2 3 3 3" xfId="12300" xr:uid="{00000000-0005-0000-0000-0000EE320000}"/>
    <cellStyle name="40% - Accent4 2 2 3 3 3 2" xfId="22863" xr:uid="{00000000-0005-0000-0000-0000EF320000}"/>
    <cellStyle name="40% - Accent4 2 2 3 3 4" xfId="14519" xr:uid="{00000000-0005-0000-0000-0000F0320000}"/>
    <cellStyle name="40% - Accent4 2 2 3 3 4 2" xfId="25082" xr:uid="{00000000-0005-0000-0000-0000F1320000}"/>
    <cellStyle name="40% - Accent4 2 2 3 3 5" xfId="18425" xr:uid="{00000000-0005-0000-0000-0000F2320000}"/>
    <cellStyle name="40% - Accent4 2 2 3 4" xfId="9338" xr:uid="{00000000-0005-0000-0000-0000F3320000}"/>
    <cellStyle name="40% - Accent4 2 2 3 4 2" xfId="19901" xr:uid="{00000000-0005-0000-0000-0000F4320000}"/>
    <cellStyle name="40% - Accent4 2 2 3 5" xfId="11557" xr:uid="{00000000-0005-0000-0000-0000F5320000}"/>
    <cellStyle name="40% - Accent4 2 2 3 5 2" xfId="22120" xr:uid="{00000000-0005-0000-0000-0000F6320000}"/>
    <cellStyle name="40% - Accent4 2 2 3 6" xfId="13776" xr:uid="{00000000-0005-0000-0000-0000F7320000}"/>
    <cellStyle name="40% - Accent4 2 2 3 6 2" xfId="24339" xr:uid="{00000000-0005-0000-0000-0000F8320000}"/>
    <cellStyle name="40% - Accent4 2 2 3 7" xfId="17676" xr:uid="{00000000-0005-0000-0000-0000F9320000}"/>
    <cellStyle name="40% - Accent4 2 2 4" xfId="1244" xr:uid="{00000000-0005-0000-0000-0000FA320000}"/>
    <cellStyle name="40% - Accent4 2 2 4 2" xfId="8596" xr:uid="{00000000-0005-0000-0000-0000FB320000}"/>
    <cellStyle name="40% - Accent4 2 2 4 2 2" xfId="10815" xr:uid="{00000000-0005-0000-0000-0000FC320000}"/>
    <cellStyle name="40% - Accent4 2 2 4 2 2 2" xfId="21378" xr:uid="{00000000-0005-0000-0000-0000FD320000}"/>
    <cellStyle name="40% - Accent4 2 2 4 2 3" xfId="13034" xr:uid="{00000000-0005-0000-0000-0000FE320000}"/>
    <cellStyle name="40% - Accent4 2 2 4 2 3 2" xfId="23597" xr:uid="{00000000-0005-0000-0000-0000FF320000}"/>
    <cellStyle name="40% - Accent4 2 2 4 2 4" xfId="15253" xr:uid="{00000000-0005-0000-0000-000000330000}"/>
    <cellStyle name="40% - Accent4 2 2 4 2 4 2" xfId="25816" xr:uid="{00000000-0005-0000-0000-000001330000}"/>
    <cellStyle name="40% - Accent4 2 2 4 2 5" xfId="19159" xr:uid="{00000000-0005-0000-0000-000002330000}"/>
    <cellStyle name="40% - Accent4 2 2 4 3" xfId="7863" xr:uid="{00000000-0005-0000-0000-000003330000}"/>
    <cellStyle name="40% - Accent4 2 2 4 3 2" xfId="10082" xr:uid="{00000000-0005-0000-0000-000004330000}"/>
    <cellStyle name="40% - Accent4 2 2 4 3 2 2" xfId="20645" xr:uid="{00000000-0005-0000-0000-000005330000}"/>
    <cellStyle name="40% - Accent4 2 2 4 3 3" xfId="12301" xr:uid="{00000000-0005-0000-0000-000006330000}"/>
    <cellStyle name="40% - Accent4 2 2 4 3 3 2" xfId="22864" xr:uid="{00000000-0005-0000-0000-000007330000}"/>
    <cellStyle name="40% - Accent4 2 2 4 3 4" xfId="14520" xr:uid="{00000000-0005-0000-0000-000008330000}"/>
    <cellStyle name="40% - Accent4 2 2 4 3 4 2" xfId="25083" xr:uid="{00000000-0005-0000-0000-000009330000}"/>
    <cellStyle name="40% - Accent4 2 2 4 3 5" xfId="18426" xr:uid="{00000000-0005-0000-0000-00000A330000}"/>
    <cellStyle name="40% - Accent4 2 2 4 4" xfId="9339" xr:uid="{00000000-0005-0000-0000-00000B330000}"/>
    <cellStyle name="40% - Accent4 2 2 4 4 2" xfId="19902" xr:uid="{00000000-0005-0000-0000-00000C330000}"/>
    <cellStyle name="40% - Accent4 2 2 4 5" xfId="11558" xr:uid="{00000000-0005-0000-0000-00000D330000}"/>
    <cellStyle name="40% - Accent4 2 2 4 5 2" xfId="22121" xr:uid="{00000000-0005-0000-0000-00000E330000}"/>
    <cellStyle name="40% - Accent4 2 2 4 6" xfId="13777" xr:uid="{00000000-0005-0000-0000-00000F330000}"/>
    <cellStyle name="40% - Accent4 2 2 4 6 2" xfId="24340" xr:uid="{00000000-0005-0000-0000-000010330000}"/>
    <cellStyle name="40% - Accent4 2 2 4 7" xfId="17677" xr:uid="{00000000-0005-0000-0000-000011330000}"/>
    <cellStyle name="40% - Accent4 2 2 5" xfId="1245" xr:uid="{00000000-0005-0000-0000-000012330000}"/>
    <cellStyle name="40% - Accent4 2 2 5 2" xfId="8597" xr:uid="{00000000-0005-0000-0000-000013330000}"/>
    <cellStyle name="40% - Accent4 2 2 5 2 2" xfId="10816" xr:uid="{00000000-0005-0000-0000-000014330000}"/>
    <cellStyle name="40% - Accent4 2 2 5 2 2 2" xfId="21379" xr:uid="{00000000-0005-0000-0000-000015330000}"/>
    <cellStyle name="40% - Accent4 2 2 5 2 3" xfId="13035" xr:uid="{00000000-0005-0000-0000-000016330000}"/>
    <cellStyle name="40% - Accent4 2 2 5 2 3 2" xfId="23598" xr:uid="{00000000-0005-0000-0000-000017330000}"/>
    <cellStyle name="40% - Accent4 2 2 5 2 4" xfId="15254" xr:uid="{00000000-0005-0000-0000-000018330000}"/>
    <cellStyle name="40% - Accent4 2 2 5 2 4 2" xfId="25817" xr:uid="{00000000-0005-0000-0000-000019330000}"/>
    <cellStyle name="40% - Accent4 2 2 5 2 5" xfId="19160" xr:uid="{00000000-0005-0000-0000-00001A330000}"/>
    <cellStyle name="40% - Accent4 2 2 5 3" xfId="7864" xr:uid="{00000000-0005-0000-0000-00001B330000}"/>
    <cellStyle name="40% - Accent4 2 2 5 3 2" xfId="10083" xr:uid="{00000000-0005-0000-0000-00001C330000}"/>
    <cellStyle name="40% - Accent4 2 2 5 3 2 2" xfId="20646" xr:uid="{00000000-0005-0000-0000-00001D330000}"/>
    <cellStyle name="40% - Accent4 2 2 5 3 3" xfId="12302" xr:uid="{00000000-0005-0000-0000-00001E330000}"/>
    <cellStyle name="40% - Accent4 2 2 5 3 3 2" xfId="22865" xr:uid="{00000000-0005-0000-0000-00001F330000}"/>
    <cellStyle name="40% - Accent4 2 2 5 3 4" xfId="14521" xr:uid="{00000000-0005-0000-0000-000020330000}"/>
    <cellStyle name="40% - Accent4 2 2 5 3 4 2" xfId="25084" xr:uid="{00000000-0005-0000-0000-000021330000}"/>
    <cellStyle name="40% - Accent4 2 2 5 3 5" xfId="18427" xr:uid="{00000000-0005-0000-0000-000022330000}"/>
    <cellStyle name="40% - Accent4 2 2 5 4" xfId="9340" xr:uid="{00000000-0005-0000-0000-000023330000}"/>
    <cellStyle name="40% - Accent4 2 2 5 4 2" xfId="19903" xr:uid="{00000000-0005-0000-0000-000024330000}"/>
    <cellStyle name="40% - Accent4 2 2 5 5" xfId="11559" xr:uid="{00000000-0005-0000-0000-000025330000}"/>
    <cellStyle name="40% - Accent4 2 2 5 5 2" xfId="22122" xr:uid="{00000000-0005-0000-0000-000026330000}"/>
    <cellStyle name="40% - Accent4 2 2 5 6" xfId="13778" xr:uid="{00000000-0005-0000-0000-000027330000}"/>
    <cellStyle name="40% - Accent4 2 2 5 6 2" xfId="24341" xr:uid="{00000000-0005-0000-0000-000028330000}"/>
    <cellStyle name="40% - Accent4 2 2 5 7" xfId="17678" xr:uid="{00000000-0005-0000-0000-000029330000}"/>
    <cellStyle name="40% - Accent4 2 2 6" xfId="1246" xr:uid="{00000000-0005-0000-0000-00002A330000}"/>
    <cellStyle name="40% - Accent4 2 2 6 2" xfId="8598" xr:uid="{00000000-0005-0000-0000-00002B330000}"/>
    <cellStyle name="40% - Accent4 2 2 6 2 2" xfId="10817" xr:uid="{00000000-0005-0000-0000-00002C330000}"/>
    <cellStyle name="40% - Accent4 2 2 6 2 2 2" xfId="21380" xr:uid="{00000000-0005-0000-0000-00002D330000}"/>
    <cellStyle name="40% - Accent4 2 2 6 2 3" xfId="13036" xr:uid="{00000000-0005-0000-0000-00002E330000}"/>
    <cellStyle name="40% - Accent4 2 2 6 2 3 2" xfId="23599" xr:uid="{00000000-0005-0000-0000-00002F330000}"/>
    <cellStyle name="40% - Accent4 2 2 6 2 4" xfId="15255" xr:uid="{00000000-0005-0000-0000-000030330000}"/>
    <cellStyle name="40% - Accent4 2 2 6 2 4 2" xfId="25818" xr:uid="{00000000-0005-0000-0000-000031330000}"/>
    <cellStyle name="40% - Accent4 2 2 6 2 5" xfId="19161" xr:uid="{00000000-0005-0000-0000-000032330000}"/>
    <cellStyle name="40% - Accent4 2 2 6 3" xfId="7865" xr:uid="{00000000-0005-0000-0000-000033330000}"/>
    <cellStyle name="40% - Accent4 2 2 6 3 2" xfId="10084" xr:uid="{00000000-0005-0000-0000-000034330000}"/>
    <cellStyle name="40% - Accent4 2 2 6 3 2 2" xfId="20647" xr:uid="{00000000-0005-0000-0000-000035330000}"/>
    <cellStyle name="40% - Accent4 2 2 6 3 3" xfId="12303" xr:uid="{00000000-0005-0000-0000-000036330000}"/>
    <cellStyle name="40% - Accent4 2 2 6 3 3 2" xfId="22866" xr:uid="{00000000-0005-0000-0000-000037330000}"/>
    <cellStyle name="40% - Accent4 2 2 6 3 4" xfId="14522" xr:uid="{00000000-0005-0000-0000-000038330000}"/>
    <cellStyle name="40% - Accent4 2 2 6 3 4 2" xfId="25085" xr:uid="{00000000-0005-0000-0000-000039330000}"/>
    <cellStyle name="40% - Accent4 2 2 6 3 5" xfId="18428" xr:uid="{00000000-0005-0000-0000-00003A330000}"/>
    <cellStyle name="40% - Accent4 2 2 6 4" xfId="9341" xr:uid="{00000000-0005-0000-0000-00003B330000}"/>
    <cellStyle name="40% - Accent4 2 2 6 4 2" xfId="19904" xr:uid="{00000000-0005-0000-0000-00003C330000}"/>
    <cellStyle name="40% - Accent4 2 2 6 5" xfId="11560" xr:uid="{00000000-0005-0000-0000-00003D330000}"/>
    <cellStyle name="40% - Accent4 2 2 6 5 2" xfId="22123" xr:uid="{00000000-0005-0000-0000-00003E330000}"/>
    <cellStyle name="40% - Accent4 2 2 6 6" xfId="13779" xr:uid="{00000000-0005-0000-0000-00003F330000}"/>
    <cellStyle name="40% - Accent4 2 2 6 6 2" xfId="24342" xr:uid="{00000000-0005-0000-0000-000040330000}"/>
    <cellStyle name="40% - Accent4 2 2 6 7" xfId="17679" xr:uid="{00000000-0005-0000-0000-000041330000}"/>
    <cellStyle name="40% - Accent4 2 2 7" xfId="1247" xr:uid="{00000000-0005-0000-0000-000042330000}"/>
    <cellStyle name="40% - Accent4 2 2 7 2" xfId="8599" xr:uid="{00000000-0005-0000-0000-000043330000}"/>
    <cellStyle name="40% - Accent4 2 2 7 2 2" xfId="10818" xr:uid="{00000000-0005-0000-0000-000044330000}"/>
    <cellStyle name="40% - Accent4 2 2 7 2 2 2" xfId="21381" xr:uid="{00000000-0005-0000-0000-000045330000}"/>
    <cellStyle name="40% - Accent4 2 2 7 2 3" xfId="13037" xr:uid="{00000000-0005-0000-0000-000046330000}"/>
    <cellStyle name="40% - Accent4 2 2 7 2 3 2" xfId="23600" xr:uid="{00000000-0005-0000-0000-000047330000}"/>
    <cellStyle name="40% - Accent4 2 2 7 2 4" xfId="15256" xr:uid="{00000000-0005-0000-0000-000048330000}"/>
    <cellStyle name="40% - Accent4 2 2 7 2 4 2" xfId="25819" xr:uid="{00000000-0005-0000-0000-000049330000}"/>
    <cellStyle name="40% - Accent4 2 2 7 2 5" xfId="19162" xr:uid="{00000000-0005-0000-0000-00004A330000}"/>
    <cellStyle name="40% - Accent4 2 2 7 3" xfId="7866" xr:uid="{00000000-0005-0000-0000-00004B330000}"/>
    <cellStyle name="40% - Accent4 2 2 7 3 2" xfId="10085" xr:uid="{00000000-0005-0000-0000-00004C330000}"/>
    <cellStyle name="40% - Accent4 2 2 7 3 2 2" xfId="20648" xr:uid="{00000000-0005-0000-0000-00004D330000}"/>
    <cellStyle name="40% - Accent4 2 2 7 3 3" xfId="12304" xr:uid="{00000000-0005-0000-0000-00004E330000}"/>
    <cellStyle name="40% - Accent4 2 2 7 3 3 2" xfId="22867" xr:uid="{00000000-0005-0000-0000-00004F330000}"/>
    <cellStyle name="40% - Accent4 2 2 7 3 4" xfId="14523" xr:uid="{00000000-0005-0000-0000-000050330000}"/>
    <cellStyle name="40% - Accent4 2 2 7 3 4 2" xfId="25086" xr:uid="{00000000-0005-0000-0000-000051330000}"/>
    <cellStyle name="40% - Accent4 2 2 7 3 5" xfId="18429" xr:uid="{00000000-0005-0000-0000-000052330000}"/>
    <cellStyle name="40% - Accent4 2 2 7 4" xfId="9342" xr:uid="{00000000-0005-0000-0000-000053330000}"/>
    <cellStyle name="40% - Accent4 2 2 7 4 2" xfId="19905" xr:uid="{00000000-0005-0000-0000-000054330000}"/>
    <cellStyle name="40% - Accent4 2 2 7 5" xfId="11561" xr:uid="{00000000-0005-0000-0000-000055330000}"/>
    <cellStyle name="40% - Accent4 2 2 7 5 2" xfId="22124" xr:uid="{00000000-0005-0000-0000-000056330000}"/>
    <cellStyle name="40% - Accent4 2 2 7 6" xfId="13780" xr:uid="{00000000-0005-0000-0000-000057330000}"/>
    <cellStyle name="40% - Accent4 2 2 7 6 2" xfId="24343" xr:uid="{00000000-0005-0000-0000-000058330000}"/>
    <cellStyle name="40% - Accent4 2 2 7 7" xfId="17680" xr:uid="{00000000-0005-0000-0000-000059330000}"/>
    <cellStyle name="40% - Accent4 2 2 8" xfId="1248" xr:uid="{00000000-0005-0000-0000-00005A330000}"/>
    <cellStyle name="40% - Accent4 2 2 8 2" xfId="8600" xr:uid="{00000000-0005-0000-0000-00005B330000}"/>
    <cellStyle name="40% - Accent4 2 2 8 2 2" xfId="10819" xr:uid="{00000000-0005-0000-0000-00005C330000}"/>
    <cellStyle name="40% - Accent4 2 2 8 2 2 2" xfId="21382" xr:uid="{00000000-0005-0000-0000-00005D330000}"/>
    <cellStyle name="40% - Accent4 2 2 8 2 3" xfId="13038" xr:uid="{00000000-0005-0000-0000-00005E330000}"/>
    <cellStyle name="40% - Accent4 2 2 8 2 3 2" xfId="23601" xr:uid="{00000000-0005-0000-0000-00005F330000}"/>
    <cellStyle name="40% - Accent4 2 2 8 2 4" xfId="15257" xr:uid="{00000000-0005-0000-0000-000060330000}"/>
    <cellStyle name="40% - Accent4 2 2 8 2 4 2" xfId="25820" xr:uid="{00000000-0005-0000-0000-000061330000}"/>
    <cellStyle name="40% - Accent4 2 2 8 2 5" xfId="19163" xr:uid="{00000000-0005-0000-0000-000062330000}"/>
    <cellStyle name="40% - Accent4 2 2 8 3" xfId="7867" xr:uid="{00000000-0005-0000-0000-000063330000}"/>
    <cellStyle name="40% - Accent4 2 2 8 3 2" xfId="10086" xr:uid="{00000000-0005-0000-0000-000064330000}"/>
    <cellStyle name="40% - Accent4 2 2 8 3 2 2" xfId="20649" xr:uid="{00000000-0005-0000-0000-000065330000}"/>
    <cellStyle name="40% - Accent4 2 2 8 3 3" xfId="12305" xr:uid="{00000000-0005-0000-0000-000066330000}"/>
    <cellStyle name="40% - Accent4 2 2 8 3 3 2" xfId="22868" xr:uid="{00000000-0005-0000-0000-000067330000}"/>
    <cellStyle name="40% - Accent4 2 2 8 3 4" xfId="14524" xr:uid="{00000000-0005-0000-0000-000068330000}"/>
    <cellStyle name="40% - Accent4 2 2 8 3 4 2" xfId="25087" xr:uid="{00000000-0005-0000-0000-000069330000}"/>
    <cellStyle name="40% - Accent4 2 2 8 3 5" xfId="18430" xr:uid="{00000000-0005-0000-0000-00006A330000}"/>
    <cellStyle name="40% - Accent4 2 2 8 4" xfId="9343" xr:uid="{00000000-0005-0000-0000-00006B330000}"/>
    <cellStyle name="40% - Accent4 2 2 8 4 2" xfId="19906" xr:uid="{00000000-0005-0000-0000-00006C330000}"/>
    <cellStyle name="40% - Accent4 2 2 8 5" xfId="11562" xr:uid="{00000000-0005-0000-0000-00006D330000}"/>
    <cellStyle name="40% - Accent4 2 2 8 5 2" xfId="22125" xr:uid="{00000000-0005-0000-0000-00006E330000}"/>
    <cellStyle name="40% - Accent4 2 2 8 6" xfId="13781" xr:uid="{00000000-0005-0000-0000-00006F330000}"/>
    <cellStyle name="40% - Accent4 2 2 8 6 2" xfId="24344" xr:uid="{00000000-0005-0000-0000-000070330000}"/>
    <cellStyle name="40% - Accent4 2 2 8 7" xfId="17681" xr:uid="{00000000-0005-0000-0000-000071330000}"/>
    <cellStyle name="40% - Accent4 2 2 9" xfId="1249" xr:uid="{00000000-0005-0000-0000-000072330000}"/>
    <cellStyle name="40% - Accent4 2 2 9 2" xfId="8601" xr:uid="{00000000-0005-0000-0000-000073330000}"/>
    <cellStyle name="40% - Accent4 2 2 9 2 2" xfId="10820" xr:uid="{00000000-0005-0000-0000-000074330000}"/>
    <cellStyle name="40% - Accent4 2 2 9 2 2 2" xfId="21383" xr:uid="{00000000-0005-0000-0000-000075330000}"/>
    <cellStyle name="40% - Accent4 2 2 9 2 3" xfId="13039" xr:uid="{00000000-0005-0000-0000-000076330000}"/>
    <cellStyle name="40% - Accent4 2 2 9 2 3 2" xfId="23602" xr:uid="{00000000-0005-0000-0000-000077330000}"/>
    <cellStyle name="40% - Accent4 2 2 9 2 4" xfId="15258" xr:uid="{00000000-0005-0000-0000-000078330000}"/>
    <cellStyle name="40% - Accent4 2 2 9 2 4 2" xfId="25821" xr:uid="{00000000-0005-0000-0000-000079330000}"/>
    <cellStyle name="40% - Accent4 2 2 9 2 5" xfId="19164" xr:uid="{00000000-0005-0000-0000-00007A330000}"/>
    <cellStyle name="40% - Accent4 2 2 9 3" xfId="7868" xr:uid="{00000000-0005-0000-0000-00007B330000}"/>
    <cellStyle name="40% - Accent4 2 2 9 3 2" xfId="10087" xr:uid="{00000000-0005-0000-0000-00007C330000}"/>
    <cellStyle name="40% - Accent4 2 2 9 3 2 2" xfId="20650" xr:uid="{00000000-0005-0000-0000-00007D330000}"/>
    <cellStyle name="40% - Accent4 2 2 9 3 3" xfId="12306" xr:uid="{00000000-0005-0000-0000-00007E330000}"/>
    <cellStyle name="40% - Accent4 2 2 9 3 3 2" xfId="22869" xr:uid="{00000000-0005-0000-0000-00007F330000}"/>
    <cellStyle name="40% - Accent4 2 2 9 3 4" xfId="14525" xr:uid="{00000000-0005-0000-0000-000080330000}"/>
    <cellStyle name="40% - Accent4 2 2 9 3 4 2" xfId="25088" xr:uid="{00000000-0005-0000-0000-000081330000}"/>
    <cellStyle name="40% - Accent4 2 2 9 3 5" xfId="18431" xr:uid="{00000000-0005-0000-0000-000082330000}"/>
    <cellStyle name="40% - Accent4 2 2 9 4" xfId="9344" xr:uid="{00000000-0005-0000-0000-000083330000}"/>
    <cellStyle name="40% - Accent4 2 2 9 4 2" xfId="19907" xr:uid="{00000000-0005-0000-0000-000084330000}"/>
    <cellStyle name="40% - Accent4 2 2 9 5" xfId="11563" xr:uid="{00000000-0005-0000-0000-000085330000}"/>
    <cellStyle name="40% - Accent4 2 2 9 5 2" xfId="22126" xr:uid="{00000000-0005-0000-0000-000086330000}"/>
    <cellStyle name="40% - Accent4 2 2 9 6" xfId="13782" xr:uid="{00000000-0005-0000-0000-000087330000}"/>
    <cellStyle name="40% - Accent4 2 2 9 6 2" xfId="24345" xr:uid="{00000000-0005-0000-0000-000088330000}"/>
    <cellStyle name="40% - Accent4 2 2 9 7" xfId="17682" xr:uid="{00000000-0005-0000-0000-000089330000}"/>
    <cellStyle name="40% - Accent4 2 3" xfId="1250" xr:uid="{00000000-0005-0000-0000-00008A330000}"/>
    <cellStyle name="40% - Accent4 2 3 10" xfId="8602" xr:uid="{00000000-0005-0000-0000-00008B330000}"/>
    <cellStyle name="40% - Accent4 2 3 10 2" xfId="10821" xr:uid="{00000000-0005-0000-0000-00008C330000}"/>
    <cellStyle name="40% - Accent4 2 3 10 2 2" xfId="21384" xr:uid="{00000000-0005-0000-0000-00008D330000}"/>
    <cellStyle name="40% - Accent4 2 3 10 3" xfId="13040" xr:uid="{00000000-0005-0000-0000-00008E330000}"/>
    <cellStyle name="40% - Accent4 2 3 10 3 2" xfId="23603" xr:uid="{00000000-0005-0000-0000-00008F330000}"/>
    <cellStyle name="40% - Accent4 2 3 10 4" xfId="15259" xr:uid="{00000000-0005-0000-0000-000090330000}"/>
    <cellStyle name="40% - Accent4 2 3 10 4 2" xfId="25822" xr:uid="{00000000-0005-0000-0000-000091330000}"/>
    <cellStyle name="40% - Accent4 2 3 10 5" xfId="19165" xr:uid="{00000000-0005-0000-0000-000092330000}"/>
    <cellStyle name="40% - Accent4 2 3 11" xfId="7869" xr:uid="{00000000-0005-0000-0000-000093330000}"/>
    <cellStyle name="40% - Accent4 2 3 11 2" xfId="10088" xr:uid="{00000000-0005-0000-0000-000094330000}"/>
    <cellStyle name="40% - Accent4 2 3 11 2 2" xfId="20651" xr:uid="{00000000-0005-0000-0000-000095330000}"/>
    <cellStyle name="40% - Accent4 2 3 11 3" xfId="12307" xr:uid="{00000000-0005-0000-0000-000096330000}"/>
    <cellStyle name="40% - Accent4 2 3 11 3 2" xfId="22870" xr:uid="{00000000-0005-0000-0000-000097330000}"/>
    <cellStyle name="40% - Accent4 2 3 11 4" xfId="14526" xr:uid="{00000000-0005-0000-0000-000098330000}"/>
    <cellStyle name="40% - Accent4 2 3 11 4 2" xfId="25089" xr:uid="{00000000-0005-0000-0000-000099330000}"/>
    <cellStyle name="40% - Accent4 2 3 11 5" xfId="18432" xr:uid="{00000000-0005-0000-0000-00009A330000}"/>
    <cellStyle name="40% - Accent4 2 3 12" xfId="9345" xr:uid="{00000000-0005-0000-0000-00009B330000}"/>
    <cellStyle name="40% - Accent4 2 3 12 2" xfId="19908" xr:uid="{00000000-0005-0000-0000-00009C330000}"/>
    <cellStyle name="40% - Accent4 2 3 13" xfId="11564" xr:uid="{00000000-0005-0000-0000-00009D330000}"/>
    <cellStyle name="40% - Accent4 2 3 13 2" xfId="22127" xr:uid="{00000000-0005-0000-0000-00009E330000}"/>
    <cellStyle name="40% - Accent4 2 3 14" xfId="13783" xr:uid="{00000000-0005-0000-0000-00009F330000}"/>
    <cellStyle name="40% - Accent4 2 3 14 2" xfId="24346" xr:uid="{00000000-0005-0000-0000-0000A0330000}"/>
    <cellStyle name="40% - Accent4 2 3 15" xfId="17683" xr:uid="{00000000-0005-0000-0000-0000A1330000}"/>
    <cellStyle name="40% - Accent4 2 3 2" xfId="1251" xr:uid="{00000000-0005-0000-0000-0000A2330000}"/>
    <cellStyle name="40% - Accent4 2 3 2 2" xfId="8603" xr:uid="{00000000-0005-0000-0000-0000A3330000}"/>
    <cellStyle name="40% - Accent4 2 3 2 2 2" xfId="10822" xr:uid="{00000000-0005-0000-0000-0000A4330000}"/>
    <cellStyle name="40% - Accent4 2 3 2 2 2 2" xfId="21385" xr:uid="{00000000-0005-0000-0000-0000A5330000}"/>
    <cellStyle name="40% - Accent4 2 3 2 2 3" xfId="13041" xr:uid="{00000000-0005-0000-0000-0000A6330000}"/>
    <cellStyle name="40% - Accent4 2 3 2 2 3 2" xfId="23604" xr:uid="{00000000-0005-0000-0000-0000A7330000}"/>
    <cellStyle name="40% - Accent4 2 3 2 2 4" xfId="15260" xr:uid="{00000000-0005-0000-0000-0000A8330000}"/>
    <cellStyle name="40% - Accent4 2 3 2 2 4 2" xfId="25823" xr:uid="{00000000-0005-0000-0000-0000A9330000}"/>
    <cellStyle name="40% - Accent4 2 3 2 2 5" xfId="19166" xr:uid="{00000000-0005-0000-0000-0000AA330000}"/>
    <cellStyle name="40% - Accent4 2 3 2 3" xfId="7870" xr:uid="{00000000-0005-0000-0000-0000AB330000}"/>
    <cellStyle name="40% - Accent4 2 3 2 3 2" xfId="10089" xr:uid="{00000000-0005-0000-0000-0000AC330000}"/>
    <cellStyle name="40% - Accent4 2 3 2 3 2 2" xfId="20652" xr:uid="{00000000-0005-0000-0000-0000AD330000}"/>
    <cellStyle name="40% - Accent4 2 3 2 3 3" xfId="12308" xr:uid="{00000000-0005-0000-0000-0000AE330000}"/>
    <cellStyle name="40% - Accent4 2 3 2 3 3 2" xfId="22871" xr:uid="{00000000-0005-0000-0000-0000AF330000}"/>
    <cellStyle name="40% - Accent4 2 3 2 3 4" xfId="14527" xr:uid="{00000000-0005-0000-0000-0000B0330000}"/>
    <cellStyle name="40% - Accent4 2 3 2 3 4 2" xfId="25090" xr:uid="{00000000-0005-0000-0000-0000B1330000}"/>
    <cellStyle name="40% - Accent4 2 3 2 3 5" xfId="18433" xr:uid="{00000000-0005-0000-0000-0000B2330000}"/>
    <cellStyle name="40% - Accent4 2 3 2 4" xfId="9346" xr:uid="{00000000-0005-0000-0000-0000B3330000}"/>
    <cellStyle name="40% - Accent4 2 3 2 4 2" xfId="19909" xr:uid="{00000000-0005-0000-0000-0000B4330000}"/>
    <cellStyle name="40% - Accent4 2 3 2 5" xfId="11565" xr:uid="{00000000-0005-0000-0000-0000B5330000}"/>
    <cellStyle name="40% - Accent4 2 3 2 5 2" xfId="22128" xr:uid="{00000000-0005-0000-0000-0000B6330000}"/>
    <cellStyle name="40% - Accent4 2 3 2 6" xfId="13784" xr:uid="{00000000-0005-0000-0000-0000B7330000}"/>
    <cellStyle name="40% - Accent4 2 3 2 6 2" xfId="24347" xr:uid="{00000000-0005-0000-0000-0000B8330000}"/>
    <cellStyle name="40% - Accent4 2 3 2 7" xfId="17684" xr:uid="{00000000-0005-0000-0000-0000B9330000}"/>
    <cellStyle name="40% - Accent4 2 3 3" xfId="1252" xr:uid="{00000000-0005-0000-0000-0000BA330000}"/>
    <cellStyle name="40% - Accent4 2 3 3 2" xfId="8604" xr:uid="{00000000-0005-0000-0000-0000BB330000}"/>
    <cellStyle name="40% - Accent4 2 3 3 2 2" xfId="10823" xr:uid="{00000000-0005-0000-0000-0000BC330000}"/>
    <cellStyle name="40% - Accent4 2 3 3 2 2 2" xfId="21386" xr:uid="{00000000-0005-0000-0000-0000BD330000}"/>
    <cellStyle name="40% - Accent4 2 3 3 2 3" xfId="13042" xr:uid="{00000000-0005-0000-0000-0000BE330000}"/>
    <cellStyle name="40% - Accent4 2 3 3 2 3 2" xfId="23605" xr:uid="{00000000-0005-0000-0000-0000BF330000}"/>
    <cellStyle name="40% - Accent4 2 3 3 2 4" xfId="15261" xr:uid="{00000000-0005-0000-0000-0000C0330000}"/>
    <cellStyle name="40% - Accent4 2 3 3 2 4 2" xfId="25824" xr:uid="{00000000-0005-0000-0000-0000C1330000}"/>
    <cellStyle name="40% - Accent4 2 3 3 2 5" xfId="19167" xr:uid="{00000000-0005-0000-0000-0000C2330000}"/>
    <cellStyle name="40% - Accent4 2 3 3 3" xfId="7871" xr:uid="{00000000-0005-0000-0000-0000C3330000}"/>
    <cellStyle name="40% - Accent4 2 3 3 3 2" xfId="10090" xr:uid="{00000000-0005-0000-0000-0000C4330000}"/>
    <cellStyle name="40% - Accent4 2 3 3 3 2 2" xfId="20653" xr:uid="{00000000-0005-0000-0000-0000C5330000}"/>
    <cellStyle name="40% - Accent4 2 3 3 3 3" xfId="12309" xr:uid="{00000000-0005-0000-0000-0000C6330000}"/>
    <cellStyle name="40% - Accent4 2 3 3 3 3 2" xfId="22872" xr:uid="{00000000-0005-0000-0000-0000C7330000}"/>
    <cellStyle name="40% - Accent4 2 3 3 3 4" xfId="14528" xr:uid="{00000000-0005-0000-0000-0000C8330000}"/>
    <cellStyle name="40% - Accent4 2 3 3 3 4 2" xfId="25091" xr:uid="{00000000-0005-0000-0000-0000C9330000}"/>
    <cellStyle name="40% - Accent4 2 3 3 3 5" xfId="18434" xr:uid="{00000000-0005-0000-0000-0000CA330000}"/>
    <cellStyle name="40% - Accent4 2 3 3 4" xfId="9347" xr:uid="{00000000-0005-0000-0000-0000CB330000}"/>
    <cellStyle name="40% - Accent4 2 3 3 4 2" xfId="19910" xr:uid="{00000000-0005-0000-0000-0000CC330000}"/>
    <cellStyle name="40% - Accent4 2 3 3 5" xfId="11566" xr:uid="{00000000-0005-0000-0000-0000CD330000}"/>
    <cellStyle name="40% - Accent4 2 3 3 5 2" xfId="22129" xr:uid="{00000000-0005-0000-0000-0000CE330000}"/>
    <cellStyle name="40% - Accent4 2 3 3 6" xfId="13785" xr:uid="{00000000-0005-0000-0000-0000CF330000}"/>
    <cellStyle name="40% - Accent4 2 3 3 6 2" xfId="24348" xr:uid="{00000000-0005-0000-0000-0000D0330000}"/>
    <cellStyle name="40% - Accent4 2 3 3 7" xfId="17685" xr:uid="{00000000-0005-0000-0000-0000D1330000}"/>
    <cellStyle name="40% - Accent4 2 3 4" xfId="1253" xr:uid="{00000000-0005-0000-0000-0000D2330000}"/>
    <cellStyle name="40% - Accent4 2 3 4 2" xfId="8605" xr:uid="{00000000-0005-0000-0000-0000D3330000}"/>
    <cellStyle name="40% - Accent4 2 3 4 2 2" xfId="10824" xr:uid="{00000000-0005-0000-0000-0000D4330000}"/>
    <cellStyle name="40% - Accent4 2 3 4 2 2 2" xfId="21387" xr:uid="{00000000-0005-0000-0000-0000D5330000}"/>
    <cellStyle name="40% - Accent4 2 3 4 2 3" xfId="13043" xr:uid="{00000000-0005-0000-0000-0000D6330000}"/>
    <cellStyle name="40% - Accent4 2 3 4 2 3 2" xfId="23606" xr:uid="{00000000-0005-0000-0000-0000D7330000}"/>
    <cellStyle name="40% - Accent4 2 3 4 2 4" xfId="15262" xr:uid="{00000000-0005-0000-0000-0000D8330000}"/>
    <cellStyle name="40% - Accent4 2 3 4 2 4 2" xfId="25825" xr:uid="{00000000-0005-0000-0000-0000D9330000}"/>
    <cellStyle name="40% - Accent4 2 3 4 2 5" xfId="19168" xr:uid="{00000000-0005-0000-0000-0000DA330000}"/>
    <cellStyle name="40% - Accent4 2 3 4 3" xfId="7872" xr:uid="{00000000-0005-0000-0000-0000DB330000}"/>
    <cellStyle name="40% - Accent4 2 3 4 3 2" xfId="10091" xr:uid="{00000000-0005-0000-0000-0000DC330000}"/>
    <cellStyle name="40% - Accent4 2 3 4 3 2 2" xfId="20654" xr:uid="{00000000-0005-0000-0000-0000DD330000}"/>
    <cellStyle name="40% - Accent4 2 3 4 3 3" xfId="12310" xr:uid="{00000000-0005-0000-0000-0000DE330000}"/>
    <cellStyle name="40% - Accent4 2 3 4 3 3 2" xfId="22873" xr:uid="{00000000-0005-0000-0000-0000DF330000}"/>
    <cellStyle name="40% - Accent4 2 3 4 3 4" xfId="14529" xr:uid="{00000000-0005-0000-0000-0000E0330000}"/>
    <cellStyle name="40% - Accent4 2 3 4 3 4 2" xfId="25092" xr:uid="{00000000-0005-0000-0000-0000E1330000}"/>
    <cellStyle name="40% - Accent4 2 3 4 3 5" xfId="18435" xr:uid="{00000000-0005-0000-0000-0000E2330000}"/>
    <cellStyle name="40% - Accent4 2 3 4 4" xfId="9348" xr:uid="{00000000-0005-0000-0000-0000E3330000}"/>
    <cellStyle name="40% - Accent4 2 3 4 4 2" xfId="19911" xr:uid="{00000000-0005-0000-0000-0000E4330000}"/>
    <cellStyle name="40% - Accent4 2 3 4 5" xfId="11567" xr:uid="{00000000-0005-0000-0000-0000E5330000}"/>
    <cellStyle name="40% - Accent4 2 3 4 5 2" xfId="22130" xr:uid="{00000000-0005-0000-0000-0000E6330000}"/>
    <cellStyle name="40% - Accent4 2 3 4 6" xfId="13786" xr:uid="{00000000-0005-0000-0000-0000E7330000}"/>
    <cellStyle name="40% - Accent4 2 3 4 6 2" xfId="24349" xr:uid="{00000000-0005-0000-0000-0000E8330000}"/>
    <cellStyle name="40% - Accent4 2 3 4 7" xfId="17686" xr:uid="{00000000-0005-0000-0000-0000E9330000}"/>
    <cellStyle name="40% - Accent4 2 3 5" xfId="1254" xr:uid="{00000000-0005-0000-0000-0000EA330000}"/>
    <cellStyle name="40% - Accent4 2 3 5 2" xfId="8606" xr:uid="{00000000-0005-0000-0000-0000EB330000}"/>
    <cellStyle name="40% - Accent4 2 3 5 2 2" xfId="10825" xr:uid="{00000000-0005-0000-0000-0000EC330000}"/>
    <cellStyle name="40% - Accent4 2 3 5 2 2 2" xfId="21388" xr:uid="{00000000-0005-0000-0000-0000ED330000}"/>
    <cellStyle name="40% - Accent4 2 3 5 2 3" xfId="13044" xr:uid="{00000000-0005-0000-0000-0000EE330000}"/>
    <cellStyle name="40% - Accent4 2 3 5 2 3 2" xfId="23607" xr:uid="{00000000-0005-0000-0000-0000EF330000}"/>
    <cellStyle name="40% - Accent4 2 3 5 2 4" xfId="15263" xr:uid="{00000000-0005-0000-0000-0000F0330000}"/>
    <cellStyle name="40% - Accent4 2 3 5 2 4 2" xfId="25826" xr:uid="{00000000-0005-0000-0000-0000F1330000}"/>
    <cellStyle name="40% - Accent4 2 3 5 2 5" xfId="19169" xr:uid="{00000000-0005-0000-0000-0000F2330000}"/>
    <cellStyle name="40% - Accent4 2 3 5 3" xfId="7873" xr:uid="{00000000-0005-0000-0000-0000F3330000}"/>
    <cellStyle name="40% - Accent4 2 3 5 3 2" xfId="10092" xr:uid="{00000000-0005-0000-0000-0000F4330000}"/>
    <cellStyle name="40% - Accent4 2 3 5 3 2 2" xfId="20655" xr:uid="{00000000-0005-0000-0000-0000F5330000}"/>
    <cellStyle name="40% - Accent4 2 3 5 3 3" xfId="12311" xr:uid="{00000000-0005-0000-0000-0000F6330000}"/>
    <cellStyle name="40% - Accent4 2 3 5 3 3 2" xfId="22874" xr:uid="{00000000-0005-0000-0000-0000F7330000}"/>
    <cellStyle name="40% - Accent4 2 3 5 3 4" xfId="14530" xr:uid="{00000000-0005-0000-0000-0000F8330000}"/>
    <cellStyle name="40% - Accent4 2 3 5 3 4 2" xfId="25093" xr:uid="{00000000-0005-0000-0000-0000F9330000}"/>
    <cellStyle name="40% - Accent4 2 3 5 3 5" xfId="18436" xr:uid="{00000000-0005-0000-0000-0000FA330000}"/>
    <cellStyle name="40% - Accent4 2 3 5 4" xfId="9349" xr:uid="{00000000-0005-0000-0000-0000FB330000}"/>
    <cellStyle name="40% - Accent4 2 3 5 4 2" xfId="19912" xr:uid="{00000000-0005-0000-0000-0000FC330000}"/>
    <cellStyle name="40% - Accent4 2 3 5 5" xfId="11568" xr:uid="{00000000-0005-0000-0000-0000FD330000}"/>
    <cellStyle name="40% - Accent4 2 3 5 5 2" xfId="22131" xr:uid="{00000000-0005-0000-0000-0000FE330000}"/>
    <cellStyle name="40% - Accent4 2 3 5 6" xfId="13787" xr:uid="{00000000-0005-0000-0000-0000FF330000}"/>
    <cellStyle name="40% - Accent4 2 3 5 6 2" xfId="24350" xr:uid="{00000000-0005-0000-0000-000000340000}"/>
    <cellStyle name="40% - Accent4 2 3 5 7" xfId="17687" xr:uid="{00000000-0005-0000-0000-000001340000}"/>
    <cellStyle name="40% - Accent4 2 3 6" xfId="1255" xr:uid="{00000000-0005-0000-0000-000002340000}"/>
    <cellStyle name="40% - Accent4 2 3 6 2" xfId="8607" xr:uid="{00000000-0005-0000-0000-000003340000}"/>
    <cellStyle name="40% - Accent4 2 3 6 2 2" xfId="10826" xr:uid="{00000000-0005-0000-0000-000004340000}"/>
    <cellStyle name="40% - Accent4 2 3 6 2 2 2" xfId="21389" xr:uid="{00000000-0005-0000-0000-000005340000}"/>
    <cellStyle name="40% - Accent4 2 3 6 2 3" xfId="13045" xr:uid="{00000000-0005-0000-0000-000006340000}"/>
    <cellStyle name="40% - Accent4 2 3 6 2 3 2" xfId="23608" xr:uid="{00000000-0005-0000-0000-000007340000}"/>
    <cellStyle name="40% - Accent4 2 3 6 2 4" xfId="15264" xr:uid="{00000000-0005-0000-0000-000008340000}"/>
    <cellStyle name="40% - Accent4 2 3 6 2 4 2" xfId="25827" xr:uid="{00000000-0005-0000-0000-000009340000}"/>
    <cellStyle name="40% - Accent4 2 3 6 2 5" xfId="19170" xr:uid="{00000000-0005-0000-0000-00000A340000}"/>
    <cellStyle name="40% - Accent4 2 3 6 3" xfId="7874" xr:uid="{00000000-0005-0000-0000-00000B340000}"/>
    <cellStyle name="40% - Accent4 2 3 6 3 2" xfId="10093" xr:uid="{00000000-0005-0000-0000-00000C340000}"/>
    <cellStyle name="40% - Accent4 2 3 6 3 2 2" xfId="20656" xr:uid="{00000000-0005-0000-0000-00000D340000}"/>
    <cellStyle name="40% - Accent4 2 3 6 3 3" xfId="12312" xr:uid="{00000000-0005-0000-0000-00000E340000}"/>
    <cellStyle name="40% - Accent4 2 3 6 3 3 2" xfId="22875" xr:uid="{00000000-0005-0000-0000-00000F340000}"/>
    <cellStyle name="40% - Accent4 2 3 6 3 4" xfId="14531" xr:uid="{00000000-0005-0000-0000-000010340000}"/>
    <cellStyle name="40% - Accent4 2 3 6 3 4 2" xfId="25094" xr:uid="{00000000-0005-0000-0000-000011340000}"/>
    <cellStyle name="40% - Accent4 2 3 6 3 5" xfId="18437" xr:uid="{00000000-0005-0000-0000-000012340000}"/>
    <cellStyle name="40% - Accent4 2 3 6 4" xfId="9350" xr:uid="{00000000-0005-0000-0000-000013340000}"/>
    <cellStyle name="40% - Accent4 2 3 6 4 2" xfId="19913" xr:uid="{00000000-0005-0000-0000-000014340000}"/>
    <cellStyle name="40% - Accent4 2 3 6 5" xfId="11569" xr:uid="{00000000-0005-0000-0000-000015340000}"/>
    <cellStyle name="40% - Accent4 2 3 6 5 2" xfId="22132" xr:uid="{00000000-0005-0000-0000-000016340000}"/>
    <cellStyle name="40% - Accent4 2 3 6 6" xfId="13788" xr:uid="{00000000-0005-0000-0000-000017340000}"/>
    <cellStyle name="40% - Accent4 2 3 6 6 2" xfId="24351" xr:uid="{00000000-0005-0000-0000-000018340000}"/>
    <cellStyle name="40% - Accent4 2 3 6 7" xfId="17688" xr:uid="{00000000-0005-0000-0000-000019340000}"/>
    <cellStyle name="40% - Accent4 2 3 7" xfId="1256" xr:uid="{00000000-0005-0000-0000-00001A340000}"/>
    <cellStyle name="40% - Accent4 2 3 7 2" xfId="8608" xr:uid="{00000000-0005-0000-0000-00001B340000}"/>
    <cellStyle name="40% - Accent4 2 3 7 2 2" xfId="10827" xr:uid="{00000000-0005-0000-0000-00001C340000}"/>
    <cellStyle name="40% - Accent4 2 3 7 2 2 2" xfId="21390" xr:uid="{00000000-0005-0000-0000-00001D340000}"/>
    <cellStyle name="40% - Accent4 2 3 7 2 3" xfId="13046" xr:uid="{00000000-0005-0000-0000-00001E340000}"/>
    <cellStyle name="40% - Accent4 2 3 7 2 3 2" xfId="23609" xr:uid="{00000000-0005-0000-0000-00001F340000}"/>
    <cellStyle name="40% - Accent4 2 3 7 2 4" xfId="15265" xr:uid="{00000000-0005-0000-0000-000020340000}"/>
    <cellStyle name="40% - Accent4 2 3 7 2 4 2" xfId="25828" xr:uid="{00000000-0005-0000-0000-000021340000}"/>
    <cellStyle name="40% - Accent4 2 3 7 2 5" xfId="19171" xr:uid="{00000000-0005-0000-0000-000022340000}"/>
    <cellStyle name="40% - Accent4 2 3 7 3" xfId="7875" xr:uid="{00000000-0005-0000-0000-000023340000}"/>
    <cellStyle name="40% - Accent4 2 3 7 3 2" xfId="10094" xr:uid="{00000000-0005-0000-0000-000024340000}"/>
    <cellStyle name="40% - Accent4 2 3 7 3 2 2" xfId="20657" xr:uid="{00000000-0005-0000-0000-000025340000}"/>
    <cellStyle name="40% - Accent4 2 3 7 3 3" xfId="12313" xr:uid="{00000000-0005-0000-0000-000026340000}"/>
    <cellStyle name="40% - Accent4 2 3 7 3 3 2" xfId="22876" xr:uid="{00000000-0005-0000-0000-000027340000}"/>
    <cellStyle name="40% - Accent4 2 3 7 3 4" xfId="14532" xr:uid="{00000000-0005-0000-0000-000028340000}"/>
    <cellStyle name="40% - Accent4 2 3 7 3 4 2" xfId="25095" xr:uid="{00000000-0005-0000-0000-000029340000}"/>
    <cellStyle name="40% - Accent4 2 3 7 3 5" xfId="18438" xr:uid="{00000000-0005-0000-0000-00002A340000}"/>
    <cellStyle name="40% - Accent4 2 3 7 4" xfId="9351" xr:uid="{00000000-0005-0000-0000-00002B340000}"/>
    <cellStyle name="40% - Accent4 2 3 7 4 2" xfId="19914" xr:uid="{00000000-0005-0000-0000-00002C340000}"/>
    <cellStyle name="40% - Accent4 2 3 7 5" xfId="11570" xr:uid="{00000000-0005-0000-0000-00002D340000}"/>
    <cellStyle name="40% - Accent4 2 3 7 5 2" xfId="22133" xr:uid="{00000000-0005-0000-0000-00002E340000}"/>
    <cellStyle name="40% - Accent4 2 3 7 6" xfId="13789" xr:uid="{00000000-0005-0000-0000-00002F340000}"/>
    <cellStyle name="40% - Accent4 2 3 7 6 2" xfId="24352" xr:uid="{00000000-0005-0000-0000-000030340000}"/>
    <cellStyle name="40% - Accent4 2 3 7 7" xfId="17689" xr:uid="{00000000-0005-0000-0000-000031340000}"/>
    <cellStyle name="40% - Accent4 2 3 8" xfId="1257" xr:uid="{00000000-0005-0000-0000-000032340000}"/>
    <cellStyle name="40% - Accent4 2 3 8 2" xfId="8609" xr:uid="{00000000-0005-0000-0000-000033340000}"/>
    <cellStyle name="40% - Accent4 2 3 8 2 2" xfId="10828" xr:uid="{00000000-0005-0000-0000-000034340000}"/>
    <cellStyle name="40% - Accent4 2 3 8 2 2 2" xfId="21391" xr:uid="{00000000-0005-0000-0000-000035340000}"/>
    <cellStyle name="40% - Accent4 2 3 8 2 3" xfId="13047" xr:uid="{00000000-0005-0000-0000-000036340000}"/>
    <cellStyle name="40% - Accent4 2 3 8 2 3 2" xfId="23610" xr:uid="{00000000-0005-0000-0000-000037340000}"/>
    <cellStyle name="40% - Accent4 2 3 8 2 4" xfId="15266" xr:uid="{00000000-0005-0000-0000-000038340000}"/>
    <cellStyle name="40% - Accent4 2 3 8 2 4 2" xfId="25829" xr:uid="{00000000-0005-0000-0000-000039340000}"/>
    <cellStyle name="40% - Accent4 2 3 8 2 5" xfId="19172" xr:uid="{00000000-0005-0000-0000-00003A340000}"/>
    <cellStyle name="40% - Accent4 2 3 8 3" xfId="7876" xr:uid="{00000000-0005-0000-0000-00003B340000}"/>
    <cellStyle name="40% - Accent4 2 3 8 3 2" xfId="10095" xr:uid="{00000000-0005-0000-0000-00003C340000}"/>
    <cellStyle name="40% - Accent4 2 3 8 3 2 2" xfId="20658" xr:uid="{00000000-0005-0000-0000-00003D340000}"/>
    <cellStyle name="40% - Accent4 2 3 8 3 3" xfId="12314" xr:uid="{00000000-0005-0000-0000-00003E340000}"/>
    <cellStyle name="40% - Accent4 2 3 8 3 3 2" xfId="22877" xr:uid="{00000000-0005-0000-0000-00003F340000}"/>
    <cellStyle name="40% - Accent4 2 3 8 3 4" xfId="14533" xr:uid="{00000000-0005-0000-0000-000040340000}"/>
    <cellStyle name="40% - Accent4 2 3 8 3 4 2" xfId="25096" xr:uid="{00000000-0005-0000-0000-000041340000}"/>
    <cellStyle name="40% - Accent4 2 3 8 3 5" xfId="18439" xr:uid="{00000000-0005-0000-0000-000042340000}"/>
    <cellStyle name="40% - Accent4 2 3 8 4" xfId="9352" xr:uid="{00000000-0005-0000-0000-000043340000}"/>
    <cellStyle name="40% - Accent4 2 3 8 4 2" xfId="19915" xr:uid="{00000000-0005-0000-0000-000044340000}"/>
    <cellStyle name="40% - Accent4 2 3 8 5" xfId="11571" xr:uid="{00000000-0005-0000-0000-000045340000}"/>
    <cellStyle name="40% - Accent4 2 3 8 5 2" xfId="22134" xr:uid="{00000000-0005-0000-0000-000046340000}"/>
    <cellStyle name="40% - Accent4 2 3 8 6" xfId="13790" xr:uid="{00000000-0005-0000-0000-000047340000}"/>
    <cellStyle name="40% - Accent4 2 3 8 6 2" xfId="24353" xr:uid="{00000000-0005-0000-0000-000048340000}"/>
    <cellStyle name="40% - Accent4 2 3 8 7" xfId="17690" xr:uid="{00000000-0005-0000-0000-000049340000}"/>
    <cellStyle name="40% - Accent4 2 3 9" xfId="1258" xr:uid="{00000000-0005-0000-0000-00004A340000}"/>
    <cellStyle name="40% - Accent4 2 3 9 2" xfId="8610" xr:uid="{00000000-0005-0000-0000-00004B340000}"/>
    <cellStyle name="40% - Accent4 2 3 9 2 2" xfId="10829" xr:uid="{00000000-0005-0000-0000-00004C340000}"/>
    <cellStyle name="40% - Accent4 2 3 9 2 2 2" xfId="21392" xr:uid="{00000000-0005-0000-0000-00004D340000}"/>
    <cellStyle name="40% - Accent4 2 3 9 2 3" xfId="13048" xr:uid="{00000000-0005-0000-0000-00004E340000}"/>
    <cellStyle name="40% - Accent4 2 3 9 2 3 2" xfId="23611" xr:uid="{00000000-0005-0000-0000-00004F340000}"/>
    <cellStyle name="40% - Accent4 2 3 9 2 4" xfId="15267" xr:uid="{00000000-0005-0000-0000-000050340000}"/>
    <cellStyle name="40% - Accent4 2 3 9 2 4 2" xfId="25830" xr:uid="{00000000-0005-0000-0000-000051340000}"/>
    <cellStyle name="40% - Accent4 2 3 9 2 5" xfId="19173" xr:uid="{00000000-0005-0000-0000-000052340000}"/>
    <cellStyle name="40% - Accent4 2 3 9 3" xfId="7877" xr:uid="{00000000-0005-0000-0000-000053340000}"/>
    <cellStyle name="40% - Accent4 2 3 9 3 2" xfId="10096" xr:uid="{00000000-0005-0000-0000-000054340000}"/>
    <cellStyle name="40% - Accent4 2 3 9 3 2 2" xfId="20659" xr:uid="{00000000-0005-0000-0000-000055340000}"/>
    <cellStyle name="40% - Accent4 2 3 9 3 3" xfId="12315" xr:uid="{00000000-0005-0000-0000-000056340000}"/>
    <cellStyle name="40% - Accent4 2 3 9 3 3 2" xfId="22878" xr:uid="{00000000-0005-0000-0000-000057340000}"/>
    <cellStyle name="40% - Accent4 2 3 9 3 4" xfId="14534" xr:uid="{00000000-0005-0000-0000-000058340000}"/>
    <cellStyle name="40% - Accent4 2 3 9 3 4 2" xfId="25097" xr:uid="{00000000-0005-0000-0000-000059340000}"/>
    <cellStyle name="40% - Accent4 2 3 9 3 5" xfId="18440" xr:uid="{00000000-0005-0000-0000-00005A340000}"/>
    <cellStyle name="40% - Accent4 2 3 9 4" xfId="9353" xr:uid="{00000000-0005-0000-0000-00005B340000}"/>
    <cellStyle name="40% - Accent4 2 3 9 4 2" xfId="19916" xr:uid="{00000000-0005-0000-0000-00005C340000}"/>
    <cellStyle name="40% - Accent4 2 3 9 5" xfId="11572" xr:uid="{00000000-0005-0000-0000-00005D340000}"/>
    <cellStyle name="40% - Accent4 2 3 9 5 2" xfId="22135" xr:uid="{00000000-0005-0000-0000-00005E340000}"/>
    <cellStyle name="40% - Accent4 2 3 9 6" xfId="13791" xr:uid="{00000000-0005-0000-0000-00005F340000}"/>
    <cellStyle name="40% - Accent4 2 3 9 6 2" xfId="24354" xr:uid="{00000000-0005-0000-0000-000060340000}"/>
    <cellStyle name="40% - Accent4 2 3 9 7" xfId="17691" xr:uid="{00000000-0005-0000-0000-000061340000}"/>
    <cellStyle name="40% - Accent4 2 4" xfId="1259" xr:uid="{00000000-0005-0000-0000-000062340000}"/>
    <cellStyle name="40% - Accent4 2 4 10" xfId="8611" xr:uid="{00000000-0005-0000-0000-000063340000}"/>
    <cellStyle name="40% - Accent4 2 4 10 2" xfId="10830" xr:uid="{00000000-0005-0000-0000-000064340000}"/>
    <cellStyle name="40% - Accent4 2 4 10 2 2" xfId="21393" xr:uid="{00000000-0005-0000-0000-000065340000}"/>
    <cellStyle name="40% - Accent4 2 4 10 3" xfId="13049" xr:uid="{00000000-0005-0000-0000-000066340000}"/>
    <cellStyle name="40% - Accent4 2 4 10 3 2" xfId="23612" xr:uid="{00000000-0005-0000-0000-000067340000}"/>
    <cellStyle name="40% - Accent4 2 4 10 4" xfId="15268" xr:uid="{00000000-0005-0000-0000-000068340000}"/>
    <cellStyle name="40% - Accent4 2 4 10 4 2" xfId="25831" xr:uid="{00000000-0005-0000-0000-000069340000}"/>
    <cellStyle name="40% - Accent4 2 4 10 5" xfId="19174" xr:uid="{00000000-0005-0000-0000-00006A340000}"/>
    <cellStyle name="40% - Accent4 2 4 11" xfId="7878" xr:uid="{00000000-0005-0000-0000-00006B340000}"/>
    <cellStyle name="40% - Accent4 2 4 11 2" xfId="10097" xr:uid="{00000000-0005-0000-0000-00006C340000}"/>
    <cellStyle name="40% - Accent4 2 4 11 2 2" xfId="20660" xr:uid="{00000000-0005-0000-0000-00006D340000}"/>
    <cellStyle name="40% - Accent4 2 4 11 3" xfId="12316" xr:uid="{00000000-0005-0000-0000-00006E340000}"/>
    <cellStyle name="40% - Accent4 2 4 11 3 2" xfId="22879" xr:uid="{00000000-0005-0000-0000-00006F340000}"/>
    <cellStyle name="40% - Accent4 2 4 11 4" xfId="14535" xr:uid="{00000000-0005-0000-0000-000070340000}"/>
    <cellStyle name="40% - Accent4 2 4 11 4 2" xfId="25098" xr:uid="{00000000-0005-0000-0000-000071340000}"/>
    <cellStyle name="40% - Accent4 2 4 11 5" xfId="18441" xr:uid="{00000000-0005-0000-0000-000072340000}"/>
    <cellStyle name="40% - Accent4 2 4 12" xfId="9354" xr:uid="{00000000-0005-0000-0000-000073340000}"/>
    <cellStyle name="40% - Accent4 2 4 12 2" xfId="19917" xr:uid="{00000000-0005-0000-0000-000074340000}"/>
    <cellStyle name="40% - Accent4 2 4 13" xfId="11573" xr:uid="{00000000-0005-0000-0000-000075340000}"/>
    <cellStyle name="40% - Accent4 2 4 13 2" xfId="22136" xr:uid="{00000000-0005-0000-0000-000076340000}"/>
    <cellStyle name="40% - Accent4 2 4 14" xfId="13792" xr:uid="{00000000-0005-0000-0000-000077340000}"/>
    <cellStyle name="40% - Accent4 2 4 14 2" xfId="24355" xr:uid="{00000000-0005-0000-0000-000078340000}"/>
    <cellStyle name="40% - Accent4 2 4 15" xfId="17692" xr:uid="{00000000-0005-0000-0000-000079340000}"/>
    <cellStyle name="40% - Accent4 2 4 2" xfId="1260" xr:uid="{00000000-0005-0000-0000-00007A340000}"/>
    <cellStyle name="40% - Accent4 2 4 2 2" xfId="8612" xr:uid="{00000000-0005-0000-0000-00007B340000}"/>
    <cellStyle name="40% - Accent4 2 4 2 2 2" xfId="10831" xr:uid="{00000000-0005-0000-0000-00007C340000}"/>
    <cellStyle name="40% - Accent4 2 4 2 2 2 2" xfId="21394" xr:uid="{00000000-0005-0000-0000-00007D340000}"/>
    <cellStyle name="40% - Accent4 2 4 2 2 3" xfId="13050" xr:uid="{00000000-0005-0000-0000-00007E340000}"/>
    <cellStyle name="40% - Accent4 2 4 2 2 3 2" xfId="23613" xr:uid="{00000000-0005-0000-0000-00007F340000}"/>
    <cellStyle name="40% - Accent4 2 4 2 2 4" xfId="15269" xr:uid="{00000000-0005-0000-0000-000080340000}"/>
    <cellStyle name="40% - Accent4 2 4 2 2 4 2" xfId="25832" xr:uid="{00000000-0005-0000-0000-000081340000}"/>
    <cellStyle name="40% - Accent4 2 4 2 2 5" xfId="19175" xr:uid="{00000000-0005-0000-0000-000082340000}"/>
    <cellStyle name="40% - Accent4 2 4 2 3" xfId="7879" xr:uid="{00000000-0005-0000-0000-000083340000}"/>
    <cellStyle name="40% - Accent4 2 4 2 3 2" xfId="10098" xr:uid="{00000000-0005-0000-0000-000084340000}"/>
    <cellStyle name="40% - Accent4 2 4 2 3 2 2" xfId="20661" xr:uid="{00000000-0005-0000-0000-000085340000}"/>
    <cellStyle name="40% - Accent4 2 4 2 3 3" xfId="12317" xr:uid="{00000000-0005-0000-0000-000086340000}"/>
    <cellStyle name="40% - Accent4 2 4 2 3 3 2" xfId="22880" xr:uid="{00000000-0005-0000-0000-000087340000}"/>
    <cellStyle name="40% - Accent4 2 4 2 3 4" xfId="14536" xr:uid="{00000000-0005-0000-0000-000088340000}"/>
    <cellStyle name="40% - Accent4 2 4 2 3 4 2" xfId="25099" xr:uid="{00000000-0005-0000-0000-000089340000}"/>
    <cellStyle name="40% - Accent4 2 4 2 3 5" xfId="18442" xr:uid="{00000000-0005-0000-0000-00008A340000}"/>
    <cellStyle name="40% - Accent4 2 4 2 4" xfId="9355" xr:uid="{00000000-0005-0000-0000-00008B340000}"/>
    <cellStyle name="40% - Accent4 2 4 2 4 2" xfId="19918" xr:uid="{00000000-0005-0000-0000-00008C340000}"/>
    <cellStyle name="40% - Accent4 2 4 2 5" xfId="11574" xr:uid="{00000000-0005-0000-0000-00008D340000}"/>
    <cellStyle name="40% - Accent4 2 4 2 5 2" xfId="22137" xr:uid="{00000000-0005-0000-0000-00008E340000}"/>
    <cellStyle name="40% - Accent4 2 4 2 6" xfId="13793" xr:uid="{00000000-0005-0000-0000-00008F340000}"/>
    <cellStyle name="40% - Accent4 2 4 2 6 2" xfId="24356" xr:uid="{00000000-0005-0000-0000-000090340000}"/>
    <cellStyle name="40% - Accent4 2 4 2 7" xfId="17693" xr:uid="{00000000-0005-0000-0000-000091340000}"/>
    <cellStyle name="40% - Accent4 2 4 3" xfId="1261" xr:uid="{00000000-0005-0000-0000-000092340000}"/>
    <cellStyle name="40% - Accent4 2 4 3 2" xfId="8613" xr:uid="{00000000-0005-0000-0000-000093340000}"/>
    <cellStyle name="40% - Accent4 2 4 3 2 2" xfId="10832" xr:uid="{00000000-0005-0000-0000-000094340000}"/>
    <cellStyle name="40% - Accent4 2 4 3 2 2 2" xfId="21395" xr:uid="{00000000-0005-0000-0000-000095340000}"/>
    <cellStyle name="40% - Accent4 2 4 3 2 3" xfId="13051" xr:uid="{00000000-0005-0000-0000-000096340000}"/>
    <cellStyle name="40% - Accent4 2 4 3 2 3 2" xfId="23614" xr:uid="{00000000-0005-0000-0000-000097340000}"/>
    <cellStyle name="40% - Accent4 2 4 3 2 4" xfId="15270" xr:uid="{00000000-0005-0000-0000-000098340000}"/>
    <cellStyle name="40% - Accent4 2 4 3 2 4 2" xfId="25833" xr:uid="{00000000-0005-0000-0000-000099340000}"/>
    <cellStyle name="40% - Accent4 2 4 3 2 5" xfId="19176" xr:uid="{00000000-0005-0000-0000-00009A340000}"/>
    <cellStyle name="40% - Accent4 2 4 3 3" xfId="7880" xr:uid="{00000000-0005-0000-0000-00009B340000}"/>
    <cellStyle name="40% - Accent4 2 4 3 3 2" xfId="10099" xr:uid="{00000000-0005-0000-0000-00009C340000}"/>
    <cellStyle name="40% - Accent4 2 4 3 3 2 2" xfId="20662" xr:uid="{00000000-0005-0000-0000-00009D340000}"/>
    <cellStyle name="40% - Accent4 2 4 3 3 3" xfId="12318" xr:uid="{00000000-0005-0000-0000-00009E340000}"/>
    <cellStyle name="40% - Accent4 2 4 3 3 3 2" xfId="22881" xr:uid="{00000000-0005-0000-0000-00009F340000}"/>
    <cellStyle name="40% - Accent4 2 4 3 3 4" xfId="14537" xr:uid="{00000000-0005-0000-0000-0000A0340000}"/>
    <cellStyle name="40% - Accent4 2 4 3 3 4 2" xfId="25100" xr:uid="{00000000-0005-0000-0000-0000A1340000}"/>
    <cellStyle name="40% - Accent4 2 4 3 3 5" xfId="18443" xr:uid="{00000000-0005-0000-0000-0000A2340000}"/>
    <cellStyle name="40% - Accent4 2 4 3 4" xfId="9356" xr:uid="{00000000-0005-0000-0000-0000A3340000}"/>
    <cellStyle name="40% - Accent4 2 4 3 4 2" xfId="19919" xr:uid="{00000000-0005-0000-0000-0000A4340000}"/>
    <cellStyle name="40% - Accent4 2 4 3 5" xfId="11575" xr:uid="{00000000-0005-0000-0000-0000A5340000}"/>
    <cellStyle name="40% - Accent4 2 4 3 5 2" xfId="22138" xr:uid="{00000000-0005-0000-0000-0000A6340000}"/>
    <cellStyle name="40% - Accent4 2 4 3 6" xfId="13794" xr:uid="{00000000-0005-0000-0000-0000A7340000}"/>
    <cellStyle name="40% - Accent4 2 4 3 6 2" xfId="24357" xr:uid="{00000000-0005-0000-0000-0000A8340000}"/>
    <cellStyle name="40% - Accent4 2 4 3 7" xfId="17694" xr:uid="{00000000-0005-0000-0000-0000A9340000}"/>
    <cellStyle name="40% - Accent4 2 4 4" xfId="1262" xr:uid="{00000000-0005-0000-0000-0000AA340000}"/>
    <cellStyle name="40% - Accent4 2 4 4 2" xfId="8614" xr:uid="{00000000-0005-0000-0000-0000AB340000}"/>
    <cellStyle name="40% - Accent4 2 4 4 2 2" xfId="10833" xr:uid="{00000000-0005-0000-0000-0000AC340000}"/>
    <cellStyle name="40% - Accent4 2 4 4 2 2 2" xfId="21396" xr:uid="{00000000-0005-0000-0000-0000AD340000}"/>
    <cellStyle name="40% - Accent4 2 4 4 2 3" xfId="13052" xr:uid="{00000000-0005-0000-0000-0000AE340000}"/>
    <cellStyle name="40% - Accent4 2 4 4 2 3 2" xfId="23615" xr:uid="{00000000-0005-0000-0000-0000AF340000}"/>
    <cellStyle name="40% - Accent4 2 4 4 2 4" xfId="15271" xr:uid="{00000000-0005-0000-0000-0000B0340000}"/>
    <cellStyle name="40% - Accent4 2 4 4 2 4 2" xfId="25834" xr:uid="{00000000-0005-0000-0000-0000B1340000}"/>
    <cellStyle name="40% - Accent4 2 4 4 2 5" xfId="19177" xr:uid="{00000000-0005-0000-0000-0000B2340000}"/>
    <cellStyle name="40% - Accent4 2 4 4 3" xfId="7881" xr:uid="{00000000-0005-0000-0000-0000B3340000}"/>
    <cellStyle name="40% - Accent4 2 4 4 3 2" xfId="10100" xr:uid="{00000000-0005-0000-0000-0000B4340000}"/>
    <cellStyle name="40% - Accent4 2 4 4 3 2 2" xfId="20663" xr:uid="{00000000-0005-0000-0000-0000B5340000}"/>
    <cellStyle name="40% - Accent4 2 4 4 3 3" xfId="12319" xr:uid="{00000000-0005-0000-0000-0000B6340000}"/>
    <cellStyle name="40% - Accent4 2 4 4 3 3 2" xfId="22882" xr:uid="{00000000-0005-0000-0000-0000B7340000}"/>
    <cellStyle name="40% - Accent4 2 4 4 3 4" xfId="14538" xr:uid="{00000000-0005-0000-0000-0000B8340000}"/>
    <cellStyle name="40% - Accent4 2 4 4 3 4 2" xfId="25101" xr:uid="{00000000-0005-0000-0000-0000B9340000}"/>
    <cellStyle name="40% - Accent4 2 4 4 3 5" xfId="18444" xr:uid="{00000000-0005-0000-0000-0000BA340000}"/>
    <cellStyle name="40% - Accent4 2 4 4 4" xfId="9357" xr:uid="{00000000-0005-0000-0000-0000BB340000}"/>
    <cellStyle name="40% - Accent4 2 4 4 4 2" xfId="19920" xr:uid="{00000000-0005-0000-0000-0000BC340000}"/>
    <cellStyle name="40% - Accent4 2 4 4 5" xfId="11576" xr:uid="{00000000-0005-0000-0000-0000BD340000}"/>
    <cellStyle name="40% - Accent4 2 4 4 5 2" xfId="22139" xr:uid="{00000000-0005-0000-0000-0000BE340000}"/>
    <cellStyle name="40% - Accent4 2 4 4 6" xfId="13795" xr:uid="{00000000-0005-0000-0000-0000BF340000}"/>
    <cellStyle name="40% - Accent4 2 4 4 6 2" xfId="24358" xr:uid="{00000000-0005-0000-0000-0000C0340000}"/>
    <cellStyle name="40% - Accent4 2 4 4 7" xfId="17695" xr:uid="{00000000-0005-0000-0000-0000C1340000}"/>
    <cellStyle name="40% - Accent4 2 4 5" xfId="1263" xr:uid="{00000000-0005-0000-0000-0000C2340000}"/>
    <cellStyle name="40% - Accent4 2 4 5 2" xfId="8615" xr:uid="{00000000-0005-0000-0000-0000C3340000}"/>
    <cellStyle name="40% - Accent4 2 4 5 2 2" xfId="10834" xr:uid="{00000000-0005-0000-0000-0000C4340000}"/>
    <cellStyle name="40% - Accent4 2 4 5 2 2 2" xfId="21397" xr:uid="{00000000-0005-0000-0000-0000C5340000}"/>
    <cellStyle name="40% - Accent4 2 4 5 2 3" xfId="13053" xr:uid="{00000000-0005-0000-0000-0000C6340000}"/>
    <cellStyle name="40% - Accent4 2 4 5 2 3 2" xfId="23616" xr:uid="{00000000-0005-0000-0000-0000C7340000}"/>
    <cellStyle name="40% - Accent4 2 4 5 2 4" xfId="15272" xr:uid="{00000000-0005-0000-0000-0000C8340000}"/>
    <cellStyle name="40% - Accent4 2 4 5 2 4 2" xfId="25835" xr:uid="{00000000-0005-0000-0000-0000C9340000}"/>
    <cellStyle name="40% - Accent4 2 4 5 2 5" xfId="19178" xr:uid="{00000000-0005-0000-0000-0000CA340000}"/>
    <cellStyle name="40% - Accent4 2 4 5 3" xfId="7882" xr:uid="{00000000-0005-0000-0000-0000CB340000}"/>
    <cellStyle name="40% - Accent4 2 4 5 3 2" xfId="10101" xr:uid="{00000000-0005-0000-0000-0000CC340000}"/>
    <cellStyle name="40% - Accent4 2 4 5 3 2 2" xfId="20664" xr:uid="{00000000-0005-0000-0000-0000CD340000}"/>
    <cellStyle name="40% - Accent4 2 4 5 3 3" xfId="12320" xr:uid="{00000000-0005-0000-0000-0000CE340000}"/>
    <cellStyle name="40% - Accent4 2 4 5 3 3 2" xfId="22883" xr:uid="{00000000-0005-0000-0000-0000CF340000}"/>
    <cellStyle name="40% - Accent4 2 4 5 3 4" xfId="14539" xr:uid="{00000000-0005-0000-0000-0000D0340000}"/>
    <cellStyle name="40% - Accent4 2 4 5 3 4 2" xfId="25102" xr:uid="{00000000-0005-0000-0000-0000D1340000}"/>
    <cellStyle name="40% - Accent4 2 4 5 3 5" xfId="18445" xr:uid="{00000000-0005-0000-0000-0000D2340000}"/>
    <cellStyle name="40% - Accent4 2 4 5 4" xfId="9358" xr:uid="{00000000-0005-0000-0000-0000D3340000}"/>
    <cellStyle name="40% - Accent4 2 4 5 4 2" xfId="19921" xr:uid="{00000000-0005-0000-0000-0000D4340000}"/>
    <cellStyle name="40% - Accent4 2 4 5 5" xfId="11577" xr:uid="{00000000-0005-0000-0000-0000D5340000}"/>
    <cellStyle name="40% - Accent4 2 4 5 5 2" xfId="22140" xr:uid="{00000000-0005-0000-0000-0000D6340000}"/>
    <cellStyle name="40% - Accent4 2 4 5 6" xfId="13796" xr:uid="{00000000-0005-0000-0000-0000D7340000}"/>
    <cellStyle name="40% - Accent4 2 4 5 6 2" xfId="24359" xr:uid="{00000000-0005-0000-0000-0000D8340000}"/>
    <cellStyle name="40% - Accent4 2 4 5 7" xfId="17696" xr:uid="{00000000-0005-0000-0000-0000D9340000}"/>
    <cellStyle name="40% - Accent4 2 4 6" xfId="1264" xr:uid="{00000000-0005-0000-0000-0000DA340000}"/>
    <cellStyle name="40% - Accent4 2 4 6 2" xfId="8616" xr:uid="{00000000-0005-0000-0000-0000DB340000}"/>
    <cellStyle name="40% - Accent4 2 4 6 2 2" xfId="10835" xr:uid="{00000000-0005-0000-0000-0000DC340000}"/>
    <cellStyle name="40% - Accent4 2 4 6 2 2 2" xfId="21398" xr:uid="{00000000-0005-0000-0000-0000DD340000}"/>
    <cellStyle name="40% - Accent4 2 4 6 2 3" xfId="13054" xr:uid="{00000000-0005-0000-0000-0000DE340000}"/>
    <cellStyle name="40% - Accent4 2 4 6 2 3 2" xfId="23617" xr:uid="{00000000-0005-0000-0000-0000DF340000}"/>
    <cellStyle name="40% - Accent4 2 4 6 2 4" xfId="15273" xr:uid="{00000000-0005-0000-0000-0000E0340000}"/>
    <cellStyle name="40% - Accent4 2 4 6 2 4 2" xfId="25836" xr:uid="{00000000-0005-0000-0000-0000E1340000}"/>
    <cellStyle name="40% - Accent4 2 4 6 2 5" xfId="19179" xr:uid="{00000000-0005-0000-0000-0000E2340000}"/>
    <cellStyle name="40% - Accent4 2 4 6 3" xfId="7883" xr:uid="{00000000-0005-0000-0000-0000E3340000}"/>
    <cellStyle name="40% - Accent4 2 4 6 3 2" xfId="10102" xr:uid="{00000000-0005-0000-0000-0000E4340000}"/>
    <cellStyle name="40% - Accent4 2 4 6 3 2 2" xfId="20665" xr:uid="{00000000-0005-0000-0000-0000E5340000}"/>
    <cellStyle name="40% - Accent4 2 4 6 3 3" xfId="12321" xr:uid="{00000000-0005-0000-0000-0000E6340000}"/>
    <cellStyle name="40% - Accent4 2 4 6 3 3 2" xfId="22884" xr:uid="{00000000-0005-0000-0000-0000E7340000}"/>
    <cellStyle name="40% - Accent4 2 4 6 3 4" xfId="14540" xr:uid="{00000000-0005-0000-0000-0000E8340000}"/>
    <cellStyle name="40% - Accent4 2 4 6 3 4 2" xfId="25103" xr:uid="{00000000-0005-0000-0000-0000E9340000}"/>
    <cellStyle name="40% - Accent4 2 4 6 3 5" xfId="18446" xr:uid="{00000000-0005-0000-0000-0000EA340000}"/>
    <cellStyle name="40% - Accent4 2 4 6 4" xfId="9359" xr:uid="{00000000-0005-0000-0000-0000EB340000}"/>
    <cellStyle name="40% - Accent4 2 4 6 4 2" xfId="19922" xr:uid="{00000000-0005-0000-0000-0000EC340000}"/>
    <cellStyle name="40% - Accent4 2 4 6 5" xfId="11578" xr:uid="{00000000-0005-0000-0000-0000ED340000}"/>
    <cellStyle name="40% - Accent4 2 4 6 5 2" xfId="22141" xr:uid="{00000000-0005-0000-0000-0000EE340000}"/>
    <cellStyle name="40% - Accent4 2 4 6 6" xfId="13797" xr:uid="{00000000-0005-0000-0000-0000EF340000}"/>
    <cellStyle name="40% - Accent4 2 4 6 6 2" xfId="24360" xr:uid="{00000000-0005-0000-0000-0000F0340000}"/>
    <cellStyle name="40% - Accent4 2 4 6 7" xfId="17697" xr:uid="{00000000-0005-0000-0000-0000F1340000}"/>
    <cellStyle name="40% - Accent4 2 4 7" xfId="1265" xr:uid="{00000000-0005-0000-0000-0000F2340000}"/>
    <cellStyle name="40% - Accent4 2 4 7 2" xfId="8617" xr:uid="{00000000-0005-0000-0000-0000F3340000}"/>
    <cellStyle name="40% - Accent4 2 4 7 2 2" xfId="10836" xr:uid="{00000000-0005-0000-0000-0000F4340000}"/>
    <cellStyle name="40% - Accent4 2 4 7 2 2 2" xfId="21399" xr:uid="{00000000-0005-0000-0000-0000F5340000}"/>
    <cellStyle name="40% - Accent4 2 4 7 2 3" xfId="13055" xr:uid="{00000000-0005-0000-0000-0000F6340000}"/>
    <cellStyle name="40% - Accent4 2 4 7 2 3 2" xfId="23618" xr:uid="{00000000-0005-0000-0000-0000F7340000}"/>
    <cellStyle name="40% - Accent4 2 4 7 2 4" xfId="15274" xr:uid="{00000000-0005-0000-0000-0000F8340000}"/>
    <cellStyle name="40% - Accent4 2 4 7 2 4 2" xfId="25837" xr:uid="{00000000-0005-0000-0000-0000F9340000}"/>
    <cellStyle name="40% - Accent4 2 4 7 2 5" xfId="19180" xr:uid="{00000000-0005-0000-0000-0000FA340000}"/>
    <cellStyle name="40% - Accent4 2 4 7 3" xfId="7884" xr:uid="{00000000-0005-0000-0000-0000FB340000}"/>
    <cellStyle name="40% - Accent4 2 4 7 3 2" xfId="10103" xr:uid="{00000000-0005-0000-0000-0000FC340000}"/>
    <cellStyle name="40% - Accent4 2 4 7 3 2 2" xfId="20666" xr:uid="{00000000-0005-0000-0000-0000FD340000}"/>
    <cellStyle name="40% - Accent4 2 4 7 3 3" xfId="12322" xr:uid="{00000000-0005-0000-0000-0000FE340000}"/>
    <cellStyle name="40% - Accent4 2 4 7 3 3 2" xfId="22885" xr:uid="{00000000-0005-0000-0000-0000FF340000}"/>
    <cellStyle name="40% - Accent4 2 4 7 3 4" xfId="14541" xr:uid="{00000000-0005-0000-0000-000000350000}"/>
    <cellStyle name="40% - Accent4 2 4 7 3 4 2" xfId="25104" xr:uid="{00000000-0005-0000-0000-000001350000}"/>
    <cellStyle name="40% - Accent4 2 4 7 3 5" xfId="18447" xr:uid="{00000000-0005-0000-0000-000002350000}"/>
    <cellStyle name="40% - Accent4 2 4 7 4" xfId="9360" xr:uid="{00000000-0005-0000-0000-000003350000}"/>
    <cellStyle name="40% - Accent4 2 4 7 4 2" xfId="19923" xr:uid="{00000000-0005-0000-0000-000004350000}"/>
    <cellStyle name="40% - Accent4 2 4 7 5" xfId="11579" xr:uid="{00000000-0005-0000-0000-000005350000}"/>
    <cellStyle name="40% - Accent4 2 4 7 5 2" xfId="22142" xr:uid="{00000000-0005-0000-0000-000006350000}"/>
    <cellStyle name="40% - Accent4 2 4 7 6" xfId="13798" xr:uid="{00000000-0005-0000-0000-000007350000}"/>
    <cellStyle name="40% - Accent4 2 4 7 6 2" xfId="24361" xr:uid="{00000000-0005-0000-0000-000008350000}"/>
    <cellStyle name="40% - Accent4 2 4 7 7" xfId="17698" xr:uid="{00000000-0005-0000-0000-000009350000}"/>
    <cellStyle name="40% - Accent4 2 4 8" xfId="1266" xr:uid="{00000000-0005-0000-0000-00000A350000}"/>
    <cellStyle name="40% - Accent4 2 4 8 2" xfId="8618" xr:uid="{00000000-0005-0000-0000-00000B350000}"/>
    <cellStyle name="40% - Accent4 2 4 8 2 2" xfId="10837" xr:uid="{00000000-0005-0000-0000-00000C350000}"/>
    <cellStyle name="40% - Accent4 2 4 8 2 2 2" xfId="21400" xr:uid="{00000000-0005-0000-0000-00000D350000}"/>
    <cellStyle name="40% - Accent4 2 4 8 2 3" xfId="13056" xr:uid="{00000000-0005-0000-0000-00000E350000}"/>
    <cellStyle name="40% - Accent4 2 4 8 2 3 2" xfId="23619" xr:uid="{00000000-0005-0000-0000-00000F350000}"/>
    <cellStyle name="40% - Accent4 2 4 8 2 4" xfId="15275" xr:uid="{00000000-0005-0000-0000-000010350000}"/>
    <cellStyle name="40% - Accent4 2 4 8 2 4 2" xfId="25838" xr:uid="{00000000-0005-0000-0000-000011350000}"/>
    <cellStyle name="40% - Accent4 2 4 8 2 5" xfId="19181" xr:uid="{00000000-0005-0000-0000-000012350000}"/>
    <cellStyle name="40% - Accent4 2 4 8 3" xfId="7885" xr:uid="{00000000-0005-0000-0000-000013350000}"/>
    <cellStyle name="40% - Accent4 2 4 8 3 2" xfId="10104" xr:uid="{00000000-0005-0000-0000-000014350000}"/>
    <cellStyle name="40% - Accent4 2 4 8 3 2 2" xfId="20667" xr:uid="{00000000-0005-0000-0000-000015350000}"/>
    <cellStyle name="40% - Accent4 2 4 8 3 3" xfId="12323" xr:uid="{00000000-0005-0000-0000-000016350000}"/>
    <cellStyle name="40% - Accent4 2 4 8 3 3 2" xfId="22886" xr:uid="{00000000-0005-0000-0000-000017350000}"/>
    <cellStyle name="40% - Accent4 2 4 8 3 4" xfId="14542" xr:uid="{00000000-0005-0000-0000-000018350000}"/>
    <cellStyle name="40% - Accent4 2 4 8 3 4 2" xfId="25105" xr:uid="{00000000-0005-0000-0000-000019350000}"/>
    <cellStyle name="40% - Accent4 2 4 8 3 5" xfId="18448" xr:uid="{00000000-0005-0000-0000-00001A350000}"/>
    <cellStyle name="40% - Accent4 2 4 8 4" xfId="9361" xr:uid="{00000000-0005-0000-0000-00001B350000}"/>
    <cellStyle name="40% - Accent4 2 4 8 4 2" xfId="19924" xr:uid="{00000000-0005-0000-0000-00001C350000}"/>
    <cellStyle name="40% - Accent4 2 4 8 5" xfId="11580" xr:uid="{00000000-0005-0000-0000-00001D350000}"/>
    <cellStyle name="40% - Accent4 2 4 8 5 2" xfId="22143" xr:uid="{00000000-0005-0000-0000-00001E350000}"/>
    <cellStyle name="40% - Accent4 2 4 8 6" xfId="13799" xr:uid="{00000000-0005-0000-0000-00001F350000}"/>
    <cellStyle name="40% - Accent4 2 4 8 6 2" xfId="24362" xr:uid="{00000000-0005-0000-0000-000020350000}"/>
    <cellStyle name="40% - Accent4 2 4 8 7" xfId="17699" xr:uid="{00000000-0005-0000-0000-000021350000}"/>
    <cellStyle name="40% - Accent4 2 4 9" xfId="1267" xr:uid="{00000000-0005-0000-0000-000022350000}"/>
    <cellStyle name="40% - Accent4 2 4 9 2" xfId="8619" xr:uid="{00000000-0005-0000-0000-000023350000}"/>
    <cellStyle name="40% - Accent4 2 4 9 2 2" xfId="10838" xr:uid="{00000000-0005-0000-0000-000024350000}"/>
    <cellStyle name="40% - Accent4 2 4 9 2 2 2" xfId="21401" xr:uid="{00000000-0005-0000-0000-000025350000}"/>
    <cellStyle name="40% - Accent4 2 4 9 2 3" xfId="13057" xr:uid="{00000000-0005-0000-0000-000026350000}"/>
    <cellStyle name="40% - Accent4 2 4 9 2 3 2" xfId="23620" xr:uid="{00000000-0005-0000-0000-000027350000}"/>
    <cellStyle name="40% - Accent4 2 4 9 2 4" xfId="15276" xr:uid="{00000000-0005-0000-0000-000028350000}"/>
    <cellStyle name="40% - Accent4 2 4 9 2 4 2" xfId="25839" xr:uid="{00000000-0005-0000-0000-000029350000}"/>
    <cellStyle name="40% - Accent4 2 4 9 2 5" xfId="19182" xr:uid="{00000000-0005-0000-0000-00002A350000}"/>
    <cellStyle name="40% - Accent4 2 4 9 3" xfId="7886" xr:uid="{00000000-0005-0000-0000-00002B350000}"/>
    <cellStyle name="40% - Accent4 2 4 9 3 2" xfId="10105" xr:uid="{00000000-0005-0000-0000-00002C350000}"/>
    <cellStyle name="40% - Accent4 2 4 9 3 2 2" xfId="20668" xr:uid="{00000000-0005-0000-0000-00002D350000}"/>
    <cellStyle name="40% - Accent4 2 4 9 3 3" xfId="12324" xr:uid="{00000000-0005-0000-0000-00002E350000}"/>
    <cellStyle name="40% - Accent4 2 4 9 3 3 2" xfId="22887" xr:uid="{00000000-0005-0000-0000-00002F350000}"/>
    <cellStyle name="40% - Accent4 2 4 9 3 4" xfId="14543" xr:uid="{00000000-0005-0000-0000-000030350000}"/>
    <cellStyle name="40% - Accent4 2 4 9 3 4 2" xfId="25106" xr:uid="{00000000-0005-0000-0000-000031350000}"/>
    <cellStyle name="40% - Accent4 2 4 9 3 5" xfId="18449" xr:uid="{00000000-0005-0000-0000-000032350000}"/>
    <cellStyle name="40% - Accent4 2 4 9 4" xfId="9362" xr:uid="{00000000-0005-0000-0000-000033350000}"/>
    <cellStyle name="40% - Accent4 2 4 9 4 2" xfId="19925" xr:uid="{00000000-0005-0000-0000-000034350000}"/>
    <cellStyle name="40% - Accent4 2 4 9 5" xfId="11581" xr:uid="{00000000-0005-0000-0000-000035350000}"/>
    <cellStyle name="40% - Accent4 2 4 9 5 2" xfId="22144" xr:uid="{00000000-0005-0000-0000-000036350000}"/>
    <cellStyle name="40% - Accent4 2 4 9 6" xfId="13800" xr:uid="{00000000-0005-0000-0000-000037350000}"/>
    <cellStyle name="40% - Accent4 2 4 9 6 2" xfId="24363" xr:uid="{00000000-0005-0000-0000-000038350000}"/>
    <cellStyle name="40% - Accent4 2 4 9 7" xfId="17700" xr:uid="{00000000-0005-0000-0000-000039350000}"/>
    <cellStyle name="40% - Accent4 2 5" xfId="1268" xr:uid="{00000000-0005-0000-0000-00003A350000}"/>
    <cellStyle name="40% - Accent4 2 5 10" xfId="8620" xr:uid="{00000000-0005-0000-0000-00003B350000}"/>
    <cellStyle name="40% - Accent4 2 5 10 2" xfId="10839" xr:uid="{00000000-0005-0000-0000-00003C350000}"/>
    <cellStyle name="40% - Accent4 2 5 10 2 2" xfId="21402" xr:uid="{00000000-0005-0000-0000-00003D350000}"/>
    <cellStyle name="40% - Accent4 2 5 10 3" xfId="13058" xr:uid="{00000000-0005-0000-0000-00003E350000}"/>
    <cellStyle name="40% - Accent4 2 5 10 3 2" xfId="23621" xr:uid="{00000000-0005-0000-0000-00003F350000}"/>
    <cellStyle name="40% - Accent4 2 5 10 4" xfId="15277" xr:uid="{00000000-0005-0000-0000-000040350000}"/>
    <cellStyle name="40% - Accent4 2 5 10 4 2" xfId="25840" xr:uid="{00000000-0005-0000-0000-000041350000}"/>
    <cellStyle name="40% - Accent4 2 5 10 5" xfId="19183" xr:uid="{00000000-0005-0000-0000-000042350000}"/>
    <cellStyle name="40% - Accent4 2 5 11" xfId="7887" xr:uid="{00000000-0005-0000-0000-000043350000}"/>
    <cellStyle name="40% - Accent4 2 5 11 2" xfId="10106" xr:uid="{00000000-0005-0000-0000-000044350000}"/>
    <cellStyle name="40% - Accent4 2 5 11 2 2" xfId="20669" xr:uid="{00000000-0005-0000-0000-000045350000}"/>
    <cellStyle name="40% - Accent4 2 5 11 3" xfId="12325" xr:uid="{00000000-0005-0000-0000-000046350000}"/>
    <cellStyle name="40% - Accent4 2 5 11 3 2" xfId="22888" xr:uid="{00000000-0005-0000-0000-000047350000}"/>
    <cellStyle name="40% - Accent4 2 5 11 4" xfId="14544" xr:uid="{00000000-0005-0000-0000-000048350000}"/>
    <cellStyle name="40% - Accent4 2 5 11 4 2" xfId="25107" xr:uid="{00000000-0005-0000-0000-000049350000}"/>
    <cellStyle name="40% - Accent4 2 5 11 5" xfId="18450" xr:uid="{00000000-0005-0000-0000-00004A350000}"/>
    <cellStyle name="40% - Accent4 2 5 12" xfId="9363" xr:uid="{00000000-0005-0000-0000-00004B350000}"/>
    <cellStyle name="40% - Accent4 2 5 12 2" xfId="19926" xr:uid="{00000000-0005-0000-0000-00004C350000}"/>
    <cellStyle name="40% - Accent4 2 5 13" xfId="11582" xr:uid="{00000000-0005-0000-0000-00004D350000}"/>
    <cellStyle name="40% - Accent4 2 5 13 2" xfId="22145" xr:uid="{00000000-0005-0000-0000-00004E350000}"/>
    <cellStyle name="40% - Accent4 2 5 14" xfId="13801" xr:uid="{00000000-0005-0000-0000-00004F350000}"/>
    <cellStyle name="40% - Accent4 2 5 14 2" xfId="24364" xr:uid="{00000000-0005-0000-0000-000050350000}"/>
    <cellStyle name="40% - Accent4 2 5 15" xfId="17701" xr:uid="{00000000-0005-0000-0000-000051350000}"/>
    <cellStyle name="40% - Accent4 2 5 2" xfId="1269" xr:uid="{00000000-0005-0000-0000-000052350000}"/>
    <cellStyle name="40% - Accent4 2 5 2 2" xfId="8621" xr:uid="{00000000-0005-0000-0000-000053350000}"/>
    <cellStyle name="40% - Accent4 2 5 2 2 2" xfId="10840" xr:uid="{00000000-0005-0000-0000-000054350000}"/>
    <cellStyle name="40% - Accent4 2 5 2 2 2 2" xfId="21403" xr:uid="{00000000-0005-0000-0000-000055350000}"/>
    <cellStyle name="40% - Accent4 2 5 2 2 3" xfId="13059" xr:uid="{00000000-0005-0000-0000-000056350000}"/>
    <cellStyle name="40% - Accent4 2 5 2 2 3 2" xfId="23622" xr:uid="{00000000-0005-0000-0000-000057350000}"/>
    <cellStyle name="40% - Accent4 2 5 2 2 4" xfId="15278" xr:uid="{00000000-0005-0000-0000-000058350000}"/>
    <cellStyle name="40% - Accent4 2 5 2 2 4 2" xfId="25841" xr:uid="{00000000-0005-0000-0000-000059350000}"/>
    <cellStyle name="40% - Accent4 2 5 2 2 5" xfId="19184" xr:uid="{00000000-0005-0000-0000-00005A350000}"/>
    <cellStyle name="40% - Accent4 2 5 2 3" xfId="7888" xr:uid="{00000000-0005-0000-0000-00005B350000}"/>
    <cellStyle name="40% - Accent4 2 5 2 3 2" xfId="10107" xr:uid="{00000000-0005-0000-0000-00005C350000}"/>
    <cellStyle name="40% - Accent4 2 5 2 3 2 2" xfId="20670" xr:uid="{00000000-0005-0000-0000-00005D350000}"/>
    <cellStyle name="40% - Accent4 2 5 2 3 3" xfId="12326" xr:uid="{00000000-0005-0000-0000-00005E350000}"/>
    <cellStyle name="40% - Accent4 2 5 2 3 3 2" xfId="22889" xr:uid="{00000000-0005-0000-0000-00005F350000}"/>
    <cellStyle name="40% - Accent4 2 5 2 3 4" xfId="14545" xr:uid="{00000000-0005-0000-0000-000060350000}"/>
    <cellStyle name="40% - Accent4 2 5 2 3 4 2" xfId="25108" xr:uid="{00000000-0005-0000-0000-000061350000}"/>
    <cellStyle name="40% - Accent4 2 5 2 3 5" xfId="18451" xr:uid="{00000000-0005-0000-0000-000062350000}"/>
    <cellStyle name="40% - Accent4 2 5 2 4" xfId="9364" xr:uid="{00000000-0005-0000-0000-000063350000}"/>
    <cellStyle name="40% - Accent4 2 5 2 4 2" xfId="19927" xr:uid="{00000000-0005-0000-0000-000064350000}"/>
    <cellStyle name="40% - Accent4 2 5 2 5" xfId="11583" xr:uid="{00000000-0005-0000-0000-000065350000}"/>
    <cellStyle name="40% - Accent4 2 5 2 5 2" xfId="22146" xr:uid="{00000000-0005-0000-0000-000066350000}"/>
    <cellStyle name="40% - Accent4 2 5 2 6" xfId="13802" xr:uid="{00000000-0005-0000-0000-000067350000}"/>
    <cellStyle name="40% - Accent4 2 5 2 6 2" xfId="24365" xr:uid="{00000000-0005-0000-0000-000068350000}"/>
    <cellStyle name="40% - Accent4 2 5 2 7" xfId="17702" xr:uid="{00000000-0005-0000-0000-000069350000}"/>
    <cellStyle name="40% - Accent4 2 5 3" xfId="1270" xr:uid="{00000000-0005-0000-0000-00006A350000}"/>
    <cellStyle name="40% - Accent4 2 5 3 2" xfId="8622" xr:uid="{00000000-0005-0000-0000-00006B350000}"/>
    <cellStyle name="40% - Accent4 2 5 3 2 2" xfId="10841" xr:uid="{00000000-0005-0000-0000-00006C350000}"/>
    <cellStyle name="40% - Accent4 2 5 3 2 2 2" xfId="21404" xr:uid="{00000000-0005-0000-0000-00006D350000}"/>
    <cellStyle name="40% - Accent4 2 5 3 2 3" xfId="13060" xr:uid="{00000000-0005-0000-0000-00006E350000}"/>
    <cellStyle name="40% - Accent4 2 5 3 2 3 2" xfId="23623" xr:uid="{00000000-0005-0000-0000-00006F350000}"/>
    <cellStyle name="40% - Accent4 2 5 3 2 4" xfId="15279" xr:uid="{00000000-0005-0000-0000-000070350000}"/>
    <cellStyle name="40% - Accent4 2 5 3 2 4 2" xfId="25842" xr:uid="{00000000-0005-0000-0000-000071350000}"/>
    <cellStyle name="40% - Accent4 2 5 3 2 5" xfId="19185" xr:uid="{00000000-0005-0000-0000-000072350000}"/>
    <cellStyle name="40% - Accent4 2 5 3 3" xfId="7889" xr:uid="{00000000-0005-0000-0000-000073350000}"/>
    <cellStyle name="40% - Accent4 2 5 3 3 2" xfId="10108" xr:uid="{00000000-0005-0000-0000-000074350000}"/>
    <cellStyle name="40% - Accent4 2 5 3 3 2 2" xfId="20671" xr:uid="{00000000-0005-0000-0000-000075350000}"/>
    <cellStyle name="40% - Accent4 2 5 3 3 3" xfId="12327" xr:uid="{00000000-0005-0000-0000-000076350000}"/>
    <cellStyle name="40% - Accent4 2 5 3 3 3 2" xfId="22890" xr:uid="{00000000-0005-0000-0000-000077350000}"/>
    <cellStyle name="40% - Accent4 2 5 3 3 4" xfId="14546" xr:uid="{00000000-0005-0000-0000-000078350000}"/>
    <cellStyle name="40% - Accent4 2 5 3 3 4 2" xfId="25109" xr:uid="{00000000-0005-0000-0000-000079350000}"/>
    <cellStyle name="40% - Accent4 2 5 3 3 5" xfId="18452" xr:uid="{00000000-0005-0000-0000-00007A350000}"/>
    <cellStyle name="40% - Accent4 2 5 3 4" xfId="9365" xr:uid="{00000000-0005-0000-0000-00007B350000}"/>
    <cellStyle name="40% - Accent4 2 5 3 4 2" xfId="19928" xr:uid="{00000000-0005-0000-0000-00007C350000}"/>
    <cellStyle name="40% - Accent4 2 5 3 5" xfId="11584" xr:uid="{00000000-0005-0000-0000-00007D350000}"/>
    <cellStyle name="40% - Accent4 2 5 3 5 2" xfId="22147" xr:uid="{00000000-0005-0000-0000-00007E350000}"/>
    <cellStyle name="40% - Accent4 2 5 3 6" xfId="13803" xr:uid="{00000000-0005-0000-0000-00007F350000}"/>
    <cellStyle name="40% - Accent4 2 5 3 6 2" xfId="24366" xr:uid="{00000000-0005-0000-0000-000080350000}"/>
    <cellStyle name="40% - Accent4 2 5 3 7" xfId="17703" xr:uid="{00000000-0005-0000-0000-000081350000}"/>
    <cellStyle name="40% - Accent4 2 5 4" xfId="1271" xr:uid="{00000000-0005-0000-0000-000082350000}"/>
    <cellStyle name="40% - Accent4 2 5 4 2" xfId="8623" xr:uid="{00000000-0005-0000-0000-000083350000}"/>
    <cellStyle name="40% - Accent4 2 5 4 2 2" xfId="10842" xr:uid="{00000000-0005-0000-0000-000084350000}"/>
    <cellStyle name="40% - Accent4 2 5 4 2 2 2" xfId="21405" xr:uid="{00000000-0005-0000-0000-000085350000}"/>
    <cellStyle name="40% - Accent4 2 5 4 2 3" xfId="13061" xr:uid="{00000000-0005-0000-0000-000086350000}"/>
    <cellStyle name="40% - Accent4 2 5 4 2 3 2" xfId="23624" xr:uid="{00000000-0005-0000-0000-000087350000}"/>
    <cellStyle name="40% - Accent4 2 5 4 2 4" xfId="15280" xr:uid="{00000000-0005-0000-0000-000088350000}"/>
    <cellStyle name="40% - Accent4 2 5 4 2 4 2" xfId="25843" xr:uid="{00000000-0005-0000-0000-000089350000}"/>
    <cellStyle name="40% - Accent4 2 5 4 2 5" xfId="19186" xr:uid="{00000000-0005-0000-0000-00008A350000}"/>
    <cellStyle name="40% - Accent4 2 5 4 3" xfId="7890" xr:uid="{00000000-0005-0000-0000-00008B350000}"/>
    <cellStyle name="40% - Accent4 2 5 4 3 2" xfId="10109" xr:uid="{00000000-0005-0000-0000-00008C350000}"/>
    <cellStyle name="40% - Accent4 2 5 4 3 2 2" xfId="20672" xr:uid="{00000000-0005-0000-0000-00008D350000}"/>
    <cellStyle name="40% - Accent4 2 5 4 3 3" xfId="12328" xr:uid="{00000000-0005-0000-0000-00008E350000}"/>
    <cellStyle name="40% - Accent4 2 5 4 3 3 2" xfId="22891" xr:uid="{00000000-0005-0000-0000-00008F350000}"/>
    <cellStyle name="40% - Accent4 2 5 4 3 4" xfId="14547" xr:uid="{00000000-0005-0000-0000-000090350000}"/>
    <cellStyle name="40% - Accent4 2 5 4 3 4 2" xfId="25110" xr:uid="{00000000-0005-0000-0000-000091350000}"/>
    <cellStyle name="40% - Accent4 2 5 4 3 5" xfId="18453" xr:uid="{00000000-0005-0000-0000-000092350000}"/>
    <cellStyle name="40% - Accent4 2 5 4 4" xfId="9366" xr:uid="{00000000-0005-0000-0000-000093350000}"/>
    <cellStyle name="40% - Accent4 2 5 4 4 2" xfId="19929" xr:uid="{00000000-0005-0000-0000-000094350000}"/>
    <cellStyle name="40% - Accent4 2 5 4 5" xfId="11585" xr:uid="{00000000-0005-0000-0000-000095350000}"/>
    <cellStyle name="40% - Accent4 2 5 4 5 2" xfId="22148" xr:uid="{00000000-0005-0000-0000-000096350000}"/>
    <cellStyle name="40% - Accent4 2 5 4 6" xfId="13804" xr:uid="{00000000-0005-0000-0000-000097350000}"/>
    <cellStyle name="40% - Accent4 2 5 4 6 2" xfId="24367" xr:uid="{00000000-0005-0000-0000-000098350000}"/>
    <cellStyle name="40% - Accent4 2 5 4 7" xfId="17704" xr:uid="{00000000-0005-0000-0000-000099350000}"/>
    <cellStyle name="40% - Accent4 2 5 5" xfId="1272" xr:uid="{00000000-0005-0000-0000-00009A350000}"/>
    <cellStyle name="40% - Accent4 2 5 5 2" xfId="8624" xr:uid="{00000000-0005-0000-0000-00009B350000}"/>
    <cellStyle name="40% - Accent4 2 5 5 2 2" xfId="10843" xr:uid="{00000000-0005-0000-0000-00009C350000}"/>
    <cellStyle name="40% - Accent4 2 5 5 2 2 2" xfId="21406" xr:uid="{00000000-0005-0000-0000-00009D350000}"/>
    <cellStyle name="40% - Accent4 2 5 5 2 3" xfId="13062" xr:uid="{00000000-0005-0000-0000-00009E350000}"/>
    <cellStyle name="40% - Accent4 2 5 5 2 3 2" xfId="23625" xr:uid="{00000000-0005-0000-0000-00009F350000}"/>
    <cellStyle name="40% - Accent4 2 5 5 2 4" xfId="15281" xr:uid="{00000000-0005-0000-0000-0000A0350000}"/>
    <cellStyle name="40% - Accent4 2 5 5 2 4 2" xfId="25844" xr:uid="{00000000-0005-0000-0000-0000A1350000}"/>
    <cellStyle name="40% - Accent4 2 5 5 2 5" xfId="19187" xr:uid="{00000000-0005-0000-0000-0000A2350000}"/>
    <cellStyle name="40% - Accent4 2 5 5 3" xfId="7891" xr:uid="{00000000-0005-0000-0000-0000A3350000}"/>
    <cellStyle name="40% - Accent4 2 5 5 3 2" xfId="10110" xr:uid="{00000000-0005-0000-0000-0000A4350000}"/>
    <cellStyle name="40% - Accent4 2 5 5 3 2 2" xfId="20673" xr:uid="{00000000-0005-0000-0000-0000A5350000}"/>
    <cellStyle name="40% - Accent4 2 5 5 3 3" xfId="12329" xr:uid="{00000000-0005-0000-0000-0000A6350000}"/>
    <cellStyle name="40% - Accent4 2 5 5 3 3 2" xfId="22892" xr:uid="{00000000-0005-0000-0000-0000A7350000}"/>
    <cellStyle name="40% - Accent4 2 5 5 3 4" xfId="14548" xr:uid="{00000000-0005-0000-0000-0000A8350000}"/>
    <cellStyle name="40% - Accent4 2 5 5 3 4 2" xfId="25111" xr:uid="{00000000-0005-0000-0000-0000A9350000}"/>
    <cellStyle name="40% - Accent4 2 5 5 3 5" xfId="18454" xr:uid="{00000000-0005-0000-0000-0000AA350000}"/>
    <cellStyle name="40% - Accent4 2 5 5 4" xfId="9367" xr:uid="{00000000-0005-0000-0000-0000AB350000}"/>
    <cellStyle name="40% - Accent4 2 5 5 4 2" xfId="19930" xr:uid="{00000000-0005-0000-0000-0000AC350000}"/>
    <cellStyle name="40% - Accent4 2 5 5 5" xfId="11586" xr:uid="{00000000-0005-0000-0000-0000AD350000}"/>
    <cellStyle name="40% - Accent4 2 5 5 5 2" xfId="22149" xr:uid="{00000000-0005-0000-0000-0000AE350000}"/>
    <cellStyle name="40% - Accent4 2 5 5 6" xfId="13805" xr:uid="{00000000-0005-0000-0000-0000AF350000}"/>
    <cellStyle name="40% - Accent4 2 5 5 6 2" xfId="24368" xr:uid="{00000000-0005-0000-0000-0000B0350000}"/>
    <cellStyle name="40% - Accent4 2 5 5 7" xfId="17705" xr:uid="{00000000-0005-0000-0000-0000B1350000}"/>
    <cellStyle name="40% - Accent4 2 5 6" xfId="1273" xr:uid="{00000000-0005-0000-0000-0000B2350000}"/>
    <cellStyle name="40% - Accent4 2 5 6 2" xfId="8625" xr:uid="{00000000-0005-0000-0000-0000B3350000}"/>
    <cellStyle name="40% - Accent4 2 5 6 2 2" xfId="10844" xr:uid="{00000000-0005-0000-0000-0000B4350000}"/>
    <cellStyle name="40% - Accent4 2 5 6 2 2 2" xfId="21407" xr:uid="{00000000-0005-0000-0000-0000B5350000}"/>
    <cellStyle name="40% - Accent4 2 5 6 2 3" xfId="13063" xr:uid="{00000000-0005-0000-0000-0000B6350000}"/>
    <cellStyle name="40% - Accent4 2 5 6 2 3 2" xfId="23626" xr:uid="{00000000-0005-0000-0000-0000B7350000}"/>
    <cellStyle name="40% - Accent4 2 5 6 2 4" xfId="15282" xr:uid="{00000000-0005-0000-0000-0000B8350000}"/>
    <cellStyle name="40% - Accent4 2 5 6 2 4 2" xfId="25845" xr:uid="{00000000-0005-0000-0000-0000B9350000}"/>
    <cellStyle name="40% - Accent4 2 5 6 2 5" xfId="19188" xr:uid="{00000000-0005-0000-0000-0000BA350000}"/>
    <cellStyle name="40% - Accent4 2 5 6 3" xfId="7892" xr:uid="{00000000-0005-0000-0000-0000BB350000}"/>
    <cellStyle name="40% - Accent4 2 5 6 3 2" xfId="10111" xr:uid="{00000000-0005-0000-0000-0000BC350000}"/>
    <cellStyle name="40% - Accent4 2 5 6 3 2 2" xfId="20674" xr:uid="{00000000-0005-0000-0000-0000BD350000}"/>
    <cellStyle name="40% - Accent4 2 5 6 3 3" xfId="12330" xr:uid="{00000000-0005-0000-0000-0000BE350000}"/>
    <cellStyle name="40% - Accent4 2 5 6 3 3 2" xfId="22893" xr:uid="{00000000-0005-0000-0000-0000BF350000}"/>
    <cellStyle name="40% - Accent4 2 5 6 3 4" xfId="14549" xr:uid="{00000000-0005-0000-0000-0000C0350000}"/>
    <cellStyle name="40% - Accent4 2 5 6 3 4 2" xfId="25112" xr:uid="{00000000-0005-0000-0000-0000C1350000}"/>
    <cellStyle name="40% - Accent4 2 5 6 3 5" xfId="18455" xr:uid="{00000000-0005-0000-0000-0000C2350000}"/>
    <cellStyle name="40% - Accent4 2 5 6 4" xfId="9368" xr:uid="{00000000-0005-0000-0000-0000C3350000}"/>
    <cellStyle name="40% - Accent4 2 5 6 4 2" xfId="19931" xr:uid="{00000000-0005-0000-0000-0000C4350000}"/>
    <cellStyle name="40% - Accent4 2 5 6 5" xfId="11587" xr:uid="{00000000-0005-0000-0000-0000C5350000}"/>
    <cellStyle name="40% - Accent4 2 5 6 5 2" xfId="22150" xr:uid="{00000000-0005-0000-0000-0000C6350000}"/>
    <cellStyle name="40% - Accent4 2 5 6 6" xfId="13806" xr:uid="{00000000-0005-0000-0000-0000C7350000}"/>
    <cellStyle name="40% - Accent4 2 5 6 6 2" xfId="24369" xr:uid="{00000000-0005-0000-0000-0000C8350000}"/>
    <cellStyle name="40% - Accent4 2 5 6 7" xfId="17706" xr:uid="{00000000-0005-0000-0000-0000C9350000}"/>
    <cellStyle name="40% - Accent4 2 5 7" xfId="1274" xr:uid="{00000000-0005-0000-0000-0000CA350000}"/>
    <cellStyle name="40% - Accent4 2 5 7 2" xfId="8626" xr:uid="{00000000-0005-0000-0000-0000CB350000}"/>
    <cellStyle name="40% - Accent4 2 5 7 2 2" xfId="10845" xr:uid="{00000000-0005-0000-0000-0000CC350000}"/>
    <cellStyle name="40% - Accent4 2 5 7 2 2 2" xfId="21408" xr:uid="{00000000-0005-0000-0000-0000CD350000}"/>
    <cellStyle name="40% - Accent4 2 5 7 2 3" xfId="13064" xr:uid="{00000000-0005-0000-0000-0000CE350000}"/>
    <cellStyle name="40% - Accent4 2 5 7 2 3 2" xfId="23627" xr:uid="{00000000-0005-0000-0000-0000CF350000}"/>
    <cellStyle name="40% - Accent4 2 5 7 2 4" xfId="15283" xr:uid="{00000000-0005-0000-0000-0000D0350000}"/>
    <cellStyle name="40% - Accent4 2 5 7 2 4 2" xfId="25846" xr:uid="{00000000-0005-0000-0000-0000D1350000}"/>
    <cellStyle name="40% - Accent4 2 5 7 2 5" xfId="19189" xr:uid="{00000000-0005-0000-0000-0000D2350000}"/>
    <cellStyle name="40% - Accent4 2 5 7 3" xfId="7893" xr:uid="{00000000-0005-0000-0000-0000D3350000}"/>
    <cellStyle name="40% - Accent4 2 5 7 3 2" xfId="10112" xr:uid="{00000000-0005-0000-0000-0000D4350000}"/>
    <cellStyle name="40% - Accent4 2 5 7 3 2 2" xfId="20675" xr:uid="{00000000-0005-0000-0000-0000D5350000}"/>
    <cellStyle name="40% - Accent4 2 5 7 3 3" xfId="12331" xr:uid="{00000000-0005-0000-0000-0000D6350000}"/>
    <cellStyle name="40% - Accent4 2 5 7 3 3 2" xfId="22894" xr:uid="{00000000-0005-0000-0000-0000D7350000}"/>
    <cellStyle name="40% - Accent4 2 5 7 3 4" xfId="14550" xr:uid="{00000000-0005-0000-0000-0000D8350000}"/>
    <cellStyle name="40% - Accent4 2 5 7 3 4 2" xfId="25113" xr:uid="{00000000-0005-0000-0000-0000D9350000}"/>
    <cellStyle name="40% - Accent4 2 5 7 3 5" xfId="18456" xr:uid="{00000000-0005-0000-0000-0000DA350000}"/>
    <cellStyle name="40% - Accent4 2 5 7 4" xfId="9369" xr:uid="{00000000-0005-0000-0000-0000DB350000}"/>
    <cellStyle name="40% - Accent4 2 5 7 4 2" xfId="19932" xr:uid="{00000000-0005-0000-0000-0000DC350000}"/>
    <cellStyle name="40% - Accent4 2 5 7 5" xfId="11588" xr:uid="{00000000-0005-0000-0000-0000DD350000}"/>
    <cellStyle name="40% - Accent4 2 5 7 5 2" xfId="22151" xr:uid="{00000000-0005-0000-0000-0000DE350000}"/>
    <cellStyle name="40% - Accent4 2 5 7 6" xfId="13807" xr:uid="{00000000-0005-0000-0000-0000DF350000}"/>
    <cellStyle name="40% - Accent4 2 5 7 6 2" xfId="24370" xr:uid="{00000000-0005-0000-0000-0000E0350000}"/>
    <cellStyle name="40% - Accent4 2 5 7 7" xfId="17707" xr:uid="{00000000-0005-0000-0000-0000E1350000}"/>
    <cellStyle name="40% - Accent4 2 5 8" xfId="1275" xr:uid="{00000000-0005-0000-0000-0000E2350000}"/>
    <cellStyle name="40% - Accent4 2 5 8 2" xfId="8627" xr:uid="{00000000-0005-0000-0000-0000E3350000}"/>
    <cellStyle name="40% - Accent4 2 5 8 2 2" xfId="10846" xr:uid="{00000000-0005-0000-0000-0000E4350000}"/>
    <cellStyle name="40% - Accent4 2 5 8 2 2 2" xfId="21409" xr:uid="{00000000-0005-0000-0000-0000E5350000}"/>
    <cellStyle name="40% - Accent4 2 5 8 2 3" xfId="13065" xr:uid="{00000000-0005-0000-0000-0000E6350000}"/>
    <cellStyle name="40% - Accent4 2 5 8 2 3 2" xfId="23628" xr:uid="{00000000-0005-0000-0000-0000E7350000}"/>
    <cellStyle name="40% - Accent4 2 5 8 2 4" xfId="15284" xr:uid="{00000000-0005-0000-0000-0000E8350000}"/>
    <cellStyle name="40% - Accent4 2 5 8 2 4 2" xfId="25847" xr:uid="{00000000-0005-0000-0000-0000E9350000}"/>
    <cellStyle name="40% - Accent4 2 5 8 2 5" xfId="19190" xr:uid="{00000000-0005-0000-0000-0000EA350000}"/>
    <cellStyle name="40% - Accent4 2 5 8 3" xfId="7894" xr:uid="{00000000-0005-0000-0000-0000EB350000}"/>
    <cellStyle name="40% - Accent4 2 5 8 3 2" xfId="10113" xr:uid="{00000000-0005-0000-0000-0000EC350000}"/>
    <cellStyle name="40% - Accent4 2 5 8 3 2 2" xfId="20676" xr:uid="{00000000-0005-0000-0000-0000ED350000}"/>
    <cellStyle name="40% - Accent4 2 5 8 3 3" xfId="12332" xr:uid="{00000000-0005-0000-0000-0000EE350000}"/>
    <cellStyle name="40% - Accent4 2 5 8 3 3 2" xfId="22895" xr:uid="{00000000-0005-0000-0000-0000EF350000}"/>
    <cellStyle name="40% - Accent4 2 5 8 3 4" xfId="14551" xr:uid="{00000000-0005-0000-0000-0000F0350000}"/>
    <cellStyle name="40% - Accent4 2 5 8 3 4 2" xfId="25114" xr:uid="{00000000-0005-0000-0000-0000F1350000}"/>
    <cellStyle name="40% - Accent4 2 5 8 3 5" xfId="18457" xr:uid="{00000000-0005-0000-0000-0000F2350000}"/>
    <cellStyle name="40% - Accent4 2 5 8 4" xfId="9370" xr:uid="{00000000-0005-0000-0000-0000F3350000}"/>
    <cellStyle name="40% - Accent4 2 5 8 4 2" xfId="19933" xr:uid="{00000000-0005-0000-0000-0000F4350000}"/>
    <cellStyle name="40% - Accent4 2 5 8 5" xfId="11589" xr:uid="{00000000-0005-0000-0000-0000F5350000}"/>
    <cellStyle name="40% - Accent4 2 5 8 5 2" xfId="22152" xr:uid="{00000000-0005-0000-0000-0000F6350000}"/>
    <cellStyle name="40% - Accent4 2 5 8 6" xfId="13808" xr:uid="{00000000-0005-0000-0000-0000F7350000}"/>
    <cellStyle name="40% - Accent4 2 5 8 6 2" xfId="24371" xr:uid="{00000000-0005-0000-0000-0000F8350000}"/>
    <cellStyle name="40% - Accent4 2 5 8 7" xfId="17708" xr:uid="{00000000-0005-0000-0000-0000F9350000}"/>
    <cellStyle name="40% - Accent4 2 5 9" xfId="1276" xr:uid="{00000000-0005-0000-0000-0000FA350000}"/>
    <cellStyle name="40% - Accent4 2 5 9 2" xfId="8628" xr:uid="{00000000-0005-0000-0000-0000FB350000}"/>
    <cellStyle name="40% - Accent4 2 5 9 2 2" xfId="10847" xr:uid="{00000000-0005-0000-0000-0000FC350000}"/>
    <cellStyle name="40% - Accent4 2 5 9 2 2 2" xfId="21410" xr:uid="{00000000-0005-0000-0000-0000FD350000}"/>
    <cellStyle name="40% - Accent4 2 5 9 2 3" xfId="13066" xr:uid="{00000000-0005-0000-0000-0000FE350000}"/>
    <cellStyle name="40% - Accent4 2 5 9 2 3 2" xfId="23629" xr:uid="{00000000-0005-0000-0000-0000FF350000}"/>
    <cellStyle name="40% - Accent4 2 5 9 2 4" xfId="15285" xr:uid="{00000000-0005-0000-0000-000000360000}"/>
    <cellStyle name="40% - Accent4 2 5 9 2 4 2" xfId="25848" xr:uid="{00000000-0005-0000-0000-000001360000}"/>
    <cellStyle name="40% - Accent4 2 5 9 2 5" xfId="19191" xr:uid="{00000000-0005-0000-0000-000002360000}"/>
    <cellStyle name="40% - Accent4 2 5 9 3" xfId="7895" xr:uid="{00000000-0005-0000-0000-000003360000}"/>
    <cellStyle name="40% - Accent4 2 5 9 3 2" xfId="10114" xr:uid="{00000000-0005-0000-0000-000004360000}"/>
    <cellStyle name="40% - Accent4 2 5 9 3 2 2" xfId="20677" xr:uid="{00000000-0005-0000-0000-000005360000}"/>
    <cellStyle name="40% - Accent4 2 5 9 3 3" xfId="12333" xr:uid="{00000000-0005-0000-0000-000006360000}"/>
    <cellStyle name="40% - Accent4 2 5 9 3 3 2" xfId="22896" xr:uid="{00000000-0005-0000-0000-000007360000}"/>
    <cellStyle name="40% - Accent4 2 5 9 3 4" xfId="14552" xr:uid="{00000000-0005-0000-0000-000008360000}"/>
    <cellStyle name="40% - Accent4 2 5 9 3 4 2" xfId="25115" xr:uid="{00000000-0005-0000-0000-000009360000}"/>
    <cellStyle name="40% - Accent4 2 5 9 3 5" xfId="18458" xr:uid="{00000000-0005-0000-0000-00000A360000}"/>
    <cellStyle name="40% - Accent4 2 5 9 4" xfId="9371" xr:uid="{00000000-0005-0000-0000-00000B360000}"/>
    <cellStyle name="40% - Accent4 2 5 9 4 2" xfId="19934" xr:uid="{00000000-0005-0000-0000-00000C360000}"/>
    <cellStyle name="40% - Accent4 2 5 9 5" xfId="11590" xr:uid="{00000000-0005-0000-0000-00000D360000}"/>
    <cellStyle name="40% - Accent4 2 5 9 5 2" xfId="22153" xr:uid="{00000000-0005-0000-0000-00000E360000}"/>
    <cellStyle name="40% - Accent4 2 5 9 6" xfId="13809" xr:uid="{00000000-0005-0000-0000-00000F360000}"/>
    <cellStyle name="40% - Accent4 2 5 9 6 2" xfId="24372" xr:uid="{00000000-0005-0000-0000-000010360000}"/>
    <cellStyle name="40% - Accent4 2 5 9 7" xfId="17709" xr:uid="{00000000-0005-0000-0000-000011360000}"/>
    <cellStyle name="40% - Accent4 2 6" xfId="1277" xr:uid="{00000000-0005-0000-0000-000012360000}"/>
    <cellStyle name="40% - Accent4 2 6 10" xfId="13810" xr:uid="{00000000-0005-0000-0000-000013360000}"/>
    <cellStyle name="40% - Accent4 2 6 10 2" xfId="24373" xr:uid="{00000000-0005-0000-0000-000014360000}"/>
    <cellStyle name="40% - Accent4 2 6 11" xfId="17710" xr:uid="{00000000-0005-0000-0000-000015360000}"/>
    <cellStyle name="40% - Accent4 2 6 2" xfId="1278" xr:uid="{00000000-0005-0000-0000-000016360000}"/>
    <cellStyle name="40% - Accent4 2 6 2 2" xfId="8630" xr:uid="{00000000-0005-0000-0000-000017360000}"/>
    <cellStyle name="40% - Accent4 2 6 2 2 2" xfId="10849" xr:uid="{00000000-0005-0000-0000-000018360000}"/>
    <cellStyle name="40% - Accent4 2 6 2 2 2 2" xfId="21412" xr:uid="{00000000-0005-0000-0000-000019360000}"/>
    <cellStyle name="40% - Accent4 2 6 2 2 3" xfId="13068" xr:uid="{00000000-0005-0000-0000-00001A360000}"/>
    <cellStyle name="40% - Accent4 2 6 2 2 3 2" xfId="23631" xr:uid="{00000000-0005-0000-0000-00001B360000}"/>
    <cellStyle name="40% - Accent4 2 6 2 2 4" xfId="15287" xr:uid="{00000000-0005-0000-0000-00001C360000}"/>
    <cellStyle name="40% - Accent4 2 6 2 2 4 2" xfId="25850" xr:uid="{00000000-0005-0000-0000-00001D360000}"/>
    <cellStyle name="40% - Accent4 2 6 2 2 5" xfId="19193" xr:uid="{00000000-0005-0000-0000-00001E360000}"/>
    <cellStyle name="40% - Accent4 2 6 2 3" xfId="7897" xr:uid="{00000000-0005-0000-0000-00001F360000}"/>
    <cellStyle name="40% - Accent4 2 6 2 3 2" xfId="10116" xr:uid="{00000000-0005-0000-0000-000020360000}"/>
    <cellStyle name="40% - Accent4 2 6 2 3 2 2" xfId="20679" xr:uid="{00000000-0005-0000-0000-000021360000}"/>
    <cellStyle name="40% - Accent4 2 6 2 3 3" xfId="12335" xr:uid="{00000000-0005-0000-0000-000022360000}"/>
    <cellStyle name="40% - Accent4 2 6 2 3 3 2" xfId="22898" xr:uid="{00000000-0005-0000-0000-000023360000}"/>
    <cellStyle name="40% - Accent4 2 6 2 3 4" xfId="14554" xr:uid="{00000000-0005-0000-0000-000024360000}"/>
    <cellStyle name="40% - Accent4 2 6 2 3 4 2" xfId="25117" xr:uid="{00000000-0005-0000-0000-000025360000}"/>
    <cellStyle name="40% - Accent4 2 6 2 3 5" xfId="18460" xr:uid="{00000000-0005-0000-0000-000026360000}"/>
    <cellStyle name="40% - Accent4 2 6 2 4" xfId="9373" xr:uid="{00000000-0005-0000-0000-000027360000}"/>
    <cellStyle name="40% - Accent4 2 6 2 4 2" xfId="19936" xr:uid="{00000000-0005-0000-0000-000028360000}"/>
    <cellStyle name="40% - Accent4 2 6 2 5" xfId="11592" xr:uid="{00000000-0005-0000-0000-000029360000}"/>
    <cellStyle name="40% - Accent4 2 6 2 5 2" xfId="22155" xr:uid="{00000000-0005-0000-0000-00002A360000}"/>
    <cellStyle name="40% - Accent4 2 6 2 6" xfId="13811" xr:uid="{00000000-0005-0000-0000-00002B360000}"/>
    <cellStyle name="40% - Accent4 2 6 2 6 2" xfId="24374" xr:uid="{00000000-0005-0000-0000-00002C360000}"/>
    <cellStyle name="40% - Accent4 2 6 2 7" xfId="17711" xr:uid="{00000000-0005-0000-0000-00002D360000}"/>
    <cellStyle name="40% - Accent4 2 6 3" xfId="1279" xr:uid="{00000000-0005-0000-0000-00002E360000}"/>
    <cellStyle name="40% - Accent4 2 6 3 2" xfId="8631" xr:uid="{00000000-0005-0000-0000-00002F360000}"/>
    <cellStyle name="40% - Accent4 2 6 3 2 2" xfId="10850" xr:uid="{00000000-0005-0000-0000-000030360000}"/>
    <cellStyle name="40% - Accent4 2 6 3 2 2 2" xfId="21413" xr:uid="{00000000-0005-0000-0000-000031360000}"/>
    <cellStyle name="40% - Accent4 2 6 3 2 3" xfId="13069" xr:uid="{00000000-0005-0000-0000-000032360000}"/>
    <cellStyle name="40% - Accent4 2 6 3 2 3 2" xfId="23632" xr:uid="{00000000-0005-0000-0000-000033360000}"/>
    <cellStyle name="40% - Accent4 2 6 3 2 4" xfId="15288" xr:uid="{00000000-0005-0000-0000-000034360000}"/>
    <cellStyle name="40% - Accent4 2 6 3 2 4 2" xfId="25851" xr:uid="{00000000-0005-0000-0000-000035360000}"/>
    <cellStyle name="40% - Accent4 2 6 3 2 5" xfId="19194" xr:uid="{00000000-0005-0000-0000-000036360000}"/>
    <cellStyle name="40% - Accent4 2 6 3 3" xfId="7898" xr:uid="{00000000-0005-0000-0000-000037360000}"/>
    <cellStyle name="40% - Accent4 2 6 3 3 2" xfId="10117" xr:uid="{00000000-0005-0000-0000-000038360000}"/>
    <cellStyle name="40% - Accent4 2 6 3 3 2 2" xfId="20680" xr:uid="{00000000-0005-0000-0000-000039360000}"/>
    <cellStyle name="40% - Accent4 2 6 3 3 3" xfId="12336" xr:uid="{00000000-0005-0000-0000-00003A360000}"/>
    <cellStyle name="40% - Accent4 2 6 3 3 3 2" xfId="22899" xr:uid="{00000000-0005-0000-0000-00003B360000}"/>
    <cellStyle name="40% - Accent4 2 6 3 3 4" xfId="14555" xr:uid="{00000000-0005-0000-0000-00003C360000}"/>
    <cellStyle name="40% - Accent4 2 6 3 3 4 2" xfId="25118" xr:uid="{00000000-0005-0000-0000-00003D360000}"/>
    <cellStyle name="40% - Accent4 2 6 3 3 5" xfId="18461" xr:uid="{00000000-0005-0000-0000-00003E360000}"/>
    <cellStyle name="40% - Accent4 2 6 3 4" xfId="9374" xr:uid="{00000000-0005-0000-0000-00003F360000}"/>
    <cellStyle name="40% - Accent4 2 6 3 4 2" xfId="19937" xr:uid="{00000000-0005-0000-0000-000040360000}"/>
    <cellStyle name="40% - Accent4 2 6 3 5" xfId="11593" xr:uid="{00000000-0005-0000-0000-000041360000}"/>
    <cellStyle name="40% - Accent4 2 6 3 5 2" xfId="22156" xr:uid="{00000000-0005-0000-0000-000042360000}"/>
    <cellStyle name="40% - Accent4 2 6 3 6" xfId="13812" xr:uid="{00000000-0005-0000-0000-000043360000}"/>
    <cellStyle name="40% - Accent4 2 6 3 6 2" xfId="24375" xr:uid="{00000000-0005-0000-0000-000044360000}"/>
    <cellStyle name="40% - Accent4 2 6 3 7" xfId="17712" xr:uid="{00000000-0005-0000-0000-000045360000}"/>
    <cellStyle name="40% - Accent4 2 6 4" xfId="1280" xr:uid="{00000000-0005-0000-0000-000046360000}"/>
    <cellStyle name="40% - Accent4 2 6 4 2" xfId="8632" xr:uid="{00000000-0005-0000-0000-000047360000}"/>
    <cellStyle name="40% - Accent4 2 6 4 2 2" xfId="10851" xr:uid="{00000000-0005-0000-0000-000048360000}"/>
    <cellStyle name="40% - Accent4 2 6 4 2 2 2" xfId="21414" xr:uid="{00000000-0005-0000-0000-000049360000}"/>
    <cellStyle name="40% - Accent4 2 6 4 2 3" xfId="13070" xr:uid="{00000000-0005-0000-0000-00004A360000}"/>
    <cellStyle name="40% - Accent4 2 6 4 2 3 2" xfId="23633" xr:uid="{00000000-0005-0000-0000-00004B360000}"/>
    <cellStyle name="40% - Accent4 2 6 4 2 4" xfId="15289" xr:uid="{00000000-0005-0000-0000-00004C360000}"/>
    <cellStyle name="40% - Accent4 2 6 4 2 4 2" xfId="25852" xr:uid="{00000000-0005-0000-0000-00004D360000}"/>
    <cellStyle name="40% - Accent4 2 6 4 2 5" xfId="19195" xr:uid="{00000000-0005-0000-0000-00004E360000}"/>
    <cellStyle name="40% - Accent4 2 6 4 3" xfId="7899" xr:uid="{00000000-0005-0000-0000-00004F360000}"/>
    <cellStyle name="40% - Accent4 2 6 4 3 2" xfId="10118" xr:uid="{00000000-0005-0000-0000-000050360000}"/>
    <cellStyle name="40% - Accent4 2 6 4 3 2 2" xfId="20681" xr:uid="{00000000-0005-0000-0000-000051360000}"/>
    <cellStyle name="40% - Accent4 2 6 4 3 3" xfId="12337" xr:uid="{00000000-0005-0000-0000-000052360000}"/>
    <cellStyle name="40% - Accent4 2 6 4 3 3 2" xfId="22900" xr:uid="{00000000-0005-0000-0000-000053360000}"/>
    <cellStyle name="40% - Accent4 2 6 4 3 4" xfId="14556" xr:uid="{00000000-0005-0000-0000-000054360000}"/>
    <cellStyle name="40% - Accent4 2 6 4 3 4 2" xfId="25119" xr:uid="{00000000-0005-0000-0000-000055360000}"/>
    <cellStyle name="40% - Accent4 2 6 4 3 5" xfId="18462" xr:uid="{00000000-0005-0000-0000-000056360000}"/>
    <cellStyle name="40% - Accent4 2 6 4 4" xfId="9375" xr:uid="{00000000-0005-0000-0000-000057360000}"/>
    <cellStyle name="40% - Accent4 2 6 4 4 2" xfId="19938" xr:uid="{00000000-0005-0000-0000-000058360000}"/>
    <cellStyle name="40% - Accent4 2 6 4 5" xfId="11594" xr:uid="{00000000-0005-0000-0000-000059360000}"/>
    <cellStyle name="40% - Accent4 2 6 4 5 2" xfId="22157" xr:uid="{00000000-0005-0000-0000-00005A360000}"/>
    <cellStyle name="40% - Accent4 2 6 4 6" xfId="13813" xr:uid="{00000000-0005-0000-0000-00005B360000}"/>
    <cellStyle name="40% - Accent4 2 6 4 6 2" xfId="24376" xr:uid="{00000000-0005-0000-0000-00005C360000}"/>
    <cellStyle name="40% - Accent4 2 6 4 7" xfId="17713" xr:uid="{00000000-0005-0000-0000-00005D360000}"/>
    <cellStyle name="40% - Accent4 2 6 5" xfId="1281" xr:uid="{00000000-0005-0000-0000-00005E360000}"/>
    <cellStyle name="40% - Accent4 2 6 5 2" xfId="8633" xr:uid="{00000000-0005-0000-0000-00005F360000}"/>
    <cellStyle name="40% - Accent4 2 6 5 2 2" xfId="10852" xr:uid="{00000000-0005-0000-0000-000060360000}"/>
    <cellStyle name="40% - Accent4 2 6 5 2 2 2" xfId="21415" xr:uid="{00000000-0005-0000-0000-000061360000}"/>
    <cellStyle name="40% - Accent4 2 6 5 2 3" xfId="13071" xr:uid="{00000000-0005-0000-0000-000062360000}"/>
    <cellStyle name="40% - Accent4 2 6 5 2 3 2" xfId="23634" xr:uid="{00000000-0005-0000-0000-000063360000}"/>
    <cellStyle name="40% - Accent4 2 6 5 2 4" xfId="15290" xr:uid="{00000000-0005-0000-0000-000064360000}"/>
    <cellStyle name="40% - Accent4 2 6 5 2 4 2" xfId="25853" xr:uid="{00000000-0005-0000-0000-000065360000}"/>
    <cellStyle name="40% - Accent4 2 6 5 2 5" xfId="19196" xr:uid="{00000000-0005-0000-0000-000066360000}"/>
    <cellStyle name="40% - Accent4 2 6 5 3" xfId="7900" xr:uid="{00000000-0005-0000-0000-000067360000}"/>
    <cellStyle name="40% - Accent4 2 6 5 3 2" xfId="10119" xr:uid="{00000000-0005-0000-0000-000068360000}"/>
    <cellStyle name="40% - Accent4 2 6 5 3 2 2" xfId="20682" xr:uid="{00000000-0005-0000-0000-000069360000}"/>
    <cellStyle name="40% - Accent4 2 6 5 3 3" xfId="12338" xr:uid="{00000000-0005-0000-0000-00006A360000}"/>
    <cellStyle name="40% - Accent4 2 6 5 3 3 2" xfId="22901" xr:uid="{00000000-0005-0000-0000-00006B360000}"/>
    <cellStyle name="40% - Accent4 2 6 5 3 4" xfId="14557" xr:uid="{00000000-0005-0000-0000-00006C360000}"/>
    <cellStyle name="40% - Accent4 2 6 5 3 4 2" xfId="25120" xr:uid="{00000000-0005-0000-0000-00006D360000}"/>
    <cellStyle name="40% - Accent4 2 6 5 3 5" xfId="18463" xr:uid="{00000000-0005-0000-0000-00006E360000}"/>
    <cellStyle name="40% - Accent4 2 6 5 4" xfId="9376" xr:uid="{00000000-0005-0000-0000-00006F360000}"/>
    <cellStyle name="40% - Accent4 2 6 5 4 2" xfId="19939" xr:uid="{00000000-0005-0000-0000-000070360000}"/>
    <cellStyle name="40% - Accent4 2 6 5 5" xfId="11595" xr:uid="{00000000-0005-0000-0000-000071360000}"/>
    <cellStyle name="40% - Accent4 2 6 5 5 2" xfId="22158" xr:uid="{00000000-0005-0000-0000-000072360000}"/>
    <cellStyle name="40% - Accent4 2 6 5 6" xfId="13814" xr:uid="{00000000-0005-0000-0000-000073360000}"/>
    <cellStyle name="40% - Accent4 2 6 5 6 2" xfId="24377" xr:uid="{00000000-0005-0000-0000-000074360000}"/>
    <cellStyle name="40% - Accent4 2 6 5 7" xfId="17714" xr:uid="{00000000-0005-0000-0000-000075360000}"/>
    <cellStyle name="40% - Accent4 2 6 6" xfId="8629" xr:uid="{00000000-0005-0000-0000-000076360000}"/>
    <cellStyle name="40% - Accent4 2 6 6 2" xfId="10848" xr:uid="{00000000-0005-0000-0000-000077360000}"/>
    <cellStyle name="40% - Accent4 2 6 6 2 2" xfId="21411" xr:uid="{00000000-0005-0000-0000-000078360000}"/>
    <cellStyle name="40% - Accent4 2 6 6 3" xfId="13067" xr:uid="{00000000-0005-0000-0000-000079360000}"/>
    <cellStyle name="40% - Accent4 2 6 6 3 2" xfId="23630" xr:uid="{00000000-0005-0000-0000-00007A360000}"/>
    <cellStyle name="40% - Accent4 2 6 6 4" xfId="15286" xr:uid="{00000000-0005-0000-0000-00007B360000}"/>
    <cellStyle name="40% - Accent4 2 6 6 4 2" xfId="25849" xr:uid="{00000000-0005-0000-0000-00007C360000}"/>
    <cellStyle name="40% - Accent4 2 6 6 5" xfId="19192" xr:uid="{00000000-0005-0000-0000-00007D360000}"/>
    <cellStyle name="40% - Accent4 2 6 7" xfId="7896" xr:uid="{00000000-0005-0000-0000-00007E360000}"/>
    <cellStyle name="40% - Accent4 2 6 7 2" xfId="10115" xr:uid="{00000000-0005-0000-0000-00007F360000}"/>
    <cellStyle name="40% - Accent4 2 6 7 2 2" xfId="20678" xr:uid="{00000000-0005-0000-0000-000080360000}"/>
    <cellStyle name="40% - Accent4 2 6 7 3" xfId="12334" xr:uid="{00000000-0005-0000-0000-000081360000}"/>
    <cellStyle name="40% - Accent4 2 6 7 3 2" xfId="22897" xr:uid="{00000000-0005-0000-0000-000082360000}"/>
    <cellStyle name="40% - Accent4 2 6 7 4" xfId="14553" xr:uid="{00000000-0005-0000-0000-000083360000}"/>
    <cellStyle name="40% - Accent4 2 6 7 4 2" xfId="25116" xr:uid="{00000000-0005-0000-0000-000084360000}"/>
    <cellStyle name="40% - Accent4 2 6 7 5" xfId="18459" xr:uid="{00000000-0005-0000-0000-000085360000}"/>
    <cellStyle name="40% - Accent4 2 6 8" xfId="9372" xr:uid="{00000000-0005-0000-0000-000086360000}"/>
    <cellStyle name="40% - Accent4 2 6 8 2" xfId="19935" xr:uid="{00000000-0005-0000-0000-000087360000}"/>
    <cellStyle name="40% - Accent4 2 6 9" xfId="11591" xr:uid="{00000000-0005-0000-0000-000088360000}"/>
    <cellStyle name="40% - Accent4 2 6 9 2" xfId="22154" xr:uid="{00000000-0005-0000-0000-000089360000}"/>
    <cellStyle name="40% - Accent4 2 7" xfId="1282" xr:uid="{00000000-0005-0000-0000-00008A360000}"/>
    <cellStyle name="40% - Accent4 2 7 2" xfId="8634" xr:uid="{00000000-0005-0000-0000-00008B360000}"/>
    <cellStyle name="40% - Accent4 2 7 2 2" xfId="10853" xr:uid="{00000000-0005-0000-0000-00008C360000}"/>
    <cellStyle name="40% - Accent4 2 7 2 2 2" xfId="21416" xr:uid="{00000000-0005-0000-0000-00008D360000}"/>
    <cellStyle name="40% - Accent4 2 7 2 3" xfId="13072" xr:uid="{00000000-0005-0000-0000-00008E360000}"/>
    <cellStyle name="40% - Accent4 2 7 2 3 2" xfId="23635" xr:uid="{00000000-0005-0000-0000-00008F360000}"/>
    <cellStyle name="40% - Accent4 2 7 2 4" xfId="15291" xr:uid="{00000000-0005-0000-0000-000090360000}"/>
    <cellStyle name="40% - Accent4 2 7 2 4 2" xfId="25854" xr:uid="{00000000-0005-0000-0000-000091360000}"/>
    <cellStyle name="40% - Accent4 2 7 2 5" xfId="19197" xr:uid="{00000000-0005-0000-0000-000092360000}"/>
    <cellStyle name="40% - Accent4 2 7 3" xfId="7901" xr:uid="{00000000-0005-0000-0000-000093360000}"/>
    <cellStyle name="40% - Accent4 2 7 3 2" xfId="10120" xr:uid="{00000000-0005-0000-0000-000094360000}"/>
    <cellStyle name="40% - Accent4 2 7 3 2 2" xfId="20683" xr:uid="{00000000-0005-0000-0000-000095360000}"/>
    <cellStyle name="40% - Accent4 2 7 3 3" xfId="12339" xr:uid="{00000000-0005-0000-0000-000096360000}"/>
    <cellStyle name="40% - Accent4 2 7 3 3 2" xfId="22902" xr:uid="{00000000-0005-0000-0000-000097360000}"/>
    <cellStyle name="40% - Accent4 2 7 3 4" xfId="14558" xr:uid="{00000000-0005-0000-0000-000098360000}"/>
    <cellStyle name="40% - Accent4 2 7 3 4 2" xfId="25121" xr:uid="{00000000-0005-0000-0000-000099360000}"/>
    <cellStyle name="40% - Accent4 2 7 3 5" xfId="18464" xr:uid="{00000000-0005-0000-0000-00009A360000}"/>
    <cellStyle name="40% - Accent4 2 7 4" xfId="9377" xr:uid="{00000000-0005-0000-0000-00009B360000}"/>
    <cellStyle name="40% - Accent4 2 7 4 2" xfId="19940" xr:uid="{00000000-0005-0000-0000-00009C360000}"/>
    <cellStyle name="40% - Accent4 2 7 5" xfId="11596" xr:uid="{00000000-0005-0000-0000-00009D360000}"/>
    <cellStyle name="40% - Accent4 2 7 5 2" xfId="22159" xr:uid="{00000000-0005-0000-0000-00009E360000}"/>
    <cellStyle name="40% - Accent4 2 7 6" xfId="13815" xr:uid="{00000000-0005-0000-0000-00009F360000}"/>
    <cellStyle name="40% - Accent4 2 7 6 2" xfId="24378" xr:uid="{00000000-0005-0000-0000-0000A0360000}"/>
    <cellStyle name="40% - Accent4 2 7 7" xfId="17715" xr:uid="{00000000-0005-0000-0000-0000A1360000}"/>
    <cellStyle name="40% - Accent4 2 8" xfId="1283" xr:uid="{00000000-0005-0000-0000-0000A2360000}"/>
    <cellStyle name="40% - Accent4 2 8 2" xfId="8635" xr:uid="{00000000-0005-0000-0000-0000A3360000}"/>
    <cellStyle name="40% - Accent4 2 8 2 2" xfId="10854" xr:uid="{00000000-0005-0000-0000-0000A4360000}"/>
    <cellStyle name="40% - Accent4 2 8 2 2 2" xfId="21417" xr:uid="{00000000-0005-0000-0000-0000A5360000}"/>
    <cellStyle name="40% - Accent4 2 8 2 3" xfId="13073" xr:uid="{00000000-0005-0000-0000-0000A6360000}"/>
    <cellStyle name="40% - Accent4 2 8 2 3 2" xfId="23636" xr:uid="{00000000-0005-0000-0000-0000A7360000}"/>
    <cellStyle name="40% - Accent4 2 8 2 4" xfId="15292" xr:uid="{00000000-0005-0000-0000-0000A8360000}"/>
    <cellStyle name="40% - Accent4 2 8 2 4 2" xfId="25855" xr:uid="{00000000-0005-0000-0000-0000A9360000}"/>
    <cellStyle name="40% - Accent4 2 8 2 5" xfId="19198" xr:uid="{00000000-0005-0000-0000-0000AA360000}"/>
    <cellStyle name="40% - Accent4 2 8 3" xfId="7902" xr:uid="{00000000-0005-0000-0000-0000AB360000}"/>
    <cellStyle name="40% - Accent4 2 8 3 2" xfId="10121" xr:uid="{00000000-0005-0000-0000-0000AC360000}"/>
    <cellStyle name="40% - Accent4 2 8 3 2 2" xfId="20684" xr:uid="{00000000-0005-0000-0000-0000AD360000}"/>
    <cellStyle name="40% - Accent4 2 8 3 3" xfId="12340" xr:uid="{00000000-0005-0000-0000-0000AE360000}"/>
    <cellStyle name="40% - Accent4 2 8 3 3 2" xfId="22903" xr:uid="{00000000-0005-0000-0000-0000AF360000}"/>
    <cellStyle name="40% - Accent4 2 8 3 4" xfId="14559" xr:uid="{00000000-0005-0000-0000-0000B0360000}"/>
    <cellStyle name="40% - Accent4 2 8 3 4 2" xfId="25122" xr:uid="{00000000-0005-0000-0000-0000B1360000}"/>
    <cellStyle name="40% - Accent4 2 8 3 5" xfId="18465" xr:uid="{00000000-0005-0000-0000-0000B2360000}"/>
    <cellStyle name="40% - Accent4 2 8 4" xfId="9378" xr:uid="{00000000-0005-0000-0000-0000B3360000}"/>
    <cellStyle name="40% - Accent4 2 8 4 2" xfId="19941" xr:uid="{00000000-0005-0000-0000-0000B4360000}"/>
    <cellStyle name="40% - Accent4 2 8 5" xfId="11597" xr:uid="{00000000-0005-0000-0000-0000B5360000}"/>
    <cellStyle name="40% - Accent4 2 8 5 2" xfId="22160" xr:uid="{00000000-0005-0000-0000-0000B6360000}"/>
    <cellStyle name="40% - Accent4 2 8 6" xfId="13816" xr:uid="{00000000-0005-0000-0000-0000B7360000}"/>
    <cellStyle name="40% - Accent4 2 8 6 2" xfId="24379" xr:uid="{00000000-0005-0000-0000-0000B8360000}"/>
    <cellStyle name="40% - Accent4 2 8 7" xfId="17716" xr:uid="{00000000-0005-0000-0000-0000B9360000}"/>
    <cellStyle name="40% - Accent4 2 9" xfId="1284" xr:uid="{00000000-0005-0000-0000-0000BA360000}"/>
    <cellStyle name="40% - Accent4 2 9 2" xfId="8636" xr:uid="{00000000-0005-0000-0000-0000BB360000}"/>
    <cellStyle name="40% - Accent4 2 9 2 2" xfId="10855" xr:uid="{00000000-0005-0000-0000-0000BC360000}"/>
    <cellStyle name="40% - Accent4 2 9 2 2 2" xfId="21418" xr:uid="{00000000-0005-0000-0000-0000BD360000}"/>
    <cellStyle name="40% - Accent4 2 9 2 3" xfId="13074" xr:uid="{00000000-0005-0000-0000-0000BE360000}"/>
    <cellStyle name="40% - Accent4 2 9 2 3 2" xfId="23637" xr:uid="{00000000-0005-0000-0000-0000BF360000}"/>
    <cellStyle name="40% - Accent4 2 9 2 4" xfId="15293" xr:uid="{00000000-0005-0000-0000-0000C0360000}"/>
    <cellStyle name="40% - Accent4 2 9 2 4 2" xfId="25856" xr:uid="{00000000-0005-0000-0000-0000C1360000}"/>
    <cellStyle name="40% - Accent4 2 9 2 5" xfId="19199" xr:uid="{00000000-0005-0000-0000-0000C2360000}"/>
    <cellStyle name="40% - Accent4 2 9 3" xfId="7903" xr:uid="{00000000-0005-0000-0000-0000C3360000}"/>
    <cellStyle name="40% - Accent4 2 9 3 2" xfId="10122" xr:uid="{00000000-0005-0000-0000-0000C4360000}"/>
    <cellStyle name="40% - Accent4 2 9 3 2 2" xfId="20685" xr:uid="{00000000-0005-0000-0000-0000C5360000}"/>
    <cellStyle name="40% - Accent4 2 9 3 3" xfId="12341" xr:uid="{00000000-0005-0000-0000-0000C6360000}"/>
    <cellStyle name="40% - Accent4 2 9 3 3 2" xfId="22904" xr:uid="{00000000-0005-0000-0000-0000C7360000}"/>
    <cellStyle name="40% - Accent4 2 9 3 4" xfId="14560" xr:uid="{00000000-0005-0000-0000-0000C8360000}"/>
    <cellStyle name="40% - Accent4 2 9 3 4 2" xfId="25123" xr:uid="{00000000-0005-0000-0000-0000C9360000}"/>
    <cellStyle name="40% - Accent4 2 9 3 5" xfId="18466" xr:uid="{00000000-0005-0000-0000-0000CA360000}"/>
    <cellStyle name="40% - Accent4 2 9 4" xfId="9379" xr:uid="{00000000-0005-0000-0000-0000CB360000}"/>
    <cellStyle name="40% - Accent4 2 9 4 2" xfId="19942" xr:uid="{00000000-0005-0000-0000-0000CC360000}"/>
    <cellStyle name="40% - Accent4 2 9 5" xfId="11598" xr:uid="{00000000-0005-0000-0000-0000CD360000}"/>
    <cellStyle name="40% - Accent4 2 9 5 2" xfId="22161" xr:uid="{00000000-0005-0000-0000-0000CE360000}"/>
    <cellStyle name="40% - Accent4 2 9 6" xfId="13817" xr:uid="{00000000-0005-0000-0000-0000CF360000}"/>
    <cellStyle name="40% - Accent4 2 9 6 2" xfId="24380" xr:uid="{00000000-0005-0000-0000-0000D0360000}"/>
    <cellStyle name="40% - Accent4 2 9 7" xfId="17717" xr:uid="{00000000-0005-0000-0000-0000D1360000}"/>
    <cellStyle name="40% - Accent4 20" xfId="1285" xr:uid="{00000000-0005-0000-0000-0000D2360000}"/>
    <cellStyle name="40% - Accent4 21" xfId="1286" xr:uid="{00000000-0005-0000-0000-0000D3360000}"/>
    <cellStyle name="40% - Accent4 22" xfId="1287" xr:uid="{00000000-0005-0000-0000-0000D4360000}"/>
    <cellStyle name="40% - Accent4 23" xfId="1288" xr:uid="{00000000-0005-0000-0000-0000D5360000}"/>
    <cellStyle name="40% - Accent4 24" xfId="1289" xr:uid="{00000000-0005-0000-0000-0000D6360000}"/>
    <cellStyle name="40% - Accent4 25" xfId="1290" xr:uid="{00000000-0005-0000-0000-0000D7360000}"/>
    <cellStyle name="40% - Accent4 26" xfId="1291" xr:uid="{00000000-0005-0000-0000-0000D8360000}"/>
    <cellStyle name="40% - Accent4 3" xfId="1292" xr:uid="{00000000-0005-0000-0000-0000D9360000}"/>
    <cellStyle name="40% - Accent4 3 10" xfId="1293" xr:uid="{00000000-0005-0000-0000-0000DA360000}"/>
    <cellStyle name="40% - Accent4 3 2" xfId="1294" xr:uid="{00000000-0005-0000-0000-0000DB360000}"/>
    <cellStyle name="40% - Accent4 3 2 2" xfId="8637" xr:uid="{00000000-0005-0000-0000-0000DC360000}"/>
    <cellStyle name="40% - Accent4 3 2 2 2" xfId="10856" xr:uid="{00000000-0005-0000-0000-0000DD360000}"/>
    <cellStyle name="40% - Accent4 3 2 2 2 2" xfId="21419" xr:uid="{00000000-0005-0000-0000-0000DE360000}"/>
    <cellStyle name="40% - Accent4 3 2 2 3" xfId="13075" xr:uid="{00000000-0005-0000-0000-0000DF360000}"/>
    <cellStyle name="40% - Accent4 3 2 2 3 2" xfId="23638" xr:uid="{00000000-0005-0000-0000-0000E0360000}"/>
    <cellStyle name="40% - Accent4 3 2 2 4" xfId="15294" xr:uid="{00000000-0005-0000-0000-0000E1360000}"/>
    <cellStyle name="40% - Accent4 3 2 2 4 2" xfId="25857" xr:uid="{00000000-0005-0000-0000-0000E2360000}"/>
    <cellStyle name="40% - Accent4 3 2 2 5" xfId="19200" xr:uid="{00000000-0005-0000-0000-0000E3360000}"/>
    <cellStyle name="40% - Accent4 3 2 3" xfId="7904" xr:uid="{00000000-0005-0000-0000-0000E4360000}"/>
    <cellStyle name="40% - Accent4 3 2 3 2" xfId="10123" xr:uid="{00000000-0005-0000-0000-0000E5360000}"/>
    <cellStyle name="40% - Accent4 3 2 3 2 2" xfId="20686" xr:uid="{00000000-0005-0000-0000-0000E6360000}"/>
    <cellStyle name="40% - Accent4 3 2 3 3" xfId="12342" xr:uid="{00000000-0005-0000-0000-0000E7360000}"/>
    <cellStyle name="40% - Accent4 3 2 3 3 2" xfId="22905" xr:uid="{00000000-0005-0000-0000-0000E8360000}"/>
    <cellStyle name="40% - Accent4 3 2 3 4" xfId="14561" xr:uid="{00000000-0005-0000-0000-0000E9360000}"/>
    <cellStyle name="40% - Accent4 3 2 3 4 2" xfId="25124" xr:uid="{00000000-0005-0000-0000-0000EA360000}"/>
    <cellStyle name="40% - Accent4 3 2 3 5" xfId="18467" xr:uid="{00000000-0005-0000-0000-0000EB360000}"/>
    <cellStyle name="40% - Accent4 3 2 4" xfId="9380" xr:uid="{00000000-0005-0000-0000-0000EC360000}"/>
    <cellStyle name="40% - Accent4 3 2 4 2" xfId="19943" xr:uid="{00000000-0005-0000-0000-0000ED360000}"/>
    <cellStyle name="40% - Accent4 3 2 5" xfId="11599" xr:uid="{00000000-0005-0000-0000-0000EE360000}"/>
    <cellStyle name="40% - Accent4 3 2 5 2" xfId="22162" xr:uid="{00000000-0005-0000-0000-0000EF360000}"/>
    <cellStyle name="40% - Accent4 3 2 6" xfId="13818" xr:uid="{00000000-0005-0000-0000-0000F0360000}"/>
    <cellStyle name="40% - Accent4 3 2 6 2" xfId="24381" xr:uid="{00000000-0005-0000-0000-0000F1360000}"/>
    <cellStyle name="40% - Accent4 3 2 7" xfId="17718" xr:uid="{00000000-0005-0000-0000-0000F2360000}"/>
    <cellStyle name="40% - Accent4 3 3" xfId="1295" xr:uid="{00000000-0005-0000-0000-0000F3360000}"/>
    <cellStyle name="40% - Accent4 3 3 2" xfId="8638" xr:uid="{00000000-0005-0000-0000-0000F4360000}"/>
    <cellStyle name="40% - Accent4 3 3 2 2" xfId="10857" xr:uid="{00000000-0005-0000-0000-0000F5360000}"/>
    <cellStyle name="40% - Accent4 3 3 2 2 2" xfId="21420" xr:uid="{00000000-0005-0000-0000-0000F6360000}"/>
    <cellStyle name="40% - Accent4 3 3 2 3" xfId="13076" xr:uid="{00000000-0005-0000-0000-0000F7360000}"/>
    <cellStyle name="40% - Accent4 3 3 2 3 2" xfId="23639" xr:uid="{00000000-0005-0000-0000-0000F8360000}"/>
    <cellStyle name="40% - Accent4 3 3 2 4" xfId="15295" xr:uid="{00000000-0005-0000-0000-0000F9360000}"/>
    <cellStyle name="40% - Accent4 3 3 2 4 2" xfId="25858" xr:uid="{00000000-0005-0000-0000-0000FA360000}"/>
    <cellStyle name="40% - Accent4 3 3 2 5" xfId="19201" xr:uid="{00000000-0005-0000-0000-0000FB360000}"/>
    <cellStyle name="40% - Accent4 3 3 3" xfId="7905" xr:uid="{00000000-0005-0000-0000-0000FC360000}"/>
    <cellStyle name="40% - Accent4 3 3 3 2" xfId="10124" xr:uid="{00000000-0005-0000-0000-0000FD360000}"/>
    <cellStyle name="40% - Accent4 3 3 3 2 2" xfId="20687" xr:uid="{00000000-0005-0000-0000-0000FE360000}"/>
    <cellStyle name="40% - Accent4 3 3 3 3" xfId="12343" xr:uid="{00000000-0005-0000-0000-0000FF360000}"/>
    <cellStyle name="40% - Accent4 3 3 3 3 2" xfId="22906" xr:uid="{00000000-0005-0000-0000-000000370000}"/>
    <cellStyle name="40% - Accent4 3 3 3 4" xfId="14562" xr:uid="{00000000-0005-0000-0000-000001370000}"/>
    <cellStyle name="40% - Accent4 3 3 3 4 2" xfId="25125" xr:uid="{00000000-0005-0000-0000-000002370000}"/>
    <cellStyle name="40% - Accent4 3 3 3 5" xfId="18468" xr:uid="{00000000-0005-0000-0000-000003370000}"/>
    <cellStyle name="40% - Accent4 3 3 4" xfId="9381" xr:uid="{00000000-0005-0000-0000-000004370000}"/>
    <cellStyle name="40% - Accent4 3 3 4 2" xfId="19944" xr:uid="{00000000-0005-0000-0000-000005370000}"/>
    <cellStyle name="40% - Accent4 3 3 5" xfId="11600" xr:uid="{00000000-0005-0000-0000-000006370000}"/>
    <cellStyle name="40% - Accent4 3 3 5 2" xfId="22163" xr:uid="{00000000-0005-0000-0000-000007370000}"/>
    <cellStyle name="40% - Accent4 3 3 6" xfId="13819" xr:uid="{00000000-0005-0000-0000-000008370000}"/>
    <cellStyle name="40% - Accent4 3 3 6 2" xfId="24382" xr:uid="{00000000-0005-0000-0000-000009370000}"/>
    <cellStyle name="40% - Accent4 3 3 7" xfId="17719" xr:uid="{00000000-0005-0000-0000-00000A370000}"/>
    <cellStyle name="40% - Accent4 3 4" xfId="1296" xr:uid="{00000000-0005-0000-0000-00000B370000}"/>
    <cellStyle name="40% - Accent4 3 4 2" xfId="8639" xr:uid="{00000000-0005-0000-0000-00000C370000}"/>
    <cellStyle name="40% - Accent4 3 4 2 2" xfId="10858" xr:uid="{00000000-0005-0000-0000-00000D370000}"/>
    <cellStyle name="40% - Accent4 3 4 2 2 2" xfId="21421" xr:uid="{00000000-0005-0000-0000-00000E370000}"/>
    <cellStyle name="40% - Accent4 3 4 2 3" xfId="13077" xr:uid="{00000000-0005-0000-0000-00000F370000}"/>
    <cellStyle name="40% - Accent4 3 4 2 3 2" xfId="23640" xr:uid="{00000000-0005-0000-0000-000010370000}"/>
    <cellStyle name="40% - Accent4 3 4 2 4" xfId="15296" xr:uid="{00000000-0005-0000-0000-000011370000}"/>
    <cellStyle name="40% - Accent4 3 4 2 4 2" xfId="25859" xr:uid="{00000000-0005-0000-0000-000012370000}"/>
    <cellStyle name="40% - Accent4 3 4 2 5" xfId="19202" xr:uid="{00000000-0005-0000-0000-000013370000}"/>
    <cellStyle name="40% - Accent4 3 4 3" xfId="7906" xr:uid="{00000000-0005-0000-0000-000014370000}"/>
    <cellStyle name="40% - Accent4 3 4 3 2" xfId="10125" xr:uid="{00000000-0005-0000-0000-000015370000}"/>
    <cellStyle name="40% - Accent4 3 4 3 2 2" xfId="20688" xr:uid="{00000000-0005-0000-0000-000016370000}"/>
    <cellStyle name="40% - Accent4 3 4 3 3" xfId="12344" xr:uid="{00000000-0005-0000-0000-000017370000}"/>
    <cellStyle name="40% - Accent4 3 4 3 3 2" xfId="22907" xr:uid="{00000000-0005-0000-0000-000018370000}"/>
    <cellStyle name="40% - Accent4 3 4 3 4" xfId="14563" xr:uid="{00000000-0005-0000-0000-000019370000}"/>
    <cellStyle name="40% - Accent4 3 4 3 4 2" xfId="25126" xr:uid="{00000000-0005-0000-0000-00001A370000}"/>
    <cellStyle name="40% - Accent4 3 4 3 5" xfId="18469" xr:uid="{00000000-0005-0000-0000-00001B370000}"/>
    <cellStyle name="40% - Accent4 3 4 4" xfId="9382" xr:uid="{00000000-0005-0000-0000-00001C370000}"/>
    <cellStyle name="40% - Accent4 3 4 4 2" xfId="19945" xr:uid="{00000000-0005-0000-0000-00001D370000}"/>
    <cellStyle name="40% - Accent4 3 4 5" xfId="11601" xr:uid="{00000000-0005-0000-0000-00001E370000}"/>
    <cellStyle name="40% - Accent4 3 4 5 2" xfId="22164" xr:uid="{00000000-0005-0000-0000-00001F370000}"/>
    <cellStyle name="40% - Accent4 3 4 6" xfId="13820" xr:uid="{00000000-0005-0000-0000-000020370000}"/>
    <cellStyle name="40% - Accent4 3 4 6 2" xfId="24383" xr:uid="{00000000-0005-0000-0000-000021370000}"/>
    <cellStyle name="40% - Accent4 3 4 7" xfId="17720" xr:uid="{00000000-0005-0000-0000-000022370000}"/>
    <cellStyle name="40% - Accent4 3 5" xfId="1297" xr:uid="{00000000-0005-0000-0000-000023370000}"/>
    <cellStyle name="40% - Accent4 3 5 2" xfId="8640" xr:uid="{00000000-0005-0000-0000-000024370000}"/>
    <cellStyle name="40% - Accent4 3 5 2 2" xfId="10859" xr:uid="{00000000-0005-0000-0000-000025370000}"/>
    <cellStyle name="40% - Accent4 3 5 2 2 2" xfId="21422" xr:uid="{00000000-0005-0000-0000-000026370000}"/>
    <cellStyle name="40% - Accent4 3 5 2 3" xfId="13078" xr:uid="{00000000-0005-0000-0000-000027370000}"/>
    <cellStyle name="40% - Accent4 3 5 2 3 2" xfId="23641" xr:uid="{00000000-0005-0000-0000-000028370000}"/>
    <cellStyle name="40% - Accent4 3 5 2 4" xfId="15297" xr:uid="{00000000-0005-0000-0000-000029370000}"/>
    <cellStyle name="40% - Accent4 3 5 2 4 2" xfId="25860" xr:uid="{00000000-0005-0000-0000-00002A370000}"/>
    <cellStyle name="40% - Accent4 3 5 2 5" xfId="19203" xr:uid="{00000000-0005-0000-0000-00002B370000}"/>
    <cellStyle name="40% - Accent4 3 5 3" xfId="7907" xr:uid="{00000000-0005-0000-0000-00002C370000}"/>
    <cellStyle name="40% - Accent4 3 5 3 2" xfId="10126" xr:uid="{00000000-0005-0000-0000-00002D370000}"/>
    <cellStyle name="40% - Accent4 3 5 3 2 2" xfId="20689" xr:uid="{00000000-0005-0000-0000-00002E370000}"/>
    <cellStyle name="40% - Accent4 3 5 3 3" xfId="12345" xr:uid="{00000000-0005-0000-0000-00002F370000}"/>
    <cellStyle name="40% - Accent4 3 5 3 3 2" xfId="22908" xr:uid="{00000000-0005-0000-0000-000030370000}"/>
    <cellStyle name="40% - Accent4 3 5 3 4" xfId="14564" xr:uid="{00000000-0005-0000-0000-000031370000}"/>
    <cellStyle name="40% - Accent4 3 5 3 4 2" xfId="25127" xr:uid="{00000000-0005-0000-0000-000032370000}"/>
    <cellStyle name="40% - Accent4 3 5 3 5" xfId="18470" xr:uid="{00000000-0005-0000-0000-000033370000}"/>
    <cellStyle name="40% - Accent4 3 5 4" xfId="9383" xr:uid="{00000000-0005-0000-0000-000034370000}"/>
    <cellStyle name="40% - Accent4 3 5 4 2" xfId="19946" xr:uid="{00000000-0005-0000-0000-000035370000}"/>
    <cellStyle name="40% - Accent4 3 5 5" xfId="11602" xr:uid="{00000000-0005-0000-0000-000036370000}"/>
    <cellStyle name="40% - Accent4 3 5 5 2" xfId="22165" xr:uid="{00000000-0005-0000-0000-000037370000}"/>
    <cellStyle name="40% - Accent4 3 5 6" xfId="13821" xr:uid="{00000000-0005-0000-0000-000038370000}"/>
    <cellStyle name="40% - Accent4 3 5 6 2" xfId="24384" xr:uid="{00000000-0005-0000-0000-000039370000}"/>
    <cellStyle name="40% - Accent4 3 5 7" xfId="17721" xr:uid="{00000000-0005-0000-0000-00003A370000}"/>
    <cellStyle name="40% - Accent4 3 6" xfId="1298" xr:uid="{00000000-0005-0000-0000-00003B370000}"/>
    <cellStyle name="40% - Accent4 3 7" xfId="1299" xr:uid="{00000000-0005-0000-0000-00003C370000}"/>
    <cellStyle name="40% - Accent4 3 8" xfId="1300" xr:uid="{00000000-0005-0000-0000-00003D370000}"/>
    <cellStyle name="40% - Accent4 3 9" xfId="1301" xr:uid="{00000000-0005-0000-0000-00003E370000}"/>
    <cellStyle name="40% - Accent4 4" xfId="1302" xr:uid="{00000000-0005-0000-0000-00003F370000}"/>
    <cellStyle name="40% - Accent4 4 2" xfId="1303" xr:uid="{00000000-0005-0000-0000-000040370000}"/>
    <cellStyle name="40% - Accent4 4 3" xfId="1304" xr:uid="{00000000-0005-0000-0000-000041370000}"/>
    <cellStyle name="40% - Accent4 4 4" xfId="1305" xr:uid="{00000000-0005-0000-0000-000042370000}"/>
    <cellStyle name="40% - Accent4 4 5" xfId="1306" xr:uid="{00000000-0005-0000-0000-000043370000}"/>
    <cellStyle name="40% - Accent4 4 6" xfId="1307" xr:uid="{00000000-0005-0000-0000-000044370000}"/>
    <cellStyle name="40% - Accent4 5" xfId="1308" xr:uid="{00000000-0005-0000-0000-000045370000}"/>
    <cellStyle name="40% - Accent4 5 2" xfId="1309" xr:uid="{00000000-0005-0000-0000-000046370000}"/>
    <cellStyle name="40% - Accent4 5 3" xfId="1310" xr:uid="{00000000-0005-0000-0000-000047370000}"/>
    <cellStyle name="40% - Accent4 5 4" xfId="1311" xr:uid="{00000000-0005-0000-0000-000048370000}"/>
    <cellStyle name="40% - Accent4 5 5" xfId="1312" xr:uid="{00000000-0005-0000-0000-000049370000}"/>
    <cellStyle name="40% - Accent4 5 6" xfId="1313" xr:uid="{00000000-0005-0000-0000-00004A370000}"/>
    <cellStyle name="40% - Accent4 6" xfId="1314" xr:uid="{00000000-0005-0000-0000-00004B370000}"/>
    <cellStyle name="40% - Accent4 6 2" xfId="1315" xr:uid="{00000000-0005-0000-0000-00004C370000}"/>
    <cellStyle name="40% - Accent4 6 3" xfId="1316" xr:uid="{00000000-0005-0000-0000-00004D370000}"/>
    <cellStyle name="40% - Accent4 6 4" xfId="1317" xr:uid="{00000000-0005-0000-0000-00004E370000}"/>
    <cellStyle name="40% - Accent4 6 5" xfId="1318" xr:uid="{00000000-0005-0000-0000-00004F370000}"/>
    <cellStyle name="40% - Accent4 6 6" xfId="1319" xr:uid="{00000000-0005-0000-0000-000050370000}"/>
    <cellStyle name="40% - Accent4 7" xfId="1320" xr:uid="{00000000-0005-0000-0000-000051370000}"/>
    <cellStyle name="40% - Accent4 7 10" xfId="11603" xr:uid="{00000000-0005-0000-0000-000052370000}"/>
    <cellStyle name="40% - Accent4 7 10 2" xfId="22166" xr:uid="{00000000-0005-0000-0000-000053370000}"/>
    <cellStyle name="40% - Accent4 7 11" xfId="13822" xr:uid="{00000000-0005-0000-0000-000054370000}"/>
    <cellStyle name="40% - Accent4 7 11 2" xfId="24385" xr:uid="{00000000-0005-0000-0000-000055370000}"/>
    <cellStyle name="40% - Accent4 7 12" xfId="17722" xr:uid="{00000000-0005-0000-0000-000056370000}"/>
    <cellStyle name="40% - Accent4 7 2" xfId="1321" xr:uid="{00000000-0005-0000-0000-000057370000}"/>
    <cellStyle name="40% - Accent4 7 3" xfId="1322" xr:uid="{00000000-0005-0000-0000-000058370000}"/>
    <cellStyle name="40% - Accent4 7 4" xfId="1323" xr:uid="{00000000-0005-0000-0000-000059370000}"/>
    <cellStyle name="40% - Accent4 7 5" xfId="1324" xr:uid="{00000000-0005-0000-0000-00005A370000}"/>
    <cellStyle name="40% - Accent4 7 6" xfId="1325" xr:uid="{00000000-0005-0000-0000-00005B370000}"/>
    <cellStyle name="40% - Accent4 7 7" xfId="8641" xr:uid="{00000000-0005-0000-0000-00005C370000}"/>
    <cellStyle name="40% - Accent4 7 7 2" xfId="10860" xr:uid="{00000000-0005-0000-0000-00005D370000}"/>
    <cellStyle name="40% - Accent4 7 7 2 2" xfId="21423" xr:uid="{00000000-0005-0000-0000-00005E370000}"/>
    <cellStyle name="40% - Accent4 7 7 3" xfId="13079" xr:uid="{00000000-0005-0000-0000-00005F370000}"/>
    <cellStyle name="40% - Accent4 7 7 3 2" xfId="23642" xr:uid="{00000000-0005-0000-0000-000060370000}"/>
    <cellStyle name="40% - Accent4 7 7 4" xfId="15298" xr:uid="{00000000-0005-0000-0000-000061370000}"/>
    <cellStyle name="40% - Accent4 7 7 4 2" xfId="25861" xr:uid="{00000000-0005-0000-0000-000062370000}"/>
    <cellStyle name="40% - Accent4 7 7 5" xfId="19204" xr:uid="{00000000-0005-0000-0000-000063370000}"/>
    <cellStyle name="40% - Accent4 7 8" xfId="7908" xr:uid="{00000000-0005-0000-0000-000064370000}"/>
    <cellStyle name="40% - Accent4 7 8 2" xfId="10127" xr:uid="{00000000-0005-0000-0000-000065370000}"/>
    <cellStyle name="40% - Accent4 7 8 2 2" xfId="20690" xr:uid="{00000000-0005-0000-0000-000066370000}"/>
    <cellStyle name="40% - Accent4 7 8 3" xfId="12346" xr:uid="{00000000-0005-0000-0000-000067370000}"/>
    <cellStyle name="40% - Accent4 7 8 3 2" xfId="22909" xr:uid="{00000000-0005-0000-0000-000068370000}"/>
    <cellStyle name="40% - Accent4 7 8 4" xfId="14565" xr:uid="{00000000-0005-0000-0000-000069370000}"/>
    <cellStyle name="40% - Accent4 7 8 4 2" xfId="25128" xr:uid="{00000000-0005-0000-0000-00006A370000}"/>
    <cellStyle name="40% - Accent4 7 8 5" xfId="18471" xr:uid="{00000000-0005-0000-0000-00006B370000}"/>
    <cellStyle name="40% - Accent4 7 9" xfId="9384" xr:uid="{00000000-0005-0000-0000-00006C370000}"/>
    <cellStyle name="40% - Accent4 7 9 2" xfId="19947" xr:uid="{00000000-0005-0000-0000-00006D370000}"/>
    <cellStyle name="40% - Accent4 8" xfId="1326" xr:uid="{00000000-0005-0000-0000-00006E370000}"/>
    <cellStyle name="40% - Accent4 8 2" xfId="1327" xr:uid="{00000000-0005-0000-0000-00006F370000}"/>
    <cellStyle name="40% - Accent4 8 3" xfId="1328" xr:uid="{00000000-0005-0000-0000-000070370000}"/>
    <cellStyle name="40% - Accent4 8 4" xfId="1329" xr:uid="{00000000-0005-0000-0000-000071370000}"/>
    <cellStyle name="40% - Accent4 8 5" xfId="1330" xr:uid="{00000000-0005-0000-0000-000072370000}"/>
    <cellStyle name="40% - Accent4 8 6" xfId="1331" xr:uid="{00000000-0005-0000-0000-000073370000}"/>
    <cellStyle name="40% - Accent4 9" xfId="1332" xr:uid="{00000000-0005-0000-0000-000074370000}"/>
    <cellStyle name="40% - Accent4 9 2" xfId="1333" xr:uid="{00000000-0005-0000-0000-000075370000}"/>
    <cellStyle name="40% - Accent4 9 3" xfId="1334" xr:uid="{00000000-0005-0000-0000-000076370000}"/>
    <cellStyle name="40% - Accent4 9 4" xfId="1335" xr:uid="{00000000-0005-0000-0000-000077370000}"/>
    <cellStyle name="40% - Accent4 9 5" xfId="1336" xr:uid="{00000000-0005-0000-0000-000078370000}"/>
    <cellStyle name="40% - Accent5 10" xfId="1337" xr:uid="{00000000-0005-0000-0000-000079370000}"/>
    <cellStyle name="40% - Accent5 11" xfId="1338" xr:uid="{00000000-0005-0000-0000-00007A370000}"/>
    <cellStyle name="40% - Accent5 12" xfId="1339" xr:uid="{00000000-0005-0000-0000-00007B370000}"/>
    <cellStyle name="40% - Accent5 13" xfId="1340" xr:uid="{00000000-0005-0000-0000-00007C370000}"/>
    <cellStyle name="40% - Accent5 14" xfId="1341" xr:uid="{00000000-0005-0000-0000-00007D370000}"/>
    <cellStyle name="40% - Accent5 15" xfId="1342" xr:uid="{00000000-0005-0000-0000-00007E370000}"/>
    <cellStyle name="40% - Accent5 16" xfId="1343" xr:uid="{00000000-0005-0000-0000-00007F370000}"/>
    <cellStyle name="40% - Accent5 2" xfId="1344" xr:uid="{00000000-0005-0000-0000-000080370000}"/>
    <cellStyle name="40% - Accent5 2 10" xfId="1345" xr:uid="{00000000-0005-0000-0000-000081370000}"/>
    <cellStyle name="40% - Accent5 2 10 2" xfId="8642" xr:uid="{00000000-0005-0000-0000-000082370000}"/>
    <cellStyle name="40% - Accent5 2 10 2 2" xfId="10861" xr:uid="{00000000-0005-0000-0000-000083370000}"/>
    <cellStyle name="40% - Accent5 2 10 2 2 2" xfId="21424" xr:uid="{00000000-0005-0000-0000-000084370000}"/>
    <cellStyle name="40% - Accent5 2 10 2 3" xfId="13080" xr:uid="{00000000-0005-0000-0000-000085370000}"/>
    <cellStyle name="40% - Accent5 2 10 2 3 2" xfId="23643" xr:uid="{00000000-0005-0000-0000-000086370000}"/>
    <cellStyle name="40% - Accent5 2 10 2 4" xfId="15299" xr:uid="{00000000-0005-0000-0000-000087370000}"/>
    <cellStyle name="40% - Accent5 2 10 2 4 2" xfId="25862" xr:uid="{00000000-0005-0000-0000-000088370000}"/>
    <cellStyle name="40% - Accent5 2 10 2 5" xfId="19205" xr:uid="{00000000-0005-0000-0000-000089370000}"/>
    <cellStyle name="40% - Accent5 2 10 3" xfId="7909" xr:uid="{00000000-0005-0000-0000-00008A370000}"/>
    <cellStyle name="40% - Accent5 2 10 3 2" xfId="10128" xr:uid="{00000000-0005-0000-0000-00008B370000}"/>
    <cellStyle name="40% - Accent5 2 10 3 2 2" xfId="20691" xr:uid="{00000000-0005-0000-0000-00008C370000}"/>
    <cellStyle name="40% - Accent5 2 10 3 3" xfId="12347" xr:uid="{00000000-0005-0000-0000-00008D370000}"/>
    <cellStyle name="40% - Accent5 2 10 3 3 2" xfId="22910" xr:uid="{00000000-0005-0000-0000-00008E370000}"/>
    <cellStyle name="40% - Accent5 2 10 3 4" xfId="14566" xr:uid="{00000000-0005-0000-0000-00008F370000}"/>
    <cellStyle name="40% - Accent5 2 10 3 4 2" xfId="25129" xr:uid="{00000000-0005-0000-0000-000090370000}"/>
    <cellStyle name="40% - Accent5 2 10 3 5" xfId="18472" xr:uid="{00000000-0005-0000-0000-000091370000}"/>
    <cellStyle name="40% - Accent5 2 10 4" xfId="9385" xr:uid="{00000000-0005-0000-0000-000092370000}"/>
    <cellStyle name="40% - Accent5 2 10 4 2" xfId="19948" xr:uid="{00000000-0005-0000-0000-000093370000}"/>
    <cellStyle name="40% - Accent5 2 10 5" xfId="11604" xr:uid="{00000000-0005-0000-0000-000094370000}"/>
    <cellStyle name="40% - Accent5 2 10 5 2" xfId="22167" xr:uid="{00000000-0005-0000-0000-000095370000}"/>
    <cellStyle name="40% - Accent5 2 10 6" xfId="13823" xr:uid="{00000000-0005-0000-0000-000096370000}"/>
    <cellStyle name="40% - Accent5 2 10 6 2" xfId="24386" xr:uid="{00000000-0005-0000-0000-000097370000}"/>
    <cellStyle name="40% - Accent5 2 10 7" xfId="17723" xr:uid="{00000000-0005-0000-0000-000098370000}"/>
    <cellStyle name="40% - Accent5 2 11" xfId="1346" xr:uid="{00000000-0005-0000-0000-000099370000}"/>
    <cellStyle name="40% - Accent5 2 11 2" xfId="1347" xr:uid="{00000000-0005-0000-0000-00009A370000}"/>
    <cellStyle name="40% - Accent5 2 11 2 2" xfId="8643" xr:uid="{00000000-0005-0000-0000-00009B370000}"/>
    <cellStyle name="40% - Accent5 2 11 2 2 2" xfId="10862" xr:uid="{00000000-0005-0000-0000-00009C370000}"/>
    <cellStyle name="40% - Accent5 2 11 2 2 2 2" xfId="21425" xr:uid="{00000000-0005-0000-0000-00009D370000}"/>
    <cellStyle name="40% - Accent5 2 11 2 2 3" xfId="13081" xr:uid="{00000000-0005-0000-0000-00009E370000}"/>
    <cellStyle name="40% - Accent5 2 11 2 2 3 2" xfId="23644" xr:uid="{00000000-0005-0000-0000-00009F370000}"/>
    <cellStyle name="40% - Accent5 2 11 2 2 4" xfId="15300" xr:uid="{00000000-0005-0000-0000-0000A0370000}"/>
    <cellStyle name="40% - Accent5 2 11 2 2 4 2" xfId="25863" xr:uid="{00000000-0005-0000-0000-0000A1370000}"/>
    <cellStyle name="40% - Accent5 2 11 2 2 5" xfId="19206" xr:uid="{00000000-0005-0000-0000-0000A2370000}"/>
    <cellStyle name="40% - Accent5 2 11 2 3" xfId="7910" xr:uid="{00000000-0005-0000-0000-0000A3370000}"/>
    <cellStyle name="40% - Accent5 2 11 2 3 2" xfId="10129" xr:uid="{00000000-0005-0000-0000-0000A4370000}"/>
    <cellStyle name="40% - Accent5 2 11 2 3 2 2" xfId="20692" xr:uid="{00000000-0005-0000-0000-0000A5370000}"/>
    <cellStyle name="40% - Accent5 2 11 2 3 3" xfId="12348" xr:uid="{00000000-0005-0000-0000-0000A6370000}"/>
    <cellStyle name="40% - Accent5 2 11 2 3 3 2" xfId="22911" xr:uid="{00000000-0005-0000-0000-0000A7370000}"/>
    <cellStyle name="40% - Accent5 2 11 2 3 4" xfId="14567" xr:uid="{00000000-0005-0000-0000-0000A8370000}"/>
    <cellStyle name="40% - Accent5 2 11 2 3 4 2" xfId="25130" xr:uid="{00000000-0005-0000-0000-0000A9370000}"/>
    <cellStyle name="40% - Accent5 2 11 2 3 5" xfId="18473" xr:uid="{00000000-0005-0000-0000-0000AA370000}"/>
    <cellStyle name="40% - Accent5 2 11 2 4" xfId="9386" xr:uid="{00000000-0005-0000-0000-0000AB370000}"/>
    <cellStyle name="40% - Accent5 2 11 2 4 2" xfId="19949" xr:uid="{00000000-0005-0000-0000-0000AC370000}"/>
    <cellStyle name="40% - Accent5 2 11 2 5" xfId="11605" xr:uid="{00000000-0005-0000-0000-0000AD370000}"/>
    <cellStyle name="40% - Accent5 2 11 2 5 2" xfId="22168" xr:uid="{00000000-0005-0000-0000-0000AE370000}"/>
    <cellStyle name="40% - Accent5 2 11 2 6" xfId="13824" xr:uid="{00000000-0005-0000-0000-0000AF370000}"/>
    <cellStyle name="40% - Accent5 2 11 2 6 2" xfId="24387" xr:uid="{00000000-0005-0000-0000-0000B0370000}"/>
    <cellStyle name="40% - Accent5 2 11 2 7" xfId="17724" xr:uid="{00000000-0005-0000-0000-0000B1370000}"/>
    <cellStyle name="40% - Accent5 2 11 3" xfId="1348" xr:uid="{00000000-0005-0000-0000-0000B2370000}"/>
    <cellStyle name="40% - Accent5 2 11 3 2" xfId="8644" xr:uid="{00000000-0005-0000-0000-0000B3370000}"/>
    <cellStyle name="40% - Accent5 2 11 3 2 2" xfId="10863" xr:uid="{00000000-0005-0000-0000-0000B4370000}"/>
    <cellStyle name="40% - Accent5 2 11 3 2 2 2" xfId="21426" xr:uid="{00000000-0005-0000-0000-0000B5370000}"/>
    <cellStyle name="40% - Accent5 2 11 3 2 3" xfId="13082" xr:uid="{00000000-0005-0000-0000-0000B6370000}"/>
    <cellStyle name="40% - Accent5 2 11 3 2 3 2" xfId="23645" xr:uid="{00000000-0005-0000-0000-0000B7370000}"/>
    <cellStyle name="40% - Accent5 2 11 3 2 4" xfId="15301" xr:uid="{00000000-0005-0000-0000-0000B8370000}"/>
    <cellStyle name="40% - Accent5 2 11 3 2 4 2" xfId="25864" xr:uid="{00000000-0005-0000-0000-0000B9370000}"/>
    <cellStyle name="40% - Accent5 2 11 3 2 5" xfId="19207" xr:uid="{00000000-0005-0000-0000-0000BA370000}"/>
    <cellStyle name="40% - Accent5 2 11 3 3" xfId="7911" xr:uid="{00000000-0005-0000-0000-0000BB370000}"/>
    <cellStyle name="40% - Accent5 2 11 3 3 2" xfId="10130" xr:uid="{00000000-0005-0000-0000-0000BC370000}"/>
    <cellStyle name="40% - Accent5 2 11 3 3 2 2" xfId="20693" xr:uid="{00000000-0005-0000-0000-0000BD370000}"/>
    <cellStyle name="40% - Accent5 2 11 3 3 3" xfId="12349" xr:uid="{00000000-0005-0000-0000-0000BE370000}"/>
    <cellStyle name="40% - Accent5 2 11 3 3 3 2" xfId="22912" xr:uid="{00000000-0005-0000-0000-0000BF370000}"/>
    <cellStyle name="40% - Accent5 2 11 3 3 4" xfId="14568" xr:uid="{00000000-0005-0000-0000-0000C0370000}"/>
    <cellStyle name="40% - Accent5 2 11 3 3 4 2" xfId="25131" xr:uid="{00000000-0005-0000-0000-0000C1370000}"/>
    <cellStyle name="40% - Accent5 2 11 3 3 5" xfId="18474" xr:uid="{00000000-0005-0000-0000-0000C2370000}"/>
    <cellStyle name="40% - Accent5 2 11 3 4" xfId="9387" xr:uid="{00000000-0005-0000-0000-0000C3370000}"/>
    <cellStyle name="40% - Accent5 2 11 3 4 2" xfId="19950" xr:uid="{00000000-0005-0000-0000-0000C4370000}"/>
    <cellStyle name="40% - Accent5 2 11 3 5" xfId="11606" xr:uid="{00000000-0005-0000-0000-0000C5370000}"/>
    <cellStyle name="40% - Accent5 2 11 3 5 2" xfId="22169" xr:uid="{00000000-0005-0000-0000-0000C6370000}"/>
    <cellStyle name="40% - Accent5 2 11 3 6" xfId="13825" xr:uid="{00000000-0005-0000-0000-0000C7370000}"/>
    <cellStyle name="40% - Accent5 2 11 3 6 2" xfId="24388" xr:uid="{00000000-0005-0000-0000-0000C8370000}"/>
    <cellStyle name="40% - Accent5 2 11 3 7" xfId="17725" xr:uid="{00000000-0005-0000-0000-0000C9370000}"/>
    <cellStyle name="40% - Accent5 2 11 4" xfId="1349" xr:uid="{00000000-0005-0000-0000-0000CA370000}"/>
    <cellStyle name="40% - Accent5 2 11 4 2" xfId="8645" xr:uid="{00000000-0005-0000-0000-0000CB370000}"/>
    <cellStyle name="40% - Accent5 2 11 4 2 2" xfId="10864" xr:uid="{00000000-0005-0000-0000-0000CC370000}"/>
    <cellStyle name="40% - Accent5 2 11 4 2 2 2" xfId="21427" xr:uid="{00000000-0005-0000-0000-0000CD370000}"/>
    <cellStyle name="40% - Accent5 2 11 4 2 3" xfId="13083" xr:uid="{00000000-0005-0000-0000-0000CE370000}"/>
    <cellStyle name="40% - Accent5 2 11 4 2 3 2" xfId="23646" xr:uid="{00000000-0005-0000-0000-0000CF370000}"/>
    <cellStyle name="40% - Accent5 2 11 4 2 4" xfId="15302" xr:uid="{00000000-0005-0000-0000-0000D0370000}"/>
    <cellStyle name="40% - Accent5 2 11 4 2 4 2" xfId="25865" xr:uid="{00000000-0005-0000-0000-0000D1370000}"/>
    <cellStyle name="40% - Accent5 2 11 4 2 5" xfId="19208" xr:uid="{00000000-0005-0000-0000-0000D2370000}"/>
    <cellStyle name="40% - Accent5 2 11 4 3" xfId="7912" xr:uid="{00000000-0005-0000-0000-0000D3370000}"/>
    <cellStyle name="40% - Accent5 2 11 4 3 2" xfId="10131" xr:uid="{00000000-0005-0000-0000-0000D4370000}"/>
    <cellStyle name="40% - Accent5 2 11 4 3 2 2" xfId="20694" xr:uid="{00000000-0005-0000-0000-0000D5370000}"/>
    <cellStyle name="40% - Accent5 2 11 4 3 3" xfId="12350" xr:uid="{00000000-0005-0000-0000-0000D6370000}"/>
    <cellStyle name="40% - Accent5 2 11 4 3 3 2" xfId="22913" xr:uid="{00000000-0005-0000-0000-0000D7370000}"/>
    <cellStyle name="40% - Accent5 2 11 4 3 4" xfId="14569" xr:uid="{00000000-0005-0000-0000-0000D8370000}"/>
    <cellStyle name="40% - Accent5 2 11 4 3 4 2" xfId="25132" xr:uid="{00000000-0005-0000-0000-0000D9370000}"/>
    <cellStyle name="40% - Accent5 2 11 4 3 5" xfId="18475" xr:uid="{00000000-0005-0000-0000-0000DA370000}"/>
    <cellStyle name="40% - Accent5 2 11 4 4" xfId="9388" xr:uid="{00000000-0005-0000-0000-0000DB370000}"/>
    <cellStyle name="40% - Accent5 2 11 4 4 2" xfId="19951" xr:uid="{00000000-0005-0000-0000-0000DC370000}"/>
    <cellStyle name="40% - Accent5 2 11 4 5" xfId="11607" xr:uid="{00000000-0005-0000-0000-0000DD370000}"/>
    <cellStyle name="40% - Accent5 2 11 4 5 2" xfId="22170" xr:uid="{00000000-0005-0000-0000-0000DE370000}"/>
    <cellStyle name="40% - Accent5 2 11 4 6" xfId="13826" xr:uid="{00000000-0005-0000-0000-0000DF370000}"/>
    <cellStyle name="40% - Accent5 2 11 4 6 2" xfId="24389" xr:uid="{00000000-0005-0000-0000-0000E0370000}"/>
    <cellStyle name="40% - Accent5 2 11 4 7" xfId="17726" xr:uid="{00000000-0005-0000-0000-0000E1370000}"/>
    <cellStyle name="40% - Accent5 2 11 5" xfId="1350" xr:uid="{00000000-0005-0000-0000-0000E2370000}"/>
    <cellStyle name="40% - Accent5 2 11 5 2" xfId="8646" xr:uid="{00000000-0005-0000-0000-0000E3370000}"/>
    <cellStyle name="40% - Accent5 2 11 5 2 2" xfId="10865" xr:uid="{00000000-0005-0000-0000-0000E4370000}"/>
    <cellStyle name="40% - Accent5 2 11 5 2 2 2" xfId="21428" xr:uid="{00000000-0005-0000-0000-0000E5370000}"/>
    <cellStyle name="40% - Accent5 2 11 5 2 3" xfId="13084" xr:uid="{00000000-0005-0000-0000-0000E6370000}"/>
    <cellStyle name="40% - Accent5 2 11 5 2 3 2" xfId="23647" xr:uid="{00000000-0005-0000-0000-0000E7370000}"/>
    <cellStyle name="40% - Accent5 2 11 5 2 4" xfId="15303" xr:uid="{00000000-0005-0000-0000-0000E8370000}"/>
    <cellStyle name="40% - Accent5 2 11 5 2 4 2" xfId="25866" xr:uid="{00000000-0005-0000-0000-0000E9370000}"/>
    <cellStyle name="40% - Accent5 2 11 5 2 5" xfId="19209" xr:uid="{00000000-0005-0000-0000-0000EA370000}"/>
    <cellStyle name="40% - Accent5 2 11 5 3" xfId="7913" xr:uid="{00000000-0005-0000-0000-0000EB370000}"/>
    <cellStyle name="40% - Accent5 2 11 5 3 2" xfId="10132" xr:uid="{00000000-0005-0000-0000-0000EC370000}"/>
    <cellStyle name="40% - Accent5 2 11 5 3 2 2" xfId="20695" xr:uid="{00000000-0005-0000-0000-0000ED370000}"/>
    <cellStyle name="40% - Accent5 2 11 5 3 3" xfId="12351" xr:uid="{00000000-0005-0000-0000-0000EE370000}"/>
    <cellStyle name="40% - Accent5 2 11 5 3 3 2" xfId="22914" xr:uid="{00000000-0005-0000-0000-0000EF370000}"/>
    <cellStyle name="40% - Accent5 2 11 5 3 4" xfId="14570" xr:uid="{00000000-0005-0000-0000-0000F0370000}"/>
    <cellStyle name="40% - Accent5 2 11 5 3 4 2" xfId="25133" xr:uid="{00000000-0005-0000-0000-0000F1370000}"/>
    <cellStyle name="40% - Accent5 2 11 5 3 5" xfId="18476" xr:uid="{00000000-0005-0000-0000-0000F2370000}"/>
    <cellStyle name="40% - Accent5 2 11 5 4" xfId="9389" xr:uid="{00000000-0005-0000-0000-0000F3370000}"/>
    <cellStyle name="40% - Accent5 2 11 5 4 2" xfId="19952" xr:uid="{00000000-0005-0000-0000-0000F4370000}"/>
    <cellStyle name="40% - Accent5 2 11 5 5" xfId="11608" xr:uid="{00000000-0005-0000-0000-0000F5370000}"/>
    <cellStyle name="40% - Accent5 2 11 5 5 2" xfId="22171" xr:uid="{00000000-0005-0000-0000-0000F6370000}"/>
    <cellStyle name="40% - Accent5 2 11 5 6" xfId="13827" xr:uid="{00000000-0005-0000-0000-0000F7370000}"/>
    <cellStyle name="40% - Accent5 2 11 5 6 2" xfId="24390" xr:uid="{00000000-0005-0000-0000-0000F8370000}"/>
    <cellStyle name="40% - Accent5 2 11 5 7" xfId="17727" xr:uid="{00000000-0005-0000-0000-0000F9370000}"/>
    <cellStyle name="40% - Accent5 2 12" xfId="1351" xr:uid="{00000000-0005-0000-0000-0000FA370000}"/>
    <cellStyle name="40% - Accent5 2 13" xfId="1352" xr:uid="{00000000-0005-0000-0000-0000FB370000}"/>
    <cellStyle name="40% - Accent5 2 14" xfId="1353" xr:uid="{00000000-0005-0000-0000-0000FC370000}"/>
    <cellStyle name="40% - Accent5 2 15" xfId="1354" xr:uid="{00000000-0005-0000-0000-0000FD370000}"/>
    <cellStyle name="40% - Accent5 2 15 2" xfId="8647" xr:uid="{00000000-0005-0000-0000-0000FE370000}"/>
    <cellStyle name="40% - Accent5 2 15 2 2" xfId="10866" xr:uid="{00000000-0005-0000-0000-0000FF370000}"/>
    <cellStyle name="40% - Accent5 2 15 2 2 2" xfId="21429" xr:uid="{00000000-0005-0000-0000-000000380000}"/>
    <cellStyle name="40% - Accent5 2 15 2 3" xfId="13085" xr:uid="{00000000-0005-0000-0000-000001380000}"/>
    <cellStyle name="40% - Accent5 2 15 2 3 2" xfId="23648" xr:uid="{00000000-0005-0000-0000-000002380000}"/>
    <cellStyle name="40% - Accent5 2 15 2 4" xfId="15304" xr:uid="{00000000-0005-0000-0000-000003380000}"/>
    <cellStyle name="40% - Accent5 2 15 2 4 2" xfId="25867" xr:uid="{00000000-0005-0000-0000-000004380000}"/>
    <cellStyle name="40% - Accent5 2 15 2 5" xfId="19210" xr:uid="{00000000-0005-0000-0000-000005380000}"/>
    <cellStyle name="40% - Accent5 2 15 3" xfId="7914" xr:uid="{00000000-0005-0000-0000-000006380000}"/>
    <cellStyle name="40% - Accent5 2 15 3 2" xfId="10133" xr:uid="{00000000-0005-0000-0000-000007380000}"/>
    <cellStyle name="40% - Accent5 2 15 3 2 2" xfId="20696" xr:uid="{00000000-0005-0000-0000-000008380000}"/>
    <cellStyle name="40% - Accent5 2 15 3 3" xfId="12352" xr:uid="{00000000-0005-0000-0000-000009380000}"/>
    <cellStyle name="40% - Accent5 2 15 3 3 2" xfId="22915" xr:uid="{00000000-0005-0000-0000-00000A380000}"/>
    <cellStyle name="40% - Accent5 2 15 3 4" xfId="14571" xr:uid="{00000000-0005-0000-0000-00000B380000}"/>
    <cellStyle name="40% - Accent5 2 15 3 4 2" xfId="25134" xr:uid="{00000000-0005-0000-0000-00000C380000}"/>
    <cellStyle name="40% - Accent5 2 15 3 5" xfId="18477" xr:uid="{00000000-0005-0000-0000-00000D380000}"/>
    <cellStyle name="40% - Accent5 2 15 4" xfId="9390" xr:uid="{00000000-0005-0000-0000-00000E380000}"/>
    <cellStyle name="40% - Accent5 2 15 4 2" xfId="19953" xr:uid="{00000000-0005-0000-0000-00000F380000}"/>
    <cellStyle name="40% - Accent5 2 15 5" xfId="11609" xr:uid="{00000000-0005-0000-0000-000010380000}"/>
    <cellStyle name="40% - Accent5 2 15 5 2" xfId="22172" xr:uid="{00000000-0005-0000-0000-000011380000}"/>
    <cellStyle name="40% - Accent5 2 15 6" xfId="13828" xr:uid="{00000000-0005-0000-0000-000012380000}"/>
    <cellStyle name="40% - Accent5 2 15 6 2" xfId="24391" xr:uid="{00000000-0005-0000-0000-000013380000}"/>
    <cellStyle name="40% - Accent5 2 15 7" xfId="17728" xr:uid="{00000000-0005-0000-0000-000014380000}"/>
    <cellStyle name="40% - Accent5 2 16" xfId="1355" xr:uid="{00000000-0005-0000-0000-000015380000}"/>
    <cellStyle name="40% - Accent5 2 2" xfId="1356" xr:uid="{00000000-0005-0000-0000-000016380000}"/>
    <cellStyle name="40% - Accent5 2 2 10" xfId="8648" xr:uid="{00000000-0005-0000-0000-000017380000}"/>
    <cellStyle name="40% - Accent5 2 2 10 2" xfId="10867" xr:uid="{00000000-0005-0000-0000-000018380000}"/>
    <cellStyle name="40% - Accent5 2 2 10 2 2" xfId="21430" xr:uid="{00000000-0005-0000-0000-000019380000}"/>
    <cellStyle name="40% - Accent5 2 2 10 3" xfId="13086" xr:uid="{00000000-0005-0000-0000-00001A380000}"/>
    <cellStyle name="40% - Accent5 2 2 10 3 2" xfId="23649" xr:uid="{00000000-0005-0000-0000-00001B380000}"/>
    <cellStyle name="40% - Accent5 2 2 10 4" xfId="15305" xr:uid="{00000000-0005-0000-0000-00001C380000}"/>
    <cellStyle name="40% - Accent5 2 2 10 4 2" xfId="25868" xr:uid="{00000000-0005-0000-0000-00001D380000}"/>
    <cellStyle name="40% - Accent5 2 2 10 5" xfId="19211" xr:uid="{00000000-0005-0000-0000-00001E380000}"/>
    <cellStyle name="40% - Accent5 2 2 11" xfId="7915" xr:uid="{00000000-0005-0000-0000-00001F380000}"/>
    <cellStyle name="40% - Accent5 2 2 11 2" xfId="10134" xr:uid="{00000000-0005-0000-0000-000020380000}"/>
    <cellStyle name="40% - Accent5 2 2 11 2 2" xfId="20697" xr:uid="{00000000-0005-0000-0000-000021380000}"/>
    <cellStyle name="40% - Accent5 2 2 11 3" xfId="12353" xr:uid="{00000000-0005-0000-0000-000022380000}"/>
    <cellStyle name="40% - Accent5 2 2 11 3 2" xfId="22916" xr:uid="{00000000-0005-0000-0000-000023380000}"/>
    <cellStyle name="40% - Accent5 2 2 11 4" xfId="14572" xr:uid="{00000000-0005-0000-0000-000024380000}"/>
    <cellStyle name="40% - Accent5 2 2 11 4 2" xfId="25135" xr:uid="{00000000-0005-0000-0000-000025380000}"/>
    <cellStyle name="40% - Accent5 2 2 11 5" xfId="18478" xr:uid="{00000000-0005-0000-0000-000026380000}"/>
    <cellStyle name="40% - Accent5 2 2 12" xfId="9391" xr:uid="{00000000-0005-0000-0000-000027380000}"/>
    <cellStyle name="40% - Accent5 2 2 12 2" xfId="19954" xr:uid="{00000000-0005-0000-0000-000028380000}"/>
    <cellStyle name="40% - Accent5 2 2 13" xfId="11610" xr:uid="{00000000-0005-0000-0000-000029380000}"/>
    <cellStyle name="40% - Accent5 2 2 13 2" xfId="22173" xr:uid="{00000000-0005-0000-0000-00002A380000}"/>
    <cellStyle name="40% - Accent5 2 2 14" xfId="13829" xr:uid="{00000000-0005-0000-0000-00002B380000}"/>
    <cellStyle name="40% - Accent5 2 2 14 2" xfId="24392" xr:uid="{00000000-0005-0000-0000-00002C380000}"/>
    <cellStyle name="40% - Accent5 2 2 15" xfId="17729" xr:uid="{00000000-0005-0000-0000-00002D380000}"/>
    <cellStyle name="40% - Accent5 2 2 2" xfId="1357" xr:uid="{00000000-0005-0000-0000-00002E380000}"/>
    <cellStyle name="40% - Accent5 2 2 2 2" xfId="8649" xr:uid="{00000000-0005-0000-0000-00002F380000}"/>
    <cellStyle name="40% - Accent5 2 2 2 2 2" xfId="10868" xr:uid="{00000000-0005-0000-0000-000030380000}"/>
    <cellStyle name="40% - Accent5 2 2 2 2 2 2" xfId="21431" xr:uid="{00000000-0005-0000-0000-000031380000}"/>
    <cellStyle name="40% - Accent5 2 2 2 2 3" xfId="13087" xr:uid="{00000000-0005-0000-0000-000032380000}"/>
    <cellStyle name="40% - Accent5 2 2 2 2 3 2" xfId="23650" xr:uid="{00000000-0005-0000-0000-000033380000}"/>
    <cellStyle name="40% - Accent5 2 2 2 2 4" xfId="15306" xr:uid="{00000000-0005-0000-0000-000034380000}"/>
    <cellStyle name="40% - Accent5 2 2 2 2 4 2" xfId="25869" xr:uid="{00000000-0005-0000-0000-000035380000}"/>
    <cellStyle name="40% - Accent5 2 2 2 2 5" xfId="19212" xr:uid="{00000000-0005-0000-0000-000036380000}"/>
    <cellStyle name="40% - Accent5 2 2 2 3" xfId="7916" xr:uid="{00000000-0005-0000-0000-000037380000}"/>
    <cellStyle name="40% - Accent5 2 2 2 3 2" xfId="10135" xr:uid="{00000000-0005-0000-0000-000038380000}"/>
    <cellStyle name="40% - Accent5 2 2 2 3 2 2" xfId="20698" xr:uid="{00000000-0005-0000-0000-000039380000}"/>
    <cellStyle name="40% - Accent5 2 2 2 3 3" xfId="12354" xr:uid="{00000000-0005-0000-0000-00003A380000}"/>
    <cellStyle name="40% - Accent5 2 2 2 3 3 2" xfId="22917" xr:uid="{00000000-0005-0000-0000-00003B380000}"/>
    <cellStyle name="40% - Accent5 2 2 2 3 4" xfId="14573" xr:uid="{00000000-0005-0000-0000-00003C380000}"/>
    <cellStyle name="40% - Accent5 2 2 2 3 4 2" xfId="25136" xr:uid="{00000000-0005-0000-0000-00003D380000}"/>
    <cellStyle name="40% - Accent5 2 2 2 3 5" xfId="18479" xr:uid="{00000000-0005-0000-0000-00003E380000}"/>
    <cellStyle name="40% - Accent5 2 2 2 4" xfId="9392" xr:uid="{00000000-0005-0000-0000-00003F380000}"/>
    <cellStyle name="40% - Accent5 2 2 2 4 2" xfId="19955" xr:uid="{00000000-0005-0000-0000-000040380000}"/>
    <cellStyle name="40% - Accent5 2 2 2 5" xfId="11611" xr:uid="{00000000-0005-0000-0000-000041380000}"/>
    <cellStyle name="40% - Accent5 2 2 2 5 2" xfId="22174" xr:uid="{00000000-0005-0000-0000-000042380000}"/>
    <cellStyle name="40% - Accent5 2 2 2 6" xfId="13830" xr:uid="{00000000-0005-0000-0000-000043380000}"/>
    <cellStyle name="40% - Accent5 2 2 2 6 2" xfId="24393" xr:uid="{00000000-0005-0000-0000-000044380000}"/>
    <cellStyle name="40% - Accent5 2 2 2 7" xfId="17730" xr:uid="{00000000-0005-0000-0000-000045380000}"/>
    <cellStyle name="40% - Accent5 2 2 3" xfId="1358" xr:uid="{00000000-0005-0000-0000-000046380000}"/>
    <cellStyle name="40% - Accent5 2 2 3 2" xfId="8650" xr:uid="{00000000-0005-0000-0000-000047380000}"/>
    <cellStyle name="40% - Accent5 2 2 3 2 2" xfId="10869" xr:uid="{00000000-0005-0000-0000-000048380000}"/>
    <cellStyle name="40% - Accent5 2 2 3 2 2 2" xfId="21432" xr:uid="{00000000-0005-0000-0000-000049380000}"/>
    <cellStyle name="40% - Accent5 2 2 3 2 3" xfId="13088" xr:uid="{00000000-0005-0000-0000-00004A380000}"/>
    <cellStyle name="40% - Accent5 2 2 3 2 3 2" xfId="23651" xr:uid="{00000000-0005-0000-0000-00004B380000}"/>
    <cellStyle name="40% - Accent5 2 2 3 2 4" xfId="15307" xr:uid="{00000000-0005-0000-0000-00004C380000}"/>
    <cellStyle name="40% - Accent5 2 2 3 2 4 2" xfId="25870" xr:uid="{00000000-0005-0000-0000-00004D380000}"/>
    <cellStyle name="40% - Accent5 2 2 3 2 5" xfId="19213" xr:uid="{00000000-0005-0000-0000-00004E380000}"/>
    <cellStyle name="40% - Accent5 2 2 3 3" xfId="7917" xr:uid="{00000000-0005-0000-0000-00004F380000}"/>
    <cellStyle name="40% - Accent5 2 2 3 3 2" xfId="10136" xr:uid="{00000000-0005-0000-0000-000050380000}"/>
    <cellStyle name="40% - Accent5 2 2 3 3 2 2" xfId="20699" xr:uid="{00000000-0005-0000-0000-000051380000}"/>
    <cellStyle name="40% - Accent5 2 2 3 3 3" xfId="12355" xr:uid="{00000000-0005-0000-0000-000052380000}"/>
    <cellStyle name="40% - Accent5 2 2 3 3 3 2" xfId="22918" xr:uid="{00000000-0005-0000-0000-000053380000}"/>
    <cellStyle name="40% - Accent5 2 2 3 3 4" xfId="14574" xr:uid="{00000000-0005-0000-0000-000054380000}"/>
    <cellStyle name="40% - Accent5 2 2 3 3 4 2" xfId="25137" xr:uid="{00000000-0005-0000-0000-000055380000}"/>
    <cellStyle name="40% - Accent5 2 2 3 3 5" xfId="18480" xr:uid="{00000000-0005-0000-0000-000056380000}"/>
    <cellStyle name="40% - Accent5 2 2 3 4" xfId="9393" xr:uid="{00000000-0005-0000-0000-000057380000}"/>
    <cellStyle name="40% - Accent5 2 2 3 4 2" xfId="19956" xr:uid="{00000000-0005-0000-0000-000058380000}"/>
    <cellStyle name="40% - Accent5 2 2 3 5" xfId="11612" xr:uid="{00000000-0005-0000-0000-000059380000}"/>
    <cellStyle name="40% - Accent5 2 2 3 5 2" xfId="22175" xr:uid="{00000000-0005-0000-0000-00005A380000}"/>
    <cellStyle name="40% - Accent5 2 2 3 6" xfId="13831" xr:uid="{00000000-0005-0000-0000-00005B380000}"/>
    <cellStyle name="40% - Accent5 2 2 3 6 2" xfId="24394" xr:uid="{00000000-0005-0000-0000-00005C380000}"/>
    <cellStyle name="40% - Accent5 2 2 3 7" xfId="17731" xr:uid="{00000000-0005-0000-0000-00005D380000}"/>
    <cellStyle name="40% - Accent5 2 2 4" xfId="1359" xr:uid="{00000000-0005-0000-0000-00005E380000}"/>
    <cellStyle name="40% - Accent5 2 2 4 2" xfId="8651" xr:uid="{00000000-0005-0000-0000-00005F380000}"/>
    <cellStyle name="40% - Accent5 2 2 4 2 2" xfId="10870" xr:uid="{00000000-0005-0000-0000-000060380000}"/>
    <cellStyle name="40% - Accent5 2 2 4 2 2 2" xfId="21433" xr:uid="{00000000-0005-0000-0000-000061380000}"/>
    <cellStyle name="40% - Accent5 2 2 4 2 3" xfId="13089" xr:uid="{00000000-0005-0000-0000-000062380000}"/>
    <cellStyle name="40% - Accent5 2 2 4 2 3 2" xfId="23652" xr:uid="{00000000-0005-0000-0000-000063380000}"/>
    <cellStyle name="40% - Accent5 2 2 4 2 4" xfId="15308" xr:uid="{00000000-0005-0000-0000-000064380000}"/>
    <cellStyle name="40% - Accent5 2 2 4 2 4 2" xfId="25871" xr:uid="{00000000-0005-0000-0000-000065380000}"/>
    <cellStyle name="40% - Accent5 2 2 4 2 5" xfId="19214" xr:uid="{00000000-0005-0000-0000-000066380000}"/>
    <cellStyle name="40% - Accent5 2 2 4 3" xfId="7918" xr:uid="{00000000-0005-0000-0000-000067380000}"/>
    <cellStyle name="40% - Accent5 2 2 4 3 2" xfId="10137" xr:uid="{00000000-0005-0000-0000-000068380000}"/>
    <cellStyle name="40% - Accent5 2 2 4 3 2 2" xfId="20700" xr:uid="{00000000-0005-0000-0000-000069380000}"/>
    <cellStyle name="40% - Accent5 2 2 4 3 3" xfId="12356" xr:uid="{00000000-0005-0000-0000-00006A380000}"/>
    <cellStyle name="40% - Accent5 2 2 4 3 3 2" xfId="22919" xr:uid="{00000000-0005-0000-0000-00006B380000}"/>
    <cellStyle name="40% - Accent5 2 2 4 3 4" xfId="14575" xr:uid="{00000000-0005-0000-0000-00006C380000}"/>
    <cellStyle name="40% - Accent5 2 2 4 3 4 2" xfId="25138" xr:uid="{00000000-0005-0000-0000-00006D380000}"/>
    <cellStyle name="40% - Accent5 2 2 4 3 5" xfId="18481" xr:uid="{00000000-0005-0000-0000-00006E380000}"/>
    <cellStyle name="40% - Accent5 2 2 4 4" xfId="9394" xr:uid="{00000000-0005-0000-0000-00006F380000}"/>
    <cellStyle name="40% - Accent5 2 2 4 4 2" xfId="19957" xr:uid="{00000000-0005-0000-0000-000070380000}"/>
    <cellStyle name="40% - Accent5 2 2 4 5" xfId="11613" xr:uid="{00000000-0005-0000-0000-000071380000}"/>
    <cellStyle name="40% - Accent5 2 2 4 5 2" xfId="22176" xr:uid="{00000000-0005-0000-0000-000072380000}"/>
    <cellStyle name="40% - Accent5 2 2 4 6" xfId="13832" xr:uid="{00000000-0005-0000-0000-000073380000}"/>
    <cellStyle name="40% - Accent5 2 2 4 6 2" xfId="24395" xr:uid="{00000000-0005-0000-0000-000074380000}"/>
    <cellStyle name="40% - Accent5 2 2 4 7" xfId="17732" xr:uid="{00000000-0005-0000-0000-000075380000}"/>
    <cellStyle name="40% - Accent5 2 2 5" xfId="1360" xr:uid="{00000000-0005-0000-0000-000076380000}"/>
    <cellStyle name="40% - Accent5 2 2 5 2" xfId="8652" xr:uid="{00000000-0005-0000-0000-000077380000}"/>
    <cellStyle name="40% - Accent5 2 2 5 2 2" xfId="10871" xr:uid="{00000000-0005-0000-0000-000078380000}"/>
    <cellStyle name="40% - Accent5 2 2 5 2 2 2" xfId="21434" xr:uid="{00000000-0005-0000-0000-000079380000}"/>
    <cellStyle name="40% - Accent5 2 2 5 2 3" xfId="13090" xr:uid="{00000000-0005-0000-0000-00007A380000}"/>
    <cellStyle name="40% - Accent5 2 2 5 2 3 2" xfId="23653" xr:uid="{00000000-0005-0000-0000-00007B380000}"/>
    <cellStyle name="40% - Accent5 2 2 5 2 4" xfId="15309" xr:uid="{00000000-0005-0000-0000-00007C380000}"/>
    <cellStyle name="40% - Accent5 2 2 5 2 4 2" xfId="25872" xr:uid="{00000000-0005-0000-0000-00007D380000}"/>
    <cellStyle name="40% - Accent5 2 2 5 2 5" xfId="19215" xr:uid="{00000000-0005-0000-0000-00007E380000}"/>
    <cellStyle name="40% - Accent5 2 2 5 3" xfId="7919" xr:uid="{00000000-0005-0000-0000-00007F380000}"/>
    <cellStyle name="40% - Accent5 2 2 5 3 2" xfId="10138" xr:uid="{00000000-0005-0000-0000-000080380000}"/>
    <cellStyle name="40% - Accent5 2 2 5 3 2 2" xfId="20701" xr:uid="{00000000-0005-0000-0000-000081380000}"/>
    <cellStyle name="40% - Accent5 2 2 5 3 3" xfId="12357" xr:uid="{00000000-0005-0000-0000-000082380000}"/>
    <cellStyle name="40% - Accent5 2 2 5 3 3 2" xfId="22920" xr:uid="{00000000-0005-0000-0000-000083380000}"/>
    <cellStyle name="40% - Accent5 2 2 5 3 4" xfId="14576" xr:uid="{00000000-0005-0000-0000-000084380000}"/>
    <cellStyle name="40% - Accent5 2 2 5 3 4 2" xfId="25139" xr:uid="{00000000-0005-0000-0000-000085380000}"/>
    <cellStyle name="40% - Accent5 2 2 5 3 5" xfId="18482" xr:uid="{00000000-0005-0000-0000-000086380000}"/>
    <cellStyle name="40% - Accent5 2 2 5 4" xfId="9395" xr:uid="{00000000-0005-0000-0000-000087380000}"/>
    <cellStyle name="40% - Accent5 2 2 5 4 2" xfId="19958" xr:uid="{00000000-0005-0000-0000-000088380000}"/>
    <cellStyle name="40% - Accent5 2 2 5 5" xfId="11614" xr:uid="{00000000-0005-0000-0000-000089380000}"/>
    <cellStyle name="40% - Accent5 2 2 5 5 2" xfId="22177" xr:uid="{00000000-0005-0000-0000-00008A380000}"/>
    <cellStyle name="40% - Accent5 2 2 5 6" xfId="13833" xr:uid="{00000000-0005-0000-0000-00008B380000}"/>
    <cellStyle name="40% - Accent5 2 2 5 6 2" xfId="24396" xr:uid="{00000000-0005-0000-0000-00008C380000}"/>
    <cellStyle name="40% - Accent5 2 2 5 7" xfId="17733" xr:uid="{00000000-0005-0000-0000-00008D380000}"/>
    <cellStyle name="40% - Accent5 2 2 6" xfId="1361" xr:uid="{00000000-0005-0000-0000-00008E380000}"/>
    <cellStyle name="40% - Accent5 2 2 6 2" xfId="8653" xr:uid="{00000000-0005-0000-0000-00008F380000}"/>
    <cellStyle name="40% - Accent5 2 2 6 2 2" xfId="10872" xr:uid="{00000000-0005-0000-0000-000090380000}"/>
    <cellStyle name="40% - Accent5 2 2 6 2 2 2" xfId="21435" xr:uid="{00000000-0005-0000-0000-000091380000}"/>
    <cellStyle name="40% - Accent5 2 2 6 2 3" xfId="13091" xr:uid="{00000000-0005-0000-0000-000092380000}"/>
    <cellStyle name="40% - Accent5 2 2 6 2 3 2" xfId="23654" xr:uid="{00000000-0005-0000-0000-000093380000}"/>
    <cellStyle name="40% - Accent5 2 2 6 2 4" xfId="15310" xr:uid="{00000000-0005-0000-0000-000094380000}"/>
    <cellStyle name="40% - Accent5 2 2 6 2 4 2" xfId="25873" xr:uid="{00000000-0005-0000-0000-000095380000}"/>
    <cellStyle name="40% - Accent5 2 2 6 2 5" xfId="19216" xr:uid="{00000000-0005-0000-0000-000096380000}"/>
    <cellStyle name="40% - Accent5 2 2 6 3" xfId="7920" xr:uid="{00000000-0005-0000-0000-000097380000}"/>
    <cellStyle name="40% - Accent5 2 2 6 3 2" xfId="10139" xr:uid="{00000000-0005-0000-0000-000098380000}"/>
    <cellStyle name="40% - Accent5 2 2 6 3 2 2" xfId="20702" xr:uid="{00000000-0005-0000-0000-000099380000}"/>
    <cellStyle name="40% - Accent5 2 2 6 3 3" xfId="12358" xr:uid="{00000000-0005-0000-0000-00009A380000}"/>
    <cellStyle name="40% - Accent5 2 2 6 3 3 2" xfId="22921" xr:uid="{00000000-0005-0000-0000-00009B380000}"/>
    <cellStyle name="40% - Accent5 2 2 6 3 4" xfId="14577" xr:uid="{00000000-0005-0000-0000-00009C380000}"/>
    <cellStyle name="40% - Accent5 2 2 6 3 4 2" xfId="25140" xr:uid="{00000000-0005-0000-0000-00009D380000}"/>
    <cellStyle name="40% - Accent5 2 2 6 3 5" xfId="18483" xr:uid="{00000000-0005-0000-0000-00009E380000}"/>
    <cellStyle name="40% - Accent5 2 2 6 4" xfId="9396" xr:uid="{00000000-0005-0000-0000-00009F380000}"/>
    <cellStyle name="40% - Accent5 2 2 6 4 2" xfId="19959" xr:uid="{00000000-0005-0000-0000-0000A0380000}"/>
    <cellStyle name="40% - Accent5 2 2 6 5" xfId="11615" xr:uid="{00000000-0005-0000-0000-0000A1380000}"/>
    <cellStyle name="40% - Accent5 2 2 6 5 2" xfId="22178" xr:uid="{00000000-0005-0000-0000-0000A2380000}"/>
    <cellStyle name="40% - Accent5 2 2 6 6" xfId="13834" xr:uid="{00000000-0005-0000-0000-0000A3380000}"/>
    <cellStyle name="40% - Accent5 2 2 6 6 2" xfId="24397" xr:uid="{00000000-0005-0000-0000-0000A4380000}"/>
    <cellStyle name="40% - Accent5 2 2 6 7" xfId="17734" xr:uid="{00000000-0005-0000-0000-0000A5380000}"/>
    <cellStyle name="40% - Accent5 2 2 7" xfId="1362" xr:uid="{00000000-0005-0000-0000-0000A6380000}"/>
    <cellStyle name="40% - Accent5 2 2 7 2" xfId="8654" xr:uid="{00000000-0005-0000-0000-0000A7380000}"/>
    <cellStyle name="40% - Accent5 2 2 7 2 2" xfId="10873" xr:uid="{00000000-0005-0000-0000-0000A8380000}"/>
    <cellStyle name="40% - Accent5 2 2 7 2 2 2" xfId="21436" xr:uid="{00000000-0005-0000-0000-0000A9380000}"/>
    <cellStyle name="40% - Accent5 2 2 7 2 3" xfId="13092" xr:uid="{00000000-0005-0000-0000-0000AA380000}"/>
    <cellStyle name="40% - Accent5 2 2 7 2 3 2" xfId="23655" xr:uid="{00000000-0005-0000-0000-0000AB380000}"/>
    <cellStyle name="40% - Accent5 2 2 7 2 4" xfId="15311" xr:uid="{00000000-0005-0000-0000-0000AC380000}"/>
    <cellStyle name="40% - Accent5 2 2 7 2 4 2" xfId="25874" xr:uid="{00000000-0005-0000-0000-0000AD380000}"/>
    <cellStyle name="40% - Accent5 2 2 7 2 5" xfId="19217" xr:uid="{00000000-0005-0000-0000-0000AE380000}"/>
    <cellStyle name="40% - Accent5 2 2 7 3" xfId="7921" xr:uid="{00000000-0005-0000-0000-0000AF380000}"/>
    <cellStyle name="40% - Accent5 2 2 7 3 2" xfId="10140" xr:uid="{00000000-0005-0000-0000-0000B0380000}"/>
    <cellStyle name="40% - Accent5 2 2 7 3 2 2" xfId="20703" xr:uid="{00000000-0005-0000-0000-0000B1380000}"/>
    <cellStyle name="40% - Accent5 2 2 7 3 3" xfId="12359" xr:uid="{00000000-0005-0000-0000-0000B2380000}"/>
    <cellStyle name="40% - Accent5 2 2 7 3 3 2" xfId="22922" xr:uid="{00000000-0005-0000-0000-0000B3380000}"/>
    <cellStyle name="40% - Accent5 2 2 7 3 4" xfId="14578" xr:uid="{00000000-0005-0000-0000-0000B4380000}"/>
    <cellStyle name="40% - Accent5 2 2 7 3 4 2" xfId="25141" xr:uid="{00000000-0005-0000-0000-0000B5380000}"/>
    <cellStyle name="40% - Accent5 2 2 7 3 5" xfId="18484" xr:uid="{00000000-0005-0000-0000-0000B6380000}"/>
    <cellStyle name="40% - Accent5 2 2 7 4" xfId="9397" xr:uid="{00000000-0005-0000-0000-0000B7380000}"/>
    <cellStyle name="40% - Accent5 2 2 7 4 2" xfId="19960" xr:uid="{00000000-0005-0000-0000-0000B8380000}"/>
    <cellStyle name="40% - Accent5 2 2 7 5" xfId="11616" xr:uid="{00000000-0005-0000-0000-0000B9380000}"/>
    <cellStyle name="40% - Accent5 2 2 7 5 2" xfId="22179" xr:uid="{00000000-0005-0000-0000-0000BA380000}"/>
    <cellStyle name="40% - Accent5 2 2 7 6" xfId="13835" xr:uid="{00000000-0005-0000-0000-0000BB380000}"/>
    <cellStyle name="40% - Accent5 2 2 7 6 2" xfId="24398" xr:uid="{00000000-0005-0000-0000-0000BC380000}"/>
    <cellStyle name="40% - Accent5 2 2 7 7" xfId="17735" xr:uid="{00000000-0005-0000-0000-0000BD380000}"/>
    <cellStyle name="40% - Accent5 2 2 8" xfId="1363" xr:uid="{00000000-0005-0000-0000-0000BE380000}"/>
    <cellStyle name="40% - Accent5 2 2 8 2" xfId="8655" xr:uid="{00000000-0005-0000-0000-0000BF380000}"/>
    <cellStyle name="40% - Accent5 2 2 8 2 2" xfId="10874" xr:uid="{00000000-0005-0000-0000-0000C0380000}"/>
    <cellStyle name="40% - Accent5 2 2 8 2 2 2" xfId="21437" xr:uid="{00000000-0005-0000-0000-0000C1380000}"/>
    <cellStyle name="40% - Accent5 2 2 8 2 3" xfId="13093" xr:uid="{00000000-0005-0000-0000-0000C2380000}"/>
    <cellStyle name="40% - Accent5 2 2 8 2 3 2" xfId="23656" xr:uid="{00000000-0005-0000-0000-0000C3380000}"/>
    <cellStyle name="40% - Accent5 2 2 8 2 4" xfId="15312" xr:uid="{00000000-0005-0000-0000-0000C4380000}"/>
    <cellStyle name="40% - Accent5 2 2 8 2 4 2" xfId="25875" xr:uid="{00000000-0005-0000-0000-0000C5380000}"/>
    <cellStyle name="40% - Accent5 2 2 8 2 5" xfId="19218" xr:uid="{00000000-0005-0000-0000-0000C6380000}"/>
    <cellStyle name="40% - Accent5 2 2 8 3" xfId="7922" xr:uid="{00000000-0005-0000-0000-0000C7380000}"/>
    <cellStyle name="40% - Accent5 2 2 8 3 2" xfId="10141" xr:uid="{00000000-0005-0000-0000-0000C8380000}"/>
    <cellStyle name="40% - Accent5 2 2 8 3 2 2" xfId="20704" xr:uid="{00000000-0005-0000-0000-0000C9380000}"/>
    <cellStyle name="40% - Accent5 2 2 8 3 3" xfId="12360" xr:uid="{00000000-0005-0000-0000-0000CA380000}"/>
    <cellStyle name="40% - Accent5 2 2 8 3 3 2" xfId="22923" xr:uid="{00000000-0005-0000-0000-0000CB380000}"/>
    <cellStyle name="40% - Accent5 2 2 8 3 4" xfId="14579" xr:uid="{00000000-0005-0000-0000-0000CC380000}"/>
    <cellStyle name="40% - Accent5 2 2 8 3 4 2" xfId="25142" xr:uid="{00000000-0005-0000-0000-0000CD380000}"/>
    <cellStyle name="40% - Accent5 2 2 8 3 5" xfId="18485" xr:uid="{00000000-0005-0000-0000-0000CE380000}"/>
    <cellStyle name="40% - Accent5 2 2 8 4" xfId="9398" xr:uid="{00000000-0005-0000-0000-0000CF380000}"/>
    <cellStyle name="40% - Accent5 2 2 8 4 2" xfId="19961" xr:uid="{00000000-0005-0000-0000-0000D0380000}"/>
    <cellStyle name="40% - Accent5 2 2 8 5" xfId="11617" xr:uid="{00000000-0005-0000-0000-0000D1380000}"/>
    <cellStyle name="40% - Accent5 2 2 8 5 2" xfId="22180" xr:uid="{00000000-0005-0000-0000-0000D2380000}"/>
    <cellStyle name="40% - Accent5 2 2 8 6" xfId="13836" xr:uid="{00000000-0005-0000-0000-0000D3380000}"/>
    <cellStyle name="40% - Accent5 2 2 8 6 2" xfId="24399" xr:uid="{00000000-0005-0000-0000-0000D4380000}"/>
    <cellStyle name="40% - Accent5 2 2 8 7" xfId="17736" xr:uid="{00000000-0005-0000-0000-0000D5380000}"/>
    <cellStyle name="40% - Accent5 2 2 9" xfId="1364" xr:uid="{00000000-0005-0000-0000-0000D6380000}"/>
    <cellStyle name="40% - Accent5 2 2 9 2" xfId="8656" xr:uid="{00000000-0005-0000-0000-0000D7380000}"/>
    <cellStyle name="40% - Accent5 2 2 9 2 2" xfId="10875" xr:uid="{00000000-0005-0000-0000-0000D8380000}"/>
    <cellStyle name="40% - Accent5 2 2 9 2 2 2" xfId="21438" xr:uid="{00000000-0005-0000-0000-0000D9380000}"/>
    <cellStyle name="40% - Accent5 2 2 9 2 3" xfId="13094" xr:uid="{00000000-0005-0000-0000-0000DA380000}"/>
    <cellStyle name="40% - Accent5 2 2 9 2 3 2" xfId="23657" xr:uid="{00000000-0005-0000-0000-0000DB380000}"/>
    <cellStyle name="40% - Accent5 2 2 9 2 4" xfId="15313" xr:uid="{00000000-0005-0000-0000-0000DC380000}"/>
    <cellStyle name="40% - Accent5 2 2 9 2 4 2" xfId="25876" xr:uid="{00000000-0005-0000-0000-0000DD380000}"/>
    <cellStyle name="40% - Accent5 2 2 9 2 5" xfId="19219" xr:uid="{00000000-0005-0000-0000-0000DE380000}"/>
    <cellStyle name="40% - Accent5 2 2 9 3" xfId="7923" xr:uid="{00000000-0005-0000-0000-0000DF380000}"/>
    <cellStyle name="40% - Accent5 2 2 9 3 2" xfId="10142" xr:uid="{00000000-0005-0000-0000-0000E0380000}"/>
    <cellStyle name="40% - Accent5 2 2 9 3 2 2" xfId="20705" xr:uid="{00000000-0005-0000-0000-0000E1380000}"/>
    <cellStyle name="40% - Accent5 2 2 9 3 3" xfId="12361" xr:uid="{00000000-0005-0000-0000-0000E2380000}"/>
    <cellStyle name="40% - Accent5 2 2 9 3 3 2" xfId="22924" xr:uid="{00000000-0005-0000-0000-0000E3380000}"/>
    <cellStyle name="40% - Accent5 2 2 9 3 4" xfId="14580" xr:uid="{00000000-0005-0000-0000-0000E4380000}"/>
    <cellStyle name="40% - Accent5 2 2 9 3 4 2" xfId="25143" xr:uid="{00000000-0005-0000-0000-0000E5380000}"/>
    <cellStyle name="40% - Accent5 2 2 9 3 5" xfId="18486" xr:uid="{00000000-0005-0000-0000-0000E6380000}"/>
    <cellStyle name="40% - Accent5 2 2 9 4" xfId="9399" xr:uid="{00000000-0005-0000-0000-0000E7380000}"/>
    <cellStyle name="40% - Accent5 2 2 9 4 2" xfId="19962" xr:uid="{00000000-0005-0000-0000-0000E8380000}"/>
    <cellStyle name="40% - Accent5 2 2 9 5" xfId="11618" xr:uid="{00000000-0005-0000-0000-0000E9380000}"/>
    <cellStyle name="40% - Accent5 2 2 9 5 2" xfId="22181" xr:uid="{00000000-0005-0000-0000-0000EA380000}"/>
    <cellStyle name="40% - Accent5 2 2 9 6" xfId="13837" xr:uid="{00000000-0005-0000-0000-0000EB380000}"/>
    <cellStyle name="40% - Accent5 2 2 9 6 2" xfId="24400" xr:uid="{00000000-0005-0000-0000-0000EC380000}"/>
    <cellStyle name="40% - Accent5 2 2 9 7" xfId="17737" xr:uid="{00000000-0005-0000-0000-0000ED380000}"/>
    <cellStyle name="40% - Accent5 2 3" xfId="1365" xr:uid="{00000000-0005-0000-0000-0000EE380000}"/>
    <cellStyle name="40% - Accent5 2 3 10" xfId="8657" xr:uid="{00000000-0005-0000-0000-0000EF380000}"/>
    <cellStyle name="40% - Accent5 2 3 10 2" xfId="10876" xr:uid="{00000000-0005-0000-0000-0000F0380000}"/>
    <cellStyle name="40% - Accent5 2 3 10 2 2" xfId="21439" xr:uid="{00000000-0005-0000-0000-0000F1380000}"/>
    <cellStyle name="40% - Accent5 2 3 10 3" xfId="13095" xr:uid="{00000000-0005-0000-0000-0000F2380000}"/>
    <cellStyle name="40% - Accent5 2 3 10 3 2" xfId="23658" xr:uid="{00000000-0005-0000-0000-0000F3380000}"/>
    <cellStyle name="40% - Accent5 2 3 10 4" xfId="15314" xr:uid="{00000000-0005-0000-0000-0000F4380000}"/>
    <cellStyle name="40% - Accent5 2 3 10 4 2" xfId="25877" xr:uid="{00000000-0005-0000-0000-0000F5380000}"/>
    <cellStyle name="40% - Accent5 2 3 10 5" xfId="19220" xr:uid="{00000000-0005-0000-0000-0000F6380000}"/>
    <cellStyle name="40% - Accent5 2 3 11" xfId="7924" xr:uid="{00000000-0005-0000-0000-0000F7380000}"/>
    <cellStyle name="40% - Accent5 2 3 11 2" xfId="10143" xr:uid="{00000000-0005-0000-0000-0000F8380000}"/>
    <cellStyle name="40% - Accent5 2 3 11 2 2" xfId="20706" xr:uid="{00000000-0005-0000-0000-0000F9380000}"/>
    <cellStyle name="40% - Accent5 2 3 11 3" xfId="12362" xr:uid="{00000000-0005-0000-0000-0000FA380000}"/>
    <cellStyle name="40% - Accent5 2 3 11 3 2" xfId="22925" xr:uid="{00000000-0005-0000-0000-0000FB380000}"/>
    <cellStyle name="40% - Accent5 2 3 11 4" xfId="14581" xr:uid="{00000000-0005-0000-0000-0000FC380000}"/>
    <cellStyle name="40% - Accent5 2 3 11 4 2" xfId="25144" xr:uid="{00000000-0005-0000-0000-0000FD380000}"/>
    <cellStyle name="40% - Accent5 2 3 11 5" xfId="18487" xr:uid="{00000000-0005-0000-0000-0000FE380000}"/>
    <cellStyle name="40% - Accent5 2 3 12" xfId="9400" xr:uid="{00000000-0005-0000-0000-0000FF380000}"/>
    <cellStyle name="40% - Accent5 2 3 12 2" xfId="19963" xr:uid="{00000000-0005-0000-0000-000000390000}"/>
    <cellStyle name="40% - Accent5 2 3 13" xfId="11619" xr:uid="{00000000-0005-0000-0000-000001390000}"/>
    <cellStyle name="40% - Accent5 2 3 13 2" xfId="22182" xr:uid="{00000000-0005-0000-0000-000002390000}"/>
    <cellStyle name="40% - Accent5 2 3 14" xfId="13838" xr:uid="{00000000-0005-0000-0000-000003390000}"/>
    <cellStyle name="40% - Accent5 2 3 14 2" xfId="24401" xr:uid="{00000000-0005-0000-0000-000004390000}"/>
    <cellStyle name="40% - Accent5 2 3 15" xfId="17738" xr:uid="{00000000-0005-0000-0000-000005390000}"/>
    <cellStyle name="40% - Accent5 2 3 2" xfId="1366" xr:uid="{00000000-0005-0000-0000-000006390000}"/>
    <cellStyle name="40% - Accent5 2 3 2 2" xfId="8658" xr:uid="{00000000-0005-0000-0000-000007390000}"/>
    <cellStyle name="40% - Accent5 2 3 2 2 2" xfId="10877" xr:uid="{00000000-0005-0000-0000-000008390000}"/>
    <cellStyle name="40% - Accent5 2 3 2 2 2 2" xfId="21440" xr:uid="{00000000-0005-0000-0000-000009390000}"/>
    <cellStyle name="40% - Accent5 2 3 2 2 3" xfId="13096" xr:uid="{00000000-0005-0000-0000-00000A390000}"/>
    <cellStyle name="40% - Accent5 2 3 2 2 3 2" xfId="23659" xr:uid="{00000000-0005-0000-0000-00000B390000}"/>
    <cellStyle name="40% - Accent5 2 3 2 2 4" xfId="15315" xr:uid="{00000000-0005-0000-0000-00000C390000}"/>
    <cellStyle name="40% - Accent5 2 3 2 2 4 2" xfId="25878" xr:uid="{00000000-0005-0000-0000-00000D390000}"/>
    <cellStyle name="40% - Accent5 2 3 2 2 5" xfId="19221" xr:uid="{00000000-0005-0000-0000-00000E390000}"/>
    <cellStyle name="40% - Accent5 2 3 2 3" xfId="7925" xr:uid="{00000000-0005-0000-0000-00000F390000}"/>
    <cellStyle name="40% - Accent5 2 3 2 3 2" xfId="10144" xr:uid="{00000000-0005-0000-0000-000010390000}"/>
    <cellStyle name="40% - Accent5 2 3 2 3 2 2" xfId="20707" xr:uid="{00000000-0005-0000-0000-000011390000}"/>
    <cellStyle name="40% - Accent5 2 3 2 3 3" xfId="12363" xr:uid="{00000000-0005-0000-0000-000012390000}"/>
    <cellStyle name="40% - Accent5 2 3 2 3 3 2" xfId="22926" xr:uid="{00000000-0005-0000-0000-000013390000}"/>
    <cellStyle name="40% - Accent5 2 3 2 3 4" xfId="14582" xr:uid="{00000000-0005-0000-0000-000014390000}"/>
    <cellStyle name="40% - Accent5 2 3 2 3 4 2" xfId="25145" xr:uid="{00000000-0005-0000-0000-000015390000}"/>
    <cellStyle name="40% - Accent5 2 3 2 3 5" xfId="18488" xr:uid="{00000000-0005-0000-0000-000016390000}"/>
    <cellStyle name="40% - Accent5 2 3 2 4" xfId="9401" xr:uid="{00000000-0005-0000-0000-000017390000}"/>
    <cellStyle name="40% - Accent5 2 3 2 4 2" xfId="19964" xr:uid="{00000000-0005-0000-0000-000018390000}"/>
    <cellStyle name="40% - Accent5 2 3 2 5" xfId="11620" xr:uid="{00000000-0005-0000-0000-000019390000}"/>
    <cellStyle name="40% - Accent5 2 3 2 5 2" xfId="22183" xr:uid="{00000000-0005-0000-0000-00001A390000}"/>
    <cellStyle name="40% - Accent5 2 3 2 6" xfId="13839" xr:uid="{00000000-0005-0000-0000-00001B390000}"/>
    <cellStyle name="40% - Accent5 2 3 2 6 2" xfId="24402" xr:uid="{00000000-0005-0000-0000-00001C390000}"/>
    <cellStyle name="40% - Accent5 2 3 2 7" xfId="17739" xr:uid="{00000000-0005-0000-0000-00001D390000}"/>
    <cellStyle name="40% - Accent5 2 3 3" xfId="1367" xr:uid="{00000000-0005-0000-0000-00001E390000}"/>
    <cellStyle name="40% - Accent5 2 3 3 2" xfId="8659" xr:uid="{00000000-0005-0000-0000-00001F390000}"/>
    <cellStyle name="40% - Accent5 2 3 3 2 2" xfId="10878" xr:uid="{00000000-0005-0000-0000-000020390000}"/>
    <cellStyle name="40% - Accent5 2 3 3 2 2 2" xfId="21441" xr:uid="{00000000-0005-0000-0000-000021390000}"/>
    <cellStyle name="40% - Accent5 2 3 3 2 3" xfId="13097" xr:uid="{00000000-0005-0000-0000-000022390000}"/>
    <cellStyle name="40% - Accent5 2 3 3 2 3 2" xfId="23660" xr:uid="{00000000-0005-0000-0000-000023390000}"/>
    <cellStyle name="40% - Accent5 2 3 3 2 4" xfId="15316" xr:uid="{00000000-0005-0000-0000-000024390000}"/>
    <cellStyle name="40% - Accent5 2 3 3 2 4 2" xfId="25879" xr:uid="{00000000-0005-0000-0000-000025390000}"/>
    <cellStyle name="40% - Accent5 2 3 3 2 5" xfId="19222" xr:uid="{00000000-0005-0000-0000-000026390000}"/>
    <cellStyle name="40% - Accent5 2 3 3 3" xfId="7926" xr:uid="{00000000-0005-0000-0000-000027390000}"/>
    <cellStyle name="40% - Accent5 2 3 3 3 2" xfId="10145" xr:uid="{00000000-0005-0000-0000-000028390000}"/>
    <cellStyle name="40% - Accent5 2 3 3 3 2 2" xfId="20708" xr:uid="{00000000-0005-0000-0000-000029390000}"/>
    <cellStyle name="40% - Accent5 2 3 3 3 3" xfId="12364" xr:uid="{00000000-0005-0000-0000-00002A390000}"/>
    <cellStyle name="40% - Accent5 2 3 3 3 3 2" xfId="22927" xr:uid="{00000000-0005-0000-0000-00002B390000}"/>
    <cellStyle name="40% - Accent5 2 3 3 3 4" xfId="14583" xr:uid="{00000000-0005-0000-0000-00002C390000}"/>
    <cellStyle name="40% - Accent5 2 3 3 3 4 2" xfId="25146" xr:uid="{00000000-0005-0000-0000-00002D390000}"/>
    <cellStyle name="40% - Accent5 2 3 3 3 5" xfId="18489" xr:uid="{00000000-0005-0000-0000-00002E390000}"/>
    <cellStyle name="40% - Accent5 2 3 3 4" xfId="9402" xr:uid="{00000000-0005-0000-0000-00002F390000}"/>
    <cellStyle name="40% - Accent5 2 3 3 4 2" xfId="19965" xr:uid="{00000000-0005-0000-0000-000030390000}"/>
    <cellStyle name="40% - Accent5 2 3 3 5" xfId="11621" xr:uid="{00000000-0005-0000-0000-000031390000}"/>
    <cellStyle name="40% - Accent5 2 3 3 5 2" xfId="22184" xr:uid="{00000000-0005-0000-0000-000032390000}"/>
    <cellStyle name="40% - Accent5 2 3 3 6" xfId="13840" xr:uid="{00000000-0005-0000-0000-000033390000}"/>
    <cellStyle name="40% - Accent5 2 3 3 6 2" xfId="24403" xr:uid="{00000000-0005-0000-0000-000034390000}"/>
    <cellStyle name="40% - Accent5 2 3 3 7" xfId="17740" xr:uid="{00000000-0005-0000-0000-000035390000}"/>
    <cellStyle name="40% - Accent5 2 3 4" xfId="1368" xr:uid="{00000000-0005-0000-0000-000036390000}"/>
    <cellStyle name="40% - Accent5 2 3 4 2" xfId="8660" xr:uid="{00000000-0005-0000-0000-000037390000}"/>
    <cellStyle name="40% - Accent5 2 3 4 2 2" xfId="10879" xr:uid="{00000000-0005-0000-0000-000038390000}"/>
    <cellStyle name="40% - Accent5 2 3 4 2 2 2" xfId="21442" xr:uid="{00000000-0005-0000-0000-000039390000}"/>
    <cellStyle name="40% - Accent5 2 3 4 2 3" xfId="13098" xr:uid="{00000000-0005-0000-0000-00003A390000}"/>
    <cellStyle name="40% - Accent5 2 3 4 2 3 2" xfId="23661" xr:uid="{00000000-0005-0000-0000-00003B390000}"/>
    <cellStyle name="40% - Accent5 2 3 4 2 4" xfId="15317" xr:uid="{00000000-0005-0000-0000-00003C390000}"/>
    <cellStyle name="40% - Accent5 2 3 4 2 4 2" xfId="25880" xr:uid="{00000000-0005-0000-0000-00003D390000}"/>
    <cellStyle name="40% - Accent5 2 3 4 2 5" xfId="19223" xr:uid="{00000000-0005-0000-0000-00003E390000}"/>
    <cellStyle name="40% - Accent5 2 3 4 3" xfId="7927" xr:uid="{00000000-0005-0000-0000-00003F390000}"/>
    <cellStyle name="40% - Accent5 2 3 4 3 2" xfId="10146" xr:uid="{00000000-0005-0000-0000-000040390000}"/>
    <cellStyle name="40% - Accent5 2 3 4 3 2 2" xfId="20709" xr:uid="{00000000-0005-0000-0000-000041390000}"/>
    <cellStyle name="40% - Accent5 2 3 4 3 3" xfId="12365" xr:uid="{00000000-0005-0000-0000-000042390000}"/>
    <cellStyle name="40% - Accent5 2 3 4 3 3 2" xfId="22928" xr:uid="{00000000-0005-0000-0000-000043390000}"/>
    <cellStyle name="40% - Accent5 2 3 4 3 4" xfId="14584" xr:uid="{00000000-0005-0000-0000-000044390000}"/>
    <cellStyle name="40% - Accent5 2 3 4 3 4 2" xfId="25147" xr:uid="{00000000-0005-0000-0000-000045390000}"/>
    <cellStyle name="40% - Accent5 2 3 4 3 5" xfId="18490" xr:uid="{00000000-0005-0000-0000-000046390000}"/>
    <cellStyle name="40% - Accent5 2 3 4 4" xfId="9403" xr:uid="{00000000-0005-0000-0000-000047390000}"/>
    <cellStyle name="40% - Accent5 2 3 4 4 2" xfId="19966" xr:uid="{00000000-0005-0000-0000-000048390000}"/>
    <cellStyle name="40% - Accent5 2 3 4 5" xfId="11622" xr:uid="{00000000-0005-0000-0000-000049390000}"/>
    <cellStyle name="40% - Accent5 2 3 4 5 2" xfId="22185" xr:uid="{00000000-0005-0000-0000-00004A390000}"/>
    <cellStyle name="40% - Accent5 2 3 4 6" xfId="13841" xr:uid="{00000000-0005-0000-0000-00004B390000}"/>
    <cellStyle name="40% - Accent5 2 3 4 6 2" xfId="24404" xr:uid="{00000000-0005-0000-0000-00004C390000}"/>
    <cellStyle name="40% - Accent5 2 3 4 7" xfId="17741" xr:uid="{00000000-0005-0000-0000-00004D390000}"/>
    <cellStyle name="40% - Accent5 2 3 5" xfId="1369" xr:uid="{00000000-0005-0000-0000-00004E390000}"/>
    <cellStyle name="40% - Accent5 2 3 5 2" xfId="8661" xr:uid="{00000000-0005-0000-0000-00004F390000}"/>
    <cellStyle name="40% - Accent5 2 3 5 2 2" xfId="10880" xr:uid="{00000000-0005-0000-0000-000050390000}"/>
    <cellStyle name="40% - Accent5 2 3 5 2 2 2" xfId="21443" xr:uid="{00000000-0005-0000-0000-000051390000}"/>
    <cellStyle name="40% - Accent5 2 3 5 2 3" xfId="13099" xr:uid="{00000000-0005-0000-0000-000052390000}"/>
    <cellStyle name="40% - Accent5 2 3 5 2 3 2" xfId="23662" xr:uid="{00000000-0005-0000-0000-000053390000}"/>
    <cellStyle name="40% - Accent5 2 3 5 2 4" xfId="15318" xr:uid="{00000000-0005-0000-0000-000054390000}"/>
    <cellStyle name="40% - Accent5 2 3 5 2 4 2" xfId="25881" xr:uid="{00000000-0005-0000-0000-000055390000}"/>
    <cellStyle name="40% - Accent5 2 3 5 2 5" xfId="19224" xr:uid="{00000000-0005-0000-0000-000056390000}"/>
    <cellStyle name="40% - Accent5 2 3 5 3" xfId="7928" xr:uid="{00000000-0005-0000-0000-000057390000}"/>
    <cellStyle name="40% - Accent5 2 3 5 3 2" xfId="10147" xr:uid="{00000000-0005-0000-0000-000058390000}"/>
    <cellStyle name="40% - Accent5 2 3 5 3 2 2" xfId="20710" xr:uid="{00000000-0005-0000-0000-000059390000}"/>
    <cellStyle name="40% - Accent5 2 3 5 3 3" xfId="12366" xr:uid="{00000000-0005-0000-0000-00005A390000}"/>
    <cellStyle name="40% - Accent5 2 3 5 3 3 2" xfId="22929" xr:uid="{00000000-0005-0000-0000-00005B390000}"/>
    <cellStyle name="40% - Accent5 2 3 5 3 4" xfId="14585" xr:uid="{00000000-0005-0000-0000-00005C390000}"/>
    <cellStyle name="40% - Accent5 2 3 5 3 4 2" xfId="25148" xr:uid="{00000000-0005-0000-0000-00005D390000}"/>
    <cellStyle name="40% - Accent5 2 3 5 3 5" xfId="18491" xr:uid="{00000000-0005-0000-0000-00005E390000}"/>
    <cellStyle name="40% - Accent5 2 3 5 4" xfId="9404" xr:uid="{00000000-0005-0000-0000-00005F390000}"/>
    <cellStyle name="40% - Accent5 2 3 5 4 2" xfId="19967" xr:uid="{00000000-0005-0000-0000-000060390000}"/>
    <cellStyle name="40% - Accent5 2 3 5 5" xfId="11623" xr:uid="{00000000-0005-0000-0000-000061390000}"/>
    <cellStyle name="40% - Accent5 2 3 5 5 2" xfId="22186" xr:uid="{00000000-0005-0000-0000-000062390000}"/>
    <cellStyle name="40% - Accent5 2 3 5 6" xfId="13842" xr:uid="{00000000-0005-0000-0000-000063390000}"/>
    <cellStyle name="40% - Accent5 2 3 5 6 2" xfId="24405" xr:uid="{00000000-0005-0000-0000-000064390000}"/>
    <cellStyle name="40% - Accent5 2 3 5 7" xfId="17742" xr:uid="{00000000-0005-0000-0000-000065390000}"/>
    <cellStyle name="40% - Accent5 2 3 6" xfId="1370" xr:uid="{00000000-0005-0000-0000-000066390000}"/>
    <cellStyle name="40% - Accent5 2 3 6 2" xfId="8662" xr:uid="{00000000-0005-0000-0000-000067390000}"/>
    <cellStyle name="40% - Accent5 2 3 6 2 2" xfId="10881" xr:uid="{00000000-0005-0000-0000-000068390000}"/>
    <cellStyle name="40% - Accent5 2 3 6 2 2 2" xfId="21444" xr:uid="{00000000-0005-0000-0000-000069390000}"/>
    <cellStyle name="40% - Accent5 2 3 6 2 3" xfId="13100" xr:uid="{00000000-0005-0000-0000-00006A390000}"/>
    <cellStyle name="40% - Accent5 2 3 6 2 3 2" xfId="23663" xr:uid="{00000000-0005-0000-0000-00006B390000}"/>
    <cellStyle name="40% - Accent5 2 3 6 2 4" xfId="15319" xr:uid="{00000000-0005-0000-0000-00006C390000}"/>
    <cellStyle name="40% - Accent5 2 3 6 2 4 2" xfId="25882" xr:uid="{00000000-0005-0000-0000-00006D390000}"/>
    <cellStyle name="40% - Accent5 2 3 6 2 5" xfId="19225" xr:uid="{00000000-0005-0000-0000-00006E390000}"/>
    <cellStyle name="40% - Accent5 2 3 6 3" xfId="7929" xr:uid="{00000000-0005-0000-0000-00006F390000}"/>
    <cellStyle name="40% - Accent5 2 3 6 3 2" xfId="10148" xr:uid="{00000000-0005-0000-0000-000070390000}"/>
    <cellStyle name="40% - Accent5 2 3 6 3 2 2" xfId="20711" xr:uid="{00000000-0005-0000-0000-000071390000}"/>
    <cellStyle name="40% - Accent5 2 3 6 3 3" xfId="12367" xr:uid="{00000000-0005-0000-0000-000072390000}"/>
    <cellStyle name="40% - Accent5 2 3 6 3 3 2" xfId="22930" xr:uid="{00000000-0005-0000-0000-000073390000}"/>
    <cellStyle name="40% - Accent5 2 3 6 3 4" xfId="14586" xr:uid="{00000000-0005-0000-0000-000074390000}"/>
    <cellStyle name="40% - Accent5 2 3 6 3 4 2" xfId="25149" xr:uid="{00000000-0005-0000-0000-000075390000}"/>
    <cellStyle name="40% - Accent5 2 3 6 3 5" xfId="18492" xr:uid="{00000000-0005-0000-0000-000076390000}"/>
    <cellStyle name="40% - Accent5 2 3 6 4" xfId="9405" xr:uid="{00000000-0005-0000-0000-000077390000}"/>
    <cellStyle name="40% - Accent5 2 3 6 4 2" xfId="19968" xr:uid="{00000000-0005-0000-0000-000078390000}"/>
    <cellStyle name="40% - Accent5 2 3 6 5" xfId="11624" xr:uid="{00000000-0005-0000-0000-000079390000}"/>
    <cellStyle name="40% - Accent5 2 3 6 5 2" xfId="22187" xr:uid="{00000000-0005-0000-0000-00007A390000}"/>
    <cellStyle name="40% - Accent5 2 3 6 6" xfId="13843" xr:uid="{00000000-0005-0000-0000-00007B390000}"/>
    <cellStyle name="40% - Accent5 2 3 6 6 2" xfId="24406" xr:uid="{00000000-0005-0000-0000-00007C390000}"/>
    <cellStyle name="40% - Accent5 2 3 6 7" xfId="17743" xr:uid="{00000000-0005-0000-0000-00007D390000}"/>
    <cellStyle name="40% - Accent5 2 3 7" xfId="1371" xr:uid="{00000000-0005-0000-0000-00007E390000}"/>
    <cellStyle name="40% - Accent5 2 3 7 2" xfId="8663" xr:uid="{00000000-0005-0000-0000-00007F390000}"/>
    <cellStyle name="40% - Accent5 2 3 7 2 2" xfId="10882" xr:uid="{00000000-0005-0000-0000-000080390000}"/>
    <cellStyle name="40% - Accent5 2 3 7 2 2 2" xfId="21445" xr:uid="{00000000-0005-0000-0000-000081390000}"/>
    <cellStyle name="40% - Accent5 2 3 7 2 3" xfId="13101" xr:uid="{00000000-0005-0000-0000-000082390000}"/>
    <cellStyle name="40% - Accent5 2 3 7 2 3 2" xfId="23664" xr:uid="{00000000-0005-0000-0000-000083390000}"/>
    <cellStyle name="40% - Accent5 2 3 7 2 4" xfId="15320" xr:uid="{00000000-0005-0000-0000-000084390000}"/>
    <cellStyle name="40% - Accent5 2 3 7 2 4 2" xfId="25883" xr:uid="{00000000-0005-0000-0000-000085390000}"/>
    <cellStyle name="40% - Accent5 2 3 7 2 5" xfId="19226" xr:uid="{00000000-0005-0000-0000-000086390000}"/>
    <cellStyle name="40% - Accent5 2 3 7 3" xfId="7930" xr:uid="{00000000-0005-0000-0000-000087390000}"/>
    <cellStyle name="40% - Accent5 2 3 7 3 2" xfId="10149" xr:uid="{00000000-0005-0000-0000-000088390000}"/>
    <cellStyle name="40% - Accent5 2 3 7 3 2 2" xfId="20712" xr:uid="{00000000-0005-0000-0000-000089390000}"/>
    <cellStyle name="40% - Accent5 2 3 7 3 3" xfId="12368" xr:uid="{00000000-0005-0000-0000-00008A390000}"/>
    <cellStyle name="40% - Accent5 2 3 7 3 3 2" xfId="22931" xr:uid="{00000000-0005-0000-0000-00008B390000}"/>
    <cellStyle name="40% - Accent5 2 3 7 3 4" xfId="14587" xr:uid="{00000000-0005-0000-0000-00008C390000}"/>
    <cellStyle name="40% - Accent5 2 3 7 3 4 2" xfId="25150" xr:uid="{00000000-0005-0000-0000-00008D390000}"/>
    <cellStyle name="40% - Accent5 2 3 7 3 5" xfId="18493" xr:uid="{00000000-0005-0000-0000-00008E390000}"/>
    <cellStyle name="40% - Accent5 2 3 7 4" xfId="9406" xr:uid="{00000000-0005-0000-0000-00008F390000}"/>
    <cellStyle name="40% - Accent5 2 3 7 4 2" xfId="19969" xr:uid="{00000000-0005-0000-0000-000090390000}"/>
    <cellStyle name="40% - Accent5 2 3 7 5" xfId="11625" xr:uid="{00000000-0005-0000-0000-000091390000}"/>
    <cellStyle name="40% - Accent5 2 3 7 5 2" xfId="22188" xr:uid="{00000000-0005-0000-0000-000092390000}"/>
    <cellStyle name="40% - Accent5 2 3 7 6" xfId="13844" xr:uid="{00000000-0005-0000-0000-000093390000}"/>
    <cellStyle name="40% - Accent5 2 3 7 6 2" xfId="24407" xr:uid="{00000000-0005-0000-0000-000094390000}"/>
    <cellStyle name="40% - Accent5 2 3 7 7" xfId="17744" xr:uid="{00000000-0005-0000-0000-000095390000}"/>
    <cellStyle name="40% - Accent5 2 3 8" xfId="1372" xr:uid="{00000000-0005-0000-0000-000096390000}"/>
    <cellStyle name="40% - Accent5 2 3 8 2" xfId="8664" xr:uid="{00000000-0005-0000-0000-000097390000}"/>
    <cellStyle name="40% - Accent5 2 3 8 2 2" xfId="10883" xr:uid="{00000000-0005-0000-0000-000098390000}"/>
    <cellStyle name="40% - Accent5 2 3 8 2 2 2" xfId="21446" xr:uid="{00000000-0005-0000-0000-000099390000}"/>
    <cellStyle name="40% - Accent5 2 3 8 2 3" xfId="13102" xr:uid="{00000000-0005-0000-0000-00009A390000}"/>
    <cellStyle name="40% - Accent5 2 3 8 2 3 2" xfId="23665" xr:uid="{00000000-0005-0000-0000-00009B390000}"/>
    <cellStyle name="40% - Accent5 2 3 8 2 4" xfId="15321" xr:uid="{00000000-0005-0000-0000-00009C390000}"/>
    <cellStyle name="40% - Accent5 2 3 8 2 4 2" xfId="25884" xr:uid="{00000000-0005-0000-0000-00009D390000}"/>
    <cellStyle name="40% - Accent5 2 3 8 2 5" xfId="19227" xr:uid="{00000000-0005-0000-0000-00009E390000}"/>
    <cellStyle name="40% - Accent5 2 3 8 3" xfId="7931" xr:uid="{00000000-0005-0000-0000-00009F390000}"/>
    <cellStyle name="40% - Accent5 2 3 8 3 2" xfId="10150" xr:uid="{00000000-0005-0000-0000-0000A0390000}"/>
    <cellStyle name="40% - Accent5 2 3 8 3 2 2" xfId="20713" xr:uid="{00000000-0005-0000-0000-0000A1390000}"/>
    <cellStyle name="40% - Accent5 2 3 8 3 3" xfId="12369" xr:uid="{00000000-0005-0000-0000-0000A2390000}"/>
    <cellStyle name="40% - Accent5 2 3 8 3 3 2" xfId="22932" xr:uid="{00000000-0005-0000-0000-0000A3390000}"/>
    <cellStyle name="40% - Accent5 2 3 8 3 4" xfId="14588" xr:uid="{00000000-0005-0000-0000-0000A4390000}"/>
    <cellStyle name="40% - Accent5 2 3 8 3 4 2" xfId="25151" xr:uid="{00000000-0005-0000-0000-0000A5390000}"/>
    <cellStyle name="40% - Accent5 2 3 8 3 5" xfId="18494" xr:uid="{00000000-0005-0000-0000-0000A6390000}"/>
    <cellStyle name="40% - Accent5 2 3 8 4" xfId="9407" xr:uid="{00000000-0005-0000-0000-0000A7390000}"/>
    <cellStyle name="40% - Accent5 2 3 8 4 2" xfId="19970" xr:uid="{00000000-0005-0000-0000-0000A8390000}"/>
    <cellStyle name="40% - Accent5 2 3 8 5" xfId="11626" xr:uid="{00000000-0005-0000-0000-0000A9390000}"/>
    <cellStyle name="40% - Accent5 2 3 8 5 2" xfId="22189" xr:uid="{00000000-0005-0000-0000-0000AA390000}"/>
    <cellStyle name="40% - Accent5 2 3 8 6" xfId="13845" xr:uid="{00000000-0005-0000-0000-0000AB390000}"/>
    <cellStyle name="40% - Accent5 2 3 8 6 2" xfId="24408" xr:uid="{00000000-0005-0000-0000-0000AC390000}"/>
    <cellStyle name="40% - Accent5 2 3 8 7" xfId="17745" xr:uid="{00000000-0005-0000-0000-0000AD390000}"/>
    <cellStyle name="40% - Accent5 2 3 9" xfId="1373" xr:uid="{00000000-0005-0000-0000-0000AE390000}"/>
    <cellStyle name="40% - Accent5 2 3 9 2" xfId="8665" xr:uid="{00000000-0005-0000-0000-0000AF390000}"/>
    <cellStyle name="40% - Accent5 2 3 9 2 2" xfId="10884" xr:uid="{00000000-0005-0000-0000-0000B0390000}"/>
    <cellStyle name="40% - Accent5 2 3 9 2 2 2" xfId="21447" xr:uid="{00000000-0005-0000-0000-0000B1390000}"/>
    <cellStyle name="40% - Accent5 2 3 9 2 3" xfId="13103" xr:uid="{00000000-0005-0000-0000-0000B2390000}"/>
    <cellStyle name="40% - Accent5 2 3 9 2 3 2" xfId="23666" xr:uid="{00000000-0005-0000-0000-0000B3390000}"/>
    <cellStyle name="40% - Accent5 2 3 9 2 4" xfId="15322" xr:uid="{00000000-0005-0000-0000-0000B4390000}"/>
    <cellStyle name="40% - Accent5 2 3 9 2 4 2" xfId="25885" xr:uid="{00000000-0005-0000-0000-0000B5390000}"/>
    <cellStyle name="40% - Accent5 2 3 9 2 5" xfId="19228" xr:uid="{00000000-0005-0000-0000-0000B6390000}"/>
    <cellStyle name="40% - Accent5 2 3 9 3" xfId="7932" xr:uid="{00000000-0005-0000-0000-0000B7390000}"/>
    <cellStyle name="40% - Accent5 2 3 9 3 2" xfId="10151" xr:uid="{00000000-0005-0000-0000-0000B8390000}"/>
    <cellStyle name="40% - Accent5 2 3 9 3 2 2" xfId="20714" xr:uid="{00000000-0005-0000-0000-0000B9390000}"/>
    <cellStyle name="40% - Accent5 2 3 9 3 3" xfId="12370" xr:uid="{00000000-0005-0000-0000-0000BA390000}"/>
    <cellStyle name="40% - Accent5 2 3 9 3 3 2" xfId="22933" xr:uid="{00000000-0005-0000-0000-0000BB390000}"/>
    <cellStyle name="40% - Accent5 2 3 9 3 4" xfId="14589" xr:uid="{00000000-0005-0000-0000-0000BC390000}"/>
    <cellStyle name="40% - Accent5 2 3 9 3 4 2" xfId="25152" xr:uid="{00000000-0005-0000-0000-0000BD390000}"/>
    <cellStyle name="40% - Accent5 2 3 9 3 5" xfId="18495" xr:uid="{00000000-0005-0000-0000-0000BE390000}"/>
    <cellStyle name="40% - Accent5 2 3 9 4" xfId="9408" xr:uid="{00000000-0005-0000-0000-0000BF390000}"/>
    <cellStyle name="40% - Accent5 2 3 9 4 2" xfId="19971" xr:uid="{00000000-0005-0000-0000-0000C0390000}"/>
    <cellStyle name="40% - Accent5 2 3 9 5" xfId="11627" xr:uid="{00000000-0005-0000-0000-0000C1390000}"/>
    <cellStyle name="40% - Accent5 2 3 9 5 2" xfId="22190" xr:uid="{00000000-0005-0000-0000-0000C2390000}"/>
    <cellStyle name="40% - Accent5 2 3 9 6" xfId="13846" xr:uid="{00000000-0005-0000-0000-0000C3390000}"/>
    <cellStyle name="40% - Accent5 2 3 9 6 2" xfId="24409" xr:uid="{00000000-0005-0000-0000-0000C4390000}"/>
    <cellStyle name="40% - Accent5 2 3 9 7" xfId="17746" xr:uid="{00000000-0005-0000-0000-0000C5390000}"/>
    <cellStyle name="40% - Accent5 2 4" xfId="1374" xr:uid="{00000000-0005-0000-0000-0000C6390000}"/>
    <cellStyle name="40% - Accent5 2 4 10" xfId="8666" xr:uid="{00000000-0005-0000-0000-0000C7390000}"/>
    <cellStyle name="40% - Accent5 2 4 10 2" xfId="10885" xr:uid="{00000000-0005-0000-0000-0000C8390000}"/>
    <cellStyle name="40% - Accent5 2 4 10 2 2" xfId="21448" xr:uid="{00000000-0005-0000-0000-0000C9390000}"/>
    <cellStyle name="40% - Accent5 2 4 10 3" xfId="13104" xr:uid="{00000000-0005-0000-0000-0000CA390000}"/>
    <cellStyle name="40% - Accent5 2 4 10 3 2" xfId="23667" xr:uid="{00000000-0005-0000-0000-0000CB390000}"/>
    <cellStyle name="40% - Accent5 2 4 10 4" xfId="15323" xr:uid="{00000000-0005-0000-0000-0000CC390000}"/>
    <cellStyle name="40% - Accent5 2 4 10 4 2" xfId="25886" xr:uid="{00000000-0005-0000-0000-0000CD390000}"/>
    <cellStyle name="40% - Accent5 2 4 10 5" xfId="19229" xr:uid="{00000000-0005-0000-0000-0000CE390000}"/>
    <cellStyle name="40% - Accent5 2 4 11" xfId="7933" xr:uid="{00000000-0005-0000-0000-0000CF390000}"/>
    <cellStyle name="40% - Accent5 2 4 11 2" xfId="10152" xr:uid="{00000000-0005-0000-0000-0000D0390000}"/>
    <cellStyle name="40% - Accent5 2 4 11 2 2" xfId="20715" xr:uid="{00000000-0005-0000-0000-0000D1390000}"/>
    <cellStyle name="40% - Accent5 2 4 11 3" xfId="12371" xr:uid="{00000000-0005-0000-0000-0000D2390000}"/>
    <cellStyle name="40% - Accent5 2 4 11 3 2" xfId="22934" xr:uid="{00000000-0005-0000-0000-0000D3390000}"/>
    <cellStyle name="40% - Accent5 2 4 11 4" xfId="14590" xr:uid="{00000000-0005-0000-0000-0000D4390000}"/>
    <cellStyle name="40% - Accent5 2 4 11 4 2" xfId="25153" xr:uid="{00000000-0005-0000-0000-0000D5390000}"/>
    <cellStyle name="40% - Accent5 2 4 11 5" xfId="18496" xr:uid="{00000000-0005-0000-0000-0000D6390000}"/>
    <cellStyle name="40% - Accent5 2 4 12" xfId="9409" xr:uid="{00000000-0005-0000-0000-0000D7390000}"/>
    <cellStyle name="40% - Accent5 2 4 12 2" xfId="19972" xr:uid="{00000000-0005-0000-0000-0000D8390000}"/>
    <cellStyle name="40% - Accent5 2 4 13" xfId="11628" xr:uid="{00000000-0005-0000-0000-0000D9390000}"/>
    <cellStyle name="40% - Accent5 2 4 13 2" xfId="22191" xr:uid="{00000000-0005-0000-0000-0000DA390000}"/>
    <cellStyle name="40% - Accent5 2 4 14" xfId="13847" xr:uid="{00000000-0005-0000-0000-0000DB390000}"/>
    <cellStyle name="40% - Accent5 2 4 14 2" xfId="24410" xr:uid="{00000000-0005-0000-0000-0000DC390000}"/>
    <cellStyle name="40% - Accent5 2 4 15" xfId="17747" xr:uid="{00000000-0005-0000-0000-0000DD390000}"/>
    <cellStyle name="40% - Accent5 2 4 2" xfId="1375" xr:uid="{00000000-0005-0000-0000-0000DE390000}"/>
    <cellStyle name="40% - Accent5 2 4 2 2" xfId="8667" xr:uid="{00000000-0005-0000-0000-0000DF390000}"/>
    <cellStyle name="40% - Accent5 2 4 2 2 2" xfId="10886" xr:uid="{00000000-0005-0000-0000-0000E0390000}"/>
    <cellStyle name="40% - Accent5 2 4 2 2 2 2" xfId="21449" xr:uid="{00000000-0005-0000-0000-0000E1390000}"/>
    <cellStyle name="40% - Accent5 2 4 2 2 3" xfId="13105" xr:uid="{00000000-0005-0000-0000-0000E2390000}"/>
    <cellStyle name="40% - Accent5 2 4 2 2 3 2" xfId="23668" xr:uid="{00000000-0005-0000-0000-0000E3390000}"/>
    <cellStyle name="40% - Accent5 2 4 2 2 4" xfId="15324" xr:uid="{00000000-0005-0000-0000-0000E4390000}"/>
    <cellStyle name="40% - Accent5 2 4 2 2 4 2" xfId="25887" xr:uid="{00000000-0005-0000-0000-0000E5390000}"/>
    <cellStyle name="40% - Accent5 2 4 2 2 5" xfId="19230" xr:uid="{00000000-0005-0000-0000-0000E6390000}"/>
    <cellStyle name="40% - Accent5 2 4 2 3" xfId="7934" xr:uid="{00000000-0005-0000-0000-0000E7390000}"/>
    <cellStyle name="40% - Accent5 2 4 2 3 2" xfId="10153" xr:uid="{00000000-0005-0000-0000-0000E8390000}"/>
    <cellStyle name="40% - Accent5 2 4 2 3 2 2" xfId="20716" xr:uid="{00000000-0005-0000-0000-0000E9390000}"/>
    <cellStyle name="40% - Accent5 2 4 2 3 3" xfId="12372" xr:uid="{00000000-0005-0000-0000-0000EA390000}"/>
    <cellStyle name="40% - Accent5 2 4 2 3 3 2" xfId="22935" xr:uid="{00000000-0005-0000-0000-0000EB390000}"/>
    <cellStyle name="40% - Accent5 2 4 2 3 4" xfId="14591" xr:uid="{00000000-0005-0000-0000-0000EC390000}"/>
    <cellStyle name="40% - Accent5 2 4 2 3 4 2" xfId="25154" xr:uid="{00000000-0005-0000-0000-0000ED390000}"/>
    <cellStyle name="40% - Accent5 2 4 2 3 5" xfId="18497" xr:uid="{00000000-0005-0000-0000-0000EE390000}"/>
    <cellStyle name="40% - Accent5 2 4 2 4" xfId="9410" xr:uid="{00000000-0005-0000-0000-0000EF390000}"/>
    <cellStyle name="40% - Accent5 2 4 2 4 2" xfId="19973" xr:uid="{00000000-0005-0000-0000-0000F0390000}"/>
    <cellStyle name="40% - Accent5 2 4 2 5" xfId="11629" xr:uid="{00000000-0005-0000-0000-0000F1390000}"/>
    <cellStyle name="40% - Accent5 2 4 2 5 2" xfId="22192" xr:uid="{00000000-0005-0000-0000-0000F2390000}"/>
    <cellStyle name="40% - Accent5 2 4 2 6" xfId="13848" xr:uid="{00000000-0005-0000-0000-0000F3390000}"/>
    <cellStyle name="40% - Accent5 2 4 2 6 2" xfId="24411" xr:uid="{00000000-0005-0000-0000-0000F4390000}"/>
    <cellStyle name="40% - Accent5 2 4 2 7" xfId="17748" xr:uid="{00000000-0005-0000-0000-0000F5390000}"/>
    <cellStyle name="40% - Accent5 2 4 3" xfId="1376" xr:uid="{00000000-0005-0000-0000-0000F6390000}"/>
    <cellStyle name="40% - Accent5 2 4 3 2" xfId="8668" xr:uid="{00000000-0005-0000-0000-0000F7390000}"/>
    <cellStyle name="40% - Accent5 2 4 3 2 2" xfId="10887" xr:uid="{00000000-0005-0000-0000-0000F8390000}"/>
    <cellStyle name="40% - Accent5 2 4 3 2 2 2" xfId="21450" xr:uid="{00000000-0005-0000-0000-0000F9390000}"/>
    <cellStyle name="40% - Accent5 2 4 3 2 3" xfId="13106" xr:uid="{00000000-0005-0000-0000-0000FA390000}"/>
    <cellStyle name="40% - Accent5 2 4 3 2 3 2" xfId="23669" xr:uid="{00000000-0005-0000-0000-0000FB390000}"/>
    <cellStyle name="40% - Accent5 2 4 3 2 4" xfId="15325" xr:uid="{00000000-0005-0000-0000-0000FC390000}"/>
    <cellStyle name="40% - Accent5 2 4 3 2 4 2" xfId="25888" xr:uid="{00000000-0005-0000-0000-0000FD390000}"/>
    <cellStyle name="40% - Accent5 2 4 3 2 5" xfId="19231" xr:uid="{00000000-0005-0000-0000-0000FE390000}"/>
    <cellStyle name="40% - Accent5 2 4 3 3" xfId="7935" xr:uid="{00000000-0005-0000-0000-0000FF390000}"/>
    <cellStyle name="40% - Accent5 2 4 3 3 2" xfId="10154" xr:uid="{00000000-0005-0000-0000-0000003A0000}"/>
    <cellStyle name="40% - Accent5 2 4 3 3 2 2" xfId="20717" xr:uid="{00000000-0005-0000-0000-0000013A0000}"/>
    <cellStyle name="40% - Accent5 2 4 3 3 3" xfId="12373" xr:uid="{00000000-0005-0000-0000-0000023A0000}"/>
    <cellStyle name="40% - Accent5 2 4 3 3 3 2" xfId="22936" xr:uid="{00000000-0005-0000-0000-0000033A0000}"/>
    <cellStyle name="40% - Accent5 2 4 3 3 4" xfId="14592" xr:uid="{00000000-0005-0000-0000-0000043A0000}"/>
    <cellStyle name="40% - Accent5 2 4 3 3 4 2" xfId="25155" xr:uid="{00000000-0005-0000-0000-0000053A0000}"/>
    <cellStyle name="40% - Accent5 2 4 3 3 5" xfId="18498" xr:uid="{00000000-0005-0000-0000-0000063A0000}"/>
    <cellStyle name="40% - Accent5 2 4 3 4" xfId="9411" xr:uid="{00000000-0005-0000-0000-0000073A0000}"/>
    <cellStyle name="40% - Accent5 2 4 3 4 2" xfId="19974" xr:uid="{00000000-0005-0000-0000-0000083A0000}"/>
    <cellStyle name="40% - Accent5 2 4 3 5" xfId="11630" xr:uid="{00000000-0005-0000-0000-0000093A0000}"/>
    <cellStyle name="40% - Accent5 2 4 3 5 2" xfId="22193" xr:uid="{00000000-0005-0000-0000-00000A3A0000}"/>
    <cellStyle name="40% - Accent5 2 4 3 6" xfId="13849" xr:uid="{00000000-0005-0000-0000-00000B3A0000}"/>
    <cellStyle name="40% - Accent5 2 4 3 6 2" xfId="24412" xr:uid="{00000000-0005-0000-0000-00000C3A0000}"/>
    <cellStyle name="40% - Accent5 2 4 3 7" xfId="17749" xr:uid="{00000000-0005-0000-0000-00000D3A0000}"/>
    <cellStyle name="40% - Accent5 2 4 4" xfId="1377" xr:uid="{00000000-0005-0000-0000-00000E3A0000}"/>
    <cellStyle name="40% - Accent5 2 4 4 2" xfId="8669" xr:uid="{00000000-0005-0000-0000-00000F3A0000}"/>
    <cellStyle name="40% - Accent5 2 4 4 2 2" xfId="10888" xr:uid="{00000000-0005-0000-0000-0000103A0000}"/>
    <cellStyle name="40% - Accent5 2 4 4 2 2 2" xfId="21451" xr:uid="{00000000-0005-0000-0000-0000113A0000}"/>
    <cellStyle name="40% - Accent5 2 4 4 2 3" xfId="13107" xr:uid="{00000000-0005-0000-0000-0000123A0000}"/>
    <cellStyle name="40% - Accent5 2 4 4 2 3 2" xfId="23670" xr:uid="{00000000-0005-0000-0000-0000133A0000}"/>
    <cellStyle name="40% - Accent5 2 4 4 2 4" xfId="15326" xr:uid="{00000000-0005-0000-0000-0000143A0000}"/>
    <cellStyle name="40% - Accent5 2 4 4 2 4 2" xfId="25889" xr:uid="{00000000-0005-0000-0000-0000153A0000}"/>
    <cellStyle name="40% - Accent5 2 4 4 2 5" xfId="19232" xr:uid="{00000000-0005-0000-0000-0000163A0000}"/>
    <cellStyle name="40% - Accent5 2 4 4 3" xfId="7936" xr:uid="{00000000-0005-0000-0000-0000173A0000}"/>
    <cellStyle name="40% - Accent5 2 4 4 3 2" xfId="10155" xr:uid="{00000000-0005-0000-0000-0000183A0000}"/>
    <cellStyle name="40% - Accent5 2 4 4 3 2 2" xfId="20718" xr:uid="{00000000-0005-0000-0000-0000193A0000}"/>
    <cellStyle name="40% - Accent5 2 4 4 3 3" xfId="12374" xr:uid="{00000000-0005-0000-0000-00001A3A0000}"/>
    <cellStyle name="40% - Accent5 2 4 4 3 3 2" xfId="22937" xr:uid="{00000000-0005-0000-0000-00001B3A0000}"/>
    <cellStyle name="40% - Accent5 2 4 4 3 4" xfId="14593" xr:uid="{00000000-0005-0000-0000-00001C3A0000}"/>
    <cellStyle name="40% - Accent5 2 4 4 3 4 2" xfId="25156" xr:uid="{00000000-0005-0000-0000-00001D3A0000}"/>
    <cellStyle name="40% - Accent5 2 4 4 3 5" xfId="18499" xr:uid="{00000000-0005-0000-0000-00001E3A0000}"/>
    <cellStyle name="40% - Accent5 2 4 4 4" xfId="9412" xr:uid="{00000000-0005-0000-0000-00001F3A0000}"/>
    <cellStyle name="40% - Accent5 2 4 4 4 2" xfId="19975" xr:uid="{00000000-0005-0000-0000-0000203A0000}"/>
    <cellStyle name="40% - Accent5 2 4 4 5" xfId="11631" xr:uid="{00000000-0005-0000-0000-0000213A0000}"/>
    <cellStyle name="40% - Accent5 2 4 4 5 2" xfId="22194" xr:uid="{00000000-0005-0000-0000-0000223A0000}"/>
    <cellStyle name="40% - Accent5 2 4 4 6" xfId="13850" xr:uid="{00000000-0005-0000-0000-0000233A0000}"/>
    <cellStyle name="40% - Accent5 2 4 4 6 2" xfId="24413" xr:uid="{00000000-0005-0000-0000-0000243A0000}"/>
    <cellStyle name="40% - Accent5 2 4 4 7" xfId="17750" xr:uid="{00000000-0005-0000-0000-0000253A0000}"/>
    <cellStyle name="40% - Accent5 2 4 5" xfId="1378" xr:uid="{00000000-0005-0000-0000-0000263A0000}"/>
    <cellStyle name="40% - Accent5 2 4 5 2" xfId="8670" xr:uid="{00000000-0005-0000-0000-0000273A0000}"/>
    <cellStyle name="40% - Accent5 2 4 5 2 2" xfId="10889" xr:uid="{00000000-0005-0000-0000-0000283A0000}"/>
    <cellStyle name="40% - Accent5 2 4 5 2 2 2" xfId="21452" xr:uid="{00000000-0005-0000-0000-0000293A0000}"/>
    <cellStyle name="40% - Accent5 2 4 5 2 3" xfId="13108" xr:uid="{00000000-0005-0000-0000-00002A3A0000}"/>
    <cellStyle name="40% - Accent5 2 4 5 2 3 2" xfId="23671" xr:uid="{00000000-0005-0000-0000-00002B3A0000}"/>
    <cellStyle name="40% - Accent5 2 4 5 2 4" xfId="15327" xr:uid="{00000000-0005-0000-0000-00002C3A0000}"/>
    <cellStyle name="40% - Accent5 2 4 5 2 4 2" xfId="25890" xr:uid="{00000000-0005-0000-0000-00002D3A0000}"/>
    <cellStyle name="40% - Accent5 2 4 5 2 5" xfId="19233" xr:uid="{00000000-0005-0000-0000-00002E3A0000}"/>
    <cellStyle name="40% - Accent5 2 4 5 3" xfId="7937" xr:uid="{00000000-0005-0000-0000-00002F3A0000}"/>
    <cellStyle name="40% - Accent5 2 4 5 3 2" xfId="10156" xr:uid="{00000000-0005-0000-0000-0000303A0000}"/>
    <cellStyle name="40% - Accent5 2 4 5 3 2 2" xfId="20719" xr:uid="{00000000-0005-0000-0000-0000313A0000}"/>
    <cellStyle name="40% - Accent5 2 4 5 3 3" xfId="12375" xr:uid="{00000000-0005-0000-0000-0000323A0000}"/>
    <cellStyle name="40% - Accent5 2 4 5 3 3 2" xfId="22938" xr:uid="{00000000-0005-0000-0000-0000333A0000}"/>
    <cellStyle name="40% - Accent5 2 4 5 3 4" xfId="14594" xr:uid="{00000000-0005-0000-0000-0000343A0000}"/>
    <cellStyle name="40% - Accent5 2 4 5 3 4 2" xfId="25157" xr:uid="{00000000-0005-0000-0000-0000353A0000}"/>
    <cellStyle name="40% - Accent5 2 4 5 3 5" xfId="18500" xr:uid="{00000000-0005-0000-0000-0000363A0000}"/>
    <cellStyle name="40% - Accent5 2 4 5 4" xfId="9413" xr:uid="{00000000-0005-0000-0000-0000373A0000}"/>
    <cellStyle name="40% - Accent5 2 4 5 4 2" xfId="19976" xr:uid="{00000000-0005-0000-0000-0000383A0000}"/>
    <cellStyle name="40% - Accent5 2 4 5 5" xfId="11632" xr:uid="{00000000-0005-0000-0000-0000393A0000}"/>
    <cellStyle name="40% - Accent5 2 4 5 5 2" xfId="22195" xr:uid="{00000000-0005-0000-0000-00003A3A0000}"/>
    <cellStyle name="40% - Accent5 2 4 5 6" xfId="13851" xr:uid="{00000000-0005-0000-0000-00003B3A0000}"/>
    <cellStyle name="40% - Accent5 2 4 5 6 2" xfId="24414" xr:uid="{00000000-0005-0000-0000-00003C3A0000}"/>
    <cellStyle name="40% - Accent5 2 4 5 7" xfId="17751" xr:uid="{00000000-0005-0000-0000-00003D3A0000}"/>
    <cellStyle name="40% - Accent5 2 4 6" xfId="1379" xr:uid="{00000000-0005-0000-0000-00003E3A0000}"/>
    <cellStyle name="40% - Accent5 2 4 6 2" xfId="8671" xr:uid="{00000000-0005-0000-0000-00003F3A0000}"/>
    <cellStyle name="40% - Accent5 2 4 6 2 2" xfId="10890" xr:uid="{00000000-0005-0000-0000-0000403A0000}"/>
    <cellStyle name="40% - Accent5 2 4 6 2 2 2" xfId="21453" xr:uid="{00000000-0005-0000-0000-0000413A0000}"/>
    <cellStyle name="40% - Accent5 2 4 6 2 3" xfId="13109" xr:uid="{00000000-0005-0000-0000-0000423A0000}"/>
    <cellStyle name="40% - Accent5 2 4 6 2 3 2" xfId="23672" xr:uid="{00000000-0005-0000-0000-0000433A0000}"/>
    <cellStyle name="40% - Accent5 2 4 6 2 4" xfId="15328" xr:uid="{00000000-0005-0000-0000-0000443A0000}"/>
    <cellStyle name="40% - Accent5 2 4 6 2 4 2" xfId="25891" xr:uid="{00000000-0005-0000-0000-0000453A0000}"/>
    <cellStyle name="40% - Accent5 2 4 6 2 5" xfId="19234" xr:uid="{00000000-0005-0000-0000-0000463A0000}"/>
    <cellStyle name="40% - Accent5 2 4 6 3" xfId="7938" xr:uid="{00000000-0005-0000-0000-0000473A0000}"/>
    <cellStyle name="40% - Accent5 2 4 6 3 2" xfId="10157" xr:uid="{00000000-0005-0000-0000-0000483A0000}"/>
    <cellStyle name="40% - Accent5 2 4 6 3 2 2" xfId="20720" xr:uid="{00000000-0005-0000-0000-0000493A0000}"/>
    <cellStyle name="40% - Accent5 2 4 6 3 3" xfId="12376" xr:uid="{00000000-0005-0000-0000-00004A3A0000}"/>
    <cellStyle name="40% - Accent5 2 4 6 3 3 2" xfId="22939" xr:uid="{00000000-0005-0000-0000-00004B3A0000}"/>
    <cellStyle name="40% - Accent5 2 4 6 3 4" xfId="14595" xr:uid="{00000000-0005-0000-0000-00004C3A0000}"/>
    <cellStyle name="40% - Accent5 2 4 6 3 4 2" xfId="25158" xr:uid="{00000000-0005-0000-0000-00004D3A0000}"/>
    <cellStyle name="40% - Accent5 2 4 6 3 5" xfId="18501" xr:uid="{00000000-0005-0000-0000-00004E3A0000}"/>
    <cellStyle name="40% - Accent5 2 4 6 4" xfId="9414" xr:uid="{00000000-0005-0000-0000-00004F3A0000}"/>
    <cellStyle name="40% - Accent5 2 4 6 4 2" xfId="19977" xr:uid="{00000000-0005-0000-0000-0000503A0000}"/>
    <cellStyle name="40% - Accent5 2 4 6 5" xfId="11633" xr:uid="{00000000-0005-0000-0000-0000513A0000}"/>
    <cellStyle name="40% - Accent5 2 4 6 5 2" xfId="22196" xr:uid="{00000000-0005-0000-0000-0000523A0000}"/>
    <cellStyle name="40% - Accent5 2 4 6 6" xfId="13852" xr:uid="{00000000-0005-0000-0000-0000533A0000}"/>
    <cellStyle name="40% - Accent5 2 4 6 6 2" xfId="24415" xr:uid="{00000000-0005-0000-0000-0000543A0000}"/>
    <cellStyle name="40% - Accent5 2 4 6 7" xfId="17752" xr:uid="{00000000-0005-0000-0000-0000553A0000}"/>
    <cellStyle name="40% - Accent5 2 4 7" xfId="1380" xr:uid="{00000000-0005-0000-0000-0000563A0000}"/>
    <cellStyle name="40% - Accent5 2 4 7 2" xfId="8672" xr:uid="{00000000-0005-0000-0000-0000573A0000}"/>
    <cellStyle name="40% - Accent5 2 4 7 2 2" xfId="10891" xr:uid="{00000000-0005-0000-0000-0000583A0000}"/>
    <cellStyle name="40% - Accent5 2 4 7 2 2 2" xfId="21454" xr:uid="{00000000-0005-0000-0000-0000593A0000}"/>
    <cellStyle name="40% - Accent5 2 4 7 2 3" xfId="13110" xr:uid="{00000000-0005-0000-0000-00005A3A0000}"/>
    <cellStyle name="40% - Accent5 2 4 7 2 3 2" xfId="23673" xr:uid="{00000000-0005-0000-0000-00005B3A0000}"/>
    <cellStyle name="40% - Accent5 2 4 7 2 4" xfId="15329" xr:uid="{00000000-0005-0000-0000-00005C3A0000}"/>
    <cellStyle name="40% - Accent5 2 4 7 2 4 2" xfId="25892" xr:uid="{00000000-0005-0000-0000-00005D3A0000}"/>
    <cellStyle name="40% - Accent5 2 4 7 2 5" xfId="19235" xr:uid="{00000000-0005-0000-0000-00005E3A0000}"/>
    <cellStyle name="40% - Accent5 2 4 7 3" xfId="7939" xr:uid="{00000000-0005-0000-0000-00005F3A0000}"/>
    <cellStyle name="40% - Accent5 2 4 7 3 2" xfId="10158" xr:uid="{00000000-0005-0000-0000-0000603A0000}"/>
    <cellStyle name="40% - Accent5 2 4 7 3 2 2" xfId="20721" xr:uid="{00000000-0005-0000-0000-0000613A0000}"/>
    <cellStyle name="40% - Accent5 2 4 7 3 3" xfId="12377" xr:uid="{00000000-0005-0000-0000-0000623A0000}"/>
    <cellStyle name="40% - Accent5 2 4 7 3 3 2" xfId="22940" xr:uid="{00000000-0005-0000-0000-0000633A0000}"/>
    <cellStyle name="40% - Accent5 2 4 7 3 4" xfId="14596" xr:uid="{00000000-0005-0000-0000-0000643A0000}"/>
    <cellStyle name="40% - Accent5 2 4 7 3 4 2" xfId="25159" xr:uid="{00000000-0005-0000-0000-0000653A0000}"/>
    <cellStyle name="40% - Accent5 2 4 7 3 5" xfId="18502" xr:uid="{00000000-0005-0000-0000-0000663A0000}"/>
    <cellStyle name="40% - Accent5 2 4 7 4" xfId="9415" xr:uid="{00000000-0005-0000-0000-0000673A0000}"/>
    <cellStyle name="40% - Accent5 2 4 7 4 2" xfId="19978" xr:uid="{00000000-0005-0000-0000-0000683A0000}"/>
    <cellStyle name="40% - Accent5 2 4 7 5" xfId="11634" xr:uid="{00000000-0005-0000-0000-0000693A0000}"/>
    <cellStyle name="40% - Accent5 2 4 7 5 2" xfId="22197" xr:uid="{00000000-0005-0000-0000-00006A3A0000}"/>
    <cellStyle name="40% - Accent5 2 4 7 6" xfId="13853" xr:uid="{00000000-0005-0000-0000-00006B3A0000}"/>
    <cellStyle name="40% - Accent5 2 4 7 6 2" xfId="24416" xr:uid="{00000000-0005-0000-0000-00006C3A0000}"/>
    <cellStyle name="40% - Accent5 2 4 7 7" xfId="17753" xr:uid="{00000000-0005-0000-0000-00006D3A0000}"/>
    <cellStyle name="40% - Accent5 2 4 8" xfId="1381" xr:uid="{00000000-0005-0000-0000-00006E3A0000}"/>
    <cellStyle name="40% - Accent5 2 4 8 2" xfId="8673" xr:uid="{00000000-0005-0000-0000-00006F3A0000}"/>
    <cellStyle name="40% - Accent5 2 4 8 2 2" xfId="10892" xr:uid="{00000000-0005-0000-0000-0000703A0000}"/>
    <cellStyle name="40% - Accent5 2 4 8 2 2 2" xfId="21455" xr:uid="{00000000-0005-0000-0000-0000713A0000}"/>
    <cellStyle name="40% - Accent5 2 4 8 2 3" xfId="13111" xr:uid="{00000000-0005-0000-0000-0000723A0000}"/>
    <cellStyle name="40% - Accent5 2 4 8 2 3 2" xfId="23674" xr:uid="{00000000-0005-0000-0000-0000733A0000}"/>
    <cellStyle name="40% - Accent5 2 4 8 2 4" xfId="15330" xr:uid="{00000000-0005-0000-0000-0000743A0000}"/>
    <cellStyle name="40% - Accent5 2 4 8 2 4 2" xfId="25893" xr:uid="{00000000-0005-0000-0000-0000753A0000}"/>
    <cellStyle name="40% - Accent5 2 4 8 2 5" xfId="19236" xr:uid="{00000000-0005-0000-0000-0000763A0000}"/>
    <cellStyle name="40% - Accent5 2 4 8 3" xfId="7940" xr:uid="{00000000-0005-0000-0000-0000773A0000}"/>
    <cellStyle name="40% - Accent5 2 4 8 3 2" xfId="10159" xr:uid="{00000000-0005-0000-0000-0000783A0000}"/>
    <cellStyle name="40% - Accent5 2 4 8 3 2 2" xfId="20722" xr:uid="{00000000-0005-0000-0000-0000793A0000}"/>
    <cellStyle name="40% - Accent5 2 4 8 3 3" xfId="12378" xr:uid="{00000000-0005-0000-0000-00007A3A0000}"/>
    <cellStyle name="40% - Accent5 2 4 8 3 3 2" xfId="22941" xr:uid="{00000000-0005-0000-0000-00007B3A0000}"/>
    <cellStyle name="40% - Accent5 2 4 8 3 4" xfId="14597" xr:uid="{00000000-0005-0000-0000-00007C3A0000}"/>
    <cellStyle name="40% - Accent5 2 4 8 3 4 2" xfId="25160" xr:uid="{00000000-0005-0000-0000-00007D3A0000}"/>
    <cellStyle name="40% - Accent5 2 4 8 3 5" xfId="18503" xr:uid="{00000000-0005-0000-0000-00007E3A0000}"/>
    <cellStyle name="40% - Accent5 2 4 8 4" xfId="9416" xr:uid="{00000000-0005-0000-0000-00007F3A0000}"/>
    <cellStyle name="40% - Accent5 2 4 8 4 2" xfId="19979" xr:uid="{00000000-0005-0000-0000-0000803A0000}"/>
    <cellStyle name="40% - Accent5 2 4 8 5" xfId="11635" xr:uid="{00000000-0005-0000-0000-0000813A0000}"/>
    <cellStyle name="40% - Accent5 2 4 8 5 2" xfId="22198" xr:uid="{00000000-0005-0000-0000-0000823A0000}"/>
    <cellStyle name="40% - Accent5 2 4 8 6" xfId="13854" xr:uid="{00000000-0005-0000-0000-0000833A0000}"/>
    <cellStyle name="40% - Accent5 2 4 8 6 2" xfId="24417" xr:uid="{00000000-0005-0000-0000-0000843A0000}"/>
    <cellStyle name="40% - Accent5 2 4 8 7" xfId="17754" xr:uid="{00000000-0005-0000-0000-0000853A0000}"/>
    <cellStyle name="40% - Accent5 2 4 9" xfId="1382" xr:uid="{00000000-0005-0000-0000-0000863A0000}"/>
    <cellStyle name="40% - Accent5 2 4 9 2" xfId="8674" xr:uid="{00000000-0005-0000-0000-0000873A0000}"/>
    <cellStyle name="40% - Accent5 2 4 9 2 2" xfId="10893" xr:uid="{00000000-0005-0000-0000-0000883A0000}"/>
    <cellStyle name="40% - Accent5 2 4 9 2 2 2" xfId="21456" xr:uid="{00000000-0005-0000-0000-0000893A0000}"/>
    <cellStyle name="40% - Accent5 2 4 9 2 3" xfId="13112" xr:uid="{00000000-0005-0000-0000-00008A3A0000}"/>
    <cellStyle name="40% - Accent5 2 4 9 2 3 2" xfId="23675" xr:uid="{00000000-0005-0000-0000-00008B3A0000}"/>
    <cellStyle name="40% - Accent5 2 4 9 2 4" xfId="15331" xr:uid="{00000000-0005-0000-0000-00008C3A0000}"/>
    <cellStyle name="40% - Accent5 2 4 9 2 4 2" xfId="25894" xr:uid="{00000000-0005-0000-0000-00008D3A0000}"/>
    <cellStyle name="40% - Accent5 2 4 9 2 5" xfId="19237" xr:uid="{00000000-0005-0000-0000-00008E3A0000}"/>
    <cellStyle name="40% - Accent5 2 4 9 3" xfId="7941" xr:uid="{00000000-0005-0000-0000-00008F3A0000}"/>
    <cellStyle name="40% - Accent5 2 4 9 3 2" xfId="10160" xr:uid="{00000000-0005-0000-0000-0000903A0000}"/>
    <cellStyle name="40% - Accent5 2 4 9 3 2 2" xfId="20723" xr:uid="{00000000-0005-0000-0000-0000913A0000}"/>
    <cellStyle name="40% - Accent5 2 4 9 3 3" xfId="12379" xr:uid="{00000000-0005-0000-0000-0000923A0000}"/>
    <cellStyle name="40% - Accent5 2 4 9 3 3 2" xfId="22942" xr:uid="{00000000-0005-0000-0000-0000933A0000}"/>
    <cellStyle name="40% - Accent5 2 4 9 3 4" xfId="14598" xr:uid="{00000000-0005-0000-0000-0000943A0000}"/>
    <cellStyle name="40% - Accent5 2 4 9 3 4 2" xfId="25161" xr:uid="{00000000-0005-0000-0000-0000953A0000}"/>
    <cellStyle name="40% - Accent5 2 4 9 3 5" xfId="18504" xr:uid="{00000000-0005-0000-0000-0000963A0000}"/>
    <cellStyle name="40% - Accent5 2 4 9 4" xfId="9417" xr:uid="{00000000-0005-0000-0000-0000973A0000}"/>
    <cellStyle name="40% - Accent5 2 4 9 4 2" xfId="19980" xr:uid="{00000000-0005-0000-0000-0000983A0000}"/>
    <cellStyle name="40% - Accent5 2 4 9 5" xfId="11636" xr:uid="{00000000-0005-0000-0000-0000993A0000}"/>
    <cellStyle name="40% - Accent5 2 4 9 5 2" xfId="22199" xr:uid="{00000000-0005-0000-0000-00009A3A0000}"/>
    <cellStyle name="40% - Accent5 2 4 9 6" xfId="13855" xr:uid="{00000000-0005-0000-0000-00009B3A0000}"/>
    <cellStyle name="40% - Accent5 2 4 9 6 2" xfId="24418" xr:uid="{00000000-0005-0000-0000-00009C3A0000}"/>
    <cellStyle name="40% - Accent5 2 4 9 7" xfId="17755" xr:uid="{00000000-0005-0000-0000-00009D3A0000}"/>
    <cellStyle name="40% - Accent5 2 5" xfId="1383" xr:uid="{00000000-0005-0000-0000-00009E3A0000}"/>
    <cellStyle name="40% - Accent5 2 5 10" xfId="8675" xr:uid="{00000000-0005-0000-0000-00009F3A0000}"/>
    <cellStyle name="40% - Accent5 2 5 10 2" xfId="10894" xr:uid="{00000000-0005-0000-0000-0000A03A0000}"/>
    <cellStyle name="40% - Accent5 2 5 10 2 2" xfId="21457" xr:uid="{00000000-0005-0000-0000-0000A13A0000}"/>
    <cellStyle name="40% - Accent5 2 5 10 3" xfId="13113" xr:uid="{00000000-0005-0000-0000-0000A23A0000}"/>
    <cellStyle name="40% - Accent5 2 5 10 3 2" xfId="23676" xr:uid="{00000000-0005-0000-0000-0000A33A0000}"/>
    <cellStyle name="40% - Accent5 2 5 10 4" xfId="15332" xr:uid="{00000000-0005-0000-0000-0000A43A0000}"/>
    <cellStyle name="40% - Accent5 2 5 10 4 2" xfId="25895" xr:uid="{00000000-0005-0000-0000-0000A53A0000}"/>
    <cellStyle name="40% - Accent5 2 5 10 5" xfId="19238" xr:uid="{00000000-0005-0000-0000-0000A63A0000}"/>
    <cellStyle name="40% - Accent5 2 5 11" xfId="7942" xr:uid="{00000000-0005-0000-0000-0000A73A0000}"/>
    <cellStyle name="40% - Accent5 2 5 11 2" xfId="10161" xr:uid="{00000000-0005-0000-0000-0000A83A0000}"/>
    <cellStyle name="40% - Accent5 2 5 11 2 2" xfId="20724" xr:uid="{00000000-0005-0000-0000-0000A93A0000}"/>
    <cellStyle name="40% - Accent5 2 5 11 3" xfId="12380" xr:uid="{00000000-0005-0000-0000-0000AA3A0000}"/>
    <cellStyle name="40% - Accent5 2 5 11 3 2" xfId="22943" xr:uid="{00000000-0005-0000-0000-0000AB3A0000}"/>
    <cellStyle name="40% - Accent5 2 5 11 4" xfId="14599" xr:uid="{00000000-0005-0000-0000-0000AC3A0000}"/>
    <cellStyle name="40% - Accent5 2 5 11 4 2" xfId="25162" xr:uid="{00000000-0005-0000-0000-0000AD3A0000}"/>
    <cellStyle name="40% - Accent5 2 5 11 5" xfId="18505" xr:uid="{00000000-0005-0000-0000-0000AE3A0000}"/>
    <cellStyle name="40% - Accent5 2 5 12" xfId="9418" xr:uid="{00000000-0005-0000-0000-0000AF3A0000}"/>
    <cellStyle name="40% - Accent5 2 5 12 2" xfId="19981" xr:uid="{00000000-0005-0000-0000-0000B03A0000}"/>
    <cellStyle name="40% - Accent5 2 5 13" xfId="11637" xr:uid="{00000000-0005-0000-0000-0000B13A0000}"/>
    <cellStyle name="40% - Accent5 2 5 13 2" xfId="22200" xr:uid="{00000000-0005-0000-0000-0000B23A0000}"/>
    <cellStyle name="40% - Accent5 2 5 14" xfId="13856" xr:uid="{00000000-0005-0000-0000-0000B33A0000}"/>
    <cellStyle name="40% - Accent5 2 5 14 2" xfId="24419" xr:uid="{00000000-0005-0000-0000-0000B43A0000}"/>
    <cellStyle name="40% - Accent5 2 5 15" xfId="17756" xr:uid="{00000000-0005-0000-0000-0000B53A0000}"/>
    <cellStyle name="40% - Accent5 2 5 2" xfId="1384" xr:uid="{00000000-0005-0000-0000-0000B63A0000}"/>
    <cellStyle name="40% - Accent5 2 5 2 2" xfId="8676" xr:uid="{00000000-0005-0000-0000-0000B73A0000}"/>
    <cellStyle name="40% - Accent5 2 5 2 2 2" xfId="10895" xr:uid="{00000000-0005-0000-0000-0000B83A0000}"/>
    <cellStyle name="40% - Accent5 2 5 2 2 2 2" xfId="21458" xr:uid="{00000000-0005-0000-0000-0000B93A0000}"/>
    <cellStyle name="40% - Accent5 2 5 2 2 3" xfId="13114" xr:uid="{00000000-0005-0000-0000-0000BA3A0000}"/>
    <cellStyle name="40% - Accent5 2 5 2 2 3 2" xfId="23677" xr:uid="{00000000-0005-0000-0000-0000BB3A0000}"/>
    <cellStyle name="40% - Accent5 2 5 2 2 4" xfId="15333" xr:uid="{00000000-0005-0000-0000-0000BC3A0000}"/>
    <cellStyle name="40% - Accent5 2 5 2 2 4 2" xfId="25896" xr:uid="{00000000-0005-0000-0000-0000BD3A0000}"/>
    <cellStyle name="40% - Accent5 2 5 2 2 5" xfId="19239" xr:uid="{00000000-0005-0000-0000-0000BE3A0000}"/>
    <cellStyle name="40% - Accent5 2 5 2 3" xfId="7943" xr:uid="{00000000-0005-0000-0000-0000BF3A0000}"/>
    <cellStyle name="40% - Accent5 2 5 2 3 2" xfId="10162" xr:uid="{00000000-0005-0000-0000-0000C03A0000}"/>
    <cellStyle name="40% - Accent5 2 5 2 3 2 2" xfId="20725" xr:uid="{00000000-0005-0000-0000-0000C13A0000}"/>
    <cellStyle name="40% - Accent5 2 5 2 3 3" xfId="12381" xr:uid="{00000000-0005-0000-0000-0000C23A0000}"/>
    <cellStyle name="40% - Accent5 2 5 2 3 3 2" xfId="22944" xr:uid="{00000000-0005-0000-0000-0000C33A0000}"/>
    <cellStyle name="40% - Accent5 2 5 2 3 4" xfId="14600" xr:uid="{00000000-0005-0000-0000-0000C43A0000}"/>
    <cellStyle name="40% - Accent5 2 5 2 3 4 2" xfId="25163" xr:uid="{00000000-0005-0000-0000-0000C53A0000}"/>
    <cellStyle name="40% - Accent5 2 5 2 3 5" xfId="18506" xr:uid="{00000000-0005-0000-0000-0000C63A0000}"/>
    <cellStyle name="40% - Accent5 2 5 2 4" xfId="9419" xr:uid="{00000000-0005-0000-0000-0000C73A0000}"/>
    <cellStyle name="40% - Accent5 2 5 2 4 2" xfId="19982" xr:uid="{00000000-0005-0000-0000-0000C83A0000}"/>
    <cellStyle name="40% - Accent5 2 5 2 5" xfId="11638" xr:uid="{00000000-0005-0000-0000-0000C93A0000}"/>
    <cellStyle name="40% - Accent5 2 5 2 5 2" xfId="22201" xr:uid="{00000000-0005-0000-0000-0000CA3A0000}"/>
    <cellStyle name="40% - Accent5 2 5 2 6" xfId="13857" xr:uid="{00000000-0005-0000-0000-0000CB3A0000}"/>
    <cellStyle name="40% - Accent5 2 5 2 6 2" xfId="24420" xr:uid="{00000000-0005-0000-0000-0000CC3A0000}"/>
    <cellStyle name="40% - Accent5 2 5 2 7" xfId="17757" xr:uid="{00000000-0005-0000-0000-0000CD3A0000}"/>
    <cellStyle name="40% - Accent5 2 5 3" xfId="1385" xr:uid="{00000000-0005-0000-0000-0000CE3A0000}"/>
    <cellStyle name="40% - Accent5 2 5 3 2" xfId="8677" xr:uid="{00000000-0005-0000-0000-0000CF3A0000}"/>
    <cellStyle name="40% - Accent5 2 5 3 2 2" xfId="10896" xr:uid="{00000000-0005-0000-0000-0000D03A0000}"/>
    <cellStyle name="40% - Accent5 2 5 3 2 2 2" xfId="21459" xr:uid="{00000000-0005-0000-0000-0000D13A0000}"/>
    <cellStyle name="40% - Accent5 2 5 3 2 3" xfId="13115" xr:uid="{00000000-0005-0000-0000-0000D23A0000}"/>
    <cellStyle name="40% - Accent5 2 5 3 2 3 2" xfId="23678" xr:uid="{00000000-0005-0000-0000-0000D33A0000}"/>
    <cellStyle name="40% - Accent5 2 5 3 2 4" xfId="15334" xr:uid="{00000000-0005-0000-0000-0000D43A0000}"/>
    <cellStyle name="40% - Accent5 2 5 3 2 4 2" xfId="25897" xr:uid="{00000000-0005-0000-0000-0000D53A0000}"/>
    <cellStyle name="40% - Accent5 2 5 3 2 5" xfId="19240" xr:uid="{00000000-0005-0000-0000-0000D63A0000}"/>
    <cellStyle name="40% - Accent5 2 5 3 3" xfId="7944" xr:uid="{00000000-0005-0000-0000-0000D73A0000}"/>
    <cellStyle name="40% - Accent5 2 5 3 3 2" xfId="10163" xr:uid="{00000000-0005-0000-0000-0000D83A0000}"/>
    <cellStyle name="40% - Accent5 2 5 3 3 2 2" xfId="20726" xr:uid="{00000000-0005-0000-0000-0000D93A0000}"/>
    <cellStyle name="40% - Accent5 2 5 3 3 3" xfId="12382" xr:uid="{00000000-0005-0000-0000-0000DA3A0000}"/>
    <cellStyle name="40% - Accent5 2 5 3 3 3 2" xfId="22945" xr:uid="{00000000-0005-0000-0000-0000DB3A0000}"/>
    <cellStyle name="40% - Accent5 2 5 3 3 4" xfId="14601" xr:uid="{00000000-0005-0000-0000-0000DC3A0000}"/>
    <cellStyle name="40% - Accent5 2 5 3 3 4 2" xfId="25164" xr:uid="{00000000-0005-0000-0000-0000DD3A0000}"/>
    <cellStyle name="40% - Accent5 2 5 3 3 5" xfId="18507" xr:uid="{00000000-0005-0000-0000-0000DE3A0000}"/>
    <cellStyle name="40% - Accent5 2 5 3 4" xfId="9420" xr:uid="{00000000-0005-0000-0000-0000DF3A0000}"/>
    <cellStyle name="40% - Accent5 2 5 3 4 2" xfId="19983" xr:uid="{00000000-0005-0000-0000-0000E03A0000}"/>
    <cellStyle name="40% - Accent5 2 5 3 5" xfId="11639" xr:uid="{00000000-0005-0000-0000-0000E13A0000}"/>
    <cellStyle name="40% - Accent5 2 5 3 5 2" xfId="22202" xr:uid="{00000000-0005-0000-0000-0000E23A0000}"/>
    <cellStyle name="40% - Accent5 2 5 3 6" xfId="13858" xr:uid="{00000000-0005-0000-0000-0000E33A0000}"/>
    <cellStyle name="40% - Accent5 2 5 3 6 2" xfId="24421" xr:uid="{00000000-0005-0000-0000-0000E43A0000}"/>
    <cellStyle name="40% - Accent5 2 5 3 7" xfId="17758" xr:uid="{00000000-0005-0000-0000-0000E53A0000}"/>
    <cellStyle name="40% - Accent5 2 5 4" xfId="1386" xr:uid="{00000000-0005-0000-0000-0000E63A0000}"/>
    <cellStyle name="40% - Accent5 2 5 4 2" xfId="8678" xr:uid="{00000000-0005-0000-0000-0000E73A0000}"/>
    <cellStyle name="40% - Accent5 2 5 4 2 2" xfId="10897" xr:uid="{00000000-0005-0000-0000-0000E83A0000}"/>
    <cellStyle name="40% - Accent5 2 5 4 2 2 2" xfId="21460" xr:uid="{00000000-0005-0000-0000-0000E93A0000}"/>
    <cellStyle name="40% - Accent5 2 5 4 2 3" xfId="13116" xr:uid="{00000000-0005-0000-0000-0000EA3A0000}"/>
    <cellStyle name="40% - Accent5 2 5 4 2 3 2" xfId="23679" xr:uid="{00000000-0005-0000-0000-0000EB3A0000}"/>
    <cellStyle name="40% - Accent5 2 5 4 2 4" xfId="15335" xr:uid="{00000000-0005-0000-0000-0000EC3A0000}"/>
    <cellStyle name="40% - Accent5 2 5 4 2 4 2" xfId="25898" xr:uid="{00000000-0005-0000-0000-0000ED3A0000}"/>
    <cellStyle name="40% - Accent5 2 5 4 2 5" xfId="19241" xr:uid="{00000000-0005-0000-0000-0000EE3A0000}"/>
    <cellStyle name="40% - Accent5 2 5 4 3" xfId="7945" xr:uid="{00000000-0005-0000-0000-0000EF3A0000}"/>
    <cellStyle name="40% - Accent5 2 5 4 3 2" xfId="10164" xr:uid="{00000000-0005-0000-0000-0000F03A0000}"/>
    <cellStyle name="40% - Accent5 2 5 4 3 2 2" xfId="20727" xr:uid="{00000000-0005-0000-0000-0000F13A0000}"/>
    <cellStyle name="40% - Accent5 2 5 4 3 3" xfId="12383" xr:uid="{00000000-0005-0000-0000-0000F23A0000}"/>
    <cellStyle name="40% - Accent5 2 5 4 3 3 2" xfId="22946" xr:uid="{00000000-0005-0000-0000-0000F33A0000}"/>
    <cellStyle name="40% - Accent5 2 5 4 3 4" xfId="14602" xr:uid="{00000000-0005-0000-0000-0000F43A0000}"/>
    <cellStyle name="40% - Accent5 2 5 4 3 4 2" xfId="25165" xr:uid="{00000000-0005-0000-0000-0000F53A0000}"/>
    <cellStyle name="40% - Accent5 2 5 4 3 5" xfId="18508" xr:uid="{00000000-0005-0000-0000-0000F63A0000}"/>
    <cellStyle name="40% - Accent5 2 5 4 4" xfId="9421" xr:uid="{00000000-0005-0000-0000-0000F73A0000}"/>
    <cellStyle name="40% - Accent5 2 5 4 4 2" xfId="19984" xr:uid="{00000000-0005-0000-0000-0000F83A0000}"/>
    <cellStyle name="40% - Accent5 2 5 4 5" xfId="11640" xr:uid="{00000000-0005-0000-0000-0000F93A0000}"/>
    <cellStyle name="40% - Accent5 2 5 4 5 2" xfId="22203" xr:uid="{00000000-0005-0000-0000-0000FA3A0000}"/>
    <cellStyle name="40% - Accent5 2 5 4 6" xfId="13859" xr:uid="{00000000-0005-0000-0000-0000FB3A0000}"/>
    <cellStyle name="40% - Accent5 2 5 4 6 2" xfId="24422" xr:uid="{00000000-0005-0000-0000-0000FC3A0000}"/>
    <cellStyle name="40% - Accent5 2 5 4 7" xfId="17759" xr:uid="{00000000-0005-0000-0000-0000FD3A0000}"/>
    <cellStyle name="40% - Accent5 2 5 5" xfId="1387" xr:uid="{00000000-0005-0000-0000-0000FE3A0000}"/>
    <cellStyle name="40% - Accent5 2 5 5 2" xfId="8679" xr:uid="{00000000-0005-0000-0000-0000FF3A0000}"/>
    <cellStyle name="40% - Accent5 2 5 5 2 2" xfId="10898" xr:uid="{00000000-0005-0000-0000-0000003B0000}"/>
    <cellStyle name="40% - Accent5 2 5 5 2 2 2" xfId="21461" xr:uid="{00000000-0005-0000-0000-0000013B0000}"/>
    <cellStyle name="40% - Accent5 2 5 5 2 3" xfId="13117" xr:uid="{00000000-0005-0000-0000-0000023B0000}"/>
    <cellStyle name="40% - Accent5 2 5 5 2 3 2" xfId="23680" xr:uid="{00000000-0005-0000-0000-0000033B0000}"/>
    <cellStyle name="40% - Accent5 2 5 5 2 4" xfId="15336" xr:uid="{00000000-0005-0000-0000-0000043B0000}"/>
    <cellStyle name="40% - Accent5 2 5 5 2 4 2" xfId="25899" xr:uid="{00000000-0005-0000-0000-0000053B0000}"/>
    <cellStyle name="40% - Accent5 2 5 5 2 5" xfId="19242" xr:uid="{00000000-0005-0000-0000-0000063B0000}"/>
    <cellStyle name="40% - Accent5 2 5 5 3" xfId="7946" xr:uid="{00000000-0005-0000-0000-0000073B0000}"/>
    <cellStyle name="40% - Accent5 2 5 5 3 2" xfId="10165" xr:uid="{00000000-0005-0000-0000-0000083B0000}"/>
    <cellStyle name="40% - Accent5 2 5 5 3 2 2" xfId="20728" xr:uid="{00000000-0005-0000-0000-0000093B0000}"/>
    <cellStyle name="40% - Accent5 2 5 5 3 3" xfId="12384" xr:uid="{00000000-0005-0000-0000-00000A3B0000}"/>
    <cellStyle name="40% - Accent5 2 5 5 3 3 2" xfId="22947" xr:uid="{00000000-0005-0000-0000-00000B3B0000}"/>
    <cellStyle name="40% - Accent5 2 5 5 3 4" xfId="14603" xr:uid="{00000000-0005-0000-0000-00000C3B0000}"/>
    <cellStyle name="40% - Accent5 2 5 5 3 4 2" xfId="25166" xr:uid="{00000000-0005-0000-0000-00000D3B0000}"/>
    <cellStyle name="40% - Accent5 2 5 5 3 5" xfId="18509" xr:uid="{00000000-0005-0000-0000-00000E3B0000}"/>
    <cellStyle name="40% - Accent5 2 5 5 4" xfId="9422" xr:uid="{00000000-0005-0000-0000-00000F3B0000}"/>
    <cellStyle name="40% - Accent5 2 5 5 4 2" xfId="19985" xr:uid="{00000000-0005-0000-0000-0000103B0000}"/>
    <cellStyle name="40% - Accent5 2 5 5 5" xfId="11641" xr:uid="{00000000-0005-0000-0000-0000113B0000}"/>
    <cellStyle name="40% - Accent5 2 5 5 5 2" xfId="22204" xr:uid="{00000000-0005-0000-0000-0000123B0000}"/>
    <cellStyle name="40% - Accent5 2 5 5 6" xfId="13860" xr:uid="{00000000-0005-0000-0000-0000133B0000}"/>
    <cellStyle name="40% - Accent5 2 5 5 6 2" xfId="24423" xr:uid="{00000000-0005-0000-0000-0000143B0000}"/>
    <cellStyle name="40% - Accent5 2 5 5 7" xfId="17760" xr:uid="{00000000-0005-0000-0000-0000153B0000}"/>
    <cellStyle name="40% - Accent5 2 5 6" xfId="1388" xr:uid="{00000000-0005-0000-0000-0000163B0000}"/>
    <cellStyle name="40% - Accent5 2 5 6 2" xfId="8680" xr:uid="{00000000-0005-0000-0000-0000173B0000}"/>
    <cellStyle name="40% - Accent5 2 5 6 2 2" xfId="10899" xr:uid="{00000000-0005-0000-0000-0000183B0000}"/>
    <cellStyle name="40% - Accent5 2 5 6 2 2 2" xfId="21462" xr:uid="{00000000-0005-0000-0000-0000193B0000}"/>
    <cellStyle name="40% - Accent5 2 5 6 2 3" xfId="13118" xr:uid="{00000000-0005-0000-0000-00001A3B0000}"/>
    <cellStyle name="40% - Accent5 2 5 6 2 3 2" xfId="23681" xr:uid="{00000000-0005-0000-0000-00001B3B0000}"/>
    <cellStyle name="40% - Accent5 2 5 6 2 4" xfId="15337" xr:uid="{00000000-0005-0000-0000-00001C3B0000}"/>
    <cellStyle name="40% - Accent5 2 5 6 2 4 2" xfId="25900" xr:uid="{00000000-0005-0000-0000-00001D3B0000}"/>
    <cellStyle name="40% - Accent5 2 5 6 2 5" xfId="19243" xr:uid="{00000000-0005-0000-0000-00001E3B0000}"/>
    <cellStyle name="40% - Accent5 2 5 6 3" xfId="7947" xr:uid="{00000000-0005-0000-0000-00001F3B0000}"/>
    <cellStyle name="40% - Accent5 2 5 6 3 2" xfId="10166" xr:uid="{00000000-0005-0000-0000-0000203B0000}"/>
    <cellStyle name="40% - Accent5 2 5 6 3 2 2" xfId="20729" xr:uid="{00000000-0005-0000-0000-0000213B0000}"/>
    <cellStyle name="40% - Accent5 2 5 6 3 3" xfId="12385" xr:uid="{00000000-0005-0000-0000-0000223B0000}"/>
    <cellStyle name="40% - Accent5 2 5 6 3 3 2" xfId="22948" xr:uid="{00000000-0005-0000-0000-0000233B0000}"/>
    <cellStyle name="40% - Accent5 2 5 6 3 4" xfId="14604" xr:uid="{00000000-0005-0000-0000-0000243B0000}"/>
    <cellStyle name="40% - Accent5 2 5 6 3 4 2" xfId="25167" xr:uid="{00000000-0005-0000-0000-0000253B0000}"/>
    <cellStyle name="40% - Accent5 2 5 6 3 5" xfId="18510" xr:uid="{00000000-0005-0000-0000-0000263B0000}"/>
    <cellStyle name="40% - Accent5 2 5 6 4" xfId="9423" xr:uid="{00000000-0005-0000-0000-0000273B0000}"/>
    <cellStyle name="40% - Accent5 2 5 6 4 2" xfId="19986" xr:uid="{00000000-0005-0000-0000-0000283B0000}"/>
    <cellStyle name="40% - Accent5 2 5 6 5" xfId="11642" xr:uid="{00000000-0005-0000-0000-0000293B0000}"/>
    <cellStyle name="40% - Accent5 2 5 6 5 2" xfId="22205" xr:uid="{00000000-0005-0000-0000-00002A3B0000}"/>
    <cellStyle name="40% - Accent5 2 5 6 6" xfId="13861" xr:uid="{00000000-0005-0000-0000-00002B3B0000}"/>
    <cellStyle name="40% - Accent5 2 5 6 6 2" xfId="24424" xr:uid="{00000000-0005-0000-0000-00002C3B0000}"/>
    <cellStyle name="40% - Accent5 2 5 6 7" xfId="17761" xr:uid="{00000000-0005-0000-0000-00002D3B0000}"/>
    <cellStyle name="40% - Accent5 2 5 7" xfId="1389" xr:uid="{00000000-0005-0000-0000-00002E3B0000}"/>
    <cellStyle name="40% - Accent5 2 5 7 2" xfId="8681" xr:uid="{00000000-0005-0000-0000-00002F3B0000}"/>
    <cellStyle name="40% - Accent5 2 5 7 2 2" xfId="10900" xr:uid="{00000000-0005-0000-0000-0000303B0000}"/>
    <cellStyle name="40% - Accent5 2 5 7 2 2 2" xfId="21463" xr:uid="{00000000-0005-0000-0000-0000313B0000}"/>
    <cellStyle name="40% - Accent5 2 5 7 2 3" xfId="13119" xr:uid="{00000000-0005-0000-0000-0000323B0000}"/>
    <cellStyle name="40% - Accent5 2 5 7 2 3 2" xfId="23682" xr:uid="{00000000-0005-0000-0000-0000333B0000}"/>
    <cellStyle name="40% - Accent5 2 5 7 2 4" xfId="15338" xr:uid="{00000000-0005-0000-0000-0000343B0000}"/>
    <cellStyle name="40% - Accent5 2 5 7 2 4 2" xfId="25901" xr:uid="{00000000-0005-0000-0000-0000353B0000}"/>
    <cellStyle name="40% - Accent5 2 5 7 2 5" xfId="19244" xr:uid="{00000000-0005-0000-0000-0000363B0000}"/>
    <cellStyle name="40% - Accent5 2 5 7 3" xfId="7948" xr:uid="{00000000-0005-0000-0000-0000373B0000}"/>
    <cellStyle name="40% - Accent5 2 5 7 3 2" xfId="10167" xr:uid="{00000000-0005-0000-0000-0000383B0000}"/>
    <cellStyle name="40% - Accent5 2 5 7 3 2 2" xfId="20730" xr:uid="{00000000-0005-0000-0000-0000393B0000}"/>
    <cellStyle name="40% - Accent5 2 5 7 3 3" xfId="12386" xr:uid="{00000000-0005-0000-0000-00003A3B0000}"/>
    <cellStyle name="40% - Accent5 2 5 7 3 3 2" xfId="22949" xr:uid="{00000000-0005-0000-0000-00003B3B0000}"/>
    <cellStyle name="40% - Accent5 2 5 7 3 4" xfId="14605" xr:uid="{00000000-0005-0000-0000-00003C3B0000}"/>
    <cellStyle name="40% - Accent5 2 5 7 3 4 2" xfId="25168" xr:uid="{00000000-0005-0000-0000-00003D3B0000}"/>
    <cellStyle name="40% - Accent5 2 5 7 3 5" xfId="18511" xr:uid="{00000000-0005-0000-0000-00003E3B0000}"/>
    <cellStyle name="40% - Accent5 2 5 7 4" xfId="9424" xr:uid="{00000000-0005-0000-0000-00003F3B0000}"/>
    <cellStyle name="40% - Accent5 2 5 7 4 2" xfId="19987" xr:uid="{00000000-0005-0000-0000-0000403B0000}"/>
    <cellStyle name="40% - Accent5 2 5 7 5" xfId="11643" xr:uid="{00000000-0005-0000-0000-0000413B0000}"/>
    <cellStyle name="40% - Accent5 2 5 7 5 2" xfId="22206" xr:uid="{00000000-0005-0000-0000-0000423B0000}"/>
    <cellStyle name="40% - Accent5 2 5 7 6" xfId="13862" xr:uid="{00000000-0005-0000-0000-0000433B0000}"/>
    <cellStyle name="40% - Accent5 2 5 7 6 2" xfId="24425" xr:uid="{00000000-0005-0000-0000-0000443B0000}"/>
    <cellStyle name="40% - Accent5 2 5 7 7" xfId="17762" xr:uid="{00000000-0005-0000-0000-0000453B0000}"/>
    <cellStyle name="40% - Accent5 2 5 8" xfId="1390" xr:uid="{00000000-0005-0000-0000-0000463B0000}"/>
    <cellStyle name="40% - Accent5 2 5 8 2" xfId="8682" xr:uid="{00000000-0005-0000-0000-0000473B0000}"/>
    <cellStyle name="40% - Accent5 2 5 8 2 2" xfId="10901" xr:uid="{00000000-0005-0000-0000-0000483B0000}"/>
    <cellStyle name="40% - Accent5 2 5 8 2 2 2" xfId="21464" xr:uid="{00000000-0005-0000-0000-0000493B0000}"/>
    <cellStyle name="40% - Accent5 2 5 8 2 3" xfId="13120" xr:uid="{00000000-0005-0000-0000-00004A3B0000}"/>
    <cellStyle name="40% - Accent5 2 5 8 2 3 2" xfId="23683" xr:uid="{00000000-0005-0000-0000-00004B3B0000}"/>
    <cellStyle name="40% - Accent5 2 5 8 2 4" xfId="15339" xr:uid="{00000000-0005-0000-0000-00004C3B0000}"/>
    <cellStyle name="40% - Accent5 2 5 8 2 4 2" xfId="25902" xr:uid="{00000000-0005-0000-0000-00004D3B0000}"/>
    <cellStyle name="40% - Accent5 2 5 8 2 5" xfId="19245" xr:uid="{00000000-0005-0000-0000-00004E3B0000}"/>
    <cellStyle name="40% - Accent5 2 5 8 3" xfId="7949" xr:uid="{00000000-0005-0000-0000-00004F3B0000}"/>
    <cellStyle name="40% - Accent5 2 5 8 3 2" xfId="10168" xr:uid="{00000000-0005-0000-0000-0000503B0000}"/>
    <cellStyle name="40% - Accent5 2 5 8 3 2 2" xfId="20731" xr:uid="{00000000-0005-0000-0000-0000513B0000}"/>
    <cellStyle name="40% - Accent5 2 5 8 3 3" xfId="12387" xr:uid="{00000000-0005-0000-0000-0000523B0000}"/>
    <cellStyle name="40% - Accent5 2 5 8 3 3 2" xfId="22950" xr:uid="{00000000-0005-0000-0000-0000533B0000}"/>
    <cellStyle name="40% - Accent5 2 5 8 3 4" xfId="14606" xr:uid="{00000000-0005-0000-0000-0000543B0000}"/>
    <cellStyle name="40% - Accent5 2 5 8 3 4 2" xfId="25169" xr:uid="{00000000-0005-0000-0000-0000553B0000}"/>
    <cellStyle name="40% - Accent5 2 5 8 3 5" xfId="18512" xr:uid="{00000000-0005-0000-0000-0000563B0000}"/>
    <cellStyle name="40% - Accent5 2 5 8 4" xfId="9425" xr:uid="{00000000-0005-0000-0000-0000573B0000}"/>
    <cellStyle name="40% - Accent5 2 5 8 4 2" xfId="19988" xr:uid="{00000000-0005-0000-0000-0000583B0000}"/>
    <cellStyle name="40% - Accent5 2 5 8 5" xfId="11644" xr:uid="{00000000-0005-0000-0000-0000593B0000}"/>
    <cellStyle name="40% - Accent5 2 5 8 5 2" xfId="22207" xr:uid="{00000000-0005-0000-0000-00005A3B0000}"/>
    <cellStyle name="40% - Accent5 2 5 8 6" xfId="13863" xr:uid="{00000000-0005-0000-0000-00005B3B0000}"/>
    <cellStyle name="40% - Accent5 2 5 8 6 2" xfId="24426" xr:uid="{00000000-0005-0000-0000-00005C3B0000}"/>
    <cellStyle name="40% - Accent5 2 5 8 7" xfId="17763" xr:uid="{00000000-0005-0000-0000-00005D3B0000}"/>
    <cellStyle name="40% - Accent5 2 5 9" xfId="1391" xr:uid="{00000000-0005-0000-0000-00005E3B0000}"/>
    <cellStyle name="40% - Accent5 2 5 9 2" xfId="8683" xr:uid="{00000000-0005-0000-0000-00005F3B0000}"/>
    <cellStyle name="40% - Accent5 2 5 9 2 2" xfId="10902" xr:uid="{00000000-0005-0000-0000-0000603B0000}"/>
    <cellStyle name="40% - Accent5 2 5 9 2 2 2" xfId="21465" xr:uid="{00000000-0005-0000-0000-0000613B0000}"/>
    <cellStyle name="40% - Accent5 2 5 9 2 3" xfId="13121" xr:uid="{00000000-0005-0000-0000-0000623B0000}"/>
    <cellStyle name="40% - Accent5 2 5 9 2 3 2" xfId="23684" xr:uid="{00000000-0005-0000-0000-0000633B0000}"/>
    <cellStyle name="40% - Accent5 2 5 9 2 4" xfId="15340" xr:uid="{00000000-0005-0000-0000-0000643B0000}"/>
    <cellStyle name="40% - Accent5 2 5 9 2 4 2" xfId="25903" xr:uid="{00000000-0005-0000-0000-0000653B0000}"/>
    <cellStyle name="40% - Accent5 2 5 9 2 5" xfId="19246" xr:uid="{00000000-0005-0000-0000-0000663B0000}"/>
    <cellStyle name="40% - Accent5 2 5 9 3" xfId="7950" xr:uid="{00000000-0005-0000-0000-0000673B0000}"/>
    <cellStyle name="40% - Accent5 2 5 9 3 2" xfId="10169" xr:uid="{00000000-0005-0000-0000-0000683B0000}"/>
    <cellStyle name="40% - Accent5 2 5 9 3 2 2" xfId="20732" xr:uid="{00000000-0005-0000-0000-0000693B0000}"/>
    <cellStyle name="40% - Accent5 2 5 9 3 3" xfId="12388" xr:uid="{00000000-0005-0000-0000-00006A3B0000}"/>
    <cellStyle name="40% - Accent5 2 5 9 3 3 2" xfId="22951" xr:uid="{00000000-0005-0000-0000-00006B3B0000}"/>
    <cellStyle name="40% - Accent5 2 5 9 3 4" xfId="14607" xr:uid="{00000000-0005-0000-0000-00006C3B0000}"/>
    <cellStyle name="40% - Accent5 2 5 9 3 4 2" xfId="25170" xr:uid="{00000000-0005-0000-0000-00006D3B0000}"/>
    <cellStyle name="40% - Accent5 2 5 9 3 5" xfId="18513" xr:uid="{00000000-0005-0000-0000-00006E3B0000}"/>
    <cellStyle name="40% - Accent5 2 5 9 4" xfId="9426" xr:uid="{00000000-0005-0000-0000-00006F3B0000}"/>
    <cellStyle name="40% - Accent5 2 5 9 4 2" xfId="19989" xr:uid="{00000000-0005-0000-0000-0000703B0000}"/>
    <cellStyle name="40% - Accent5 2 5 9 5" xfId="11645" xr:uid="{00000000-0005-0000-0000-0000713B0000}"/>
    <cellStyle name="40% - Accent5 2 5 9 5 2" xfId="22208" xr:uid="{00000000-0005-0000-0000-0000723B0000}"/>
    <cellStyle name="40% - Accent5 2 5 9 6" xfId="13864" xr:uid="{00000000-0005-0000-0000-0000733B0000}"/>
    <cellStyle name="40% - Accent5 2 5 9 6 2" xfId="24427" xr:uid="{00000000-0005-0000-0000-0000743B0000}"/>
    <cellStyle name="40% - Accent5 2 5 9 7" xfId="17764" xr:uid="{00000000-0005-0000-0000-0000753B0000}"/>
    <cellStyle name="40% - Accent5 2 6" xfId="1392" xr:uid="{00000000-0005-0000-0000-0000763B0000}"/>
    <cellStyle name="40% - Accent5 2 6 10" xfId="13865" xr:uid="{00000000-0005-0000-0000-0000773B0000}"/>
    <cellStyle name="40% - Accent5 2 6 10 2" xfId="24428" xr:uid="{00000000-0005-0000-0000-0000783B0000}"/>
    <cellStyle name="40% - Accent5 2 6 11" xfId="17765" xr:uid="{00000000-0005-0000-0000-0000793B0000}"/>
    <cellStyle name="40% - Accent5 2 6 2" xfId="1393" xr:uid="{00000000-0005-0000-0000-00007A3B0000}"/>
    <cellStyle name="40% - Accent5 2 6 2 2" xfId="8685" xr:uid="{00000000-0005-0000-0000-00007B3B0000}"/>
    <cellStyle name="40% - Accent5 2 6 2 2 2" xfId="10904" xr:uid="{00000000-0005-0000-0000-00007C3B0000}"/>
    <cellStyle name="40% - Accent5 2 6 2 2 2 2" xfId="21467" xr:uid="{00000000-0005-0000-0000-00007D3B0000}"/>
    <cellStyle name="40% - Accent5 2 6 2 2 3" xfId="13123" xr:uid="{00000000-0005-0000-0000-00007E3B0000}"/>
    <cellStyle name="40% - Accent5 2 6 2 2 3 2" xfId="23686" xr:uid="{00000000-0005-0000-0000-00007F3B0000}"/>
    <cellStyle name="40% - Accent5 2 6 2 2 4" xfId="15342" xr:uid="{00000000-0005-0000-0000-0000803B0000}"/>
    <cellStyle name="40% - Accent5 2 6 2 2 4 2" xfId="25905" xr:uid="{00000000-0005-0000-0000-0000813B0000}"/>
    <cellStyle name="40% - Accent5 2 6 2 2 5" xfId="19248" xr:uid="{00000000-0005-0000-0000-0000823B0000}"/>
    <cellStyle name="40% - Accent5 2 6 2 3" xfId="7952" xr:uid="{00000000-0005-0000-0000-0000833B0000}"/>
    <cellStyle name="40% - Accent5 2 6 2 3 2" xfId="10171" xr:uid="{00000000-0005-0000-0000-0000843B0000}"/>
    <cellStyle name="40% - Accent5 2 6 2 3 2 2" xfId="20734" xr:uid="{00000000-0005-0000-0000-0000853B0000}"/>
    <cellStyle name="40% - Accent5 2 6 2 3 3" xfId="12390" xr:uid="{00000000-0005-0000-0000-0000863B0000}"/>
    <cellStyle name="40% - Accent5 2 6 2 3 3 2" xfId="22953" xr:uid="{00000000-0005-0000-0000-0000873B0000}"/>
    <cellStyle name="40% - Accent5 2 6 2 3 4" xfId="14609" xr:uid="{00000000-0005-0000-0000-0000883B0000}"/>
    <cellStyle name="40% - Accent5 2 6 2 3 4 2" xfId="25172" xr:uid="{00000000-0005-0000-0000-0000893B0000}"/>
    <cellStyle name="40% - Accent5 2 6 2 3 5" xfId="18515" xr:uid="{00000000-0005-0000-0000-00008A3B0000}"/>
    <cellStyle name="40% - Accent5 2 6 2 4" xfId="9428" xr:uid="{00000000-0005-0000-0000-00008B3B0000}"/>
    <cellStyle name="40% - Accent5 2 6 2 4 2" xfId="19991" xr:uid="{00000000-0005-0000-0000-00008C3B0000}"/>
    <cellStyle name="40% - Accent5 2 6 2 5" xfId="11647" xr:uid="{00000000-0005-0000-0000-00008D3B0000}"/>
    <cellStyle name="40% - Accent5 2 6 2 5 2" xfId="22210" xr:uid="{00000000-0005-0000-0000-00008E3B0000}"/>
    <cellStyle name="40% - Accent5 2 6 2 6" xfId="13866" xr:uid="{00000000-0005-0000-0000-00008F3B0000}"/>
    <cellStyle name="40% - Accent5 2 6 2 6 2" xfId="24429" xr:uid="{00000000-0005-0000-0000-0000903B0000}"/>
    <cellStyle name="40% - Accent5 2 6 2 7" xfId="17766" xr:uid="{00000000-0005-0000-0000-0000913B0000}"/>
    <cellStyle name="40% - Accent5 2 6 3" xfId="1394" xr:uid="{00000000-0005-0000-0000-0000923B0000}"/>
    <cellStyle name="40% - Accent5 2 6 3 2" xfId="8686" xr:uid="{00000000-0005-0000-0000-0000933B0000}"/>
    <cellStyle name="40% - Accent5 2 6 3 2 2" xfId="10905" xr:uid="{00000000-0005-0000-0000-0000943B0000}"/>
    <cellStyle name="40% - Accent5 2 6 3 2 2 2" xfId="21468" xr:uid="{00000000-0005-0000-0000-0000953B0000}"/>
    <cellStyle name="40% - Accent5 2 6 3 2 3" xfId="13124" xr:uid="{00000000-0005-0000-0000-0000963B0000}"/>
    <cellStyle name="40% - Accent5 2 6 3 2 3 2" xfId="23687" xr:uid="{00000000-0005-0000-0000-0000973B0000}"/>
    <cellStyle name="40% - Accent5 2 6 3 2 4" xfId="15343" xr:uid="{00000000-0005-0000-0000-0000983B0000}"/>
    <cellStyle name="40% - Accent5 2 6 3 2 4 2" xfId="25906" xr:uid="{00000000-0005-0000-0000-0000993B0000}"/>
    <cellStyle name="40% - Accent5 2 6 3 2 5" xfId="19249" xr:uid="{00000000-0005-0000-0000-00009A3B0000}"/>
    <cellStyle name="40% - Accent5 2 6 3 3" xfId="7953" xr:uid="{00000000-0005-0000-0000-00009B3B0000}"/>
    <cellStyle name="40% - Accent5 2 6 3 3 2" xfId="10172" xr:uid="{00000000-0005-0000-0000-00009C3B0000}"/>
    <cellStyle name="40% - Accent5 2 6 3 3 2 2" xfId="20735" xr:uid="{00000000-0005-0000-0000-00009D3B0000}"/>
    <cellStyle name="40% - Accent5 2 6 3 3 3" xfId="12391" xr:uid="{00000000-0005-0000-0000-00009E3B0000}"/>
    <cellStyle name="40% - Accent5 2 6 3 3 3 2" xfId="22954" xr:uid="{00000000-0005-0000-0000-00009F3B0000}"/>
    <cellStyle name="40% - Accent5 2 6 3 3 4" xfId="14610" xr:uid="{00000000-0005-0000-0000-0000A03B0000}"/>
    <cellStyle name="40% - Accent5 2 6 3 3 4 2" xfId="25173" xr:uid="{00000000-0005-0000-0000-0000A13B0000}"/>
    <cellStyle name="40% - Accent5 2 6 3 3 5" xfId="18516" xr:uid="{00000000-0005-0000-0000-0000A23B0000}"/>
    <cellStyle name="40% - Accent5 2 6 3 4" xfId="9429" xr:uid="{00000000-0005-0000-0000-0000A33B0000}"/>
    <cellStyle name="40% - Accent5 2 6 3 4 2" xfId="19992" xr:uid="{00000000-0005-0000-0000-0000A43B0000}"/>
    <cellStyle name="40% - Accent5 2 6 3 5" xfId="11648" xr:uid="{00000000-0005-0000-0000-0000A53B0000}"/>
    <cellStyle name="40% - Accent5 2 6 3 5 2" xfId="22211" xr:uid="{00000000-0005-0000-0000-0000A63B0000}"/>
    <cellStyle name="40% - Accent5 2 6 3 6" xfId="13867" xr:uid="{00000000-0005-0000-0000-0000A73B0000}"/>
    <cellStyle name="40% - Accent5 2 6 3 6 2" xfId="24430" xr:uid="{00000000-0005-0000-0000-0000A83B0000}"/>
    <cellStyle name="40% - Accent5 2 6 3 7" xfId="17767" xr:uid="{00000000-0005-0000-0000-0000A93B0000}"/>
    <cellStyle name="40% - Accent5 2 6 4" xfId="1395" xr:uid="{00000000-0005-0000-0000-0000AA3B0000}"/>
    <cellStyle name="40% - Accent5 2 6 4 2" xfId="8687" xr:uid="{00000000-0005-0000-0000-0000AB3B0000}"/>
    <cellStyle name="40% - Accent5 2 6 4 2 2" xfId="10906" xr:uid="{00000000-0005-0000-0000-0000AC3B0000}"/>
    <cellStyle name="40% - Accent5 2 6 4 2 2 2" xfId="21469" xr:uid="{00000000-0005-0000-0000-0000AD3B0000}"/>
    <cellStyle name="40% - Accent5 2 6 4 2 3" xfId="13125" xr:uid="{00000000-0005-0000-0000-0000AE3B0000}"/>
    <cellStyle name="40% - Accent5 2 6 4 2 3 2" xfId="23688" xr:uid="{00000000-0005-0000-0000-0000AF3B0000}"/>
    <cellStyle name="40% - Accent5 2 6 4 2 4" xfId="15344" xr:uid="{00000000-0005-0000-0000-0000B03B0000}"/>
    <cellStyle name="40% - Accent5 2 6 4 2 4 2" xfId="25907" xr:uid="{00000000-0005-0000-0000-0000B13B0000}"/>
    <cellStyle name="40% - Accent5 2 6 4 2 5" xfId="19250" xr:uid="{00000000-0005-0000-0000-0000B23B0000}"/>
    <cellStyle name="40% - Accent5 2 6 4 3" xfId="7954" xr:uid="{00000000-0005-0000-0000-0000B33B0000}"/>
    <cellStyle name="40% - Accent5 2 6 4 3 2" xfId="10173" xr:uid="{00000000-0005-0000-0000-0000B43B0000}"/>
    <cellStyle name="40% - Accent5 2 6 4 3 2 2" xfId="20736" xr:uid="{00000000-0005-0000-0000-0000B53B0000}"/>
    <cellStyle name="40% - Accent5 2 6 4 3 3" xfId="12392" xr:uid="{00000000-0005-0000-0000-0000B63B0000}"/>
    <cellStyle name="40% - Accent5 2 6 4 3 3 2" xfId="22955" xr:uid="{00000000-0005-0000-0000-0000B73B0000}"/>
    <cellStyle name="40% - Accent5 2 6 4 3 4" xfId="14611" xr:uid="{00000000-0005-0000-0000-0000B83B0000}"/>
    <cellStyle name="40% - Accent5 2 6 4 3 4 2" xfId="25174" xr:uid="{00000000-0005-0000-0000-0000B93B0000}"/>
    <cellStyle name="40% - Accent5 2 6 4 3 5" xfId="18517" xr:uid="{00000000-0005-0000-0000-0000BA3B0000}"/>
    <cellStyle name="40% - Accent5 2 6 4 4" xfId="9430" xr:uid="{00000000-0005-0000-0000-0000BB3B0000}"/>
    <cellStyle name="40% - Accent5 2 6 4 4 2" xfId="19993" xr:uid="{00000000-0005-0000-0000-0000BC3B0000}"/>
    <cellStyle name="40% - Accent5 2 6 4 5" xfId="11649" xr:uid="{00000000-0005-0000-0000-0000BD3B0000}"/>
    <cellStyle name="40% - Accent5 2 6 4 5 2" xfId="22212" xr:uid="{00000000-0005-0000-0000-0000BE3B0000}"/>
    <cellStyle name="40% - Accent5 2 6 4 6" xfId="13868" xr:uid="{00000000-0005-0000-0000-0000BF3B0000}"/>
    <cellStyle name="40% - Accent5 2 6 4 6 2" xfId="24431" xr:uid="{00000000-0005-0000-0000-0000C03B0000}"/>
    <cellStyle name="40% - Accent5 2 6 4 7" xfId="17768" xr:uid="{00000000-0005-0000-0000-0000C13B0000}"/>
    <cellStyle name="40% - Accent5 2 6 5" xfId="1396" xr:uid="{00000000-0005-0000-0000-0000C23B0000}"/>
    <cellStyle name="40% - Accent5 2 6 5 2" xfId="8688" xr:uid="{00000000-0005-0000-0000-0000C33B0000}"/>
    <cellStyle name="40% - Accent5 2 6 5 2 2" xfId="10907" xr:uid="{00000000-0005-0000-0000-0000C43B0000}"/>
    <cellStyle name="40% - Accent5 2 6 5 2 2 2" xfId="21470" xr:uid="{00000000-0005-0000-0000-0000C53B0000}"/>
    <cellStyle name="40% - Accent5 2 6 5 2 3" xfId="13126" xr:uid="{00000000-0005-0000-0000-0000C63B0000}"/>
    <cellStyle name="40% - Accent5 2 6 5 2 3 2" xfId="23689" xr:uid="{00000000-0005-0000-0000-0000C73B0000}"/>
    <cellStyle name="40% - Accent5 2 6 5 2 4" xfId="15345" xr:uid="{00000000-0005-0000-0000-0000C83B0000}"/>
    <cellStyle name="40% - Accent5 2 6 5 2 4 2" xfId="25908" xr:uid="{00000000-0005-0000-0000-0000C93B0000}"/>
    <cellStyle name="40% - Accent5 2 6 5 2 5" xfId="19251" xr:uid="{00000000-0005-0000-0000-0000CA3B0000}"/>
    <cellStyle name="40% - Accent5 2 6 5 3" xfId="7955" xr:uid="{00000000-0005-0000-0000-0000CB3B0000}"/>
    <cellStyle name="40% - Accent5 2 6 5 3 2" xfId="10174" xr:uid="{00000000-0005-0000-0000-0000CC3B0000}"/>
    <cellStyle name="40% - Accent5 2 6 5 3 2 2" xfId="20737" xr:uid="{00000000-0005-0000-0000-0000CD3B0000}"/>
    <cellStyle name="40% - Accent5 2 6 5 3 3" xfId="12393" xr:uid="{00000000-0005-0000-0000-0000CE3B0000}"/>
    <cellStyle name="40% - Accent5 2 6 5 3 3 2" xfId="22956" xr:uid="{00000000-0005-0000-0000-0000CF3B0000}"/>
    <cellStyle name="40% - Accent5 2 6 5 3 4" xfId="14612" xr:uid="{00000000-0005-0000-0000-0000D03B0000}"/>
    <cellStyle name="40% - Accent5 2 6 5 3 4 2" xfId="25175" xr:uid="{00000000-0005-0000-0000-0000D13B0000}"/>
    <cellStyle name="40% - Accent5 2 6 5 3 5" xfId="18518" xr:uid="{00000000-0005-0000-0000-0000D23B0000}"/>
    <cellStyle name="40% - Accent5 2 6 5 4" xfId="9431" xr:uid="{00000000-0005-0000-0000-0000D33B0000}"/>
    <cellStyle name="40% - Accent5 2 6 5 4 2" xfId="19994" xr:uid="{00000000-0005-0000-0000-0000D43B0000}"/>
    <cellStyle name="40% - Accent5 2 6 5 5" xfId="11650" xr:uid="{00000000-0005-0000-0000-0000D53B0000}"/>
    <cellStyle name="40% - Accent5 2 6 5 5 2" xfId="22213" xr:uid="{00000000-0005-0000-0000-0000D63B0000}"/>
    <cellStyle name="40% - Accent5 2 6 5 6" xfId="13869" xr:uid="{00000000-0005-0000-0000-0000D73B0000}"/>
    <cellStyle name="40% - Accent5 2 6 5 6 2" xfId="24432" xr:uid="{00000000-0005-0000-0000-0000D83B0000}"/>
    <cellStyle name="40% - Accent5 2 6 5 7" xfId="17769" xr:uid="{00000000-0005-0000-0000-0000D93B0000}"/>
    <cellStyle name="40% - Accent5 2 6 6" xfId="8684" xr:uid="{00000000-0005-0000-0000-0000DA3B0000}"/>
    <cellStyle name="40% - Accent5 2 6 6 2" xfId="10903" xr:uid="{00000000-0005-0000-0000-0000DB3B0000}"/>
    <cellStyle name="40% - Accent5 2 6 6 2 2" xfId="21466" xr:uid="{00000000-0005-0000-0000-0000DC3B0000}"/>
    <cellStyle name="40% - Accent5 2 6 6 3" xfId="13122" xr:uid="{00000000-0005-0000-0000-0000DD3B0000}"/>
    <cellStyle name="40% - Accent5 2 6 6 3 2" xfId="23685" xr:uid="{00000000-0005-0000-0000-0000DE3B0000}"/>
    <cellStyle name="40% - Accent5 2 6 6 4" xfId="15341" xr:uid="{00000000-0005-0000-0000-0000DF3B0000}"/>
    <cellStyle name="40% - Accent5 2 6 6 4 2" xfId="25904" xr:uid="{00000000-0005-0000-0000-0000E03B0000}"/>
    <cellStyle name="40% - Accent5 2 6 6 5" xfId="19247" xr:uid="{00000000-0005-0000-0000-0000E13B0000}"/>
    <cellStyle name="40% - Accent5 2 6 7" xfId="7951" xr:uid="{00000000-0005-0000-0000-0000E23B0000}"/>
    <cellStyle name="40% - Accent5 2 6 7 2" xfId="10170" xr:uid="{00000000-0005-0000-0000-0000E33B0000}"/>
    <cellStyle name="40% - Accent5 2 6 7 2 2" xfId="20733" xr:uid="{00000000-0005-0000-0000-0000E43B0000}"/>
    <cellStyle name="40% - Accent5 2 6 7 3" xfId="12389" xr:uid="{00000000-0005-0000-0000-0000E53B0000}"/>
    <cellStyle name="40% - Accent5 2 6 7 3 2" xfId="22952" xr:uid="{00000000-0005-0000-0000-0000E63B0000}"/>
    <cellStyle name="40% - Accent5 2 6 7 4" xfId="14608" xr:uid="{00000000-0005-0000-0000-0000E73B0000}"/>
    <cellStyle name="40% - Accent5 2 6 7 4 2" xfId="25171" xr:uid="{00000000-0005-0000-0000-0000E83B0000}"/>
    <cellStyle name="40% - Accent5 2 6 7 5" xfId="18514" xr:uid="{00000000-0005-0000-0000-0000E93B0000}"/>
    <cellStyle name="40% - Accent5 2 6 8" xfId="9427" xr:uid="{00000000-0005-0000-0000-0000EA3B0000}"/>
    <cellStyle name="40% - Accent5 2 6 8 2" xfId="19990" xr:uid="{00000000-0005-0000-0000-0000EB3B0000}"/>
    <cellStyle name="40% - Accent5 2 6 9" xfId="11646" xr:uid="{00000000-0005-0000-0000-0000EC3B0000}"/>
    <cellStyle name="40% - Accent5 2 6 9 2" xfId="22209" xr:uid="{00000000-0005-0000-0000-0000ED3B0000}"/>
    <cellStyle name="40% - Accent5 2 7" xfId="1397" xr:uid="{00000000-0005-0000-0000-0000EE3B0000}"/>
    <cellStyle name="40% - Accent5 2 7 2" xfId="8689" xr:uid="{00000000-0005-0000-0000-0000EF3B0000}"/>
    <cellStyle name="40% - Accent5 2 7 2 2" xfId="10908" xr:uid="{00000000-0005-0000-0000-0000F03B0000}"/>
    <cellStyle name="40% - Accent5 2 7 2 2 2" xfId="21471" xr:uid="{00000000-0005-0000-0000-0000F13B0000}"/>
    <cellStyle name="40% - Accent5 2 7 2 3" xfId="13127" xr:uid="{00000000-0005-0000-0000-0000F23B0000}"/>
    <cellStyle name="40% - Accent5 2 7 2 3 2" xfId="23690" xr:uid="{00000000-0005-0000-0000-0000F33B0000}"/>
    <cellStyle name="40% - Accent5 2 7 2 4" xfId="15346" xr:uid="{00000000-0005-0000-0000-0000F43B0000}"/>
    <cellStyle name="40% - Accent5 2 7 2 4 2" xfId="25909" xr:uid="{00000000-0005-0000-0000-0000F53B0000}"/>
    <cellStyle name="40% - Accent5 2 7 2 5" xfId="19252" xr:uid="{00000000-0005-0000-0000-0000F63B0000}"/>
    <cellStyle name="40% - Accent5 2 7 3" xfId="7956" xr:uid="{00000000-0005-0000-0000-0000F73B0000}"/>
    <cellStyle name="40% - Accent5 2 7 3 2" xfId="10175" xr:uid="{00000000-0005-0000-0000-0000F83B0000}"/>
    <cellStyle name="40% - Accent5 2 7 3 2 2" xfId="20738" xr:uid="{00000000-0005-0000-0000-0000F93B0000}"/>
    <cellStyle name="40% - Accent5 2 7 3 3" xfId="12394" xr:uid="{00000000-0005-0000-0000-0000FA3B0000}"/>
    <cellStyle name="40% - Accent5 2 7 3 3 2" xfId="22957" xr:uid="{00000000-0005-0000-0000-0000FB3B0000}"/>
    <cellStyle name="40% - Accent5 2 7 3 4" xfId="14613" xr:uid="{00000000-0005-0000-0000-0000FC3B0000}"/>
    <cellStyle name="40% - Accent5 2 7 3 4 2" xfId="25176" xr:uid="{00000000-0005-0000-0000-0000FD3B0000}"/>
    <cellStyle name="40% - Accent5 2 7 3 5" xfId="18519" xr:uid="{00000000-0005-0000-0000-0000FE3B0000}"/>
    <cellStyle name="40% - Accent5 2 7 4" xfId="9432" xr:uid="{00000000-0005-0000-0000-0000FF3B0000}"/>
    <cellStyle name="40% - Accent5 2 7 4 2" xfId="19995" xr:uid="{00000000-0005-0000-0000-0000003C0000}"/>
    <cellStyle name="40% - Accent5 2 7 5" xfId="11651" xr:uid="{00000000-0005-0000-0000-0000013C0000}"/>
    <cellStyle name="40% - Accent5 2 7 5 2" xfId="22214" xr:uid="{00000000-0005-0000-0000-0000023C0000}"/>
    <cellStyle name="40% - Accent5 2 7 6" xfId="13870" xr:uid="{00000000-0005-0000-0000-0000033C0000}"/>
    <cellStyle name="40% - Accent5 2 7 6 2" xfId="24433" xr:uid="{00000000-0005-0000-0000-0000043C0000}"/>
    <cellStyle name="40% - Accent5 2 7 7" xfId="17770" xr:uid="{00000000-0005-0000-0000-0000053C0000}"/>
    <cellStyle name="40% - Accent5 2 8" xfId="1398" xr:uid="{00000000-0005-0000-0000-0000063C0000}"/>
    <cellStyle name="40% - Accent5 2 8 2" xfId="8690" xr:uid="{00000000-0005-0000-0000-0000073C0000}"/>
    <cellStyle name="40% - Accent5 2 8 2 2" xfId="10909" xr:uid="{00000000-0005-0000-0000-0000083C0000}"/>
    <cellStyle name="40% - Accent5 2 8 2 2 2" xfId="21472" xr:uid="{00000000-0005-0000-0000-0000093C0000}"/>
    <cellStyle name="40% - Accent5 2 8 2 3" xfId="13128" xr:uid="{00000000-0005-0000-0000-00000A3C0000}"/>
    <cellStyle name="40% - Accent5 2 8 2 3 2" xfId="23691" xr:uid="{00000000-0005-0000-0000-00000B3C0000}"/>
    <cellStyle name="40% - Accent5 2 8 2 4" xfId="15347" xr:uid="{00000000-0005-0000-0000-00000C3C0000}"/>
    <cellStyle name="40% - Accent5 2 8 2 4 2" xfId="25910" xr:uid="{00000000-0005-0000-0000-00000D3C0000}"/>
    <cellStyle name="40% - Accent5 2 8 2 5" xfId="19253" xr:uid="{00000000-0005-0000-0000-00000E3C0000}"/>
    <cellStyle name="40% - Accent5 2 8 3" xfId="7957" xr:uid="{00000000-0005-0000-0000-00000F3C0000}"/>
    <cellStyle name="40% - Accent5 2 8 3 2" xfId="10176" xr:uid="{00000000-0005-0000-0000-0000103C0000}"/>
    <cellStyle name="40% - Accent5 2 8 3 2 2" xfId="20739" xr:uid="{00000000-0005-0000-0000-0000113C0000}"/>
    <cellStyle name="40% - Accent5 2 8 3 3" xfId="12395" xr:uid="{00000000-0005-0000-0000-0000123C0000}"/>
    <cellStyle name="40% - Accent5 2 8 3 3 2" xfId="22958" xr:uid="{00000000-0005-0000-0000-0000133C0000}"/>
    <cellStyle name="40% - Accent5 2 8 3 4" xfId="14614" xr:uid="{00000000-0005-0000-0000-0000143C0000}"/>
    <cellStyle name="40% - Accent5 2 8 3 4 2" xfId="25177" xr:uid="{00000000-0005-0000-0000-0000153C0000}"/>
    <cellStyle name="40% - Accent5 2 8 3 5" xfId="18520" xr:uid="{00000000-0005-0000-0000-0000163C0000}"/>
    <cellStyle name="40% - Accent5 2 8 4" xfId="9433" xr:uid="{00000000-0005-0000-0000-0000173C0000}"/>
    <cellStyle name="40% - Accent5 2 8 4 2" xfId="19996" xr:uid="{00000000-0005-0000-0000-0000183C0000}"/>
    <cellStyle name="40% - Accent5 2 8 5" xfId="11652" xr:uid="{00000000-0005-0000-0000-0000193C0000}"/>
    <cellStyle name="40% - Accent5 2 8 5 2" xfId="22215" xr:uid="{00000000-0005-0000-0000-00001A3C0000}"/>
    <cellStyle name="40% - Accent5 2 8 6" xfId="13871" xr:uid="{00000000-0005-0000-0000-00001B3C0000}"/>
    <cellStyle name="40% - Accent5 2 8 6 2" xfId="24434" xr:uid="{00000000-0005-0000-0000-00001C3C0000}"/>
    <cellStyle name="40% - Accent5 2 8 7" xfId="17771" xr:uid="{00000000-0005-0000-0000-00001D3C0000}"/>
    <cellStyle name="40% - Accent5 2 9" xfId="1399" xr:uid="{00000000-0005-0000-0000-00001E3C0000}"/>
    <cellStyle name="40% - Accent5 2 9 2" xfId="8691" xr:uid="{00000000-0005-0000-0000-00001F3C0000}"/>
    <cellStyle name="40% - Accent5 2 9 2 2" xfId="10910" xr:uid="{00000000-0005-0000-0000-0000203C0000}"/>
    <cellStyle name="40% - Accent5 2 9 2 2 2" xfId="21473" xr:uid="{00000000-0005-0000-0000-0000213C0000}"/>
    <cellStyle name="40% - Accent5 2 9 2 3" xfId="13129" xr:uid="{00000000-0005-0000-0000-0000223C0000}"/>
    <cellStyle name="40% - Accent5 2 9 2 3 2" xfId="23692" xr:uid="{00000000-0005-0000-0000-0000233C0000}"/>
    <cellStyle name="40% - Accent5 2 9 2 4" xfId="15348" xr:uid="{00000000-0005-0000-0000-0000243C0000}"/>
    <cellStyle name="40% - Accent5 2 9 2 4 2" xfId="25911" xr:uid="{00000000-0005-0000-0000-0000253C0000}"/>
    <cellStyle name="40% - Accent5 2 9 2 5" xfId="19254" xr:uid="{00000000-0005-0000-0000-0000263C0000}"/>
    <cellStyle name="40% - Accent5 2 9 3" xfId="7958" xr:uid="{00000000-0005-0000-0000-0000273C0000}"/>
    <cellStyle name="40% - Accent5 2 9 3 2" xfId="10177" xr:uid="{00000000-0005-0000-0000-0000283C0000}"/>
    <cellStyle name="40% - Accent5 2 9 3 2 2" xfId="20740" xr:uid="{00000000-0005-0000-0000-0000293C0000}"/>
    <cellStyle name="40% - Accent5 2 9 3 3" xfId="12396" xr:uid="{00000000-0005-0000-0000-00002A3C0000}"/>
    <cellStyle name="40% - Accent5 2 9 3 3 2" xfId="22959" xr:uid="{00000000-0005-0000-0000-00002B3C0000}"/>
    <cellStyle name="40% - Accent5 2 9 3 4" xfId="14615" xr:uid="{00000000-0005-0000-0000-00002C3C0000}"/>
    <cellStyle name="40% - Accent5 2 9 3 4 2" xfId="25178" xr:uid="{00000000-0005-0000-0000-00002D3C0000}"/>
    <cellStyle name="40% - Accent5 2 9 3 5" xfId="18521" xr:uid="{00000000-0005-0000-0000-00002E3C0000}"/>
    <cellStyle name="40% - Accent5 2 9 4" xfId="9434" xr:uid="{00000000-0005-0000-0000-00002F3C0000}"/>
    <cellStyle name="40% - Accent5 2 9 4 2" xfId="19997" xr:uid="{00000000-0005-0000-0000-0000303C0000}"/>
    <cellStyle name="40% - Accent5 2 9 5" xfId="11653" xr:uid="{00000000-0005-0000-0000-0000313C0000}"/>
    <cellStyle name="40% - Accent5 2 9 5 2" xfId="22216" xr:uid="{00000000-0005-0000-0000-0000323C0000}"/>
    <cellStyle name="40% - Accent5 2 9 6" xfId="13872" xr:uid="{00000000-0005-0000-0000-0000333C0000}"/>
    <cellStyle name="40% - Accent5 2 9 6 2" xfId="24435" xr:uid="{00000000-0005-0000-0000-0000343C0000}"/>
    <cellStyle name="40% - Accent5 2 9 7" xfId="17772" xr:uid="{00000000-0005-0000-0000-0000353C0000}"/>
    <cellStyle name="40% - Accent5 3" xfId="1400" xr:uid="{00000000-0005-0000-0000-0000363C0000}"/>
    <cellStyle name="40% - Accent5 3 10" xfId="1401" xr:uid="{00000000-0005-0000-0000-0000373C0000}"/>
    <cellStyle name="40% - Accent5 3 2" xfId="1402" xr:uid="{00000000-0005-0000-0000-0000383C0000}"/>
    <cellStyle name="40% - Accent5 3 2 2" xfId="8692" xr:uid="{00000000-0005-0000-0000-0000393C0000}"/>
    <cellStyle name="40% - Accent5 3 2 2 2" xfId="10911" xr:uid="{00000000-0005-0000-0000-00003A3C0000}"/>
    <cellStyle name="40% - Accent5 3 2 2 2 2" xfId="21474" xr:uid="{00000000-0005-0000-0000-00003B3C0000}"/>
    <cellStyle name="40% - Accent5 3 2 2 3" xfId="13130" xr:uid="{00000000-0005-0000-0000-00003C3C0000}"/>
    <cellStyle name="40% - Accent5 3 2 2 3 2" xfId="23693" xr:uid="{00000000-0005-0000-0000-00003D3C0000}"/>
    <cellStyle name="40% - Accent5 3 2 2 4" xfId="15349" xr:uid="{00000000-0005-0000-0000-00003E3C0000}"/>
    <cellStyle name="40% - Accent5 3 2 2 4 2" xfId="25912" xr:uid="{00000000-0005-0000-0000-00003F3C0000}"/>
    <cellStyle name="40% - Accent5 3 2 2 5" xfId="19255" xr:uid="{00000000-0005-0000-0000-0000403C0000}"/>
    <cellStyle name="40% - Accent5 3 2 3" xfId="7959" xr:uid="{00000000-0005-0000-0000-0000413C0000}"/>
    <cellStyle name="40% - Accent5 3 2 3 2" xfId="10178" xr:uid="{00000000-0005-0000-0000-0000423C0000}"/>
    <cellStyle name="40% - Accent5 3 2 3 2 2" xfId="20741" xr:uid="{00000000-0005-0000-0000-0000433C0000}"/>
    <cellStyle name="40% - Accent5 3 2 3 3" xfId="12397" xr:uid="{00000000-0005-0000-0000-0000443C0000}"/>
    <cellStyle name="40% - Accent5 3 2 3 3 2" xfId="22960" xr:uid="{00000000-0005-0000-0000-0000453C0000}"/>
    <cellStyle name="40% - Accent5 3 2 3 4" xfId="14616" xr:uid="{00000000-0005-0000-0000-0000463C0000}"/>
    <cellStyle name="40% - Accent5 3 2 3 4 2" xfId="25179" xr:uid="{00000000-0005-0000-0000-0000473C0000}"/>
    <cellStyle name="40% - Accent5 3 2 3 5" xfId="18522" xr:uid="{00000000-0005-0000-0000-0000483C0000}"/>
    <cellStyle name="40% - Accent5 3 2 4" xfId="9435" xr:uid="{00000000-0005-0000-0000-0000493C0000}"/>
    <cellStyle name="40% - Accent5 3 2 4 2" xfId="19998" xr:uid="{00000000-0005-0000-0000-00004A3C0000}"/>
    <cellStyle name="40% - Accent5 3 2 5" xfId="11654" xr:uid="{00000000-0005-0000-0000-00004B3C0000}"/>
    <cellStyle name="40% - Accent5 3 2 5 2" xfId="22217" xr:uid="{00000000-0005-0000-0000-00004C3C0000}"/>
    <cellStyle name="40% - Accent5 3 2 6" xfId="13873" xr:uid="{00000000-0005-0000-0000-00004D3C0000}"/>
    <cellStyle name="40% - Accent5 3 2 6 2" xfId="24436" xr:uid="{00000000-0005-0000-0000-00004E3C0000}"/>
    <cellStyle name="40% - Accent5 3 2 7" xfId="17773" xr:uid="{00000000-0005-0000-0000-00004F3C0000}"/>
    <cellStyle name="40% - Accent5 3 3" xfId="1403" xr:uid="{00000000-0005-0000-0000-0000503C0000}"/>
    <cellStyle name="40% - Accent5 3 3 2" xfId="8693" xr:uid="{00000000-0005-0000-0000-0000513C0000}"/>
    <cellStyle name="40% - Accent5 3 3 2 2" xfId="10912" xr:uid="{00000000-0005-0000-0000-0000523C0000}"/>
    <cellStyle name="40% - Accent5 3 3 2 2 2" xfId="21475" xr:uid="{00000000-0005-0000-0000-0000533C0000}"/>
    <cellStyle name="40% - Accent5 3 3 2 3" xfId="13131" xr:uid="{00000000-0005-0000-0000-0000543C0000}"/>
    <cellStyle name="40% - Accent5 3 3 2 3 2" xfId="23694" xr:uid="{00000000-0005-0000-0000-0000553C0000}"/>
    <cellStyle name="40% - Accent5 3 3 2 4" xfId="15350" xr:uid="{00000000-0005-0000-0000-0000563C0000}"/>
    <cellStyle name="40% - Accent5 3 3 2 4 2" xfId="25913" xr:uid="{00000000-0005-0000-0000-0000573C0000}"/>
    <cellStyle name="40% - Accent5 3 3 2 5" xfId="19256" xr:uid="{00000000-0005-0000-0000-0000583C0000}"/>
    <cellStyle name="40% - Accent5 3 3 3" xfId="7960" xr:uid="{00000000-0005-0000-0000-0000593C0000}"/>
    <cellStyle name="40% - Accent5 3 3 3 2" xfId="10179" xr:uid="{00000000-0005-0000-0000-00005A3C0000}"/>
    <cellStyle name="40% - Accent5 3 3 3 2 2" xfId="20742" xr:uid="{00000000-0005-0000-0000-00005B3C0000}"/>
    <cellStyle name="40% - Accent5 3 3 3 3" xfId="12398" xr:uid="{00000000-0005-0000-0000-00005C3C0000}"/>
    <cellStyle name="40% - Accent5 3 3 3 3 2" xfId="22961" xr:uid="{00000000-0005-0000-0000-00005D3C0000}"/>
    <cellStyle name="40% - Accent5 3 3 3 4" xfId="14617" xr:uid="{00000000-0005-0000-0000-00005E3C0000}"/>
    <cellStyle name="40% - Accent5 3 3 3 4 2" xfId="25180" xr:uid="{00000000-0005-0000-0000-00005F3C0000}"/>
    <cellStyle name="40% - Accent5 3 3 3 5" xfId="18523" xr:uid="{00000000-0005-0000-0000-0000603C0000}"/>
    <cellStyle name="40% - Accent5 3 3 4" xfId="9436" xr:uid="{00000000-0005-0000-0000-0000613C0000}"/>
    <cellStyle name="40% - Accent5 3 3 4 2" xfId="19999" xr:uid="{00000000-0005-0000-0000-0000623C0000}"/>
    <cellStyle name="40% - Accent5 3 3 5" xfId="11655" xr:uid="{00000000-0005-0000-0000-0000633C0000}"/>
    <cellStyle name="40% - Accent5 3 3 5 2" xfId="22218" xr:uid="{00000000-0005-0000-0000-0000643C0000}"/>
    <cellStyle name="40% - Accent5 3 3 6" xfId="13874" xr:uid="{00000000-0005-0000-0000-0000653C0000}"/>
    <cellStyle name="40% - Accent5 3 3 6 2" xfId="24437" xr:uid="{00000000-0005-0000-0000-0000663C0000}"/>
    <cellStyle name="40% - Accent5 3 3 7" xfId="17774" xr:uid="{00000000-0005-0000-0000-0000673C0000}"/>
    <cellStyle name="40% - Accent5 3 4" xfId="1404" xr:uid="{00000000-0005-0000-0000-0000683C0000}"/>
    <cellStyle name="40% - Accent5 3 4 2" xfId="8694" xr:uid="{00000000-0005-0000-0000-0000693C0000}"/>
    <cellStyle name="40% - Accent5 3 4 2 2" xfId="10913" xr:uid="{00000000-0005-0000-0000-00006A3C0000}"/>
    <cellStyle name="40% - Accent5 3 4 2 2 2" xfId="21476" xr:uid="{00000000-0005-0000-0000-00006B3C0000}"/>
    <cellStyle name="40% - Accent5 3 4 2 3" xfId="13132" xr:uid="{00000000-0005-0000-0000-00006C3C0000}"/>
    <cellStyle name="40% - Accent5 3 4 2 3 2" xfId="23695" xr:uid="{00000000-0005-0000-0000-00006D3C0000}"/>
    <cellStyle name="40% - Accent5 3 4 2 4" xfId="15351" xr:uid="{00000000-0005-0000-0000-00006E3C0000}"/>
    <cellStyle name="40% - Accent5 3 4 2 4 2" xfId="25914" xr:uid="{00000000-0005-0000-0000-00006F3C0000}"/>
    <cellStyle name="40% - Accent5 3 4 2 5" xfId="19257" xr:uid="{00000000-0005-0000-0000-0000703C0000}"/>
    <cellStyle name="40% - Accent5 3 4 3" xfId="7961" xr:uid="{00000000-0005-0000-0000-0000713C0000}"/>
    <cellStyle name="40% - Accent5 3 4 3 2" xfId="10180" xr:uid="{00000000-0005-0000-0000-0000723C0000}"/>
    <cellStyle name="40% - Accent5 3 4 3 2 2" xfId="20743" xr:uid="{00000000-0005-0000-0000-0000733C0000}"/>
    <cellStyle name="40% - Accent5 3 4 3 3" xfId="12399" xr:uid="{00000000-0005-0000-0000-0000743C0000}"/>
    <cellStyle name="40% - Accent5 3 4 3 3 2" xfId="22962" xr:uid="{00000000-0005-0000-0000-0000753C0000}"/>
    <cellStyle name="40% - Accent5 3 4 3 4" xfId="14618" xr:uid="{00000000-0005-0000-0000-0000763C0000}"/>
    <cellStyle name="40% - Accent5 3 4 3 4 2" xfId="25181" xr:uid="{00000000-0005-0000-0000-0000773C0000}"/>
    <cellStyle name="40% - Accent5 3 4 3 5" xfId="18524" xr:uid="{00000000-0005-0000-0000-0000783C0000}"/>
    <cellStyle name="40% - Accent5 3 4 4" xfId="9437" xr:uid="{00000000-0005-0000-0000-0000793C0000}"/>
    <cellStyle name="40% - Accent5 3 4 4 2" xfId="20000" xr:uid="{00000000-0005-0000-0000-00007A3C0000}"/>
    <cellStyle name="40% - Accent5 3 4 5" xfId="11656" xr:uid="{00000000-0005-0000-0000-00007B3C0000}"/>
    <cellStyle name="40% - Accent5 3 4 5 2" xfId="22219" xr:uid="{00000000-0005-0000-0000-00007C3C0000}"/>
    <cellStyle name="40% - Accent5 3 4 6" xfId="13875" xr:uid="{00000000-0005-0000-0000-00007D3C0000}"/>
    <cellStyle name="40% - Accent5 3 4 6 2" xfId="24438" xr:uid="{00000000-0005-0000-0000-00007E3C0000}"/>
    <cellStyle name="40% - Accent5 3 4 7" xfId="17775" xr:uid="{00000000-0005-0000-0000-00007F3C0000}"/>
    <cellStyle name="40% - Accent5 3 5" xfId="1405" xr:uid="{00000000-0005-0000-0000-0000803C0000}"/>
    <cellStyle name="40% - Accent5 3 5 2" xfId="8695" xr:uid="{00000000-0005-0000-0000-0000813C0000}"/>
    <cellStyle name="40% - Accent5 3 5 2 2" xfId="10914" xr:uid="{00000000-0005-0000-0000-0000823C0000}"/>
    <cellStyle name="40% - Accent5 3 5 2 2 2" xfId="21477" xr:uid="{00000000-0005-0000-0000-0000833C0000}"/>
    <cellStyle name="40% - Accent5 3 5 2 3" xfId="13133" xr:uid="{00000000-0005-0000-0000-0000843C0000}"/>
    <cellStyle name="40% - Accent5 3 5 2 3 2" xfId="23696" xr:uid="{00000000-0005-0000-0000-0000853C0000}"/>
    <cellStyle name="40% - Accent5 3 5 2 4" xfId="15352" xr:uid="{00000000-0005-0000-0000-0000863C0000}"/>
    <cellStyle name="40% - Accent5 3 5 2 4 2" xfId="25915" xr:uid="{00000000-0005-0000-0000-0000873C0000}"/>
    <cellStyle name="40% - Accent5 3 5 2 5" xfId="19258" xr:uid="{00000000-0005-0000-0000-0000883C0000}"/>
    <cellStyle name="40% - Accent5 3 5 3" xfId="7962" xr:uid="{00000000-0005-0000-0000-0000893C0000}"/>
    <cellStyle name="40% - Accent5 3 5 3 2" xfId="10181" xr:uid="{00000000-0005-0000-0000-00008A3C0000}"/>
    <cellStyle name="40% - Accent5 3 5 3 2 2" xfId="20744" xr:uid="{00000000-0005-0000-0000-00008B3C0000}"/>
    <cellStyle name="40% - Accent5 3 5 3 3" xfId="12400" xr:uid="{00000000-0005-0000-0000-00008C3C0000}"/>
    <cellStyle name="40% - Accent5 3 5 3 3 2" xfId="22963" xr:uid="{00000000-0005-0000-0000-00008D3C0000}"/>
    <cellStyle name="40% - Accent5 3 5 3 4" xfId="14619" xr:uid="{00000000-0005-0000-0000-00008E3C0000}"/>
    <cellStyle name="40% - Accent5 3 5 3 4 2" xfId="25182" xr:uid="{00000000-0005-0000-0000-00008F3C0000}"/>
    <cellStyle name="40% - Accent5 3 5 3 5" xfId="18525" xr:uid="{00000000-0005-0000-0000-0000903C0000}"/>
    <cellStyle name="40% - Accent5 3 5 4" xfId="9438" xr:uid="{00000000-0005-0000-0000-0000913C0000}"/>
    <cellStyle name="40% - Accent5 3 5 4 2" xfId="20001" xr:uid="{00000000-0005-0000-0000-0000923C0000}"/>
    <cellStyle name="40% - Accent5 3 5 5" xfId="11657" xr:uid="{00000000-0005-0000-0000-0000933C0000}"/>
    <cellStyle name="40% - Accent5 3 5 5 2" xfId="22220" xr:uid="{00000000-0005-0000-0000-0000943C0000}"/>
    <cellStyle name="40% - Accent5 3 5 6" xfId="13876" xr:uid="{00000000-0005-0000-0000-0000953C0000}"/>
    <cellStyle name="40% - Accent5 3 5 6 2" xfId="24439" xr:uid="{00000000-0005-0000-0000-0000963C0000}"/>
    <cellStyle name="40% - Accent5 3 5 7" xfId="17776" xr:uid="{00000000-0005-0000-0000-0000973C0000}"/>
    <cellStyle name="40% - Accent5 3 6" xfId="1406" xr:uid="{00000000-0005-0000-0000-0000983C0000}"/>
    <cellStyle name="40% - Accent5 3 7" xfId="1407" xr:uid="{00000000-0005-0000-0000-0000993C0000}"/>
    <cellStyle name="40% - Accent5 3 8" xfId="1408" xr:uid="{00000000-0005-0000-0000-00009A3C0000}"/>
    <cellStyle name="40% - Accent5 3 9" xfId="1409" xr:uid="{00000000-0005-0000-0000-00009B3C0000}"/>
    <cellStyle name="40% - Accent5 4" xfId="1410" xr:uid="{00000000-0005-0000-0000-00009C3C0000}"/>
    <cellStyle name="40% - Accent5 4 2" xfId="1411" xr:uid="{00000000-0005-0000-0000-00009D3C0000}"/>
    <cellStyle name="40% - Accent5 4 3" xfId="1412" xr:uid="{00000000-0005-0000-0000-00009E3C0000}"/>
    <cellStyle name="40% - Accent5 4 4" xfId="1413" xr:uid="{00000000-0005-0000-0000-00009F3C0000}"/>
    <cellStyle name="40% - Accent5 4 5" xfId="1414" xr:uid="{00000000-0005-0000-0000-0000A03C0000}"/>
    <cellStyle name="40% - Accent5 4 6" xfId="1415" xr:uid="{00000000-0005-0000-0000-0000A13C0000}"/>
    <cellStyle name="40% - Accent5 5" xfId="1416" xr:uid="{00000000-0005-0000-0000-0000A23C0000}"/>
    <cellStyle name="40% - Accent5 5 2" xfId="1417" xr:uid="{00000000-0005-0000-0000-0000A33C0000}"/>
    <cellStyle name="40% - Accent5 5 3" xfId="1418" xr:uid="{00000000-0005-0000-0000-0000A43C0000}"/>
    <cellStyle name="40% - Accent5 5 4" xfId="1419" xr:uid="{00000000-0005-0000-0000-0000A53C0000}"/>
    <cellStyle name="40% - Accent5 5 5" xfId="1420" xr:uid="{00000000-0005-0000-0000-0000A63C0000}"/>
    <cellStyle name="40% - Accent5 5 6" xfId="1421" xr:uid="{00000000-0005-0000-0000-0000A73C0000}"/>
    <cellStyle name="40% - Accent5 6" xfId="1422" xr:uid="{00000000-0005-0000-0000-0000A83C0000}"/>
    <cellStyle name="40% - Accent5 6 2" xfId="1423" xr:uid="{00000000-0005-0000-0000-0000A93C0000}"/>
    <cellStyle name="40% - Accent5 6 3" xfId="1424" xr:uid="{00000000-0005-0000-0000-0000AA3C0000}"/>
    <cellStyle name="40% - Accent5 6 4" xfId="1425" xr:uid="{00000000-0005-0000-0000-0000AB3C0000}"/>
    <cellStyle name="40% - Accent5 6 5" xfId="1426" xr:uid="{00000000-0005-0000-0000-0000AC3C0000}"/>
    <cellStyle name="40% - Accent5 6 6" xfId="1427" xr:uid="{00000000-0005-0000-0000-0000AD3C0000}"/>
    <cellStyle name="40% - Accent5 7" xfId="1428" xr:uid="{00000000-0005-0000-0000-0000AE3C0000}"/>
    <cellStyle name="40% - Accent5 7 10" xfId="11658" xr:uid="{00000000-0005-0000-0000-0000AF3C0000}"/>
    <cellStyle name="40% - Accent5 7 10 2" xfId="22221" xr:uid="{00000000-0005-0000-0000-0000B03C0000}"/>
    <cellStyle name="40% - Accent5 7 11" xfId="13877" xr:uid="{00000000-0005-0000-0000-0000B13C0000}"/>
    <cellStyle name="40% - Accent5 7 11 2" xfId="24440" xr:uid="{00000000-0005-0000-0000-0000B23C0000}"/>
    <cellStyle name="40% - Accent5 7 12" xfId="17777" xr:uid="{00000000-0005-0000-0000-0000B33C0000}"/>
    <cellStyle name="40% - Accent5 7 2" xfId="1429" xr:uid="{00000000-0005-0000-0000-0000B43C0000}"/>
    <cellStyle name="40% - Accent5 7 3" xfId="1430" xr:uid="{00000000-0005-0000-0000-0000B53C0000}"/>
    <cellStyle name="40% - Accent5 7 4" xfId="1431" xr:uid="{00000000-0005-0000-0000-0000B63C0000}"/>
    <cellStyle name="40% - Accent5 7 5" xfId="1432" xr:uid="{00000000-0005-0000-0000-0000B73C0000}"/>
    <cellStyle name="40% - Accent5 7 6" xfId="1433" xr:uid="{00000000-0005-0000-0000-0000B83C0000}"/>
    <cellStyle name="40% - Accent5 7 7" xfId="8696" xr:uid="{00000000-0005-0000-0000-0000B93C0000}"/>
    <cellStyle name="40% - Accent5 7 7 2" xfId="10915" xr:uid="{00000000-0005-0000-0000-0000BA3C0000}"/>
    <cellStyle name="40% - Accent5 7 7 2 2" xfId="21478" xr:uid="{00000000-0005-0000-0000-0000BB3C0000}"/>
    <cellStyle name="40% - Accent5 7 7 3" xfId="13134" xr:uid="{00000000-0005-0000-0000-0000BC3C0000}"/>
    <cellStyle name="40% - Accent5 7 7 3 2" xfId="23697" xr:uid="{00000000-0005-0000-0000-0000BD3C0000}"/>
    <cellStyle name="40% - Accent5 7 7 4" xfId="15353" xr:uid="{00000000-0005-0000-0000-0000BE3C0000}"/>
    <cellStyle name="40% - Accent5 7 7 4 2" xfId="25916" xr:uid="{00000000-0005-0000-0000-0000BF3C0000}"/>
    <cellStyle name="40% - Accent5 7 7 5" xfId="19259" xr:uid="{00000000-0005-0000-0000-0000C03C0000}"/>
    <cellStyle name="40% - Accent5 7 8" xfId="7963" xr:uid="{00000000-0005-0000-0000-0000C13C0000}"/>
    <cellStyle name="40% - Accent5 7 8 2" xfId="10182" xr:uid="{00000000-0005-0000-0000-0000C23C0000}"/>
    <cellStyle name="40% - Accent5 7 8 2 2" xfId="20745" xr:uid="{00000000-0005-0000-0000-0000C33C0000}"/>
    <cellStyle name="40% - Accent5 7 8 3" xfId="12401" xr:uid="{00000000-0005-0000-0000-0000C43C0000}"/>
    <cellStyle name="40% - Accent5 7 8 3 2" xfId="22964" xr:uid="{00000000-0005-0000-0000-0000C53C0000}"/>
    <cellStyle name="40% - Accent5 7 8 4" xfId="14620" xr:uid="{00000000-0005-0000-0000-0000C63C0000}"/>
    <cellStyle name="40% - Accent5 7 8 4 2" xfId="25183" xr:uid="{00000000-0005-0000-0000-0000C73C0000}"/>
    <cellStyle name="40% - Accent5 7 8 5" xfId="18526" xr:uid="{00000000-0005-0000-0000-0000C83C0000}"/>
    <cellStyle name="40% - Accent5 7 9" xfId="9439" xr:uid="{00000000-0005-0000-0000-0000C93C0000}"/>
    <cellStyle name="40% - Accent5 7 9 2" xfId="20002" xr:uid="{00000000-0005-0000-0000-0000CA3C0000}"/>
    <cellStyle name="40% - Accent5 8" xfId="1434" xr:uid="{00000000-0005-0000-0000-0000CB3C0000}"/>
    <cellStyle name="40% - Accent5 8 2" xfId="1435" xr:uid="{00000000-0005-0000-0000-0000CC3C0000}"/>
    <cellStyle name="40% - Accent5 9" xfId="1436" xr:uid="{00000000-0005-0000-0000-0000CD3C0000}"/>
    <cellStyle name="40% - Accent6 10" xfId="1437" xr:uid="{00000000-0005-0000-0000-0000CE3C0000}"/>
    <cellStyle name="40% - Accent6 10 2" xfId="1438" xr:uid="{00000000-0005-0000-0000-0000CF3C0000}"/>
    <cellStyle name="40% - Accent6 10 3" xfId="1439" xr:uid="{00000000-0005-0000-0000-0000D03C0000}"/>
    <cellStyle name="40% - Accent6 10 4" xfId="1440" xr:uid="{00000000-0005-0000-0000-0000D13C0000}"/>
    <cellStyle name="40% - Accent6 10 5" xfId="1441" xr:uid="{00000000-0005-0000-0000-0000D23C0000}"/>
    <cellStyle name="40% - Accent6 11" xfId="1442" xr:uid="{00000000-0005-0000-0000-0000D33C0000}"/>
    <cellStyle name="40% - Accent6 11 2" xfId="1443" xr:uid="{00000000-0005-0000-0000-0000D43C0000}"/>
    <cellStyle name="40% - Accent6 11 3" xfId="1444" xr:uid="{00000000-0005-0000-0000-0000D53C0000}"/>
    <cellStyle name="40% - Accent6 11 4" xfId="1445" xr:uid="{00000000-0005-0000-0000-0000D63C0000}"/>
    <cellStyle name="40% - Accent6 11 5" xfId="1446" xr:uid="{00000000-0005-0000-0000-0000D73C0000}"/>
    <cellStyle name="40% - Accent6 12" xfId="1447" xr:uid="{00000000-0005-0000-0000-0000D83C0000}"/>
    <cellStyle name="40% - Accent6 12 2" xfId="1448" xr:uid="{00000000-0005-0000-0000-0000D93C0000}"/>
    <cellStyle name="40% - Accent6 12 3" xfId="1449" xr:uid="{00000000-0005-0000-0000-0000DA3C0000}"/>
    <cellStyle name="40% - Accent6 12 4" xfId="1450" xr:uid="{00000000-0005-0000-0000-0000DB3C0000}"/>
    <cellStyle name="40% - Accent6 12 5" xfId="1451" xr:uid="{00000000-0005-0000-0000-0000DC3C0000}"/>
    <cellStyle name="40% - Accent6 13" xfId="1452" xr:uid="{00000000-0005-0000-0000-0000DD3C0000}"/>
    <cellStyle name="40% - Accent6 14" xfId="1453" xr:uid="{00000000-0005-0000-0000-0000DE3C0000}"/>
    <cellStyle name="40% - Accent6 15" xfId="1454" xr:uid="{00000000-0005-0000-0000-0000DF3C0000}"/>
    <cellStyle name="40% - Accent6 16" xfId="1455" xr:uid="{00000000-0005-0000-0000-0000E03C0000}"/>
    <cellStyle name="40% - Accent6 17" xfId="1456" xr:uid="{00000000-0005-0000-0000-0000E13C0000}"/>
    <cellStyle name="40% - Accent6 18" xfId="1457" xr:uid="{00000000-0005-0000-0000-0000E23C0000}"/>
    <cellStyle name="40% - Accent6 19" xfId="1458" xr:uid="{00000000-0005-0000-0000-0000E33C0000}"/>
    <cellStyle name="40% - Accent6 2" xfId="1459" xr:uid="{00000000-0005-0000-0000-0000E43C0000}"/>
    <cellStyle name="40% - Accent6 2 10" xfId="1460" xr:uid="{00000000-0005-0000-0000-0000E53C0000}"/>
    <cellStyle name="40% - Accent6 2 10 2" xfId="8697" xr:uid="{00000000-0005-0000-0000-0000E63C0000}"/>
    <cellStyle name="40% - Accent6 2 10 2 2" xfId="10916" xr:uid="{00000000-0005-0000-0000-0000E73C0000}"/>
    <cellStyle name="40% - Accent6 2 10 2 2 2" xfId="21479" xr:uid="{00000000-0005-0000-0000-0000E83C0000}"/>
    <cellStyle name="40% - Accent6 2 10 2 3" xfId="13135" xr:uid="{00000000-0005-0000-0000-0000E93C0000}"/>
    <cellStyle name="40% - Accent6 2 10 2 3 2" xfId="23698" xr:uid="{00000000-0005-0000-0000-0000EA3C0000}"/>
    <cellStyle name="40% - Accent6 2 10 2 4" xfId="15354" xr:uid="{00000000-0005-0000-0000-0000EB3C0000}"/>
    <cellStyle name="40% - Accent6 2 10 2 4 2" xfId="25917" xr:uid="{00000000-0005-0000-0000-0000EC3C0000}"/>
    <cellStyle name="40% - Accent6 2 10 2 5" xfId="19260" xr:uid="{00000000-0005-0000-0000-0000ED3C0000}"/>
    <cellStyle name="40% - Accent6 2 10 3" xfId="7964" xr:uid="{00000000-0005-0000-0000-0000EE3C0000}"/>
    <cellStyle name="40% - Accent6 2 10 3 2" xfId="10183" xr:uid="{00000000-0005-0000-0000-0000EF3C0000}"/>
    <cellStyle name="40% - Accent6 2 10 3 2 2" xfId="20746" xr:uid="{00000000-0005-0000-0000-0000F03C0000}"/>
    <cellStyle name="40% - Accent6 2 10 3 3" xfId="12402" xr:uid="{00000000-0005-0000-0000-0000F13C0000}"/>
    <cellStyle name="40% - Accent6 2 10 3 3 2" xfId="22965" xr:uid="{00000000-0005-0000-0000-0000F23C0000}"/>
    <cellStyle name="40% - Accent6 2 10 3 4" xfId="14621" xr:uid="{00000000-0005-0000-0000-0000F33C0000}"/>
    <cellStyle name="40% - Accent6 2 10 3 4 2" xfId="25184" xr:uid="{00000000-0005-0000-0000-0000F43C0000}"/>
    <cellStyle name="40% - Accent6 2 10 3 5" xfId="18527" xr:uid="{00000000-0005-0000-0000-0000F53C0000}"/>
    <cellStyle name="40% - Accent6 2 10 4" xfId="9440" xr:uid="{00000000-0005-0000-0000-0000F63C0000}"/>
    <cellStyle name="40% - Accent6 2 10 4 2" xfId="20003" xr:uid="{00000000-0005-0000-0000-0000F73C0000}"/>
    <cellStyle name="40% - Accent6 2 10 5" xfId="11659" xr:uid="{00000000-0005-0000-0000-0000F83C0000}"/>
    <cellStyle name="40% - Accent6 2 10 5 2" xfId="22222" xr:uid="{00000000-0005-0000-0000-0000F93C0000}"/>
    <cellStyle name="40% - Accent6 2 10 6" xfId="13878" xr:uid="{00000000-0005-0000-0000-0000FA3C0000}"/>
    <cellStyle name="40% - Accent6 2 10 6 2" xfId="24441" xr:uid="{00000000-0005-0000-0000-0000FB3C0000}"/>
    <cellStyle name="40% - Accent6 2 10 7" xfId="17778" xr:uid="{00000000-0005-0000-0000-0000FC3C0000}"/>
    <cellStyle name="40% - Accent6 2 11" xfId="1461" xr:uid="{00000000-0005-0000-0000-0000FD3C0000}"/>
    <cellStyle name="40% - Accent6 2 11 2" xfId="1462" xr:uid="{00000000-0005-0000-0000-0000FE3C0000}"/>
    <cellStyle name="40% - Accent6 2 11 2 2" xfId="8698" xr:uid="{00000000-0005-0000-0000-0000FF3C0000}"/>
    <cellStyle name="40% - Accent6 2 11 2 2 2" xfId="10917" xr:uid="{00000000-0005-0000-0000-0000003D0000}"/>
    <cellStyle name="40% - Accent6 2 11 2 2 2 2" xfId="21480" xr:uid="{00000000-0005-0000-0000-0000013D0000}"/>
    <cellStyle name="40% - Accent6 2 11 2 2 3" xfId="13136" xr:uid="{00000000-0005-0000-0000-0000023D0000}"/>
    <cellStyle name="40% - Accent6 2 11 2 2 3 2" xfId="23699" xr:uid="{00000000-0005-0000-0000-0000033D0000}"/>
    <cellStyle name="40% - Accent6 2 11 2 2 4" xfId="15355" xr:uid="{00000000-0005-0000-0000-0000043D0000}"/>
    <cellStyle name="40% - Accent6 2 11 2 2 4 2" xfId="25918" xr:uid="{00000000-0005-0000-0000-0000053D0000}"/>
    <cellStyle name="40% - Accent6 2 11 2 2 5" xfId="19261" xr:uid="{00000000-0005-0000-0000-0000063D0000}"/>
    <cellStyle name="40% - Accent6 2 11 2 3" xfId="7965" xr:uid="{00000000-0005-0000-0000-0000073D0000}"/>
    <cellStyle name="40% - Accent6 2 11 2 3 2" xfId="10184" xr:uid="{00000000-0005-0000-0000-0000083D0000}"/>
    <cellStyle name="40% - Accent6 2 11 2 3 2 2" xfId="20747" xr:uid="{00000000-0005-0000-0000-0000093D0000}"/>
    <cellStyle name="40% - Accent6 2 11 2 3 3" xfId="12403" xr:uid="{00000000-0005-0000-0000-00000A3D0000}"/>
    <cellStyle name="40% - Accent6 2 11 2 3 3 2" xfId="22966" xr:uid="{00000000-0005-0000-0000-00000B3D0000}"/>
    <cellStyle name="40% - Accent6 2 11 2 3 4" xfId="14622" xr:uid="{00000000-0005-0000-0000-00000C3D0000}"/>
    <cellStyle name="40% - Accent6 2 11 2 3 4 2" xfId="25185" xr:uid="{00000000-0005-0000-0000-00000D3D0000}"/>
    <cellStyle name="40% - Accent6 2 11 2 3 5" xfId="18528" xr:uid="{00000000-0005-0000-0000-00000E3D0000}"/>
    <cellStyle name="40% - Accent6 2 11 2 4" xfId="9441" xr:uid="{00000000-0005-0000-0000-00000F3D0000}"/>
    <cellStyle name="40% - Accent6 2 11 2 4 2" xfId="20004" xr:uid="{00000000-0005-0000-0000-0000103D0000}"/>
    <cellStyle name="40% - Accent6 2 11 2 5" xfId="11660" xr:uid="{00000000-0005-0000-0000-0000113D0000}"/>
    <cellStyle name="40% - Accent6 2 11 2 5 2" xfId="22223" xr:uid="{00000000-0005-0000-0000-0000123D0000}"/>
    <cellStyle name="40% - Accent6 2 11 2 6" xfId="13879" xr:uid="{00000000-0005-0000-0000-0000133D0000}"/>
    <cellStyle name="40% - Accent6 2 11 2 6 2" xfId="24442" xr:uid="{00000000-0005-0000-0000-0000143D0000}"/>
    <cellStyle name="40% - Accent6 2 11 2 7" xfId="17779" xr:uid="{00000000-0005-0000-0000-0000153D0000}"/>
    <cellStyle name="40% - Accent6 2 11 3" xfId="1463" xr:uid="{00000000-0005-0000-0000-0000163D0000}"/>
    <cellStyle name="40% - Accent6 2 11 3 2" xfId="8699" xr:uid="{00000000-0005-0000-0000-0000173D0000}"/>
    <cellStyle name="40% - Accent6 2 11 3 2 2" xfId="10918" xr:uid="{00000000-0005-0000-0000-0000183D0000}"/>
    <cellStyle name="40% - Accent6 2 11 3 2 2 2" xfId="21481" xr:uid="{00000000-0005-0000-0000-0000193D0000}"/>
    <cellStyle name="40% - Accent6 2 11 3 2 3" xfId="13137" xr:uid="{00000000-0005-0000-0000-00001A3D0000}"/>
    <cellStyle name="40% - Accent6 2 11 3 2 3 2" xfId="23700" xr:uid="{00000000-0005-0000-0000-00001B3D0000}"/>
    <cellStyle name="40% - Accent6 2 11 3 2 4" xfId="15356" xr:uid="{00000000-0005-0000-0000-00001C3D0000}"/>
    <cellStyle name="40% - Accent6 2 11 3 2 4 2" xfId="25919" xr:uid="{00000000-0005-0000-0000-00001D3D0000}"/>
    <cellStyle name="40% - Accent6 2 11 3 2 5" xfId="19262" xr:uid="{00000000-0005-0000-0000-00001E3D0000}"/>
    <cellStyle name="40% - Accent6 2 11 3 3" xfId="7966" xr:uid="{00000000-0005-0000-0000-00001F3D0000}"/>
    <cellStyle name="40% - Accent6 2 11 3 3 2" xfId="10185" xr:uid="{00000000-0005-0000-0000-0000203D0000}"/>
    <cellStyle name="40% - Accent6 2 11 3 3 2 2" xfId="20748" xr:uid="{00000000-0005-0000-0000-0000213D0000}"/>
    <cellStyle name="40% - Accent6 2 11 3 3 3" xfId="12404" xr:uid="{00000000-0005-0000-0000-0000223D0000}"/>
    <cellStyle name="40% - Accent6 2 11 3 3 3 2" xfId="22967" xr:uid="{00000000-0005-0000-0000-0000233D0000}"/>
    <cellStyle name="40% - Accent6 2 11 3 3 4" xfId="14623" xr:uid="{00000000-0005-0000-0000-0000243D0000}"/>
    <cellStyle name="40% - Accent6 2 11 3 3 4 2" xfId="25186" xr:uid="{00000000-0005-0000-0000-0000253D0000}"/>
    <cellStyle name="40% - Accent6 2 11 3 3 5" xfId="18529" xr:uid="{00000000-0005-0000-0000-0000263D0000}"/>
    <cellStyle name="40% - Accent6 2 11 3 4" xfId="9442" xr:uid="{00000000-0005-0000-0000-0000273D0000}"/>
    <cellStyle name="40% - Accent6 2 11 3 4 2" xfId="20005" xr:uid="{00000000-0005-0000-0000-0000283D0000}"/>
    <cellStyle name="40% - Accent6 2 11 3 5" xfId="11661" xr:uid="{00000000-0005-0000-0000-0000293D0000}"/>
    <cellStyle name="40% - Accent6 2 11 3 5 2" xfId="22224" xr:uid="{00000000-0005-0000-0000-00002A3D0000}"/>
    <cellStyle name="40% - Accent6 2 11 3 6" xfId="13880" xr:uid="{00000000-0005-0000-0000-00002B3D0000}"/>
    <cellStyle name="40% - Accent6 2 11 3 6 2" xfId="24443" xr:uid="{00000000-0005-0000-0000-00002C3D0000}"/>
    <cellStyle name="40% - Accent6 2 11 3 7" xfId="17780" xr:uid="{00000000-0005-0000-0000-00002D3D0000}"/>
    <cellStyle name="40% - Accent6 2 11 4" xfId="1464" xr:uid="{00000000-0005-0000-0000-00002E3D0000}"/>
    <cellStyle name="40% - Accent6 2 11 4 2" xfId="8700" xr:uid="{00000000-0005-0000-0000-00002F3D0000}"/>
    <cellStyle name="40% - Accent6 2 11 4 2 2" xfId="10919" xr:uid="{00000000-0005-0000-0000-0000303D0000}"/>
    <cellStyle name="40% - Accent6 2 11 4 2 2 2" xfId="21482" xr:uid="{00000000-0005-0000-0000-0000313D0000}"/>
    <cellStyle name="40% - Accent6 2 11 4 2 3" xfId="13138" xr:uid="{00000000-0005-0000-0000-0000323D0000}"/>
    <cellStyle name="40% - Accent6 2 11 4 2 3 2" xfId="23701" xr:uid="{00000000-0005-0000-0000-0000333D0000}"/>
    <cellStyle name="40% - Accent6 2 11 4 2 4" xfId="15357" xr:uid="{00000000-0005-0000-0000-0000343D0000}"/>
    <cellStyle name="40% - Accent6 2 11 4 2 4 2" xfId="25920" xr:uid="{00000000-0005-0000-0000-0000353D0000}"/>
    <cellStyle name="40% - Accent6 2 11 4 2 5" xfId="19263" xr:uid="{00000000-0005-0000-0000-0000363D0000}"/>
    <cellStyle name="40% - Accent6 2 11 4 3" xfId="7967" xr:uid="{00000000-0005-0000-0000-0000373D0000}"/>
    <cellStyle name="40% - Accent6 2 11 4 3 2" xfId="10186" xr:uid="{00000000-0005-0000-0000-0000383D0000}"/>
    <cellStyle name="40% - Accent6 2 11 4 3 2 2" xfId="20749" xr:uid="{00000000-0005-0000-0000-0000393D0000}"/>
    <cellStyle name="40% - Accent6 2 11 4 3 3" xfId="12405" xr:uid="{00000000-0005-0000-0000-00003A3D0000}"/>
    <cellStyle name="40% - Accent6 2 11 4 3 3 2" xfId="22968" xr:uid="{00000000-0005-0000-0000-00003B3D0000}"/>
    <cellStyle name="40% - Accent6 2 11 4 3 4" xfId="14624" xr:uid="{00000000-0005-0000-0000-00003C3D0000}"/>
    <cellStyle name="40% - Accent6 2 11 4 3 4 2" xfId="25187" xr:uid="{00000000-0005-0000-0000-00003D3D0000}"/>
    <cellStyle name="40% - Accent6 2 11 4 3 5" xfId="18530" xr:uid="{00000000-0005-0000-0000-00003E3D0000}"/>
    <cellStyle name="40% - Accent6 2 11 4 4" xfId="9443" xr:uid="{00000000-0005-0000-0000-00003F3D0000}"/>
    <cellStyle name="40% - Accent6 2 11 4 4 2" xfId="20006" xr:uid="{00000000-0005-0000-0000-0000403D0000}"/>
    <cellStyle name="40% - Accent6 2 11 4 5" xfId="11662" xr:uid="{00000000-0005-0000-0000-0000413D0000}"/>
    <cellStyle name="40% - Accent6 2 11 4 5 2" xfId="22225" xr:uid="{00000000-0005-0000-0000-0000423D0000}"/>
    <cellStyle name="40% - Accent6 2 11 4 6" xfId="13881" xr:uid="{00000000-0005-0000-0000-0000433D0000}"/>
    <cellStyle name="40% - Accent6 2 11 4 6 2" xfId="24444" xr:uid="{00000000-0005-0000-0000-0000443D0000}"/>
    <cellStyle name="40% - Accent6 2 11 4 7" xfId="17781" xr:uid="{00000000-0005-0000-0000-0000453D0000}"/>
    <cellStyle name="40% - Accent6 2 11 5" xfId="1465" xr:uid="{00000000-0005-0000-0000-0000463D0000}"/>
    <cellStyle name="40% - Accent6 2 11 5 2" xfId="8701" xr:uid="{00000000-0005-0000-0000-0000473D0000}"/>
    <cellStyle name="40% - Accent6 2 11 5 2 2" xfId="10920" xr:uid="{00000000-0005-0000-0000-0000483D0000}"/>
    <cellStyle name="40% - Accent6 2 11 5 2 2 2" xfId="21483" xr:uid="{00000000-0005-0000-0000-0000493D0000}"/>
    <cellStyle name="40% - Accent6 2 11 5 2 3" xfId="13139" xr:uid="{00000000-0005-0000-0000-00004A3D0000}"/>
    <cellStyle name="40% - Accent6 2 11 5 2 3 2" xfId="23702" xr:uid="{00000000-0005-0000-0000-00004B3D0000}"/>
    <cellStyle name="40% - Accent6 2 11 5 2 4" xfId="15358" xr:uid="{00000000-0005-0000-0000-00004C3D0000}"/>
    <cellStyle name="40% - Accent6 2 11 5 2 4 2" xfId="25921" xr:uid="{00000000-0005-0000-0000-00004D3D0000}"/>
    <cellStyle name="40% - Accent6 2 11 5 2 5" xfId="19264" xr:uid="{00000000-0005-0000-0000-00004E3D0000}"/>
    <cellStyle name="40% - Accent6 2 11 5 3" xfId="7968" xr:uid="{00000000-0005-0000-0000-00004F3D0000}"/>
    <cellStyle name="40% - Accent6 2 11 5 3 2" xfId="10187" xr:uid="{00000000-0005-0000-0000-0000503D0000}"/>
    <cellStyle name="40% - Accent6 2 11 5 3 2 2" xfId="20750" xr:uid="{00000000-0005-0000-0000-0000513D0000}"/>
    <cellStyle name="40% - Accent6 2 11 5 3 3" xfId="12406" xr:uid="{00000000-0005-0000-0000-0000523D0000}"/>
    <cellStyle name="40% - Accent6 2 11 5 3 3 2" xfId="22969" xr:uid="{00000000-0005-0000-0000-0000533D0000}"/>
    <cellStyle name="40% - Accent6 2 11 5 3 4" xfId="14625" xr:uid="{00000000-0005-0000-0000-0000543D0000}"/>
    <cellStyle name="40% - Accent6 2 11 5 3 4 2" xfId="25188" xr:uid="{00000000-0005-0000-0000-0000553D0000}"/>
    <cellStyle name="40% - Accent6 2 11 5 3 5" xfId="18531" xr:uid="{00000000-0005-0000-0000-0000563D0000}"/>
    <cellStyle name="40% - Accent6 2 11 5 4" xfId="9444" xr:uid="{00000000-0005-0000-0000-0000573D0000}"/>
    <cellStyle name="40% - Accent6 2 11 5 4 2" xfId="20007" xr:uid="{00000000-0005-0000-0000-0000583D0000}"/>
    <cellStyle name="40% - Accent6 2 11 5 5" xfId="11663" xr:uid="{00000000-0005-0000-0000-0000593D0000}"/>
    <cellStyle name="40% - Accent6 2 11 5 5 2" xfId="22226" xr:uid="{00000000-0005-0000-0000-00005A3D0000}"/>
    <cellStyle name="40% - Accent6 2 11 5 6" xfId="13882" xr:uid="{00000000-0005-0000-0000-00005B3D0000}"/>
    <cellStyle name="40% - Accent6 2 11 5 6 2" xfId="24445" xr:uid="{00000000-0005-0000-0000-00005C3D0000}"/>
    <cellStyle name="40% - Accent6 2 11 5 7" xfId="17782" xr:uid="{00000000-0005-0000-0000-00005D3D0000}"/>
    <cellStyle name="40% - Accent6 2 12" xfId="1466" xr:uid="{00000000-0005-0000-0000-00005E3D0000}"/>
    <cellStyle name="40% - Accent6 2 13" xfId="1467" xr:uid="{00000000-0005-0000-0000-00005F3D0000}"/>
    <cellStyle name="40% - Accent6 2 14" xfId="1468" xr:uid="{00000000-0005-0000-0000-0000603D0000}"/>
    <cellStyle name="40% - Accent6 2 15" xfId="1469" xr:uid="{00000000-0005-0000-0000-0000613D0000}"/>
    <cellStyle name="40% - Accent6 2 15 2" xfId="8702" xr:uid="{00000000-0005-0000-0000-0000623D0000}"/>
    <cellStyle name="40% - Accent6 2 15 2 2" xfId="10921" xr:uid="{00000000-0005-0000-0000-0000633D0000}"/>
    <cellStyle name="40% - Accent6 2 15 2 2 2" xfId="21484" xr:uid="{00000000-0005-0000-0000-0000643D0000}"/>
    <cellStyle name="40% - Accent6 2 15 2 3" xfId="13140" xr:uid="{00000000-0005-0000-0000-0000653D0000}"/>
    <cellStyle name="40% - Accent6 2 15 2 3 2" xfId="23703" xr:uid="{00000000-0005-0000-0000-0000663D0000}"/>
    <cellStyle name="40% - Accent6 2 15 2 4" xfId="15359" xr:uid="{00000000-0005-0000-0000-0000673D0000}"/>
    <cellStyle name="40% - Accent6 2 15 2 4 2" xfId="25922" xr:uid="{00000000-0005-0000-0000-0000683D0000}"/>
    <cellStyle name="40% - Accent6 2 15 2 5" xfId="19265" xr:uid="{00000000-0005-0000-0000-0000693D0000}"/>
    <cellStyle name="40% - Accent6 2 15 3" xfId="7969" xr:uid="{00000000-0005-0000-0000-00006A3D0000}"/>
    <cellStyle name="40% - Accent6 2 15 3 2" xfId="10188" xr:uid="{00000000-0005-0000-0000-00006B3D0000}"/>
    <cellStyle name="40% - Accent6 2 15 3 2 2" xfId="20751" xr:uid="{00000000-0005-0000-0000-00006C3D0000}"/>
    <cellStyle name="40% - Accent6 2 15 3 3" xfId="12407" xr:uid="{00000000-0005-0000-0000-00006D3D0000}"/>
    <cellStyle name="40% - Accent6 2 15 3 3 2" xfId="22970" xr:uid="{00000000-0005-0000-0000-00006E3D0000}"/>
    <cellStyle name="40% - Accent6 2 15 3 4" xfId="14626" xr:uid="{00000000-0005-0000-0000-00006F3D0000}"/>
    <cellStyle name="40% - Accent6 2 15 3 4 2" xfId="25189" xr:uid="{00000000-0005-0000-0000-0000703D0000}"/>
    <cellStyle name="40% - Accent6 2 15 3 5" xfId="18532" xr:uid="{00000000-0005-0000-0000-0000713D0000}"/>
    <cellStyle name="40% - Accent6 2 15 4" xfId="9445" xr:uid="{00000000-0005-0000-0000-0000723D0000}"/>
    <cellStyle name="40% - Accent6 2 15 4 2" xfId="20008" xr:uid="{00000000-0005-0000-0000-0000733D0000}"/>
    <cellStyle name="40% - Accent6 2 15 5" xfId="11664" xr:uid="{00000000-0005-0000-0000-0000743D0000}"/>
    <cellStyle name="40% - Accent6 2 15 5 2" xfId="22227" xr:uid="{00000000-0005-0000-0000-0000753D0000}"/>
    <cellStyle name="40% - Accent6 2 15 6" xfId="13883" xr:uid="{00000000-0005-0000-0000-0000763D0000}"/>
    <cellStyle name="40% - Accent6 2 15 6 2" xfId="24446" xr:uid="{00000000-0005-0000-0000-0000773D0000}"/>
    <cellStyle name="40% - Accent6 2 15 7" xfId="17783" xr:uid="{00000000-0005-0000-0000-0000783D0000}"/>
    <cellStyle name="40% - Accent6 2 16" xfId="1470" xr:uid="{00000000-0005-0000-0000-0000793D0000}"/>
    <cellStyle name="40% - Accent6 2 2" xfId="1471" xr:uid="{00000000-0005-0000-0000-00007A3D0000}"/>
    <cellStyle name="40% - Accent6 2 2 10" xfId="8703" xr:uid="{00000000-0005-0000-0000-00007B3D0000}"/>
    <cellStyle name="40% - Accent6 2 2 10 2" xfId="10922" xr:uid="{00000000-0005-0000-0000-00007C3D0000}"/>
    <cellStyle name="40% - Accent6 2 2 10 2 2" xfId="21485" xr:uid="{00000000-0005-0000-0000-00007D3D0000}"/>
    <cellStyle name="40% - Accent6 2 2 10 3" xfId="13141" xr:uid="{00000000-0005-0000-0000-00007E3D0000}"/>
    <cellStyle name="40% - Accent6 2 2 10 3 2" xfId="23704" xr:uid="{00000000-0005-0000-0000-00007F3D0000}"/>
    <cellStyle name="40% - Accent6 2 2 10 4" xfId="15360" xr:uid="{00000000-0005-0000-0000-0000803D0000}"/>
    <cellStyle name="40% - Accent6 2 2 10 4 2" xfId="25923" xr:uid="{00000000-0005-0000-0000-0000813D0000}"/>
    <cellStyle name="40% - Accent6 2 2 10 5" xfId="19266" xr:uid="{00000000-0005-0000-0000-0000823D0000}"/>
    <cellStyle name="40% - Accent6 2 2 11" xfId="7970" xr:uid="{00000000-0005-0000-0000-0000833D0000}"/>
    <cellStyle name="40% - Accent6 2 2 11 2" xfId="10189" xr:uid="{00000000-0005-0000-0000-0000843D0000}"/>
    <cellStyle name="40% - Accent6 2 2 11 2 2" xfId="20752" xr:uid="{00000000-0005-0000-0000-0000853D0000}"/>
    <cellStyle name="40% - Accent6 2 2 11 3" xfId="12408" xr:uid="{00000000-0005-0000-0000-0000863D0000}"/>
    <cellStyle name="40% - Accent6 2 2 11 3 2" xfId="22971" xr:uid="{00000000-0005-0000-0000-0000873D0000}"/>
    <cellStyle name="40% - Accent6 2 2 11 4" xfId="14627" xr:uid="{00000000-0005-0000-0000-0000883D0000}"/>
    <cellStyle name="40% - Accent6 2 2 11 4 2" xfId="25190" xr:uid="{00000000-0005-0000-0000-0000893D0000}"/>
    <cellStyle name="40% - Accent6 2 2 11 5" xfId="18533" xr:uid="{00000000-0005-0000-0000-00008A3D0000}"/>
    <cellStyle name="40% - Accent6 2 2 12" xfId="9446" xr:uid="{00000000-0005-0000-0000-00008B3D0000}"/>
    <cellStyle name="40% - Accent6 2 2 12 2" xfId="20009" xr:uid="{00000000-0005-0000-0000-00008C3D0000}"/>
    <cellStyle name="40% - Accent6 2 2 13" xfId="11665" xr:uid="{00000000-0005-0000-0000-00008D3D0000}"/>
    <cellStyle name="40% - Accent6 2 2 13 2" xfId="22228" xr:uid="{00000000-0005-0000-0000-00008E3D0000}"/>
    <cellStyle name="40% - Accent6 2 2 14" xfId="13884" xr:uid="{00000000-0005-0000-0000-00008F3D0000}"/>
    <cellStyle name="40% - Accent6 2 2 14 2" xfId="24447" xr:uid="{00000000-0005-0000-0000-0000903D0000}"/>
    <cellStyle name="40% - Accent6 2 2 15" xfId="17784" xr:uid="{00000000-0005-0000-0000-0000913D0000}"/>
    <cellStyle name="40% - Accent6 2 2 2" xfId="1472" xr:uid="{00000000-0005-0000-0000-0000923D0000}"/>
    <cellStyle name="40% - Accent6 2 2 2 2" xfId="8704" xr:uid="{00000000-0005-0000-0000-0000933D0000}"/>
    <cellStyle name="40% - Accent6 2 2 2 2 2" xfId="10923" xr:uid="{00000000-0005-0000-0000-0000943D0000}"/>
    <cellStyle name="40% - Accent6 2 2 2 2 2 2" xfId="21486" xr:uid="{00000000-0005-0000-0000-0000953D0000}"/>
    <cellStyle name="40% - Accent6 2 2 2 2 3" xfId="13142" xr:uid="{00000000-0005-0000-0000-0000963D0000}"/>
    <cellStyle name="40% - Accent6 2 2 2 2 3 2" xfId="23705" xr:uid="{00000000-0005-0000-0000-0000973D0000}"/>
    <cellStyle name="40% - Accent6 2 2 2 2 4" xfId="15361" xr:uid="{00000000-0005-0000-0000-0000983D0000}"/>
    <cellStyle name="40% - Accent6 2 2 2 2 4 2" xfId="25924" xr:uid="{00000000-0005-0000-0000-0000993D0000}"/>
    <cellStyle name="40% - Accent6 2 2 2 2 5" xfId="19267" xr:uid="{00000000-0005-0000-0000-00009A3D0000}"/>
    <cellStyle name="40% - Accent6 2 2 2 3" xfId="7971" xr:uid="{00000000-0005-0000-0000-00009B3D0000}"/>
    <cellStyle name="40% - Accent6 2 2 2 3 2" xfId="10190" xr:uid="{00000000-0005-0000-0000-00009C3D0000}"/>
    <cellStyle name="40% - Accent6 2 2 2 3 2 2" xfId="20753" xr:uid="{00000000-0005-0000-0000-00009D3D0000}"/>
    <cellStyle name="40% - Accent6 2 2 2 3 3" xfId="12409" xr:uid="{00000000-0005-0000-0000-00009E3D0000}"/>
    <cellStyle name="40% - Accent6 2 2 2 3 3 2" xfId="22972" xr:uid="{00000000-0005-0000-0000-00009F3D0000}"/>
    <cellStyle name="40% - Accent6 2 2 2 3 4" xfId="14628" xr:uid="{00000000-0005-0000-0000-0000A03D0000}"/>
    <cellStyle name="40% - Accent6 2 2 2 3 4 2" xfId="25191" xr:uid="{00000000-0005-0000-0000-0000A13D0000}"/>
    <cellStyle name="40% - Accent6 2 2 2 3 5" xfId="18534" xr:uid="{00000000-0005-0000-0000-0000A23D0000}"/>
    <cellStyle name="40% - Accent6 2 2 2 4" xfId="9447" xr:uid="{00000000-0005-0000-0000-0000A33D0000}"/>
    <cellStyle name="40% - Accent6 2 2 2 4 2" xfId="20010" xr:uid="{00000000-0005-0000-0000-0000A43D0000}"/>
    <cellStyle name="40% - Accent6 2 2 2 5" xfId="11666" xr:uid="{00000000-0005-0000-0000-0000A53D0000}"/>
    <cellStyle name="40% - Accent6 2 2 2 5 2" xfId="22229" xr:uid="{00000000-0005-0000-0000-0000A63D0000}"/>
    <cellStyle name="40% - Accent6 2 2 2 6" xfId="13885" xr:uid="{00000000-0005-0000-0000-0000A73D0000}"/>
    <cellStyle name="40% - Accent6 2 2 2 6 2" xfId="24448" xr:uid="{00000000-0005-0000-0000-0000A83D0000}"/>
    <cellStyle name="40% - Accent6 2 2 2 7" xfId="17785" xr:uid="{00000000-0005-0000-0000-0000A93D0000}"/>
    <cellStyle name="40% - Accent6 2 2 3" xfId="1473" xr:uid="{00000000-0005-0000-0000-0000AA3D0000}"/>
    <cellStyle name="40% - Accent6 2 2 3 2" xfId="8705" xr:uid="{00000000-0005-0000-0000-0000AB3D0000}"/>
    <cellStyle name="40% - Accent6 2 2 3 2 2" xfId="10924" xr:uid="{00000000-0005-0000-0000-0000AC3D0000}"/>
    <cellStyle name="40% - Accent6 2 2 3 2 2 2" xfId="21487" xr:uid="{00000000-0005-0000-0000-0000AD3D0000}"/>
    <cellStyle name="40% - Accent6 2 2 3 2 3" xfId="13143" xr:uid="{00000000-0005-0000-0000-0000AE3D0000}"/>
    <cellStyle name="40% - Accent6 2 2 3 2 3 2" xfId="23706" xr:uid="{00000000-0005-0000-0000-0000AF3D0000}"/>
    <cellStyle name="40% - Accent6 2 2 3 2 4" xfId="15362" xr:uid="{00000000-0005-0000-0000-0000B03D0000}"/>
    <cellStyle name="40% - Accent6 2 2 3 2 4 2" xfId="25925" xr:uid="{00000000-0005-0000-0000-0000B13D0000}"/>
    <cellStyle name="40% - Accent6 2 2 3 2 5" xfId="19268" xr:uid="{00000000-0005-0000-0000-0000B23D0000}"/>
    <cellStyle name="40% - Accent6 2 2 3 3" xfId="7972" xr:uid="{00000000-0005-0000-0000-0000B33D0000}"/>
    <cellStyle name="40% - Accent6 2 2 3 3 2" xfId="10191" xr:uid="{00000000-0005-0000-0000-0000B43D0000}"/>
    <cellStyle name="40% - Accent6 2 2 3 3 2 2" xfId="20754" xr:uid="{00000000-0005-0000-0000-0000B53D0000}"/>
    <cellStyle name="40% - Accent6 2 2 3 3 3" xfId="12410" xr:uid="{00000000-0005-0000-0000-0000B63D0000}"/>
    <cellStyle name="40% - Accent6 2 2 3 3 3 2" xfId="22973" xr:uid="{00000000-0005-0000-0000-0000B73D0000}"/>
    <cellStyle name="40% - Accent6 2 2 3 3 4" xfId="14629" xr:uid="{00000000-0005-0000-0000-0000B83D0000}"/>
    <cellStyle name="40% - Accent6 2 2 3 3 4 2" xfId="25192" xr:uid="{00000000-0005-0000-0000-0000B93D0000}"/>
    <cellStyle name="40% - Accent6 2 2 3 3 5" xfId="18535" xr:uid="{00000000-0005-0000-0000-0000BA3D0000}"/>
    <cellStyle name="40% - Accent6 2 2 3 4" xfId="9448" xr:uid="{00000000-0005-0000-0000-0000BB3D0000}"/>
    <cellStyle name="40% - Accent6 2 2 3 4 2" xfId="20011" xr:uid="{00000000-0005-0000-0000-0000BC3D0000}"/>
    <cellStyle name="40% - Accent6 2 2 3 5" xfId="11667" xr:uid="{00000000-0005-0000-0000-0000BD3D0000}"/>
    <cellStyle name="40% - Accent6 2 2 3 5 2" xfId="22230" xr:uid="{00000000-0005-0000-0000-0000BE3D0000}"/>
    <cellStyle name="40% - Accent6 2 2 3 6" xfId="13886" xr:uid="{00000000-0005-0000-0000-0000BF3D0000}"/>
    <cellStyle name="40% - Accent6 2 2 3 6 2" xfId="24449" xr:uid="{00000000-0005-0000-0000-0000C03D0000}"/>
    <cellStyle name="40% - Accent6 2 2 3 7" xfId="17786" xr:uid="{00000000-0005-0000-0000-0000C13D0000}"/>
    <cellStyle name="40% - Accent6 2 2 4" xfId="1474" xr:uid="{00000000-0005-0000-0000-0000C23D0000}"/>
    <cellStyle name="40% - Accent6 2 2 4 2" xfId="8706" xr:uid="{00000000-0005-0000-0000-0000C33D0000}"/>
    <cellStyle name="40% - Accent6 2 2 4 2 2" xfId="10925" xr:uid="{00000000-0005-0000-0000-0000C43D0000}"/>
    <cellStyle name="40% - Accent6 2 2 4 2 2 2" xfId="21488" xr:uid="{00000000-0005-0000-0000-0000C53D0000}"/>
    <cellStyle name="40% - Accent6 2 2 4 2 3" xfId="13144" xr:uid="{00000000-0005-0000-0000-0000C63D0000}"/>
    <cellStyle name="40% - Accent6 2 2 4 2 3 2" xfId="23707" xr:uid="{00000000-0005-0000-0000-0000C73D0000}"/>
    <cellStyle name="40% - Accent6 2 2 4 2 4" xfId="15363" xr:uid="{00000000-0005-0000-0000-0000C83D0000}"/>
    <cellStyle name="40% - Accent6 2 2 4 2 4 2" xfId="25926" xr:uid="{00000000-0005-0000-0000-0000C93D0000}"/>
    <cellStyle name="40% - Accent6 2 2 4 2 5" xfId="19269" xr:uid="{00000000-0005-0000-0000-0000CA3D0000}"/>
    <cellStyle name="40% - Accent6 2 2 4 3" xfId="7973" xr:uid="{00000000-0005-0000-0000-0000CB3D0000}"/>
    <cellStyle name="40% - Accent6 2 2 4 3 2" xfId="10192" xr:uid="{00000000-0005-0000-0000-0000CC3D0000}"/>
    <cellStyle name="40% - Accent6 2 2 4 3 2 2" xfId="20755" xr:uid="{00000000-0005-0000-0000-0000CD3D0000}"/>
    <cellStyle name="40% - Accent6 2 2 4 3 3" xfId="12411" xr:uid="{00000000-0005-0000-0000-0000CE3D0000}"/>
    <cellStyle name="40% - Accent6 2 2 4 3 3 2" xfId="22974" xr:uid="{00000000-0005-0000-0000-0000CF3D0000}"/>
    <cellStyle name="40% - Accent6 2 2 4 3 4" xfId="14630" xr:uid="{00000000-0005-0000-0000-0000D03D0000}"/>
    <cellStyle name="40% - Accent6 2 2 4 3 4 2" xfId="25193" xr:uid="{00000000-0005-0000-0000-0000D13D0000}"/>
    <cellStyle name="40% - Accent6 2 2 4 3 5" xfId="18536" xr:uid="{00000000-0005-0000-0000-0000D23D0000}"/>
    <cellStyle name="40% - Accent6 2 2 4 4" xfId="9449" xr:uid="{00000000-0005-0000-0000-0000D33D0000}"/>
    <cellStyle name="40% - Accent6 2 2 4 4 2" xfId="20012" xr:uid="{00000000-0005-0000-0000-0000D43D0000}"/>
    <cellStyle name="40% - Accent6 2 2 4 5" xfId="11668" xr:uid="{00000000-0005-0000-0000-0000D53D0000}"/>
    <cellStyle name="40% - Accent6 2 2 4 5 2" xfId="22231" xr:uid="{00000000-0005-0000-0000-0000D63D0000}"/>
    <cellStyle name="40% - Accent6 2 2 4 6" xfId="13887" xr:uid="{00000000-0005-0000-0000-0000D73D0000}"/>
    <cellStyle name="40% - Accent6 2 2 4 6 2" xfId="24450" xr:uid="{00000000-0005-0000-0000-0000D83D0000}"/>
    <cellStyle name="40% - Accent6 2 2 4 7" xfId="17787" xr:uid="{00000000-0005-0000-0000-0000D93D0000}"/>
    <cellStyle name="40% - Accent6 2 2 5" xfId="1475" xr:uid="{00000000-0005-0000-0000-0000DA3D0000}"/>
    <cellStyle name="40% - Accent6 2 2 5 2" xfId="8707" xr:uid="{00000000-0005-0000-0000-0000DB3D0000}"/>
    <cellStyle name="40% - Accent6 2 2 5 2 2" xfId="10926" xr:uid="{00000000-0005-0000-0000-0000DC3D0000}"/>
    <cellStyle name="40% - Accent6 2 2 5 2 2 2" xfId="21489" xr:uid="{00000000-0005-0000-0000-0000DD3D0000}"/>
    <cellStyle name="40% - Accent6 2 2 5 2 3" xfId="13145" xr:uid="{00000000-0005-0000-0000-0000DE3D0000}"/>
    <cellStyle name="40% - Accent6 2 2 5 2 3 2" xfId="23708" xr:uid="{00000000-0005-0000-0000-0000DF3D0000}"/>
    <cellStyle name="40% - Accent6 2 2 5 2 4" xfId="15364" xr:uid="{00000000-0005-0000-0000-0000E03D0000}"/>
    <cellStyle name="40% - Accent6 2 2 5 2 4 2" xfId="25927" xr:uid="{00000000-0005-0000-0000-0000E13D0000}"/>
    <cellStyle name="40% - Accent6 2 2 5 2 5" xfId="19270" xr:uid="{00000000-0005-0000-0000-0000E23D0000}"/>
    <cellStyle name="40% - Accent6 2 2 5 3" xfId="7974" xr:uid="{00000000-0005-0000-0000-0000E33D0000}"/>
    <cellStyle name="40% - Accent6 2 2 5 3 2" xfId="10193" xr:uid="{00000000-0005-0000-0000-0000E43D0000}"/>
    <cellStyle name="40% - Accent6 2 2 5 3 2 2" xfId="20756" xr:uid="{00000000-0005-0000-0000-0000E53D0000}"/>
    <cellStyle name="40% - Accent6 2 2 5 3 3" xfId="12412" xr:uid="{00000000-0005-0000-0000-0000E63D0000}"/>
    <cellStyle name="40% - Accent6 2 2 5 3 3 2" xfId="22975" xr:uid="{00000000-0005-0000-0000-0000E73D0000}"/>
    <cellStyle name="40% - Accent6 2 2 5 3 4" xfId="14631" xr:uid="{00000000-0005-0000-0000-0000E83D0000}"/>
    <cellStyle name="40% - Accent6 2 2 5 3 4 2" xfId="25194" xr:uid="{00000000-0005-0000-0000-0000E93D0000}"/>
    <cellStyle name="40% - Accent6 2 2 5 3 5" xfId="18537" xr:uid="{00000000-0005-0000-0000-0000EA3D0000}"/>
    <cellStyle name="40% - Accent6 2 2 5 4" xfId="9450" xr:uid="{00000000-0005-0000-0000-0000EB3D0000}"/>
    <cellStyle name="40% - Accent6 2 2 5 4 2" xfId="20013" xr:uid="{00000000-0005-0000-0000-0000EC3D0000}"/>
    <cellStyle name="40% - Accent6 2 2 5 5" xfId="11669" xr:uid="{00000000-0005-0000-0000-0000ED3D0000}"/>
    <cellStyle name="40% - Accent6 2 2 5 5 2" xfId="22232" xr:uid="{00000000-0005-0000-0000-0000EE3D0000}"/>
    <cellStyle name="40% - Accent6 2 2 5 6" xfId="13888" xr:uid="{00000000-0005-0000-0000-0000EF3D0000}"/>
    <cellStyle name="40% - Accent6 2 2 5 6 2" xfId="24451" xr:uid="{00000000-0005-0000-0000-0000F03D0000}"/>
    <cellStyle name="40% - Accent6 2 2 5 7" xfId="17788" xr:uid="{00000000-0005-0000-0000-0000F13D0000}"/>
    <cellStyle name="40% - Accent6 2 2 6" xfId="1476" xr:uid="{00000000-0005-0000-0000-0000F23D0000}"/>
    <cellStyle name="40% - Accent6 2 2 6 2" xfId="8708" xr:uid="{00000000-0005-0000-0000-0000F33D0000}"/>
    <cellStyle name="40% - Accent6 2 2 6 2 2" xfId="10927" xr:uid="{00000000-0005-0000-0000-0000F43D0000}"/>
    <cellStyle name="40% - Accent6 2 2 6 2 2 2" xfId="21490" xr:uid="{00000000-0005-0000-0000-0000F53D0000}"/>
    <cellStyle name="40% - Accent6 2 2 6 2 3" xfId="13146" xr:uid="{00000000-0005-0000-0000-0000F63D0000}"/>
    <cellStyle name="40% - Accent6 2 2 6 2 3 2" xfId="23709" xr:uid="{00000000-0005-0000-0000-0000F73D0000}"/>
    <cellStyle name="40% - Accent6 2 2 6 2 4" xfId="15365" xr:uid="{00000000-0005-0000-0000-0000F83D0000}"/>
    <cellStyle name="40% - Accent6 2 2 6 2 4 2" xfId="25928" xr:uid="{00000000-0005-0000-0000-0000F93D0000}"/>
    <cellStyle name="40% - Accent6 2 2 6 2 5" xfId="19271" xr:uid="{00000000-0005-0000-0000-0000FA3D0000}"/>
    <cellStyle name="40% - Accent6 2 2 6 3" xfId="7975" xr:uid="{00000000-0005-0000-0000-0000FB3D0000}"/>
    <cellStyle name="40% - Accent6 2 2 6 3 2" xfId="10194" xr:uid="{00000000-0005-0000-0000-0000FC3D0000}"/>
    <cellStyle name="40% - Accent6 2 2 6 3 2 2" xfId="20757" xr:uid="{00000000-0005-0000-0000-0000FD3D0000}"/>
    <cellStyle name="40% - Accent6 2 2 6 3 3" xfId="12413" xr:uid="{00000000-0005-0000-0000-0000FE3D0000}"/>
    <cellStyle name="40% - Accent6 2 2 6 3 3 2" xfId="22976" xr:uid="{00000000-0005-0000-0000-0000FF3D0000}"/>
    <cellStyle name="40% - Accent6 2 2 6 3 4" xfId="14632" xr:uid="{00000000-0005-0000-0000-0000003E0000}"/>
    <cellStyle name="40% - Accent6 2 2 6 3 4 2" xfId="25195" xr:uid="{00000000-0005-0000-0000-0000013E0000}"/>
    <cellStyle name="40% - Accent6 2 2 6 3 5" xfId="18538" xr:uid="{00000000-0005-0000-0000-0000023E0000}"/>
    <cellStyle name="40% - Accent6 2 2 6 4" xfId="9451" xr:uid="{00000000-0005-0000-0000-0000033E0000}"/>
    <cellStyle name="40% - Accent6 2 2 6 4 2" xfId="20014" xr:uid="{00000000-0005-0000-0000-0000043E0000}"/>
    <cellStyle name="40% - Accent6 2 2 6 5" xfId="11670" xr:uid="{00000000-0005-0000-0000-0000053E0000}"/>
    <cellStyle name="40% - Accent6 2 2 6 5 2" xfId="22233" xr:uid="{00000000-0005-0000-0000-0000063E0000}"/>
    <cellStyle name="40% - Accent6 2 2 6 6" xfId="13889" xr:uid="{00000000-0005-0000-0000-0000073E0000}"/>
    <cellStyle name="40% - Accent6 2 2 6 6 2" xfId="24452" xr:uid="{00000000-0005-0000-0000-0000083E0000}"/>
    <cellStyle name="40% - Accent6 2 2 6 7" xfId="17789" xr:uid="{00000000-0005-0000-0000-0000093E0000}"/>
    <cellStyle name="40% - Accent6 2 2 7" xfId="1477" xr:uid="{00000000-0005-0000-0000-00000A3E0000}"/>
    <cellStyle name="40% - Accent6 2 2 7 2" xfId="8709" xr:uid="{00000000-0005-0000-0000-00000B3E0000}"/>
    <cellStyle name="40% - Accent6 2 2 7 2 2" xfId="10928" xr:uid="{00000000-0005-0000-0000-00000C3E0000}"/>
    <cellStyle name="40% - Accent6 2 2 7 2 2 2" xfId="21491" xr:uid="{00000000-0005-0000-0000-00000D3E0000}"/>
    <cellStyle name="40% - Accent6 2 2 7 2 3" xfId="13147" xr:uid="{00000000-0005-0000-0000-00000E3E0000}"/>
    <cellStyle name="40% - Accent6 2 2 7 2 3 2" xfId="23710" xr:uid="{00000000-0005-0000-0000-00000F3E0000}"/>
    <cellStyle name="40% - Accent6 2 2 7 2 4" xfId="15366" xr:uid="{00000000-0005-0000-0000-0000103E0000}"/>
    <cellStyle name="40% - Accent6 2 2 7 2 4 2" xfId="25929" xr:uid="{00000000-0005-0000-0000-0000113E0000}"/>
    <cellStyle name="40% - Accent6 2 2 7 2 5" xfId="19272" xr:uid="{00000000-0005-0000-0000-0000123E0000}"/>
    <cellStyle name="40% - Accent6 2 2 7 3" xfId="7976" xr:uid="{00000000-0005-0000-0000-0000133E0000}"/>
    <cellStyle name="40% - Accent6 2 2 7 3 2" xfId="10195" xr:uid="{00000000-0005-0000-0000-0000143E0000}"/>
    <cellStyle name="40% - Accent6 2 2 7 3 2 2" xfId="20758" xr:uid="{00000000-0005-0000-0000-0000153E0000}"/>
    <cellStyle name="40% - Accent6 2 2 7 3 3" xfId="12414" xr:uid="{00000000-0005-0000-0000-0000163E0000}"/>
    <cellStyle name="40% - Accent6 2 2 7 3 3 2" xfId="22977" xr:uid="{00000000-0005-0000-0000-0000173E0000}"/>
    <cellStyle name="40% - Accent6 2 2 7 3 4" xfId="14633" xr:uid="{00000000-0005-0000-0000-0000183E0000}"/>
    <cellStyle name="40% - Accent6 2 2 7 3 4 2" xfId="25196" xr:uid="{00000000-0005-0000-0000-0000193E0000}"/>
    <cellStyle name="40% - Accent6 2 2 7 3 5" xfId="18539" xr:uid="{00000000-0005-0000-0000-00001A3E0000}"/>
    <cellStyle name="40% - Accent6 2 2 7 4" xfId="9452" xr:uid="{00000000-0005-0000-0000-00001B3E0000}"/>
    <cellStyle name="40% - Accent6 2 2 7 4 2" xfId="20015" xr:uid="{00000000-0005-0000-0000-00001C3E0000}"/>
    <cellStyle name="40% - Accent6 2 2 7 5" xfId="11671" xr:uid="{00000000-0005-0000-0000-00001D3E0000}"/>
    <cellStyle name="40% - Accent6 2 2 7 5 2" xfId="22234" xr:uid="{00000000-0005-0000-0000-00001E3E0000}"/>
    <cellStyle name="40% - Accent6 2 2 7 6" xfId="13890" xr:uid="{00000000-0005-0000-0000-00001F3E0000}"/>
    <cellStyle name="40% - Accent6 2 2 7 6 2" xfId="24453" xr:uid="{00000000-0005-0000-0000-0000203E0000}"/>
    <cellStyle name="40% - Accent6 2 2 7 7" xfId="17790" xr:uid="{00000000-0005-0000-0000-0000213E0000}"/>
    <cellStyle name="40% - Accent6 2 2 8" xfId="1478" xr:uid="{00000000-0005-0000-0000-0000223E0000}"/>
    <cellStyle name="40% - Accent6 2 2 8 2" xfId="8710" xr:uid="{00000000-0005-0000-0000-0000233E0000}"/>
    <cellStyle name="40% - Accent6 2 2 8 2 2" xfId="10929" xr:uid="{00000000-0005-0000-0000-0000243E0000}"/>
    <cellStyle name="40% - Accent6 2 2 8 2 2 2" xfId="21492" xr:uid="{00000000-0005-0000-0000-0000253E0000}"/>
    <cellStyle name="40% - Accent6 2 2 8 2 3" xfId="13148" xr:uid="{00000000-0005-0000-0000-0000263E0000}"/>
    <cellStyle name="40% - Accent6 2 2 8 2 3 2" xfId="23711" xr:uid="{00000000-0005-0000-0000-0000273E0000}"/>
    <cellStyle name="40% - Accent6 2 2 8 2 4" xfId="15367" xr:uid="{00000000-0005-0000-0000-0000283E0000}"/>
    <cellStyle name="40% - Accent6 2 2 8 2 4 2" xfId="25930" xr:uid="{00000000-0005-0000-0000-0000293E0000}"/>
    <cellStyle name="40% - Accent6 2 2 8 2 5" xfId="19273" xr:uid="{00000000-0005-0000-0000-00002A3E0000}"/>
    <cellStyle name="40% - Accent6 2 2 8 3" xfId="7977" xr:uid="{00000000-0005-0000-0000-00002B3E0000}"/>
    <cellStyle name="40% - Accent6 2 2 8 3 2" xfId="10196" xr:uid="{00000000-0005-0000-0000-00002C3E0000}"/>
    <cellStyle name="40% - Accent6 2 2 8 3 2 2" xfId="20759" xr:uid="{00000000-0005-0000-0000-00002D3E0000}"/>
    <cellStyle name="40% - Accent6 2 2 8 3 3" xfId="12415" xr:uid="{00000000-0005-0000-0000-00002E3E0000}"/>
    <cellStyle name="40% - Accent6 2 2 8 3 3 2" xfId="22978" xr:uid="{00000000-0005-0000-0000-00002F3E0000}"/>
    <cellStyle name="40% - Accent6 2 2 8 3 4" xfId="14634" xr:uid="{00000000-0005-0000-0000-0000303E0000}"/>
    <cellStyle name="40% - Accent6 2 2 8 3 4 2" xfId="25197" xr:uid="{00000000-0005-0000-0000-0000313E0000}"/>
    <cellStyle name="40% - Accent6 2 2 8 3 5" xfId="18540" xr:uid="{00000000-0005-0000-0000-0000323E0000}"/>
    <cellStyle name="40% - Accent6 2 2 8 4" xfId="9453" xr:uid="{00000000-0005-0000-0000-0000333E0000}"/>
    <cellStyle name="40% - Accent6 2 2 8 4 2" xfId="20016" xr:uid="{00000000-0005-0000-0000-0000343E0000}"/>
    <cellStyle name="40% - Accent6 2 2 8 5" xfId="11672" xr:uid="{00000000-0005-0000-0000-0000353E0000}"/>
    <cellStyle name="40% - Accent6 2 2 8 5 2" xfId="22235" xr:uid="{00000000-0005-0000-0000-0000363E0000}"/>
    <cellStyle name="40% - Accent6 2 2 8 6" xfId="13891" xr:uid="{00000000-0005-0000-0000-0000373E0000}"/>
    <cellStyle name="40% - Accent6 2 2 8 6 2" xfId="24454" xr:uid="{00000000-0005-0000-0000-0000383E0000}"/>
    <cellStyle name="40% - Accent6 2 2 8 7" xfId="17791" xr:uid="{00000000-0005-0000-0000-0000393E0000}"/>
    <cellStyle name="40% - Accent6 2 2 9" xfId="1479" xr:uid="{00000000-0005-0000-0000-00003A3E0000}"/>
    <cellStyle name="40% - Accent6 2 2 9 2" xfId="8711" xr:uid="{00000000-0005-0000-0000-00003B3E0000}"/>
    <cellStyle name="40% - Accent6 2 2 9 2 2" xfId="10930" xr:uid="{00000000-0005-0000-0000-00003C3E0000}"/>
    <cellStyle name="40% - Accent6 2 2 9 2 2 2" xfId="21493" xr:uid="{00000000-0005-0000-0000-00003D3E0000}"/>
    <cellStyle name="40% - Accent6 2 2 9 2 3" xfId="13149" xr:uid="{00000000-0005-0000-0000-00003E3E0000}"/>
    <cellStyle name="40% - Accent6 2 2 9 2 3 2" xfId="23712" xr:uid="{00000000-0005-0000-0000-00003F3E0000}"/>
    <cellStyle name="40% - Accent6 2 2 9 2 4" xfId="15368" xr:uid="{00000000-0005-0000-0000-0000403E0000}"/>
    <cellStyle name="40% - Accent6 2 2 9 2 4 2" xfId="25931" xr:uid="{00000000-0005-0000-0000-0000413E0000}"/>
    <cellStyle name="40% - Accent6 2 2 9 2 5" xfId="19274" xr:uid="{00000000-0005-0000-0000-0000423E0000}"/>
    <cellStyle name="40% - Accent6 2 2 9 3" xfId="7978" xr:uid="{00000000-0005-0000-0000-0000433E0000}"/>
    <cellStyle name="40% - Accent6 2 2 9 3 2" xfId="10197" xr:uid="{00000000-0005-0000-0000-0000443E0000}"/>
    <cellStyle name="40% - Accent6 2 2 9 3 2 2" xfId="20760" xr:uid="{00000000-0005-0000-0000-0000453E0000}"/>
    <cellStyle name="40% - Accent6 2 2 9 3 3" xfId="12416" xr:uid="{00000000-0005-0000-0000-0000463E0000}"/>
    <cellStyle name="40% - Accent6 2 2 9 3 3 2" xfId="22979" xr:uid="{00000000-0005-0000-0000-0000473E0000}"/>
    <cellStyle name="40% - Accent6 2 2 9 3 4" xfId="14635" xr:uid="{00000000-0005-0000-0000-0000483E0000}"/>
    <cellStyle name="40% - Accent6 2 2 9 3 4 2" xfId="25198" xr:uid="{00000000-0005-0000-0000-0000493E0000}"/>
    <cellStyle name="40% - Accent6 2 2 9 3 5" xfId="18541" xr:uid="{00000000-0005-0000-0000-00004A3E0000}"/>
    <cellStyle name="40% - Accent6 2 2 9 4" xfId="9454" xr:uid="{00000000-0005-0000-0000-00004B3E0000}"/>
    <cellStyle name="40% - Accent6 2 2 9 4 2" xfId="20017" xr:uid="{00000000-0005-0000-0000-00004C3E0000}"/>
    <cellStyle name="40% - Accent6 2 2 9 5" xfId="11673" xr:uid="{00000000-0005-0000-0000-00004D3E0000}"/>
    <cellStyle name="40% - Accent6 2 2 9 5 2" xfId="22236" xr:uid="{00000000-0005-0000-0000-00004E3E0000}"/>
    <cellStyle name="40% - Accent6 2 2 9 6" xfId="13892" xr:uid="{00000000-0005-0000-0000-00004F3E0000}"/>
    <cellStyle name="40% - Accent6 2 2 9 6 2" xfId="24455" xr:uid="{00000000-0005-0000-0000-0000503E0000}"/>
    <cellStyle name="40% - Accent6 2 2 9 7" xfId="17792" xr:uid="{00000000-0005-0000-0000-0000513E0000}"/>
    <cellStyle name="40% - Accent6 2 3" xfId="1480" xr:uid="{00000000-0005-0000-0000-0000523E0000}"/>
    <cellStyle name="40% - Accent6 2 3 10" xfId="8712" xr:uid="{00000000-0005-0000-0000-0000533E0000}"/>
    <cellStyle name="40% - Accent6 2 3 10 2" xfId="10931" xr:uid="{00000000-0005-0000-0000-0000543E0000}"/>
    <cellStyle name="40% - Accent6 2 3 10 2 2" xfId="21494" xr:uid="{00000000-0005-0000-0000-0000553E0000}"/>
    <cellStyle name="40% - Accent6 2 3 10 3" xfId="13150" xr:uid="{00000000-0005-0000-0000-0000563E0000}"/>
    <cellStyle name="40% - Accent6 2 3 10 3 2" xfId="23713" xr:uid="{00000000-0005-0000-0000-0000573E0000}"/>
    <cellStyle name="40% - Accent6 2 3 10 4" xfId="15369" xr:uid="{00000000-0005-0000-0000-0000583E0000}"/>
    <cellStyle name="40% - Accent6 2 3 10 4 2" xfId="25932" xr:uid="{00000000-0005-0000-0000-0000593E0000}"/>
    <cellStyle name="40% - Accent6 2 3 10 5" xfId="19275" xr:uid="{00000000-0005-0000-0000-00005A3E0000}"/>
    <cellStyle name="40% - Accent6 2 3 11" xfId="7979" xr:uid="{00000000-0005-0000-0000-00005B3E0000}"/>
    <cellStyle name="40% - Accent6 2 3 11 2" xfId="10198" xr:uid="{00000000-0005-0000-0000-00005C3E0000}"/>
    <cellStyle name="40% - Accent6 2 3 11 2 2" xfId="20761" xr:uid="{00000000-0005-0000-0000-00005D3E0000}"/>
    <cellStyle name="40% - Accent6 2 3 11 3" xfId="12417" xr:uid="{00000000-0005-0000-0000-00005E3E0000}"/>
    <cellStyle name="40% - Accent6 2 3 11 3 2" xfId="22980" xr:uid="{00000000-0005-0000-0000-00005F3E0000}"/>
    <cellStyle name="40% - Accent6 2 3 11 4" xfId="14636" xr:uid="{00000000-0005-0000-0000-0000603E0000}"/>
    <cellStyle name="40% - Accent6 2 3 11 4 2" xfId="25199" xr:uid="{00000000-0005-0000-0000-0000613E0000}"/>
    <cellStyle name="40% - Accent6 2 3 11 5" xfId="18542" xr:uid="{00000000-0005-0000-0000-0000623E0000}"/>
    <cellStyle name="40% - Accent6 2 3 12" xfId="9455" xr:uid="{00000000-0005-0000-0000-0000633E0000}"/>
    <cellStyle name="40% - Accent6 2 3 12 2" xfId="20018" xr:uid="{00000000-0005-0000-0000-0000643E0000}"/>
    <cellStyle name="40% - Accent6 2 3 13" xfId="11674" xr:uid="{00000000-0005-0000-0000-0000653E0000}"/>
    <cellStyle name="40% - Accent6 2 3 13 2" xfId="22237" xr:uid="{00000000-0005-0000-0000-0000663E0000}"/>
    <cellStyle name="40% - Accent6 2 3 14" xfId="13893" xr:uid="{00000000-0005-0000-0000-0000673E0000}"/>
    <cellStyle name="40% - Accent6 2 3 14 2" xfId="24456" xr:uid="{00000000-0005-0000-0000-0000683E0000}"/>
    <cellStyle name="40% - Accent6 2 3 15" xfId="17793" xr:uid="{00000000-0005-0000-0000-0000693E0000}"/>
    <cellStyle name="40% - Accent6 2 3 2" xfId="1481" xr:uid="{00000000-0005-0000-0000-00006A3E0000}"/>
    <cellStyle name="40% - Accent6 2 3 2 2" xfId="8713" xr:uid="{00000000-0005-0000-0000-00006B3E0000}"/>
    <cellStyle name="40% - Accent6 2 3 2 2 2" xfId="10932" xr:uid="{00000000-0005-0000-0000-00006C3E0000}"/>
    <cellStyle name="40% - Accent6 2 3 2 2 2 2" xfId="21495" xr:uid="{00000000-0005-0000-0000-00006D3E0000}"/>
    <cellStyle name="40% - Accent6 2 3 2 2 3" xfId="13151" xr:uid="{00000000-0005-0000-0000-00006E3E0000}"/>
    <cellStyle name="40% - Accent6 2 3 2 2 3 2" xfId="23714" xr:uid="{00000000-0005-0000-0000-00006F3E0000}"/>
    <cellStyle name="40% - Accent6 2 3 2 2 4" xfId="15370" xr:uid="{00000000-0005-0000-0000-0000703E0000}"/>
    <cellStyle name="40% - Accent6 2 3 2 2 4 2" xfId="25933" xr:uid="{00000000-0005-0000-0000-0000713E0000}"/>
    <cellStyle name="40% - Accent6 2 3 2 2 5" xfId="19276" xr:uid="{00000000-0005-0000-0000-0000723E0000}"/>
    <cellStyle name="40% - Accent6 2 3 2 3" xfId="7980" xr:uid="{00000000-0005-0000-0000-0000733E0000}"/>
    <cellStyle name="40% - Accent6 2 3 2 3 2" xfId="10199" xr:uid="{00000000-0005-0000-0000-0000743E0000}"/>
    <cellStyle name="40% - Accent6 2 3 2 3 2 2" xfId="20762" xr:uid="{00000000-0005-0000-0000-0000753E0000}"/>
    <cellStyle name="40% - Accent6 2 3 2 3 3" xfId="12418" xr:uid="{00000000-0005-0000-0000-0000763E0000}"/>
    <cellStyle name="40% - Accent6 2 3 2 3 3 2" xfId="22981" xr:uid="{00000000-0005-0000-0000-0000773E0000}"/>
    <cellStyle name="40% - Accent6 2 3 2 3 4" xfId="14637" xr:uid="{00000000-0005-0000-0000-0000783E0000}"/>
    <cellStyle name="40% - Accent6 2 3 2 3 4 2" xfId="25200" xr:uid="{00000000-0005-0000-0000-0000793E0000}"/>
    <cellStyle name="40% - Accent6 2 3 2 3 5" xfId="18543" xr:uid="{00000000-0005-0000-0000-00007A3E0000}"/>
    <cellStyle name="40% - Accent6 2 3 2 4" xfId="9456" xr:uid="{00000000-0005-0000-0000-00007B3E0000}"/>
    <cellStyle name="40% - Accent6 2 3 2 4 2" xfId="20019" xr:uid="{00000000-0005-0000-0000-00007C3E0000}"/>
    <cellStyle name="40% - Accent6 2 3 2 5" xfId="11675" xr:uid="{00000000-0005-0000-0000-00007D3E0000}"/>
    <cellStyle name="40% - Accent6 2 3 2 5 2" xfId="22238" xr:uid="{00000000-0005-0000-0000-00007E3E0000}"/>
    <cellStyle name="40% - Accent6 2 3 2 6" xfId="13894" xr:uid="{00000000-0005-0000-0000-00007F3E0000}"/>
    <cellStyle name="40% - Accent6 2 3 2 6 2" xfId="24457" xr:uid="{00000000-0005-0000-0000-0000803E0000}"/>
    <cellStyle name="40% - Accent6 2 3 2 7" xfId="17794" xr:uid="{00000000-0005-0000-0000-0000813E0000}"/>
    <cellStyle name="40% - Accent6 2 3 3" xfId="1482" xr:uid="{00000000-0005-0000-0000-0000823E0000}"/>
    <cellStyle name="40% - Accent6 2 3 3 2" xfId="8714" xr:uid="{00000000-0005-0000-0000-0000833E0000}"/>
    <cellStyle name="40% - Accent6 2 3 3 2 2" xfId="10933" xr:uid="{00000000-0005-0000-0000-0000843E0000}"/>
    <cellStyle name="40% - Accent6 2 3 3 2 2 2" xfId="21496" xr:uid="{00000000-0005-0000-0000-0000853E0000}"/>
    <cellStyle name="40% - Accent6 2 3 3 2 3" xfId="13152" xr:uid="{00000000-0005-0000-0000-0000863E0000}"/>
    <cellStyle name="40% - Accent6 2 3 3 2 3 2" xfId="23715" xr:uid="{00000000-0005-0000-0000-0000873E0000}"/>
    <cellStyle name="40% - Accent6 2 3 3 2 4" xfId="15371" xr:uid="{00000000-0005-0000-0000-0000883E0000}"/>
    <cellStyle name="40% - Accent6 2 3 3 2 4 2" xfId="25934" xr:uid="{00000000-0005-0000-0000-0000893E0000}"/>
    <cellStyle name="40% - Accent6 2 3 3 2 5" xfId="19277" xr:uid="{00000000-0005-0000-0000-00008A3E0000}"/>
    <cellStyle name="40% - Accent6 2 3 3 3" xfId="7981" xr:uid="{00000000-0005-0000-0000-00008B3E0000}"/>
    <cellStyle name="40% - Accent6 2 3 3 3 2" xfId="10200" xr:uid="{00000000-0005-0000-0000-00008C3E0000}"/>
    <cellStyle name="40% - Accent6 2 3 3 3 2 2" xfId="20763" xr:uid="{00000000-0005-0000-0000-00008D3E0000}"/>
    <cellStyle name="40% - Accent6 2 3 3 3 3" xfId="12419" xr:uid="{00000000-0005-0000-0000-00008E3E0000}"/>
    <cellStyle name="40% - Accent6 2 3 3 3 3 2" xfId="22982" xr:uid="{00000000-0005-0000-0000-00008F3E0000}"/>
    <cellStyle name="40% - Accent6 2 3 3 3 4" xfId="14638" xr:uid="{00000000-0005-0000-0000-0000903E0000}"/>
    <cellStyle name="40% - Accent6 2 3 3 3 4 2" xfId="25201" xr:uid="{00000000-0005-0000-0000-0000913E0000}"/>
    <cellStyle name="40% - Accent6 2 3 3 3 5" xfId="18544" xr:uid="{00000000-0005-0000-0000-0000923E0000}"/>
    <cellStyle name="40% - Accent6 2 3 3 4" xfId="9457" xr:uid="{00000000-0005-0000-0000-0000933E0000}"/>
    <cellStyle name="40% - Accent6 2 3 3 4 2" xfId="20020" xr:uid="{00000000-0005-0000-0000-0000943E0000}"/>
    <cellStyle name="40% - Accent6 2 3 3 5" xfId="11676" xr:uid="{00000000-0005-0000-0000-0000953E0000}"/>
    <cellStyle name="40% - Accent6 2 3 3 5 2" xfId="22239" xr:uid="{00000000-0005-0000-0000-0000963E0000}"/>
    <cellStyle name="40% - Accent6 2 3 3 6" xfId="13895" xr:uid="{00000000-0005-0000-0000-0000973E0000}"/>
    <cellStyle name="40% - Accent6 2 3 3 6 2" xfId="24458" xr:uid="{00000000-0005-0000-0000-0000983E0000}"/>
    <cellStyle name="40% - Accent6 2 3 3 7" xfId="17795" xr:uid="{00000000-0005-0000-0000-0000993E0000}"/>
    <cellStyle name="40% - Accent6 2 3 4" xfId="1483" xr:uid="{00000000-0005-0000-0000-00009A3E0000}"/>
    <cellStyle name="40% - Accent6 2 3 4 2" xfId="8715" xr:uid="{00000000-0005-0000-0000-00009B3E0000}"/>
    <cellStyle name="40% - Accent6 2 3 4 2 2" xfId="10934" xr:uid="{00000000-0005-0000-0000-00009C3E0000}"/>
    <cellStyle name="40% - Accent6 2 3 4 2 2 2" xfId="21497" xr:uid="{00000000-0005-0000-0000-00009D3E0000}"/>
    <cellStyle name="40% - Accent6 2 3 4 2 3" xfId="13153" xr:uid="{00000000-0005-0000-0000-00009E3E0000}"/>
    <cellStyle name="40% - Accent6 2 3 4 2 3 2" xfId="23716" xr:uid="{00000000-0005-0000-0000-00009F3E0000}"/>
    <cellStyle name="40% - Accent6 2 3 4 2 4" xfId="15372" xr:uid="{00000000-0005-0000-0000-0000A03E0000}"/>
    <cellStyle name="40% - Accent6 2 3 4 2 4 2" xfId="25935" xr:uid="{00000000-0005-0000-0000-0000A13E0000}"/>
    <cellStyle name="40% - Accent6 2 3 4 2 5" xfId="19278" xr:uid="{00000000-0005-0000-0000-0000A23E0000}"/>
    <cellStyle name="40% - Accent6 2 3 4 3" xfId="7982" xr:uid="{00000000-0005-0000-0000-0000A33E0000}"/>
    <cellStyle name="40% - Accent6 2 3 4 3 2" xfId="10201" xr:uid="{00000000-0005-0000-0000-0000A43E0000}"/>
    <cellStyle name="40% - Accent6 2 3 4 3 2 2" xfId="20764" xr:uid="{00000000-0005-0000-0000-0000A53E0000}"/>
    <cellStyle name="40% - Accent6 2 3 4 3 3" xfId="12420" xr:uid="{00000000-0005-0000-0000-0000A63E0000}"/>
    <cellStyle name="40% - Accent6 2 3 4 3 3 2" xfId="22983" xr:uid="{00000000-0005-0000-0000-0000A73E0000}"/>
    <cellStyle name="40% - Accent6 2 3 4 3 4" xfId="14639" xr:uid="{00000000-0005-0000-0000-0000A83E0000}"/>
    <cellStyle name="40% - Accent6 2 3 4 3 4 2" xfId="25202" xr:uid="{00000000-0005-0000-0000-0000A93E0000}"/>
    <cellStyle name="40% - Accent6 2 3 4 3 5" xfId="18545" xr:uid="{00000000-0005-0000-0000-0000AA3E0000}"/>
    <cellStyle name="40% - Accent6 2 3 4 4" xfId="9458" xr:uid="{00000000-0005-0000-0000-0000AB3E0000}"/>
    <cellStyle name="40% - Accent6 2 3 4 4 2" xfId="20021" xr:uid="{00000000-0005-0000-0000-0000AC3E0000}"/>
    <cellStyle name="40% - Accent6 2 3 4 5" xfId="11677" xr:uid="{00000000-0005-0000-0000-0000AD3E0000}"/>
    <cellStyle name="40% - Accent6 2 3 4 5 2" xfId="22240" xr:uid="{00000000-0005-0000-0000-0000AE3E0000}"/>
    <cellStyle name="40% - Accent6 2 3 4 6" xfId="13896" xr:uid="{00000000-0005-0000-0000-0000AF3E0000}"/>
    <cellStyle name="40% - Accent6 2 3 4 6 2" xfId="24459" xr:uid="{00000000-0005-0000-0000-0000B03E0000}"/>
    <cellStyle name="40% - Accent6 2 3 4 7" xfId="17796" xr:uid="{00000000-0005-0000-0000-0000B13E0000}"/>
    <cellStyle name="40% - Accent6 2 3 5" xfId="1484" xr:uid="{00000000-0005-0000-0000-0000B23E0000}"/>
    <cellStyle name="40% - Accent6 2 3 5 2" xfId="8716" xr:uid="{00000000-0005-0000-0000-0000B33E0000}"/>
    <cellStyle name="40% - Accent6 2 3 5 2 2" xfId="10935" xr:uid="{00000000-0005-0000-0000-0000B43E0000}"/>
    <cellStyle name="40% - Accent6 2 3 5 2 2 2" xfId="21498" xr:uid="{00000000-0005-0000-0000-0000B53E0000}"/>
    <cellStyle name="40% - Accent6 2 3 5 2 3" xfId="13154" xr:uid="{00000000-0005-0000-0000-0000B63E0000}"/>
    <cellStyle name="40% - Accent6 2 3 5 2 3 2" xfId="23717" xr:uid="{00000000-0005-0000-0000-0000B73E0000}"/>
    <cellStyle name="40% - Accent6 2 3 5 2 4" xfId="15373" xr:uid="{00000000-0005-0000-0000-0000B83E0000}"/>
    <cellStyle name="40% - Accent6 2 3 5 2 4 2" xfId="25936" xr:uid="{00000000-0005-0000-0000-0000B93E0000}"/>
    <cellStyle name="40% - Accent6 2 3 5 2 5" xfId="19279" xr:uid="{00000000-0005-0000-0000-0000BA3E0000}"/>
    <cellStyle name="40% - Accent6 2 3 5 3" xfId="7983" xr:uid="{00000000-0005-0000-0000-0000BB3E0000}"/>
    <cellStyle name="40% - Accent6 2 3 5 3 2" xfId="10202" xr:uid="{00000000-0005-0000-0000-0000BC3E0000}"/>
    <cellStyle name="40% - Accent6 2 3 5 3 2 2" xfId="20765" xr:uid="{00000000-0005-0000-0000-0000BD3E0000}"/>
    <cellStyle name="40% - Accent6 2 3 5 3 3" xfId="12421" xr:uid="{00000000-0005-0000-0000-0000BE3E0000}"/>
    <cellStyle name="40% - Accent6 2 3 5 3 3 2" xfId="22984" xr:uid="{00000000-0005-0000-0000-0000BF3E0000}"/>
    <cellStyle name="40% - Accent6 2 3 5 3 4" xfId="14640" xr:uid="{00000000-0005-0000-0000-0000C03E0000}"/>
    <cellStyle name="40% - Accent6 2 3 5 3 4 2" xfId="25203" xr:uid="{00000000-0005-0000-0000-0000C13E0000}"/>
    <cellStyle name="40% - Accent6 2 3 5 3 5" xfId="18546" xr:uid="{00000000-0005-0000-0000-0000C23E0000}"/>
    <cellStyle name="40% - Accent6 2 3 5 4" xfId="9459" xr:uid="{00000000-0005-0000-0000-0000C33E0000}"/>
    <cellStyle name="40% - Accent6 2 3 5 4 2" xfId="20022" xr:uid="{00000000-0005-0000-0000-0000C43E0000}"/>
    <cellStyle name="40% - Accent6 2 3 5 5" xfId="11678" xr:uid="{00000000-0005-0000-0000-0000C53E0000}"/>
    <cellStyle name="40% - Accent6 2 3 5 5 2" xfId="22241" xr:uid="{00000000-0005-0000-0000-0000C63E0000}"/>
    <cellStyle name="40% - Accent6 2 3 5 6" xfId="13897" xr:uid="{00000000-0005-0000-0000-0000C73E0000}"/>
    <cellStyle name="40% - Accent6 2 3 5 6 2" xfId="24460" xr:uid="{00000000-0005-0000-0000-0000C83E0000}"/>
    <cellStyle name="40% - Accent6 2 3 5 7" xfId="17797" xr:uid="{00000000-0005-0000-0000-0000C93E0000}"/>
    <cellStyle name="40% - Accent6 2 3 6" xfId="1485" xr:uid="{00000000-0005-0000-0000-0000CA3E0000}"/>
    <cellStyle name="40% - Accent6 2 3 6 2" xfId="8717" xr:uid="{00000000-0005-0000-0000-0000CB3E0000}"/>
    <cellStyle name="40% - Accent6 2 3 6 2 2" xfId="10936" xr:uid="{00000000-0005-0000-0000-0000CC3E0000}"/>
    <cellStyle name="40% - Accent6 2 3 6 2 2 2" xfId="21499" xr:uid="{00000000-0005-0000-0000-0000CD3E0000}"/>
    <cellStyle name="40% - Accent6 2 3 6 2 3" xfId="13155" xr:uid="{00000000-0005-0000-0000-0000CE3E0000}"/>
    <cellStyle name="40% - Accent6 2 3 6 2 3 2" xfId="23718" xr:uid="{00000000-0005-0000-0000-0000CF3E0000}"/>
    <cellStyle name="40% - Accent6 2 3 6 2 4" xfId="15374" xr:uid="{00000000-0005-0000-0000-0000D03E0000}"/>
    <cellStyle name="40% - Accent6 2 3 6 2 4 2" xfId="25937" xr:uid="{00000000-0005-0000-0000-0000D13E0000}"/>
    <cellStyle name="40% - Accent6 2 3 6 2 5" xfId="19280" xr:uid="{00000000-0005-0000-0000-0000D23E0000}"/>
    <cellStyle name="40% - Accent6 2 3 6 3" xfId="7984" xr:uid="{00000000-0005-0000-0000-0000D33E0000}"/>
    <cellStyle name="40% - Accent6 2 3 6 3 2" xfId="10203" xr:uid="{00000000-0005-0000-0000-0000D43E0000}"/>
    <cellStyle name="40% - Accent6 2 3 6 3 2 2" xfId="20766" xr:uid="{00000000-0005-0000-0000-0000D53E0000}"/>
    <cellStyle name="40% - Accent6 2 3 6 3 3" xfId="12422" xr:uid="{00000000-0005-0000-0000-0000D63E0000}"/>
    <cellStyle name="40% - Accent6 2 3 6 3 3 2" xfId="22985" xr:uid="{00000000-0005-0000-0000-0000D73E0000}"/>
    <cellStyle name="40% - Accent6 2 3 6 3 4" xfId="14641" xr:uid="{00000000-0005-0000-0000-0000D83E0000}"/>
    <cellStyle name="40% - Accent6 2 3 6 3 4 2" xfId="25204" xr:uid="{00000000-0005-0000-0000-0000D93E0000}"/>
    <cellStyle name="40% - Accent6 2 3 6 3 5" xfId="18547" xr:uid="{00000000-0005-0000-0000-0000DA3E0000}"/>
    <cellStyle name="40% - Accent6 2 3 6 4" xfId="9460" xr:uid="{00000000-0005-0000-0000-0000DB3E0000}"/>
    <cellStyle name="40% - Accent6 2 3 6 4 2" xfId="20023" xr:uid="{00000000-0005-0000-0000-0000DC3E0000}"/>
    <cellStyle name="40% - Accent6 2 3 6 5" xfId="11679" xr:uid="{00000000-0005-0000-0000-0000DD3E0000}"/>
    <cellStyle name="40% - Accent6 2 3 6 5 2" xfId="22242" xr:uid="{00000000-0005-0000-0000-0000DE3E0000}"/>
    <cellStyle name="40% - Accent6 2 3 6 6" xfId="13898" xr:uid="{00000000-0005-0000-0000-0000DF3E0000}"/>
    <cellStyle name="40% - Accent6 2 3 6 6 2" xfId="24461" xr:uid="{00000000-0005-0000-0000-0000E03E0000}"/>
    <cellStyle name="40% - Accent6 2 3 6 7" xfId="17798" xr:uid="{00000000-0005-0000-0000-0000E13E0000}"/>
    <cellStyle name="40% - Accent6 2 3 7" xfId="1486" xr:uid="{00000000-0005-0000-0000-0000E23E0000}"/>
    <cellStyle name="40% - Accent6 2 3 7 2" xfId="8718" xr:uid="{00000000-0005-0000-0000-0000E33E0000}"/>
    <cellStyle name="40% - Accent6 2 3 7 2 2" xfId="10937" xr:uid="{00000000-0005-0000-0000-0000E43E0000}"/>
    <cellStyle name="40% - Accent6 2 3 7 2 2 2" xfId="21500" xr:uid="{00000000-0005-0000-0000-0000E53E0000}"/>
    <cellStyle name="40% - Accent6 2 3 7 2 3" xfId="13156" xr:uid="{00000000-0005-0000-0000-0000E63E0000}"/>
    <cellStyle name="40% - Accent6 2 3 7 2 3 2" xfId="23719" xr:uid="{00000000-0005-0000-0000-0000E73E0000}"/>
    <cellStyle name="40% - Accent6 2 3 7 2 4" xfId="15375" xr:uid="{00000000-0005-0000-0000-0000E83E0000}"/>
    <cellStyle name="40% - Accent6 2 3 7 2 4 2" xfId="25938" xr:uid="{00000000-0005-0000-0000-0000E93E0000}"/>
    <cellStyle name="40% - Accent6 2 3 7 2 5" xfId="19281" xr:uid="{00000000-0005-0000-0000-0000EA3E0000}"/>
    <cellStyle name="40% - Accent6 2 3 7 3" xfId="7985" xr:uid="{00000000-0005-0000-0000-0000EB3E0000}"/>
    <cellStyle name="40% - Accent6 2 3 7 3 2" xfId="10204" xr:uid="{00000000-0005-0000-0000-0000EC3E0000}"/>
    <cellStyle name="40% - Accent6 2 3 7 3 2 2" xfId="20767" xr:uid="{00000000-0005-0000-0000-0000ED3E0000}"/>
    <cellStyle name="40% - Accent6 2 3 7 3 3" xfId="12423" xr:uid="{00000000-0005-0000-0000-0000EE3E0000}"/>
    <cellStyle name="40% - Accent6 2 3 7 3 3 2" xfId="22986" xr:uid="{00000000-0005-0000-0000-0000EF3E0000}"/>
    <cellStyle name="40% - Accent6 2 3 7 3 4" xfId="14642" xr:uid="{00000000-0005-0000-0000-0000F03E0000}"/>
    <cellStyle name="40% - Accent6 2 3 7 3 4 2" xfId="25205" xr:uid="{00000000-0005-0000-0000-0000F13E0000}"/>
    <cellStyle name="40% - Accent6 2 3 7 3 5" xfId="18548" xr:uid="{00000000-0005-0000-0000-0000F23E0000}"/>
    <cellStyle name="40% - Accent6 2 3 7 4" xfId="9461" xr:uid="{00000000-0005-0000-0000-0000F33E0000}"/>
    <cellStyle name="40% - Accent6 2 3 7 4 2" xfId="20024" xr:uid="{00000000-0005-0000-0000-0000F43E0000}"/>
    <cellStyle name="40% - Accent6 2 3 7 5" xfId="11680" xr:uid="{00000000-0005-0000-0000-0000F53E0000}"/>
    <cellStyle name="40% - Accent6 2 3 7 5 2" xfId="22243" xr:uid="{00000000-0005-0000-0000-0000F63E0000}"/>
    <cellStyle name="40% - Accent6 2 3 7 6" xfId="13899" xr:uid="{00000000-0005-0000-0000-0000F73E0000}"/>
    <cellStyle name="40% - Accent6 2 3 7 6 2" xfId="24462" xr:uid="{00000000-0005-0000-0000-0000F83E0000}"/>
    <cellStyle name="40% - Accent6 2 3 7 7" xfId="17799" xr:uid="{00000000-0005-0000-0000-0000F93E0000}"/>
    <cellStyle name="40% - Accent6 2 3 8" xfId="1487" xr:uid="{00000000-0005-0000-0000-0000FA3E0000}"/>
    <cellStyle name="40% - Accent6 2 3 8 2" xfId="8719" xr:uid="{00000000-0005-0000-0000-0000FB3E0000}"/>
    <cellStyle name="40% - Accent6 2 3 8 2 2" xfId="10938" xr:uid="{00000000-0005-0000-0000-0000FC3E0000}"/>
    <cellStyle name="40% - Accent6 2 3 8 2 2 2" xfId="21501" xr:uid="{00000000-0005-0000-0000-0000FD3E0000}"/>
    <cellStyle name="40% - Accent6 2 3 8 2 3" xfId="13157" xr:uid="{00000000-0005-0000-0000-0000FE3E0000}"/>
    <cellStyle name="40% - Accent6 2 3 8 2 3 2" xfId="23720" xr:uid="{00000000-0005-0000-0000-0000FF3E0000}"/>
    <cellStyle name="40% - Accent6 2 3 8 2 4" xfId="15376" xr:uid="{00000000-0005-0000-0000-0000003F0000}"/>
    <cellStyle name="40% - Accent6 2 3 8 2 4 2" xfId="25939" xr:uid="{00000000-0005-0000-0000-0000013F0000}"/>
    <cellStyle name="40% - Accent6 2 3 8 2 5" xfId="19282" xr:uid="{00000000-0005-0000-0000-0000023F0000}"/>
    <cellStyle name="40% - Accent6 2 3 8 3" xfId="7986" xr:uid="{00000000-0005-0000-0000-0000033F0000}"/>
    <cellStyle name="40% - Accent6 2 3 8 3 2" xfId="10205" xr:uid="{00000000-0005-0000-0000-0000043F0000}"/>
    <cellStyle name="40% - Accent6 2 3 8 3 2 2" xfId="20768" xr:uid="{00000000-0005-0000-0000-0000053F0000}"/>
    <cellStyle name="40% - Accent6 2 3 8 3 3" xfId="12424" xr:uid="{00000000-0005-0000-0000-0000063F0000}"/>
    <cellStyle name="40% - Accent6 2 3 8 3 3 2" xfId="22987" xr:uid="{00000000-0005-0000-0000-0000073F0000}"/>
    <cellStyle name="40% - Accent6 2 3 8 3 4" xfId="14643" xr:uid="{00000000-0005-0000-0000-0000083F0000}"/>
    <cellStyle name="40% - Accent6 2 3 8 3 4 2" xfId="25206" xr:uid="{00000000-0005-0000-0000-0000093F0000}"/>
    <cellStyle name="40% - Accent6 2 3 8 3 5" xfId="18549" xr:uid="{00000000-0005-0000-0000-00000A3F0000}"/>
    <cellStyle name="40% - Accent6 2 3 8 4" xfId="9462" xr:uid="{00000000-0005-0000-0000-00000B3F0000}"/>
    <cellStyle name="40% - Accent6 2 3 8 4 2" xfId="20025" xr:uid="{00000000-0005-0000-0000-00000C3F0000}"/>
    <cellStyle name="40% - Accent6 2 3 8 5" xfId="11681" xr:uid="{00000000-0005-0000-0000-00000D3F0000}"/>
    <cellStyle name="40% - Accent6 2 3 8 5 2" xfId="22244" xr:uid="{00000000-0005-0000-0000-00000E3F0000}"/>
    <cellStyle name="40% - Accent6 2 3 8 6" xfId="13900" xr:uid="{00000000-0005-0000-0000-00000F3F0000}"/>
    <cellStyle name="40% - Accent6 2 3 8 6 2" xfId="24463" xr:uid="{00000000-0005-0000-0000-0000103F0000}"/>
    <cellStyle name="40% - Accent6 2 3 8 7" xfId="17800" xr:uid="{00000000-0005-0000-0000-0000113F0000}"/>
    <cellStyle name="40% - Accent6 2 3 9" xfId="1488" xr:uid="{00000000-0005-0000-0000-0000123F0000}"/>
    <cellStyle name="40% - Accent6 2 3 9 2" xfId="8720" xr:uid="{00000000-0005-0000-0000-0000133F0000}"/>
    <cellStyle name="40% - Accent6 2 3 9 2 2" xfId="10939" xr:uid="{00000000-0005-0000-0000-0000143F0000}"/>
    <cellStyle name="40% - Accent6 2 3 9 2 2 2" xfId="21502" xr:uid="{00000000-0005-0000-0000-0000153F0000}"/>
    <cellStyle name="40% - Accent6 2 3 9 2 3" xfId="13158" xr:uid="{00000000-0005-0000-0000-0000163F0000}"/>
    <cellStyle name="40% - Accent6 2 3 9 2 3 2" xfId="23721" xr:uid="{00000000-0005-0000-0000-0000173F0000}"/>
    <cellStyle name="40% - Accent6 2 3 9 2 4" xfId="15377" xr:uid="{00000000-0005-0000-0000-0000183F0000}"/>
    <cellStyle name="40% - Accent6 2 3 9 2 4 2" xfId="25940" xr:uid="{00000000-0005-0000-0000-0000193F0000}"/>
    <cellStyle name="40% - Accent6 2 3 9 2 5" xfId="19283" xr:uid="{00000000-0005-0000-0000-00001A3F0000}"/>
    <cellStyle name="40% - Accent6 2 3 9 3" xfId="7987" xr:uid="{00000000-0005-0000-0000-00001B3F0000}"/>
    <cellStyle name="40% - Accent6 2 3 9 3 2" xfId="10206" xr:uid="{00000000-0005-0000-0000-00001C3F0000}"/>
    <cellStyle name="40% - Accent6 2 3 9 3 2 2" xfId="20769" xr:uid="{00000000-0005-0000-0000-00001D3F0000}"/>
    <cellStyle name="40% - Accent6 2 3 9 3 3" xfId="12425" xr:uid="{00000000-0005-0000-0000-00001E3F0000}"/>
    <cellStyle name="40% - Accent6 2 3 9 3 3 2" xfId="22988" xr:uid="{00000000-0005-0000-0000-00001F3F0000}"/>
    <cellStyle name="40% - Accent6 2 3 9 3 4" xfId="14644" xr:uid="{00000000-0005-0000-0000-0000203F0000}"/>
    <cellStyle name="40% - Accent6 2 3 9 3 4 2" xfId="25207" xr:uid="{00000000-0005-0000-0000-0000213F0000}"/>
    <cellStyle name="40% - Accent6 2 3 9 3 5" xfId="18550" xr:uid="{00000000-0005-0000-0000-0000223F0000}"/>
    <cellStyle name="40% - Accent6 2 3 9 4" xfId="9463" xr:uid="{00000000-0005-0000-0000-0000233F0000}"/>
    <cellStyle name="40% - Accent6 2 3 9 4 2" xfId="20026" xr:uid="{00000000-0005-0000-0000-0000243F0000}"/>
    <cellStyle name="40% - Accent6 2 3 9 5" xfId="11682" xr:uid="{00000000-0005-0000-0000-0000253F0000}"/>
    <cellStyle name="40% - Accent6 2 3 9 5 2" xfId="22245" xr:uid="{00000000-0005-0000-0000-0000263F0000}"/>
    <cellStyle name="40% - Accent6 2 3 9 6" xfId="13901" xr:uid="{00000000-0005-0000-0000-0000273F0000}"/>
    <cellStyle name="40% - Accent6 2 3 9 6 2" xfId="24464" xr:uid="{00000000-0005-0000-0000-0000283F0000}"/>
    <cellStyle name="40% - Accent6 2 3 9 7" xfId="17801" xr:uid="{00000000-0005-0000-0000-0000293F0000}"/>
    <cellStyle name="40% - Accent6 2 4" xfId="1489" xr:uid="{00000000-0005-0000-0000-00002A3F0000}"/>
    <cellStyle name="40% - Accent6 2 4 10" xfId="8721" xr:uid="{00000000-0005-0000-0000-00002B3F0000}"/>
    <cellStyle name="40% - Accent6 2 4 10 2" xfId="10940" xr:uid="{00000000-0005-0000-0000-00002C3F0000}"/>
    <cellStyle name="40% - Accent6 2 4 10 2 2" xfId="21503" xr:uid="{00000000-0005-0000-0000-00002D3F0000}"/>
    <cellStyle name="40% - Accent6 2 4 10 3" xfId="13159" xr:uid="{00000000-0005-0000-0000-00002E3F0000}"/>
    <cellStyle name="40% - Accent6 2 4 10 3 2" xfId="23722" xr:uid="{00000000-0005-0000-0000-00002F3F0000}"/>
    <cellStyle name="40% - Accent6 2 4 10 4" xfId="15378" xr:uid="{00000000-0005-0000-0000-0000303F0000}"/>
    <cellStyle name="40% - Accent6 2 4 10 4 2" xfId="25941" xr:uid="{00000000-0005-0000-0000-0000313F0000}"/>
    <cellStyle name="40% - Accent6 2 4 10 5" xfId="19284" xr:uid="{00000000-0005-0000-0000-0000323F0000}"/>
    <cellStyle name="40% - Accent6 2 4 11" xfId="7988" xr:uid="{00000000-0005-0000-0000-0000333F0000}"/>
    <cellStyle name="40% - Accent6 2 4 11 2" xfId="10207" xr:uid="{00000000-0005-0000-0000-0000343F0000}"/>
    <cellStyle name="40% - Accent6 2 4 11 2 2" xfId="20770" xr:uid="{00000000-0005-0000-0000-0000353F0000}"/>
    <cellStyle name="40% - Accent6 2 4 11 3" xfId="12426" xr:uid="{00000000-0005-0000-0000-0000363F0000}"/>
    <cellStyle name="40% - Accent6 2 4 11 3 2" xfId="22989" xr:uid="{00000000-0005-0000-0000-0000373F0000}"/>
    <cellStyle name="40% - Accent6 2 4 11 4" xfId="14645" xr:uid="{00000000-0005-0000-0000-0000383F0000}"/>
    <cellStyle name="40% - Accent6 2 4 11 4 2" xfId="25208" xr:uid="{00000000-0005-0000-0000-0000393F0000}"/>
    <cellStyle name="40% - Accent6 2 4 11 5" xfId="18551" xr:uid="{00000000-0005-0000-0000-00003A3F0000}"/>
    <cellStyle name="40% - Accent6 2 4 12" xfId="9464" xr:uid="{00000000-0005-0000-0000-00003B3F0000}"/>
    <cellStyle name="40% - Accent6 2 4 12 2" xfId="20027" xr:uid="{00000000-0005-0000-0000-00003C3F0000}"/>
    <cellStyle name="40% - Accent6 2 4 13" xfId="11683" xr:uid="{00000000-0005-0000-0000-00003D3F0000}"/>
    <cellStyle name="40% - Accent6 2 4 13 2" xfId="22246" xr:uid="{00000000-0005-0000-0000-00003E3F0000}"/>
    <cellStyle name="40% - Accent6 2 4 14" xfId="13902" xr:uid="{00000000-0005-0000-0000-00003F3F0000}"/>
    <cellStyle name="40% - Accent6 2 4 14 2" xfId="24465" xr:uid="{00000000-0005-0000-0000-0000403F0000}"/>
    <cellStyle name="40% - Accent6 2 4 15" xfId="17802" xr:uid="{00000000-0005-0000-0000-0000413F0000}"/>
    <cellStyle name="40% - Accent6 2 4 2" xfId="1490" xr:uid="{00000000-0005-0000-0000-0000423F0000}"/>
    <cellStyle name="40% - Accent6 2 4 2 2" xfId="8722" xr:uid="{00000000-0005-0000-0000-0000433F0000}"/>
    <cellStyle name="40% - Accent6 2 4 2 2 2" xfId="10941" xr:uid="{00000000-0005-0000-0000-0000443F0000}"/>
    <cellStyle name="40% - Accent6 2 4 2 2 2 2" xfId="21504" xr:uid="{00000000-0005-0000-0000-0000453F0000}"/>
    <cellStyle name="40% - Accent6 2 4 2 2 3" xfId="13160" xr:uid="{00000000-0005-0000-0000-0000463F0000}"/>
    <cellStyle name="40% - Accent6 2 4 2 2 3 2" xfId="23723" xr:uid="{00000000-0005-0000-0000-0000473F0000}"/>
    <cellStyle name="40% - Accent6 2 4 2 2 4" xfId="15379" xr:uid="{00000000-0005-0000-0000-0000483F0000}"/>
    <cellStyle name="40% - Accent6 2 4 2 2 4 2" xfId="25942" xr:uid="{00000000-0005-0000-0000-0000493F0000}"/>
    <cellStyle name="40% - Accent6 2 4 2 2 5" xfId="19285" xr:uid="{00000000-0005-0000-0000-00004A3F0000}"/>
    <cellStyle name="40% - Accent6 2 4 2 3" xfId="7989" xr:uid="{00000000-0005-0000-0000-00004B3F0000}"/>
    <cellStyle name="40% - Accent6 2 4 2 3 2" xfId="10208" xr:uid="{00000000-0005-0000-0000-00004C3F0000}"/>
    <cellStyle name="40% - Accent6 2 4 2 3 2 2" xfId="20771" xr:uid="{00000000-0005-0000-0000-00004D3F0000}"/>
    <cellStyle name="40% - Accent6 2 4 2 3 3" xfId="12427" xr:uid="{00000000-0005-0000-0000-00004E3F0000}"/>
    <cellStyle name="40% - Accent6 2 4 2 3 3 2" xfId="22990" xr:uid="{00000000-0005-0000-0000-00004F3F0000}"/>
    <cellStyle name="40% - Accent6 2 4 2 3 4" xfId="14646" xr:uid="{00000000-0005-0000-0000-0000503F0000}"/>
    <cellStyle name="40% - Accent6 2 4 2 3 4 2" xfId="25209" xr:uid="{00000000-0005-0000-0000-0000513F0000}"/>
    <cellStyle name="40% - Accent6 2 4 2 3 5" xfId="18552" xr:uid="{00000000-0005-0000-0000-0000523F0000}"/>
    <cellStyle name="40% - Accent6 2 4 2 4" xfId="9465" xr:uid="{00000000-0005-0000-0000-0000533F0000}"/>
    <cellStyle name="40% - Accent6 2 4 2 4 2" xfId="20028" xr:uid="{00000000-0005-0000-0000-0000543F0000}"/>
    <cellStyle name="40% - Accent6 2 4 2 5" xfId="11684" xr:uid="{00000000-0005-0000-0000-0000553F0000}"/>
    <cellStyle name="40% - Accent6 2 4 2 5 2" xfId="22247" xr:uid="{00000000-0005-0000-0000-0000563F0000}"/>
    <cellStyle name="40% - Accent6 2 4 2 6" xfId="13903" xr:uid="{00000000-0005-0000-0000-0000573F0000}"/>
    <cellStyle name="40% - Accent6 2 4 2 6 2" xfId="24466" xr:uid="{00000000-0005-0000-0000-0000583F0000}"/>
    <cellStyle name="40% - Accent6 2 4 2 7" xfId="17803" xr:uid="{00000000-0005-0000-0000-0000593F0000}"/>
    <cellStyle name="40% - Accent6 2 4 3" xfId="1491" xr:uid="{00000000-0005-0000-0000-00005A3F0000}"/>
    <cellStyle name="40% - Accent6 2 4 3 2" xfId="8723" xr:uid="{00000000-0005-0000-0000-00005B3F0000}"/>
    <cellStyle name="40% - Accent6 2 4 3 2 2" xfId="10942" xr:uid="{00000000-0005-0000-0000-00005C3F0000}"/>
    <cellStyle name="40% - Accent6 2 4 3 2 2 2" xfId="21505" xr:uid="{00000000-0005-0000-0000-00005D3F0000}"/>
    <cellStyle name="40% - Accent6 2 4 3 2 3" xfId="13161" xr:uid="{00000000-0005-0000-0000-00005E3F0000}"/>
    <cellStyle name="40% - Accent6 2 4 3 2 3 2" xfId="23724" xr:uid="{00000000-0005-0000-0000-00005F3F0000}"/>
    <cellStyle name="40% - Accent6 2 4 3 2 4" xfId="15380" xr:uid="{00000000-0005-0000-0000-0000603F0000}"/>
    <cellStyle name="40% - Accent6 2 4 3 2 4 2" xfId="25943" xr:uid="{00000000-0005-0000-0000-0000613F0000}"/>
    <cellStyle name="40% - Accent6 2 4 3 2 5" xfId="19286" xr:uid="{00000000-0005-0000-0000-0000623F0000}"/>
    <cellStyle name="40% - Accent6 2 4 3 3" xfId="7990" xr:uid="{00000000-0005-0000-0000-0000633F0000}"/>
    <cellStyle name="40% - Accent6 2 4 3 3 2" xfId="10209" xr:uid="{00000000-0005-0000-0000-0000643F0000}"/>
    <cellStyle name="40% - Accent6 2 4 3 3 2 2" xfId="20772" xr:uid="{00000000-0005-0000-0000-0000653F0000}"/>
    <cellStyle name="40% - Accent6 2 4 3 3 3" xfId="12428" xr:uid="{00000000-0005-0000-0000-0000663F0000}"/>
    <cellStyle name="40% - Accent6 2 4 3 3 3 2" xfId="22991" xr:uid="{00000000-0005-0000-0000-0000673F0000}"/>
    <cellStyle name="40% - Accent6 2 4 3 3 4" xfId="14647" xr:uid="{00000000-0005-0000-0000-0000683F0000}"/>
    <cellStyle name="40% - Accent6 2 4 3 3 4 2" xfId="25210" xr:uid="{00000000-0005-0000-0000-0000693F0000}"/>
    <cellStyle name="40% - Accent6 2 4 3 3 5" xfId="18553" xr:uid="{00000000-0005-0000-0000-00006A3F0000}"/>
    <cellStyle name="40% - Accent6 2 4 3 4" xfId="9466" xr:uid="{00000000-0005-0000-0000-00006B3F0000}"/>
    <cellStyle name="40% - Accent6 2 4 3 4 2" xfId="20029" xr:uid="{00000000-0005-0000-0000-00006C3F0000}"/>
    <cellStyle name="40% - Accent6 2 4 3 5" xfId="11685" xr:uid="{00000000-0005-0000-0000-00006D3F0000}"/>
    <cellStyle name="40% - Accent6 2 4 3 5 2" xfId="22248" xr:uid="{00000000-0005-0000-0000-00006E3F0000}"/>
    <cellStyle name="40% - Accent6 2 4 3 6" xfId="13904" xr:uid="{00000000-0005-0000-0000-00006F3F0000}"/>
    <cellStyle name="40% - Accent6 2 4 3 6 2" xfId="24467" xr:uid="{00000000-0005-0000-0000-0000703F0000}"/>
    <cellStyle name="40% - Accent6 2 4 3 7" xfId="17804" xr:uid="{00000000-0005-0000-0000-0000713F0000}"/>
    <cellStyle name="40% - Accent6 2 4 4" xfId="1492" xr:uid="{00000000-0005-0000-0000-0000723F0000}"/>
    <cellStyle name="40% - Accent6 2 4 4 2" xfId="8724" xr:uid="{00000000-0005-0000-0000-0000733F0000}"/>
    <cellStyle name="40% - Accent6 2 4 4 2 2" xfId="10943" xr:uid="{00000000-0005-0000-0000-0000743F0000}"/>
    <cellStyle name="40% - Accent6 2 4 4 2 2 2" xfId="21506" xr:uid="{00000000-0005-0000-0000-0000753F0000}"/>
    <cellStyle name="40% - Accent6 2 4 4 2 3" xfId="13162" xr:uid="{00000000-0005-0000-0000-0000763F0000}"/>
    <cellStyle name="40% - Accent6 2 4 4 2 3 2" xfId="23725" xr:uid="{00000000-0005-0000-0000-0000773F0000}"/>
    <cellStyle name="40% - Accent6 2 4 4 2 4" xfId="15381" xr:uid="{00000000-0005-0000-0000-0000783F0000}"/>
    <cellStyle name="40% - Accent6 2 4 4 2 4 2" xfId="25944" xr:uid="{00000000-0005-0000-0000-0000793F0000}"/>
    <cellStyle name="40% - Accent6 2 4 4 2 5" xfId="19287" xr:uid="{00000000-0005-0000-0000-00007A3F0000}"/>
    <cellStyle name="40% - Accent6 2 4 4 3" xfId="7991" xr:uid="{00000000-0005-0000-0000-00007B3F0000}"/>
    <cellStyle name="40% - Accent6 2 4 4 3 2" xfId="10210" xr:uid="{00000000-0005-0000-0000-00007C3F0000}"/>
    <cellStyle name="40% - Accent6 2 4 4 3 2 2" xfId="20773" xr:uid="{00000000-0005-0000-0000-00007D3F0000}"/>
    <cellStyle name="40% - Accent6 2 4 4 3 3" xfId="12429" xr:uid="{00000000-0005-0000-0000-00007E3F0000}"/>
    <cellStyle name="40% - Accent6 2 4 4 3 3 2" xfId="22992" xr:uid="{00000000-0005-0000-0000-00007F3F0000}"/>
    <cellStyle name="40% - Accent6 2 4 4 3 4" xfId="14648" xr:uid="{00000000-0005-0000-0000-0000803F0000}"/>
    <cellStyle name="40% - Accent6 2 4 4 3 4 2" xfId="25211" xr:uid="{00000000-0005-0000-0000-0000813F0000}"/>
    <cellStyle name="40% - Accent6 2 4 4 3 5" xfId="18554" xr:uid="{00000000-0005-0000-0000-0000823F0000}"/>
    <cellStyle name="40% - Accent6 2 4 4 4" xfId="9467" xr:uid="{00000000-0005-0000-0000-0000833F0000}"/>
    <cellStyle name="40% - Accent6 2 4 4 4 2" xfId="20030" xr:uid="{00000000-0005-0000-0000-0000843F0000}"/>
    <cellStyle name="40% - Accent6 2 4 4 5" xfId="11686" xr:uid="{00000000-0005-0000-0000-0000853F0000}"/>
    <cellStyle name="40% - Accent6 2 4 4 5 2" xfId="22249" xr:uid="{00000000-0005-0000-0000-0000863F0000}"/>
    <cellStyle name="40% - Accent6 2 4 4 6" xfId="13905" xr:uid="{00000000-0005-0000-0000-0000873F0000}"/>
    <cellStyle name="40% - Accent6 2 4 4 6 2" xfId="24468" xr:uid="{00000000-0005-0000-0000-0000883F0000}"/>
    <cellStyle name="40% - Accent6 2 4 4 7" xfId="17805" xr:uid="{00000000-0005-0000-0000-0000893F0000}"/>
    <cellStyle name="40% - Accent6 2 4 5" xfId="1493" xr:uid="{00000000-0005-0000-0000-00008A3F0000}"/>
    <cellStyle name="40% - Accent6 2 4 5 2" xfId="8725" xr:uid="{00000000-0005-0000-0000-00008B3F0000}"/>
    <cellStyle name="40% - Accent6 2 4 5 2 2" xfId="10944" xr:uid="{00000000-0005-0000-0000-00008C3F0000}"/>
    <cellStyle name="40% - Accent6 2 4 5 2 2 2" xfId="21507" xr:uid="{00000000-0005-0000-0000-00008D3F0000}"/>
    <cellStyle name="40% - Accent6 2 4 5 2 3" xfId="13163" xr:uid="{00000000-0005-0000-0000-00008E3F0000}"/>
    <cellStyle name="40% - Accent6 2 4 5 2 3 2" xfId="23726" xr:uid="{00000000-0005-0000-0000-00008F3F0000}"/>
    <cellStyle name="40% - Accent6 2 4 5 2 4" xfId="15382" xr:uid="{00000000-0005-0000-0000-0000903F0000}"/>
    <cellStyle name="40% - Accent6 2 4 5 2 4 2" xfId="25945" xr:uid="{00000000-0005-0000-0000-0000913F0000}"/>
    <cellStyle name="40% - Accent6 2 4 5 2 5" xfId="19288" xr:uid="{00000000-0005-0000-0000-0000923F0000}"/>
    <cellStyle name="40% - Accent6 2 4 5 3" xfId="7992" xr:uid="{00000000-0005-0000-0000-0000933F0000}"/>
    <cellStyle name="40% - Accent6 2 4 5 3 2" xfId="10211" xr:uid="{00000000-0005-0000-0000-0000943F0000}"/>
    <cellStyle name="40% - Accent6 2 4 5 3 2 2" xfId="20774" xr:uid="{00000000-0005-0000-0000-0000953F0000}"/>
    <cellStyle name="40% - Accent6 2 4 5 3 3" xfId="12430" xr:uid="{00000000-0005-0000-0000-0000963F0000}"/>
    <cellStyle name="40% - Accent6 2 4 5 3 3 2" xfId="22993" xr:uid="{00000000-0005-0000-0000-0000973F0000}"/>
    <cellStyle name="40% - Accent6 2 4 5 3 4" xfId="14649" xr:uid="{00000000-0005-0000-0000-0000983F0000}"/>
    <cellStyle name="40% - Accent6 2 4 5 3 4 2" xfId="25212" xr:uid="{00000000-0005-0000-0000-0000993F0000}"/>
    <cellStyle name="40% - Accent6 2 4 5 3 5" xfId="18555" xr:uid="{00000000-0005-0000-0000-00009A3F0000}"/>
    <cellStyle name="40% - Accent6 2 4 5 4" xfId="9468" xr:uid="{00000000-0005-0000-0000-00009B3F0000}"/>
    <cellStyle name="40% - Accent6 2 4 5 4 2" xfId="20031" xr:uid="{00000000-0005-0000-0000-00009C3F0000}"/>
    <cellStyle name="40% - Accent6 2 4 5 5" xfId="11687" xr:uid="{00000000-0005-0000-0000-00009D3F0000}"/>
    <cellStyle name="40% - Accent6 2 4 5 5 2" xfId="22250" xr:uid="{00000000-0005-0000-0000-00009E3F0000}"/>
    <cellStyle name="40% - Accent6 2 4 5 6" xfId="13906" xr:uid="{00000000-0005-0000-0000-00009F3F0000}"/>
    <cellStyle name="40% - Accent6 2 4 5 6 2" xfId="24469" xr:uid="{00000000-0005-0000-0000-0000A03F0000}"/>
    <cellStyle name="40% - Accent6 2 4 5 7" xfId="17806" xr:uid="{00000000-0005-0000-0000-0000A13F0000}"/>
    <cellStyle name="40% - Accent6 2 4 6" xfId="1494" xr:uid="{00000000-0005-0000-0000-0000A23F0000}"/>
    <cellStyle name="40% - Accent6 2 4 6 2" xfId="8726" xr:uid="{00000000-0005-0000-0000-0000A33F0000}"/>
    <cellStyle name="40% - Accent6 2 4 6 2 2" xfId="10945" xr:uid="{00000000-0005-0000-0000-0000A43F0000}"/>
    <cellStyle name="40% - Accent6 2 4 6 2 2 2" xfId="21508" xr:uid="{00000000-0005-0000-0000-0000A53F0000}"/>
    <cellStyle name="40% - Accent6 2 4 6 2 3" xfId="13164" xr:uid="{00000000-0005-0000-0000-0000A63F0000}"/>
    <cellStyle name="40% - Accent6 2 4 6 2 3 2" xfId="23727" xr:uid="{00000000-0005-0000-0000-0000A73F0000}"/>
    <cellStyle name="40% - Accent6 2 4 6 2 4" xfId="15383" xr:uid="{00000000-0005-0000-0000-0000A83F0000}"/>
    <cellStyle name="40% - Accent6 2 4 6 2 4 2" xfId="25946" xr:uid="{00000000-0005-0000-0000-0000A93F0000}"/>
    <cellStyle name="40% - Accent6 2 4 6 2 5" xfId="19289" xr:uid="{00000000-0005-0000-0000-0000AA3F0000}"/>
    <cellStyle name="40% - Accent6 2 4 6 3" xfId="7993" xr:uid="{00000000-0005-0000-0000-0000AB3F0000}"/>
    <cellStyle name="40% - Accent6 2 4 6 3 2" xfId="10212" xr:uid="{00000000-0005-0000-0000-0000AC3F0000}"/>
    <cellStyle name="40% - Accent6 2 4 6 3 2 2" xfId="20775" xr:uid="{00000000-0005-0000-0000-0000AD3F0000}"/>
    <cellStyle name="40% - Accent6 2 4 6 3 3" xfId="12431" xr:uid="{00000000-0005-0000-0000-0000AE3F0000}"/>
    <cellStyle name="40% - Accent6 2 4 6 3 3 2" xfId="22994" xr:uid="{00000000-0005-0000-0000-0000AF3F0000}"/>
    <cellStyle name="40% - Accent6 2 4 6 3 4" xfId="14650" xr:uid="{00000000-0005-0000-0000-0000B03F0000}"/>
    <cellStyle name="40% - Accent6 2 4 6 3 4 2" xfId="25213" xr:uid="{00000000-0005-0000-0000-0000B13F0000}"/>
    <cellStyle name="40% - Accent6 2 4 6 3 5" xfId="18556" xr:uid="{00000000-0005-0000-0000-0000B23F0000}"/>
    <cellStyle name="40% - Accent6 2 4 6 4" xfId="9469" xr:uid="{00000000-0005-0000-0000-0000B33F0000}"/>
    <cellStyle name="40% - Accent6 2 4 6 4 2" xfId="20032" xr:uid="{00000000-0005-0000-0000-0000B43F0000}"/>
    <cellStyle name="40% - Accent6 2 4 6 5" xfId="11688" xr:uid="{00000000-0005-0000-0000-0000B53F0000}"/>
    <cellStyle name="40% - Accent6 2 4 6 5 2" xfId="22251" xr:uid="{00000000-0005-0000-0000-0000B63F0000}"/>
    <cellStyle name="40% - Accent6 2 4 6 6" xfId="13907" xr:uid="{00000000-0005-0000-0000-0000B73F0000}"/>
    <cellStyle name="40% - Accent6 2 4 6 6 2" xfId="24470" xr:uid="{00000000-0005-0000-0000-0000B83F0000}"/>
    <cellStyle name="40% - Accent6 2 4 6 7" xfId="17807" xr:uid="{00000000-0005-0000-0000-0000B93F0000}"/>
    <cellStyle name="40% - Accent6 2 4 7" xfId="1495" xr:uid="{00000000-0005-0000-0000-0000BA3F0000}"/>
    <cellStyle name="40% - Accent6 2 4 7 2" xfId="8727" xr:uid="{00000000-0005-0000-0000-0000BB3F0000}"/>
    <cellStyle name="40% - Accent6 2 4 7 2 2" xfId="10946" xr:uid="{00000000-0005-0000-0000-0000BC3F0000}"/>
    <cellStyle name="40% - Accent6 2 4 7 2 2 2" xfId="21509" xr:uid="{00000000-0005-0000-0000-0000BD3F0000}"/>
    <cellStyle name="40% - Accent6 2 4 7 2 3" xfId="13165" xr:uid="{00000000-0005-0000-0000-0000BE3F0000}"/>
    <cellStyle name="40% - Accent6 2 4 7 2 3 2" xfId="23728" xr:uid="{00000000-0005-0000-0000-0000BF3F0000}"/>
    <cellStyle name="40% - Accent6 2 4 7 2 4" xfId="15384" xr:uid="{00000000-0005-0000-0000-0000C03F0000}"/>
    <cellStyle name="40% - Accent6 2 4 7 2 4 2" xfId="25947" xr:uid="{00000000-0005-0000-0000-0000C13F0000}"/>
    <cellStyle name="40% - Accent6 2 4 7 2 5" xfId="19290" xr:uid="{00000000-0005-0000-0000-0000C23F0000}"/>
    <cellStyle name="40% - Accent6 2 4 7 3" xfId="7994" xr:uid="{00000000-0005-0000-0000-0000C33F0000}"/>
    <cellStyle name="40% - Accent6 2 4 7 3 2" xfId="10213" xr:uid="{00000000-0005-0000-0000-0000C43F0000}"/>
    <cellStyle name="40% - Accent6 2 4 7 3 2 2" xfId="20776" xr:uid="{00000000-0005-0000-0000-0000C53F0000}"/>
    <cellStyle name="40% - Accent6 2 4 7 3 3" xfId="12432" xr:uid="{00000000-0005-0000-0000-0000C63F0000}"/>
    <cellStyle name="40% - Accent6 2 4 7 3 3 2" xfId="22995" xr:uid="{00000000-0005-0000-0000-0000C73F0000}"/>
    <cellStyle name="40% - Accent6 2 4 7 3 4" xfId="14651" xr:uid="{00000000-0005-0000-0000-0000C83F0000}"/>
    <cellStyle name="40% - Accent6 2 4 7 3 4 2" xfId="25214" xr:uid="{00000000-0005-0000-0000-0000C93F0000}"/>
    <cellStyle name="40% - Accent6 2 4 7 3 5" xfId="18557" xr:uid="{00000000-0005-0000-0000-0000CA3F0000}"/>
    <cellStyle name="40% - Accent6 2 4 7 4" xfId="9470" xr:uid="{00000000-0005-0000-0000-0000CB3F0000}"/>
    <cellStyle name="40% - Accent6 2 4 7 4 2" xfId="20033" xr:uid="{00000000-0005-0000-0000-0000CC3F0000}"/>
    <cellStyle name="40% - Accent6 2 4 7 5" xfId="11689" xr:uid="{00000000-0005-0000-0000-0000CD3F0000}"/>
    <cellStyle name="40% - Accent6 2 4 7 5 2" xfId="22252" xr:uid="{00000000-0005-0000-0000-0000CE3F0000}"/>
    <cellStyle name="40% - Accent6 2 4 7 6" xfId="13908" xr:uid="{00000000-0005-0000-0000-0000CF3F0000}"/>
    <cellStyle name="40% - Accent6 2 4 7 6 2" xfId="24471" xr:uid="{00000000-0005-0000-0000-0000D03F0000}"/>
    <cellStyle name="40% - Accent6 2 4 7 7" xfId="17808" xr:uid="{00000000-0005-0000-0000-0000D13F0000}"/>
    <cellStyle name="40% - Accent6 2 4 8" xfId="1496" xr:uid="{00000000-0005-0000-0000-0000D23F0000}"/>
    <cellStyle name="40% - Accent6 2 4 8 2" xfId="8728" xr:uid="{00000000-0005-0000-0000-0000D33F0000}"/>
    <cellStyle name="40% - Accent6 2 4 8 2 2" xfId="10947" xr:uid="{00000000-0005-0000-0000-0000D43F0000}"/>
    <cellStyle name="40% - Accent6 2 4 8 2 2 2" xfId="21510" xr:uid="{00000000-0005-0000-0000-0000D53F0000}"/>
    <cellStyle name="40% - Accent6 2 4 8 2 3" xfId="13166" xr:uid="{00000000-0005-0000-0000-0000D63F0000}"/>
    <cellStyle name="40% - Accent6 2 4 8 2 3 2" xfId="23729" xr:uid="{00000000-0005-0000-0000-0000D73F0000}"/>
    <cellStyle name="40% - Accent6 2 4 8 2 4" xfId="15385" xr:uid="{00000000-0005-0000-0000-0000D83F0000}"/>
    <cellStyle name="40% - Accent6 2 4 8 2 4 2" xfId="25948" xr:uid="{00000000-0005-0000-0000-0000D93F0000}"/>
    <cellStyle name="40% - Accent6 2 4 8 2 5" xfId="19291" xr:uid="{00000000-0005-0000-0000-0000DA3F0000}"/>
    <cellStyle name="40% - Accent6 2 4 8 3" xfId="7995" xr:uid="{00000000-0005-0000-0000-0000DB3F0000}"/>
    <cellStyle name="40% - Accent6 2 4 8 3 2" xfId="10214" xr:uid="{00000000-0005-0000-0000-0000DC3F0000}"/>
    <cellStyle name="40% - Accent6 2 4 8 3 2 2" xfId="20777" xr:uid="{00000000-0005-0000-0000-0000DD3F0000}"/>
    <cellStyle name="40% - Accent6 2 4 8 3 3" xfId="12433" xr:uid="{00000000-0005-0000-0000-0000DE3F0000}"/>
    <cellStyle name="40% - Accent6 2 4 8 3 3 2" xfId="22996" xr:uid="{00000000-0005-0000-0000-0000DF3F0000}"/>
    <cellStyle name="40% - Accent6 2 4 8 3 4" xfId="14652" xr:uid="{00000000-0005-0000-0000-0000E03F0000}"/>
    <cellStyle name="40% - Accent6 2 4 8 3 4 2" xfId="25215" xr:uid="{00000000-0005-0000-0000-0000E13F0000}"/>
    <cellStyle name="40% - Accent6 2 4 8 3 5" xfId="18558" xr:uid="{00000000-0005-0000-0000-0000E23F0000}"/>
    <cellStyle name="40% - Accent6 2 4 8 4" xfId="9471" xr:uid="{00000000-0005-0000-0000-0000E33F0000}"/>
    <cellStyle name="40% - Accent6 2 4 8 4 2" xfId="20034" xr:uid="{00000000-0005-0000-0000-0000E43F0000}"/>
    <cellStyle name="40% - Accent6 2 4 8 5" xfId="11690" xr:uid="{00000000-0005-0000-0000-0000E53F0000}"/>
    <cellStyle name="40% - Accent6 2 4 8 5 2" xfId="22253" xr:uid="{00000000-0005-0000-0000-0000E63F0000}"/>
    <cellStyle name="40% - Accent6 2 4 8 6" xfId="13909" xr:uid="{00000000-0005-0000-0000-0000E73F0000}"/>
    <cellStyle name="40% - Accent6 2 4 8 6 2" xfId="24472" xr:uid="{00000000-0005-0000-0000-0000E83F0000}"/>
    <cellStyle name="40% - Accent6 2 4 8 7" xfId="17809" xr:uid="{00000000-0005-0000-0000-0000E93F0000}"/>
    <cellStyle name="40% - Accent6 2 4 9" xfId="1497" xr:uid="{00000000-0005-0000-0000-0000EA3F0000}"/>
    <cellStyle name="40% - Accent6 2 4 9 2" xfId="8729" xr:uid="{00000000-0005-0000-0000-0000EB3F0000}"/>
    <cellStyle name="40% - Accent6 2 4 9 2 2" xfId="10948" xr:uid="{00000000-0005-0000-0000-0000EC3F0000}"/>
    <cellStyle name="40% - Accent6 2 4 9 2 2 2" xfId="21511" xr:uid="{00000000-0005-0000-0000-0000ED3F0000}"/>
    <cellStyle name="40% - Accent6 2 4 9 2 3" xfId="13167" xr:uid="{00000000-0005-0000-0000-0000EE3F0000}"/>
    <cellStyle name="40% - Accent6 2 4 9 2 3 2" xfId="23730" xr:uid="{00000000-0005-0000-0000-0000EF3F0000}"/>
    <cellStyle name="40% - Accent6 2 4 9 2 4" xfId="15386" xr:uid="{00000000-0005-0000-0000-0000F03F0000}"/>
    <cellStyle name="40% - Accent6 2 4 9 2 4 2" xfId="25949" xr:uid="{00000000-0005-0000-0000-0000F13F0000}"/>
    <cellStyle name="40% - Accent6 2 4 9 2 5" xfId="19292" xr:uid="{00000000-0005-0000-0000-0000F23F0000}"/>
    <cellStyle name="40% - Accent6 2 4 9 3" xfId="7996" xr:uid="{00000000-0005-0000-0000-0000F33F0000}"/>
    <cellStyle name="40% - Accent6 2 4 9 3 2" xfId="10215" xr:uid="{00000000-0005-0000-0000-0000F43F0000}"/>
    <cellStyle name="40% - Accent6 2 4 9 3 2 2" xfId="20778" xr:uid="{00000000-0005-0000-0000-0000F53F0000}"/>
    <cellStyle name="40% - Accent6 2 4 9 3 3" xfId="12434" xr:uid="{00000000-0005-0000-0000-0000F63F0000}"/>
    <cellStyle name="40% - Accent6 2 4 9 3 3 2" xfId="22997" xr:uid="{00000000-0005-0000-0000-0000F73F0000}"/>
    <cellStyle name="40% - Accent6 2 4 9 3 4" xfId="14653" xr:uid="{00000000-0005-0000-0000-0000F83F0000}"/>
    <cellStyle name="40% - Accent6 2 4 9 3 4 2" xfId="25216" xr:uid="{00000000-0005-0000-0000-0000F93F0000}"/>
    <cellStyle name="40% - Accent6 2 4 9 3 5" xfId="18559" xr:uid="{00000000-0005-0000-0000-0000FA3F0000}"/>
    <cellStyle name="40% - Accent6 2 4 9 4" xfId="9472" xr:uid="{00000000-0005-0000-0000-0000FB3F0000}"/>
    <cellStyle name="40% - Accent6 2 4 9 4 2" xfId="20035" xr:uid="{00000000-0005-0000-0000-0000FC3F0000}"/>
    <cellStyle name="40% - Accent6 2 4 9 5" xfId="11691" xr:uid="{00000000-0005-0000-0000-0000FD3F0000}"/>
    <cellStyle name="40% - Accent6 2 4 9 5 2" xfId="22254" xr:uid="{00000000-0005-0000-0000-0000FE3F0000}"/>
    <cellStyle name="40% - Accent6 2 4 9 6" xfId="13910" xr:uid="{00000000-0005-0000-0000-0000FF3F0000}"/>
    <cellStyle name="40% - Accent6 2 4 9 6 2" xfId="24473" xr:uid="{00000000-0005-0000-0000-000000400000}"/>
    <cellStyle name="40% - Accent6 2 4 9 7" xfId="17810" xr:uid="{00000000-0005-0000-0000-000001400000}"/>
    <cellStyle name="40% - Accent6 2 5" xfId="1498" xr:uid="{00000000-0005-0000-0000-000002400000}"/>
    <cellStyle name="40% - Accent6 2 5 10" xfId="8730" xr:uid="{00000000-0005-0000-0000-000003400000}"/>
    <cellStyle name="40% - Accent6 2 5 10 2" xfId="10949" xr:uid="{00000000-0005-0000-0000-000004400000}"/>
    <cellStyle name="40% - Accent6 2 5 10 2 2" xfId="21512" xr:uid="{00000000-0005-0000-0000-000005400000}"/>
    <cellStyle name="40% - Accent6 2 5 10 3" xfId="13168" xr:uid="{00000000-0005-0000-0000-000006400000}"/>
    <cellStyle name="40% - Accent6 2 5 10 3 2" xfId="23731" xr:uid="{00000000-0005-0000-0000-000007400000}"/>
    <cellStyle name="40% - Accent6 2 5 10 4" xfId="15387" xr:uid="{00000000-0005-0000-0000-000008400000}"/>
    <cellStyle name="40% - Accent6 2 5 10 4 2" xfId="25950" xr:uid="{00000000-0005-0000-0000-000009400000}"/>
    <cellStyle name="40% - Accent6 2 5 10 5" xfId="19293" xr:uid="{00000000-0005-0000-0000-00000A400000}"/>
    <cellStyle name="40% - Accent6 2 5 11" xfId="7997" xr:uid="{00000000-0005-0000-0000-00000B400000}"/>
    <cellStyle name="40% - Accent6 2 5 11 2" xfId="10216" xr:uid="{00000000-0005-0000-0000-00000C400000}"/>
    <cellStyle name="40% - Accent6 2 5 11 2 2" xfId="20779" xr:uid="{00000000-0005-0000-0000-00000D400000}"/>
    <cellStyle name="40% - Accent6 2 5 11 3" xfId="12435" xr:uid="{00000000-0005-0000-0000-00000E400000}"/>
    <cellStyle name="40% - Accent6 2 5 11 3 2" xfId="22998" xr:uid="{00000000-0005-0000-0000-00000F400000}"/>
    <cellStyle name="40% - Accent6 2 5 11 4" xfId="14654" xr:uid="{00000000-0005-0000-0000-000010400000}"/>
    <cellStyle name="40% - Accent6 2 5 11 4 2" xfId="25217" xr:uid="{00000000-0005-0000-0000-000011400000}"/>
    <cellStyle name="40% - Accent6 2 5 11 5" xfId="18560" xr:uid="{00000000-0005-0000-0000-000012400000}"/>
    <cellStyle name="40% - Accent6 2 5 12" xfId="9473" xr:uid="{00000000-0005-0000-0000-000013400000}"/>
    <cellStyle name="40% - Accent6 2 5 12 2" xfId="20036" xr:uid="{00000000-0005-0000-0000-000014400000}"/>
    <cellStyle name="40% - Accent6 2 5 13" xfId="11692" xr:uid="{00000000-0005-0000-0000-000015400000}"/>
    <cellStyle name="40% - Accent6 2 5 13 2" xfId="22255" xr:uid="{00000000-0005-0000-0000-000016400000}"/>
    <cellStyle name="40% - Accent6 2 5 14" xfId="13911" xr:uid="{00000000-0005-0000-0000-000017400000}"/>
    <cellStyle name="40% - Accent6 2 5 14 2" xfId="24474" xr:uid="{00000000-0005-0000-0000-000018400000}"/>
    <cellStyle name="40% - Accent6 2 5 15" xfId="17811" xr:uid="{00000000-0005-0000-0000-000019400000}"/>
    <cellStyle name="40% - Accent6 2 5 2" xfId="1499" xr:uid="{00000000-0005-0000-0000-00001A400000}"/>
    <cellStyle name="40% - Accent6 2 5 2 2" xfId="8731" xr:uid="{00000000-0005-0000-0000-00001B400000}"/>
    <cellStyle name="40% - Accent6 2 5 2 2 2" xfId="10950" xr:uid="{00000000-0005-0000-0000-00001C400000}"/>
    <cellStyle name="40% - Accent6 2 5 2 2 2 2" xfId="21513" xr:uid="{00000000-0005-0000-0000-00001D400000}"/>
    <cellStyle name="40% - Accent6 2 5 2 2 3" xfId="13169" xr:uid="{00000000-0005-0000-0000-00001E400000}"/>
    <cellStyle name="40% - Accent6 2 5 2 2 3 2" xfId="23732" xr:uid="{00000000-0005-0000-0000-00001F400000}"/>
    <cellStyle name="40% - Accent6 2 5 2 2 4" xfId="15388" xr:uid="{00000000-0005-0000-0000-000020400000}"/>
    <cellStyle name="40% - Accent6 2 5 2 2 4 2" xfId="25951" xr:uid="{00000000-0005-0000-0000-000021400000}"/>
    <cellStyle name="40% - Accent6 2 5 2 2 5" xfId="19294" xr:uid="{00000000-0005-0000-0000-000022400000}"/>
    <cellStyle name="40% - Accent6 2 5 2 3" xfId="7998" xr:uid="{00000000-0005-0000-0000-000023400000}"/>
    <cellStyle name="40% - Accent6 2 5 2 3 2" xfId="10217" xr:uid="{00000000-0005-0000-0000-000024400000}"/>
    <cellStyle name="40% - Accent6 2 5 2 3 2 2" xfId="20780" xr:uid="{00000000-0005-0000-0000-000025400000}"/>
    <cellStyle name="40% - Accent6 2 5 2 3 3" xfId="12436" xr:uid="{00000000-0005-0000-0000-000026400000}"/>
    <cellStyle name="40% - Accent6 2 5 2 3 3 2" xfId="22999" xr:uid="{00000000-0005-0000-0000-000027400000}"/>
    <cellStyle name="40% - Accent6 2 5 2 3 4" xfId="14655" xr:uid="{00000000-0005-0000-0000-000028400000}"/>
    <cellStyle name="40% - Accent6 2 5 2 3 4 2" xfId="25218" xr:uid="{00000000-0005-0000-0000-000029400000}"/>
    <cellStyle name="40% - Accent6 2 5 2 3 5" xfId="18561" xr:uid="{00000000-0005-0000-0000-00002A400000}"/>
    <cellStyle name="40% - Accent6 2 5 2 4" xfId="9474" xr:uid="{00000000-0005-0000-0000-00002B400000}"/>
    <cellStyle name="40% - Accent6 2 5 2 4 2" xfId="20037" xr:uid="{00000000-0005-0000-0000-00002C400000}"/>
    <cellStyle name="40% - Accent6 2 5 2 5" xfId="11693" xr:uid="{00000000-0005-0000-0000-00002D400000}"/>
    <cellStyle name="40% - Accent6 2 5 2 5 2" xfId="22256" xr:uid="{00000000-0005-0000-0000-00002E400000}"/>
    <cellStyle name="40% - Accent6 2 5 2 6" xfId="13912" xr:uid="{00000000-0005-0000-0000-00002F400000}"/>
    <cellStyle name="40% - Accent6 2 5 2 6 2" xfId="24475" xr:uid="{00000000-0005-0000-0000-000030400000}"/>
    <cellStyle name="40% - Accent6 2 5 2 7" xfId="17812" xr:uid="{00000000-0005-0000-0000-000031400000}"/>
    <cellStyle name="40% - Accent6 2 5 3" xfId="1500" xr:uid="{00000000-0005-0000-0000-000032400000}"/>
    <cellStyle name="40% - Accent6 2 5 3 2" xfId="8732" xr:uid="{00000000-0005-0000-0000-000033400000}"/>
    <cellStyle name="40% - Accent6 2 5 3 2 2" xfId="10951" xr:uid="{00000000-0005-0000-0000-000034400000}"/>
    <cellStyle name="40% - Accent6 2 5 3 2 2 2" xfId="21514" xr:uid="{00000000-0005-0000-0000-000035400000}"/>
    <cellStyle name="40% - Accent6 2 5 3 2 3" xfId="13170" xr:uid="{00000000-0005-0000-0000-000036400000}"/>
    <cellStyle name="40% - Accent6 2 5 3 2 3 2" xfId="23733" xr:uid="{00000000-0005-0000-0000-000037400000}"/>
    <cellStyle name="40% - Accent6 2 5 3 2 4" xfId="15389" xr:uid="{00000000-0005-0000-0000-000038400000}"/>
    <cellStyle name="40% - Accent6 2 5 3 2 4 2" xfId="25952" xr:uid="{00000000-0005-0000-0000-000039400000}"/>
    <cellStyle name="40% - Accent6 2 5 3 2 5" xfId="19295" xr:uid="{00000000-0005-0000-0000-00003A400000}"/>
    <cellStyle name="40% - Accent6 2 5 3 3" xfId="7999" xr:uid="{00000000-0005-0000-0000-00003B400000}"/>
    <cellStyle name="40% - Accent6 2 5 3 3 2" xfId="10218" xr:uid="{00000000-0005-0000-0000-00003C400000}"/>
    <cellStyle name="40% - Accent6 2 5 3 3 2 2" xfId="20781" xr:uid="{00000000-0005-0000-0000-00003D400000}"/>
    <cellStyle name="40% - Accent6 2 5 3 3 3" xfId="12437" xr:uid="{00000000-0005-0000-0000-00003E400000}"/>
    <cellStyle name="40% - Accent6 2 5 3 3 3 2" xfId="23000" xr:uid="{00000000-0005-0000-0000-00003F400000}"/>
    <cellStyle name="40% - Accent6 2 5 3 3 4" xfId="14656" xr:uid="{00000000-0005-0000-0000-000040400000}"/>
    <cellStyle name="40% - Accent6 2 5 3 3 4 2" xfId="25219" xr:uid="{00000000-0005-0000-0000-000041400000}"/>
    <cellStyle name="40% - Accent6 2 5 3 3 5" xfId="18562" xr:uid="{00000000-0005-0000-0000-000042400000}"/>
    <cellStyle name="40% - Accent6 2 5 3 4" xfId="9475" xr:uid="{00000000-0005-0000-0000-000043400000}"/>
    <cellStyle name="40% - Accent6 2 5 3 4 2" xfId="20038" xr:uid="{00000000-0005-0000-0000-000044400000}"/>
    <cellStyle name="40% - Accent6 2 5 3 5" xfId="11694" xr:uid="{00000000-0005-0000-0000-000045400000}"/>
    <cellStyle name="40% - Accent6 2 5 3 5 2" xfId="22257" xr:uid="{00000000-0005-0000-0000-000046400000}"/>
    <cellStyle name="40% - Accent6 2 5 3 6" xfId="13913" xr:uid="{00000000-0005-0000-0000-000047400000}"/>
    <cellStyle name="40% - Accent6 2 5 3 6 2" xfId="24476" xr:uid="{00000000-0005-0000-0000-000048400000}"/>
    <cellStyle name="40% - Accent6 2 5 3 7" xfId="17813" xr:uid="{00000000-0005-0000-0000-000049400000}"/>
    <cellStyle name="40% - Accent6 2 5 4" xfId="1501" xr:uid="{00000000-0005-0000-0000-00004A400000}"/>
    <cellStyle name="40% - Accent6 2 5 4 2" xfId="8733" xr:uid="{00000000-0005-0000-0000-00004B400000}"/>
    <cellStyle name="40% - Accent6 2 5 4 2 2" xfId="10952" xr:uid="{00000000-0005-0000-0000-00004C400000}"/>
    <cellStyle name="40% - Accent6 2 5 4 2 2 2" xfId="21515" xr:uid="{00000000-0005-0000-0000-00004D400000}"/>
    <cellStyle name="40% - Accent6 2 5 4 2 3" xfId="13171" xr:uid="{00000000-0005-0000-0000-00004E400000}"/>
    <cellStyle name="40% - Accent6 2 5 4 2 3 2" xfId="23734" xr:uid="{00000000-0005-0000-0000-00004F400000}"/>
    <cellStyle name="40% - Accent6 2 5 4 2 4" xfId="15390" xr:uid="{00000000-0005-0000-0000-000050400000}"/>
    <cellStyle name="40% - Accent6 2 5 4 2 4 2" xfId="25953" xr:uid="{00000000-0005-0000-0000-000051400000}"/>
    <cellStyle name="40% - Accent6 2 5 4 2 5" xfId="19296" xr:uid="{00000000-0005-0000-0000-000052400000}"/>
    <cellStyle name="40% - Accent6 2 5 4 3" xfId="8000" xr:uid="{00000000-0005-0000-0000-000053400000}"/>
    <cellStyle name="40% - Accent6 2 5 4 3 2" xfId="10219" xr:uid="{00000000-0005-0000-0000-000054400000}"/>
    <cellStyle name="40% - Accent6 2 5 4 3 2 2" xfId="20782" xr:uid="{00000000-0005-0000-0000-000055400000}"/>
    <cellStyle name="40% - Accent6 2 5 4 3 3" xfId="12438" xr:uid="{00000000-0005-0000-0000-000056400000}"/>
    <cellStyle name="40% - Accent6 2 5 4 3 3 2" xfId="23001" xr:uid="{00000000-0005-0000-0000-000057400000}"/>
    <cellStyle name="40% - Accent6 2 5 4 3 4" xfId="14657" xr:uid="{00000000-0005-0000-0000-000058400000}"/>
    <cellStyle name="40% - Accent6 2 5 4 3 4 2" xfId="25220" xr:uid="{00000000-0005-0000-0000-000059400000}"/>
    <cellStyle name="40% - Accent6 2 5 4 3 5" xfId="18563" xr:uid="{00000000-0005-0000-0000-00005A400000}"/>
    <cellStyle name="40% - Accent6 2 5 4 4" xfId="9476" xr:uid="{00000000-0005-0000-0000-00005B400000}"/>
    <cellStyle name="40% - Accent6 2 5 4 4 2" xfId="20039" xr:uid="{00000000-0005-0000-0000-00005C400000}"/>
    <cellStyle name="40% - Accent6 2 5 4 5" xfId="11695" xr:uid="{00000000-0005-0000-0000-00005D400000}"/>
    <cellStyle name="40% - Accent6 2 5 4 5 2" xfId="22258" xr:uid="{00000000-0005-0000-0000-00005E400000}"/>
    <cellStyle name="40% - Accent6 2 5 4 6" xfId="13914" xr:uid="{00000000-0005-0000-0000-00005F400000}"/>
    <cellStyle name="40% - Accent6 2 5 4 6 2" xfId="24477" xr:uid="{00000000-0005-0000-0000-000060400000}"/>
    <cellStyle name="40% - Accent6 2 5 4 7" xfId="17814" xr:uid="{00000000-0005-0000-0000-000061400000}"/>
    <cellStyle name="40% - Accent6 2 5 5" xfId="1502" xr:uid="{00000000-0005-0000-0000-000062400000}"/>
    <cellStyle name="40% - Accent6 2 5 5 2" xfId="8734" xr:uid="{00000000-0005-0000-0000-000063400000}"/>
    <cellStyle name="40% - Accent6 2 5 5 2 2" xfId="10953" xr:uid="{00000000-0005-0000-0000-000064400000}"/>
    <cellStyle name="40% - Accent6 2 5 5 2 2 2" xfId="21516" xr:uid="{00000000-0005-0000-0000-000065400000}"/>
    <cellStyle name="40% - Accent6 2 5 5 2 3" xfId="13172" xr:uid="{00000000-0005-0000-0000-000066400000}"/>
    <cellStyle name="40% - Accent6 2 5 5 2 3 2" xfId="23735" xr:uid="{00000000-0005-0000-0000-000067400000}"/>
    <cellStyle name="40% - Accent6 2 5 5 2 4" xfId="15391" xr:uid="{00000000-0005-0000-0000-000068400000}"/>
    <cellStyle name="40% - Accent6 2 5 5 2 4 2" xfId="25954" xr:uid="{00000000-0005-0000-0000-000069400000}"/>
    <cellStyle name="40% - Accent6 2 5 5 2 5" xfId="19297" xr:uid="{00000000-0005-0000-0000-00006A400000}"/>
    <cellStyle name="40% - Accent6 2 5 5 3" xfId="8001" xr:uid="{00000000-0005-0000-0000-00006B400000}"/>
    <cellStyle name="40% - Accent6 2 5 5 3 2" xfId="10220" xr:uid="{00000000-0005-0000-0000-00006C400000}"/>
    <cellStyle name="40% - Accent6 2 5 5 3 2 2" xfId="20783" xr:uid="{00000000-0005-0000-0000-00006D400000}"/>
    <cellStyle name="40% - Accent6 2 5 5 3 3" xfId="12439" xr:uid="{00000000-0005-0000-0000-00006E400000}"/>
    <cellStyle name="40% - Accent6 2 5 5 3 3 2" xfId="23002" xr:uid="{00000000-0005-0000-0000-00006F400000}"/>
    <cellStyle name="40% - Accent6 2 5 5 3 4" xfId="14658" xr:uid="{00000000-0005-0000-0000-000070400000}"/>
    <cellStyle name="40% - Accent6 2 5 5 3 4 2" xfId="25221" xr:uid="{00000000-0005-0000-0000-000071400000}"/>
    <cellStyle name="40% - Accent6 2 5 5 3 5" xfId="18564" xr:uid="{00000000-0005-0000-0000-000072400000}"/>
    <cellStyle name="40% - Accent6 2 5 5 4" xfId="9477" xr:uid="{00000000-0005-0000-0000-000073400000}"/>
    <cellStyle name="40% - Accent6 2 5 5 4 2" xfId="20040" xr:uid="{00000000-0005-0000-0000-000074400000}"/>
    <cellStyle name="40% - Accent6 2 5 5 5" xfId="11696" xr:uid="{00000000-0005-0000-0000-000075400000}"/>
    <cellStyle name="40% - Accent6 2 5 5 5 2" xfId="22259" xr:uid="{00000000-0005-0000-0000-000076400000}"/>
    <cellStyle name="40% - Accent6 2 5 5 6" xfId="13915" xr:uid="{00000000-0005-0000-0000-000077400000}"/>
    <cellStyle name="40% - Accent6 2 5 5 6 2" xfId="24478" xr:uid="{00000000-0005-0000-0000-000078400000}"/>
    <cellStyle name="40% - Accent6 2 5 5 7" xfId="17815" xr:uid="{00000000-0005-0000-0000-000079400000}"/>
    <cellStyle name="40% - Accent6 2 5 6" xfId="1503" xr:uid="{00000000-0005-0000-0000-00007A400000}"/>
    <cellStyle name="40% - Accent6 2 5 6 2" xfId="8735" xr:uid="{00000000-0005-0000-0000-00007B400000}"/>
    <cellStyle name="40% - Accent6 2 5 6 2 2" xfId="10954" xr:uid="{00000000-0005-0000-0000-00007C400000}"/>
    <cellStyle name="40% - Accent6 2 5 6 2 2 2" xfId="21517" xr:uid="{00000000-0005-0000-0000-00007D400000}"/>
    <cellStyle name="40% - Accent6 2 5 6 2 3" xfId="13173" xr:uid="{00000000-0005-0000-0000-00007E400000}"/>
    <cellStyle name="40% - Accent6 2 5 6 2 3 2" xfId="23736" xr:uid="{00000000-0005-0000-0000-00007F400000}"/>
    <cellStyle name="40% - Accent6 2 5 6 2 4" xfId="15392" xr:uid="{00000000-0005-0000-0000-000080400000}"/>
    <cellStyle name="40% - Accent6 2 5 6 2 4 2" xfId="25955" xr:uid="{00000000-0005-0000-0000-000081400000}"/>
    <cellStyle name="40% - Accent6 2 5 6 2 5" xfId="19298" xr:uid="{00000000-0005-0000-0000-000082400000}"/>
    <cellStyle name="40% - Accent6 2 5 6 3" xfId="8002" xr:uid="{00000000-0005-0000-0000-000083400000}"/>
    <cellStyle name="40% - Accent6 2 5 6 3 2" xfId="10221" xr:uid="{00000000-0005-0000-0000-000084400000}"/>
    <cellStyle name="40% - Accent6 2 5 6 3 2 2" xfId="20784" xr:uid="{00000000-0005-0000-0000-000085400000}"/>
    <cellStyle name="40% - Accent6 2 5 6 3 3" xfId="12440" xr:uid="{00000000-0005-0000-0000-000086400000}"/>
    <cellStyle name="40% - Accent6 2 5 6 3 3 2" xfId="23003" xr:uid="{00000000-0005-0000-0000-000087400000}"/>
    <cellStyle name="40% - Accent6 2 5 6 3 4" xfId="14659" xr:uid="{00000000-0005-0000-0000-000088400000}"/>
    <cellStyle name="40% - Accent6 2 5 6 3 4 2" xfId="25222" xr:uid="{00000000-0005-0000-0000-000089400000}"/>
    <cellStyle name="40% - Accent6 2 5 6 3 5" xfId="18565" xr:uid="{00000000-0005-0000-0000-00008A400000}"/>
    <cellStyle name="40% - Accent6 2 5 6 4" xfId="9478" xr:uid="{00000000-0005-0000-0000-00008B400000}"/>
    <cellStyle name="40% - Accent6 2 5 6 4 2" xfId="20041" xr:uid="{00000000-0005-0000-0000-00008C400000}"/>
    <cellStyle name="40% - Accent6 2 5 6 5" xfId="11697" xr:uid="{00000000-0005-0000-0000-00008D400000}"/>
    <cellStyle name="40% - Accent6 2 5 6 5 2" xfId="22260" xr:uid="{00000000-0005-0000-0000-00008E400000}"/>
    <cellStyle name="40% - Accent6 2 5 6 6" xfId="13916" xr:uid="{00000000-0005-0000-0000-00008F400000}"/>
    <cellStyle name="40% - Accent6 2 5 6 6 2" xfId="24479" xr:uid="{00000000-0005-0000-0000-000090400000}"/>
    <cellStyle name="40% - Accent6 2 5 6 7" xfId="17816" xr:uid="{00000000-0005-0000-0000-000091400000}"/>
    <cellStyle name="40% - Accent6 2 5 7" xfId="1504" xr:uid="{00000000-0005-0000-0000-000092400000}"/>
    <cellStyle name="40% - Accent6 2 5 7 2" xfId="8736" xr:uid="{00000000-0005-0000-0000-000093400000}"/>
    <cellStyle name="40% - Accent6 2 5 7 2 2" xfId="10955" xr:uid="{00000000-0005-0000-0000-000094400000}"/>
    <cellStyle name="40% - Accent6 2 5 7 2 2 2" xfId="21518" xr:uid="{00000000-0005-0000-0000-000095400000}"/>
    <cellStyle name="40% - Accent6 2 5 7 2 3" xfId="13174" xr:uid="{00000000-0005-0000-0000-000096400000}"/>
    <cellStyle name="40% - Accent6 2 5 7 2 3 2" xfId="23737" xr:uid="{00000000-0005-0000-0000-000097400000}"/>
    <cellStyle name="40% - Accent6 2 5 7 2 4" xfId="15393" xr:uid="{00000000-0005-0000-0000-000098400000}"/>
    <cellStyle name="40% - Accent6 2 5 7 2 4 2" xfId="25956" xr:uid="{00000000-0005-0000-0000-000099400000}"/>
    <cellStyle name="40% - Accent6 2 5 7 2 5" xfId="19299" xr:uid="{00000000-0005-0000-0000-00009A400000}"/>
    <cellStyle name="40% - Accent6 2 5 7 3" xfId="8003" xr:uid="{00000000-0005-0000-0000-00009B400000}"/>
    <cellStyle name="40% - Accent6 2 5 7 3 2" xfId="10222" xr:uid="{00000000-0005-0000-0000-00009C400000}"/>
    <cellStyle name="40% - Accent6 2 5 7 3 2 2" xfId="20785" xr:uid="{00000000-0005-0000-0000-00009D400000}"/>
    <cellStyle name="40% - Accent6 2 5 7 3 3" xfId="12441" xr:uid="{00000000-0005-0000-0000-00009E400000}"/>
    <cellStyle name="40% - Accent6 2 5 7 3 3 2" xfId="23004" xr:uid="{00000000-0005-0000-0000-00009F400000}"/>
    <cellStyle name="40% - Accent6 2 5 7 3 4" xfId="14660" xr:uid="{00000000-0005-0000-0000-0000A0400000}"/>
    <cellStyle name="40% - Accent6 2 5 7 3 4 2" xfId="25223" xr:uid="{00000000-0005-0000-0000-0000A1400000}"/>
    <cellStyle name="40% - Accent6 2 5 7 3 5" xfId="18566" xr:uid="{00000000-0005-0000-0000-0000A2400000}"/>
    <cellStyle name="40% - Accent6 2 5 7 4" xfId="9479" xr:uid="{00000000-0005-0000-0000-0000A3400000}"/>
    <cellStyle name="40% - Accent6 2 5 7 4 2" xfId="20042" xr:uid="{00000000-0005-0000-0000-0000A4400000}"/>
    <cellStyle name="40% - Accent6 2 5 7 5" xfId="11698" xr:uid="{00000000-0005-0000-0000-0000A5400000}"/>
    <cellStyle name="40% - Accent6 2 5 7 5 2" xfId="22261" xr:uid="{00000000-0005-0000-0000-0000A6400000}"/>
    <cellStyle name="40% - Accent6 2 5 7 6" xfId="13917" xr:uid="{00000000-0005-0000-0000-0000A7400000}"/>
    <cellStyle name="40% - Accent6 2 5 7 6 2" xfId="24480" xr:uid="{00000000-0005-0000-0000-0000A8400000}"/>
    <cellStyle name="40% - Accent6 2 5 7 7" xfId="17817" xr:uid="{00000000-0005-0000-0000-0000A9400000}"/>
    <cellStyle name="40% - Accent6 2 5 8" xfId="1505" xr:uid="{00000000-0005-0000-0000-0000AA400000}"/>
    <cellStyle name="40% - Accent6 2 5 8 2" xfId="8737" xr:uid="{00000000-0005-0000-0000-0000AB400000}"/>
    <cellStyle name="40% - Accent6 2 5 8 2 2" xfId="10956" xr:uid="{00000000-0005-0000-0000-0000AC400000}"/>
    <cellStyle name="40% - Accent6 2 5 8 2 2 2" xfId="21519" xr:uid="{00000000-0005-0000-0000-0000AD400000}"/>
    <cellStyle name="40% - Accent6 2 5 8 2 3" xfId="13175" xr:uid="{00000000-0005-0000-0000-0000AE400000}"/>
    <cellStyle name="40% - Accent6 2 5 8 2 3 2" xfId="23738" xr:uid="{00000000-0005-0000-0000-0000AF400000}"/>
    <cellStyle name="40% - Accent6 2 5 8 2 4" xfId="15394" xr:uid="{00000000-0005-0000-0000-0000B0400000}"/>
    <cellStyle name="40% - Accent6 2 5 8 2 4 2" xfId="25957" xr:uid="{00000000-0005-0000-0000-0000B1400000}"/>
    <cellStyle name="40% - Accent6 2 5 8 2 5" xfId="19300" xr:uid="{00000000-0005-0000-0000-0000B2400000}"/>
    <cellStyle name="40% - Accent6 2 5 8 3" xfId="8004" xr:uid="{00000000-0005-0000-0000-0000B3400000}"/>
    <cellStyle name="40% - Accent6 2 5 8 3 2" xfId="10223" xr:uid="{00000000-0005-0000-0000-0000B4400000}"/>
    <cellStyle name="40% - Accent6 2 5 8 3 2 2" xfId="20786" xr:uid="{00000000-0005-0000-0000-0000B5400000}"/>
    <cellStyle name="40% - Accent6 2 5 8 3 3" xfId="12442" xr:uid="{00000000-0005-0000-0000-0000B6400000}"/>
    <cellStyle name="40% - Accent6 2 5 8 3 3 2" xfId="23005" xr:uid="{00000000-0005-0000-0000-0000B7400000}"/>
    <cellStyle name="40% - Accent6 2 5 8 3 4" xfId="14661" xr:uid="{00000000-0005-0000-0000-0000B8400000}"/>
    <cellStyle name="40% - Accent6 2 5 8 3 4 2" xfId="25224" xr:uid="{00000000-0005-0000-0000-0000B9400000}"/>
    <cellStyle name="40% - Accent6 2 5 8 3 5" xfId="18567" xr:uid="{00000000-0005-0000-0000-0000BA400000}"/>
    <cellStyle name="40% - Accent6 2 5 8 4" xfId="9480" xr:uid="{00000000-0005-0000-0000-0000BB400000}"/>
    <cellStyle name="40% - Accent6 2 5 8 4 2" xfId="20043" xr:uid="{00000000-0005-0000-0000-0000BC400000}"/>
    <cellStyle name="40% - Accent6 2 5 8 5" xfId="11699" xr:uid="{00000000-0005-0000-0000-0000BD400000}"/>
    <cellStyle name="40% - Accent6 2 5 8 5 2" xfId="22262" xr:uid="{00000000-0005-0000-0000-0000BE400000}"/>
    <cellStyle name="40% - Accent6 2 5 8 6" xfId="13918" xr:uid="{00000000-0005-0000-0000-0000BF400000}"/>
    <cellStyle name="40% - Accent6 2 5 8 6 2" xfId="24481" xr:uid="{00000000-0005-0000-0000-0000C0400000}"/>
    <cellStyle name="40% - Accent6 2 5 8 7" xfId="17818" xr:uid="{00000000-0005-0000-0000-0000C1400000}"/>
    <cellStyle name="40% - Accent6 2 5 9" xfId="1506" xr:uid="{00000000-0005-0000-0000-0000C2400000}"/>
    <cellStyle name="40% - Accent6 2 5 9 2" xfId="8738" xr:uid="{00000000-0005-0000-0000-0000C3400000}"/>
    <cellStyle name="40% - Accent6 2 5 9 2 2" xfId="10957" xr:uid="{00000000-0005-0000-0000-0000C4400000}"/>
    <cellStyle name="40% - Accent6 2 5 9 2 2 2" xfId="21520" xr:uid="{00000000-0005-0000-0000-0000C5400000}"/>
    <cellStyle name="40% - Accent6 2 5 9 2 3" xfId="13176" xr:uid="{00000000-0005-0000-0000-0000C6400000}"/>
    <cellStyle name="40% - Accent6 2 5 9 2 3 2" xfId="23739" xr:uid="{00000000-0005-0000-0000-0000C7400000}"/>
    <cellStyle name="40% - Accent6 2 5 9 2 4" xfId="15395" xr:uid="{00000000-0005-0000-0000-0000C8400000}"/>
    <cellStyle name="40% - Accent6 2 5 9 2 4 2" xfId="25958" xr:uid="{00000000-0005-0000-0000-0000C9400000}"/>
    <cellStyle name="40% - Accent6 2 5 9 2 5" xfId="19301" xr:uid="{00000000-0005-0000-0000-0000CA400000}"/>
    <cellStyle name="40% - Accent6 2 5 9 3" xfId="8005" xr:uid="{00000000-0005-0000-0000-0000CB400000}"/>
    <cellStyle name="40% - Accent6 2 5 9 3 2" xfId="10224" xr:uid="{00000000-0005-0000-0000-0000CC400000}"/>
    <cellStyle name="40% - Accent6 2 5 9 3 2 2" xfId="20787" xr:uid="{00000000-0005-0000-0000-0000CD400000}"/>
    <cellStyle name="40% - Accent6 2 5 9 3 3" xfId="12443" xr:uid="{00000000-0005-0000-0000-0000CE400000}"/>
    <cellStyle name="40% - Accent6 2 5 9 3 3 2" xfId="23006" xr:uid="{00000000-0005-0000-0000-0000CF400000}"/>
    <cellStyle name="40% - Accent6 2 5 9 3 4" xfId="14662" xr:uid="{00000000-0005-0000-0000-0000D0400000}"/>
    <cellStyle name="40% - Accent6 2 5 9 3 4 2" xfId="25225" xr:uid="{00000000-0005-0000-0000-0000D1400000}"/>
    <cellStyle name="40% - Accent6 2 5 9 3 5" xfId="18568" xr:uid="{00000000-0005-0000-0000-0000D2400000}"/>
    <cellStyle name="40% - Accent6 2 5 9 4" xfId="9481" xr:uid="{00000000-0005-0000-0000-0000D3400000}"/>
    <cellStyle name="40% - Accent6 2 5 9 4 2" xfId="20044" xr:uid="{00000000-0005-0000-0000-0000D4400000}"/>
    <cellStyle name="40% - Accent6 2 5 9 5" xfId="11700" xr:uid="{00000000-0005-0000-0000-0000D5400000}"/>
    <cellStyle name="40% - Accent6 2 5 9 5 2" xfId="22263" xr:uid="{00000000-0005-0000-0000-0000D6400000}"/>
    <cellStyle name="40% - Accent6 2 5 9 6" xfId="13919" xr:uid="{00000000-0005-0000-0000-0000D7400000}"/>
    <cellStyle name="40% - Accent6 2 5 9 6 2" xfId="24482" xr:uid="{00000000-0005-0000-0000-0000D8400000}"/>
    <cellStyle name="40% - Accent6 2 5 9 7" xfId="17819" xr:uid="{00000000-0005-0000-0000-0000D9400000}"/>
    <cellStyle name="40% - Accent6 2 6" xfId="1507" xr:uid="{00000000-0005-0000-0000-0000DA400000}"/>
    <cellStyle name="40% - Accent6 2 6 10" xfId="13920" xr:uid="{00000000-0005-0000-0000-0000DB400000}"/>
    <cellStyle name="40% - Accent6 2 6 10 2" xfId="24483" xr:uid="{00000000-0005-0000-0000-0000DC400000}"/>
    <cellStyle name="40% - Accent6 2 6 11" xfId="17820" xr:uid="{00000000-0005-0000-0000-0000DD400000}"/>
    <cellStyle name="40% - Accent6 2 6 2" xfId="1508" xr:uid="{00000000-0005-0000-0000-0000DE400000}"/>
    <cellStyle name="40% - Accent6 2 6 2 2" xfId="8740" xr:uid="{00000000-0005-0000-0000-0000DF400000}"/>
    <cellStyle name="40% - Accent6 2 6 2 2 2" xfId="10959" xr:uid="{00000000-0005-0000-0000-0000E0400000}"/>
    <cellStyle name="40% - Accent6 2 6 2 2 2 2" xfId="21522" xr:uid="{00000000-0005-0000-0000-0000E1400000}"/>
    <cellStyle name="40% - Accent6 2 6 2 2 3" xfId="13178" xr:uid="{00000000-0005-0000-0000-0000E2400000}"/>
    <cellStyle name="40% - Accent6 2 6 2 2 3 2" xfId="23741" xr:uid="{00000000-0005-0000-0000-0000E3400000}"/>
    <cellStyle name="40% - Accent6 2 6 2 2 4" xfId="15397" xr:uid="{00000000-0005-0000-0000-0000E4400000}"/>
    <cellStyle name="40% - Accent6 2 6 2 2 4 2" xfId="25960" xr:uid="{00000000-0005-0000-0000-0000E5400000}"/>
    <cellStyle name="40% - Accent6 2 6 2 2 5" xfId="19303" xr:uid="{00000000-0005-0000-0000-0000E6400000}"/>
    <cellStyle name="40% - Accent6 2 6 2 3" xfId="8007" xr:uid="{00000000-0005-0000-0000-0000E7400000}"/>
    <cellStyle name="40% - Accent6 2 6 2 3 2" xfId="10226" xr:uid="{00000000-0005-0000-0000-0000E8400000}"/>
    <cellStyle name="40% - Accent6 2 6 2 3 2 2" xfId="20789" xr:uid="{00000000-0005-0000-0000-0000E9400000}"/>
    <cellStyle name="40% - Accent6 2 6 2 3 3" xfId="12445" xr:uid="{00000000-0005-0000-0000-0000EA400000}"/>
    <cellStyle name="40% - Accent6 2 6 2 3 3 2" xfId="23008" xr:uid="{00000000-0005-0000-0000-0000EB400000}"/>
    <cellStyle name="40% - Accent6 2 6 2 3 4" xfId="14664" xr:uid="{00000000-0005-0000-0000-0000EC400000}"/>
    <cellStyle name="40% - Accent6 2 6 2 3 4 2" xfId="25227" xr:uid="{00000000-0005-0000-0000-0000ED400000}"/>
    <cellStyle name="40% - Accent6 2 6 2 3 5" xfId="18570" xr:uid="{00000000-0005-0000-0000-0000EE400000}"/>
    <cellStyle name="40% - Accent6 2 6 2 4" xfId="9483" xr:uid="{00000000-0005-0000-0000-0000EF400000}"/>
    <cellStyle name="40% - Accent6 2 6 2 4 2" xfId="20046" xr:uid="{00000000-0005-0000-0000-0000F0400000}"/>
    <cellStyle name="40% - Accent6 2 6 2 5" xfId="11702" xr:uid="{00000000-0005-0000-0000-0000F1400000}"/>
    <cellStyle name="40% - Accent6 2 6 2 5 2" xfId="22265" xr:uid="{00000000-0005-0000-0000-0000F2400000}"/>
    <cellStyle name="40% - Accent6 2 6 2 6" xfId="13921" xr:uid="{00000000-0005-0000-0000-0000F3400000}"/>
    <cellStyle name="40% - Accent6 2 6 2 6 2" xfId="24484" xr:uid="{00000000-0005-0000-0000-0000F4400000}"/>
    <cellStyle name="40% - Accent6 2 6 2 7" xfId="17821" xr:uid="{00000000-0005-0000-0000-0000F5400000}"/>
    <cellStyle name="40% - Accent6 2 6 3" xfId="1509" xr:uid="{00000000-0005-0000-0000-0000F6400000}"/>
    <cellStyle name="40% - Accent6 2 6 3 2" xfId="8741" xr:uid="{00000000-0005-0000-0000-0000F7400000}"/>
    <cellStyle name="40% - Accent6 2 6 3 2 2" xfId="10960" xr:uid="{00000000-0005-0000-0000-0000F8400000}"/>
    <cellStyle name="40% - Accent6 2 6 3 2 2 2" xfId="21523" xr:uid="{00000000-0005-0000-0000-0000F9400000}"/>
    <cellStyle name="40% - Accent6 2 6 3 2 3" xfId="13179" xr:uid="{00000000-0005-0000-0000-0000FA400000}"/>
    <cellStyle name="40% - Accent6 2 6 3 2 3 2" xfId="23742" xr:uid="{00000000-0005-0000-0000-0000FB400000}"/>
    <cellStyle name="40% - Accent6 2 6 3 2 4" xfId="15398" xr:uid="{00000000-0005-0000-0000-0000FC400000}"/>
    <cellStyle name="40% - Accent6 2 6 3 2 4 2" xfId="25961" xr:uid="{00000000-0005-0000-0000-0000FD400000}"/>
    <cellStyle name="40% - Accent6 2 6 3 2 5" xfId="19304" xr:uid="{00000000-0005-0000-0000-0000FE400000}"/>
    <cellStyle name="40% - Accent6 2 6 3 3" xfId="8008" xr:uid="{00000000-0005-0000-0000-0000FF400000}"/>
    <cellStyle name="40% - Accent6 2 6 3 3 2" xfId="10227" xr:uid="{00000000-0005-0000-0000-000000410000}"/>
    <cellStyle name="40% - Accent6 2 6 3 3 2 2" xfId="20790" xr:uid="{00000000-0005-0000-0000-000001410000}"/>
    <cellStyle name="40% - Accent6 2 6 3 3 3" xfId="12446" xr:uid="{00000000-0005-0000-0000-000002410000}"/>
    <cellStyle name="40% - Accent6 2 6 3 3 3 2" xfId="23009" xr:uid="{00000000-0005-0000-0000-000003410000}"/>
    <cellStyle name="40% - Accent6 2 6 3 3 4" xfId="14665" xr:uid="{00000000-0005-0000-0000-000004410000}"/>
    <cellStyle name="40% - Accent6 2 6 3 3 4 2" xfId="25228" xr:uid="{00000000-0005-0000-0000-000005410000}"/>
    <cellStyle name="40% - Accent6 2 6 3 3 5" xfId="18571" xr:uid="{00000000-0005-0000-0000-000006410000}"/>
    <cellStyle name="40% - Accent6 2 6 3 4" xfId="9484" xr:uid="{00000000-0005-0000-0000-000007410000}"/>
    <cellStyle name="40% - Accent6 2 6 3 4 2" xfId="20047" xr:uid="{00000000-0005-0000-0000-000008410000}"/>
    <cellStyle name="40% - Accent6 2 6 3 5" xfId="11703" xr:uid="{00000000-0005-0000-0000-000009410000}"/>
    <cellStyle name="40% - Accent6 2 6 3 5 2" xfId="22266" xr:uid="{00000000-0005-0000-0000-00000A410000}"/>
    <cellStyle name="40% - Accent6 2 6 3 6" xfId="13922" xr:uid="{00000000-0005-0000-0000-00000B410000}"/>
    <cellStyle name="40% - Accent6 2 6 3 6 2" xfId="24485" xr:uid="{00000000-0005-0000-0000-00000C410000}"/>
    <cellStyle name="40% - Accent6 2 6 3 7" xfId="17822" xr:uid="{00000000-0005-0000-0000-00000D410000}"/>
    <cellStyle name="40% - Accent6 2 6 4" xfId="1510" xr:uid="{00000000-0005-0000-0000-00000E410000}"/>
    <cellStyle name="40% - Accent6 2 6 4 2" xfId="8742" xr:uid="{00000000-0005-0000-0000-00000F410000}"/>
    <cellStyle name="40% - Accent6 2 6 4 2 2" xfId="10961" xr:uid="{00000000-0005-0000-0000-000010410000}"/>
    <cellStyle name="40% - Accent6 2 6 4 2 2 2" xfId="21524" xr:uid="{00000000-0005-0000-0000-000011410000}"/>
    <cellStyle name="40% - Accent6 2 6 4 2 3" xfId="13180" xr:uid="{00000000-0005-0000-0000-000012410000}"/>
    <cellStyle name="40% - Accent6 2 6 4 2 3 2" xfId="23743" xr:uid="{00000000-0005-0000-0000-000013410000}"/>
    <cellStyle name="40% - Accent6 2 6 4 2 4" xfId="15399" xr:uid="{00000000-0005-0000-0000-000014410000}"/>
    <cellStyle name="40% - Accent6 2 6 4 2 4 2" xfId="25962" xr:uid="{00000000-0005-0000-0000-000015410000}"/>
    <cellStyle name="40% - Accent6 2 6 4 2 5" xfId="19305" xr:uid="{00000000-0005-0000-0000-000016410000}"/>
    <cellStyle name="40% - Accent6 2 6 4 3" xfId="8009" xr:uid="{00000000-0005-0000-0000-000017410000}"/>
    <cellStyle name="40% - Accent6 2 6 4 3 2" xfId="10228" xr:uid="{00000000-0005-0000-0000-000018410000}"/>
    <cellStyle name="40% - Accent6 2 6 4 3 2 2" xfId="20791" xr:uid="{00000000-0005-0000-0000-000019410000}"/>
    <cellStyle name="40% - Accent6 2 6 4 3 3" xfId="12447" xr:uid="{00000000-0005-0000-0000-00001A410000}"/>
    <cellStyle name="40% - Accent6 2 6 4 3 3 2" xfId="23010" xr:uid="{00000000-0005-0000-0000-00001B410000}"/>
    <cellStyle name="40% - Accent6 2 6 4 3 4" xfId="14666" xr:uid="{00000000-0005-0000-0000-00001C410000}"/>
    <cellStyle name="40% - Accent6 2 6 4 3 4 2" xfId="25229" xr:uid="{00000000-0005-0000-0000-00001D410000}"/>
    <cellStyle name="40% - Accent6 2 6 4 3 5" xfId="18572" xr:uid="{00000000-0005-0000-0000-00001E410000}"/>
    <cellStyle name="40% - Accent6 2 6 4 4" xfId="9485" xr:uid="{00000000-0005-0000-0000-00001F410000}"/>
    <cellStyle name="40% - Accent6 2 6 4 4 2" xfId="20048" xr:uid="{00000000-0005-0000-0000-000020410000}"/>
    <cellStyle name="40% - Accent6 2 6 4 5" xfId="11704" xr:uid="{00000000-0005-0000-0000-000021410000}"/>
    <cellStyle name="40% - Accent6 2 6 4 5 2" xfId="22267" xr:uid="{00000000-0005-0000-0000-000022410000}"/>
    <cellStyle name="40% - Accent6 2 6 4 6" xfId="13923" xr:uid="{00000000-0005-0000-0000-000023410000}"/>
    <cellStyle name="40% - Accent6 2 6 4 6 2" xfId="24486" xr:uid="{00000000-0005-0000-0000-000024410000}"/>
    <cellStyle name="40% - Accent6 2 6 4 7" xfId="17823" xr:uid="{00000000-0005-0000-0000-000025410000}"/>
    <cellStyle name="40% - Accent6 2 6 5" xfId="1511" xr:uid="{00000000-0005-0000-0000-000026410000}"/>
    <cellStyle name="40% - Accent6 2 6 5 2" xfId="8743" xr:uid="{00000000-0005-0000-0000-000027410000}"/>
    <cellStyle name="40% - Accent6 2 6 5 2 2" xfId="10962" xr:uid="{00000000-0005-0000-0000-000028410000}"/>
    <cellStyle name="40% - Accent6 2 6 5 2 2 2" xfId="21525" xr:uid="{00000000-0005-0000-0000-000029410000}"/>
    <cellStyle name="40% - Accent6 2 6 5 2 3" xfId="13181" xr:uid="{00000000-0005-0000-0000-00002A410000}"/>
    <cellStyle name="40% - Accent6 2 6 5 2 3 2" xfId="23744" xr:uid="{00000000-0005-0000-0000-00002B410000}"/>
    <cellStyle name="40% - Accent6 2 6 5 2 4" xfId="15400" xr:uid="{00000000-0005-0000-0000-00002C410000}"/>
    <cellStyle name="40% - Accent6 2 6 5 2 4 2" xfId="25963" xr:uid="{00000000-0005-0000-0000-00002D410000}"/>
    <cellStyle name="40% - Accent6 2 6 5 2 5" xfId="19306" xr:uid="{00000000-0005-0000-0000-00002E410000}"/>
    <cellStyle name="40% - Accent6 2 6 5 3" xfId="8010" xr:uid="{00000000-0005-0000-0000-00002F410000}"/>
    <cellStyle name="40% - Accent6 2 6 5 3 2" xfId="10229" xr:uid="{00000000-0005-0000-0000-000030410000}"/>
    <cellStyle name="40% - Accent6 2 6 5 3 2 2" xfId="20792" xr:uid="{00000000-0005-0000-0000-000031410000}"/>
    <cellStyle name="40% - Accent6 2 6 5 3 3" xfId="12448" xr:uid="{00000000-0005-0000-0000-000032410000}"/>
    <cellStyle name="40% - Accent6 2 6 5 3 3 2" xfId="23011" xr:uid="{00000000-0005-0000-0000-000033410000}"/>
    <cellStyle name="40% - Accent6 2 6 5 3 4" xfId="14667" xr:uid="{00000000-0005-0000-0000-000034410000}"/>
    <cellStyle name="40% - Accent6 2 6 5 3 4 2" xfId="25230" xr:uid="{00000000-0005-0000-0000-000035410000}"/>
    <cellStyle name="40% - Accent6 2 6 5 3 5" xfId="18573" xr:uid="{00000000-0005-0000-0000-000036410000}"/>
    <cellStyle name="40% - Accent6 2 6 5 4" xfId="9486" xr:uid="{00000000-0005-0000-0000-000037410000}"/>
    <cellStyle name="40% - Accent6 2 6 5 4 2" xfId="20049" xr:uid="{00000000-0005-0000-0000-000038410000}"/>
    <cellStyle name="40% - Accent6 2 6 5 5" xfId="11705" xr:uid="{00000000-0005-0000-0000-000039410000}"/>
    <cellStyle name="40% - Accent6 2 6 5 5 2" xfId="22268" xr:uid="{00000000-0005-0000-0000-00003A410000}"/>
    <cellStyle name="40% - Accent6 2 6 5 6" xfId="13924" xr:uid="{00000000-0005-0000-0000-00003B410000}"/>
    <cellStyle name="40% - Accent6 2 6 5 6 2" xfId="24487" xr:uid="{00000000-0005-0000-0000-00003C410000}"/>
    <cellStyle name="40% - Accent6 2 6 5 7" xfId="17824" xr:uid="{00000000-0005-0000-0000-00003D410000}"/>
    <cellStyle name="40% - Accent6 2 6 6" xfId="8739" xr:uid="{00000000-0005-0000-0000-00003E410000}"/>
    <cellStyle name="40% - Accent6 2 6 6 2" xfId="10958" xr:uid="{00000000-0005-0000-0000-00003F410000}"/>
    <cellStyle name="40% - Accent6 2 6 6 2 2" xfId="21521" xr:uid="{00000000-0005-0000-0000-000040410000}"/>
    <cellStyle name="40% - Accent6 2 6 6 3" xfId="13177" xr:uid="{00000000-0005-0000-0000-000041410000}"/>
    <cellStyle name="40% - Accent6 2 6 6 3 2" xfId="23740" xr:uid="{00000000-0005-0000-0000-000042410000}"/>
    <cellStyle name="40% - Accent6 2 6 6 4" xfId="15396" xr:uid="{00000000-0005-0000-0000-000043410000}"/>
    <cellStyle name="40% - Accent6 2 6 6 4 2" xfId="25959" xr:uid="{00000000-0005-0000-0000-000044410000}"/>
    <cellStyle name="40% - Accent6 2 6 6 5" xfId="19302" xr:uid="{00000000-0005-0000-0000-000045410000}"/>
    <cellStyle name="40% - Accent6 2 6 7" xfId="8006" xr:uid="{00000000-0005-0000-0000-000046410000}"/>
    <cellStyle name="40% - Accent6 2 6 7 2" xfId="10225" xr:uid="{00000000-0005-0000-0000-000047410000}"/>
    <cellStyle name="40% - Accent6 2 6 7 2 2" xfId="20788" xr:uid="{00000000-0005-0000-0000-000048410000}"/>
    <cellStyle name="40% - Accent6 2 6 7 3" xfId="12444" xr:uid="{00000000-0005-0000-0000-000049410000}"/>
    <cellStyle name="40% - Accent6 2 6 7 3 2" xfId="23007" xr:uid="{00000000-0005-0000-0000-00004A410000}"/>
    <cellStyle name="40% - Accent6 2 6 7 4" xfId="14663" xr:uid="{00000000-0005-0000-0000-00004B410000}"/>
    <cellStyle name="40% - Accent6 2 6 7 4 2" xfId="25226" xr:uid="{00000000-0005-0000-0000-00004C410000}"/>
    <cellStyle name="40% - Accent6 2 6 7 5" xfId="18569" xr:uid="{00000000-0005-0000-0000-00004D410000}"/>
    <cellStyle name="40% - Accent6 2 6 8" xfId="9482" xr:uid="{00000000-0005-0000-0000-00004E410000}"/>
    <cellStyle name="40% - Accent6 2 6 8 2" xfId="20045" xr:uid="{00000000-0005-0000-0000-00004F410000}"/>
    <cellStyle name="40% - Accent6 2 6 9" xfId="11701" xr:uid="{00000000-0005-0000-0000-000050410000}"/>
    <cellStyle name="40% - Accent6 2 6 9 2" xfId="22264" xr:uid="{00000000-0005-0000-0000-000051410000}"/>
    <cellStyle name="40% - Accent6 2 7" xfId="1512" xr:uid="{00000000-0005-0000-0000-000052410000}"/>
    <cellStyle name="40% - Accent6 2 7 2" xfId="8744" xr:uid="{00000000-0005-0000-0000-000053410000}"/>
    <cellStyle name="40% - Accent6 2 7 2 2" xfId="10963" xr:uid="{00000000-0005-0000-0000-000054410000}"/>
    <cellStyle name="40% - Accent6 2 7 2 2 2" xfId="21526" xr:uid="{00000000-0005-0000-0000-000055410000}"/>
    <cellStyle name="40% - Accent6 2 7 2 3" xfId="13182" xr:uid="{00000000-0005-0000-0000-000056410000}"/>
    <cellStyle name="40% - Accent6 2 7 2 3 2" xfId="23745" xr:uid="{00000000-0005-0000-0000-000057410000}"/>
    <cellStyle name="40% - Accent6 2 7 2 4" xfId="15401" xr:uid="{00000000-0005-0000-0000-000058410000}"/>
    <cellStyle name="40% - Accent6 2 7 2 4 2" xfId="25964" xr:uid="{00000000-0005-0000-0000-000059410000}"/>
    <cellStyle name="40% - Accent6 2 7 2 5" xfId="19307" xr:uid="{00000000-0005-0000-0000-00005A410000}"/>
    <cellStyle name="40% - Accent6 2 7 3" xfId="8011" xr:uid="{00000000-0005-0000-0000-00005B410000}"/>
    <cellStyle name="40% - Accent6 2 7 3 2" xfId="10230" xr:uid="{00000000-0005-0000-0000-00005C410000}"/>
    <cellStyle name="40% - Accent6 2 7 3 2 2" xfId="20793" xr:uid="{00000000-0005-0000-0000-00005D410000}"/>
    <cellStyle name="40% - Accent6 2 7 3 3" xfId="12449" xr:uid="{00000000-0005-0000-0000-00005E410000}"/>
    <cellStyle name="40% - Accent6 2 7 3 3 2" xfId="23012" xr:uid="{00000000-0005-0000-0000-00005F410000}"/>
    <cellStyle name="40% - Accent6 2 7 3 4" xfId="14668" xr:uid="{00000000-0005-0000-0000-000060410000}"/>
    <cellStyle name="40% - Accent6 2 7 3 4 2" xfId="25231" xr:uid="{00000000-0005-0000-0000-000061410000}"/>
    <cellStyle name="40% - Accent6 2 7 3 5" xfId="18574" xr:uid="{00000000-0005-0000-0000-000062410000}"/>
    <cellStyle name="40% - Accent6 2 7 4" xfId="9487" xr:uid="{00000000-0005-0000-0000-000063410000}"/>
    <cellStyle name="40% - Accent6 2 7 4 2" xfId="20050" xr:uid="{00000000-0005-0000-0000-000064410000}"/>
    <cellStyle name="40% - Accent6 2 7 5" xfId="11706" xr:uid="{00000000-0005-0000-0000-000065410000}"/>
    <cellStyle name="40% - Accent6 2 7 5 2" xfId="22269" xr:uid="{00000000-0005-0000-0000-000066410000}"/>
    <cellStyle name="40% - Accent6 2 7 6" xfId="13925" xr:uid="{00000000-0005-0000-0000-000067410000}"/>
    <cellStyle name="40% - Accent6 2 7 6 2" xfId="24488" xr:uid="{00000000-0005-0000-0000-000068410000}"/>
    <cellStyle name="40% - Accent6 2 7 7" xfId="17825" xr:uid="{00000000-0005-0000-0000-000069410000}"/>
    <cellStyle name="40% - Accent6 2 8" xfId="1513" xr:uid="{00000000-0005-0000-0000-00006A410000}"/>
    <cellStyle name="40% - Accent6 2 8 2" xfId="8745" xr:uid="{00000000-0005-0000-0000-00006B410000}"/>
    <cellStyle name="40% - Accent6 2 8 2 2" xfId="10964" xr:uid="{00000000-0005-0000-0000-00006C410000}"/>
    <cellStyle name="40% - Accent6 2 8 2 2 2" xfId="21527" xr:uid="{00000000-0005-0000-0000-00006D410000}"/>
    <cellStyle name="40% - Accent6 2 8 2 3" xfId="13183" xr:uid="{00000000-0005-0000-0000-00006E410000}"/>
    <cellStyle name="40% - Accent6 2 8 2 3 2" xfId="23746" xr:uid="{00000000-0005-0000-0000-00006F410000}"/>
    <cellStyle name="40% - Accent6 2 8 2 4" xfId="15402" xr:uid="{00000000-0005-0000-0000-000070410000}"/>
    <cellStyle name="40% - Accent6 2 8 2 4 2" xfId="25965" xr:uid="{00000000-0005-0000-0000-000071410000}"/>
    <cellStyle name="40% - Accent6 2 8 2 5" xfId="19308" xr:uid="{00000000-0005-0000-0000-000072410000}"/>
    <cellStyle name="40% - Accent6 2 8 3" xfId="8012" xr:uid="{00000000-0005-0000-0000-000073410000}"/>
    <cellStyle name="40% - Accent6 2 8 3 2" xfId="10231" xr:uid="{00000000-0005-0000-0000-000074410000}"/>
    <cellStyle name="40% - Accent6 2 8 3 2 2" xfId="20794" xr:uid="{00000000-0005-0000-0000-000075410000}"/>
    <cellStyle name="40% - Accent6 2 8 3 3" xfId="12450" xr:uid="{00000000-0005-0000-0000-000076410000}"/>
    <cellStyle name="40% - Accent6 2 8 3 3 2" xfId="23013" xr:uid="{00000000-0005-0000-0000-000077410000}"/>
    <cellStyle name="40% - Accent6 2 8 3 4" xfId="14669" xr:uid="{00000000-0005-0000-0000-000078410000}"/>
    <cellStyle name="40% - Accent6 2 8 3 4 2" xfId="25232" xr:uid="{00000000-0005-0000-0000-000079410000}"/>
    <cellStyle name="40% - Accent6 2 8 3 5" xfId="18575" xr:uid="{00000000-0005-0000-0000-00007A410000}"/>
    <cellStyle name="40% - Accent6 2 8 4" xfId="9488" xr:uid="{00000000-0005-0000-0000-00007B410000}"/>
    <cellStyle name="40% - Accent6 2 8 4 2" xfId="20051" xr:uid="{00000000-0005-0000-0000-00007C410000}"/>
    <cellStyle name="40% - Accent6 2 8 5" xfId="11707" xr:uid="{00000000-0005-0000-0000-00007D410000}"/>
    <cellStyle name="40% - Accent6 2 8 5 2" xfId="22270" xr:uid="{00000000-0005-0000-0000-00007E410000}"/>
    <cellStyle name="40% - Accent6 2 8 6" xfId="13926" xr:uid="{00000000-0005-0000-0000-00007F410000}"/>
    <cellStyle name="40% - Accent6 2 8 6 2" xfId="24489" xr:uid="{00000000-0005-0000-0000-000080410000}"/>
    <cellStyle name="40% - Accent6 2 8 7" xfId="17826" xr:uid="{00000000-0005-0000-0000-000081410000}"/>
    <cellStyle name="40% - Accent6 2 9" xfId="1514" xr:uid="{00000000-0005-0000-0000-000082410000}"/>
    <cellStyle name="40% - Accent6 2 9 2" xfId="8746" xr:uid="{00000000-0005-0000-0000-000083410000}"/>
    <cellStyle name="40% - Accent6 2 9 2 2" xfId="10965" xr:uid="{00000000-0005-0000-0000-000084410000}"/>
    <cellStyle name="40% - Accent6 2 9 2 2 2" xfId="21528" xr:uid="{00000000-0005-0000-0000-000085410000}"/>
    <cellStyle name="40% - Accent6 2 9 2 3" xfId="13184" xr:uid="{00000000-0005-0000-0000-000086410000}"/>
    <cellStyle name="40% - Accent6 2 9 2 3 2" xfId="23747" xr:uid="{00000000-0005-0000-0000-000087410000}"/>
    <cellStyle name="40% - Accent6 2 9 2 4" xfId="15403" xr:uid="{00000000-0005-0000-0000-000088410000}"/>
    <cellStyle name="40% - Accent6 2 9 2 4 2" xfId="25966" xr:uid="{00000000-0005-0000-0000-000089410000}"/>
    <cellStyle name="40% - Accent6 2 9 2 5" xfId="19309" xr:uid="{00000000-0005-0000-0000-00008A410000}"/>
    <cellStyle name="40% - Accent6 2 9 3" xfId="8013" xr:uid="{00000000-0005-0000-0000-00008B410000}"/>
    <cellStyle name="40% - Accent6 2 9 3 2" xfId="10232" xr:uid="{00000000-0005-0000-0000-00008C410000}"/>
    <cellStyle name="40% - Accent6 2 9 3 2 2" xfId="20795" xr:uid="{00000000-0005-0000-0000-00008D410000}"/>
    <cellStyle name="40% - Accent6 2 9 3 3" xfId="12451" xr:uid="{00000000-0005-0000-0000-00008E410000}"/>
    <cellStyle name="40% - Accent6 2 9 3 3 2" xfId="23014" xr:uid="{00000000-0005-0000-0000-00008F410000}"/>
    <cellStyle name="40% - Accent6 2 9 3 4" xfId="14670" xr:uid="{00000000-0005-0000-0000-000090410000}"/>
    <cellStyle name="40% - Accent6 2 9 3 4 2" xfId="25233" xr:uid="{00000000-0005-0000-0000-000091410000}"/>
    <cellStyle name="40% - Accent6 2 9 3 5" xfId="18576" xr:uid="{00000000-0005-0000-0000-000092410000}"/>
    <cellStyle name="40% - Accent6 2 9 4" xfId="9489" xr:uid="{00000000-0005-0000-0000-000093410000}"/>
    <cellStyle name="40% - Accent6 2 9 4 2" xfId="20052" xr:uid="{00000000-0005-0000-0000-000094410000}"/>
    <cellStyle name="40% - Accent6 2 9 5" xfId="11708" xr:uid="{00000000-0005-0000-0000-000095410000}"/>
    <cellStyle name="40% - Accent6 2 9 5 2" xfId="22271" xr:uid="{00000000-0005-0000-0000-000096410000}"/>
    <cellStyle name="40% - Accent6 2 9 6" xfId="13927" xr:uid="{00000000-0005-0000-0000-000097410000}"/>
    <cellStyle name="40% - Accent6 2 9 6 2" xfId="24490" xr:uid="{00000000-0005-0000-0000-000098410000}"/>
    <cellStyle name="40% - Accent6 2 9 7" xfId="17827" xr:uid="{00000000-0005-0000-0000-000099410000}"/>
    <cellStyle name="40% - Accent6 20" xfId="1515" xr:uid="{00000000-0005-0000-0000-00009A410000}"/>
    <cellStyle name="40% - Accent6 21" xfId="1516" xr:uid="{00000000-0005-0000-0000-00009B410000}"/>
    <cellStyle name="40% - Accent6 22" xfId="1517" xr:uid="{00000000-0005-0000-0000-00009C410000}"/>
    <cellStyle name="40% - Accent6 23" xfId="1518" xr:uid="{00000000-0005-0000-0000-00009D410000}"/>
    <cellStyle name="40% - Accent6 24" xfId="1519" xr:uid="{00000000-0005-0000-0000-00009E410000}"/>
    <cellStyle name="40% - Accent6 25" xfId="1520" xr:uid="{00000000-0005-0000-0000-00009F410000}"/>
    <cellStyle name="40% - Accent6 26" xfId="1521" xr:uid="{00000000-0005-0000-0000-0000A0410000}"/>
    <cellStyle name="40% - Accent6 3" xfId="1522" xr:uid="{00000000-0005-0000-0000-0000A1410000}"/>
    <cellStyle name="40% - Accent6 3 10" xfId="1523" xr:uid="{00000000-0005-0000-0000-0000A2410000}"/>
    <cellStyle name="40% - Accent6 3 2" xfId="1524" xr:uid="{00000000-0005-0000-0000-0000A3410000}"/>
    <cellStyle name="40% - Accent6 3 2 2" xfId="8747" xr:uid="{00000000-0005-0000-0000-0000A4410000}"/>
    <cellStyle name="40% - Accent6 3 2 2 2" xfId="10966" xr:uid="{00000000-0005-0000-0000-0000A5410000}"/>
    <cellStyle name="40% - Accent6 3 2 2 2 2" xfId="21529" xr:uid="{00000000-0005-0000-0000-0000A6410000}"/>
    <cellStyle name="40% - Accent6 3 2 2 3" xfId="13185" xr:uid="{00000000-0005-0000-0000-0000A7410000}"/>
    <cellStyle name="40% - Accent6 3 2 2 3 2" xfId="23748" xr:uid="{00000000-0005-0000-0000-0000A8410000}"/>
    <cellStyle name="40% - Accent6 3 2 2 4" xfId="15404" xr:uid="{00000000-0005-0000-0000-0000A9410000}"/>
    <cellStyle name="40% - Accent6 3 2 2 4 2" xfId="25967" xr:uid="{00000000-0005-0000-0000-0000AA410000}"/>
    <cellStyle name="40% - Accent6 3 2 2 5" xfId="19310" xr:uid="{00000000-0005-0000-0000-0000AB410000}"/>
    <cellStyle name="40% - Accent6 3 2 3" xfId="8014" xr:uid="{00000000-0005-0000-0000-0000AC410000}"/>
    <cellStyle name="40% - Accent6 3 2 3 2" xfId="10233" xr:uid="{00000000-0005-0000-0000-0000AD410000}"/>
    <cellStyle name="40% - Accent6 3 2 3 2 2" xfId="20796" xr:uid="{00000000-0005-0000-0000-0000AE410000}"/>
    <cellStyle name="40% - Accent6 3 2 3 3" xfId="12452" xr:uid="{00000000-0005-0000-0000-0000AF410000}"/>
    <cellStyle name="40% - Accent6 3 2 3 3 2" xfId="23015" xr:uid="{00000000-0005-0000-0000-0000B0410000}"/>
    <cellStyle name="40% - Accent6 3 2 3 4" xfId="14671" xr:uid="{00000000-0005-0000-0000-0000B1410000}"/>
    <cellStyle name="40% - Accent6 3 2 3 4 2" xfId="25234" xr:uid="{00000000-0005-0000-0000-0000B2410000}"/>
    <cellStyle name="40% - Accent6 3 2 3 5" xfId="18577" xr:uid="{00000000-0005-0000-0000-0000B3410000}"/>
    <cellStyle name="40% - Accent6 3 2 4" xfId="9490" xr:uid="{00000000-0005-0000-0000-0000B4410000}"/>
    <cellStyle name="40% - Accent6 3 2 4 2" xfId="20053" xr:uid="{00000000-0005-0000-0000-0000B5410000}"/>
    <cellStyle name="40% - Accent6 3 2 5" xfId="11709" xr:uid="{00000000-0005-0000-0000-0000B6410000}"/>
    <cellStyle name="40% - Accent6 3 2 5 2" xfId="22272" xr:uid="{00000000-0005-0000-0000-0000B7410000}"/>
    <cellStyle name="40% - Accent6 3 2 6" xfId="13928" xr:uid="{00000000-0005-0000-0000-0000B8410000}"/>
    <cellStyle name="40% - Accent6 3 2 6 2" xfId="24491" xr:uid="{00000000-0005-0000-0000-0000B9410000}"/>
    <cellStyle name="40% - Accent6 3 2 7" xfId="17828" xr:uid="{00000000-0005-0000-0000-0000BA410000}"/>
    <cellStyle name="40% - Accent6 3 3" xfId="1525" xr:uid="{00000000-0005-0000-0000-0000BB410000}"/>
    <cellStyle name="40% - Accent6 3 3 2" xfId="8748" xr:uid="{00000000-0005-0000-0000-0000BC410000}"/>
    <cellStyle name="40% - Accent6 3 3 2 2" xfId="10967" xr:uid="{00000000-0005-0000-0000-0000BD410000}"/>
    <cellStyle name="40% - Accent6 3 3 2 2 2" xfId="21530" xr:uid="{00000000-0005-0000-0000-0000BE410000}"/>
    <cellStyle name="40% - Accent6 3 3 2 3" xfId="13186" xr:uid="{00000000-0005-0000-0000-0000BF410000}"/>
    <cellStyle name="40% - Accent6 3 3 2 3 2" xfId="23749" xr:uid="{00000000-0005-0000-0000-0000C0410000}"/>
    <cellStyle name="40% - Accent6 3 3 2 4" xfId="15405" xr:uid="{00000000-0005-0000-0000-0000C1410000}"/>
    <cellStyle name="40% - Accent6 3 3 2 4 2" xfId="25968" xr:uid="{00000000-0005-0000-0000-0000C2410000}"/>
    <cellStyle name="40% - Accent6 3 3 2 5" xfId="19311" xr:uid="{00000000-0005-0000-0000-0000C3410000}"/>
    <cellStyle name="40% - Accent6 3 3 3" xfId="8015" xr:uid="{00000000-0005-0000-0000-0000C4410000}"/>
    <cellStyle name="40% - Accent6 3 3 3 2" xfId="10234" xr:uid="{00000000-0005-0000-0000-0000C5410000}"/>
    <cellStyle name="40% - Accent6 3 3 3 2 2" xfId="20797" xr:uid="{00000000-0005-0000-0000-0000C6410000}"/>
    <cellStyle name="40% - Accent6 3 3 3 3" xfId="12453" xr:uid="{00000000-0005-0000-0000-0000C7410000}"/>
    <cellStyle name="40% - Accent6 3 3 3 3 2" xfId="23016" xr:uid="{00000000-0005-0000-0000-0000C8410000}"/>
    <cellStyle name="40% - Accent6 3 3 3 4" xfId="14672" xr:uid="{00000000-0005-0000-0000-0000C9410000}"/>
    <cellStyle name="40% - Accent6 3 3 3 4 2" xfId="25235" xr:uid="{00000000-0005-0000-0000-0000CA410000}"/>
    <cellStyle name="40% - Accent6 3 3 3 5" xfId="18578" xr:uid="{00000000-0005-0000-0000-0000CB410000}"/>
    <cellStyle name="40% - Accent6 3 3 4" xfId="9491" xr:uid="{00000000-0005-0000-0000-0000CC410000}"/>
    <cellStyle name="40% - Accent6 3 3 4 2" xfId="20054" xr:uid="{00000000-0005-0000-0000-0000CD410000}"/>
    <cellStyle name="40% - Accent6 3 3 5" xfId="11710" xr:uid="{00000000-0005-0000-0000-0000CE410000}"/>
    <cellStyle name="40% - Accent6 3 3 5 2" xfId="22273" xr:uid="{00000000-0005-0000-0000-0000CF410000}"/>
    <cellStyle name="40% - Accent6 3 3 6" xfId="13929" xr:uid="{00000000-0005-0000-0000-0000D0410000}"/>
    <cellStyle name="40% - Accent6 3 3 6 2" xfId="24492" xr:uid="{00000000-0005-0000-0000-0000D1410000}"/>
    <cellStyle name="40% - Accent6 3 3 7" xfId="17829" xr:uid="{00000000-0005-0000-0000-0000D2410000}"/>
    <cellStyle name="40% - Accent6 3 4" xfId="1526" xr:uid="{00000000-0005-0000-0000-0000D3410000}"/>
    <cellStyle name="40% - Accent6 3 4 2" xfId="8749" xr:uid="{00000000-0005-0000-0000-0000D4410000}"/>
    <cellStyle name="40% - Accent6 3 4 2 2" xfId="10968" xr:uid="{00000000-0005-0000-0000-0000D5410000}"/>
    <cellStyle name="40% - Accent6 3 4 2 2 2" xfId="21531" xr:uid="{00000000-0005-0000-0000-0000D6410000}"/>
    <cellStyle name="40% - Accent6 3 4 2 3" xfId="13187" xr:uid="{00000000-0005-0000-0000-0000D7410000}"/>
    <cellStyle name="40% - Accent6 3 4 2 3 2" xfId="23750" xr:uid="{00000000-0005-0000-0000-0000D8410000}"/>
    <cellStyle name="40% - Accent6 3 4 2 4" xfId="15406" xr:uid="{00000000-0005-0000-0000-0000D9410000}"/>
    <cellStyle name="40% - Accent6 3 4 2 4 2" xfId="25969" xr:uid="{00000000-0005-0000-0000-0000DA410000}"/>
    <cellStyle name="40% - Accent6 3 4 2 5" xfId="19312" xr:uid="{00000000-0005-0000-0000-0000DB410000}"/>
    <cellStyle name="40% - Accent6 3 4 3" xfId="8016" xr:uid="{00000000-0005-0000-0000-0000DC410000}"/>
    <cellStyle name="40% - Accent6 3 4 3 2" xfId="10235" xr:uid="{00000000-0005-0000-0000-0000DD410000}"/>
    <cellStyle name="40% - Accent6 3 4 3 2 2" xfId="20798" xr:uid="{00000000-0005-0000-0000-0000DE410000}"/>
    <cellStyle name="40% - Accent6 3 4 3 3" xfId="12454" xr:uid="{00000000-0005-0000-0000-0000DF410000}"/>
    <cellStyle name="40% - Accent6 3 4 3 3 2" xfId="23017" xr:uid="{00000000-0005-0000-0000-0000E0410000}"/>
    <cellStyle name="40% - Accent6 3 4 3 4" xfId="14673" xr:uid="{00000000-0005-0000-0000-0000E1410000}"/>
    <cellStyle name="40% - Accent6 3 4 3 4 2" xfId="25236" xr:uid="{00000000-0005-0000-0000-0000E2410000}"/>
    <cellStyle name="40% - Accent6 3 4 3 5" xfId="18579" xr:uid="{00000000-0005-0000-0000-0000E3410000}"/>
    <cellStyle name="40% - Accent6 3 4 4" xfId="9492" xr:uid="{00000000-0005-0000-0000-0000E4410000}"/>
    <cellStyle name="40% - Accent6 3 4 4 2" xfId="20055" xr:uid="{00000000-0005-0000-0000-0000E5410000}"/>
    <cellStyle name="40% - Accent6 3 4 5" xfId="11711" xr:uid="{00000000-0005-0000-0000-0000E6410000}"/>
    <cellStyle name="40% - Accent6 3 4 5 2" xfId="22274" xr:uid="{00000000-0005-0000-0000-0000E7410000}"/>
    <cellStyle name="40% - Accent6 3 4 6" xfId="13930" xr:uid="{00000000-0005-0000-0000-0000E8410000}"/>
    <cellStyle name="40% - Accent6 3 4 6 2" xfId="24493" xr:uid="{00000000-0005-0000-0000-0000E9410000}"/>
    <cellStyle name="40% - Accent6 3 4 7" xfId="17830" xr:uid="{00000000-0005-0000-0000-0000EA410000}"/>
    <cellStyle name="40% - Accent6 3 5" xfId="1527" xr:uid="{00000000-0005-0000-0000-0000EB410000}"/>
    <cellStyle name="40% - Accent6 3 5 2" xfId="8750" xr:uid="{00000000-0005-0000-0000-0000EC410000}"/>
    <cellStyle name="40% - Accent6 3 5 2 2" xfId="10969" xr:uid="{00000000-0005-0000-0000-0000ED410000}"/>
    <cellStyle name="40% - Accent6 3 5 2 2 2" xfId="21532" xr:uid="{00000000-0005-0000-0000-0000EE410000}"/>
    <cellStyle name="40% - Accent6 3 5 2 3" xfId="13188" xr:uid="{00000000-0005-0000-0000-0000EF410000}"/>
    <cellStyle name="40% - Accent6 3 5 2 3 2" xfId="23751" xr:uid="{00000000-0005-0000-0000-0000F0410000}"/>
    <cellStyle name="40% - Accent6 3 5 2 4" xfId="15407" xr:uid="{00000000-0005-0000-0000-0000F1410000}"/>
    <cellStyle name="40% - Accent6 3 5 2 4 2" xfId="25970" xr:uid="{00000000-0005-0000-0000-0000F2410000}"/>
    <cellStyle name="40% - Accent6 3 5 2 5" xfId="19313" xr:uid="{00000000-0005-0000-0000-0000F3410000}"/>
    <cellStyle name="40% - Accent6 3 5 3" xfId="8017" xr:uid="{00000000-0005-0000-0000-0000F4410000}"/>
    <cellStyle name="40% - Accent6 3 5 3 2" xfId="10236" xr:uid="{00000000-0005-0000-0000-0000F5410000}"/>
    <cellStyle name="40% - Accent6 3 5 3 2 2" xfId="20799" xr:uid="{00000000-0005-0000-0000-0000F6410000}"/>
    <cellStyle name="40% - Accent6 3 5 3 3" xfId="12455" xr:uid="{00000000-0005-0000-0000-0000F7410000}"/>
    <cellStyle name="40% - Accent6 3 5 3 3 2" xfId="23018" xr:uid="{00000000-0005-0000-0000-0000F8410000}"/>
    <cellStyle name="40% - Accent6 3 5 3 4" xfId="14674" xr:uid="{00000000-0005-0000-0000-0000F9410000}"/>
    <cellStyle name="40% - Accent6 3 5 3 4 2" xfId="25237" xr:uid="{00000000-0005-0000-0000-0000FA410000}"/>
    <cellStyle name="40% - Accent6 3 5 3 5" xfId="18580" xr:uid="{00000000-0005-0000-0000-0000FB410000}"/>
    <cellStyle name="40% - Accent6 3 5 4" xfId="9493" xr:uid="{00000000-0005-0000-0000-0000FC410000}"/>
    <cellStyle name="40% - Accent6 3 5 4 2" xfId="20056" xr:uid="{00000000-0005-0000-0000-0000FD410000}"/>
    <cellStyle name="40% - Accent6 3 5 5" xfId="11712" xr:uid="{00000000-0005-0000-0000-0000FE410000}"/>
    <cellStyle name="40% - Accent6 3 5 5 2" xfId="22275" xr:uid="{00000000-0005-0000-0000-0000FF410000}"/>
    <cellStyle name="40% - Accent6 3 5 6" xfId="13931" xr:uid="{00000000-0005-0000-0000-000000420000}"/>
    <cellStyle name="40% - Accent6 3 5 6 2" xfId="24494" xr:uid="{00000000-0005-0000-0000-000001420000}"/>
    <cellStyle name="40% - Accent6 3 5 7" xfId="17831" xr:uid="{00000000-0005-0000-0000-000002420000}"/>
    <cellStyle name="40% - Accent6 3 6" xfId="1528" xr:uid="{00000000-0005-0000-0000-000003420000}"/>
    <cellStyle name="40% - Accent6 3 7" xfId="1529" xr:uid="{00000000-0005-0000-0000-000004420000}"/>
    <cellStyle name="40% - Accent6 3 8" xfId="1530" xr:uid="{00000000-0005-0000-0000-000005420000}"/>
    <cellStyle name="40% - Accent6 3 9" xfId="1531" xr:uid="{00000000-0005-0000-0000-000006420000}"/>
    <cellStyle name="40% - Accent6 4" xfId="1532" xr:uid="{00000000-0005-0000-0000-000007420000}"/>
    <cellStyle name="40% - Accent6 4 2" xfId="1533" xr:uid="{00000000-0005-0000-0000-000008420000}"/>
    <cellStyle name="40% - Accent6 4 3" xfId="1534" xr:uid="{00000000-0005-0000-0000-000009420000}"/>
    <cellStyle name="40% - Accent6 4 4" xfId="1535" xr:uid="{00000000-0005-0000-0000-00000A420000}"/>
    <cellStyle name="40% - Accent6 4 5" xfId="1536" xr:uid="{00000000-0005-0000-0000-00000B420000}"/>
    <cellStyle name="40% - Accent6 4 6" xfId="1537" xr:uid="{00000000-0005-0000-0000-00000C420000}"/>
    <cellStyle name="40% - Accent6 5" xfId="1538" xr:uid="{00000000-0005-0000-0000-00000D420000}"/>
    <cellStyle name="40% - Accent6 5 2" xfId="1539" xr:uid="{00000000-0005-0000-0000-00000E420000}"/>
    <cellStyle name="40% - Accent6 5 3" xfId="1540" xr:uid="{00000000-0005-0000-0000-00000F420000}"/>
    <cellStyle name="40% - Accent6 5 4" xfId="1541" xr:uid="{00000000-0005-0000-0000-000010420000}"/>
    <cellStyle name="40% - Accent6 5 5" xfId="1542" xr:uid="{00000000-0005-0000-0000-000011420000}"/>
    <cellStyle name="40% - Accent6 5 6" xfId="1543" xr:uid="{00000000-0005-0000-0000-000012420000}"/>
    <cellStyle name="40% - Accent6 6" xfId="1544" xr:uid="{00000000-0005-0000-0000-000013420000}"/>
    <cellStyle name="40% - Accent6 6 2" xfId="1545" xr:uid="{00000000-0005-0000-0000-000014420000}"/>
    <cellStyle name="40% - Accent6 6 3" xfId="1546" xr:uid="{00000000-0005-0000-0000-000015420000}"/>
    <cellStyle name="40% - Accent6 6 4" xfId="1547" xr:uid="{00000000-0005-0000-0000-000016420000}"/>
    <cellStyle name="40% - Accent6 6 5" xfId="1548" xr:uid="{00000000-0005-0000-0000-000017420000}"/>
    <cellStyle name="40% - Accent6 6 6" xfId="1549" xr:uid="{00000000-0005-0000-0000-000018420000}"/>
    <cellStyle name="40% - Accent6 7" xfId="1550" xr:uid="{00000000-0005-0000-0000-000019420000}"/>
    <cellStyle name="40% - Accent6 7 10" xfId="11713" xr:uid="{00000000-0005-0000-0000-00001A420000}"/>
    <cellStyle name="40% - Accent6 7 10 2" xfId="22276" xr:uid="{00000000-0005-0000-0000-00001B420000}"/>
    <cellStyle name="40% - Accent6 7 11" xfId="13932" xr:uid="{00000000-0005-0000-0000-00001C420000}"/>
    <cellStyle name="40% - Accent6 7 11 2" xfId="24495" xr:uid="{00000000-0005-0000-0000-00001D420000}"/>
    <cellStyle name="40% - Accent6 7 12" xfId="17832" xr:uid="{00000000-0005-0000-0000-00001E420000}"/>
    <cellStyle name="40% - Accent6 7 2" xfId="1551" xr:uid="{00000000-0005-0000-0000-00001F420000}"/>
    <cellStyle name="40% - Accent6 7 3" xfId="1552" xr:uid="{00000000-0005-0000-0000-000020420000}"/>
    <cellStyle name="40% - Accent6 7 4" xfId="1553" xr:uid="{00000000-0005-0000-0000-000021420000}"/>
    <cellStyle name="40% - Accent6 7 5" xfId="1554" xr:uid="{00000000-0005-0000-0000-000022420000}"/>
    <cellStyle name="40% - Accent6 7 6" xfId="1555" xr:uid="{00000000-0005-0000-0000-000023420000}"/>
    <cellStyle name="40% - Accent6 7 7" xfId="8751" xr:uid="{00000000-0005-0000-0000-000024420000}"/>
    <cellStyle name="40% - Accent6 7 7 2" xfId="10970" xr:uid="{00000000-0005-0000-0000-000025420000}"/>
    <cellStyle name="40% - Accent6 7 7 2 2" xfId="21533" xr:uid="{00000000-0005-0000-0000-000026420000}"/>
    <cellStyle name="40% - Accent6 7 7 3" xfId="13189" xr:uid="{00000000-0005-0000-0000-000027420000}"/>
    <cellStyle name="40% - Accent6 7 7 3 2" xfId="23752" xr:uid="{00000000-0005-0000-0000-000028420000}"/>
    <cellStyle name="40% - Accent6 7 7 4" xfId="15408" xr:uid="{00000000-0005-0000-0000-000029420000}"/>
    <cellStyle name="40% - Accent6 7 7 4 2" xfId="25971" xr:uid="{00000000-0005-0000-0000-00002A420000}"/>
    <cellStyle name="40% - Accent6 7 7 5" xfId="19314" xr:uid="{00000000-0005-0000-0000-00002B420000}"/>
    <cellStyle name="40% - Accent6 7 8" xfId="8018" xr:uid="{00000000-0005-0000-0000-00002C420000}"/>
    <cellStyle name="40% - Accent6 7 8 2" xfId="10237" xr:uid="{00000000-0005-0000-0000-00002D420000}"/>
    <cellStyle name="40% - Accent6 7 8 2 2" xfId="20800" xr:uid="{00000000-0005-0000-0000-00002E420000}"/>
    <cellStyle name="40% - Accent6 7 8 3" xfId="12456" xr:uid="{00000000-0005-0000-0000-00002F420000}"/>
    <cellStyle name="40% - Accent6 7 8 3 2" xfId="23019" xr:uid="{00000000-0005-0000-0000-000030420000}"/>
    <cellStyle name="40% - Accent6 7 8 4" xfId="14675" xr:uid="{00000000-0005-0000-0000-000031420000}"/>
    <cellStyle name="40% - Accent6 7 8 4 2" xfId="25238" xr:uid="{00000000-0005-0000-0000-000032420000}"/>
    <cellStyle name="40% - Accent6 7 8 5" xfId="18581" xr:uid="{00000000-0005-0000-0000-000033420000}"/>
    <cellStyle name="40% - Accent6 7 9" xfId="9494" xr:uid="{00000000-0005-0000-0000-000034420000}"/>
    <cellStyle name="40% - Accent6 7 9 2" xfId="20057" xr:uid="{00000000-0005-0000-0000-000035420000}"/>
    <cellStyle name="40% - Accent6 8" xfId="1556" xr:uid="{00000000-0005-0000-0000-000036420000}"/>
    <cellStyle name="40% - Accent6 8 2" xfId="1557" xr:uid="{00000000-0005-0000-0000-000037420000}"/>
    <cellStyle name="40% - Accent6 8 3" xfId="1558" xr:uid="{00000000-0005-0000-0000-000038420000}"/>
    <cellStyle name="40% - Accent6 8 4" xfId="1559" xr:uid="{00000000-0005-0000-0000-000039420000}"/>
    <cellStyle name="40% - Accent6 8 5" xfId="1560" xr:uid="{00000000-0005-0000-0000-00003A420000}"/>
    <cellStyle name="40% - Accent6 8 6" xfId="1561" xr:uid="{00000000-0005-0000-0000-00003B420000}"/>
    <cellStyle name="40% - Accent6 9" xfId="1562" xr:uid="{00000000-0005-0000-0000-00003C420000}"/>
    <cellStyle name="40% - Accent6 9 2" xfId="1563" xr:uid="{00000000-0005-0000-0000-00003D420000}"/>
    <cellStyle name="40% - Accent6 9 3" xfId="1564" xr:uid="{00000000-0005-0000-0000-00003E420000}"/>
    <cellStyle name="40% - Accent6 9 4" xfId="1565" xr:uid="{00000000-0005-0000-0000-00003F420000}"/>
    <cellStyle name="40% - Accent6 9 5" xfId="1566" xr:uid="{00000000-0005-0000-0000-000040420000}"/>
    <cellStyle name="40% - Akzent1" xfId="3798" xr:uid="{00000000-0005-0000-0000-000041420000}"/>
    <cellStyle name="40% - Akzent2" xfId="3799" xr:uid="{00000000-0005-0000-0000-000042420000}"/>
    <cellStyle name="40% - Akzent3" xfId="3800" xr:uid="{00000000-0005-0000-0000-000043420000}"/>
    <cellStyle name="40% - Akzent4" xfId="3801" xr:uid="{00000000-0005-0000-0000-000044420000}"/>
    <cellStyle name="40% - Akzent5" xfId="3802" xr:uid="{00000000-0005-0000-0000-000045420000}"/>
    <cellStyle name="40% - Akzent6" xfId="3803" xr:uid="{00000000-0005-0000-0000-000046420000}"/>
    <cellStyle name="5x indented GHG Textfiels" xfId="3946" xr:uid="{00000000-0005-0000-0000-000047420000}"/>
    <cellStyle name="5x indented GHG Textfiels 2" xfId="3947" xr:uid="{00000000-0005-0000-0000-000048420000}"/>
    <cellStyle name="60 % - Accent1" xfId="3948" xr:uid="{00000000-0005-0000-0000-000049420000}"/>
    <cellStyle name="60 % - Accent2" xfId="3949" xr:uid="{00000000-0005-0000-0000-00004A420000}"/>
    <cellStyle name="60 % - Accent3" xfId="3950" xr:uid="{00000000-0005-0000-0000-00004B420000}"/>
    <cellStyle name="60 % - Accent4" xfId="3951" xr:uid="{00000000-0005-0000-0000-00004C420000}"/>
    <cellStyle name="60 % - Accent5" xfId="3952" xr:uid="{00000000-0005-0000-0000-00004D420000}"/>
    <cellStyle name="60 % - Accent6" xfId="3953" xr:uid="{00000000-0005-0000-0000-00004E420000}"/>
    <cellStyle name="60% - Accent1 10" xfId="1567" xr:uid="{00000000-0005-0000-0000-00004F420000}"/>
    <cellStyle name="60% - Accent1 11" xfId="1568" xr:uid="{00000000-0005-0000-0000-000050420000}"/>
    <cellStyle name="60% - Accent1 12" xfId="1569" xr:uid="{00000000-0005-0000-0000-000051420000}"/>
    <cellStyle name="60% - Accent1 13" xfId="1570" xr:uid="{00000000-0005-0000-0000-000052420000}"/>
    <cellStyle name="60% - Accent1 14" xfId="1571" xr:uid="{00000000-0005-0000-0000-000053420000}"/>
    <cellStyle name="60% - Accent1 15" xfId="1572" xr:uid="{00000000-0005-0000-0000-000054420000}"/>
    <cellStyle name="60% - Accent1 16" xfId="1573" xr:uid="{00000000-0005-0000-0000-000055420000}"/>
    <cellStyle name="60% - Accent1 17" xfId="1574" xr:uid="{00000000-0005-0000-0000-000056420000}"/>
    <cellStyle name="60% - Accent1 18" xfId="1575" xr:uid="{00000000-0005-0000-0000-000057420000}"/>
    <cellStyle name="60% - Accent1 19" xfId="1576" xr:uid="{00000000-0005-0000-0000-000058420000}"/>
    <cellStyle name="60% - Accent1 2" xfId="1577" xr:uid="{00000000-0005-0000-0000-000059420000}"/>
    <cellStyle name="60% - Accent1 2 10" xfId="1578" xr:uid="{00000000-0005-0000-0000-00005A420000}"/>
    <cellStyle name="60% - Accent1 2 11" xfId="1579" xr:uid="{00000000-0005-0000-0000-00005B420000}"/>
    <cellStyle name="60% - Accent1 2 12" xfId="1580" xr:uid="{00000000-0005-0000-0000-00005C420000}"/>
    <cellStyle name="60% - Accent1 2 13" xfId="1581" xr:uid="{00000000-0005-0000-0000-00005D420000}"/>
    <cellStyle name="60% - Accent1 2 14" xfId="1582" xr:uid="{00000000-0005-0000-0000-00005E420000}"/>
    <cellStyle name="60% - Accent1 2 15" xfId="1583" xr:uid="{00000000-0005-0000-0000-00005F420000}"/>
    <cellStyle name="60% - Accent1 2 16" xfId="1584" xr:uid="{00000000-0005-0000-0000-000060420000}"/>
    <cellStyle name="60% - Accent1 2 2" xfId="1585" xr:uid="{00000000-0005-0000-0000-000061420000}"/>
    <cellStyle name="60% - Accent1 2 2 2" xfId="1586" xr:uid="{00000000-0005-0000-0000-000062420000}"/>
    <cellStyle name="60% - Accent1 2 2 3" xfId="1587" xr:uid="{00000000-0005-0000-0000-000063420000}"/>
    <cellStyle name="60% - Accent1 2 2 4" xfId="1588" xr:uid="{00000000-0005-0000-0000-000064420000}"/>
    <cellStyle name="60% - Accent1 2 2 5" xfId="1589" xr:uid="{00000000-0005-0000-0000-000065420000}"/>
    <cellStyle name="60% - Accent1 2 3" xfId="1590" xr:uid="{00000000-0005-0000-0000-000066420000}"/>
    <cellStyle name="60% - Accent1 2 4" xfId="1591" xr:uid="{00000000-0005-0000-0000-000067420000}"/>
    <cellStyle name="60% - Accent1 2 5" xfId="1592" xr:uid="{00000000-0005-0000-0000-000068420000}"/>
    <cellStyle name="60% - Accent1 2 6" xfId="1593" xr:uid="{00000000-0005-0000-0000-000069420000}"/>
    <cellStyle name="60% - Accent1 2 7" xfId="1594" xr:uid="{00000000-0005-0000-0000-00006A420000}"/>
    <cellStyle name="60% - Accent1 2 8" xfId="1595" xr:uid="{00000000-0005-0000-0000-00006B420000}"/>
    <cellStyle name="60% - Accent1 2 9" xfId="1596" xr:uid="{00000000-0005-0000-0000-00006C420000}"/>
    <cellStyle name="60% - Accent1 20" xfId="1597" xr:uid="{00000000-0005-0000-0000-00006D420000}"/>
    <cellStyle name="60% - Accent1 21" xfId="1598" xr:uid="{00000000-0005-0000-0000-00006E420000}"/>
    <cellStyle name="60% - Accent1 22" xfId="1599" xr:uid="{00000000-0005-0000-0000-00006F420000}"/>
    <cellStyle name="60% - Accent1 3" xfId="1600" xr:uid="{00000000-0005-0000-0000-000070420000}"/>
    <cellStyle name="60% - Accent1 3 2" xfId="1601" xr:uid="{00000000-0005-0000-0000-000071420000}"/>
    <cellStyle name="60% - Accent1 3 3" xfId="1602" xr:uid="{00000000-0005-0000-0000-000072420000}"/>
    <cellStyle name="60% - Accent1 3 4" xfId="1603" xr:uid="{00000000-0005-0000-0000-000073420000}"/>
    <cellStyle name="60% - Accent1 3 5" xfId="1604" xr:uid="{00000000-0005-0000-0000-000074420000}"/>
    <cellStyle name="60% - Accent1 3 6" xfId="1605" xr:uid="{00000000-0005-0000-0000-000075420000}"/>
    <cellStyle name="60% - Accent1 4" xfId="1606" xr:uid="{00000000-0005-0000-0000-000076420000}"/>
    <cellStyle name="60% - Accent1 4 2" xfId="1607" xr:uid="{00000000-0005-0000-0000-000077420000}"/>
    <cellStyle name="60% - Accent1 5" xfId="1608" xr:uid="{00000000-0005-0000-0000-000078420000}"/>
    <cellStyle name="60% - Accent1 5 2" xfId="1609" xr:uid="{00000000-0005-0000-0000-000079420000}"/>
    <cellStyle name="60% - Accent1 6" xfId="1610" xr:uid="{00000000-0005-0000-0000-00007A420000}"/>
    <cellStyle name="60% - Accent1 6 2" xfId="1611" xr:uid="{00000000-0005-0000-0000-00007B420000}"/>
    <cellStyle name="60% - Accent1 7" xfId="1612" xr:uid="{00000000-0005-0000-0000-00007C420000}"/>
    <cellStyle name="60% - Accent1 7 2" xfId="1613" xr:uid="{00000000-0005-0000-0000-00007D420000}"/>
    <cellStyle name="60% - Accent1 8" xfId="1614" xr:uid="{00000000-0005-0000-0000-00007E420000}"/>
    <cellStyle name="60% - Accent1 8 2" xfId="1615" xr:uid="{00000000-0005-0000-0000-00007F420000}"/>
    <cellStyle name="60% - Accent1 9" xfId="1616" xr:uid="{00000000-0005-0000-0000-000080420000}"/>
    <cellStyle name="60% - Accent2 10" xfId="1617" xr:uid="{00000000-0005-0000-0000-000081420000}"/>
    <cellStyle name="60% - Accent2 11" xfId="1618" xr:uid="{00000000-0005-0000-0000-000082420000}"/>
    <cellStyle name="60% - Accent2 12" xfId="1619" xr:uid="{00000000-0005-0000-0000-000083420000}"/>
    <cellStyle name="60% - Accent2 13" xfId="1620" xr:uid="{00000000-0005-0000-0000-000084420000}"/>
    <cellStyle name="60% - Accent2 2" xfId="1621" xr:uid="{00000000-0005-0000-0000-000085420000}"/>
    <cellStyle name="60% - Accent2 2 10" xfId="1622" xr:uid="{00000000-0005-0000-0000-000086420000}"/>
    <cellStyle name="60% - Accent2 2 11" xfId="1623" xr:uid="{00000000-0005-0000-0000-000087420000}"/>
    <cellStyle name="60% - Accent2 2 12" xfId="1624" xr:uid="{00000000-0005-0000-0000-000088420000}"/>
    <cellStyle name="60% - Accent2 2 13" xfId="1625" xr:uid="{00000000-0005-0000-0000-000089420000}"/>
    <cellStyle name="60% - Accent2 2 14" xfId="1626" xr:uid="{00000000-0005-0000-0000-00008A420000}"/>
    <cellStyle name="60% - Accent2 2 15" xfId="1627" xr:uid="{00000000-0005-0000-0000-00008B420000}"/>
    <cellStyle name="60% - Accent2 2 16" xfId="1628" xr:uid="{00000000-0005-0000-0000-00008C420000}"/>
    <cellStyle name="60% - Accent2 2 2" xfId="1629" xr:uid="{00000000-0005-0000-0000-00008D420000}"/>
    <cellStyle name="60% - Accent2 2 2 2" xfId="1630" xr:uid="{00000000-0005-0000-0000-00008E420000}"/>
    <cellStyle name="60% - Accent2 2 2 3" xfId="1631" xr:uid="{00000000-0005-0000-0000-00008F420000}"/>
    <cellStyle name="60% - Accent2 2 2 4" xfId="1632" xr:uid="{00000000-0005-0000-0000-000090420000}"/>
    <cellStyle name="60% - Accent2 2 2 5" xfId="1633" xr:uid="{00000000-0005-0000-0000-000091420000}"/>
    <cellStyle name="60% - Accent2 2 3" xfId="1634" xr:uid="{00000000-0005-0000-0000-000092420000}"/>
    <cellStyle name="60% - Accent2 2 4" xfId="1635" xr:uid="{00000000-0005-0000-0000-000093420000}"/>
    <cellStyle name="60% - Accent2 2 5" xfId="1636" xr:uid="{00000000-0005-0000-0000-000094420000}"/>
    <cellStyle name="60% - Accent2 2 6" xfId="1637" xr:uid="{00000000-0005-0000-0000-000095420000}"/>
    <cellStyle name="60% - Accent2 2 7" xfId="1638" xr:uid="{00000000-0005-0000-0000-000096420000}"/>
    <cellStyle name="60% - Accent2 2 8" xfId="1639" xr:uid="{00000000-0005-0000-0000-000097420000}"/>
    <cellStyle name="60% - Accent2 2 9" xfId="1640" xr:uid="{00000000-0005-0000-0000-000098420000}"/>
    <cellStyle name="60% - Accent2 3" xfId="1641" xr:uid="{00000000-0005-0000-0000-000099420000}"/>
    <cellStyle name="60% - Accent2 3 2" xfId="1642" xr:uid="{00000000-0005-0000-0000-00009A420000}"/>
    <cellStyle name="60% - Accent2 3 3" xfId="1643" xr:uid="{00000000-0005-0000-0000-00009B420000}"/>
    <cellStyle name="60% - Accent2 3 4" xfId="1644" xr:uid="{00000000-0005-0000-0000-00009C420000}"/>
    <cellStyle name="60% - Accent2 3 5" xfId="1645" xr:uid="{00000000-0005-0000-0000-00009D420000}"/>
    <cellStyle name="60% - Accent2 3 6" xfId="1646" xr:uid="{00000000-0005-0000-0000-00009E420000}"/>
    <cellStyle name="60% - Accent2 4" xfId="1647" xr:uid="{00000000-0005-0000-0000-00009F420000}"/>
    <cellStyle name="60% - Accent2 4 2" xfId="1648" xr:uid="{00000000-0005-0000-0000-0000A0420000}"/>
    <cellStyle name="60% - Accent2 5" xfId="1649" xr:uid="{00000000-0005-0000-0000-0000A1420000}"/>
    <cellStyle name="60% - Accent2 5 2" xfId="1650" xr:uid="{00000000-0005-0000-0000-0000A2420000}"/>
    <cellStyle name="60% - Accent2 6" xfId="1651" xr:uid="{00000000-0005-0000-0000-0000A3420000}"/>
    <cellStyle name="60% - Accent2 6 2" xfId="1652" xr:uid="{00000000-0005-0000-0000-0000A4420000}"/>
    <cellStyle name="60% - Accent2 7" xfId="1653" xr:uid="{00000000-0005-0000-0000-0000A5420000}"/>
    <cellStyle name="60% - Accent2 7 2" xfId="1654" xr:uid="{00000000-0005-0000-0000-0000A6420000}"/>
    <cellStyle name="60% - Accent2 8" xfId="1655" xr:uid="{00000000-0005-0000-0000-0000A7420000}"/>
    <cellStyle name="60% - Accent2 8 2" xfId="1656" xr:uid="{00000000-0005-0000-0000-0000A8420000}"/>
    <cellStyle name="60% - Accent2 9" xfId="1657" xr:uid="{00000000-0005-0000-0000-0000A9420000}"/>
    <cellStyle name="60% - Accent3 10" xfId="1658" xr:uid="{00000000-0005-0000-0000-0000AA420000}"/>
    <cellStyle name="60% - Accent3 11" xfId="1659" xr:uid="{00000000-0005-0000-0000-0000AB420000}"/>
    <cellStyle name="60% - Accent3 12" xfId="1660" xr:uid="{00000000-0005-0000-0000-0000AC420000}"/>
    <cellStyle name="60% - Accent3 13" xfId="1661" xr:uid="{00000000-0005-0000-0000-0000AD420000}"/>
    <cellStyle name="60% - Accent3 14" xfId="1662" xr:uid="{00000000-0005-0000-0000-0000AE420000}"/>
    <cellStyle name="60% - Accent3 15" xfId="1663" xr:uid="{00000000-0005-0000-0000-0000AF420000}"/>
    <cellStyle name="60% - Accent3 16" xfId="1664" xr:uid="{00000000-0005-0000-0000-0000B0420000}"/>
    <cellStyle name="60% - Accent3 17" xfId="1665" xr:uid="{00000000-0005-0000-0000-0000B1420000}"/>
    <cellStyle name="60% - Accent3 18" xfId="1666" xr:uid="{00000000-0005-0000-0000-0000B2420000}"/>
    <cellStyle name="60% - Accent3 19" xfId="1667" xr:uid="{00000000-0005-0000-0000-0000B3420000}"/>
    <cellStyle name="60% - Accent3 2" xfId="1668" xr:uid="{00000000-0005-0000-0000-0000B4420000}"/>
    <cellStyle name="60% - Accent3 2 10" xfId="1669" xr:uid="{00000000-0005-0000-0000-0000B5420000}"/>
    <cellStyle name="60% - Accent3 2 11" xfId="1670" xr:uid="{00000000-0005-0000-0000-0000B6420000}"/>
    <cellStyle name="60% - Accent3 2 12" xfId="1671" xr:uid="{00000000-0005-0000-0000-0000B7420000}"/>
    <cellStyle name="60% - Accent3 2 13" xfId="1672" xr:uid="{00000000-0005-0000-0000-0000B8420000}"/>
    <cellStyle name="60% - Accent3 2 14" xfId="1673" xr:uid="{00000000-0005-0000-0000-0000B9420000}"/>
    <cellStyle name="60% - Accent3 2 15" xfId="1674" xr:uid="{00000000-0005-0000-0000-0000BA420000}"/>
    <cellStyle name="60% - Accent3 2 16" xfId="1675" xr:uid="{00000000-0005-0000-0000-0000BB420000}"/>
    <cellStyle name="60% - Accent3 2 2" xfId="1676" xr:uid="{00000000-0005-0000-0000-0000BC420000}"/>
    <cellStyle name="60% - Accent3 2 2 2" xfId="1677" xr:uid="{00000000-0005-0000-0000-0000BD420000}"/>
    <cellStyle name="60% - Accent3 2 2 3" xfId="1678" xr:uid="{00000000-0005-0000-0000-0000BE420000}"/>
    <cellStyle name="60% - Accent3 2 2 4" xfId="1679" xr:uid="{00000000-0005-0000-0000-0000BF420000}"/>
    <cellStyle name="60% - Accent3 2 2 5" xfId="1680" xr:uid="{00000000-0005-0000-0000-0000C0420000}"/>
    <cellStyle name="60% - Accent3 2 3" xfId="1681" xr:uid="{00000000-0005-0000-0000-0000C1420000}"/>
    <cellStyle name="60% - Accent3 2 4" xfId="1682" xr:uid="{00000000-0005-0000-0000-0000C2420000}"/>
    <cellStyle name="60% - Accent3 2 5" xfId="1683" xr:uid="{00000000-0005-0000-0000-0000C3420000}"/>
    <cellStyle name="60% - Accent3 2 6" xfId="1684" xr:uid="{00000000-0005-0000-0000-0000C4420000}"/>
    <cellStyle name="60% - Accent3 2 7" xfId="1685" xr:uid="{00000000-0005-0000-0000-0000C5420000}"/>
    <cellStyle name="60% - Accent3 2 8" xfId="1686" xr:uid="{00000000-0005-0000-0000-0000C6420000}"/>
    <cellStyle name="60% - Accent3 2 9" xfId="1687" xr:uid="{00000000-0005-0000-0000-0000C7420000}"/>
    <cellStyle name="60% - Accent3 20" xfId="1688" xr:uid="{00000000-0005-0000-0000-0000C8420000}"/>
    <cellStyle name="60% - Accent3 21" xfId="1689" xr:uid="{00000000-0005-0000-0000-0000C9420000}"/>
    <cellStyle name="60% - Accent3 22" xfId="1690" xr:uid="{00000000-0005-0000-0000-0000CA420000}"/>
    <cellStyle name="60% - Accent3 3" xfId="1691" xr:uid="{00000000-0005-0000-0000-0000CB420000}"/>
    <cellStyle name="60% - Accent3 3 2" xfId="1692" xr:uid="{00000000-0005-0000-0000-0000CC420000}"/>
    <cellStyle name="60% - Accent3 3 3" xfId="1693" xr:uid="{00000000-0005-0000-0000-0000CD420000}"/>
    <cellStyle name="60% - Accent3 3 4" xfId="1694" xr:uid="{00000000-0005-0000-0000-0000CE420000}"/>
    <cellStyle name="60% - Accent3 3 5" xfId="1695" xr:uid="{00000000-0005-0000-0000-0000CF420000}"/>
    <cellStyle name="60% - Accent3 3 6" xfId="1696" xr:uid="{00000000-0005-0000-0000-0000D0420000}"/>
    <cellStyle name="60% - Accent3 4" xfId="1697" xr:uid="{00000000-0005-0000-0000-0000D1420000}"/>
    <cellStyle name="60% - Accent3 4 2" xfId="1698" xr:uid="{00000000-0005-0000-0000-0000D2420000}"/>
    <cellStyle name="60% - Accent3 5" xfId="1699" xr:uid="{00000000-0005-0000-0000-0000D3420000}"/>
    <cellStyle name="60% - Accent3 5 2" xfId="1700" xr:uid="{00000000-0005-0000-0000-0000D4420000}"/>
    <cellStyle name="60% - Accent3 6" xfId="1701" xr:uid="{00000000-0005-0000-0000-0000D5420000}"/>
    <cellStyle name="60% - Accent3 6 2" xfId="1702" xr:uid="{00000000-0005-0000-0000-0000D6420000}"/>
    <cellStyle name="60% - Accent3 7" xfId="1703" xr:uid="{00000000-0005-0000-0000-0000D7420000}"/>
    <cellStyle name="60% - Accent3 7 2" xfId="1704" xr:uid="{00000000-0005-0000-0000-0000D8420000}"/>
    <cellStyle name="60% - Accent3 8" xfId="1705" xr:uid="{00000000-0005-0000-0000-0000D9420000}"/>
    <cellStyle name="60% - Accent3 8 2" xfId="1706" xr:uid="{00000000-0005-0000-0000-0000DA420000}"/>
    <cellStyle name="60% - Accent3 9" xfId="1707" xr:uid="{00000000-0005-0000-0000-0000DB420000}"/>
    <cellStyle name="60% - Accent4 10" xfId="1708" xr:uid="{00000000-0005-0000-0000-0000DC420000}"/>
    <cellStyle name="60% - Accent4 11" xfId="1709" xr:uid="{00000000-0005-0000-0000-0000DD420000}"/>
    <cellStyle name="60% - Accent4 12" xfId="1710" xr:uid="{00000000-0005-0000-0000-0000DE420000}"/>
    <cellStyle name="60% - Accent4 13" xfId="1711" xr:uid="{00000000-0005-0000-0000-0000DF420000}"/>
    <cellStyle name="60% - Accent4 14" xfId="1712" xr:uid="{00000000-0005-0000-0000-0000E0420000}"/>
    <cellStyle name="60% - Accent4 15" xfId="1713" xr:uid="{00000000-0005-0000-0000-0000E1420000}"/>
    <cellStyle name="60% - Accent4 16" xfId="1714" xr:uid="{00000000-0005-0000-0000-0000E2420000}"/>
    <cellStyle name="60% - Accent4 17" xfId="1715" xr:uid="{00000000-0005-0000-0000-0000E3420000}"/>
    <cellStyle name="60% - Accent4 18" xfId="1716" xr:uid="{00000000-0005-0000-0000-0000E4420000}"/>
    <cellStyle name="60% - Accent4 19" xfId="1717" xr:uid="{00000000-0005-0000-0000-0000E5420000}"/>
    <cellStyle name="60% - Accent4 2" xfId="1718" xr:uid="{00000000-0005-0000-0000-0000E6420000}"/>
    <cellStyle name="60% - Accent4 2 10" xfId="1719" xr:uid="{00000000-0005-0000-0000-0000E7420000}"/>
    <cellStyle name="60% - Accent4 2 11" xfId="1720" xr:uid="{00000000-0005-0000-0000-0000E8420000}"/>
    <cellStyle name="60% - Accent4 2 12" xfId="1721" xr:uid="{00000000-0005-0000-0000-0000E9420000}"/>
    <cellStyle name="60% - Accent4 2 13" xfId="1722" xr:uid="{00000000-0005-0000-0000-0000EA420000}"/>
    <cellStyle name="60% - Accent4 2 14" xfId="1723" xr:uid="{00000000-0005-0000-0000-0000EB420000}"/>
    <cellStyle name="60% - Accent4 2 15" xfId="1724" xr:uid="{00000000-0005-0000-0000-0000EC420000}"/>
    <cellStyle name="60% - Accent4 2 16" xfId="1725" xr:uid="{00000000-0005-0000-0000-0000ED420000}"/>
    <cellStyle name="60% - Accent4 2 2" xfId="1726" xr:uid="{00000000-0005-0000-0000-0000EE420000}"/>
    <cellStyle name="60% - Accent4 2 2 2" xfId="1727" xr:uid="{00000000-0005-0000-0000-0000EF420000}"/>
    <cellStyle name="60% - Accent4 2 2 3" xfId="1728" xr:uid="{00000000-0005-0000-0000-0000F0420000}"/>
    <cellStyle name="60% - Accent4 2 2 4" xfId="1729" xr:uid="{00000000-0005-0000-0000-0000F1420000}"/>
    <cellStyle name="60% - Accent4 2 2 5" xfId="1730" xr:uid="{00000000-0005-0000-0000-0000F2420000}"/>
    <cellStyle name="60% - Accent4 2 3" xfId="1731" xr:uid="{00000000-0005-0000-0000-0000F3420000}"/>
    <cellStyle name="60% - Accent4 2 4" xfId="1732" xr:uid="{00000000-0005-0000-0000-0000F4420000}"/>
    <cellStyle name="60% - Accent4 2 5" xfId="1733" xr:uid="{00000000-0005-0000-0000-0000F5420000}"/>
    <cellStyle name="60% - Accent4 2 6" xfId="1734" xr:uid="{00000000-0005-0000-0000-0000F6420000}"/>
    <cellStyle name="60% - Accent4 2 7" xfId="1735" xr:uid="{00000000-0005-0000-0000-0000F7420000}"/>
    <cellStyle name="60% - Accent4 2 8" xfId="1736" xr:uid="{00000000-0005-0000-0000-0000F8420000}"/>
    <cellStyle name="60% - Accent4 2 9" xfId="1737" xr:uid="{00000000-0005-0000-0000-0000F9420000}"/>
    <cellStyle name="60% - Accent4 20" xfId="1738" xr:uid="{00000000-0005-0000-0000-0000FA420000}"/>
    <cellStyle name="60% - Accent4 21" xfId="1739" xr:uid="{00000000-0005-0000-0000-0000FB420000}"/>
    <cellStyle name="60% - Accent4 22" xfId="1740" xr:uid="{00000000-0005-0000-0000-0000FC420000}"/>
    <cellStyle name="60% - Accent4 3" xfId="1741" xr:uid="{00000000-0005-0000-0000-0000FD420000}"/>
    <cellStyle name="60% - Accent4 3 2" xfId="1742" xr:uid="{00000000-0005-0000-0000-0000FE420000}"/>
    <cellStyle name="60% - Accent4 3 3" xfId="1743" xr:uid="{00000000-0005-0000-0000-0000FF420000}"/>
    <cellStyle name="60% - Accent4 3 4" xfId="1744" xr:uid="{00000000-0005-0000-0000-000000430000}"/>
    <cellStyle name="60% - Accent4 3 5" xfId="1745" xr:uid="{00000000-0005-0000-0000-000001430000}"/>
    <cellStyle name="60% - Accent4 3 6" xfId="1746" xr:uid="{00000000-0005-0000-0000-000002430000}"/>
    <cellStyle name="60% - Accent4 4" xfId="1747" xr:uid="{00000000-0005-0000-0000-000003430000}"/>
    <cellStyle name="60% - Accent4 4 2" xfId="1748" xr:uid="{00000000-0005-0000-0000-000004430000}"/>
    <cellStyle name="60% - Accent4 5" xfId="1749" xr:uid="{00000000-0005-0000-0000-000005430000}"/>
    <cellStyle name="60% - Accent4 5 2" xfId="1750" xr:uid="{00000000-0005-0000-0000-000006430000}"/>
    <cellStyle name="60% - Accent4 6" xfId="1751" xr:uid="{00000000-0005-0000-0000-000007430000}"/>
    <cellStyle name="60% - Accent4 6 2" xfId="1752" xr:uid="{00000000-0005-0000-0000-000008430000}"/>
    <cellStyle name="60% - Accent4 7" xfId="1753" xr:uid="{00000000-0005-0000-0000-000009430000}"/>
    <cellStyle name="60% - Accent4 7 2" xfId="1754" xr:uid="{00000000-0005-0000-0000-00000A430000}"/>
    <cellStyle name="60% - Accent4 8" xfId="1755" xr:uid="{00000000-0005-0000-0000-00000B430000}"/>
    <cellStyle name="60% - Accent4 8 2" xfId="1756" xr:uid="{00000000-0005-0000-0000-00000C430000}"/>
    <cellStyle name="60% - Accent4 9" xfId="1757" xr:uid="{00000000-0005-0000-0000-00000D430000}"/>
    <cellStyle name="60% - Accent5 10" xfId="1758" xr:uid="{00000000-0005-0000-0000-00000E430000}"/>
    <cellStyle name="60% - Accent5 11" xfId="1759" xr:uid="{00000000-0005-0000-0000-00000F430000}"/>
    <cellStyle name="60% - Accent5 12" xfId="1760" xr:uid="{00000000-0005-0000-0000-000010430000}"/>
    <cellStyle name="60% - Accent5 13" xfId="1761" xr:uid="{00000000-0005-0000-0000-000011430000}"/>
    <cellStyle name="60% - Accent5 2" xfId="1762" xr:uid="{00000000-0005-0000-0000-000012430000}"/>
    <cellStyle name="60% - Accent5 2 10" xfId="1763" xr:uid="{00000000-0005-0000-0000-000013430000}"/>
    <cellStyle name="60% - Accent5 2 11" xfId="1764" xr:uid="{00000000-0005-0000-0000-000014430000}"/>
    <cellStyle name="60% - Accent5 2 12" xfId="1765" xr:uid="{00000000-0005-0000-0000-000015430000}"/>
    <cellStyle name="60% - Accent5 2 13" xfId="1766" xr:uid="{00000000-0005-0000-0000-000016430000}"/>
    <cellStyle name="60% - Accent5 2 14" xfId="1767" xr:uid="{00000000-0005-0000-0000-000017430000}"/>
    <cellStyle name="60% - Accent5 2 15" xfId="1768" xr:uid="{00000000-0005-0000-0000-000018430000}"/>
    <cellStyle name="60% - Accent5 2 16" xfId="1769" xr:uid="{00000000-0005-0000-0000-000019430000}"/>
    <cellStyle name="60% - Accent5 2 2" xfId="1770" xr:uid="{00000000-0005-0000-0000-00001A430000}"/>
    <cellStyle name="60% - Accent5 2 2 2" xfId="1771" xr:uid="{00000000-0005-0000-0000-00001B430000}"/>
    <cellStyle name="60% - Accent5 2 2 3" xfId="1772" xr:uid="{00000000-0005-0000-0000-00001C430000}"/>
    <cellStyle name="60% - Accent5 2 2 4" xfId="1773" xr:uid="{00000000-0005-0000-0000-00001D430000}"/>
    <cellStyle name="60% - Accent5 2 2 5" xfId="1774" xr:uid="{00000000-0005-0000-0000-00001E430000}"/>
    <cellStyle name="60% - Accent5 2 3" xfId="1775" xr:uid="{00000000-0005-0000-0000-00001F430000}"/>
    <cellStyle name="60% - Accent5 2 4" xfId="1776" xr:uid="{00000000-0005-0000-0000-000020430000}"/>
    <cellStyle name="60% - Accent5 2 5" xfId="1777" xr:uid="{00000000-0005-0000-0000-000021430000}"/>
    <cellStyle name="60% - Accent5 2 6" xfId="1778" xr:uid="{00000000-0005-0000-0000-000022430000}"/>
    <cellStyle name="60% - Accent5 2 7" xfId="1779" xr:uid="{00000000-0005-0000-0000-000023430000}"/>
    <cellStyle name="60% - Accent5 2 8" xfId="1780" xr:uid="{00000000-0005-0000-0000-000024430000}"/>
    <cellStyle name="60% - Accent5 2 9" xfId="1781" xr:uid="{00000000-0005-0000-0000-000025430000}"/>
    <cellStyle name="60% - Accent5 3" xfId="1782" xr:uid="{00000000-0005-0000-0000-000026430000}"/>
    <cellStyle name="60% - Accent5 3 2" xfId="1783" xr:uid="{00000000-0005-0000-0000-000027430000}"/>
    <cellStyle name="60% - Accent5 3 3" xfId="1784" xr:uid="{00000000-0005-0000-0000-000028430000}"/>
    <cellStyle name="60% - Accent5 3 4" xfId="1785" xr:uid="{00000000-0005-0000-0000-000029430000}"/>
    <cellStyle name="60% - Accent5 3 5" xfId="1786" xr:uid="{00000000-0005-0000-0000-00002A430000}"/>
    <cellStyle name="60% - Accent5 3 6" xfId="1787" xr:uid="{00000000-0005-0000-0000-00002B430000}"/>
    <cellStyle name="60% - Accent5 4" xfId="1788" xr:uid="{00000000-0005-0000-0000-00002C430000}"/>
    <cellStyle name="60% - Accent5 4 2" xfId="1789" xr:uid="{00000000-0005-0000-0000-00002D430000}"/>
    <cellStyle name="60% - Accent5 5" xfId="1790" xr:uid="{00000000-0005-0000-0000-00002E430000}"/>
    <cellStyle name="60% - Accent5 5 2" xfId="1791" xr:uid="{00000000-0005-0000-0000-00002F430000}"/>
    <cellStyle name="60% - Accent5 6" xfId="1792" xr:uid="{00000000-0005-0000-0000-000030430000}"/>
    <cellStyle name="60% - Accent5 6 2" xfId="1793" xr:uid="{00000000-0005-0000-0000-000031430000}"/>
    <cellStyle name="60% - Accent5 7" xfId="1794" xr:uid="{00000000-0005-0000-0000-000032430000}"/>
    <cellStyle name="60% - Accent5 7 2" xfId="1795" xr:uid="{00000000-0005-0000-0000-000033430000}"/>
    <cellStyle name="60% - Accent5 8" xfId="1796" xr:uid="{00000000-0005-0000-0000-000034430000}"/>
    <cellStyle name="60% - Accent5 8 2" xfId="1797" xr:uid="{00000000-0005-0000-0000-000035430000}"/>
    <cellStyle name="60% - Accent5 9" xfId="1798" xr:uid="{00000000-0005-0000-0000-000036430000}"/>
    <cellStyle name="60% - Accent6 10" xfId="1799" xr:uid="{00000000-0005-0000-0000-000037430000}"/>
    <cellStyle name="60% - Accent6 11" xfId="1800" xr:uid="{00000000-0005-0000-0000-000038430000}"/>
    <cellStyle name="60% - Accent6 12" xfId="1801" xr:uid="{00000000-0005-0000-0000-000039430000}"/>
    <cellStyle name="60% - Accent6 13" xfId="1802" xr:uid="{00000000-0005-0000-0000-00003A430000}"/>
    <cellStyle name="60% - Accent6 14" xfId="1803" xr:uid="{00000000-0005-0000-0000-00003B430000}"/>
    <cellStyle name="60% - Accent6 15" xfId="1804" xr:uid="{00000000-0005-0000-0000-00003C430000}"/>
    <cellStyle name="60% - Accent6 16" xfId="1805" xr:uid="{00000000-0005-0000-0000-00003D430000}"/>
    <cellStyle name="60% - Accent6 17" xfId="1806" xr:uid="{00000000-0005-0000-0000-00003E430000}"/>
    <cellStyle name="60% - Accent6 18" xfId="1807" xr:uid="{00000000-0005-0000-0000-00003F430000}"/>
    <cellStyle name="60% - Accent6 19" xfId="1808" xr:uid="{00000000-0005-0000-0000-000040430000}"/>
    <cellStyle name="60% - Accent6 2" xfId="1809" xr:uid="{00000000-0005-0000-0000-000041430000}"/>
    <cellStyle name="60% - Accent6 2 10" xfId="1810" xr:uid="{00000000-0005-0000-0000-000042430000}"/>
    <cellStyle name="60% - Accent6 2 11" xfId="1811" xr:uid="{00000000-0005-0000-0000-000043430000}"/>
    <cellStyle name="60% - Accent6 2 12" xfId="1812" xr:uid="{00000000-0005-0000-0000-000044430000}"/>
    <cellStyle name="60% - Accent6 2 13" xfId="1813" xr:uid="{00000000-0005-0000-0000-000045430000}"/>
    <cellStyle name="60% - Accent6 2 14" xfId="1814" xr:uid="{00000000-0005-0000-0000-000046430000}"/>
    <cellStyle name="60% - Accent6 2 15" xfId="1815" xr:uid="{00000000-0005-0000-0000-000047430000}"/>
    <cellStyle name="60% - Accent6 2 16" xfId="1816" xr:uid="{00000000-0005-0000-0000-000048430000}"/>
    <cellStyle name="60% - Accent6 2 2" xfId="1817" xr:uid="{00000000-0005-0000-0000-000049430000}"/>
    <cellStyle name="60% - Accent6 2 2 2" xfId="1818" xr:uid="{00000000-0005-0000-0000-00004A430000}"/>
    <cellStyle name="60% - Accent6 2 2 3" xfId="1819" xr:uid="{00000000-0005-0000-0000-00004B430000}"/>
    <cellStyle name="60% - Accent6 2 2 4" xfId="1820" xr:uid="{00000000-0005-0000-0000-00004C430000}"/>
    <cellStyle name="60% - Accent6 2 2 5" xfId="1821" xr:uid="{00000000-0005-0000-0000-00004D430000}"/>
    <cellStyle name="60% - Accent6 2 3" xfId="1822" xr:uid="{00000000-0005-0000-0000-00004E430000}"/>
    <cellStyle name="60% - Accent6 2 4" xfId="1823" xr:uid="{00000000-0005-0000-0000-00004F430000}"/>
    <cellStyle name="60% - Accent6 2 5" xfId="1824" xr:uid="{00000000-0005-0000-0000-000050430000}"/>
    <cellStyle name="60% - Accent6 2 6" xfId="1825" xr:uid="{00000000-0005-0000-0000-000051430000}"/>
    <cellStyle name="60% - Accent6 2 7" xfId="1826" xr:uid="{00000000-0005-0000-0000-000052430000}"/>
    <cellStyle name="60% - Accent6 2 8" xfId="1827" xr:uid="{00000000-0005-0000-0000-000053430000}"/>
    <cellStyle name="60% - Accent6 2 9" xfId="1828" xr:uid="{00000000-0005-0000-0000-000054430000}"/>
    <cellStyle name="60% - Accent6 20" xfId="1829" xr:uid="{00000000-0005-0000-0000-000055430000}"/>
    <cellStyle name="60% - Accent6 21" xfId="1830" xr:uid="{00000000-0005-0000-0000-000056430000}"/>
    <cellStyle name="60% - Accent6 22" xfId="1831" xr:uid="{00000000-0005-0000-0000-000057430000}"/>
    <cellStyle name="60% - Accent6 3" xfId="1832" xr:uid="{00000000-0005-0000-0000-000058430000}"/>
    <cellStyle name="60% - Accent6 3 2" xfId="1833" xr:uid="{00000000-0005-0000-0000-000059430000}"/>
    <cellStyle name="60% - Accent6 3 3" xfId="1834" xr:uid="{00000000-0005-0000-0000-00005A430000}"/>
    <cellStyle name="60% - Accent6 3 4" xfId="1835" xr:uid="{00000000-0005-0000-0000-00005B430000}"/>
    <cellStyle name="60% - Accent6 3 5" xfId="1836" xr:uid="{00000000-0005-0000-0000-00005C430000}"/>
    <cellStyle name="60% - Accent6 3 6" xfId="1837" xr:uid="{00000000-0005-0000-0000-00005D430000}"/>
    <cellStyle name="60% - Accent6 4" xfId="1838" xr:uid="{00000000-0005-0000-0000-00005E430000}"/>
    <cellStyle name="60% - Accent6 4 2" xfId="1839" xr:uid="{00000000-0005-0000-0000-00005F430000}"/>
    <cellStyle name="60% - Accent6 5" xfId="1840" xr:uid="{00000000-0005-0000-0000-000060430000}"/>
    <cellStyle name="60% - Accent6 5 2" xfId="1841" xr:uid="{00000000-0005-0000-0000-000061430000}"/>
    <cellStyle name="60% - Accent6 6" xfId="1842" xr:uid="{00000000-0005-0000-0000-000062430000}"/>
    <cellStyle name="60% - Accent6 6 2" xfId="1843" xr:uid="{00000000-0005-0000-0000-000063430000}"/>
    <cellStyle name="60% - Accent6 7" xfId="1844" xr:uid="{00000000-0005-0000-0000-000064430000}"/>
    <cellStyle name="60% - Accent6 7 2" xfId="1845" xr:uid="{00000000-0005-0000-0000-000065430000}"/>
    <cellStyle name="60% - Accent6 8" xfId="1846" xr:uid="{00000000-0005-0000-0000-000066430000}"/>
    <cellStyle name="60% - Accent6 8 2" xfId="1847" xr:uid="{00000000-0005-0000-0000-000067430000}"/>
    <cellStyle name="60% - Accent6 9" xfId="1848" xr:uid="{00000000-0005-0000-0000-000068430000}"/>
    <cellStyle name="60% - Akzent1" xfId="3804" xr:uid="{00000000-0005-0000-0000-000069430000}"/>
    <cellStyle name="60% - Akzent2" xfId="3805" xr:uid="{00000000-0005-0000-0000-00006A430000}"/>
    <cellStyle name="60% - Akzent3" xfId="3806" xr:uid="{00000000-0005-0000-0000-00006B430000}"/>
    <cellStyle name="60% - Akzent4" xfId="3807" xr:uid="{00000000-0005-0000-0000-00006C430000}"/>
    <cellStyle name="60% - Akzent5" xfId="3808" xr:uid="{00000000-0005-0000-0000-00006D430000}"/>
    <cellStyle name="60% - Akzent6" xfId="3809" xr:uid="{00000000-0005-0000-0000-00006E430000}"/>
    <cellStyle name="Accent1 10" xfId="1849" xr:uid="{00000000-0005-0000-0000-00006F430000}"/>
    <cellStyle name="Accent1 11" xfId="1850" xr:uid="{00000000-0005-0000-0000-000070430000}"/>
    <cellStyle name="Accent1 12" xfId="1851" xr:uid="{00000000-0005-0000-0000-000071430000}"/>
    <cellStyle name="Accent1 13" xfId="1852" xr:uid="{00000000-0005-0000-0000-000072430000}"/>
    <cellStyle name="Accent1 14" xfId="1853" xr:uid="{00000000-0005-0000-0000-000073430000}"/>
    <cellStyle name="Accent1 15" xfId="1854" xr:uid="{00000000-0005-0000-0000-000074430000}"/>
    <cellStyle name="Accent1 16" xfId="1855" xr:uid="{00000000-0005-0000-0000-000075430000}"/>
    <cellStyle name="Accent1 17" xfId="1856" xr:uid="{00000000-0005-0000-0000-000076430000}"/>
    <cellStyle name="Accent1 18" xfId="1857" xr:uid="{00000000-0005-0000-0000-000077430000}"/>
    <cellStyle name="Accent1 19" xfId="1858" xr:uid="{00000000-0005-0000-0000-000078430000}"/>
    <cellStyle name="Accent1 2" xfId="1859" xr:uid="{00000000-0005-0000-0000-000079430000}"/>
    <cellStyle name="Accent1 2 10" xfId="1860" xr:uid="{00000000-0005-0000-0000-00007A430000}"/>
    <cellStyle name="Accent1 2 11" xfId="1861" xr:uid="{00000000-0005-0000-0000-00007B430000}"/>
    <cellStyle name="Accent1 2 12" xfId="1862" xr:uid="{00000000-0005-0000-0000-00007C430000}"/>
    <cellStyle name="Accent1 2 13" xfId="1863" xr:uid="{00000000-0005-0000-0000-00007D430000}"/>
    <cellStyle name="Accent1 2 14" xfId="1864" xr:uid="{00000000-0005-0000-0000-00007E430000}"/>
    <cellStyle name="Accent1 2 15" xfId="1865" xr:uid="{00000000-0005-0000-0000-00007F430000}"/>
    <cellStyle name="Accent1 2 16" xfId="1866" xr:uid="{00000000-0005-0000-0000-000080430000}"/>
    <cellStyle name="Accent1 2 2" xfId="1867" xr:uid="{00000000-0005-0000-0000-000081430000}"/>
    <cellStyle name="Accent1 2 2 2" xfId="1868" xr:uid="{00000000-0005-0000-0000-000082430000}"/>
    <cellStyle name="Accent1 2 2 3" xfId="1869" xr:uid="{00000000-0005-0000-0000-000083430000}"/>
    <cellStyle name="Accent1 2 2 4" xfId="1870" xr:uid="{00000000-0005-0000-0000-000084430000}"/>
    <cellStyle name="Accent1 2 2 5" xfId="1871" xr:uid="{00000000-0005-0000-0000-000085430000}"/>
    <cellStyle name="Accent1 2 3" xfId="1872" xr:uid="{00000000-0005-0000-0000-000086430000}"/>
    <cellStyle name="Accent1 2 4" xfId="1873" xr:uid="{00000000-0005-0000-0000-000087430000}"/>
    <cellStyle name="Accent1 2 5" xfId="1874" xr:uid="{00000000-0005-0000-0000-000088430000}"/>
    <cellStyle name="Accent1 2 6" xfId="1875" xr:uid="{00000000-0005-0000-0000-000089430000}"/>
    <cellStyle name="Accent1 2 7" xfId="1876" xr:uid="{00000000-0005-0000-0000-00008A430000}"/>
    <cellStyle name="Accent1 2 8" xfId="1877" xr:uid="{00000000-0005-0000-0000-00008B430000}"/>
    <cellStyle name="Accent1 2 9" xfId="1878" xr:uid="{00000000-0005-0000-0000-00008C430000}"/>
    <cellStyle name="Accent1 20" xfId="1879" xr:uid="{00000000-0005-0000-0000-00008D430000}"/>
    <cellStyle name="Accent1 21" xfId="1880" xr:uid="{00000000-0005-0000-0000-00008E430000}"/>
    <cellStyle name="Accent1 22" xfId="1881" xr:uid="{00000000-0005-0000-0000-00008F430000}"/>
    <cellStyle name="Accent1 3" xfId="1882" xr:uid="{00000000-0005-0000-0000-000090430000}"/>
    <cellStyle name="Accent1 3 2" xfId="1883" xr:uid="{00000000-0005-0000-0000-000091430000}"/>
    <cellStyle name="Accent1 3 3" xfId="1884" xr:uid="{00000000-0005-0000-0000-000092430000}"/>
    <cellStyle name="Accent1 3 4" xfId="1885" xr:uid="{00000000-0005-0000-0000-000093430000}"/>
    <cellStyle name="Accent1 3 5" xfId="1886" xr:uid="{00000000-0005-0000-0000-000094430000}"/>
    <cellStyle name="Accent1 3 6" xfId="1887" xr:uid="{00000000-0005-0000-0000-000095430000}"/>
    <cellStyle name="Accent1 4" xfId="1888" xr:uid="{00000000-0005-0000-0000-000096430000}"/>
    <cellStyle name="Accent1 4 2" xfId="1889" xr:uid="{00000000-0005-0000-0000-000097430000}"/>
    <cellStyle name="Accent1 5" xfId="1890" xr:uid="{00000000-0005-0000-0000-000098430000}"/>
    <cellStyle name="Accent1 5 2" xfId="1891" xr:uid="{00000000-0005-0000-0000-000099430000}"/>
    <cellStyle name="Accent1 6" xfId="1892" xr:uid="{00000000-0005-0000-0000-00009A430000}"/>
    <cellStyle name="Accent1 6 2" xfId="1893" xr:uid="{00000000-0005-0000-0000-00009B430000}"/>
    <cellStyle name="Accent1 7" xfId="1894" xr:uid="{00000000-0005-0000-0000-00009C430000}"/>
    <cellStyle name="Accent1 7 2" xfId="1895" xr:uid="{00000000-0005-0000-0000-00009D430000}"/>
    <cellStyle name="Accent1 8" xfId="1896" xr:uid="{00000000-0005-0000-0000-00009E430000}"/>
    <cellStyle name="Accent1 8 2" xfId="1897" xr:uid="{00000000-0005-0000-0000-00009F430000}"/>
    <cellStyle name="Accent1 9" xfId="1898" xr:uid="{00000000-0005-0000-0000-0000A0430000}"/>
    <cellStyle name="Accent2" xfId="2" builtinId="33"/>
    <cellStyle name="Accent2 10" xfId="1899" xr:uid="{00000000-0005-0000-0000-0000A2430000}"/>
    <cellStyle name="Accent2 11" xfId="1900" xr:uid="{00000000-0005-0000-0000-0000A3430000}"/>
    <cellStyle name="Accent2 12" xfId="1901" xr:uid="{00000000-0005-0000-0000-0000A4430000}"/>
    <cellStyle name="Accent2 13" xfId="1902" xr:uid="{00000000-0005-0000-0000-0000A5430000}"/>
    <cellStyle name="Accent2 2" xfId="1903" xr:uid="{00000000-0005-0000-0000-0000A6430000}"/>
    <cellStyle name="Accent2 2 10" xfId="1904" xr:uid="{00000000-0005-0000-0000-0000A7430000}"/>
    <cellStyle name="Accent2 2 11" xfId="1905" xr:uid="{00000000-0005-0000-0000-0000A8430000}"/>
    <cellStyle name="Accent2 2 12" xfId="1906" xr:uid="{00000000-0005-0000-0000-0000A9430000}"/>
    <cellStyle name="Accent2 2 13" xfId="1907" xr:uid="{00000000-0005-0000-0000-0000AA430000}"/>
    <cellStyle name="Accent2 2 14" xfId="1908" xr:uid="{00000000-0005-0000-0000-0000AB430000}"/>
    <cellStyle name="Accent2 2 15" xfId="1909" xr:uid="{00000000-0005-0000-0000-0000AC430000}"/>
    <cellStyle name="Accent2 2 16" xfId="1910" xr:uid="{00000000-0005-0000-0000-0000AD430000}"/>
    <cellStyle name="Accent2 2 2" xfId="1911" xr:uid="{00000000-0005-0000-0000-0000AE430000}"/>
    <cellStyle name="Accent2 2 2 2" xfId="1912" xr:uid="{00000000-0005-0000-0000-0000AF430000}"/>
    <cellStyle name="Accent2 2 2 3" xfId="1913" xr:uid="{00000000-0005-0000-0000-0000B0430000}"/>
    <cellStyle name="Accent2 2 2 4" xfId="1914" xr:uid="{00000000-0005-0000-0000-0000B1430000}"/>
    <cellStyle name="Accent2 2 2 5" xfId="1915" xr:uid="{00000000-0005-0000-0000-0000B2430000}"/>
    <cellStyle name="Accent2 2 3" xfId="1916" xr:uid="{00000000-0005-0000-0000-0000B3430000}"/>
    <cellStyle name="Accent2 2 4" xfId="1917" xr:uid="{00000000-0005-0000-0000-0000B4430000}"/>
    <cellStyle name="Accent2 2 5" xfId="1918" xr:uid="{00000000-0005-0000-0000-0000B5430000}"/>
    <cellStyle name="Accent2 2 6" xfId="1919" xr:uid="{00000000-0005-0000-0000-0000B6430000}"/>
    <cellStyle name="Accent2 2 7" xfId="1920" xr:uid="{00000000-0005-0000-0000-0000B7430000}"/>
    <cellStyle name="Accent2 2 8" xfId="1921" xr:uid="{00000000-0005-0000-0000-0000B8430000}"/>
    <cellStyle name="Accent2 2 9" xfId="1922" xr:uid="{00000000-0005-0000-0000-0000B9430000}"/>
    <cellStyle name="Accent2 3" xfId="1923" xr:uid="{00000000-0005-0000-0000-0000BA430000}"/>
    <cellStyle name="Accent2 3 2" xfId="1924" xr:uid="{00000000-0005-0000-0000-0000BB430000}"/>
    <cellStyle name="Accent2 3 3" xfId="1925" xr:uid="{00000000-0005-0000-0000-0000BC430000}"/>
    <cellStyle name="Accent2 3 4" xfId="1926" xr:uid="{00000000-0005-0000-0000-0000BD430000}"/>
    <cellStyle name="Accent2 3 5" xfId="1927" xr:uid="{00000000-0005-0000-0000-0000BE430000}"/>
    <cellStyle name="Accent2 3 6" xfId="1928" xr:uid="{00000000-0005-0000-0000-0000BF430000}"/>
    <cellStyle name="Accent2 4" xfId="1929" xr:uid="{00000000-0005-0000-0000-0000C0430000}"/>
    <cellStyle name="Accent2 4 2" xfId="1930" xr:uid="{00000000-0005-0000-0000-0000C1430000}"/>
    <cellStyle name="Accent2 5" xfId="1931" xr:uid="{00000000-0005-0000-0000-0000C2430000}"/>
    <cellStyle name="Accent2 5 2" xfId="1932" xr:uid="{00000000-0005-0000-0000-0000C3430000}"/>
    <cellStyle name="Accent2 6" xfId="1933" xr:uid="{00000000-0005-0000-0000-0000C4430000}"/>
    <cellStyle name="Accent2 6 2" xfId="1934" xr:uid="{00000000-0005-0000-0000-0000C5430000}"/>
    <cellStyle name="Accent2 7" xfId="1935" xr:uid="{00000000-0005-0000-0000-0000C6430000}"/>
    <cellStyle name="Accent2 7 2" xfId="1936" xr:uid="{00000000-0005-0000-0000-0000C7430000}"/>
    <cellStyle name="Accent2 8" xfId="1937" xr:uid="{00000000-0005-0000-0000-0000C8430000}"/>
    <cellStyle name="Accent2 8 2" xfId="1938" xr:uid="{00000000-0005-0000-0000-0000C9430000}"/>
    <cellStyle name="Accent2 9" xfId="1939" xr:uid="{00000000-0005-0000-0000-0000CA430000}"/>
    <cellStyle name="Accent3 10" xfId="1940" xr:uid="{00000000-0005-0000-0000-0000CB430000}"/>
    <cellStyle name="Accent3 11" xfId="1941" xr:uid="{00000000-0005-0000-0000-0000CC430000}"/>
    <cellStyle name="Accent3 12" xfId="1942" xr:uid="{00000000-0005-0000-0000-0000CD430000}"/>
    <cellStyle name="Accent3 13" xfId="1943" xr:uid="{00000000-0005-0000-0000-0000CE430000}"/>
    <cellStyle name="Accent3 2" xfId="1944" xr:uid="{00000000-0005-0000-0000-0000CF430000}"/>
    <cellStyle name="Accent3 2 10" xfId="1945" xr:uid="{00000000-0005-0000-0000-0000D0430000}"/>
    <cellStyle name="Accent3 2 11" xfId="1946" xr:uid="{00000000-0005-0000-0000-0000D1430000}"/>
    <cellStyle name="Accent3 2 12" xfId="1947" xr:uid="{00000000-0005-0000-0000-0000D2430000}"/>
    <cellStyle name="Accent3 2 13" xfId="1948" xr:uid="{00000000-0005-0000-0000-0000D3430000}"/>
    <cellStyle name="Accent3 2 14" xfId="1949" xr:uid="{00000000-0005-0000-0000-0000D4430000}"/>
    <cellStyle name="Accent3 2 15" xfId="1950" xr:uid="{00000000-0005-0000-0000-0000D5430000}"/>
    <cellStyle name="Accent3 2 16" xfId="1951" xr:uid="{00000000-0005-0000-0000-0000D6430000}"/>
    <cellStyle name="Accent3 2 2" xfId="1952" xr:uid="{00000000-0005-0000-0000-0000D7430000}"/>
    <cellStyle name="Accent3 2 2 2" xfId="1953" xr:uid="{00000000-0005-0000-0000-0000D8430000}"/>
    <cellStyle name="Accent3 2 2 3" xfId="1954" xr:uid="{00000000-0005-0000-0000-0000D9430000}"/>
    <cellStyle name="Accent3 2 2 4" xfId="1955" xr:uid="{00000000-0005-0000-0000-0000DA430000}"/>
    <cellStyle name="Accent3 2 2 5" xfId="1956" xr:uid="{00000000-0005-0000-0000-0000DB430000}"/>
    <cellStyle name="Accent3 2 3" xfId="1957" xr:uid="{00000000-0005-0000-0000-0000DC430000}"/>
    <cellStyle name="Accent3 2 4" xfId="1958" xr:uid="{00000000-0005-0000-0000-0000DD430000}"/>
    <cellStyle name="Accent3 2 5" xfId="1959" xr:uid="{00000000-0005-0000-0000-0000DE430000}"/>
    <cellStyle name="Accent3 2 6" xfId="1960" xr:uid="{00000000-0005-0000-0000-0000DF430000}"/>
    <cellStyle name="Accent3 2 7" xfId="1961" xr:uid="{00000000-0005-0000-0000-0000E0430000}"/>
    <cellStyle name="Accent3 2 8" xfId="1962" xr:uid="{00000000-0005-0000-0000-0000E1430000}"/>
    <cellStyle name="Accent3 2 9" xfId="1963" xr:uid="{00000000-0005-0000-0000-0000E2430000}"/>
    <cellStyle name="Accent3 3" xfId="1964" xr:uid="{00000000-0005-0000-0000-0000E3430000}"/>
    <cellStyle name="Accent3 3 2" xfId="1965" xr:uid="{00000000-0005-0000-0000-0000E4430000}"/>
    <cellStyle name="Accent3 3 3" xfId="1966" xr:uid="{00000000-0005-0000-0000-0000E5430000}"/>
    <cellStyle name="Accent3 3 4" xfId="1967" xr:uid="{00000000-0005-0000-0000-0000E6430000}"/>
    <cellStyle name="Accent3 3 5" xfId="1968" xr:uid="{00000000-0005-0000-0000-0000E7430000}"/>
    <cellStyle name="Accent3 3 6" xfId="1969" xr:uid="{00000000-0005-0000-0000-0000E8430000}"/>
    <cellStyle name="Accent3 4" xfId="1970" xr:uid="{00000000-0005-0000-0000-0000E9430000}"/>
    <cellStyle name="Accent3 4 2" xfId="1971" xr:uid="{00000000-0005-0000-0000-0000EA430000}"/>
    <cellStyle name="Accent3 5" xfId="1972" xr:uid="{00000000-0005-0000-0000-0000EB430000}"/>
    <cellStyle name="Accent3 5 2" xfId="1973" xr:uid="{00000000-0005-0000-0000-0000EC430000}"/>
    <cellStyle name="Accent3 6" xfId="1974" xr:uid="{00000000-0005-0000-0000-0000ED430000}"/>
    <cellStyle name="Accent3 6 2" xfId="1975" xr:uid="{00000000-0005-0000-0000-0000EE430000}"/>
    <cellStyle name="Accent3 7" xfId="1976" xr:uid="{00000000-0005-0000-0000-0000EF430000}"/>
    <cellStyle name="Accent3 7 2" xfId="1977" xr:uid="{00000000-0005-0000-0000-0000F0430000}"/>
    <cellStyle name="Accent3 8" xfId="1978" xr:uid="{00000000-0005-0000-0000-0000F1430000}"/>
    <cellStyle name="Accent3 8 2" xfId="1979" xr:uid="{00000000-0005-0000-0000-0000F2430000}"/>
    <cellStyle name="Accent3 9" xfId="1980" xr:uid="{00000000-0005-0000-0000-0000F3430000}"/>
    <cellStyle name="Accent4 10" xfId="1981" xr:uid="{00000000-0005-0000-0000-0000F4430000}"/>
    <cellStyle name="Accent4 11" xfId="1982" xr:uid="{00000000-0005-0000-0000-0000F5430000}"/>
    <cellStyle name="Accent4 12" xfId="1983" xr:uid="{00000000-0005-0000-0000-0000F6430000}"/>
    <cellStyle name="Accent4 13" xfId="1984" xr:uid="{00000000-0005-0000-0000-0000F7430000}"/>
    <cellStyle name="Accent4 14" xfId="1985" xr:uid="{00000000-0005-0000-0000-0000F8430000}"/>
    <cellStyle name="Accent4 15" xfId="1986" xr:uid="{00000000-0005-0000-0000-0000F9430000}"/>
    <cellStyle name="Accent4 16" xfId="1987" xr:uid="{00000000-0005-0000-0000-0000FA430000}"/>
    <cellStyle name="Accent4 17" xfId="1988" xr:uid="{00000000-0005-0000-0000-0000FB430000}"/>
    <cellStyle name="Accent4 18" xfId="1989" xr:uid="{00000000-0005-0000-0000-0000FC430000}"/>
    <cellStyle name="Accent4 19" xfId="1990" xr:uid="{00000000-0005-0000-0000-0000FD430000}"/>
    <cellStyle name="Accent4 2" xfId="1991" xr:uid="{00000000-0005-0000-0000-0000FE430000}"/>
    <cellStyle name="Accent4 2 10" xfId="1992" xr:uid="{00000000-0005-0000-0000-0000FF430000}"/>
    <cellStyle name="Accent4 2 11" xfId="1993" xr:uid="{00000000-0005-0000-0000-000000440000}"/>
    <cellStyle name="Accent4 2 12" xfId="1994" xr:uid="{00000000-0005-0000-0000-000001440000}"/>
    <cellStyle name="Accent4 2 13" xfId="1995" xr:uid="{00000000-0005-0000-0000-000002440000}"/>
    <cellStyle name="Accent4 2 14" xfId="1996" xr:uid="{00000000-0005-0000-0000-000003440000}"/>
    <cellStyle name="Accent4 2 15" xfId="1997" xr:uid="{00000000-0005-0000-0000-000004440000}"/>
    <cellStyle name="Accent4 2 16" xfId="1998" xr:uid="{00000000-0005-0000-0000-000005440000}"/>
    <cellStyle name="Accent4 2 2" xfId="1999" xr:uid="{00000000-0005-0000-0000-000006440000}"/>
    <cellStyle name="Accent4 2 2 2" xfId="2000" xr:uid="{00000000-0005-0000-0000-000007440000}"/>
    <cellStyle name="Accent4 2 2 3" xfId="2001" xr:uid="{00000000-0005-0000-0000-000008440000}"/>
    <cellStyle name="Accent4 2 2 4" xfId="2002" xr:uid="{00000000-0005-0000-0000-000009440000}"/>
    <cellStyle name="Accent4 2 2 5" xfId="2003" xr:uid="{00000000-0005-0000-0000-00000A440000}"/>
    <cellStyle name="Accent4 2 3" xfId="2004" xr:uid="{00000000-0005-0000-0000-00000B440000}"/>
    <cellStyle name="Accent4 2 4" xfId="2005" xr:uid="{00000000-0005-0000-0000-00000C440000}"/>
    <cellStyle name="Accent4 2 5" xfId="2006" xr:uid="{00000000-0005-0000-0000-00000D440000}"/>
    <cellStyle name="Accent4 2 6" xfId="2007" xr:uid="{00000000-0005-0000-0000-00000E440000}"/>
    <cellStyle name="Accent4 2 7" xfId="2008" xr:uid="{00000000-0005-0000-0000-00000F440000}"/>
    <cellStyle name="Accent4 2 8" xfId="2009" xr:uid="{00000000-0005-0000-0000-000010440000}"/>
    <cellStyle name="Accent4 2 9" xfId="2010" xr:uid="{00000000-0005-0000-0000-000011440000}"/>
    <cellStyle name="Accent4 20" xfId="2011" xr:uid="{00000000-0005-0000-0000-000012440000}"/>
    <cellStyle name="Accent4 21" xfId="2012" xr:uid="{00000000-0005-0000-0000-000013440000}"/>
    <cellStyle name="Accent4 22" xfId="2013" xr:uid="{00000000-0005-0000-0000-000014440000}"/>
    <cellStyle name="Accent4 3" xfId="2014" xr:uid="{00000000-0005-0000-0000-000015440000}"/>
    <cellStyle name="Accent4 3 2" xfId="2015" xr:uid="{00000000-0005-0000-0000-000016440000}"/>
    <cellStyle name="Accent4 3 3" xfId="2016" xr:uid="{00000000-0005-0000-0000-000017440000}"/>
    <cellStyle name="Accent4 3 4" xfId="2017" xr:uid="{00000000-0005-0000-0000-000018440000}"/>
    <cellStyle name="Accent4 3 5" xfId="2018" xr:uid="{00000000-0005-0000-0000-000019440000}"/>
    <cellStyle name="Accent4 3 6" xfId="2019" xr:uid="{00000000-0005-0000-0000-00001A440000}"/>
    <cellStyle name="Accent4 4" xfId="2020" xr:uid="{00000000-0005-0000-0000-00001B440000}"/>
    <cellStyle name="Accent4 4 2" xfId="2021" xr:uid="{00000000-0005-0000-0000-00001C440000}"/>
    <cellStyle name="Accent4 5" xfId="2022" xr:uid="{00000000-0005-0000-0000-00001D440000}"/>
    <cellStyle name="Accent4 5 2" xfId="2023" xr:uid="{00000000-0005-0000-0000-00001E440000}"/>
    <cellStyle name="Accent4 6" xfId="2024" xr:uid="{00000000-0005-0000-0000-00001F440000}"/>
    <cellStyle name="Accent4 6 2" xfId="2025" xr:uid="{00000000-0005-0000-0000-000020440000}"/>
    <cellStyle name="Accent4 7" xfId="2026" xr:uid="{00000000-0005-0000-0000-000021440000}"/>
    <cellStyle name="Accent4 7 2" xfId="2027" xr:uid="{00000000-0005-0000-0000-000022440000}"/>
    <cellStyle name="Accent4 8" xfId="2028" xr:uid="{00000000-0005-0000-0000-000023440000}"/>
    <cellStyle name="Accent4 8 2" xfId="2029" xr:uid="{00000000-0005-0000-0000-000024440000}"/>
    <cellStyle name="Accent4 9" xfId="2030" xr:uid="{00000000-0005-0000-0000-000025440000}"/>
    <cellStyle name="Accent5 10" xfId="2031" xr:uid="{00000000-0005-0000-0000-000026440000}"/>
    <cellStyle name="Accent5 11" xfId="2032" xr:uid="{00000000-0005-0000-0000-000027440000}"/>
    <cellStyle name="Accent5 12" xfId="2033" xr:uid="{00000000-0005-0000-0000-000028440000}"/>
    <cellStyle name="Accent5 13" xfId="2034" xr:uid="{00000000-0005-0000-0000-000029440000}"/>
    <cellStyle name="Accent5 2" xfId="2035" xr:uid="{00000000-0005-0000-0000-00002A440000}"/>
    <cellStyle name="Accent5 2 10" xfId="2036" xr:uid="{00000000-0005-0000-0000-00002B440000}"/>
    <cellStyle name="Accent5 2 11" xfId="2037" xr:uid="{00000000-0005-0000-0000-00002C440000}"/>
    <cellStyle name="Accent5 2 12" xfId="2038" xr:uid="{00000000-0005-0000-0000-00002D440000}"/>
    <cellStyle name="Accent5 2 13" xfId="2039" xr:uid="{00000000-0005-0000-0000-00002E440000}"/>
    <cellStyle name="Accent5 2 14" xfId="2040" xr:uid="{00000000-0005-0000-0000-00002F440000}"/>
    <cellStyle name="Accent5 2 15" xfId="2041" xr:uid="{00000000-0005-0000-0000-000030440000}"/>
    <cellStyle name="Accent5 2 16" xfId="2042" xr:uid="{00000000-0005-0000-0000-000031440000}"/>
    <cellStyle name="Accent5 2 2" xfId="2043" xr:uid="{00000000-0005-0000-0000-000032440000}"/>
    <cellStyle name="Accent5 2 2 2" xfId="2044" xr:uid="{00000000-0005-0000-0000-000033440000}"/>
    <cellStyle name="Accent5 2 2 3" xfId="2045" xr:uid="{00000000-0005-0000-0000-000034440000}"/>
    <cellStyle name="Accent5 2 2 4" xfId="2046" xr:uid="{00000000-0005-0000-0000-000035440000}"/>
    <cellStyle name="Accent5 2 2 5" xfId="2047" xr:uid="{00000000-0005-0000-0000-000036440000}"/>
    <cellStyle name="Accent5 2 3" xfId="2048" xr:uid="{00000000-0005-0000-0000-000037440000}"/>
    <cellStyle name="Accent5 2 4" xfId="2049" xr:uid="{00000000-0005-0000-0000-000038440000}"/>
    <cellStyle name="Accent5 2 5" xfId="2050" xr:uid="{00000000-0005-0000-0000-000039440000}"/>
    <cellStyle name="Accent5 2 6" xfId="2051" xr:uid="{00000000-0005-0000-0000-00003A440000}"/>
    <cellStyle name="Accent5 2 7" xfId="2052" xr:uid="{00000000-0005-0000-0000-00003B440000}"/>
    <cellStyle name="Accent5 2 8" xfId="2053" xr:uid="{00000000-0005-0000-0000-00003C440000}"/>
    <cellStyle name="Accent5 2 9" xfId="2054" xr:uid="{00000000-0005-0000-0000-00003D440000}"/>
    <cellStyle name="Accent5 3" xfId="2055" xr:uid="{00000000-0005-0000-0000-00003E440000}"/>
    <cellStyle name="Accent5 3 10" xfId="2056" xr:uid="{00000000-0005-0000-0000-00003F440000}"/>
    <cellStyle name="Accent5 3 2" xfId="2057" xr:uid="{00000000-0005-0000-0000-000040440000}"/>
    <cellStyle name="Accent5 3 2 2" xfId="2058" xr:uid="{00000000-0005-0000-0000-000041440000}"/>
    <cellStyle name="Accent5 3 2 3" xfId="2059" xr:uid="{00000000-0005-0000-0000-000042440000}"/>
    <cellStyle name="Accent5 3 2 4" xfId="2060" xr:uid="{00000000-0005-0000-0000-000043440000}"/>
    <cellStyle name="Accent5 3 2 5" xfId="2061" xr:uid="{00000000-0005-0000-0000-000044440000}"/>
    <cellStyle name="Accent5 3 3" xfId="2062" xr:uid="{00000000-0005-0000-0000-000045440000}"/>
    <cellStyle name="Accent5 3 4" xfId="2063" xr:uid="{00000000-0005-0000-0000-000046440000}"/>
    <cellStyle name="Accent5 3 5" xfId="2064" xr:uid="{00000000-0005-0000-0000-000047440000}"/>
    <cellStyle name="Accent5 3 6" xfId="2065" xr:uid="{00000000-0005-0000-0000-000048440000}"/>
    <cellStyle name="Accent5 3 7" xfId="2066" xr:uid="{00000000-0005-0000-0000-000049440000}"/>
    <cellStyle name="Accent5 3 8" xfId="2067" xr:uid="{00000000-0005-0000-0000-00004A440000}"/>
    <cellStyle name="Accent5 3 9" xfId="2068" xr:uid="{00000000-0005-0000-0000-00004B440000}"/>
    <cellStyle name="Accent5 4" xfId="2069" xr:uid="{00000000-0005-0000-0000-00004C440000}"/>
    <cellStyle name="Accent5 4 2" xfId="2070" xr:uid="{00000000-0005-0000-0000-00004D440000}"/>
    <cellStyle name="Accent5 4 3" xfId="2071" xr:uid="{00000000-0005-0000-0000-00004E440000}"/>
    <cellStyle name="Accent5 4 4" xfId="2072" xr:uid="{00000000-0005-0000-0000-00004F440000}"/>
    <cellStyle name="Accent5 4 5" xfId="2073" xr:uid="{00000000-0005-0000-0000-000050440000}"/>
    <cellStyle name="Accent5 4 6" xfId="2074" xr:uid="{00000000-0005-0000-0000-000051440000}"/>
    <cellStyle name="Accent5 4 7" xfId="2075" xr:uid="{00000000-0005-0000-0000-000052440000}"/>
    <cellStyle name="Accent5 5" xfId="2076" xr:uid="{00000000-0005-0000-0000-000053440000}"/>
    <cellStyle name="Accent5 5 2" xfId="2077" xr:uid="{00000000-0005-0000-0000-000054440000}"/>
    <cellStyle name="Accent5 6" xfId="2078" xr:uid="{00000000-0005-0000-0000-000055440000}"/>
    <cellStyle name="Accent5 6 2" xfId="2079" xr:uid="{00000000-0005-0000-0000-000056440000}"/>
    <cellStyle name="Accent5 7" xfId="2080" xr:uid="{00000000-0005-0000-0000-000057440000}"/>
    <cellStyle name="Accent5 7 2" xfId="2081" xr:uid="{00000000-0005-0000-0000-000058440000}"/>
    <cellStyle name="Accent5 8" xfId="2082" xr:uid="{00000000-0005-0000-0000-000059440000}"/>
    <cellStyle name="Accent5 8 2" xfId="2083" xr:uid="{00000000-0005-0000-0000-00005A440000}"/>
    <cellStyle name="Accent5 9" xfId="2084" xr:uid="{00000000-0005-0000-0000-00005B440000}"/>
    <cellStyle name="Accent6 10" xfId="2085" xr:uid="{00000000-0005-0000-0000-00005C440000}"/>
    <cellStyle name="Accent6 11" xfId="2086" xr:uid="{00000000-0005-0000-0000-00005D440000}"/>
    <cellStyle name="Accent6 12" xfId="2087" xr:uid="{00000000-0005-0000-0000-00005E440000}"/>
    <cellStyle name="Accent6 13" xfId="2088" xr:uid="{00000000-0005-0000-0000-00005F440000}"/>
    <cellStyle name="Accent6 14" xfId="2089" xr:uid="{00000000-0005-0000-0000-000060440000}"/>
    <cellStyle name="Accent6 15" xfId="2090" xr:uid="{00000000-0005-0000-0000-000061440000}"/>
    <cellStyle name="Accent6 16" xfId="2091" xr:uid="{00000000-0005-0000-0000-000062440000}"/>
    <cellStyle name="Accent6 17" xfId="2092" xr:uid="{00000000-0005-0000-0000-000063440000}"/>
    <cellStyle name="Accent6 18" xfId="2093" xr:uid="{00000000-0005-0000-0000-000064440000}"/>
    <cellStyle name="Accent6 19" xfId="2094" xr:uid="{00000000-0005-0000-0000-000065440000}"/>
    <cellStyle name="Accent6 2" xfId="2095" xr:uid="{00000000-0005-0000-0000-000066440000}"/>
    <cellStyle name="Accent6 2 10" xfId="2096" xr:uid="{00000000-0005-0000-0000-000067440000}"/>
    <cellStyle name="Accent6 2 11" xfId="2097" xr:uid="{00000000-0005-0000-0000-000068440000}"/>
    <cellStyle name="Accent6 2 12" xfId="2098" xr:uid="{00000000-0005-0000-0000-000069440000}"/>
    <cellStyle name="Accent6 2 13" xfId="2099" xr:uid="{00000000-0005-0000-0000-00006A440000}"/>
    <cellStyle name="Accent6 2 14" xfId="2100" xr:uid="{00000000-0005-0000-0000-00006B440000}"/>
    <cellStyle name="Accent6 2 15" xfId="2101" xr:uid="{00000000-0005-0000-0000-00006C440000}"/>
    <cellStyle name="Accent6 2 16" xfId="2102" xr:uid="{00000000-0005-0000-0000-00006D440000}"/>
    <cellStyle name="Accent6 2 2" xfId="2103" xr:uid="{00000000-0005-0000-0000-00006E440000}"/>
    <cellStyle name="Accent6 2 2 2" xfId="2104" xr:uid="{00000000-0005-0000-0000-00006F440000}"/>
    <cellStyle name="Accent6 2 2 3" xfId="2105" xr:uid="{00000000-0005-0000-0000-000070440000}"/>
    <cellStyle name="Accent6 2 2 4" xfId="2106" xr:uid="{00000000-0005-0000-0000-000071440000}"/>
    <cellStyle name="Accent6 2 2 5" xfId="2107" xr:uid="{00000000-0005-0000-0000-000072440000}"/>
    <cellStyle name="Accent6 2 3" xfId="2108" xr:uid="{00000000-0005-0000-0000-000073440000}"/>
    <cellStyle name="Accent6 2 4" xfId="2109" xr:uid="{00000000-0005-0000-0000-000074440000}"/>
    <cellStyle name="Accent6 2 5" xfId="2110" xr:uid="{00000000-0005-0000-0000-000075440000}"/>
    <cellStyle name="Accent6 2 6" xfId="2111" xr:uid="{00000000-0005-0000-0000-000076440000}"/>
    <cellStyle name="Accent6 2 7" xfId="2112" xr:uid="{00000000-0005-0000-0000-000077440000}"/>
    <cellStyle name="Accent6 2 8" xfId="2113" xr:uid="{00000000-0005-0000-0000-000078440000}"/>
    <cellStyle name="Accent6 2 9" xfId="2114" xr:uid="{00000000-0005-0000-0000-000079440000}"/>
    <cellStyle name="Accent6 20" xfId="2115" xr:uid="{00000000-0005-0000-0000-00007A440000}"/>
    <cellStyle name="Accent6 21" xfId="2116" xr:uid="{00000000-0005-0000-0000-00007B440000}"/>
    <cellStyle name="Accent6 22" xfId="2117" xr:uid="{00000000-0005-0000-0000-00007C440000}"/>
    <cellStyle name="Accent6 23" xfId="2118" xr:uid="{00000000-0005-0000-0000-00007D440000}"/>
    <cellStyle name="Accent6 3" xfId="2119" xr:uid="{00000000-0005-0000-0000-00007E440000}"/>
    <cellStyle name="Accent6 3 2" xfId="2120" xr:uid="{00000000-0005-0000-0000-00007F440000}"/>
    <cellStyle name="Accent6 3 3" xfId="2121" xr:uid="{00000000-0005-0000-0000-000080440000}"/>
    <cellStyle name="Accent6 3 4" xfId="2122" xr:uid="{00000000-0005-0000-0000-000081440000}"/>
    <cellStyle name="Accent6 3 5" xfId="2123" xr:uid="{00000000-0005-0000-0000-000082440000}"/>
    <cellStyle name="Accent6 3 6" xfId="2124" xr:uid="{00000000-0005-0000-0000-000083440000}"/>
    <cellStyle name="Accent6 4" xfId="2125" xr:uid="{00000000-0005-0000-0000-000084440000}"/>
    <cellStyle name="Accent6 4 2" xfId="2126" xr:uid="{00000000-0005-0000-0000-000085440000}"/>
    <cellStyle name="Accent6 5" xfId="2127" xr:uid="{00000000-0005-0000-0000-000086440000}"/>
    <cellStyle name="Accent6 5 2" xfId="2128" xr:uid="{00000000-0005-0000-0000-000087440000}"/>
    <cellStyle name="Accent6 6" xfId="2129" xr:uid="{00000000-0005-0000-0000-000088440000}"/>
    <cellStyle name="Accent6 6 2" xfId="2130" xr:uid="{00000000-0005-0000-0000-000089440000}"/>
    <cellStyle name="Accent6 7" xfId="2131" xr:uid="{00000000-0005-0000-0000-00008A440000}"/>
    <cellStyle name="Accent6 7 2" xfId="2132" xr:uid="{00000000-0005-0000-0000-00008B440000}"/>
    <cellStyle name="Accent6 8" xfId="2133" xr:uid="{00000000-0005-0000-0000-00008C440000}"/>
    <cellStyle name="Accent6 8 2" xfId="2134" xr:uid="{00000000-0005-0000-0000-00008D440000}"/>
    <cellStyle name="Accent6 9" xfId="2135" xr:uid="{00000000-0005-0000-0000-00008E440000}"/>
    <cellStyle name="Agara" xfId="2136" xr:uid="{00000000-0005-0000-0000-00008F440000}"/>
    <cellStyle name="Akzent1" xfId="3810" xr:uid="{00000000-0005-0000-0000-000090440000}"/>
    <cellStyle name="Akzent2" xfId="3811" xr:uid="{00000000-0005-0000-0000-000091440000}"/>
    <cellStyle name="Akzent3" xfId="3812" xr:uid="{00000000-0005-0000-0000-000092440000}"/>
    <cellStyle name="Akzent4" xfId="3813" xr:uid="{00000000-0005-0000-0000-000093440000}"/>
    <cellStyle name="Akzent5" xfId="3814" xr:uid="{00000000-0005-0000-0000-000094440000}"/>
    <cellStyle name="Akzent6" xfId="3815" xr:uid="{00000000-0005-0000-0000-000095440000}"/>
    <cellStyle name="ArialBold8" xfId="2137" xr:uid="{00000000-0005-0000-0000-000096440000}"/>
    <cellStyle name="ArialNormal8" xfId="2138" xr:uid="{00000000-0005-0000-0000-000097440000}"/>
    <cellStyle name="Ausgabe" xfId="3816" xr:uid="{00000000-0005-0000-0000-000098440000}"/>
    <cellStyle name="Avertissement" xfId="3954" xr:uid="{00000000-0005-0000-0000-000099440000}"/>
    <cellStyle name="Bad 10" xfId="2139" xr:uid="{00000000-0005-0000-0000-00009A440000}"/>
    <cellStyle name="Bad 11" xfId="2140" xr:uid="{00000000-0005-0000-0000-00009B440000}"/>
    <cellStyle name="Bad 12" xfId="2141" xr:uid="{00000000-0005-0000-0000-00009C440000}"/>
    <cellStyle name="Bad 13" xfId="2142" xr:uid="{00000000-0005-0000-0000-00009D440000}"/>
    <cellStyle name="Bad 2" xfId="2143" xr:uid="{00000000-0005-0000-0000-00009E440000}"/>
    <cellStyle name="Bad 2 10" xfId="2144" xr:uid="{00000000-0005-0000-0000-00009F440000}"/>
    <cellStyle name="Bad 2 11" xfId="2145" xr:uid="{00000000-0005-0000-0000-0000A0440000}"/>
    <cellStyle name="Bad 2 12" xfId="2146" xr:uid="{00000000-0005-0000-0000-0000A1440000}"/>
    <cellStyle name="Bad 2 13" xfId="2147" xr:uid="{00000000-0005-0000-0000-0000A2440000}"/>
    <cellStyle name="Bad 2 14" xfId="2148" xr:uid="{00000000-0005-0000-0000-0000A3440000}"/>
    <cellStyle name="Bad 2 15" xfId="2149" xr:uid="{00000000-0005-0000-0000-0000A4440000}"/>
    <cellStyle name="Bad 2 16" xfId="2150" xr:uid="{00000000-0005-0000-0000-0000A5440000}"/>
    <cellStyle name="Bad 2 2" xfId="2151" xr:uid="{00000000-0005-0000-0000-0000A6440000}"/>
    <cellStyle name="Bad 2 2 2" xfId="2152" xr:uid="{00000000-0005-0000-0000-0000A7440000}"/>
    <cellStyle name="Bad 2 2 3" xfId="2153" xr:uid="{00000000-0005-0000-0000-0000A8440000}"/>
    <cellStyle name="Bad 2 2 4" xfId="2154" xr:uid="{00000000-0005-0000-0000-0000A9440000}"/>
    <cellStyle name="Bad 2 2 5" xfId="2155" xr:uid="{00000000-0005-0000-0000-0000AA440000}"/>
    <cellStyle name="Bad 2 3" xfId="2156" xr:uid="{00000000-0005-0000-0000-0000AB440000}"/>
    <cellStyle name="Bad 2 4" xfId="2157" xr:uid="{00000000-0005-0000-0000-0000AC440000}"/>
    <cellStyle name="Bad 2 5" xfId="2158" xr:uid="{00000000-0005-0000-0000-0000AD440000}"/>
    <cellStyle name="Bad 2 6" xfId="2159" xr:uid="{00000000-0005-0000-0000-0000AE440000}"/>
    <cellStyle name="Bad 2 7" xfId="2160" xr:uid="{00000000-0005-0000-0000-0000AF440000}"/>
    <cellStyle name="Bad 2 8" xfId="2161" xr:uid="{00000000-0005-0000-0000-0000B0440000}"/>
    <cellStyle name="Bad 2 9" xfId="2162" xr:uid="{00000000-0005-0000-0000-0000B1440000}"/>
    <cellStyle name="Bad 3" xfId="2163" xr:uid="{00000000-0005-0000-0000-0000B2440000}"/>
    <cellStyle name="Bad 3 2" xfId="2164" xr:uid="{00000000-0005-0000-0000-0000B3440000}"/>
    <cellStyle name="Bad 3 3" xfId="2165" xr:uid="{00000000-0005-0000-0000-0000B4440000}"/>
    <cellStyle name="Bad 3 4" xfId="2166" xr:uid="{00000000-0005-0000-0000-0000B5440000}"/>
    <cellStyle name="Bad 3 5" xfId="2167" xr:uid="{00000000-0005-0000-0000-0000B6440000}"/>
    <cellStyle name="Bad 3 6" xfId="2168" xr:uid="{00000000-0005-0000-0000-0000B7440000}"/>
    <cellStyle name="Bad 4" xfId="2169" xr:uid="{00000000-0005-0000-0000-0000B8440000}"/>
    <cellStyle name="Bad 4 2" xfId="2170" xr:uid="{00000000-0005-0000-0000-0000B9440000}"/>
    <cellStyle name="Bad 5" xfId="2171" xr:uid="{00000000-0005-0000-0000-0000BA440000}"/>
    <cellStyle name="Bad 5 2" xfId="2172" xr:uid="{00000000-0005-0000-0000-0000BB440000}"/>
    <cellStyle name="Bad 6" xfId="2173" xr:uid="{00000000-0005-0000-0000-0000BC440000}"/>
    <cellStyle name="Bad 6 2" xfId="2174" xr:uid="{00000000-0005-0000-0000-0000BD440000}"/>
    <cellStyle name="Bad 7" xfId="2175" xr:uid="{00000000-0005-0000-0000-0000BE440000}"/>
    <cellStyle name="Bad 7 2" xfId="2176" xr:uid="{00000000-0005-0000-0000-0000BF440000}"/>
    <cellStyle name="Bad 8" xfId="2177" xr:uid="{00000000-0005-0000-0000-0000C0440000}"/>
    <cellStyle name="Bad 8 2" xfId="2178" xr:uid="{00000000-0005-0000-0000-0000C1440000}"/>
    <cellStyle name="Bad 9" xfId="2179" xr:uid="{00000000-0005-0000-0000-0000C2440000}"/>
    <cellStyle name="Berechnung" xfId="3817" xr:uid="{00000000-0005-0000-0000-0000C3440000}"/>
    <cellStyle name="Calcul" xfId="3955" xr:uid="{00000000-0005-0000-0000-0000C4440000}"/>
    <cellStyle name="Calculation 10" xfId="2180" xr:uid="{00000000-0005-0000-0000-0000C5440000}"/>
    <cellStyle name="Calculation 11" xfId="2181" xr:uid="{00000000-0005-0000-0000-0000C6440000}"/>
    <cellStyle name="Calculation 12" xfId="2182" xr:uid="{00000000-0005-0000-0000-0000C7440000}"/>
    <cellStyle name="Calculation 13" xfId="2183" xr:uid="{00000000-0005-0000-0000-0000C8440000}"/>
    <cellStyle name="Calculation 14" xfId="2184" xr:uid="{00000000-0005-0000-0000-0000C9440000}"/>
    <cellStyle name="Calculation 15" xfId="2185" xr:uid="{00000000-0005-0000-0000-0000CA440000}"/>
    <cellStyle name="Calculation 16" xfId="2186" xr:uid="{00000000-0005-0000-0000-0000CB440000}"/>
    <cellStyle name="Calculation 17" xfId="2187" xr:uid="{00000000-0005-0000-0000-0000CC440000}"/>
    <cellStyle name="Calculation 18" xfId="2188" xr:uid="{00000000-0005-0000-0000-0000CD440000}"/>
    <cellStyle name="Calculation 19" xfId="2189" xr:uid="{00000000-0005-0000-0000-0000CE440000}"/>
    <cellStyle name="Calculation 2" xfId="2190" xr:uid="{00000000-0005-0000-0000-0000CF440000}"/>
    <cellStyle name="Calculation 2 10" xfId="2191" xr:uid="{00000000-0005-0000-0000-0000D0440000}"/>
    <cellStyle name="Calculation 2 11" xfId="2192" xr:uid="{00000000-0005-0000-0000-0000D1440000}"/>
    <cellStyle name="Calculation 2 12" xfId="2193" xr:uid="{00000000-0005-0000-0000-0000D2440000}"/>
    <cellStyle name="Calculation 2 13" xfId="2194" xr:uid="{00000000-0005-0000-0000-0000D3440000}"/>
    <cellStyle name="Calculation 2 14" xfId="2195" xr:uid="{00000000-0005-0000-0000-0000D4440000}"/>
    <cellStyle name="Calculation 2 15" xfId="2196" xr:uid="{00000000-0005-0000-0000-0000D5440000}"/>
    <cellStyle name="Calculation 2 16" xfId="2197" xr:uid="{00000000-0005-0000-0000-0000D6440000}"/>
    <cellStyle name="Calculation 2 17" xfId="2198" xr:uid="{00000000-0005-0000-0000-0000D7440000}"/>
    <cellStyle name="Calculation 2 18" xfId="2199" xr:uid="{00000000-0005-0000-0000-0000D8440000}"/>
    <cellStyle name="Calculation 2 2" xfId="2200" xr:uid="{00000000-0005-0000-0000-0000D9440000}"/>
    <cellStyle name="Calculation 2 2 2" xfId="2201" xr:uid="{00000000-0005-0000-0000-0000DA440000}"/>
    <cellStyle name="Calculation 2 2 3" xfId="2202" xr:uid="{00000000-0005-0000-0000-0000DB440000}"/>
    <cellStyle name="Calculation 2 2 4" xfId="2203" xr:uid="{00000000-0005-0000-0000-0000DC440000}"/>
    <cellStyle name="Calculation 2 2 5" xfId="2204" xr:uid="{00000000-0005-0000-0000-0000DD440000}"/>
    <cellStyle name="Calculation 2 3" xfId="2205" xr:uid="{00000000-0005-0000-0000-0000DE440000}"/>
    <cellStyle name="Calculation 2 4" xfId="2206" xr:uid="{00000000-0005-0000-0000-0000DF440000}"/>
    <cellStyle name="Calculation 2 5" xfId="2207" xr:uid="{00000000-0005-0000-0000-0000E0440000}"/>
    <cellStyle name="Calculation 2 6" xfId="2208" xr:uid="{00000000-0005-0000-0000-0000E1440000}"/>
    <cellStyle name="Calculation 2 7" xfId="2209" xr:uid="{00000000-0005-0000-0000-0000E2440000}"/>
    <cellStyle name="Calculation 2 8" xfId="2210" xr:uid="{00000000-0005-0000-0000-0000E3440000}"/>
    <cellStyle name="Calculation 2 9" xfId="2211" xr:uid="{00000000-0005-0000-0000-0000E4440000}"/>
    <cellStyle name="Calculation 20" xfId="2212" xr:uid="{00000000-0005-0000-0000-0000E5440000}"/>
    <cellStyle name="Calculation 21" xfId="2213" xr:uid="{00000000-0005-0000-0000-0000E6440000}"/>
    <cellStyle name="Calculation 22" xfId="2214" xr:uid="{00000000-0005-0000-0000-0000E7440000}"/>
    <cellStyle name="Calculation 23" xfId="2215" xr:uid="{00000000-0005-0000-0000-0000E8440000}"/>
    <cellStyle name="Calculation 24" xfId="2216" xr:uid="{00000000-0005-0000-0000-0000E9440000}"/>
    <cellStyle name="Calculation 3" xfId="2217" xr:uid="{00000000-0005-0000-0000-0000EA440000}"/>
    <cellStyle name="Calculation 3 10" xfId="16708" xr:uid="{00000000-0005-0000-0000-0000EB440000}"/>
    <cellStyle name="Calculation 3 11" xfId="16434" xr:uid="{00000000-0005-0000-0000-0000EC440000}"/>
    <cellStyle name="Calculation 3 12" xfId="17069" xr:uid="{00000000-0005-0000-0000-0000ED440000}"/>
    <cellStyle name="Calculation 3 13" xfId="16709" xr:uid="{00000000-0005-0000-0000-0000EE440000}"/>
    <cellStyle name="Calculation 3 14" xfId="16435" xr:uid="{00000000-0005-0000-0000-0000EF440000}"/>
    <cellStyle name="Calculation 3 15" xfId="16980" xr:uid="{00000000-0005-0000-0000-0000F0440000}"/>
    <cellStyle name="Calculation 3 2" xfId="2218" xr:uid="{00000000-0005-0000-0000-0000F1440000}"/>
    <cellStyle name="Calculation 3 2 2" xfId="16804" xr:uid="{00000000-0005-0000-0000-0000F2440000}"/>
    <cellStyle name="Calculation 3 3" xfId="2219" xr:uid="{00000000-0005-0000-0000-0000F3440000}"/>
    <cellStyle name="Calculation 3 3 2" xfId="16532" xr:uid="{00000000-0005-0000-0000-0000F4440000}"/>
    <cellStyle name="Calculation 3 4" xfId="2220" xr:uid="{00000000-0005-0000-0000-0000F5440000}"/>
    <cellStyle name="Calculation 3 4 2" xfId="16250" xr:uid="{00000000-0005-0000-0000-0000F6440000}"/>
    <cellStyle name="Calculation 3 5" xfId="2221" xr:uid="{00000000-0005-0000-0000-0000F7440000}"/>
    <cellStyle name="Calculation 3 5 2" xfId="17154" xr:uid="{00000000-0005-0000-0000-0000F8440000}"/>
    <cellStyle name="Calculation 3 6" xfId="2222" xr:uid="{00000000-0005-0000-0000-0000F9440000}"/>
    <cellStyle name="Calculation 3 6 2" xfId="15747" xr:uid="{00000000-0005-0000-0000-0000FA440000}"/>
    <cellStyle name="Calculation 3 7" xfId="2223" xr:uid="{00000000-0005-0000-0000-0000FB440000}"/>
    <cellStyle name="Calculation 3 7 2" xfId="16886" xr:uid="{00000000-0005-0000-0000-0000FC440000}"/>
    <cellStyle name="Calculation 3 8" xfId="2224" xr:uid="{00000000-0005-0000-0000-0000FD440000}"/>
    <cellStyle name="Calculation 3 8 2" xfId="16611" xr:uid="{00000000-0005-0000-0000-0000FE440000}"/>
    <cellStyle name="Calculation 3 9" xfId="16337" xr:uid="{00000000-0005-0000-0000-0000FF440000}"/>
    <cellStyle name="Calculation 4" xfId="2225" xr:uid="{00000000-0005-0000-0000-000000450000}"/>
    <cellStyle name="Calculation 4 2" xfId="2226" xr:uid="{00000000-0005-0000-0000-000001450000}"/>
    <cellStyle name="Calculation 4 3" xfId="2227" xr:uid="{00000000-0005-0000-0000-000002450000}"/>
    <cellStyle name="Calculation 4 4" xfId="2228" xr:uid="{00000000-0005-0000-0000-000003450000}"/>
    <cellStyle name="Calculation 5" xfId="2229" xr:uid="{00000000-0005-0000-0000-000004450000}"/>
    <cellStyle name="Calculation 5 2" xfId="2230" xr:uid="{00000000-0005-0000-0000-000005450000}"/>
    <cellStyle name="Calculation 5 3" xfId="2231" xr:uid="{00000000-0005-0000-0000-000006450000}"/>
    <cellStyle name="Calculation 5 4" xfId="2232" xr:uid="{00000000-0005-0000-0000-000007450000}"/>
    <cellStyle name="Calculation 6" xfId="2233" xr:uid="{00000000-0005-0000-0000-000008450000}"/>
    <cellStyle name="Calculation 6 2" xfId="2234" xr:uid="{00000000-0005-0000-0000-000009450000}"/>
    <cellStyle name="Calculation 6 3" xfId="2235" xr:uid="{00000000-0005-0000-0000-00000A450000}"/>
    <cellStyle name="Calculation 7" xfId="2236" xr:uid="{00000000-0005-0000-0000-00000B450000}"/>
    <cellStyle name="Calculation 7 2" xfId="2237" xr:uid="{00000000-0005-0000-0000-00000C450000}"/>
    <cellStyle name="Calculation 8" xfId="2238" xr:uid="{00000000-0005-0000-0000-00000D450000}"/>
    <cellStyle name="Calculation 8 2" xfId="2239" xr:uid="{00000000-0005-0000-0000-00000E450000}"/>
    <cellStyle name="Calculation 9" xfId="2240" xr:uid="{00000000-0005-0000-0000-00000F450000}"/>
    <cellStyle name="cComma0" xfId="2241" xr:uid="{00000000-0005-0000-0000-000010450000}"/>
    <cellStyle name="cComma1" xfId="2242" xr:uid="{00000000-0005-0000-0000-000011450000}"/>
    <cellStyle name="cComma2" xfId="2243" xr:uid="{00000000-0005-0000-0000-000012450000}"/>
    <cellStyle name="cDateDM" xfId="2244" xr:uid="{00000000-0005-0000-0000-000013450000}"/>
    <cellStyle name="cDateDMY" xfId="2245" xr:uid="{00000000-0005-0000-0000-000014450000}"/>
    <cellStyle name="cDateMY" xfId="2246" xr:uid="{00000000-0005-0000-0000-000015450000}"/>
    <cellStyle name="cDateT24" xfId="2247" xr:uid="{00000000-0005-0000-0000-000016450000}"/>
    <cellStyle name="Cellule liée" xfId="3956" xr:uid="{00000000-0005-0000-0000-000017450000}"/>
    <cellStyle name="Check Cell 10" xfId="2248" xr:uid="{00000000-0005-0000-0000-000018450000}"/>
    <cellStyle name="Check Cell 11" xfId="2249" xr:uid="{00000000-0005-0000-0000-000019450000}"/>
    <cellStyle name="Check Cell 12" xfId="2250" xr:uid="{00000000-0005-0000-0000-00001A450000}"/>
    <cellStyle name="Check Cell 13" xfId="2251" xr:uid="{00000000-0005-0000-0000-00001B450000}"/>
    <cellStyle name="Check Cell 2" xfId="2252" xr:uid="{00000000-0005-0000-0000-00001C450000}"/>
    <cellStyle name="Check Cell 2 10" xfId="2253" xr:uid="{00000000-0005-0000-0000-00001D450000}"/>
    <cellStyle name="Check Cell 2 11" xfId="2254" xr:uid="{00000000-0005-0000-0000-00001E450000}"/>
    <cellStyle name="Check Cell 2 12" xfId="2255" xr:uid="{00000000-0005-0000-0000-00001F450000}"/>
    <cellStyle name="Check Cell 2 13" xfId="2256" xr:uid="{00000000-0005-0000-0000-000020450000}"/>
    <cellStyle name="Check Cell 2 14" xfId="2257" xr:uid="{00000000-0005-0000-0000-000021450000}"/>
    <cellStyle name="Check Cell 2 15" xfId="2258" xr:uid="{00000000-0005-0000-0000-000022450000}"/>
    <cellStyle name="Check Cell 2 16" xfId="2259" xr:uid="{00000000-0005-0000-0000-000023450000}"/>
    <cellStyle name="Check Cell 2 2" xfId="2260" xr:uid="{00000000-0005-0000-0000-000024450000}"/>
    <cellStyle name="Check Cell 2 2 2" xfId="2261" xr:uid="{00000000-0005-0000-0000-000025450000}"/>
    <cellStyle name="Check Cell 2 2 3" xfId="2262" xr:uid="{00000000-0005-0000-0000-000026450000}"/>
    <cellStyle name="Check Cell 2 2 4" xfId="2263" xr:uid="{00000000-0005-0000-0000-000027450000}"/>
    <cellStyle name="Check Cell 2 2 5" xfId="2264" xr:uid="{00000000-0005-0000-0000-000028450000}"/>
    <cellStyle name="Check Cell 2 3" xfId="2265" xr:uid="{00000000-0005-0000-0000-000029450000}"/>
    <cellStyle name="Check Cell 2 4" xfId="2266" xr:uid="{00000000-0005-0000-0000-00002A450000}"/>
    <cellStyle name="Check Cell 2 5" xfId="2267" xr:uid="{00000000-0005-0000-0000-00002B450000}"/>
    <cellStyle name="Check Cell 2 6" xfId="2268" xr:uid="{00000000-0005-0000-0000-00002C450000}"/>
    <cellStyle name="Check Cell 2 7" xfId="2269" xr:uid="{00000000-0005-0000-0000-00002D450000}"/>
    <cellStyle name="Check Cell 2 8" xfId="2270" xr:uid="{00000000-0005-0000-0000-00002E450000}"/>
    <cellStyle name="Check Cell 2 9" xfId="2271" xr:uid="{00000000-0005-0000-0000-00002F450000}"/>
    <cellStyle name="Check Cell 3" xfId="2272" xr:uid="{00000000-0005-0000-0000-000030450000}"/>
    <cellStyle name="Check Cell 3 10" xfId="2273" xr:uid="{00000000-0005-0000-0000-000031450000}"/>
    <cellStyle name="Check Cell 3 2" xfId="2274" xr:uid="{00000000-0005-0000-0000-000032450000}"/>
    <cellStyle name="Check Cell 3 2 2" xfId="2275" xr:uid="{00000000-0005-0000-0000-000033450000}"/>
    <cellStyle name="Check Cell 3 2 3" xfId="2276" xr:uid="{00000000-0005-0000-0000-000034450000}"/>
    <cellStyle name="Check Cell 3 2 4" xfId="2277" xr:uid="{00000000-0005-0000-0000-000035450000}"/>
    <cellStyle name="Check Cell 3 2 5" xfId="2278" xr:uid="{00000000-0005-0000-0000-000036450000}"/>
    <cellStyle name="Check Cell 3 3" xfId="2279" xr:uid="{00000000-0005-0000-0000-000037450000}"/>
    <cellStyle name="Check Cell 3 4" xfId="2280" xr:uid="{00000000-0005-0000-0000-000038450000}"/>
    <cellStyle name="Check Cell 3 5" xfId="2281" xr:uid="{00000000-0005-0000-0000-000039450000}"/>
    <cellStyle name="Check Cell 3 6" xfId="2282" xr:uid="{00000000-0005-0000-0000-00003A450000}"/>
    <cellStyle name="Check Cell 3 7" xfId="2283" xr:uid="{00000000-0005-0000-0000-00003B450000}"/>
    <cellStyle name="Check Cell 3 8" xfId="2284" xr:uid="{00000000-0005-0000-0000-00003C450000}"/>
    <cellStyle name="Check Cell 3 9" xfId="2285" xr:uid="{00000000-0005-0000-0000-00003D450000}"/>
    <cellStyle name="Check Cell 4" xfId="2286" xr:uid="{00000000-0005-0000-0000-00003E450000}"/>
    <cellStyle name="Check Cell 4 2" xfId="2287" xr:uid="{00000000-0005-0000-0000-00003F450000}"/>
    <cellStyle name="Check Cell 4 3" xfId="2288" xr:uid="{00000000-0005-0000-0000-000040450000}"/>
    <cellStyle name="Check Cell 4 4" xfId="2289" xr:uid="{00000000-0005-0000-0000-000041450000}"/>
    <cellStyle name="Check Cell 4 5" xfId="2290" xr:uid="{00000000-0005-0000-0000-000042450000}"/>
    <cellStyle name="Check Cell 4 6" xfId="2291" xr:uid="{00000000-0005-0000-0000-000043450000}"/>
    <cellStyle name="Check Cell 4 7" xfId="2292" xr:uid="{00000000-0005-0000-0000-000044450000}"/>
    <cellStyle name="Check Cell 5" xfId="2293" xr:uid="{00000000-0005-0000-0000-000045450000}"/>
    <cellStyle name="Check Cell 5 2" xfId="2294" xr:uid="{00000000-0005-0000-0000-000046450000}"/>
    <cellStyle name="Check Cell 6" xfId="2295" xr:uid="{00000000-0005-0000-0000-000047450000}"/>
    <cellStyle name="Check Cell 6 2" xfId="2296" xr:uid="{00000000-0005-0000-0000-000048450000}"/>
    <cellStyle name="Check Cell 7" xfId="2297" xr:uid="{00000000-0005-0000-0000-000049450000}"/>
    <cellStyle name="Check Cell 7 2" xfId="2298" xr:uid="{00000000-0005-0000-0000-00004A450000}"/>
    <cellStyle name="Check Cell 8" xfId="2299" xr:uid="{00000000-0005-0000-0000-00004B450000}"/>
    <cellStyle name="Check Cell 8 2" xfId="2300" xr:uid="{00000000-0005-0000-0000-00004C450000}"/>
    <cellStyle name="Check Cell 9" xfId="2301" xr:uid="{00000000-0005-0000-0000-00004D450000}"/>
    <cellStyle name="Comma 10" xfId="26046" xr:uid="{00000000-0005-0000-0000-00004E450000}"/>
    <cellStyle name="Comma 10 2" xfId="26277" xr:uid="{00000000-0005-0000-0000-00004F450000}"/>
    <cellStyle name="Comma 10 3" xfId="26508" xr:uid="{00000000-0005-0000-0000-000050450000}"/>
    <cellStyle name="Comma 11" xfId="26047" xr:uid="{00000000-0005-0000-0000-000051450000}"/>
    <cellStyle name="Comma 11 2" xfId="26278" xr:uid="{00000000-0005-0000-0000-000052450000}"/>
    <cellStyle name="Comma 11 3" xfId="26509" xr:uid="{00000000-0005-0000-0000-000053450000}"/>
    <cellStyle name="Comma 11 4" xfId="26910" xr:uid="{00000000-0005-0000-0000-000054450000}"/>
    <cellStyle name="Comma 12" xfId="26048" xr:uid="{00000000-0005-0000-0000-000055450000}"/>
    <cellStyle name="Comma 12 2" xfId="26049" xr:uid="{00000000-0005-0000-0000-000056450000}"/>
    <cellStyle name="Comma 12 2 2" xfId="26280" xr:uid="{00000000-0005-0000-0000-000057450000}"/>
    <cellStyle name="Comma 12 2 3" xfId="26511" xr:uid="{00000000-0005-0000-0000-000058450000}"/>
    <cellStyle name="Comma 12 3" xfId="26279" xr:uid="{00000000-0005-0000-0000-000059450000}"/>
    <cellStyle name="Comma 12 4" xfId="26510" xr:uid="{00000000-0005-0000-0000-00005A450000}"/>
    <cellStyle name="Comma 13" xfId="26050" xr:uid="{00000000-0005-0000-0000-00005B450000}"/>
    <cellStyle name="Comma 13 2" xfId="26281" xr:uid="{00000000-0005-0000-0000-00005C450000}"/>
    <cellStyle name="Comma 13 3" xfId="26512" xr:uid="{00000000-0005-0000-0000-00005D450000}"/>
    <cellStyle name="Comma 14" xfId="2302" xr:uid="{00000000-0005-0000-0000-00005E450000}"/>
    <cellStyle name="Comma 15" xfId="2303" xr:uid="{00000000-0005-0000-0000-00005F450000}"/>
    <cellStyle name="Comma 16" xfId="2304" xr:uid="{00000000-0005-0000-0000-000060450000}"/>
    <cellStyle name="Comma 17" xfId="3790" xr:uid="{00000000-0005-0000-0000-000061450000}"/>
    <cellStyle name="Comma 17 2" xfId="8805" xr:uid="{00000000-0005-0000-0000-000062450000}"/>
    <cellStyle name="Comma 17 2 2" xfId="11024" xr:uid="{00000000-0005-0000-0000-000063450000}"/>
    <cellStyle name="Comma 17 2 2 2" xfId="21587" xr:uid="{00000000-0005-0000-0000-000064450000}"/>
    <cellStyle name="Comma 17 2 3" xfId="13243" xr:uid="{00000000-0005-0000-0000-000065450000}"/>
    <cellStyle name="Comma 17 2 3 2" xfId="23806" xr:uid="{00000000-0005-0000-0000-000066450000}"/>
    <cellStyle name="Comma 17 2 4" xfId="15462" xr:uid="{00000000-0005-0000-0000-000067450000}"/>
    <cellStyle name="Comma 17 2 4 2" xfId="26025" xr:uid="{00000000-0005-0000-0000-000068450000}"/>
    <cellStyle name="Comma 17 2 5" xfId="19368" xr:uid="{00000000-0005-0000-0000-000069450000}"/>
    <cellStyle name="Comma 17 3" xfId="8072" xr:uid="{00000000-0005-0000-0000-00006A450000}"/>
    <cellStyle name="Comma 17 3 2" xfId="10291" xr:uid="{00000000-0005-0000-0000-00006B450000}"/>
    <cellStyle name="Comma 17 3 2 2" xfId="20854" xr:uid="{00000000-0005-0000-0000-00006C450000}"/>
    <cellStyle name="Comma 17 3 3" xfId="12510" xr:uid="{00000000-0005-0000-0000-00006D450000}"/>
    <cellStyle name="Comma 17 3 3 2" xfId="23073" xr:uid="{00000000-0005-0000-0000-00006E450000}"/>
    <cellStyle name="Comma 17 3 4" xfId="14729" xr:uid="{00000000-0005-0000-0000-00006F450000}"/>
    <cellStyle name="Comma 17 3 4 2" xfId="25292" xr:uid="{00000000-0005-0000-0000-000070450000}"/>
    <cellStyle name="Comma 17 3 5" xfId="18635" xr:uid="{00000000-0005-0000-0000-000071450000}"/>
    <cellStyle name="Comma 17 4" xfId="9548" xr:uid="{00000000-0005-0000-0000-000072450000}"/>
    <cellStyle name="Comma 17 4 2" xfId="20111" xr:uid="{00000000-0005-0000-0000-000073450000}"/>
    <cellStyle name="Comma 17 5" xfId="11767" xr:uid="{00000000-0005-0000-0000-000074450000}"/>
    <cellStyle name="Comma 17 5 2" xfId="22330" xr:uid="{00000000-0005-0000-0000-000075450000}"/>
    <cellStyle name="Comma 17 6" xfId="13986" xr:uid="{00000000-0005-0000-0000-000076450000}"/>
    <cellStyle name="Comma 17 6 2" xfId="24549" xr:uid="{00000000-0005-0000-0000-000077450000}"/>
    <cellStyle name="Comma 17 7" xfId="17886" xr:uid="{00000000-0005-0000-0000-000078450000}"/>
    <cellStyle name="Comma 18" xfId="27230" xr:uid="{00000000-0005-0000-0000-000079450000}"/>
    <cellStyle name="Comma 19" xfId="27245" xr:uid="{00000000-0005-0000-0000-00007A450000}"/>
    <cellStyle name="Comma 2" xfId="3" xr:uid="{00000000-0005-0000-0000-00007B450000}"/>
    <cellStyle name="Comma 2 10" xfId="26051" xr:uid="{00000000-0005-0000-0000-00007C450000}"/>
    <cellStyle name="Comma 2 10 2" xfId="26282" xr:uid="{00000000-0005-0000-0000-00007D450000}"/>
    <cellStyle name="Comma 2 10 3" xfId="26513" xr:uid="{00000000-0005-0000-0000-00007E450000}"/>
    <cellStyle name="Comma 2 10 4" xfId="26922" xr:uid="{00000000-0005-0000-0000-00007F450000}"/>
    <cellStyle name="Comma 2 11" xfId="26052" xr:uid="{00000000-0005-0000-0000-000080450000}"/>
    <cellStyle name="Comma 2 11 2" xfId="26283" xr:uid="{00000000-0005-0000-0000-000081450000}"/>
    <cellStyle name="Comma 2 11 3" xfId="26514" xr:uid="{00000000-0005-0000-0000-000082450000}"/>
    <cellStyle name="Comma 2 12" xfId="26053" xr:uid="{00000000-0005-0000-0000-000083450000}"/>
    <cellStyle name="Comma 2 12 2" xfId="26284" xr:uid="{00000000-0005-0000-0000-000084450000}"/>
    <cellStyle name="Comma 2 12 3" xfId="26515" xr:uid="{00000000-0005-0000-0000-000085450000}"/>
    <cellStyle name="Comma 2 13" xfId="26054" xr:uid="{00000000-0005-0000-0000-000086450000}"/>
    <cellStyle name="Comma 2 13 2" xfId="26285" xr:uid="{00000000-0005-0000-0000-000087450000}"/>
    <cellStyle name="Comma 2 13 3" xfId="26516" xr:uid="{00000000-0005-0000-0000-000088450000}"/>
    <cellStyle name="Comma 2 14" xfId="26055" xr:uid="{00000000-0005-0000-0000-000089450000}"/>
    <cellStyle name="Comma 2 14 2" xfId="26286" xr:uid="{00000000-0005-0000-0000-00008A450000}"/>
    <cellStyle name="Comma 2 14 3" xfId="26517" xr:uid="{00000000-0005-0000-0000-00008B450000}"/>
    <cellStyle name="Comma 2 15" xfId="26056" xr:uid="{00000000-0005-0000-0000-00008C450000}"/>
    <cellStyle name="Comma 2 15 2" xfId="26287" xr:uid="{00000000-0005-0000-0000-00008D450000}"/>
    <cellStyle name="Comma 2 15 3" xfId="26518" xr:uid="{00000000-0005-0000-0000-00008E450000}"/>
    <cellStyle name="Comma 2 16" xfId="26057" xr:uid="{00000000-0005-0000-0000-00008F450000}"/>
    <cellStyle name="Comma 2 16 2" xfId="26288" xr:uid="{00000000-0005-0000-0000-000090450000}"/>
    <cellStyle name="Comma 2 16 3" xfId="26519" xr:uid="{00000000-0005-0000-0000-000091450000}"/>
    <cellStyle name="Comma 2 17" xfId="26058" xr:uid="{00000000-0005-0000-0000-000092450000}"/>
    <cellStyle name="Comma 2 17 2" xfId="26289" xr:uid="{00000000-0005-0000-0000-000093450000}"/>
    <cellStyle name="Comma 2 17 3" xfId="26520" xr:uid="{00000000-0005-0000-0000-000094450000}"/>
    <cellStyle name="Comma 2 18" xfId="26059" xr:uid="{00000000-0005-0000-0000-000095450000}"/>
    <cellStyle name="Comma 2 18 2" xfId="26290" xr:uid="{00000000-0005-0000-0000-000096450000}"/>
    <cellStyle name="Comma 2 18 3" xfId="26521" xr:uid="{00000000-0005-0000-0000-000097450000}"/>
    <cellStyle name="Comma 2 19" xfId="26060" xr:uid="{00000000-0005-0000-0000-000098450000}"/>
    <cellStyle name="Comma 2 19 2" xfId="26291" xr:uid="{00000000-0005-0000-0000-000099450000}"/>
    <cellStyle name="Comma 2 19 3" xfId="26522" xr:uid="{00000000-0005-0000-0000-00009A450000}"/>
    <cellStyle name="Comma 2 2" xfId="32" xr:uid="{00000000-0005-0000-0000-00009B450000}"/>
    <cellStyle name="Comma 2 2 10" xfId="26760" xr:uid="{00000000-0005-0000-0000-00009C450000}"/>
    <cellStyle name="Comma 2 2 2" xfId="42" xr:uid="{00000000-0005-0000-0000-00009D450000}"/>
    <cellStyle name="Comma 2 2 2 2" xfId="27061" xr:uid="{00000000-0005-0000-0000-00009E450000}"/>
    <cellStyle name="Comma 2 2 2 2 2" xfId="27188" xr:uid="{00000000-0005-0000-0000-00009F450000}"/>
    <cellStyle name="Comma 2 2 2 3" xfId="27010" xr:uid="{00000000-0005-0000-0000-0000A0450000}"/>
    <cellStyle name="Comma 2 2 2 3 2" xfId="26749" xr:uid="{00000000-0005-0000-0000-0000A1450000}"/>
    <cellStyle name="Comma 2 2 2 4" xfId="27053" xr:uid="{00000000-0005-0000-0000-0000A2450000}"/>
    <cellStyle name="Comma 2 2 2 5" xfId="27001" xr:uid="{00000000-0005-0000-0000-0000A3450000}"/>
    <cellStyle name="Comma 2 2 2 6" xfId="27198" xr:uid="{00000000-0005-0000-0000-0000A4450000}"/>
    <cellStyle name="Comma 2 2 3" xfId="26061" xr:uid="{00000000-0005-0000-0000-0000A5450000}"/>
    <cellStyle name="Comma 2 2 3 2" xfId="26292" xr:uid="{00000000-0005-0000-0000-0000A6450000}"/>
    <cellStyle name="Comma 2 2 3 3" xfId="26523" xr:uid="{00000000-0005-0000-0000-0000A7450000}"/>
    <cellStyle name="Comma 2 2 4" xfId="26062" xr:uid="{00000000-0005-0000-0000-0000A8450000}"/>
    <cellStyle name="Comma 2 2 4 2" xfId="26293" xr:uid="{00000000-0005-0000-0000-0000A9450000}"/>
    <cellStyle name="Comma 2 2 4 3" xfId="26524" xr:uid="{00000000-0005-0000-0000-0000AA450000}"/>
    <cellStyle name="Comma 2 2 5" xfId="26063" xr:uid="{00000000-0005-0000-0000-0000AB450000}"/>
    <cellStyle name="Comma 2 2 5 2" xfId="26294" xr:uid="{00000000-0005-0000-0000-0000AC450000}"/>
    <cellStyle name="Comma 2 2 5 3" xfId="26525" xr:uid="{00000000-0005-0000-0000-0000AD450000}"/>
    <cellStyle name="Comma 2 2 6" xfId="26064" xr:uid="{00000000-0005-0000-0000-0000AE450000}"/>
    <cellStyle name="Comma 2 2 6 2" xfId="26295" xr:uid="{00000000-0005-0000-0000-0000AF450000}"/>
    <cellStyle name="Comma 2 2 6 3" xfId="26526" xr:uid="{00000000-0005-0000-0000-0000B0450000}"/>
    <cellStyle name="Comma 2 2 7" xfId="27203" xr:uid="{00000000-0005-0000-0000-0000B1450000}"/>
    <cellStyle name="Comma 2 2 7 2" xfId="27026" xr:uid="{00000000-0005-0000-0000-0000B2450000}"/>
    <cellStyle name="Comma 2 2 8" xfId="27071" xr:uid="{00000000-0005-0000-0000-0000B3450000}"/>
    <cellStyle name="Comma 2 2 9" xfId="26916" xr:uid="{00000000-0005-0000-0000-0000B4450000}"/>
    <cellStyle name="Comma 2 2_HistoricResComp" xfId="2305" xr:uid="{00000000-0005-0000-0000-0000B5450000}"/>
    <cellStyle name="Comma 2 20" xfId="26065" xr:uid="{00000000-0005-0000-0000-0000B6450000}"/>
    <cellStyle name="Comma 2 20 2" xfId="26296" xr:uid="{00000000-0005-0000-0000-0000B7450000}"/>
    <cellStyle name="Comma 2 20 3" xfId="26527" xr:uid="{00000000-0005-0000-0000-0000B8450000}"/>
    <cellStyle name="Comma 2 21" xfId="41" xr:uid="{00000000-0005-0000-0000-0000B9450000}"/>
    <cellStyle name="Comma 2 22" xfId="3931" xr:uid="{00000000-0005-0000-0000-0000BA450000}"/>
    <cellStyle name="Comma 2 23" xfId="8079" xr:uid="{00000000-0005-0000-0000-0000BB450000}"/>
    <cellStyle name="Comma 2 23 2" xfId="10298" xr:uid="{00000000-0005-0000-0000-0000BC450000}"/>
    <cellStyle name="Comma 2 23 2 2" xfId="20861" xr:uid="{00000000-0005-0000-0000-0000BD450000}"/>
    <cellStyle name="Comma 2 23 3" xfId="12517" xr:uid="{00000000-0005-0000-0000-0000BE450000}"/>
    <cellStyle name="Comma 2 23 3 2" xfId="23080" xr:uid="{00000000-0005-0000-0000-0000BF450000}"/>
    <cellStyle name="Comma 2 23 4" xfId="14736" xr:uid="{00000000-0005-0000-0000-0000C0450000}"/>
    <cellStyle name="Comma 2 23 4 2" xfId="25299" xr:uid="{00000000-0005-0000-0000-0000C1450000}"/>
    <cellStyle name="Comma 2 23 5" xfId="18642" xr:uid="{00000000-0005-0000-0000-0000C2450000}"/>
    <cellStyle name="Comma 2 24" xfId="7346" xr:uid="{00000000-0005-0000-0000-0000C3450000}"/>
    <cellStyle name="Comma 2 24 2" xfId="9565" xr:uid="{00000000-0005-0000-0000-0000C4450000}"/>
    <cellStyle name="Comma 2 24 2 2" xfId="20128" xr:uid="{00000000-0005-0000-0000-0000C5450000}"/>
    <cellStyle name="Comma 2 24 3" xfId="11784" xr:uid="{00000000-0005-0000-0000-0000C6450000}"/>
    <cellStyle name="Comma 2 24 3 2" xfId="22347" xr:uid="{00000000-0005-0000-0000-0000C7450000}"/>
    <cellStyle name="Comma 2 24 4" xfId="14003" xr:uid="{00000000-0005-0000-0000-0000C8450000}"/>
    <cellStyle name="Comma 2 24 4 2" xfId="24566" xr:uid="{00000000-0005-0000-0000-0000C9450000}"/>
    <cellStyle name="Comma 2 24 5" xfId="17909" xr:uid="{00000000-0005-0000-0000-0000CA450000}"/>
    <cellStyle name="Comma 2 25" xfId="8822" xr:uid="{00000000-0005-0000-0000-0000CB450000}"/>
    <cellStyle name="Comma 2 25 2" xfId="19385" xr:uid="{00000000-0005-0000-0000-0000CC450000}"/>
    <cellStyle name="Comma 2 26" xfId="11041" xr:uid="{00000000-0005-0000-0000-0000CD450000}"/>
    <cellStyle name="Comma 2 26 2" xfId="21604" xr:uid="{00000000-0005-0000-0000-0000CE450000}"/>
    <cellStyle name="Comma 2 27" xfId="13260" xr:uid="{00000000-0005-0000-0000-0000CF450000}"/>
    <cellStyle name="Comma 2 27 2" xfId="23823" xr:uid="{00000000-0005-0000-0000-0000D0450000}"/>
    <cellStyle name="Comma 2 28" xfId="17160" xr:uid="{00000000-0005-0000-0000-0000D1450000}"/>
    <cellStyle name="Comma 2 29" xfId="27231" xr:uid="{00000000-0005-0000-0000-0000D2450000}"/>
    <cellStyle name="Comma 2 3" xfId="43" xr:uid="{00000000-0005-0000-0000-0000D3450000}"/>
    <cellStyle name="Comma 2 3 2" xfId="26066" xr:uid="{00000000-0005-0000-0000-0000D4450000}"/>
    <cellStyle name="Comma 2 3 2 2" xfId="26297" xr:uid="{00000000-0005-0000-0000-0000D5450000}"/>
    <cellStyle name="Comma 2 3 2 2 2" xfId="27111" xr:uid="{00000000-0005-0000-0000-0000D6450000}"/>
    <cellStyle name="Comma 2 3 2 3" xfId="26528" xr:uid="{00000000-0005-0000-0000-0000D7450000}"/>
    <cellStyle name="Comma 2 3 2 3 2" xfId="27147" xr:uid="{00000000-0005-0000-0000-0000D8450000}"/>
    <cellStyle name="Comma 2 3 2 4" xfId="27140" xr:uid="{00000000-0005-0000-0000-0000D9450000}"/>
    <cellStyle name="Comma 2 3 2 5" xfId="26906" xr:uid="{00000000-0005-0000-0000-0000DA450000}"/>
    <cellStyle name="Comma 2 3 3" xfId="26067" xr:uid="{00000000-0005-0000-0000-0000DB450000}"/>
    <cellStyle name="Comma 2 3 3 2" xfId="26298" xr:uid="{00000000-0005-0000-0000-0000DC450000}"/>
    <cellStyle name="Comma 2 3 3 3" xfId="26529" xr:uid="{00000000-0005-0000-0000-0000DD450000}"/>
    <cellStyle name="Comma 2 3 4" xfId="26068" xr:uid="{00000000-0005-0000-0000-0000DE450000}"/>
    <cellStyle name="Comma 2 3 4 2" xfId="26299" xr:uid="{00000000-0005-0000-0000-0000DF450000}"/>
    <cellStyle name="Comma 2 3 4 3" xfId="26530" xr:uid="{00000000-0005-0000-0000-0000E0450000}"/>
    <cellStyle name="Comma 2 3 5" xfId="26069" xr:uid="{00000000-0005-0000-0000-0000E1450000}"/>
    <cellStyle name="Comma 2 3 5 2" xfId="26300" xr:uid="{00000000-0005-0000-0000-0000E2450000}"/>
    <cellStyle name="Comma 2 3 5 3" xfId="26531" xr:uid="{00000000-0005-0000-0000-0000E3450000}"/>
    <cellStyle name="Comma 2 3 6" xfId="26070" xr:uid="{00000000-0005-0000-0000-0000E4450000}"/>
    <cellStyle name="Comma 2 3 6 2" xfId="26301" xr:uid="{00000000-0005-0000-0000-0000E5450000}"/>
    <cellStyle name="Comma 2 3 6 3" xfId="26532" xr:uid="{00000000-0005-0000-0000-0000E6450000}"/>
    <cellStyle name="Comma 2 3 7" xfId="27168" xr:uid="{00000000-0005-0000-0000-0000E7450000}"/>
    <cellStyle name="Comma 2 3 7 2" xfId="27186" xr:uid="{00000000-0005-0000-0000-0000E8450000}"/>
    <cellStyle name="Comma 2 3 8" xfId="27027" xr:uid="{00000000-0005-0000-0000-0000E9450000}"/>
    <cellStyle name="Comma 2 3 9" xfId="27045" xr:uid="{00000000-0005-0000-0000-0000EA450000}"/>
    <cellStyle name="Comma 2 30" xfId="27236" xr:uid="{00000000-0005-0000-0000-0000EB450000}"/>
    <cellStyle name="Comma 2 31" xfId="27240" xr:uid="{00000000-0005-0000-0000-0000EC450000}"/>
    <cellStyle name="Comma 2 4" xfId="44" xr:uid="{00000000-0005-0000-0000-0000ED450000}"/>
    <cellStyle name="Comma 2 4 2" xfId="26751" xr:uid="{00000000-0005-0000-0000-0000EE450000}"/>
    <cellStyle name="Comma 2 4 2 2" xfId="27139" xr:uid="{00000000-0005-0000-0000-0000EF450000}"/>
    <cellStyle name="Comma 2 4 3" xfId="26754" xr:uid="{00000000-0005-0000-0000-0000F0450000}"/>
    <cellStyle name="Comma 2 4 3 2" xfId="27153" xr:uid="{00000000-0005-0000-0000-0000F1450000}"/>
    <cellStyle name="Comma 2 4 4" xfId="27100" xr:uid="{00000000-0005-0000-0000-0000F2450000}"/>
    <cellStyle name="Comma 2 4 5" xfId="27081" xr:uid="{00000000-0005-0000-0000-0000F3450000}"/>
    <cellStyle name="Comma 2 5" xfId="45" xr:uid="{00000000-0005-0000-0000-0000F4450000}"/>
    <cellStyle name="Comma 2 5 2" xfId="27032" xr:uid="{00000000-0005-0000-0000-0000F5450000}"/>
    <cellStyle name="Comma 2 5 3" xfId="26965" xr:uid="{00000000-0005-0000-0000-0000F6450000}"/>
    <cellStyle name="Comma 2 6" xfId="46" xr:uid="{00000000-0005-0000-0000-0000F7450000}"/>
    <cellStyle name="Comma 2 6 2" xfId="27046" xr:uid="{00000000-0005-0000-0000-0000F8450000}"/>
    <cellStyle name="Comma 2 6 3" xfId="27146" xr:uid="{00000000-0005-0000-0000-0000F9450000}"/>
    <cellStyle name="Comma 2 7" xfId="26071" xr:uid="{00000000-0005-0000-0000-0000FA450000}"/>
    <cellStyle name="Comma 2 7 2" xfId="26302" xr:uid="{00000000-0005-0000-0000-0000FB450000}"/>
    <cellStyle name="Comma 2 7 3" xfId="26533" xr:uid="{00000000-0005-0000-0000-0000FC450000}"/>
    <cellStyle name="Comma 2 8" xfId="26072" xr:uid="{00000000-0005-0000-0000-0000FD450000}"/>
    <cellStyle name="Comma 2 8 2" xfId="26303" xr:uid="{00000000-0005-0000-0000-0000FE450000}"/>
    <cellStyle name="Comma 2 8 3" xfId="26534" xr:uid="{00000000-0005-0000-0000-0000FF450000}"/>
    <cellStyle name="Comma 2 9" xfId="26073" xr:uid="{00000000-0005-0000-0000-000000460000}"/>
    <cellStyle name="Comma 2 9 2" xfId="26304" xr:uid="{00000000-0005-0000-0000-000001460000}"/>
    <cellStyle name="Comma 2 9 3" xfId="26535" xr:uid="{00000000-0005-0000-0000-000002460000}"/>
    <cellStyle name="Comma 2_HistoricResComp" xfId="2306" xr:uid="{00000000-0005-0000-0000-000003460000}"/>
    <cellStyle name="Comma 3" xfId="26044" xr:uid="{00000000-0005-0000-0000-000004460000}"/>
    <cellStyle name="Comma 3 10" xfId="26074" xr:uid="{00000000-0005-0000-0000-000005460000}"/>
    <cellStyle name="Comma 3 10 2" xfId="26305" xr:uid="{00000000-0005-0000-0000-000006460000}"/>
    <cellStyle name="Comma 3 10 3" xfId="26536" xr:uid="{00000000-0005-0000-0000-000007460000}"/>
    <cellStyle name="Comma 3 11" xfId="26075" xr:uid="{00000000-0005-0000-0000-000008460000}"/>
    <cellStyle name="Comma 3 11 2" xfId="26306" xr:uid="{00000000-0005-0000-0000-000009460000}"/>
    <cellStyle name="Comma 3 11 3" xfId="26537" xr:uid="{00000000-0005-0000-0000-00000A460000}"/>
    <cellStyle name="Comma 3 12" xfId="26076" xr:uid="{00000000-0005-0000-0000-00000B460000}"/>
    <cellStyle name="Comma 3 12 2" xfId="26307" xr:uid="{00000000-0005-0000-0000-00000C460000}"/>
    <cellStyle name="Comma 3 12 3" xfId="26538" xr:uid="{00000000-0005-0000-0000-00000D460000}"/>
    <cellStyle name="Comma 3 13" xfId="26077" xr:uid="{00000000-0005-0000-0000-00000E460000}"/>
    <cellStyle name="Comma 3 13 2" xfId="26308" xr:uid="{00000000-0005-0000-0000-00000F460000}"/>
    <cellStyle name="Comma 3 13 3" xfId="26539" xr:uid="{00000000-0005-0000-0000-000010460000}"/>
    <cellStyle name="Comma 3 14" xfId="26078" xr:uid="{00000000-0005-0000-0000-000011460000}"/>
    <cellStyle name="Comma 3 14 2" xfId="26309" xr:uid="{00000000-0005-0000-0000-000012460000}"/>
    <cellStyle name="Comma 3 14 3" xfId="26540" xr:uid="{00000000-0005-0000-0000-000013460000}"/>
    <cellStyle name="Comma 3 15" xfId="26079" xr:uid="{00000000-0005-0000-0000-000014460000}"/>
    <cellStyle name="Comma 3 15 2" xfId="26310" xr:uid="{00000000-0005-0000-0000-000015460000}"/>
    <cellStyle name="Comma 3 15 3" xfId="26541" xr:uid="{00000000-0005-0000-0000-000016460000}"/>
    <cellStyle name="Comma 3 16" xfId="26080" xr:uid="{00000000-0005-0000-0000-000017460000}"/>
    <cellStyle name="Comma 3 16 2" xfId="26311" xr:uid="{00000000-0005-0000-0000-000018460000}"/>
    <cellStyle name="Comma 3 16 3" xfId="26542" xr:uid="{00000000-0005-0000-0000-000019460000}"/>
    <cellStyle name="Comma 3 17" xfId="26081" xr:uid="{00000000-0005-0000-0000-00001A460000}"/>
    <cellStyle name="Comma 3 17 2" xfId="26312" xr:uid="{00000000-0005-0000-0000-00001B460000}"/>
    <cellStyle name="Comma 3 17 3" xfId="26543" xr:uid="{00000000-0005-0000-0000-00001C460000}"/>
    <cellStyle name="Comma 3 18" xfId="26082" xr:uid="{00000000-0005-0000-0000-00001D460000}"/>
    <cellStyle name="Comma 3 18 2" xfId="26313" xr:uid="{00000000-0005-0000-0000-00001E460000}"/>
    <cellStyle name="Comma 3 18 3" xfId="26544" xr:uid="{00000000-0005-0000-0000-00001F460000}"/>
    <cellStyle name="Comma 3 19" xfId="47" xr:uid="{00000000-0005-0000-0000-000020460000}"/>
    <cellStyle name="Comma 3 2" xfId="48" xr:uid="{00000000-0005-0000-0000-000021460000}"/>
    <cellStyle name="Comma 3 2 10" xfId="27150" xr:uid="{00000000-0005-0000-0000-000022460000}"/>
    <cellStyle name="Comma 3 2 2" xfId="26083" xr:uid="{00000000-0005-0000-0000-000023460000}"/>
    <cellStyle name="Comma 3 2 2 2" xfId="26194" xr:uid="{00000000-0005-0000-0000-000024460000}"/>
    <cellStyle name="Comma 3 2 2 2 2" xfId="26425" xr:uid="{00000000-0005-0000-0000-000025460000}"/>
    <cellStyle name="Comma 3 2 2 2 3" xfId="26656" xr:uid="{00000000-0005-0000-0000-000026460000}"/>
    <cellStyle name="Comma 3 2 2 3" xfId="26195" xr:uid="{00000000-0005-0000-0000-000027460000}"/>
    <cellStyle name="Comma 3 2 2 3 2" xfId="26426" xr:uid="{00000000-0005-0000-0000-000028460000}"/>
    <cellStyle name="Comma 3 2 2 3 3" xfId="26657" xr:uid="{00000000-0005-0000-0000-000029460000}"/>
    <cellStyle name="Comma 3 2 2 4" xfId="26314" xr:uid="{00000000-0005-0000-0000-00002A460000}"/>
    <cellStyle name="Comma 3 2 2 4 2" xfId="27020" xr:uid="{00000000-0005-0000-0000-00002B460000}"/>
    <cellStyle name="Comma 3 2 2 5" xfId="26545" xr:uid="{00000000-0005-0000-0000-00002C460000}"/>
    <cellStyle name="Comma 3 2 2 6" xfId="27067" xr:uid="{00000000-0005-0000-0000-00002D460000}"/>
    <cellStyle name="Comma 3 2 3" xfId="26084" xr:uid="{00000000-0005-0000-0000-00002E460000}"/>
    <cellStyle name="Comma 3 2 3 2" xfId="26196" xr:uid="{00000000-0005-0000-0000-00002F460000}"/>
    <cellStyle name="Comma 3 2 3 2 2" xfId="26197" xr:uid="{00000000-0005-0000-0000-000030460000}"/>
    <cellStyle name="Comma 3 2 3 2 2 2" xfId="26428" xr:uid="{00000000-0005-0000-0000-000031460000}"/>
    <cellStyle name="Comma 3 2 3 2 2 3" xfId="26659" xr:uid="{00000000-0005-0000-0000-000032460000}"/>
    <cellStyle name="Comma 3 2 3 2 3" xfId="26427" xr:uid="{00000000-0005-0000-0000-000033460000}"/>
    <cellStyle name="Comma 3 2 3 2 3 2" xfId="26900" xr:uid="{00000000-0005-0000-0000-000034460000}"/>
    <cellStyle name="Comma 3 2 3 2 4" xfId="26658" xr:uid="{00000000-0005-0000-0000-000035460000}"/>
    <cellStyle name="Comma 3 2 3 2 4 2" xfId="26743" xr:uid="{00000000-0005-0000-0000-000036460000}"/>
    <cellStyle name="Comma 3 2 3 2 5" xfId="27173" xr:uid="{00000000-0005-0000-0000-000037460000}"/>
    <cellStyle name="Comma 3 2 3 2 6" xfId="27049" xr:uid="{00000000-0005-0000-0000-000038460000}"/>
    <cellStyle name="Comma 3 2 3 3" xfId="26198" xr:uid="{00000000-0005-0000-0000-000039460000}"/>
    <cellStyle name="Comma 3 2 3 3 2" xfId="26199" xr:uid="{00000000-0005-0000-0000-00003A460000}"/>
    <cellStyle name="Comma 3 2 3 3 2 2" xfId="26430" xr:uid="{00000000-0005-0000-0000-00003B460000}"/>
    <cellStyle name="Comma 3 2 3 3 2 3" xfId="26661" xr:uid="{00000000-0005-0000-0000-00003C460000}"/>
    <cellStyle name="Comma 3 2 3 3 3" xfId="26200" xr:uid="{00000000-0005-0000-0000-00003D460000}"/>
    <cellStyle name="Comma 3 2 3 3 3 2" xfId="26431" xr:uid="{00000000-0005-0000-0000-00003E460000}"/>
    <cellStyle name="Comma 3 2 3 3 3 3" xfId="26662" xr:uid="{00000000-0005-0000-0000-00003F460000}"/>
    <cellStyle name="Comma 3 2 3 3 4" xfId="26429" xr:uid="{00000000-0005-0000-0000-000040460000}"/>
    <cellStyle name="Comma 3 2 3 3 4 2" xfId="27079" xr:uid="{00000000-0005-0000-0000-000041460000}"/>
    <cellStyle name="Comma 3 2 3 3 5" xfId="26660" xr:uid="{00000000-0005-0000-0000-000042460000}"/>
    <cellStyle name="Comma 3 2 3 3 6" xfId="26901" xr:uid="{00000000-0005-0000-0000-000043460000}"/>
    <cellStyle name="Comma 3 2 3 4" xfId="26201" xr:uid="{00000000-0005-0000-0000-000044460000}"/>
    <cellStyle name="Comma 3 2 3 4 2" xfId="26202" xr:uid="{00000000-0005-0000-0000-000045460000}"/>
    <cellStyle name="Comma 3 2 3 4 2 2" xfId="26433" xr:uid="{00000000-0005-0000-0000-000046460000}"/>
    <cellStyle name="Comma 3 2 3 4 2 3" xfId="26664" xr:uid="{00000000-0005-0000-0000-000047460000}"/>
    <cellStyle name="Comma 3 2 3 4 3" xfId="26432" xr:uid="{00000000-0005-0000-0000-000048460000}"/>
    <cellStyle name="Comma 3 2 3 4 3 2" xfId="27037" xr:uid="{00000000-0005-0000-0000-000049460000}"/>
    <cellStyle name="Comma 3 2 3 4 4" xfId="26663" xr:uid="{00000000-0005-0000-0000-00004A460000}"/>
    <cellStyle name="Comma 3 2 3 4 5" xfId="27060" xr:uid="{00000000-0005-0000-0000-00004B460000}"/>
    <cellStyle name="Comma 3 2 3 5" xfId="26203" xr:uid="{00000000-0005-0000-0000-00004C460000}"/>
    <cellStyle name="Comma 3 2 3 5 2" xfId="26434" xr:uid="{00000000-0005-0000-0000-00004D460000}"/>
    <cellStyle name="Comma 3 2 3 5 3" xfId="26665" xr:uid="{00000000-0005-0000-0000-00004E460000}"/>
    <cellStyle name="Comma 3 2 3 6" xfId="26315" xr:uid="{00000000-0005-0000-0000-00004F460000}"/>
    <cellStyle name="Comma 3 2 3 6 2" xfId="27197" xr:uid="{00000000-0005-0000-0000-000050460000}"/>
    <cellStyle name="Comma 3 2 3 7" xfId="26546" xr:uid="{00000000-0005-0000-0000-000051460000}"/>
    <cellStyle name="Comma 3 2 3 7 2" xfId="27078" xr:uid="{00000000-0005-0000-0000-000052460000}"/>
    <cellStyle name="Comma 3 2 3 8" xfId="27019" xr:uid="{00000000-0005-0000-0000-000053460000}"/>
    <cellStyle name="Comma 3 2 3 9" xfId="26750" xr:uid="{00000000-0005-0000-0000-000054460000}"/>
    <cellStyle name="Comma 3 2 4" xfId="26085" xr:uid="{00000000-0005-0000-0000-000055460000}"/>
    <cellStyle name="Comma 3 2 4 2" xfId="26316" xr:uid="{00000000-0005-0000-0000-000056460000}"/>
    <cellStyle name="Comma 3 2 4 2 2" xfId="27191" xr:uid="{00000000-0005-0000-0000-000057460000}"/>
    <cellStyle name="Comma 3 2 4 3" xfId="26547" xr:uid="{00000000-0005-0000-0000-000058460000}"/>
    <cellStyle name="Comma 3 2 4 3 2" xfId="27159" xr:uid="{00000000-0005-0000-0000-000059460000}"/>
    <cellStyle name="Comma 3 2 4 4" xfId="27098" xr:uid="{00000000-0005-0000-0000-00005A460000}"/>
    <cellStyle name="Comma 3 2 4 4 2" xfId="27036" xr:uid="{00000000-0005-0000-0000-00005B460000}"/>
    <cellStyle name="Comma 3 2 4 5" xfId="26899" xr:uid="{00000000-0005-0000-0000-00005C460000}"/>
    <cellStyle name="Comma 3 2 5" xfId="26086" xr:uid="{00000000-0005-0000-0000-00005D460000}"/>
    <cellStyle name="Comma 3 2 5 2" xfId="26317" xr:uid="{00000000-0005-0000-0000-00005E460000}"/>
    <cellStyle name="Comma 3 2 5 3" xfId="26548" xr:uid="{00000000-0005-0000-0000-00005F460000}"/>
    <cellStyle name="Comma 3 2 6" xfId="27059" xr:uid="{00000000-0005-0000-0000-000060460000}"/>
    <cellStyle name="Comma 3 2 6 2" xfId="27196" xr:uid="{00000000-0005-0000-0000-000061460000}"/>
    <cellStyle name="Comma 3 2 7" xfId="27145" xr:uid="{00000000-0005-0000-0000-000062460000}"/>
    <cellStyle name="Comma 3 2 7 2" xfId="27077" xr:uid="{00000000-0005-0000-0000-000063460000}"/>
    <cellStyle name="Comma 3 2 8" xfId="27018" xr:uid="{00000000-0005-0000-0000-000064460000}"/>
    <cellStyle name="Comma 3 2 9" xfId="27211" xr:uid="{00000000-0005-0000-0000-000065460000}"/>
    <cellStyle name="Comma 3 2_HistoricResComp" xfId="2307" xr:uid="{00000000-0005-0000-0000-000066460000}"/>
    <cellStyle name="Comma 3 20" xfId="26275" xr:uid="{00000000-0005-0000-0000-000067460000}"/>
    <cellStyle name="Comma 3 21" xfId="26506" xr:uid="{00000000-0005-0000-0000-000068460000}"/>
    <cellStyle name="Comma 3 22" xfId="27232" xr:uid="{00000000-0005-0000-0000-000069460000}"/>
    <cellStyle name="Comma 3 23" xfId="27237" xr:uid="{00000000-0005-0000-0000-00006A460000}"/>
    <cellStyle name="Comma 3 24" xfId="27238" xr:uid="{00000000-0005-0000-0000-00006B460000}"/>
    <cellStyle name="Comma 3 3" xfId="49" xr:uid="{00000000-0005-0000-0000-00006C460000}"/>
    <cellStyle name="Comma 3 3 2" xfId="26204" xr:uid="{00000000-0005-0000-0000-00006D460000}"/>
    <cellStyle name="Comma 3 3 2 2" xfId="26205" xr:uid="{00000000-0005-0000-0000-00006E460000}"/>
    <cellStyle name="Comma 3 3 2 2 2" xfId="26436" xr:uid="{00000000-0005-0000-0000-00006F460000}"/>
    <cellStyle name="Comma 3 3 2 2 3" xfId="26667" xr:uid="{00000000-0005-0000-0000-000070460000}"/>
    <cellStyle name="Comma 3 3 2 3" xfId="26206" xr:uid="{00000000-0005-0000-0000-000071460000}"/>
    <cellStyle name="Comma 3 3 2 3 2" xfId="26437" xr:uid="{00000000-0005-0000-0000-000072460000}"/>
    <cellStyle name="Comma 3 3 2 3 3" xfId="26668" xr:uid="{00000000-0005-0000-0000-000073460000}"/>
    <cellStyle name="Comma 3 3 2 4" xfId="26435" xr:uid="{00000000-0005-0000-0000-000074460000}"/>
    <cellStyle name="Comma 3 3 2 4 2" xfId="27120" xr:uid="{00000000-0005-0000-0000-000075460000}"/>
    <cellStyle name="Comma 3 3 2 5" xfId="26666" xr:uid="{00000000-0005-0000-0000-000076460000}"/>
    <cellStyle name="Comma 3 3 2 6" xfId="27092" xr:uid="{00000000-0005-0000-0000-000077460000}"/>
    <cellStyle name="Comma 3 3 3" xfId="26207" xr:uid="{00000000-0005-0000-0000-000078460000}"/>
    <cellStyle name="Comma 3 3 3 2" xfId="26208" xr:uid="{00000000-0005-0000-0000-000079460000}"/>
    <cellStyle name="Comma 3 3 3 2 2" xfId="26209" xr:uid="{00000000-0005-0000-0000-00007A460000}"/>
    <cellStyle name="Comma 3 3 3 2 2 2" xfId="26440" xr:uid="{00000000-0005-0000-0000-00007B460000}"/>
    <cellStyle name="Comma 3 3 3 2 2 3" xfId="26671" xr:uid="{00000000-0005-0000-0000-00007C460000}"/>
    <cellStyle name="Comma 3 3 3 2 3" xfId="26439" xr:uid="{00000000-0005-0000-0000-00007D460000}"/>
    <cellStyle name="Comma 3 3 3 2 3 2" xfId="27017" xr:uid="{00000000-0005-0000-0000-00007E460000}"/>
    <cellStyle name="Comma 3 3 3 2 4" xfId="26670" xr:uid="{00000000-0005-0000-0000-00007F460000}"/>
    <cellStyle name="Comma 3 3 3 2 4 2" xfId="27158" xr:uid="{00000000-0005-0000-0000-000080460000}"/>
    <cellStyle name="Comma 3 3 3 2 5" xfId="27097" xr:uid="{00000000-0005-0000-0000-000081460000}"/>
    <cellStyle name="Comma 3 3 3 2 6" xfId="27000" xr:uid="{00000000-0005-0000-0000-000082460000}"/>
    <cellStyle name="Comma 3 3 3 3" xfId="26210" xr:uid="{00000000-0005-0000-0000-000083460000}"/>
    <cellStyle name="Comma 3 3 3 3 2" xfId="26211" xr:uid="{00000000-0005-0000-0000-000084460000}"/>
    <cellStyle name="Comma 3 3 3 3 2 2" xfId="26442" xr:uid="{00000000-0005-0000-0000-000085460000}"/>
    <cellStyle name="Comma 3 3 3 3 2 3" xfId="26673" xr:uid="{00000000-0005-0000-0000-000086460000}"/>
    <cellStyle name="Comma 3 3 3 3 3" xfId="26212" xr:uid="{00000000-0005-0000-0000-000087460000}"/>
    <cellStyle name="Comma 3 3 3 3 3 2" xfId="26443" xr:uid="{00000000-0005-0000-0000-000088460000}"/>
    <cellStyle name="Comma 3 3 3 3 3 3" xfId="26674" xr:uid="{00000000-0005-0000-0000-000089460000}"/>
    <cellStyle name="Comma 3 3 3 3 4" xfId="26441" xr:uid="{00000000-0005-0000-0000-00008A460000}"/>
    <cellStyle name="Comma 3 3 3 3 4 2" xfId="27195" xr:uid="{00000000-0005-0000-0000-00008B460000}"/>
    <cellStyle name="Comma 3 3 3 3 5" xfId="26672" xr:uid="{00000000-0005-0000-0000-00008C460000}"/>
    <cellStyle name="Comma 3 3 3 3 6" xfId="27008" xr:uid="{00000000-0005-0000-0000-00008D460000}"/>
    <cellStyle name="Comma 3 3 3 4" xfId="26213" xr:uid="{00000000-0005-0000-0000-00008E460000}"/>
    <cellStyle name="Comma 3 3 3 4 2" xfId="26214" xr:uid="{00000000-0005-0000-0000-00008F460000}"/>
    <cellStyle name="Comma 3 3 3 4 2 2" xfId="26445" xr:uid="{00000000-0005-0000-0000-000090460000}"/>
    <cellStyle name="Comma 3 3 3 4 2 3" xfId="26676" xr:uid="{00000000-0005-0000-0000-000091460000}"/>
    <cellStyle name="Comma 3 3 3 4 3" xfId="26444" xr:uid="{00000000-0005-0000-0000-000092460000}"/>
    <cellStyle name="Comma 3 3 3 4 3 2" xfId="27157" xr:uid="{00000000-0005-0000-0000-000093460000}"/>
    <cellStyle name="Comma 3 3 3 4 4" xfId="26675" xr:uid="{00000000-0005-0000-0000-000094460000}"/>
    <cellStyle name="Comma 3 3 3 4 5" xfId="26747" xr:uid="{00000000-0005-0000-0000-000095460000}"/>
    <cellStyle name="Comma 3 3 3 5" xfId="26215" xr:uid="{00000000-0005-0000-0000-000096460000}"/>
    <cellStyle name="Comma 3 3 3 5 2" xfId="26446" xr:uid="{00000000-0005-0000-0000-000097460000}"/>
    <cellStyle name="Comma 3 3 3 5 3" xfId="26677" xr:uid="{00000000-0005-0000-0000-000098460000}"/>
    <cellStyle name="Comma 3 3 3 6" xfId="26438" xr:uid="{00000000-0005-0000-0000-000099460000}"/>
    <cellStyle name="Comma 3 3 3 6 2" xfId="27005" xr:uid="{00000000-0005-0000-0000-00009A460000}"/>
    <cellStyle name="Comma 3 3 3 7" xfId="26669" xr:uid="{00000000-0005-0000-0000-00009B460000}"/>
    <cellStyle name="Comma 3 3 3 7 2" xfId="27130" xr:uid="{00000000-0005-0000-0000-00009C460000}"/>
    <cellStyle name="Comma 3 3 3 8" xfId="27096" xr:uid="{00000000-0005-0000-0000-00009D460000}"/>
    <cellStyle name="Comma 3 3 3 9" xfId="27151" xr:uid="{00000000-0005-0000-0000-00009E460000}"/>
    <cellStyle name="Comma 3 3 4" xfId="26216" xr:uid="{00000000-0005-0000-0000-00009F460000}"/>
    <cellStyle name="Comma 3 3 4 2" xfId="26447" xr:uid="{00000000-0005-0000-0000-0000A0460000}"/>
    <cellStyle name="Comma 3 3 4 2 2" xfId="26898" xr:uid="{00000000-0005-0000-0000-0000A1460000}"/>
    <cellStyle name="Comma 3 3 4 3" xfId="26678" xr:uid="{00000000-0005-0000-0000-0000A2460000}"/>
    <cellStyle name="Comma 3 3 4 3 2" xfId="26742" xr:uid="{00000000-0005-0000-0000-0000A3460000}"/>
    <cellStyle name="Comma 3 3 4 4" xfId="26741" xr:uid="{00000000-0005-0000-0000-0000A4460000}"/>
    <cellStyle name="Comma 3 3 4 4 2" xfId="27172" xr:uid="{00000000-0005-0000-0000-0000A5460000}"/>
    <cellStyle name="Comma 3 3 4 5" xfId="27119" xr:uid="{00000000-0005-0000-0000-0000A6460000}"/>
    <cellStyle name="Comma 3 3 5" xfId="27058" xr:uid="{00000000-0005-0000-0000-0000A7460000}"/>
    <cellStyle name="Comma 3 3 5 2" xfId="27194" xr:uid="{00000000-0005-0000-0000-0000A8460000}"/>
    <cellStyle name="Comma 3 3 6" xfId="26962" xr:uid="{00000000-0005-0000-0000-0000A9460000}"/>
    <cellStyle name="Comma 3 3 6 2" xfId="27144" xr:uid="{00000000-0005-0000-0000-0000AA460000}"/>
    <cellStyle name="Comma 3 3 7" xfId="27076" xr:uid="{00000000-0005-0000-0000-0000AB460000}"/>
    <cellStyle name="Comma 3 3 7 2" xfId="27190" xr:uid="{00000000-0005-0000-0000-0000AC460000}"/>
    <cellStyle name="Comma 3 3 8" xfId="27016" xr:uid="{00000000-0005-0000-0000-0000AD460000}"/>
    <cellStyle name="Comma 3 3 9" xfId="27086" xr:uid="{00000000-0005-0000-0000-0000AE460000}"/>
    <cellStyle name="Comma 3 4" xfId="50" xr:uid="{00000000-0005-0000-0000-0000AF460000}"/>
    <cellStyle name="Comma 3 4 2" xfId="26217" xr:uid="{00000000-0005-0000-0000-0000B0460000}"/>
    <cellStyle name="Comma 3 4 2 2" xfId="26218" xr:uid="{00000000-0005-0000-0000-0000B1460000}"/>
    <cellStyle name="Comma 3 4 2 2 2" xfId="26219" xr:uid="{00000000-0005-0000-0000-0000B2460000}"/>
    <cellStyle name="Comma 3 4 2 2 2 2" xfId="26450" xr:uid="{00000000-0005-0000-0000-0000B3460000}"/>
    <cellStyle name="Comma 3 4 2 2 2 3" xfId="26681" xr:uid="{00000000-0005-0000-0000-0000B4460000}"/>
    <cellStyle name="Comma 3 4 2 2 3" xfId="26449" xr:uid="{00000000-0005-0000-0000-0000B5460000}"/>
    <cellStyle name="Comma 3 4 2 2 3 2" xfId="27035" xr:uid="{00000000-0005-0000-0000-0000B6460000}"/>
    <cellStyle name="Comma 3 4 2 2 4" xfId="26680" xr:uid="{00000000-0005-0000-0000-0000B7460000}"/>
    <cellStyle name="Comma 3 4 2 2 4 2" xfId="26740" xr:uid="{00000000-0005-0000-0000-0000B8460000}"/>
    <cellStyle name="Comma 3 4 2 2 5" xfId="26897" xr:uid="{00000000-0005-0000-0000-0000B9460000}"/>
    <cellStyle name="Comma 3 4 2 2 6" xfId="27207" xr:uid="{00000000-0005-0000-0000-0000BA460000}"/>
    <cellStyle name="Comma 3 4 2 3" xfId="26220" xr:uid="{00000000-0005-0000-0000-0000BB460000}"/>
    <cellStyle name="Comma 3 4 2 3 2" xfId="26221" xr:uid="{00000000-0005-0000-0000-0000BC460000}"/>
    <cellStyle name="Comma 3 4 2 3 2 2" xfId="26452" xr:uid="{00000000-0005-0000-0000-0000BD460000}"/>
    <cellStyle name="Comma 3 4 2 3 2 3" xfId="26683" xr:uid="{00000000-0005-0000-0000-0000BE460000}"/>
    <cellStyle name="Comma 3 4 2 3 3" xfId="26222" xr:uid="{00000000-0005-0000-0000-0000BF460000}"/>
    <cellStyle name="Comma 3 4 2 3 3 2" xfId="26453" xr:uid="{00000000-0005-0000-0000-0000C0460000}"/>
    <cellStyle name="Comma 3 4 2 3 3 3" xfId="26684" xr:uid="{00000000-0005-0000-0000-0000C1460000}"/>
    <cellStyle name="Comma 3 4 2 3 4" xfId="26451" xr:uid="{00000000-0005-0000-0000-0000C2460000}"/>
    <cellStyle name="Comma 3 4 2 3 4 2" xfId="26896" xr:uid="{00000000-0005-0000-0000-0000C3460000}"/>
    <cellStyle name="Comma 3 4 2 3 5" xfId="26682" xr:uid="{00000000-0005-0000-0000-0000C4460000}"/>
    <cellStyle name="Comma 3 4 2 3 6" xfId="27003" xr:uid="{00000000-0005-0000-0000-0000C5460000}"/>
    <cellStyle name="Comma 3 4 2 4" xfId="26223" xr:uid="{00000000-0005-0000-0000-0000C6460000}"/>
    <cellStyle name="Comma 3 4 2 4 2" xfId="26454" xr:uid="{00000000-0005-0000-0000-0000C7460000}"/>
    <cellStyle name="Comma 3 4 2 4 3" xfId="26685" xr:uid="{00000000-0005-0000-0000-0000C8460000}"/>
    <cellStyle name="Comma 3 4 2 5" xfId="26224" xr:uid="{00000000-0005-0000-0000-0000C9460000}"/>
    <cellStyle name="Comma 3 4 2 5 2" xfId="26455" xr:uid="{00000000-0005-0000-0000-0000CA460000}"/>
    <cellStyle name="Comma 3 4 2 5 3" xfId="26686" xr:uid="{00000000-0005-0000-0000-0000CB460000}"/>
    <cellStyle name="Comma 3 4 2 6" xfId="26448" xr:uid="{00000000-0005-0000-0000-0000CC460000}"/>
    <cellStyle name="Comma 3 4 2 6 2" xfId="27015" xr:uid="{00000000-0005-0000-0000-0000CD460000}"/>
    <cellStyle name="Comma 3 4 2 7" xfId="26679" xr:uid="{00000000-0005-0000-0000-0000CE460000}"/>
    <cellStyle name="Comma 3 4 2 8" xfId="27054" xr:uid="{00000000-0005-0000-0000-0000CF460000}"/>
    <cellStyle name="Comma 3 4 3" xfId="26225" xr:uid="{00000000-0005-0000-0000-0000D0460000}"/>
    <cellStyle name="Comma 3 4 3 2" xfId="26226" xr:uid="{00000000-0005-0000-0000-0000D1460000}"/>
    <cellStyle name="Comma 3 4 3 2 2" xfId="26457" xr:uid="{00000000-0005-0000-0000-0000D2460000}"/>
    <cellStyle name="Comma 3 4 3 2 3" xfId="26688" xr:uid="{00000000-0005-0000-0000-0000D3460000}"/>
    <cellStyle name="Comma 3 4 3 3" xfId="26456" xr:uid="{00000000-0005-0000-0000-0000D4460000}"/>
    <cellStyle name="Comma 3 4 3 3 2" xfId="27034" xr:uid="{00000000-0005-0000-0000-0000D5460000}"/>
    <cellStyle name="Comma 3 4 3 4" xfId="26687" xr:uid="{00000000-0005-0000-0000-0000D6460000}"/>
    <cellStyle name="Comma 3 4 3 4 2" xfId="26040" xr:uid="{00000000-0005-0000-0000-0000D7460000}"/>
    <cellStyle name="Comma 3 4 3 5" xfId="26895" xr:uid="{00000000-0005-0000-0000-0000D8460000}"/>
    <cellStyle name="Comma 3 4 3 6" xfId="27174" xr:uid="{00000000-0005-0000-0000-0000D9460000}"/>
    <cellStyle name="Comma 3 4 4" xfId="26227" xr:uid="{00000000-0005-0000-0000-0000DA460000}"/>
    <cellStyle name="Comma 3 4 4 2" xfId="26458" xr:uid="{00000000-0005-0000-0000-0000DB460000}"/>
    <cellStyle name="Comma 3 4 4 2 2" xfId="26894" xr:uid="{00000000-0005-0000-0000-0000DC460000}"/>
    <cellStyle name="Comma 3 4 4 3" xfId="26689" xr:uid="{00000000-0005-0000-0000-0000DD460000}"/>
    <cellStyle name="Comma 3 4 4 3 2" xfId="27171" xr:uid="{00000000-0005-0000-0000-0000DE460000}"/>
    <cellStyle name="Comma 3 4 4 4" xfId="27118" xr:uid="{00000000-0005-0000-0000-0000DF460000}"/>
    <cellStyle name="Comma 3 4 4 5" xfId="27184" xr:uid="{00000000-0005-0000-0000-0000E0460000}"/>
    <cellStyle name="Comma 3 4 5" xfId="26228" xr:uid="{00000000-0005-0000-0000-0000E1460000}"/>
    <cellStyle name="Comma 3 4 5 2" xfId="26459" xr:uid="{00000000-0005-0000-0000-0000E2460000}"/>
    <cellStyle name="Comma 3 4 5 3" xfId="26690" xr:uid="{00000000-0005-0000-0000-0000E3460000}"/>
    <cellStyle name="Comma 3 4 6" xfId="27193" xr:uid="{00000000-0005-0000-0000-0000E4460000}"/>
    <cellStyle name="Comma 3 4 6 2" xfId="27143" xr:uid="{00000000-0005-0000-0000-0000E5460000}"/>
    <cellStyle name="Comma 3 4 7" xfId="27075" xr:uid="{00000000-0005-0000-0000-0000E6460000}"/>
    <cellStyle name="Comma 3 4 7 2" xfId="27014" xr:uid="{00000000-0005-0000-0000-0000E7460000}"/>
    <cellStyle name="Comma 3 4 8" xfId="27210" xr:uid="{00000000-0005-0000-0000-0000E8460000}"/>
    <cellStyle name="Comma 3 4 9" xfId="27090" xr:uid="{00000000-0005-0000-0000-0000E9460000}"/>
    <cellStyle name="Comma 3 5" xfId="51" xr:uid="{00000000-0005-0000-0000-0000EA460000}"/>
    <cellStyle name="Comma 3 5 2" xfId="26229" xr:uid="{00000000-0005-0000-0000-0000EB460000}"/>
    <cellStyle name="Comma 3 5 2 2" xfId="26230" xr:uid="{00000000-0005-0000-0000-0000EC460000}"/>
    <cellStyle name="Comma 3 5 2 2 2" xfId="26461" xr:uid="{00000000-0005-0000-0000-0000ED460000}"/>
    <cellStyle name="Comma 3 5 2 2 3" xfId="26692" xr:uid="{00000000-0005-0000-0000-0000EE460000}"/>
    <cellStyle name="Comma 3 5 2 3" xfId="26460" xr:uid="{00000000-0005-0000-0000-0000EF460000}"/>
    <cellStyle name="Comma 3 5 2 3 2" xfId="26893" xr:uid="{00000000-0005-0000-0000-0000F0460000}"/>
    <cellStyle name="Comma 3 5 2 4" xfId="26691" xr:uid="{00000000-0005-0000-0000-0000F1460000}"/>
    <cellStyle name="Comma 3 5 2 4 2" xfId="27117" xr:uid="{00000000-0005-0000-0000-0000F2460000}"/>
    <cellStyle name="Comma 3 5 2 5" xfId="27057" xr:uid="{00000000-0005-0000-0000-0000F3460000}"/>
    <cellStyle name="Comma 3 5 2 6" xfId="26752" xr:uid="{00000000-0005-0000-0000-0000F4460000}"/>
    <cellStyle name="Comma 3 5 3" xfId="26231" xr:uid="{00000000-0005-0000-0000-0000F5460000}"/>
    <cellStyle name="Comma 3 5 3 2" xfId="26232" xr:uid="{00000000-0005-0000-0000-0000F6460000}"/>
    <cellStyle name="Comma 3 5 3 2 2" xfId="26463" xr:uid="{00000000-0005-0000-0000-0000F7460000}"/>
    <cellStyle name="Comma 3 5 3 2 3" xfId="26694" xr:uid="{00000000-0005-0000-0000-0000F8460000}"/>
    <cellStyle name="Comma 3 5 3 3" xfId="26233" xr:uid="{00000000-0005-0000-0000-0000F9460000}"/>
    <cellStyle name="Comma 3 5 3 3 2" xfId="26464" xr:uid="{00000000-0005-0000-0000-0000FA460000}"/>
    <cellStyle name="Comma 3 5 3 3 3" xfId="26695" xr:uid="{00000000-0005-0000-0000-0000FB460000}"/>
    <cellStyle name="Comma 3 5 3 4" xfId="26462" xr:uid="{00000000-0005-0000-0000-0000FC460000}"/>
    <cellStyle name="Comma 3 5 3 4 2" xfId="27209" xr:uid="{00000000-0005-0000-0000-0000FD460000}"/>
    <cellStyle name="Comma 3 5 3 5" xfId="26693" xr:uid="{00000000-0005-0000-0000-0000FE460000}"/>
    <cellStyle name="Comma 3 5 3 6" xfId="26755" xr:uid="{00000000-0005-0000-0000-0000FF460000}"/>
    <cellStyle name="Comma 3 5 4" xfId="26234" xr:uid="{00000000-0005-0000-0000-000000470000}"/>
    <cellStyle name="Comma 3 5 4 2" xfId="26235" xr:uid="{00000000-0005-0000-0000-000001470000}"/>
    <cellStyle name="Comma 3 5 4 2 2" xfId="26466" xr:uid="{00000000-0005-0000-0000-000002470000}"/>
    <cellStyle name="Comma 3 5 4 2 3" xfId="26697" xr:uid="{00000000-0005-0000-0000-000003470000}"/>
    <cellStyle name="Comma 3 5 4 3" xfId="26465" xr:uid="{00000000-0005-0000-0000-000004470000}"/>
    <cellStyle name="Comma 3 5 4 3 2" xfId="27170" xr:uid="{00000000-0005-0000-0000-000005470000}"/>
    <cellStyle name="Comma 3 5 4 4" xfId="26696" xr:uid="{00000000-0005-0000-0000-000006470000}"/>
    <cellStyle name="Comma 3 5 4 5" xfId="26999" xr:uid="{00000000-0005-0000-0000-000007470000}"/>
    <cellStyle name="Comma 3 5 5" xfId="26236" xr:uid="{00000000-0005-0000-0000-000008470000}"/>
    <cellStyle name="Comma 3 5 5 2" xfId="26467" xr:uid="{00000000-0005-0000-0000-000009470000}"/>
    <cellStyle name="Comma 3 5 5 3" xfId="26698" xr:uid="{00000000-0005-0000-0000-00000A470000}"/>
    <cellStyle name="Comma 3 5 6" xfId="27142" xr:uid="{00000000-0005-0000-0000-00000B470000}"/>
    <cellStyle name="Comma 3 5 6 2" xfId="26964" xr:uid="{00000000-0005-0000-0000-00000C470000}"/>
    <cellStyle name="Comma 3 5 7" xfId="27074" xr:uid="{00000000-0005-0000-0000-00000D470000}"/>
    <cellStyle name="Comma 3 5 7 2" xfId="27013" xr:uid="{00000000-0005-0000-0000-00000E470000}"/>
    <cellStyle name="Comma 3 5 8" xfId="27208" xr:uid="{00000000-0005-0000-0000-00000F470000}"/>
    <cellStyle name="Comma 3 5 9" xfId="27129" xr:uid="{00000000-0005-0000-0000-000010470000}"/>
    <cellStyle name="Comma 3 6" xfId="26087" xr:uid="{00000000-0005-0000-0000-000011470000}"/>
    <cellStyle name="Comma 3 6 2" xfId="26237" xr:uid="{00000000-0005-0000-0000-000012470000}"/>
    <cellStyle name="Comma 3 6 2 2" xfId="26468" xr:uid="{00000000-0005-0000-0000-000013470000}"/>
    <cellStyle name="Comma 3 6 2 3" xfId="26699" xr:uid="{00000000-0005-0000-0000-000014470000}"/>
    <cellStyle name="Comma 3 6 3" xfId="26238" xr:uid="{00000000-0005-0000-0000-000015470000}"/>
    <cellStyle name="Comma 3 6 3 2" xfId="26469" xr:uid="{00000000-0005-0000-0000-000016470000}"/>
    <cellStyle name="Comma 3 6 3 3" xfId="26700" xr:uid="{00000000-0005-0000-0000-000017470000}"/>
    <cellStyle name="Comma 3 6 4" xfId="26318" xr:uid="{00000000-0005-0000-0000-000018470000}"/>
    <cellStyle name="Comma 3 6 5" xfId="26549" xr:uid="{00000000-0005-0000-0000-000019470000}"/>
    <cellStyle name="Comma 3 7" xfId="26088" xr:uid="{00000000-0005-0000-0000-00001A470000}"/>
    <cellStyle name="Comma 3 7 2" xfId="26319" xr:uid="{00000000-0005-0000-0000-00001B470000}"/>
    <cellStyle name="Comma 3 7 3" xfId="26550" xr:uid="{00000000-0005-0000-0000-00001C470000}"/>
    <cellStyle name="Comma 3 8" xfId="26089" xr:uid="{00000000-0005-0000-0000-00001D470000}"/>
    <cellStyle name="Comma 3 8 2" xfId="26320" xr:uid="{00000000-0005-0000-0000-00001E470000}"/>
    <cellStyle name="Comma 3 8 3" xfId="26551" xr:uid="{00000000-0005-0000-0000-00001F470000}"/>
    <cellStyle name="Comma 3 9" xfId="26090" xr:uid="{00000000-0005-0000-0000-000020470000}"/>
    <cellStyle name="Comma 3 9 2" xfId="26321" xr:uid="{00000000-0005-0000-0000-000021470000}"/>
    <cellStyle name="Comma 3 9 3" xfId="26552" xr:uid="{00000000-0005-0000-0000-000022470000}"/>
    <cellStyle name="Comma 3_HistoricResComp" xfId="2308" xr:uid="{00000000-0005-0000-0000-000023470000}"/>
    <cellStyle name="Comma 4" xfId="31" xr:uid="{00000000-0005-0000-0000-000024470000}"/>
    <cellStyle name="Comma 4 10" xfId="26091" xr:uid="{00000000-0005-0000-0000-000025470000}"/>
    <cellStyle name="Comma 4 10 2" xfId="26322" xr:uid="{00000000-0005-0000-0000-000026470000}"/>
    <cellStyle name="Comma 4 10 3" xfId="26553" xr:uid="{00000000-0005-0000-0000-000027470000}"/>
    <cellStyle name="Comma 4 11" xfId="26092" xr:uid="{00000000-0005-0000-0000-000028470000}"/>
    <cellStyle name="Comma 4 11 2" xfId="26323" xr:uid="{00000000-0005-0000-0000-000029470000}"/>
    <cellStyle name="Comma 4 11 3" xfId="26554" xr:uid="{00000000-0005-0000-0000-00002A470000}"/>
    <cellStyle name="Comma 4 12" xfId="26093" xr:uid="{00000000-0005-0000-0000-00002B470000}"/>
    <cellStyle name="Comma 4 12 2" xfId="26324" xr:uid="{00000000-0005-0000-0000-00002C470000}"/>
    <cellStyle name="Comma 4 12 3" xfId="26555" xr:uid="{00000000-0005-0000-0000-00002D470000}"/>
    <cellStyle name="Comma 4 13" xfId="26094" xr:uid="{00000000-0005-0000-0000-00002E470000}"/>
    <cellStyle name="Comma 4 13 2" xfId="26325" xr:uid="{00000000-0005-0000-0000-00002F470000}"/>
    <cellStyle name="Comma 4 13 3" xfId="26556" xr:uid="{00000000-0005-0000-0000-000030470000}"/>
    <cellStyle name="Comma 4 14" xfId="26095" xr:uid="{00000000-0005-0000-0000-000031470000}"/>
    <cellStyle name="Comma 4 14 2" xfId="26326" xr:uid="{00000000-0005-0000-0000-000032470000}"/>
    <cellStyle name="Comma 4 14 3" xfId="26557" xr:uid="{00000000-0005-0000-0000-000033470000}"/>
    <cellStyle name="Comma 4 15" xfId="26096" xr:uid="{00000000-0005-0000-0000-000034470000}"/>
    <cellStyle name="Comma 4 15 2" xfId="26327" xr:uid="{00000000-0005-0000-0000-000035470000}"/>
    <cellStyle name="Comma 4 15 3" xfId="26558" xr:uid="{00000000-0005-0000-0000-000036470000}"/>
    <cellStyle name="Comma 4 16" xfId="26097" xr:uid="{00000000-0005-0000-0000-000037470000}"/>
    <cellStyle name="Comma 4 16 2" xfId="26328" xr:uid="{00000000-0005-0000-0000-000038470000}"/>
    <cellStyle name="Comma 4 16 3" xfId="26559" xr:uid="{00000000-0005-0000-0000-000039470000}"/>
    <cellStyle name="Comma 4 17" xfId="26098" xr:uid="{00000000-0005-0000-0000-00003A470000}"/>
    <cellStyle name="Comma 4 17 2" xfId="26329" xr:uid="{00000000-0005-0000-0000-00003B470000}"/>
    <cellStyle name="Comma 4 17 3" xfId="26560" xr:uid="{00000000-0005-0000-0000-00003C470000}"/>
    <cellStyle name="Comma 4 18" xfId="26099" xr:uid="{00000000-0005-0000-0000-00003D470000}"/>
    <cellStyle name="Comma 4 18 2" xfId="26330" xr:uid="{00000000-0005-0000-0000-00003E470000}"/>
    <cellStyle name="Comma 4 18 3" xfId="26561" xr:uid="{00000000-0005-0000-0000-00003F470000}"/>
    <cellStyle name="Comma 4 19" xfId="26045" xr:uid="{00000000-0005-0000-0000-000040470000}"/>
    <cellStyle name="Comma 4 19 2" xfId="26276" xr:uid="{00000000-0005-0000-0000-000041470000}"/>
    <cellStyle name="Comma 4 19 3" xfId="26507" xr:uid="{00000000-0005-0000-0000-000042470000}"/>
    <cellStyle name="Comma 4 2" xfId="26100" xr:uid="{00000000-0005-0000-0000-000043470000}"/>
    <cellStyle name="Comma 4 2 10" xfId="27125" xr:uid="{00000000-0005-0000-0000-000044470000}"/>
    <cellStyle name="Comma 4 2 11" xfId="27109" xr:uid="{00000000-0005-0000-0000-000045470000}"/>
    <cellStyle name="Comma 4 2 2" xfId="26101" xr:uid="{00000000-0005-0000-0000-000046470000}"/>
    <cellStyle name="Comma 4 2 2 2" xfId="26239" xr:uid="{00000000-0005-0000-0000-000047470000}"/>
    <cellStyle name="Comma 4 2 2 2 2" xfId="26470" xr:uid="{00000000-0005-0000-0000-000048470000}"/>
    <cellStyle name="Comma 4 2 2 2 2 2" xfId="27216" xr:uid="{00000000-0005-0000-0000-000049470000}"/>
    <cellStyle name="Comma 4 2 2 2 3" xfId="26701" xr:uid="{00000000-0005-0000-0000-00004A470000}"/>
    <cellStyle name="Comma 4 2 2 2 3 2" xfId="27105" xr:uid="{00000000-0005-0000-0000-00004B470000}"/>
    <cellStyle name="Comma 4 2 2 2 4" xfId="27043" xr:uid="{00000000-0005-0000-0000-00004C470000}"/>
    <cellStyle name="Comma 4 2 2 2 5" xfId="27072" xr:uid="{00000000-0005-0000-0000-00004D470000}"/>
    <cellStyle name="Comma 4 2 2 3" xfId="26332" xr:uid="{00000000-0005-0000-0000-00004E470000}"/>
    <cellStyle name="Comma 4 2 2 3 2" xfId="26892" xr:uid="{00000000-0005-0000-0000-00004F470000}"/>
    <cellStyle name="Comma 4 2 2 4" xfId="26563" xr:uid="{00000000-0005-0000-0000-000050470000}"/>
    <cellStyle name="Comma 4 2 2 4 2" xfId="27180" xr:uid="{00000000-0005-0000-0000-000051470000}"/>
    <cellStyle name="Comma 4 2 2 5" xfId="27124" xr:uid="{00000000-0005-0000-0000-000052470000}"/>
    <cellStyle name="Comma 4 2 2 5 2" xfId="27065" xr:uid="{00000000-0005-0000-0000-000053470000}"/>
    <cellStyle name="Comma 4 2 2 6" xfId="27215" xr:uid="{00000000-0005-0000-0000-000054470000}"/>
    <cellStyle name="Comma 4 2 2 6 2" xfId="27163" xr:uid="{00000000-0005-0000-0000-000055470000}"/>
    <cellStyle name="Comma 4 2 2 7" xfId="27104" xr:uid="{00000000-0005-0000-0000-000056470000}"/>
    <cellStyle name="Comma 4 2 2 7 2" xfId="27042" xr:uid="{00000000-0005-0000-0000-000057470000}"/>
    <cellStyle name="Comma 4 2 2 8" xfId="26946" xr:uid="{00000000-0005-0000-0000-000058470000}"/>
    <cellStyle name="Comma 4 2 2 9" xfId="27093" xr:uid="{00000000-0005-0000-0000-000059470000}"/>
    <cellStyle name="Comma 4 2 3" xfId="26102" xr:uid="{00000000-0005-0000-0000-00005A470000}"/>
    <cellStyle name="Comma 4 2 3 2" xfId="26240" xr:uid="{00000000-0005-0000-0000-00005B470000}"/>
    <cellStyle name="Comma 4 2 3 2 2" xfId="26471" xr:uid="{00000000-0005-0000-0000-00005C470000}"/>
    <cellStyle name="Comma 4 2 3 2 2 2" xfId="26945" xr:uid="{00000000-0005-0000-0000-00005D470000}"/>
    <cellStyle name="Comma 4 2 3 2 3" xfId="26702" xr:uid="{00000000-0005-0000-0000-00005E470000}"/>
    <cellStyle name="Comma 4 2 3 2 3 2" xfId="26944" xr:uid="{00000000-0005-0000-0000-00005F470000}"/>
    <cellStyle name="Comma 4 2 3 2 4" xfId="26943" xr:uid="{00000000-0005-0000-0000-000060470000}"/>
    <cellStyle name="Comma 4 2 3 2 5" xfId="27128" xr:uid="{00000000-0005-0000-0000-000061470000}"/>
    <cellStyle name="Comma 4 2 3 3" xfId="26333" xr:uid="{00000000-0005-0000-0000-000062470000}"/>
    <cellStyle name="Comma 4 2 3 3 2" xfId="27178" xr:uid="{00000000-0005-0000-0000-000063470000}"/>
    <cellStyle name="Comma 4 2 3 3 3" xfId="26942" xr:uid="{00000000-0005-0000-0000-000064470000}"/>
    <cellStyle name="Comma 4 2 3 4" xfId="26564" xr:uid="{00000000-0005-0000-0000-000065470000}"/>
    <cellStyle name="Comma 4 2 3 4 2" xfId="27064" xr:uid="{00000000-0005-0000-0000-000066470000}"/>
    <cellStyle name="Comma 4 2 3 4 3" xfId="27122" xr:uid="{00000000-0005-0000-0000-000067470000}"/>
    <cellStyle name="Comma 4 2 3 5" xfId="27213" xr:uid="{00000000-0005-0000-0000-000068470000}"/>
    <cellStyle name="Comma 4 2 3 5 2" xfId="27162" xr:uid="{00000000-0005-0000-0000-000069470000}"/>
    <cellStyle name="Comma 4 2 3 6" xfId="27102" xr:uid="{00000000-0005-0000-0000-00006A470000}"/>
    <cellStyle name="Comma 4 2 3 6 2" xfId="26961" xr:uid="{00000000-0005-0000-0000-00006B470000}"/>
    <cellStyle name="Comma 4 2 3 7" xfId="27040" xr:uid="{00000000-0005-0000-0000-00006C470000}"/>
    <cellStyle name="Comma 4 2 3 7 2" xfId="27179" xr:uid="{00000000-0005-0000-0000-00006D470000}"/>
    <cellStyle name="Comma 4 2 3 8" xfId="27123" xr:uid="{00000000-0005-0000-0000-00006E470000}"/>
    <cellStyle name="Comma 4 2 3 9" xfId="27135" xr:uid="{00000000-0005-0000-0000-00006F470000}"/>
    <cellStyle name="Comma 4 2 4" xfId="26103" xr:uid="{00000000-0005-0000-0000-000070470000}"/>
    <cellStyle name="Comma 4 2 4 2" xfId="26334" xr:uid="{00000000-0005-0000-0000-000071470000}"/>
    <cellStyle name="Comma 4 2 4 2 2" xfId="27214" xr:uid="{00000000-0005-0000-0000-000072470000}"/>
    <cellStyle name="Comma 4 2 4 3" xfId="26565" xr:uid="{00000000-0005-0000-0000-000073470000}"/>
    <cellStyle name="Comma 4 2 4 3 2" xfId="27103" xr:uid="{00000000-0005-0000-0000-000074470000}"/>
    <cellStyle name="Comma 4 2 4 4" xfId="27041" xr:uid="{00000000-0005-0000-0000-000075470000}"/>
    <cellStyle name="Comma 4 2 4 5" xfId="27115" xr:uid="{00000000-0005-0000-0000-000076470000}"/>
    <cellStyle name="Comma 4 2 5" xfId="26104" xr:uid="{00000000-0005-0000-0000-000077470000}"/>
    <cellStyle name="Comma 4 2 5 2" xfId="26335" xr:uid="{00000000-0005-0000-0000-000078470000}"/>
    <cellStyle name="Comma 4 2 5 3" xfId="26566" xr:uid="{00000000-0005-0000-0000-000079470000}"/>
    <cellStyle name="Comma 4 2 6" xfId="26331" xr:uid="{00000000-0005-0000-0000-00007A470000}"/>
    <cellStyle name="Comma 4 2 6 2" xfId="27169" xr:uid="{00000000-0005-0000-0000-00007B470000}"/>
    <cellStyle name="Comma 4 2 7" xfId="26562" xr:uid="{00000000-0005-0000-0000-00007C470000}"/>
    <cellStyle name="Comma 4 2 7 2" xfId="27056" xr:uid="{00000000-0005-0000-0000-00007D470000}"/>
    <cellStyle name="Comma 4 2 8" xfId="27192" xr:uid="{00000000-0005-0000-0000-00007E470000}"/>
    <cellStyle name="Comma 4 2 8 2" xfId="27141" xr:uid="{00000000-0005-0000-0000-00007F470000}"/>
    <cellStyle name="Comma 4 2 9" xfId="27073" xr:uid="{00000000-0005-0000-0000-000080470000}"/>
    <cellStyle name="Comma 4 2 9 2" xfId="27012" xr:uid="{00000000-0005-0000-0000-000081470000}"/>
    <cellStyle name="Comma 4 2_HistoricResComp" xfId="2309" xr:uid="{00000000-0005-0000-0000-000082470000}"/>
    <cellStyle name="Comma 4 3" xfId="26105" xr:uid="{00000000-0005-0000-0000-000083470000}"/>
    <cellStyle name="Comma 4 3 2" xfId="26241" xr:uid="{00000000-0005-0000-0000-000084470000}"/>
    <cellStyle name="Comma 4 3 2 2" xfId="26472" xr:uid="{00000000-0005-0000-0000-000085470000}"/>
    <cellStyle name="Comma 4 3 2 2 2" xfId="27156" xr:uid="{00000000-0005-0000-0000-000086470000}"/>
    <cellStyle name="Comma 4 3 2 3" xfId="26703" xr:uid="{00000000-0005-0000-0000-000087470000}"/>
    <cellStyle name="Comma 4 3 2 3 2" xfId="27033" xr:uid="{00000000-0005-0000-0000-000088470000}"/>
    <cellStyle name="Comma 4 3 2 4" xfId="26941" xr:uid="{00000000-0005-0000-0000-000089470000}"/>
    <cellStyle name="Comma 4 3 2 5" xfId="27138" xr:uid="{00000000-0005-0000-0000-00008A470000}"/>
    <cellStyle name="Comma 4 3 3" xfId="26242" xr:uid="{00000000-0005-0000-0000-00008B470000}"/>
    <cellStyle name="Comma 4 3 3 2" xfId="26473" xr:uid="{00000000-0005-0000-0000-00008C470000}"/>
    <cellStyle name="Comma 4 3 3 2 2" xfId="27177" xr:uid="{00000000-0005-0000-0000-00008D470000}"/>
    <cellStyle name="Comma 4 3 3 3" xfId="26704" xr:uid="{00000000-0005-0000-0000-00008E470000}"/>
    <cellStyle name="Comma 4 3 3 4" xfId="26924" xr:uid="{00000000-0005-0000-0000-00008F470000}"/>
    <cellStyle name="Comma 4 3 4" xfId="26243" xr:uid="{00000000-0005-0000-0000-000090470000}"/>
    <cellStyle name="Comma 4 3 4 2" xfId="26474" xr:uid="{00000000-0005-0000-0000-000091470000}"/>
    <cellStyle name="Comma 4 3 4 3" xfId="26705" xr:uid="{00000000-0005-0000-0000-000092470000}"/>
    <cellStyle name="Comma 4 3 5" xfId="26336" xr:uid="{00000000-0005-0000-0000-000093470000}"/>
    <cellStyle name="Comma 4 3 5 2" xfId="27161" xr:uid="{00000000-0005-0000-0000-000094470000}"/>
    <cellStyle name="Comma 4 3 5 3" xfId="27212" xr:uid="{00000000-0005-0000-0000-000095470000}"/>
    <cellStyle name="Comma 4 3 6" xfId="26567" xr:uid="{00000000-0005-0000-0000-000096470000}"/>
    <cellStyle name="Comma 4 3 6 2" xfId="27039" xr:uid="{00000000-0005-0000-0000-000097470000}"/>
    <cellStyle name="Comma 4 3 6 3" xfId="27101" xr:uid="{00000000-0005-0000-0000-000098470000}"/>
    <cellStyle name="Comma 4 3 7" xfId="26940" xr:uid="{00000000-0005-0000-0000-000099470000}"/>
    <cellStyle name="Comma 4 3 7 2" xfId="26939" xr:uid="{00000000-0005-0000-0000-00009A470000}"/>
    <cellStyle name="Comma 4 3 8" xfId="26938" xr:uid="{00000000-0005-0000-0000-00009B470000}"/>
    <cellStyle name="Comma 4 3 9" xfId="27112" xr:uid="{00000000-0005-0000-0000-00009C470000}"/>
    <cellStyle name="Comma 4 4" xfId="26106" xr:uid="{00000000-0005-0000-0000-00009D470000}"/>
    <cellStyle name="Comma 4 4 10" xfId="26937" xr:uid="{00000000-0005-0000-0000-00009E470000}"/>
    <cellStyle name="Comma 4 4 10 2" xfId="26891" xr:uid="{00000000-0005-0000-0000-00009F470000}"/>
    <cellStyle name="Comma 4 4 11" xfId="26739" xr:uid="{00000000-0005-0000-0000-0000A0470000}"/>
    <cellStyle name="Comma 4 4 12" xfId="27006" xr:uid="{00000000-0005-0000-0000-0000A1470000}"/>
    <cellStyle name="Comma 4 4 2" xfId="26244" xr:uid="{00000000-0005-0000-0000-0000A2470000}"/>
    <cellStyle name="Comma 4 4 2 2" xfId="26245" xr:uid="{00000000-0005-0000-0000-0000A3470000}"/>
    <cellStyle name="Comma 4 4 2 2 2" xfId="26476" xr:uid="{00000000-0005-0000-0000-0000A4470000}"/>
    <cellStyle name="Comma 4 4 2 2 2 2" xfId="27108" xr:uid="{00000000-0005-0000-0000-0000A5470000}"/>
    <cellStyle name="Comma 4 4 2 2 3" xfId="26707" xr:uid="{00000000-0005-0000-0000-0000A6470000}"/>
    <cellStyle name="Comma 4 4 2 2 3 2" xfId="27183" xr:uid="{00000000-0005-0000-0000-0000A7470000}"/>
    <cellStyle name="Comma 4 4 2 2 4" xfId="27127" xr:uid="{00000000-0005-0000-0000-0000A8470000}"/>
    <cellStyle name="Comma 4 4 2 2 5" xfId="26917" xr:uid="{00000000-0005-0000-0000-0000A9470000}"/>
    <cellStyle name="Comma 4 4 2 3" xfId="26475" xr:uid="{00000000-0005-0000-0000-0000AA470000}"/>
    <cellStyle name="Comma 4 4 2 3 2" xfId="27002" xr:uid="{00000000-0005-0000-0000-0000AB470000}"/>
    <cellStyle name="Comma 4 4 2 4" xfId="26706" xr:uid="{00000000-0005-0000-0000-0000AC470000}"/>
    <cellStyle name="Comma 4 4 2 4 2" xfId="27148" xr:uid="{00000000-0005-0000-0000-0000AD470000}"/>
    <cellStyle name="Comma 4 4 2 5" xfId="27080" xr:uid="{00000000-0005-0000-0000-0000AE470000}"/>
    <cellStyle name="Comma 4 4 2 5 2" xfId="26914" xr:uid="{00000000-0005-0000-0000-0000AF470000}"/>
    <cellStyle name="Comma 4 4 2 6" xfId="27021" xr:uid="{00000000-0005-0000-0000-0000B0470000}"/>
    <cellStyle name="Comma 4 4 2 6 2" xfId="26745" xr:uid="{00000000-0005-0000-0000-0000B1470000}"/>
    <cellStyle name="Comma 4 4 2 7" xfId="26041" xr:uid="{00000000-0005-0000-0000-0000B2470000}"/>
    <cellStyle name="Comma 4 4 2 7 2" xfId="26043" xr:uid="{00000000-0005-0000-0000-0000B3470000}"/>
    <cellStyle name="Comma 4 4 2 8" xfId="26890" xr:uid="{00000000-0005-0000-0000-0000B4470000}"/>
    <cellStyle name="Comma 4 4 2 9" xfId="27204" xr:uid="{00000000-0005-0000-0000-0000B5470000}"/>
    <cellStyle name="Comma 4 4 3" xfId="26246" xr:uid="{00000000-0005-0000-0000-0000B6470000}"/>
    <cellStyle name="Comma 4 4 3 2" xfId="26247" xr:uid="{00000000-0005-0000-0000-0000B7470000}"/>
    <cellStyle name="Comma 4 4 3 2 2" xfId="26478" xr:uid="{00000000-0005-0000-0000-0000B8470000}"/>
    <cellStyle name="Comma 4 4 3 2 2 2" xfId="26889" xr:uid="{00000000-0005-0000-0000-0000B9470000}"/>
    <cellStyle name="Comma 4 4 3 2 2 3" xfId="26888" xr:uid="{00000000-0005-0000-0000-0000BA470000}"/>
    <cellStyle name="Comma 4 4 3 2 2 4" xfId="26936" xr:uid="{00000000-0005-0000-0000-0000BB470000}"/>
    <cellStyle name="Comma 4 4 3 2 3" xfId="26709" xr:uid="{00000000-0005-0000-0000-0000BC470000}"/>
    <cellStyle name="Comma 4 4 3 2 3 2" xfId="26887" xr:uid="{00000000-0005-0000-0000-0000BD470000}"/>
    <cellStyle name="Comma 4 4 3 2 4" xfId="26886" xr:uid="{00000000-0005-0000-0000-0000BE470000}"/>
    <cellStyle name="Comma 4 4 3 2 5" xfId="27047" xr:uid="{00000000-0005-0000-0000-0000BF470000}"/>
    <cellStyle name="Comma 4 4 3 3" xfId="26248" xr:uid="{00000000-0005-0000-0000-0000C0470000}"/>
    <cellStyle name="Comma 4 4 3 3 2" xfId="26479" xr:uid="{00000000-0005-0000-0000-0000C1470000}"/>
    <cellStyle name="Comma 4 4 3 3 3" xfId="26710" xr:uid="{00000000-0005-0000-0000-0000C2470000}"/>
    <cellStyle name="Comma 4 4 3 3 4" xfId="26885" xr:uid="{00000000-0005-0000-0000-0000C3470000}"/>
    <cellStyle name="Comma 4 4 3 4" xfId="26477" xr:uid="{00000000-0005-0000-0000-0000C4470000}"/>
    <cellStyle name="Comma 4 4 3 4 2" xfId="26884" xr:uid="{00000000-0005-0000-0000-0000C5470000}"/>
    <cellStyle name="Comma 4 4 3 5" xfId="26708" xr:uid="{00000000-0005-0000-0000-0000C6470000}"/>
    <cellStyle name="Comma 4 4 3 5 2" xfId="26883" xr:uid="{00000000-0005-0000-0000-0000C7470000}"/>
    <cellStyle name="Comma 4 4 3 6" xfId="26882" xr:uid="{00000000-0005-0000-0000-0000C8470000}"/>
    <cellStyle name="Comma 4 4 3 6 2" xfId="26881" xr:uid="{00000000-0005-0000-0000-0000C9470000}"/>
    <cellStyle name="Comma 4 4 3 7" xfId="26880" xr:uid="{00000000-0005-0000-0000-0000CA470000}"/>
    <cellStyle name="Comma 4 4 3 7 2" xfId="26879" xr:uid="{00000000-0005-0000-0000-0000CB470000}"/>
    <cellStyle name="Comma 4 4 3 8" xfId="26878" xr:uid="{00000000-0005-0000-0000-0000CC470000}"/>
    <cellStyle name="Comma 4 4 3 9" xfId="27167" xr:uid="{00000000-0005-0000-0000-0000CD470000}"/>
    <cellStyle name="Comma 4 4 4" xfId="26249" xr:uid="{00000000-0005-0000-0000-0000CE470000}"/>
    <cellStyle name="Comma 4 4 4 2" xfId="26250" xr:uid="{00000000-0005-0000-0000-0000CF470000}"/>
    <cellStyle name="Comma 4 4 4 2 2" xfId="26481" xr:uid="{00000000-0005-0000-0000-0000D0470000}"/>
    <cellStyle name="Comma 4 4 4 2 3" xfId="26712" xr:uid="{00000000-0005-0000-0000-0000D1470000}"/>
    <cellStyle name="Comma 4 4 4 3" xfId="26480" xr:uid="{00000000-0005-0000-0000-0000D2470000}"/>
    <cellStyle name="Comma 4 4 4 3 2" xfId="26876" xr:uid="{00000000-0005-0000-0000-0000D3470000}"/>
    <cellStyle name="Comma 4 4 4 4" xfId="26711" xr:uid="{00000000-0005-0000-0000-0000D4470000}"/>
    <cellStyle name="Comma 4 4 4 4 2" xfId="26875" xr:uid="{00000000-0005-0000-0000-0000D5470000}"/>
    <cellStyle name="Comma 4 4 4 5" xfId="26874" xr:uid="{00000000-0005-0000-0000-0000D6470000}"/>
    <cellStyle name="Comma 4 4 4 5 2" xfId="26873" xr:uid="{00000000-0005-0000-0000-0000D7470000}"/>
    <cellStyle name="Comma 4 4 4 6" xfId="26872" xr:uid="{00000000-0005-0000-0000-0000D8470000}"/>
    <cellStyle name="Comma 4 4 4 7" xfId="26877" xr:uid="{00000000-0005-0000-0000-0000D9470000}"/>
    <cellStyle name="Comma 4 4 4 8" xfId="26908" xr:uid="{00000000-0005-0000-0000-0000DA470000}"/>
    <cellStyle name="Comma 4 4 5" xfId="26251" xr:uid="{00000000-0005-0000-0000-0000DB470000}"/>
    <cellStyle name="Comma 4 4 5 2" xfId="26482" xr:uid="{00000000-0005-0000-0000-0000DC470000}"/>
    <cellStyle name="Comma 4 4 5 2 2" xfId="26871" xr:uid="{00000000-0005-0000-0000-0000DD470000}"/>
    <cellStyle name="Comma 4 4 5 3" xfId="26713" xr:uid="{00000000-0005-0000-0000-0000DE470000}"/>
    <cellStyle name="Comma 4 4 5 3 2" xfId="26870" xr:uid="{00000000-0005-0000-0000-0000DF470000}"/>
    <cellStyle name="Comma 4 4 5 4" xfId="26869" xr:uid="{00000000-0005-0000-0000-0000E0470000}"/>
    <cellStyle name="Comma 4 4 5 5" xfId="27094" xr:uid="{00000000-0005-0000-0000-0000E1470000}"/>
    <cellStyle name="Comma 4 4 6" xfId="26337" xr:uid="{00000000-0005-0000-0000-0000E2470000}"/>
    <cellStyle name="Comma 4 4 6 2" xfId="26868" xr:uid="{00000000-0005-0000-0000-0000E3470000}"/>
    <cellStyle name="Comma 4 4 7" xfId="26568" xr:uid="{00000000-0005-0000-0000-0000E4470000}"/>
    <cellStyle name="Comma 4 4 7 2" xfId="26867" xr:uid="{00000000-0005-0000-0000-0000E5470000}"/>
    <cellStyle name="Comma 4 4 8" xfId="26866" xr:uid="{00000000-0005-0000-0000-0000E6470000}"/>
    <cellStyle name="Comma 4 4 8 2" xfId="26865" xr:uid="{00000000-0005-0000-0000-0000E7470000}"/>
    <cellStyle name="Comma 4 4 9" xfId="26864" xr:uid="{00000000-0005-0000-0000-0000E8470000}"/>
    <cellStyle name="Comma 4 4 9 2" xfId="26863" xr:uid="{00000000-0005-0000-0000-0000E9470000}"/>
    <cellStyle name="Comma 4 5" xfId="26107" xr:uid="{00000000-0005-0000-0000-0000EA470000}"/>
    <cellStyle name="Comma 4 5 2" xfId="26338" xr:uid="{00000000-0005-0000-0000-0000EB470000}"/>
    <cellStyle name="Comma 4 5 2 2" xfId="26042" xr:uid="{00000000-0005-0000-0000-0000EC470000}"/>
    <cellStyle name="Comma 4 5 3" xfId="26569" xr:uid="{00000000-0005-0000-0000-0000ED470000}"/>
    <cellStyle name="Comma 4 5 3 2" xfId="26862" xr:uid="{00000000-0005-0000-0000-0000EE470000}"/>
    <cellStyle name="Comma 4 5 4" xfId="26861" xr:uid="{00000000-0005-0000-0000-0000EF470000}"/>
    <cellStyle name="Comma 4 5 4 2" xfId="26860" xr:uid="{00000000-0005-0000-0000-0000F0470000}"/>
    <cellStyle name="Comma 4 5 5" xfId="26859" xr:uid="{00000000-0005-0000-0000-0000F1470000}"/>
    <cellStyle name="Comma 4 5 6" xfId="27011" xr:uid="{00000000-0005-0000-0000-0000F2470000}"/>
    <cellStyle name="Comma 4 6" xfId="26108" xr:uid="{00000000-0005-0000-0000-0000F3470000}"/>
    <cellStyle name="Comma 4 6 2" xfId="26339" xr:uid="{00000000-0005-0000-0000-0000F4470000}"/>
    <cellStyle name="Comma 4 6 2 2" xfId="26857" xr:uid="{00000000-0005-0000-0000-0000F5470000}"/>
    <cellStyle name="Comma 4 6 2 3" xfId="26858" xr:uid="{00000000-0005-0000-0000-0000F6470000}"/>
    <cellStyle name="Comma 4 6 3" xfId="26570" xr:uid="{00000000-0005-0000-0000-0000F7470000}"/>
    <cellStyle name="Comma 4 6 3 2" xfId="26855" xr:uid="{00000000-0005-0000-0000-0000F8470000}"/>
    <cellStyle name="Comma 4 6 3 3" xfId="26856" xr:uid="{00000000-0005-0000-0000-0000F9470000}"/>
    <cellStyle name="Comma 4 6 4" xfId="26854" xr:uid="{00000000-0005-0000-0000-0000FA470000}"/>
    <cellStyle name="Comma 4 6 5" xfId="27134" xr:uid="{00000000-0005-0000-0000-0000FB470000}"/>
    <cellStyle name="Comma 4 7" xfId="26109" xr:uid="{00000000-0005-0000-0000-0000FC470000}"/>
    <cellStyle name="Comma 4 7 2" xfId="26340" xr:uid="{00000000-0005-0000-0000-0000FD470000}"/>
    <cellStyle name="Comma 4 7 3" xfId="26571" xr:uid="{00000000-0005-0000-0000-0000FE470000}"/>
    <cellStyle name="Comma 4 8" xfId="26110" xr:uid="{00000000-0005-0000-0000-0000FF470000}"/>
    <cellStyle name="Comma 4 8 2" xfId="26341" xr:uid="{00000000-0005-0000-0000-000000480000}"/>
    <cellStyle name="Comma 4 8 3" xfId="26572" xr:uid="{00000000-0005-0000-0000-000001480000}"/>
    <cellStyle name="Comma 4 9" xfId="26111" xr:uid="{00000000-0005-0000-0000-000002480000}"/>
    <cellStyle name="Comma 4 9 2" xfId="26342" xr:uid="{00000000-0005-0000-0000-000003480000}"/>
    <cellStyle name="Comma 4 9 3" xfId="26573" xr:uid="{00000000-0005-0000-0000-000004480000}"/>
    <cellStyle name="Comma 4_HistoricResComp" xfId="2310" xr:uid="{00000000-0005-0000-0000-000005480000}"/>
    <cellStyle name="Comma 5" xfId="26112" xr:uid="{00000000-0005-0000-0000-000006480000}"/>
    <cellStyle name="Comma 5 10" xfId="26113" xr:uid="{00000000-0005-0000-0000-000007480000}"/>
    <cellStyle name="Comma 5 10 2" xfId="26344" xr:uid="{00000000-0005-0000-0000-000008480000}"/>
    <cellStyle name="Comma 5 10 3" xfId="26575" xr:uid="{00000000-0005-0000-0000-000009480000}"/>
    <cellStyle name="Comma 5 11" xfId="26114" xr:uid="{00000000-0005-0000-0000-00000A480000}"/>
    <cellStyle name="Comma 5 11 2" xfId="26345" xr:uid="{00000000-0005-0000-0000-00000B480000}"/>
    <cellStyle name="Comma 5 11 3" xfId="26576" xr:uid="{00000000-0005-0000-0000-00000C480000}"/>
    <cellStyle name="Comma 5 12" xfId="26115" xr:uid="{00000000-0005-0000-0000-00000D480000}"/>
    <cellStyle name="Comma 5 12 2" xfId="26346" xr:uid="{00000000-0005-0000-0000-00000E480000}"/>
    <cellStyle name="Comma 5 12 3" xfId="26577" xr:uid="{00000000-0005-0000-0000-00000F480000}"/>
    <cellStyle name="Comma 5 13" xfId="26116" xr:uid="{00000000-0005-0000-0000-000010480000}"/>
    <cellStyle name="Comma 5 13 2" xfId="26347" xr:uid="{00000000-0005-0000-0000-000011480000}"/>
    <cellStyle name="Comma 5 13 3" xfId="26578" xr:uid="{00000000-0005-0000-0000-000012480000}"/>
    <cellStyle name="Comma 5 14" xfId="26117" xr:uid="{00000000-0005-0000-0000-000013480000}"/>
    <cellStyle name="Comma 5 14 2" xfId="26348" xr:uid="{00000000-0005-0000-0000-000014480000}"/>
    <cellStyle name="Comma 5 14 3" xfId="26579" xr:uid="{00000000-0005-0000-0000-000015480000}"/>
    <cellStyle name="Comma 5 15" xfId="26118" xr:uid="{00000000-0005-0000-0000-000016480000}"/>
    <cellStyle name="Comma 5 15 2" xfId="26349" xr:uid="{00000000-0005-0000-0000-000017480000}"/>
    <cellStyle name="Comma 5 15 3" xfId="26580" xr:uid="{00000000-0005-0000-0000-000018480000}"/>
    <cellStyle name="Comma 5 16" xfId="26119" xr:uid="{00000000-0005-0000-0000-000019480000}"/>
    <cellStyle name="Comma 5 16 2" xfId="26350" xr:uid="{00000000-0005-0000-0000-00001A480000}"/>
    <cellStyle name="Comma 5 16 3" xfId="26581" xr:uid="{00000000-0005-0000-0000-00001B480000}"/>
    <cellStyle name="Comma 5 17" xfId="26120" xr:uid="{00000000-0005-0000-0000-00001C480000}"/>
    <cellStyle name="Comma 5 17 2" xfId="26351" xr:uid="{00000000-0005-0000-0000-00001D480000}"/>
    <cellStyle name="Comma 5 17 3" xfId="26582" xr:uid="{00000000-0005-0000-0000-00001E480000}"/>
    <cellStyle name="Comma 5 18" xfId="26121" xr:uid="{00000000-0005-0000-0000-00001F480000}"/>
    <cellStyle name="Comma 5 18 2" xfId="26352" xr:uid="{00000000-0005-0000-0000-000020480000}"/>
    <cellStyle name="Comma 5 18 3" xfId="26583" xr:uid="{00000000-0005-0000-0000-000021480000}"/>
    <cellStyle name="Comma 5 19" xfId="26343" xr:uid="{00000000-0005-0000-0000-000022480000}"/>
    <cellStyle name="Comma 5 2" xfId="26122" xr:uid="{00000000-0005-0000-0000-000023480000}"/>
    <cellStyle name="Comma 5 2 2" xfId="26123" xr:uid="{00000000-0005-0000-0000-000024480000}"/>
    <cellStyle name="Comma 5 2 2 2" xfId="3957" xr:uid="{00000000-0005-0000-0000-000025480000}"/>
    <cellStyle name="Comma 5 2 2 2 2" xfId="3958" xr:uid="{00000000-0005-0000-0000-000026480000}"/>
    <cellStyle name="Comma 5 2 2 3" xfId="3959" xr:uid="{00000000-0005-0000-0000-000027480000}"/>
    <cellStyle name="Comma 5 2 2 4" xfId="26354" xr:uid="{00000000-0005-0000-0000-000028480000}"/>
    <cellStyle name="Comma 5 2 2 5" xfId="26585" xr:uid="{00000000-0005-0000-0000-000029480000}"/>
    <cellStyle name="Comma 5 2 3" xfId="26124" xr:uid="{00000000-0005-0000-0000-00002A480000}"/>
    <cellStyle name="Comma 5 2 3 2" xfId="3960" xr:uid="{00000000-0005-0000-0000-00002B480000}"/>
    <cellStyle name="Comma 5 2 3 3" xfId="26355" xr:uid="{00000000-0005-0000-0000-00002C480000}"/>
    <cellStyle name="Comma 5 2 3 4" xfId="26586" xr:uid="{00000000-0005-0000-0000-00002D480000}"/>
    <cellStyle name="Comma 5 2 4" xfId="26125" xr:uid="{00000000-0005-0000-0000-00002E480000}"/>
    <cellStyle name="Comma 5 2 4 2" xfId="3961" xr:uid="{00000000-0005-0000-0000-00002F480000}"/>
    <cellStyle name="Comma 5 2 4 2 2" xfId="26767" xr:uid="{00000000-0005-0000-0000-000030480000}"/>
    <cellStyle name="Comma 5 2 4 3" xfId="26356" xr:uid="{00000000-0005-0000-0000-000031480000}"/>
    <cellStyle name="Comma 5 2 4 4" xfId="26587" xr:uid="{00000000-0005-0000-0000-000032480000}"/>
    <cellStyle name="Comma 5 2 5" xfId="26126" xr:uid="{00000000-0005-0000-0000-000033480000}"/>
    <cellStyle name="Comma 5 2 5 2" xfId="26357" xr:uid="{00000000-0005-0000-0000-000034480000}"/>
    <cellStyle name="Comma 5 2 5 3" xfId="26588" xr:uid="{00000000-0005-0000-0000-000035480000}"/>
    <cellStyle name="Comma 5 2 5 4" xfId="16254" xr:uid="{00000000-0005-0000-0000-000036480000}"/>
    <cellStyle name="Comma 5 2 6" xfId="26353" xr:uid="{00000000-0005-0000-0000-000037480000}"/>
    <cellStyle name="Comma 5 2 7" xfId="26584" xr:uid="{00000000-0005-0000-0000-000038480000}"/>
    <cellStyle name="Comma 5 2_HistoricResComp" xfId="2311" xr:uid="{00000000-0005-0000-0000-000039480000}"/>
    <cellStyle name="Comma 5 20" xfId="26574" xr:uid="{00000000-0005-0000-0000-00003A480000}"/>
    <cellStyle name="Comma 5 3" xfId="26127" xr:uid="{00000000-0005-0000-0000-00003B480000}"/>
    <cellStyle name="Comma 5 3 10" xfId="26853" xr:uid="{00000000-0005-0000-0000-00003C480000}"/>
    <cellStyle name="Comma 5 3 10 2" xfId="26913" xr:uid="{00000000-0005-0000-0000-00003D480000}"/>
    <cellStyle name="Comma 5 3 11" xfId="26852" xr:uid="{00000000-0005-0000-0000-00003E480000}"/>
    <cellStyle name="Comma 5 3 12" xfId="27009" xr:uid="{00000000-0005-0000-0000-00003F480000}"/>
    <cellStyle name="Comma 5 3 2" xfId="26252" xr:uid="{00000000-0005-0000-0000-000040480000}"/>
    <cellStyle name="Comma 5 3 2 2" xfId="26253" xr:uid="{00000000-0005-0000-0000-000041480000}"/>
    <cellStyle name="Comma 5 3 2 2 2" xfId="26484" xr:uid="{00000000-0005-0000-0000-000042480000}"/>
    <cellStyle name="Comma 5 3 2 2 2 2" xfId="26851" xr:uid="{00000000-0005-0000-0000-000043480000}"/>
    <cellStyle name="Comma 5 3 2 2 3" xfId="26715" xr:uid="{00000000-0005-0000-0000-000044480000}"/>
    <cellStyle name="Comma 5 3 2 2 3 2" xfId="26850" xr:uid="{00000000-0005-0000-0000-000045480000}"/>
    <cellStyle name="Comma 5 3 2 2 4" xfId="26849" xr:uid="{00000000-0005-0000-0000-000046480000}"/>
    <cellStyle name="Comma 5 3 2 2 5" xfId="27083" xr:uid="{00000000-0005-0000-0000-000047480000}"/>
    <cellStyle name="Comma 5 3 2 3" xfId="26483" xr:uid="{00000000-0005-0000-0000-000048480000}"/>
    <cellStyle name="Comma 5 3 2 3 2" xfId="26848" xr:uid="{00000000-0005-0000-0000-000049480000}"/>
    <cellStyle name="Comma 5 3 2 4" xfId="26714" xr:uid="{00000000-0005-0000-0000-00004A480000}"/>
    <cellStyle name="Comma 5 3 2 4 2" xfId="26847" xr:uid="{00000000-0005-0000-0000-00004B480000}"/>
    <cellStyle name="Comma 5 3 2 5" xfId="26846" xr:uid="{00000000-0005-0000-0000-00004C480000}"/>
    <cellStyle name="Comma 5 3 2 5 2" xfId="26845" xr:uid="{00000000-0005-0000-0000-00004D480000}"/>
    <cellStyle name="Comma 5 3 2 6" xfId="26844" xr:uid="{00000000-0005-0000-0000-00004E480000}"/>
    <cellStyle name="Comma 5 3 2 6 2" xfId="26935" xr:uid="{00000000-0005-0000-0000-00004F480000}"/>
    <cellStyle name="Comma 5 3 2 7" xfId="27175" xr:uid="{00000000-0005-0000-0000-000050480000}"/>
    <cellStyle name="Comma 5 3 2 7 2" xfId="27062" xr:uid="{00000000-0005-0000-0000-000051480000}"/>
    <cellStyle name="Comma 5 3 2 8" xfId="27176" xr:uid="{00000000-0005-0000-0000-000052480000}"/>
    <cellStyle name="Comma 5 3 2 9" xfId="26998" xr:uid="{00000000-0005-0000-0000-000053480000}"/>
    <cellStyle name="Comma 5 3 3" xfId="26254" xr:uid="{00000000-0005-0000-0000-000054480000}"/>
    <cellStyle name="Comma 5 3 3 2" xfId="26255" xr:uid="{00000000-0005-0000-0000-000055480000}"/>
    <cellStyle name="Comma 5 3 3 2 2" xfId="26486" xr:uid="{00000000-0005-0000-0000-000056480000}"/>
    <cellStyle name="Comma 5 3 3 2 2 2" xfId="26934" xr:uid="{00000000-0005-0000-0000-000057480000}"/>
    <cellStyle name="Comma 5 3 3 2 2 3" xfId="26933" xr:uid="{00000000-0005-0000-0000-000058480000}"/>
    <cellStyle name="Comma 5 3 3 2 2 4" xfId="27063" xr:uid="{00000000-0005-0000-0000-000059480000}"/>
    <cellStyle name="Comma 5 3 3 2 3" xfId="26717" xr:uid="{00000000-0005-0000-0000-00005A480000}"/>
    <cellStyle name="Comma 5 3 3 2 3 2" xfId="26843" xr:uid="{00000000-0005-0000-0000-00005B480000}"/>
    <cellStyle name="Comma 5 3 3 2 4" xfId="26842" xr:uid="{00000000-0005-0000-0000-00005C480000}"/>
    <cellStyle name="Comma 5 3 3 2 5" xfId="27004" xr:uid="{00000000-0005-0000-0000-00005D480000}"/>
    <cellStyle name="Comma 5 3 3 3" xfId="26256" xr:uid="{00000000-0005-0000-0000-00005E480000}"/>
    <cellStyle name="Comma 5 3 3 3 2" xfId="26487" xr:uid="{00000000-0005-0000-0000-00005F480000}"/>
    <cellStyle name="Comma 5 3 3 3 3" xfId="26718" xr:uid="{00000000-0005-0000-0000-000060480000}"/>
    <cellStyle name="Comma 5 3 3 3 4" xfId="26912" xr:uid="{00000000-0005-0000-0000-000061480000}"/>
    <cellStyle name="Comma 5 3 3 4" xfId="26485" xr:uid="{00000000-0005-0000-0000-000062480000}"/>
    <cellStyle name="Comma 5 3 3 4 2" xfId="26841" xr:uid="{00000000-0005-0000-0000-000063480000}"/>
    <cellStyle name="Comma 5 3 3 5" xfId="26716" xr:uid="{00000000-0005-0000-0000-000064480000}"/>
    <cellStyle name="Comma 5 3 3 5 2" xfId="26840" xr:uid="{00000000-0005-0000-0000-000065480000}"/>
    <cellStyle name="Comma 5 3 3 6" xfId="26839" xr:uid="{00000000-0005-0000-0000-000066480000}"/>
    <cellStyle name="Comma 5 3 3 6 2" xfId="26838" xr:uid="{00000000-0005-0000-0000-000067480000}"/>
    <cellStyle name="Comma 5 3 3 7" xfId="26837" xr:uid="{00000000-0005-0000-0000-000068480000}"/>
    <cellStyle name="Comma 5 3 3 7 2" xfId="27099" xr:uid="{00000000-0005-0000-0000-000069480000}"/>
    <cellStyle name="Comma 5 3 3 8" xfId="26836" xr:uid="{00000000-0005-0000-0000-00006A480000}"/>
    <cellStyle name="Comma 5 3 3 9" xfId="27084" xr:uid="{00000000-0005-0000-0000-00006B480000}"/>
    <cellStyle name="Comma 5 3 4" xfId="26257" xr:uid="{00000000-0005-0000-0000-00006C480000}"/>
    <cellStyle name="Comma 5 3 4 2" xfId="26258" xr:uid="{00000000-0005-0000-0000-00006D480000}"/>
    <cellStyle name="Comma 5 3 4 2 2" xfId="26489" xr:uid="{00000000-0005-0000-0000-00006E480000}"/>
    <cellStyle name="Comma 5 3 4 2 3" xfId="26720" xr:uid="{00000000-0005-0000-0000-00006F480000}"/>
    <cellStyle name="Comma 5 3 4 3" xfId="26488" xr:uid="{00000000-0005-0000-0000-000070480000}"/>
    <cellStyle name="Comma 5 3 4 3 2" xfId="26835" xr:uid="{00000000-0005-0000-0000-000071480000}"/>
    <cellStyle name="Comma 5 3 4 4" xfId="26719" xr:uid="{00000000-0005-0000-0000-000072480000}"/>
    <cellStyle name="Comma 5 3 4 4 2" xfId="26834" xr:uid="{00000000-0005-0000-0000-000073480000}"/>
    <cellStyle name="Comma 5 3 4 5" xfId="26833" xr:uid="{00000000-0005-0000-0000-000074480000}"/>
    <cellStyle name="Comma 5 3 4 5 2" xfId="26832" xr:uid="{00000000-0005-0000-0000-000075480000}"/>
    <cellStyle name="Comma 5 3 4 6" xfId="26831" xr:uid="{00000000-0005-0000-0000-000076480000}"/>
    <cellStyle name="Comma 5 3 4 7" xfId="26932" xr:uid="{00000000-0005-0000-0000-000077480000}"/>
    <cellStyle name="Comma 5 3 4 8" xfId="27051" xr:uid="{00000000-0005-0000-0000-000078480000}"/>
    <cellStyle name="Comma 5 3 5" xfId="26259" xr:uid="{00000000-0005-0000-0000-000079480000}"/>
    <cellStyle name="Comma 5 3 5 2" xfId="26490" xr:uid="{00000000-0005-0000-0000-00007A480000}"/>
    <cellStyle name="Comma 5 3 5 2 2" xfId="26830" xr:uid="{00000000-0005-0000-0000-00007B480000}"/>
    <cellStyle name="Comma 5 3 5 3" xfId="26721" xr:uid="{00000000-0005-0000-0000-00007C480000}"/>
    <cellStyle name="Comma 5 3 5 3 2" xfId="26829" xr:uid="{00000000-0005-0000-0000-00007D480000}"/>
    <cellStyle name="Comma 5 3 5 4" xfId="26828" xr:uid="{00000000-0005-0000-0000-00007E480000}"/>
    <cellStyle name="Comma 5 3 5 5" xfId="27113" xr:uid="{00000000-0005-0000-0000-00007F480000}"/>
    <cellStyle name="Comma 5 3 6" xfId="26358" xr:uid="{00000000-0005-0000-0000-000080480000}"/>
    <cellStyle name="Comma 5 3 6 2" xfId="26827" xr:uid="{00000000-0005-0000-0000-000081480000}"/>
    <cellStyle name="Comma 5 3 7" xfId="26589" xr:uid="{00000000-0005-0000-0000-000082480000}"/>
    <cellStyle name="Comma 5 3 7 2" xfId="26826" xr:uid="{00000000-0005-0000-0000-000083480000}"/>
    <cellStyle name="Comma 5 3 8" xfId="26825" xr:uid="{00000000-0005-0000-0000-000084480000}"/>
    <cellStyle name="Comma 5 3 8 2" xfId="26824" xr:uid="{00000000-0005-0000-0000-000085480000}"/>
    <cellStyle name="Comma 5 3 9" xfId="26823" xr:uid="{00000000-0005-0000-0000-000086480000}"/>
    <cellStyle name="Comma 5 3 9 2" xfId="26822" xr:uid="{00000000-0005-0000-0000-000087480000}"/>
    <cellStyle name="Comma 5 4" xfId="26128" xr:uid="{00000000-0005-0000-0000-000088480000}"/>
    <cellStyle name="Comma 5 4 2" xfId="26260" xr:uid="{00000000-0005-0000-0000-000089480000}"/>
    <cellStyle name="Comma 5 4 2 2" xfId="26491" xr:uid="{00000000-0005-0000-0000-00008A480000}"/>
    <cellStyle name="Comma 5 4 2 2 2" xfId="26931" xr:uid="{00000000-0005-0000-0000-00008B480000}"/>
    <cellStyle name="Comma 5 4 2 3" xfId="26722" xr:uid="{00000000-0005-0000-0000-00008C480000}"/>
    <cellStyle name="Comma 5 4 2 3 2" xfId="26821" xr:uid="{00000000-0005-0000-0000-00008D480000}"/>
    <cellStyle name="Comma 5 4 2 4" xfId="26820" xr:uid="{00000000-0005-0000-0000-00008E480000}"/>
    <cellStyle name="Comma 5 4 2 5" xfId="27189" xr:uid="{00000000-0005-0000-0000-00008F480000}"/>
    <cellStyle name="Comma 5 4 3" xfId="26359" xr:uid="{00000000-0005-0000-0000-000090480000}"/>
    <cellStyle name="Comma 5 4 3 2" xfId="26819" xr:uid="{00000000-0005-0000-0000-000091480000}"/>
    <cellStyle name="Comma 5 4 4" xfId="26590" xr:uid="{00000000-0005-0000-0000-000092480000}"/>
    <cellStyle name="Comma 5 4 4 2" xfId="26818" xr:uid="{00000000-0005-0000-0000-000093480000}"/>
    <cellStyle name="Comma 5 4 5" xfId="26817" xr:uid="{00000000-0005-0000-0000-000094480000}"/>
    <cellStyle name="Comma 5 4 5 2" xfId="26816" xr:uid="{00000000-0005-0000-0000-000095480000}"/>
    <cellStyle name="Comma 5 4 6" xfId="26815" xr:uid="{00000000-0005-0000-0000-000096480000}"/>
    <cellStyle name="Comma 5 4 6 2" xfId="26814" xr:uid="{00000000-0005-0000-0000-000097480000}"/>
    <cellStyle name="Comma 5 4 7" xfId="26813" xr:uid="{00000000-0005-0000-0000-000098480000}"/>
    <cellStyle name="Comma 5 4 7 2" xfId="26812" xr:uid="{00000000-0005-0000-0000-000099480000}"/>
    <cellStyle name="Comma 5 4 8" xfId="26811" xr:uid="{00000000-0005-0000-0000-00009A480000}"/>
    <cellStyle name="Comma 5 4 9" xfId="27055" xr:uid="{00000000-0005-0000-0000-00009B480000}"/>
    <cellStyle name="Comma 5 5" xfId="26129" xr:uid="{00000000-0005-0000-0000-00009C480000}"/>
    <cellStyle name="Comma 5 5 2" xfId="26261" xr:uid="{00000000-0005-0000-0000-00009D480000}"/>
    <cellStyle name="Comma 5 5 2 2" xfId="26492" xr:uid="{00000000-0005-0000-0000-00009E480000}"/>
    <cellStyle name="Comma 5 5 2 2 2" xfId="26963" xr:uid="{00000000-0005-0000-0000-00009F480000}"/>
    <cellStyle name="Comma 5 5 2 3" xfId="26723" xr:uid="{00000000-0005-0000-0000-0000A0480000}"/>
    <cellStyle name="Comma 5 5 2 3 2" xfId="26810" xr:uid="{00000000-0005-0000-0000-0000A1480000}"/>
    <cellStyle name="Comma 5 5 2 4" xfId="27025" xr:uid="{00000000-0005-0000-0000-0000A2480000}"/>
    <cellStyle name="Comma 5 5 2 5" xfId="17156" xr:uid="{00000000-0005-0000-0000-0000A3480000}"/>
    <cellStyle name="Comma 5 5 2 6" xfId="16944" xr:uid="{00000000-0005-0000-0000-0000A4480000}"/>
    <cellStyle name="Comma 5 5 3" xfId="3962" xr:uid="{00000000-0005-0000-0000-0000A5480000}"/>
    <cellStyle name="Comma 5 5 4" xfId="3963" xr:uid="{00000000-0005-0000-0000-0000A6480000}"/>
    <cellStyle name="Comma 5 5 4 2" xfId="16612" xr:uid="{00000000-0005-0000-0000-0000A7480000}"/>
    <cellStyle name="Comma 5 5 4 3" xfId="16339" xr:uid="{00000000-0005-0000-0000-0000A8480000}"/>
    <cellStyle name="Comma 5 5 4 4" xfId="26919" xr:uid="{00000000-0005-0000-0000-0000A9480000}"/>
    <cellStyle name="Comma 5 5 5" xfId="3964" xr:uid="{00000000-0005-0000-0000-0000AA480000}"/>
    <cellStyle name="Comma 5 5 5 2" xfId="26766" xr:uid="{00000000-0005-0000-0000-0000AB480000}"/>
    <cellStyle name="Comma 5 5 6" xfId="26360" xr:uid="{00000000-0005-0000-0000-0000AC480000}"/>
    <cellStyle name="Comma 5 5 7" xfId="26591" xr:uid="{00000000-0005-0000-0000-0000AD480000}"/>
    <cellStyle name="Comma 5 6" xfId="26130" xr:uid="{00000000-0005-0000-0000-0000AE480000}"/>
    <cellStyle name="Comma 5 6 10" xfId="27182" xr:uid="{00000000-0005-0000-0000-0000AF480000}"/>
    <cellStyle name="Comma 5 6 2" xfId="26262" xr:uid="{00000000-0005-0000-0000-0000B0480000}"/>
    <cellStyle name="Comma 5 6 2 2" xfId="26493" xr:uid="{00000000-0005-0000-0000-0000B1480000}"/>
    <cellStyle name="Comma 5 6 2 2 2" xfId="26764" xr:uid="{00000000-0005-0000-0000-0000B2480000}"/>
    <cellStyle name="Comma 5 6 2 2 3" xfId="16436" xr:uid="{00000000-0005-0000-0000-0000B3480000}"/>
    <cellStyle name="Comma 5 6 2 3" xfId="26724" xr:uid="{00000000-0005-0000-0000-0000B4480000}"/>
    <cellStyle name="Comma 5 6 2 3 2" xfId="26921" xr:uid="{00000000-0005-0000-0000-0000B5480000}"/>
    <cellStyle name="Comma 5 6 2 4" xfId="26765" xr:uid="{00000000-0005-0000-0000-0000B6480000}"/>
    <cellStyle name="Comma 5 6 2 5" xfId="27126" xr:uid="{00000000-0005-0000-0000-0000B7480000}"/>
    <cellStyle name="Comma 5 6 2 6" xfId="27201" xr:uid="{00000000-0005-0000-0000-0000B8480000}"/>
    <cellStyle name="Comma 5 6 3" xfId="26263" xr:uid="{00000000-0005-0000-0000-0000B9480000}"/>
    <cellStyle name="Comma 5 6 3 2" xfId="26494" xr:uid="{00000000-0005-0000-0000-0000BA480000}"/>
    <cellStyle name="Comma 5 6 3 3" xfId="26725" xr:uid="{00000000-0005-0000-0000-0000BB480000}"/>
    <cellStyle name="Comma 5 6 3 3 2" xfId="17158" xr:uid="{00000000-0005-0000-0000-0000BC480000}"/>
    <cellStyle name="Comma 5 6 4" xfId="26361" xr:uid="{00000000-0005-0000-0000-0000BD480000}"/>
    <cellStyle name="Comma 5 6 4 2" xfId="27160" xr:uid="{00000000-0005-0000-0000-0000BE480000}"/>
    <cellStyle name="Comma 5 6 5" xfId="26592" xr:uid="{00000000-0005-0000-0000-0000BF480000}"/>
    <cellStyle name="Comma 5 6 5 2" xfId="27038" xr:uid="{00000000-0005-0000-0000-0000C0480000}"/>
    <cellStyle name="Comma 5 6 6" xfId="26927" xr:uid="{00000000-0005-0000-0000-0000C1480000}"/>
    <cellStyle name="Comma 5 6 6 2" xfId="26744" xr:uid="{00000000-0005-0000-0000-0000C2480000}"/>
    <cellStyle name="Comma 5 6 7" xfId="27206" xr:uid="{00000000-0005-0000-0000-0000C3480000}"/>
    <cellStyle name="Comma 5 6 7 2" xfId="27007" xr:uid="{00000000-0005-0000-0000-0000C4480000}"/>
    <cellStyle name="Comma 5 6 8" xfId="16888" xr:uid="{00000000-0005-0000-0000-0000C5480000}"/>
    <cellStyle name="Comma 5 6 9" xfId="27048" xr:uid="{00000000-0005-0000-0000-0000C6480000}"/>
    <cellStyle name="Comma 5 7" xfId="26131" xr:uid="{00000000-0005-0000-0000-0000C7480000}"/>
    <cellStyle name="Comma 5 7 10" xfId="16342" xr:uid="{00000000-0005-0000-0000-0000C8480000}"/>
    <cellStyle name="Comma 5 7 11" xfId="26960" xr:uid="{00000000-0005-0000-0000-0000C9480000}"/>
    <cellStyle name="Comma 5 7 12" xfId="27107" xr:uid="{00000000-0005-0000-0000-0000CA480000}"/>
    <cellStyle name="Comma 5 7 2" xfId="26362" xr:uid="{00000000-0005-0000-0000-0000CB480000}"/>
    <cellStyle name="Comma 5 7 2 2" xfId="26959" xr:uid="{00000000-0005-0000-0000-0000CC480000}"/>
    <cellStyle name="Comma 5 7 2 2 2" xfId="27181" xr:uid="{00000000-0005-0000-0000-0000CD480000}"/>
    <cellStyle name="Comma 5 7 2 3" xfId="26930" xr:uid="{00000000-0005-0000-0000-0000CE480000}"/>
    <cellStyle name="Comma 5 7 2 4" xfId="16712" xr:uid="{00000000-0005-0000-0000-0000CF480000}"/>
    <cellStyle name="Comma 5 7 2 5" xfId="27066" xr:uid="{00000000-0005-0000-0000-0000D0480000}"/>
    <cellStyle name="Comma 5 7 2 6" xfId="26926" xr:uid="{00000000-0005-0000-0000-0000D1480000}"/>
    <cellStyle name="Comma 5 7 3" xfId="26593" xr:uid="{00000000-0005-0000-0000-0000D2480000}"/>
    <cellStyle name="Comma 5 7 3 2" xfId="27164" xr:uid="{00000000-0005-0000-0000-0000D3480000}"/>
    <cellStyle name="Comma 5 7 3 2 2" xfId="27106" xr:uid="{00000000-0005-0000-0000-0000D4480000}"/>
    <cellStyle name="Comma 5 7 3 3" xfId="27205" xr:uid="{00000000-0005-0000-0000-0000D5480000}"/>
    <cellStyle name="Comma 5 7 3 4" xfId="27044" xr:uid="{00000000-0005-0000-0000-0000D6480000}"/>
    <cellStyle name="Comma 5 7 3 5" xfId="27217" xr:uid="{00000000-0005-0000-0000-0000D7480000}"/>
    <cellStyle name="Comma 5 7 4" xfId="26958" xr:uid="{00000000-0005-0000-0000-0000D8480000}"/>
    <cellStyle name="Comma 5 7 4 2" xfId="26966" xr:uid="{00000000-0005-0000-0000-0000D9480000}"/>
    <cellStyle name="Comma 5 7 4 2 2" xfId="26957" xr:uid="{00000000-0005-0000-0000-0000DA480000}"/>
    <cellStyle name="Comma 5 7 4 3" xfId="27110" xr:uid="{00000000-0005-0000-0000-0000DB480000}"/>
    <cellStyle name="Comma 5 7 4 4" xfId="26956" xr:uid="{00000000-0005-0000-0000-0000DC480000}"/>
    <cellStyle name="Comma 5 7 5" xfId="26955" xr:uid="{00000000-0005-0000-0000-0000DD480000}"/>
    <cellStyle name="Comma 5 7 5 2" xfId="26954" xr:uid="{00000000-0005-0000-0000-0000DE480000}"/>
    <cellStyle name="Comma 5 7 5 2 2" xfId="26953" xr:uid="{00000000-0005-0000-0000-0000DF480000}"/>
    <cellStyle name="Comma 5 7 5 3" xfId="27082" xr:uid="{00000000-0005-0000-0000-0000E0480000}"/>
    <cellStyle name="Comma 5 7 5 4" xfId="26952" xr:uid="{00000000-0005-0000-0000-0000E1480000}"/>
    <cellStyle name="Comma 5 7 6" xfId="26951" xr:uid="{00000000-0005-0000-0000-0000E2480000}"/>
    <cellStyle name="Comma 5 7 6 2" xfId="26737" xr:uid="{00000000-0005-0000-0000-0000E3480000}"/>
    <cellStyle name="Comma 5 7 6 2 2" xfId="26738" xr:uid="{00000000-0005-0000-0000-0000E4480000}"/>
    <cellStyle name="Comma 5 7 6 3" xfId="26905" xr:uid="{00000000-0005-0000-0000-0000E5480000}"/>
    <cellStyle name="Comma 5 7 6 4" xfId="27165" xr:uid="{00000000-0005-0000-0000-0000E6480000}"/>
    <cellStyle name="Comma 5 7 7" xfId="26996" xr:uid="{00000000-0005-0000-0000-0000E7480000}"/>
    <cellStyle name="Comma 5 7 7 2" xfId="26995" xr:uid="{00000000-0005-0000-0000-0000E8480000}"/>
    <cellStyle name="Comma 5 7 8" xfId="26923" xr:uid="{00000000-0005-0000-0000-0000E9480000}"/>
    <cellStyle name="Comma 5 7 8 2" xfId="26994" xr:uid="{00000000-0005-0000-0000-0000EA480000}"/>
    <cellStyle name="Comma 5 7 9" xfId="26909" xr:uid="{00000000-0005-0000-0000-0000EB480000}"/>
    <cellStyle name="Comma 5 8" xfId="26132" xr:uid="{00000000-0005-0000-0000-0000EC480000}"/>
    <cellStyle name="Comma 5 8 2" xfId="26363" xr:uid="{00000000-0005-0000-0000-0000ED480000}"/>
    <cellStyle name="Comma 5 8 2 2" xfId="27155" xr:uid="{00000000-0005-0000-0000-0000EE480000}"/>
    <cellStyle name="Comma 5 8 3" xfId="26594" xr:uid="{00000000-0005-0000-0000-0000EF480000}"/>
    <cellStyle name="Comma 5 8 3 2" xfId="27185" xr:uid="{00000000-0005-0000-0000-0000F0480000}"/>
    <cellStyle name="Comma 5 8 4" xfId="26929" xr:uid="{00000000-0005-0000-0000-0000F1480000}"/>
    <cellStyle name="Comma 5 8 5" xfId="26763" xr:uid="{00000000-0005-0000-0000-0000F2480000}"/>
    <cellStyle name="Comma 5 9" xfId="26133" xr:uid="{00000000-0005-0000-0000-0000F3480000}"/>
    <cellStyle name="Comma 5 9 2" xfId="26364" xr:uid="{00000000-0005-0000-0000-0000F4480000}"/>
    <cellStyle name="Comma 5 9 3" xfId="26595" xr:uid="{00000000-0005-0000-0000-0000F5480000}"/>
    <cellStyle name="Comma 5 9 3 2" xfId="26762" xr:uid="{00000000-0005-0000-0000-0000F6480000}"/>
    <cellStyle name="Comma 5_HistoricResComp" xfId="2312" xr:uid="{00000000-0005-0000-0000-0000F7480000}"/>
    <cellStyle name="Comma 6" xfId="26134" xr:uid="{00000000-0005-0000-0000-0000F8480000}"/>
    <cellStyle name="Comma 6 10" xfId="26135" xr:uid="{00000000-0005-0000-0000-0000F9480000}"/>
    <cellStyle name="Comma 6 10 2" xfId="26366" xr:uid="{00000000-0005-0000-0000-0000FA480000}"/>
    <cellStyle name="Comma 6 10 3" xfId="26597" xr:uid="{00000000-0005-0000-0000-0000FB480000}"/>
    <cellStyle name="Comma 6 10 4" xfId="27024" xr:uid="{00000000-0005-0000-0000-0000FC480000}"/>
    <cellStyle name="Comma 6 11" xfId="26136" xr:uid="{00000000-0005-0000-0000-0000FD480000}"/>
    <cellStyle name="Comma 6 11 2" xfId="26367" xr:uid="{00000000-0005-0000-0000-0000FE480000}"/>
    <cellStyle name="Comma 6 11 3" xfId="26598" xr:uid="{00000000-0005-0000-0000-0000FF480000}"/>
    <cellStyle name="Comma 6 11 4" xfId="27031" xr:uid="{00000000-0005-0000-0000-000000490000}"/>
    <cellStyle name="Comma 6 12" xfId="26137" xr:uid="{00000000-0005-0000-0000-000001490000}"/>
    <cellStyle name="Comma 6 12 2" xfId="26368" xr:uid="{00000000-0005-0000-0000-000002490000}"/>
    <cellStyle name="Comma 6 12 3" xfId="26599" xr:uid="{00000000-0005-0000-0000-000003490000}"/>
    <cellStyle name="Comma 6 12 4" xfId="26756" xr:uid="{00000000-0005-0000-0000-000004490000}"/>
    <cellStyle name="Comma 6 13" xfId="26138" xr:uid="{00000000-0005-0000-0000-000005490000}"/>
    <cellStyle name="Comma 6 13 2" xfId="26369" xr:uid="{00000000-0005-0000-0000-000006490000}"/>
    <cellStyle name="Comma 6 13 3" xfId="26600" xr:uid="{00000000-0005-0000-0000-000007490000}"/>
    <cellStyle name="Comma 6 14" xfId="26139" xr:uid="{00000000-0005-0000-0000-000008490000}"/>
    <cellStyle name="Comma 6 14 2" xfId="26370" xr:uid="{00000000-0005-0000-0000-000009490000}"/>
    <cellStyle name="Comma 6 14 3" xfId="26601" xr:uid="{00000000-0005-0000-0000-00000A490000}"/>
    <cellStyle name="Comma 6 15" xfId="26140" xr:uid="{00000000-0005-0000-0000-00000B490000}"/>
    <cellStyle name="Comma 6 15 2" xfId="26371" xr:uid="{00000000-0005-0000-0000-00000C490000}"/>
    <cellStyle name="Comma 6 15 3" xfId="26602" xr:uid="{00000000-0005-0000-0000-00000D490000}"/>
    <cellStyle name="Comma 6 16" xfId="26141" xr:uid="{00000000-0005-0000-0000-00000E490000}"/>
    <cellStyle name="Comma 6 16 2" xfId="26372" xr:uid="{00000000-0005-0000-0000-00000F490000}"/>
    <cellStyle name="Comma 6 16 3" xfId="26603" xr:uid="{00000000-0005-0000-0000-000010490000}"/>
    <cellStyle name="Comma 6 17" xfId="26142" xr:uid="{00000000-0005-0000-0000-000011490000}"/>
    <cellStyle name="Comma 6 17 2" xfId="26373" xr:uid="{00000000-0005-0000-0000-000012490000}"/>
    <cellStyle name="Comma 6 17 3" xfId="26604" xr:uid="{00000000-0005-0000-0000-000013490000}"/>
    <cellStyle name="Comma 6 18" xfId="26365" xr:uid="{00000000-0005-0000-0000-000014490000}"/>
    <cellStyle name="Comma 6 19" xfId="26596" xr:uid="{00000000-0005-0000-0000-000015490000}"/>
    <cellStyle name="Comma 6 2" xfId="26143" xr:uid="{00000000-0005-0000-0000-000016490000}"/>
    <cellStyle name="Comma 6 2 10" xfId="27029" xr:uid="{00000000-0005-0000-0000-000017490000}"/>
    <cellStyle name="Comma 6 2 2" xfId="26144" xr:uid="{00000000-0005-0000-0000-000018490000}"/>
    <cellStyle name="Comma 6 2 2 2" xfId="26375" xr:uid="{00000000-0005-0000-0000-000019490000}"/>
    <cellStyle name="Comma 6 2 2 2 2" xfId="27070" xr:uid="{00000000-0005-0000-0000-00001A490000}"/>
    <cellStyle name="Comma 6 2 2 2 3" xfId="27088" xr:uid="{00000000-0005-0000-0000-00001B490000}"/>
    <cellStyle name="Comma 6 2 2 3" xfId="26606" xr:uid="{00000000-0005-0000-0000-00001C490000}"/>
    <cellStyle name="Comma 6 2 2 3 2" xfId="27095" xr:uid="{00000000-0005-0000-0000-00001D490000}"/>
    <cellStyle name="Comma 6 2 2 3 3" xfId="26748" xr:uid="{00000000-0005-0000-0000-00001E490000}"/>
    <cellStyle name="Comma 6 2 2 4" xfId="27152" xr:uid="{00000000-0005-0000-0000-00001F490000}"/>
    <cellStyle name="Comma 6 2 2 5" xfId="27132" xr:uid="{00000000-0005-0000-0000-000020490000}"/>
    <cellStyle name="Comma 6 2 2 6" xfId="27133" xr:uid="{00000000-0005-0000-0000-000021490000}"/>
    <cellStyle name="Comma 6 2 3" xfId="26145" xr:uid="{00000000-0005-0000-0000-000022490000}"/>
    <cellStyle name="Comma 6 2 3 2" xfId="26376" xr:uid="{00000000-0005-0000-0000-000023490000}"/>
    <cellStyle name="Comma 6 2 3 2 2" xfId="27149" xr:uid="{00000000-0005-0000-0000-000024490000}"/>
    <cellStyle name="Comma 6 2 3 3" xfId="26607" xr:uid="{00000000-0005-0000-0000-000025490000}"/>
    <cellStyle name="Comma 6 2 3 4" xfId="27050" xr:uid="{00000000-0005-0000-0000-000026490000}"/>
    <cellStyle name="Comma 6 2 4" xfId="26146" xr:uid="{00000000-0005-0000-0000-000027490000}"/>
    <cellStyle name="Comma 6 2 4 2" xfId="26377" xr:uid="{00000000-0005-0000-0000-000028490000}"/>
    <cellStyle name="Comma 6 2 4 2 2" xfId="27137" xr:uid="{00000000-0005-0000-0000-000029490000}"/>
    <cellStyle name="Comma 6 2 4 3" xfId="26608" xr:uid="{00000000-0005-0000-0000-00002A490000}"/>
    <cellStyle name="Comma 6 2 4 4" xfId="27114" xr:uid="{00000000-0005-0000-0000-00002B490000}"/>
    <cellStyle name="Comma 6 2 5" xfId="26147" xr:uid="{00000000-0005-0000-0000-00002C490000}"/>
    <cellStyle name="Comma 6 2 5 2" xfId="26378" xr:uid="{00000000-0005-0000-0000-00002D490000}"/>
    <cellStyle name="Comma 6 2 5 2 2" xfId="26904" xr:uid="{00000000-0005-0000-0000-00002E490000}"/>
    <cellStyle name="Comma 6 2 5 3" xfId="26609" xr:uid="{00000000-0005-0000-0000-00002F490000}"/>
    <cellStyle name="Comma 6 2 5 4" xfId="27200" xr:uid="{00000000-0005-0000-0000-000030490000}"/>
    <cellStyle name="Comma 6 2 6" xfId="26374" xr:uid="{00000000-0005-0000-0000-000031490000}"/>
    <cellStyle name="Comma 6 2 6 2" xfId="26903" xr:uid="{00000000-0005-0000-0000-000032490000}"/>
    <cellStyle name="Comma 6 2 6 3" xfId="26950" xr:uid="{00000000-0005-0000-0000-000033490000}"/>
    <cellStyle name="Comma 6 2 7" xfId="26605" xr:uid="{00000000-0005-0000-0000-000034490000}"/>
    <cellStyle name="Comma 6 2 7 2" xfId="27087" xr:uid="{00000000-0005-0000-0000-000035490000}"/>
    <cellStyle name="Comma 6 2 7 3" xfId="27030" xr:uid="{00000000-0005-0000-0000-000036490000}"/>
    <cellStyle name="Comma 6 2 8" xfId="27069" xr:uid="{00000000-0005-0000-0000-000037490000}"/>
    <cellStyle name="Comma 6 2 9" xfId="27023" xr:uid="{00000000-0005-0000-0000-000038490000}"/>
    <cellStyle name="Comma 6 20" xfId="26758" xr:uid="{00000000-0005-0000-0000-000039490000}"/>
    <cellStyle name="Comma 6 3" xfId="26148" xr:uid="{00000000-0005-0000-0000-00003A490000}"/>
    <cellStyle name="Comma 6 3 10" xfId="27202" xr:uid="{00000000-0005-0000-0000-00003B490000}"/>
    <cellStyle name="Comma 6 3 2" xfId="26264" xr:uid="{00000000-0005-0000-0000-00003C490000}"/>
    <cellStyle name="Comma 6 3 2 2" xfId="26265" xr:uid="{00000000-0005-0000-0000-00003D490000}"/>
    <cellStyle name="Comma 6 3 2 2 2" xfId="26496" xr:uid="{00000000-0005-0000-0000-00003E490000}"/>
    <cellStyle name="Comma 6 3 2 2 3" xfId="26727" xr:uid="{00000000-0005-0000-0000-00003F490000}"/>
    <cellStyle name="Comma 6 3 2 3" xfId="26495" xr:uid="{00000000-0005-0000-0000-000040490000}"/>
    <cellStyle name="Comma 6 3 2 3 2" xfId="27091" xr:uid="{00000000-0005-0000-0000-000041490000}"/>
    <cellStyle name="Comma 6 3 2 4" xfId="26726" xr:uid="{00000000-0005-0000-0000-000042490000}"/>
    <cellStyle name="Comma 6 3 2 4 2" xfId="27131" xr:uid="{00000000-0005-0000-0000-000043490000}"/>
    <cellStyle name="Comma 6 3 2 5" xfId="26928" xr:uid="{00000000-0005-0000-0000-000044490000}"/>
    <cellStyle name="Comma 6 3 2 5 2" xfId="27089" xr:uid="{00000000-0005-0000-0000-000045490000}"/>
    <cellStyle name="Comma 6 3 2 6" xfId="27187" xr:uid="{00000000-0005-0000-0000-000046490000}"/>
    <cellStyle name="Comma 6 3 2 7" xfId="26746" xr:uid="{00000000-0005-0000-0000-000047490000}"/>
    <cellStyle name="Comma 6 3 2 8" xfId="27154" xr:uid="{00000000-0005-0000-0000-000048490000}"/>
    <cellStyle name="Comma 6 3 3" xfId="26266" xr:uid="{00000000-0005-0000-0000-000049490000}"/>
    <cellStyle name="Comma 6 3 3 2" xfId="26497" xr:uid="{00000000-0005-0000-0000-00004A490000}"/>
    <cellStyle name="Comma 6 3 3 2 2" xfId="26949" xr:uid="{00000000-0005-0000-0000-00004B490000}"/>
    <cellStyle name="Comma 6 3 3 3" xfId="26728" xr:uid="{00000000-0005-0000-0000-00004C490000}"/>
    <cellStyle name="Comma 6 3 3 3 2" xfId="26948" xr:uid="{00000000-0005-0000-0000-00004D490000}"/>
    <cellStyle name="Comma 6 3 3 4" xfId="26947" xr:uid="{00000000-0005-0000-0000-00004E490000}"/>
    <cellStyle name="Comma 6 3 3 5" xfId="27028" xr:uid="{00000000-0005-0000-0000-00004F490000}"/>
    <cellStyle name="Comma 6 3 4" xfId="26379" xr:uid="{00000000-0005-0000-0000-000050490000}"/>
    <cellStyle name="Comma 6 3 4 2" xfId="26902" xr:uid="{00000000-0005-0000-0000-000051490000}"/>
    <cellStyle name="Comma 6 3 5" xfId="26610" xr:uid="{00000000-0005-0000-0000-000052490000}"/>
    <cellStyle name="Comma 6 3 5 2" xfId="26809" xr:uid="{00000000-0005-0000-0000-000053490000}"/>
    <cellStyle name="Comma 6 3 6" xfId="26808" xr:uid="{00000000-0005-0000-0000-000054490000}"/>
    <cellStyle name="Comma 6 3 6 2" xfId="26807" xr:uid="{00000000-0005-0000-0000-000055490000}"/>
    <cellStyle name="Comma 6 3 7" xfId="26806" xr:uid="{00000000-0005-0000-0000-000056490000}"/>
    <cellStyle name="Comma 6 3 7 2" xfId="26805" xr:uid="{00000000-0005-0000-0000-000057490000}"/>
    <cellStyle name="Comma 6 3 8" xfId="26804" xr:uid="{00000000-0005-0000-0000-000058490000}"/>
    <cellStyle name="Comma 6 3 8 2" xfId="26803" xr:uid="{00000000-0005-0000-0000-000059490000}"/>
    <cellStyle name="Comma 6 3 9" xfId="26802" xr:uid="{00000000-0005-0000-0000-00005A490000}"/>
    <cellStyle name="Comma 6 4" xfId="26149" xr:uid="{00000000-0005-0000-0000-00005B490000}"/>
    <cellStyle name="Comma 6 4 2" xfId="26380" xr:uid="{00000000-0005-0000-0000-00005C490000}"/>
    <cellStyle name="Comma 6 4 2 2" xfId="26800" xr:uid="{00000000-0005-0000-0000-00005D490000}"/>
    <cellStyle name="Comma 6 4 2 3" xfId="26801" xr:uid="{00000000-0005-0000-0000-00005E490000}"/>
    <cellStyle name="Comma 6 4 3" xfId="26611" xr:uid="{00000000-0005-0000-0000-00005F490000}"/>
    <cellStyle name="Comma 6 4 3 2" xfId="26798" xr:uid="{00000000-0005-0000-0000-000060490000}"/>
    <cellStyle name="Comma 6 4 3 3" xfId="26799" xr:uid="{00000000-0005-0000-0000-000061490000}"/>
    <cellStyle name="Comma 6 4 4" xfId="26797" xr:uid="{00000000-0005-0000-0000-000062490000}"/>
    <cellStyle name="Comma 6 4 5" xfId="26761" xr:uid="{00000000-0005-0000-0000-000063490000}"/>
    <cellStyle name="Comma 6 4 6" xfId="27022" xr:uid="{00000000-0005-0000-0000-000064490000}"/>
    <cellStyle name="Comma 6 4 7" xfId="26997" xr:uid="{00000000-0005-0000-0000-000065490000}"/>
    <cellStyle name="Comma 6 5" xfId="26150" xr:uid="{00000000-0005-0000-0000-000066490000}"/>
    <cellStyle name="Comma 6 5 2" xfId="26381" xr:uid="{00000000-0005-0000-0000-000067490000}"/>
    <cellStyle name="Comma 6 5 2 2" xfId="26795" xr:uid="{00000000-0005-0000-0000-000068490000}"/>
    <cellStyle name="Comma 6 5 3" xfId="26612" xr:uid="{00000000-0005-0000-0000-000069490000}"/>
    <cellStyle name="Comma 6 5 4" xfId="26796" xr:uid="{00000000-0005-0000-0000-00006A490000}"/>
    <cellStyle name="Comma 6 6" xfId="26151" xr:uid="{00000000-0005-0000-0000-00006B490000}"/>
    <cellStyle name="Comma 6 6 2" xfId="26382" xr:uid="{00000000-0005-0000-0000-00006C490000}"/>
    <cellStyle name="Comma 6 6 2 2" xfId="26793" xr:uid="{00000000-0005-0000-0000-00006D490000}"/>
    <cellStyle name="Comma 6 6 3" xfId="26613" xr:uid="{00000000-0005-0000-0000-00006E490000}"/>
    <cellStyle name="Comma 6 6 4" xfId="26794" xr:uid="{00000000-0005-0000-0000-00006F490000}"/>
    <cellStyle name="Comma 6 7" xfId="26152" xr:uid="{00000000-0005-0000-0000-000070490000}"/>
    <cellStyle name="Comma 6 7 2" xfId="26383" xr:uid="{00000000-0005-0000-0000-000071490000}"/>
    <cellStyle name="Comma 6 7 2 2" xfId="26791" xr:uid="{00000000-0005-0000-0000-000072490000}"/>
    <cellStyle name="Comma 6 7 3" xfId="26614" xr:uid="{00000000-0005-0000-0000-000073490000}"/>
    <cellStyle name="Comma 6 7 4" xfId="26792" xr:uid="{00000000-0005-0000-0000-000074490000}"/>
    <cellStyle name="Comma 6 8" xfId="26153" xr:uid="{00000000-0005-0000-0000-000075490000}"/>
    <cellStyle name="Comma 6 8 2" xfId="26384" xr:uid="{00000000-0005-0000-0000-000076490000}"/>
    <cellStyle name="Comma 6 8 2 2" xfId="26789" xr:uid="{00000000-0005-0000-0000-000077490000}"/>
    <cellStyle name="Comma 6 8 3" xfId="26615" xr:uid="{00000000-0005-0000-0000-000078490000}"/>
    <cellStyle name="Comma 6 8 4" xfId="26790" xr:uid="{00000000-0005-0000-0000-000079490000}"/>
    <cellStyle name="Comma 6 9" xfId="26154" xr:uid="{00000000-0005-0000-0000-00007A490000}"/>
    <cellStyle name="Comma 6 9 2" xfId="26385" xr:uid="{00000000-0005-0000-0000-00007B490000}"/>
    <cellStyle name="Comma 6 9 2 2" xfId="26787" xr:uid="{00000000-0005-0000-0000-00007C490000}"/>
    <cellStyle name="Comma 6 9 3" xfId="26616" xr:uid="{00000000-0005-0000-0000-00007D490000}"/>
    <cellStyle name="Comma 6 9 4" xfId="26788" xr:uid="{00000000-0005-0000-0000-00007E490000}"/>
    <cellStyle name="Comma 6_HistoricResComp" xfId="2313" xr:uid="{00000000-0005-0000-0000-00007F490000}"/>
    <cellStyle name="Comma 7" xfId="26155" xr:uid="{00000000-0005-0000-0000-000080490000}"/>
    <cellStyle name="Comma 7 10" xfId="26156" xr:uid="{00000000-0005-0000-0000-000081490000}"/>
    <cellStyle name="Comma 7 10 2" xfId="26387" xr:uid="{00000000-0005-0000-0000-000082490000}"/>
    <cellStyle name="Comma 7 10 3" xfId="26618" xr:uid="{00000000-0005-0000-0000-000083490000}"/>
    <cellStyle name="Comma 7 11" xfId="26157" xr:uid="{00000000-0005-0000-0000-000084490000}"/>
    <cellStyle name="Comma 7 11 2" xfId="26388" xr:uid="{00000000-0005-0000-0000-000085490000}"/>
    <cellStyle name="Comma 7 11 3" xfId="26619" xr:uid="{00000000-0005-0000-0000-000086490000}"/>
    <cellStyle name="Comma 7 12" xfId="26158" xr:uid="{00000000-0005-0000-0000-000087490000}"/>
    <cellStyle name="Comma 7 12 2" xfId="26389" xr:uid="{00000000-0005-0000-0000-000088490000}"/>
    <cellStyle name="Comma 7 12 3" xfId="26620" xr:uid="{00000000-0005-0000-0000-000089490000}"/>
    <cellStyle name="Comma 7 13" xfId="26159" xr:uid="{00000000-0005-0000-0000-00008A490000}"/>
    <cellStyle name="Comma 7 13 2" xfId="26390" xr:uid="{00000000-0005-0000-0000-00008B490000}"/>
    <cellStyle name="Comma 7 13 3" xfId="26621" xr:uid="{00000000-0005-0000-0000-00008C490000}"/>
    <cellStyle name="Comma 7 14" xfId="26160" xr:uid="{00000000-0005-0000-0000-00008D490000}"/>
    <cellStyle name="Comma 7 14 2" xfId="26391" xr:uid="{00000000-0005-0000-0000-00008E490000}"/>
    <cellStyle name="Comma 7 14 3" xfId="26622" xr:uid="{00000000-0005-0000-0000-00008F490000}"/>
    <cellStyle name="Comma 7 15" xfId="26161" xr:uid="{00000000-0005-0000-0000-000090490000}"/>
    <cellStyle name="Comma 7 15 2" xfId="26392" xr:uid="{00000000-0005-0000-0000-000091490000}"/>
    <cellStyle name="Comma 7 15 3" xfId="26623" xr:uid="{00000000-0005-0000-0000-000092490000}"/>
    <cellStyle name="Comma 7 16" xfId="26162" xr:uid="{00000000-0005-0000-0000-000093490000}"/>
    <cellStyle name="Comma 7 16 2" xfId="26393" xr:uid="{00000000-0005-0000-0000-000094490000}"/>
    <cellStyle name="Comma 7 16 3" xfId="26624" xr:uid="{00000000-0005-0000-0000-000095490000}"/>
    <cellStyle name="Comma 7 17" xfId="26163" xr:uid="{00000000-0005-0000-0000-000096490000}"/>
    <cellStyle name="Comma 7 17 2" xfId="26394" xr:uid="{00000000-0005-0000-0000-000097490000}"/>
    <cellStyle name="Comma 7 17 3" xfId="26625" xr:uid="{00000000-0005-0000-0000-000098490000}"/>
    <cellStyle name="Comma 7 18" xfId="26386" xr:uid="{00000000-0005-0000-0000-000099490000}"/>
    <cellStyle name="Comma 7 19" xfId="26617" xr:uid="{00000000-0005-0000-0000-00009A490000}"/>
    <cellStyle name="Comma 7 2" xfId="26164" xr:uid="{00000000-0005-0000-0000-00009B490000}"/>
    <cellStyle name="Comma 7 2 2" xfId="26165" xr:uid="{00000000-0005-0000-0000-00009C490000}"/>
    <cellStyle name="Comma 7 2 2 2" xfId="26396" xr:uid="{00000000-0005-0000-0000-00009D490000}"/>
    <cellStyle name="Comma 7 2 2 2 2" xfId="26786" xr:uid="{00000000-0005-0000-0000-00009E490000}"/>
    <cellStyle name="Comma 7 2 2 3" xfId="26627" xr:uid="{00000000-0005-0000-0000-00009F490000}"/>
    <cellStyle name="Comma 7 2 2 3 2" xfId="26785" xr:uid="{00000000-0005-0000-0000-0000A0490000}"/>
    <cellStyle name="Comma 7 2 2 4" xfId="26784" xr:uid="{00000000-0005-0000-0000-0000A1490000}"/>
    <cellStyle name="Comma 7 2 2 5" xfId="27052" xr:uid="{00000000-0005-0000-0000-0000A2490000}"/>
    <cellStyle name="Comma 7 2 3" xfId="26166" xr:uid="{00000000-0005-0000-0000-0000A3490000}"/>
    <cellStyle name="Comma 7 2 3 2" xfId="26397" xr:uid="{00000000-0005-0000-0000-0000A4490000}"/>
    <cellStyle name="Comma 7 2 3 3" xfId="26628" xr:uid="{00000000-0005-0000-0000-0000A5490000}"/>
    <cellStyle name="Comma 7 2 4" xfId="26167" xr:uid="{00000000-0005-0000-0000-0000A6490000}"/>
    <cellStyle name="Comma 7 2 4 2" xfId="26398" xr:uid="{00000000-0005-0000-0000-0000A7490000}"/>
    <cellStyle name="Comma 7 2 4 3" xfId="26629" xr:uid="{00000000-0005-0000-0000-0000A8490000}"/>
    <cellStyle name="Comma 7 2 5" xfId="26168" xr:uid="{00000000-0005-0000-0000-0000A9490000}"/>
    <cellStyle name="Comma 7 2 5 2" xfId="26399" xr:uid="{00000000-0005-0000-0000-0000AA490000}"/>
    <cellStyle name="Comma 7 2 5 3" xfId="26630" xr:uid="{00000000-0005-0000-0000-0000AB490000}"/>
    <cellStyle name="Comma 7 2 6" xfId="26395" xr:uid="{00000000-0005-0000-0000-0000AC490000}"/>
    <cellStyle name="Comma 7 2 6 2" xfId="26783" xr:uid="{00000000-0005-0000-0000-0000AD490000}"/>
    <cellStyle name="Comma 7 2 7" xfId="26626" xr:uid="{00000000-0005-0000-0000-0000AE490000}"/>
    <cellStyle name="Comma 7 2 7 2" xfId="26782" xr:uid="{00000000-0005-0000-0000-0000AF490000}"/>
    <cellStyle name="Comma 7 2 8" xfId="26781" xr:uid="{00000000-0005-0000-0000-0000B0490000}"/>
    <cellStyle name="Comma 7 2 9" xfId="27068" xr:uid="{00000000-0005-0000-0000-0000B1490000}"/>
    <cellStyle name="Comma 7 3" xfId="26169" xr:uid="{00000000-0005-0000-0000-0000B2490000}"/>
    <cellStyle name="Comma 7 3 2" xfId="26267" xr:uid="{00000000-0005-0000-0000-0000B3490000}"/>
    <cellStyle name="Comma 7 3 2 2" xfId="26498" xr:uid="{00000000-0005-0000-0000-0000B4490000}"/>
    <cellStyle name="Comma 7 3 2 2 2" xfId="26779" xr:uid="{00000000-0005-0000-0000-0000B5490000}"/>
    <cellStyle name="Comma 7 3 2 2 3" xfId="26778" xr:uid="{00000000-0005-0000-0000-0000B6490000}"/>
    <cellStyle name="Comma 7 3 2 2 4" xfId="26780" xr:uid="{00000000-0005-0000-0000-0000B7490000}"/>
    <cellStyle name="Comma 7 3 2 3" xfId="26729" xr:uid="{00000000-0005-0000-0000-0000B8490000}"/>
    <cellStyle name="Comma 7 3 2 3 2" xfId="26911" xr:uid="{00000000-0005-0000-0000-0000B9490000}"/>
    <cellStyle name="Comma 7 3 2 4" xfId="26777" xr:uid="{00000000-0005-0000-0000-0000BA490000}"/>
    <cellStyle name="Comma 7 3 2 5" xfId="27136" xr:uid="{00000000-0005-0000-0000-0000BB490000}"/>
    <cellStyle name="Comma 7 3 3" xfId="26268" xr:uid="{00000000-0005-0000-0000-0000BC490000}"/>
    <cellStyle name="Comma 7 3 3 2" xfId="26499" xr:uid="{00000000-0005-0000-0000-0000BD490000}"/>
    <cellStyle name="Comma 7 3 3 3" xfId="26730" xr:uid="{00000000-0005-0000-0000-0000BE490000}"/>
    <cellStyle name="Comma 7 3 3 4" xfId="26776" xr:uid="{00000000-0005-0000-0000-0000BF490000}"/>
    <cellStyle name="Comma 7 3 4" xfId="26400" xr:uid="{00000000-0005-0000-0000-0000C0490000}"/>
    <cellStyle name="Comma 7 3 4 2" xfId="27121" xr:uid="{00000000-0005-0000-0000-0000C1490000}"/>
    <cellStyle name="Comma 7 3 5" xfId="26631" xr:uid="{00000000-0005-0000-0000-0000C2490000}"/>
    <cellStyle name="Comma 7 3 5 2" xfId="27199" xr:uid="{00000000-0005-0000-0000-0000C3490000}"/>
    <cellStyle name="Comma 7 3 6" xfId="26918" xr:uid="{00000000-0005-0000-0000-0000C4490000}"/>
    <cellStyle name="Comma 7 3 6 2" xfId="26920" xr:uid="{00000000-0005-0000-0000-0000C5490000}"/>
    <cellStyle name="Comma 7 3 7" xfId="26993" xr:uid="{00000000-0005-0000-0000-0000C6490000}"/>
    <cellStyle name="Comma 7 3 7 2" xfId="26992" xr:uid="{00000000-0005-0000-0000-0000C7490000}"/>
    <cellStyle name="Comma 7 3 8" xfId="26991" xr:uid="{00000000-0005-0000-0000-0000C8490000}"/>
    <cellStyle name="Comma 7 3 9" xfId="27085" xr:uid="{00000000-0005-0000-0000-0000C9490000}"/>
    <cellStyle name="Comma 7 4" xfId="26170" xr:uid="{00000000-0005-0000-0000-0000CA490000}"/>
    <cellStyle name="Comma 7 4 2" xfId="26269" xr:uid="{00000000-0005-0000-0000-0000CB490000}"/>
    <cellStyle name="Comma 7 4 2 2" xfId="26500" xr:uid="{00000000-0005-0000-0000-0000CC490000}"/>
    <cellStyle name="Comma 7 4 2 3" xfId="26731" xr:uid="{00000000-0005-0000-0000-0000CD490000}"/>
    <cellStyle name="Comma 7 4 3" xfId="26401" xr:uid="{00000000-0005-0000-0000-0000CE490000}"/>
    <cellStyle name="Comma 7 4 3 2" xfId="26925" xr:uid="{00000000-0005-0000-0000-0000CF490000}"/>
    <cellStyle name="Comma 7 4 4" xfId="26632" xr:uid="{00000000-0005-0000-0000-0000D0490000}"/>
    <cellStyle name="Comma 7 4 4 2" xfId="26989" xr:uid="{00000000-0005-0000-0000-0000D1490000}"/>
    <cellStyle name="Comma 7 4 5" xfId="26988" xr:uid="{00000000-0005-0000-0000-0000D2490000}"/>
    <cellStyle name="Comma 7 4 5 2" xfId="26987" xr:uid="{00000000-0005-0000-0000-0000D3490000}"/>
    <cellStyle name="Comma 7 4 6" xfId="26986" xr:uid="{00000000-0005-0000-0000-0000D4490000}"/>
    <cellStyle name="Comma 7 4 7" xfId="26990" xr:uid="{00000000-0005-0000-0000-0000D5490000}"/>
    <cellStyle name="Comma 7 4 8" xfId="27116" xr:uid="{00000000-0005-0000-0000-0000D6490000}"/>
    <cellStyle name="Comma 7 5" xfId="26171" xr:uid="{00000000-0005-0000-0000-0000D7490000}"/>
    <cellStyle name="Comma 7 5 2" xfId="26402" xr:uid="{00000000-0005-0000-0000-0000D8490000}"/>
    <cellStyle name="Comma 7 5 2 2" xfId="26985" xr:uid="{00000000-0005-0000-0000-0000D9490000}"/>
    <cellStyle name="Comma 7 5 3" xfId="26633" xr:uid="{00000000-0005-0000-0000-0000DA490000}"/>
    <cellStyle name="Comma 7 5 3 2" xfId="26984" xr:uid="{00000000-0005-0000-0000-0000DB490000}"/>
    <cellStyle name="Comma 7 5 4" xfId="26983" xr:uid="{00000000-0005-0000-0000-0000DC490000}"/>
    <cellStyle name="Comma 7 5 5" xfId="26757" xr:uid="{00000000-0005-0000-0000-0000DD490000}"/>
    <cellStyle name="Comma 7 6" xfId="26172" xr:uid="{00000000-0005-0000-0000-0000DE490000}"/>
    <cellStyle name="Comma 7 6 2" xfId="26403" xr:uid="{00000000-0005-0000-0000-0000DF490000}"/>
    <cellStyle name="Comma 7 6 3" xfId="26634" xr:uid="{00000000-0005-0000-0000-0000E0490000}"/>
    <cellStyle name="Comma 7 7" xfId="26173" xr:uid="{00000000-0005-0000-0000-0000E1490000}"/>
    <cellStyle name="Comma 7 7 2" xfId="26404" xr:uid="{00000000-0005-0000-0000-0000E2490000}"/>
    <cellStyle name="Comma 7 7 3" xfId="26635" xr:uid="{00000000-0005-0000-0000-0000E3490000}"/>
    <cellStyle name="Comma 7 8" xfId="26174" xr:uid="{00000000-0005-0000-0000-0000E4490000}"/>
    <cellStyle name="Comma 7 8 2" xfId="26405" xr:uid="{00000000-0005-0000-0000-0000E5490000}"/>
    <cellStyle name="Comma 7 8 3" xfId="26636" xr:uid="{00000000-0005-0000-0000-0000E6490000}"/>
    <cellStyle name="Comma 7 9" xfId="26175" xr:uid="{00000000-0005-0000-0000-0000E7490000}"/>
    <cellStyle name="Comma 7 9 2" xfId="26406" xr:uid="{00000000-0005-0000-0000-0000E8490000}"/>
    <cellStyle name="Comma 7 9 3" xfId="26637" xr:uid="{00000000-0005-0000-0000-0000E9490000}"/>
    <cellStyle name="Comma 7_HistoricResComp" xfId="2314" xr:uid="{00000000-0005-0000-0000-0000EA490000}"/>
    <cellStyle name="Comma 8" xfId="26176" xr:uid="{00000000-0005-0000-0000-0000EB490000}"/>
    <cellStyle name="Comma 8 10" xfId="26177" xr:uid="{00000000-0005-0000-0000-0000EC490000}"/>
    <cellStyle name="Comma 8 10 2" xfId="26408" xr:uid="{00000000-0005-0000-0000-0000ED490000}"/>
    <cellStyle name="Comma 8 10 3" xfId="26639" xr:uid="{00000000-0005-0000-0000-0000EE490000}"/>
    <cellStyle name="Comma 8 11" xfId="26178" xr:uid="{00000000-0005-0000-0000-0000EF490000}"/>
    <cellStyle name="Comma 8 11 2" xfId="26409" xr:uid="{00000000-0005-0000-0000-0000F0490000}"/>
    <cellStyle name="Comma 8 11 3" xfId="26640" xr:uid="{00000000-0005-0000-0000-0000F1490000}"/>
    <cellStyle name="Comma 8 12" xfId="26179" xr:uid="{00000000-0005-0000-0000-0000F2490000}"/>
    <cellStyle name="Comma 8 12 2" xfId="26410" xr:uid="{00000000-0005-0000-0000-0000F3490000}"/>
    <cellStyle name="Comma 8 12 3" xfId="26641" xr:uid="{00000000-0005-0000-0000-0000F4490000}"/>
    <cellStyle name="Comma 8 13" xfId="26180" xr:uid="{00000000-0005-0000-0000-0000F5490000}"/>
    <cellStyle name="Comma 8 13 2" xfId="26411" xr:uid="{00000000-0005-0000-0000-0000F6490000}"/>
    <cellStyle name="Comma 8 13 3" xfId="26642" xr:uid="{00000000-0005-0000-0000-0000F7490000}"/>
    <cellStyle name="Comma 8 14" xfId="26181" xr:uid="{00000000-0005-0000-0000-0000F8490000}"/>
    <cellStyle name="Comma 8 14 2" xfId="26412" xr:uid="{00000000-0005-0000-0000-0000F9490000}"/>
    <cellStyle name="Comma 8 14 3" xfId="26643" xr:uid="{00000000-0005-0000-0000-0000FA490000}"/>
    <cellStyle name="Comma 8 15" xfId="26182" xr:uid="{00000000-0005-0000-0000-0000FB490000}"/>
    <cellStyle name="Comma 8 15 2" xfId="26413" xr:uid="{00000000-0005-0000-0000-0000FC490000}"/>
    <cellStyle name="Comma 8 15 3" xfId="26644" xr:uid="{00000000-0005-0000-0000-0000FD490000}"/>
    <cellStyle name="Comma 8 16" xfId="26183" xr:uid="{00000000-0005-0000-0000-0000FE490000}"/>
    <cellStyle name="Comma 8 16 2" xfId="26414" xr:uid="{00000000-0005-0000-0000-0000FF490000}"/>
    <cellStyle name="Comma 8 16 3" xfId="26645" xr:uid="{00000000-0005-0000-0000-0000004A0000}"/>
    <cellStyle name="Comma 8 17" xfId="26184" xr:uid="{00000000-0005-0000-0000-0000014A0000}"/>
    <cellStyle name="Comma 8 17 2" xfId="26415" xr:uid="{00000000-0005-0000-0000-0000024A0000}"/>
    <cellStyle name="Comma 8 17 3" xfId="26646" xr:uid="{00000000-0005-0000-0000-0000034A0000}"/>
    <cellStyle name="Comma 8 18" xfId="26407" xr:uid="{00000000-0005-0000-0000-0000044A0000}"/>
    <cellStyle name="Comma 8 19" xfId="26638" xr:uid="{00000000-0005-0000-0000-0000054A0000}"/>
    <cellStyle name="Comma 8 2" xfId="26185" xr:uid="{00000000-0005-0000-0000-0000064A0000}"/>
    <cellStyle name="Comma 8 2 2" xfId="26270" xr:uid="{00000000-0005-0000-0000-0000074A0000}"/>
    <cellStyle name="Comma 8 2 2 2" xfId="26501" xr:uid="{00000000-0005-0000-0000-0000084A0000}"/>
    <cellStyle name="Comma 8 2 2 2 2" xfId="26981" xr:uid="{00000000-0005-0000-0000-0000094A0000}"/>
    <cellStyle name="Comma 8 2 2 2 3" xfId="26980" xr:uid="{00000000-0005-0000-0000-00000A4A0000}"/>
    <cellStyle name="Comma 8 2 2 2 4" xfId="26982" xr:uid="{00000000-0005-0000-0000-00000B4A0000}"/>
    <cellStyle name="Comma 8 2 2 3" xfId="26732" xr:uid="{00000000-0005-0000-0000-00000C4A0000}"/>
    <cellStyle name="Comma 8 2 2 3 2" xfId="26979" xr:uid="{00000000-0005-0000-0000-00000D4A0000}"/>
    <cellStyle name="Comma 8 2 2 4" xfId="26978" xr:uid="{00000000-0005-0000-0000-00000E4A0000}"/>
    <cellStyle name="Comma 8 2 2 5" xfId="26907" xr:uid="{00000000-0005-0000-0000-00000F4A0000}"/>
    <cellStyle name="Comma 8 2 3" xfId="26271" xr:uid="{00000000-0005-0000-0000-0000104A0000}"/>
    <cellStyle name="Comma 8 2 3 2" xfId="26502" xr:uid="{00000000-0005-0000-0000-0000114A0000}"/>
    <cellStyle name="Comma 8 2 3 3" xfId="26733" xr:uid="{00000000-0005-0000-0000-0000124A0000}"/>
    <cellStyle name="Comma 8 2 3 4" xfId="26977" xr:uid="{00000000-0005-0000-0000-0000134A0000}"/>
    <cellStyle name="Comma 8 2 4" xfId="26416" xr:uid="{00000000-0005-0000-0000-0000144A0000}"/>
    <cellStyle name="Comma 8 2 4 2" xfId="26976" xr:uid="{00000000-0005-0000-0000-0000154A0000}"/>
    <cellStyle name="Comma 8 2 5" xfId="26647" xr:uid="{00000000-0005-0000-0000-0000164A0000}"/>
    <cellStyle name="Comma 8 2 5 2" xfId="26975" xr:uid="{00000000-0005-0000-0000-0000174A0000}"/>
    <cellStyle name="Comma 8 2 6" xfId="26974" xr:uid="{00000000-0005-0000-0000-0000184A0000}"/>
    <cellStyle name="Comma 8 2 6 2" xfId="26973" xr:uid="{00000000-0005-0000-0000-0000194A0000}"/>
    <cellStyle name="Comma 8 2 7" xfId="26972" xr:uid="{00000000-0005-0000-0000-00001A4A0000}"/>
    <cellStyle name="Comma 8 2 7 2" xfId="26971" xr:uid="{00000000-0005-0000-0000-00001B4A0000}"/>
    <cellStyle name="Comma 8 2 8" xfId="26970" xr:uid="{00000000-0005-0000-0000-00001C4A0000}"/>
    <cellStyle name="Comma 8 2 9" xfId="26753" xr:uid="{00000000-0005-0000-0000-00001D4A0000}"/>
    <cellStyle name="Comma 8 3" xfId="26186" xr:uid="{00000000-0005-0000-0000-00001E4A0000}"/>
    <cellStyle name="Comma 8 3 2" xfId="26417" xr:uid="{00000000-0005-0000-0000-00001F4A0000}"/>
    <cellStyle name="Comma 8 3 2 2" xfId="26969" xr:uid="{00000000-0005-0000-0000-0000204A0000}"/>
    <cellStyle name="Comma 8 3 3" xfId="26648" xr:uid="{00000000-0005-0000-0000-0000214A0000}"/>
    <cellStyle name="Comma 8 3 3 2" xfId="26968" xr:uid="{00000000-0005-0000-0000-0000224A0000}"/>
    <cellStyle name="Comma 8 3 4" xfId="26967" xr:uid="{00000000-0005-0000-0000-0000234A0000}"/>
    <cellStyle name="Comma 8 3 5" xfId="27166" xr:uid="{00000000-0005-0000-0000-0000244A0000}"/>
    <cellStyle name="Comma 8 4" xfId="26187" xr:uid="{00000000-0005-0000-0000-0000254A0000}"/>
    <cellStyle name="Comma 8 4 2" xfId="26418" xr:uid="{00000000-0005-0000-0000-0000264A0000}"/>
    <cellStyle name="Comma 8 4 3" xfId="26649" xr:uid="{00000000-0005-0000-0000-0000274A0000}"/>
    <cellStyle name="Comma 8 5" xfId="26188" xr:uid="{00000000-0005-0000-0000-0000284A0000}"/>
    <cellStyle name="Comma 8 5 2" xfId="26419" xr:uid="{00000000-0005-0000-0000-0000294A0000}"/>
    <cellStyle name="Comma 8 5 3" xfId="26650" xr:uid="{00000000-0005-0000-0000-00002A4A0000}"/>
    <cellStyle name="Comma 8 6" xfId="26189" xr:uid="{00000000-0005-0000-0000-00002B4A0000}"/>
    <cellStyle name="Comma 8 6 2" xfId="26420" xr:uid="{00000000-0005-0000-0000-00002C4A0000}"/>
    <cellStyle name="Comma 8 6 3" xfId="26651" xr:uid="{00000000-0005-0000-0000-00002D4A0000}"/>
    <cellStyle name="Comma 8 7" xfId="26190" xr:uid="{00000000-0005-0000-0000-00002E4A0000}"/>
    <cellStyle name="Comma 8 7 2" xfId="26421" xr:uid="{00000000-0005-0000-0000-00002F4A0000}"/>
    <cellStyle name="Comma 8 7 3" xfId="26652" xr:uid="{00000000-0005-0000-0000-0000304A0000}"/>
    <cellStyle name="Comma 8 8" xfId="26191" xr:uid="{00000000-0005-0000-0000-0000314A0000}"/>
    <cellStyle name="Comma 8 8 2" xfId="26422" xr:uid="{00000000-0005-0000-0000-0000324A0000}"/>
    <cellStyle name="Comma 8 8 3" xfId="26653" xr:uid="{00000000-0005-0000-0000-0000334A0000}"/>
    <cellStyle name="Comma 8 9" xfId="26192" xr:uid="{00000000-0005-0000-0000-0000344A0000}"/>
    <cellStyle name="Comma 8 9 2" xfId="26423" xr:uid="{00000000-0005-0000-0000-0000354A0000}"/>
    <cellStyle name="Comma 8 9 3" xfId="26654" xr:uid="{00000000-0005-0000-0000-0000364A0000}"/>
    <cellStyle name="Comma 8_HistoricResComp" xfId="2315" xr:uid="{00000000-0005-0000-0000-0000374A0000}"/>
    <cellStyle name="Comma 9" xfId="26193" xr:uid="{00000000-0005-0000-0000-0000384A0000}"/>
    <cellStyle name="Comma 9 2" xfId="26272" xr:uid="{00000000-0005-0000-0000-0000394A0000}"/>
    <cellStyle name="Comma 9 2 2" xfId="26503" xr:uid="{00000000-0005-0000-0000-00003A4A0000}"/>
    <cellStyle name="Comma 9 2 3" xfId="26734" xr:uid="{00000000-0005-0000-0000-00003B4A0000}"/>
    <cellStyle name="Comma 9 3" xfId="26424" xr:uid="{00000000-0005-0000-0000-00003C4A0000}"/>
    <cellStyle name="Comma 9 3 2" xfId="26774" xr:uid="{00000000-0005-0000-0000-00003D4A0000}"/>
    <cellStyle name="Comma 9 3 3" xfId="26775" xr:uid="{00000000-0005-0000-0000-00003E4A0000}"/>
    <cellStyle name="Comma 9 4" xfId="26655" xr:uid="{00000000-0005-0000-0000-00003F4A0000}"/>
    <cellStyle name="Comma 9 4 2" xfId="26772" xr:uid="{00000000-0005-0000-0000-0000404A0000}"/>
    <cellStyle name="Comma 9 4 3" xfId="26773" xr:uid="{00000000-0005-0000-0000-0000414A0000}"/>
    <cellStyle name="Comma 9 5" xfId="26771" xr:uid="{00000000-0005-0000-0000-0000424A0000}"/>
    <cellStyle name="Comma0" xfId="52" xr:uid="{00000000-0005-0000-0000-0000434A0000}"/>
    <cellStyle name="Comma0 2" xfId="2316" xr:uid="{00000000-0005-0000-0000-0000444A0000}"/>
    <cellStyle name="Commentaire" xfId="3965" xr:uid="{00000000-0005-0000-0000-0000454A0000}"/>
    <cellStyle name="cPercent0" xfId="2317" xr:uid="{00000000-0005-0000-0000-0000464A0000}"/>
    <cellStyle name="cPercent1" xfId="2318" xr:uid="{00000000-0005-0000-0000-0000474A0000}"/>
    <cellStyle name="cPercent2" xfId="2319" xr:uid="{00000000-0005-0000-0000-0000484A0000}"/>
    <cellStyle name="cTextB" xfId="2320" xr:uid="{00000000-0005-0000-0000-0000494A0000}"/>
    <cellStyle name="cTextBCen" xfId="2321" xr:uid="{00000000-0005-0000-0000-00004A4A0000}"/>
    <cellStyle name="cTextBCenSm" xfId="2322" xr:uid="{00000000-0005-0000-0000-00004B4A0000}"/>
    <cellStyle name="cTextBCenSm 2" xfId="2323" xr:uid="{00000000-0005-0000-0000-00004C4A0000}"/>
    <cellStyle name="cTextBCenSm 3" xfId="2324" xr:uid="{00000000-0005-0000-0000-00004D4A0000}"/>
    <cellStyle name="cTextBCenSm_Sheet2" xfId="2325" xr:uid="{00000000-0005-0000-0000-00004E4A0000}"/>
    <cellStyle name="cTextCen" xfId="2326" xr:uid="{00000000-0005-0000-0000-00004F4A0000}"/>
    <cellStyle name="cTextGenWrap" xfId="2327" xr:uid="{00000000-0005-0000-0000-0000504A0000}"/>
    <cellStyle name="cTextI" xfId="2328" xr:uid="{00000000-0005-0000-0000-0000514A0000}"/>
    <cellStyle name="cTextSm" xfId="2329" xr:uid="{00000000-0005-0000-0000-0000524A0000}"/>
    <cellStyle name="cTextSm 2" xfId="2330" xr:uid="{00000000-0005-0000-0000-0000534A0000}"/>
    <cellStyle name="cTextSm 3" xfId="2331" xr:uid="{00000000-0005-0000-0000-0000544A0000}"/>
    <cellStyle name="cTextSm_Sheet2" xfId="2332" xr:uid="{00000000-0005-0000-0000-0000554A0000}"/>
    <cellStyle name="cTextU" xfId="2333" xr:uid="{00000000-0005-0000-0000-0000564A0000}"/>
    <cellStyle name="Currency 10" xfId="2334" xr:uid="{00000000-0005-0000-0000-0000574A0000}"/>
    <cellStyle name="Currency 11" xfId="2335" xr:uid="{00000000-0005-0000-0000-0000584A0000}"/>
    <cellStyle name="Currency 12" xfId="2336" xr:uid="{00000000-0005-0000-0000-0000594A0000}"/>
    <cellStyle name="Currency 13" xfId="2337" xr:uid="{00000000-0005-0000-0000-00005A4A0000}"/>
    <cellStyle name="Currency 14" xfId="2338" xr:uid="{00000000-0005-0000-0000-00005B4A0000}"/>
    <cellStyle name="Currency 2" xfId="53" xr:uid="{00000000-0005-0000-0000-00005C4A0000}"/>
    <cellStyle name="Currency 2 2" xfId="2339" xr:uid="{00000000-0005-0000-0000-00005D4A0000}"/>
    <cellStyle name="Currency 2 3" xfId="2340" xr:uid="{00000000-0005-0000-0000-00005E4A0000}"/>
    <cellStyle name="Currency 2 4" xfId="2341" xr:uid="{00000000-0005-0000-0000-00005F4A0000}"/>
    <cellStyle name="Currency 2 5" xfId="2342" xr:uid="{00000000-0005-0000-0000-0000604A0000}"/>
    <cellStyle name="Currency 2 6" xfId="2343" xr:uid="{00000000-0005-0000-0000-0000614A0000}"/>
    <cellStyle name="Currency 2 7" xfId="2344" xr:uid="{00000000-0005-0000-0000-0000624A0000}"/>
    <cellStyle name="Currency 2 8" xfId="2345" xr:uid="{00000000-0005-0000-0000-0000634A0000}"/>
    <cellStyle name="Currency 3" xfId="2346" xr:uid="{00000000-0005-0000-0000-0000644A0000}"/>
    <cellStyle name="Currency 3 2" xfId="2347" xr:uid="{00000000-0005-0000-0000-0000654A0000}"/>
    <cellStyle name="Currency 3 3" xfId="2348" xr:uid="{00000000-0005-0000-0000-0000664A0000}"/>
    <cellStyle name="Currency 3_monthly report" xfId="2349" xr:uid="{00000000-0005-0000-0000-0000674A0000}"/>
    <cellStyle name="Currency 4" xfId="2350" xr:uid="{00000000-0005-0000-0000-0000684A0000}"/>
    <cellStyle name="Currency 5" xfId="2351" xr:uid="{00000000-0005-0000-0000-0000694A0000}"/>
    <cellStyle name="Currency 6" xfId="2352" xr:uid="{00000000-0005-0000-0000-00006A4A0000}"/>
    <cellStyle name="Currency 7" xfId="2353" xr:uid="{00000000-0005-0000-0000-00006B4A0000}"/>
    <cellStyle name="Currency 8" xfId="2354" xr:uid="{00000000-0005-0000-0000-00006C4A0000}"/>
    <cellStyle name="Currency 9" xfId="2355" xr:uid="{00000000-0005-0000-0000-00006D4A0000}"/>
    <cellStyle name="CustomizationCells" xfId="3966" xr:uid="{00000000-0005-0000-0000-00006E4A0000}"/>
    <cellStyle name="Eingabe" xfId="3818" xr:uid="{00000000-0005-0000-0000-00006F4A0000}"/>
    <cellStyle name="Entrée" xfId="3967" xr:uid="{00000000-0005-0000-0000-0000704A0000}"/>
    <cellStyle name="Ergebnis" xfId="3819" xr:uid="{00000000-0005-0000-0000-0000714A0000}"/>
    <cellStyle name="Erklärender Text" xfId="3820" xr:uid="{00000000-0005-0000-0000-0000724A0000}"/>
    <cellStyle name="Euro" xfId="2356" xr:uid="{00000000-0005-0000-0000-0000734A0000}"/>
    <cellStyle name="Euro 10" xfId="3968" xr:uid="{00000000-0005-0000-0000-0000744A0000}"/>
    <cellStyle name="Euro 11" xfId="16062" xr:uid="{00000000-0005-0000-0000-0000754A0000}"/>
    <cellStyle name="Euro 2" xfId="2357" xr:uid="{00000000-0005-0000-0000-0000764A0000}"/>
    <cellStyle name="Euro 2 2" xfId="3969" xr:uid="{00000000-0005-0000-0000-0000774A0000}"/>
    <cellStyle name="Euro 2 2 2" xfId="3970" xr:uid="{00000000-0005-0000-0000-0000784A0000}"/>
    <cellStyle name="Euro 2 2 3" xfId="3971" xr:uid="{00000000-0005-0000-0000-0000794A0000}"/>
    <cellStyle name="Euro 2 3" xfId="3972" xr:uid="{00000000-0005-0000-0000-00007A4A0000}"/>
    <cellStyle name="Euro 2 3 2" xfId="3973" xr:uid="{00000000-0005-0000-0000-00007B4A0000}"/>
    <cellStyle name="Euro 2 3 2 2" xfId="3974" xr:uid="{00000000-0005-0000-0000-00007C4A0000}"/>
    <cellStyle name="Euro 2 3 3" xfId="3975" xr:uid="{00000000-0005-0000-0000-00007D4A0000}"/>
    <cellStyle name="Euro 2 3 3 2" xfId="3976" xr:uid="{00000000-0005-0000-0000-00007E4A0000}"/>
    <cellStyle name="Euro 2 3 3 3" xfId="3977" xr:uid="{00000000-0005-0000-0000-00007F4A0000}"/>
    <cellStyle name="Euro 2 3 4" xfId="3978" xr:uid="{00000000-0005-0000-0000-0000804A0000}"/>
    <cellStyle name="Euro 2 3 4 2" xfId="3979" xr:uid="{00000000-0005-0000-0000-0000814A0000}"/>
    <cellStyle name="Euro 2 3 5" xfId="3980" xr:uid="{00000000-0005-0000-0000-0000824A0000}"/>
    <cellStyle name="Euro 2 4" xfId="3981" xr:uid="{00000000-0005-0000-0000-0000834A0000}"/>
    <cellStyle name="Euro 2 4 2" xfId="16061" xr:uid="{00000000-0005-0000-0000-0000844A0000}"/>
    <cellStyle name="Euro 2 5" xfId="3982" xr:uid="{00000000-0005-0000-0000-0000854A0000}"/>
    <cellStyle name="Euro 3" xfId="2358" xr:uid="{00000000-0005-0000-0000-0000864A0000}"/>
    <cellStyle name="Euro 3 2" xfId="3983" xr:uid="{00000000-0005-0000-0000-0000874A0000}"/>
    <cellStyle name="Euro 3 2 2" xfId="3984" xr:uid="{00000000-0005-0000-0000-0000884A0000}"/>
    <cellStyle name="Euro 3 2 3" xfId="3985" xr:uid="{00000000-0005-0000-0000-0000894A0000}"/>
    <cellStyle name="Euro 3 3" xfId="3986" xr:uid="{00000000-0005-0000-0000-00008A4A0000}"/>
    <cellStyle name="Euro 3 3 2" xfId="3987" xr:uid="{00000000-0005-0000-0000-00008B4A0000}"/>
    <cellStyle name="Euro 3 3 2 2" xfId="3988" xr:uid="{00000000-0005-0000-0000-00008C4A0000}"/>
    <cellStyle name="Euro 3 3 3" xfId="3989" xr:uid="{00000000-0005-0000-0000-00008D4A0000}"/>
    <cellStyle name="Euro 3 3 3 2" xfId="3990" xr:uid="{00000000-0005-0000-0000-00008E4A0000}"/>
    <cellStyle name="Euro 3 3 3 3" xfId="3991" xr:uid="{00000000-0005-0000-0000-00008F4A0000}"/>
    <cellStyle name="Euro 3 3 4" xfId="3992" xr:uid="{00000000-0005-0000-0000-0000904A0000}"/>
    <cellStyle name="Euro 3 3 4 2" xfId="3993" xr:uid="{00000000-0005-0000-0000-0000914A0000}"/>
    <cellStyle name="Euro 3 3 5" xfId="3994" xr:uid="{00000000-0005-0000-0000-0000924A0000}"/>
    <cellStyle name="Euro 3 4" xfId="3995" xr:uid="{00000000-0005-0000-0000-0000934A0000}"/>
    <cellStyle name="Euro 3 4 2" xfId="16060" xr:uid="{00000000-0005-0000-0000-0000944A0000}"/>
    <cellStyle name="Euro 3 5" xfId="16059" xr:uid="{00000000-0005-0000-0000-0000954A0000}"/>
    <cellStyle name="Euro 4" xfId="3996" xr:uid="{00000000-0005-0000-0000-0000964A0000}"/>
    <cellStyle name="Euro 4 2" xfId="3997" xr:uid="{00000000-0005-0000-0000-0000974A0000}"/>
    <cellStyle name="Euro 4 2 2" xfId="3998" xr:uid="{00000000-0005-0000-0000-0000984A0000}"/>
    <cellStyle name="Euro 4 2 2 2" xfId="3999" xr:uid="{00000000-0005-0000-0000-0000994A0000}"/>
    <cellStyle name="Euro 4 2 3" xfId="4000" xr:uid="{00000000-0005-0000-0000-00009A4A0000}"/>
    <cellStyle name="Euro 4 2 3 2" xfId="4001" xr:uid="{00000000-0005-0000-0000-00009B4A0000}"/>
    <cellStyle name="Euro 4 2 3 3" xfId="4002" xr:uid="{00000000-0005-0000-0000-00009C4A0000}"/>
    <cellStyle name="Euro 4 2 4" xfId="4003" xr:uid="{00000000-0005-0000-0000-00009D4A0000}"/>
    <cellStyle name="Euro 4 2 4 2" xfId="16058" xr:uid="{00000000-0005-0000-0000-00009E4A0000}"/>
    <cellStyle name="Euro 4 2 5" xfId="4004" xr:uid="{00000000-0005-0000-0000-00009F4A0000}"/>
    <cellStyle name="Euro 4 3" xfId="4005" xr:uid="{00000000-0005-0000-0000-0000A04A0000}"/>
    <cellStyle name="Euro 4 3 2" xfId="4006" xr:uid="{00000000-0005-0000-0000-0000A14A0000}"/>
    <cellStyle name="Euro 4 4" xfId="4007" xr:uid="{00000000-0005-0000-0000-0000A24A0000}"/>
    <cellStyle name="Euro 4 5" xfId="4008" xr:uid="{00000000-0005-0000-0000-0000A34A0000}"/>
    <cellStyle name="Euro 5" xfId="4009" xr:uid="{00000000-0005-0000-0000-0000A44A0000}"/>
    <cellStyle name="Euro 5 2" xfId="4010" xr:uid="{00000000-0005-0000-0000-0000A54A0000}"/>
    <cellStyle name="Euro 5 2 2" xfId="4011" xr:uid="{00000000-0005-0000-0000-0000A64A0000}"/>
    <cellStyle name="Euro 5 3" xfId="4012" xr:uid="{00000000-0005-0000-0000-0000A74A0000}"/>
    <cellStyle name="Euro 5 3 2" xfId="4013" xr:uid="{00000000-0005-0000-0000-0000A84A0000}"/>
    <cellStyle name="Euro 5 3 3" xfId="4014" xr:uid="{00000000-0005-0000-0000-0000A94A0000}"/>
    <cellStyle name="Euro 5 4" xfId="4015" xr:uid="{00000000-0005-0000-0000-0000AA4A0000}"/>
    <cellStyle name="Euro 5 4 2" xfId="4016" xr:uid="{00000000-0005-0000-0000-0000AB4A0000}"/>
    <cellStyle name="Euro 5 5" xfId="4017" xr:uid="{00000000-0005-0000-0000-0000AC4A0000}"/>
    <cellStyle name="Euro 6" xfId="4018" xr:uid="{00000000-0005-0000-0000-0000AD4A0000}"/>
    <cellStyle name="Euro 6 2" xfId="4019" xr:uid="{00000000-0005-0000-0000-0000AE4A0000}"/>
    <cellStyle name="Euro 6 3" xfId="4020" xr:uid="{00000000-0005-0000-0000-0000AF4A0000}"/>
    <cellStyle name="Euro 7" xfId="4021" xr:uid="{00000000-0005-0000-0000-0000B04A0000}"/>
    <cellStyle name="Euro 7 2" xfId="16057" xr:uid="{00000000-0005-0000-0000-0000B14A0000}"/>
    <cellStyle name="Euro 7 3" xfId="16056" xr:uid="{00000000-0005-0000-0000-0000B24A0000}"/>
    <cellStyle name="Euro 7 4" xfId="16055" xr:uid="{00000000-0005-0000-0000-0000B34A0000}"/>
    <cellStyle name="Euro 7 5" xfId="16212" xr:uid="{00000000-0005-0000-0000-0000B44A0000}"/>
    <cellStyle name="Euro 8" xfId="4022" xr:uid="{00000000-0005-0000-0000-0000B54A0000}"/>
    <cellStyle name="Euro 9" xfId="4023" xr:uid="{00000000-0005-0000-0000-0000B64A0000}"/>
    <cellStyle name="Explanatory Text 10" xfId="2359" xr:uid="{00000000-0005-0000-0000-0000B74A0000}"/>
    <cellStyle name="Explanatory Text 11" xfId="2360" xr:uid="{00000000-0005-0000-0000-0000B84A0000}"/>
    <cellStyle name="Explanatory Text 12" xfId="2361" xr:uid="{00000000-0005-0000-0000-0000B94A0000}"/>
    <cellStyle name="Explanatory Text 13" xfId="2362" xr:uid="{00000000-0005-0000-0000-0000BA4A0000}"/>
    <cellStyle name="Explanatory Text 2" xfId="2363" xr:uid="{00000000-0005-0000-0000-0000BB4A0000}"/>
    <cellStyle name="Explanatory Text 2 10" xfId="2364" xr:uid="{00000000-0005-0000-0000-0000BC4A0000}"/>
    <cellStyle name="Explanatory Text 2 11" xfId="2365" xr:uid="{00000000-0005-0000-0000-0000BD4A0000}"/>
    <cellStyle name="Explanatory Text 2 12" xfId="2366" xr:uid="{00000000-0005-0000-0000-0000BE4A0000}"/>
    <cellStyle name="Explanatory Text 2 13" xfId="2367" xr:uid="{00000000-0005-0000-0000-0000BF4A0000}"/>
    <cellStyle name="Explanatory Text 2 14" xfId="2368" xr:uid="{00000000-0005-0000-0000-0000C04A0000}"/>
    <cellStyle name="Explanatory Text 2 15" xfId="2369" xr:uid="{00000000-0005-0000-0000-0000C14A0000}"/>
    <cellStyle name="Explanatory Text 2 16" xfId="2370" xr:uid="{00000000-0005-0000-0000-0000C24A0000}"/>
    <cellStyle name="Explanatory Text 2 2" xfId="2371" xr:uid="{00000000-0005-0000-0000-0000C34A0000}"/>
    <cellStyle name="Explanatory Text 2 2 2" xfId="2372" xr:uid="{00000000-0005-0000-0000-0000C44A0000}"/>
    <cellStyle name="Explanatory Text 2 2 3" xfId="2373" xr:uid="{00000000-0005-0000-0000-0000C54A0000}"/>
    <cellStyle name="Explanatory Text 2 2 4" xfId="2374" xr:uid="{00000000-0005-0000-0000-0000C64A0000}"/>
    <cellStyle name="Explanatory Text 2 2 5" xfId="2375" xr:uid="{00000000-0005-0000-0000-0000C74A0000}"/>
    <cellStyle name="Explanatory Text 2 3" xfId="2376" xr:uid="{00000000-0005-0000-0000-0000C84A0000}"/>
    <cellStyle name="Explanatory Text 2 4" xfId="2377" xr:uid="{00000000-0005-0000-0000-0000C94A0000}"/>
    <cellStyle name="Explanatory Text 2 5" xfId="2378" xr:uid="{00000000-0005-0000-0000-0000CA4A0000}"/>
    <cellStyle name="Explanatory Text 2 6" xfId="2379" xr:uid="{00000000-0005-0000-0000-0000CB4A0000}"/>
    <cellStyle name="Explanatory Text 2 7" xfId="2380" xr:uid="{00000000-0005-0000-0000-0000CC4A0000}"/>
    <cellStyle name="Explanatory Text 2 8" xfId="2381" xr:uid="{00000000-0005-0000-0000-0000CD4A0000}"/>
    <cellStyle name="Explanatory Text 2 9" xfId="2382" xr:uid="{00000000-0005-0000-0000-0000CE4A0000}"/>
    <cellStyle name="Explanatory Text 3" xfId="2383" xr:uid="{00000000-0005-0000-0000-0000CF4A0000}"/>
    <cellStyle name="Explanatory Text 3 10" xfId="2384" xr:uid="{00000000-0005-0000-0000-0000D04A0000}"/>
    <cellStyle name="Explanatory Text 3 2" xfId="2385" xr:uid="{00000000-0005-0000-0000-0000D14A0000}"/>
    <cellStyle name="Explanatory Text 3 2 2" xfId="2386" xr:uid="{00000000-0005-0000-0000-0000D24A0000}"/>
    <cellStyle name="Explanatory Text 3 2 3" xfId="2387" xr:uid="{00000000-0005-0000-0000-0000D34A0000}"/>
    <cellStyle name="Explanatory Text 3 2 4" xfId="2388" xr:uid="{00000000-0005-0000-0000-0000D44A0000}"/>
    <cellStyle name="Explanatory Text 3 2 5" xfId="2389" xr:uid="{00000000-0005-0000-0000-0000D54A0000}"/>
    <cellStyle name="Explanatory Text 3 3" xfId="2390" xr:uid="{00000000-0005-0000-0000-0000D64A0000}"/>
    <cellStyle name="Explanatory Text 3 4" xfId="2391" xr:uid="{00000000-0005-0000-0000-0000D74A0000}"/>
    <cellStyle name="Explanatory Text 3 5" xfId="2392" xr:uid="{00000000-0005-0000-0000-0000D84A0000}"/>
    <cellStyle name="Explanatory Text 3 6" xfId="2393" xr:uid="{00000000-0005-0000-0000-0000D94A0000}"/>
    <cellStyle name="Explanatory Text 3 7" xfId="2394" xr:uid="{00000000-0005-0000-0000-0000DA4A0000}"/>
    <cellStyle name="Explanatory Text 3 8" xfId="2395" xr:uid="{00000000-0005-0000-0000-0000DB4A0000}"/>
    <cellStyle name="Explanatory Text 3 9" xfId="2396" xr:uid="{00000000-0005-0000-0000-0000DC4A0000}"/>
    <cellStyle name="Explanatory Text 4" xfId="2397" xr:uid="{00000000-0005-0000-0000-0000DD4A0000}"/>
    <cellStyle name="Explanatory Text 4 2" xfId="2398" xr:uid="{00000000-0005-0000-0000-0000DE4A0000}"/>
    <cellStyle name="Explanatory Text 4 3" xfId="2399" xr:uid="{00000000-0005-0000-0000-0000DF4A0000}"/>
    <cellStyle name="Explanatory Text 4 4" xfId="2400" xr:uid="{00000000-0005-0000-0000-0000E04A0000}"/>
    <cellStyle name="Explanatory Text 4 5" xfId="2401" xr:uid="{00000000-0005-0000-0000-0000E14A0000}"/>
    <cellStyle name="Explanatory Text 4 6" xfId="2402" xr:uid="{00000000-0005-0000-0000-0000E24A0000}"/>
    <cellStyle name="Explanatory Text 4 7" xfId="2403" xr:uid="{00000000-0005-0000-0000-0000E34A0000}"/>
    <cellStyle name="Explanatory Text 5" xfId="2404" xr:uid="{00000000-0005-0000-0000-0000E44A0000}"/>
    <cellStyle name="Explanatory Text 5 2" xfId="2405" xr:uid="{00000000-0005-0000-0000-0000E54A0000}"/>
    <cellStyle name="Explanatory Text 6" xfId="2406" xr:uid="{00000000-0005-0000-0000-0000E64A0000}"/>
    <cellStyle name="Explanatory Text 7" xfId="2407" xr:uid="{00000000-0005-0000-0000-0000E74A0000}"/>
    <cellStyle name="Explanatory Text 8" xfId="2408" xr:uid="{00000000-0005-0000-0000-0000E84A0000}"/>
    <cellStyle name="Explanatory Text 9" xfId="2409" xr:uid="{00000000-0005-0000-0000-0000E94A0000}"/>
    <cellStyle name="Float" xfId="3821" xr:uid="{00000000-0005-0000-0000-0000EA4A0000}"/>
    <cellStyle name="Float 10" xfId="4024" xr:uid="{00000000-0005-0000-0000-0000EB4A0000}"/>
    <cellStyle name="Float 11" xfId="4025" xr:uid="{00000000-0005-0000-0000-0000EC4A0000}"/>
    <cellStyle name="Float 12" xfId="4026" xr:uid="{00000000-0005-0000-0000-0000ED4A0000}"/>
    <cellStyle name="Float 2" xfId="4027" xr:uid="{00000000-0005-0000-0000-0000EE4A0000}"/>
    <cellStyle name="Float 2 2" xfId="4028" xr:uid="{00000000-0005-0000-0000-0000EF4A0000}"/>
    <cellStyle name="Float 3" xfId="4029" xr:uid="{00000000-0005-0000-0000-0000F04A0000}"/>
    <cellStyle name="Float 3 2" xfId="4030" xr:uid="{00000000-0005-0000-0000-0000F14A0000}"/>
    <cellStyle name="Float 3 2 2" xfId="4031" xr:uid="{00000000-0005-0000-0000-0000F24A0000}"/>
    <cellStyle name="Float 3 2 3" xfId="4032" xr:uid="{00000000-0005-0000-0000-0000F34A0000}"/>
    <cellStyle name="Float 3 3" xfId="4033" xr:uid="{00000000-0005-0000-0000-0000F44A0000}"/>
    <cellStyle name="Float 3 3 2" xfId="4034" xr:uid="{00000000-0005-0000-0000-0000F54A0000}"/>
    <cellStyle name="Float 3 3 2 2" xfId="4035" xr:uid="{00000000-0005-0000-0000-0000F64A0000}"/>
    <cellStyle name="Float 3 3 3" xfId="4036" xr:uid="{00000000-0005-0000-0000-0000F74A0000}"/>
    <cellStyle name="Float 3 3 3 2" xfId="4037" xr:uid="{00000000-0005-0000-0000-0000F84A0000}"/>
    <cellStyle name="Float 3 3 3 3" xfId="4038" xr:uid="{00000000-0005-0000-0000-0000F94A0000}"/>
    <cellStyle name="Float 3 3 4" xfId="4039" xr:uid="{00000000-0005-0000-0000-0000FA4A0000}"/>
    <cellStyle name="Float 3 3 4 2" xfId="4040" xr:uid="{00000000-0005-0000-0000-0000FB4A0000}"/>
    <cellStyle name="Float 3 3 5" xfId="4041" xr:uid="{00000000-0005-0000-0000-0000FC4A0000}"/>
    <cellStyle name="Float 3 4" xfId="4042" xr:uid="{00000000-0005-0000-0000-0000FD4A0000}"/>
    <cellStyle name="Float 3 4 2" xfId="16054" xr:uid="{00000000-0005-0000-0000-0000FE4A0000}"/>
    <cellStyle name="Float 3 5" xfId="4043" xr:uid="{00000000-0005-0000-0000-0000FF4A0000}"/>
    <cellStyle name="Float 4" xfId="4044" xr:uid="{00000000-0005-0000-0000-0000004B0000}"/>
    <cellStyle name="Float 4 2" xfId="4045" xr:uid="{00000000-0005-0000-0000-0000014B0000}"/>
    <cellStyle name="Float 4 2 2" xfId="4046" xr:uid="{00000000-0005-0000-0000-0000024B0000}"/>
    <cellStyle name="Float 4 2 2 2" xfId="4047" xr:uid="{00000000-0005-0000-0000-0000034B0000}"/>
    <cellStyle name="Float 4 2 3" xfId="4048" xr:uid="{00000000-0005-0000-0000-0000044B0000}"/>
    <cellStyle name="Float 4 2 3 2" xfId="4049" xr:uid="{00000000-0005-0000-0000-0000054B0000}"/>
    <cellStyle name="Float 4 2 3 3" xfId="4050" xr:uid="{00000000-0005-0000-0000-0000064B0000}"/>
    <cellStyle name="Float 4 2 4" xfId="4051" xr:uid="{00000000-0005-0000-0000-0000074B0000}"/>
    <cellStyle name="Float 4 2 4 2" xfId="4052" xr:uid="{00000000-0005-0000-0000-0000084B0000}"/>
    <cellStyle name="Float 4 2 5" xfId="4053" xr:uid="{00000000-0005-0000-0000-0000094B0000}"/>
    <cellStyle name="Float 4 3" xfId="4054" xr:uid="{00000000-0005-0000-0000-00000A4B0000}"/>
    <cellStyle name="Float 4 3 2" xfId="4055" xr:uid="{00000000-0005-0000-0000-00000B4B0000}"/>
    <cellStyle name="Float 4 4" xfId="4056" xr:uid="{00000000-0005-0000-0000-00000C4B0000}"/>
    <cellStyle name="Float 4 4 2" xfId="16053" xr:uid="{00000000-0005-0000-0000-00000D4B0000}"/>
    <cellStyle name="Float 4 5" xfId="4057" xr:uid="{00000000-0005-0000-0000-00000E4B0000}"/>
    <cellStyle name="Float 5" xfId="4058" xr:uid="{00000000-0005-0000-0000-00000F4B0000}"/>
    <cellStyle name="Float 5 2" xfId="4059" xr:uid="{00000000-0005-0000-0000-0000104B0000}"/>
    <cellStyle name="Float 5 2 2" xfId="4060" xr:uid="{00000000-0005-0000-0000-0000114B0000}"/>
    <cellStyle name="Float 5 2 2 2" xfId="4061" xr:uid="{00000000-0005-0000-0000-0000124B0000}"/>
    <cellStyle name="Float 5 2 3" xfId="4062" xr:uid="{00000000-0005-0000-0000-0000134B0000}"/>
    <cellStyle name="Float 5 2 3 2" xfId="4063" xr:uid="{00000000-0005-0000-0000-0000144B0000}"/>
    <cellStyle name="Float 5 2 3 3" xfId="4064" xr:uid="{00000000-0005-0000-0000-0000154B0000}"/>
    <cellStyle name="Float 5 2 4" xfId="4065" xr:uid="{00000000-0005-0000-0000-0000164B0000}"/>
    <cellStyle name="Float 5 2 4 2" xfId="16052" xr:uid="{00000000-0005-0000-0000-0000174B0000}"/>
    <cellStyle name="Float 5 2 5" xfId="4066" xr:uid="{00000000-0005-0000-0000-0000184B0000}"/>
    <cellStyle name="Float 5 3" xfId="4067" xr:uid="{00000000-0005-0000-0000-0000194B0000}"/>
    <cellStyle name="Float 5 3 2" xfId="4068" xr:uid="{00000000-0005-0000-0000-00001A4B0000}"/>
    <cellStyle name="Float 5 4" xfId="4069" xr:uid="{00000000-0005-0000-0000-00001B4B0000}"/>
    <cellStyle name="Float 5 5" xfId="4070" xr:uid="{00000000-0005-0000-0000-00001C4B0000}"/>
    <cellStyle name="Float 6" xfId="4071" xr:uid="{00000000-0005-0000-0000-00001D4B0000}"/>
    <cellStyle name="Float 6 2" xfId="4072" xr:uid="{00000000-0005-0000-0000-00001E4B0000}"/>
    <cellStyle name="Float 6 2 2" xfId="4073" xr:uid="{00000000-0005-0000-0000-00001F4B0000}"/>
    <cellStyle name="Float 6 3" xfId="4074" xr:uid="{00000000-0005-0000-0000-0000204B0000}"/>
    <cellStyle name="Float 6 3 2" xfId="4075" xr:uid="{00000000-0005-0000-0000-0000214B0000}"/>
    <cellStyle name="Float 6 3 3" xfId="4076" xr:uid="{00000000-0005-0000-0000-0000224B0000}"/>
    <cellStyle name="Float 6 4" xfId="4077" xr:uid="{00000000-0005-0000-0000-0000234B0000}"/>
    <cellStyle name="Float 6 4 2" xfId="4078" xr:uid="{00000000-0005-0000-0000-0000244B0000}"/>
    <cellStyle name="Float 6 5" xfId="4079" xr:uid="{00000000-0005-0000-0000-0000254B0000}"/>
    <cellStyle name="Float 7" xfId="4080" xr:uid="{00000000-0005-0000-0000-0000264B0000}"/>
    <cellStyle name="Float 7 2" xfId="4081" xr:uid="{00000000-0005-0000-0000-0000274B0000}"/>
    <cellStyle name="Float 7 3" xfId="4082" xr:uid="{00000000-0005-0000-0000-0000284B0000}"/>
    <cellStyle name="Float 8" xfId="4083" xr:uid="{00000000-0005-0000-0000-0000294B0000}"/>
    <cellStyle name="Float 8 2" xfId="16051" xr:uid="{00000000-0005-0000-0000-00002A4B0000}"/>
    <cellStyle name="Float 8 3" xfId="16050" xr:uid="{00000000-0005-0000-0000-00002B4B0000}"/>
    <cellStyle name="Float 9" xfId="4084" xr:uid="{00000000-0005-0000-0000-00002C4B0000}"/>
    <cellStyle name="Float_ADDON" xfId="4085" xr:uid="{00000000-0005-0000-0000-00002D4B0000}"/>
    <cellStyle name="Gilsans" xfId="2410" xr:uid="{00000000-0005-0000-0000-00002E4B0000}"/>
    <cellStyle name="Gilsansl" xfId="2411" xr:uid="{00000000-0005-0000-0000-00002F4B0000}"/>
    <cellStyle name="Good" xfId="4" builtinId="26"/>
    <cellStyle name="Good 10" xfId="2412" xr:uid="{00000000-0005-0000-0000-0000314B0000}"/>
    <cellStyle name="Good 11" xfId="2413" xr:uid="{00000000-0005-0000-0000-0000324B0000}"/>
    <cellStyle name="Good 12" xfId="2414" xr:uid="{00000000-0005-0000-0000-0000334B0000}"/>
    <cellStyle name="Good 13" xfId="2415" xr:uid="{00000000-0005-0000-0000-0000344B0000}"/>
    <cellStyle name="Good 2" xfId="2416" xr:uid="{00000000-0005-0000-0000-0000354B0000}"/>
    <cellStyle name="Good 2 10" xfId="2417" xr:uid="{00000000-0005-0000-0000-0000364B0000}"/>
    <cellStyle name="Good 2 11" xfId="2418" xr:uid="{00000000-0005-0000-0000-0000374B0000}"/>
    <cellStyle name="Good 2 12" xfId="2419" xr:uid="{00000000-0005-0000-0000-0000384B0000}"/>
    <cellStyle name="Good 2 13" xfId="2420" xr:uid="{00000000-0005-0000-0000-0000394B0000}"/>
    <cellStyle name="Good 2 14" xfId="2421" xr:uid="{00000000-0005-0000-0000-00003A4B0000}"/>
    <cellStyle name="Good 2 15" xfId="2422" xr:uid="{00000000-0005-0000-0000-00003B4B0000}"/>
    <cellStyle name="Good 2 16" xfId="2423" xr:uid="{00000000-0005-0000-0000-00003C4B0000}"/>
    <cellStyle name="Good 2 2" xfId="2424" xr:uid="{00000000-0005-0000-0000-00003D4B0000}"/>
    <cellStyle name="Good 2 2 2" xfId="2425" xr:uid="{00000000-0005-0000-0000-00003E4B0000}"/>
    <cellStyle name="Good 2 2 3" xfId="2426" xr:uid="{00000000-0005-0000-0000-00003F4B0000}"/>
    <cellStyle name="Good 2 2 4" xfId="2427" xr:uid="{00000000-0005-0000-0000-0000404B0000}"/>
    <cellStyle name="Good 2 2 5" xfId="2428" xr:uid="{00000000-0005-0000-0000-0000414B0000}"/>
    <cellStyle name="Good 2 3" xfId="2429" xr:uid="{00000000-0005-0000-0000-0000424B0000}"/>
    <cellStyle name="Good 2 4" xfId="2430" xr:uid="{00000000-0005-0000-0000-0000434B0000}"/>
    <cellStyle name="Good 2 5" xfId="2431" xr:uid="{00000000-0005-0000-0000-0000444B0000}"/>
    <cellStyle name="Good 2 6" xfId="2432" xr:uid="{00000000-0005-0000-0000-0000454B0000}"/>
    <cellStyle name="Good 2 7" xfId="2433" xr:uid="{00000000-0005-0000-0000-0000464B0000}"/>
    <cellStyle name="Good 2 8" xfId="2434" xr:uid="{00000000-0005-0000-0000-0000474B0000}"/>
    <cellStyle name="Good 2 9" xfId="2435" xr:uid="{00000000-0005-0000-0000-0000484B0000}"/>
    <cellStyle name="Good 3" xfId="2436" xr:uid="{00000000-0005-0000-0000-0000494B0000}"/>
    <cellStyle name="Good 3 2" xfId="2437" xr:uid="{00000000-0005-0000-0000-00004A4B0000}"/>
    <cellStyle name="Good 3 3" xfId="2438" xr:uid="{00000000-0005-0000-0000-00004B4B0000}"/>
    <cellStyle name="Good 3 4" xfId="2439" xr:uid="{00000000-0005-0000-0000-00004C4B0000}"/>
    <cellStyle name="Good 3 5" xfId="2440" xr:uid="{00000000-0005-0000-0000-00004D4B0000}"/>
    <cellStyle name="Good 3 6" xfId="2441" xr:uid="{00000000-0005-0000-0000-00004E4B0000}"/>
    <cellStyle name="Good 4" xfId="2442" xr:uid="{00000000-0005-0000-0000-00004F4B0000}"/>
    <cellStyle name="Good 4 2" xfId="2443" xr:uid="{00000000-0005-0000-0000-0000504B0000}"/>
    <cellStyle name="Good 5" xfId="2444" xr:uid="{00000000-0005-0000-0000-0000514B0000}"/>
    <cellStyle name="Good 5 2" xfId="2445" xr:uid="{00000000-0005-0000-0000-0000524B0000}"/>
    <cellStyle name="Good 6" xfId="2446" xr:uid="{00000000-0005-0000-0000-0000534B0000}"/>
    <cellStyle name="Good 6 2" xfId="2447" xr:uid="{00000000-0005-0000-0000-0000544B0000}"/>
    <cellStyle name="Good 7" xfId="2448" xr:uid="{00000000-0005-0000-0000-0000554B0000}"/>
    <cellStyle name="Good 7 2" xfId="2449" xr:uid="{00000000-0005-0000-0000-0000564B0000}"/>
    <cellStyle name="Good 8" xfId="2450" xr:uid="{00000000-0005-0000-0000-0000574B0000}"/>
    <cellStyle name="Good 8 2" xfId="2451" xr:uid="{00000000-0005-0000-0000-0000584B0000}"/>
    <cellStyle name="Good 9" xfId="2452" xr:uid="{00000000-0005-0000-0000-0000594B0000}"/>
    <cellStyle name="Gut" xfId="3822" xr:uid="{00000000-0005-0000-0000-00005A4B0000}"/>
    <cellStyle name="Heading 1 10" xfId="2453" xr:uid="{00000000-0005-0000-0000-00005B4B0000}"/>
    <cellStyle name="Heading 1 11" xfId="2454" xr:uid="{00000000-0005-0000-0000-00005C4B0000}"/>
    <cellStyle name="Heading 1 12" xfId="2455" xr:uid="{00000000-0005-0000-0000-00005D4B0000}"/>
    <cellStyle name="Heading 1 13" xfId="2456" xr:uid="{00000000-0005-0000-0000-00005E4B0000}"/>
    <cellStyle name="Heading 1 14" xfId="2457" xr:uid="{00000000-0005-0000-0000-00005F4B0000}"/>
    <cellStyle name="Heading 1 15" xfId="2458" xr:uid="{00000000-0005-0000-0000-0000604B0000}"/>
    <cellStyle name="Heading 1 16" xfId="2459" xr:uid="{00000000-0005-0000-0000-0000614B0000}"/>
    <cellStyle name="Heading 1 17" xfId="2460" xr:uid="{00000000-0005-0000-0000-0000624B0000}"/>
    <cellStyle name="Heading 1 18" xfId="2461" xr:uid="{00000000-0005-0000-0000-0000634B0000}"/>
    <cellStyle name="Heading 1 19" xfId="2462" xr:uid="{00000000-0005-0000-0000-0000644B0000}"/>
    <cellStyle name="Heading 1 2" xfId="2463" xr:uid="{00000000-0005-0000-0000-0000654B0000}"/>
    <cellStyle name="Heading 1 2 10" xfId="2464" xr:uid="{00000000-0005-0000-0000-0000664B0000}"/>
    <cellStyle name="Heading 1 2 11" xfId="2465" xr:uid="{00000000-0005-0000-0000-0000674B0000}"/>
    <cellStyle name="Heading 1 2 12" xfId="2466" xr:uid="{00000000-0005-0000-0000-0000684B0000}"/>
    <cellStyle name="Heading 1 2 13" xfId="2467" xr:uid="{00000000-0005-0000-0000-0000694B0000}"/>
    <cellStyle name="Heading 1 2 14" xfId="2468" xr:uid="{00000000-0005-0000-0000-00006A4B0000}"/>
    <cellStyle name="Heading 1 2 15" xfId="2469" xr:uid="{00000000-0005-0000-0000-00006B4B0000}"/>
    <cellStyle name="Heading 1 2 16" xfId="2470" xr:uid="{00000000-0005-0000-0000-00006C4B0000}"/>
    <cellStyle name="Heading 1 2 2" xfId="2471" xr:uid="{00000000-0005-0000-0000-00006D4B0000}"/>
    <cellStyle name="Heading 1 2 2 2" xfId="2472" xr:uid="{00000000-0005-0000-0000-00006E4B0000}"/>
    <cellStyle name="Heading 1 2 2 3" xfId="2473" xr:uid="{00000000-0005-0000-0000-00006F4B0000}"/>
    <cellStyle name="Heading 1 2 2 4" xfId="2474" xr:uid="{00000000-0005-0000-0000-0000704B0000}"/>
    <cellStyle name="Heading 1 2 2 5" xfId="2475" xr:uid="{00000000-0005-0000-0000-0000714B0000}"/>
    <cellStyle name="Heading 1 2 3" xfId="2476" xr:uid="{00000000-0005-0000-0000-0000724B0000}"/>
    <cellStyle name="Heading 1 2 4" xfId="2477" xr:uid="{00000000-0005-0000-0000-0000734B0000}"/>
    <cellStyle name="Heading 1 2 5" xfId="2478" xr:uid="{00000000-0005-0000-0000-0000744B0000}"/>
    <cellStyle name="Heading 1 2 6" xfId="2479" xr:uid="{00000000-0005-0000-0000-0000754B0000}"/>
    <cellStyle name="Heading 1 2 7" xfId="2480" xr:uid="{00000000-0005-0000-0000-0000764B0000}"/>
    <cellStyle name="Heading 1 2 8" xfId="2481" xr:uid="{00000000-0005-0000-0000-0000774B0000}"/>
    <cellStyle name="Heading 1 2 9" xfId="2482" xr:uid="{00000000-0005-0000-0000-0000784B0000}"/>
    <cellStyle name="Heading 1 20" xfId="2483" xr:uid="{00000000-0005-0000-0000-0000794B0000}"/>
    <cellStyle name="Heading 1 21" xfId="2484" xr:uid="{00000000-0005-0000-0000-00007A4B0000}"/>
    <cellStyle name="Heading 1 22" xfId="2485" xr:uid="{00000000-0005-0000-0000-00007B4B0000}"/>
    <cellStyle name="Heading 1 3" xfId="2486" xr:uid="{00000000-0005-0000-0000-00007C4B0000}"/>
    <cellStyle name="Heading 1 3 2" xfId="2487" xr:uid="{00000000-0005-0000-0000-00007D4B0000}"/>
    <cellStyle name="Heading 1 3 3" xfId="2488" xr:uid="{00000000-0005-0000-0000-00007E4B0000}"/>
    <cellStyle name="Heading 1 3 4" xfId="2489" xr:uid="{00000000-0005-0000-0000-00007F4B0000}"/>
    <cellStyle name="Heading 1 3 5" xfId="2490" xr:uid="{00000000-0005-0000-0000-0000804B0000}"/>
    <cellStyle name="Heading 1 3 6" xfId="2491" xr:uid="{00000000-0005-0000-0000-0000814B0000}"/>
    <cellStyle name="Heading 1 4" xfId="2492" xr:uid="{00000000-0005-0000-0000-0000824B0000}"/>
    <cellStyle name="Heading 1 4 2" xfId="2493" xr:uid="{00000000-0005-0000-0000-0000834B0000}"/>
    <cellStyle name="Heading 1 5" xfId="2494" xr:uid="{00000000-0005-0000-0000-0000844B0000}"/>
    <cellStyle name="Heading 1 5 2" xfId="2495" xr:uid="{00000000-0005-0000-0000-0000854B0000}"/>
    <cellStyle name="Heading 1 6" xfId="2496" xr:uid="{00000000-0005-0000-0000-0000864B0000}"/>
    <cellStyle name="Heading 1 7" xfId="2497" xr:uid="{00000000-0005-0000-0000-0000874B0000}"/>
    <cellStyle name="Heading 1 8" xfId="2498" xr:uid="{00000000-0005-0000-0000-0000884B0000}"/>
    <cellStyle name="Heading 1 9" xfId="2499" xr:uid="{00000000-0005-0000-0000-0000894B0000}"/>
    <cellStyle name="Heading 2 10" xfId="2500" xr:uid="{00000000-0005-0000-0000-00008A4B0000}"/>
    <cellStyle name="Heading 2 11" xfId="2501" xr:uid="{00000000-0005-0000-0000-00008B4B0000}"/>
    <cellStyle name="Heading 2 12" xfId="2502" xr:uid="{00000000-0005-0000-0000-00008C4B0000}"/>
    <cellStyle name="Heading 2 13" xfId="2503" xr:uid="{00000000-0005-0000-0000-00008D4B0000}"/>
    <cellStyle name="Heading 2 14" xfId="2504" xr:uid="{00000000-0005-0000-0000-00008E4B0000}"/>
    <cellStyle name="Heading 2 15" xfId="2505" xr:uid="{00000000-0005-0000-0000-00008F4B0000}"/>
    <cellStyle name="Heading 2 16" xfId="2506" xr:uid="{00000000-0005-0000-0000-0000904B0000}"/>
    <cellStyle name="Heading 2 17" xfId="2507" xr:uid="{00000000-0005-0000-0000-0000914B0000}"/>
    <cellStyle name="Heading 2 18" xfId="2508" xr:uid="{00000000-0005-0000-0000-0000924B0000}"/>
    <cellStyle name="Heading 2 19" xfId="2509" xr:uid="{00000000-0005-0000-0000-0000934B0000}"/>
    <cellStyle name="Heading 2 2" xfId="2510" xr:uid="{00000000-0005-0000-0000-0000944B0000}"/>
    <cellStyle name="Heading 2 2 10" xfId="2511" xr:uid="{00000000-0005-0000-0000-0000954B0000}"/>
    <cellStyle name="Heading 2 2 11" xfId="2512" xr:uid="{00000000-0005-0000-0000-0000964B0000}"/>
    <cellStyle name="Heading 2 2 12" xfId="2513" xr:uid="{00000000-0005-0000-0000-0000974B0000}"/>
    <cellStyle name="Heading 2 2 13" xfId="2514" xr:uid="{00000000-0005-0000-0000-0000984B0000}"/>
    <cellStyle name="Heading 2 2 14" xfId="2515" xr:uid="{00000000-0005-0000-0000-0000994B0000}"/>
    <cellStyle name="Heading 2 2 15" xfId="2516" xr:uid="{00000000-0005-0000-0000-00009A4B0000}"/>
    <cellStyle name="Heading 2 2 16" xfId="2517" xr:uid="{00000000-0005-0000-0000-00009B4B0000}"/>
    <cellStyle name="Heading 2 2 2" xfId="2518" xr:uid="{00000000-0005-0000-0000-00009C4B0000}"/>
    <cellStyle name="Heading 2 2 2 2" xfId="2519" xr:uid="{00000000-0005-0000-0000-00009D4B0000}"/>
    <cellStyle name="Heading 2 2 2 3" xfId="2520" xr:uid="{00000000-0005-0000-0000-00009E4B0000}"/>
    <cellStyle name="Heading 2 2 2 4" xfId="2521" xr:uid="{00000000-0005-0000-0000-00009F4B0000}"/>
    <cellStyle name="Heading 2 2 2 5" xfId="2522" xr:uid="{00000000-0005-0000-0000-0000A04B0000}"/>
    <cellStyle name="Heading 2 2 3" xfId="2523" xr:uid="{00000000-0005-0000-0000-0000A14B0000}"/>
    <cellStyle name="Heading 2 2 4" xfId="2524" xr:uid="{00000000-0005-0000-0000-0000A24B0000}"/>
    <cellStyle name="Heading 2 2 5" xfId="2525" xr:uid="{00000000-0005-0000-0000-0000A34B0000}"/>
    <cellStyle name="Heading 2 2 6" xfId="2526" xr:uid="{00000000-0005-0000-0000-0000A44B0000}"/>
    <cellStyle name="Heading 2 2 7" xfId="2527" xr:uid="{00000000-0005-0000-0000-0000A54B0000}"/>
    <cellStyle name="Heading 2 2 8" xfId="2528" xr:uid="{00000000-0005-0000-0000-0000A64B0000}"/>
    <cellStyle name="Heading 2 2 9" xfId="2529" xr:uid="{00000000-0005-0000-0000-0000A74B0000}"/>
    <cellStyle name="Heading 2 20" xfId="2530" xr:uid="{00000000-0005-0000-0000-0000A84B0000}"/>
    <cellStyle name="Heading 2 21" xfId="2531" xr:uid="{00000000-0005-0000-0000-0000A94B0000}"/>
    <cellStyle name="Heading 2 22" xfId="2532" xr:uid="{00000000-0005-0000-0000-0000AA4B0000}"/>
    <cellStyle name="Heading 2 3" xfId="2533" xr:uid="{00000000-0005-0000-0000-0000AB4B0000}"/>
    <cellStyle name="Heading 2 3 2" xfId="2534" xr:uid="{00000000-0005-0000-0000-0000AC4B0000}"/>
    <cellStyle name="Heading 2 3 3" xfId="2535" xr:uid="{00000000-0005-0000-0000-0000AD4B0000}"/>
    <cellStyle name="Heading 2 3 4" xfId="2536" xr:uid="{00000000-0005-0000-0000-0000AE4B0000}"/>
    <cellStyle name="Heading 2 3 5" xfId="2537" xr:uid="{00000000-0005-0000-0000-0000AF4B0000}"/>
    <cellStyle name="Heading 2 3 6" xfId="2538" xr:uid="{00000000-0005-0000-0000-0000B04B0000}"/>
    <cellStyle name="Heading 2 4" xfId="2539" xr:uid="{00000000-0005-0000-0000-0000B14B0000}"/>
    <cellStyle name="Heading 2 4 2" xfId="2540" xr:uid="{00000000-0005-0000-0000-0000B24B0000}"/>
    <cellStyle name="Heading 2 5" xfId="2541" xr:uid="{00000000-0005-0000-0000-0000B34B0000}"/>
    <cellStyle name="Heading 2 5 2" xfId="2542" xr:uid="{00000000-0005-0000-0000-0000B44B0000}"/>
    <cellStyle name="Heading 2 6" xfId="2543" xr:uid="{00000000-0005-0000-0000-0000B54B0000}"/>
    <cellStyle name="Heading 2 6 2" xfId="2544" xr:uid="{00000000-0005-0000-0000-0000B64B0000}"/>
    <cellStyle name="Heading 2 7" xfId="2545" xr:uid="{00000000-0005-0000-0000-0000B74B0000}"/>
    <cellStyle name="Heading 2 7 2" xfId="2546" xr:uid="{00000000-0005-0000-0000-0000B84B0000}"/>
    <cellStyle name="Heading 2 8" xfId="2547" xr:uid="{00000000-0005-0000-0000-0000B94B0000}"/>
    <cellStyle name="Heading 2 8 2" xfId="2548" xr:uid="{00000000-0005-0000-0000-0000BA4B0000}"/>
    <cellStyle name="Heading 2 9" xfId="2549" xr:uid="{00000000-0005-0000-0000-0000BB4B0000}"/>
    <cellStyle name="Heading 3 10" xfId="2550" xr:uid="{00000000-0005-0000-0000-0000BC4B0000}"/>
    <cellStyle name="Heading 3 11" xfId="2551" xr:uid="{00000000-0005-0000-0000-0000BD4B0000}"/>
    <cellStyle name="Heading 3 12" xfId="2552" xr:uid="{00000000-0005-0000-0000-0000BE4B0000}"/>
    <cellStyle name="Heading 3 13" xfId="2553" xr:uid="{00000000-0005-0000-0000-0000BF4B0000}"/>
    <cellStyle name="Heading 3 14" xfId="2554" xr:uid="{00000000-0005-0000-0000-0000C04B0000}"/>
    <cellStyle name="Heading 3 15" xfId="2555" xr:uid="{00000000-0005-0000-0000-0000C14B0000}"/>
    <cellStyle name="Heading 3 16" xfId="2556" xr:uid="{00000000-0005-0000-0000-0000C24B0000}"/>
    <cellStyle name="Heading 3 17" xfId="2557" xr:uid="{00000000-0005-0000-0000-0000C34B0000}"/>
    <cellStyle name="Heading 3 18" xfId="2558" xr:uid="{00000000-0005-0000-0000-0000C44B0000}"/>
    <cellStyle name="Heading 3 19" xfId="2559" xr:uid="{00000000-0005-0000-0000-0000C54B0000}"/>
    <cellStyle name="Heading 3 2" xfId="2560" xr:uid="{00000000-0005-0000-0000-0000C64B0000}"/>
    <cellStyle name="Heading 3 2 10" xfId="2561" xr:uid="{00000000-0005-0000-0000-0000C74B0000}"/>
    <cellStyle name="Heading 3 2 11" xfId="2562" xr:uid="{00000000-0005-0000-0000-0000C84B0000}"/>
    <cellStyle name="Heading 3 2 12" xfId="2563" xr:uid="{00000000-0005-0000-0000-0000C94B0000}"/>
    <cellStyle name="Heading 3 2 13" xfId="2564" xr:uid="{00000000-0005-0000-0000-0000CA4B0000}"/>
    <cellStyle name="Heading 3 2 14" xfId="2565" xr:uid="{00000000-0005-0000-0000-0000CB4B0000}"/>
    <cellStyle name="Heading 3 2 15" xfId="2566" xr:uid="{00000000-0005-0000-0000-0000CC4B0000}"/>
    <cellStyle name="Heading 3 2 16" xfId="2567" xr:uid="{00000000-0005-0000-0000-0000CD4B0000}"/>
    <cellStyle name="Heading 3 2 2" xfId="2568" xr:uid="{00000000-0005-0000-0000-0000CE4B0000}"/>
    <cellStyle name="Heading 3 2 2 2" xfId="2569" xr:uid="{00000000-0005-0000-0000-0000CF4B0000}"/>
    <cellStyle name="Heading 3 2 2 3" xfId="2570" xr:uid="{00000000-0005-0000-0000-0000D04B0000}"/>
    <cellStyle name="Heading 3 2 2 4" xfId="2571" xr:uid="{00000000-0005-0000-0000-0000D14B0000}"/>
    <cellStyle name="Heading 3 2 2 5" xfId="2572" xr:uid="{00000000-0005-0000-0000-0000D24B0000}"/>
    <cellStyle name="Heading 3 2 3" xfId="2573" xr:uid="{00000000-0005-0000-0000-0000D34B0000}"/>
    <cellStyle name="Heading 3 2 4" xfId="2574" xr:uid="{00000000-0005-0000-0000-0000D44B0000}"/>
    <cellStyle name="Heading 3 2 5" xfId="2575" xr:uid="{00000000-0005-0000-0000-0000D54B0000}"/>
    <cellStyle name="Heading 3 2 6" xfId="2576" xr:uid="{00000000-0005-0000-0000-0000D64B0000}"/>
    <cellStyle name="Heading 3 2 7" xfId="2577" xr:uid="{00000000-0005-0000-0000-0000D74B0000}"/>
    <cellStyle name="Heading 3 2 8" xfId="2578" xr:uid="{00000000-0005-0000-0000-0000D84B0000}"/>
    <cellStyle name="Heading 3 2 9" xfId="2579" xr:uid="{00000000-0005-0000-0000-0000D94B0000}"/>
    <cellStyle name="Heading 3 20" xfId="2580" xr:uid="{00000000-0005-0000-0000-0000DA4B0000}"/>
    <cellStyle name="Heading 3 21" xfId="2581" xr:uid="{00000000-0005-0000-0000-0000DB4B0000}"/>
    <cellStyle name="Heading 3 22" xfId="2582" xr:uid="{00000000-0005-0000-0000-0000DC4B0000}"/>
    <cellStyle name="Heading 3 3" xfId="2583" xr:uid="{00000000-0005-0000-0000-0000DD4B0000}"/>
    <cellStyle name="Heading 3 3 2" xfId="2584" xr:uid="{00000000-0005-0000-0000-0000DE4B0000}"/>
    <cellStyle name="Heading 3 3 3" xfId="2585" xr:uid="{00000000-0005-0000-0000-0000DF4B0000}"/>
    <cellStyle name="Heading 3 3 4" xfId="2586" xr:uid="{00000000-0005-0000-0000-0000E04B0000}"/>
    <cellStyle name="Heading 3 3 5" xfId="2587" xr:uid="{00000000-0005-0000-0000-0000E14B0000}"/>
    <cellStyle name="Heading 3 3 6" xfId="2588" xr:uid="{00000000-0005-0000-0000-0000E24B0000}"/>
    <cellStyle name="Heading 3 4" xfId="2589" xr:uid="{00000000-0005-0000-0000-0000E34B0000}"/>
    <cellStyle name="Heading 3 4 2" xfId="2590" xr:uid="{00000000-0005-0000-0000-0000E44B0000}"/>
    <cellStyle name="Heading 3 5" xfId="2591" xr:uid="{00000000-0005-0000-0000-0000E54B0000}"/>
    <cellStyle name="Heading 3 5 2" xfId="2592" xr:uid="{00000000-0005-0000-0000-0000E64B0000}"/>
    <cellStyle name="Heading 3 6" xfId="2593" xr:uid="{00000000-0005-0000-0000-0000E74B0000}"/>
    <cellStyle name="Heading 3 6 2" xfId="2594" xr:uid="{00000000-0005-0000-0000-0000E84B0000}"/>
    <cellStyle name="Heading 3 7" xfId="2595" xr:uid="{00000000-0005-0000-0000-0000E94B0000}"/>
    <cellStyle name="Heading 3 7 2" xfId="2596" xr:uid="{00000000-0005-0000-0000-0000EA4B0000}"/>
    <cellStyle name="Heading 3 8" xfId="2597" xr:uid="{00000000-0005-0000-0000-0000EB4B0000}"/>
    <cellStyle name="Heading 3 8 2" xfId="2598" xr:uid="{00000000-0005-0000-0000-0000EC4B0000}"/>
    <cellStyle name="Heading 3 9" xfId="2599" xr:uid="{00000000-0005-0000-0000-0000ED4B0000}"/>
    <cellStyle name="Heading 4 10" xfId="2600" xr:uid="{00000000-0005-0000-0000-0000EE4B0000}"/>
    <cellStyle name="Heading 4 11" xfId="2601" xr:uid="{00000000-0005-0000-0000-0000EF4B0000}"/>
    <cellStyle name="Heading 4 12" xfId="2602" xr:uid="{00000000-0005-0000-0000-0000F04B0000}"/>
    <cellStyle name="Heading 4 13" xfId="2603" xr:uid="{00000000-0005-0000-0000-0000F14B0000}"/>
    <cellStyle name="Heading 4 14" xfId="2604" xr:uid="{00000000-0005-0000-0000-0000F24B0000}"/>
    <cellStyle name="Heading 4 15" xfId="2605" xr:uid="{00000000-0005-0000-0000-0000F34B0000}"/>
    <cellStyle name="Heading 4 16" xfId="2606" xr:uid="{00000000-0005-0000-0000-0000F44B0000}"/>
    <cellStyle name="Heading 4 17" xfId="2607" xr:uid="{00000000-0005-0000-0000-0000F54B0000}"/>
    <cellStyle name="Heading 4 18" xfId="2608" xr:uid="{00000000-0005-0000-0000-0000F64B0000}"/>
    <cellStyle name="Heading 4 19" xfId="2609" xr:uid="{00000000-0005-0000-0000-0000F74B0000}"/>
    <cellStyle name="Heading 4 2" xfId="2610" xr:uid="{00000000-0005-0000-0000-0000F84B0000}"/>
    <cellStyle name="Heading 4 2 10" xfId="2611" xr:uid="{00000000-0005-0000-0000-0000F94B0000}"/>
    <cellStyle name="Heading 4 2 11" xfId="2612" xr:uid="{00000000-0005-0000-0000-0000FA4B0000}"/>
    <cellStyle name="Heading 4 2 12" xfId="2613" xr:uid="{00000000-0005-0000-0000-0000FB4B0000}"/>
    <cellStyle name="Heading 4 2 13" xfId="2614" xr:uid="{00000000-0005-0000-0000-0000FC4B0000}"/>
    <cellStyle name="Heading 4 2 14" xfId="2615" xr:uid="{00000000-0005-0000-0000-0000FD4B0000}"/>
    <cellStyle name="Heading 4 2 15" xfId="2616" xr:uid="{00000000-0005-0000-0000-0000FE4B0000}"/>
    <cellStyle name="Heading 4 2 16" xfId="2617" xr:uid="{00000000-0005-0000-0000-0000FF4B0000}"/>
    <cellStyle name="Heading 4 2 2" xfId="2618" xr:uid="{00000000-0005-0000-0000-0000004C0000}"/>
    <cellStyle name="Heading 4 2 2 2" xfId="2619" xr:uid="{00000000-0005-0000-0000-0000014C0000}"/>
    <cellStyle name="Heading 4 2 2 3" xfId="2620" xr:uid="{00000000-0005-0000-0000-0000024C0000}"/>
    <cellStyle name="Heading 4 2 2 4" xfId="2621" xr:uid="{00000000-0005-0000-0000-0000034C0000}"/>
    <cellStyle name="Heading 4 2 2 5" xfId="2622" xr:uid="{00000000-0005-0000-0000-0000044C0000}"/>
    <cellStyle name="Heading 4 2 3" xfId="2623" xr:uid="{00000000-0005-0000-0000-0000054C0000}"/>
    <cellStyle name="Heading 4 2 4" xfId="2624" xr:uid="{00000000-0005-0000-0000-0000064C0000}"/>
    <cellStyle name="Heading 4 2 5" xfId="2625" xr:uid="{00000000-0005-0000-0000-0000074C0000}"/>
    <cellStyle name="Heading 4 2 6" xfId="2626" xr:uid="{00000000-0005-0000-0000-0000084C0000}"/>
    <cellStyle name="Heading 4 2 7" xfId="2627" xr:uid="{00000000-0005-0000-0000-0000094C0000}"/>
    <cellStyle name="Heading 4 2 8" xfId="2628" xr:uid="{00000000-0005-0000-0000-00000A4C0000}"/>
    <cellStyle name="Heading 4 2 9" xfId="2629" xr:uid="{00000000-0005-0000-0000-00000B4C0000}"/>
    <cellStyle name="Heading 4 20" xfId="2630" xr:uid="{00000000-0005-0000-0000-00000C4C0000}"/>
    <cellStyle name="Heading 4 21" xfId="2631" xr:uid="{00000000-0005-0000-0000-00000D4C0000}"/>
    <cellStyle name="Heading 4 22" xfId="2632" xr:uid="{00000000-0005-0000-0000-00000E4C0000}"/>
    <cellStyle name="Heading 4 3" xfId="2633" xr:uid="{00000000-0005-0000-0000-00000F4C0000}"/>
    <cellStyle name="Heading 4 3 2" xfId="2634" xr:uid="{00000000-0005-0000-0000-0000104C0000}"/>
    <cellStyle name="Heading 4 3 3" xfId="2635" xr:uid="{00000000-0005-0000-0000-0000114C0000}"/>
    <cellStyle name="Heading 4 3 4" xfId="2636" xr:uid="{00000000-0005-0000-0000-0000124C0000}"/>
    <cellStyle name="Heading 4 3 5" xfId="2637" xr:uid="{00000000-0005-0000-0000-0000134C0000}"/>
    <cellStyle name="Heading 4 3 6" xfId="2638" xr:uid="{00000000-0005-0000-0000-0000144C0000}"/>
    <cellStyle name="Heading 4 4" xfId="2639" xr:uid="{00000000-0005-0000-0000-0000154C0000}"/>
    <cellStyle name="Heading 4 4 2" xfId="2640" xr:uid="{00000000-0005-0000-0000-0000164C0000}"/>
    <cellStyle name="Heading 4 5" xfId="2641" xr:uid="{00000000-0005-0000-0000-0000174C0000}"/>
    <cellStyle name="Heading 4 5 2" xfId="2642" xr:uid="{00000000-0005-0000-0000-0000184C0000}"/>
    <cellStyle name="Heading 4 6" xfId="2643" xr:uid="{00000000-0005-0000-0000-0000194C0000}"/>
    <cellStyle name="Heading 4 7" xfId="2644" xr:uid="{00000000-0005-0000-0000-00001A4C0000}"/>
    <cellStyle name="Heading 4 8" xfId="2645" xr:uid="{00000000-0005-0000-0000-00001B4C0000}"/>
    <cellStyle name="Heading 4 9" xfId="2646" xr:uid="{00000000-0005-0000-0000-00001C4C0000}"/>
    <cellStyle name="Hyperlink 2" xfId="2647" xr:uid="{00000000-0005-0000-0000-00001D4C0000}"/>
    <cellStyle name="Hyperlink 2 2" xfId="2648" xr:uid="{00000000-0005-0000-0000-00001E4C0000}"/>
    <cellStyle name="Hyperlink 2 3" xfId="2649" xr:uid="{00000000-0005-0000-0000-00001F4C0000}"/>
    <cellStyle name="Hyperlink 2 4" xfId="27234" xr:uid="{00000000-0005-0000-0000-0000204C0000}"/>
    <cellStyle name="Hyperlink 3" xfId="39" xr:uid="{00000000-0005-0000-0000-0000214C0000}"/>
    <cellStyle name="Hyperlink 3 2" xfId="16204" xr:uid="{00000000-0005-0000-0000-0000224C0000}"/>
    <cellStyle name="Hyperlink 4" xfId="16910" xr:uid="{00000000-0005-0000-0000-0000234C0000}"/>
    <cellStyle name="iComma0" xfId="2650" xr:uid="{00000000-0005-0000-0000-0000244C0000}"/>
    <cellStyle name="iComma1" xfId="2651" xr:uid="{00000000-0005-0000-0000-0000254C0000}"/>
    <cellStyle name="iComma2" xfId="2652" xr:uid="{00000000-0005-0000-0000-0000264C0000}"/>
    <cellStyle name="iCurrency0" xfId="2653" xr:uid="{00000000-0005-0000-0000-0000274C0000}"/>
    <cellStyle name="iCurrency2" xfId="2654" xr:uid="{00000000-0005-0000-0000-0000284C0000}"/>
    <cellStyle name="iDateDM" xfId="2655" xr:uid="{00000000-0005-0000-0000-0000294C0000}"/>
    <cellStyle name="iDateDMY" xfId="2656" xr:uid="{00000000-0005-0000-0000-00002A4C0000}"/>
    <cellStyle name="iDateMY" xfId="2657" xr:uid="{00000000-0005-0000-0000-00002B4C0000}"/>
    <cellStyle name="iDateT24" xfId="2658" xr:uid="{00000000-0005-0000-0000-00002C4C0000}"/>
    <cellStyle name="Input 10" xfId="2659" xr:uid="{00000000-0005-0000-0000-00002D4C0000}"/>
    <cellStyle name="Input 10 2" xfId="16264" xr:uid="{00000000-0005-0000-0000-00002E4C0000}"/>
    <cellStyle name="Input 11" xfId="2660" xr:uid="{00000000-0005-0000-0000-00002F4C0000}"/>
    <cellStyle name="Input 11 2" xfId="15849" xr:uid="{00000000-0005-0000-0000-0000304C0000}"/>
    <cellStyle name="Input 12" xfId="2661" xr:uid="{00000000-0005-0000-0000-0000314C0000}"/>
    <cellStyle name="Input 13" xfId="2662" xr:uid="{00000000-0005-0000-0000-0000324C0000}"/>
    <cellStyle name="Input 14" xfId="2663" xr:uid="{00000000-0005-0000-0000-0000334C0000}"/>
    <cellStyle name="Input 15" xfId="2664" xr:uid="{00000000-0005-0000-0000-0000344C0000}"/>
    <cellStyle name="Input 16" xfId="2665" xr:uid="{00000000-0005-0000-0000-0000354C0000}"/>
    <cellStyle name="Input 17" xfId="2666" xr:uid="{00000000-0005-0000-0000-0000364C0000}"/>
    <cellStyle name="Input 18" xfId="2667" xr:uid="{00000000-0005-0000-0000-0000374C0000}"/>
    <cellStyle name="Input 19" xfId="2668" xr:uid="{00000000-0005-0000-0000-0000384C0000}"/>
    <cellStyle name="Input 2" xfId="2669" xr:uid="{00000000-0005-0000-0000-0000394C0000}"/>
    <cellStyle name="Input 2 10" xfId="2670" xr:uid="{00000000-0005-0000-0000-00003A4C0000}"/>
    <cellStyle name="Input 2 11" xfId="2671" xr:uid="{00000000-0005-0000-0000-00003B4C0000}"/>
    <cellStyle name="Input 2 12" xfId="2672" xr:uid="{00000000-0005-0000-0000-00003C4C0000}"/>
    <cellStyle name="Input 2 13" xfId="2673" xr:uid="{00000000-0005-0000-0000-00003D4C0000}"/>
    <cellStyle name="Input 2 14" xfId="2674" xr:uid="{00000000-0005-0000-0000-00003E4C0000}"/>
    <cellStyle name="Input 2 15" xfId="2675" xr:uid="{00000000-0005-0000-0000-00003F4C0000}"/>
    <cellStyle name="Input 2 16" xfId="2676" xr:uid="{00000000-0005-0000-0000-0000404C0000}"/>
    <cellStyle name="Input 2 17" xfId="2677" xr:uid="{00000000-0005-0000-0000-0000414C0000}"/>
    <cellStyle name="Input 2 18" xfId="2678" xr:uid="{00000000-0005-0000-0000-0000424C0000}"/>
    <cellStyle name="Input 2 2" xfId="2679" xr:uid="{00000000-0005-0000-0000-0000434C0000}"/>
    <cellStyle name="Input 2 2 2" xfId="2680" xr:uid="{00000000-0005-0000-0000-0000444C0000}"/>
    <cellStyle name="Input 2 2 3" xfId="2681" xr:uid="{00000000-0005-0000-0000-0000454C0000}"/>
    <cellStyle name="Input 2 2 4" xfId="2682" xr:uid="{00000000-0005-0000-0000-0000464C0000}"/>
    <cellStyle name="Input 2 2 5" xfId="2683" xr:uid="{00000000-0005-0000-0000-0000474C0000}"/>
    <cellStyle name="Input 2 3" xfId="2684" xr:uid="{00000000-0005-0000-0000-0000484C0000}"/>
    <cellStyle name="Input 2 4" xfId="2685" xr:uid="{00000000-0005-0000-0000-0000494C0000}"/>
    <cellStyle name="Input 2 5" xfId="2686" xr:uid="{00000000-0005-0000-0000-00004A4C0000}"/>
    <cellStyle name="Input 2 6" xfId="2687" xr:uid="{00000000-0005-0000-0000-00004B4C0000}"/>
    <cellStyle name="Input 2 7" xfId="2688" xr:uid="{00000000-0005-0000-0000-00004C4C0000}"/>
    <cellStyle name="Input 2 8" xfId="2689" xr:uid="{00000000-0005-0000-0000-00004D4C0000}"/>
    <cellStyle name="Input 2 9" xfId="2690" xr:uid="{00000000-0005-0000-0000-00004E4C0000}"/>
    <cellStyle name="Input 20" xfId="2691" xr:uid="{00000000-0005-0000-0000-00004F4C0000}"/>
    <cellStyle name="Input 21" xfId="2692" xr:uid="{00000000-0005-0000-0000-0000504C0000}"/>
    <cellStyle name="Input 22" xfId="2693" xr:uid="{00000000-0005-0000-0000-0000514C0000}"/>
    <cellStyle name="Input 23" xfId="2694" xr:uid="{00000000-0005-0000-0000-0000524C0000}"/>
    <cellStyle name="Input 24" xfId="2695" xr:uid="{00000000-0005-0000-0000-0000534C0000}"/>
    <cellStyle name="Input 25" xfId="2696" xr:uid="{00000000-0005-0000-0000-0000544C0000}"/>
    <cellStyle name="Input 3" xfId="2697" xr:uid="{00000000-0005-0000-0000-0000554C0000}"/>
    <cellStyle name="Input 3 10" xfId="16630" xr:uid="{00000000-0005-0000-0000-0000564C0000}"/>
    <cellStyle name="Input 3 11" xfId="16109" xr:uid="{00000000-0005-0000-0000-0000574C0000}"/>
    <cellStyle name="Input 3 12" xfId="16579" xr:uid="{00000000-0005-0000-0000-0000584C0000}"/>
    <cellStyle name="Input 3 13" xfId="16836" xr:uid="{00000000-0005-0000-0000-0000594C0000}"/>
    <cellStyle name="Input 3 14" xfId="16731" xr:uid="{00000000-0005-0000-0000-00005A4C0000}"/>
    <cellStyle name="Input 3 15" xfId="16049" xr:uid="{00000000-0005-0000-0000-00005B4C0000}"/>
    <cellStyle name="Input 3 16" xfId="16048" xr:uid="{00000000-0005-0000-0000-00005C4C0000}"/>
    <cellStyle name="Input 3 17" xfId="16371" xr:uid="{00000000-0005-0000-0000-00005D4C0000}"/>
    <cellStyle name="Input 3 2" xfId="2698" xr:uid="{00000000-0005-0000-0000-00005E4C0000}"/>
    <cellStyle name="Input 3 2 10" xfId="16857" xr:uid="{00000000-0005-0000-0000-00005F4C0000}"/>
    <cellStyle name="Input 3 2 11" xfId="17108" xr:uid="{00000000-0005-0000-0000-0000604C0000}"/>
    <cellStyle name="Input 3 2 12" xfId="16644" xr:uid="{00000000-0005-0000-0000-0000614C0000}"/>
    <cellStyle name="Input 3 2 13" xfId="16047" xr:uid="{00000000-0005-0000-0000-0000624C0000}"/>
    <cellStyle name="Input 3 2 14" xfId="16046" xr:uid="{00000000-0005-0000-0000-0000634C0000}"/>
    <cellStyle name="Input 3 2 15" xfId="16715" xr:uid="{00000000-0005-0000-0000-0000644C0000}"/>
    <cellStyle name="Input 3 2 2" xfId="4086" xr:uid="{00000000-0005-0000-0000-0000654C0000}"/>
    <cellStyle name="Input 3 2 2 2" xfId="15505" xr:uid="{00000000-0005-0000-0000-0000664C0000}"/>
    <cellStyle name="Input 3 2 3" xfId="16846" xr:uid="{00000000-0005-0000-0000-0000674C0000}"/>
    <cellStyle name="Input 3 2 4" xfId="17010" xr:uid="{00000000-0005-0000-0000-0000684C0000}"/>
    <cellStyle name="Input 3 2 5" xfId="16354" xr:uid="{00000000-0005-0000-0000-0000694C0000}"/>
    <cellStyle name="Input 3 2 6" xfId="15800" xr:uid="{00000000-0005-0000-0000-00006A4C0000}"/>
    <cellStyle name="Input 3 2 7" xfId="16304" xr:uid="{00000000-0005-0000-0000-00006B4C0000}"/>
    <cellStyle name="Input 3 2 8" xfId="16561" xr:uid="{00000000-0005-0000-0000-00006C4C0000}"/>
    <cellStyle name="Input 3 2 9" xfId="16454" xr:uid="{00000000-0005-0000-0000-00006D4C0000}"/>
    <cellStyle name="Input 3 3" xfId="2699" xr:uid="{00000000-0005-0000-0000-00006E4C0000}"/>
    <cellStyle name="Input 3 3 10" xfId="16582" xr:uid="{00000000-0005-0000-0000-00006F4C0000}"/>
    <cellStyle name="Input 3 3 11" xfId="16843" xr:uid="{00000000-0005-0000-0000-0000704C0000}"/>
    <cellStyle name="Input 3 3 12" xfId="16364" xr:uid="{00000000-0005-0000-0000-0000714C0000}"/>
    <cellStyle name="Input 3 3 13" xfId="16045" xr:uid="{00000000-0005-0000-0000-0000724C0000}"/>
    <cellStyle name="Input 3 3 14" xfId="16044" xr:uid="{00000000-0005-0000-0000-0000734C0000}"/>
    <cellStyle name="Input 3 3 15" xfId="16440" xr:uid="{00000000-0005-0000-0000-0000744C0000}"/>
    <cellStyle name="Input 3 3 2" xfId="15504" xr:uid="{00000000-0005-0000-0000-0000754C0000}"/>
    <cellStyle name="Input 3 3 3" xfId="16574" xr:uid="{00000000-0005-0000-0000-0000764C0000}"/>
    <cellStyle name="Input 3 3 4" xfId="16743" xr:uid="{00000000-0005-0000-0000-0000774C0000}"/>
    <cellStyle name="Input 3 3 5" xfId="16994" xr:uid="{00000000-0005-0000-0000-0000784C0000}"/>
    <cellStyle name="Input 3 3 6" xfId="16108" xr:uid="{00000000-0005-0000-0000-0000794C0000}"/>
    <cellStyle name="Input 3 3 7" xfId="16107" xr:uid="{00000000-0005-0000-0000-00007A4C0000}"/>
    <cellStyle name="Input 3 3 8" xfId="16106" xr:uid="{00000000-0005-0000-0000-00007B4C0000}"/>
    <cellStyle name="Input 3 3 9" xfId="16105" xr:uid="{00000000-0005-0000-0000-00007C4C0000}"/>
    <cellStyle name="Input 3 4" xfId="2700" xr:uid="{00000000-0005-0000-0000-00007D4C0000}"/>
    <cellStyle name="Input 3 4 2" xfId="16104" xr:uid="{00000000-0005-0000-0000-00007E4C0000}"/>
    <cellStyle name="Input 3 5" xfId="2701" xr:uid="{00000000-0005-0000-0000-00007F4C0000}"/>
    <cellStyle name="Input 3 5 2" xfId="16103" xr:uid="{00000000-0005-0000-0000-0000804C0000}"/>
    <cellStyle name="Input 3 6" xfId="2702" xr:uid="{00000000-0005-0000-0000-0000814C0000}"/>
    <cellStyle name="Input 3 6 2" xfId="16102" xr:uid="{00000000-0005-0000-0000-0000824C0000}"/>
    <cellStyle name="Input 3 7" xfId="2703" xr:uid="{00000000-0005-0000-0000-0000834C0000}"/>
    <cellStyle name="Input 3 7 2" xfId="16101" xr:uid="{00000000-0005-0000-0000-0000844C0000}"/>
    <cellStyle name="Input 3 8" xfId="2704" xr:uid="{00000000-0005-0000-0000-0000854C0000}"/>
    <cellStyle name="Input 3 8 2" xfId="16100" xr:uid="{00000000-0005-0000-0000-0000864C0000}"/>
    <cellStyle name="Input 3 9" xfId="16099" xr:uid="{00000000-0005-0000-0000-0000874C0000}"/>
    <cellStyle name="Input 4" xfId="2705" xr:uid="{00000000-0005-0000-0000-0000884C0000}"/>
    <cellStyle name="Input 4 2" xfId="2706" xr:uid="{00000000-0005-0000-0000-0000894C0000}"/>
    <cellStyle name="Input 4 3" xfId="2707" xr:uid="{00000000-0005-0000-0000-00008A4C0000}"/>
    <cellStyle name="Input 4 4" xfId="2708" xr:uid="{00000000-0005-0000-0000-00008B4C0000}"/>
    <cellStyle name="Input 4 5" xfId="15574" xr:uid="{00000000-0005-0000-0000-00008C4C0000}"/>
    <cellStyle name="Input 5" xfId="2709" xr:uid="{00000000-0005-0000-0000-00008D4C0000}"/>
    <cellStyle name="Input 5 2" xfId="2710" xr:uid="{00000000-0005-0000-0000-00008E4C0000}"/>
    <cellStyle name="Input 5 3" xfId="2711" xr:uid="{00000000-0005-0000-0000-00008F4C0000}"/>
    <cellStyle name="Input 5 4" xfId="2712" xr:uid="{00000000-0005-0000-0000-0000904C0000}"/>
    <cellStyle name="Input 5 5" xfId="16288" xr:uid="{00000000-0005-0000-0000-0000914C0000}"/>
    <cellStyle name="Input 6" xfId="2713" xr:uid="{00000000-0005-0000-0000-0000924C0000}"/>
    <cellStyle name="Input 6 2" xfId="2714" xr:uid="{00000000-0005-0000-0000-0000934C0000}"/>
    <cellStyle name="Input 6 3" xfId="2715" xr:uid="{00000000-0005-0000-0000-0000944C0000}"/>
    <cellStyle name="Input 6 4" xfId="16180" xr:uid="{00000000-0005-0000-0000-0000954C0000}"/>
    <cellStyle name="Input 7" xfId="2716" xr:uid="{00000000-0005-0000-0000-0000964C0000}"/>
    <cellStyle name="Input 7 2" xfId="2717" xr:uid="{00000000-0005-0000-0000-0000974C0000}"/>
    <cellStyle name="Input 7 3" xfId="16164" xr:uid="{00000000-0005-0000-0000-0000984C0000}"/>
    <cellStyle name="Input 8" xfId="2718" xr:uid="{00000000-0005-0000-0000-0000994C0000}"/>
    <cellStyle name="Input 8 2" xfId="2719" xr:uid="{00000000-0005-0000-0000-00009A4C0000}"/>
    <cellStyle name="Input 8 3" xfId="16308" xr:uid="{00000000-0005-0000-0000-00009B4C0000}"/>
    <cellStyle name="Input 9" xfId="2720" xr:uid="{00000000-0005-0000-0000-00009C4C0000}"/>
    <cellStyle name="Input 9 2" xfId="16566" xr:uid="{00000000-0005-0000-0000-00009D4C0000}"/>
    <cellStyle name="Insatisfaisant" xfId="4087" xr:uid="{00000000-0005-0000-0000-00009E4C0000}"/>
    <cellStyle name="iPercent0" xfId="2721" xr:uid="{00000000-0005-0000-0000-00009F4C0000}"/>
    <cellStyle name="iPercent1" xfId="2722" xr:uid="{00000000-0005-0000-0000-0000A04C0000}"/>
    <cellStyle name="iTextB" xfId="2723" xr:uid="{00000000-0005-0000-0000-0000A14C0000}"/>
    <cellStyle name="iTextCen" xfId="2724" xr:uid="{00000000-0005-0000-0000-0000A24C0000}"/>
    <cellStyle name="iTextGen" xfId="2725" xr:uid="{00000000-0005-0000-0000-0000A34C0000}"/>
    <cellStyle name="iTextGenProt" xfId="2726" xr:uid="{00000000-0005-0000-0000-0000A44C0000}"/>
    <cellStyle name="iTextGenWrap" xfId="2727" xr:uid="{00000000-0005-0000-0000-0000A54C0000}"/>
    <cellStyle name="iTextI" xfId="2728" xr:uid="{00000000-0005-0000-0000-0000A64C0000}"/>
    <cellStyle name="iTextSm" xfId="2729" xr:uid="{00000000-0005-0000-0000-0000A74C0000}"/>
    <cellStyle name="iTextSm 2" xfId="2730" xr:uid="{00000000-0005-0000-0000-0000A84C0000}"/>
    <cellStyle name="iTextSm 3" xfId="2731" xr:uid="{00000000-0005-0000-0000-0000A94C0000}"/>
    <cellStyle name="iTextSm_Sheet2" xfId="2732" xr:uid="{00000000-0005-0000-0000-0000AA4C0000}"/>
    <cellStyle name="iTextU" xfId="2733" xr:uid="{00000000-0005-0000-0000-0000AB4C0000}"/>
    <cellStyle name="Komma 5" xfId="26273" xr:uid="{00000000-0005-0000-0000-0000AC4C0000}"/>
    <cellStyle name="Komma 5 2" xfId="26274" xr:uid="{00000000-0005-0000-0000-0000AD4C0000}"/>
    <cellStyle name="Komma 5 2 2" xfId="26505" xr:uid="{00000000-0005-0000-0000-0000AE4C0000}"/>
    <cellStyle name="Komma 5 2 3" xfId="26736" xr:uid="{00000000-0005-0000-0000-0000AF4C0000}"/>
    <cellStyle name="Komma 5 3" xfId="26504" xr:uid="{00000000-0005-0000-0000-0000B04C0000}"/>
    <cellStyle name="Komma 5 3 2" xfId="26770" xr:uid="{00000000-0005-0000-0000-0000B14C0000}"/>
    <cellStyle name="Komma 5 4" xfId="26735" xr:uid="{00000000-0005-0000-0000-0000B24C0000}"/>
    <cellStyle name="Komma 5 4 2" xfId="26769" xr:uid="{00000000-0005-0000-0000-0000B34C0000}"/>
    <cellStyle name="Komma 5 5" xfId="26768" xr:uid="{00000000-0005-0000-0000-0000B44C0000}"/>
    <cellStyle name="Komma 5 6" xfId="26915" xr:uid="{00000000-0005-0000-0000-0000B54C0000}"/>
    <cellStyle name="Komma 5 7" xfId="26759" xr:uid="{00000000-0005-0000-0000-0000B64C0000}"/>
    <cellStyle name="Lien hypertexte 2" xfId="4088" xr:uid="{00000000-0005-0000-0000-0000B74C0000}"/>
    <cellStyle name="Linked Cell 10" xfId="2734" xr:uid="{00000000-0005-0000-0000-0000B84C0000}"/>
    <cellStyle name="Linked Cell 11" xfId="2735" xr:uid="{00000000-0005-0000-0000-0000B94C0000}"/>
    <cellStyle name="Linked Cell 12" xfId="2736" xr:uid="{00000000-0005-0000-0000-0000BA4C0000}"/>
    <cellStyle name="Linked Cell 13" xfId="2737" xr:uid="{00000000-0005-0000-0000-0000BB4C0000}"/>
    <cellStyle name="Linked Cell 2" xfId="2738" xr:uid="{00000000-0005-0000-0000-0000BC4C0000}"/>
    <cellStyle name="Linked Cell 2 10" xfId="2739" xr:uid="{00000000-0005-0000-0000-0000BD4C0000}"/>
    <cellStyle name="Linked Cell 2 11" xfId="2740" xr:uid="{00000000-0005-0000-0000-0000BE4C0000}"/>
    <cellStyle name="Linked Cell 2 12" xfId="2741" xr:uid="{00000000-0005-0000-0000-0000BF4C0000}"/>
    <cellStyle name="Linked Cell 2 13" xfId="2742" xr:uid="{00000000-0005-0000-0000-0000C04C0000}"/>
    <cellStyle name="Linked Cell 2 14" xfId="2743" xr:uid="{00000000-0005-0000-0000-0000C14C0000}"/>
    <cellStyle name="Linked Cell 2 15" xfId="2744" xr:uid="{00000000-0005-0000-0000-0000C24C0000}"/>
    <cellStyle name="Linked Cell 2 16" xfId="2745" xr:uid="{00000000-0005-0000-0000-0000C34C0000}"/>
    <cellStyle name="Linked Cell 2 2" xfId="2746" xr:uid="{00000000-0005-0000-0000-0000C44C0000}"/>
    <cellStyle name="Linked Cell 2 2 2" xfId="2747" xr:uid="{00000000-0005-0000-0000-0000C54C0000}"/>
    <cellStyle name="Linked Cell 2 2 3" xfId="2748" xr:uid="{00000000-0005-0000-0000-0000C64C0000}"/>
    <cellStyle name="Linked Cell 2 2 4" xfId="2749" xr:uid="{00000000-0005-0000-0000-0000C74C0000}"/>
    <cellStyle name="Linked Cell 2 2 5" xfId="2750" xr:uid="{00000000-0005-0000-0000-0000C84C0000}"/>
    <cellStyle name="Linked Cell 2 3" xfId="2751" xr:uid="{00000000-0005-0000-0000-0000C94C0000}"/>
    <cellStyle name="Linked Cell 2 4" xfId="2752" xr:uid="{00000000-0005-0000-0000-0000CA4C0000}"/>
    <cellStyle name="Linked Cell 2 5" xfId="2753" xr:uid="{00000000-0005-0000-0000-0000CB4C0000}"/>
    <cellStyle name="Linked Cell 2 6" xfId="2754" xr:uid="{00000000-0005-0000-0000-0000CC4C0000}"/>
    <cellStyle name="Linked Cell 2 7" xfId="2755" xr:uid="{00000000-0005-0000-0000-0000CD4C0000}"/>
    <cellStyle name="Linked Cell 2 8" xfId="2756" xr:uid="{00000000-0005-0000-0000-0000CE4C0000}"/>
    <cellStyle name="Linked Cell 2 9" xfId="2757" xr:uid="{00000000-0005-0000-0000-0000CF4C0000}"/>
    <cellStyle name="Linked Cell 3" xfId="2758" xr:uid="{00000000-0005-0000-0000-0000D04C0000}"/>
    <cellStyle name="Linked Cell 3 2" xfId="2759" xr:uid="{00000000-0005-0000-0000-0000D14C0000}"/>
    <cellStyle name="Linked Cell 3 3" xfId="2760" xr:uid="{00000000-0005-0000-0000-0000D24C0000}"/>
    <cellStyle name="Linked Cell 3 4" xfId="2761" xr:uid="{00000000-0005-0000-0000-0000D34C0000}"/>
    <cellStyle name="Linked Cell 3 5" xfId="2762" xr:uid="{00000000-0005-0000-0000-0000D44C0000}"/>
    <cellStyle name="Linked Cell 3 6" xfId="2763" xr:uid="{00000000-0005-0000-0000-0000D54C0000}"/>
    <cellStyle name="Linked Cell 4" xfId="2764" xr:uid="{00000000-0005-0000-0000-0000D64C0000}"/>
    <cellStyle name="Linked Cell 4 2" xfId="2765" xr:uid="{00000000-0005-0000-0000-0000D74C0000}"/>
    <cellStyle name="Linked Cell 5" xfId="2766" xr:uid="{00000000-0005-0000-0000-0000D84C0000}"/>
    <cellStyle name="Linked Cell 5 2" xfId="2767" xr:uid="{00000000-0005-0000-0000-0000D94C0000}"/>
    <cellStyle name="Linked Cell 6" xfId="2768" xr:uid="{00000000-0005-0000-0000-0000DA4C0000}"/>
    <cellStyle name="Linked Cell 7" xfId="2769" xr:uid="{00000000-0005-0000-0000-0000DB4C0000}"/>
    <cellStyle name="Linked Cell 8" xfId="2770" xr:uid="{00000000-0005-0000-0000-0000DC4C0000}"/>
    <cellStyle name="Linked Cell 9" xfId="2771" xr:uid="{00000000-0005-0000-0000-0000DD4C0000}"/>
    <cellStyle name="Migliaia_tab emissioni" xfId="4089" xr:uid="{00000000-0005-0000-0000-0000DE4C0000}"/>
    <cellStyle name="Neutral 10" xfId="2772" xr:uid="{00000000-0005-0000-0000-0000DF4C0000}"/>
    <cellStyle name="Neutral 11" xfId="2773" xr:uid="{00000000-0005-0000-0000-0000E04C0000}"/>
    <cellStyle name="Neutral 12" xfId="2774" xr:uid="{00000000-0005-0000-0000-0000E14C0000}"/>
    <cellStyle name="Neutral 13" xfId="2775" xr:uid="{00000000-0005-0000-0000-0000E24C0000}"/>
    <cellStyle name="Neutral 2" xfId="2776" xr:uid="{00000000-0005-0000-0000-0000E34C0000}"/>
    <cellStyle name="Neutral 2 10" xfId="2777" xr:uid="{00000000-0005-0000-0000-0000E44C0000}"/>
    <cellStyle name="Neutral 2 11" xfId="2778" xr:uid="{00000000-0005-0000-0000-0000E54C0000}"/>
    <cellStyle name="Neutral 2 12" xfId="2779" xr:uid="{00000000-0005-0000-0000-0000E64C0000}"/>
    <cellStyle name="Neutral 2 13" xfId="2780" xr:uid="{00000000-0005-0000-0000-0000E74C0000}"/>
    <cellStyle name="Neutral 2 14" xfId="2781" xr:uid="{00000000-0005-0000-0000-0000E84C0000}"/>
    <cellStyle name="Neutral 2 15" xfId="2782" xr:uid="{00000000-0005-0000-0000-0000E94C0000}"/>
    <cellStyle name="Neutral 2 16" xfId="2783" xr:uid="{00000000-0005-0000-0000-0000EA4C0000}"/>
    <cellStyle name="Neutral 2 2" xfId="2784" xr:uid="{00000000-0005-0000-0000-0000EB4C0000}"/>
    <cellStyle name="Neutral 2 2 2" xfId="2785" xr:uid="{00000000-0005-0000-0000-0000EC4C0000}"/>
    <cellStyle name="Neutral 2 2 3" xfId="2786" xr:uid="{00000000-0005-0000-0000-0000ED4C0000}"/>
    <cellStyle name="Neutral 2 2 4" xfId="2787" xr:uid="{00000000-0005-0000-0000-0000EE4C0000}"/>
    <cellStyle name="Neutral 2 2 5" xfId="2788" xr:uid="{00000000-0005-0000-0000-0000EF4C0000}"/>
    <cellStyle name="Neutral 2 3" xfId="2789" xr:uid="{00000000-0005-0000-0000-0000F04C0000}"/>
    <cellStyle name="Neutral 2 4" xfId="2790" xr:uid="{00000000-0005-0000-0000-0000F14C0000}"/>
    <cellStyle name="Neutral 2 5" xfId="2791" xr:uid="{00000000-0005-0000-0000-0000F24C0000}"/>
    <cellStyle name="Neutral 2 6" xfId="2792" xr:uid="{00000000-0005-0000-0000-0000F34C0000}"/>
    <cellStyle name="Neutral 2 7" xfId="2793" xr:uid="{00000000-0005-0000-0000-0000F44C0000}"/>
    <cellStyle name="Neutral 2 8" xfId="2794" xr:uid="{00000000-0005-0000-0000-0000F54C0000}"/>
    <cellStyle name="Neutral 2 9" xfId="2795" xr:uid="{00000000-0005-0000-0000-0000F64C0000}"/>
    <cellStyle name="Neutral 3" xfId="2796" xr:uid="{00000000-0005-0000-0000-0000F74C0000}"/>
    <cellStyle name="Neutral 3 2" xfId="2797" xr:uid="{00000000-0005-0000-0000-0000F84C0000}"/>
    <cellStyle name="Neutral 3 3" xfId="2798" xr:uid="{00000000-0005-0000-0000-0000F94C0000}"/>
    <cellStyle name="Neutral 3 4" xfId="2799" xr:uid="{00000000-0005-0000-0000-0000FA4C0000}"/>
    <cellStyle name="Neutral 3 5" xfId="2800" xr:uid="{00000000-0005-0000-0000-0000FB4C0000}"/>
    <cellStyle name="Neutral 3 6" xfId="2801" xr:uid="{00000000-0005-0000-0000-0000FC4C0000}"/>
    <cellStyle name="Neutral 3 7" xfId="16098" xr:uid="{00000000-0005-0000-0000-0000FD4C0000}"/>
    <cellStyle name="Neutral 4" xfId="2802" xr:uid="{00000000-0005-0000-0000-0000FE4C0000}"/>
    <cellStyle name="Neutral 4 2" xfId="2803" xr:uid="{00000000-0005-0000-0000-0000FF4C0000}"/>
    <cellStyle name="Neutral 5" xfId="2804" xr:uid="{00000000-0005-0000-0000-0000004D0000}"/>
    <cellStyle name="Neutral 5 2" xfId="2805" xr:uid="{00000000-0005-0000-0000-0000014D0000}"/>
    <cellStyle name="Neutral 6" xfId="2806" xr:uid="{00000000-0005-0000-0000-0000024D0000}"/>
    <cellStyle name="Neutral 6 2" xfId="2807" xr:uid="{00000000-0005-0000-0000-0000034D0000}"/>
    <cellStyle name="Neutral 7" xfId="2808" xr:uid="{00000000-0005-0000-0000-0000044D0000}"/>
    <cellStyle name="Neutral 7 2" xfId="2809" xr:uid="{00000000-0005-0000-0000-0000054D0000}"/>
    <cellStyle name="Neutral 8" xfId="2810" xr:uid="{00000000-0005-0000-0000-0000064D0000}"/>
    <cellStyle name="Neutral 8 2" xfId="2811" xr:uid="{00000000-0005-0000-0000-0000074D0000}"/>
    <cellStyle name="Neutral 9" xfId="2812" xr:uid="{00000000-0005-0000-0000-0000084D0000}"/>
    <cellStyle name="Neutre" xfId="4090" xr:uid="{00000000-0005-0000-0000-0000094D0000}"/>
    <cellStyle name="Nick's Standard" xfId="2813" xr:uid="{00000000-0005-0000-0000-00000A4D0000}"/>
    <cellStyle name="Normal" xfId="0" builtinId="0"/>
    <cellStyle name="Normal 10" xfId="5" xr:uid="{00000000-0005-0000-0000-00000C4D0000}"/>
    <cellStyle name="Normal 10 2" xfId="85" xr:uid="{00000000-0005-0000-0000-00000D4D0000}"/>
    <cellStyle name="Normal 10 2 2" xfId="8081" xr:uid="{00000000-0005-0000-0000-00000E4D0000}"/>
    <cellStyle name="Normal 10 2 2 2" xfId="10300" xr:uid="{00000000-0005-0000-0000-00000F4D0000}"/>
    <cellStyle name="Normal 10 2 2 2 2" xfId="20863" xr:uid="{00000000-0005-0000-0000-0000104D0000}"/>
    <cellStyle name="Normal 10 2 2 3" xfId="12519" xr:uid="{00000000-0005-0000-0000-0000114D0000}"/>
    <cellStyle name="Normal 10 2 2 3 2" xfId="23082" xr:uid="{00000000-0005-0000-0000-0000124D0000}"/>
    <cellStyle name="Normal 10 2 2 4" xfId="14738" xr:uid="{00000000-0005-0000-0000-0000134D0000}"/>
    <cellStyle name="Normal 10 2 2 4 2" xfId="25301" xr:uid="{00000000-0005-0000-0000-0000144D0000}"/>
    <cellStyle name="Normal 10 2 2 5" xfId="18644" xr:uid="{00000000-0005-0000-0000-0000154D0000}"/>
    <cellStyle name="Normal 10 2 3" xfId="7348" xr:uid="{00000000-0005-0000-0000-0000164D0000}"/>
    <cellStyle name="Normal 10 2 3 2" xfId="9567" xr:uid="{00000000-0005-0000-0000-0000174D0000}"/>
    <cellStyle name="Normal 10 2 3 2 2" xfId="20130" xr:uid="{00000000-0005-0000-0000-0000184D0000}"/>
    <cellStyle name="Normal 10 2 3 3" xfId="11786" xr:uid="{00000000-0005-0000-0000-0000194D0000}"/>
    <cellStyle name="Normal 10 2 3 3 2" xfId="22349" xr:uid="{00000000-0005-0000-0000-00001A4D0000}"/>
    <cellStyle name="Normal 10 2 3 4" xfId="14005" xr:uid="{00000000-0005-0000-0000-00001B4D0000}"/>
    <cellStyle name="Normal 10 2 3 4 2" xfId="24568" xr:uid="{00000000-0005-0000-0000-00001C4D0000}"/>
    <cellStyle name="Normal 10 2 3 5" xfId="17911" xr:uid="{00000000-0005-0000-0000-00001D4D0000}"/>
    <cellStyle name="Normal 10 2 4" xfId="8824" xr:uid="{00000000-0005-0000-0000-00001E4D0000}"/>
    <cellStyle name="Normal 10 2 4 2" xfId="19387" xr:uid="{00000000-0005-0000-0000-00001F4D0000}"/>
    <cellStyle name="Normal 10 2 5" xfId="11043" xr:uid="{00000000-0005-0000-0000-0000204D0000}"/>
    <cellStyle name="Normal 10 2 5 2" xfId="21606" xr:uid="{00000000-0005-0000-0000-0000214D0000}"/>
    <cellStyle name="Normal 10 2 6" xfId="13262" xr:uid="{00000000-0005-0000-0000-0000224D0000}"/>
    <cellStyle name="Normal 10 2 6 2" xfId="23825" xr:uid="{00000000-0005-0000-0000-0000234D0000}"/>
    <cellStyle name="Normal 10 2 7" xfId="16043" xr:uid="{00000000-0005-0000-0000-0000244D0000}"/>
    <cellStyle name="Normal 10 2 8" xfId="17162" xr:uid="{00000000-0005-0000-0000-0000254D0000}"/>
    <cellStyle name="Normal 10 3" xfId="16042" xr:uid="{00000000-0005-0000-0000-0000264D0000}"/>
    <cellStyle name="Normal 10 5" xfId="27247" xr:uid="{00000000-0005-0000-0000-0000274D0000}"/>
    <cellStyle name="Normal 11" xfId="35" xr:uid="{00000000-0005-0000-0000-0000284D0000}"/>
    <cellStyle name="Normal 11 10" xfId="15798" xr:uid="{00000000-0005-0000-0000-0000294D0000}"/>
    <cellStyle name="Normal 11 10 2" xfId="16041" xr:uid="{00000000-0005-0000-0000-00002A4D0000}"/>
    <cellStyle name="Normal 11 10 2 2" xfId="16040" xr:uid="{00000000-0005-0000-0000-00002B4D0000}"/>
    <cellStyle name="Normal 11 10 3" xfId="16039" xr:uid="{00000000-0005-0000-0000-00002C4D0000}"/>
    <cellStyle name="Normal 11 10 3 2" xfId="16038" xr:uid="{00000000-0005-0000-0000-00002D4D0000}"/>
    <cellStyle name="Normal 11 10 4" xfId="16037" xr:uid="{00000000-0005-0000-0000-00002E4D0000}"/>
    <cellStyle name="Normal 11 10 4 2" xfId="16036" xr:uid="{00000000-0005-0000-0000-00002F4D0000}"/>
    <cellStyle name="Normal 11 10 5" xfId="16035" xr:uid="{00000000-0005-0000-0000-0000304D0000}"/>
    <cellStyle name="Normal 11 10 5 2" xfId="16034" xr:uid="{00000000-0005-0000-0000-0000314D0000}"/>
    <cellStyle name="Normal 11 10 6" xfId="16033" xr:uid="{00000000-0005-0000-0000-0000324D0000}"/>
    <cellStyle name="Normal 11 2" xfId="2814" xr:uid="{00000000-0005-0000-0000-0000334D0000}"/>
    <cellStyle name="Normal 11 2 10" xfId="17833" xr:uid="{00000000-0005-0000-0000-0000344D0000}"/>
    <cellStyle name="Normal 11 2 2" xfId="4091" xr:uid="{00000000-0005-0000-0000-0000354D0000}"/>
    <cellStyle name="Normal 11 2 2 2" xfId="4092" xr:uid="{00000000-0005-0000-0000-0000364D0000}"/>
    <cellStyle name="Normal 11 2 3" xfId="4093" xr:uid="{00000000-0005-0000-0000-0000374D0000}"/>
    <cellStyle name="Normal 11 2 3 2" xfId="4094" xr:uid="{00000000-0005-0000-0000-0000384D0000}"/>
    <cellStyle name="Normal 11 2 3 2 2" xfId="16032" xr:uid="{00000000-0005-0000-0000-0000394D0000}"/>
    <cellStyle name="Normal 11 2 3 3" xfId="8810" xr:uid="{00000000-0005-0000-0000-00003A4D0000}"/>
    <cellStyle name="Normal 11 2 3 3 2" xfId="11029" xr:uid="{00000000-0005-0000-0000-00003B4D0000}"/>
    <cellStyle name="Normal 11 2 3 3 2 2" xfId="21592" xr:uid="{00000000-0005-0000-0000-00003C4D0000}"/>
    <cellStyle name="Normal 11 2 3 3 3" xfId="13248" xr:uid="{00000000-0005-0000-0000-00003D4D0000}"/>
    <cellStyle name="Normal 11 2 3 3 3 2" xfId="23811" xr:uid="{00000000-0005-0000-0000-00003E4D0000}"/>
    <cellStyle name="Normal 11 2 3 3 4" xfId="15467" xr:uid="{00000000-0005-0000-0000-00003F4D0000}"/>
    <cellStyle name="Normal 11 2 3 3 4 2" xfId="26030" xr:uid="{00000000-0005-0000-0000-0000404D0000}"/>
    <cellStyle name="Normal 11 2 3 3 5" xfId="19373" xr:uid="{00000000-0005-0000-0000-0000414D0000}"/>
    <cellStyle name="Normal 11 2 3 4" xfId="9553" xr:uid="{00000000-0005-0000-0000-0000424D0000}"/>
    <cellStyle name="Normal 11 2 3 4 2" xfId="20116" xr:uid="{00000000-0005-0000-0000-0000434D0000}"/>
    <cellStyle name="Normal 11 2 3 5" xfId="11772" xr:uid="{00000000-0005-0000-0000-0000444D0000}"/>
    <cellStyle name="Normal 11 2 3 5 2" xfId="22335" xr:uid="{00000000-0005-0000-0000-0000454D0000}"/>
    <cellStyle name="Normal 11 2 3 6" xfId="13991" xr:uid="{00000000-0005-0000-0000-0000464D0000}"/>
    <cellStyle name="Normal 11 2 3 6 2" xfId="24554" xr:uid="{00000000-0005-0000-0000-0000474D0000}"/>
    <cellStyle name="Normal 11 2 3 7" xfId="17891" xr:uid="{00000000-0005-0000-0000-0000484D0000}"/>
    <cellStyle name="Normal 11 2 4" xfId="4095" xr:uid="{00000000-0005-0000-0000-0000494D0000}"/>
    <cellStyle name="Normal 11 2 5" xfId="8752" xr:uid="{00000000-0005-0000-0000-00004A4D0000}"/>
    <cellStyle name="Normal 11 2 5 2" xfId="10971" xr:uid="{00000000-0005-0000-0000-00004B4D0000}"/>
    <cellStyle name="Normal 11 2 5 2 2" xfId="21534" xr:uid="{00000000-0005-0000-0000-00004C4D0000}"/>
    <cellStyle name="Normal 11 2 5 3" xfId="13190" xr:uid="{00000000-0005-0000-0000-00004D4D0000}"/>
    <cellStyle name="Normal 11 2 5 3 2" xfId="23753" xr:uid="{00000000-0005-0000-0000-00004E4D0000}"/>
    <cellStyle name="Normal 11 2 5 4" xfId="15409" xr:uid="{00000000-0005-0000-0000-00004F4D0000}"/>
    <cellStyle name="Normal 11 2 5 4 2" xfId="25972" xr:uid="{00000000-0005-0000-0000-0000504D0000}"/>
    <cellStyle name="Normal 11 2 5 5" xfId="19315" xr:uid="{00000000-0005-0000-0000-0000514D0000}"/>
    <cellStyle name="Normal 11 2 6" xfId="8019" xr:uid="{00000000-0005-0000-0000-0000524D0000}"/>
    <cellStyle name="Normal 11 2 6 2" xfId="10238" xr:uid="{00000000-0005-0000-0000-0000534D0000}"/>
    <cellStyle name="Normal 11 2 6 2 2" xfId="20801" xr:uid="{00000000-0005-0000-0000-0000544D0000}"/>
    <cellStyle name="Normal 11 2 6 3" xfId="12457" xr:uid="{00000000-0005-0000-0000-0000554D0000}"/>
    <cellStyle name="Normal 11 2 6 3 2" xfId="23020" xr:uid="{00000000-0005-0000-0000-0000564D0000}"/>
    <cellStyle name="Normal 11 2 6 4" xfId="14676" xr:uid="{00000000-0005-0000-0000-0000574D0000}"/>
    <cellStyle name="Normal 11 2 6 4 2" xfId="25239" xr:uid="{00000000-0005-0000-0000-0000584D0000}"/>
    <cellStyle name="Normal 11 2 6 5" xfId="18582" xr:uid="{00000000-0005-0000-0000-0000594D0000}"/>
    <cellStyle name="Normal 11 2 7" xfId="9495" xr:uid="{00000000-0005-0000-0000-00005A4D0000}"/>
    <cellStyle name="Normal 11 2 7 2" xfId="20058" xr:uid="{00000000-0005-0000-0000-00005B4D0000}"/>
    <cellStyle name="Normal 11 2 8" xfId="11714" xr:uid="{00000000-0005-0000-0000-00005C4D0000}"/>
    <cellStyle name="Normal 11 2 8 2" xfId="22277" xr:uid="{00000000-0005-0000-0000-00005D4D0000}"/>
    <cellStyle name="Normal 11 2 9" xfId="13933" xr:uid="{00000000-0005-0000-0000-00005E4D0000}"/>
    <cellStyle name="Normal 11 2 9 2" xfId="24496" xr:uid="{00000000-0005-0000-0000-00005F4D0000}"/>
    <cellStyle name="Normal 11 3" xfId="4096" xr:uid="{00000000-0005-0000-0000-0000604D0000}"/>
    <cellStyle name="Normal 11 3 2" xfId="4097" xr:uid="{00000000-0005-0000-0000-0000614D0000}"/>
    <cellStyle name="Normal 11 3 2 2" xfId="4098" xr:uid="{00000000-0005-0000-0000-0000624D0000}"/>
    <cellStyle name="Normal 11 3 2 2 2" xfId="8812" xr:uid="{00000000-0005-0000-0000-0000634D0000}"/>
    <cellStyle name="Normal 11 3 2 2 2 2" xfId="11031" xr:uid="{00000000-0005-0000-0000-0000644D0000}"/>
    <cellStyle name="Normal 11 3 2 2 2 2 2" xfId="21594" xr:uid="{00000000-0005-0000-0000-0000654D0000}"/>
    <cellStyle name="Normal 11 3 2 2 2 3" xfId="13250" xr:uid="{00000000-0005-0000-0000-0000664D0000}"/>
    <cellStyle name="Normal 11 3 2 2 2 3 2" xfId="23813" xr:uid="{00000000-0005-0000-0000-0000674D0000}"/>
    <cellStyle name="Normal 11 3 2 2 2 4" xfId="15469" xr:uid="{00000000-0005-0000-0000-0000684D0000}"/>
    <cellStyle name="Normal 11 3 2 2 2 4 2" xfId="26032" xr:uid="{00000000-0005-0000-0000-0000694D0000}"/>
    <cellStyle name="Normal 11 3 2 2 2 5" xfId="19375" xr:uid="{00000000-0005-0000-0000-00006A4D0000}"/>
    <cellStyle name="Normal 11 3 2 2 3" xfId="9555" xr:uid="{00000000-0005-0000-0000-00006B4D0000}"/>
    <cellStyle name="Normal 11 3 2 2 3 2" xfId="20118" xr:uid="{00000000-0005-0000-0000-00006C4D0000}"/>
    <cellStyle name="Normal 11 3 2 2 4" xfId="11774" xr:uid="{00000000-0005-0000-0000-00006D4D0000}"/>
    <cellStyle name="Normal 11 3 2 2 4 2" xfId="22337" xr:uid="{00000000-0005-0000-0000-00006E4D0000}"/>
    <cellStyle name="Normal 11 3 2 2 5" xfId="13993" xr:uid="{00000000-0005-0000-0000-00006F4D0000}"/>
    <cellStyle name="Normal 11 3 2 2 5 2" xfId="24556" xr:uid="{00000000-0005-0000-0000-0000704D0000}"/>
    <cellStyle name="Normal 11 3 2 2 6" xfId="17893" xr:uid="{00000000-0005-0000-0000-0000714D0000}"/>
    <cellStyle name="Normal 11 3 2 3" xfId="8811" xr:uid="{00000000-0005-0000-0000-0000724D0000}"/>
    <cellStyle name="Normal 11 3 2 3 2" xfId="11030" xr:uid="{00000000-0005-0000-0000-0000734D0000}"/>
    <cellStyle name="Normal 11 3 2 3 2 2" xfId="21593" xr:uid="{00000000-0005-0000-0000-0000744D0000}"/>
    <cellStyle name="Normal 11 3 2 3 3" xfId="13249" xr:uid="{00000000-0005-0000-0000-0000754D0000}"/>
    <cellStyle name="Normal 11 3 2 3 3 2" xfId="23812" xr:uid="{00000000-0005-0000-0000-0000764D0000}"/>
    <cellStyle name="Normal 11 3 2 3 4" xfId="15468" xr:uid="{00000000-0005-0000-0000-0000774D0000}"/>
    <cellStyle name="Normal 11 3 2 3 4 2" xfId="26031" xr:uid="{00000000-0005-0000-0000-0000784D0000}"/>
    <cellStyle name="Normal 11 3 2 3 5" xfId="19374" xr:uid="{00000000-0005-0000-0000-0000794D0000}"/>
    <cellStyle name="Normal 11 3 2 4" xfId="9554" xr:uid="{00000000-0005-0000-0000-00007A4D0000}"/>
    <cellStyle name="Normal 11 3 2 4 2" xfId="16031" xr:uid="{00000000-0005-0000-0000-00007B4D0000}"/>
    <cellStyle name="Normal 11 3 2 4 3" xfId="20117" xr:uid="{00000000-0005-0000-0000-00007C4D0000}"/>
    <cellStyle name="Normal 11 3 2 5" xfId="11773" xr:uid="{00000000-0005-0000-0000-00007D4D0000}"/>
    <cellStyle name="Normal 11 3 2 5 2" xfId="16030" xr:uid="{00000000-0005-0000-0000-00007E4D0000}"/>
    <cellStyle name="Normal 11 3 2 5 3" xfId="22336" xr:uid="{00000000-0005-0000-0000-00007F4D0000}"/>
    <cellStyle name="Normal 11 3 2 6" xfId="13992" xr:uid="{00000000-0005-0000-0000-0000804D0000}"/>
    <cellStyle name="Normal 11 3 2 6 2" xfId="16029" xr:uid="{00000000-0005-0000-0000-0000814D0000}"/>
    <cellStyle name="Normal 11 3 2 6 3" xfId="24555" xr:uid="{00000000-0005-0000-0000-0000824D0000}"/>
    <cellStyle name="Normal 11 3 2 7" xfId="16028" xr:uid="{00000000-0005-0000-0000-0000834D0000}"/>
    <cellStyle name="Normal 11 3 2 8" xfId="15797" xr:uid="{00000000-0005-0000-0000-0000844D0000}"/>
    <cellStyle name="Normal 11 3 2 9" xfId="17892" xr:uid="{00000000-0005-0000-0000-0000854D0000}"/>
    <cellStyle name="Normal 11 3 3" xfId="4099" xr:uid="{00000000-0005-0000-0000-0000864D0000}"/>
    <cellStyle name="Normal 11 3 4" xfId="4100" xr:uid="{00000000-0005-0000-0000-0000874D0000}"/>
    <cellStyle name="Normal 11 4" xfId="4101" xr:uid="{00000000-0005-0000-0000-0000884D0000}"/>
    <cellStyle name="Normal 11 4 2" xfId="4102" xr:uid="{00000000-0005-0000-0000-0000894D0000}"/>
    <cellStyle name="Normal 11 4 3" xfId="4103" xr:uid="{00000000-0005-0000-0000-00008A4D0000}"/>
    <cellStyle name="Normal 11 5" xfId="4104" xr:uid="{00000000-0005-0000-0000-00008B4D0000}"/>
    <cellStyle name="Normal 11 5 2" xfId="4105" xr:uid="{00000000-0005-0000-0000-00008C4D0000}"/>
    <cellStyle name="Normal 11 5 2 2" xfId="8813" xr:uid="{00000000-0005-0000-0000-00008D4D0000}"/>
    <cellStyle name="Normal 11 5 2 2 2" xfId="11032" xr:uid="{00000000-0005-0000-0000-00008E4D0000}"/>
    <cellStyle name="Normal 11 5 2 2 2 2" xfId="21595" xr:uid="{00000000-0005-0000-0000-00008F4D0000}"/>
    <cellStyle name="Normal 11 5 2 2 3" xfId="13251" xr:uid="{00000000-0005-0000-0000-0000904D0000}"/>
    <cellStyle name="Normal 11 5 2 2 3 2" xfId="23814" xr:uid="{00000000-0005-0000-0000-0000914D0000}"/>
    <cellStyle name="Normal 11 5 2 2 4" xfId="15470" xr:uid="{00000000-0005-0000-0000-0000924D0000}"/>
    <cellStyle name="Normal 11 5 2 2 4 2" xfId="26033" xr:uid="{00000000-0005-0000-0000-0000934D0000}"/>
    <cellStyle name="Normal 11 5 2 2 5" xfId="19376" xr:uid="{00000000-0005-0000-0000-0000944D0000}"/>
    <cellStyle name="Normal 11 5 2 3" xfId="9556" xr:uid="{00000000-0005-0000-0000-0000954D0000}"/>
    <cellStyle name="Normal 11 5 2 3 2" xfId="16026" xr:uid="{00000000-0005-0000-0000-0000964D0000}"/>
    <cellStyle name="Normal 11 5 2 3 3" xfId="20119" xr:uid="{00000000-0005-0000-0000-0000974D0000}"/>
    <cellStyle name="Normal 11 5 2 4" xfId="11775" xr:uid="{00000000-0005-0000-0000-0000984D0000}"/>
    <cellStyle name="Normal 11 5 2 4 2" xfId="22338" xr:uid="{00000000-0005-0000-0000-0000994D0000}"/>
    <cellStyle name="Normal 11 5 2 5" xfId="13994" xr:uid="{00000000-0005-0000-0000-00009A4D0000}"/>
    <cellStyle name="Normal 11 5 2 5 2" xfId="24557" xr:uid="{00000000-0005-0000-0000-00009B4D0000}"/>
    <cellStyle name="Normal 11 5 2 6" xfId="17894" xr:uid="{00000000-0005-0000-0000-00009C4D0000}"/>
    <cellStyle name="Normal 11 5 3" xfId="16025" xr:uid="{00000000-0005-0000-0000-00009D4D0000}"/>
    <cellStyle name="Normal 11 5 3 2" xfId="15846" xr:uid="{00000000-0005-0000-0000-00009E4D0000}"/>
    <cellStyle name="Normal 11 5 4" xfId="16024" xr:uid="{00000000-0005-0000-0000-00009F4D0000}"/>
    <cellStyle name="Normal 11 5 4 2" xfId="16023" xr:uid="{00000000-0005-0000-0000-0000A04D0000}"/>
    <cellStyle name="Normal 11 5 5" xfId="16022" xr:uid="{00000000-0005-0000-0000-0000A14D0000}"/>
    <cellStyle name="Normal 11 5 5 2" xfId="16021" xr:uid="{00000000-0005-0000-0000-0000A24D0000}"/>
    <cellStyle name="Normal 11 5 6" xfId="16020" xr:uid="{00000000-0005-0000-0000-0000A34D0000}"/>
    <cellStyle name="Normal 11 5 7" xfId="16019" xr:uid="{00000000-0005-0000-0000-0000A44D0000}"/>
    <cellStyle name="Normal 11 5 8" xfId="16027" xr:uid="{00000000-0005-0000-0000-0000A54D0000}"/>
    <cellStyle name="Normal 11 6" xfId="4106" xr:uid="{00000000-0005-0000-0000-0000A64D0000}"/>
    <cellStyle name="Normal 11 7" xfId="16018" xr:uid="{00000000-0005-0000-0000-0000A74D0000}"/>
    <cellStyle name="Normal 12" xfId="2815" xr:uid="{00000000-0005-0000-0000-0000A84D0000}"/>
    <cellStyle name="Normal 12 2" xfId="4107" xr:uid="{00000000-0005-0000-0000-0000A94D0000}"/>
    <cellStyle name="Normal 12 2 2" xfId="8814" xr:uid="{00000000-0005-0000-0000-0000AA4D0000}"/>
    <cellStyle name="Normal 12 2 2 2" xfId="11033" xr:uid="{00000000-0005-0000-0000-0000AB4D0000}"/>
    <cellStyle name="Normal 12 2 2 2 2" xfId="21596" xr:uid="{00000000-0005-0000-0000-0000AC4D0000}"/>
    <cellStyle name="Normal 12 2 2 3" xfId="13252" xr:uid="{00000000-0005-0000-0000-0000AD4D0000}"/>
    <cellStyle name="Normal 12 2 2 3 2" xfId="23815" xr:uid="{00000000-0005-0000-0000-0000AE4D0000}"/>
    <cellStyle name="Normal 12 2 2 4" xfId="15471" xr:uid="{00000000-0005-0000-0000-0000AF4D0000}"/>
    <cellStyle name="Normal 12 2 2 4 2" xfId="26034" xr:uid="{00000000-0005-0000-0000-0000B04D0000}"/>
    <cellStyle name="Normal 12 2 2 5" xfId="19377" xr:uid="{00000000-0005-0000-0000-0000B14D0000}"/>
    <cellStyle name="Normal 12 2 3" xfId="9557" xr:uid="{00000000-0005-0000-0000-0000B24D0000}"/>
    <cellStyle name="Normal 12 2 3 2" xfId="20120" xr:uid="{00000000-0005-0000-0000-0000B34D0000}"/>
    <cellStyle name="Normal 12 2 4" xfId="11776" xr:uid="{00000000-0005-0000-0000-0000B44D0000}"/>
    <cellStyle name="Normal 12 2 4 2" xfId="22339" xr:uid="{00000000-0005-0000-0000-0000B54D0000}"/>
    <cellStyle name="Normal 12 2 5" xfId="13995" xr:uid="{00000000-0005-0000-0000-0000B64D0000}"/>
    <cellStyle name="Normal 12 2 5 2" xfId="24558" xr:uid="{00000000-0005-0000-0000-0000B74D0000}"/>
    <cellStyle name="Normal 12 2 6" xfId="17895" xr:uid="{00000000-0005-0000-0000-0000B84D0000}"/>
    <cellStyle name="Normal 12 3" xfId="8753" xr:uid="{00000000-0005-0000-0000-0000B94D0000}"/>
    <cellStyle name="Normal 12 3 2" xfId="10972" xr:uid="{00000000-0005-0000-0000-0000BA4D0000}"/>
    <cellStyle name="Normal 12 3 2 2" xfId="16015" xr:uid="{00000000-0005-0000-0000-0000BB4D0000}"/>
    <cellStyle name="Normal 12 3 2 3" xfId="21535" xr:uid="{00000000-0005-0000-0000-0000BC4D0000}"/>
    <cellStyle name="Normal 12 3 3" xfId="13191" xr:uid="{00000000-0005-0000-0000-0000BD4D0000}"/>
    <cellStyle name="Normal 12 3 3 2" xfId="23754" xr:uid="{00000000-0005-0000-0000-0000BE4D0000}"/>
    <cellStyle name="Normal 12 3 4" xfId="15410" xr:uid="{00000000-0005-0000-0000-0000BF4D0000}"/>
    <cellStyle name="Normal 12 3 4 2" xfId="25973" xr:uid="{00000000-0005-0000-0000-0000C04D0000}"/>
    <cellStyle name="Normal 12 3 5" xfId="16016" xr:uid="{00000000-0005-0000-0000-0000C14D0000}"/>
    <cellStyle name="Normal 12 3 6" xfId="19316" xr:uid="{00000000-0005-0000-0000-0000C24D0000}"/>
    <cellStyle name="Normal 12 4" xfId="8020" xr:uid="{00000000-0005-0000-0000-0000C34D0000}"/>
    <cellStyle name="Normal 12 4 2" xfId="10239" xr:uid="{00000000-0005-0000-0000-0000C44D0000}"/>
    <cellStyle name="Normal 12 4 2 2" xfId="16013" xr:uid="{00000000-0005-0000-0000-0000C54D0000}"/>
    <cellStyle name="Normal 12 4 2 3" xfId="20802" xr:uid="{00000000-0005-0000-0000-0000C64D0000}"/>
    <cellStyle name="Normal 12 4 3" xfId="12458" xr:uid="{00000000-0005-0000-0000-0000C74D0000}"/>
    <cellStyle name="Normal 12 4 3 2" xfId="23021" xr:uid="{00000000-0005-0000-0000-0000C84D0000}"/>
    <cellStyle name="Normal 12 4 4" xfId="14677" xr:uid="{00000000-0005-0000-0000-0000C94D0000}"/>
    <cellStyle name="Normal 12 4 4 2" xfId="25240" xr:uid="{00000000-0005-0000-0000-0000CA4D0000}"/>
    <cellStyle name="Normal 12 4 5" xfId="16014" xr:uid="{00000000-0005-0000-0000-0000CB4D0000}"/>
    <cellStyle name="Normal 12 4 6" xfId="18583" xr:uid="{00000000-0005-0000-0000-0000CC4D0000}"/>
    <cellStyle name="Normal 12 5" xfId="9496" xr:uid="{00000000-0005-0000-0000-0000CD4D0000}"/>
    <cellStyle name="Normal 12 5 2" xfId="16011" xr:uid="{00000000-0005-0000-0000-0000CE4D0000}"/>
    <cellStyle name="Normal 12 5 3" xfId="16012" xr:uid="{00000000-0005-0000-0000-0000CF4D0000}"/>
    <cellStyle name="Normal 12 5 4" xfId="20059" xr:uid="{00000000-0005-0000-0000-0000D04D0000}"/>
    <cellStyle name="Normal 12 6" xfId="11715" xr:uid="{00000000-0005-0000-0000-0000D14D0000}"/>
    <cellStyle name="Normal 12 6 2" xfId="16009" xr:uid="{00000000-0005-0000-0000-0000D24D0000}"/>
    <cellStyle name="Normal 12 6 3" xfId="16010" xr:uid="{00000000-0005-0000-0000-0000D34D0000}"/>
    <cellStyle name="Normal 12 6 4" xfId="22278" xr:uid="{00000000-0005-0000-0000-0000D44D0000}"/>
    <cellStyle name="Normal 12 7" xfId="13934" xr:uid="{00000000-0005-0000-0000-0000D54D0000}"/>
    <cellStyle name="Normal 12 7 2" xfId="16008" xr:uid="{00000000-0005-0000-0000-0000D64D0000}"/>
    <cellStyle name="Normal 12 7 3" xfId="24497" xr:uid="{00000000-0005-0000-0000-0000D74D0000}"/>
    <cellStyle name="Normal 12 8" xfId="16017" xr:uid="{00000000-0005-0000-0000-0000D84D0000}"/>
    <cellStyle name="Normal 12 9" xfId="17834" xr:uid="{00000000-0005-0000-0000-0000D94D0000}"/>
    <cellStyle name="Normal 13" xfId="2816" xr:uid="{00000000-0005-0000-0000-0000DA4D0000}"/>
    <cellStyle name="Normal 13 2" xfId="8754" xr:uid="{00000000-0005-0000-0000-0000DB4D0000}"/>
    <cellStyle name="Normal 13 2 2" xfId="10973" xr:uid="{00000000-0005-0000-0000-0000DC4D0000}"/>
    <cellStyle name="Normal 13 2 2 2" xfId="21536" xr:uid="{00000000-0005-0000-0000-0000DD4D0000}"/>
    <cellStyle name="Normal 13 2 3" xfId="13192" xr:uid="{00000000-0005-0000-0000-0000DE4D0000}"/>
    <cellStyle name="Normal 13 2 3 2" xfId="23755" xr:uid="{00000000-0005-0000-0000-0000DF4D0000}"/>
    <cellStyle name="Normal 13 2 4" xfId="15411" xr:uid="{00000000-0005-0000-0000-0000E04D0000}"/>
    <cellStyle name="Normal 13 2 4 2" xfId="25974" xr:uid="{00000000-0005-0000-0000-0000E14D0000}"/>
    <cellStyle name="Normal 13 2 5" xfId="16007" xr:uid="{00000000-0005-0000-0000-0000E24D0000}"/>
    <cellStyle name="Normal 13 2 6" xfId="19317" xr:uid="{00000000-0005-0000-0000-0000E34D0000}"/>
    <cellStyle name="Normal 13 3" xfId="8021" xr:uid="{00000000-0005-0000-0000-0000E44D0000}"/>
    <cellStyle name="Normal 13 3 2" xfId="10240" xr:uid="{00000000-0005-0000-0000-0000E54D0000}"/>
    <cellStyle name="Normal 13 3 2 2" xfId="20803" xr:uid="{00000000-0005-0000-0000-0000E64D0000}"/>
    <cellStyle name="Normal 13 3 3" xfId="12459" xr:uid="{00000000-0005-0000-0000-0000E74D0000}"/>
    <cellStyle name="Normal 13 3 3 2" xfId="23022" xr:uid="{00000000-0005-0000-0000-0000E84D0000}"/>
    <cellStyle name="Normal 13 3 4" xfId="14678" xr:uid="{00000000-0005-0000-0000-0000E94D0000}"/>
    <cellStyle name="Normal 13 3 4 2" xfId="25241" xr:uid="{00000000-0005-0000-0000-0000EA4D0000}"/>
    <cellStyle name="Normal 13 3 5" xfId="16006" xr:uid="{00000000-0005-0000-0000-0000EB4D0000}"/>
    <cellStyle name="Normal 13 3 6" xfId="18584" xr:uid="{00000000-0005-0000-0000-0000EC4D0000}"/>
    <cellStyle name="Normal 13 4" xfId="9497" xr:uid="{00000000-0005-0000-0000-0000ED4D0000}"/>
    <cellStyle name="Normal 13 4 2" xfId="16005" xr:uid="{00000000-0005-0000-0000-0000EE4D0000}"/>
    <cellStyle name="Normal 13 4 3" xfId="20060" xr:uid="{00000000-0005-0000-0000-0000EF4D0000}"/>
    <cellStyle name="Normal 13 5" xfId="11716" xr:uid="{00000000-0005-0000-0000-0000F04D0000}"/>
    <cellStyle name="Normal 13 5 2" xfId="22279" xr:uid="{00000000-0005-0000-0000-0000F14D0000}"/>
    <cellStyle name="Normal 13 6" xfId="13935" xr:uid="{00000000-0005-0000-0000-0000F24D0000}"/>
    <cellStyle name="Normal 13 6 2" xfId="24498" xr:uid="{00000000-0005-0000-0000-0000F34D0000}"/>
    <cellStyle name="Normal 13 7" xfId="16672" xr:uid="{00000000-0005-0000-0000-0000F44D0000}"/>
    <cellStyle name="Normal 13 8" xfId="17835" xr:uid="{00000000-0005-0000-0000-0000F54D0000}"/>
    <cellStyle name="Normal 14" xfId="2817" xr:uid="{00000000-0005-0000-0000-0000F64D0000}"/>
    <cellStyle name="Normal 14 2" xfId="8755" xr:uid="{00000000-0005-0000-0000-0000F74D0000}"/>
    <cellStyle name="Normal 14 2 2" xfId="10974" xr:uid="{00000000-0005-0000-0000-0000F84D0000}"/>
    <cellStyle name="Normal 14 2 2 2" xfId="21537" xr:uid="{00000000-0005-0000-0000-0000F94D0000}"/>
    <cellStyle name="Normal 14 2 3" xfId="13193" xr:uid="{00000000-0005-0000-0000-0000FA4D0000}"/>
    <cellStyle name="Normal 14 2 3 2" xfId="23756" xr:uid="{00000000-0005-0000-0000-0000FB4D0000}"/>
    <cellStyle name="Normal 14 2 4" xfId="15412" xr:uid="{00000000-0005-0000-0000-0000FC4D0000}"/>
    <cellStyle name="Normal 14 2 4 2" xfId="25975" xr:uid="{00000000-0005-0000-0000-0000FD4D0000}"/>
    <cellStyle name="Normal 14 2 5" xfId="16004" xr:uid="{00000000-0005-0000-0000-0000FE4D0000}"/>
    <cellStyle name="Normal 14 2 6" xfId="19318" xr:uid="{00000000-0005-0000-0000-0000FF4D0000}"/>
    <cellStyle name="Normal 14 3" xfId="8022" xr:uid="{00000000-0005-0000-0000-0000004E0000}"/>
    <cellStyle name="Normal 14 3 2" xfId="10241" xr:uid="{00000000-0005-0000-0000-0000014E0000}"/>
    <cellStyle name="Normal 14 3 2 2" xfId="20804" xr:uid="{00000000-0005-0000-0000-0000024E0000}"/>
    <cellStyle name="Normal 14 3 3" xfId="12460" xr:uid="{00000000-0005-0000-0000-0000034E0000}"/>
    <cellStyle name="Normal 14 3 3 2" xfId="23023" xr:uid="{00000000-0005-0000-0000-0000044E0000}"/>
    <cellStyle name="Normal 14 3 4" xfId="14679" xr:uid="{00000000-0005-0000-0000-0000054E0000}"/>
    <cellStyle name="Normal 14 3 4 2" xfId="25242" xr:uid="{00000000-0005-0000-0000-0000064E0000}"/>
    <cellStyle name="Normal 14 3 5" xfId="16003" xr:uid="{00000000-0005-0000-0000-0000074E0000}"/>
    <cellStyle name="Normal 14 3 6" xfId="18585" xr:uid="{00000000-0005-0000-0000-0000084E0000}"/>
    <cellStyle name="Normal 14 4" xfId="9498" xr:uid="{00000000-0005-0000-0000-0000094E0000}"/>
    <cellStyle name="Normal 14 4 2" xfId="20061" xr:uid="{00000000-0005-0000-0000-00000A4E0000}"/>
    <cellStyle name="Normal 14 5" xfId="11717" xr:uid="{00000000-0005-0000-0000-00000B4E0000}"/>
    <cellStyle name="Normal 14 5 2" xfId="22280" xr:uid="{00000000-0005-0000-0000-00000C4E0000}"/>
    <cellStyle name="Normal 14 6" xfId="13936" xr:uid="{00000000-0005-0000-0000-00000D4E0000}"/>
    <cellStyle name="Normal 14 6 2" xfId="24499" xr:uid="{00000000-0005-0000-0000-00000E4E0000}"/>
    <cellStyle name="Normal 14 7" xfId="15845" xr:uid="{00000000-0005-0000-0000-00000F4E0000}"/>
    <cellStyle name="Normal 14 8" xfId="17836" xr:uid="{00000000-0005-0000-0000-0000104E0000}"/>
    <cellStyle name="Normal 15" xfId="2818" xr:uid="{00000000-0005-0000-0000-0000114E0000}"/>
    <cellStyle name="Normal 15 2" xfId="8756" xr:uid="{00000000-0005-0000-0000-0000124E0000}"/>
    <cellStyle name="Normal 15 2 2" xfId="10975" xr:uid="{00000000-0005-0000-0000-0000134E0000}"/>
    <cellStyle name="Normal 15 2 2 2" xfId="21538" xr:uid="{00000000-0005-0000-0000-0000144E0000}"/>
    <cellStyle name="Normal 15 2 3" xfId="13194" xr:uid="{00000000-0005-0000-0000-0000154E0000}"/>
    <cellStyle name="Normal 15 2 3 2" xfId="23757" xr:uid="{00000000-0005-0000-0000-0000164E0000}"/>
    <cellStyle name="Normal 15 2 4" xfId="15413" xr:uid="{00000000-0005-0000-0000-0000174E0000}"/>
    <cellStyle name="Normal 15 2 4 2" xfId="25976" xr:uid="{00000000-0005-0000-0000-0000184E0000}"/>
    <cellStyle name="Normal 15 2 5" xfId="19319" xr:uid="{00000000-0005-0000-0000-0000194E0000}"/>
    <cellStyle name="Normal 15 3" xfId="8023" xr:uid="{00000000-0005-0000-0000-00001A4E0000}"/>
    <cellStyle name="Normal 15 3 2" xfId="10242" xr:uid="{00000000-0005-0000-0000-00001B4E0000}"/>
    <cellStyle name="Normal 15 3 2 2" xfId="20805" xr:uid="{00000000-0005-0000-0000-00001C4E0000}"/>
    <cellStyle name="Normal 15 3 3" xfId="12461" xr:uid="{00000000-0005-0000-0000-00001D4E0000}"/>
    <cellStyle name="Normal 15 3 3 2" xfId="23024" xr:uid="{00000000-0005-0000-0000-00001E4E0000}"/>
    <cellStyle name="Normal 15 3 4" xfId="14680" xr:uid="{00000000-0005-0000-0000-00001F4E0000}"/>
    <cellStyle name="Normal 15 3 4 2" xfId="25243" xr:uid="{00000000-0005-0000-0000-0000204E0000}"/>
    <cellStyle name="Normal 15 3 5" xfId="18586" xr:uid="{00000000-0005-0000-0000-0000214E0000}"/>
    <cellStyle name="Normal 15 4" xfId="9499" xr:uid="{00000000-0005-0000-0000-0000224E0000}"/>
    <cellStyle name="Normal 15 4 2" xfId="20062" xr:uid="{00000000-0005-0000-0000-0000234E0000}"/>
    <cellStyle name="Normal 15 5" xfId="11718" xr:uid="{00000000-0005-0000-0000-0000244E0000}"/>
    <cellStyle name="Normal 15 5 2" xfId="22281" xr:uid="{00000000-0005-0000-0000-0000254E0000}"/>
    <cellStyle name="Normal 15 6" xfId="13937" xr:uid="{00000000-0005-0000-0000-0000264E0000}"/>
    <cellStyle name="Normal 15 6 2" xfId="24500" xr:uid="{00000000-0005-0000-0000-0000274E0000}"/>
    <cellStyle name="Normal 15 7" xfId="17837" xr:uid="{00000000-0005-0000-0000-0000284E0000}"/>
    <cellStyle name="Normal 16" xfId="2819" xr:uid="{00000000-0005-0000-0000-0000294E0000}"/>
    <cellStyle name="Normal 16 2" xfId="16001" xr:uid="{00000000-0005-0000-0000-00002A4E0000}"/>
    <cellStyle name="Normal 16 3" xfId="16002" xr:uid="{00000000-0005-0000-0000-00002B4E0000}"/>
    <cellStyle name="Normal 17" xfId="2820" xr:uid="{00000000-0005-0000-0000-00002C4E0000}"/>
    <cellStyle name="Normal 17 2" xfId="15999" xr:uid="{00000000-0005-0000-0000-00002D4E0000}"/>
    <cellStyle name="Normal 17 3" xfId="16000" xr:uid="{00000000-0005-0000-0000-00002E4E0000}"/>
    <cellStyle name="Normal 18" xfId="2821" xr:uid="{00000000-0005-0000-0000-00002F4E0000}"/>
    <cellStyle name="Normal 18 2" xfId="15997" xr:uid="{00000000-0005-0000-0000-0000304E0000}"/>
    <cellStyle name="Normal 18 3" xfId="15998" xr:uid="{00000000-0005-0000-0000-0000314E0000}"/>
    <cellStyle name="Normal 19" xfId="2822" xr:uid="{00000000-0005-0000-0000-0000324E0000}"/>
    <cellStyle name="Normal 2" xfId="6" xr:uid="{00000000-0005-0000-0000-0000334E0000}"/>
    <cellStyle name="Normal 2 10" xfId="2823" xr:uid="{00000000-0005-0000-0000-0000344E0000}"/>
    <cellStyle name="Normal 2 10 2" xfId="8757" xr:uid="{00000000-0005-0000-0000-0000354E0000}"/>
    <cellStyle name="Normal 2 10 2 2" xfId="10976" xr:uid="{00000000-0005-0000-0000-0000364E0000}"/>
    <cellStyle name="Normal 2 10 2 2 2" xfId="21539" xr:uid="{00000000-0005-0000-0000-0000374E0000}"/>
    <cellStyle name="Normal 2 10 2 3" xfId="13195" xr:uid="{00000000-0005-0000-0000-0000384E0000}"/>
    <cellStyle name="Normal 2 10 2 3 2" xfId="23758" xr:uid="{00000000-0005-0000-0000-0000394E0000}"/>
    <cellStyle name="Normal 2 10 2 4" xfId="15414" xr:uid="{00000000-0005-0000-0000-00003A4E0000}"/>
    <cellStyle name="Normal 2 10 2 4 2" xfId="25977" xr:uid="{00000000-0005-0000-0000-00003B4E0000}"/>
    <cellStyle name="Normal 2 10 2 5" xfId="19320" xr:uid="{00000000-0005-0000-0000-00003C4E0000}"/>
    <cellStyle name="Normal 2 10 3" xfId="8024" xr:uid="{00000000-0005-0000-0000-00003D4E0000}"/>
    <cellStyle name="Normal 2 10 3 2" xfId="10243" xr:uid="{00000000-0005-0000-0000-00003E4E0000}"/>
    <cellStyle name="Normal 2 10 3 2 2" xfId="20806" xr:uid="{00000000-0005-0000-0000-00003F4E0000}"/>
    <cellStyle name="Normal 2 10 3 3" xfId="12462" xr:uid="{00000000-0005-0000-0000-0000404E0000}"/>
    <cellStyle name="Normal 2 10 3 3 2" xfId="23025" xr:uid="{00000000-0005-0000-0000-0000414E0000}"/>
    <cellStyle name="Normal 2 10 3 4" xfId="14681" xr:uid="{00000000-0005-0000-0000-0000424E0000}"/>
    <cellStyle name="Normal 2 10 3 4 2" xfId="25244" xr:uid="{00000000-0005-0000-0000-0000434E0000}"/>
    <cellStyle name="Normal 2 10 3 5" xfId="18587" xr:uid="{00000000-0005-0000-0000-0000444E0000}"/>
    <cellStyle name="Normal 2 10 4" xfId="9500" xr:uid="{00000000-0005-0000-0000-0000454E0000}"/>
    <cellStyle name="Normal 2 10 4 2" xfId="20063" xr:uid="{00000000-0005-0000-0000-0000464E0000}"/>
    <cellStyle name="Normal 2 10 5" xfId="11719" xr:uid="{00000000-0005-0000-0000-0000474E0000}"/>
    <cellStyle name="Normal 2 10 5 2" xfId="22282" xr:uid="{00000000-0005-0000-0000-0000484E0000}"/>
    <cellStyle name="Normal 2 10 6" xfId="13938" xr:uid="{00000000-0005-0000-0000-0000494E0000}"/>
    <cellStyle name="Normal 2 10 6 2" xfId="24501" xr:uid="{00000000-0005-0000-0000-00004A4E0000}"/>
    <cellStyle name="Normal 2 10 7" xfId="17838" xr:uid="{00000000-0005-0000-0000-00004B4E0000}"/>
    <cellStyle name="Normal 2 11" xfId="2824" xr:uid="{00000000-0005-0000-0000-00004C4E0000}"/>
    <cellStyle name="Normal 2 12" xfId="2825" xr:uid="{00000000-0005-0000-0000-00004D4E0000}"/>
    <cellStyle name="Normal 2 13" xfId="2826" xr:uid="{00000000-0005-0000-0000-00004E4E0000}"/>
    <cellStyle name="Normal 2 14" xfId="2827" xr:uid="{00000000-0005-0000-0000-00004F4E0000}"/>
    <cellStyle name="Normal 2 15" xfId="2828" xr:uid="{00000000-0005-0000-0000-0000504E0000}"/>
    <cellStyle name="Normal 2 16" xfId="2829" xr:uid="{00000000-0005-0000-0000-0000514E0000}"/>
    <cellStyle name="Normal 2 2" xfId="54" xr:uid="{00000000-0005-0000-0000-0000524E0000}"/>
    <cellStyle name="Normal 2 2 10" xfId="2830" xr:uid="{00000000-0005-0000-0000-0000534E0000}"/>
    <cellStyle name="Normal 2 2 10 2" xfId="8758" xr:uid="{00000000-0005-0000-0000-0000544E0000}"/>
    <cellStyle name="Normal 2 2 10 2 2" xfId="10977" xr:uid="{00000000-0005-0000-0000-0000554E0000}"/>
    <cellStyle name="Normal 2 2 10 2 2 2" xfId="21540" xr:uid="{00000000-0005-0000-0000-0000564E0000}"/>
    <cellStyle name="Normal 2 2 10 2 3" xfId="13196" xr:uid="{00000000-0005-0000-0000-0000574E0000}"/>
    <cellStyle name="Normal 2 2 10 2 3 2" xfId="23759" xr:uid="{00000000-0005-0000-0000-0000584E0000}"/>
    <cellStyle name="Normal 2 2 10 2 4" xfId="15415" xr:uid="{00000000-0005-0000-0000-0000594E0000}"/>
    <cellStyle name="Normal 2 2 10 2 4 2" xfId="25978" xr:uid="{00000000-0005-0000-0000-00005A4E0000}"/>
    <cellStyle name="Normal 2 2 10 2 5" xfId="19321" xr:uid="{00000000-0005-0000-0000-00005B4E0000}"/>
    <cellStyle name="Normal 2 2 10 3" xfId="8025" xr:uid="{00000000-0005-0000-0000-00005C4E0000}"/>
    <cellStyle name="Normal 2 2 10 3 2" xfId="10244" xr:uid="{00000000-0005-0000-0000-00005D4E0000}"/>
    <cellStyle name="Normal 2 2 10 3 2 2" xfId="20807" xr:uid="{00000000-0005-0000-0000-00005E4E0000}"/>
    <cellStyle name="Normal 2 2 10 3 3" xfId="12463" xr:uid="{00000000-0005-0000-0000-00005F4E0000}"/>
    <cellStyle name="Normal 2 2 10 3 3 2" xfId="23026" xr:uid="{00000000-0005-0000-0000-0000604E0000}"/>
    <cellStyle name="Normal 2 2 10 3 4" xfId="14682" xr:uid="{00000000-0005-0000-0000-0000614E0000}"/>
    <cellStyle name="Normal 2 2 10 3 4 2" xfId="25245" xr:uid="{00000000-0005-0000-0000-0000624E0000}"/>
    <cellStyle name="Normal 2 2 10 3 5" xfId="18588" xr:uid="{00000000-0005-0000-0000-0000634E0000}"/>
    <cellStyle name="Normal 2 2 10 4" xfId="9501" xr:uid="{00000000-0005-0000-0000-0000644E0000}"/>
    <cellStyle name="Normal 2 2 10 4 2" xfId="20064" xr:uid="{00000000-0005-0000-0000-0000654E0000}"/>
    <cellStyle name="Normal 2 2 10 5" xfId="11720" xr:uid="{00000000-0005-0000-0000-0000664E0000}"/>
    <cellStyle name="Normal 2 2 10 5 2" xfId="22283" xr:uid="{00000000-0005-0000-0000-0000674E0000}"/>
    <cellStyle name="Normal 2 2 10 6" xfId="13939" xr:uid="{00000000-0005-0000-0000-0000684E0000}"/>
    <cellStyle name="Normal 2 2 10 6 2" xfId="24502" xr:uid="{00000000-0005-0000-0000-0000694E0000}"/>
    <cellStyle name="Normal 2 2 10 7" xfId="17839" xr:uid="{00000000-0005-0000-0000-00006A4E0000}"/>
    <cellStyle name="Normal 2 2 11" xfId="16923" xr:uid="{00000000-0005-0000-0000-00006B4E0000}"/>
    <cellStyle name="Normal 2 2 2" xfId="55" xr:uid="{00000000-0005-0000-0000-00006C4E0000}"/>
    <cellStyle name="Normal 2 2 2 2" xfId="15996" xr:uid="{00000000-0005-0000-0000-00006D4E0000}"/>
    <cellStyle name="Normal 2 2 3" xfId="56" xr:uid="{00000000-0005-0000-0000-00006E4E0000}"/>
    <cellStyle name="Normal 2 2 4" xfId="57" xr:uid="{00000000-0005-0000-0000-00006F4E0000}"/>
    <cellStyle name="Normal 2 2 5" xfId="2831" xr:uid="{00000000-0005-0000-0000-0000704E0000}"/>
    <cellStyle name="Normal 2 2 5 2" xfId="8759" xr:uid="{00000000-0005-0000-0000-0000714E0000}"/>
    <cellStyle name="Normal 2 2 5 2 2" xfId="10978" xr:uid="{00000000-0005-0000-0000-0000724E0000}"/>
    <cellStyle name="Normal 2 2 5 2 2 2" xfId="21541" xr:uid="{00000000-0005-0000-0000-0000734E0000}"/>
    <cellStyle name="Normal 2 2 5 2 3" xfId="13197" xr:uid="{00000000-0005-0000-0000-0000744E0000}"/>
    <cellStyle name="Normal 2 2 5 2 3 2" xfId="23760" xr:uid="{00000000-0005-0000-0000-0000754E0000}"/>
    <cellStyle name="Normal 2 2 5 2 4" xfId="15416" xr:uid="{00000000-0005-0000-0000-0000764E0000}"/>
    <cellStyle name="Normal 2 2 5 2 4 2" xfId="25979" xr:uid="{00000000-0005-0000-0000-0000774E0000}"/>
    <cellStyle name="Normal 2 2 5 2 5" xfId="19322" xr:uid="{00000000-0005-0000-0000-0000784E0000}"/>
    <cellStyle name="Normal 2 2 5 3" xfId="8026" xr:uid="{00000000-0005-0000-0000-0000794E0000}"/>
    <cellStyle name="Normal 2 2 5 3 2" xfId="10245" xr:uid="{00000000-0005-0000-0000-00007A4E0000}"/>
    <cellStyle name="Normal 2 2 5 3 2 2" xfId="20808" xr:uid="{00000000-0005-0000-0000-00007B4E0000}"/>
    <cellStyle name="Normal 2 2 5 3 3" xfId="12464" xr:uid="{00000000-0005-0000-0000-00007C4E0000}"/>
    <cellStyle name="Normal 2 2 5 3 3 2" xfId="23027" xr:uid="{00000000-0005-0000-0000-00007D4E0000}"/>
    <cellStyle name="Normal 2 2 5 3 4" xfId="14683" xr:uid="{00000000-0005-0000-0000-00007E4E0000}"/>
    <cellStyle name="Normal 2 2 5 3 4 2" xfId="25246" xr:uid="{00000000-0005-0000-0000-00007F4E0000}"/>
    <cellStyle name="Normal 2 2 5 3 5" xfId="18589" xr:uid="{00000000-0005-0000-0000-0000804E0000}"/>
    <cellStyle name="Normal 2 2 5 4" xfId="9502" xr:uid="{00000000-0005-0000-0000-0000814E0000}"/>
    <cellStyle name="Normal 2 2 5 4 2" xfId="20065" xr:uid="{00000000-0005-0000-0000-0000824E0000}"/>
    <cellStyle name="Normal 2 2 5 5" xfId="11721" xr:uid="{00000000-0005-0000-0000-0000834E0000}"/>
    <cellStyle name="Normal 2 2 5 5 2" xfId="22284" xr:uid="{00000000-0005-0000-0000-0000844E0000}"/>
    <cellStyle name="Normal 2 2 5 6" xfId="13940" xr:uid="{00000000-0005-0000-0000-0000854E0000}"/>
    <cellStyle name="Normal 2 2 5 6 2" xfId="24503" xr:uid="{00000000-0005-0000-0000-0000864E0000}"/>
    <cellStyle name="Normal 2 2 5 7" xfId="17840" xr:uid="{00000000-0005-0000-0000-0000874E0000}"/>
    <cellStyle name="Normal 2 2 6" xfId="2832" xr:uid="{00000000-0005-0000-0000-0000884E0000}"/>
    <cellStyle name="Normal 2 2 6 2" xfId="8760" xr:uid="{00000000-0005-0000-0000-0000894E0000}"/>
    <cellStyle name="Normal 2 2 6 2 2" xfId="10979" xr:uid="{00000000-0005-0000-0000-00008A4E0000}"/>
    <cellStyle name="Normal 2 2 6 2 2 2" xfId="21542" xr:uid="{00000000-0005-0000-0000-00008B4E0000}"/>
    <cellStyle name="Normal 2 2 6 2 3" xfId="13198" xr:uid="{00000000-0005-0000-0000-00008C4E0000}"/>
    <cellStyle name="Normal 2 2 6 2 3 2" xfId="23761" xr:uid="{00000000-0005-0000-0000-00008D4E0000}"/>
    <cellStyle name="Normal 2 2 6 2 4" xfId="15417" xr:uid="{00000000-0005-0000-0000-00008E4E0000}"/>
    <cellStyle name="Normal 2 2 6 2 4 2" xfId="25980" xr:uid="{00000000-0005-0000-0000-00008F4E0000}"/>
    <cellStyle name="Normal 2 2 6 2 5" xfId="19323" xr:uid="{00000000-0005-0000-0000-0000904E0000}"/>
    <cellStyle name="Normal 2 2 6 3" xfId="8027" xr:uid="{00000000-0005-0000-0000-0000914E0000}"/>
    <cellStyle name="Normal 2 2 6 3 2" xfId="10246" xr:uid="{00000000-0005-0000-0000-0000924E0000}"/>
    <cellStyle name="Normal 2 2 6 3 2 2" xfId="20809" xr:uid="{00000000-0005-0000-0000-0000934E0000}"/>
    <cellStyle name="Normal 2 2 6 3 3" xfId="12465" xr:uid="{00000000-0005-0000-0000-0000944E0000}"/>
    <cellStyle name="Normal 2 2 6 3 3 2" xfId="23028" xr:uid="{00000000-0005-0000-0000-0000954E0000}"/>
    <cellStyle name="Normal 2 2 6 3 4" xfId="14684" xr:uid="{00000000-0005-0000-0000-0000964E0000}"/>
    <cellStyle name="Normal 2 2 6 3 4 2" xfId="25247" xr:uid="{00000000-0005-0000-0000-0000974E0000}"/>
    <cellStyle name="Normal 2 2 6 3 5" xfId="18590" xr:uid="{00000000-0005-0000-0000-0000984E0000}"/>
    <cellStyle name="Normal 2 2 6 4" xfId="9503" xr:uid="{00000000-0005-0000-0000-0000994E0000}"/>
    <cellStyle name="Normal 2 2 6 4 2" xfId="20066" xr:uid="{00000000-0005-0000-0000-00009A4E0000}"/>
    <cellStyle name="Normal 2 2 6 5" xfId="11722" xr:uid="{00000000-0005-0000-0000-00009B4E0000}"/>
    <cellStyle name="Normal 2 2 6 5 2" xfId="22285" xr:uid="{00000000-0005-0000-0000-00009C4E0000}"/>
    <cellStyle name="Normal 2 2 6 6" xfId="13941" xr:uid="{00000000-0005-0000-0000-00009D4E0000}"/>
    <cellStyle name="Normal 2 2 6 6 2" xfId="24504" xr:uid="{00000000-0005-0000-0000-00009E4E0000}"/>
    <cellStyle name="Normal 2 2 6 7" xfId="17841" xr:uid="{00000000-0005-0000-0000-00009F4E0000}"/>
    <cellStyle name="Normal 2 2 7" xfId="2833" xr:uid="{00000000-0005-0000-0000-0000A04E0000}"/>
    <cellStyle name="Normal 2 2 7 2" xfId="8761" xr:uid="{00000000-0005-0000-0000-0000A14E0000}"/>
    <cellStyle name="Normal 2 2 7 2 2" xfId="10980" xr:uid="{00000000-0005-0000-0000-0000A24E0000}"/>
    <cellStyle name="Normal 2 2 7 2 2 2" xfId="21543" xr:uid="{00000000-0005-0000-0000-0000A34E0000}"/>
    <cellStyle name="Normal 2 2 7 2 3" xfId="13199" xr:uid="{00000000-0005-0000-0000-0000A44E0000}"/>
    <cellStyle name="Normal 2 2 7 2 3 2" xfId="23762" xr:uid="{00000000-0005-0000-0000-0000A54E0000}"/>
    <cellStyle name="Normal 2 2 7 2 4" xfId="15418" xr:uid="{00000000-0005-0000-0000-0000A64E0000}"/>
    <cellStyle name="Normal 2 2 7 2 4 2" xfId="25981" xr:uid="{00000000-0005-0000-0000-0000A74E0000}"/>
    <cellStyle name="Normal 2 2 7 2 5" xfId="19324" xr:uid="{00000000-0005-0000-0000-0000A84E0000}"/>
    <cellStyle name="Normal 2 2 7 3" xfId="8028" xr:uid="{00000000-0005-0000-0000-0000A94E0000}"/>
    <cellStyle name="Normal 2 2 7 3 2" xfId="10247" xr:uid="{00000000-0005-0000-0000-0000AA4E0000}"/>
    <cellStyle name="Normal 2 2 7 3 2 2" xfId="20810" xr:uid="{00000000-0005-0000-0000-0000AB4E0000}"/>
    <cellStyle name="Normal 2 2 7 3 3" xfId="12466" xr:uid="{00000000-0005-0000-0000-0000AC4E0000}"/>
    <cellStyle name="Normal 2 2 7 3 3 2" xfId="23029" xr:uid="{00000000-0005-0000-0000-0000AD4E0000}"/>
    <cellStyle name="Normal 2 2 7 3 4" xfId="14685" xr:uid="{00000000-0005-0000-0000-0000AE4E0000}"/>
    <cellStyle name="Normal 2 2 7 3 4 2" xfId="25248" xr:uid="{00000000-0005-0000-0000-0000AF4E0000}"/>
    <cellStyle name="Normal 2 2 7 3 5" xfId="18591" xr:uid="{00000000-0005-0000-0000-0000B04E0000}"/>
    <cellStyle name="Normal 2 2 7 4" xfId="9504" xr:uid="{00000000-0005-0000-0000-0000B14E0000}"/>
    <cellStyle name="Normal 2 2 7 4 2" xfId="20067" xr:uid="{00000000-0005-0000-0000-0000B24E0000}"/>
    <cellStyle name="Normal 2 2 7 5" xfId="11723" xr:uid="{00000000-0005-0000-0000-0000B34E0000}"/>
    <cellStyle name="Normal 2 2 7 5 2" xfId="22286" xr:uid="{00000000-0005-0000-0000-0000B44E0000}"/>
    <cellStyle name="Normal 2 2 7 6" xfId="13942" xr:uid="{00000000-0005-0000-0000-0000B54E0000}"/>
    <cellStyle name="Normal 2 2 7 6 2" xfId="24505" xr:uid="{00000000-0005-0000-0000-0000B64E0000}"/>
    <cellStyle name="Normal 2 2 7 7" xfId="17842" xr:uid="{00000000-0005-0000-0000-0000B74E0000}"/>
    <cellStyle name="Normal 2 2 8" xfId="2834" xr:uid="{00000000-0005-0000-0000-0000B84E0000}"/>
    <cellStyle name="Normal 2 2 8 2" xfId="8762" xr:uid="{00000000-0005-0000-0000-0000B94E0000}"/>
    <cellStyle name="Normal 2 2 8 2 2" xfId="10981" xr:uid="{00000000-0005-0000-0000-0000BA4E0000}"/>
    <cellStyle name="Normal 2 2 8 2 2 2" xfId="21544" xr:uid="{00000000-0005-0000-0000-0000BB4E0000}"/>
    <cellStyle name="Normal 2 2 8 2 3" xfId="13200" xr:uid="{00000000-0005-0000-0000-0000BC4E0000}"/>
    <cellStyle name="Normal 2 2 8 2 3 2" xfId="23763" xr:uid="{00000000-0005-0000-0000-0000BD4E0000}"/>
    <cellStyle name="Normal 2 2 8 2 4" xfId="15419" xr:uid="{00000000-0005-0000-0000-0000BE4E0000}"/>
    <cellStyle name="Normal 2 2 8 2 4 2" xfId="25982" xr:uid="{00000000-0005-0000-0000-0000BF4E0000}"/>
    <cellStyle name="Normal 2 2 8 2 5" xfId="19325" xr:uid="{00000000-0005-0000-0000-0000C04E0000}"/>
    <cellStyle name="Normal 2 2 8 3" xfId="8029" xr:uid="{00000000-0005-0000-0000-0000C14E0000}"/>
    <cellStyle name="Normal 2 2 8 3 2" xfId="10248" xr:uid="{00000000-0005-0000-0000-0000C24E0000}"/>
    <cellStyle name="Normal 2 2 8 3 2 2" xfId="20811" xr:uid="{00000000-0005-0000-0000-0000C34E0000}"/>
    <cellStyle name="Normal 2 2 8 3 3" xfId="12467" xr:uid="{00000000-0005-0000-0000-0000C44E0000}"/>
    <cellStyle name="Normal 2 2 8 3 3 2" xfId="23030" xr:uid="{00000000-0005-0000-0000-0000C54E0000}"/>
    <cellStyle name="Normal 2 2 8 3 4" xfId="14686" xr:uid="{00000000-0005-0000-0000-0000C64E0000}"/>
    <cellStyle name="Normal 2 2 8 3 4 2" xfId="25249" xr:uid="{00000000-0005-0000-0000-0000C74E0000}"/>
    <cellStyle name="Normal 2 2 8 3 5" xfId="18592" xr:uid="{00000000-0005-0000-0000-0000C84E0000}"/>
    <cellStyle name="Normal 2 2 8 4" xfId="9505" xr:uid="{00000000-0005-0000-0000-0000C94E0000}"/>
    <cellStyle name="Normal 2 2 8 4 2" xfId="20068" xr:uid="{00000000-0005-0000-0000-0000CA4E0000}"/>
    <cellStyle name="Normal 2 2 8 5" xfId="11724" xr:uid="{00000000-0005-0000-0000-0000CB4E0000}"/>
    <cellStyle name="Normal 2 2 8 5 2" xfId="22287" xr:uid="{00000000-0005-0000-0000-0000CC4E0000}"/>
    <cellStyle name="Normal 2 2 8 6" xfId="13943" xr:uid="{00000000-0005-0000-0000-0000CD4E0000}"/>
    <cellStyle name="Normal 2 2 8 6 2" xfId="24506" xr:uid="{00000000-0005-0000-0000-0000CE4E0000}"/>
    <cellStyle name="Normal 2 2 8 7" xfId="17843" xr:uid="{00000000-0005-0000-0000-0000CF4E0000}"/>
    <cellStyle name="Normal 2 2 9" xfId="2835" xr:uid="{00000000-0005-0000-0000-0000D04E0000}"/>
    <cellStyle name="Normal 2 2 9 2" xfId="8763" xr:uid="{00000000-0005-0000-0000-0000D14E0000}"/>
    <cellStyle name="Normal 2 2 9 2 2" xfId="10982" xr:uid="{00000000-0005-0000-0000-0000D24E0000}"/>
    <cellStyle name="Normal 2 2 9 2 2 2" xfId="21545" xr:uid="{00000000-0005-0000-0000-0000D34E0000}"/>
    <cellStyle name="Normal 2 2 9 2 3" xfId="13201" xr:uid="{00000000-0005-0000-0000-0000D44E0000}"/>
    <cellStyle name="Normal 2 2 9 2 3 2" xfId="23764" xr:uid="{00000000-0005-0000-0000-0000D54E0000}"/>
    <cellStyle name="Normal 2 2 9 2 4" xfId="15420" xr:uid="{00000000-0005-0000-0000-0000D64E0000}"/>
    <cellStyle name="Normal 2 2 9 2 4 2" xfId="25983" xr:uid="{00000000-0005-0000-0000-0000D74E0000}"/>
    <cellStyle name="Normal 2 2 9 2 5" xfId="19326" xr:uid="{00000000-0005-0000-0000-0000D84E0000}"/>
    <cellStyle name="Normal 2 2 9 3" xfId="8030" xr:uid="{00000000-0005-0000-0000-0000D94E0000}"/>
    <cellStyle name="Normal 2 2 9 3 2" xfId="10249" xr:uid="{00000000-0005-0000-0000-0000DA4E0000}"/>
    <cellStyle name="Normal 2 2 9 3 2 2" xfId="20812" xr:uid="{00000000-0005-0000-0000-0000DB4E0000}"/>
    <cellStyle name="Normal 2 2 9 3 3" xfId="12468" xr:uid="{00000000-0005-0000-0000-0000DC4E0000}"/>
    <cellStyle name="Normal 2 2 9 3 3 2" xfId="23031" xr:uid="{00000000-0005-0000-0000-0000DD4E0000}"/>
    <cellStyle name="Normal 2 2 9 3 4" xfId="14687" xr:uid="{00000000-0005-0000-0000-0000DE4E0000}"/>
    <cellStyle name="Normal 2 2 9 3 4 2" xfId="25250" xr:uid="{00000000-0005-0000-0000-0000DF4E0000}"/>
    <cellStyle name="Normal 2 2 9 3 5" xfId="18593" xr:uid="{00000000-0005-0000-0000-0000E04E0000}"/>
    <cellStyle name="Normal 2 2 9 4" xfId="9506" xr:uid="{00000000-0005-0000-0000-0000E14E0000}"/>
    <cellStyle name="Normal 2 2 9 4 2" xfId="20069" xr:uid="{00000000-0005-0000-0000-0000E24E0000}"/>
    <cellStyle name="Normal 2 2 9 5" xfId="11725" xr:uid="{00000000-0005-0000-0000-0000E34E0000}"/>
    <cellStyle name="Normal 2 2 9 5 2" xfId="22288" xr:uid="{00000000-0005-0000-0000-0000E44E0000}"/>
    <cellStyle name="Normal 2 2 9 6" xfId="13944" xr:uid="{00000000-0005-0000-0000-0000E54E0000}"/>
    <cellStyle name="Normal 2 2 9 6 2" xfId="24507" xr:uid="{00000000-0005-0000-0000-0000E64E0000}"/>
    <cellStyle name="Normal 2 2 9 7" xfId="17844" xr:uid="{00000000-0005-0000-0000-0000E74E0000}"/>
    <cellStyle name="Normal 2 2_EDB010" xfId="58" xr:uid="{00000000-0005-0000-0000-0000E84E0000}"/>
    <cellStyle name="Normal 2 3" xfId="59" xr:uid="{00000000-0005-0000-0000-0000E94E0000}"/>
    <cellStyle name="Normal 2 3 10" xfId="15790" xr:uid="{00000000-0005-0000-0000-0000EA4E0000}"/>
    <cellStyle name="Normal 2 3 2" xfId="2836" xr:uid="{00000000-0005-0000-0000-0000EB4E0000}"/>
    <cellStyle name="Normal 2 3 2 2" xfId="8764" xr:uid="{00000000-0005-0000-0000-0000EC4E0000}"/>
    <cellStyle name="Normal 2 3 2 2 2" xfId="10983" xr:uid="{00000000-0005-0000-0000-0000ED4E0000}"/>
    <cellStyle name="Normal 2 3 2 2 2 2" xfId="21546" xr:uid="{00000000-0005-0000-0000-0000EE4E0000}"/>
    <cellStyle name="Normal 2 3 2 2 3" xfId="13202" xr:uid="{00000000-0005-0000-0000-0000EF4E0000}"/>
    <cellStyle name="Normal 2 3 2 2 3 2" xfId="23765" xr:uid="{00000000-0005-0000-0000-0000F04E0000}"/>
    <cellStyle name="Normal 2 3 2 2 4" xfId="15421" xr:uid="{00000000-0005-0000-0000-0000F14E0000}"/>
    <cellStyle name="Normal 2 3 2 2 4 2" xfId="25984" xr:uid="{00000000-0005-0000-0000-0000F24E0000}"/>
    <cellStyle name="Normal 2 3 2 2 5" xfId="19327" xr:uid="{00000000-0005-0000-0000-0000F34E0000}"/>
    <cellStyle name="Normal 2 3 2 3" xfId="8031" xr:uid="{00000000-0005-0000-0000-0000F44E0000}"/>
    <cellStyle name="Normal 2 3 2 3 2" xfId="10250" xr:uid="{00000000-0005-0000-0000-0000F54E0000}"/>
    <cellStyle name="Normal 2 3 2 3 2 2" xfId="20813" xr:uid="{00000000-0005-0000-0000-0000F64E0000}"/>
    <cellStyle name="Normal 2 3 2 3 3" xfId="12469" xr:uid="{00000000-0005-0000-0000-0000F74E0000}"/>
    <cellStyle name="Normal 2 3 2 3 3 2" xfId="23032" xr:uid="{00000000-0005-0000-0000-0000F84E0000}"/>
    <cellStyle name="Normal 2 3 2 3 4" xfId="14688" xr:uid="{00000000-0005-0000-0000-0000F94E0000}"/>
    <cellStyle name="Normal 2 3 2 3 4 2" xfId="25251" xr:uid="{00000000-0005-0000-0000-0000FA4E0000}"/>
    <cellStyle name="Normal 2 3 2 3 5" xfId="18594" xr:uid="{00000000-0005-0000-0000-0000FB4E0000}"/>
    <cellStyle name="Normal 2 3 2 4" xfId="9507" xr:uid="{00000000-0005-0000-0000-0000FC4E0000}"/>
    <cellStyle name="Normal 2 3 2 4 2" xfId="20070" xr:uid="{00000000-0005-0000-0000-0000FD4E0000}"/>
    <cellStyle name="Normal 2 3 2 5" xfId="11726" xr:uid="{00000000-0005-0000-0000-0000FE4E0000}"/>
    <cellStyle name="Normal 2 3 2 5 2" xfId="22289" xr:uid="{00000000-0005-0000-0000-0000FF4E0000}"/>
    <cellStyle name="Normal 2 3 2 6" xfId="13945" xr:uid="{00000000-0005-0000-0000-0000004F0000}"/>
    <cellStyle name="Normal 2 3 2 6 2" xfId="24508" xr:uid="{00000000-0005-0000-0000-0000014F0000}"/>
    <cellStyle name="Normal 2 3 2 7" xfId="17845" xr:uid="{00000000-0005-0000-0000-0000024F0000}"/>
    <cellStyle name="Normal 2 3 3" xfId="2837" xr:uid="{00000000-0005-0000-0000-0000034F0000}"/>
    <cellStyle name="Normal 2 3 3 2" xfId="8765" xr:uid="{00000000-0005-0000-0000-0000044F0000}"/>
    <cellStyle name="Normal 2 3 3 2 2" xfId="10984" xr:uid="{00000000-0005-0000-0000-0000054F0000}"/>
    <cellStyle name="Normal 2 3 3 2 2 2" xfId="21547" xr:uid="{00000000-0005-0000-0000-0000064F0000}"/>
    <cellStyle name="Normal 2 3 3 2 3" xfId="13203" xr:uid="{00000000-0005-0000-0000-0000074F0000}"/>
    <cellStyle name="Normal 2 3 3 2 3 2" xfId="23766" xr:uid="{00000000-0005-0000-0000-0000084F0000}"/>
    <cellStyle name="Normal 2 3 3 2 4" xfId="15422" xr:uid="{00000000-0005-0000-0000-0000094F0000}"/>
    <cellStyle name="Normal 2 3 3 2 4 2" xfId="25985" xr:uid="{00000000-0005-0000-0000-00000A4F0000}"/>
    <cellStyle name="Normal 2 3 3 2 5" xfId="19328" xr:uid="{00000000-0005-0000-0000-00000B4F0000}"/>
    <cellStyle name="Normal 2 3 3 3" xfId="8032" xr:uid="{00000000-0005-0000-0000-00000C4F0000}"/>
    <cellStyle name="Normal 2 3 3 3 2" xfId="10251" xr:uid="{00000000-0005-0000-0000-00000D4F0000}"/>
    <cellStyle name="Normal 2 3 3 3 2 2" xfId="20814" xr:uid="{00000000-0005-0000-0000-00000E4F0000}"/>
    <cellStyle name="Normal 2 3 3 3 3" xfId="12470" xr:uid="{00000000-0005-0000-0000-00000F4F0000}"/>
    <cellStyle name="Normal 2 3 3 3 3 2" xfId="23033" xr:uid="{00000000-0005-0000-0000-0000104F0000}"/>
    <cellStyle name="Normal 2 3 3 3 4" xfId="14689" xr:uid="{00000000-0005-0000-0000-0000114F0000}"/>
    <cellStyle name="Normal 2 3 3 3 4 2" xfId="25252" xr:uid="{00000000-0005-0000-0000-0000124F0000}"/>
    <cellStyle name="Normal 2 3 3 3 5" xfId="18595" xr:uid="{00000000-0005-0000-0000-0000134F0000}"/>
    <cellStyle name="Normal 2 3 3 4" xfId="9508" xr:uid="{00000000-0005-0000-0000-0000144F0000}"/>
    <cellStyle name="Normal 2 3 3 4 2" xfId="20071" xr:uid="{00000000-0005-0000-0000-0000154F0000}"/>
    <cellStyle name="Normal 2 3 3 5" xfId="11727" xr:uid="{00000000-0005-0000-0000-0000164F0000}"/>
    <cellStyle name="Normal 2 3 3 5 2" xfId="22290" xr:uid="{00000000-0005-0000-0000-0000174F0000}"/>
    <cellStyle name="Normal 2 3 3 6" xfId="13946" xr:uid="{00000000-0005-0000-0000-0000184F0000}"/>
    <cellStyle name="Normal 2 3 3 6 2" xfId="24509" xr:uid="{00000000-0005-0000-0000-0000194F0000}"/>
    <cellStyle name="Normal 2 3 3 7" xfId="17846" xr:uid="{00000000-0005-0000-0000-00001A4F0000}"/>
    <cellStyle name="Normal 2 3 4" xfId="2838" xr:uid="{00000000-0005-0000-0000-00001B4F0000}"/>
    <cellStyle name="Normal 2 3 4 2" xfId="8766" xr:uid="{00000000-0005-0000-0000-00001C4F0000}"/>
    <cellStyle name="Normal 2 3 4 2 2" xfId="10985" xr:uid="{00000000-0005-0000-0000-00001D4F0000}"/>
    <cellStyle name="Normal 2 3 4 2 2 2" xfId="21548" xr:uid="{00000000-0005-0000-0000-00001E4F0000}"/>
    <cellStyle name="Normal 2 3 4 2 3" xfId="13204" xr:uid="{00000000-0005-0000-0000-00001F4F0000}"/>
    <cellStyle name="Normal 2 3 4 2 3 2" xfId="23767" xr:uid="{00000000-0005-0000-0000-0000204F0000}"/>
    <cellStyle name="Normal 2 3 4 2 4" xfId="15423" xr:uid="{00000000-0005-0000-0000-0000214F0000}"/>
    <cellStyle name="Normal 2 3 4 2 4 2" xfId="25986" xr:uid="{00000000-0005-0000-0000-0000224F0000}"/>
    <cellStyle name="Normal 2 3 4 2 5" xfId="19329" xr:uid="{00000000-0005-0000-0000-0000234F0000}"/>
    <cellStyle name="Normal 2 3 4 3" xfId="8033" xr:uid="{00000000-0005-0000-0000-0000244F0000}"/>
    <cellStyle name="Normal 2 3 4 3 2" xfId="10252" xr:uid="{00000000-0005-0000-0000-0000254F0000}"/>
    <cellStyle name="Normal 2 3 4 3 2 2" xfId="20815" xr:uid="{00000000-0005-0000-0000-0000264F0000}"/>
    <cellStyle name="Normal 2 3 4 3 3" xfId="12471" xr:uid="{00000000-0005-0000-0000-0000274F0000}"/>
    <cellStyle name="Normal 2 3 4 3 3 2" xfId="23034" xr:uid="{00000000-0005-0000-0000-0000284F0000}"/>
    <cellStyle name="Normal 2 3 4 3 4" xfId="14690" xr:uid="{00000000-0005-0000-0000-0000294F0000}"/>
    <cellStyle name="Normal 2 3 4 3 4 2" xfId="25253" xr:uid="{00000000-0005-0000-0000-00002A4F0000}"/>
    <cellStyle name="Normal 2 3 4 3 5" xfId="18596" xr:uid="{00000000-0005-0000-0000-00002B4F0000}"/>
    <cellStyle name="Normal 2 3 4 4" xfId="9509" xr:uid="{00000000-0005-0000-0000-00002C4F0000}"/>
    <cellStyle name="Normal 2 3 4 4 2" xfId="20072" xr:uid="{00000000-0005-0000-0000-00002D4F0000}"/>
    <cellStyle name="Normal 2 3 4 5" xfId="11728" xr:uid="{00000000-0005-0000-0000-00002E4F0000}"/>
    <cellStyle name="Normal 2 3 4 5 2" xfId="22291" xr:uid="{00000000-0005-0000-0000-00002F4F0000}"/>
    <cellStyle name="Normal 2 3 4 6" xfId="13947" xr:uid="{00000000-0005-0000-0000-0000304F0000}"/>
    <cellStyle name="Normal 2 3 4 6 2" xfId="24510" xr:uid="{00000000-0005-0000-0000-0000314F0000}"/>
    <cellStyle name="Normal 2 3 4 7" xfId="17847" xr:uid="{00000000-0005-0000-0000-0000324F0000}"/>
    <cellStyle name="Normal 2 3 5" xfId="2839" xr:uid="{00000000-0005-0000-0000-0000334F0000}"/>
    <cellStyle name="Normal 2 3 5 2" xfId="8767" xr:uid="{00000000-0005-0000-0000-0000344F0000}"/>
    <cellStyle name="Normal 2 3 5 2 2" xfId="10986" xr:uid="{00000000-0005-0000-0000-0000354F0000}"/>
    <cellStyle name="Normal 2 3 5 2 2 2" xfId="21549" xr:uid="{00000000-0005-0000-0000-0000364F0000}"/>
    <cellStyle name="Normal 2 3 5 2 3" xfId="13205" xr:uid="{00000000-0005-0000-0000-0000374F0000}"/>
    <cellStyle name="Normal 2 3 5 2 3 2" xfId="23768" xr:uid="{00000000-0005-0000-0000-0000384F0000}"/>
    <cellStyle name="Normal 2 3 5 2 4" xfId="15424" xr:uid="{00000000-0005-0000-0000-0000394F0000}"/>
    <cellStyle name="Normal 2 3 5 2 4 2" xfId="25987" xr:uid="{00000000-0005-0000-0000-00003A4F0000}"/>
    <cellStyle name="Normal 2 3 5 2 5" xfId="19330" xr:uid="{00000000-0005-0000-0000-00003B4F0000}"/>
    <cellStyle name="Normal 2 3 5 3" xfId="8034" xr:uid="{00000000-0005-0000-0000-00003C4F0000}"/>
    <cellStyle name="Normal 2 3 5 3 2" xfId="10253" xr:uid="{00000000-0005-0000-0000-00003D4F0000}"/>
    <cellStyle name="Normal 2 3 5 3 2 2" xfId="20816" xr:uid="{00000000-0005-0000-0000-00003E4F0000}"/>
    <cellStyle name="Normal 2 3 5 3 3" xfId="12472" xr:uid="{00000000-0005-0000-0000-00003F4F0000}"/>
    <cellStyle name="Normal 2 3 5 3 3 2" xfId="23035" xr:uid="{00000000-0005-0000-0000-0000404F0000}"/>
    <cellStyle name="Normal 2 3 5 3 4" xfId="14691" xr:uid="{00000000-0005-0000-0000-0000414F0000}"/>
    <cellStyle name="Normal 2 3 5 3 4 2" xfId="25254" xr:uid="{00000000-0005-0000-0000-0000424F0000}"/>
    <cellStyle name="Normal 2 3 5 3 5" xfId="18597" xr:uid="{00000000-0005-0000-0000-0000434F0000}"/>
    <cellStyle name="Normal 2 3 5 4" xfId="9510" xr:uid="{00000000-0005-0000-0000-0000444F0000}"/>
    <cellStyle name="Normal 2 3 5 4 2" xfId="20073" xr:uid="{00000000-0005-0000-0000-0000454F0000}"/>
    <cellStyle name="Normal 2 3 5 5" xfId="11729" xr:uid="{00000000-0005-0000-0000-0000464F0000}"/>
    <cellStyle name="Normal 2 3 5 5 2" xfId="22292" xr:uid="{00000000-0005-0000-0000-0000474F0000}"/>
    <cellStyle name="Normal 2 3 5 6" xfId="13948" xr:uid="{00000000-0005-0000-0000-0000484F0000}"/>
    <cellStyle name="Normal 2 3 5 6 2" xfId="24511" xr:uid="{00000000-0005-0000-0000-0000494F0000}"/>
    <cellStyle name="Normal 2 3 5 7" xfId="17848" xr:uid="{00000000-0005-0000-0000-00004A4F0000}"/>
    <cellStyle name="Normal 2 3 6" xfId="2840" xr:uid="{00000000-0005-0000-0000-00004B4F0000}"/>
    <cellStyle name="Normal 2 3 6 2" xfId="8768" xr:uid="{00000000-0005-0000-0000-00004C4F0000}"/>
    <cellStyle name="Normal 2 3 6 2 2" xfId="10987" xr:uid="{00000000-0005-0000-0000-00004D4F0000}"/>
    <cellStyle name="Normal 2 3 6 2 2 2" xfId="21550" xr:uid="{00000000-0005-0000-0000-00004E4F0000}"/>
    <cellStyle name="Normal 2 3 6 2 3" xfId="13206" xr:uid="{00000000-0005-0000-0000-00004F4F0000}"/>
    <cellStyle name="Normal 2 3 6 2 3 2" xfId="23769" xr:uid="{00000000-0005-0000-0000-0000504F0000}"/>
    <cellStyle name="Normal 2 3 6 2 4" xfId="15425" xr:uid="{00000000-0005-0000-0000-0000514F0000}"/>
    <cellStyle name="Normal 2 3 6 2 4 2" xfId="25988" xr:uid="{00000000-0005-0000-0000-0000524F0000}"/>
    <cellStyle name="Normal 2 3 6 2 5" xfId="19331" xr:uid="{00000000-0005-0000-0000-0000534F0000}"/>
    <cellStyle name="Normal 2 3 6 3" xfId="8035" xr:uid="{00000000-0005-0000-0000-0000544F0000}"/>
    <cellStyle name="Normal 2 3 6 3 2" xfId="10254" xr:uid="{00000000-0005-0000-0000-0000554F0000}"/>
    <cellStyle name="Normal 2 3 6 3 2 2" xfId="20817" xr:uid="{00000000-0005-0000-0000-0000564F0000}"/>
    <cellStyle name="Normal 2 3 6 3 3" xfId="12473" xr:uid="{00000000-0005-0000-0000-0000574F0000}"/>
    <cellStyle name="Normal 2 3 6 3 3 2" xfId="23036" xr:uid="{00000000-0005-0000-0000-0000584F0000}"/>
    <cellStyle name="Normal 2 3 6 3 4" xfId="14692" xr:uid="{00000000-0005-0000-0000-0000594F0000}"/>
    <cellStyle name="Normal 2 3 6 3 4 2" xfId="25255" xr:uid="{00000000-0005-0000-0000-00005A4F0000}"/>
    <cellStyle name="Normal 2 3 6 3 5" xfId="18598" xr:uid="{00000000-0005-0000-0000-00005B4F0000}"/>
    <cellStyle name="Normal 2 3 6 4" xfId="9511" xr:uid="{00000000-0005-0000-0000-00005C4F0000}"/>
    <cellStyle name="Normal 2 3 6 4 2" xfId="20074" xr:uid="{00000000-0005-0000-0000-00005D4F0000}"/>
    <cellStyle name="Normal 2 3 6 5" xfId="11730" xr:uid="{00000000-0005-0000-0000-00005E4F0000}"/>
    <cellStyle name="Normal 2 3 6 5 2" xfId="22293" xr:uid="{00000000-0005-0000-0000-00005F4F0000}"/>
    <cellStyle name="Normal 2 3 6 6" xfId="13949" xr:uid="{00000000-0005-0000-0000-0000604F0000}"/>
    <cellStyle name="Normal 2 3 6 6 2" xfId="24512" xr:uid="{00000000-0005-0000-0000-0000614F0000}"/>
    <cellStyle name="Normal 2 3 6 7" xfId="17849" xr:uid="{00000000-0005-0000-0000-0000624F0000}"/>
    <cellStyle name="Normal 2 3 7" xfId="2841" xr:uid="{00000000-0005-0000-0000-0000634F0000}"/>
    <cellStyle name="Normal 2 3 7 2" xfId="8769" xr:uid="{00000000-0005-0000-0000-0000644F0000}"/>
    <cellStyle name="Normal 2 3 7 2 2" xfId="10988" xr:uid="{00000000-0005-0000-0000-0000654F0000}"/>
    <cellStyle name="Normal 2 3 7 2 2 2" xfId="21551" xr:uid="{00000000-0005-0000-0000-0000664F0000}"/>
    <cellStyle name="Normal 2 3 7 2 3" xfId="13207" xr:uid="{00000000-0005-0000-0000-0000674F0000}"/>
    <cellStyle name="Normal 2 3 7 2 3 2" xfId="23770" xr:uid="{00000000-0005-0000-0000-0000684F0000}"/>
    <cellStyle name="Normal 2 3 7 2 4" xfId="15426" xr:uid="{00000000-0005-0000-0000-0000694F0000}"/>
    <cellStyle name="Normal 2 3 7 2 4 2" xfId="25989" xr:uid="{00000000-0005-0000-0000-00006A4F0000}"/>
    <cellStyle name="Normal 2 3 7 2 5" xfId="19332" xr:uid="{00000000-0005-0000-0000-00006B4F0000}"/>
    <cellStyle name="Normal 2 3 7 3" xfId="8036" xr:uid="{00000000-0005-0000-0000-00006C4F0000}"/>
    <cellStyle name="Normal 2 3 7 3 2" xfId="10255" xr:uid="{00000000-0005-0000-0000-00006D4F0000}"/>
    <cellStyle name="Normal 2 3 7 3 2 2" xfId="20818" xr:uid="{00000000-0005-0000-0000-00006E4F0000}"/>
    <cellStyle name="Normal 2 3 7 3 3" xfId="12474" xr:uid="{00000000-0005-0000-0000-00006F4F0000}"/>
    <cellStyle name="Normal 2 3 7 3 3 2" xfId="23037" xr:uid="{00000000-0005-0000-0000-0000704F0000}"/>
    <cellStyle name="Normal 2 3 7 3 4" xfId="14693" xr:uid="{00000000-0005-0000-0000-0000714F0000}"/>
    <cellStyle name="Normal 2 3 7 3 4 2" xfId="25256" xr:uid="{00000000-0005-0000-0000-0000724F0000}"/>
    <cellStyle name="Normal 2 3 7 3 5" xfId="18599" xr:uid="{00000000-0005-0000-0000-0000734F0000}"/>
    <cellStyle name="Normal 2 3 7 4" xfId="9512" xr:uid="{00000000-0005-0000-0000-0000744F0000}"/>
    <cellStyle name="Normal 2 3 7 4 2" xfId="20075" xr:uid="{00000000-0005-0000-0000-0000754F0000}"/>
    <cellStyle name="Normal 2 3 7 5" xfId="11731" xr:uid="{00000000-0005-0000-0000-0000764F0000}"/>
    <cellStyle name="Normal 2 3 7 5 2" xfId="22294" xr:uid="{00000000-0005-0000-0000-0000774F0000}"/>
    <cellStyle name="Normal 2 3 7 6" xfId="13950" xr:uid="{00000000-0005-0000-0000-0000784F0000}"/>
    <cellStyle name="Normal 2 3 7 6 2" xfId="24513" xr:uid="{00000000-0005-0000-0000-0000794F0000}"/>
    <cellStyle name="Normal 2 3 7 7" xfId="17850" xr:uid="{00000000-0005-0000-0000-00007A4F0000}"/>
    <cellStyle name="Normal 2 3 8" xfId="2842" xr:uid="{00000000-0005-0000-0000-00007B4F0000}"/>
    <cellStyle name="Normal 2 3 8 2" xfId="8770" xr:uid="{00000000-0005-0000-0000-00007C4F0000}"/>
    <cellStyle name="Normal 2 3 8 2 2" xfId="10989" xr:uid="{00000000-0005-0000-0000-00007D4F0000}"/>
    <cellStyle name="Normal 2 3 8 2 2 2" xfId="21552" xr:uid="{00000000-0005-0000-0000-00007E4F0000}"/>
    <cellStyle name="Normal 2 3 8 2 3" xfId="13208" xr:uid="{00000000-0005-0000-0000-00007F4F0000}"/>
    <cellStyle name="Normal 2 3 8 2 3 2" xfId="23771" xr:uid="{00000000-0005-0000-0000-0000804F0000}"/>
    <cellStyle name="Normal 2 3 8 2 4" xfId="15427" xr:uid="{00000000-0005-0000-0000-0000814F0000}"/>
    <cellStyle name="Normal 2 3 8 2 4 2" xfId="25990" xr:uid="{00000000-0005-0000-0000-0000824F0000}"/>
    <cellStyle name="Normal 2 3 8 2 5" xfId="19333" xr:uid="{00000000-0005-0000-0000-0000834F0000}"/>
    <cellStyle name="Normal 2 3 8 3" xfId="8037" xr:uid="{00000000-0005-0000-0000-0000844F0000}"/>
    <cellStyle name="Normal 2 3 8 3 2" xfId="10256" xr:uid="{00000000-0005-0000-0000-0000854F0000}"/>
    <cellStyle name="Normal 2 3 8 3 2 2" xfId="20819" xr:uid="{00000000-0005-0000-0000-0000864F0000}"/>
    <cellStyle name="Normal 2 3 8 3 3" xfId="12475" xr:uid="{00000000-0005-0000-0000-0000874F0000}"/>
    <cellStyle name="Normal 2 3 8 3 3 2" xfId="23038" xr:uid="{00000000-0005-0000-0000-0000884F0000}"/>
    <cellStyle name="Normal 2 3 8 3 4" xfId="14694" xr:uid="{00000000-0005-0000-0000-0000894F0000}"/>
    <cellStyle name="Normal 2 3 8 3 4 2" xfId="25257" xr:uid="{00000000-0005-0000-0000-00008A4F0000}"/>
    <cellStyle name="Normal 2 3 8 3 5" xfId="18600" xr:uid="{00000000-0005-0000-0000-00008B4F0000}"/>
    <cellStyle name="Normal 2 3 8 4" xfId="9513" xr:uid="{00000000-0005-0000-0000-00008C4F0000}"/>
    <cellStyle name="Normal 2 3 8 4 2" xfId="20076" xr:uid="{00000000-0005-0000-0000-00008D4F0000}"/>
    <cellStyle name="Normal 2 3 8 5" xfId="11732" xr:uid="{00000000-0005-0000-0000-00008E4F0000}"/>
    <cellStyle name="Normal 2 3 8 5 2" xfId="22295" xr:uid="{00000000-0005-0000-0000-00008F4F0000}"/>
    <cellStyle name="Normal 2 3 8 6" xfId="13951" xr:uid="{00000000-0005-0000-0000-0000904F0000}"/>
    <cellStyle name="Normal 2 3 8 6 2" xfId="24514" xr:uid="{00000000-0005-0000-0000-0000914F0000}"/>
    <cellStyle name="Normal 2 3 8 7" xfId="17851" xr:uid="{00000000-0005-0000-0000-0000924F0000}"/>
    <cellStyle name="Normal 2 3 9" xfId="2843" xr:uid="{00000000-0005-0000-0000-0000934F0000}"/>
    <cellStyle name="Normal 2 3 9 2" xfId="8771" xr:uid="{00000000-0005-0000-0000-0000944F0000}"/>
    <cellStyle name="Normal 2 3 9 2 2" xfId="10990" xr:uid="{00000000-0005-0000-0000-0000954F0000}"/>
    <cellStyle name="Normal 2 3 9 2 2 2" xfId="21553" xr:uid="{00000000-0005-0000-0000-0000964F0000}"/>
    <cellStyle name="Normal 2 3 9 2 3" xfId="13209" xr:uid="{00000000-0005-0000-0000-0000974F0000}"/>
    <cellStyle name="Normal 2 3 9 2 3 2" xfId="23772" xr:uid="{00000000-0005-0000-0000-0000984F0000}"/>
    <cellStyle name="Normal 2 3 9 2 4" xfId="15428" xr:uid="{00000000-0005-0000-0000-0000994F0000}"/>
    <cellStyle name="Normal 2 3 9 2 4 2" xfId="25991" xr:uid="{00000000-0005-0000-0000-00009A4F0000}"/>
    <cellStyle name="Normal 2 3 9 2 5" xfId="19334" xr:uid="{00000000-0005-0000-0000-00009B4F0000}"/>
    <cellStyle name="Normal 2 3 9 3" xfId="8038" xr:uid="{00000000-0005-0000-0000-00009C4F0000}"/>
    <cellStyle name="Normal 2 3 9 3 2" xfId="10257" xr:uid="{00000000-0005-0000-0000-00009D4F0000}"/>
    <cellStyle name="Normal 2 3 9 3 2 2" xfId="20820" xr:uid="{00000000-0005-0000-0000-00009E4F0000}"/>
    <cellStyle name="Normal 2 3 9 3 3" xfId="12476" xr:uid="{00000000-0005-0000-0000-00009F4F0000}"/>
    <cellStyle name="Normal 2 3 9 3 3 2" xfId="23039" xr:uid="{00000000-0005-0000-0000-0000A04F0000}"/>
    <cellStyle name="Normal 2 3 9 3 4" xfId="14695" xr:uid="{00000000-0005-0000-0000-0000A14F0000}"/>
    <cellStyle name="Normal 2 3 9 3 4 2" xfId="25258" xr:uid="{00000000-0005-0000-0000-0000A24F0000}"/>
    <cellStyle name="Normal 2 3 9 3 5" xfId="18601" xr:uid="{00000000-0005-0000-0000-0000A34F0000}"/>
    <cellStyle name="Normal 2 3 9 4" xfId="9514" xr:uid="{00000000-0005-0000-0000-0000A44F0000}"/>
    <cellStyle name="Normal 2 3 9 4 2" xfId="20077" xr:uid="{00000000-0005-0000-0000-0000A54F0000}"/>
    <cellStyle name="Normal 2 3 9 5" xfId="11733" xr:uid="{00000000-0005-0000-0000-0000A64F0000}"/>
    <cellStyle name="Normal 2 3 9 5 2" xfId="22296" xr:uid="{00000000-0005-0000-0000-0000A74F0000}"/>
    <cellStyle name="Normal 2 3 9 6" xfId="13952" xr:uid="{00000000-0005-0000-0000-0000A84F0000}"/>
    <cellStyle name="Normal 2 3 9 6 2" xfId="24515" xr:uid="{00000000-0005-0000-0000-0000A94F0000}"/>
    <cellStyle name="Normal 2 3 9 7" xfId="17852" xr:uid="{00000000-0005-0000-0000-0000AA4F0000}"/>
    <cellStyle name="Normal 2 4" xfId="60" xr:uid="{00000000-0005-0000-0000-0000AB4F0000}"/>
    <cellStyle name="Normal 2 4 2" xfId="2844" xr:uid="{00000000-0005-0000-0000-0000AC4F0000}"/>
    <cellStyle name="Normal 2 4 2 2" xfId="8772" xr:uid="{00000000-0005-0000-0000-0000AD4F0000}"/>
    <cellStyle name="Normal 2 4 2 2 2" xfId="10991" xr:uid="{00000000-0005-0000-0000-0000AE4F0000}"/>
    <cellStyle name="Normal 2 4 2 2 2 2" xfId="21554" xr:uid="{00000000-0005-0000-0000-0000AF4F0000}"/>
    <cellStyle name="Normal 2 4 2 2 3" xfId="13210" xr:uid="{00000000-0005-0000-0000-0000B04F0000}"/>
    <cellStyle name="Normal 2 4 2 2 3 2" xfId="23773" xr:uid="{00000000-0005-0000-0000-0000B14F0000}"/>
    <cellStyle name="Normal 2 4 2 2 4" xfId="15429" xr:uid="{00000000-0005-0000-0000-0000B24F0000}"/>
    <cellStyle name="Normal 2 4 2 2 4 2" xfId="25992" xr:uid="{00000000-0005-0000-0000-0000B34F0000}"/>
    <cellStyle name="Normal 2 4 2 2 5" xfId="19335" xr:uid="{00000000-0005-0000-0000-0000B44F0000}"/>
    <cellStyle name="Normal 2 4 2 3" xfId="8039" xr:uid="{00000000-0005-0000-0000-0000B54F0000}"/>
    <cellStyle name="Normal 2 4 2 3 2" xfId="10258" xr:uid="{00000000-0005-0000-0000-0000B64F0000}"/>
    <cellStyle name="Normal 2 4 2 3 2 2" xfId="20821" xr:uid="{00000000-0005-0000-0000-0000B74F0000}"/>
    <cellStyle name="Normal 2 4 2 3 3" xfId="12477" xr:uid="{00000000-0005-0000-0000-0000B84F0000}"/>
    <cellStyle name="Normal 2 4 2 3 3 2" xfId="23040" xr:uid="{00000000-0005-0000-0000-0000B94F0000}"/>
    <cellStyle name="Normal 2 4 2 3 4" xfId="14696" xr:uid="{00000000-0005-0000-0000-0000BA4F0000}"/>
    <cellStyle name="Normal 2 4 2 3 4 2" xfId="25259" xr:uid="{00000000-0005-0000-0000-0000BB4F0000}"/>
    <cellStyle name="Normal 2 4 2 3 5" xfId="18602" xr:uid="{00000000-0005-0000-0000-0000BC4F0000}"/>
    <cellStyle name="Normal 2 4 2 4" xfId="9515" xr:uid="{00000000-0005-0000-0000-0000BD4F0000}"/>
    <cellStyle name="Normal 2 4 2 4 2" xfId="20078" xr:uid="{00000000-0005-0000-0000-0000BE4F0000}"/>
    <cellStyle name="Normal 2 4 2 5" xfId="11734" xr:uid="{00000000-0005-0000-0000-0000BF4F0000}"/>
    <cellStyle name="Normal 2 4 2 5 2" xfId="22297" xr:uid="{00000000-0005-0000-0000-0000C04F0000}"/>
    <cellStyle name="Normal 2 4 2 6" xfId="13953" xr:uid="{00000000-0005-0000-0000-0000C14F0000}"/>
    <cellStyle name="Normal 2 4 2 6 2" xfId="24516" xr:uid="{00000000-0005-0000-0000-0000C24F0000}"/>
    <cellStyle name="Normal 2 4 2 7" xfId="17853" xr:uid="{00000000-0005-0000-0000-0000C34F0000}"/>
    <cellStyle name="Normal 2 4 3" xfId="2845" xr:uid="{00000000-0005-0000-0000-0000C44F0000}"/>
    <cellStyle name="Normal 2 4 3 2" xfId="8773" xr:uid="{00000000-0005-0000-0000-0000C54F0000}"/>
    <cellStyle name="Normal 2 4 3 2 2" xfId="10992" xr:uid="{00000000-0005-0000-0000-0000C64F0000}"/>
    <cellStyle name="Normal 2 4 3 2 2 2" xfId="21555" xr:uid="{00000000-0005-0000-0000-0000C74F0000}"/>
    <cellStyle name="Normal 2 4 3 2 3" xfId="13211" xr:uid="{00000000-0005-0000-0000-0000C84F0000}"/>
    <cellStyle name="Normal 2 4 3 2 3 2" xfId="23774" xr:uid="{00000000-0005-0000-0000-0000C94F0000}"/>
    <cellStyle name="Normal 2 4 3 2 4" xfId="15430" xr:uid="{00000000-0005-0000-0000-0000CA4F0000}"/>
    <cellStyle name="Normal 2 4 3 2 4 2" xfId="25993" xr:uid="{00000000-0005-0000-0000-0000CB4F0000}"/>
    <cellStyle name="Normal 2 4 3 2 5" xfId="19336" xr:uid="{00000000-0005-0000-0000-0000CC4F0000}"/>
    <cellStyle name="Normal 2 4 3 3" xfId="8040" xr:uid="{00000000-0005-0000-0000-0000CD4F0000}"/>
    <cellStyle name="Normal 2 4 3 3 2" xfId="10259" xr:uid="{00000000-0005-0000-0000-0000CE4F0000}"/>
    <cellStyle name="Normal 2 4 3 3 2 2" xfId="20822" xr:uid="{00000000-0005-0000-0000-0000CF4F0000}"/>
    <cellStyle name="Normal 2 4 3 3 3" xfId="12478" xr:uid="{00000000-0005-0000-0000-0000D04F0000}"/>
    <cellStyle name="Normal 2 4 3 3 3 2" xfId="23041" xr:uid="{00000000-0005-0000-0000-0000D14F0000}"/>
    <cellStyle name="Normal 2 4 3 3 4" xfId="14697" xr:uid="{00000000-0005-0000-0000-0000D24F0000}"/>
    <cellStyle name="Normal 2 4 3 3 4 2" xfId="25260" xr:uid="{00000000-0005-0000-0000-0000D34F0000}"/>
    <cellStyle name="Normal 2 4 3 3 5" xfId="18603" xr:uid="{00000000-0005-0000-0000-0000D44F0000}"/>
    <cellStyle name="Normal 2 4 3 4" xfId="9516" xr:uid="{00000000-0005-0000-0000-0000D54F0000}"/>
    <cellStyle name="Normal 2 4 3 4 2" xfId="20079" xr:uid="{00000000-0005-0000-0000-0000D64F0000}"/>
    <cellStyle name="Normal 2 4 3 5" xfId="11735" xr:uid="{00000000-0005-0000-0000-0000D74F0000}"/>
    <cellStyle name="Normal 2 4 3 5 2" xfId="22298" xr:uid="{00000000-0005-0000-0000-0000D84F0000}"/>
    <cellStyle name="Normal 2 4 3 6" xfId="13954" xr:uid="{00000000-0005-0000-0000-0000D94F0000}"/>
    <cellStyle name="Normal 2 4 3 6 2" xfId="24517" xr:uid="{00000000-0005-0000-0000-0000DA4F0000}"/>
    <cellStyle name="Normal 2 4 3 7" xfId="17854" xr:uid="{00000000-0005-0000-0000-0000DB4F0000}"/>
    <cellStyle name="Normal 2 4 4" xfId="2846" xr:uid="{00000000-0005-0000-0000-0000DC4F0000}"/>
    <cellStyle name="Normal 2 4 4 2" xfId="8774" xr:uid="{00000000-0005-0000-0000-0000DD4F0000}"/>
    <cellStyle name="Normal 2 4 4 2 2" xfId="10993" xr:uid="{00000000-0005-0000-0000-0000DE4F0000}"/>
    <cellStyle name="Normal 2 4 4 2 2 2" xfId="21556" xr:uid="{00000000-0005-0000-0000-0000DF4F0000}"/>
    <cellStyle name="Normal 2 4 4 2 3" xfId="13212" xr:uid="{00000000-0005-0000-0000-0000E04F0000}"/>
    <cellStyle name="Normal 2 4 4 2 3 2" xfId="23775" xr:uid="{00000000-0005-0000-0000-0000E14F0000}"/>
    <cellStyle name="Normal 2 4 4 2 4" xfId="15431" xr:uid="{00000000-0005-0000-0000-0000E24F0000}"/>
    <cellStyle name="Normal 2 4 4 2 4 2" xfId="25994" xr:uid="{00000000-0005-0000-0000-0000E34F0000}"/>
    <cellStyle name="Normal 2 4 4 2 5" xfId="19337" xr:uid="{00000000-0005-0000-0000-0000E44F0000}"/>
    <cellStyle name="Normal 2 4 4 3" xfId="8041" xr:uid="{00000000-0005-0000-0000-0000E54F0000}"/>
    <cellStyle name="Normal 2 4 4 3 2" xfId="10260" xr:uid="{00000000-0005-0000-0000-0000E64F0000}"/>
    <cellStyle name="Normal 2 4 4 3 2 2" xfId="20823" xr:uid="{00000000-0005-0000-0000-0000E74F0000}"/>
    <cellStyle name="Normal 2 4 4 3 3" xfId="12479" xr:uid="{00000000-0005-0000-0000-0000E84F0000}"/>
    <cellStyle name="Normal 2 4 4 3 3 2" xfId="23042" xr:uid="{00000000-0005-0000-0000-0000E94F0000}"/>
    <cellStyle name="Normal 2 4 4 3 4" xfId="14698" xr:uid="{00000000-0005-0000-0000-0000EA4F0000}"/>
    <cellStyle name="Normal 2 4 4 3 4 2" xfId="25261" xr:uid="{00000000-0005-0000-0000-0000EB4F0000}"/>
    <cellStyle name="Normal 2 4 4 3 5" xfId="18604" xr:uid="{00000000-0005-0000-0000-0000EC4F0000}"/>
    <cellStyle name="Normal 2 4 4 4" xfId="9517" xr:uid="{00000000-0005-0000-0000-0000ED4F0000}"/>
    <cellStyle name="Normal 2 4 4 4 2" xfId="20080" xr:uid="{00000000-0005-0000-0000-0000EE4F0000}"/>
    <cellStyle name="Normal 2 4 4 5" xfId="11736" xr:uid="{00000000-0005-0000-0000-0000EF4F0000}"/>
    <cellStyle name="Normal 2 4 4 5 2" xfId="22299" xr:uid="{00000000-0005-0000-0000-0000F04F0000}"/>
    <cellStyle name="Normal 2 4 4 6" xfId="13955" xr:uid="{00000000-0005-0000-0000-0000F14F0000}"/>
    <cellStyle name="Normal 2 4 4 6 2" xfId="24518" xr:uid="{00000000-0005-0000-0000-0000F24F0000}"/>
    <cellStyle name="Normal 2 4 4 7" xfId="17855" xr:uid="{00000000-0005-0000-0000-0000F34F0000}"/>
    <cellStyle name="Normal 2 4 5" xfId="2847" xr:uid="{00000000-0005-0000-0000-0000F44F0000}"/>
    <cellStyle name="Normal 2 4 5 2" xfId="8775" xr:uid="{00000000-0005-0000-0000-0000F54F0000}"/>
    <cellStyle name="Normal 2 4 5 2 2" xfId="10994" xr:uid="{00000000-0005-0000-0000-0000F64F0000}"/>
    <cellStyle name="Normal 2 4 5 2 2 2" xfId="21557" xr:uid="{00000000-0005-0000-0000-0000F74F0000}"/>
    <cellStyle name="Normal 2 4 5 2 3" xfId="13213" xr:uid="{00000000-0005-0000-0000-0000F84F0000}"/>
    <cellStyle name="Normal 2 4 5 2 3 2" xfId="23776" xr:uid="{00000000-0005-0000-0000-0000F94F0000}"/>
    <cellStyle name="Normal 2 4 5 2 4" xfId="15432" xr:uid="{00000000-0005-0000-0000-0000FA4F0000}"/>
    <cellStyle name="Normal 2 4 5 2 4 2" xfId="25995" xr:uid="{00000000-0005-0000-0000-0000FB4F0000}"/>
    <cellStyle name="Normal 2 4 5 2 5" xfId="19338" xr:uid="{00000000-0005-0000-0000-0000FC4F0000}"/>
    <cellStyle name="Normal 2 4 5 3" xfId="8042" xr:uid="{00000000-0005-0000-0000-0000FD4F0000}"/>
    <cellStyle name="Normal 2 4 5 3 2" xfId="10261" xr:uid="{00000000-0005-0000-0000-0000FE4F0000}"/>
    <cellStyle name="Normal 2 4 5 3 2 2" xfId="20824" xr:uid="{00000000-0005-0000-0000-0000FF4F0000}"/>
    <cellStyle name="Normal 2 4 5 3 3" xfId="12480" xr:uid="{00000000-0005-0000-0000-000000500000}"/>
    <cellStyle name="Normal 2 4 5 3 3 2" xfId="23043" xr:uid="{00000000-0005-0000-0000-000001500000}"/>
    <cellStyle name="Normal 2 4 5 3 4" xfId="14699" xr:uid="{00000000-0005-0000-0000-000002500000}"/>
    <cellStyle name="Normal 2 4 5 3 4 2" xfId="25262" xr:uid="{00000000-0005-0000-0000-000003500000}"/>
    <cellStyle name="Normal 2 4 5 3 5" xfId="18605" xr:uid="{00000000-0005-0000-0000-000004500000}"/>
    <cellStyle name="Normal 2 4 5 4" xfId="9518" xr:uid="{00000000-0005-0000-0000-000005500000}"/>
    <cellStyle name="Normal 2 4 5 4 2" xfId="20081" xr:uid="{00000000-0005-0000-0000-000006500000}"/>
    <cellStyle name="Normal 2 4 5 5" xfId="11737" xr:uid="{00000000-0005-0000-0000-000007500000}"/>
    <cellStyle name="Normal 2 4 5 5 2" xfId="22300" xr:uid="{00000000-0005-0000-0000-000008500000}"/>
    <cellStyle name="Normal 2 4 5 6" xfId="13956" xr:uid="{00000000-0005-0000-0000-000009500000}"/>
    <cellStyle name="Normal 2 4 5 6 2" xfId="24519" xr:uid="{00000000-0005-0000-0000-00000A500000}"/>
    <cellStyle name="Normal 2 4 5 7" xfId="17856" xr:uid="{00000000-0005-0000-0000-00000B500000}"/>
    <cellStyle name="Normal 2 4 6" xfId="2848" xr:uid="{00000000-0005-0000-0000-00000C500000}"/>
    <cellStyle name="Normal 2 4 6 2" xfId="8776" xr:uid="{00000000-0005-0000-0000-00000D500000}"/>
    <cellStyle name="Normal 2 4 6 2 2" xfId="10995" xr:uid="{00000000-0005-0000-0000-00000E500000}"/>
    <cellStyle name="Normal 2 4 6 2 2 2" xfId="21558" xr:uid="{00000000-0005-0000-0000-00000F500000}"/>
    <cellStyle name="Normal 2 4 6 2 3" xfId="13214" xr:uid="{00000000-0005-0000-0000-000010500000}"/>
    <cellStyle name="Normal 2 4 6 2 3 2" xfId="23777" xr:uid="{00000000-0005-0000-0000-000011500000}"/>
    <cellStyle name="Normal 2 4 6 2 4" xfId="15433" xr:uid="{00000000-0005-0000-0000-000012500000}"/>
    <cellStyle name="Normal 2 4 6 2 4 2" xfId="25996" xr:uid="{00000000-0005-0000-0000-000013500000}"/>
    <cellStyle name="Normal 2 4 6 2 5" xfId="19339" xr:uid="{00000000-0005-0000-0000-000014500000}"/>
    <cellStyle name="Normal 2 4 6 3" xfId="8043" xr:uid="{00000000-0005-0000-0000-000015500000}"/>
    <cellStyle name="Normal 2 4 6 3 2" xfId="10262" xr:uid="{00000000-0005-0000-0000-000016500000}"/>
    <cellStyle name="Normal 2 4 6 3 2 2" xfId="20825" xr:uid="{00000000-0005-0000-0000-000017500000}"/>
    <cellStyle name="Normal 2 4 6 3 3" xfId="12481" xr:uid="{00000000-0005-0000-0000-000018500000}"/>
    <cellStyle name="Normal 2 4 6 3 3 2" xfId="23044" xr:uid="{00000000-0005-0000-0000-000019500000}"/>
    <cellStyle name="Normal 2 4 6 3 4" xfId="14700" xr:uid="{00000000-0005-0000-0000-00001A500000}"/>
    <cellStyle name="Normal 2 4 6 3 4 2" xfId="25263" xr:uid="{00000000-0005-0000-0000-00001B500000}"/>
    <cellStyle name="Normal 2 4 6 3 5" xfId="18606" xr:uid="{00000000-0005-0000-0000-00001C500000}"/>
    <cellStyle name="Normal 2 4 6 4" xfId="9519" xr:uid="{00000000-0005-0000-0000-00001D500000}"/>
    <cellStyle name="Normal 2 4 6 4 2" xfId="20082" xr:uid="{00000000-0005-0000-0000-00001E500000}"/>
    <cellStyle name="Normal 2 4 6 5" xfId="11738" xr:uid="{00000000-0005-0000-0000-00001F500000}"/>
    <cellStyle name="Normal 2 4 6 5 2" xfId="22301" xr:uid="{00000000-0005-0000-0000-000020500000}"/>
    <cellStyle name="Normal 2 4 6 6" xfId="13957" xr:uid="{00000000-0005-0000-0000-000021500000}"/>
    <cellStyle name="Normal 2 4 6 6 2" xfId="24520" xr:uid="{00000000-0005-0000-0000-000022500000}"/>
    <cellStyle name="Normal 2 4 6 7" xfId="17857" xr:uid="{00000000-0005-0000-0000-000023500000}"/>
    <cellStyle name="Normal 2 4 7" xfId="2849" xr:uid="{00000000-0005-0000-0000-000024500000}"/>
    <cellStyle name="Normal 2 4 7 2" xfId="8777" xr:uid="{00000000-0005-0000-0000-000025500000}"/>
    <cellStyle name="Normal 2 4 7 2 2" xfId="10996" xr:uid="{00000000-0005-0000-0000-000026500000}"/>
    <cellStyle name="Normal 2 4 7 2 2 2" xfId="21559" xr:uid="{00000000-0005-0000-0000-000027500000}"/>
    <cellStyle name="Normal 2 4 7 2 3" xfId="13215" xr:uid="{00000000-0005-0000-0000-000028500000}"/>
    <cellStyle name="Normal 2 4 7 2 3 2" xfId="23778" xr:uid="{00000000-0005-0000-0000-000029500000}"/>
    <cellStyle name="Normal 2 4 7 2 4" xfId="15434" xr:uid="{00000000-0005-0000-0000-00002A500000}"/>
    <cellStyle name="Normal 2 4 7 2 4 2" xfId="25997" xr:uid="{00000000-0005-0000-0000-00002B500000}"/>
    <cellStyle name="Normal 2 4 7 2 5" xfId="19340" xr:uid="{00000000-0005-0000-0000-00002C500000}"/>
    <cellStyle name="Normal 2 4 7 3" xfId="8044" xr:uid="{00000000-0005-0000-0000-00002D500000}"/>
    <cellStyle name="Normal 2 4 7 3 2" xfId="10263" xr:uid="{00000000-0005-0000-0000-00002E500000}"/>
    <cellStyle name="Normal 2 4 7 3 2 2" xfId="20826" xr:uid="{00000000-0005-0000-0000-00002F500000}"/>
    <cellStyle name="Normal 2 4 7 3 3" xfId="12482" xr:uid="{00000000-0005-0000-0000-000030500000}"/>
    <cellStyle name="Normal 2 4 7 3 3 2" xfId="23045" xr:uid="{00000000-0005-0000-0000-000031500000}"/>
    <cellStyle name="Normal 2 4 7 3 4" xfId="14701" xr:uid="{00000000-0005-0000-0000-000032500000}"/>
    <cellStyle name="Normal 2 4 7 3 4 2" xfId="25264" xr:uid="{00000000-0005-0000-0000-000033500000}"/>
    <cellStyle name="Normal 2 4 7 3 5" xfId="18607" xr:uid="{00000000-0005-0000-0000-000034500000}"/>
    <cellStyle name="Normal 2 4 7 4" xfId="9520" xr:uid="{00000000-0005-0000-0000-000035500000}"/>
    <cellStyle name="Normal 2 4 7 4 2" xfId="20083" xr:uid="{00000000-0005-0000-0000-000036500000}"/>
    <cellStyle name="Normal 2 4 7 5" xfId="11739" xr:uid="{00000000-0005-0000-0000-000037500000}"/>
    <cellStyle name="Normal 2 4 7 5 2" xfId="22302" xr:uid="{00000000-0005-0000-0000-000038500000}"/>
    <cellStyle name="Normal 2 4 7 6" xfId="13958" xr:uid="{00000000-0005-0000-0000-000039500000}"/>
    <cellStyle name="Normal 2 4 7 6 2" xfId="24521" xr:uid="{00000000-0005-0000-0000-00003A500000}"/>
    <cellStyle name="Normal 2 4 7 7" xfId="17858" xr:uid="{00000000-0005-0000-0000-00003B500000}"/>
    <cellStyle name="Normal 2 4 8" xfId="2850" xr:uid="{00000000-0005-0000-0000-00003C500000}"/>
    <cellStyle name="Normal 2 4 8 2" xfId="8778" xr:uid="{00000000-0005-0000-0000-00003D500000}"/>
    <cellStyle name="Normal 2 4 8 2 2" xfId="10997" xr:uid="{00000000-0005-0000-0000-00003E500000}"/>
    <cellStyle name="Normal 2 4 8 2 2 2" xfId="21560" xr:uid="{00000000-0005-0000-0000-00003F500000}"/>
    <cellStyle name="Normal 2 4 8 2 3" xfId="13216" xr:uid="{00000000-0005-0000-0000-000040500000}"/>
    <cellStyle name="Normal 2 4 8 2 3 2" xfId="23779" xr:uid="{00000000-0005-0000-0000-000041500000}"/>
    <cellStyle name="Normal 2 4 8 2 4" xfId="15435" xr:uid="{00000000-0005-0000-0000-000042500000}"/>
    <cellStyle name="Normal 2 4 8 2 4 2" xfId="25998" xr:uid="{00000000-0005-0000-0000-000043500000}"/>
    <cellStyle name="Normal 2 4 8 2 5" xfId="19341" xr:uid="{00000000-0005-0000-0000-000044500000}"/>
    <cellStyle name="Normal 2 4 8 3" xfId="8045" xr:uid="{00000000-0005-0000-0000-000045500000}"/>
    <cellStyle name="Normal 2 4 8 3 2" xfId="10264" xr:uid="{00000000-0005-0000-0000-000046500000}"/>
    <cellStyle name="Normal 2 4 8 3 2 2" xfId="20827" xr:uid="{00000000-0005-0000-0000-000047500000}"/>
    <cellStyle name="Normal 2 4 8 3 3" xfId="12483" xr:uid="{00000000-0005-0000-0000-000048500000}"/>
    <cellStyle name="Normal 2 4 8 3 3 2" xfId="23046" xr:uid="{00000000-0005-0000-0000-000049500000}"/>
    <cellStyle name="Normal 2 4 8 3 4" xfId="14702" xr:uid="{00000000-0005-0000-0000-00004A500000}"/>
    <cellStyle name="Normal 2 4 8 3 4 2" xfId="25265" xr:uid="{00000000-0005-0000-0000-00004B500000}"/>
    <cellStyle name="Normal 2 4 8 3 5" xfId="18608" xr:uid="{00000000-0005-0000-0000-00004C500000}"/>
    <cellStyle name="Normal 2 4 8 4" xfId="9521" xr:uid="{00000000-0005-0000-0000-00004D500000}"/>
    <cellStyle name="Normal 2 4 8 4 2" xfId="20084" xr:uid="{00000000-0005-0000-0000-00004E500000}"/>
    <cellStyle name="Normal 2 4 8 5" xfId="11740" xr:uid="{00000000-0005-0000-0000-00004F500000}"/>
    <cellStyle name="Normal 2 4 8 5 2" xfId="22303" xr:uid="{00000000-0005-0000-0000-000050500000}"/>
    <cellStyle name="Normal 2 4 8 6" xfId="13959" xr:uid="{00000000-0005-0000-0000-000051500000}"/>
    <cellStyle name="Normal 2 4 8 6 2" xfId="24522" xr:uid="{00000000-0005-0000-0000-000052500000}"/>
    <cellStyle name="Normal 2 4 8 7" xfId="17859" xr:uid="{00000000-0005-0000-0000-000053500000}"/>
    <cellStyle name="Normal 2 4 9" xfId="2851" xr:uid="{00000000-0005-0000-0000-000054500000}"/>
    <cellStyle name="Normal 2 4 9 2" xfId="8779" xr:uid="{00000000-0005-0000-0000-000055500000}"/>
    <cellStyle name="Normal 2 4 9 2 2" xfId="10998" xr:uid="{00000000-0005-0000-0000-000056500000}"/>
    <cellStyle name="Normal 2 4 9 2 2 2" xfId="21561" xr:uid="{00000000-0005-0000-0000-000057500000}"/>
    <cellStyle name="Normal 2 4 9 2 3" xfId="13217" xr:uid="{00000000-0005-0000-0000-000058500000}"/>
    <cellStyle name="Normal 2 4 9 2 3 2" xfId="23780" xr:uid="{00000000-0005-0000-0000-000059500000}"/>
    <cellStyle name="Normal 2 4 9 2 4" xfId="15436" xr:uid="{00000000-0005-0000-0000-00005A500000}"/>
    <cellStyle name="Normal 2 4 9 2 4 2" xfId="25999" xr:uid="{00000000-0005-0000-0000-00005B500000}"/>
    <cellStyle name="Normal 2 4 9 2 5" xfId="19342" xr:uid="{00000000-0005-0000-0000-00005C500000}"/>
    <cellStyle name="Normal 2 4 9 3" xfId="8046" xr:uid="{00000000-0005-0000-0000-00005D500000}"/>
    <cellStyle name="Normal 2 4 9 3 2" xfId="10265" xr:uid="{00000000-0005-0000-0000-00005E500000}"/>
    <cellStyle name="Normal 2 4 9 3 2 2" xfId="20828" xr:uid="{00000000-0005-0000-0000-00005F500000}"/>
    <cellStyle name="Normal 2 4 9 3 3" xfId="12484" xr:uid="{00000000-0005-0000-0000-000060500000}"/>
    <cellStyle name="Normal 2 4 9 3 3 2" xfId="23047" xr:uid="{00000000-0005-0000-0000-000061500000}"/>
    <cellStyle name="Normal 2 4 9 3 4" xfId="14703" xr:uid="{00000000-0005-0000-0000-000062500000}"/>
    <cellStyle name="Normal 2 4 9 3 4 2" xfId="25266" xr:uid="{00000000-0005-0000-0000-000063500000}"/>
    <cellStyle name="Normal 2 4 9 3 5" xfId="18609" xr:uid="{00000000-0005-0000-0000-000064500000}"/>
    <cellStyle name="Normal 2 4 9 4" xfId="9522" xr:uid="{00000000-0005-0000-0000-000065500000}"/>
    <cellStyle name="Normal 2 4 9 4 2" xfId="20085" xr:uid="{00000000-0005-0000-0000-000066500000}"/>
    <cellStyle name="Normal 2 4 9 5" xfId="11741" xr:uid="{00000000-0005-0000-0000-000067500000}"/>
    <cellStyle name="Normal 2 4 9 5 2" xfId="22304" xr:uid="{00000000-0005-0000-0000-000068500000}"/>
    <cellStyle name="Normal 2 4 9 6" xfId="13960" xr:uid="{00000000-0005-0000-0000-000069500000}"/>
    <cellStyle name="Normal 2 4 9 6 2" xfId="24523" xr:uid="{00000000-0005-0000-0000-00006A500000}"/>
    <cellStyle name="Normal 2 4 9 7" xfId="17860" xr:uid="{00000000-0005-0000-0000-00006B500000}"/>
    <cellStyle name="Normal 2 5" xfId="61" xr:uid="{00000000-0005-0000-0000-00006C500000}"/>
    <cellStyle name="Normal 2 5 2" xfId="2852" xr:uid="{00000000-0005-0000-0000-00006D500000}"/>
    <cellStyle name="Normal 2 5 2 2" xfId="8780" xr:uid="{00000000-0005-0000-0000-00006E500000}"/>
    <cellStyle name="Normal 2 5 2 2 2" xfId="10999" xr:uid="{00000000-0005-0000-0000-00006F500000}"/>
    <cellStyle name="Normal 2 5 2 2 2 2" xfId="21562" xr:uid="{00000000-0005-0000-0000-000070500000}"/>
    <cellStyle name="Normal 2 5 2 2 3" xfId="13218" xr:uid="{00000000-0005-0000-0000-000071500000}"/>
    <cellStyle name="Normal 2 5 2 2 3 2" xfId="23781" xr:uid="{00000000-0005-0000-0000-000072500000}"/>
    <cellStyle name="Normal 2 5 2 2 4" xfId="15437" xr:uid="{00000000-0005-0000-0000-000073500000}"/>
    <cellStyle name="Normal 2 5 2 2 4 2" xfId="26000" xr:uid="{00000000-0005-0000-0000-000074500000}"/>
    <cellStyle name="Normal 2 5 2 2 5" xfId="19343" xr:uid="{00000000-0005-0000-0000-000075500000}"/>
    <cellStyle name="Normal 2 5 2 3" xfId="8047" xr:uid="{00000000-0005-0000-0000-000076500000}"/>
    <cellStyle name="Normal 2 5 2 3 2" xfId="10266" xr:uid="{00000000-0005-0000-0000-000077500000}"/>
    <cellStyle name="Normal 2 5 2 3 2 2" xfId="20829" xr:uid="{00000000-0005-0000-0000-000078500000}"/>
    <cellStyle name="Normal 2 5 2 3 3" xfId="12485" xr:uid="{00000000-0005-0000-0000-000079500000}"/>
    <cellStyle name="Normal 2 5 2 3 3 2" xfId="23048" xr:uid="{00000000-0005-0000-0000-00007A500000}"/>
    <cellStyle name="Normal 2 5 2 3 4" xfId="14704" xr:uid="{00000000-0005-0000-0000-00007B500000}"/>
    <cellStyle name="Normal 2 5 2 3 4 2" xfId="25267" xr:uid="{00000000-0005-0000-0000-00007C500000}"/>
    <cellStyle name="Normal 2 5 2 3 5" xfId="18610" xr:uid="{00000000-0005-0000-0000-00007D500000}"/>
    <cellStyle name="Normal 2 5 2 4" xfId="9523" xr:uid="{00000000-0005-0000-0000-00007E500000}"/>
    <cellStyle name="Normal 2 5 2 4 2" xfId="20086" xr:uid="{00000000-0005-0000-0000-00007F500000}"/>
    <cellStyle name="Normal 2 5 2 5" xfId="11742" xr:uid="{00000000-0005-0000-0000-000080500000}"/>
    <cellStyle name="Normal 2 5 2 5 2" xfId="22305" xr:uid="{00000000-0005-0000-0000-000081500000}"/>
    <cellStyle name="Normal 2 5 2 6" xfId="13961" xr:uid="{00000000-0005-0000-0000-000082500000}"/>
    <cellStyle name="Normal 2 5 2 6 2" xfId="24524" xr:uid="{00000000-0005-0000-0000-000083500000}"/>
    <cellStyle name="Normal 2 5 2 7" xfId="17861" xr:uid="{00000000-0005-0000-0000-000084500000}"/>
    <cellStyle name="Normal 2 5 3" xfId="2853" xr:uid="{00000000-0005-0000-0000-000085500000}"/>
    <cellStyle name="Normal 2 5 3 2" xfId="8781" xr:uid="{00000000-0005-0000-0000-000086500000}"/>
    <cellStyle name="Normal 2 5 3 2 2" xfId="11000" xr:uid="{00000000-0005-0000-0000-000087500000}"/>
    <cellStyle name="Normal 2 5 3 2 2 2" xfId="21563" xr:uid="{00000000-0005-0000-0000-000088500000}"/>
    <cellStyle name="Normal 2 5 3 2 3" xfId="13219" xr:uid="{00000000-0005-0000-0000-000089500000}"/>
    <cellStyle name="Normal 2 5 3 2 3 2" xfId="23782" xr:uid="{00000000-0005-0000-0000-00008A500000}"/>
    <cellStyle name="Normal 2 5 3 2 4" xfId="15438" xr:uid="{00000000-0005-0000-0000-00008B500000}"/>
    <cellStyle name="Normal 2 5 3 2 4 2" xfId="26001" xr:uid="{00000000-0005-0000-0000-00008C500000}"/>
    <cellStyle name="Normal 2 5 3 2 5" xfId="19344" xr:uid="{00000000-0005-0000-0000-00008D500000}"/>
    <cellStyle name="Normal 2 5 3 3" xfId="8048" xr:uid="{00000000-0005-0000-0000-00008E500000}"/>
    <cellStyle name="Normal 2 5 3 3 2" xfId="10267" xr:uid="{00000000-0005-0000-0000-00008F500000}"/>
    <cellStyle name="Normal 2 5 3 3 2 2" xfId="20830" xr:uid="{00000000-0005-0000-0000-000090500000}"/>
    <cellStyle name="Normal 2 5 3 3 3" xfId="12486" xr:uid="{00000000-0005-0000-0000-000091500000}"/>
    <cellStyle name="Normal 2 5 3 3 3 2" xfId="23049" xr:uid="{00000000-0005-0000-0000-000092500000}"/>
    <cellStyle name="Normal 2 5 3 3 4" xfId="14705" xr:uid="{00000000-0005-0000-0000-000093500000}"/>
    <cellStyle name="Normal 2 5 3 3 4 2" xfId="25268" xr:uid="{00000000-0005-0000-0000-000094500000}"/>
    <cellStyle name="Normal 2 5 3 3 5" xfId="18611" xr:uid="{00000000-0005-0000-0000-000095500000}"/>
    <cellStyle name="Normal 2 5 3 4" xfId="9524" xr:uid="{00000000-0005-0000-0000-000096500000}"/>
    <cellStyle name="Normal 2 5 3 4 2" xfId="20087" xr:uid="{00000000-0005-0000-0000-000097500000}"/>
    <cellStyle name="Normal 2 5 3 5" xfId="11743" xr:uid="{00000000-0005-0000-0000-000098500000}"/>
    <cellStyle name="Normal 2 5 3 5 2" xfId="22306" xr:uid="{00000000-0005-0000-0000-000099500000}"/>
    <cellStyle name="Normal 2 5 3 6" xfId="13962" xr:uid="{00000000-0005-0000-0000-00009A500000}"/>
    <cellStyle name="Normal 2 5 3 6 2" xfId="24525" xr:uid="{00000000-0005-0000-0000-00009B500000}"/>
    <cellStyle name="Normal 2 5 3 7" xfId="17862" xr:uid="{00000000-0005-0000-0000-00009C500000}"/>
    <cellStyle name="Normal 2 5 4" xfId="2854" xr:uid="{00000000-0005-0000-0000-00009D500000}"/>
    <cellStyle name="Normal 2 5 4 2" xfId="8782" xr:uid="{00000000-0005-0000-0000-00009E500000}"/>
    <cellStyle name="Normal 2 5 4 2 2" xfId="11001" xr:uid="{00000000-0005-0000-0000-00009F500000}"/>
    <cellStyle name="Normal 2 5 4 2 2 2" xfId="21564" xr:uid="{00000000-0005-0000-0000-0000A0500000}"/>
    <cellStyle name="Normal 2 5 4 2 3" xfId="13220" xr:uid="{00000000-0005-0000-0000-0000A1500000}"/>
    <cellStyle name="Normal 2 5 4 2 3 2" xfId="23783" xr:uid="{00000000-0005-0000-0000-0000A2500000}"/>
    <cellStyle name="Normal 2 5 4 2 4" xfId="15439" xr:uid="{00000000-0005-0000-0000-0000A3500000}"/>
    <cellStyle name="Normal 2 5 4 2 4 2" xfId="26002" xr:uid="{00000000-0005-0000-0000-0000A4500000}"/>
    <cellStyle name="Normal 2 5 4 2 5" xfId="19345" xr:uid="{00000000-0005-0000-0000-0000A5500000}"/>
    <cellStyle name="Normal 2 5 4 3" xfId="8049" xr:uid="{00000000-0005-0000-0000-0000A6500000}"/>
    <cellStyle name="Normal 2 5 4 3 2" xfId="10268" xr:uid="{00000000-0005-0000-0000-0000A7500000}"/>
    <cellStyle name="Normal 2 5 4 3 2 2" xfId="20831" xr:uid="{00000000-0005-0000-0000-0000A8500000}"/>
    <cellStyle name="Normal 2 5 4 3 3" xfId="12487" xr:uid="{00000000-0005-0000-0000-0000A9500000}"/>
    <cellStyle name="Normal 2 5 4 3 3 2" xfId="23050" xr:uid="{00000000-0005-0000-0000-0000AA500000}"/>
    <cellStyle name="Normal 2 5 4 3 4" xfId="14706" xr:uid="{00000000-0005-0000-0000-0000AB500000}"/>
    <cellStyle name="Normal 2 5 4 3 4 2" xfId="25269" xr:uid="{00000000-0005-0000-0000-0000AC500000}"/>
    <cellStyle name="Normal 2 5 4 3 5" xfId="18612" xr:uid="{00000000-0005-0000-0000-0000AD500000}"/>
    <cellStyle name="Normal 2 5 4 4" xfId="9525" xr:uid="{00000000-0005-0000-0000-0000AE500000}"/>
    <cellStyle name="Normal 2 5 4 4 2" xfId="20088" xr:uid="{00000000-0005-0000-0000-0000AF500000}"/>
    <cellStyle name="Normal 2 5 4 5" xfId="11744" xr:uid="{00000000-0005-0000-0000-0000B0500000}"/>
    <cellStyle name="Normal 2 5 4 5 2" xfId="22307" xr:uid="{00000000-0005-0000-0000-0000B1500000}"/>
    <cellStyle name="Normal 2 5 4 6" xfId="13963" xr:uid="{00000000-0005-0000-0000-0000B2500000}"/>
    <cellStyle name="Normal 2 5 4 6 2" xfId="24526" xr:uid="{00000000-0005-0000-0000-0000B3500000}"/>
    <cellStyle name="Normal 2 5 4 7" xfId="17863" xr:uid="{00000000-0005-0000-0000-0000B4500000}"/>
    <cellStyle name="Normal 2 5 5" xfId="2855" xr:uid="{00000000-0005-0000-0000-0000B5500000}"/>
    <cellStyle name="Normal 2 5 5 2" xfId="8783" xr:uid="{00000000-0005-0000-0000-0000B6500000}"/>
    <cellStyle name="Normal 2 5 5 2 2" xfId="11002" xr:uid="{00000000-0005-0000-0000-0000B7500000}"/>
    <cellStyle name="Normal 2 5 5 2 2 2" xfId="21565" xr:uid="{00000000-0005-0000-0000-0000B8500000}"/>
    <cellStyle name="Normal 2 5 5 2 3" xfId="13221" xr:uid="{00000000-0005-0000-0000-0000B9500000}"/>
    <cellStyle name="Normal 2 5 5 2 3 2" xfId="23784" xr:uid="{00000000-0005-0000-0000-0000BA500000}"/>
    <cellStyle name="Normal 2 5 5 2 4" xfId="15440" xr:uid="{00000000-0005-0000-0000-0000BB500000}"/>
    <cellStyle name="Normal 2 5 5 2 4 2" xfId="26003" xr:uid="{00000000-0005-0000-0000-0000BC500000}"/>
    <cellStyle name="Normal 2 5 5 2 5" xfId="19346" xr:uid="{00000000-0005-0000-0000-0000BD500000}"/>
    <cellStyle name="Normal 2 5 5 3" xfId="8050" xr:uid="{00000000-0005-0000-0000-0000BE500000}"/>
    <cellStyle name="Normal 2 5 5 3 2" xfId="10269" xr:uid="{00000000-0005-0000-0000-0000BF500000}"/>
    <cellStyle name="Normal 2 5 5 3 2 2" xfId="20832" xr:uid="{00000000-0005-0000-0000-0000C0500000}"/>
    <cellStyle name="Normal 2 5 5 3 3" xfId="12488" xr:uid="{00000000-0005-0000-0000-0000C1500000}"/>
    <cellStyle name="Normal 2 5 5 3 3 2" xfId="23051" xr:uid="{00000000-0005-0000-0000-0000C2500000}"/>
    <cellStyle name="Normal 2 5 5 3 4" xfId="14707" xr:uid="{00000000-0005-0000-0000-0000C3500000}"/>
    <cellStyle name="Normal 2 5 5 3 4 2" xfId="25270" xr:uid="{00000000-0005-0000-0000-0000C4500000}"/>
    <cellStyle name="Normal 2 5 5 3 5" xfId="18613" xr:uid="{00000000-0005-0000-0000-0000C5500000}"/>
    <cellStyle name="Normal 2 5 5 4" xfId="9526" xr:uid="{00000000-0005-0000-0000-0000C6500000}"/>
    <cellStyle name="Normal 2 5 5 4 2" xfId="20089" xr:uid="{00000000-0005-0000-0000-0000C7500000}"/>
    <cellStyle name="Normal 2 5 5 5" xfId="11745" xr:uid="{00000000-0005-0000-0000-0000C8500000}"/>
    <cellStyle name="Normal 2 5 5 5 2" xfId="22308" xr:uid="{00000000-0005-0000-0000-0000C9500000}"/>
    <cellStyle name="Normal 2 5 5 6" xfId="13964" xr:uid="{00000000-0005-0000-0000-0000CA500000}"/>
    <cellStyle name="Normal 2 5 5 6 2" xfId="24527" xr:uid="{00000000-0005-0000-0000-0000CB500000}"/>
    <cellStyle name="Normal 2 5 5 7" xfId="17864" xr:uid="{00000000-0005-0000-0000-0000CC500000}"/>
    <cellStyle name="Normal 2 6" xfId="62" xr:uid="{00000000-0005-0000-0000-0000CD500000}"/>
    <cellStyle name="Normal 2 6 2" xfId="2856" xr:uid="{00000000-0005-0000-0000-0000CE500000}"/>
    <cellStyle name="Normal 2 6 2 2" xfId="8784" xr:uid="{00000000-0005-0000-0000-0000CF500000}"/>
    <cellStyle name="Normal 2 6 2 2 2" xfId="11003" xr:uid="{00000000-0005-0000-0000-0000D0500000}"/>
    <cellStyle name="Normal 2 6 2 2 2 2" xfId="21566" xr:uid="{00000000-0005-0000-0000-0000D1500000}"/>
    <cellStyle name="Normal 2 6 2 2 3" xfId="13222" xr:uid="{00000000-0005-0000-0000-0000D2500000}"/>
    <cellStyle name="Normal 2 6 2 2 3 2" xfId="23785" xr:uid="{00000000-0005-0000-0000-0000D3500000}"/>
    <cellStyle name="Normal 2 6 2 2 4" xfId="15441" xr:uid="{00000000-0005-0000-0000-0000D4500000}"/>
    <cellStyle name="Normal 2 6 2 2 4 2" xfId="26004" xr:uid="{00000000-0005-0000-0000-0000D5500000}"/>
    <cellStyle name="Normal 2 6 2 2 5" xfId="19347" xr:uid="{00000000-0005-0000-0000-0000D6500000}"/>
    <cellStyle name="Normal 2 6 2 3" xfId="8051" xr:uid="{00000000-0005-0000-0000-0000D7500000}"/>
    <cellStyle name="Normal 2 6 2 3 2" xfId="10270" xr:uid="{00000000-0005-0000-0000-0000D8500000}"/>
    <cellStyle name="Normal 2 6 2 3 2 2" xfId="20833" xr:uid="{00000000-0005-0000-0000-0000D9500000}"/>
    <cellStyle name="Normal 2 6 2 3 3" xfId="12489" xr:uid="{00000000-0005-0000-0000-0000DA500000}"/>
    <cellStyle name="Normal 2 6 2 3 3 2" xfId="23052" xr:uid="{00000000-0005-0000-0000-0000DB500000}"/>
    <cellStyle name="Normal 2 6 2 3 4" xfId="14708" xr:uid="{00000000-0005-0000-0000-0000DC500000}"/>
    <cellStyle name="Normal 2 6 2 3 4 2" xfId="25271" xr:uid="{00000000-0005-0000-0000-0000DD500000}"/>
    <cellStyle name="Normal 2 6 2 3 5" xfId="18614" xr:uid="{00000000-0005-0000-0000-0000DE500000}"/>
    <cellStyle name="Normal 2 6 2 4" xfId="9527" xr:uid="{00000000-0005-0000-0000-0000DF500000}"/>
    <cellStyle name="Normal 2 6 2 4 2" xfId="20090" xr:uid="{00000000-0005-0000-0000-0000E0500000}"/>
    <cellStyle name="Normal 2 6 2 5" xfId="11746" xr:uid="{00000000-0005-0000-0000-0000E1500000}"/>
    <cellStyle name="Normal 2 6 2 5 2" xfId="22309" xr:uid="{00000000-0005-0000-0000-0000E2500000}"/>
    <cellStyle name="Normal 2 6 2 6" xfId="13965" xr:uid="{00000000-0005-0000-0000-0000E3500000}"/>
    <cellStyle name="Normal 2 6 2 6 2" xfId="24528" xr:uid="{00000000-0005-0000-0000-0000E4500000}"/>
    <cellStyle name="Normal 2 6 2 7" xfId="17865" xr:uid="{00000000-0005-0000-0000-0000E5500000}"/>
    <cellStyle name="Normal 2 6 3" xfId="2857" xr:uid="{00000000-0005-0000-0000-0000E6500000}"/>
    <cellStyle name="Normal 2 6 3 2" xfId="8785" xr:uid="{00000000-0005-0000-0000-0000E7500000}"/>
    <cellStyle name="Normal 2 6 3 2 2" xfId="11004" xr:uid="{00000000-0005-0000-0000-0000E8500000}"/>
    <cellStyle name="Normal 2 6 3 2 2 2" xfId="21567" xr:uid="{00000000-0005-0000-0000-0000E9500000}"/>
    <cellStyle name="Normal 2 6 3 2 3" xfId="13223" xr:uid="{00000000-0005-0000-0000-0000EA500000}"/>
    <cellStyle name="Normal 2 6 3 2 3 2" xfId="23786" xr:uid="{00000000-0005-0000-0000-0000EB500000}"/>
    <cellStyle name="Normal 2 6 3 2 4" xfId="15442" xr:uid="{00000000-0005-0000-0000-0000EC500000}"/>
    <cellStyle name="Normal 2 6 3 2 4 2" xfId="26005" xr:uid="{00000000-0005-0000-0000-0000ED500000}"/>
    <cellStyle name="Normal 2 6 3 2 5" xfId="19348" xr:uid="{00000000-0005-0000-0000-0000EE500000}"/>
    <cellStyle name="Normal 2 6 3 3" xfId="8052" xr:uid="{00000000-0005-0000-0000-0000EF500000}"/>
    <cellStyle name="Normal 2 6 3 3 2" xfId="10271" xr:uid="{00000000-0005-0000-0000-0000F0500000}"/>
    <cellStyle name="Normal 2 6 3 3 2 2" xfId="20834" xr:uid="{00000000-0005-0000-0000-0000F1500000}"/>
    <cellStyle name="Normal 2 6 3 3 3" xfId="12490" xr:uid="{00000000-0005-0000-0000-0000F2500000}"/>
    <cellStyle name="Normal 2 6 3 3 3 2" xfId="23053" xr:uid="{00000000-0005-0000-0000-0000F3500000}"/>
    <cellStyle name="Normal 2 6 3 3 4" xfId="14709" xr:uid="{00000000-0005-0000-0000-0000F4500000}"/>
    <cellStyle name="Normal 2 6 3 3 4 2" xfId="25272" xr:uid="{00000000-0005-0000-0000-0000F5500000}"/>
    <cellStyle name="Normal 2 6 3 3 5" xfId="18615" xr:uid="{00000000-0005-0000-0000-0000F6500000}"/>
    <cellStyle name="Normal 2 6 3 4" xfId="9528" xr:uid="{00000000-0005-0000-0000-0000F7500000}"/>
    <cellStyle name="Normal 2 6 3 4 2" xfId="20091" xr:uid="{00000000-0005-0000-0000-0000F8500000}"/>
    <cellStyle name="Normal 2 6 3 5" xfId="11747" xr:uid="{00000000-0005-0000-0000-0000F9500000}"/>
    <cellStyle name="Normal 2 6 3 5 2" xfId="22310" xr:uid="{00000000-0005-0000-0000-0000FA500000}"/>
    <cellStyle name="Normal 2 6 3 6" xfId="13966" xr:uid="{00000000-0005-0000-0000-0000FB500000}"/>
    <cellStyle name="Normal 2 6 3 6 2" xfId="24529" xr:uid="{00000000-0005-0000-0000-0000FC500000}"/>
    <cellStyle name="Normal 2 6 3 7" xfId="17866" xr:uid="{00000000-0005-0000-0000-0000FD500000}"/>
    <cellStyle name="Normal 2 6 4" xfId="2858" xr:uid="{00000000-0005-0000-0000-0000FE500000}"/>
    <cellStyle name="Normal 2 6 4 2" xfId="8786" xr:uid="{00000000-0005-0000-0000-0000FF500000}"/>
    <cellStyle name="Normal 2 6 4 2 2" xfId="11005" xr:uid="{00000000-0005-0000-0000-000000510000}"/>
    <cellStyle name="Normal 2 6 4 2 2 2" xfId="21568" xr:uid="{00000000-0005-0000-0000-000001510000}"/>
    <cellStyle name="Normal 2 6 4 2 3" xfId="13224" xr:uid="{00000000-0005-0000-0000-000002510000}"/>
    <cellStyle name="Normal 2 6 4 2 3 2" xfId="23787" xr:uid="{00000000-0005-0000-0000-000003510000}"/>
    <cellStyle name="Normal 2 6 4 2 4" xfId="15443" xr:uid="{00000000-0005-0000-0000-000004510000}"/>
    <cellStyle name="Normal 2 6 4 2 4 2" xfId="26006" xr:uid="{00000000-0005-0000-0000-000005510000}"/>
    <cellStyle name="Normal 2 6 4 2 5" xfId="19349" xr:uid="{00000000-0005-0000-0000-000006510000}"/>
    <cellStyle name="Normal 2 6 4 3" xfId="8053" xr:uid="{00000000-0005-0000-0000-000007510000}"/>
    <cellStyle name="Normal 2 6 4 3 2" xfId="10272" xr:uid="{00000000-0005-0000-0000-000008510000}"/>
    <cellStyle name="Normal 2 6 4 3 2 2" xfId="20835" xr:uid="{00000000-0005-0000-0000-000009510000}"/>
    <cellStyle name="Normal 2 6 4 3 3" xfId="12491" xr:uid="{00000000-0005-0000-0000-00000A510000}"/>
    <cellStyle name="Normal 2 6 4 3 3 2" xfId="23054" xr:uid="{00000000-0005-0000-0000-00000B510000}"/>
    <cellStyle name="Normal 2 6 4 3 4" xfId="14710" xr:uid="{00000000-0005-0000-0000-00000C510000}"/>
    <cellStyle name="Normal 2 6 4 3 4 2" xfId="25273" xr:uid="{00000000-0005-0000-0000-00000D510000}"/>
    <cellStyle name="Normal 2 6 4 3 5" xfId="18616" xr:uid="{00000000-0005-0000-0000-00000E510000}"/>
    <cellStyle name="Normal 2 6 4 4" xfId="9529" xr:uid="{00000000-0005-0000-0000-00000F510000}"/>
    <cellStyle name="Normal 2 6 4 4 2" xfId="20092" xr:uid="{00000000-0005-0000-0000-000010510000}"/>
    <cellStyle name="Normal 2 6 4 5" xfId="11748" xr:uid="{00000000-0005-0000-0000-000011510000}"/>
    <cellStyle name="Normal 2 6 4 5 2" xfId="22311" xr:uid="{00000000-0005-0000-0000-000012510000}"/>
    <cellStyle name="Normal 2 6 4 6" xfId="13967" xr:uid="{00000000-0005-0000-0000-000013510000}"/>
    <cellStyle name="Normal 2 6 4 6 2" xfId="24530" xr:uid="{00000000-0005-0000-0000-000014510000}"/>
    <cellStyle name="Normal 2 6 4 7" xfId="17867" xr:uid="{00000000-0005-0000-0000-000015510000}"/>
    <cellStyle name="Normal 2 6 5" xfId="2859" xr:uid="{00000000-0005-0000-0000-000016510000}"/>
    <cellStyle name="Normal 2 6 5 2" xfId="8787" xr:uid="{00000000-0005-0000-0000-000017510000}"/>
    <cellStyle name="Normal 2 6 5 2 2" xfId="11006" xr:uid="{00000000-0005-0000-0000-000018510000}"/>
    <cellStyle name="Normal 2 6 5 2 2 2" xfId="21569" xr:uid="{00000000-0005-0000-0000-000019510000}"/>
    <cellStyle name="Normal 2 6 5 2 3" xfId="13225" xr:uid="{00000000-0005-0000-0000-00001A510000}"/>
    <cellStyle name="Normal 2 6 5 2 3 2" xfId="23788" xr:uid="{00000000-0005-0000-0000-00001B510000}"/>
    <cellStyle name="Normal 2 6 5 2 4" xfId="15444" xr:uid="{00000000-0005-0000-0000-00001C510000}"/>
    <cellStyle name="Normal 2 6 5 2 4 2" xfId="26007" xr:uid="{00000000-0005-0000-0000-00001D510000}"/>
    <cellStyle name="Normal 2 6 5 2 5" xfId="19350" xr:uid="{00000000-0005-0000-0000-00001E510000}"/>
    <cellStyle name="Normal 2 6 5 3" xfId="8054" xr:uid="{00000000-0005-0000-0000-00001F510000}"/>
    <cellStyle name="Normal 2 6 5 3 2" xfId="10273" xr:uid="{00000000-0005-0000-0000-000020510000}"/>
    <cellStyle name="Normal 2 6 5 3 2 2" xfId="20836" xr:uid="{00000000-0005-0000-0000-000021510000}"/>
    <cellStyle name="Normal 2 6 5 3 3" xfId="12492" xr:uid="{00000000-0005-0000-0000-000022510000}"/>
    <cellStyle name="Normal 2 6 5 3 3 2" xfId="23055" xr:uid="{00000000-0005-0000-0000-000023510000}"/>
    <cellStyle name="Normal 2 6 5 3 4" xfId="14711" xr:uid="{00000000-0005-0000-0000-000024510000}"/>
    <cellStyle name="Normal 2 6 5 3 4 2" xfId="25274" xr:uid="{00000000-0005-0000-0000-000025510000}"/>
    <cellStyle name="Normal 2 6 5 3 5" xfId="18617" xr:uid="{00000000-0005-0000-0000-000026510000}"/>
    <cellStyle name="Normal 2 6 5 4" xfId="9530" xr:uid="{00000000-0005-0000-0000-000027510000}"/>
    <cellStyle name="Normal 2 6 5 4 2" xfId="20093" xr:uid="{00000000-0005-0000-0000-000028510000}"/>
    <cellStyle name="Normal 2 6 5 5" xfId="11749" xr:uid="{00000000-0005-0000-0000-000029510000}"/>
    <cellStyle name="Normal 2 6 5 5 2" xfId="22312" xr:uid="{00000000-0005-0000-0000-00002A510000}"/>
    <cellStyle name="Normal 2 6 5 6" xfId="13968" xr:uid="{00000000-0005-0000-0000-00002B510000}"/>
    <cellStyle name="Normal 2 6 5 6 2" xfId="24531" xr:uid="{00000000-0005-0000-0000-00002C510000}"/>
    <cellStyle name="Normal 2 6 5 7" xfId="17868" xr:uid="{00000000-0005-0000-0000-00002D510000}"/>
    <cellStyle name="Normal 2 7" xfId="2860" xr:uid="{00000000-0005-0000-0000-00002E510000}"/>
    <cellStyle name="Normal 2 7 2" xfId="8788" xr:uid="{00000000-0005-0000-0000-00002F510000}"/>
    <cellStyle name="Normal 2 7 2 2" xfId="11007" xr:uid="{00000000-0005-0000-0000-000030510000}"/>
    <cellStyle name="Normal 2 7 2 2 2" xfId="21570" xr:uid="{00000000-0005-0000-0000-000031510000}"/>
    <cellStyle name="Normal 2 7 2 3" xfId="13226" xr:uid="{00000000-0005-0000-0000-000032510000}"/>
    <cellStyle name="Normal 2 7 2 3 2" xfId="23789" xr:uid="{00000000-0005-0000-0000-000033510000}"/>
    <cellStyle name="Normal 2 7 2 4" xfId="15445" xr:uid="{00000000-0005-0000-0000-000034510000}"/>
    <cellStyle name="Normal 2 7 2 4 2" xfId="26008" xr:uid="{00000000-0005-0000-0000-000035510000}"/>
    <cellStyle name="Normal 2 7 2 5" xfId="19351" xr:uid="{00000000-0005-0000-0000-000036510000}"/>
    <cellStyle name="Normal 2 7 3" xfId="8055" xr:uid="{00000000-0005-0000-0000-000037510000}"/>
    <cellStyle name="Normal 2 7 3 2" xfId="10274" xr:uid="{00000000-0005-0000-0000-000038510000}"/>
    <cellStyle name="Normal 2 7 3 2 2" xfId="20837" xr:uid="{00000000-0005-0000-0000-000039510000}"/>
    <cellStyle name="Normal 2 7 3 3" xfId="12493" xr:uid="{00000000-0005-0000-0000-00003A510000}"/>
    <cellStyle name="Normal 2 7 3 3 2" xfId="23056" xr:uid="{00000000-0005-0000-0000-00003B510000}"/>
    <cellStyle name="Normal 2 7 3 4" xfId="14712" xr:uid="{00000000-0005-0000-0000-00003C510000}"/>
    <cellStyle name="Normal 2 7 3 4 2" xfId="25275" xr:uid="{00000000-0005-0000-0000-00003D510000}"/>
    <cellStyle name="Normal 2 7 3 5" xfId="18618" xr:uid="{00000000-0005-0000-0000-00003E510000}"/>
    <cellStyle name="Normal 2 7 4" xfId="9531" xr:uid="{00000000-0005-0000-0000-00003F510000}"/>
    <cellStyle name="Normal 2 7 4 2" xfId="20094" xr:uid="{00000000-0005-0000-0000-000040510000}"/>
    <cellStyle name="Normal 2 7 5" xfId="11750" xr:uid="{00000000-0005-0000-0000-000041510000}"/>
    <cellStyle name="Normal 2 7 5 2" xfId="22313" xr:uid="{00000000-0005-0000-0000-000042510000}"/>
    <cellStyle name="Normal 2 7 6" xfId="13969" xr:uid="{00000000-0005-0000-0000-000043510000}"/>
    <cellStyle name="Normal 2 7 6 2" xfId="24532" xr:uid="{00000000-0005-0000-0000-000044510000}"/>
    <cellStyle name="Normal 2 7 7" xfId="17869" xr:uid="{00000000-0005-0000-0000-000045510000}"/>
    <cellStyle name="Normal 2 8" xfId="2861" xr:uid="{00000000-0005-0000-0000-000046510000}"/>
    <cellStyle name="Normal 2 8 2" xfId="8789" xr:uid="{00000000-0005-0000-0000-000047510000}"/>
    <cellStyle name="Normal 2 8 2 2" xfId="11008" xr:uid="{00000000-0005-0000-0000-000048510000}"/>
    <cellStyle name="Normal 2 8 2 2 2" xfId="21571" xr:uid="{00000000-0005-0000-0000-000049510000}"/>
    <cellStyle name="Normal 2 8 2 3" xfId="13227" xr:uid="{00000000-0005-0000-0000-00004A510000}"/>
    <cellStyle name="Normal 2 8 2 3 2" xfId="23790" xr:uid="{00000000-0005-0000-0000-00004B510000}"/>
    <cellStyle name="Normal 2 8 2 4" xfId="15446" xr:uid="{00000000-0005-0000-0000-00004C510000}"/>
    <cellStyle name="Normal 2 8 2 4 2" xfId="26009" xr:uid="{00000000-0005-0000-0000-00004D510000}"/>
    <cellStyle name="Normal 2 8 2 5" xfId="19352" xr:uid="{00000000-0005-0000-0000-00004E510000}"/>
    <cellStyle name="Normal 2 8 3" xfId="8056" xr:uid="{00000000-0005-0000-0000-00004F510000}"/>
    <cellStyle name="Normal 2 8 3 2" xfId="10275" xr:uid="{00000000-0005-0000-0000-000050510000}"/>
    <cellStyle name="Normal 2 8 3 2 2" xfId="20838" xr:uid="{00000000-0005-0000-0000-000051510000}"/>
    <cellStyle name="Normal 2 8 3 3" xfId="12494" xr:uid="{00000000-0005-0000-0000-000052510000}"/>
    <cellStyle name="Normal 2 8 3 3 2" xfId="23057" xr:uid="{00000000-0005-0000-0000-000053510000}"/>
    <cellStyle name="Normal 2 8 3 4" xfId="14713" xr:uid="{00000000-0005-0000-0000-000054510000}"/>
    <cellStyle name="Normal 2 8 3 4 2" xfId="25276" xr:uid="{00000000-0005-0000-0000-000055510000}"/>
    <cellStyle name="Normal 2 8 3 5" xfId="18619" xr:uid="{00000000-0005-0000-0000-000056510000}"/>
    <cellStyle name="Normal 2 8 4" xfId="9532" xr:uid="{00000000-0005-0000-0000-000057510000}"/>
    <cellStyle name="Normal 2 8 4 2" xfId="20095" xr:uid="{00000000-0005-0000-0000-000058510000}"/>
    <cellStyle name="Normal 2 8 5" xfId="11751" xr:uid="{00000000-0005-0000-0000-000059510000}"/>
    <cellStyle name="Normal 2 8 5 2" xfId="22314" xr:uid="{00000000-0005-0000-0000-00005A510000}"/>
    <cellStyle name="Normal 2 8 6" xfId="13970" xr:uid="{00000000-0005-0000-0000-00005B510000}"/>
    <cellStyle name="Normal 2 8 6 2" xfId="24533" xr:uid="{00000000-0005-0000-0000-00005C510000}"/>
    <cellStyle name="Normal 2 8 7" xfId="17870" xr:uid="{00000000-0005-0000-0000-00005D510000}"/>
    <cellStyle name="Normal 2 9" xfId="2862" xr:uid="{00000000-0005-0000-0000-00005E510000}"/>
    <cellStyle name="Normal 2 9 2" xfId="8790" xr:uid="{00000000-0005-0000-0000-00005F510000}"/>
    <cellStyle name="Normal 2 9 2 2" xfId="11009" xr:uid="{00000000-0005-0000-0000-000060510000}"/>
    <cellStyle name="Normal 2 9 2 2 2" xfId="21572" xr:uid="{00000000-0005-0000-0000-000061510000}"/>
    <cellStyle name="Normal 2 9 2 3" xfId="13228" xr:uid="{00000000-0005-0000-0000-000062510000}"/>
    <cellStyle name="Normal 2 9 2 3 2" xfId="23791" xr:uid="{00000000-0005-0000-0000-000063510000}"/>
    <cellStyle name="Normal 2 9 2 4" xfId="15447" xr:uid="{00000000-0005-0000-0000-000064510000}"/>
    <cellStyle name="Normal 2 9 2 4 2" xfId="26010" xr:uid="{00000000-0005-0000-0000-000065510000}"/>
    <cellStyle name="Normal 2 9 2 5" xfId="19353" xr:uid="{00000000-0005-0000-0000-000066510000}"/>
    <cellStyle name="Normal 2 9 3" xfId="8057" xr:uid="{00000000-0005-0000-0000-000067510000}"/>
    <cellStyle name="Normal 2 9 3 2" xfId="10276" xr:uid="{00000000-0005-0000-0000-000068510000}"/>
    <cellStyle name="Normal 2 9 3 2 2" xfId="20839" xr:uid="{00000000-0005-0000-0000-000069510000}"/>
    <cellStyle name="Normal 2 9 3 3" xfId="12495" xr:uid="{00000000-0005-0000-0000-00006A510000}"/>
    <cellStyle name="Normal 2 9 3 3 2" xfId="23058" xr:uid="{00000000-0005-0000-0000-00006B510000}"/>
    <cellStyle name="Normal 2 9 3 4" xfId="14714" xr:uid="{00000000-0005-0000-0000-00006C510000}"/>
    <cellStyle name="Normal 2 9 3 4 2" xfId="25277" xr:uid="{00000000-0005-0000-0000-00006D510000}"/>
    <cellStyle name="Normal 2 9 3 5" xfId="18620" xr:uid="{00000000-0005-0000-0000-00006E510000}"/>
    <cellStyle name="Normal 2 9 4" xfId="9533" xr:uid="{00000000-0005-0000-0000-00006F510000}"/>
    <cellStyle name="Normal 2 9 4 2" xfId="20096" xr:uid="{00000000-0005-0000-0000-000070510000}"/>
    <cellStyle name="Normal 2 9 5" xfId="11752" xr:uid="{00000000-0005-0000-0000-000071510000}"/>
    <cellStyle name="Normal 2 9 5 2" xfId="22315" xr:uid="{00000000-0005-0000-0000-000072510000}"/>
    <cellStyle name="Normal 2 9 6" xfId="13971" xr:uid="{00000000-0005-0000-0000-000073510000}"/>
    <cellStyle name="Normal 2 9 6 2" xfId="24534" xr:uid="{00000000-0005-0000-0000-000074510000}"/>
    <cellStyle name="Normal 2 9 7" xfId="17871" xr:uid="{00000000-0005-0000-0000-000075510000}"/>
    <cellStyle name="Normal 2_Menu" xfId="63" xr:uid="{00000000-0005-0000-0000-000076510000}"/>
    <cellStyle name="Normal 20" xfId="2863" xr:uid="{00000000-0005-0000-0000-000077510000}"/>
    <cellStyle name="Normal 20 2" xfId="8791" xr:uid="{00000000-0005-0000-0000-000078510000}"/>
    <cellStyle name="Normal 20 2 2" xfId="11010" xr:uid="{00000000-0005-0000-0000-000079510000}"/>
    <cellStyle name="Normal 20 2 2 2" xfId="21573" xr:uid="{00000000-0005-0000-0000-00007A510000}"/>
    <cellStyle name="Normal 20 2 3" xfId="13229" xr:uid="{00000000-0005-0000-0000-00007B510000}"/>
    <cellStyle name="Normal 20 2 3 2" xfId="23792" xr:uid="{00000000-0005-0000-0000-00007C510000}"/>
    <cellStyle name="Normal 20 2 4" xfId="15448" xr:uid="{00000000-0005-0000-0000-00007D510000}"/>
    <cellStyle name="Normal 20 2 4 2" xfId="26011" xr:uid="{00000000-0005-0000-0000-00007E510000}"/>
    <cellStyle name="Normal 20 2 5" xfId="19354" xr:uid="{00000000-0005-0000-0000-00007F510000}"/>
    <cellStyle name="Normal 20 3" xfId="8058" xr:uid="{00000000-0005-0000-0000-000080510000}"/>
    <cellStyle name="Normal 20 3 2" xfId="10277" xr:uid="{00000000-0005-0000-0000-000081510000}"/>
    <cellStyle name="Normal 20 3 2 2" xfId="20840" xr:uid="{00000000-0005-0000-0000-000082510000}"/>
    <cellStyle name="Normal 20 3 3" xfId="12496" xr:uid="{00000000-0005-0000-0000-000083510000}"/>
    <cellStyle name="Normal 20 3 3 2" xfId="23059" xr:uid="{00000000-0005-0000-0000-000084510000}"/>
    <cellStyle name="Normal 20 3 4" xfId="14715" xr:uid="{00000000-0005-0000-0000-000085510000}"/>
    <cellStyle name="Normal 20 3 4 2" xfId="25278" xr:uid="{00000000-0005-0000-0000-000086510000}"/>
    <cellStyle name="Normal 20 3 5" xfId="18621" xr:uid="{00000000-0005-0000-0000-000087510000}"/>
    <cellStyle name="Normal 20 4" xfId="9534" xr:uid="{00000000-0005-0000-0000-000088510000}"/>
    <cellStyle name="Normal 20 4 2" xfId="20097" xr:uid="{00000000-0005-0000-0000-000089510000}"/>
    <cellStyle name="Normal 20 5" xfId="11753" xr:uid="{00000000-0005-0000-0000-00008A510000}"/>
    <cellStyle name="Normal 20 5 2" xfId="22316" xr:uid="{00000000-0005-0000-0000-00008B510000}"/>
    <cellStyle name="Normal 20 6" xfId="13972" xr:uid="{00000000-0005-0000-0000-00008C510000}"/>
    <cellStyle name="Normal 20 6 2" xfId="24535" xr:uid="{00000000-0005-0000-0000-00008D510000}"/>
    <cellStyle name="Normal 20 7" xfId="17872" xr:uid="{00000000-0005-0000-0000-00008E510000}"/>
    <cellStyle name="Normal 21" xfId="2864" xr:uid="{00000000-0005-0000-0000-00008F510000}"/>
    <cellStyle name="Normal 21 2" xfId="8792" xr:uid="{00000000-0005-0000-0000-000090510000}"/>
    <cellStyle name="Normal 21 2 2" xfId="11011" xr:uid="{00000000-0005-0000-0000-000091510000}"/>
    <cellStyle name="Normal 21 2 2 2" xfId="21574" xr:uid="{00000000-0005-0000-0000-000092510000}"/>
    <cellStyle name="Normal 21 2 3" xfId="13230" xr:uid="{00000000-0005-0000-0000-000093510000}"/>
    <cellStyle name="Normal 21 2 3 2" xfId="23793" xr:uid="{00000000-0005-0000-0000-000094510000}"/>
    <cellStyle name="Normal 21 2 4" xfId="15449" xr:uid="{00000000-0005-0000-0000-000095510000}"/>
    <cellStyle name="Normal 21 2 4 2" xfId="26012" xr:uid="{00000000-0005-0000-0000-000096510000}"/>
    <cellStyle name="Normal 21 2 5" xfId="19355" xr:uid="{00000000-0005-0000-0000-000097510000}"/>
    <cellStyle name="Normal 21 3" xfId="8059" xr:uid="{00000000-0005-0000-0000-000098510000}"/>
    <cellStyle name="Normal 21 3 2" xfId="10278" xr:uid="{00000000-0005-0000-0000-000099510000}"/>
    <cellStyle name="Normal 21 3 2 2" xfId="20841" xr:uid="{00000000-0005-0000-0000-00009A510000}"/>
    <cellStyle name="Normal 21 3 3" xfId="12497" xr:uid="{00000000-0005-0000-0000-00009B510000}"/>
    <cellStyle name="Normal 21 3 3 2" xfId="23060" xr:uid="{00000000-0005-0000-0000-00009C510000}"/>
    <cellStyle name="Normal 21 3 4" xfId="14716" xr:uid="{00000000-0005-0000-0000-00009D510000}"/>
    <cellStyle name="Normal 21 3 4 2" xfId="25279" xr:uid="{00000000-0005-0000-0000-00009E510000}"/>
    <cellStyle name="Normal 21 3 5" xfId="18622" xr:uid="{00000000-0005-0000-0000-00009F510000}"/>
    <cellStyle name="Normal 21 4" xfId="9535" xr:uid="{00000000-0005-0000-0000-0000A0510000}"/>
    <cellStyle name="Normal 21 4 2" xfId="20098" xr:uid="{00000000-0005-0000-0000-0000A1510000}"/>
    <cellStyle name="Normal 21 5" xfId="11754" xr:uid="{00000000-0005-0000-0000-0000A2510000}"/>
    <cellStyle name="Normal 21 5 2" xfId="22317" xr:uid="{00000000-0005-0000-0000-0000A3510000}"/>
    <cellStyle name="Normal 21 6" xfId="13973" xr:uid="{00000000-0005-0000-0000-0000A4510000}"/>
    <cellStyle name="Normal 21 6 2" xfId="24536" xr:uid="{00000000-0005-0000-0000-0000A5510000}"/>
    <cellStyle name="Normal 21 7" xfId="17873" xr:uid="{00000000-0005-0000-0000-0000A6510000}"/>
    <cellStyle name="Normal 22" xfId="2865" xr:uid="{00000000-0005-0000-0000-0000A7510000}"/>
    <cellStyle name="Normal 23" xfId="37" xr:uid="{00000000-0005-0000-0000-0000A8510000}"/>
    <cellStyle name="Normal 24" xfId="3932" xr:uid="{00000000-0005-0000-0000-0000A9510000}"/>
    <cellStyle name="Normal 25" xfId="27218" xr:uid="{00000000-0005-0000-0000-0000AA510000}"/>
    <cellStyle name="Normal 26" xfId="27219" xr:uid="{00000000-0005-0000-0000-0000AB510000}"/>
    <cellStyle name="Normal 27" xfId="27229" xr:uid="{00000000-0005-0000-0000-0000AC510000}"/>
    <cellStyle name="Normal 28" xfId="27235" xr:uid="{00000000-0005-0000-0000-0000AD510000}"/>
    <cellStyle name="Normal 29" xfId="27223" xr:uid="{00000000-0005-0000-0000-0000AE510000}"/>
    <cellStyle name="Normal 29 2" xfId="27227" xr:uid="{00000000-0005-0000-0000-0000AF510000}"/>
    <cellStyle name="Normal 29 3" xfId="27250" xr:uid="{00000000-0005-0000-0000-0000B0510000}"/>
    <cellStyle name="Normal 29 3 2" xfId="27253" xr:uid="{00000000-0005-0000-0000-0000B1510000}"/>
    <cellStyle name="Normal 3" xfId="17890" xr:uid="{00000000-0005-0000-0000-0000B2510000}"/>
    <cellStyle name="Normal 3 10" xfId="9552" xr:uid="{00000000-0005-0000-0000-0000B3510000}"/>
    <cellStyle name="Normal 3 10 2" xfId="20115" xr:uid="{00000000-0005-0000-0000-0000B4510000}"/>
    <cellStyle name="Normal 3 11" xfId="11771" xr:uid="{00000000-0005-0000-0000-0000B5510000}"/>
    <cellStyle name="Normal 3 11 2" xfId="22334" xr:uid="{00000000-0005-0000-0000-0000B6510000}"/>
    <cellStyle name="Normal 3 12" xfId="13990" xr:uid="{00000000-0005-0000-0000-0000B7510000}"/>
    <cellStyle name="Normal 3 12 2" xfId="24553" xr:uid="{00000000-0005-0000-0000-0000B8510000}"/>
    <cellStyle name="Normal 3 13" xfId="3933" xr:uid="{00000000-0005-0000-0000-0000B9510000}"/>
    <cellStyle name="Normal 3 2" xfId="33" xr:uid="{00000000-0005-0000-0000-0000BA510000}"/>
    <cellStyle name="Normal 3 2 2" xfId="2866" xr:uid="{00000000-0005-0000-0000-0000BB510000}"/>
    <cellStyle name="Normal 3 2 3" xfId="64" xr:uid="{00000000-0005-0000-0000-0000BC510000}"/>
    <cellStyle name="Normal 3 3" xfId="65" xr:uid="{00000000-0005-0000-0000-0000BD510000}"/>
    <cellStyle name="Normal 3 3 2" xfId="2867" xr:uid="{00000000-0005-0000-0000-0000BE510000}"/>
    <cellStyle name="Normal 3 4" xfId="66" xr:uid="{00000000-0005-0000-0000-0000BF510000}"/>
    <cellStyle name="Normal 3 4 2" xfId="4108" xr:uid="{00000000-0005-0000-0000-0000C0510000}"/>
    <cellStyle name="Normal 3 5" xfId="2868" xr:uid="{00000000-0005-0000-0000-0000C1510000}"/>
    <cellStyle name="Normal 3 6" xfId="2869" xr:uid="{00000000-0005-0000-0000-0000C2510000}"/>
    <cellStyle name="Normal 3 7" xfId="38" xr:uid="{00000000-0005-0000-0000-0000C3510000}"/>
    <cellStyle name="Normal 3 8" xfId="8809" xr:uid="{00000000-0005-0000-0000-0000C4510000}"/>
    <cellStyle name="Normal 3 8 2" xfId="11028" xr:uid="{00000000-0005-0000-0000-0000C5510000}"/>
    <cellStyle name="Normal 3 8 2 2" xfId="21591" xr:uid="{00000000-0005-0000-0000-0000C6510000}"/>
    <cellStyle name="Normal 3 8 3" xfId="13247" xr:uid="{00000000-0005-0000-0000-0000C7510000}"/>
    <cellStyle name="Normal 3 8 3 2" xfId="23810" xr:uid="{00000000-0005-0000-0000-0000C8510000}"/>
    <cellStyle name="Normal 3 8 4" xfId="15466" xr:uid="{00000000-0005-0000-0000-0000C9510000}"/>
    <cellStyle name="Normal 3 8 4 2" xfId="26029" xr:uid="{00000000-0005-0000-0000-0000CA510000}"/>
    <cellStyle name="Normal 3 8 5" xfId="19372" xr:uid="{00000000-0005-0000-0000-0000CB510000}"/>
    <cellStyle name="Normal 3 9" xfId="8076" xr:uid="{00000000-0005-0000-0000-0000CC510000}"/>
    <cellStyle name="Normal 3 9 2" xfId="10295" xr:uid="{00000000-0005-0000-0000-0000CD510000}"/>
    <cellStyle name="Normal 3 9 2 2" xfId="20858" xr:uid="{00000000-0005-0000-0000-0000CE510000}"/>
    <cellStyle name="Normal 3 9 3" xfId="12514" xr:uid="{00000000-0005-0000-0000-0000CF510000}"/>
    <cellStyle name="Normal 3 9 3 2" xfId="23077" xr:uid="{00000000-0005-0000-0000-0000D0510000}"/>
    <cellStyle name="Normal 3 9 4" xfId="14733" xr:uid="{00000000-0005-0000-0000-0000D1510000}"/>
    <cellStyle name="Normal 3 9 4 2" xfId="25296" xr:uid="{00000000-0005-0000-0000-0000D2510000}"/>
    <cellStyle name="Normal 3 9 5" xfId="18639" xr:uid="{00000000-0005-0000-0000-0000D3510000}"/>
    <cellStyle name="Normal 3_Car cost for GMM" xfId="17896" xr:uid="{00000000-0005-0000-0000-0000D4510000}"/>
    <cellStyle name="Normal 30" xfId="27224" xr:uid="{00000000-0005-0000-0000-0000D5510000}"/>
    <cellStyle name="Normal 31" xfId="27225" xr:uid="{00000000-0005-0000-0000-0000D6510000}"/>
    <cellStyle name="Normal 32" xfId="27239" xr:uid="{00000000-0005-0000-0000-0000D7510000}"/>
    <cellStyle name="Normal 33" xfId="27241" xr:uid="{00000000-0005-0000-0000-0000D8510000}"/>
    <cellStyle name="Normal 33 2" xfId="27255" xr:uid="{4BF4248F-B2A6-4B5C-965C-7104D5BF950C}"/>
    <cellStyle name="Normal 34" xfId="27242" xr:uid="{00000000-0005-0000-0000-0000D9510000}"/>
    <cellStyle name="Normal 34 2" xfId="27243" xr:uid="{00000000-0005-0000-0000-0000DA510000}"/>
    <cellStyle name="Normal 35" xfId="27248" xr:uid="{00000000-0005-0000-0000-0000DB510000}"/>
    <cellStyle name="Normal 35 2" xfId="27252" xr:uid="{00000000-0005-0000-0000-0000DC510000}"/>
    <cellStyle name="Normal 4" xfId="7" xr:uid="{00000000-0005-0000-0000-0000DD510000}"/>
    <cellStyle name="Normal 4 10" xfId="27246" xr:uid="{00000000-0005-0000-0000-0000DE510000}"/>
    <cellStyle name="Normal 4 2" xfId="8" xr:uid="{00000000-0005-0000-0000-0000DF510000}"/>
    <cellStyle name="Normal 4 2 2" xfId="69" xr:uid="{00000000-0005-0000-0000-0000E0510000}"/>
    <cellStyle name="Normal 4 2 2 2" xfId="15995" xr:uid="{00000000-0005-0000-0000-0000E1510000}"/>
    <cellStyle name="Normal 4 2 3" xfId="68" xr:uid="{00000000-0005-0000-0000-0000E2510000}"/>
    <cellStyle name="Normal 4 3" xfId="2870" xr:uid="{00000000-0005-0000-0000-0000E3510000}"/>
    <cellStyle name="Normal 4 3 2" xfId="4109" xr:uid="{00000000-0005-0000-0000-0000E4510000}"/>
    <cellStyle name="Normal 4 3 3" xfId="8793" xr:uid="{00000000-0005-0000-0000-0000E5510000}"/>
    <cellStyle name="Normal 4 3 3 2" xfId="11012" xr:uid="{00000000-0005-0000-0000-0000E6510000}"/>
    <cellStyle name="Normal 4 3 3 2 2" xfId="21575" xr:uid="{00000000-0005-0000-0000-0000E7510000}"/>
    <cellStyle name="Normal 4 3 3 3" xfId="13231" xr:uid="{00000000-0005-0000-0000-0000E8510000}"/>
    <cellStyle name="Normal 4 3 3 3 2" xfId="23794" xr:uid="{00000000-0005-0000-0000-0000E9510000}"/>
    <cellStyle name="Normal 4 3 3 4" xfId="15450" xr:uid="{00000000-0005-0000-0000-0000EA510000}"/>
    <cellStyle name="Normal 4 3 3 4 2" xfId="26013" xr:uid="{00000000-0005-0000-0000-0000EB510000}"/>
    <cellStyle name="Normal 4 3 3 5" xfId="19356" xr:uid="{00000000-0005-0000-0000-0000EC510000}"/>
    <cellStyle name="Normal 4 3 4" xfId="8060" xr:uid="{00000000-0005-0000-0000-0000ED510000}"/>
    <cellStyle name="Normal 4 3 4 2" xfId="10279" xr:uid="{00000000-0005-0000-0000-0000EE510000}"/>
    <cellStyle name="Normal 4 3 4 2 2" xfId="20842" xr:uid="{00000000-0005-0000-0000-0000EF510000}"/>
    <cellStyle name="Normal 4 3 4 3" xfId="12498" xr:uid="{00000000-0005-0000-0000-0000F0510000}"/>
    <cellStyle name="Normal 4 3 4 3 2" xfId="23061" xr:uid="{00000000-0005-0000-0000-0000F1510000}"/>
    <cellStyle name="Normal 4 3 4 4" xfId="14717" xr:uid="{00000000-0005-0000-0000-0000F2510000}"/>
    <cellStyle name="Normal 4 3 4 4 2" xfId="25280" xr:uid="{00000000-0005-0000-0000-0000F3510000}"/>
    <cellStyle name="Normal 4 3 4 5" xfId="18623" xr:uid="{00000000-0005-0000-0000-0000F4510000}"/>
    <cellStyle name="Normal 4 3 5" xfId="9536" xr:uid="{00000000-0005-0000-0000-0000F5510000}"/>
    <cellStyle name="Normal 4 3 5 2" xfId="20099" xr:uid="{00000000-0005-0000-0000-0000F6510000}"/>
    <cellStyle name="Normal 4 3 6" xfId="11755" xr:uid="{00000000-0005-0000-0000-0000F7510000}"/>
    <cellStyle name="Normal 4 3 6 2" xfId="22318" xr:uid="{00000000-0005-0000-0000-0000F8510000}"/>
    <cellStyle name="Normal 4 3 7" xfId="13974" xr:uid="{00000000-0005-0000-0000-0000F9510000}"/>
    <cellStyle name="Normal 4 3 7 2" xfId="24537" xr:uid="{00000000-0005-0000-0000-0000FA510000}"/>
    <cellStyle name="Normal 4 3 8" xfId="17874" xr:uid="{00000000-0005-0000-0000-0000FB510000}"/>
    <cellStyle name="Normal 4 4" xfId="2871" xr:uid="{00000000-0005-0000-0000-0000FC510000}"/>
    <cellStyle name="Normal 4 4 2" xfId="4110" xr:uid="{00000000-0005-0000-0000-0000FD510000}"/>
    <cellStyle name="Normal 4 4 3" xfId="8794" xr:uid="{00000000-0005-0000-0000-0000FE510000}"/>
    <cellStyle name="Normal 4 4 3 2" xfId="11013" xr:uid="{00000000-0005-0000-0000-0000FF510000}"/>
    <cellStyle name="Normal 4 4 3 2 2" xfId="21576" xr:uid="{00000000-0005-0000-0000-000000520000}"/>
    <cellStyle name="Normal 4 4 3 3" xfId="13232" xr:uid="{00000000-0005-0000-0000-000001520000}"/>
    <cellStyle name="Normal 4 4 3 3 2" xfId="23795" xr:uid="{00000000-0005-0000-0000-000002520000}"/>
    <cellStyle name="Normal 4 4 3 4" xfId="15451" xr:uid="{00000000-0005-0000-0000-000003520000}"/>
    <cellStyle name="Normal 4 4 3 4 2" xfId="26014" xr:uid="{00000000-0005-0000-0000-000004520000}"/>
    <cellStyle name="Normal 4 4 3 5" xfId="19357" xr:uid="{00000000-0005-0000-0000-000005520000}"/>
    <cellStyle name="Normal 4 4 4" xfId="8061" xr:uid="{00000000-0005-0000-0000-000006520000}"/>
    <cellStyle name="Normal 4 4 4 2" xfId="10280" xr:uid="{00000000-0005-0000-0000-000007520000}"/>
    <cellStyle name="Normal 4 4 4 2 2" xfId="20843" xr:uid="{00000000-0005-0000-0000-000008520000}"/>
    <cellStyle name="Normal 4 4 4 3" xfId="12499" xr:uid="{00000000-0005-0000-0000-000009520000}"/>
    <cellStyle name="Normal 4 4 4 3 2" xfId="23062" xr:uid="{00000000-0005-0000-0000-00000A520000}"/>
    <cellStyle name="Normal 4 4 4 4" xfId="14718" xr:uid="{00000000-0005-0000-0000-00000B520000}"/>
    <cellStyle name="Normal 4 4 4 4 2" xfId="25281" xr:uid="{00000000-0005-0000-0000-00000C520000}"/>
    <cellStyle name="Normal 4 4 4 5" xfId="18624" xr:uid="{00000000-0005-0000-0000-00000D520000}"/>
    <cellStyle name="Normal 4 4 5" xfId="9537" xr:uid="{00000000-0005-0000-0000-00000E520000}"/>
    <cellStyle name="Normal 4 4 5 2" xfId="20100" xr:uid="{00000000-0005-0000-0000-00000F520000}"/>
    <cellStyle name="Normal 4 4 6" xfId="11756" xr:uid="{00000000-0005-0000-0000-000010520000}"/>
    <cellStyle name="Normal 4 4 6 2" xfId="22319" xr:uid="{00000000-0005-0000-0000-000011520000}"/>
    <cellStyle name="Normal 4 4 7" xfId="13975" xr:uid="{00000000-0005-0000-0000-000012520000}"/>
    <cellStyle name="Normal 4 4 7 2" xfId="24538" xr:uid="{00000000-0005-0000-0000-000013520000}"/>
    <cellStyle name="Normal 4 4 8" xfId="17875" xr:uid="{00000000-0005-0000-0000-000014520000}"/>
    <cellStyle name="Normal 4 5" xfId="2872" xr:uid="{00000000-0005-0000-0000-000015520000}"/>
    <cellStyle name="Normal 4 5 2" xfId="8795" xr:uid="{00000000-0005-0000-0000-000016520000}"/>
    <cellStyle name="Normal 4 5 2 2" xfId="11014" xr:uid="{00000000-0005-0000-0000-000017520000}"/>
    <cellStyle name="Normal 4 5 2 2 2" xfId="21577" xr:uid="{00000000-0005-0000-0000-000018520000}"/>
    <cellStyle name="Normal 4 5 2 3" xfId="13233" xr:uid="{00000000-0005-0000-0000-000019520000}"/>
    <cellStyle name="Normal 4 5 2 3 2" xfId="23796" xr:uid="{00000000-0005-0000-0000-00001A520000}"/>
    <cellStyle name="Normal 4 5 2 4" xfId="15452" xr:uid="{00000000-0005-0000-0000-00001B520000}"/>
    <cellStyle name="Normal 4 5 2 4 2" xfId="26015" xr:uid="{00000000-0005-0000-0000-00001C520000}"/>
    <cellStyle name="Normal 4 5 2 5" xfId="19358" xr:uid="{00000000-0005-0000-0000-00001D520000}"/>
    <cellStyle name="Normal 4 5 3" xfId="8062" xr:uid="{00000000-0005-0000-0000-00001E520000}"/>
    <cellStyle name="Normal 4 5 3 2" xfId="10281" xr:uid="{00000000-0005-0000-0000-00001F520000}"/>
    <cellStyle name="Normal 4 5 3 2 2" xfId="20844" xr:uid="{00000000-0005-0000-0000-000020520000}"/>
    <cellStyle name="Normal 4 5 3 3" xfId="12500" xr:uid="{00000000-0005-0000-0000-000021520000}"/>
    <cellStyle name="Normal 4 5 3 3 2" xfId="23063" xr:uid="{00000000-0005-0000-0000-000022520000}"/>
    <cellStyle name="Normal 4 5 3 4" xfId="14719" xr:uid="{00000000-0005-0000-0000-000023520000}"/>
    <cellStyle name="Normal 4 5 3 4 2" xfId="25282" xr:uid="{00000000-0005-0000-0000-000024520000}"/>
    <cellStyle name="Normal 4 5 3 5" xfId="18625" xr:uid="{00000000-0005-0000-0000-000025520000}"/>
    <cellStyle name="Normal 4 5 4" xfId="9538" xr:uid="{00000000-0005-0000-0000-000026520000}"/>
    <cellStyle name="Normal 4 5 4 2" xfId="20101" xr:uid="{00000000-0005-0000-0000-000027520000}"/>
    <cellStyle name="Normal 4 5 5" xfId="11757" xr:uid="{00000000-0005-0000-0000-000028520000}"/>
    <cellStyle name="Normal 4 5 5 2" xfId="22320" xr:uid="{00000000-0005-0000-0000-000029520000}"/>
    <cellStyle name="Normal 4 5 6" xfId="13976" xr:uid="{00000000-0005-0000-0000-00002A520000}"/>
    <cellStyle name="Normal 4 5 6 2" xfId="24539" xr:uid="{00000000-0005-0000-0000-00002B520000}"/>
    <cellStyle name="Normal 4 5 7" xfId="15994" xr:uid="{00000000-0005-0000-0000-00002C520000}"/>
    <cellStyle name="Normal 4 5 8" xfId="17876" xr:uid="{00000000-0005-0000-0000-00002D520000}"/>
    <cellStyle name="Normal 4 6" xfId="67" xr:uid="{00000000-0005-0000-0000-00002E520000}"/>
    <cellStyle name="Normal 4 7" xfId="27233" xr:uid="{00000000-0005-0000-0000-00002F520000}"/>
    <cellStyle name="Normal 4_AFs" xfId="17897" xr:uid="{00000000-0005-0000-0000-000030520000}"/>
    <cellStyle name="Normal 40" xfId="27254" xr:uid="{96BEDE71-B473-42F5-8523-3E880B8EE39A}"/>
    <cellStyle name="Normal 5" xfId="17898" xr:uid="{00000000-0005-0000-0000-000031520000}"/>
    <cellStyle name="Normal 5 10" xfId="70" xr:uid="{00000000-0005-0000-0000-000032520000}"/>
    <cellStyle name="Normal 5 11" xfId="4111" xr:uid="{00000000-0005-0000-0000-000033520000}"/>
    <cellStyle name="Normal 5 2" xfId="2873" xr:uid="{00000000-0005-0000-0000-000034520000}"/>
    <cellStyle name="Normal 5 2 2" xfId="2874" xr:uid="{00000000-0005-0000-0000-000035520000}"/>
    <cellStyle name="Normal 5 2 2 2" xfId="8796" xr:uid="{00000000-0005-0000-0000-000036520000}"/>
    <cellStyle name="Normal 5 2 2 2 2" xfId="11015" xr:uid="{00000000-0005-0000-0000-000037520000}"/>
    <cellStyle name="Normal 5 2 2 2 2 2" xfId="21578" xr:uid="{00000000-0005-0000-0000-000038520000}"/>
    <cellStyle name="Normal 5 2 2 2 3" xfId="13234" xr:uid="{00000000-0005-0000-0000-000039520000}"/>
    <cellStyle name="Normal 5 2 2 2 3 2" xfId="23797" xr:uid="{00000000-0005-0000-0000-00003A520000}"/>
    <cellStyle name="Normal 5 2 2 2 4" xfId="15453" xr:uid="{00000000-0005-0000-0000-00003B520000}"/>
    <cellStyle name="Normal 5 2 2 2 4 2" xfId="26016" xr:uid="{00000000-0005-0000-0000-00003C520000}"/>
    <cellStyle name="Normal 5 2 2 2 5" xfId="19359" xr:uid="{00000000-0005-0000-0000-00003D520000}"/>
    <cellStyle name="Normal 5 2 2 3" xfId="8063" xr:uid="{00000000-0005-0000-0000-00003E520000}"/>
    <cellStyle name="Normal 5 2 2 3 2" xfId="10282" xr:uid="{00000000-0005-0000-0000-00003F520000}"/>
    <cellStyle name="Normal 5 2 2 3 2 2" xfId="20845" xr:uid="{00000000-0005-0000-0000-000040520000}"/>
    <cellStyle name="Normal 5 2 2 3 3" xfId="12501" xr:uid="{00000000-0005-0000-0000-000041520000}"/>
    <cellStyle name="Normal 5 2 2 3 3 2" xfId="23064" xr:uid="{00000000-0005-0000-0000-000042520000}"/>
    <cellStyle name="Normal 5 2 2 3 4" xfId="14720" xr:uid="{00000000-0005-0000-0000-000043520000}"/>
    <cellStyle name="Normal 5 2 2 3 4 2" xfId="25283" xr:uid="{00000000-0005-0000-0000-000044520000}"/>
    <cellStyle name="Normal 5 2 2 3 5" xfId="18626" xr:uid="{00000000-0005-0000-0000-000045520000}"/>
    <cellStyle name="Normal 5 2 2 4" xfId="9539" xr:uid="{00000000-0005-0000-0000-000046520000}"/>
    <cellStyle name="Normal 5 2 2 4 2" xfId="20102" xr:uid="{00000000-0005-0000-0000-000047520000}"/>
    <cellStyle name="Normal 5 2 2 5" xfId="11758" xr:uid="{00000000-0005-0000-0000-000048520000}"/>
    <cellStyle name="Normal 5 2 2 5 2" xfId="22321" xr:uid="{00000000-0005-0000-0000-000049520000}"/>
    <cellStyle name="Normal 5 2 2 6" xfId="13977" xr:uid="{00000000-0005-0000-0000-00004A520000}"/>
    <cellStyle name="Normal 5 2 2 6 2" xfId="24540" xr:uid="{00000000-0005-0000-0000-00004B520000}"/>
    <cellStyle name="Normal 5 2 2 7" xfId="15993" xr:uid="{00000000-0005-0000-0000-00004C520000}"/>
    <cellStyle name="Normal 5 2 2 8" xfId="17877" xr:uid="{00000000-0005-0000-0000-00004D520000}"/>
    <cellStyle name="Normal 5 2 3" xfId="2875" xr:uid="{00000000-0005-0000-0000-00004E520000}"/>
    <cellStyle name="Normal 5 2 3 2" xfId="8797" xr:uid="{00000000-0005-0000-0000-00004F520000}"/>
    <cellStyle name="Normal 5 2 3 2 2" xfId="11016" xr:uid="{00000000-0005-0000-0000-000050520000}"/>
    <cellStyle name="Normal 5 2 3 2 2 2" xfId="21579" xr:uid="{00000000-0005-0000-0000-000051520000}"/>
    <cellStyle name="Normal 5 2 3 2 3" xfId="13235" xr:uid="{00000000-0005-0000-0000-000052520000}"/>
    <cellStyle name="Normal 5 2 3 2 3 2" xfId="23798" xr:uid="{00000000-0005-0000-0000-000053520000}"/>
    <cellStyle name="Normal 5 2 3 2 4" xfId="15454" xr:uid="{00000000-0005-0000-0000-000054520000}"/>
    <cellStyle name="Normal 5 2 3 2 4 2" xfId="26017" xr:uid="{00000000-0005-0000-0000-000055520000}"/>
    <cellStyle name="Normal 5 2 3 2 5" xfId="19360" xr:uid="{00000000-0005-0000-0000-000056520000}"/>
    <cellStyle name="Normal 5 2 3 3" xfId="8064" xr:uid="{00000000-0005-0000-0000-000057520000}"/>
    <cellStyle name="Normal 5 2 3 3 2" xfId="10283" xr:uid="{00000000-0005-0000-0000-000058520000}"/>
    <cellStyle name="Normal 5 2 3 3 2 2" xfId="20846" xr:uid="{00000000-0005-0000-0000-000059520000}"/>
    <cellStyle name="Normal 5 2 3 3 3" xfId="12502" xr:uid="{00000000-0005-0000-0000-00005A520000}"/>
    <cellStyle name="Normal 5 2 3 3 3 2" xfId="23065" xr:uid="{00000000-0005-0000-0000-00005B520000}"/>
    <cellStyle name="Normal 5 2 3 3 4" xfId="14721" xr:uid="{00000000-0005-0000-0000-00005C520000}"/>
    <cellStyle name="Normal 5 2 3 3 4 2" xfId="25284" xr:uid="{00000000-0005-0000-0000-00005D520000}"/>
    <cellStyle name="Normal 5 2 3 3 5" xfId="18627" xr:uid="{00000000-0005-0000-0000-00005E520000}"/>
    <cellStyle name="Normal 5 2 3 4" xfId="9540" xr:uid="{00000000-0005-0000-0000-00005F520000}"/>
    <cellStyle name="Normal 5 2 3 4 2" xfId="20103" xr:uid="{00000000-0005-0000-0000-000060520000}"/>
    <cellStyle name="Normal 5 2 3 5" xfId="11759" xr:uid="{00000000-0005-0000-0000-000061520000}"/>
    <cellStyle name="Normal 5 2 3 5 2" xfId="22322" xr:uid="{00000000-0005-0000-0000-000062520000}"/>
    <cellStyle name="Normal 5 2 3 6" xfId="13978" xr:uid="{00000000-0005-0000-0000-000063520000}"/>
    <cellStyle name="Normal 5 2 3 6 2" xfId="24541" xr:uid="{00000000-0005-0000-0000-000064520000}"/>
    <cellStyle name="Normal 5 2 3 7" xfId="17878" xr:uid="{00000000-0005-0000-0000-000065520000}"/>
    <cellStyle name="Normal 5 2 4" xfId="2876" xr:uid="{00000000-0005-0000-0000-000066520000}"/>
    <cellStyle name="Normal 5 2 4 2" xfId="8798" xr:uid="{00000000-0005-0000-0000-000067520000}"/>
    <cellStyle name="Normal 5 2 4 2 2" xfId="11017" xr:uid="{00000000-0005-0000-0000-000068520000}"/>
    <cellStyle name="Normal 5 2 4 2 2 2" xfId="21580" xr:uid="{00000000-0005-0000-0000-000069520000}"/>
    <cellStyle name="Normal 5 2 4 2 3" xfId="13236" xr:uid="{00000000-0005-0000-0000-00006A520000}"/>
    <cellStyle name="Normal 5 2 4 2 3 2" xfId="23799" xr:uid="{00000000-0005-0000-0000-00006B520000}"/>
    <cellStyle name="Normal 5 2 4 2 4" xfId="15455" xr:uid="{00000000-0005-0000-0000-00006C520000}"/>
    <cellStyle name="Normal 5 2 4 2 4 2" xfId="26018" xr:uid="{00000000-0005-0000-0000-00006D520000}"/>
    <cellStyle name="Normal 5 2 4 2 5" xfId="19361" xr:uid="{00000000-0005-0000-0000-00006E520000}"/>
    <cellStyle name="Normal 5 2 4 3" xfId="8065" xr:uid="{00000000-0005-0000-0000-00006F520000}"/>
    <cellStyle name="Normal 5 2 4 3 2" xfId="10284" xr:uid="{00000000-0005-0000-0000-000070520000}"/>
    <cellStyle name="Normal 5 2 4 3 2 2" xfId="20847" xr:uid="{00000000-0005-0000-0000-000071520000}"/>
    <cellStyle name="Normal 5 2 4 3 3" xfId="12503" xr:uid="{00000000-0005-0000-0000-000072520000}"/>
    <cellStyle name="Normal 5 2 4 3 3 2" xfId="23066" xr:uid="{00000000-0005-0000-0000-000073520000}"/>
    <cellStyle name="Normal 5 2 4 3 4" xfId="14722" xr:uid="{00000000-0005-0000-0000-000074520000}"/>
    <cellStyle name="Normal 5 2 4 3 4 2" xfId="25285" xr:uid="{00000000-0005-0000-0000-000075520000}"/>
    <cellStyle name="Normal 5 2 4 3 5" xfId="18628" xr:uid="{00000000-0005-0000-0000-000076520000}"/>
    <cellStyle name="Normal 5 2 4 4" xfId="9541" xr:uid="{00000000-0005-0000-0000-000077520000}"/>
    <cellStyle name="Normal 5 2 4 4 2" xfId="20104" xr:uid="{00000000-0005-0000-0000-000078520000}"/>
    <cellStyle name="Normal 5 2 4 5" xfId="11760" xr:uid="{00000000-0005-0000-0000-000079520000}"/>
    <cellStyle name="Normal 5 2 4 5 2" xfId="22323" xr:uid="{00000000-0005-0000-0000-00007A520000}"/>
    <cellStyle name="Normal 5 2 4 6" xfId="13979" xr:uid="{00000000-0005-0000-0000-00007B520000}"/>
    <cellStyle name="Normal 5 2 4 6 2" xfId="24542" xr:uid="{00000000-0005-0000-0000-00007C520000}"/>
    <cellStyle name="Normal 5 2 4 7" xfId="17879" xr:uid="{00000000-0005-0000-0000-00007D520000}"/>
    <cellStyle name="Normal 5 2 5" xfId="2877" xr:uid="{00000000-0005-0000-0000-00007E520000}"/>
    <cellStyle name="Normal 5 2 5 2" xfId="8799" xr:uid="{00000000-0005-0000-0000-00007F520000}"/>
    <cellStyle name="Normal 5 2 5 2 2" xfId="11018" xr:uid="{00000000-0005-0000-0000-000080520000}"/>
    <cellStyle name="Normal 5 2 5 2 2 2" xfId="21581" xr:uid="{00000000-0005-0000-0000-000081520000}"/>
    <cellStyle name="Normal 5 2 5 2 3" xfId="13237" xr:uid="{00000000-0005-0000-0000-000082520000}"/>
    <cellStyle name="Normal 5 2 5 2 3 2" xfId="23800" xr:uid="{00000000-0005-0000-0000-000083520000}"/>
    <cellStyle name="Normal 5 2 5 2 4" xfId="15456" xr:uid="{00000000-0005-0000-0000-000084520000}"/>
    <cellStyle name="Normal 5 2 5 2 4 2" xfId="26019" xr:uid="{00000000-0005-0000-0000-000085520000}"/>
    <cellStyle name="Normal 5 2 5 2 5" xfId="19362" xr:uid="{00000000-0005-0000-0000-000086520000}"/>
    <cellStyle name="Normal 5 2 5 3" xfId="8066" xr:uid="{00000000-0005-0000-0000-000087520000}"/>
    <cellStyle name="Normal 5 2 5 3 2" xfId="10285" xr:uid="{00000000-0005-0000-0000-000088520000}"/>
    <cellStyle name="Normal 5 2 5 3 2 2" xfId="20848" xr:uid="{00000000-0005-0000-0000-000089520000}"/>
    <cellStyle name="Normal 5 2 5 3 3" xfId="12504" xr:uid="{00000000-0005-0000-0000-00008A520000}"/>
    <cellStyle name="Normal 5 2 5 3 3 2" xfId="23067" xr:uid="{00000000-0005-0000-0000-00008B520000}"/>
    <cellStyle name="Normal 5 2 5 3 4" xfId="14723" xr:uid="{00000000-0005-0000-0000-00008C520000}"/>
    <cellStyle name="Normal 5 2 5 3 4 2" xfId="25286" xr:uid="{00000000-0005-0000-0000-00008D520000}"/>
    <cellStyle name="Normal 5 2 5 3 5" xfId="18629" xr:uid="{00000000-0005-0000-0000-00008E520000}"/>
    <cellStyle name="Normal 5 2 5 4" xfId="9542" xr:uid="{00000000-0005-0000-0000-00008F520000}"/>
    <cellStyle name="Normal 5 2 5 4 2" xfId="20105" xr:uid="{00000000-0005-0000-0000-000090520000}"/>
    <cellStyle name="Normal 5 2 5 5" xfId="11761" xr:uid="{00000000-0005-0000-0000-000091520000}"/>
    <cellStyle name="Normal 5 2 5 5 2" xfId="22324" xr:uid="{00000000-0005-0000-0000-000092520000}"/>
    <cellStyle name="Normal 5 2 5 6" xfId="13980" xr:uid="{00000000-0005-0000-0000-000093520000}"/>
    <cellStyle name="Normal 5 2 5 6 2" xfId="24543" xr:uid="{00000000-0005-0000-0000-000094520000}"/>
    <cellStyle name="Normal 5 2 5 7" xfId="17880" xr:uid="{00000000-0005-0000-0000-000095520000}"/>
    <cellStyle name="Normal 5 3" xfId="2878" xr:uid="{00000000-0005-0000-0000-000096520000}"/>
    <cellStyle name="Normal 5 3 2" xfId="8800" xr:uid="{00000000-0005-0000-0000-000097520000}"/>
    <cellStyle name="Normal 5 3 2 2" xfId="11019" xr:uid="{00000000-0005-0000-0000-000098520000}"/>
    <cellStyle name="Normal 5 3 2 2 2" xfId="21582" xr:uid="{00000000-0005-0000-0000-000099520000}"/>
    <cellStyle name="Normal 5 3 2 3" xfId="13238" xr:uid="{00000000-0005-0000-0000-00009A520000}"/>
    <cellStyle name="Normal 5 3 2 3 2" xfId="23801" xr:uid="{00000000-0005-0000-0000-00009B520000}"/>
    <cellStyle name="Normal 5 3 2 4" xfId="15457" xr:uid="{00000000-0005-0000-0000-00009C520000}"/>
    <cellStyle name="Normal 5 3 2 4 2" xfId="26020" xr:uid="{00000000-0005-0000-0000-00009D520000}"/>
    <cellStyle name="Normal 5 3 2 5" xfId="19363" xr:uid="{00000000-0005-0000-0000-00009E520000}"/>
    <cellStyle name="Normal 5 3 3" xfId="8067" xr:uid="{00000000-0005-0000-0000-00009F520000}"/>
    <cellStyle name="Normal 5 3 3 2" xfId="10286" xr:uid="{00000000-0005-0000-0000-0000A0520000}"/>
    <cellStyle name="Normal 5 3 3 2 2" xfId="20849" xr:uid="{00000000-0005-0000-0000-0000A1520000}"/>
    <cellStyle name="Normal 5 3 3 3" xfId="12505" xr:uid="{00000000-0005-0000-0000-0000A2520000}"/>
    <cellStyle name="Normal 5 3 3 3 2" xfId="23068" xr:uid="{00000000-0005-0000-0000-0000A3520000}"/>
    <cellStyle name="Normal 5 3 3 4" xfId="14724" xr:uid="{00000000-0005-0000-0000-0000A4520000}"/>
    <cellStyle name="Normal 5 3 3 4 2" xfId="25287" xr:uid="{00000000-0005-0000-0000-0000A5520000}"/>
    <cellStyle name="Normal 5 3 3 5" xfId="18630" xr:uid="{00000000-0005-0000-0000-0000A6520000}"/>
    <cellStyle name="Normal 5 3 4" xfId="9543" xr:uid="{00000000-0005-0000-0000-0000A7520000}"/>
    <cellStyle name="Normal 5 3 4 2" xfId="20106" xr:uid="{00000000-0005-0000-0000-0000A8520000}"/>
    <cellStyle name="Normal 5 3 5" xfId="11762" xr:uid="{00000000-0005-0000-0000-0000A9520000}"/>
    <cellStyle name="Normal 5 3 5 2" xfId="22325" xr:uid="{00000000-0005-0000-0000-0000AA520000}"/>
    <cellStyle name="Normal 5 3 6" xfId="13981" xr:uid="{00000000-0005-0000-0000-0000AB520000}"/>
    <cellStyle name="Normal 5 3 6 2" xfId="24544" xr:uid="{00000000-0005-0000-0000-0000AC520000}"/>
    <cellStyle name="Normal 5 3 7" xfId="15992" xr:uid="{00000000-0005-0000-0000-0000AD520000}"/>
    <cellStyle name="Normal 5 3 8" xfId="17881" xr:uid="{00000000-0005-0000-0000-0000AE520000}"/>
    <cellStyle name="Normal 5 4" xfId="2879" xr:uid="{00000000-0005-0000-0000-0000AF520000}"/>
    <cellStyle name="Normal 5 4 2" xfId="8801" xr:uid="{00000000-0005-0000-0000-0000B0520000}"/>
    <cellStyle name="Normal 5 4 2 2" xfId="11020" xr:uid="{00000000-0005-0000-0000-0000B1520000}"/>
    <cellStyle name="Normal 5 4 2 2 2" xfId="21583" xr:uid="{00000000-0005-0000-0000-0000B2520000}"/>
    <cellStyle name="Normal 5 4 2 3" xfId="13239" xr:uid="{00000000-0005-0000-0000-0000B3520000}"/>
    <cellStyle name="Normal 5 4 2 3 2" xfId="23802" xr:uid="{00000000-0005-0000-0000-0000B4520000}"/>
    <cellStyle name="Normal 5 4 2 4" xfId="15458" xr:uid="{00000000-0005-0000-0000-0000B5520000}"/>
    <cellStyle name="Normal 5 4 2 4 2" xfId="26021" xr:uid="{00000000-0005-0000-0000-0000B6520000}"/>
    <cellStyle name="Normal 5 4 2 5" xfId="19364" xr:uid="{00000000-0005-0000-0000-0000B7520000}"/>
    <cellStyle name="Normal 5 4 3" xfId="8068" xr:uid="{00000000-0005-0000-0000-0000B8520000}"/>
    <cellStyle name="Normal 5 4 3 2" xfId="10287" xr:uid="{00000000-0005-0000-0000-0000B9520000}"/>
    <cellStyle name="Normal 5 4 3 2 2" xfId="20850" xr:uid="{00000000-0005-0000-0000-0000BA520000}"/>
    <cellStyle name="Normal 5 4 3 3" xfId="12506" xr:uid="{00000000-0005-0000-0000-0000BB520000}"/>
    <cellStyle name="Normal 5 4 3 3 2" xfId="23069" xr:uid="{00000000-0005-0000-0000-0000BC520000}"/>
    <cellStyle name="Normal 5 4 3 4" xfId="14725" xr:uid="{00000000-0005-0000-0000-0000BD520000}"/>
    <cellStyle name="Normal 5 4 3 4 2" xfId="25288" xr:uid="{00000000-0005-0000-0000-0000BE520000}"/>
    <cellStyle name="Normal 5 4 3 5" xfId="18631" xr:uid="{00000000-0005-0000-0000-0000BF520000}"/>
    <cellStyle name="Normal 5 4 4" xfId="9544" xr:uid="{00000000-0005-0000-0000-0000C0520000}"/>
    <cellStyle name="Normal 5 4 4 2" xfId="20107" xr:uid="{00000000-0005-0000-0000-0000C1520000}"/>
    <cellStyle name="Normal 5 4 5" xfId="11763" xr:uid="{00000000-0005-0000-0000-0000C2520000}"/>
    <cellStyle name="Normal 5 4 5 2" xfId="22326" xr:uid="{00000000-0005-0000-0000-0000C3520000}"/>
    <cellStyle name="Normal 5 4 6" xfId="13982" xr:uid="{00000000-0005-0000-0000-0000C4520000}"/>
    <cellStyle name="Normal 5 4 6 2" xfId="24545" xr:uid="{00000000-0005-0000-0000-0000C5520000}"/>
    <cellStyle name="Normal 5 4 7" xfId="17882" xr:uid="{00000000-0005-0000-0000-0000C6520000}"/>
    <cellStyle name="Normal 5 5" xfId="2880" xr:uid="{00000000-0005-0000-0000-0000C7520000}"/>
    <cellStyle name="Normal 5 5 2" xfId="8802" xr:uid="{00000000-0005-0000-0000-0000C8520000}"/>
    <cellStyle name="Normal 5 5 2 2" xfId="11021" xr:uid="{00000000-0005-0000-0000-0000C9520000}"/>
    <cellStyle name="Normal 5 5 2 2 2" xfId="21584" xr:uid="{00000000-0005-0000-0000-0000CA520000}"/>
    <cellStyle name="Normal 5 5 2 3" xfId="13240" xr:uid="{00000000-0005-0000-0000-0000CB520000}"/>
    <cellStyle name="Normal 5 5 2 3 2" xfId="23803" xr:uid="{00000000-0005-0000-0000-0000CC520000}"/>
    <cellStyle name="Normal 5 5 2 4" xfId="15459" xr:uid="{00000000-0005-0000-0000-0000CD520000}"/>
    <cellStyle name="Normal 5 5 2 4 2" xfId="26022" xr:uid="{00000000-0005-0000-0000-0000CE520000}"/>
    <cellStyle name="Normal 5 5 2 5" xfId="19365" xr:uid="{00000000-0005-0000-0000-0000CF520000}"/>
    <cellStyle name="Normal 5 5 3" xfId="8069" xr:uid="{00000000-0005-0000-0000-0000D0520000}"/>
    <cellStyle name="Normal 5 5 3 2" xfId="10288" xr:uid="{00000000-0005-0000-0000-0000D1520000}"/>
    <cellStyle name="Normal 5 5 3 2 2" xfId="20851" xr:uid="{00000000-0005-0000-0000-0000D2520000}"/>
    <cellStyle name="Normal 5 5 3 3" xfId="12507" xr:uid="{00000000-0005-0000-0000-0000D3520000}"/>
    <cellStyle name="Normal 5 5 3 3 2" xfId="23070" xr:uid="{00000000-0005-0000-0000-0000D4520000}"/>
    <cellStyle name="Normal 5 5 3 4" xfId="14726" xr:uid="{00000000-0005-0000-0000-0000D5520000}"/>
    <cellStyle name="Normal 5 5 3 4 2" xfId="25289" xr:uid="{00000000-0005-0000-0000-0000D6520000}"/>
    <cellStyle name="Normal 5 5 3 5" xfId="18632" xr:uid="{00000000-0005-0000-0000-0000D7520000}"/>
    <cellStyle name="Normal 5 5 4" xfId="9545" xr:uid="{00000000-0005-0000-0000-0000D8520000}"/>
    <cellStyle name="Normal 5 5 4 2" xfId="20108" xr:uid="{00000000-0005-0000-0000-0000D9520000}"/>
    <cellStyle name="Normal 5 5 5" xfId="11764" xr:uid="{00000000-0005-0000-0000-0000DA520000}"/>
    <cellStyle name="Normal 5 5 5 2" xfId="22327" xr:uid="{00000000-0005-0000-0000-0000DB520000}"/>
    <cellStyle name="Normal 5 5 6" xfId="13983" xr:uid="{00000000-0005-0000-0000-0000DC520000}"/>
    <cellStyle name="Normal 5 5 6 2" xfId="24546" xr:uid="{00000000-0005-0000-0000-0000DD520000}"/>
    <cellStyle name="Normal 5 5 7" xfId="17883" xr:uid="{00000000-0005-0000-0000-0000DE520000}"/>
    <cellStyle name="Normal 5 6" xfId="2881" xr:uid="{00000000-0005-0000-0000-0000DF520000}"/>
    <cellStyle name="Normal 5 6 2" xfId="8803" xr:uid="{00000000-0005-0000-0000-0000E0520000}"/>
    <cellStyle name="Normal 5 6 2 2" xfId="11022" xr:uid="{00000000-0005-0000-0000-0000E1520000}"/>
    <cellStyle name="Normal 5 6 2 2 2" xfId="21585" xr:uid="{00000000-0005-0000-0000-0000E2520000}"/>
    <cellStyle name="Normal 5 6 2 3" xfId="13241" xr:uid="{00000000-0005-0000-0000-0000E3520000}"/>
    <cellStyle name="Normal 5 6 2 3 2" xfId="23804" xr:uid="{00000000-0005-0000-0000-0000E4520000}"/>
    <cellStyle name="Normal 5 6 2 4" xfId="15460" xr:uid="{00000000-0005-0000-0000-0000E5520000}"/>
    <cellStyle name="Normal 5 6 2 4 2" xfId="26023" xr:uid="{00000000-0005-0000-0000-0000E6520000}"/>
    <cellStyle name="Normal 5 6 2 5" xfId="19366" xr:uid="{00000000-0005-0000-0000-0000E7520000}"/>
    <cellStyle name="Normal 5 6 3" xfId="8070" xr:uid="{00000000-0005-0000-0000-0000E8520000}"/>
    <cellStyle name="Normal 5 6 3 2" xfId="10289" xr:uid="{00000000-0005-0000-0000-0000E9520000}"/>
    <cellStyle name="Normal 5 6 3 2 2" xfId="20852" xr:uid="{00000000-0005-0000-0000-0000EA520000}"/>
    <cellStyle name="Normal 5 6 3 3" xfId="12508" xr:uid="{00000000-0005-0000-0000-0000EB520000}"/>
    <cellStyle name="Normal 5 6 3 3 2" xfId="23071" xr:uid="{00000000-0005-0000-0000-0000EC520000}"/>
    <cellStyle name="Normal 5 6 3 4" xfId="14727" xr:uid="{00000000-0005-0000-0000-0000ED520000}"/>
    <cellStyle name="Normal 5 6 3 4 2" xfId="25290" xr:uid="{00000000-0005-0000-0000-0000EE520000}"/>
    <cellStyle name="Normal 5 6 3 5" xfId="18633" xr:uid="{00000000-0005-0000-0000-0000EF520000}"/>
    <cellStyle name="Normal 5 6 4" xfId="9546" xr:uid="{00000000-0005-0000-0000-0000F0520000}"/>
    <cellStyle name="Normal 5 6 4 2" xfId="20109" xr:uid="{00000000-0005-0000-0000-0000F1520000}"/>
    <cellStyle name="Normal 5 6 5" xfId="11765" xr:uid="{00000000-0005-0000-0000-0000F2520000}"/>
    <cellStyle name="Normal 5 6 5 2" xfId="22328" xr:uid="{00000000-0005-0000-0000-0000F3520000}"/>
    <cellStyle name="Normal 5 6 6" xfId="13984" xr:uid="{00000000-0005-0000-0000-0000F4520000}"/>
    <cellStyle name="Normal 5 6 6 2" xfId="24547" xr:uid="{00000000-0005-0000-0000-0000F5520000}"/>
    <cellStyle name="Normal 5 6 7" xfId="17884" xr:uid="{00000000-0005-0000-0000-0000F6520000}"/>
    <cellStyle name="Normal 5 7" xfId="2882" xr:uid="{00000000-0005-0000-0000-0000F7520000}"/>
    <cellStyle name="Normal 5 8" xfId="2883" xr:uid="{00000000-0005-0000-0000-0000F8520000}"/>
    <cellStyle name="Normal 5 9" xfId="2884" xr:uid="{00000000-0005-0000-0000-0000F9520000}"/>
    <cellStyle name="Normal 5_ELC" xfId="17899" xr:uid="{00000000-0005-0000-0000-0000FA520000}"/>
    <cellStyle name="Normal 6" xfId="17900" xr:uid="{00000000-0005-0000-0000-0000FB520000}"/>
    <cellStyle name="Normal 6 2" xfId="72" xr:uid="{00000000-0005-0000-0000-0000FC520000}"/>
    <cellStyle name="Normal 6 2 2" xfId="4113" xr:uid="{00000000-0005-0000-0000-0000FD520000}"/>
    <cellStyle name="Normal 6 3" xfId="2885" xr:uid="{00000000-0005-0000-0000-0000FE520000}"/>
    <cellStyle name="Normal 6 3 2" xfId="4114" xr:uid="{00000000-0005-0000-0000-0000FF520000}"/>
    <cellStyle name="Normal 6 4" xfId="2886" xr:uid="{00000000-0005-0000-0000-000000530000}"/>
    <cellStyle name="Normal 6 5" xfId="2887" xr:uid="{00000000-0005-0000-0000-000001530000}"/>
    <cellStyle name="Normal 6 6" xfId="2888" xr:uid="{00000000-0005-0000-0000-000002530000}"/>
    <cellStyle name="Normal 6 7" xfId="71" xr:uid="{00000000-0005-0000-0000-000003530000}"/>
    <cellStyle name="Normal 6 8" xfId="3928" xr:uid="{00000000-0005-0000-0000-000004530000}"/>
    <cellStyle name="Normal 6 8 2" xfId="8807" xr:uid="{00000000-0005-0000-0000-000005530000}"/>
    <cellStyle name="Normal 6 8 2 2" xfId="11026" xr:uid="{00000000-0005-0000-0000-000006530000}"/>
    <cellStyle name="Normal 6 8 2 2 2" xfId="21589" xr:uid="{00000000-0005-0000-0000-000007530000}"/>
    <cellStyle name="Normal 6 8 2 3" xfId="13245" xr:uid="{00000000-0005-0000-0000-000008530000}"/>
    <cellStyle name="Normal 6 8 2 3 2" xfId="23808" xr:uid="{00000000-0005-0000-0000-000009530000}"/>
    <cellStyle name="Normal 6 8 2 4" xfId="15464" xr:uid="{00000000-0005-0000-0000-00000A530000}"/>
    <cellStyle name="Normal 6 8 2 4 2" xfId="26027" xr:uid="{00000000-0005-0000-0000-00000B530000}"/>
    <cellStyle name="Normal 6 8 2 5" xfId="19370" xr:uid="{00000000-0005-0000-0000-00000C530000}"/>
    <cellStyle name="Normal 6 8 3" xfId="8074" xr:uid="{00000000-0005-0000-0000-00000D530000}"/>
    <cellStyle name="Normal 6 8 3 2" xfId="10293" xr:uid="{00000000-0005-0000-0000-00000E530000}"/>
    <cellStyle name="Normal 6 8 3 2 2" xfId="20856" xr:uid="{00000000-0005-0000-0000-00000F530000}"/>
    <cellStyle name="Normal 6 8 3 3" xfId="12512" xr:uid="{00000000-0005-0000-0000-000010530000}"/>
    <cellStyle name="Normal 6 8 3 3 2" xfId="23075" xr:uid="{00000000-0005-0000-0000-000011530000}"/>
    <cellStyle name="Normal 6 8 3 4" xfId="14731" xr:uid="{00000000-0005-0000-0000-000012530000}"/>
    <cellStyle name="Normal 6 8 3 4 2" xfId="25294" xr:uid="{00000000-0005-0000-0000-000013530000}"/>
    <cellStyle name="Normal 6 8 3 5" xfId="18637" xr:uid="{00000000-0005-0000-0000-000014530000}"/>
    <cellStyle name="Normal 6 8 4" xfId="9550" xr:uid="{00000000-0005-0000-0000-000015530000}"/>
    <cellStyle name="Normal 6 8 4 2" xfId="20113" xr:uid="{00000000-0005-0000-0000-000016530000}"/>
    <cellStyle name="Normal 6 8 5" xfId="11769" xr:uid="{00000000-0005-0000-0000-000017530000}"/>
    <cellStyle name="Normal 6 8 5 2" xfId="22332" xr:uid="{00000000-0005-0000-0000-000018530000}"/>
    <cellStyle name="Normal 6 8 6" xfId="13988" xr:uid="{00000000-0005-0000-0000-000019530000}"/>
    <cellStyle name="Normal 6 8 6 2" xfId="24551" xr:uid="{00000000-0005-0000-0000-00001A530000}"/>
    <cellStyle name="Normal 6 8 7" xfId="17888" xr:uid="{00000000-0005-0000-0000-00001B530000}"/>
    <cellStyle name="Normal 6 9" xfId="4112" xr:uid="{00000000-0005-0000-0000-00001C530000}"/>
    <cellStyle name="Normal 7" xfId="17901" xr:uid="{00000000-0005-0000-0000-00001D530000}"/>
    <cellStyle name="Normal 7 2" xfId="74" xr:uid="{00000000-0005-0000-0000-00001E530000}"/>
    <cellStyle name="Normal 7 2 2" xfId="4116" xr:uid="{00000000-0005-0000-0000-00001F530000}"/>
    <cellStyle name="Normal 7 3" xfId="75" xr:uid="{00000000-0005-0000-0000-000020530000}"/>
    <cellStyle name="Normal 7 3 2" xfId="4117" xr:uid="{00000000-0005-0000-0000-000021530000}"/>
    <cellStyle name="Normal 7 4" xfId="76" xr:uid="{00000000-0005-0000-0000-000022530000}"/>
    <cellStyle name="Normal 7 4 2" xfId="15991" xr:uid="{00000000-0005-0000-0000-000023530000}"/>
    <cellStyle name="Normal 7 5" xfId="2889" xr:uid="{00000000-0005-0000-0000-000024530000}"/>
    <cellStyle name="Normal 7 6" xfId="73" xr:uid="{00000000-0005-0000-0000-000025530000}"/>
    <cellStyle name="Normal 7 7" xfId="3929" xr:uid="{00000000-0005-0000-0000-000026530000}"/>
    <cellStyle name="Normal 7 7 2" xfId="8808" xr:uid="{00000000-0005-0000-0000-000027530000}"/>
    <cellStyle name="Normal 7 7 2 2" xfId="11027" xr:uid="{00000000-0005-0000-0000-000028530000}"/>
    <cellStyle name="Normal 7 7 2 2 2" xfId="21590" xr:uid="{00000000-0005-0000-0000-000029530000}"/>
    <cellStyle name="Normal 7 7 2 3" xfId="13246" xr:uid="{00000000-0005-0000-0000-00002A530000}"/>
    <cellStyle name="Normal 7 7 2 3 2" xfId="23809" xr:uid="{00000000-0005-0000-0000-00002B530000}"/>
    <cellStyle name="Normal 7 7 2 4" xfId="15465" xr:uid="{00000000-0005-0000-0000-00002C530000}"/>
    <cellStyle name="Normal 7 7 2 4 2" xfId="26028" xr:uid="{00000000-0005-0000-0000-00002D530000}"/>
    <cellStyle name="Normal 7 7 2 5" xfId="19371" xr:uid="{00000000-0005-0000-0000-00002E530000}"/>
    <cellStyle name="Normal 7 7 3" xfId="8075" xr:uid="{00000000-0005-0000-0000-00002F530000}"/>
    <cellStyle name="Normal 7 7 3 2" xfId="10294" xr:uid="{00000000-0005-0000-0000-000030530000}"/>
    <cellStyle name="Normal 7 7 3 2 2" xfId="20857" xr:uid="{00000000-0005-0000-0000-000031530000}"/>
    <cellStyle name="Normal 7 7 3 3" xfId="12513" xr:uid="{00000000-0005-0000-0000-000032530000}"/>
    <cellStyle name="Normal 7 7 3 3 2" xfId="23076" xr:uid="{00000000-0005-0000-0000-000033530000}"/>
    <cellStyle name="Normal 7 7 3 4" xfId="14732" xr:uid="{00000000-0005-0000-0000-000034530000}"/>
    <cellStyle name="Normal 7 7 3 4 2" xfId="25295" xr:uid="{00000000-0005-0000-0000-000035530000}"/>
    <cellStyle name="Normal 7 7 3 5" xfId="18638" xr:uid="{00000000-0005-0000-0000-000036530000}"/>
    <cellStyle name="Normal 7 7 4" xfId="9551" xr:uid="{00000000-0005-0000-0000-000037530000}"/>
    <cellStyle name="Normal 7 7 4 2" xfId="20114" xr:uid="{00000000-0005-0000-0000-000038530000}"/>
    <cellStyle name="Normal 7 7 5" xfId="11770" xr:uid="{00000000-0005-0000-0000-000039530000}"/>
    <cellStyle name="Normal 7 7 5 2" xfId="22333" xr:uid="{00000000-0005-0000-0000-00003A530000}"/>
    <cellStyle name="Normal 7 7 6" xfId="13989" xr:uid="{00000000-0005-0000-0000-00003B530000}"/>
    <cellStyle name="Normal 7 7 6 2" xfId="24552" xr:uid="{00000000-0005-0000-0000-00003C530000}"/>
    <cellStyle name="Normal 7 7 7" xfId="17889" xr:uid="{00000000-0005-0000-0000-00003D530000}"/>
    <cellStyle name="Normal 7 8" xfId="4115" xr:uid="{00000000-0005-0000-0000-00003E530000}"/>
    <cellStyle name="Normal 8" xfId="9" xr:uid="{00000000-0005-0000-0000-00003F530000}"/>
    <cellStyle name="Normal 8 2" xfId="77" xr:uid="{00000000-0005-0000-0000-000040530000}"/>
    <cellStyle name="Normal 8 2 2" xfId="4118" xr:uid="{00000000-0005-0000-0000-000041530000}"/>
    <cellStyle name="Normal 8 3" xfId="4119" xr:uid="{00000000-0005-0000-0000-000042530000}"/>
    <cellStyle name="Normal 8 3 2" xfId="4120" xr:uid="{00000000-0005-0000-0000-000043530000}"/>
    <cellStyle name="Normal 8 4" xfId="8080" xr:uid="{00000000-0005-0000-0000-000044530000}"/>
    <cellStyle name="Normal 8 4 2" xfId="10299" xr:uid="{00000000-0005-0000-0000-000045530000}"/>
    <cellStyle name="Normal 8 4 2 2" xfId="20862" xr:uid="{00000000-0005-0000-0000-000046530000}"/>
    <cellStyle name="Normal 8 4 3" xfId="12518" xr:uid="{00000000-0005-0000-0000-000047530000}"/>
    <cellStyle name="Normal 8 4 3 2" xfId="23081" xr:uid="{00000000-0005-0000-0000-000048530000}"/>
    <cellStyle name="Normal 8 4 4" xfId="14737" xr:uid="{00000000-0005-0000-0000-000049530000}"/>
    <cellStyle name="Normal 8 4 4 2" xfId="25300" xr:uid="{00000000-0005-0000-0000-00004A530000}"/>
    <cellStyle name="Normal 8 4 5" xfId="15990" xr:uid="{00000000-0005-0000-0000-00004B530000}"/>
    <cellStyle name="Normal 8 4 6" xfId="18643" xr:uid="{00000000-0005-0000-0000-00004C530000}"/>
    <cellStyle name="Normal 8 5" xfId="7347" xr:uid="{00000000-0005-0000-0000-00004D530000}"/>
    <cellStyle name="Normal 8 5 2" xfId="9566" xr:uid="{00000000-0005-0000-0000-00004E530000}"/>
    <cellStyle name="Normal 8 5 2 2" xfId="20129" xr:uid="{00000000-0005-0000-0000-00004F530000}"/>
    <cellStyle name="Normal 8 5 3" xfId="11785" xr:uid="{00000000-0005-0000-0000-000050530000}"/>
    <cellStyle name="Normal 8 5 3 2" xfId="22348" xr:uid="{00000000-0005-0000-0000-000051530000}"/>
    <cellStyle name="Normal 8 5 4" xfId="14004" xr:uid="{00000000-0005-0000-0000-000052530000}"/>
    <cellStyle name="Normal 8 5 4 2" xfId="24567" xr:uid="{00000000-0005-0000-0000-000053530000}"/>
    <cellStyle name="Normal 8 5 5" xfId="17910" xr:uid="{00000000-0005-0000-0000-000054530000}"/>
    <cellStyle name="Normal 8 6" xfId="8823" xr:uid="{00000000-0005-0000-0000-000055530000}"/>
    <cellStyle name="Normal 8 6 2" xfId="19386" xr:uid="{00000000-0005-0000-0000-000056530000}"/>
    <cellStyle name="Normal 8 7" xfId="11042" xr:uid="{00000000-0005-0000-0000-000057530000}"/>
    <cellStyle name="Normal 8 7 2" xfId="21605" xr:uid="{00000000-0005-0000-0000-000058530000}"/>
    <cellStyle name="Normal 8 8" xfId="13261" xr:uid="{00000000-0005-0000-0000-000059530000}"/>
    <cellStyle name="Normal 8 8 2" xfId="23824" xr:uid="{00000000-0005-0000-0000-00005A530000}"/>
    <cellStyle name="Normal 8 9" xfId="17161" xr:uid="{00000000-0005-0000-0000-00005B530000}"/>
    <cellStyle name="Normal 9" xfId="30" xr:uid="{00000000-0005-0000-0000-00005C530000}"/>
    <cellStyle name="Normal 9 2" xfId="10" xr:uid="{00000000-0005-0000-0000-00005D530000}"/>
    <cellStyle name="Normal 9 2 2" xfId="4121" xr:uid="{00000000-0005-0000-0000-00005E530000}"/>
    <cellStyle name="Normal 9 2 2 2" xfId="4122" xr:uid="{00000000-0005-0000-0000-00005F530000}"/>
    <cellStyle name="Normal 9 2 2 2 2" xfId="4123" xr:uid="{00000000-0005-0000-0000-000060530000}"/>
    <cellStyle name="Normal 9 2 2 3" xfId="4124" xr:uid="{00000000-0005-0000-0000-000061530000}"/>
    <cellStyle name="Normal 9 2 3" xfId="4125" xr:uid="{00000000-0005-0000-0000-000062530000}"/>
    <cellStyle name="Normal 9 2 3 2" xfId="4126" xr:uid="{00000000-0005-0000-0000-000063530000}"/>
    <cellStyle name="Normal 9 2 4" xfId="4127" xr:uid="{00000000-0005-0000-0000-000064530000}"/>
    <cellStyle name="Normal 9 2 4 2" xfId="4128" xr:uid="{00000000-0005-0000-0000-000065530000}"/>
    <cellStyle name="Normal 9 2 4 2 2" xfId="15989" xr:uid="{00000000-0005-0000-0000-000066530000}"/>
    <cellStyle name="Normal 9 2 4 3" xfId="8815" xr:uid="{00000000-0005-0000-0000-000067530000}"/>
    <cellStyle name="Normal 9 2 4 3 2" xfId="11034" xr:uid="{00000000-0005-0000-0000-000068530000}"/>
    <cellStyle name="Normal 9 2 4 3 2 2" xfId="21597" xr:uid="{00000000-0005-0000-0000-000069530000}"/>
    <cellStyle name="Normal 9 2 4 3 3" xfId="13253" xr:uid="{00000000-0005-0000-0000-00006A530000}"/>
    <cellStyle name="Normal 9 2 4 3 3 2" xfId="23816" xr:uid="{00000000-0005-0000-0000-00006B530000}"/>
    <cellStyle name="Normal 9 2 4 3 4" xfId="15472" xr:uid="{00000000-0005-0000-0000-00006C530000}"/>
    <cellStyle name="Normal 9 2 4 3 4 2" xfId="26035" xr:uid="{00000000-0005-0000-0000-00006D530000}"/>
    <cellStyle name="Normal 9 2 4 3 5" xfId="19378" xr:uid="{00000000-0005-0000-0000-00006E530000}"/>
    <cellStyle name="Normal 9 2 4 4" xfId="9558" xr:uid="{00000000-0005-0000-0000-00006F530000}"/>
    <cellStyle name="Normal 9 2 4 4 2" xfId="20121" xr:uid="{00000000-0005-0000-0000-000070530000}"/>
    <cellStyle name="Normal 9 2 4 5" xfId="11777" xr:uid="{00000000-0005-0000-0000-000071530000}"/>
    <cellStyle name="Normal 9 2 4 5 2" xfId="22340" xr:uid="{00000000-0005-0000-0000-000072530000}"/>
    <cellStyle name="Normal 9 2 4 6" xfId="13996" xr:uid="{00000000-0005-0000-0000-000073530000}"/>
    <cellStyle name="Normal 9 2 4 6 2" xfId="24559" xr:uid="{00000000-0005-0000-0000-000074530000}"/>
    <cellStyle name="Normal 9 2 4 7" xfId="17902" xr:uid="{00000000-0005-0000-0000-000075530000}"/>
    <cellStyle name="Normal 9 2 5" xfId="4129" xr:uid="{00000000-0005-0000-0000-000076530000}"/>
    <cellStyle name="Normal 9 3" xfId="3927" xr:uid="{00000000-0005-0000-0000-000077530000}"/>
    <cellStyle name="Normal 9 3 2" xfId="4130" xr:uid="{00000000-0005-0000-0000-000078530000}"/>
    <cellStyle name="Normal 9 3 2 2" xfId="8816" xr:uid="{00000000-0005-0000-0000-000079530000}"/>
    <cellStyle name="Normal 9 3 2 2 2" xfId="11035" xr:uid="{00000000-0005-0000-0000-00007A530000}"/>
    <cellStyle name="Normal 9 3 2 2 2 2" xfId="21598" xr:uid="{00000000-0005-0000-0000-00007B530000}"/>
    <cellStyle name="Normal 9 3 2 2 3" xfId="13254" xr:uid="{00000000-0005-0000-0000-00007C530000}"/>
    <cellStyle name="Normal 9 3 2 2 3 2" xfId="23817" xr:uid="{00000000-0005-0000-0000-00007D530000}"/>
    <cellStyle name="Normal 9 3 2 2 4" xfId="15473" xr:uid="{00000000-0005-0000-0000-00007E530000}"/>
    <cellStyle name="Normal 9 3 2 2 4 2" xfId="26036" xr:uid="{00000000-0005-0000-0000-00007F530000}"/>
    <cellStyle name="Normal 9 3 2 2 5" xfId="19379" xr:uid="{00000000-0005-0000-0000-000080530000}"/>
    <cellStyle name="Normal 9 3 2 3" xfId="9559" xr:uid="{00000000-0005-0000-0000-000081530000}"/>
    <cellStyle name="Normal 9 3 2 3 2" xfId="20122" xr:uid="{00000000-0005-0000-0000-000082530000}"/>
    <cellStyle name="Normal 9 3 2 4" xfId="11778" xr:uid="{00000000-0005-0000-0000-000083530000}"/>
    <cellStyle name="Normal 9 3 2 4 2" xfId="22341" xr:uid="{00000000-0005-0000-0000-000084530000}"/>
    <cellStyle name="Normal 9 3 2 5" xfId="13997" xr:uid="{00000000-0005-0000-0000-000085530000}"/>
    <cellStyle name="Normal 9 3 2 5 2" xfId="24560" xr:uid="{00000000-0005-0000-0000-000086530000}"/>
    <cellStyle name="Normal 9 3 2 6" xfId="17903" xr:uid="{00000000-0005-0000-0000-000087530000}"/>
    <cellStyle name="Normal 9 3 3" xfId="8806" xr:uid="{00000000-0005-0000-0000-000088530000}"/>
    <cellStyle name="Normal 9 3 3 2" xfId="11025" xr:uid="{00000000-0005-0000-0000-000089530000}"/>
    <cellStyle name="Normal 9 3 3 2 2" xfId="21588" xr:uid="{00000000-0005-0000-0000-00008A530000}"/>
    <cellStyle name="Normal 9 3 3 3" xfId="13244" xr:uid="{00000000-0005-0000-0000-00008B530000}"/>
    <cellStyle name="Normal 9 3 3 3 2" xfId="23807" xr:uid="{00000000-0005-0000-0000-00008C530000}"/>
    <cellStyle name="Normal 9 3 3 4" xfId="15463" xr:uid="{00000000-0005-0000-0000-00008D530000}"/>
    <cellStyle name="Normal 9 3 3 4 2" xfId="26026" xr:uid="{00000000-0005-0000-0000-00008E530000}"/>
    <cellStyle name="Normal 9 3 3 5" xfId="19369" xr:uid="{00000000-0005-0000-0000-00008F530000}"/>
    <cellStyle name="Normal 9 3 4" xfId="8073" xr:uid="{00000000-0005-0000-0000-000090530000}"/>
    <cellStyle name="Normal 9 3 4 2" xfId="10292" xr:uid="{00000000-0005-0000-0000-000091530000}"/>
    <cellStyle name="Normal 9 3 4 2 2" xfId="20855" xr:uid="{00000000-0005-0000-0000-000092530000}"/>
    <cellStyle name="Normal 9 3 4 3" xfId="12511" xr:uid="{00000000-0005-0000-0000-000093530000}"/>
    <cellStyle name="Normal 9 3 4 3 2" xfId="23074" xr:uid="{00000000-0005-0000-0000-000094530000}"/>
    <cellStyle name="Normal 9 3 4 4" xfId="14730" xr:uid="{00000000-0005-0000-0000-000095530000}"/>
    <cellStyle name="Normal 9 3 4 4 2" xfId="25293" xr:uid="{00000000-0005-0000-0000-000096530000}"/>
    <cellStyle name="Normal 9 3 4 5" xfId="18636" xr:uid="{00000000-0005-0000-0000-000097530000}"/>
    <cellStyle name="Normal 9 3 5" xfId="9549" xr:uid="{00000000-0005-0000-0000-000098530000}"/>
    <cellStyle name="Normal 9 3 5 2" xfId="15988" xr:uid="{00000000-0005-0000-0000-000099530000}"/>
    <cellStyle name="Normal 9 3 5 3" xfId="20112" xr:uid="{00000000-0005-0000-0000-00009A530000}"/>
    <cellStyle name="Normal 9 3 6" xfId="11768" xr:uid="{00000000-0005-0000-0000-00009B530000}"/>
    <cellStyle name="Normal 9 3 6 2" xfId="15987" xr:uid="{00000000-0005-0000-0000-00009C530000}"/>
    <cellStyle name="Normal 9 3 6 3" xfId="22331" xr:uid="{00000000-0005-0000-0000-00009D530000}"/>
    <cellStyle name="Normal 9 3 7" xfId="13987" xr:uid="{00000000-0005-0000-0000-00009E530000}"/>
    <cellStyle name="Normal 9 3 7 2" xfId="24550" xr:uid="{00000000-0005-0000-0000-00009F530000}"/>
    <cellStyle name="Normal 9 3 8" xfId="15796" xr:uid="{00000000-0005-0000-0000-0000A0530000}"/>
    <cellStyle name="Normal 9 3 9" xfId="17887" xr:uid="{00000000-0005-0000-0000-0000A1530000}"/>
    <cellStyle name="Normal 9 4" xfId="4131" xr:uid="{00000000-0005-0000-0000-0000A2530000}"/>
    <cellStyle name="Normal 9 4 2" xfId="4132" xr:uid="{00000000-0005-0000-0000-0000A3530000}"/>
    <cellStyle name="Normal 9 4 2 2" xfId="4133" xr:uid="{00000000-0005-0000-0000-0000A4530000}"/>
    <cellStyle name="Normal 9 4 2 2 2" xfId="8818" xr:uid="{00000000-0005-0000-0000-0000A5530000}"/>
    <cellStyle name="Normal 9 4 2 2 2 2" xfId="11037" xr:uid="{00000000-0005-0000-0000-0000A6530000}"/>
    <cellStyle name="Normal 9 4 2 2 2 2 2" xfId="21600" xr:uid="{00000000-0005-0000-0000-0000A7530000}"/>
    <cellStyle name="Normal 9 4 2 2 2 3" xfId="13256" xr:uid="{00000000-0005-0000-0000-0000A8530000}"/>
    <cellStyle name="Normal 9 4 2 2 2 3 2" xfId="23819" xr:uid="{00000000-0005-0000-0000-0000A9530000}"/>
    <cellStyle name="Normal 9 4 2 2 2 4" xfId="15475" xr:uid="{00000000-0005-0000-0000-0000AA530000}"/>
    <cellStyle name="Normal 9 4 2 2 2 4 2" xfId="26038" xr:uid="{00000000-0005-0000-0000-0000AB530000}"/>
    <cellStyle name="Normal 9 4 2 2 2 5" xfId="19381" xr:uid="{00000000-0005-0000-0000-0000AC530000}"/>
    <cellStyle name="Normal 9 4 2 2 3" xfId="9561" xr:uid="{00000000-0005-0000-0000-0000AD530000}"/>
    <cellStyle name="Normal 9 4 2 2 3 2" xfId="20124" xr:uid="{00000000-0005-0000-0000-0000AE530000}"/>
    <cellStyle name="Normal 9 4 2 2 4" xfId="11780" xr:uid="{00000000-0005-0000-0000-0000AF530000}"/>
    <cellStyle name="Normal 9 4 2 2 4 2" xfId="22343" xr:uid="{00000000-0005-0000-0000-0000B0530000}"/>
    <cellStyle name="Normal 9 4 2 2 5" xfId="13999" xr:uid="{00000000-0005-0000-0000-0000B1530000}"/>
    <cellStyle name="Normal 9 4 2 2 5 2" xfId="24562" xr:uid="{00000000-0005-0000-0000-0000B2530000}"/>
    <cellStyle name="Normal 9 4 2 2 6" xfId="17905" xr:uid="{00000000-0005-0000-0000-0000B3530000}"/>
    <cellStyle name="Normal 9 4 2 3" xfId="8817" xr:uid="{00000000-0005-0000-0000-0000B4530000}"/>
    <cellStyle name="Normal 9 4 2 3 2" xfId="11036" xr:uid="{00000000-0005-0000-0000-0000B5530000}"/>
    <cellStyle name="Normal 9 4 2 3 2 2" xfId="21599" xr:uid="{00000000-0005-0000-0000-0000B6530000}"/>
    <cellStyle name="Normal 9 4 2 3 3" xfId="13255" xr:uid="{00000000-0005-0000-0000-0000B7530000}"/>
    <cellStyle name="Normal 9 4 2 3 3 2" xfId="23818" xr:uid="{00000000-0005-0000-0000-0000B8530000}"/>
    <cellStyle name="Normal 9 4 2 3 4" xfId="15474" xr:uid="{00000000-0005-0000-0000-0000B9530000}"/>
    <cellStyle name="Normal 9 4 2 3 4 2" xfId="26037" xr:uid="{00000000-0005-0000-0000-0000BA530000}"/>
    <cellStyle name="Normal 9 4 2 3 5" xfId="19380" xr:uid="{00000000-0005-0000-0000-0000BB530000}"/>
    <cellStyle name="Normal 9 4 2 4" xfId="9560" xr:uid="{00000000-0005-0000-0000-0000BC530000}"/>
    <cellStyle name="Normal 9 4 2 4 2" xfId="15985" xr:uid="{00000000-0005-0000-0000-0000BD530000}"/>
    <cellStyle name="Normal 9 4 2 4 3" xfId="20123" xr:uid="{00000000-0005-0000-0000-0000BE530000}"/>
    <cellStyle name="Normal 9 4 2 5" xfId="11779" xr:uid="{00000000-0005-0000-0000-0000BF530000}"/>
    <cellStyle name="Normal 9 4 2 5 2" xfId="15984" xr:uid="{00000000-0005-0000-0000-0000C0530000}"/>
    <cellStyle name="Normal 9 4 2 5 3" xfId="22342" xr:uid="{00000000-0005-0000-0000-0000C1530000}"/>
    <cellStyle name="Normal 9 4 2 6" xfId="13998" xr:uid="{00000000-0005-0000-0000-0000C2530000}"/>
    <cellStyle name="Normal 9 4 2 6 2" xfId="15983" xr:uid="{00000000-0005-0000-0000-0000C3530000}"/>
    <cellStyle name="Normal 9 4 2 6 3" xfId="24561" xr:uid="{00000000-0005-0000-0000-0000C4530000}"/>
    <cellStyle name="Normal 9 4 2 7" xfId="15982" xr:uid="{00000000-0005-0000-0000-0000C5530000}"/>
    <cellStyle name="Normal 9 4 2 8" xfId="15986" xr:uid="{00000000-0005-0000-0000-0000C6530000}"/>
    <cellStyle name="Normal 9 4 2 9" xfId="17904" xr:uid="{00000000-0005-0000-0000-0000C7530000}"/>
    <cellStyle name="Normal 9 4 3" xfId="4134" xr:uid="{00000000-0005-0000-0000-0000C8530000}"/>
    <cellStyle name="Normal 9 4 3 2" xfId="4135" xr:uid="{00000000-0005-0000-0000-0000C9530000}"/>
    <cellStyle name="Normal 9 4 4" xfId="4136" xr:uid="{00000000-0005-0000-0000-0000CA530000}"/>
    <cellStyle name="Normal 9 5" xfId="4137" xr:uid="{00000000-0005-0000-0000-0000CB530000}"/>
    <cellStyle name="Normal 9 5 2" xfId="4138" xr:uid="{00000000-0005-0000-0000-0000CC530000}"/>
    <cellStyle name="Normal 9 5 3" xfId="4139" xr:uid="{00000000-0005-0000-0000-0000CD530000}"/>
    <cellStyle name="Normal 9 6" xfId="4140" xr:uid="{00000000-0005-0000-0000-0000CE530000}"/>
    <cellStyle name="Normal 9 6 2" xfId="15981" xr:uid="{00000000-0005-0000-0000-0000CF530000}"/>
    <cellStyle name="Normal 9 7" xfId="4141" xr:uid="{00000000-0005-0000-0000-0000D0530000}"/>
    <cellStyle name="Normal 9 7 2" xfId="15980" xr:uid="{00000000-0005-0000-0000-0000D1530000}"/>
    <cellStyle name="Normal GHG Textfiels Bold" xfId="4142" xr:uid="{00000000-0005-0000-0000-0000D2530000}"/>
    <cellStyle name="Normal GHG-Shade 2" xfId="4143" xr:uid="{00000000-0005-0000-0000-0000D3530000}"/>
    <cellStyle name="Normal GHG-Shade 2 2" xfId="4144" xr:uid="{00000000-0005-0000-0000-0000D4530000}"/>
    <cellStyle name="Normale_B2020" xfId="11" xr:uid="{00000000-0005-0000-0000-0000D5530000}"/>
    <cellStyle name="Note 10" xfId="2890" xr:uid="{00000000-0005-0000-0000-0000D6530000}"/>
    <cellStyle name="Note 10 2" xfId="2891" xr:uid="{00000000-0005-0000-0000-0000D7530000}"/>
    <cellStyle name="Note 10 3" xfId="2892" xr:uid="{00000000-0005-0000-0000-0000D8530000}"/>
    <cellStyle name="Note 10 4" xfId="2893" xr:uid="{00000000-0005-0000-0000-0000D9530000}"/>
    <cellStyle name="Note 10 5" xfId="2894" xr:uid="{00000000-0005-0000-0000-0000DA530000}"/>
    <cellStyle name="Note 10 6" xfId="2895" xr:uid="{00000000-0005-0000-0000-0000DB530000}"/>
    <cellStyle name="Note 10 7" xfId="2896" xr:uid="{00000000-0005-0000-0000-0000DC530000}"/>
    <cellStyle name="Note 10 8" xfId="2897" xr:uid="{00000000-0005-0000-0000-0000DD530000}"/>
    <cellStyle name="Note 10 9" xfId="2898" xr:uid="{00000000-0005-0000-0000-0000DE530000}"/>
    <cellStyle name="Note 11" xfId="2899" xr:uid="{00000000-0005-0000-0000-0000DF530000}"/>
    <cellStyle name="Note 11 2" xfId="2900" xr:uid="{00000000-0005-0000-0000-0000E0530000}"/>
    <cellStyle name="Note 11 3" xfId="2901" xr:uid="{00000000-0005-0000-0000-0000E1530000}"/>
    <cellStyle name="Note 11 4" xfId="2902" xr:uid="{00000000-0005-0000-0000-0000E2530000}"/>
    <cellStyle name="Note 11 5" xfId="2903" xr:uid="{00000000-0005-0000-0000-0000E3530000}"/>
    <cellStyle name="Note 12" xfId="2904" xr:uid="{00000000-0005-0000-0000-0000E4530000}"/>
    <cellStyle name="Note 12 2" xfId="2905" xr:uid="{00000000-0005-0000-0000-0000E5530000}"/>
    <cellStyle name="Note 12 3" xfId="2906" xr:uid="{00000000-0005-0000-0000-0000E6530000}"/>
    <cellStyle name="Note 12 4" xfId="2907" xr:uid="{00000000-0005-0000-0000-0000E7530000}"/>
    <cellStyle name="Note 12 5" xfId="2908" xr:uid="{00000000-0005-0000-0000-0000E8530000}"/>
    <cellStyle name="Note 13" xfId="2909" xr:uid="{00000000-0005-0000-0000-0000E9530000}"/>
    <cellStyle name="Note 14" xfId="2910" xr:uid="{00000000-0005-0000-0000-0000EA530000}"/>
    <cellStyle name="Note 15" xfId="2911" xr:uid="{00000000-0005-0000-0000-0000EB530000}"/>
    <cellStyle name="Note 16" xfId="2912" xr:uid="{00000000-0005-0000-0000-0000EC530000}"/>
    <cellStyle name="Note 17" xfId="2913" xr:uid="{00000000-0005-0000-0000-0000ED530000}"/>
    <cellStyle name="Note 18" xfId="2914" xr:uid="{00000000-0005-0000-0000-0000EE530000}"/>
    <cellStyle name="Note 19" xfId="2915" xr:uid="{00000000-0005-0000-0000-0000EF530000}"/>
    <cellStyle name="Note 2" xfId="2916" xr:uid="{00000000-0005-0000-0000-0000F0530000}"/>
    <cellStyle name="Note 2 10" xfId="2917" xr:uid="{00000000-0005-0000-0000-0000F1530000}"/>
    <cellStyle name="Note 2 10 2" xfId="2918" xr:uid="{00000000-0005-0000-0000-0000F2530000}"/>
    <cellStyle name="Note 2 10 3" xfId="2919" xr:uid="{00000000-0005-0000-0000-0000F3530000}"/>
    <cellStyle name="Note 2 10 4" xfId="2920" xr:uid="{00000000-0005-0000-0000-0000F4530000}"/>
    <cellStyle name="Note 2 10 5" xfId="2921" xr:uid="{00000000-0005-0000-0000-0000F5530000}"/>
    <cellStyle name="Note 2 11" xfId="2922" xr:uid="{00000000-0005-0000-0000-0000F6530000}"/>
    <cellStyle name="Note 2 11 2" xfId="2923" xr:uid="{00000000-0005-0000-0000-0000F7530000}"/>
    <cellStyle name="Note 2 11 3" xfId="2924" xr:uid="{00000000-0005-0000-0000-0000F8530000}"/>
    <cellStyle name="Note 2 11 4" xfId="2925" xr:uid="{00000000-0005-0000-0000-0000F9530000}"/>
    <cellStyle name="Note 2 11 5" xfId="2926" xr:uid="{00000000-0005-0000-0000-0000FA530000}"/>
    <cellStyle name="Note 2 12" xfId="2927" xr:uid="{00000000-0005-0000-0000-0000FB530000}"/>
    <cellStyle name="Note 2 13" xfId="2928" xr:uid="{00000000-0005-0000-0000-0000FC530000}"/>
    <cellStyle name="Note 2 14" xfId="2929" xr:uid="{00000000-0005-0000-0000-0000FD530000}"/>
    <cellStyle name="Note 2 15" xfId="2930" xr:uid="{00000000-0005-0000-0000-0000FE530000}"/>
    <cellStyle name="Note 2 16" xfId="2931" xr:uid="{00000000-0005-0000-0000-0000FF530000}"/>
    <cellStyle name="Note 2 17" xfId="2932" xr:uid="{00000000-0005-0000-0000-000000540000}"/>
    <cellStyle name="Note 2 18" xfId="2933" xr:uid="{00000000-0005-0000-0000-000001540000}"/>
    <cellStyle name="Note 2 19" xfId="2934" xr:uid="{00000000-0005-0000-0000-000002540000}"/>
    <cellStyle name="Note 2 2" xfId="2935" xr:uid="{00000000-0005-0000-0000-000003540000}"/>
    <cellStyle name="Note 2 2 2" xfId="2936" xr:uid="{00000000-0005-0000-0000-000004540000}"/>
    <cellStyle name="Note 2 2 3" xfId="2937" xr:uid="{00000000-0005-0000-0000-000005540000}"/>
    <cellStyle name="Note 2 2 4" xfId="2938" xr:uid="{00000000-0005-0000-0000-000006540000}"/>
    <cellStyle name="Note 2 2 5" xfId="2939" xr:uid="{00000000-0005-0000-0000-000007540000}"/>
    <cellStyle name="Note 2 2 6" xfId="2940" xr:uid="{00000000-0005-0000-0000-000008540000}"/>
    <cellStyle name="Note 2 2 7" xfId="2941" xr:uid="{00000000-0005-0000-0000-000009540000}"/>
    <cellStyle name="Note 2 2 8" xfId="2942" xr:uid="{00000000-0005-0000-0000-00000A540000}"/>
    <cellStyle name="Note 2 2 9" xfId="2943" xr:uid="{00000000-0005-0000-0000-00000B540000}"/>
    <cellStyle name="Note 2 20" xfId="2944" xr:uid="{00000000-0005-0000-0000-00000C540000}"/>
    <cellStyle name="Note 2 21" xfId="2945" xr:uid="{00000000-0005-0000-0000-00000D540000}"/>
    <cellStyle name="Note 2 22" xfId="2946" xr:uid="{00000000-0005-0000-0000-00000E540000}"/>
    <cellStyle name="Note 2 23" xfId="2947" xr:uid="{00000000-0005-0000-0000-00000F540000}"/>
    <cellStyle name="Note 2 24" xfId="2948" xr:uid="{00000000-0005-0000-0000-000010540000}"/>
    <cellStyle name="Note 2 25" xfId="2949" xr:uid="{00000000-0005-0000-0000-000011540000}"/>
    <cellStyle name="Note 2 26" xfId="2950" xr:uid="{00000000-0005-0000-0000-000012540000}"/>
    <cellStyle name="Note 2 3" xfId="2951" xr:uid="{00000000-0005-0000-0000-000013540000}"/>
    <cellStyle name="Note 2 3 2" xfId="2952" xr:uid="{00000000-0005-0000-0000-000014540000}"/>
    <cellStyle name="Note 2 3 3" xfId="2953" xr:uid="{00000000-0005-0000-0000-000015540000}"/>
    <cellStyle name="Note 2 3 4" xfId="2954" xr:uid="{00000000-0005-0000-0000-000016540000}"/>
    <cellStyle name="Note 2 3 5" xfId="2955" xr:uid="{00000000-0005-0000-0000-000017540000}"/>
    <cellStyle name="Note 2 3 6" xfId="2956" xr:uid="{00000000-0005-0000-0000-000018540000}"/>
    <cellStyle name="Note 2 3 7" xfId="2957" xr:uid="{00000000-0005-0000-0000-000019540000}"/>
    <cellStyle name="Note 2 3 8" xfId="2958" xr:uid="{00000000-0005-0000-0000-00001A540000}"/>
    <cellStyle name="Note 2 3 9" xfId="2959" xr:uid="{00000000-0005-0000-0000-00001B540000}"/>
    <cellStyle name="Note 2 4" xfId="2960" xr:uid="{00000000-0005-0000-0000-00001C540000}"/>
    <cellStyle name="Note 2 4 2" xfId="2961" xr:uid="{00000000-0005-0000-0000-00001D540000}"/>
    <cellStyle name="Note 2 4 3" xfId="2962" xr:uid="{00000000-0005-0000-0000-00001E540000}"/>
    <cellStyle name="Note 2 4 4" xfId="2963" xr:uid="{00000000-0005-0000-0000-00001F540000}"/>
    <cellStyle name="Note 2 4 5" xfId="2964" xr:uid="{00000000-0005-0000-0000-000020540000}"/>
    <cellStyle name="Note 2 4 6" xfId="2965" xr:uid="{00000000-0005-0000-0000-000021540000}"/>
    <cellStyle name="Note 2 4 7" xfId="2966" xr:uid="{00000000-0005-0000-0000-000022540000}"/>
    <cellStyle name="Note 2 4 8" xfId="2967" xr:uid="{00000000-0005-0000-0000-000023540000}"/>
    <cellStyle name="Note 2 4 9" xfId="2968" xr:uid="{00000000-0005-0000-0000-000024540000}"/>
    <cellStyle name="Note 2 5" xfId="2969" xr:uid="{00000000-0005-0000-0000-000025540000}"/>
    <cellStyle name="Note 2 5 2" xfId="2970" xr:uid="{00000000-0005-0000-0000-000026540000}"/>
    <cellStyle name="Note 2 5 3" xfId="2971" xr:uid="{00000000-0005-0000-0000-000027540000}"/>
    <cellStyle name="Note 2 5 4" xfId="2972" xr:uid="{00000000-0005-0000-0000-000028540000}"/>
    <cellStyle name="Note 2 5 5" xfId="2973" xr:uid="{00000000-0005-0000-0000-000029540000}"/>
    <cellStyle name="Note 2 5 6" xfId="2974" xr:uid="{00000000-0005-0000-0000-00002A540000}"/>
    <cellStyle name="Note 2 5 7" xfId="2975" xr:uid="{00000000-0005-0000-0000-00002B540000}"/>
    <cellStyle name="Note 2 5 8" xfId="2976" xr:uid="{00000000-0005-0000-0000-00002C540000}"/>
    <cellStyle name="Note 2 5 9" xfId="2977" xr:uid="{00000000-0005-0000-0000-00002D540000}"/>
    <cellStyle name="Note 2 6" xfId="2978" xr:uid="{00000000-0005-0000-0000-00002E540000}"/>
    <cellStyle name="Note 2 6 2" xfId="2979" xr:uid="{00000000-0005-0000-0000-00002F540000}"/>
    <cellStyle name="Note 2 6 3" xfId="2980" xr:uid="{00000000-0005-0000-0000-000030540000}"/>
    <cellStyle name="Note 2 6 4" xfId="2981" xr:uid="{00000000-0005-0000-0000-000031540000}"/>
    <cellStyle name="Note 2 6 5" xfId="2982" xr:uid="{00000000-0005-0000-0000-000032540000}"/>
    <cellStyle name="Note 2 7" xfId="2983" xr:uid="{00000000-0005-0000-0000-000033540000}"/>
    <cellStyle name="Note 2 7 2" xfId="2984" xr:uid="{00000000-0005-0000-0000-000034540000}"/>
    <cellStyle name="Note 2 7 3" xfId="2985" xr:uid="{00000000-0005-0000-0000-000035540000}"/>
    <cellStyle name="Note 2 7 4" xfId="2986" xr:uid="{00000000-0005-0000-0000-000036540000}"/>
    <cellStyle name="Note 2 7 5" xfId="2987" xr:uid="{00000000-0005-0000-0000-000037540000}"/>
    <cellStyle name="Note 2 8" xfId="2988" xr:uid="{00000000-0005-0000-0000-000038540000}"/>
    <cellStyle name="Note 2 8 2" xfId="2989" xr:uid="{00000000-0005-0000-0000-000039540000}"/>
    <cellStyle name="Note 2 8 3" xfId="2990" xr:uid="{00000000-0005-0000-0000-00003A540000}"/>
    <cellStyle name="Note 2 8 4" xfId="2991" xr:uid="{00000000-0005-0000-0000-00003B540000}"/>
    <cellStyle name="Note 2 8 5" xfId="2992" xr:uid="{00000000-0005-0000-0000-00003C540000}"/>
    <cellStyle name="Note 2 9" xfId="2993" xr:uid="{00000000-0005-0000-0000-00003D540000}"/>
    <cellStyle name="Note 2 9 2" xfId="2994" xr:uid="{00000000-0005-0000-0000-00003E540000}"/>
    <cellStyle name="Note 2 9 3" xfId="2995" xr:uid="{00000000-0005-0000-0000-00003F540000}"/>
    <cellStyle name="Note 2 9 4" xfId="2996" xr:uid="{00000000-0005-0000-0000-000040540000}"/>
    <cellStyle name="Note 2 9 5" xfId="2997" xr:uid="{00000000-0005-0000-0000-000041540000}"/>
    <cellStyle name="Note 20" xfId="2998" xr:uid="{00000000-0005-0000-0000-000042540000}"/>
    <cellStyle name="Note 21" xfId="2999" xr:uid="{00000000-0005-0000-0000-000043540000}"/>
    <cellStyle name="Note 22" xfId="3000" xr:uid="{00000000-0005-0000-0000-000044540000}"/>
    <cellStyle name="Note 23" xfId="3001" xr:uid="{00000000-0005-0000-0000-000045540000}"/>
    <cellStyle name="Note 24" xfId="3002" xr:uid="{00000000-0005-0000-0000-000046540000}"/>
    <cellStyle name="Note 25" xfId="3003" xr:uid="{00000000-0005-0000-0000-000047540000}"/>
    <cellStyle name="Note 26" xfId="3004" xr:uid="{00000000-0005-0000-0000-000048540000}"/>
    <cellStyle name="Note 27" xfId="3005" xr:uid="{00000000-0005-0000-0000-000049540000}"/>
    <cellStyle name="Note 28" xfId="3006" xr:uid="{00000000-0005-0000-0000-00004A540000}"/>
    <cellStyle name="Note 29" xfId="3007" xr:uid="{00000000-0005-0000-0000-00004B540000}"/>
    <cellStyle name="Note 3" xfId="3008" xr:uid="{00000000-0005-0000-0000-00004C540000}"/>
    <cellStyle name="Note 3 10" xfId="3009" xr:uid="{00000000-0005-0000-0000-00004D540000}"/>
    <cellStyle name="Note 3 11" xfId="3010" xr:uid="{00000000-0005-0000-0000-00004E540000}"/>
    <cellStyle name="Note 3 12" xfId="3011" xr:uid="{00000000-0005-0000-0000-00004F540000}"/>
    <cellStyle name="Note 3 13" xfId="3012" xr:uid="{00000000-0005-0000-0000-000050540000}"/>
    <cellStyle name="Note 3 14" xfId="3013" xr:uid="{00000000-0005-0000-0000-000051540000}"/>
    <cellStyle name="Note 3 15" xfId="3014" xr:uid="{00000000-0005-0000-0000-000052540000}"/>
    <cellStyle name="Note 3 16" xfId="3015" xr:uid="{00000000-0005-0000-0000-000053540000}"/>
    <cellStyle name="Note 3 17" xfId="3016" xr:uid="{00000000-0005-0000-0000-000054540000}"/>
    <cellStyle name="Note 3 18" xfId="3017" xr:uid="{00000000-0005-0000-0000-000055540000}"/>
    <cellStyle name="Note 3 19" xfId="3018" xr:uid="{00000000-0005-0000-0000-000056540000}"/>
    <cellStyle name="Note 3 2" xfId="3019" xr:uid="{00000000-0005-0000-0000-000057540000}"/>
    <cellStyle name="Note 3 20" xfId="3020" xr:uid="{00000000-0005-0000-0000-000058540000}"/>
    <cellStyle name="Note 3 3" xfId="3021" xr:uid="{00000000-0005-0000-0000-000059540000}"/>
    <cellStyle name="Note 3 4" xfId="3022" xr:uid="{00000000-0005-0000-0000-00005A540000}"/>
    <cellStyle name="Note 3 5" xfId="3023" xr:uid="{00000000-0005-0000-0000-00005B540000}"/>
    <cellStyle name="Note 3 6" xfId="3024" xr:uid="{00000000-0005-0000-0000-00005C540000}"/>
    <cellStyle name="Note 3 7" xfId="3025" xr:uid="{00000000-0005-0000-0000-00005D540000}"/>
    <cellStyle name="Note 3 8" xfId="3026" xr:uid="{00000000-0005-0000-0000-00005E540000}"/>
    <cellStyle name="Note 3 9" xfId="3027" xr:uid="{00000000-0005-0000-0000-00005F540000}"/>
    <cellStyle name="Note 30" xfId="3028" xr:uid="{00000000-0005-0000-0000-000060540000}"/>
    <cellStyle name="Note 31" xfId="3029" xr:uid="{00000000-0005-0000-0000-000061540000}"/>
    <cellStyle name="Note 32" xfId="3030" xr:uid="{00000000-0005-0000-0000-000062540000}"/>
    <cellStyle name="Note 33" xfId="3031" xr:uid="{00000000-0005-0000-0000-000063540000}"/>
    <cellStyle name="Note 34" xfId="3032" xr:uid="{00000000-0005-0000-0000-000064540000}"/>
    <cellStyle name="Note 35" xfId="3033" xr:uid="{00000000-0005-0000-0000-000065540000}"/>
    <cellStyle name="Note 36" xfId="3034" xr:uid="{00000000-0005-0000-0000-000066540000}"/>
    <cellStyle name="Note 37" xfId="3035" xr:uid="{00000000-0005-0000-0000-000067540000}"/>
    <cellStyle name="Note 38" xfId="3036" xr:uid="{00000000-0005-0000-0000-000068540000}"/>
    <cellStyle name="Note 4" xfId="3037" xr:uid="{00000000-0005-0000-0000-000069540000}"/>
    <cellStyle name="Note 4 10" xfId="3038" xr:uid="{00000000-0005-0000-0000-00006A540000}"/>
    <cellStyle name="Note 4 11" xfId="3039" xr:uid="{00000000-0005-0000-0000-00006B540000}"/>
    <cellStyle name="Note 4 12" xfId="3040" xr:uid="{00000000-0005-0000-0000-00006C540000}"/>
    <cellStyle name="Note 4 13" xfId="3041" xr:uid="{00000000-0005-0000-0000-00006D540000}"/>
    <cellStyle name="Note 4 14" xfId="3042" xr:uid="{00000000-0005-0000-0000-00006E540000}"/>
    <cellStyle name="Note 4 15" xfId="3043" xr:uid="{00000000-0005-0000-0000-00006F540000}"/>
    <cellStyle name="Note 4 16" xfId="3044" xr:uid="{00000000-0005-0000-0000-000070540000}"/>
    <cellStyle name="Note 4 17" xfId="3045" xr:uid="{00000000-0005-0000-0000-000071540000}"/>
    <cellStyle name="Note 4 18" xfId="3046" xr:uid="{00000000-0005-0000-0000-000072540000}"/>
    <cellStyle name="Note 4 19" xfId="3047" xr:uid="{00000000-0005-0000-0000-000073540000}"/>
    <cellStyle name="Note 4 2" xfId="3048" xr:uid="{00000000-0005-0000-0000-000074540000}"/>
    <cellStyle name="Note 4 20" xfId="3049" xr:uid="{00000000-0005-0000-0000-000075540000}"/>
    <cellStyle name="Note 4 3" xfId="3050" xr:uid="{00000000-0005-0000-0000-000076540000}"/>
    <cellStyle name="Note 4 4" xfId="3051" xr:uid="{00000000-0005-0000-0000-000077540000}"/>
    <cellStyle name="Note 4 5" xfId="3052" xr:uid="{00000000-0005-0000-0000-000078540000}"/>
    <cellStyle name="Note 4 6" xfId="3053" xr:uid="{00000000-0005-0000-0000-000079540000}"/>
    <cellStyle name="Note 4 7" xfId="3054" xr:uid="{00000000-0005-0000-0000-00007A540000}"/>
    <cellStyle name="Note 4 8" xfId="3055" xr:uid="{00000000-0005-0000-0000-00007B540000}"/>
    <cellStyle name="Note 4 9" xfId="3056" xr:uid="{00000000-0005-0000-0000-00007C540000}"/>
    <cellStyle name="Note 5" xfId="3057" xr:uid="{00000000-0005-0000-0000-00007D540000}"/>
    <cellStyle name="Note 5 10" xfId="3058" xr:uid="{00000000-0005-0000-0000-00007E540000}"/>
    <cellStyle name="Note 5 11" xfId="3059" xr:uid="{00000000-0005-0000-0000-00007F540000}"/>
    <cellStyle name="Note 5 12" xfId="3060" xr:uid="{00000000-0005-0000-0000-000080540000}"/>
    <cellStyle name="Note 5 13" xfId="3061" xr:uid="{00000000-0005-0000-0000-000081540000}"/>
    <cellStyle name="Note 5 14" xfId="3062" xr:uid="{00000000-0005-0000-0000-000082540000}"/>
    <cellStyle name="Note 5 15" xfId="3063" xr:uid="{00000000-0005-0000-0000-000083540000}"/>
    <cellStyle name="Note 5 16" xfId="3064" xr:uid="{00000000-0005-0000-0000-000084540000}"/>
    <cellStyle name="Note 5 17" xfId="3065" xr:uid="{00000000-0005-0000-0000-000085540000}"/>
    <cellStyle name="Note 5 18" xfId="3066" xr:uid="{00000000-0005-0000-0000-000086540000}"/>
    <cellStyle name="Note 5 19" xfId="3067" xr:uid="{00000000-0005-0000-0000-000087540000}"/>
    <cellStyle name="Note 5 2" xfId="3068" xr:uid="{00000000-0005-0000-0000-000088540000}"/>
    <cellStyle name="Note 5 20" xfId="3069" xr:uid="{00000000-0005-0000-0000-000089540000}"/>
    <cellStyle name="Note 5 3" xfId="3070" xr:uid="{00000000-0005-0000-0000-00008A540000}"/>
    <cellStyle name="Note 5 4" xfId="3071" xr:uid="{00000000-0005-0000-0000-00008B540000}"/>
    <cellStyle name="Note 5 5" xfId="3072" xr:uid="{00000000-0005-0000-0000-00008C540000}"/>
    <cellStyle name="Note 5 6" xfId="3073" xr:uid="{00000000-0005-0000-0000-00008D540000}"/>
    <cellStyle name="Note 5 7" xfId="3074" xr:uid="{00000000-0005-0000-0000-00008E540000}"/>
    <cellStyle name="Note 5 8" xfId="3075" xr:uid="{00000000-0005-0000-0000-00008F540000}"/>
    <cellStyle name="Note 5 9" xfId="3076" xr:uid="{00000000-0005-0000-0000-000090540000}"/>
    <cellStyle name="Note 6" xfId="3077" xr:uid="{00000000-0005-0000-0000-000091540000}"/>
    <cellStyle name="Note 6 10" xfId="3078" xr:uid="{00000000-0005-0000-0000-000092540000}"/>
    <cellStyle name="Note 6 11" xfId="3079" xr:uid="{00000000-0005-0000-0000-000093540000}"/>
    <cellStyle name="Note 6 12" xfId="3080" xr:uid="{00000000-0005-0000-0000-000094540000}"/>
    <cellStyle name="Note 6 13" xfId="3081" xr:uid="{00000000-0005-0000-0000-000095540000}"/>
    <cellStyle name="Note 6 14" xfId="3082" xr:uid="{00000000-0005-0000-0000-000096540000}"/>
    <cellStyle name="Note 6 15" xfId="3083" xr:uid="{00000000-0005-0000-0000-000097540000}"/>
    <cellStyle name="Note 6 16" xfId="3084" xr:uid="{00000000-0005-0000-0000-000098540000}"/>
    <cellStyle name="Note 6 17" xfId="3085" xr:uid="{00000000-0005-0000-0000-000099540000}"/>
    <cellStyle name="Note 6 18" xfId="3086" xr:uid="{00000000-0005-0000-0000-00009A540000}"/>
    <cellStyle name="Note 6 19" xfId="3087" xr:uid="{00000000-0005-0000-0000-00009B540000}"/>
    <cellStyle name="Note 6 2" xfId="3088" xr:uid="{00000000-0005-0000-0000-00009C540000}"/>
    <cellStyle name="Note 6 3" xfId="3089" xr:uid="{00000000-0005-0000-0000-00009D540000}"/>
    <cellStyle name="Note 6 4" xfId="3090" xr:uid="{00000000-0005-0000-0000-00009E540000}"/>
    <cellStyle name="Note 6 5" xfId="3091" xr:uid="{00000000-0005-0000-0000-00009F540000}"/>
    <cellStyle name="Note 6 6" xfId="3092" xr:uid="{00000000-0005-0000-0000-0000A0540000}"/>
    <cellStyle name="Note 6 7" xfId="3093" xr:uid="{00000000-0005-0000-0000-0000A1540000}"/>
    <cellStyle name="Note 6 8" xfId="3094" xr:uid="{00000000-0005-0000-0000-0000A2540000}"/>
    <cellStyle name="Note 6 9" xfId="3095" xr:uid="{00000000-0005-0000-0000-0000A3540000}"/>
    <cellStyle name="Note 7" xfId="3096" xr:uid="{00000000-0005-0000-0000-0000A4540000}"/>
    <cellStyle name="Note 7 10" xfId="3097" xr:uid="{00000000-0005-0000-0000-0000A5540000}"/>
    <cellStyle name="Note 7 11" xfId="3098" xr:uid="{00000000-0005-0000-0000-0000A6540000}"/>
    <cellStyle name="Note 7 12" xfId="3099" xr:uid="{00000000-0005-0000-0000-0000A7540000}"/>
    <cellStyle name="Note 7 13" xfId="3100" xr:uid="{00000000-0005-0000-0000-0000A8540000}"/>
    <cellStyle name="Note 7 14" xfId="3101" xr:uid="{00000000-0005-0000-0000-0000A9540000}"/>
    <cellStyle name="Note 7 15" xfId="3102" xr:uid="{00000000-0005-0000-0000-0000AA540000}"/>
    <cellStyle name="Note 7 16" xfId="3103" xr:uid="{00000000-0005-0000-0000-0000AB540000}"/>
    <cellStyle name="Note 7 17" xfId="3104" xr:uid="{00000000-0005-0000-0000-0000AC540000}"/>
    <cellStyle name="Note 7 18" xfId="3105" xr:uid="{00000000-0005-0000-0000-0000AD540000}"/>
    <cellStyle name="Note 7 2" xfId="3106" xr:uid="{00000000-0005-0000-0000-0000AE540000}"/>
    <cellStyle name="Note 7 3" xfId="3107" xr:uid="{00000000-0005-0000-0000-0000AF540000}"/>
    <cellStyle name="Note 7 4" xfId="3108" xr:uid="{00000000-0005-0000-0000-0000B0540000}"/>
    <cellStyle name="Note 7 5" xfId="3109" xr:uid="{00000000-0005-0000-0000-0000B1540000}"/>
    <cellStyle name="Note 7 6" xfId="3110" xr:uid="{00000000-0005-0000-0000-0000B2540000}"/>
    <cellStyle name="Note 7 7" xfId="3111" xr:uid="{00000000-0005-0000-0000-0000B3540000}"/>
    <cellStyle name="Note 7 8" xfId="3112" xr:uid="{00000000-0005-0000-0000-0000B4540000}"/>
    <cellStyle name="Note 7 9" xfId="3113" xr:uid="{00000000-0005-0000-0000-0000B5540000}"/>
    <cellStyle name="Note 8" xfId="3114" xr:uid="{00000000-0005-0000-0000-0000B6540000}"/>
    <cellStyle name="Note 8 10" xfId="3115" xr:uid="{00000000-0005-0000-0000-0000B7540000}"/>
    <cellStyle name="Note 8 11" xfId="3116" xr:uid="{00000000-0005-0000-0000-0000B8540000}"/>
    <cellStyle name="Note 8 12" xfId="3117" xr:uid="{00000000-0005-0000-0000-0000B9540000}"/>
    <cellStyle name="Note 8 13" xfId="3118" xr:uid="{00000000-0005-0000-0000-0000BA540000}"/>
    <cellStyle name="Note 8 14" xfId="3119" xr:uid="{00000000-0005-0000-0000-0000BB540000}"/>
    <cellStyle name="Note 8 15" xfId="3120" xr:uid="{00000000-0005-0000-0000-0000BC540000}"/>
    <cellStyle name="Note 8 16" xfId="3121" xr:uid="{00000000-0005-0000-0000-0000BD540000}"/>
    <cellStyle name="Note 8 17" xfId="3122" xr:uid="{00000000-0005-0000-0000-0000BE540000}"/>
    <cellStyle name="Note 8 18" xfId="3123" xr:uid="{00000000-0005-0000-0000-0000BF540000}"/>
    <cellStyle name="Note 8 2" xfId="3124" xr:uid="{00000000-0005-0000-0000-0000C0540000}"/>
    <cellStyle name="Note 8 3" xfId="3125" xr:uid="{00000000-0005-0000-0000-0000C1540000}"/>
    <cellStyle name="Note 8 4" xfId="3126" xr:uid="{00000000-0005-0000-0000-0000C2540000}"/>
    <cellStyle name="Note 8 5" xfId="3127" xr:uid="{00000000-0005-0000-0000-0000C3540000}"/>
    <cellStyle name="Note 8 6" xfId="3128" xr:uid="{00000000-0005-0000-0000-0000C4540000}"/>
    <cellStyle name="Note 8 7" xfId="3129" xr:uid="{00000000-0005-0000-0000-0000C5540000}"/>
    <cellStyle name="Note 8 8" xfId="3130" xr:uid="{00000000-0005-0000-0000-0000C6540000}"/>
    <cellStyle name="Note 8 9" xfId="3131" xr:uid="{00000000-0005-0000-0000-0000C7540000}"/>
    <cellStyle name="Note 9" xfId="3132" xr:uid="{00000000-0005-0000-0000-0000C8540000}"/>
    <cellStyle name="Note 9 10" xfId="3133" xr:uid="{00000000-0005-0000-0000-0000C9540000}"/>
    <cellStyle name="Note 9 11" xfId="3134" xr:uid="{00000000-0005-0000-0000-0000CA540000}"/>
    <cellStyle name="Note 9 12" xfId="3135" xr:uid="{00000000-0005-0000-0000-0000CB540000}"/>
    <cellStyle name="Note 9 13" xfId="3136" xr:uid="{00000000-0005-0000-0000-0000CC540000}"/>
    <cellStyle name="Note 9 2" xfId="3137" xr:uid="{00000000-0005-0000-0000-0000CD540000}"/>
    <cellStyle name="Note 9 3" xfId="3138" xr:uid="{00000000-0005-0000-0000-0000CE540000}"/>
    <cellStyle name="Note 9 4" xfId="3139" xr:uid="{00000000-0005-0000-0000-0000CF540000}"/>
    <cellStyle name="Note 9 5" xfId="3140" xr:uid="{00000000-0005-0000-0000-0000D0540000}"/>
    <cellStyle name="Note 9 6" xfId="3141" xr:uid="{00000000-0005-0000-0000-0000D1540000}"/>
    <cellStyle name="Note 9 7" xfId="3142" xr:uid="{00000000-0005-0000-0000-0000D2540000}"/>
    <cellStyle name="Note 9 8" xfId="3143" xr:uid="{00000000-0005-0000-0000-0000D3540000}"/>
    <cellStyle name="Note 9 9" xfId="3144" xr:uid="{00000000-0005-0000-0000-0000D4540000}"/>
    <cellStyle name="Notiz" xfId="3823" xr:uid="{00000000-0005-0000-0000-0000D5540000}"/>
    <cellStyle name="Notiz 10" xfId="4145" xr:uid="{00000000-0005-0000-0000-0000D6540000}"/>
    <cellStyle name="Notiz 11" xfId="4146" xr:uid="{00000000-0005-0000-0000-0000D7540000}"/>
    <cellStyle name="Notiz 12" xfId="4147" xr:uid="{00000000-0005-0000-0000-0000D8540000}"/>
    <cellStyle name="Notiz 2" xfId="4148" xr:uid="{00000000-0005-0000-0000-0000D9540000}"/>
    <cellStyle name="Notiz 2 2" xfId="4149" xr:uid="{00000000-0005-0000-0000-0000DA540000}"/>
    <cellStyle name="Notiz 3" xfId="4150" xr:uid="{00000000-0005-0000-0000-0000DB540000}"/>
    <cellStyle name="Notiz 3 2" xfId="4151" xr:uid="{00000000-0005-0000-0000-0000DC540000}"/>
    <cellStyle name="Notiz 3 2 2" xfId="4152" xr:uid="{00000000-0005-0000-0000-0000DD540000}"/>
    <cellStyle name="Notiz 3 2 3" xfId="4153" xr:uid="{00000000-0005-0000-0000-0000DE540000}"/>
    <cellStyle name="Notiz 3 3" xfId="4154" xr:uid="{00000000-0005-0000-0000-0000DF540000}"/>
    <cellStyle name="Notiz 3 3 2" xfId="4155" xr:uid="{00000000-0005-0000-0000-0000E0540000}"/>
    <cellStyle name="Notiz 3 3 2 2" xfId="4156" xr:uid="{00000000-0005-0000-0000-0000E1540000}"/>
    <cellStyle name="Notiz 3 3 3" xfId="4157" xr:uid="{00000000-0005-0000-0000-0000E2540000}"/>
    <cellStyle name="Notiz 3 3 3 2" xfId="4158" xr:uid="{00000000-0005-0000-0000-0000E3540000}"/>
    <cellStyle name="Notiz 3 3 3 3" xfId="4159" xr:uid="{00000000-0005-0000-0000-0000E4540000}"/>
    <cellStyle name="Notiz 3 3 4" xfId="4160" xr:uid="{00000000-0005-0000-0000-0000E5540000}"/>
    <cellStyle name="Notiz 3 3 4 2" xfId="4161" xr:uid="{00000000-0005-0000-0000-0000E6540000}"/>
    <cellStyle name="Notiz 3 3 5" xfId="4162" xr:uid="{00000000-0005-0000-0000-0000E7540000}"/>
    <cellStyle name="Notiz 3 4" xfId="4163" xr:uid="{00000000-0005-0000-0000-0000E8540000}"/>
    <cellStyle name="Notiz 3 4 2" xfId="15979" xr:uid="{00000000-0005-0000-0000-0000E9540000}"/>
    <cellStyle name="Notiz 3 5" xfId="4164" xr:uid="{00000000-0005-0000-0000-0000EA540000}"/>
    <cellStyle name="Notiz 4" xfId="4165" xr:uid="{00000000-0005-0000-0000-0000EB540000}"/>
    <cellStyle name="Notiz 4 2" xfId="4166" xr:uid="{00000000-0005-0000-0000-0000EC540000}"/>
    <cellStyle name="Notiz 4 2 2" xfId="4167" xr:uid="{00000000-0005-0000-0000-0000ED540000}"/>
    <cellStyle name="Notiz 4 2 2 2" xfId="4168" xr:uid="{00000000-0005-0000-0000-0000EE540000}"/>
    <cellStyle name="Notiz 4 2 3" xfId="4169" xr:uid="{00000000-0005-0000-0000-0000EF540000}"/>
    <cellStyle name="Notiz 4 2 3 2" xfId="4170" xr:uid="{00000000-0005-0000-0000-0000F0540000}"/>
    <cellStyle name="Notiz 4 2 3 3" xfId="4171" xr:uid="{00000000-0005-0000-0000-0000F1540000}"/>
    <cellStyle name="Notiz 4 2 4" xfId="4172" xr:uid="{00000000-0005-0000-0000-0000F2540000}"/>
    <cellStyle name="Notiz 4 2 4 2" xfId="4173" xr:uid="{00000000-0005-0000-0000-0000F3540000}"/>
    <cellStyle name="Notiz 4 2 5" xfId="4174" xr:uid="{00000000-0005-0000-0000-0000F4540000}"/>
    <cellStyle name="Notiz 4 3" xfId="4175" xr:uid="{00000000-0005-0000-0000-0000F5540000}"/>
    <cellStyle name="Notiz 4 3 2" xfId="4176" xr:uid="{00000000-0005-0000-0000-0000F6540000}"/>
    <cellStyle name="Notiz 4 4" xfId="4177" xr:uid="{00000000-0005-0000-0000-0000F7540000}"/>
    <cellStyle name="Notiz 4 4 2" xfId="15978" xr:uid="{00000000-0005-0000-0000-0000F8540000}"/>
    <cellStyle name="Notiz 4 5" xfId="4178" xr:uid="{00000000-0005-0000-0000-0000F9540000}"/>
    <cellStyle name="Notiz 5" xfId="4179" xr:uid="{00000000-0005-0000-0000-0000FA540000}"/>
    <cellStyle name="Notiz 5 2" xfId="4180" xr:uid="{00000000-0005-0000-0000-0000FB540000}"/>
    <cellStyle name="Notiz 5 2 2" xfId="4181" xr:uid="{00000000-0005-0000-0000-0000FC540000}"/>
    <cellStyle name="Notiz 5 2 2 2" xfId="4182" xr:uid="{00000000-0005-0000-0000-0000FD540000}"/>
    <cellStyle name="Notiz 5 2 3" xfId="4183" xr:uid="{00000000-0005-0000-0000-0000FE540000}"/>
    <cellStyle name="Notiz 5 2 3 2" xfId="4184" xr:uid="{00000000-0005-0000-0000-0000FF540000}"/>
    <cellStyle name="Notiz 5 2 3 3" xfId="4185" xr:uid="{00000000-0005-0000-0000-000000550000}"/>
    <cellStyle name="Notiz 5 2 4" xfId="4186" xr:uid="{00000000-0005-0000-0000-000001550000}"/>
    <cellStyle name="Notiz 5 2 4 2" xfId="15977" xr:uid="{00000000-0005-0000-0000-000002550000}"/>
    <cellStyle name="Notiz 5 2 5" xfId="4187" xr:uid="{00000000-0005-0000-0000-000003550000}"/>
    <cellStyle name="Notiz 5 3" xfId="4188" xr:uid="{00000000-0005-0000-0000-000004550000}"/>
    <cellStyle name="Notiz 5 3 2" xfId="4189" xr:uid="{00000000-0005-0000-0000-000005550000}"/>
    <cellStyle name="Notiz 5 4" xfId="4190" xr:uid="{00000000-0005-0000-0000-000006550000}"/>
    <cellStyle name="Notiz 5 5" xfId="4191" xr:uid="{00000000-0005-0000-0000-000007550000}"/>
    <cellStyle name="Notiz 6" xfId="4192" xr:uid="{00000000-0005-0000-0000-000008550000}"/>
    <cellStyle name="Notiz 6 2" xfId="4193" xr:uid="{00000000-0005-0000-0000-000009550000}"/>
    <cellStyle name="Notiz 6 2 2" xfId="4194" xr:uid="{00000000-0005-0000-0000-00000A550000}"/>
    <cellStyle name="Notiz 6 3" xfId="4195" xr:uid="{00000000-0005-0000-0000-00000B550000}"/>
    <cellStyle name="Notiz 6 3 2" xfId="4196" xr:uid="{00000000-0005-0000-0000-00000C550000}"/>
    <cellStyle name="Notiz 6 3 3" xfId="4197" xr:uid="{00000000-0005-0000-0000-00000D550000}"/>
    <cellStyle name="Notiz 6 4" xfId="4198" xr:uid="{00000000-0005-0000-0000-00000E550000}"/>
    <cellStyle name="Notiz 6 4 2" xfId="4199" xr:uid="{00000000-0005-0000-0000-00000F550000}"/>
    <cellStyle name="Notiz 6 5" xfId="4200" xr:uid="{00000000-0005-0000-0000-000010550000}"/>
    <cellStyle name="Notiz 7" xfId="4201" xr:uid="{00000000-0005-0000-0000-000011550000}"/>
    <cellStyle name="Notiz 7 2" xfId="4202" xr:uid="{00000000-0005-0000-0000-000012550000}"/>
    <cellStyle name="Notiz 7 3" xfId="4203" xr:uid="{00000000-0005-0000-0000-000013550000}"/>
    <cellStyle name="Notiz 8" xfId="4204" xr:uid="{00000000-0005-0000-0000-000014550000}"/>
    <cellStyle name="Notiz 8 2" xfId="15976" xr:uid="{00000000-0005-0000-0000-000015550000}"/>
    <cellStyle name="Notiz 8 3" xfId="15975" xr:uid="{00000000-0005-0000-0000-000016550000}"/>
    <cellStyle name="Notiz 9" xfId="4205" xr:uid="{00000000-0005-0000-0000-000017550000}"/>
    <cellStyle name="Notiz_ADDON" xfId="4206" xr:uid="{00000000-0005-0000-0000-000018550000}"/>
    <cellStyle name="nplosion_borders" xfId="3145" xr:uid="{00000000-0005-0000-0000-000019550000}"/>
    <cellStyle name="Output 10" xfId="3146" xr:uid="{00000000-0005-0000-0000-00001A550000}"/>
    <cellStyle name="Output 11" xfId="3147" xr:uid="{00000000-0005-0000-0000-00001B550000}"/>
    <cellStyle name="Output 12" xfId="3148" xr:uid="{00000000-0005-0000-0000-00001C550000}"/>
    <cellStyle name="Output 13" xfId="3149" xr:uid="{00000000-0005-0000-0000-00001D550000}"/>
    <cellStyle name="Output 14" xfId="3150" xr:uid="{00000000-0005-0000-0000-00001E550000}"/>
    <cellStyle name="Output 15" xfId="3151" xr:uid="{00000000-0005-0000-0000-00001F550000}"/>
    <cellStyle name="Output 16" xfId="3152" xr:uid="{00000000-0005-0000-0000-000020550000}"/>
    <cellStyle name="Output 17" xfId="3153" xr:uid="{00000000-0005-0000-0000-000021550000}"/>
    <cellStyle name="Output 18" xfId="3154" xr:uid="{00000000-0005-0000-0000-000022550000}"/>
    <cellStyle name="Output 19" xfId="3155" xr:uid="{00000000-0005-0000-0000-000023550000}"/>
    <cellStyle name="Output 2" xfId="3156" xr:uid="{00000000-0005-0000-0000-000024550000}"/>
    <cellStyle name="Output 2 10" xfId="3157" xr:uid="{00000000-0005-0000-0000-000025550000}"/>
    <cellStyle name="Output 2 11" xfId="3158" xr:uid="{00000000-0005-0000-0000-000026550000}"/>
    <cellStyle name="Output 2 12" xfId="3159" xr:uid="{00000000-0005-0000-0000-000027550000}"/>
    <cellStyle name="Output 2 13" xfId="3160" xr:uid="{00000000-0005-0000-0000-000028550000}"/>
    <cellStyle name="Output 2 14" xfId="3161" xr:uid="{00000000-0005-0000-0000-000029550000}"/>
    <cellStyle name="Output 2 15" xfId="3162" xr:uid="{00000000-0005-0000-0000-00002A550000}"/>
    <cellStyle name="Output 2 16" xfId="3163" xr:uid="{00000000-0005-0000-0000-00002B550000}"/>
    <cellStyle name="Output 2 17" xfId="3164" xr:uid="{00000000-0005-0000-0000-00002C550000}"/>
    <cellStyle name="Output 2 18" xfId="3165" xr:uid="{00000000-0005-0000-0000-00002D550000}"/>
    <cellStyle name="Output 2 2" xfId="3166" xr:uid="{00000000-0005-0000-0000-00002E550000}"/>
    <cellStyle name="Output 2 2 2" xfId="3167" xr:uid="{00000000-0005-0000-0000-00002F550000}"/>
    <cellStyle name="Output 2 2 3" xfId="3168" xr:uid="{00000000-0005-0000-0000-000030550000}"/>
    <cellStyle name="Output 2 2 4" xfId="3169" xr:uid="{00000000-0005-0000-0000-000031550000}"/>
    <cellStyle name="Output 2 2 5" xfId="3170" xr:uid="{00000000-0005-0000-0000-000032550000}"/>
    <cellStyle name="Output 2 3" xfId="3171" xr:uid="{00000000-0005-0000-0000-000033550000}"/>
    <cellStyle name="Output 2 4" xfId="3172" xr:uid="{00000000-0005-0000-0000-000034550000}"/>
    <cellStyle name="Output 2 5" xfId="3173" xr:uid="{00000000-0005-0000-0000-000035550000}"/>
    <cellStyle name="Output 2 6" xfId="3174" xr:uid="{00000000-0005-0000-0000-000036550000}"/>
    <cellStyle name="Output 2 7" xfId="3175" xr:uid="{00000000-0005-0000-0000-000037550000}"/>
    <cellStyle name="Output 2 8" xfId="3176" xr:uid="{00000000-0005-0000-0000-000038550000}"/>
    <cellStyle name="Output 2 9" xfId="3177" xr:uid="{00000000-0005-0000-0000-000039550000}"/>
    <cellStyle name="Output 20" xfId="3178" xr:uid="{00000000-0005-0000-0000-00003A550000}"/>
    <cellStyle name="Output 21" xfId="3179" xr:uid="{00000000-0005-0000-0000-00003B550000}"/>
    <cellStyle name="Output 22" xfId="3180" xr:uid="{00000000-0005-0000-0000-00003C550000}"/>
    <cellStyle name="Output 23" xfId="3181" xr:uid="{00000000-0005-0000-0000-00003D550000}"/>
    <cellStyle name="Output 24" xfId="3182" xr:uid="{00000000-0005-0000-0000-00003E550000}"/>
    <cellStyle name="Output 3" xfId="3183" xr:uid="{00000000-0005-0000-0000-00003F550000}"/>
    <cellStyle name="Output 3 2" xfId="3184" xr:uid="{00000000-0005-0000-0000-000040550000}"/>
    <cellStyle name="Output 3 3" xfId="3185" xr:uid="{00000000-0005-0000-0000-000041550000}"/>
    <cellStyle name="Output 3 4" xfId="3186" xr:uid="{00000000-0005-0000-0000-000042550000}"/>
    <cellStyle name="Output 3 5" xfId="3187" xr:uid="{00000000-0005-0000-0000-000043550000}"/>
    <cellStyle name="Output 3 6" xfId="3188" xr:uid="{00000000-0005-0000-0000-000044550000}"/>
    <cellStyle name="Output 3 7" xfId="3189" xr:uid="{00000000-0005-0000-0000-000045550000}"/>
    <cellStyle name="Output 3 8" xfId="3190" xr:uid="{00000000-0005-0000-0000-000046550000}"/>
    <cellStyle name="Output 4" xfId="3191" xr:uid="{00000000-0005-0000-0000-000047550000}"/>
    <cellStyle name="Output 4 2" xfId="3192" xr:uid="{00000000-0005-0000-0000-000048550000}"/>
    <cellStyle name="Output 4 3" xfId="3193" xr:uid="{00000000-0005-0000-0000-000049550000}"/>
    <cellStyle name="Output 4 4" xfId="3194" xr:uid="{00000000-0005-0000-0000-00004A550000}"/>
    <cellStyle name="Output 5" xfId="3195" xr:uid="{00000000-0005-0000-0000-00004B550000}"/>
    <cellStyle name="Output 5 2" xfId="3196" xr:uid="{00000000-0005-0000-0000-00004C550000}"/>
    <cellStyle name="Output 5 3" xfId="3197" xr:uid="{00000000-0005-0000-0000-00004D550000}"/>
    <cellStyle name="Output 5 4" xfId="3198" xr:uid="{00000000-0005-0000-0000-00004E550000}"/>
    <cellStyle name="Output 6" xfId="3199" xr:uid="{00000000-0005-0000-0000-00004F550000}"/>
    <cellStyle name="Output 6 2" xfId="3200" xr:uid="{00000000-0005-0000-0000-000050550000}"/>
    <cellStyle name="Output 6 3" xfId="3201" xr:uid="{00000000-0005-0000-0000-000051550000}"/>
    <cellStyle name="Output 7" xfId="3202" xr:uid="{00000000-0005-0000-0000-000052550000}"/>
    <cellStyle name="Output 7 2" xfId="3203" xr:uid="{00000000-0005-0000-0000-000053550000}"/>
    <cellStyle name="Output 8" xfId="3204" xr:uid="{00000000-0005-0000-0000-000054550000}"/>
    <cellStyle name="Output 8 2" xfId="3205" xr:uid="{00000000-0005-0000-0000-000055550000}"/>
    <cellStyle name="Output 9" xfId="3206" xr:uid="{00000000-0005-0000-0000-000056550000}"/>
    <cellStyle name="Percent" xfId="27251" builtinId="5"/>
    <cellStyle name="Percent 10" xfId="3789" xr:uid="{00000000-0005-0000-0000-000058550000}"/>
    <cellStyle name="Percent 10 2" xfId="8804" xr:uid="{00000000-0005-0000-0000-000059550000}"/>
    <cellStyle name="Percent 10 2 2" xfId="11023" xr:uid="{00000000-0005-0000-0000-00005A550000}"/>
    <cellStyle name="Percent 10 2 2 2" xfId="21586" xr:uid="{00000000-0005-0000-0000-00005B550000}"/>
    <cellStyle name="Percent 10 2 3" xfId="13242" xr:uid="{00000000-0005-0000-0000-00005C550000}"/>
    <cellStyle name="Percent 10 2 3 2" xfId="23805" xr:uid="{00000000-0005-0000-0000-00005D550000}"/>
    <cellStyle name="Percent 10 2 4" xfId="15461" xr:uid="{00000000-0005-0000-0000-00005E550000}"/>
    <cellStyle name="Percent 10 2 4 2" xfId="26024" xr:uid="{00000000-0005-0000-0000-00005F550000}"/>
    <cellStyle name="Percent 10 2 5" xfId="15973" xr:uid="{00000000-0005-0000-0000-000060550000}"/>
    <cellStyle name="Percent 10 2 6" xfId="19367" xr:uid="{00000000-0005-0000-0000-000061550000}"/>
    <cellStyle name="Percent 10 3" xfId="8071" xr:uid="{00000000-0005-0000-0000-000062550000}"/>
    <cellStyle name="Percent 10 3 2" xfId="10290" xr:uid="{00000000-0005-0000-0000-000063550000}"/>
    <cellStyle name="Percent 10 3 2 2" xfId="20853" xr:uid="{00000000-0005-0000-0000-000064550000}"/>
    <cellStyle name="Percent 10 3 3" xfId="12509" xr:uid="{00000000-0005-0000-0000-000065550000}"/>
    <cellStyle name="Percent 10 3 3 2" xfId="23072" xr:uid="{00000000-0005-0000-0000-000066550000}"/>
    <cellStyle name="Percent 10 3 4" xfId="14728" xr:uid="{00000000-0005-0000-0000-000067550000}"/>
    <cellStyle name="Percent 10 3 4 2" xfId="25291" xr:uid="{00000000-0005-0000-0000-000068550000}"/>
    <cellStyle name="Percent 10 3 5" xfId="15972" xr:uid="{00000000-0005-0000-0000-000069550000}"/>
    <cellStyle name="Percent 10 3 6" xfId="18634" xr:uid="{00000000-0005-0000-0000-00006A550000}"/>
    <cellStyle name="Percent 10 4" xfId="9547" xr:uid="{00000000-0005-0000-0000-00006B550000}"/>
    <cellStyle name="Percent 10 4 2" xfId="15779" xr:uid="{00000000-0005-0000-0000-00006C550000}"/>
    <cellStyle name="Percent 10 4 3" xfId="20110" xr:uid="{00000000-0005-0000-0000-00006D550000}"/>
    <cellStyle name="Percent 10 5" xfId="11766" xr:uid="{00000000-0005-0000-0000-00006E550000}"/>
    <cellStyle name="Percent 10 5 2" xfId="15974" xr:uid="{00000000-0005-0000-0000-00006F550000}"/>
    <cellStyle name="Percent 10 5 3" xfId="22329" xr:uid="{00000000-0005-0000-0000-000070550000}"/>
    <cellStyle name="Percent 10 6" xfId="13985" xr:uid="{00000000-0005-0000-0000-000071550000}"/>
    <cellStyle name="Percent 10 6 2" xfId="24548" xr:uid="{00000000-0005-0000-0000-000072550000}"/>
    <cellStyle name="Percent 10 7" xfId="16097" xr:uid="{00000000-0005-0000-0000-000073550000}"/>
    <cellStyle name="Percent 10 8" xfId="17885" xr:uid="{00000000-0005-0000-0000-000074550000}"/>
    <cellStyle name="Percent 11" xfId="3791" xr:uid="{00000000-0005-0000-0000-000075550000}"/>
    <cellStyle name="Percent 11 2" xfId="15970" xr:uid="{00000000-0005-0000-0000-000076550000}"/>
    <cellStyle name="Percent 11 3" xfId="15969" xr:uid="{00000000-0005-0000-0000-000077550000}"/>
    <cellStyle name="Percent 11 4" xfId="15971" xr:uid="{00000000-0005-0000-0000-000078550000}"/>
    <cellStyle name="Percent 11 5" xfId="16096" xr:uid="{00000000-0005-0000-0000-000079550000}"/>
    <cellStyle name="Percent 12" xfId="3207" xr:uid="{00000000-0005-0000-0000-00007A550000}"/>
    <cellStyle name="Percent 12 2" xfId="15967" xr:uid="{00000000-0005-0000-0000-00007B550000}"/>
    <cellStyle name="Percent 12 3" xfId="15968" xr:uid="{00000000-0005-0000-0000-00007C550000}"/>
    <cellStyle name="Percent 12 4" xfId="16095" xr:uid="{00000000-0005-0000-0000-00007D550000}"/>
    <cellStyle name="Percent 13" xfId="4207" xr:uid="{00000000-0005-0000-0000-00007E550000}"/>
    <cellStyle name="Percent 13 2" xfId="15965" xr:uid="{00000000-0005-0000-0000-00007F550000}"/>
    <cellStyle name="Percent 13 3" xfId="15966" xr:uid="{00000000-0005-0000-0000-000080550000}"/>
    <cellStyle name="Percent 13 4" xfId="16094" xr:uid="{00000000-0005-0000-0000-000081550000}"/>
    <cellStyle name="Percent 14" xfId="4208" xr:uid="{00000000-0005-0000-0000-000082550000}"/>
    <cellStyle name="Percent 14 2" xfId="15963" xr:uid="{00000000-0005-0000-0000-000083550000}"/>
    <cellStyle name="Percent 14 3" xfId="15787" xr:uid="{00000000-0005-0000-0000-000084550000}"/>
    <cellStyle name="Percent 14 4" xfId="15964" xr:uid="{00000000-0005-0000-0000-000085550000}"/>
    <cellStyle name="Percent 14 5" xfId="15823" xr:uid="{00000000-0005-0000-0000-000086550000}"/>
    <cellStyle name="Percent 15" xfId="15822" xr:uid="{00000000-0005-0000-0000-000087550000}"/>
    <cellStyle name="Percent 15 2" xfId="15478" xr:uid="{00000000-0005-0000-0000-000088550000}"/>
    <cellStyle name="Percent 16" xfId="15821" xr:uid="{00000000-0005-0000-0000-000089550000}"/>
    <cellStyle name="Percent 16 2" xfId="15962" xr:uid="{00000000-0005-0000-0000-00008A550000}"/>
    <cellStyle name="Percent 17" xfId="15820" xr:uid="{00000000-0005-0000-0000-00008B550000}"/>
    <cellStyle name="Percent 17 2" xfId="15961" xr:uid="{00000000-0005-0000-0000-00008C550000}"/>
    <cellStyle name="Percent 18" xfId="15960" xr:uid="{00000000-0005-0000-0000-00008D550000}"/>
    <cellStyle name="Percent 19" xfId="15959" xr:uid="{00000000-0005-0000-0000-00008E550000}"/>
    <cellStyle name="Percent 2" xfId="12" xr:uid="{00000000-0005-0000-0000-00008F550000}"/>
    <cellStyle name="Percent 2 2" xfId="22" xr:uid="{00000000-0005-0000-0000-000090550000}"/>
    <cellStyle name="Percent 2 2 2" xfId="3930" xr:uid="{00000000-0005-0000-0000-000091550000}"/>
    <cellStyle name="Percent 2 2 3" xfId="79" xr:uid="{00000000-0005-0000-0000-000092550000}"/>
    <cellStyle name="Percent 2 3" xfId="80" xr:uid="{00000000-0005-0000-0000-000093550000}"/>
    <cellStyle name="Percent 2 3 2" xfId="4209" xr:uid="{00000000-0005-0000-0000-000094550000}"/>
    <cellStyle name="Percent 2 4" xfId="81" xr:uid="{00000000-0005-0000-0000-000095550000}"/>
    <cellStyle name="Percent 2 5" xfId="82" xr:uid="{00000000-0005-0000-0000-000096550000}"/>
    <cellStyle name="Percent 2 6" xfId="83" xr:uid="{00000000-0005-0000-0000-000097550000}"/>
    <cellStyle name="Percent 2 7" xfId="3208" xr:uid="{00000000-0005-0000-0000-000098550000}"/>
    <cellStyle name="Percent 2 8" xfId="78" xr:uid="{00000000-0005-0000-0000-000099550000}"/>
    <cellStyle name="Percent 20" xfId="27220" xr:uid="{00000000-0005-0000-0000-00009A550000}"/>
    <cellStyle name="Percent 21" xfId="27228" xr:uid="{00000000-0005-0000-0000-00009B550000}"/>
    <cellStyle name="Percent 3" xfId="13" xr:uid="{00000000-0005-0000-0000-00009C550000}"/>
    <cellStyle name="Percent 3 10" xfId="4210" xr:uid="{00000000-0005-0000-0000-00009D550000}"/>
    <cellStyle name="Percent 3 11" xfId="15958" xr:uid="{00000000-0005-0000-0000-00009E550000}"/>
    <cellStyle name="Percent 3 2" xfId="14" xr:uid="{00000000-0005-0000-0000-00009F550000}"/>
    <cellStyle name="Percent 3 2 2" xfId="4211" xr:uid="{00000000-0005-0000-0000-0000A0550000}"/>
    <cellStyle name="Percent 3 2 2 2" xfId="4212" xr:uid="{00000000-0005-0000-0000-0000A1550000}"/>
    <cellStyle name="Percent 3 2 2 3" xfId="4213" xr:uid="{00000000-0005-0000-0000-0000A2550000}"/>
    <cellStyle name="Percent 3 2 3" xfId="4214" xr:uid="{00000000-0005-0000-0000-0000A3550000}"/>
    <cellStyle name="Percent 3 2 3 2" xfId="4215" xr:uid="{00000000-0005-0000-0000-0000A4550000}"/>
    <cellStyle name="Percent 3 2 3 2 2" xfId="4216" xr:uid="{00000000-0005-0000-0000-0000A5550000}"/>
    <cellStyle name="Percent 3 2 3 3" xfId="4217" xr:uid="{00000000-0005-0000-0000-0000A6550000}"/>
    <cellStyle name="Percent 3 2 3 3 2" xfId="4218" xr:uid="{00000000-0005-0000-0000-0000A7550000}"/>
    <cellStyle name="Percent 3 2 3 3 3" xfId="4219" xr:uid="{00000000-0005-0000-0000-0000A8550000}"/>
    <cellStyle name="Percent 3 2 3 4" xfId="4220" xr:uid="{00000000-0005-0000-0000-0000A9550000}"/>
    <cellStyle name="Percent 3 2 3 4 2" xfId="4221" xr:uid="{00000000-0005-0000-0000-0000AA550000}"/>
    <cellStyle name="Percent 3 2 3 5" xfId="4222" xr:uid="{00000000-0005-0000-0000-0000AB550000}"/>
    <cellStyle name="Percent 3 2 4" xfId="4223" xr:uid="{00000000-0005-0000-0000-0000AC550000}"/>
    <cellStyle name="Percent 3 2 4 2" xfId="15957" xr:uid="{00000000-0005-0000-0000-0000AD550000}"/>
    <cellStyle name="Percent 3 2 5" xfId="4224" xr:uid="{00000000-0005-0000-0000-0000AE550000}"/>
    <cellStyle name="Percent 3 3" xfId="15" xr:uid="{00000000-0005-0000-0000-0000AF550000}"/>
    <cellStyle name="Percent 3 3 2" xfId="4225" xr:uid="{00000000-0005-0000-0000-0000B0550000}"/>
    <cellStyle name="Percent 3 3 2 2" xfId="4226" xr:uid="{00000000-0005-0000-0000-0000B1550000}"/>
    <cellStyle name="Percent 3 3 2 3" xfId="4227" xr:uid="{00000000-0005-0000-0000-0000B2550000}"/>
    <cellStyle name="Percent 3 3 3" xfId="4228" xr:uid="{00000000-0005-0000-0000-0000B3550000}"/>
    <cellStyle name="Percent 3 3 3 2" xfId="4229" xr:uid="{00000000-0005-0000-0000-0000B4550000}"/>
    <cellStyle name="Percent 3 3 3 2 2" xfId="4230" xr:uid="{00000000-0005-0000-0000-0000B5550000}"/>
    <cellStyle name="Percent 3 3 3 3" xfId="4231" xr:uid="{00000000-0005-0000-0000-0000B6550000}"/>
    <cellStyle name="Percent 3 3 3 3 2" xfId="4232" xr:uid="{00000000-0005-0000-0000-0000B7550000}"/>
    <cellStyle name="Percent 3 3 3 3 3" xfId="4233" xr:uid="{00000000-0005-0000-0000-0000B8550000}"/>
    <cellStyle name="Percent 3 3 3 4" xfId="4234" xr:uid="{00000000-0005-0000-0000-0000B9550000}"/>
    <cellStyle name="Percent 3 3 3 4 2" xfId="4235" xr:uid="{00000000-0005-0000-0000-0000BA550000}"/>
    <cellStyle name="Percent 3 3 3 5" xfId="4236" xr:uid="{00000000-0005-0000-0000-0000BB550000}"/>
    <cellStyle name="Percent 3 3 4" xfId="4237" xr:uid="{00000000-0005-0000-0000-0000BC550000}"/>
    <cellStyle name="Percent 3 3 4 2" xfId="15956" xr:uid="{00000000-0005-0000-0000-0000BD550000}"/>
    <cellStyle name="Percent 3 3 5" xfId="15955" xr:uid="{00000000-0005-0000-0000-0000BE550000}"/>
    <cellStyle name="Percent 3 4" xfId="25" xr:uid="{00000000-0005-0000-0000-0000BF550000}"/>
    <cellStyle name="Percent 3 4 2" xfId="4238" xr:uid="{00000000-0005-0000-0000-0000C0550000}"/>
    <cellStyle name="Percent 3 4 2 2" xfId="4239" xr:uid="{00000000-0005-0000-0000-0000C1550000}"/>
    <cellStyle name="Percent 3 4 2 2 2" xfId="4240" xr:uid="{00000000-0005-0000-0000-0000C2550000}"/>
    <cellStyle name="Percent 3 4 2 3" xfId="4241" xr:uid="{00000000-0005-0000-0000-0000C3550000}"/>
    <cellStyle name="Percent 3 4 2 3 2" xfId="4242" xr:uid="{00000000-0005-0000-0000-0000C4550000}"/>
    <cellStyle name="Percent 3 4 2 3 3" xfId="4243" xr:uid="{00000000-0005-0000-0000-0000C5550000}"/>
    <cellStyle name="Percent 3 4 2 4" xfId="4244" xr:uid="{00000000-0005-0000-0000-0000C6550000}"/>
    <cellStyle name="Percent 3 4 2 4 2" xfId="15954" xr:uid="{00000000-0005-0000-0000-0000C7550000}"/>
    <cellStyle name="Percent 3 4 2 5" xfId="4245" xr:uid="{00000000-0005-0000-0000-0000C8550000}"/>
    <cellStyle name="Percent 3 4 3" xfId="4246" xr:uid="{00000000-0005-0000-0000-0000C9550000}"/>
    <cellStyle name="Percent 3 4 3 2" xfId="4247" xr:uid="{00000000-0005-0000-0000-0000CA550000}"/>
    <cellStyle name="Percent 3 4 4" xfId="4248" xr:uid="{00000000-0005-0000-0000-0000CB550000}"/>
    <cellStyle name="Percent 3 4 5" xfId="4249" xr:uid="{00000000-0005-0000-0000-0000CC550000}"/>
    <cellStyle name="Percent 3 5" xfId="3209" xr:uid="{00000000-0005-0000-0000-0000CD550000}"/>
    <cellStyle name="Percent 3 5 2" xfId="4250" xr:uid="{00000000-0005-0000-0000-0000CE550000}"/>
    <cellStyle name="Percent 3 5 2 2" xfId="4251" xr:uid="{00000000-0005-0000-0000-0000CF550000}"/>
    <cellStyle name="Percent 3 5 3" xfId="4252" xr:uid="{00000000-0005-0000-0000-0000D0550000}"/>
    <cellStyle name="Percent 3 5 3 2" xfId="4253" xr:uid="{00000000-0005-0000-0000-0000D1550000}"/>
    <cellStyle name="Percent 3 5 3 3" xfId="4254" xr:uid="{00000000-0005-0000-0000-0000D2550000}"/>
    <cellStyle name="Percent 3 5 4" xfId="4255" xr:uid="{00000000-0005-0000-0000-0000D3550000}"/>
    <cellStyle name="Percent 3 5 4 2" xfId="4256" xr:uid="{00000000-0005-0000-0000-0000D4550000}"/>
    <cellStyle name="Percent 3 5 5" xfId="4257" xr:uid="{00000000-0005-0000-0000-0000D5550000}"/>
    <cellStyle name="Percent 3 6" xfId="3210" xr:uid="{00000000-0005-0000-0000-0000D6550000}"/>
    <cellStyle name="Percent 3 6 2" xfId="4258" xr:uid="{00000000-0005-0000-0000-0000D7550000}"/>
    <cellStyle name="Percent 3 6 3" xfId="4259" xr:uid="{00000000-0005-0000-0000-0000D8550000}"/>
    <cellStyle name="Percent 3 7" xfId="3211" xr:uid="{00000000-0005-0000-0000-0000D9550000}"/>
    <cellStyle name="Percent 3 7 2" xfId="15953" xr:uid="{00000000-0005-0000-0000-0000DA550000}"/>
    <cellStyle name="Percent 3 7 3" xfId="16614" xr:uid="{00000000-0005-0000-0000-0000DB550000}"/>
    <cellStyle name="Percent 3 8" xfId="4260" xr:uid="{00000000-0005-0000-0000-0000DC550000}"/>
    <cellStyle name="Percent 3 9" xfId="4261" xr:uid="{00000000-0005-0000-0000-0000DD550000}"/>
    <cellStyle name="Percent 4" xfId="16" xr:uid="{00000000-0005-0000-0000-0000DE550000}"/>
    <cellStyle name="Percent 4 2" xfId="17" xr:uid="{00000000-0005-0000-0000-0000DF550000}"/>
    <cellStyle name="Percent 4 2 2" xfId="4262" xr:uid="{00000000-0005-0000-0000-0000E0550000}"/>
    <cellStyle name="Percent 4 2 2 2" xfId="4263" xr:uid="{00000000-0005-0000-0000-0000E1550000}"/>
    <cellStyle name="Percent 4 2 3" xfId="4264" xr:uid="{00000000-0005-0000-0000-0000E2550000}"/>
    <cellStyle name="Percent 4 2 4" xfId="4265" xr:uid="{00000000-0005-0000-0000-0000E3550000}"/>
    <cellStyle name="Percent 4 3" xfId="18" xr:uid="{00000000-0005-0000-0000-0000E4550000}"/>
    <cellStyle name="Percent 4 3 2" xfId="4266" xr:uid="{00000000-0005-0000-0000-0000E5550000}"/>
    <cellStyle name="Percent 4 3 3" xfId="4267" xr:uid="{00000000-0005-0000-0000-0000E6550000}"/>
    <cellStyle name="Percent 4 4" xfId="26" xr:uid="{00000000-0005-0000-0000-0000E7550000}"/>
    <cellStyle name="Percent 4 4 2" xfId="4268" xr:uid="{00000000-0005-0000-0000-0000E8550000}"/>
    <cellStyle name="Percent 4 4 2 2" xfId="4269" xr:uid="{00000000-0005-0000-0000-0000E9550000}"/>
    <cellStyle name="Percent 4 4 3" xfId="4270" xr:uid="{00000000-0005-0000-0000-0000EA550000}"/>
    <cellStyle name="Percent 4 4 3 2" xfId="4271" xr:uid="{00000000-0005-0000-0000-0000EB550000}"/>
    <cellStyle name="Percent 4 4 3 3" xfId="4272" xr:uid="{00000000-0005-0000-0000-0000EC550000}"/>
    <cellStyle name="Percent 4 4 4" xfId="4273" xr:uid="{00000000-0005-0000-0000-0000ED550000}"/>
    <cellStyle name="Percent 4 4 4 2" xfId="4274" xr:uid="{00000000-0005-0000-0000-0000EE550000}"/>
    <cellStyle name="Percent 4 4 5" xfId="4275" xr:uid="{00000000-0005-0000-0000-0000EF550000}"/>
    <cellStyle name="Percent 4 5" xfId="4276" xr:uid="{00000000-0005-0000-0000-0000F0550000}"/>
    <cellStyle name="Percent 4 5 2" xfId="15795" xr:uid="{00000000-0005-0000-0000-0000F1550000}"/>
    <cellStyle name="Percent 4 6" xfId="4277" xr:uid="{00000000-0005-0000-0000-0000F2550000}"/>
    <cellStyle name="Percent 5" xfId="19" xr:uid="{00000000-0005-0000-0000-0000F3550000}"/>
    <cellStyle name="Percent 5 2" xfId="3212" xr:uid="{00000000-0005-0000-0000-0000F4550000}"/>
    <cellStyle name="Percent 5 2 2" xfId="4278" xr:uid="{00000000-0005-0000-0000-0000F5550000}"/>
    <cellStyle name="Percent 5 2 2 2" xfId="4279" xr:uid="{00000000-0005-0000-0000-0000F6550000}"/>
    <cellStyle name="Percent 5 2 3" xfId="4280" xr:uid="{00000000-0005-0000-0000-0000F7550000}"/>
    <cellStyle name="Percent 5 2 4" xfId="4281" xr:uid="{00000000-0005-0000-0000-0000F8550000}"/>
    <cellStyle name="Percent 5 3" xfId="4282" xr:uid="{00000000-0005-0000-0000-0000F9550000}"/>
    <cellStyle name="Percent 5 4" xfId="4283" xr:uid="{00000000-0005-0000-0000-0000FA550000}"/>
    <cellStyle name="Percent 5 4 2" xfId="4284" xr:uid="{00000000-0005-0000-0000-0000FB550000}"/>
    <cellStyle name="Percent 5 4 3" xfId="4285" xr:uid="{00000000-0005-0000-0000-0000FC550000}"/>
    <cellStyle name="Percent 5 4 4" xfId="15952" xr:uid="{00000000-0005-0000-0000-0000FD550000}"/>
    <cellStyle name="Percent 5 5" xfId="4286" xr:uid="{00000000-0005-0000-0000-0000FE550000}"/>
    <cellStyle name="Percent 5 5 10" xfId="16092" xr:uid="{00000000-0005-0000-0000-0000FF550000}"/>
    <cellStyle name="Percent 5 5 10 2" xfId="15950" xr:uid="{00000000-0005-0000-0000-000000560000}"/>
    <cellStyle name="Percent 5 5 11" xfId="16091" xr:uid="{00000000-0005-0000-0000-000001560000}"/>
    <cellStyle name="Percent 5 5 11 2" xfId="15949" xr:uid="{00000000-0005-0000-0000-000002560000}"/>
    <cellStyle name="Percent 5 5 12" xfId="16090" xr:uid="{00000000-0005-0000-0000-000003560000}"/>
    <cellStyle name="Percent 5 5 12 2" xfId="15477" xr:uid="{00000000-0005-0000-0000-000004560000}"/>
    <cellStyle name="Percent 5 5 13" xfId="15948" xr:uid="{00000000-0005-0000-0000-000005560000}"/>
    <cellStyle name="Percent 5 5 13 2" xfId="16343" xr:uid="{00000000-0005-0000-0000-000006560000}"/>
    <cellStyle name="Percent 5 5 14" xfId="15947" xr:uid="{00000000-0005-0000-0000-000007560000}"/>
    <cellStyle name="Percent 5 5 14 2" xfId="15946" xr:uid="{00000000-0005-0000-0000-000008560000}"/>
    <cellStyle name="Percent 5 5 15" xfId="15794" xr:uid="{00000000-0005-0000-0000-000009560000}"/>
    <cellStyle name="Percent 5 5 16" xfId="15945" xr:uid="{00000000-0005-0000-0000-00000A560000}"/>
    <cellStyle name="Percent 5 5 17" xfId="15951" xr:uid="{00000000-0005-0000-0000-00000B560000}"/>
    <cellStyle name="Percent 5 5 18" xfId="16093" xr:uid="{00000000-0005-0000-0000-00000C560000}"/>
    <cellStyle name="Percent 5 5 19" xfId="17906" xr:uid="{00000000-0005-0000-0000-00000D560000}"/>
    <cellStyle name="Percent 5 5 2" xfId="8819" xr:uid="{00000000-0005-0000-0000-00000E560000}"/>
    <cellStyle name="Percent 5 5 2 2" xfId="11038" xr:uid="{00000000-0005-0000-0000-00000F560000}"/>
    <cellStyle name="Percent 5 5 2 2 2" xfId="15942" xr:uid="{00000000-0005-0000-0000-000010560000}"/>
    <cellStyle name="Percent 5 5 2 2 3" xfId="15943" xr:uid="{00000000-0005-0000-0000-000011560000}"/>
    <cellStyle name="Percent 5 5 2 2 4" xfId="21601" xr:uid="{00000000-0005-0000-0000-000012560000}"/>
    <cellStyle name="Percent 5 5 2 3" xfId="13257" xr:uid="{00000000-0005-0000-0000-000013560000}"/>
    <cellStyle name="Percent 5 5 2 3 2" xfId="15940" xr:uid="{00000000-0005-0000-0000-000014560000}"/>
    <cellStyle name="Percent 5 5 2 3 3" xfId="15941" xr:uid="{00000000-0005-0000-0000-000015560000}"/>
    <cellStyle name="Percent 5 5 2 3 4" xfId="23820" xr:uid="{00000000-0005-0000-0000-000016560000}"/>
    <cellStyle name="Percent 5 5 2 4" xfId="15476" xr:uid="{00000000-0005-0000-0000-000017560000}"/>
    <cellStyle name="Percent 5 5 2 4 2" xfId="15939" xr:uid="{00000000-0005-0000-0000-000018560000}"/>
    <cellStyle name="Percent 5 5 2 4 3" xfId="26039" xr:uid="{00000000-0005-0000-0000-000019560000}"/>
    <cellStyle name="Percent 5 5 2 5" xfId="15844" xr:uid="{00000000-0005-0000-0000-00001A560000}"/>
    <cellStyle name="Percent 5 5 2 6" xfId="15944" xr:uid="{00000000-0005-0000-0000-00001B560000}"/>
    <cellStyle name="Percent 5 5 2 7" xfId="16089" xr:uid="{00000000-0005-0000-0000-00001C560000}"/>
    <cellStyle name="Percent 5 5 2 8" xfId="19382" xr:uid="{00000000-0005-0000-0000-00001D560000}"/>
    <cellStyle name="Percent 5 5 3" xfId="9562" xr:uid="{00000000-0005-0000-0000-00001E560000}"/>
    <cellStyle name="Percent 5 5 3 2" xfId="15937" xr:uid="{00000000-0005-0000-0000-00001F560000}"/>
    <cellStyle name="Percent 5 5 3 2 2" xfId="15936" xr:uid="{00000000-0005-0000-0000-000020560000}"/>
    <cellStyle name="Percent 5 5 3 3" xfId="16983" xr:uid="{00000000-0005-0000-0000-000021560000}"/>
    <cellStyle name="Percent 5 5 3 3 2" xfId="16713" xr:uid="{00000000-0005-0000-0000-000022560000}"/>
    <cellStyle name="Percent 5 5 3 4" xfId="16665" xr:uid="{00000000-0005-0000-0000-000023560000}"/>
    <cellStyle name="Percent 5 5 3 5" xfId="16991" xr:uid="{00000000-0005-0000-0000-000024560000}"/>
    <cellStyle name="Percent 5 5 3 6" xfId="15938" xr:uid="{00000000-0005-0000-0000-000025560000}"/>
    <cellStyle name="Percent 5 5 3 7" xfId="16088" xr:uid="{00000000-0005-0000-0000-000026560000}"/>
    <cellStyle name="Percent 5 5 3 8" xfId="20125" xr:uid="{00000000-0005-0000-0000-000027560000}"/>
    <cellStyle name="Percent 5 5 4" xfId="11781" xr:uid="{00000000-0005-0000-0000-000028560000}"/>
    <cellStyle name="Percent 5 5 4 2" xfId="16352" xr:uid="{00000000-0005-0000-0000-000029560000}"/>
    <cellStyle name="Percent 5 5 4 2 2" xfId="16438" xr:uid="{00000000-0005-0000-0000-00002A560000}"/>
    <cellStyle name="Percent 5 5 4 3" xfId="15935" xr:uid="{00000000-0005-0000-0000-00002B560000}"/>
    <cellStyle name="Percent 5 5 4 3 2" xfId="15934" xr:uid="{00000000-0005-0000-0000-00002C560000}"/>
    <cellStyle name="Percent 5 5 4 4" xfId="15933" xr:uid="{00000000-0005-0000-0000-00002D560000}"/>
    <cellStyle name="Percent 5 5 4 5" xfId="15932" xr:uid="{00000000-0005-0000-0000-00002E560000}"/>
    <cellStyle name="Percent 5 5 4 6" xfId="16934" xr:uid="{00000000-0005-0000-0000-00002F560000}"/>
    <cellStyle name="Percent 5 5 4 7" xfId="16087" xr:uid="{00000000-0005-0000-0000-000030560000}"/>
    <cellStyle name="Percent 5 5 4 8" xfId="22344" xr:uid="{00000000-0005-0000-0000-000031560000}"/>
    <cellStyle name="Percent 5 5 5" xfId="14000" xr:uid="{00000000-0005-0000-0000-000032560000}"/>
    <cellStyle name="Percent 5 5 5 2" xfId="15930" xr:uid="{00000000-0005-0000-0000-000033560000}"/>
    <cellStyle name="Percent 5 5 5 2 2" xfId="15929" xr:uid="{00000000-0005-0000-0000-000034560000}"/>
    <cellStyle name="Percent 5 5 5 3" xfId="15928" xr:uid="{00000000-0005-0000-0000-000035560000}"/>
    <cellStyle name="Percent 5 5 5 3 2" xfId="15927" xr:uid="{00000000-0005-0000-0000-000036560000}"/>
    <cellStyle name="Percent 5 5 5 4" xfId="15926" xr:uid="{00000000-0005-0000-0000-000037560000}"/>
    <cellStyle name="Percent 5 5 5 5" xfId="15925" xr:uid="{00000000-0005-0000-0000-000038560000}"/>
    <cellStyle name="Percent 5 5 5 6" xfId="15931" xr:uid="{00000000-0005-0000-0000-000039560000}"/>
    <cellStyle name="Percent 5 5 5 7" xfId="16086" xr:uid="{00000000-0005-0000-0000-00003A560000}"/>
    <cellStyle name="Percent 5 5 5 8" xfId="24563" xr:uid="{00000000-0005-0000-0000-00003B560000}"/>
    <cellStyle name="Percent 5 5 6" xfId="16085" xr:uid="{00000000-0005-0000-0000-00003C560000}"/>
    <cellStyle name="Percent 5 5 6 2" xfId="15923" xr:uid="{00000000-0005-0000-0000-00003D560000}"/>
    <cellStyle name="Percent 5 5 6 2 2" xfId="15843" xr:uid="{00000000-0005-0000-0000-00003E560000}"/>
    <cellStyle name="Percent 5 5 6 3" xfId="15922" xr:uid="{00000000-0005-0000-0000-00003F560000}"/>
    <cellStyle name="Percent 5 5 6 3 2" xfId="15921" xr:uid="{00000000-0005-0000-0000-000040560000}"/>
    <cellStyle name="Percent 5 5 6 4" xfId="15920" xr:uid="{00000000-0005-0000-0000-000041560000}"/>
    <cellStyle name="Percent 5 5 6 5" xfId="15919" xr:uid="{00000000-0005-0000-0000-000042560000}"/>
    <cellStyle name="Percent 5 5 6 6" xfId="15924" xr:uid="{00000000-0005-0000-0000-000043560000}"/>
    <cellStyle name="Percent 5 5 7" xfId="16084" xr:uid="{00000000-0005-0000-0000-000044560000}"/>
    <cellStyle name="Percent 5 5 7 2" xfId="15918" xr:uid="{00000000-0005-0000-0000-000045560000}"/>
    <cellStyle name="Percent 5 5 8" xfId="16083" xr:uid="{00000000-0005-0000-0000-000046560000}"/>
    <cellStyle name="Percent 5 5 8 2" xfId="15917" xr:uid="{00000000-0005-0000-0000-000047560000}"/>
    <cellStyle name="Percent 5 5 9" xfId="16082" xr:uid="{00000000-0005-0000-0000-000048560000}"/>
    <cellStyle name="Percent 5 5 9 2" xfId="15916" xr:uid="{00000000-0005-0000-0000-000049560000}"/>
    <cellStyle name="Percent 5 6" xfId="4287" xr:uid="{00000000-0005-0000-0000-00004A560000}"/>
    <cellStyle name="Percent 5 7" xfId="27" xr:uid="{00000000-0005-0000-0000-00004B560000}"/>
    <cellStyle name="Percent 6" xfId="20" xr:uid="{00000000-0005-0000-0000-00004C560000}"/>
    <cellStyle name="Percent 6 2" xfId="3213" xr:uid="{00000000-0005-0000-0000-00004D560000}"/>
    <cellStyle name="Percent 6 2 2" xfId="4288" xr:uid="{00000000-0005-0000-0000-00004E560000}"/>
    <cellStyle name="Percent 6 2 3" xfId="4289" xr:uid="{00000000-0005-0000-0000-00004F560000}"/>
    <cellStyle name="Percent 6 3" xfId="4290" xr:uid="{00000000-0005-0000-0000-000050560000}"/>
    <cellStyle name="Percent 6 3 2" xfId="4291" xr:uid="{00000000-0005-0000-0000-000051560000}"/>
    <cellStyle name="Percent 6 3 2 2" xfId="4292" xr:uid="{00000000-0005-0000-0000-000052560000}"/>
    <cellStyle name="Percent 6 3 3" xfId="4293" xr:uid="{00000000-0005-0000-0000-000053560000}"/>
    <cellStyle name="Percent 6 3 3 2" xfId="4294" xr:uid="{00000000-0005-0000-0000-000054560000}"/>
    <cellStyle name="Percent 6 3 3 3" xfId="4295" xr:uid="{00000000-0005-0000-0000-000055560000}"/>
    <cellStyle name="Percent 6 3 4" xfId="4296" xr:uid="{00000000-0005-0000-0000-000056560000}"/>
    <cellStyle name="Percent 6 3 4 2" xfId="4297" xr:uid="{00000000-0005-0000-0000-000057560000}"/>
    <cellStyle name="Percent 6 3 5" xfId="4298" xr:uid="{00000000-0005-0000-0000-000058560000}"/>
    <cellStyle name="Percent 6 4" xfId="4299" xr:uid="{00000000-0005-0000-0000-000059560000}"/>
    <cellStyle name="Percent 6 4 2" xfId="4300" xr:uid="{00000000-0005-0000-0000-00005A560000}"/>
    <cellStyle name="Percent 6 5" xfId="4301" xr:uid="{00000000-0005-0000-0000-00005B560000}"/>
    <cellStyle name="Percent 6 6" xfId="28" xr:uid="{00000000-0005-0000-0000-00005C560000}"/>
    <cellStyle name="Percent 7" xfId="29" xr:uid="{00000000-0005-0000-0000-00005D560000}"/>
    <cellStyle name="Percent 7 10" xfId="15848" xr:uid="{00000000-0005-0000-0000-00005E560000}"/>
    <cellStyle name="Percent 7 10 2" xfId="15914" xr:uid="{00000000-0005-0000-0000-00005F560000}"/>
    <cellStyle name="Percent 7 11" xfId="16081" xr:uid="{00000000-0005-0000-0000-000060560000}"/>
    <cellStyle name="Percent 7 11 2" xfId="15913" xr:uid="{00000000-0005-0000-0000-000061560000}"/>
    <cellStyle name="Percent 7 12" xfId="16080" xr:uid="{00000000-0005-0000-0000-000062560000}"/>
    <cellStyle name="Percent 7 12 2" xfId="15912" xr:uid="{00000000-0005-0000-0000-000063560000}"/>
    <cellStyle name="Percent 7 13" xfId="16079" xr:uid="{00000000-0005-0000-0000-000064560000}"/>
    <cellStyle name="Percent 7 13 2" xfId="15911" xr:uid="{00000000-0005-0000-0000-000065560000}"/>
    <cellStyle name="Percent 7 14" xfId="16078" xr:uid="{00000000-0005-0000-0000-000066560000}"/>
    <cellStyle name="Percent 7 14 2" xfId="15910" xr:uid="{00000000-0005-0000-0000-000067560000}"/>
    <cellStyle name="Percent 7 15" xfId="16077" xr:uid="{00000000-0005-0000-0000-000068560000}"/>
    <cellStyle name="Percent 7 15 2" xfId="15909" xr:uid="{00000000-0005-0000-0000-000069560000}"/>
    <cellStyle name="Percent 7 16" xfId="16076" xr:uid="{00000000-0005-0000-0000-00006A560000}"/>
    <cellStyle name="Percent 7 16 2" xfId="15908" xr:uid="{00000000-0005-0000-0000-00006B560000}"/>
    <cellStyle name="Percent 7 17" xfId="15907" xr:uid="{00000000-0005-0000-0000-00006C560000}"/>
    <cellStyle name="Percent 7 18" xfId="15906" xr:uid="{00000000-0005-0000-0000-00006D560000}"/>
    <cellStyle name="Percent 7 19" xfId="15915" xr:uid="{00000000-0005-0000-0000-00006E560000}"/>
    <cellStyle name="Percent 7 2" xfId="36" xr:uid="{00000000-0005-0000-0000-00006F560000}"/>
    <cellStyle name="Percent 7 2 2" xfId="4302" xr:uid="{00000000-0005-0000-0000-000070560000}"/>
    <cellStyle name="Percent 7 2 2 2" xfId="4303" xr:uid="{00000000-0005-0000-0000-000071560000}"/>
    <cellStyle name="Percent 7 2 3" xfId="4304" xr:uid="{00000000-0005-0000-0000-000072560000}"/>
    <cellStyle name="Percent 7 2 3 2" xfId="4305" xr:uid="{00000000-0005-0000-0000-000073560000}"/>
    <cellStyle name="Percent 7 2 3 3" xfId="4306" xr:uid="{00000000-0005-0000-0000-000074560000}"/>
    <cellStyle name="Percent 7 2 4" xfId="4307" xr:uid="{00000000-0005-0000-0000-000075560000}"/>
    <cellStyle name="Percent 7 2 4 2" xfId="15905" xr:uid="{00000000-0005-0000-0000-000076560000}"/>
    <cellStyle name="Percent 7 2 5" xfId="4308" xr:uid="{00000000-0005-0000-0000-000077560000}"/>
    <cellStyle name="Percent 7 3" xfId="4309" xr:uid="{00000000-0005-0000-0000-000078560000}"/>
    <cellStyle name="Percent 7 3 10" xfId="16075" xr:uid="{00000000-0005-0000-0000-000079560000}"/>
    <cellStyle name="Percent 7 3 10 2" xfId="15903" xr:uid="{00000000-0005-0000-0000-00007A560000}"/>
    <cellStyle name="Percent 7 3 11" xfId="15847" xr:uid="{00000000-0005-0000-0000-00007B560000}"/>
    <cellStyle name="Percent 7 3 11 2" xfId="15902" xr:uid="{00000000-0005-0000-0000-00007C560000}"/>
    <cellStyle name="Percent 7 3 12" xfId="16074" xr:uid="{00000000-0005-0000-0000-00007D560000}"/>
    <cellStyle name="Percent 7 3 12 2" xfId="15901" xr:uid="{00000000-0005-0000-0000-00007E560000}"/>
    <cellStyle name="Percent 7 3 13" xfId="15900" xr:uid="{00000000-0005-0000-0000-00007F560000}"/>
    <cellStyle name="Percent 7 3 13 2" xfId="15899" xr:uid="{00000000-0005-0000-0000-000080560000}"/>
    <cellStyle name="Percent 7 3 14" xfId="15898" xr:uid="{00000000-0005-0000-0000-000081560000}"/>
    <cellStyle name="Percent 7 3 14 2" xfId="15897" xr:uid="{00000000-0005-0000-0000-000082560000}"/>
    <cellStyle name="Percent 7 3 15" xfId="15896" xr:uid="{00000000-0005-0000-0000-000083560000}"/>
    <cellStyle name="Percent 7 3 16" xfId="15895" xr:uid="{00000000-0005-0000-0000-000084560000}"/>
    <cellStyle name="Percent 7 3 17" xfId="15904" xr:uid="{00000000-0005-0000-0000-000085560000}"/>
    <cellStyle name="Percent 7 3 2" xfId="4310" xr:uid="{00000000-0005-0000-0000-000086560000}"/>
    <cellStyle name="Percent 7 3 2 2" xfId="15894" xr:uid="{00000000-0005-0000-0000-000087560000}"/>
    <cellStyle name="Percent 7 3 2 3" xfId="16073" xr:uid="{00000000-0005-0000-0000-000088560000}"/>
    <cellStyle name="Percent 7 3 3" xfId="15799" xr:uid="{00000000-0005-0000-0000-000089560000}"/>
    <cellStyle name="Percent 7 3 3 2" xfId="15893" xr:uid="{00000000-0005-0000-0000-00008A560000}"/>
    <cellStyle name="Percent 7 3 4" xfId="16072" xr:uid="{00000000-0005-0000-0000-00008B560000}"/>
    <cellStyle name="Percent 7 3 4 2" xfId="15892" xr:uid="{00000000-0005-0000-0000-00008C560000}"/>
    <cellStyle name="Percent 7 3 5" xfId="16071" xr:uid="{00000000-0005-0000-0000-00008D560000}"/>
    <cellStyle name="Percent 7 3 5 2" xfId="15793" xr:uid="{00000000-0005-0000-0000-00008E560000}"/>
    <cellStyle name="Percent 7 3 6" xfId="16070" xr:uid="{00000000-0005-0000-0000-00008F560000}"/>
    <cellStyle name="Percent 7 3 6 2" xfId="15891" xr:uid="{00000000-0005-0000-0000-000090560000}"/>
    <cellStyle name="Percent 7 3 7" xfId="16069" xr:uid="{00000000-0005-0000-0000-000091560000}"/>
    <cellStyle name="Percent 7 3 7 2" xfId="15890" xr:uid="{00000000-0005-0000-0000-000092560000}"/>
    <cellStyle name="Percent 7 3 8" xfId="16068" xr:uid="{00000000-0005-0000-0000-000093560000}"/>
    <cellStyle name="Percent 7 3 8 2" xfId="15889" xr:uid="{00000000-0005-0000-0000-000094560000}"/>
    <cellStyle name="Percent 7 3 9" xfId="16067" xr:uid="{00000000-0005-0000-0000-000095560000}"/>
    <cellStyle name="Percent 7 3 9 2" xfId="15888" xr:uid="{00000000-0005-0000-0000-000096560000}"/>
    <cellStyle name="Percent 7 4" xfId="4311" xr:uid="{00000000-0005-0000-0000-000097560000}"/>
    <cellStyle name="Percent 7 4 2" xfId="4312" xr:uid="{00000000-0005-0000-0000-000098560000}"/>
    <cellStyle name="Percent 7 4 3" xfId="15887" xr:uid="{00000000-0005-0000-0000-000099560000}"/>
    <cellStyle name="Percent 7 5" xfId="4313" xr:uid="{00000000-0005-0000-0000-00009A560000}"/>
    <cellStyle name="Percent 7 6" xfId="4314" xr:uid="{00000000-0005-0000-0000-00009B560000}"/>
    <cellStyle name="Percent 7 6 2" xfId="15886" xr:uid="{00000000-0005-0000-0000-00009C560000}"/>
    <cellStyle name="Percent 7 6 3" xfId="16066" xr:uid="{00000000-0005-0000-0000-00009D560000}"/>
    <cellStyle name="Percent 7 7" xfId="16065" xr:uid="{00000000-0005-0000-0000-00009E560000}"/>
    <cellStyle name="Percent 7 7 2" xfId="15885" xr:uid="{00000000-0005-0000-0000-00009F560000}"/>
    <cellStyle name="Percent 7 8" xfId="16064" xr:uid="{00000000-0005-0000-0000-0000A0560000}"/>
    <cellStyle name="Percent 7 8 2" xfId="15884" xr:uid="{00000000-0005-0000-0000-0000A1560000}"/>
    <cellStyle name="Percent 7 9" xfId="16063" xr:uid="{00000000-0005-0000-0000-0000A2560000}"/>
    <cellStyle name="Percent 7 9 2" xfId="15883" xr:uid="{00000000-0005-0000-0000-0000A3560000}"/>
    <cellStyle name="Percent 8" xfId="3214" xr:uid="{00000000-0005-0000-0000-0000A4560000}"/>
    <cellStyle name="Percent 8 2" xfId="4315" xr:uid="{00000000-0005-0000-0000-0000A5560000}"/>
    <cellStyle name="Percent 8 3" xfId="4316" xr:uid="{00000000-0005-0000-0000-0000A6560000}"/>
    <cellStyle name="Percent 9" xfId="3215" xr:uid="{00000000-0005-0000-0000-0000A7560000}"/>
    <cellStyle name="Percent 9 2" xfId="4317" xr:uid="{00000000-0005-0000-0000-0000A8560000}"/>
    <cellStyle name="Percent 9 2 2" xfId="4318" xr:uid="{00000000-0005-0000-0000-0000A9560000}"/>
    <cellStyle name="Percent 9 3" xfId="4319" xr:uid="{00000000-0005-0000-0000-0000AA560000}"/>
    <cellStyle name="Percent 9 3 2" xfId="4320" xr:uid="{00000000-0005-0000-0000-0000AB560000}"/>
    <cellStyle name="Percent 9 3 3" xfId="4321" xr:uid="{00000000-0005-0000-0000-0000AC560000}"/>
    <cellStyle name="Percent 9 4" xfId="4322" xr:uid="{00000000-0005-0000-0000-0000AD560000}"/>
    <cellStyle name="Percent 9 4 2" xfId="15882" xr:uid="{00000000-0005-0000-0000-0000AE560000}"/>
    <cellStyle name="Percent 9 5" xfId="4323" xr:uid="{00000000-0005-0000-0000-0000AF560000}"/>
    <cellStyle name="PSChar" xfId="3216" xr:uid="{00000000-0005-0000-0000-0000B0560000}"/>
    <cellStyle name="PSChar 10" xfId="3217" xr:uid="{00000000-0005-0000-0000-0000B1560000}"/>
    <cellStyle name="PSChar 11" xfId="3218" xr:uid="{00000000-0005-0000-0000-0000B2560000}"/>
    <cellStyle name="PSChar 2" xfId="3219" xr:uid="{00000000-0005-0000-0000-0000B3560000}"/>
    <cellStyle name="PSChar 2 2" xfId="3220" xr:uid="{00000000-0005-0000-0000-0000B4560000}"/>
    <cellStyle name="PSChar 2 3" xfId="3221" xr:uid="{00000000-0005-0000-0000-0000B5560000}"/>
    <cellStyle name="PSChar 2 4" xfId="3222" xr:uid="{00000000-0005-0000-0000-0000B6560000}"/>
    <cellStyle name="PSChar 2 5" xfId="3223" xr:uid="{00000000-0005-0000-0000-0000B7560000}"/>
    <cellStyle name="PSChar 2 6" xfId="3224" xr:uid="{00000000-0005-0000-0000-0000B8560000}"/>
    <cellStyle name="PSChar 3" xfId="3225" xr:uid="{00000000-0005-0000-0000-0000B9560000}"/>
    <cellStyle name="PSChar 3 2" xfId="3226" xr:uid="{00000000-0005-0000-0000-0000BA560000}"/>
    <cellStyle name="PSChar 3 3" xfId="3227" xr:uid="{00000000-0005-0000-0000-0000BB560000}"/>
    <cellStyle name="PSChar 3 4" xfId="3228" xr:uid="{00000000-0005-0000-0000-0000BC560000}"/>
    <cellStyle name="PSChar 3 5" xfId="3229" xr:uid="{00000000-0005-0000-0000-0000BD560000}"/>
    <cellStyle name="PSChar 4" xfId="3230" xr:uid="{00000000-0005-0000-0000-0000BE560000}"/>
    <cellStyle name="PSChar 5" xfId="3231" xr:uid="{00000000-0005-0000-0000-0000BF560000}"/>
    <cellStyle name="PSChar 6" xfId="3232" xr:uid="{00000000-0005-0000-0000-0000C0560000}"/>
    <cellStyle name="PSChar 7" xfId="3233" xr:uid="{00000000-0005-0000-0000-0000C1560000}"/>
    <cellStyle name="PSChar 8" xfId="3234" xr:uid="{00000000-0005-0000-0000-0000C2560000}"/>
    <cellStyle name="PSChar 9" xfId="3235" xr:uid="{00000000-0005-0000-0000-0000C3560000}"/>
    <cellStyle name="PSChar_Attrition Rate Scorecard - October 2008" xfId="3236" xr:uid="{00000000-0005-0000-0000-0000C4560000}"/>
    <cellStyle name="PSDate" xfId="3237" xr:uid="{00000000-0005-0000-0000-0000C5560000}"/>
    <cellStyle name="PSDate 10" xfId="3238" xr:uid="{00000000-0005-0000-0000-0000C6560000}"/>
    <cellStyle name="PSDate 2" xfId="3239" xr:uid="{00000000-0005-0000-0000-0000C7560000}"/>
    <cellStyle name="PSDate 2 2" xfId="3240" xr:uid="{00000000-0005-0000-0000-0000C8560000}"/>
    <cellStyle name="PSDate 2 3" xfId="3241" xr:uid="{00000000-0005-0000-0000-0000C9560000}"/>
    <cellStyle name="PSDate 2 4" xfId="3242" xr:uid="{00000000-0005-0000-0000-0000CA560000}"/>
    <cellStyle name="PSDate 2 5" xfId="3243" xr:uid="{00000000-0005-0000-0000-0000CB560000}"/>
    <cellStyle name="PSDate 2 6" xfId="3244" xr:uid="{00000000-0005-0000-0000-0000CC560000}"/>
    <cellStyle name="PSDate 3" xfId="3245" xr:uid="{00000000-0005-0000-0000-0000CD560000}"/>
    <cellStyle name="PSDate 3 2" xfId="3246" xr:uid="{00000000-0005-0000-0000-0000CE560000}"/>
    <cellStyle name="PSDate 3 3" xfId="3247" xr:uid="{00000000-0005-0000-0000-0000CF560000}"/>
    <cellStyle name="PSDate 3 4" xfId="3248" xr:uid="{00000000-0005-0000-0000-0000D0560000}"/>
    <cellStyle name="PSDate 3 5" xfId="3249" xr:uid="{00000000-0005-0000-0000-0000D1560000}"/>
    <cellStyle name="PSDate 4" xfId="3250" xr:uid="{00000000-0005-0000-0000-0000D2560000}"/>
    <cellStyle name="PSDate 5" xfId="3251" xr:uid="{00000000-0005-0000-0000-0000D3560000}"/>
    <cellStyle name="PSDate 6" xfId="3252" xr:uid="{00000000-0005-0000-0000-0000D4560000}"/>
    <cellStyle name="PSDate 7" xfId="3253" xr:uid="{00000000-0005-0000-0000-0000D5560000}"/>
    <cellStyle name="PSDate 8" xfId="3254" xr:uid="{00000000-0005-0000-0000-0000D6560000}"/>
    <cellStyle name="PSDate 9" xfId="3255" xr:uid="{00000000-0005-0000-0000-0000D7560000}"/>
    <cellStyle name="PSDate_Attrition Rate Scorecard - October 2008" xfId="3256" xr:uid="{00000000-0005-0000-0000-0000D8560000}"/>
    <cellStyle name="PSDec" xfId="3257" xr:uid="{00000000-0005-0000-0000-0000D9560000}"/>
    <cellStyle name="PSDec 10" xfId="3258" xr:uid="{00000000-0005-0000-0000-0000DA560000}"/>
    <cellStyle name="PSDec 2" xfId="3259" xr:uid="{00000000-0005-0000-0000-0000DB560000}"/>
    <cellStyle name="PSDec 2 2" xfId="3260" xr:uid="{00000000-0005-0000-0000-0000DC560000}"/>
    <cellStyle name="PSDec 2 3" xfId="3261" xr:uid="{00000000-0005-0000-0000-0000DD560000}"/>
    <cellStyle name="PSDec 2 4" xfId="3262" xr:uid="{00000000-0005-0000-0000-0000DE560000}"/>
    <cellStyle name="PSDec 2 5" xfId="3263" xr:uid="{00000000-0005-0000-0000-0000DF560000}"/>
    <cellStyle name="PSDec 2 6" xfId="3264" xr:uid="{00000000-0005-0000-0000-0000E0560000}"/>
    <cellStyle name="PSDec 3" xfId="3265" xr:uid="{00000000-0005-0000-0000-0000E1560000}"/>
    <cellStyle name="PSDec 3 2" xfId="3266" xr:uid="{00000000-0005-0000-0000-0000E2560000}"/>
    <cellStyle name="PSDec 3 3" xfId="3267" xr:uid="{00000000-0005-0000-0000-0000E3560000}"/>
    <cellStyle name="PSDec 3 4" xfId="3268" xr:uid="{00000000-0005-0000-0000-0000E4560000}"/>
    <cellStyle name="PSDec 3 5" xfId="3269" xr:uid="{00000000-0005-0000-0000-0000E5560000}"/>
    <cellStyle name="PSDec 4" xfId="3270" xr:uid="{00000000-0005-0000-0000-0000E6560000}"/>
    <cellStyle name="PSDec 5" xfId="3271" xr:uid="{00000000-0005-0000-0000-0000E7560000}"/>
    <cellStyle name="PSDec 6" xfId="3272" xr:uid="{00000000-0005-0000-0000-0000E8560000}"/>
    <cellStyle name="PSDec 7" xfId="3273" xr:uid="{00000000-0005-0000-0000-0000E9560000}"/>
    <cellStyle name="PSDec 8" xfId="3274" xr:uid="{00000000-0005-0000-0000-0000EA560000}"/>
    <cellStyle name="PSDec 9" xfId="3275" xr:uid="{00000000-0005-0000-0000-0000EB560000}"/>
    <cellStyle name="PSDec_Attrition Rate Scorecard - October 2008" xfId="3276" xr:uid="{00000000-0005-0000-0000-0000EC560000}"/>
    <cellStyle name="PSHeading" xfId="3277" xr:uid="{00000000-0005-0000-0000-0000ED560000}"/>
    <cellStyle name="PSHeading 10" xfId="3278" xr:uid="{00000000-0005-0000-0000-0000EE560000}"/>
    <cellStyle name="PSHeading 11" xfId="3279" xr:uid="{00000000-0005-0000-0000-0000EF560000}"/>
    <cellStyle name="PSHeading 2" xfId="3280" xr:uid="{00000000-0005-0000-0000-0000F0560000}"/>
    <cellStyle name="PSHeading 2 2" xfId="3281" xr:uid="{00000000-0005-0000-0000-0000F1560000}"/>
    <cellStyle name="PSHeading 2 2 2" xfId="3282" xr:uid="{00000000-0005-0000-0000-0000F2560000}"/>
    <cellStyle name="PSHeading 2 3" xfId="3283" xr:uid="{00000000-0005-0000-0000-0000F3560000}"/>
    <cellStyle name="PSHeading 2 3 2" xfId="3284" xr:uid="{00000000-0005-0000-0000-0000F4560000}"/>
    <cellStyle name="PSHeading 2 4" xfId="3285" xr:uid="{00000000-0005-0000-0000-0000F5560000}"/>
    <cellStyle name="PSHeading 2 5" xfId="3286" xr:uid="{00000000-0005-0000-0000-0000F6560000}"/>
    <cellStyle name="PSHeading 2 6" xfId="3287" xr:uid="{00000000-0005-0000-0000-0000F7560000}"/>
    <cellStyle name="PSHeading 2_Sheet2" xfId="3288" xr:uid="{00000000-0005-0000-0000-0000F8560000}"/>
    <cellStyle name="PSHeading 3" xfId="3289" xr:uid="{00000000-0005-0000-0000-0000F9560000}"/>
    <cellStyle name="PSHeading 3 2" xfId="3290" xr:uid="{00000000-0005-0000-0000-0000FA560000}"/>
    <cellStyle name="PSHeading 3 3" xfId="3291" xr:uid="{00000000-0005-0000-0000-0000FB560000}"/>
    <cellStyle name="PSHeading 3 4" xfId="3292" xr:uid="{00000000-0005-0000-0000-0000FC560000}"/>
    <cellStyle name="PSHeading 3 5" xfId="3293" xr:uid="{00000000-0005-0000-0000-0000FD560000}"/>
    <cellStyle name="PSHeading 4" xfId="3294" xr:uid="{00000000-0005-0000-0000-0000FE560000}"/>
    <cellStyle name="PSHeading 5" xfId="3295" xr:uid="{00000000-0005-0000-0000-0000FF560000}"/>
    <cellStyle name="PSHeading 6" xfId="3296" xr:uid="{00000000-0005-0000-0000-000000570000}"/>
    <cellStyle name="PSHeading 7" xfId="3297" xr:uid="{00000000-0005-0000-0000-000001570000}"/>
    <cellStyle name="PSHeading 8" xfId="3298" xr:uid="{00000000-0005-0000-0000-000002570000}"/>
    <cellStyle name="PSHeading 9" xfId="3299" xr:uid="{00000000-0005-0000-0000-000003570000}"/>
    <cellStyle name="PSHeading_Attrition Rate Scorecard - October 2008" xfId="3300" xr:uid="{00000000-0005-0000-0000-000004570000}"/>
    <cellStyle name="PSInt" xfId="3301" xr:uid="{00000000-0005-0000-0000-000005570000}"/>
    <cellStyle name="PSInt 10" xfId="3302" xr:uid="{00000000-0005-0000-0000-000006570000}"/>
    <cellStyle name="PSInt 2" xfId="3303" xr:uid="{00000000-0005-0000-0000-000007570000}"/>
    <cellStyle name="PSInt 2 2" xfId="3304" xr:uid="{00000000-0005-0000-0000-000008570000}"/>
    <cellStyle name="PSInt 2 3" xfId="3305" xr:uid="{00000000-0005-0000-0000-000009570000}"/>
    <cellStyle name="PSInt 2 4" xfId="3306" xr:uid="{00000000-0005-0000-0000-00000A570000}"/>
    <cellStyle name="PSInt 2 5" xfId="3307" xr:uid="{00000000-0005-0000-0000-00000B570000}"/>
    <cellStyle name="PSInt 2 6" xfId="3308" xr:uid="{00000000-0005-0000-0000-00000C570000}"/>
    <cellStyle name="PSInt 3" xfId="3309" xr:uid="{00000000-0005-0000-0000-00000D570000}"/>
    <cellStyle name="PSInt 3 2" xfId="3310" xr:uid="{00000000-0005-0000-0000-00000E570000}"/>
    <cellStyle name="PSInt 3 3" xfId="3311" xr:uid="{00000000-0005-0000-0000-00000F570000}"/>
    <cellStyle name="PSInt 3 4" xfId="3312" xr:uid="{00000000-0005-0000-0000-000010570000}"/>
    <cellStyle name="PSInt 3 5" xfId="3313" xr:uid="{00000000-0005-0000-0000-000011570000}"/>
    <cellStyle name="PSInt 4" xfId="3314" xr:uid="{00000000-0005-0000-0000-000012570000}"/>
    <cellStyle name="PSInt 5" xfId="3315" xr:uid="{00000000-0005-0000-0000-000013570000}"/>
    <cellStyle name="PSInt 6" xfId="3316" xr:uid="{00000000-0005-0000-0000-000014570000}"/>
    <cellStyle name="PSInt 7" xfId="3317" xr:uid="{00000000-0005-0000-0000-000015570000}"/>
    <cellStyle name="PSInt 8" xfId="3318" xr:uid="{00000000-0005-0000-0000-000016570000}"/>
    <cellStyle name="PSInt 9" xfId="3319" xr:uid="{00000000-0005-0000-0000-000017570000}"/>
    <cellStyle name="PSInt_Attrition Rate Scorecard - October 2008" xfId="3320" xr:uid="{00000000-0005-0000-0000-000018570000}"/>
    <cellStyle name="PSSpacer" xfId="3321" xr:uid="{00000000-0005-0000-0000-000019570000}"/>
    <cellStyle name="PSSpacer 10" xfId="3322" xr:uid="{00000000-0005-0000-0000-00001A570000}"/>
    <cellStyle name="PSSpacer 11" xfId="3323" xr:uid="{00000000-0005-0000-0000-00001B570000}"/>
    <cellStyle name="PSSpacer 2" xfId="3324" xr:uid="{00000000-0005-0000-0000-00001C570000}"/>
    <cellStyle name="PSSpacer 2 2" xfId="3325" xr:uid="{00000000-0005-0000-0000-00001D570000}"/>
    <cellStyle name="PSSpacer 2 3" xfId="3326" xr:uid="{00000000-0005-0000-0000-00001E570000}"/>
    <cellStyle name="PSSpacer 2 4" xfId="3327" xr:uid="{00000000-0005-0000-0000-00001F570000}"/>
    <cellStyle name="PSSpacer 2 5" xfId="3328" xr:uid="{00000000-0005-0000-0000-000020570000}"/>
    <cellStyle name="PSSpacer 2 6" xfId="3329" xr:uid="{00000000-0005-0000-0000-000021570000}"/>
    <cellStyle name="PSSpacer 3" xfId="3330" xr:uid="{00000000-0005-0000-0000-000022570000}"/>
    <cellStyle name="PSSpacer 3 2" xfId="3331" xr:uid="{00000000-0005-0000-0000-000023570000}"/>
    <cellStyle name="PSSpacer 3 3" xfId="3332" xr:uid="{00000000-0005-0000-0000-000024570000}"/>
    <cellStyle name="PSSpacer 3 4" xfId="3333" xr:uid="{00000000-0005-0000-0000-000025570000}"/>
    <cellStyle name="PSSpacer 3 5" xfId="3334" xr:uid="{00000000-0005-0000-0000-000026570000}"/>
    <cellStyle name="PSSpacer 4" xfId="3335" xr:uid="{00000000-0005-0000-0000-000027570000}"/>
    <cellStyle name="PSSpacer 5" xfId="3336" xr:uid="{00000000-0005-0000-0000-000028570000}"/>
    <cellStyle name="PSSpacer 6" xfId="3337" xr:uid="{00000000-0005-0000-0000-000029570000}"/>
    <cellStyle name="PSSpacer 7" xfId="3338" xr:uid="{00000000-0005-0000-0000-00002A570000}"/>
    <cellStyle name="PSSpacer 8" xfId="3339" xr:uid="{00000000-0005-0000-0000-00002B570000}"/>
    <cellStyle name="PSSpacer 9" xfId="3340" xr:uid="{00000000-0005-0000-0000-00002C570000}"/>
    <cellStyle name="PSSpacer_Attrition Rate Scorecard - October 2008" xfId="3341" xr:uid="{00000000-0005-0000-0000-00002D570000}"/>
    <cellStyle name="PwC Normal" xfId="3342" xr:uid="{00000000-0005-0000-0000-00002E570000}"/>
    <cellStyle name="s_HeaderLine" xfId="3343" xr:uid="{00000000-0005-0000-0000-00002F570000}"/>
    <cellStyle name="s_HeaderLine_2010 MEL Parent Tax Bal Sheet" xfId="3344" xr:uid="{00000000-0005-0000-0000-000030570000}"/>
    <cellStyle name="s_HeaderLine_Attrition Rate Scorecard - October 2008" xfId="3345" xr:uid="{00000000-0005-0000-0000-000031570000}"/>
    <cellStyle name="s_HeaderLine_Attrition Rate Scorecard - October 2008 2" xfId="3346" xr:uid="{00000000-0005-0000-0000-000032570000}"/>
    <cellStyle name="s_HeaderLine_Attrition Rate Scorecard - October 2008 3" xfId="3347" xr:uid="{00000000-0005-0000-0000-000033570000}"/>
    <cellStyle name="s_HeaderLine_Attrition Rate Scorecard - October 2008_Sheet2" xfId="3348" xr:uid="{00000000-0005-0000-0000-000034570000}"/>
    <cellStyle name="s_HeaderLine_Attrition Rate Scorecard - September 2008" xfId="3349" xr:uid="{00000000-0005-0000-0000-000035570000}"/>
    <cellStyle name="s_HeaderLine_Attrition Rate Scorecard - September 2008 2" xfId="3350" xr:uid="{00000000-0005-0000-0000-000036570000}"/>
    <cellStyle name="s_HeaderLine_Attrition Rate Scorecard - September 2008 3" xfId="3351" xr:uid="{00000000-0005-0000-0000-000037570000}"/>
    <cellStyle name="s_HeaderLine_Attrition Rate Scorecard - September 2008_Sheet2" xfId="3352" xr:uid="{00000000-0005-0000-0000-000038570000}"/>
    <cellStyle name="s_HeaderLine_B3-December 08 Board View (Half Yr Adj)" xfId="3353" xr:uid="{00000000-0005-0000-0000-000039570000}"/>
    <cellStyle name="s_HeaderLine_CONGL029" xfId="3354" xr:uid="{00000000-0005-0000-0000-00003A570000}"/>
    <cellStyle name="s_HeaderLine_CONGL029 2" xfId="3355" xr:uid="{00000000-0005-0000-0000-00003B570000}"/>
    <cellStyle name="s_HeaderLine_CONGL029 3" xfId="3356" xr:uid="{00000000-0005-0000-0000-00003C570000}"/>
    <cellStyle name="s_HeaderLine_CONGL029_Sheet2" xfId="3357" xr:uid="{00000000-0005-0000-0000-00003D570000}"/>
    <cellStyle name="s_HeaderLine_Consolidation Schedule December 2008" xfId="3358" xr:uid="{00000000-0005-0000-0000-00003E570000}"/>
    <cellStyle name="s_HeaderLine_Consolidation Schedule December 2008 no ARC Impairment-FINAL" xfId="3359" xr:uid="{00000000-0005-0000-0000-00003F570000}"/>
    <cellStyle name="s_HeaderLine_Consolidation Schedule December 2008 no ARC Impairment-FINAL 2" xfId="3360" xr:uid="{00000000-0005-0000-0000-000040570000}"/>
    <cellStyle name="s_HeaderLine_Consolidation Schedule December 2008 no ARC Impairment-FINAL 3" xfId="3361" xr:uid="{00000000-0005-0000-0000-000041570000}"/>
    <cellStyle name="s_HeaderLine_Consolidation Schedule December 2008 no ARC Impairment-FINAL_Sheet2" xfId="3362" xr:uid="{00000000-0005-0000-0000-000042570000}"/>
    <cellStyle name="s_HeaderLine_Copy of Attrition Rate FTE's Aug 2008" xfId="3363" xr:uid="{00000000-0005-0000-0000-000043570000}"/>
    <cellStyle name="s_HeaderLine_Copy of Attrition Rate FTE's Aug 2008 2" xfId="3364" xr:uid="{00000000-0005-0000-0000-000044570000}"/>
    <cellStyle name="s_HeaderLine_Copy of Attrition Rate FTE's Aug 2008 3" xfId="3365" xr:uid="{00000000-0005-0000-0000-000045570000}"/>
    <cellStyle name="s_HeaderLine_Copy of Attrition Rate FTE's Aug 2008_Book2" xfId="3366" xr:uid="{00000000-0005-0000-0000-000046570000}"/>
    <cellStyle name="s_HeaderLine_Copy of Attrition Rate FTE's Aug 2008_Book2 2" xfId="3367" xr:uid="{00000000-0005-0000-0000-000047570000}"/>
    <cellStyle name="s_HeaderLine_Copy of Attrition Rate FTE's Aug 2008_Book2 3" xfId="3368" xr:uid="{00000000-0005-0000-0000-000048570000}"/>
    <cellStyle name="s_HeaderLine_Copy of Attrition Rate FTE's Aug 2008_Book2_Sheet2" xfId="3369" xr:uid="{00000000-0005-0000-0000-000049570000}"/>
    <cellStyle name="s_HeaderLine_Copy of Attrition Rate FTE's Aug 2008_Retail Scorecard September 2008a" xfId="3370" xr:uid="{00000000-0005-0000-0000-00004A570000}"/>
    <cellStyle name="s_HeaderLine_Copy of Attrition Rate FTE's Aug 2008_Retail Scorecard September 2008b" xfId="3371" xr:uid="{00000000-0005-0000-0000-00004B570000}"/>
    <cellStyle name="s_HeaderLine_Copy of Attrition Rate FTE's Aug 2008_Sheet2" xfId="3372" xr:uid="{00000000-0005-0000-0000-00004C570000}"/>
    <cellStyle name="s_HeaderLine_Generation and NER Stats" xfId="3373" xr:uid="{00000000-0005-0000-0000-00004D570000}"/>
    <cellStyle name="s_HeaderLine_Group Consolidated Scorecard Dec08 - KM" xfId="3374" xr:uid="{00000000-0005-0000-0000-00004E570000}"/>
    <cellStyle name="s_HeaderLine_Group TB CONGL029" xfId="3375" xr:uid="{00000000-0005-0000-0000-00004F570000}"/>
    <cellStyle name="s_HeaderLine_HS&amp;W 2008-23-09" xfId="3376" xr:uid="{00000000-0005-0000-0000-000050570000}"/>
    <cellStyle name="s_HeaderLine_HS&amp;W 2008-23-09 2" xfId="3377" xr:uid="{00000000-0005-0000-0000-000051570000}"/>
    <cellStyle name="s_HeaderLine_HS&amp;W 2008-23-09 3" xfId="3378" xr:uid="{00000000-0005-0000-0000-000052570000}"/>
    <cellStyle name="s_HeaderLine_HS&amp;W 2008-23-09_Book2" xfId="3379" xr:uid="{00000000-0005-0000-0000-000053570000}"/>
    <cellStyle name="s_HeaderLine_HS&amp;W 2008-23-09_Book2 2" xfId="3380" xr:uid="{00000000-0005-0000-0000-000054570000}"/>
    <cellStyle name="s_HeaderLine_HS&amp;W 2008-23-09_Book2 3" xfId="3381" xr:uid="{00000000-0005-0000-0000-000055570000}"/>
    <cellStyle name="s_HeaderLine_HS&amp;W 2008-23-09_Book2_Sheet2" xfId="3382" xr:uid="{00000000-0005-0000-0000-000056570000}"/>
    <cellStyle name="s_HeaderLine_HS&amp;W 2008-23-09_Retail Scorecard September 2008a" xfId="3383" xr:uid="{00000000-0005-0000-0000-000057570000}"/>
    <cellStyle name="s_HeaderLine_HS&amp;W 2008-23-09_Retail Scorecard September 2008b" xfId="3384" xr:uid="{00000000-0005-0000-0000-000058570000}"/>
    <cellStyle name="s_HeaderLine_HS&amp;W 2008-23-09_Sheet2" xfId="3385" xr:uid="{00000000-0005-0000-0000-000059570000}"/>
    <cellStyle name="s_HeaderLine_June 10 Board View V1 19-07-10" xfId="3386" xr:uid="{00000000-0005-0000-0000-00005A570000}"/>
    <cellStyle name="s_HeaderLine_June 10 congl029" xfId="3387" xr:uid="{00000000-0005-0000-0000-00005B570000}"/>
    <cellStyle name="s_HeaderLine_MaPQuarterlyStats as at 31 December" xfId="3388" xr:uid="{00000000-0005-0000-0000-00005C570000}"/>
    <cellStyle name="s_HeaderLine_March 09 Board View" xfId="3389" xr:uid="{00000000-0005-0000-0000-00005D570000}"/>
    <cellStyle name="s_HeaderLine_Net Debt to Equity Ratio 31 12 08" xfId="3390" xr:uid="{00000000-0005-0000-0000-00005E570000}"/>
    <cellStyle name="s_HeaderLine_September 08 Board View" xfId="3391" xr:uid="{00000000-0005-0000-0000-00005F570000}"/>
    <cellStyle name="s_HeaderLine_September 08 Mgmt View" xfId="3392" xr:uid="{00000000-0005-0000-0000-000060570000}"/>
    <cellStyle name="s_HeaderLine_TB Dec 2009 PowerTax mapping" xfId="3393" xr:uid="{00000000-0005-0000-0000-000061570000}"/>
    <cellStyle name="s_HeaderLine_Template Scorecard 2008" xfId="3394" xr:uid="{00000000-0005-0000-0000-000062570000}"/>
    <cellStyle name="s_HeaderLine_Template Scorecard 2008 2" xfId="3395" xr:uid="{00000000-0005-0000-0000-000063570000}"/>
    <cellStyle name="s_HeaderLine_Template Scorecard 2008 3" xfId="3396" xr:uid="{00000000-0005-0000-0000-000064570000}"/>
    <cellStyle name="s_HeaderLine_Template Scorecard 2008_Book2" xfId="3397" xr:uid="{00000000-0005-0000-0000-000065570000}"/>
    <cellStyle name="s_HeaderLine_Template Scorecard 2008_Book2 2" xfId="3398" xr:uid="{00000000-0005-0000-0000-000066570000}"/>
    <cellStyle name="s_HeaderLine_Template Scorecard 2008_Book2 3" xfId="3399" xr:uid="{00000000-0005-0000-0000-000067570000}"/>
    <cellStyle name="s_HeaderLine_Template Scorecard 2008_Book2_Sheet2" xfId="3400" xr:uid="{00000000-0005-0000-0000-000068570000}"/>
    <cellStyle name="s_HeaderLine_Template Scorecard 2008_Retail Scorecard September 2008a" xfId="3401" xr:uid="{00000000-0005-0000-0000-000069570000}"/>
    <cellStyle name="s_HeaderLine_Template Scorecard 2008_Retail Scorecard September 2008b" xfId="3402" xr:uid="{00000000-0005-0000-0000-00006A570000}"/>
    <cellStyle name="s_HeaderLine_Template Scorecard 2008_Sheet2" xfId="3403" xr:uid="{00000000-0005-0000-0000-00006B570000}"/>
    <cellStyle name="s_HeaderLine_Template Scorecard 20081" xfId="3404" xr:uid="{00000000-0005-0000-0000-00006C570000}"/>
    <cellStyle name="s_HeaderLine_Template Scorecard 20081 2" xfId="3405" xr:uid="{00000000-0005-0000-0000-00006D570000}"/>
    <cellStyle name="s_HeaderLine_Template Scorecard 20081 3" xfId="3406" xr:uid="{00000000-0005-0000-0000-00006E570000}"/>
    <cellStyle name="s_HeaderLine_Template Scorecard 20081_Book2" xfId="3407" xr:uid="{00000000-0005-0000-0000-00006F570000}"/>
    <cellStyle name="s_HeaderLine_Template Scorecard 20081_Book2 2" xfId="3408" xr:uid="{00000000-0005-0000-0000-000070570000}"/>
    <cellStyle name="s_HeaderLine_Template Scorecard 20081_Book2 3" xfId="3409" xr:uid="{00000000-0005-0000-0000-000071570000}"/>
    <cellStyle name="s_HeaderLine_Template Scorecard 20081_Book2_Sheet2" xfId="3410" xr:uid="{00000000-0005-0000-0000-000072570000}"/>
    <cellStyle name="s_HeaderLine_Template Scorecard 20081_Retail Scorecard September 2008a" xfId="3411" xr:uid="{00000000-0005-0000-0000-000073570000}"/>
    <cellStyle name="s_HeaderLine_Template Scorecard 20081_Retail Scorecard September 2008b" xfId="3412" xr:uid="{00000000-0005-0000-0000-000074570000}"/>
    <cellStyle name="s_HeaderLine_Template Scorecard 20081_Sheet2" xfId="3413" xr:uid="{00000000-0005-0000-0000-000075570000}"/>
    <cellStyle name="s_PurpleHeader" xfId="3414" xr:uid="{00000000-0005-0000-0000-000076570000}"/>
    <cellStyle name="s_PurpleHeader_2010 MEL Parent Tax Bal Sheet" xfId="3415" xr:uid="{00000000-0005-0000-0000-000077570000}"/>
    <cellStyle name="s_PurpleHeader_Attrition Rate Scorecard - October 2008" xfId="3416" xr:uid="{00000000-0005-0000-0000-000078570000}"/>
    <cellStyle name="s_PurpleHeader_Attrition Rate Scorecard - September 2008" xfId="3417" xr:uid="{00000000-0005-0000-0000-000079570000}"/>
    <cellStyle name="s_PurpleHeader_B3-December 08 Board View (Half Yr Adj)" xfId="3418" xr:uid="{00000000-0005-0000-0000-00007A570000}"/>
    <cellStyle name="s_PurpleHeader_CFIS DataLoad Actual June 07 IFRS" xfId="3419" xr:uid="{00000000-0005-0000-0000-00007B570000}"/>
    <cellStyle name="s_PurpleHeader_CFIS DataLoad Actual June 07 IFRS_Attrition Rate Scorecard - October 2008" xfId="3420" xr:uid="{00000000-0005-0000-0000-00007C570000}"/>
    <cellStyle name="s_PurpleHeader_CFIS DataLoad Actual June 07 IFRS_Attrition Rate Scorecard - September 2008" xfId="3421" xr:uid="{00000000-0005-0000-0000-00007D570000}"/>
    <cellStyle name="s_PurpleHeader_CFIS DataLoad Actual June 07 IFRS_CCMAU December 08-Half Yr Adj" xfId="3422" xr:uid="{00000000-0005-0000-0000-00007E570000}"/>
    <cellStyle name="s_PurpleHeader_CFIS DataLoad Actual June 07 IFRS_CCMAU Financials March 09" xfId="3423" xr:uid="{00000000-0005-0000-0000-00007F570000}"/>
    <cellStyle name="s_PurpleHeader_CFIS DataLoad Actual June 07 IFRS_Copy of Attrition Rate FTE's Aug 2008" xfId="3424" xr:uid="{00000000-0005-0000-0000-000080570000}"/>
    <cellStyle name="s_PurpleHeader_CFIS DataLoad Actual June 07 IFRS_Copy of Attrition Rate FTE's Aug 2008_Book2" xfId="3425" xr:uid="{00000000-0005-0000-0000-000081570000}"/>
    <cellStyle name="s_PurpleHeader_CFIS DataLoad Actual June 07 IFRS_Copy of Attrition Rate FTE's Aug 2008_Retail Scorecard September 2008a" xfId="3426" xr:uid="{00000000-0005-0000-0000-000082570000}"/>
    <cellStyle name="s_PurpleHeader_CFIS DataLoad Actual June 07 IFRS_Copy of Attrition Rate FTE's Aug 2008_Retail Scorecard September 2008a 2" xfId="3427" xr:uid="{00000000-0005-0000-0000-000083570000}"/>
    <cellStyle name="s_PurpleHeader_CFIS DataLoad Actual June 07 IFRS_Copy of Attrition Rate FTE's Aug 2008_Retail Scorecard September 2008a 3" xfId="3428" xr:uid="{00000000-0005-0000-0000-000084570000}"/>
    <cellStyle name="s_PurpleHeader_CFIS DataLoad Actual June 07 IFRS_Copy of Attrition Rate FTE's Aug 2008_Retail Scorecard September 2008a_Sheet2" xfId="3429" xr:uid="{00000000-0005-0000-0000-000085570000}"/>
    <cellStyle name="s_PurpleHeader_CFIS DataLoad Actual June 07 IFRS_Copy of Attrition Rate FTE's Aug 2008_Retail Scorecard September 2008b" xfId="3430" xr:uid="{00000000-0005-0000-0000-000086570000}"/>
    <cellStyle name="s_PurpleHeader_CFIS DataLoad Actual June 07 IFRS_Copy of Attrition Rate FTE's Aug 2008_Retail Scorecard September 2008b 2" xfId="3431" xr:uid="{00000000-0005-0000-0000-000087570000}"/>
    <cellStyle name="s_PurpleHeader_CFIS DataLoad Actual June 07 IFRS_Copy of Attrition Rate FTE's Aug 2008_Retail Scorecard September 2008b 3" xfId="3432" xr:uid="{00000000-0005-0000-0000-000088570000}"/>
    <cellStyle name="s_PurpleHeader_CFIS DataLoad Actual June 07 IFRS_Copy of Attrition Rate FTE's Aug 2008_Retail Scorecard September 2008b_Sheet2" xfId="3433" xr:uid="{00000000-0005-0000-0000-000089570000}"/>
    <cellStyle name="s_PurpleHeader_CFIS DataLoad Actual June 07 IFRS_HS&amp;W 2008-23-09" xfId="3434" xr:uid="{00000000-0005-0000-0000-00008A570000}"/>
    <cellStyle name="s_PurpleHeader_CFIS DataLoad Actual June 07 IFRS_HS&amp;W 2008-23-09_Book2" xfId="3435" xr:uid="{00000000-0005-0000-0000-00008B570000}"/>
    <cellStyle name="s_PurpleHeader_CFIS DataLoad Actual June 07 IFRS_HS&amp;W 2008-23-09_Retail Scorecard September 2008a" xfId="3436" xr:uid="{00000000-0005-0000-0000-00008C570000}"/>
    <cellStyle name="s_PurpleHeader_CFIS DataLoad Actual June 07 IFRS_HS&amp;W 2008-23-09_Retail Scorecard September 2008a 2" xfId="3437" xr:uid="{00000000-0005-0000-0000-00008D570000}"/>
    <cellStyle name="s_PurpleHeader_CFIS DataLoad Actual June 07 IFRS_HS&amp;W 2008-23-09_Retail Scorecard September 2008a 3" xfId="3438" xr:uid="{00000000-0005-0000-0000-00008E570000}"/>
    <cellStyle name="s_PurpleHeader_CFIS DataLoad Actual June 07 IFRS_HS&amp;W 2008-23-09_Retail Scorecard September 2008a_Sheet2" xfId="3439" xr:uid="{00000000-0005-0000-0000-00008F570000}"/>
    <cellStyle name="s_PurpleHeader_CFIS DataLoad Actual June 07 IFRS_HS&amp;W 2008-23-09_Retail Scorecard September 2008b" xfId="3440" xr:uid="{00000000-0005-0000-0000-000090570000}"/>
    <cellStyle name="s_PurpleHeader_CFIS DataLoad Actual June 07 IFRS_HS&amp;W 2008-23-09_Retail Scorecard September 2008b 2" xfId="3441" xr:uid="{00000000-0005-0000-0000-000091570000}"/>
    <cellStyle name="s_PurpleHeader_CFIS DataLoad Actual June 07 IFRS_HS&amp;W 2008-23-09_Retail Scorecard September 2008b 3" xfId="3442" xr:uid="{00000000-0005-0000-0000-000092570000}"/>
    <cellStyle name="s_PurpleHeader_CFIS DataLoad Actual June 07 IFRS_HS&amp;W 2008-23-09_Retail Scorecard September 2008b_Sheet2" xfId="3443" xr:uid="{00000000-0005-0000-0000-000093570000}"/>
    <cellStyle name="s_PurpleHeader_CFIS DataLoad Actual June 07 IFRS_MaPQuarterlyStats as at 31 December" xfId="3444" xr:uid="{00000000-0005-0000-0000-000094570000}"/>
    <cellStyle name="s_PurpleHeader_CFIS DataLoad Actual June 07 IFRS_September 08 Board View" xfId="3445" xr:uid="{00000000-0005-0000-0000-000095570000}"/>
    <cellStyle name="s_PurpleHeader_CFIS DataLoad Actual June 07 IFRS_September 08 Mgmt View" xfId="3446" xr:uid="{00000000-0005-0000-0000-000096570000}"/>
    <cellStyle name="s_PurpleHeader_CFIS DataLoad Actual June 07 IFRS_Template Scorecard 2008" xfId="3447" xr:uid="{00000000-0005-0000-0000-000097570000}"/>
    <cellStyle name="s_PurpleHeader_CFIS DataLoad Actual June 07 IFRS_Template Scorecard 2008_Book2" xfId="3448" xr:uid="{00000000-0005-0000-0000-000098570000}"/>
    <cellStyle name="s_PurpleHeader_CFIS DataLoad Actual June 07 IFRS_Template Scorecard 2008_Retail Scorecard September 2008a" xfId="3449" xr:uid="{00000000-0005-0000-0000-000099570000}"/>
    <cellStyle name="s_PurpleHeader_CFIS DataLoad Actual June 07 IFRS_Template Scorecard 2008_Retail Scorecard September 2008a 2" xfId="3450" xr:uid="{00000000-0005-0000-0000-00009A570000}"/>
    <cellStyle name="s_PurpleHeader_CFIS DataLoad Actual June 07 IFRS_Template Scorecard 2008_Retail Scorecard September 2008a 3" xfId="3451" xr:uid="{00000000-0005-0000-0000-00009B570000}"/>
    <cellStyle name="s_PurpleHeader_CFIS DataLoad Actual June 07 IFRS_Template Scorecard 2008_Retail Scorecard September 2008a_Sheet2" xfId="3452" xr:uid="{00000000-0005-0000-0000-00009C570000}"/>
    <cellStyle name="s_PurpleHeader_CFIS DataLoad Actual June 07 IFRS_Template Scorecard 2008_Retail Scorecard September 2008b" xfId="3453" xr:uid="{00000000-0005-0000-0000-00009D570000}"/>
    <cellStyle name="s_PurpleHeader_CFIS DataLoad Actual June 07 IFRS_Template Scorecard 2008_Retail Scorecard September 2008b 2" xfId="3454" xr:uid="{00000000-0005-0000-0000-00009E570000}"/>
    <cellStyle name="s_PurpleHeader_CFIS DataLoad Actual June 07 IFRS_Template Scorecard 2008_Retail Scorecard September 2008b 3" xfId="3455" xr:uid="{00000000-0005-0000-0000-00009F570000}"/>
    <cellStyle name="s_PurpleHeader_CFIS DataLoad Actual June 07 IFRS_Template Scorecard 2008_Retail Scorecard September 2008b_Sheet2" xfId="3456" xr:uid="{00000000-0005-0000-0000-0000A0570000}"/>
    <cellStyle name="s_PurpleHeader_CFIS DataLoad Actual June 07 IFRS_Template Scorecard 20081" xfId="3457" xr:uid="{00000000-0005-0000-0000-0000A1570000}"/>
    <cellStyle name="s_PurpleHeader_CFIS DataLoad Actual June 07 IFRS_Template Scorecard 20081_Book2" xfId="3458" xr:uid="{00000000-0005-0000-0000-0000A2570000}"/>
    <cellStyle name="s_PurpleHeader_CFIS DataLoad Actual June 07 IFRS_Template Scorecard 20081_Retail Scorecard September 2008a" xfId="3459" xr:uid="{00000000-0005-0000-0000-0000A3570000}"/>
    <cellStyle name="s_PurpleHeader_CFIS DataLoad Actual June 07 IFRS_Template Scorecard 20081_Retail Scorecard September 2008a 2" xfId="3460" xr:uid="{00000000-0005-0000-0000-0000A4570000}"/>
    <cellStyle name="s_PurpleHeader_CFIS DataLoad Actual June 07 IFRS_Template Scorecard 20081_Retail Scorecard September 2008a 3" xfId="3461" xr:uid="{00000000-0005-0000-0000-0000A5570000}"/>
    <cellStyle name="s_PurpleHeader_CFIS DataLoad Actual June 07 IFRS_Template Scorecard 20081_Retail Scorecard September 2008a_Sheet2" xfId="3462" xr:uid="{00000000-0005-0000-0000-0000A6570000}"/>
    <cellStyle name="s_PurpleHeader_CFIS DataLoad Actual June 07 IFRS_Template Scorecard 20081_Retail Scorecard September 2008b" xfId="3463" xr:uid="{00000000-0005-0000-0000-0000A7570000}"/>
    <cellStyle name="s_PurpleHeader_CFIS DataLoad Actual June 07 IFRS_Template Scorecard 20081_Retail Scorecard September 2008b 2" xfId="3464" xr:uid="{00000000-0005-0000-0000-0000A8570000}"/>
    <cellStyle name="s_PurpleHeader_CFIS DataLoad Actual June 07 IFRS_Template Scorecard 20081_Retail Scorecard September 2008b 3" xfId="3465" xr:uid="{00000000-0005-0000-0000-0000A9570000}"/>
    <cellStyle name="s_PurpleHeader_CFIS DataLoad Actual June 07 IFRS_Template Scorecard 20081_Retail Scorecard September 2008b_Sheet2" xfId="3466" xr:uid="{00000000-0005-0000-0000-0000AA570000}"/>
    <cellStyle name="s_PurpleHeader_CFIS Net NZIFRS Dataload Sep 06" xfId="3467" xr:uid="{00000000-0005-0000-0000-0000AB570000}"/>
    <cellStyle name="s_PurpleHeader_CFIS Net NZIFRS Dataload Sep 06_2010 MEL Parent Tax Bal Sheet" xfId="3468" xr:uid="{00000000-0005-0000-0000-0000AC570000}"/>
    <cellStyle name="s_PurpleHeader_CFIS Net NZIFRS Dataload Sep 06_Attrition Rate Scorecard - October 2008" xfId="3469" xr:uid="{00000000-0005-0000-0000-0000AD570000}"/>
    <cellStyle name="s_PurpleHeader_CFIS Net NZIFRS Dataload Sep 06_Attrition Rate Scorecard - September 2008" xfId="3470" xr:uid="{00000000-0005-0000-0000-0000AE570000}"/>
    <cellStyle name="s_PurpleHeader_CFIS Net NZIFRS Dataload Sep 06_B3-December 08 Board View (Half Yr Adj)" xfId="3471" xr:uid="{00000000-0005-0000-0000-0000AF570000}"/>
    <cellStyle name="s_PurpleHeader_CFIS Net NZIFRS Dataload Sep 06_CONGL029" xfId="3472" xr:uid="{00000000-0005-0000-0000-0000B0570000}"/>
    <cellStyle name="s_PurpleHeader_CFIS Net NZIFRS Dataload Sep 06_Consolidation Schedule December 2008" xfId="3473" xr:uid="{00000000-0005-0000-0000-0000B1570000}"/>
    <cellStyle name="s_PurpleHeader_CFIS Net NZIFRS Dataload Sep 06_Consolidation Schedule December 2008 no ARC Impairment-FINAL" xfId="3474" xr:uid="{00000000-0005-0000-0000-0000B2570000}"/>
    <cellStyle name="s_PurpleHeader_CFIS Net NZIFRS Dataload Sep 06_Copy of Attrition Rate FTE's Aug 2008" xfId="3475" xr:uid="{00000000-0005-0000-0000-0000B3570000}"/>
    <cellStyle name="s_PurpleHeader_CFIS Net NZIFRS Dataload Sep 06_Copy of Attrition Rate FTE's Aug 2008_Book2" xfId="3476" xr:uid="{00000000-0005-0000-0000-0000B4570000}"/>
    <cellStyle name="s_PurpleHeader_CFIS Net NZIFRS Dataload Sep 06_Copy of Attrition Rate FTE's Aug 2008_Retail Scorecard September 2008a" xfId="3477" xr:uid="{00000000-0005-0000-0000-0000B5570000}"/>
    <cellStyle name="s_PurpleHeader_CFIS Net NZIFRS Dataload Sep 06_Copy of Attrition Rate FTE's Aug 2008_Retail Scorecard September 2008a 2" xfId="3478" xr:uid="{00000000-0005-0000-0000-0000B6570000}"/>
    <cellStyle name="s_PurpleHeader_CFIS Net NZIFRS Dataload Sep 06_Copy of Attrition Rate FTE's Aug 2008_Retail Scorecard September 2008a 3" xfId="3479" xr:uid="{00000000-0005-0000-0000-0000B7570000}"/>
    <cellStyle name="s_PurpleHeader_CFIS Net NZIFRS Dataload Sep 06_Copy of Attrition Rate FTE's Aug 2008_Retail Scorecard September 2008a_Sheet2" xfId="3480" xr:uid="{00000000-0005-0000-0000-0000B8570000}"/>
    <cellStyle name="s_PurpleHeader_CFIS Net NZIFRS Dataload Sep 06_Copy of Attrition Rate FTE's Aug 2008_Retail Scorecard September 2008b" xfId="3481" xr:uid="{00000000-0005-0000-0000-0000B9570000}"/>
    <cellStyle name="s_PurpleHeader_CFIS Net NZIFRS Dataload Sep 06_Copy of Attrition Rate FTE's Aug 2008_Retail Scorecard September 2008b 2" xfId="3482" xr:uid="{00000000-0005-0000-0000-0000BA570000}"/>
    <cellStyle name="s_PurpleHeader_CFIS Net NZIFRS Dataload Sep 06_Copy of Attrition Rate FTE's Aug 2008_Retail Scorecard September 2008b 3" xfId="3483" xr:uid="{00000000-0005-0000-0000-0000BB570000}"/>
    <cellStyle name="s_PurpleHeader_CFIS Net NZIFRS Dataload Sep 06_Copy of Attrition Rate FTE's Aug 2008_Retail Scorecard September 2008b_Sheet2" xfId="3484" xr:uid="{00000000-0005-0000-0000-0000BC570000}"/>
    <cellStyle name="s_PurpleHeader_CFIS Net NZIFRS Dataload Sep 06_Generation and NER Stats" xfId="3485" xr:uid="{00000000-0005-0000-0000-0000BD570000}"/>
    <cellStyle name="s_PurpleHeader_CFIS Net NZIFRS Dataload Sep 06_Group Consolidated Scorecard Dec08 - KM" xfId="3486" xr:uid="{00000000-0005-0000-0000-0000BE570000}"/>
    <cellStyle name="s_PurpleHeader_CFIS Net NZIFRS Dataload Sep 06_Group TB CONGL029" xfId="3487" xr:uid="{00000000-0005-0000-0000-0000BF570000}"/>
    <cellStyle name="s_PurpleHeader_CFIS Net NZIFRS Dataload Sep 06_HS&amp;W 2008-23-09" xfId="3488" xr:uid="{00000000-0005-0000-0000-0000C0570000}"/>
    <cellStyle name="s_PurpleHeader_CFIS Net NZIFRS Dataload Sep 06_HS&amp;W 2008-23-09_Book2" xfId="3489" xr:uid="{00000000-0005-0000-0000-0000C1570000}"/>
    <cellStyle name="s_PurpleHeader_CFIS Net NZIFRS Dataload Sep 06_HS&amp;W 2008-23-09_Retail Scorecard September 2008a" xfId="3490" xr:uid="{00000000-0005-0000-0000-0000C2570000}"/>
    <cellStyle name="s_PurpleHeader_CFIS Net NZIFRS Dataload Sep 06_HS&amp;W 2008-23-09_Retail Scorecard September 2008a 2" xfId="3491" xr:uid="{00000000-0005-0000-0000-0000C3570000}"/>
    <cellStyle name="s_PurpleHeader_CFIS Net NZIFRS Dataload Sep 06_HS&amp;W 2008-23-09_Retail Scorecard September 2008a 3" xfId="3492" xr:uid="{00000000-0005-0000-0000-0000C4570000}"/>
    <cellStyle name="s_PurpleHeader_CFIS Net NZIFRS Dataload Sep 06_HS&amp;W 2008-23-09_Retail Scorecard September 2008a_Sheet2" xfId="3493" xr:uid="{00000000-0005-0000-0000-0000C5570000}"/>
    <cellStyle name="s_PurpleHeader_CFIS Net NZIFRS Dataload Sep 06_HS&amp;W 2008-23-09_Retail Scorecard September 2008b" xfId="3494" xr:uid="{00000000-0005-0000-0000-0000C6570000}"/>
    <cellStyle name="s_PurpleHeader_CFIS Net NZIFRS Dataload Sep 06_HS&amp;W 2008-23-09_Retail Scorecard September 2008b 2" xfId="3495" xr:uid="{00000000-0005-0000-0000-0000C7570000}"/>
    <cellStyle name="s_PurpleHeader_CFIS Net NZIFRS Dataload Sep 06_HS&amp;W 2008-23-09_Retail Scorecard September 2008b 3" xfId="3496" xr:uid="{00000000-0005-0000-0000-0000C8570000}"/>
    <cellStyle name="s_PurpleHeader_CFIS Net NZIFRS Dataload Sep 06_HS&amp;W 2008-23-09_Retail Scorecard September 2008b_Sheet2" xfId="3497" xr:uid="{00000000-0005-0000-0000-0000C9570000}"/>
    <cellStyle name="s_PurpleHeader_CFIS Net NZIFRS Dataload Sep 06_June 10 Board View V1 19-07-10" xfId="3498" xr:uid="{00000000-0005-0000-0000-0000CA570000}"/>
    <cellStyle name="s_PurpleHeader_CFIS Net NZIFRS Dataload Sep 06_June 10 congl029" xfId="3499" xr:uid="{00000000-0005-0000-0000-0000CB570000}"/>
    <cellStyle name="s_PurpleHeader_CFIS Net NZIFRS Dataload Sep 06_MaPQuarterlyStats as at 31 December" xfId="3500" xr:uid="{00000000-0005-0000-0000-0000CC570000}"/>
    <cellStyle name="s_PurpleHeader_CFIS Net NZIFRS Dataload Sep 06_March 09 Board View" xfId="3501" xr:uid="{00000000-0005-0000-0000-0000CD570000}"/>
    <cellStyle name="s_PurpleHeader_CFIS Net NZIFRS Dataload Sep 06_Net Debt to Equity Ratio 31 12 08" xfId="3502" xr:uid="{00000000-0005-0000-0000-0000CE570000}"/>
    <cellStyle name="s_PurpleHeader_CFIS Net NZIFRS Dataload Sep 06_September 08 Board View" xfId="3503" xr:uid="{00000000-0005-0000-0000-0000CF570000}"/>
    <cellStyle name="s_PurpleHeader_CFIS Net NZIFRS Dataload Sep 06_September 08 Mgmt View" xfId="3504" xr:uid="{00000000-0005-0000-0000-0000D0570000}"/>
    <cellStyle name="s_PurpleHeader_CFIS Net NZIFRS Dataload Sep 06_TB Dec 2009 PowerTax mapping" xfId="3505" xr:uid="{00000000-0005-0000-0000-0000D1570000}"/>
    <cellStyle name="s_PurpleHeader_CFIS Net NZIFRS Dataload Sep 06_Template Scorecard 2008" xfId="3506" xr:uid="{00000000-0005-0000-0000-0000D2570000}"/>
    <cellStyle name="s_PurpleHeader_CFIS Net NZIFRS Dataload Sep 06_Template Scorecard 2008_Book2" xfId="3507" xr:uid="{00000000-0005-0000-0000-0000D3570000}"/>
    <cellStyle name="s_PurpleHeader_CFIS Net NZIFRS Dataload Sep 06_Template Scorecard 2008_Retail Scorecard September 2008a" xfId="3508" xr:uid="{00000000-0005-0000-0000-0000D4570000}"/>
    <cellStyle name="s_PurpleHeader_CFIS Net NZIFRS Dataload Sep 06_Template Scorecard 2008_Retail Scorecard September 2008a 2" xfId="3509" xr:uid="{00000000-0005-0000-0000-0000D5570000}"/>
    <cellStyle name="s_PurpleHeader_CFIS Net NZIFRS Dataload Sep 06_Template Scorecard 2008_Retail Scorecard September 2008a 3" xfId="3510" xr:uid="{00000000-0005-0000-0000-0000D6570000}"/>
    <cellStyle name="s_PurpleHeader_CFIS Net NZIFRS Dataload Sep 06_Template Scorecard 2008_Retail Scorecard September 2008a_Sheet2" xfId="3511" xr:uid="{00000000-0005-0000-0000-0000D7570000}"/>
    <cellStyle name="s_PurpleHeader_CFIS Net NZIFRS Dataload Sep 06_Template Scorecard 2008_Retail Scorecard September 2008b" xfId="3512" xr:uid="{00000000-0005-0000-0000-0000D8570000}"/>
    <cellStyle name="s_PurpleHeader_CFIS Net NZIFRS Dataload Sep 06_Template Scorecard 2008_Retail Scorecard September 2008b 2" xfId="3513" xr:uid="{00000000-0005-0000-0000-0000D9570000}"/>
    <cellStyle name="s_PurpleHeader_CFIS Net NZIFRS Dataload Sep 06_Template Scorecard 2008_Retail Scorecard September 2008b 3" xfId="3514" xr:uid="{00000000-0005-0000-0000-0000DA570000}"/>
    <cellStyle name="s_PurpleHeader_CFIS Net NZIFRS Dataload Sep 06_Template Scorecard 2008_Retail Scorecard September 2008b_Sheet2" xfId="3515" xr:uid="{00000000-0005-0000-0000-0000DB570000}"/>
    <cellStyle name="s_PurpleHeader_CFIS Net NZIFRS Dataload Sep 06_Template Scorecard 20081" xfId="3516" xr:uid="{00000000-0005-0000-0000-0000DC570000}"/>
    <cellStyle name="s_PurpleHeader_CFIS Net NZIFRS Dataload Sep 06_Template Scorecard 20081_Book2" xfId="3517" xr:uid="{00000000-0005-0000-0000-0000DD570000}"/>
    <cellStyle name="s_PurpleHeader_CFIS Net NZIFRS Dataload Sep 06_Template Scorecard 20081_Retail Scorecard September 2008a" xfId="3518" xr:uid="{00000000-0005-0000-0000-0000DE570000}"/>
    <cellStyle name="s_PurpleHeader_CFIS Net NZIFRS Dataload Sep 06_Template Scorecard 20081_Retail Scorecard September 2008a 2" xfId="3519" xr:uid="{00000000-0005-0000-0000-0000DF570000}"/>
    <cellStyle name="s_PurpleHeader_CFIS Net NZIFRS Dataload Sep 06_Template Scorecard 20081_Retail Scorecard September 2008a 3" xfId="3520" xr:uid="{00000000-0005-0000-0000-0000E0570000}"/>
    <cellStyle name="s_PurpleHeader_CFIS Net NZIFRS Dataload Sep 06_Template Scorecard 20081_Retail Scorecard September 2008a_Sheet2" xfId="3521" xr:uid="{00000000-0005-0000-0000-0000E1570000}"/>
    <cellStyle name="s_PurpleHeader_CFIS Net NZIFRS Dataload Sep 06_Template Scorecard 20081_Retail Scorecard September 2008b" xfId="3522" xr:uid="{00000000-0005-0000-0000-0000E2570000}"/>
    <cellStyle name="s_PurpleHeader_CFIS Net NZIFRS Dataload Sep 06_Template Scorecard 20081_Retail Scorecard September 2008b 2" xfId="3523" xr:uid="{00000000-0005-0000-0000-0000E3570000}"/>
    <cellStyle name="s_PurpleHeader_CFIS Net NZIFRS Dataload Sep 06_Template Scorecard 20081_Retail Scorecard September 2008b 3" xfId="3524" xr:uid="{00000000-0005-0000-0000-0000E4570000}"/>
    <cellStyle name="s_PurpleHeader_CFIS Net NZIFRS Dataload Sep 06_Template Scorecard 20081_Retail Scorecard September 2008b_Sheet2" xfId="3525" xr:uid="{00000000-0005-0000-0000-0000E5570000}"/>
    <cellStyle name="s_PurpleHeader_CONGL029" xfId="3526" xr:uid="{00000000-0005-0000-0000-0000E6570000}"/>
    <cellStyle name="s_PurpleHeader_Consolidation Schedule December 2008" xfId="3527" xr:uid="{00000000-0005-0000-0000-0000E7570000}"/>
    <cellStyle name="s_PurpleHeader_Consolidation Schedule December 2008 no ARC Impairment-FINAL" xfId="3528" xr:uid="{00000000-0005-0000-0000-0000E8570000}"/>
    <cellStyle name="s_PurpleHeader_Copy of Attrition Rate FTE's Aug 2008" xfId="3529" xr:uid="{00000000-0005-0000-0000-0000E9570000}"/>
    <cellStyle name="s_PurpleHeader_Copy of Attrition Rate FTE's Aug 2008_Book2" xfId="3530" xr:uid="{00000000-0005-0000-0000-0000EA570000}"/>
    <cellStyle name="s_PurpleHeader_Copy of Attrition Rate FTE's Aug 2008_Retail Scorecard September 2008a" xfId="3531" xr:uid="{00000000-0005-0000-0000-0000EB570000}"/>
    <cellStyle name="s_PurpleHeader_Copy of Attrition Rate FTE's Aug 2008_Retail Scorecard September 2008a 2" xfId="3532" xr:uid="{00000000-0005-0000-0000-0000EC570000}"/>
    <cellStyle name="s_PurpleHeader_Copy of Attrition Rate FTE's Aug 2008_Retail Scorecard September 2008a 3" xfId="3533" xr:uid="{00000000-0005-0000-0000-0000ED570000}"/>
    <cellStyle name="s_PurpleHeader_Copy of Attrition Rate FTE's Aug 2008_Retail Scorecard September 2008a_Sheet2" xfId="3534" xr:uid="{00000000-0005-0000-0000-0000EE570000}"/>
    <cellStyle name="s_PurpleHeader_Copy of Attrition Rate FTE's Aug 2008_Retail Scorecard September 2008b" xfId="3535" xr:uid="{00000000-0005-0000-0000-0000EF570000}"/>
    <cellStyle name="s_PurpleHeader_Copy of Attrition Rate FTE's Aug 2008_Retail Scorecard September 2008b 2" xfId="3536" xr:uid="{00000000-0005-0000-0000-0000F0570000}"/>
    <cellStyle name="s_PurpleHeader_Copy of Attrition Rate FTE's Aug 2008_Retail Scorecard September 2008b 3" xfId="3537" xr:uid="{00000000-0005-0000-0000-0000F1570000}"/>
    <cellStyle name="s_PurpleHeader_Copy of Attrition Rate FTE's Aug 2008_Retail Scorecard September 2008b_Sheet2" xfId="3538" xr:uid="{00000000-0005-0000-0000-0000F2570000}"/>
    <cellStyle name="s_PurpleHeader_DataLoad_206" xfId="3539" xr:uid="{00000000-0005-0000-0000-0000F3570000}"/>
    <cellStyle name="s_PurpleHeader_Generation and NER Stats" xfId="3540" xr:uid="{00000000-0005-0000-0000-0000F4570000}"/>
    <cellStyle name="s_PurpleHeader_Group Consolidated Scorecard Dec08 - KM" xfId="3541" xr:uid="{00000000-0005-0000-0000-0000F5570000}"/>
    <cellStyle name="s_PurpleHeader_Group TB CONGL029" xfId="3542" xr:uid="{00000000-0005-0000-0000-0000F6570000}"/>
    <cellStyle name="s_PurpleHeader_HS&amp;W 2008-23-09" xfId="3543" xr:uid="{00000000-0005-0000-0000-0000F7570000}"/>
    <cellStyle name="s_PurpleHeader_HS&amp;W 2008-23-09_Book2" xfId="3544" xr:uid="{00000000-0005-0000-0000-0000F8570000}"/>
    <cellStyle name="s_PurpleHeader_HS&amp;W 2008-23-09_Retail Scorecard September 2008a" xfId="3545" xr:uid="{00000000-0005-0000-0000-0000F9570000}"/>
    <cellStyle name="s_PurpleHeader_HS&amp;W 2008-23-09_Retail Scorecard September 2008a 2" xfId="3546" xr:uid="{00000000-0005-0000-0000-0000FA570000}"/>
    <cellStyle name="s_PurpleHeader_HS&amp;W 2008-23-09_Retail Scorecard September 2008a 3" xfId="3547" xr:uid="{00000000-0005-0000-0000-0000FB570000}"/>
    <cellStyle name="s_PurpleHeader_HS&amp;W 2008-23-09_Retail Scorecard September 2008a_Sheet2" xfId="3548" xr:uid="{00000000-0005-0000-0000-0000FC570000}"/>
    <cellStyle name="s_PurpleHeader_HS&amp;W 2008-23-09_Retail Scorecard September 2008b" xfId="3549" xr:uid="{00000000-0005-0000-0000-0000FD570000}"/>
    <cellStyle name="s_PurpleHeader_HS&amp;W 2008-23-09_Retail Scorecard September 2008b 2" xfId="3550" xr:uid="{00000000-0005-0000-0000-0000FE570000}"/>
    <cellStyle name="s_PurpleHeader_HS&amp;W 2008-23-09_Retail Scorecard September 2008b 3" xfId="3551" xr:uid="{00000000-0005-0000-0000-0000FF570000}"/>
    <cellStyle name="s_PurpleHeader_HS&amp;W 2008-23-09_Retail Scorecard September 2008b_Sheet2" xfId="3552" xr:uid="{00000000-0005-0000-0000-000000580000}"/>
    <cellStyle name="s_PurpleHeader_June 10 Board View V1 19-07-10" xfId="3553" xr:uid="{00000000-0005-0000-0000-000001580000}"/>
    <cellStyle name="s_PurpleHeader_June 10 congl029" xfId="3554" xr:uid="{00000000-0005-0000-0000-000002580000}"/>
    <cellStyle name="s_PurpleHeader_MaPQuarterlyStats as at 31 December" xfId="3555" xr:uid="{00000000-0005-0000-0000-000003580000}"/>
    <cellStyle name="s_PurpleHeader_March 09 Board View" xfId="3556" xr:uid="{00000000-0005-0000-0000-000004580000}"/>
    <cellStyle name="s_PurpleHeader_Net Debt to Equity Ratio 31 12 08" xfId="3557" xr:uid="{00000000-0005-0000-0000-000005580000}"/>
    <cellStyle name="s_PurpleHeader_September 08 Board View" xfId="3558" xr:uid="{00000000-0005-0000-0000-000006580000}"/>
    <cellStyle name="s_PurpleHeader_September 08 Mgmt View" xfId="3559" xr:uid="{00000000-0005-0000-0000-000007580000}"/>
    <cellStyle name="s_PurpleHeader_TB Dec 2009 PowerTax mapping" xfId="3560" xr:uid="{00000000-0005-0000-0000-000008580000}"/>
    <cellStyle name="s_PurpleHeader_Template Scorecard 2008" xfId="3561" xr:uid="{00000000-0005-0000-0000-000009580000}"/>
    <cellStyle name="s_PurpleHeader_Template Scorecard 2008_Book2" xfId="3562" xr:uid="{00000000-0005-0000-0000-00000A580000}"/>
    <cellStyle name="s_PurpleHeader_Template Scorecard 2008_Retail Scorecard September 2008a" xfId="3563" xr:uid="{00000000-0005-0000-0000-00000B580000}"/>
    <cellStyle name="s_PurpleHeader_Template Scorecard 2008_Retail Scorecard September 2008a 2" xfId="3564" xr:uid="{00000000-0005-0000-0000-00000C580000}"/>
    <cellStyle name="s_PurpleHeader_Template Scorecard 2008_Retail Scorecard September 2008a 3" xfId="3565" xr:uid="{00000000-0005-0000-0000-00000D580000}"/>
    <cellStyle name="s_PurpleHeader_Template Scorecard 2008_Retail Scorecard September 2008a_Sheet2" xfId="3566" xr:uid="{00000000-0005-0000-0000-00000E580000}"/>
    <cellStyle name="s_PurpleHeader_Template Scorecard 2008_Retail Scorecard September 2008b" xfId="3567" xr:uid="{00000000-0005-0000-0000-00000F580000}"/>
    <cellStyle name="s_PurpleHeader_Template Scorecard 2008_Retail Scorecard September 2008b 2" xfId="3568" xr:uid="{00000000-0005-0000-0000-000010580000}"/>
    <cellStyle name="s_PurpleHeader_Template Scorecard 2008_Retail Scorecard September 2008b 3" xfId="3569" xr:uid="{00000000-0005-0000-0000-000011580000}"/>
    <cellStyle name="s_PurpleHeader_Template Scorecard 2008_Retail Scorecard September 2008b_Sheet2" xfId="3570" xr:uid="{00000000-0005-0000-0000-000012580000}"/>
    <cellStyle name="s_PurpleHeader_Template Scorecard 20081" xfId="3571" xr:uid="{00000000-0005-0000-0000-000013580000}"/>
    <cellStyle name="s_PurpleHeader_Template Scorecard 20081_Book2" xfId="3572" xr:uid="{00000000-0005-0000-0000-000014580000}"/>
    <cellStyle name="s_PurpleHeader_Template Scorecard 20081_Retail Scorecard September 2008a" xfId="3573" xr:uid="{00000000-0005-0000-0000-000015580000}"/>
    <cellStyle name="s_PurpleHeader_Template Scorecard 20081_Retail Scorecard September 2008a 2" xfId="3574" xr:uid="{00000000-0005-0000-0000-000016580000}"/>
    <cellStyle name="s_PurpleHeader_Template Scorecard 20081_Retail Scorecard September 2008a 3" xfId="3575" xr:uid="{00000000-0005-0000-0000-000017580000}"/>
    <cellStyle name="s_PurpleHeader_Template Scorecard 20081_Retail Scorecard September 2008a_Sheet2" xfId="3576" xr:uid="{00000000-0005-0000-0000-000018580000}"/>
    <cellStyle name="s_PurpleHeader_Template Scorecard 20081_Retail Scorecard September 2008b" xfId="3577" xr:uid="{00000000-0005-0000-0000-000019580000}"/>
    <cellStyle name="s_PurpleHeader_Template Scorecard 20081_Retail Scorecard September 2008b 2" xfId="3578" xr:uid="{00000000-0005-0000-0000-00001A580000}"/>
    <cellStyle name="s_PurpleHeader_Template Scorecard 20081_Retail Scorecard September 2008b 3" xfId="3579" xr:uid="{00000000-0005-0000-0000-00001B580000}"/>
    <cellStyle name="s_PurpleHeader_Template Scorecard 20081_Retail Scorecard September 2008b_Sheet2" xfId="3580" xr:uid="{00000000-0005-0000-0000-00001C580000}"/>
    <cellStyle name="s_TotalBackground" xfId="3581" xr:uid="{00000000-0005-0000-0000-00001D580000}"/>
    <cellStyle name="s_TotalBackground_2010 MEL Parent Tax Bal Sheet" xfId="3582" xr:uid="{00000000-0005-0000-0000-00001E580000}"/>
    <cellStyle name="s_TotalBackground_Attrition Rate Scorecard - October 2008" xfId="3583" xr:uid="{00000000-0005-0000-0000-00001F580000}"/>
    <cellStyle name="s_TotalBackground_Attrition Rate Scorecard - October 2008 2" xfId="3584" xr:uid="{00000000-0005-0000-0000-000020580000}"/>
    <cellStyle name="s_TotalBackground_Attrition Rate Scorecard - October 2008 3" xfId="3585" xr:uid="{00000000-0005-0000-0000-000021580000}"/>
    <cellStyle name="s_TotalBackground_Attrition Rate Scorecard - September 2008" xfId="3586" xr:uid="{00000000-0005-0000-0000-000022580000}"/>
    <cellStyle name="s_TotalBackground_Attrition Rate Scorecard - September 2008 2" xfId="3587" xr:uid="{00000000-0005-0000-0000-000023580000}"/>
    <cellStyle name="s_TotalBackground_Attrition Rate Scorecard - September 2008 3" xfId="3588" xr:uid="{00000000-0005-0000-0000-000024580000}"/>
    <cellStyle name="s_TotalBackground_B3-December 08 Board View (Half Yr Adj)" xfId="3589" xr:uid="{00000000-0005-0000-0000-000025580000}"/>
    <cellStyle name="s_TotalBackground_CONGL029" xfId="3590" xr:uid="{00000000-0005-0000-0000-000026580000}"/>
    <cellStyle name="s_TotalBackground_CONGL029 2" xfId="3591" xr:uid="{00000000-0005-0000-0000-000027580000}"/>
    <cellStyle name="s_TotalBackground_CONGL029 3" xfId="3592" xr:uid="{00000000-0005-0000-0000-000028580000}"/>
    <cellStyle name="s_TotalBackground_Consolidation Schedule December 2008" xfId="3593" xr:uid="{00000000-0005-0000-0000-000029580000}"/>
    <cellStyle name="s_TotalBackground_Consolidation Schedule December 2008 no ARC Impairment-FINAL" xfId="3594" xr:uid="{00000000-0005-0000-0000-00002A580000}"/>
    <cellStyle name="s_TotalBackground_Consolidation Schedule December 2008 no ARC Impairment-FINAL 2" xfId="3595" xr:uid="{00000000-0005-0000-0000-00002B580000}"/>
    <cellStyle name="s_TotalBackground_Consolidation Schedule December 2008 no ARC Impairment-FINAL 3" xfId="3596" xr:uid="{00000000-0005-0000-0000-00002C580000}"/>
    <cellStyle name="s_TotalBackground_Copy of Attrition Rate FTE's Aug 2008" xfId="3597" xr:uid="{00000000-0005-0000-0000-00002D580000}"/>
    <cellStyle name="s_TotalBackground_Copy of Attrition Rate FTE's Aug 2008 2" xfId="3598" xr:uid="{00000000-0005-0000-0000-00002E580000}"/>
    <cellStyle name="s_TotalBackground_Copy of Attrition Rate FTE's Aug 2008 3" xfId="3599" xr:uid="{00000000-0005-0000-0000-00002F580000}"/>
    <cellStyle name="s_TotalBackground_Generation and NER Stats" xfId="3600" xr:uid="{00000000-0005-0000-0000-000030580000}"/>
    <cellStyle name="s_TotalBackground_Group Consolidated Scorecard Dec08 - KM" xfId="3601" xr:uid="{00000000-0005-0000-0000-000031580000}"/>
    <cellStyle name="s_TotalBackground_Group TB CONGL029" xfId="3602" xr:uid="{00000000-0005-0000-0000-000032580000}"/>
    <cellStyle name="s_TotalBackground_HS&amp;W 2008-23-09" xfId="3603" xr:uid="{00000000-0005-0000-0000-000033580000}"/>
    <cellStyle name="s_TotalBackground_HS&amp;W 2008-23-09 2" xfId="3604" xr:uid="{00000000-0005-0000-0000-000034580000}"/>
    <cellStyle name="s_TotalBackground_HS&amp;W 2008-23-09 3" xfId="3605" xr:uid="{00000000-0005-0000-0000-000035580000}"/>
    <cellStyle name="s_TotalBackground_June 10 Board View V1 19-07-10" xfId="3606" xr:uid="{00000000-0005-0000-0000-000036580000}"/>
    <cellStyle name="s_TotalBackground_June 10 congl029" xfId="3607" xr:uid="{00000000-0005-0000-0000-000037580000}"/>
    <cellStyle name="s_TotalBackground_MaPQuarterlyStats as at 31 December" xfId="3608" xr:uid="{00000000-0005-0000-0000-000038580000}"/>
    <cellStyle name="s_TotalBackground_March 09 Board View" xfId="3609" xr:uid="{00000000-0005-0000-0000-000039580000}"/>
    <cellStyle name="s_TotalBackground_Net Debt to Equity Ratio 31 12 08" xfId="3610" xr:uid="{00000000-0005-0000-0000-00003A580000}"/>
    <cellStyle name="s_TotalBackground_September 08 Board View" xfId="3611" xr:uid="{00000000-0005-0000-0000-00003B580000}"/>
    <cellStyle name="s_TotalBackground_September 08 Mgmt View" xfId="3612" xr:uid="{00000000-0005-0000-0000-00003C580000}"/>
    <cellStyle name="s_TotalBackground_TB Dec 2009 PowerTax mapping" xfId="3613" xr:uid="{00000000-0005-0000-0000-00003D580000}"/>
    <cellStyle name="s_TotalBackground_Template Scorecard 2008" xfId="3614" xr:uid="{00000000-0005-0000-0000-00003E580000}"/>
    <cellStyle name="s_TotalBackground_Template Scorecard 2008 2" xfId="3615" xr:uid="{00000000-0005-0000-0000-00003F580000}"/>
    <cellStyle name="s_TotalBackground_Template Scorecard 2008 3" xfId="3616" xr:uid="{00000000-0005-0000-0000-000040580000}"/>
    <cellStyle name="s_TotalBackground_Template Scorecard 20081" xfId="3617" xr:uid="{00000000-0005-0000-0000-000041580000}"/>
    <cellStyle name="s_TotalBackground_Template Scorecard 20081 2" xfId="3618" xr:uid="{00000000-0005-0000-0000-000042580000}"/>
    <cellStyle name="s_TotalBackground_Template Scorecard 20081 3" xfId="3619" xr:uid="{00000000-0005-0000-0000-000043580000}"/>
    <cellStyle name="Satisfaisant" xfId="4324" xr:uid="{00000000-0005-0000-0000-000044580000}"/>
    <cellStyle name="Schlecht" xfId="3824" xr:uid="{00000000-0005-0000-0000-000045580000}"/>
    <cellStyle name="Sortie" xfId="4325" xr:uid="{00000000-0005-0000-0000-000046580000}"/>
    <cellStyle name="Standard 2" xfId="4326" xr:uid="{00000000-0005-0000-0000-000047580000}"/>
    <cellStyle name="Standard 2 2" xfId="4327" xr:uid="{00000000-0005-0000-0000-000048580000}"/>
    <cellStyle name="Standard_Sce_D_Extraction" xfId="21" xr:uid="{00000000-0005-0000-0000-000049580000}"/>
    <cellStyle name="Style 1" xfId="34" xr:uid="{00000000-0005-0000-0000-00004A580000}"/>
    <cellStyle name="Style 1 2" xfId="3620" xr:uid="{00000000-0005-0000-0000-00004B580000}"/>
    <cellStyle name="Style 1 3" xfId="84" xr:uid="{00000000-0005-0000-0000-00004C580000}"/>
    <cellStyle name="Style 103" xfId="3825" xr:uid="{00000000-0005-0000-0000-00004D580000}"/>
    <cellStyle name="Style 103 10" xfId="4328" xr:uid="{00000000-0005-0000-0000-00004E580000}"/>
    <cellStyle name="Style 103 11" xfId="4329" xr:uid="{00000000-0005-0000-0000-00004F580000}"/>
    <cellStyle name="Style 103 12" xfId="4330" xr:uid="{00000000-0005-0000-0000-000050580000}"/>
    <cellStyle name="Style 103 2" xfId="4331" xr:uid="{00000000-0005-0000-0000-000051580000}"/>
    <cellStyle name="Style 103 2 2" xfId="4332" xr:uid="{00000000-0005-0000-0000-000052580000}"/>
    <cellStyle name="Style 103 3" xfId="4333" xr:uid="{00000000-0005-0000-0000-000053580000}"/>
    <cellStyle name="Style 103 3 2" xfId="4334" xr:uid="{00000000-0005-0000-0000-000054580000}"/>
    <cellStyle name="Style 103 3 2 2" xfId="4335" xr:uid="{00000000-0005-0000-0000-000055580000}"/>
    <cellStyle name="Style 103 3 2 3" xfId="4336" xr:uid="{00000000-0005-0000-0000-000056580000}"/>
    <cellStyle name="Style 103 3 3" xfId="4337" xr:uid="{00000000-0005-0000-0000-000057580000}"/>
    <cellStyle name="Style 103 3 3 2" xfId="4338" xr:uid="{00000000-0005-0000-0000-000058580000}"/>
    <cellStyle name="Style 103 3 3 2 2" xfId="4339" xr:uid="{00000000-0005-0000-0000-000059580000}"/>
    <cellStyle name="Style 103 3 3 3" xfId="4340" xr:uid="{00000000-0005-0000-0000-00005A580000}"/>
    <cellStyle name="Style 103 3 3 3 2" xfId="4341" xr:uid="{00000000-0005-0000-0000-00005B580000}"/>
    <cellStyle name="Style 103 3 3 3 3" xfId="4342" xr:uid="{00000000-0005-0000-0000-00005C580000}"/>
    <cellStyle name="Style 103 3 3 4" xfId="4343" xr:uid="{00000000-0005-0000-0000-00005D580000}"/>
    <cellStyle name="Style 103 3 3 4 2" xfId="4344" xr:uid="{00000000-0005-0000-0000-00005E580000}"/>
    <cellStyle name="Style 103 3 3 5" xfId="4345" xr:uid="{00000000-0005-0000-0000-00005F580000}"/>
    <cellStyle name="Style 103 3 4" xfId="4346" xr:uid="{00000000-0005-0000-0000-000060580000}"/>
    <cellStyle name="Style 103 3 4 2" xfId="15881" xr:uid="{00000000-0005-0000-0000-000061580000}"/>
    <cellStyle name="Style 103 3 5" xfId="4347" xr:uid="{00000000-0005-0000-0000-000062580000}"/>
    <cellStyle name="Style 103 4" xfId="4348" xr:uid="{00000000-0005-0000-0000-000063580000}"/>
    <cellStyle name="Style 103 4 2" xfId="4349" xr:uid="{00000000-0005-0000-0000-000064580000}"/>
    <cellStyle name="Style 103 4 2 2" xfId="4350" xr:uid="{00000000-0005-0000-0000-000065580000}"/>
    <cellStyle name="Style 103 4 2 2 2" xfId="4351" xr:uid="{00000000-0005-0000-0000-000066580000}"/>
    <cellStyle name="Style 103 4 2 3" xfId="4352" xr:uid="{00000000-0005-0000-0000-000067580000}"/>
    <cellStyle name="Style 103 4 2 3 2" xfId="4353" xr:uid="{00000000-0005-0000-0000-000068580000}"/>
    <cellStyle name="Style 103 4 2 3 3" xfId="4354" xr:uid="{00000000-0005-0000-0000-000069580000}"/>
    <cellStyle name="Style 103 4 2 4" xfId="4355" xr:uid="{00000000-0005-0000-0000-00006A580000}"/>
    <cellStyle name="Style 103 4 2 4 2" xfId="4356" xr:uid="{00000000-0005-0000-0000-00006B580000}"/>
    <cellStyle name="Style 103 4 2 5" xfId="4357" xr:uid="{00000000-0005-0000-0000-00006C580000}"/>
    <cellStyle name="Style 103 4 3" xfId="4358" xr:uid="{00000000-0005-0000-0000-00006D580000}"/>
    <cellStyle name="Style 103 4 3 2" xfId="4359" xr:uid="{00000000-0005-0000-0000-00006E580000}"/>
    <cellStyle name="Style 103 4 4" xfId="4360" xr:uid="{00000000-0005-0000-0000-00006F580000}"/>
    <cellStyle name="Style 103 4 4 2" xfId="15789" xr:uid="{00000000-0005-0000-0000-000070580000}"/>
    <cellStyle name="Style 103 4 5" xfId="4361" xr:uid="{00000000-0005-0000-0000-000071580000}"/>
    <cellStyle name="Style 103 5" xfId="4362" xr:uid="{00000000-0005-0000-0000-000072580000}"/>
    <cellStyle name="Style 103 5 2" xfId="4363" xr:uid="{00000000-0005-0000-0000-000073580000}"/>
    <cellStyle name="Style 103 5 2 2" xfId="4364" xr:uid="{00000000-0005-0000-0000-000074580000}"/>
    <cellStyle name="Style 103 5 2 2 2" xfId="4365" xr:uid="{00000000-0005-0000-0000-000075580000}"/>
    <cellStyle name="Style 103 5 2 3" xfId="4366" xr:uid="{00000000-0005-0000-0000-000076580000}"/>
    <cellStyle name="Style 103 5 2 3 2" xfId="4367" xr:uid="{00000000-0005-0000-0000-000077580000}"/>
    <cellStyle name="Style 103 5 2 3 3" xfId="4368" xr:uid="{00000000-0005-0000-0000-000078580000}"/>
    <cellStyle name="Style 103 5 2 4" xfId="4369" xr:uid="{00000000-0005-0000-0000-000079580000}"/>
    <cellStyle name="Style 103 5 2 4 2" xfId="16756" xr:uid="{00000000-0005-0000-0000-00007A580000}"/>
    <cellStyle name="Style 103 5 2 5" xfId="4370" xr:uid="{00000000-0005-0000-0000-00007B580000}"/>
    <cellStyle name="Style 103 5 3" xfId="4371" xr:uid="{00000000-0005-0000-0000-00007C580000}"/>
    <cellStyle name="Style 103 5 3 2" xfId="4372" xr:uid="{00000000-0005-0000-0000-00007D580000}"/>
    <cellStyle name="Style 103 5 4" xfId="4373" xr:uid="{00000000-0005-0000-0000-00007E580000}"/>
    <cellStyle name="Style 103 5 5" xfId="4374" xr:uid="{00000000-0005-0000-0000-00007F580000}"/>
    <cellStyle name="Style 103 6" xfId="4375" xr:uid="{00000000-0005-0000-0000-000080580000}"/>
    <cellStyle name="Style 103 6 2" xfId="4376" xr:uid="{00000000-0005-0000-0000-000081580000}"/>
    <cellStyle name="Style 103 6 2 2" xfId="4377" xr:uid="{00000000-0005-0000-0000-000082580000}"/>
    <cellStyle name="Style 103 6 3" xfId="4378" xr:uid="{00000000-0005-0000-0000-000083580000}"/>
    <cellStyle name="Style 103 6 3 2" xfId="4379" xr:uid="{00000000-0005-0000-0000-000084580000}"/>
    <cellStyle name="Style 103 6 3 3" xfId="4380" xr:uid="{00000000-0005-0000-0000-000085580000}"/>
    <cellStyle name="Style 103 6 4" xfId="4381" xr:uid="{00000000-0005-0000-0000-000086580000}"/>
    <cellStyle name="Style 103 6 4 2" xfId="4382" xr:uid="{00000000-0005-0000-0000-000087580000}"/>
    <cellStyle name="Style 103 6 5" xfId="4383" xr:uid="{00000000-0005-0000-0000-000088580000}"/>
    <cellStyle name="Style 103 7" xfId="4384" xr:uid="{00000000-0005-0000-0000-000089580000}"/>
    <cellStyle name="Style 103 7 2" xfId="4385" xr:uid="{00000000-0005-0000-0000-00008A580000}"/>
    <cellStyle name="Style 103 7 3" xfId="4386" xr:uid="{00000000-0005-0000-0000-00008B580000}"/>
    <cellStyle name="Style 103 8" xfId="4387" xr:uid="{00000000-0005-0000-0000-00008C580000}"/>
    <cellStyle name="Style 103 8 2" xfId="16533" xr:uid="{00000000-0005-0000-0000-00008D580000}"/>
    <cellStyle name="Style 103 8 3" xfId="16256" xr:uid="{00000000-0005-0000-0000-00008E580000}"/>
    <cellStyle name="Style 103 9" xfId="4388" xr:uid="{00000000-0005-0000-0000-00008F580000}"/>
    <cellStyle name="Style 103_ADDON" xfId="4389" xr:uid="{00000000-0005-0000-0000-000090580000}"/>
    <cellStyle name="Style 104" xfId="3826" xr:uid="{00000000-0005-0000-0000-000091580000}"/>
    <cellStyle name="Style 104 10" xfId="4390" xr:uid="{00000000-0005-0000-0000-000092580000}"/>
    <cellStyle name="Style 104 11" xfId="4391" xr:uid="{00000000-0005-0000-0000-000093580000}"/>
    <cellStyle name="Style 104 12" xfId="4392" xr:uid="{00000000-0005-0000-0000-000094580000}"/>
    <cellStyle name="Style 104 2" xfId="4393" xr:uid="{00000000-0005-0000-0000-000095580000}"/>
    <cellStyle name="Style 104 2 2" xfId="4394" xr:uid="{00000000-0005-0000-0000-000096580000}"/>
    <cellStyle name="Style 104 3" xfId="4395" xr:uid="{00000000-0005-0000-0000-000097580000}"/>
    <cellStyle name="Style 104 3 2" xfId="4396" xr:uid="{00000000-0005-0000-0000-000098580000}"/>
    <cellStyle name="Style 104 3 2 2" xfId="4397" xr:uid="{00000000-0005-0000-0000-000099580000}"/>
    <cellStyle name="Style 104 3 2 3" xfId="4398" xr:uid="{00000000-0005-0000-0000-00009A580000}"/>
    <cellStyle name="Style 104 3 3" xfId="4399" xr:uid="{00000000-0005-0000-0000-00009B580000}"/>
    <cellStyle name="Style 104 3 3 2" xfId="4400" xr:uid="{00000000-0005-0000-0000-00009C580000}"/>
    <cellStyle name="Style 104 3 3 2 2" xfId="4401" xr:uid="{00000000-0005-0000-0000-00009D580000}"/>
    <cellStyle name="Style 104 3 3 3" xfId="4402" xr:uid="{00000000-0005-0000-0000-00009E580000}"/>
    <cellStyle name="Style 104 3 3 3 2" xfId="4403" xr:uid="{00000000-0005-0000-0000-00009F580000}"/>
    <cellStyle name="Style 104 3 3 3 3" xfId="4404" xr:uid="{00000000-0005-0000-0000-0000A0580000}"/>
    <cellStyle name="Style 104 3 3 4" xfId="4405" xr:uid="{00000000-0005-0000-0000-0000A1580000}"/>
    <cellStyle name="Style 104 3 3 4 2" xfId="4406" xr:uid="{00000000-0005-0000-0000-0000A2580000}"/>
    <cellStyle name="Style 104 3 3 5" xfId="4407" xr:uid="{00000000-0005-0000-0000-0000A3580000}"/>
    <cellStyle name="Style 104 3 4" xfId="4408" xr:uid="{00000000-0005-0000-0000-0000A4580000}"/>
    <cellStyle name="Style 104 3 4 2" xfId="17014" xr:uid="{00000000-0005-0000-0000-0000A5580000}"/>
    <cellStyle name="Style 104 3 5" xfId="4409" xr:uid="{00000000-0005-0000-0000-0000A6580000}"/>
    <cellStyle name="Style 104 4" xfId="4410" xr:uid="{00000000-0005-0000-0000-0000A7580000}"/>
    <cellStyle name="Style 104 4 2" xfId="4411" xr:uid="{00000000-0005-0000-0000-0000A8580000}"/>
    <cellStyle name="Style 104 4 2 2" xfId="4412" xr:uid="{00000000-0005-0000-0000-0000A9580000}"/>
    <cellStyle name="Style 104 4 2 2 2" xfId="4413" xr:uid="{00000000-0005-0000-0000-0000AA580000}"/>
    <cellStyle name="Style 104 4 2 3" xfId="4414" xr:uid="{00000000-0005-0000-0000-0000AB580000}"/>
    <cellStyle name="Style 104 4 2 3 2" xfId="4415" xr:uid="{00000000-0005-0000-0000-0000AC580000}"/>
    <cellStyle name="Style 104 4 2 3 3" xfId="4416" xr:uid="{00000000-0005-0000-0000-0000AD580000}"/>
    <cellStyle name="Style 104 4 2 4" xfId="4417" xr:uid="{00000000-0005-0000-0000-0000AE580000}"/>
    <cellStyle name="Style 104 4 2 4 2" xfId="4418" xr:uid="{00000000-0005-0000-0000-0000AF580000}"/>
    <cellStyle name="Style 104 4 2 5" xfId="4419" xr:uid="{00000000-0005-0000-0000-0000B0580000}"/>
    <cellStyle name="Style 104 4 3" xfId="4420" xr:uid="{00000000-0005-0000-0000-0000B1580000}"/>
    <cellStyle name="Style 104 4 3 2" xfId="4421" xr:uid="{00000000-0005-0000-0000-0000B2580000}"/>
    <cellStyle name="Style 104 4 4" xfId="4422" xr:uid="{00000000-0005-0000-0000-0000B3580000}"/>
    <cellStyle name="Style 104 4 4 2" xfId="17112" xr:uid="{00000000-0005-0000-0000-0000B4580000}"/>
    <cellStyle name="Style 104 4 5" xfId="4423" xr:uid="{00000000-0005-0000-0000-0000B5580000}"/>
    <cellStyle name="Style 104 5" xfId="4424" xr:uid="{00000000-0005-0000-0000-0000B6580000}"/>
    <cellStyle name="Style 104 5 2" xfId="4425" xr:uid="{00000000-0005-0000-0000-0000B7580000}"/>
    <cellStyle name="Style 104 5 2 2" xfId="4426" xr:uid="{00000000-0005-0000-0000-0000B8580000}"/>
    <cellStyle name="Style 104 5 2 2 2" xfId="4427" xr:uid="{00000000-0005-0000-0000-0000B9580000}"/>
    <cellStyle name="Style 104 5 2 3" xfId="4428" xr:uid="{00000000-0005-0000-0000-0000BA580000}"/>
    <cellStyle name="Style 104 5 2 3 2" xfId="4429" xr:uid="{00000000-0005-0000-0000-0000BB580000}"/>
    <cellStyle name="Style 104 5 2 3 3" xfId="4430" xr:uid="{00000000-0005-0000-0000-0000BC580000}"/>
    <cellStyle name="Style 104 5 2 4" xfId="4431" xr:uid="{00000000-0005-0000-0000-0000BD580000}"/>
    <cellStyle name="Style 104 5 2 4 2" xfId="23" xr:uid="{00000000-0005-0000-0000-0000BE580000}"/>
    <cellStyle name="Style 104 5 2 5" xfId="4432" xr:uid="{00000000-0005-0000-0000-0000BF580000}"/>
    <cellStyle name="Style 104 5 3" xfId="4433" xr:uid="{00000000-0005-0000-0000-0000C0580000}"/>
    <cellStyle name="Style 104 5 3 2" xfId="4434" xr:uid="{00000000-0005-0000-0000-0000C1580000}"/>
    <cellStyle name="Style 104 5 4" xfId="4435" xr:uid="{00000000-0005-0000-0000-0000C2580000}"/>
    <cellStyle name="Style 104 5 5" xfId="4436" xr:uid="{00000000-0005-0000-0000-0000C3580000}"/>
    <cellStyle name="Style 104 6" xfId="4437" xr:uid="{00000000-0005-0000-0000-0000C4580000}"/>
    <cellStyle name="Style 104 6 2" xfId="4438" xr:uid="{00000000-0005-0000-0000-0000C5580000}"/>
    <cellStyle name="Style 104 6 2 2" xfId="4439" xr:uid="{00000000-0005-0000-0000-0000C6580000}"/>
    <cellStyle name="Style 104 6 3" xfId="4440" xr:uid="{00000000-0005-0000-0000-0000C7580000}"/>
    <cellStyle name="Style 104 6 3 2" xfId="4441" xr:uid="{00000000-0005-0000-0000-0000C8580000}"/>
    <cellStyle name="Style 104 6 3 3" xfId="4442" xr:uid="{00000000-0005-0000-0000-0000C9580000}"/>
    <cellStyle name="Style 104 6 4" xfId="4443" xr:uid="{00000000-0005-0000-0000-0000CA580000}"/>
    <cellStyle name="Style 104 6 4 2" xfId="4444" xr:uid="{00000000-0005-0000-0000-0000CB580000}"/>
    <cellStyle name="Style 104 6 5" xfId="4445" xr:uid="{00000000-0005-0000-0000-0000CC580000}"/>
    <cellStyle name="Style 104 7" xfId="4446" xr:uid="{00000000-0005-0000-0000-0000CD580000}"/>
    <cellStyle name="Style 104 7 2" xfId="4447" xr:uid="{00000000-0005-0000-0000-0000CE580000}"/>
    <cellStyle name="Style 104 7 3" xfId="4448" xr:uid="{00000000-0005-0000-0000-0000CF580000}"/>
    <cellStyle name="Style 104 8" xfId="4449" xr:uid="{00000000-0005-0000-0000-0000D0580000}"/>
    <cellStyle name="Style 104 8 2" xfId="16805" xr:uid="{00000000-0005-0000-0000-0000D1580000}"/>
    <cellStyle name="Style 104 8 3" xfId="16375" xr:uid="{00000000-0005-0000-0000-0000D2580000}"/>
    <cellStyle name="Style 104 9" xfId="4450" xr:uid="{00000000-0005-0000-0000-0000D3580000}"/>
    <cellStyle name="Style 104_ADDON" xfId="4451" xr:uid="{00000000-0005-0000-0000-0000D4580000}"/>
    <cellStyle name="Style 105" xfId="3827" xr:uid="{00000000-0005-0000-0000-0000D5580000}"/>
    <cellStyle name="Style 105 2" xfId="4452" xr:uid="{00000000-0005-0000-0000-0000D6580000}"/>
    <cellStyle name="Style 105 3" xfId="4453" xr:uid="{00000000-0005-0000-0000-0000D7580000}"/>
    <cellStyle name="Style 105 3 2" xfId="4454" xr:uid="{00000000-0005-0000-0000-0000D8580000}"/>
    <cellStyle name="Style 105 3 3" xfId="4455" xr:uid="{00000000-0005-0000-0000-0000D9580000}"/>
    <cellStyle name="Style 105 3 3 2" xfId="4456" xr:uid="{00000000-0005-0000-0000-0000DA580000}"/>
    <cellStyle name="Style 105 3 3 3" xfId="15488" xr:uid="{00000000-0005-0000-0000-0000DB580000}"/>
    <cellStyle name="Style 105 3 4" xfId="4457" xr:uid="{00000000-0005-0000-0000-0000DC580000}"/>
    <cellStyle name="Style 105 3 4 2" xfId="17021" xr:uid="{00000000-0005-0000-0000-0000DD580000}"/>
    <cellStyle name="Style 105 4" xfId="4458" xr:uid="{00000000-0005-0000-0000-0000DE580000}"/>
    <cellStyle name="Style 105 4 2" xfId="4459" xr:uid="{00000000-0005-0000-0000-0000DF580000}"/>
    <cellStyle name="Style 105 4 3" xfId="16557" xr:uid="{00000000-0005-0000-0000-0000E0580000}"/>
    <cellStyle name="Style 105 5" xfId="4460" xr:uid="{00000000-0005-0000-0000-0000E1580000}"/>
    <cellStyle name="Style 105 5 2" xfId="16982" xr:uid="{00000000-0005-0000-0000-0000E2580000}"/>
    <cellStyle name="Style 105 6" xfId="4461" xr:uid="{00000000-0005-0000-0000-0000E3580000}"/>
    <cellStyle name="Style 105 7" xfId="4462" xr:uid="{00000000-0005-0000-0000-0000E4580000}"/>
    <cellStyle name="Style 105_ADDON" xfId="4463" xr:uid="{00000000-0005-0000-0000-0000E5580000}"/>
    <cellStyle name="Style 106" xfId="3828" xr:uid="{00000000-0005-0000-0000-0000E6580000}"/>
    <cellStyle name="Style 106 2" xfId="4464" xr:uid="{00000000-0005-0000-0000-0000E7580000}"/>
    <cellStyle name="Style 106 2 2" xfId="4465" xr:uid="{00000000-0005-0000-0000-0000E8580000}"/>
    <cellStyle name="Style 106 2 2 2" xfId="4466" xr:uid="{00000000-0005-0000-0000-0000E9580000}"/>
    <cellStyle name="Style 106 2 2 2 2" xfId="16806" xr:uid="{00000000-0005-0000-0000-0000EA580000}"/>
    <cellStyle name="Style 106 2 2 3" xfId="4467" xr:uid="{00000000-0005-0000-0000-0000EB580000}"/>
    <cellStyle name="Style 106 2 3" xfId="4468" xr:uid="{00000000-0005-0000-0000-0000EC580000}"/>
    <cellStyle name="Style 106 2 3 2" xfId="16491" xr:uid="{00000000-0005-0000-0000-0000ED580000}"/>
    <cellStyle name="Style 106 2 4" xfId="4469" xr:uid="{00000000-0005-0000-0000-0000EE580000}"/>
    <cellStyle name="Style 106 2 5" xfId="4470" xr:uid="{00000000-0005-0000-0000-0000EF580000}"/>
    <cellStyle name="Style 106 3" xfId="4471" xr:uid="{00000000-0005-0000-0000-0000F0580000}"/>
    <cellStyle name="Style 106 3 2" xfId="4472" xr:uid="{00000000-0005-0000-0000-0000F1580000}"/>
    <cellStyle name="Style 106 3 2 2" xfId="4473" xr:uid="{00000000-0005-0000-0000-0000F2580000}"/>
    <cellStyle name="Style 106 3 2 2 2" xfId="16484" xr:uid="{00000000-0005-0000-0000-0000F3580000}"/>
    <cellStyle name="Style 106 3 2 3" xfId="4474" xr:uid="{00000000-0005-0000-0000-0000F4580000}"/>
    <cellStyle name="Style 106 3 3" xfId="4475" xr:uid="{00000000-0005-0000-0000-0000F5580000}"/>
    <cellStyle name="Style 106 3 3 2" xfId="4476" xr:uid="{00000000-0005-0000-0000-0000F6580000}"/>
    <cellStyle name="Style 106 3 3 2 2" xfId="17080" xr:uid="{00000000-0005-0000-0000-0000F7580000}"/>
    <cellStyle name="Style 106 3 3 3" xfId="4477" xr:uid="{00000000-0005-0000-0000-0000F8580000}"/>
    <cellStyle name="Style 106 3 4" xfId="4478" xr:uid="{00000000-0005-0000-0000-0000F9580000}"/>
    <cellStyle name="Style 106 3 4 2" xfId="4479" xr:uid="{00000000-0005-0000-0000-0000FA580000}"/>
    <cellStyle name="Style 106 3 5" xfId="4480" xr:uid="{00000000-0005-0000-0000-0000FB580000}"/>
    <cellStyle name="Style 106 4" xfId="4481" xr:uid="{00000000-0005-0000-0000-0000FC580000}"/>
    <cellStyle name="Style 106 4 2" xfId="4482" xr:uid="{00000000-0005-0000-0000-0000FD580000}"/>
    <cellStyle name="Style 106 4 2 2" xfId="15880" xr:uid="{00000000-0005-0000-0000-0000FE580000}"/>
    <cellStyle name="Style 106 4 3" xfId="4483" xr:uid="{00000000-0005-0000-0000-0000FF580000}"/>
    <cellStyle name="Style 106 5" xfId="4484" xr:uid="{00000000-0005-0000-0000-000000590000}"/>
    <cellStyle name="Style 106 6" xfId="4485" xr:uid="{00000000-0005-0000-0000-000001590000}"/>
    <cellStyle name="Style 106 7" xfId="16636" xr:uid="{00000000-0005-0000-0000-000002590000}"/>
    <cellStyle name="Style 106_ADDON" xfId="4486" xr:uid="{00000000-0005-0000-0000-000003590000}"/>
    <cellStyle name="Style 107" xfId="3829" xr:uid="{00000000-0005-0000-0000-000004590000}"/>
    <cellStyle name="Style 107 2" xfId="4487" xr:uid="{00000000-0005-0000-0000-000005590000}"/>
    <cellStyle name="Style 107 3" xfId="4488" xr:uid="{00000000-0005-0000-0000-000006590000}"/>
    <cellStyle name="Style 107 3 2" xfId="4489" xr:uid="{00000000-0005-0000-0000-000007590000}"/>
    <cellStyle name="Style 107 3 3" xfId="4490" xr:uid="{00000000-0005-0000-0000-000008590000}"/>
    <cellStyle name="Style 107 3 3 2" xfId="4491" xr:uid="{00000000-0005-0000-0000-000009590000}"/>
    <cellStyle name="Style 107 3 3 3" xfId="15806" xr:uid="{00000000-0005-0000-0000-00000A590000}"/>
    <cellStyle name="Style 107 3 4" xfId="4492" xr:uid="{00000000-0005-0000-0000-00000B590000}"/>
    <cellStyle name="Style 107 3 4 2" xfId="16207" xr:uid="{00000000-0005-0000-0000-00000C590000}"/>
    <cellStyle name="Style 107 4" xfId="4493" xr:uid="{00000000-0005-0000-0000-00000D590000}"/>
    <cellStyle name="Style 107 4 2" xfId="4494" xr:uid="{00000000-0005-0000-0000-00000E590000}"/>
    <cellStyle name="Style 107 4 3" xfId="16914" xr:uid="{00000000-0005-0000-0000-00000F590000}"/>
    <cellStyle name="Style 107 5" xfId="4495" xr:uid="{00000000-0005-0000-0000-000010590000}"/>
    <cellStyle name="Style 107 5 2" xfId="16493" xr:uid="{00000000-0005-0000-0000-000011590000}"/>
    <cellStyle name="Style 107 6" xfId="4496" xr:uid="{00000000-0005-0000-0000-000012590000}"/>
    <cellStyle name="Style 107 7" xfId="4497" xr:uid="{00000000-0005-0000-0000-000013590000}"/>
    <cellStyle name="Style 107_ADDON" xfId="4498" xr:uid="{00000000-0005-0000-0000-000014590000}"/>
    <cellStyle name="Style 108" xfId="3830" xr:uid="{00000000-0005-0000-0000-000015590000}"/>
    <cellStyle name="Style 108 10" xfId="4499" xr:uid="{00000000-0005-0000-0000-000016590000}"/>
    <cellStyle name="Style 108 11" xfId="4500" xr:uid="{00000000-0005-0000-0000-000017590000}"/>
    <cellStyle name="Style 108 12" xfId="4501" xr:uid="{00000000-0005-0000-0000-000018590000}"/>
    <cellStyle name="Style 108 2" xfId="4502" xr:uid="{00000000-0005-0000-0000-000019590000}"/>
    <cellStyle name="Style 108 2 2" xfId="4503" xr:uid="{00000000-0005-0000-0000-00001A590000}"/>
    <cellStyle name="Style 108 3" xfId="4504" xr:uid="{00000000-0005-0000-0000-00001B590000}"/>
    <cellStyle name="Style 108 3 2" xfId="4505" xr:uid="{00000000-0005-0000-0000-00001C590000}"/>
    <cellStyle name="Style 108 3 2 2" xfId="4506" xr:uid="{00000000-0005-0000-0000-00001D590000}"/>
    <cellStyle name="Style 108 3 2 3" xfId="4507" xr:uid="{00000000-0005-0000-0000-00001E590000}"/>
    <cellStyle name="Style 108 3 3" xfId="4508" xr:uid="{00000000-0005-0000-0000-00001F590000}"/>
    <cellStyle name="Style 108 3 3 2" xfId="4509" xr:uid="{00000000-0005-0000-0000-000020590000}"/>
    <cellStyle name="Style 108 3 3 2 2" xfId="4510" xr:uid="{00000000-0005-0000-0000-000021590000}"/>
    <cellStyle name="Style 108 3 3 3" xfId="4511" xr:uid="{00000000-0005-0000-0000-000022590000}"/>
    <cellStyle name="Style 108 3 3 3 2" xfId="4512" xr:uid="{00000000-0005-0000-0000-000023590000}"/>
    <cellStyle name="Style 108 3 3 3 3" xfId="4513" xr:uid="{00000000-0005-0000-0000-000024590000}"/>
    <cellStyle name="Style 108 3 3 4" xfId="4514" xr:uid="{00000000-0005-0000-0000-000025590000}"/>
    <cellStyle name="Style 108 3 3 4 2" xfId="4515" xr:uid="{00000000-0005-0000-0000-000026590000}"/>
    <cellStyle name="Style 108 3 3 5" xfId="4516" xr:uid="{00000000-0005-0000-0000-000027590000}"/>
    <cellStyle name="Style 108 3 4" xfId="4517" xr:uid="{00000000-0005-0000-0000-000028590000}"/>
    <cellStyle name="Style 108 3 4 2" xfId="16473" xr:uid="{00000000-0005-0000-0000-000029590000}"/>
    <cellStyle name="Style 108 3 5" xfId="4518" xr:uid="{00000000-0005-0000-0000-00002A590000}"/>
    <cellStyle name="Style 108 4" xfId="4519" xr:uid="{00000000-0005-0000-0000-00002B590000}"/>
    <cellStyle name="Style 108 4 2" xfId="4520" xr:uid="{00000000-0005-0000-0000-00002C590000}"/>
    <cellStyle name="Style 108 4 2 2" xfId="4521" xr:uid="{00000000-0005-0000-0000-00002D590000}"/>
    <cellStyle name="Style 108 4 2 2 2" xfId="4522" xr:uid="{00000000-0005-0000-0000-00002E590000}"/>
    <cellStyle name="Style 108 4 2 3" xfId="4523" xr:uid="{00000000-0005-0000-0000-00002F590000}"/>
    <cellStyle name="Style 108 4 2 3 2" xfId="4524" xr:uid="{00000000-0005-0000-0000-000030590000}"/>
    <cellStyle name="Style 108 4 2 3 3" xfId="4525" xr:uid="{00000000-0005-0000-0000-000031590000}"/>
    <cellStyle name="Style 108 4 2 4" xfId="4526" xr:uid="{00000000-0005-0000-0000-000032590000}"/>
    <cellStyle name="Style 108 4 2 4 2" xfId="4527" xr:uid="{00000000-0005-0000-0000-000033590000}"/>
    <cellStyle name="Style 108 4 2 5" xfId="4528" xr:uid="{00000000-0005-0000-0000-000034590000}"/>
    <cellStyle name="Style 108 4 3" xfId="4529" xr:uid="{00000000-0005-0000-0000-000035590000}"/>
    <cellStyle name="Style 108 4 3 2" xfId="4530" xr:uid="{00000000-0005-0000-0000-000036590000}"/>
    <cellStyle name="Style 108 4 4" xfId="4531" xr:uid="{00000000-0005-0000-0000-000037590000}"/>
    <cellStyle name="Style 108 4 4 2" xfId="16573" xr:uid="{00000000-0005-0000-0000-000038590000}"/>
    <cellStyle name="Style 108 4 5" xfId="4532" xr:uid="{00000000-0005-0000-0000-000039590000}"/>
    <cellStyle name="Style 108 5" xfId="4533" xr:uid="{00000000-0005-0000-0000-00003A590000}"/>
    <cellStyle name="Style 108 5 2" xfId="4534" xr:uid="{00000000-0005-0000-0000-00003B590000}"/>
    <cellStyle name="Style 108 5 2 2" xfId="4535" xr:uid="{00000000-0005-0000-0000-00003C590000}"/>
    <cellStyle name="Style 108 5 2 2 2" xfId="4536" xr:uid="{00000000-0005-0000-0000-00003D590000}"/>
    <cellStyle name="Style 108 5 2 3" xfId="4537" xr:uid="{00000000-0005-0000-0000-00003E590000}"/>
    <cellStyle name="Style 108 5 2 3 2" xfId="4538" xr:uid="{00000000-0005-0000-0000-00003F590000}"/>
    <cellStyle name="Style 108 5 2 3 3" xfId="4539" xr:uid="{00000000-0005-0000-0000-000040590000}"/>
    <cellStyle name="Style 108 5 2 4" xfId="4540" xr:uid="{00000000-0005-0000-0000-000041590000}"/>
    <cellStyle name="Style 108 5 2 4 2" xfId="16198" xr:uid="{00000000-0005-0000-0000-000042590000}"/>
    <cellStyle name="Style 108 5 2 5" xfId="4541" xr:uid="{00000000-0005-0000-0000-000043590000}"/>
    <cellStyle name="Style 108 5 3" xfId="4542" xr:uid="{00000000-0005-0000-0000-000044590000}"/>
    <cellStyle name="Style 108 5 3 2" xfId="4543" xr:uid="{00000000-0005-0000-0000-000045590000}"/>
    <cellStyle name="Style 108 5 4" xfId="4544" xr:uid="{00000000-0005-0000-0000-000046590000}"/>
    <cellStyle name="Style 108 5 5" xfId="4545" xr:uid="{00000000-0005-0000-0000-000047590000}"/>
    <cellStyle name="Style 108 6" xfId="4546" xr:uid="{00000000-0005-0000-0000-000048590000}"/>
    <cellStyle name="Style 108 6 2" xfId="4547" xr:uid="{00000000-0005-0000-0000-000049590000}"/>
    <cellStyle name="Style 108 6 2 2" xfId="4548" xr:uid="{00000000-0005-0000-0000-00004A590000}"/>
    <cellStyle name="Style 108 6 3" xfId="4549" xr:uid="{00000000-0005-0000-0000-00004B590000}"/>
    <cellStyle name="Style 108 6 3 2" xfId="4550" xr:uid="{00000000-0005-0000-0000-00004C590000}"/>
    <cellStyle name="Style 108 6 3 3" xfId="4551" xr:uid="{00000000-0005-0000-0000-00004D590000}"/>
    <cellStyle name="Style 108 6 4" xfId="4552" xr:uid="{00000000-0005-0000-0000-00004E590000}"/>
    <cellStyle name="Style 108 6 4 2" xfId="4553" xr:uid="{00000000-0005-0000-0000-00004F590000}"/>
    <cellStyle name="Style 108 6 5" xfId="4554" xr:uid="{00000000-0005-0000-0000-000050590000}"/>
    <cellStyle name="Style 108 7" xfId="4555" xr:uid="{00000000-0005-0000-0000-000051590000}"/>
    <cellStyle name="Style 108 7 2" xfId="4556" xr:uid="{00000000-0005-0000-0000-000052590000}"/>
    <cellStyle name="Style 108 7 3" xfId="4557" xr:uid="{00000000-0005-0000-0000-000053590000}"/>
    <cellStyle name="Style 108 8" xfId="4558" xr:uid="{00000000-0005-0000-0000-000054590000}"/>
    <cellStyle name="Style 108 8 2" xfId="16650" xr:uid="{00000000-0005-0000-0000-000055590000}"/>
    <cellStyle name="Style 108 8 3" xfId="16727" xr:uid="{00000000-0005-0000-0000-000056590000}"/>
    <cellStyle name="Style 108 9" xfId="4559" xr:uid="{00000000-0005-0000-0000-000057590000}"/>
    <cellStyle name="Style 108_ADDON" xfId="4560" xr:uid="{00000000-0005-0000-0000-000058590000}"/>
    <cellStyle name="Style 109" xfId="3831" xr:uid="{00000000-0005-0000-0000-000059590000}"/>
    <cellStyle name="Style 109 2" xfId="4561" xr:uid="{00000000-0005-0000-0000-00005A590000}"/>
    <cellStyle name="Style 109 2 2" xfId="4562" xr:uid="{00000000-0005-0000-0000-00005B590000}"/>
    <cellStyle name="Style 109 2 2 2" xfId="4563" xr:uid="{00000000-0005-0000-0000-00005C590000}"/>
    <cellStyle name="Style 109 2 2 2 2" xfId="17101" xr:uid="{00000000-0005-0000-0000-00005D590000}"/>
    <cellStyle name="Style 109 2 2 3" xfId="4564" xr:uid="{00000000-0005-0000-0000-00005E590000}"/>
    <cellStyle name="Style 109 2 3" xfId="4565" xr:uid="{00000000-0005-0000-0000-00005F590000}"/>
    <cellStyle name="Style 109 2 3 2" xfId="17124" xr:uid="{00000000-0005-0000-0000-000060590000}"/>
    <cellStyle name="Style 109 2 4" xfId="4566" xr:uid="{00000000-0005-0000-0000-000061590000}"/>
    <cellStyle name="Style 109 2 5" xfId="4567" xr:uid="{00000000-0005-0000-0000-000062590000}"/>
    <cellStyle name="Style 109 3" xfId="4568" xr:uid="{00000000-0005-0000-0000-000063590000}"/>
    <cellStyle name="Style 109 3 2" xfId="4569" xr:uid="{00000000-0005-0000-0000-000064590000}"/>
    <cellStyle name="Style 109 3 2 2" xfId="4570" xr:uid="{00000000-0005-0000-0000-000065590000}"/>
    <cellStyle name="Style 109 3 2 2 2" xfId="16253" xr:uid="{00000000-0005-0000-0000-000066590000}"/>
    <cellStyle name="Style 109 3 2 3" xfId="4571" xr:uid="{00000000-0005-0000-0000-000067590000}"/>
    <cellStyle name="Style 109 3 3" xfId="4572" xr:uid="{00000000-0005-0000-0000-000068590000}"/>
    <cellStyle name="Style 109 3 3 2" xfId="4573" xr:uid="{00000000-0005-0000-0000-000069590000}"/>
    <cellStyle name="Style 109 3 3 2 2" xfId="16370" xr:uid="{00000000-0005-0000-0000-00006A590000}"/>
    <cellStyle name="Style 109 3 3 3" xfId="4574" xr:uid="{00000000-0005-0000-0000-00006B590000}"/>
    <cellStyle name="Style 109 3 4" xfId="4575" xr:uid="{00000000-0005-0000-0000-00006C590000}"/>
    <cellStyle name="Style 109 3 4 2" xfId="4576" xr:uid="{00000000-0005-0000-0000-00006D590000}"/>
    <cellStyle name="Style 109 3 5" xfId="4577" xr:uid="{00000000-0005-0000-0000-00006E590000}"/>
    <cellStyle name="Style 109 4" xfId="4578" xr:uid="{00000000-0005-0000-0000-00006F590000}"/>
    <cellStyle name="Style 109 4 2" xfId="4579" xr:uid="{00000000-0005-0000-0000-000070590000}"/>
    <cellStyle name="Style 109 4 2 2" xfId="15879" xr:uid="{00000000-0005-0000-0000-000071590000}"/>
    <cellStyle name="Style 109 4 3" xfId="4580" xr:uid="{00000000-0005-0000-0000-000072590000}"/>
    <cellStyle name="Style 109 5" xfId="4581" xr:uid="{00000000-0005-0000-0000-000073590000}"/>
    <cellStyle name="Style 109 6" xfId="4582" xr:uid="{00000000-0005-0000-0000-000074590000}"/>
    <cellStyle name="Style 109 7" xfId="15786" xr:uid="{00000000-0005-0000-0000-000075590000}"/>
    <cellStyle name="Style 109_ADDON" xfId="4583" xr:uid="{00000000-0005-0000-0000-000076590000}"/>
    <cellStyle name="Style 110" xfId="3832" xr:uid="{00000000-0005-0000-0000-000077590000}"/>
    <cellStyle name="Style 110 2" xfId="4584" xr:uid="{00000000-0005-0000-0000-000078590000}"/>
    <cellStyle name="Style 110 2 2" xfId="4585" xr:uid="{00000000-0005-0000-0000-000079590000}"/>
    <cellStyle name="Style 110 2 2 2" xfId="4586" xr:uid="{00000000-0005-0000-0000-00007A590000}"/>
    <cellStyle name="Style 110 2 2 2 2" xfId="16578" xr:uid="{00000000-0005-0000-0000-00007B590000}"/>
    <cellStyle name="Style 110 2 2 3" xfId="4587" xr:uid="{00000000-0005-0000-0000-00007C590000}"/>
    <cellStyle name="Style 110 2 3" xfId="4588" xr:uid="{00000000-0005-0000-0000-00007D590000}"/>
    <cellStyle name="Style 110 2 3 2" xfId="16714" xr:uid="{00000000-0005-0000-0000-00007E590000}"/>
    <cellStyle name="Style 110 2 4" xfId="4589" xr:uid="{00000000-0005-0000-0000-00007F590000}"/>
    <cellStyle name="Style 110 2 5" xfId="4590" xr:uid="{00000000-0005-0000-0000-000080590000}"/>
    <cellStyle name="Style 110 3" xfId="4591" xr:uid="{00000000-0005-0000-0000-000081590000}"/>
    <cellStyle name="Style 110 3 2" xfId="4592" xr:uid="{00000000-0005-0000-0000-000082590000}"/>
    <cellStyle name="Style 110 3 2 2" xfId="4593" xr:uid="{00000000-0005-0000-0000-000083590000}"/>
    <cellStyle name="Style 110 3 2 2 2" xfId="16263" xr:uid="{00000000-0005-0000-0000-000084590000}"/>
    <cellStyle name="Style 110 3 2 3" xfId="4594" xr:uid="{00000000-0005-0000-0000-000085590000}"/>
    <cellStyle name="Style 110 3 3" xfId="4595" xr:uid="{00000000-0005-0000-0000-000086590000}"/>
    <cellStyle name="Style 110 3 3 2" xfId="4596" xr:uid="{00000000-0005-0000-0000-000087590000}"/>
    <cellStyle name="Style 110 3 3 2 2" xfId="17009" xr:uid="{00000000-0005-0000-0000-000088590000}"/>
    <cellStyle name="Style 110 3 3 3" xfId="4597" xr:uid="{00000000-0005-0000-0000-000089590000}"/>
    <cellStyle name="Style 110 3 4" xfId="4598" xr:uid="{00000000-0005-0000-0000-00008A590000}"/>
    <cellStyle name="Style 110 3 4 2" xfId="4599" xr:uid="{00000000-0005-0000-0000-00008B590000}"/>
    <cellStyle name="Style 110 3 5" xfId="4600" xr:uid="{00000000-0005-0000-0000-00008C590000}"/>
    <cellStyle name="Style 110 4" xfId="4601" xr:uid="{00000000-0005-0000-0000-00008D590000}"/>
    <cellStyle name="Style 110 4 2" xfId="4602" xr:uid="{00000000-0005-0000-0000-00008E590000}"/>
    <cellStyle name="Style 110 4 2 2" xfId="15878" xr:uid="{00000000-0005-0000-0000-00008F590000}"/>
    <cellStyle name="Style 110 4 3" xfId="4603" xr:uid="{00000000-0005-0000-0000-000090590000}"/>
    <cellStyle name="Style 110 5" xfId="4604" xr:uid="{00000000-0005-0000-0000-000091590000}"/>
    <cellStyle name="Style 110 6" xfId="4605" xr:uid="{00000000-0005-0000-0000-000092590000}"/>
    <cellStyle name="Style 110 7" xfId="15877" xr:uid="{00000000-0005-0000-0000-000093590000}"/>
    <cellStyle name="Style 110_ADDON" xfId="4606" xr:uid="{00000000-0005-0000-0000-000094590000}"/>
    <cellStyle name="Style 114" xfId="3833" xr:uid="{00000000-0005-0000-0000-000095590000}"/>
    <cellStyle name="Style 114 10" xfId="4607" xr:uid="{00000000-0005-0000-0000-000096590000}"/>
    <cellStyle name="Style 114 11" xfId="4608" xr:uid="{00000000-0005-0000-0000-000097590000}"/>
    <cellStyle name="Style 114 12" xfId="4609" xr:uid="{00000000-0005-0000-0000-000098590000}"/>
    <cellStyle name="Style 114 2" xfId="4610" xr:uid="{00000000-0005-0000-0000-000099590000}"/>
    <cellStyle name="Style 114 2 2" xfId="4611" xr:uid="{00000000-0005-0000-0000-00009A590000}"/>
    <cellStyle name="Style 114 3" xfId="4612" xr:uid="{00000000-0005-0000-0000-00009B590000}"/>
    <cellStyle name="Style 114 3 2" xfId="4613" xr:uid="{00000000-0005-0000-0000-00009C590000}"/>
    <cellStyle name="Style 114 3 2 2" xfId="4614" xr:uid="{00000000-0005-0000-0000-00009D590000}"/>
    <cellStyle name="Style 114 3 2 3" xfId="4615" xr:uid="{00000000-0005-0000-0000-00009E590000}"/>
    <cellStyle name="Style 114 3 3" xfId="4616" xr:uid="{00000000-0005-0000-0000-00009F590000}"/>
    <cellStyle name="Style 114 3 3 2" xfId="4617" xr:uid="{00000000-0005-0000-0000-0000A0590000}"/>
    <cellStyle name="Style 114 3 3 2 2" xfId="4618" xr:uid="{00000000-0005-0000-0000-0000A1590000}"/>
    <cellStyle name="Style 114 3 3 3" xfId="4619" xr:uid="{00000000-0005-0000-0000-0000A2590000}"/>
    <cellStyle name="Style 114 3 3 3 2" xfId="4620" xr:uid="{00000000-0005-0000-0000-0000A3590000}"/>
    <cellStyle name="Style 114 3 3 3 3" xfId="4621" xr:uid="{00000000-0005-0000-0000-0000A4590000}"/>
    <cellStyle name="Style 114 3 3 4" xfId="4622" xr:uid="{00000000-0005-0000-0000-0000A5590000}"/>
    <cellStyle name="Style 114 3 3 4 2" xfId="4623" xr:uid="{00000000-0005-0000-0000-0000A6590000}"/>
    <cellStyle name="Style 114 3 3 5" xfId="4624" xr:uid="{00000000-0005-0000-0000-0000A7590000}"/>
    <cellStyle name="Style 114 3 4" xfId="4625" xr:uid="{00000000-0005-0000-0000-0000A8590000}"/>
    <cellStyle name="Style 114 3 4 2" xfId="16363" xr:uid="{00000000-0005-0000-0000-0000A9590000}"/>
    <cellStyle name="Style 114 3 5" xfId="4626" xr:uid="{00000000-0005-0000-0000-0000AA590000}"/>
    <cellStyle name="Style 114 4" xfId="4627" xr:uid="{00000000-0005-0000-0000-0000AB590000}"/>
    <cellStyle name="Style 114 4 2" xfId="4628" xr:uid="{00000000-0005-0000-0000-0000AC590000}"/>
    <cellStyle name="Style 114 4 2 2" xfId="4629" xr:uid="{00000000-0005-0000-0000-0000AD590000}"/>
    <cellStyle name="Style 114 4 2 2 2" xfId="4630" xr:uid="{00000000-0005-0000-0000-0000AE590000}"/>
    <cellStyle name="Style 114 4 2 3" xfId="4631" xr:uid="{00000000-0005-0000-0000-0000AF590000}"/>
    <cellStyle name="Style 114 4 2 3 2" xfId="4632" xr:uid="{00000000-0005-0000-0000-0000B0590000}"/>
    <cellStyle name="Style 114 4 2 3 3" xfId="4633" xr:uid="{00000000-0005-0000-0000-0000B1590000}"/>
    <cellStyle name="Style 114 4 2 4" xfId="4634" xr:uid="{00000000-0005-0000-0000-0000B2590000}"/>
    <cellStyle name="Style 114 4 2 4 2" xfId="4635" xr:uid="{00000000-0005-0000-0000-0000B3590000}"/>
    <cellStyle name="Style 114 4 2 5" xfId="4636" xr:uid="{00000000-0005-0000-0000-0000B4590000}"/>
    <cellStyle name="Style 114 4 3" xfId="4637" xr:uid="{00000000-0005-0000-0000-0000B5590000}"/>
    <cellStyle name="Style 114 4 3 2" xfId="4638" xr:uid="{00000000-0005-0000-0000-0000B6590000}"/>
    <cellStyle name="Style 114 4 4" xfId="4639" xr:uid="{00000000-0005-0000-0000-0000B7590000}"/>
    <cellStyle name="Style 114 4 4 2" xfId="15778" xr:uid="{00000000-0005-0000-0000-0000B8590000}"/>
    <cellStyle name="Style 114 4 5" xfId="4640" xr:uid="{00000000-0005-0000-0000-0000B9590000}"/>
    <cellStyle name="Style 114 5" xfId="4641" xr:uid="{00000000-0005-0000-0000-0000BA590000}"/>
    <cellStyle name="Style 114 5 2" xfId="4642" xr:uid="{00000000-0005-0000-0000-0000BB590000}"/>
    <cellStyle name="Style 114 5 2 2" xfId="4643" xr:uid="{00000000-0005-0000-0000-0000BC590000}"/>
    <cellStyle name="Style 114 5 2 2 2" xfId="4644" xr:uid="{00000000-0005-0000-0000-0000BD590000}"/>
    <cellStyle name="Style 114 5 2 3" xfId="4645" xr:uid="{00000000-0005-0000-0000-0000BE590000}"/>
    <cellStyle name="Style 114 5 2 3 2" xfId="4646" xr:uid="{00000000-0005-0000-0000-0000BF590000}"/>
    <cellStyle name="Style 114 5 2 3 3" xfId="4647" xr:uid="{00000000-0005-0000-0000-0000C0590000}"/>
    <cellStyle name="Style 114 5 2 4" xfId="4648" xr:uid="{00000000-0005-0000-0000-0000C1590000}"/>
    <cellStyle name="Style 114 5 2 4 2" xfId="16179" xr:uid="{00000000-0005-0000-0000-0000C2590000}"/>
    <cellStyle name="Style 114 5 2 5" xfId="4649" xr:uid="{00000000-0005-0000-0000-0000C3590000}"/>
    <cellStyle name="Style 114 5 3" xfId="4650" xr:uid="{00000000-0005-0000-0000-0000C4590000}"/>
    <cellStyle name="Style 114 5 3 2" xfId="4651" xr:uid="{00000000-0005-0000-0000-0000C5590000}"/>
    <cellStyle name="Style 114 5 4" xfId="4652" xr:uid="{00000000-0005-0000-0000-0000C6590000}"/>
    <cellStyle name="Style 114 5 5" xfId="4653" xr:uid="{00000000-0005-0000-0000-0000C7590000}"/>
    <cellStyle name="Style 114 6" xfId="4654" xr:uid="{00000000-0005-0000-0000-0000C8590000}"/>
    <cellStyle name="Style 114 6 2" xfId="4655" xr:uid="{00000000-0005-0000-0000-0000C9590000}"/>
    <cellStyle name="Style 114 6 2 2" xfId="4656" xr:uid="{00000000-0005-0000-0000-0000CA590000}"/>
    <cellStyle name="Style 114 6 3" xfId="4657" xr:uid="{00000000-0005-0000-0000-0000CB590000}"/>
    <cellStyle name="Style 114 6 3 2" xfId="4658" xr:uid="{00000000-0005-0000-0000-0000CC590000}"/>
    <cellStyle name="Style 114 6 3 3" xfId="4659" xr:uid="{00000000-0005-0000-0000-0000CD590000}"/>
    <cellStyle name="Style 114 6 4" xfId="4660" xr:uid="{00000000-0005-0000-0000-0000CE590000}"/>
    <cellStyle name="Style 114 6 4 2" xfId="4661" xr:uid="{00000000-0005-0000-0000-0000CF590000}"/>
    <cellStyle name="Style 114 6 5" xfId="4662" xr:uid="{00000000-0005-0000-0000-0000D0590000}"/>
    <cellStyle name="Style 114 7" xfId="4663" xr:uid="{00000000-0005-0000-0000-0000D1590000}"/>
    <cellStyle name="Style 114 7 2" xfId="4664" xr:uid="{00000000-0005-0000-0000-0000D2590000}"/>
    <cellStyle name="Style 114 7 3" xfId="4665" xr:uid="{00000000-0005-0000-0000-0000D3590000}"/>
    <cellStyle name="Style 114 8" xfId="4666" xr:uid="{00000000-0005-0000-0000-0000D4590000}"/>
    <cellStyle name="Style 114 8 2" xfId="15876" xr:uid="{00000000-0005-0000-0000-0000D5590000}"/>
    <cellStyle name="Style 114 8 3" xfId="16943" xr:uid="{00000000-0005-0000-0000-0000D6590000}"/>
    <cellStyle name="Style 114 9" xfId="4667" xr:uid="{00000000-0005-0000-0000-0000D7590000}"/>
    <cellStyle name="Style 114_ADDON" xfId="4668" xr:uid="{00000000-0005-0000-0000-0000D8590000}"/>
    <cellStyle name="Style 115" xfId="3834" xr:uid="{00000000-0005-0000-0000-0000D9590000}"/>
    <cellStyle name="Style 115 10" xfId="4669" xr:uid="{00000000-0005-0000-0000-0000DA590000}"/>
    <cellStyle name="Style 115 11" xfId="4670" xr:uid="{00000000-0005-0000-0000-0000DB590000}"/>
    <cellStyle name="Style 115 12" xfId="4671" xr:uid="{00000000-0005-0000-0000-0000DC590000}"/>
    <cellStyle name="Style 115 2" xfId="4672" xr:uid="{00000000-0005-0000-0000-0000DD590000}"/>
    <cellStyle name="Style 115 2 2" xfId="4673" xr:uid="{00000000-0005-0000-0000-0000DE590000}"/>
    <cellStyle name="Style 115 3" xfId="4674" xr:uid="{00000000-0005-0000-0000-0000DF590000}"/>
    <cellStyle name="Style 115 3 2" xfId="4675" xr:uid="{00000000-0005-0000-0000-0000E0590000}"/>
    <cellStyle name="Style 115 3 2 2" xfId="4676" xr:uid="{00000000-0005-0000-0000-0000E1590000}"/>
    <cellStyle name="Style 115 3 2 3" xfId="4677" xr:uid="{00000000-0005-0000-0000-0000E2590000}"/>
    <cellStyle name="Style 115 3 3" xfId="4678" xr:uid="{00000000-0005-0000-0000-0000E3590000}"/>
    <cellStyle name="Style 115 3 3 2" xfId="4679" xr:uid="{00000000-0005-0000-0000-0000E4590000}"/>
    <cellStyle name="Style 115 3 3 2 2" xfId="4680" xr:uid="{00000000-0005-0000-0000-0000E5590000}"/>
    <cellStyle name="Style 115 3 3 3" xfId="4681" xr:uid="{00000000-0005-0000-0000-0000E6590000}"/>
    <cellStyle name="Style 115 3 3 3 2" xfId="4682" xr:uid="{00000000-0005-0000-0000-0000E7590000}"/>
    <cellStyle name="Style 115 3 3 3 3" xfId="4683" xr:uid="{00000000-0005-0000-0000-0000E8590000}"/>
    <cellStyle name="Style 115 3 3 4" xfId="4684" xr:uid="{00000000-0005-0000-0000-0000E9590000}"/>
    <cellStyle name="Style 115 3 3 4 2" xfId="4685" xr:uid="{00000000-0005-0000-0000-0000EA590000}"/>
    <cellStyle name="Style 115 3 3 5" xfId="4686" xr:uid="{00000000-0005-0000-0000-0000EB590000}"/>
    <cellStyle name="Style 115 3 4" xfId="4687" xr:uid="{00000000-0005-0000-0000-0000EC590000}"/>
    <cellStyle name="Style 115 3 4 2" xfId="16671" xr:uid="{00000000-0005-0000-0000-0000ED590000}"/>
    <cellStyle name="Style 115 3 5" xfId="4688" xr:uid="{00000000-0005-0000-0000-0000EE590000}"/>
    <cellStyle name="Style 115 4" xfId="4689" xr:uid="{00000000-0005-0000-0000-0000EF590000}"/>
    <cellStyle name="Style 115 4 2" xfId="4690" xr:uid="{00000000-0005-0000-0000-0000F0590000}"/>
    <cellStyle name="Style 115 4 2 2" xfId="4691" xr:uid="{00000000-0005-0000-0000-0000F1590000}"/>
    <cellStyle name="Style 115 4 2 2 2" xfId="4692" xr:uid="{00000000-0005-0000-0000-0000F2590000}"/>
    <cellStyle name="Style 115 4 2 3" xfId="4693" xr:uid="{00000000-0005-0000-0000-0000F3590000}"/>
    <cellStyle name="Style 115 4 2 3 2" xfId="4694" xr:uid="{00000000-0005-0000-0000-0000F4590000}"/>
    <cellStyle name="Style 115 4 2 3 3" xfId="4695" xr:uid="{00000000-0005-0000-0000-0000F5590000}"/>
    <cellStyle name="Style 115 4 2 4" xfId="4696" xr:uid="{00000000-0005-0000-0000-0000F6590000}"/>
    <cellStyle name="Style 115 4 2 4 2" xfId="4697" xr:uid="{00000000-0005-0000-0000-0000F7590000}"/>
    <cellStyle name="Style 115 4 2 5" xfId="4698" xr:uid="{00000000-0005-0000-0000-0000F8590000}"/>
    <cellStyle name="Style 115 4 3" xfId="4699" xr:uid="{00000000-0005-0000-0000-0000F9590000}"/>
    <cellStyle name="Style 115 4 3 2" xfId="4700" xr:uid="{00000000-0005-0000-0000-0000FA590000}"/>
    <cellStyle name="Style 115 4 4" xfId="4701" xr:uid="{00000000-0005-0000-0000-0000FB590000}"/>
    <cellStyle name="Style 115 4 4 2" xfId="15503" xr:uid="{00000000-0005-0000-0000-0000FC590000}"/>
    <cellStyle name="Style 115 4 5" xfId="4702" xr:uid="{00000000-0005-0000-0000-0000FD590000}"/>
    <cellStyle name="Style 115 5" xfId="4703" xr:uid="{00000000-0005-0000-0000-0000FE590000}"/>
    <cellStyle name="Style 115 5 2" xfId="4704" xr:uid="{00000000-0005-0000-0000-0000FF590000}"/>
    <cellStyle name="Style 115 5 2 2" xfId="4705" xr:uid="{00000000-0005-0000-0000-0000005A0000}"/>
    <cellStyle name="Style 115 5 2 2 2" xfId="4706" xr:uid="{00000000-0005-0000-0000-0000015A0000}"/>
    <cellStyle name="Style 115 5 2 3" xfId="4707" xr:uid="{00000000-0005-0000-0000-0000025A0000}"/>
    <cellStyle name="Style 115 5 2 3 2" xfId="4708" xr:uid="{00000000-0005-0000-0000-0000035A0000}"/>
    <cellStyle name="Style 115 5 2 3 3" xfId="4709" xr:uid="{00000000-0005-0000-0000-0000045A0000}"/>
    <cellStyle name="Style 115 5 2 4" xfId="4710" xr:uid="{00000000-0005-0000-0000-0000055A0000}"/>
    <cellStyle name="Style 115 5 2 4 2" xfId="16395" xr:uid="{00000000-0005-0000-0000-0000065A0000}"/>
    <cellStyle name="Style 115 5 2 5" xfId="4711" xr:uid="{00000000-0005-0000-0000-0000075A0000}"/>
    <cellStyle name="Style 115 5 3" xfId="4712" xr:uid="{00000000-0005-0000-0000-0000085A0000}"/>
    <cellStyle name="Style 115 5 3 2" xfId="4713" xr:uid="{00000000-0005-0000-0000-0000095A0000}"/>
    <cellStyle name="Style 115 5 4" xfId="4714" xr:uid="{00000000-0005-0000-0000-00000A5A0000}"/>
    <cellStyle name="Style 115 5 5" xfId="4715" xr:uid="{00000000-0005-0000-0000-00000B5A0000}"/>
    <cellStyle name="Style 115 6" xfId="4716" xr:uid="{00000000-0005-0000-0000-00000C5A0000}"/>
    <cellStyle name="Style 115 6 2" xfId="4717" xr:uid="{00000000-0005-0000-0000-00000D5A0000}"/>
    <cellStyle name="Style 115 6 2 2" xfId="4718" xr:uid="{00000000-0005-0000-0000-00000E5A0000}"/>
    <cellStyle name="Style 115 6 3" xfId="4719" xr:uid="{00000000-0005-0000-0000-00000F5A0000}"/>
    <cellStyle name="Style 115 6 3 2" xfId="4720" xr:uid="{00000000-0005-0000-0000-0000105A0000}"/>
    <cellStyle name="Style 115 6 3 3" xfId="4721" xr:uid="{00000000-0005-0000-0000-0000115A0000}"/>
    <cellStyle name="Style 115 6 4" xfId="4722" xr:uid="{00000000-0005-0000-0000-0000125A0000}"/>
    <cellStyle name="Style 115 6 4 2" xfId="4723" xr:uid="{00000000-0005-0000-0000-0000135A0000}"/>
    <cellStyle name="Style 115 6 5" xfId="4724" xr:uid="{00000000-0005-0000-0000-0000145A0000}"/>
    <cellStyle name="Style 115 7" xfId="4725" xr:uid="{00000000-0005-0000-0000-0000155A0000}"/>
    <cellStyle name="Style 115 7 2" xfId="4726" xr:uid="{00000000-0005-0000-0000-0000165A0000}"/>
    <cellStyle name="Style 115 7 3" xfId="4727" xr:uid="{00000000-0005-0000-0000-0000175A0000}"/>
    <cellStyle name="Style 115 8" xfId="4728" xr:uid="{00000000-0005-0000-0000-0000185A0000}"/>
    <cellStyle name="Style 115 8 2" xfId="16831" xr:uid="{00000000-0005-0000-0000-0000195A0000}"/>
    <cellStyle name="Style 115 8 3" xfId="15510" xr:uid="{00000000-0005-0000-0000-00001A5A0000}"/>
    <cellStyle name="Style 115 9" xfId="4729" xr:uid="{00000000-0005-0000-0000-00001B5A0000}"/>
    <cellStyle name="Style 115_ADDON" xfId="4730" xr:uid="{00000000-0005-0000-0000-00001C5A0000}"/>
    <cellStyle name="Style 116" xfId="3835" xr:uid="{00000000-0005-0000-0000-00001D5A0000}"/>
    <cellStyle name="Style 116 2" xfId="4731" xr:uid="{00000000-0005-0000-0000-00001E5A0000}"/>
    <cellStyle name="Style 116 3" xfId="4732" xr:uid="{00000000-0005-0000-0000-00001F5A0000}"/>
    <cellStyle name="Style 116 3 2" xfId="4733" xr:uid="{00000000-0005-0000-0000-0000205A0000}"/>
    <cellStyle name="Style 116 3 3" xfId="4734" xr:uid="{00000000-0005-0000-0000-0000215A0000}"/>
    <cellStyle name="Style 116 3 3 2" xfId="4735" xr:uid="{00000000-0005-0000-0000-0000225A0000}"/>
    <cellStyle name="Style 116 3 3 3" xfId="17029" xr:uid="{00000000-0005-0000-0000-0000235A0000}"/>
    <cellStyle name="Style 116 3 4" xfId="4736" xr:uid="{00000000-0005-0000-0000-0000245A0000}"/>
    <cellStyle name="Style 116 3 4 2" xfId="16378" xr:uid="{00000000-0005-0000-0000-0000255A0000}"/>
    <cellStyle name="Style 116 4" xfId="4737" xr:uid="{00000000-0005-0000-0000-0000265A0000}"/>
    <cellStyle name="Style 116 4 2" xfId="4738" xr:uid="{00000000-0005-0000-0000-0000275A0000}"/>
    <cellStyle name="Style 116 4 3" xfId="16275" xr:uid="{00000000-0005-0000-0000-0000285A0000}"/>
    <cellStyle name="Style 116 5" xfId="4739" xr:uid="{00000000-0005-0000-0000-0000295A0000}"/>
    <cellStyle name="Style 116 5 2" xfId="16401" xr:uid="{00000000-0005-0000-0000-00002A5A0000}"/>
    <cellStyle name="Style 116 6" xfId="4740" xr:uid="{00000000-0005-0000-0000-00002B5A0000}"/>
    <cellStyle name="Style 116 7" xfId="4741" xr:uid="{00000000-0005-0000-0000-00002C5A0000}"/>
    <cellStyle name="Style 116_ADDON" xfId="4742" xr:uid="{00000000-0005-0000-0000-00002D5A0000}"/>
    <cellStyle name="Style 117" xfId="3836" xr:uid="{00000000-0005-0000-0000-00002E5A0000}"/>
    <cellStyle name="Style 117 2" xfId="4743" xr:uid="{00000000-0005-0000-0000-00002F5A0000}"/>
    <cellStyle name="Style 117 2 2" xfId="4744" xr:uid="{00000000-0005-0000-0000-0000305A0000}"/>
    <cellStyle name="Style 117 2 2 2" xfId="4745" xr:uid="{00000000-0005-0000-0000-0000315A0000}"/>
    <cellStyle name="Style 117 2 2 2 2" xfId="16621" xr:uid="{00000000-0005-0000-0000-0000325A0000}"/>
    <cellStyle name="Style 117 2 2 3" xfId="4746" xr:uid="{00000000-0005-0000-0000-0000335A0000}"/>
    <cellStyle name="Style 117 2 3" xfId="4747" xr:uid="{00000000-0005-0000-0000-0000345A0000}"/>
    <cellStyle name="Style 117 2 3 2" xfId="16902" xr:uid="{00000000-0005-0000-0000-0000355A0000}"/>
    <cellStyle name="Style 117 2 4" xfId="4748" xr:uid="{00000000-0005-0000-0000-0000365A0000}"/>
    <cellStyle name="Style 117 2 5" xfId="4749" xr:uid="{00000000-0005-0000-0000-0000375A0000}"/>
    <cellStyle name="Style 117 3" xfId="4750" xr:uid="{00000000-0005-0000-0000-0000385A0000}"/>
    <cellStyle name="Style 117 3 2" xfId="4751" xr:uid="{00000000-0005-0000-0000-0000395A0000}"/>
    <cellStyle name="Style 117 3 2 2" xfId="4752" xr:uid="{00000000-0005-0000-0000-00003A5A0000}"/>
    <cellStyle name="Style 117 3 2 2 2" xfId="16766" xr:uid="{00000000-0005-0000-0000-00003B5A0000}"/>
    <cellStyle name="Style 117 3 2 3" xfId="4753" xr:uid="{00000000-0005-0000-0000-00003C5A0000}"/>
    <cellStyle name="Style 117 3 3" xfId="4754" xr:uid="{00000000-0005-0000-0000-00003D5A0000}"/>
    <cellStyle name="Style 117 3 3 2" xfId="4755" xr:uid="{00000000-0005-0000-0000-00003E5A0000}"/>
    <cellStyle name="Style 117 3 3 2 2" xfId="15519" xr:uid="{00000000-0005-0000-0000-00003F5A0000}"/>
    <cellStyle name="Style 117 3 3 3" xfId="4756" xr:uid="{00000000-0005-0000-0000-0000405A0000}"/>
    <cellStyle name="Style 117 3 4" xfId="4757" xr:uid="{00000000-0005-0000-0000-0000415A0000}"/>
    <cellStyle name="Style 117 3 4 2" xfId="4758" xr:uid="{00000000-0005-0000-0000-0000425A0000}"/>
    <cellStyle name="Style 117 3 5" xfId="4759" xr:uid="{00000000-0005-0000-0000-0000435A0000}"/>
    <cellStyle name="Style 117 4" xfId="4760" xr:uid="{00000000-0005-0000-0000-0000445A0000}"/>
    <cellStyle name="Style 117 4 2" xfId="4761" xr:uid="{00000000-0005-0000-0000-0000455A0000}"/>
    <cellStyle name="Style 117 4 2 2" xfId="17036" xr:uid="{00000000-0005-0000-0000-0000465A0000}"/>
    <cellStyle name="Style 117 4 3" xfId="4762" xr:uid="{00000000-0005-0000-0000-0000475A0000}"/>
    <cellStyle name="Style 117 5" xfId="4763" xr:uid="{00000000-0005-0000-0000-0000485A0000}"/>
    <cellStyle name="Style 117 6" xfId="4764" xr:uid="{00000000-0005-0000-0000-0000495A0000}"/>
    <cellStyle name="Style 117 7" xfId="17111" xr:uid="{00000000-0005-0000-0000-00004A5A0000}"/>
    <cellStyle name="Style 117_ADDON" xfId="4765" xr:uid="{00000000-0005-0000-0000-00004B5A0000}"/>
    <cellStyle name="Style 118" xfId="3837" xr:uid="{00000000-0005-0000-0000-00004C5A0000}"/>
    <cellStyle name="Style 118 2" xfId="4766" xr:uid="{00000000-0005-0000-0000-00004D5A0000}"/>
    <cellStyle name="Style 118 3" xfId="4767" xr:uid="{00000000-0005-0000-0000-00004E5A0000}"/>
    <cellStyle name="Style 118 3 2" xfId="4768" xr:uid="{00000000-0005-0000-0000-00004F5A0000}"/>
    <cellStyle name="Style 118 3 3" xfId="4769" xr:uid="{00000000-0005-0000-0000-0000505A0000}"/>
    <cellStyle name="Style 118 3 3 2" xfId="4770" xr:uid="{00000000-0005-0000-0000-0000515A0000}"/>
    <cellStyle name="Style 118 3 3 3" xfId="16282" xr:uid="{00000000-0005-0000-0000-0000525A0000}"/>
    <cellStyle name="Style 118 3 4" xfId="4771" xr:uid="{00000000-0005-0000-0000-0000535A0000}"/>
    <cellStyle name="Style 118 3 4 2" xfId="16629" xr:uid="{00000000-0005-0000-0000-0000545A0000}"/>
    <cellStyle name="Style 118 4" xfId="4772" xr:uid="{00000000-0005-0000-0000-0000555A0000}"/>
    <cellStyle name="Style 118 4 2" xfId="4773" xr:uid="{00000000-0005-0000-0000-0000565A0000}"/>
    <cellStyle name="Style 118 4 3" xfId="15875" xr:uid="{00000000-0005-0000-0000-0000575A0000}"/>
    <cellStyle name="Style 118 5" xfId="4774" xr:uid="{00000000-0005-0000-0000-0000585A0000}"/>
    <cellStyle name="Style 118 5 2" xfId="16749" xr:uid="{00000000-0005-0000-0000-0000595A0000}"/>
    <cellStyle name="Style 118 6" xfId="4775" xr:uid="{00000000-0005-0000-0000-00005A5A0000}"/>
    <cellStyle name="Style 118 7" xfId="4776" xr:uid="{00000000-0005-0000-0000-00005B5A0000}"/>
    <cellStyle name="Style 118_ADDON" xfId="4777" xr:uid="{00000000-0005-0000-0000-00005C5A0000}"/>
    <cellStyle name="Style 119" xfId="3838" xr:uid="{00000000-0005-0000-0000-00005D5A0000}"/>
    <cellStyle name="Style 119 10" xfId="4778" xr:uid="{00000000-0005-0000-0000-00005E5A0000}"/>
    <cellStyle name="Style 119 11" xfId="4779" xr:uid="{00000000-0005-0000-0000-00005F5A0000}"/>
    <cellStyle name="Style 119 12" xfId="4780" xr:uid="{00000000-0005-0000-0000-0000605A0000}"/>
    <cellStyle name="Style 119 2" xfId="4781" xr:uid="{00000000-0005-0000-0000-0000615A0000}"/>
    <cellStyle name="Style 119 2 2" xfId="4782" xr:uid="{00000000-0005-0000-0000-0000625A0000}"/>
    <cellStyle name="Style 119 3" xfId="4783" xr:uid="{00000000-0005-0000-0000-0000635A0000}"/>
    <cellStyle name="Style 119 3 2" xfId="4784" xr:uid="{00000000-0005-0000-0000-0000645A0000}"/>
    <cellStyle name="Style 119 3 2 2" xfId="4785" xr:uid="{00000000-0005-0000-0000-0000655A0000}"/>
    <cellStyle name="Style 119 3 2 3" xfId="4786" xr:uid="{00000000-0005-0000-0000-0000665A0000}"/>
    <cellStyle name="Style 119 3 3" xfId="4787" xr:uid="{00000000-0005-0000-0000-0000675A0000}"/>
    <cellStyle name="Style 119 3 3 2" xfId="4788" xr:uid="{00000000-0005-0000-0000-0000685A0000}"/>
    <cellStyle name="Style 119 3 3 2 2" xfId="4789" xr:uid="{00000000-0005-0000-0000-0000695A0000}"/>
    <cellStyle name="Style 119 3 3 3" xfId="4790" xr:uid="{00000000-0005-0000-0000-00006A5A0000}"/>
    <cellStyle name="Style 119 3 3 3 2" xfId="4791" xr:uid="{00000000-0005-0000-0000-00006B5A0000}"/>
    <cellStyle name="Style 119 3 3 3 3" xfId="4792" xr:uid="{00000000-0005-0000-0000-00006C5A0000}"/>
    <cellStyle name="Style 119 3 3 4" xfId="4793" xr:uid="{00000000-0005-0000-0000-00006D5A0000}"/>
    <cellStyle name="Style 119 3 3 4 2" xfId="4794" xr:uid="{00000000-0005-0000-0000-00006E5A0000}"/>
    <cellStyle name="Style 119 3 3 5" xfId="4795" xr:uid="{00000000-0005-0000-0000-00006F5A0000}"/>
    <cellStyle name="Style 119 3 4" xfId="4796" xr:uid="{00000000-0005-0000-0000-0000705A0000}"/>
    <cellStyle name="Style 119 3 4 2" xfId="16638" xr:uid="{00000000-0005-0000-0000-0000715A0000}"/>
    <cellStyle name="Style 119 3 5" xfId="4797" xr:uid="{00000000-0005-0000-0000-0000725A0000}"/>
    <cellStyle name="Style 119 4" xfId="4798" xr:uid="{00000000-0005-0000-0000-0000735A0000}"/>
    <cellStyle name="Style 119 4 2" xfId="4799" xr:uid="{00000000-0005-0000-0000-0000745A0000}"/>
    <cellStyle name="Style 119 4 2 2" xfId="4800" xr:uid="{00000000-0005-0000-0000-0000755A0000}"/>
    <cellStyle name="Style 119 4 2 2 2" xfId="4801" xr:uid="{00000000-0005-0000-0000-0000765A0000}"/>
    <cellStyle name="Style 119 4 2 3" xfId="4802" xr:uid="{00000000-0005-0000-0000-0000775A0000}"/>
    <cellStyle name="Style 119 4 2 3 2" xfId="4803" xr:uid="{00000000-0005-0000-0000-0000785A0000}"/>
    <cellStyle name="Style 119 4 2 3 3" xfId="4804" xr:uid="{00000000-0005-0000-0000-0000795A0000}"/>
    <cellStyle name="Style 119 4 2 4" xfId="4805" xr:uid="{00000000-0005-0000-0000-00007A5A0000}"/>
    <cellStyle name="Style 119 4 2 4 2" xfId="4806" xr:uid="{00000000-0005-0000-0000-00007B5A0000}"/>
    <cellStyle name="Style 119 4 2 5" xfId="4807" xr:uid="{00000000-0005-0000-0000-00007C5A0000}"/>
    <cellStyle name="Style 119 4 3" xfId="4808" xr:uid="{00000000-0005-0000-0000-00007D5A0000}"/>
    <cellStyle name="Style 119 4 3 2" xfId="4809" xr:uid="{00000000-0005-0000-0000-00007E5A0000}"/>
    <cellStyle name="Style 119 4 4" xfId="4810" xr:uid="{00000000-0005-0000-0000-00007F5A0000}"/>
    <cellStyle name="Style 119 4 4 2" xfId="16917" xr:uid="{00000000-0005-0000-0000-0000805A0000}"/>
    <cellStyle name="Style 119 4 5" xfId="4811" xr:uid="{00000000-0005-0000-0000-0000815A0000}"/>
    <cellStyle name="Style 119 5" xfId="4812" xr:uid="{00000000-0005-0000-0000-0000825A0000}"/>
    <cellStyle name="Style 119 5 2" xfId="4813" xr:uid="{00000000-0005-0000-0000-0000835A0000}"/>
    <cellStyle name="Style 119 5 2 2" xfId="4814" xr:uid="{00000000-0005-0000-0000-0000845A0000}"/>
    <cellStyle name="Style 119 5 2 2 2" xfId="4815" xr:uid="{00000000-0005-0000-0000-0000855A0000}"/>
    <cellStyle name="Style 119 5 2 3" xfId="4816" xr:uid="{00000000-0005-0000-0000-0000865A0000}"/>
    <cellStyle name="Style 119 5 2 3 2" xfId="4817" xr:uid="{00000000-0005-0000-0000-0000875A0000}"/>
    <cellStyle name="Style 119 5 2 3 3" xfId="4818" xr:uid="{00000000-0005-0000-0000-0000885A0000}"/>
    <cellStyle name="Style 119 5 2 4" xfId="4819" xr:uid="{00000000-0005-0000-0000-0000895A0000}"/>
    <cellStyle name="Style 119 5 2 4 2" xfId="16359" xr:uid="{00000000-0005-0000-0000-00008A5A0000}"/>
    <cellStyle name="Style 119 5 2 5" xfId="4820" xr:uid="{00000000-0005-0000-0000-00008B5A0000}"/>
    <cellStyle name="Style 119 5 3" xfId="4821" xr:uid="{00000000-0005-0000-0000-00008C5A0000}"/>
    <cellStyle name="Style 119 5 3 2" xfId="4822" xr:uid="{00000000-0005-0000-0000-00008D5A0000}"/>
    <cellStyle name="Style 119 5 4" xfId="4823" xr:uid="{00000000-0005-0000-0000-00008E5A0000}"/>
    <cellStyle name="Style 119 5 5" xfId="4824" xr:uid="{00000000-0005-0000-0000-00008F5A0000}"/>
    <cellStyle name="Style 119 6" xfId="4825" xr:uid="{00000000-0005-0000-0000-0000905A0000}"/>
    <cellStyle name="Style 119 6 2" xfId="4826" xr:uid="{00000000-0005-0000-0000-0000915A0000}"/>
    <cellStyle name="Style 119 6 2 2" xfId="4827" xr:uid="{00000000-0005-0000-0000-0000925A0000}"/>
    <cellStyle name="Style 119 6 3" xfId="4828" xr:uid="{00000000-0005-0000-0000-0000935A0000}"/>
    <cellStyle name="Style 119 6 3 2" xfId="4829" xr:uid="{00000000-0005-0000-0000-0000945A0000}"/>
    <cellStyle name="Style 119 6 3 3" xfId="4830" xr:uid="{00000000-0005-0000-0000-0000955A0000}"/>
    <cellStyle name="Style 119 6 4" xfId="4831" xr:uid="{00000000-0005-0000-0000-0000965A0000}"/>
    <cellStyle name="Style 119 6 4 2" xfId="4832" xr:uid="{00000000-0005-0000-0000-0000975A0000}"/>
    <cellStyle name="Style 119 6 5" xfId="4833" xr:uid="{00000000-0005-0000-0000-0000985A0000}"/>
    <cellStyle name="Style 119 7" xfId="4834" xr:uid="{00000000-0005-0000-0000-0000995A0000}"/>
    <cellStyle name="Style 119 7 2" xfId="4835" xr:uid="{00000000-0005-0000-0000-00009A5A0000}"/>
    <cellStyle name="Style 119 7 3" xfId="4836" xr:uid="{00000000-0005-0000-0000-00009B5A0000}"/>
    <cellStyle name="Style 119 8" xfId="4837" xr:uid="{00000000-0005-0000-0000-00009C5A0000}"/>
    <cellStyle name="Style 119 8 2" xfId="15874" xr:uid="{00000000-0005-0000-0000-00009D5A0000}"/>
    <cellStyle name="Style 119 8 3" xfId="16851" xr:uid="{00000000-0005-0000-0000-00009E5A0000}"/>
    <cellStyle name="Style 119 9" xfId="4838" xr:uid="{00000000-0005-0000-0000-00009F5A0000}"/>
    <cellStyle name="Style 119_ADDON" xfId="4839" xr:uid="{00000000-0005-0000-0000-0000A05A0000}"/>
    <cellStyle name="Style 120" xfId="3839" xr:uid="{00000000-0005-0000-0000-0000A15A0000}"/>
    <cellStyle name="Style 120 2" xfId="4840" xr:uid="{00000000-0005-0000-0000-0000A25A0000}"/>
    <cellStyle name="Style 120 2 2" xfId="4841" xr:uid="{00000000-0005-0000-0000-0000A35A0000}"/>
    <cellStyle name="Style 120 2 2 2" xfId="4842" xr:uid="{00000000-0005-0000-0000-0000A45A0000}"/>
    <cellStyle name="Style 120 2 2 2 2" xfId="16984" xr:uid="{00000000-0005-0000-0000-0000A55A0000}"/>
    <cellStyle name="Style 120 2 2 3" xfId="4843" xr:uid="{00000000-0005-0000-0000-0000A65A0000}"/>
    <cellStyle name="Style 120 2 3" xfId="4844" xr:uid="{00000000-0005-0000-0000-0000A75A0000}"/>
    <cellStyle name="Style 120 2 3 2" xfId="16338" xr:uid="{00000000-0005-0000-0000-0000A85A0000}"/>
    <cellStyle name="Style 120 2 4" xfId="4845" xr:uid="{00000000-0005-0000-0000-0000A95A0000}"/>
    <cellStyle name="Style 120 2 5" xfId="4846" xr:uid="{00000000-0005-0000-0000-0000AA5A0000}"/>
    <cellStyle name="Style 120 3" xfId="4847" xr:uid="{00000000-0005-0000-0000-0000AB5A0000}"/>
    <cellStyle name="Style 120 3 2" xfId="4848" xr:uid="{00000000-0005-0000-0000-0000AC5A0000}"/>
    <cellStyle name="Style 120 3 2 2" xfId="4849" xr:uid="{00000000-0005-0000-0000-0000AD5A0000}"/>
    <cellStyle name="Style 120 3 2 2 2" xfId="16369" xr:uid="{00000000-0005-0000-0000-0000AE5A0000}"/>
    <cellStyle name="Style 120 3 2 3" xfId="4850" xr:uid="{00000000-0005-0000-0000-0000AF5A0000}"/>
    <cellStyle name="Style 120 3 3" xfId="4851" xr:uid="{00000000-0005-0000-0000-0000B05A0000}"/>
    <cellStyle name="Style 120 3 3 2" xfId="4852" xr:uid="{00000000-0005-0000-0000-0000B15A0000}"/>
    <cellStyle name="Style 120 3 3 2 2" xfId="15873" xr:uid="{00000000-0005-0000-0000-0000B25A0000}"/>
    <cellStyle name="Style 120 3 3 3" xfId="4853" xr:uid="{00000000-0005-0000-0000-0000B35A0000}"/>
    <cellStyle name="Style 120 3 4" xfId="4854" xr:uid="{00000000-0005-0000-0000-0000B45A0000}"/>
    <cellStyle name="Style 120 3 4 2" xfId="4855" xr:uid="{00000000-0005-0000-0000-0000B55A0000}"/>
    <cellStyle name="Style 120 3 5" xfId="4856" xr:uid="{00000000-0005-0000-0000-0000B65A0000}"/>
    <cellStyle name="Style 120 4" xfId="4857" xr:uid="{00000000-0005-0000-0000-0000B75A0000}"/>
    <cellStyle name="Style 120 4 2" xfId="4858" xr:uid="{00000000-0005-0000-0000-0000B85A0000}"/>
    <cellStyle name="Style 120 4 2 2" xfId="16835" xr:uid="{00000000-0005-0000-0000-0000B95A0000}"/>
    <cellStyle name="Style 120 4 3" xfId="4859" xr:uid="{00000000-0005-0000-0000-0000BA5A0000}"/>
    <cellStyle name="Style 120 5" xfId="4860" xr:uid="{00000000-0005-0000-0000-0000BB5A0000}"/>
    <cellStyle name="Style 120 6" xfId="4861" xr:uid="{00000000-0005-0000-0000-0000BC5A0000}"/>
    <cellStyle name="Style 120 7" xfId="17107" xr:uid="{00000000-0005-0000-0000-0000BD5A0000}"/>
    <cellStyle name="Style 120_ADDON" xfId="4862" xr:uid="{00000000-0005-0000-0000-0000BE5A0000}"/>
    <cellStyle name="Style 121" xfId="3840" xr:uid="{00000000-0005-0000-0000-0000BF5A0000}"/>
    <cellStyle name="Style 121 2" xfId="4863" xr:uid="{00000000-0005-0000-0000-0000C05A0000}"/>
    <cellStyle name="Style 121 2 2" xfId="4864" xr:uid="{00000000-0005-0000-0000-0000C15A0000}"/>
    <cellStyle name="Style 121 2 2 2" xfId="4865" xr:uid="{00000000-0005-0000-0000-0000C25A0000}"/>
    <cellStyle name="Style 121 2 2 2 2" xfId="17074" xr:uid="{00000000-0005-0000-0000-0000C35A0000}"/>
    <cellStyle name="Style 121 2 2 3" xfId="4866" xr:uid="{00000000-0005-0000-0000-0000C45A0000}"/>
    <cellStyle name="Style 121 2 3" xfId="4867" xr:uid="{00000000-0005-0000-0000-0000C55A0000}"/>
    <cellStyle name="Style 121 2 3 2" xfId="16174" xr:uid="{00000000-0005-0000-0000-0000C65A0000}"/>
    <cellStyle name="Style 121 2 4" xfId="4868" xr:uid="{00000000-0005-0000-0000-0000C75A0000}"/>
    <cellStyle name="Style 121 2 5" xfId="4869" xr:uid="{00000000-0005-0000-0000-0000C85A0000}"/>
    <cellStyle name="Style 121 3" xfId="4870" xr:uid="{00000000-0005-0000-0000-0000C95A0000}"/>
    <cellStyle name="Style 121 3 2" xfId="4871" xr:uid="{00000000-0005-0000-0000-0000CA5A0000}"/>
    <cellStyle name="Style 121 3 2 2" xfId="4872" xr:uid="{00000000-0005-0000-0000-0000CB5A0000}"/>
    <cellStyle name="Style 121 3 2 2 2" xfId="16453" xr:uid="{00000000-0005-0000-0000-0000CC5A0000}"/>
    <cellStyle name="Style 121 3 2 3" xfId="4873" xr:uid="{00000000-0005-0000-0000-0000CD5A0000}"/>
    <cellStyle name="Style 121 3 3" xfId="4874" xr:uid="{00000000-0005-0000-0000-0000CE5A0000}"/>
    <cellStyle name="Style 121 3 3 2" xfId="4875" xr:uid="{00000000-0005-0000-0000-0000CF5A0000}"/>
    <cellStyle name="Style 121 3 3 2 2" xfId="16581" xr:uid="{00000000-0005-0000-0000-0000D05A0000}"/>
    <cellStyle name="Style 121 3 3 3" xfId="4876" xr:uid="{00000000-0005-0000-0000-0000D15A0000}"/>
    <cellStyle name="Style 121 3 4" xfId="4877" xr:uid="{00000000-0005-0000-0000-0000D25A0000}"/>
    <cellStyle name="Style 121 3 4 2" xfId="4878" xr:uid="{00000000-0005-0000-0000-0000D35A0000}"/>
    <cellStyle name="Style 121 3 5" xfId="4879" xr:uid="{00000000-0005-0000-0000-0000D45A0000}"/>
    <cellStyle name="Style 121 4" xfId="4880" xr:uid="{00000000-0005-0000-0000-0000D55A0000}"/>
    <cellStyle name="Style 121 4 2" xfId="4881" xr:uid="{00000000-0005-0000-0000-0000D65A0000}"/>
    <cellStyle name="Style 121 4 2 2" xfId="16842" xr:uid="{00000000-0005-0000-0000-0000D75A0000}"/>
    <cellStyle name="Style 121 4 3" xfId="4882" xr:uid="{00000000-0005-0000-0000-0000D85A0000}"/>
    <cellStyle name="Style 121 5" xfId="4883" xr:uid="{00000000-0005-0000-0000-0000D95A0000}"/>
    <cellStyle name="Style 121 6" xfId="4884" xr:uid="{00000000-0005-0000-0000-0000DA5A0000}"/>
    <cellStyle name="Style 121 7" xfId="16742" xr:uid="{00000000-0005-0000-0000-0000DB5A0000}"/>
    <cellStyle name="Style 121_ADDON" xfId="4885" xr:uid="{00000000-0005-0000-0000-0000DC5A0000}"/>
    <cellStyle name="Style 126" xfId="3841" xr:uid="{00000000-0005-0000-0000-0000DD5A0000}"/>
    <cellStyle name="Style 126 10" xfId="4886" xr:uid="{00000000-0005-0000-0000-0000DE5A0000}"/>
    <cellStyle name="Style 126 11" xfId="4887" xr:uid="{00000000-0005-0000-0000-0000DF5A0000}"/>
    <cellStyle name="Style 126 12" xfId="4888" xr:uid="{00000000-0005-0000-0000-0000E05A0000}"/>
    <cellStyle name="Style 126 2" xfId="4889" xr:uid="{00000000-0005-0000-0000-0000E15A0000}"/>
    <cellStyle name="Style 126 2 2" xfId="4890" xr:uid="{00000000-0005-0000-0000-0000E25A0000}"/>
    <cellStyle name="Style 126 3" xfId="4891" xr:uid="{00000000-0005-0000-0000-0000E35A0000}"/>
    <cellStyle name="Style 126 3 2" xfId="4892" xr:uid="{00000000-0005-0000-0000-0000E45A0000}"/>
    <cellStyle name="Style 126 3 2 2" xfId="4893" xr:uid="{00000000-0005-0000-0000-0000E55A0000}"/>
    <cellStyle name="Style 126 3 2 3" xfId="4894" xr:uid="{00000000-0005-0000-0000-0000E65A0000}"/>
    <cellStyle name="Style 126 3 3" xfId="4895" xr:uid="{00000000-0005-0000-0000-0000E75A0000}"/>
    <cellStyle name="Style 126 3 3 2" xfId="4896" xr:uid="{00000000-0005-0000-0000-0000E85A0000}"/>
    <cellStyle name="Style 126 3 3 2 2" xfId="4897" xr:uid="{00000000-0005-0000-0000-0000E95A0000}"/>
    <cellStyle name="Style 126 3 3 3" xfId="4898" xr:uid="{00000000-0005-0000-0000-0000EA5A0000}"/>
    <cellStyle name="Style 126 3 3 3 2" xfId="4899" xr:uid="{00000000-0005-0000-0000-0000EB5A0000}"/>
    <cellStyle name="Style 126 3 3 3 3" xfId="4900" xr:uid="{00000000-0005-0000-0000-0000EC5A0000}"/>
    <cellStyle name="Style 126 3 3 4" xfId="4901" xr:uid="{00000000-0005-0000-0000-0000ED5A0000}"/>
    <cellStyle name="Style 126 3 3 4 2" xfId="4902" xr:uid="{00000000-0005-0000-0000-0000EE5A0000}"/>
    <cellStyle name="Style 126 3 3 5" xfId="4903" xr:uid="{00000000-0005-0000-0000-0000EF5A0000}"/>
    <cellStyle name="Style 126 3 4" xfId="4904" xr:uid="{00000000-0005-0000-0000-0000F05A0000}"/>
    <cellStyle name="Style 126 3 4 2" xfId="16387" xr:uid="{00000000-0005-0000-0000-0000F15A0000}"/>
    <cellStyle name="Style 126 3 5" xfId="4905" xr:uid="{00000000-0005-0000-0000-0000F25A0000}"/>
    <cellStyle name="Style 126 4" xfId="4906" xr:uid="{00000000-0005-0000-0000-0000F35A0000}"/>
    <cellStyle name="Style 126 4 2" xfId="4907" xr:uid="{00000000-0005-0000-0000-0000F45A0000}"/>
    <cellStyle name="Style 126 4 2 2" xfId="4908" xr:uid="{00000000-0005-0000-0000-0000F55A0000}"/>
    <cellStyle name="Style 126 4 2 2 2" xfId="4909" xr:uid="{00000000-0005-0000-0000-0000F65A0000}"/>
    <cellStyle name="Style 126 4 2 3" xfId="4910" xr:uid="{00000000-0005-0000-0000-0000F75A0000}"/>
    <cellStyle name="Style 126 4 2 3 2" xfId="4911" xr:uid="{00000000-0005-0000-0000-0000F85A0000}"/>
    <cellStyle name="Style 126 4 2 3 3" xfId="4912" xr:uid="{00000000-0005-0000-0000-0000F95A0000}"/>
    <cellStyle name="Style 126 4 2 4" xfId="4913" xr:uid="{00000000-0005-0000-0000-0000FA5A0000}"/>
    <cellStyle name="Style 126 4 2 4 2" xfId="4914" xr:uid="{00000000-0005-0000-0000-0000FB5A0000}"/>
    <cellStyle name="Style 126 4 2 5" xfId="4915" xr:uid="{00000000-0005-0000-0000-0000FC5A0000}"/>
    <cellStyle name="Style 126 4 3" xfId="4916" xr:uid="{00000000-0005-0000-0000-0000FD5A0000}"/>
    <cellStyle name="Style 126 4 3 2" xfId="4917" xr:uid="{00000000-0005-0000-0000-0000FE5A0000}"/>
    <cellStyle name="Style 126 4 4" xfId="4918" xr:uid="{00000000-0005-0000-0000-0000FF5A0000}"/>
    <cellStyle name="Style 126 4 4 2" xfId="17087" xr:uid="{00000000-0005-0000-0000-0000005B0000}"/>
    <cellStyle name="Style 126 4 5" xfId="4919" xr:uid="{00000000-0005-0000-0000-0000015B0000}"/>
    <cellStyle name="Style 126 5" xfId="4920" xr:uid="{00000000-0005-0000-0000-0000025B0000}"/>
    <cellStyle name="Style 126 5 2" xfId="4921" xr:uid="{00000000-0005-0000-0000-0000035B0000}"/>
    <cellStyle name="Style 126 5 2 2" xfId="4922" xr:uid="{00000000-0005-0000-0000-0000045B0000}"/>
    <cellStyle name="Style 126 5 2 2 2" xfId="4923" xr:uid="{00000000-0005-0000-0000-0000055B0000}"/>
    <cellStyle name="Style 126 5 2 3" xfId="4924" xr:uid="{00000000-0005-0000-0000-0000065B0000}"/>
    <cellStyle name="Style 126 5 2 3 2" xfId="4925" xr:uid="{00000000-0005-0000-0000-0000075B0000}"/>
    <cellStyle name="Style 126 5 2 3 3" xfId="4926" xr:uid="{00000000-0005-0000-0000-0000085B0000}"/>
    <cellStyle name="Style 126 5 2 4" xfId="4927" xr:uid="{00000000-0005-0000-0000-0000095B0000}"/>
    <cellStyle name="Style 126 5 2 4 2" xfId="16735" xr:uid="{00000000-0005-0000-0000-00000A5B0000}"/>
    <cellStyle name="Style 126 5 2 5" xfId="4928" xr:uid="{00000000-0005-0000-0000-00000B5B0000}"/>
    <cellStyle name="Style 126 5 3" xfId="4929" xr:uid="{00000000-0005-0000-0000-00000C5B0000}"/>
    <cellStyle name="Style 126 5 3 2" xfId="4930" xr:uid="{00000000-0005-0000-0000-00000D5B0000}"/>
    <cellStyle name="Style 126 5 4" xfId="4931" xr:uid="{00000000-0005-0000-0000-00000E5B0000}"/>
    <cellStyle name="Style 126 5 5" xfId="4932" xr:uid="{00000000-0005-0000-0000-00000F5B0000}"/>
    <cellStyle name="Style 126 6" xfId="4933" xr:uid="{00000000-0005-0000-0000-0000105B0000}"/>
    <cellStyle name="Style 126 6 2" xfId="4934" xr:uid="{00000000-0005-0000-0000-0000115B0000}"/>
    <cellStyle name="Style 126 6 2 2" xfId="4935" xr:uid="{00000000-0005-0000-0000-0000125B0000}"/>
    <cellStyle name="Style 126 6 3" xfId="4936" xr:uid="{00000000-0005-0000-0000-0000135B0000}"/>
    <cellStyle name="Style 126 6 3 2" xfId="4937" xr:uid="{00000000-0005-0000-0000-0000145B0000}"/>
    <cellStyle name="Style 126 6 3 3" xfId="4938" xr:uid="{00000000-0005-0000-0000-0000155B0000}"/>
    <cellStyle name="Style 126 6 4" xfId="4939" xr:uid="{00000000-0005-0000-0000-0000165B0000}"/>
    <cellStyle name="Style 126 6 4 2" xfId="4940" xr:uid="{00000000-0005-0000-0000-0000175B0000}"/>
    <cellStyle name="Style 126 6 5" xfId="4941" xr:uid="{00000000-0005-0000-0000-0000185B0000}"/>
    <cellStyle name="Style 126 7" xfId="4942" xr:uid="{00000000-0005-0000-0000-0000195B0000}"/>
    <cellStyle name="Style 126 7 2" xfId="4943" xr:uid="{00000000-0005-0000-0000-00001A5B0000}"/>
    <cellStyle name="Style 126 7 3" xfId="4944" xr:uid="{00000000-0005-0000-0000-00001B5B0000}"/>
    <cellStyle name="Style 126 8" xfId="4945" xr:uid="{00000000-0005-0000-0000-00001C5B0000}"/>
    <cellStyle name="Style 126 8 2" xfId="16807" xr:uid="{00000000-0005-0000-0000-00001D5B0000}"/>
    <cellStyle name="Style 126 8 3" xfId="16949" xr:uid="{00000000-0005-0000-0000-00001E5B0000}"/>
    <cellStyle name="Style 126 9" xfId="4946" xr:uid="{00000000-0005-0000-0000-00001F5B0000}"/>
    <cellStyle name="Style 126_ADDON" xfId="4947" xr:uid="{00000000-0005-0000-0000-0000205B0000}"/>
    <cellStyle name="Style 127" xfId="3842" xr:uid="{00000000-0005-0000-0000-0000215B0000}"/>
    <cellStyle name="Style 127 2" xfId="4948" xr:uid="{00000000-0005-0000-0000-0000225B0000}"/>
    <cellStyle name="Style 127 3" xfId="4949" xr:uid="{00000000-0005-0000-0000-0000235B0000}"/>
    <cellStyle name="Style 127 3 2" xfId="4950" xr:uid="{00000000-0005-0000-0000-0000245B0000}"/>
    <cellStyle name="Style 127 3 3" xfId="4951" xr:uid="{00000000-0005-0000-0000-0000255B0000}"/>
    <cellStyle name="Style 127 3 3 2" xfId="4952" xr:uid="{00000000-0005-0000-0000-0000265B0000}"/>
    <cellStyle name="Style 127 3 3 3" xfId="16459" xr:uid="{00000000-0005-0000-0000-0000275B0000}"/>
    <cellStyle name="Style 127 3 4" xfId="4953" xr:uid="{00000000-0005-0000-0000-0000285B0000}"/>
    <cellStyle name="Style 127 3 4 2" xfId="15502" xr:uid="{00000000-0005-0000-0000-0000295B0000}"/>
    <cellStyle name="Style 127 4" xfId="4954" xr:uid="{00000000-0005-0000-0000-00002A5B0000}"/>
    <cellStyle name="Style 127 4 2" xfId="4955" xr:uid="{00000000-0005-0000-0000-00002B5B0000}"/>
    <cellStyle name="Style 127 4 3" xfId="16758" xr:uid="{00000000-0005-0000-0000-00002C5B0000}"/>
    <cellStyle name="Style 127 5" xfId="4956" xr:uid="{00000000-0005-0000-0000-00002D5B0000}"/>
    <cellStyle name="Style 127 5 2" xfId="16268" xr:uid="{00000000-0005-0000-0000-00002E5B0000}"/>
    <cellStyle name="Style 127 6" xfId="4957" xr:uid="{00000000-0005-0000-0000-00002F5B0000}"/>
    <cellStyle name="Style 127 7" xfId="4958" xr:uid="{00000000-0005-0000-0000-0000305B0000}"/>
    <cellStyle name="Style 127_ADDON" xfId="4959" xr:uid="{00000000-0005-0000-0000-0000315B0000}"/>
    <cellStyle name="Style 128" xfId="3843" xr:uid="{00000000-0005-0000-0000-0000325B0000}"/>
    <cellStyle name="Style 128 2" xfId="4960" xr:uid="{00000000-0005-0000-0000-0000335B0000}"/>
    <cellStyle name="Style 128 2 2" xfId="4961" xr:uid="{00000000-0005-0000-0000-0000345B0000}"/>
    <cellStyle name="Style 128 2 2 2" xfId="4962" xr:uid="{00000000-0005-0000-0000-0000355B0000}"/>
    <cellStyle name="Style 128 2 2 2 2" xfId="16548" xr:uid="{00000000-0005-0000-0000-0000365B0000}"/>
    <cellStyle name="Style 128 2 2 3" xfId="4963" xr:uid="{00000000-0005-0000-0000-0000375B0000}"/>
    <cellStyle name="Style 128 2 3" xfId="4964" xr:uid="{00000000-0005-0000-0000-0000385B0000}"/>
    <cellStyle name="Style 128 2 3 2" xfId="16928" xr:uid="{00000000-0005-0000-0000-0000395B0000}"/>
    <cellStyle name="Style 128 2 4" xfId="4965" xr:uid="{00000000-0005-0000-0000-00003A5B0000}"/>
    <cellStyle name="Style 128 2 5" xfId="4966" xr:uid="{00000000-0005-0000-0000-00003B5B0000}"/>
    <cellStyle name="Style 128 3" xfId="4967" xr:uid="{00000000-0005-0000-0000-00003C5B0000}"/>
    <cellStyle name="Style 128 3 2" xfId="4968" xr:uid="{00000000-0005-0000-0000-00003D5B0000}"/>
    <cellStyle name="Style 128 3 2 2" xfId="4969" xr:uid="{00000000-0005-0000-0000-00003E5B0000}"/>
    <cellStyle name="Style 128 3 2 2 2" xfId="16830" xr:uid="{00000000-0005-0000-0000-00003F5B0000}"/>
    <cellStyle name="Style 128 3 2 3" xfId="4970" xr:uid="{00000000-0005-0000-0000-0000405B0000}"/>
    <cellStyle name="Style 128 3 3" xfId="4971" xr:uid="{00000000-0005-0000-0000-0000415B0000}"/>
    <cellStyle name="Style 128 3 3 2" xfId="4972" xr:uid="{00000000-0005-0000-0000-0000425B0000}"/>
    <cellStyle name="Style 128 3 3 2 2" xfId="15872" xr:uid="{00000000-0005-0000-0000-0000435B0000}"/>
    <cellStyle name="Style 128 3 3 3" xfId="4973" xr:uid="{00000000-0005-0000-0000-0000445B0000}"/>
    <cellStyle name="Style 128 3 4" xfId="4974" xr:uid="{00000000-0005-0000-0000-0000455B0000}"/>
    <cellStyle name="Style 128 3 4 2" xfId="4975" xr:uid="{00000000-0005-0000-0000-0000465B0000}"/>
    <cellStyle name="Style 128 3 5" xfId="4976" xr:uid="{00000000-0005-0000-0000-0000475B0000}"/>
    <cellStyle name="Style 128 4" xfId="4977" xr:uid="{00000000-0005-0000-0000-0000485B0000}"/>
    <cellStyle name="Style 128 4 2" xfId="4978" xr:uid="{00000000-0005-0000-0000-0000495B0000}"/>
    <cellStyle name="Style 128 4 2 2" xfId="16377" xr:uid="{00000000-0005-0000-0000-00004A5B0000}"/>
    <cellStyle name="Style 128 4 3" xfId="4979" xr:uid="{00000000-0005-0000-0000-00004B5B0000}"/>
    <cellStyle name="Style 128 5" xfId="4980" xr:uid="{00000000-0005-0000-0000-00004C5B0000}"/>
    <cellStyle name="Style 128 6" xfId="4981" xr:uid="{00000000-0005-0000-0000-00004D5B0000}"/>
    <cellStyle name="Style 128 7" xfId="16661" xr:uid="{00000000-0005-0000-0000-00004E5B0000}"/>
    <cellStyle name="Style 128_ADDON" xfId="4982" xr:uid="{00000000-0005-0000-0000-00004F5B0000}"/>
    <cellStyle name="Style 129" xfId="3844" xr:uid="{00000000-0005-0000-0000-0000505B0000}"/>
    <cellStyle name="Style 129 2" xfId="4983" xr:uid="{00000000-0005-0000-0000-0000515B0000}"/>
    <cellStyle name="Style 129 3" xfId="4984" xr:uid="{00000000-0005-0000-0000-0000525B0000}"/>
    <cellStyle name="Style 129 3 2" xfId="4985" xr:uid="{00000000-0005-0000-0000-0000535B0000}"/>
    <cellStyle name="Style 129 3 3" xfId="4986" xr:uid="{00000000-0005-0000-0000-0000545B0000}"/>
    <cellStyle name="Style 129 3 3 2" xfId="4987" xr:uid="{00000000-0005-0000-0000-0000555B0000}"/>
    <cellStyle name="Style 129 3 3 3" xfId="17093" xr:uid="{00000000-0005-0000-0000-0000565B0000}"/>
    <cellStyle name="Style 129 3 4" xfId="4988" xr:uid="{00000000-0005-0000-0000-0000575B0000}"/>
    <cellStyle name="Style 129 3 4 2" xfId="16620" xr:uid="{00000000-0005-0000-0000-0000585B0000}"/>
    <cellStyle name="Style 129 4" xfId="4989" xr:uid="{00000000-0005-0000-0000-0000595B0000}"/>
    <cellStyle name="Style 129 4 2" xfId="4990" xr:uid="{00000000-0005-0000-0000-00005A5B0000}"/>
    <cellStyle name="Style 129 4 3" xfId="16208" xr:uid="{00000000-0005-0000-0000-00005B5B0000}"/>
    <cellStyle name="Style 129 5" xfId="4991" xr:uid="{00000000-0005-0000-0000-00005C5B0000}"/>
    <cellStyle name="Style 129 5 2" xfId="16901" xr:uid="{00000000-0005-0000-0000-00005D5B0000}"/>
    <cellStyle name="Style 129 6" xfId="4992" xr:uid="{00000000-0005-0000-0000-00005E5B0000}"/>
    <cellStyle name="Style 129 7" xfId="4993" xr:uid="{00000000-0005-0000-0000-00005F5B0000}"/>
    <cellStyle name="Style 129_ADDON" xfId="4994" xr:uid="{00000000-0005-0000-0000-0000605B0000}"/>
    <cellStyle name="Style 130" xfId="3845" xr:uid="{00000000-0005-0000-0000-0000615B0000}"/>
    <cellStyle name="Style 130 10" xfId="4995" xr:uid="{00000000-0005-0000-0000-0000625B0000}"/>
    <cellStyle name="Style 130 11" xfId="4996" xr:uid="{00000000-0005-0000-0000-0000635B0000}"/>
    <cellStyle name="Style 130 12" xfId="4997" xr:uid="{00000000-0005-0000-0000-0000645B0000}"/>
    <cellStyle name="Style 130 2" xfId="4998" xr:uid="{00000000-0005-0000-0000-0000655B0000}"/>
    <cellStyle name="Style 130 2 2" xfId="4999" xr:uid="{00000000-0005-0000-0000-0000665B0000}"/>
    <cellStyle name="Style 130 3" xfId="5000" xr:uid="{00000000-0005-0000-0000-0000675B0000}"/>
    <cellStyle name="Style 130 3 2" xfId="5001" xr:uid="{00000000-0005-0000-0000-0000685B0000}"/>
    <cellStyle name="Style 130 3 2 2" xfId="5002" xr:uid="{00000000-0005-0000-0000-0000695B0000}"/>
    <cellStyle name="Style 130 3 2 3" xfId="5003" xr:uid="{00000000-0005-0000-0000-00006A5B0000}"/>
    <cellStyle name="Style 130 3 3" xfId="5004" xr:uid="{00000000-0005-0000-0000-00006B5B0000}"/>
    <cellStyle name="Style 130 3 3 2" xfId="5005" xr:uid="{00000000-0005-0000-0000-00006C5B0000}"/>
    <cellStyle name="Style 130 3 3 2 2" xfId="5006" xr:uid="{00000000-0005-0000-0000-00006D5B0000}"/>
    <cellStyle name="Style 130 3 3 3" xfId="5007" xr:uid="{00000000-0005-0000-0000-00006E5B0000}"/>
    <cellStyle name="Style 130 3 3 3 2" xfId="5008" xr:uid="{00000000-0005-0000-0000-00006F5B0000}"/>
    <cellStyle name="Style 130 3 3 3 3" xfId="5009" xr:uid="{00000000-0005-0000-0000-0000705B0000}"/>
    <cellStyle name="Style 130 3 3 4" xfId="5010" xr:uid="{00000000-0005-0000-0000-0000715B0000}"/>
    <cellStyle name="Style 130 3 3 4 2" xfId="5011" xr:uid="{00000000-0005-0000-0000-0000725B0000}"/>
    <cellStyle name="Style 130 3 3 5" xfId="5012" xr:uid="{00000000-0005-0000-0000-0000735B0000}"/>
    <cellStyle name="Style 130 3 4" xfId="5013" xr:uid="{00000000-0005-0000-0000-0000745B0000}"/>
    <cellStyle name="Style 130 3 4 2" xfId="15792" xr:uid="{00000000-0005-0000-0000-0000755B0000}"/>
    <cellStyle name="Style 130 3 5" xfId="5014" xr:uid="{00000000-0005-0000-0000-0000765B0000}"/>
    <cellStyle name="Style 130 4" xfId="5015" xr:uid="{00000000-0005-0000-0000-0000775B0000}"/>
    <cellStyle name="Style 130 4 2" xfId="5016" xr:uid="{00000000-0005-0000-0000-0000785B0000}"/>
    <cellStyle name="Style 130 4 2 2" xfId="5017" xr:uid="{00000000-0005-0000-0000-0000795B0000}"/>
    <cellStyle name="Style 130 4 2 2 2" xfId="5018" xr:uid="{00000000-0005-0000-0000-00007A5B0000}"/>
    <cellStyle name="Style 130 4 2 3" xfId="5019" xr:uid="{00000000-0005-0000-0000-00007B5B0000}"/>
    <cellStyle name="Style 130 4 2 3 2" xfId="5020" xr:uid="{00000000-0005-0000-0000-00007C5B0000}"/>
    <cellStyle name="Style 130 4 2 3 3" xfId="5021" xr:uid="{00000000-0005-0000-0000-00007D5B0000}"/>
    <cellStyle name="Style 130 4 2 4" xfId="5022" xr:uid="{00000000-0005-0000-0000-00007E5B0000}"/>
    <cellStyle name="Style 130 4 2 4 2" xfId="5023" xr:uid="{00000000-0005-0000-0000-00007F5B0000}"/>
    <cellStyle name="Style 130 4 2 5" xfId="5024" xr:uid="{00000000-0005-0000-0000-0000805B0000}"/>
    <cellStyle name="Style 130 4 3" xfId="5025" xr:uid="{00000000-0005-0000-0000-0000815B0000}"/>
    <cellStyle name="Style 130 4 3 2" xfId="5026" xr:uid="{00000000-0005-0000-0000-0000825B0000}"/>
    <cellStyle name="Style 130 4 4" xfId="5027" xr:uid="{00000000-0005-0000-0000-0000835B0000}"/>
    <cellStyle name="Style 130 4 4 2" xfId="17017" xr:uid="{00000000-0005-0000-0000-0000845B0000}"/>
    <cellStyle name="Style 130 4 5" xfId="5028" xr:uid="{00000000-0005-0000-0000-0000855B0000}"/>
    <cellStyle name="Style 130 5" xfId="5029" xr:uid="{00000000-0005-0000-0000-0000865B0000}"/>
    <cellStyle name="Style 130 5 2" xfId="5030" xr:uid="{00000000-0005-0000-0000-0000875B0000}"/>
    <cellStyle name="Style 130 5 2 2" xfId="5031" xr:uid="{00000000-0005-0000-0000-0000885B0000}"/>
    <cellStyle name="Style 130 5 2 2 2" xfId="5032" xr:uid="{00000000-0005-0000-0000-0000895B0000}"/>
    <cellStyle name="Style 130 5 2 3" xfId="5033" xr:uid="{00000000-0005-0000-0000-00008A5B0000}"/>
    <cellStyle name="Style 130 5 2 3 2" xfId="5034" xr:uid="{00000000-0005-0000-0000-00008B5B0000}"/>
    <cellStyle name="Style 130 5 2 3 3" xfId="5035" xr:uid="{00000000-0005-0000-0000-00008C5B0000}"/>
    <cellStyle name="Style 130 5 2 4" xfId="5036" xr:uid="{00000000-0005-0000-0000-00008D5B0000}"/>
    <cellStyle name="Style 130 5 2 4 2" xfId="16353" xr:uid="{00000000-0005-0000-0000-00008E5B0000}"/>
    <cellStyle name="Style 130 5 2 5" xfId="5037" xr:uid="{00000000-0005-0000-0000-00008F5B0000}"/>
    <cellStyle name="Style 130 5 3" xfId="5038" xr:uid="{00000000-0005-0000-0000-0000905B0000}"/>
    <cellStyle name="Style 130 5 3 2" xfId="5039" xr:uid="{00000000-0005-0000-0000-0000915B0000}"/>
    <cellStyle name="Style 130 5 4" xfId="5040" xr:uid="{00000000-0005-0000-0000-0000925B0000}"/>
    <cellStyle name="Style 130 5 5" xfId="5041" xr:uid="{00000000-0005-0000-0000-0000935B0000}"/>
    <cellStyle name="Style 130 6" xfId="5042" xr:uid="{00000000-0005-0000-0000-0000945B0000}"/>
    <cellStyle name="Style 130 6 2" xfId="5043" xr:uid="{00000000-0005-0000-0000-0000955B0000}"/>
    <cellStyle name="Style 130 6 2 2" xfId="5044" xr:uid="{00000000-0005-0000-0000-0000965B0000}"/>
    <cellStyle name="Style 130 6 3" xfId="5045" xr:uid="{00000000-0005-0000-0000-0000975B0000}"/>
    <cellStyle name="Style 130 6 3 2" xfId="5046" xr:uid="{00000000-0005-0000-0000-0000985B0000}"/>
    <cellStyle name="Style 130 6 3 3" xfId="5047" xr:uid="{00000000-0005-0000-0000-0000995B0000}"/>
    <cellStyle name="Style 130 6 4" xfId="5048" xr:uid="{00000000-0005-0000-0000-00009A5B0000}"/>
    <cellStyle name="Style 130 6 4 2" xfId="5049" xr:uid="{00000000-0005-0000-0000-00009B5B0000}"/>
    <cellStyle name="Style 130 6 5" xfId="5050" xr:uid="{00000000-0005-0000-0000-00009C5B0000}"/>
    <cellStyle name="Style 130 7" xfId="5051" xr:uid="{00000000-0005-0000-0000-00009D5B0000}"/>
    <cellStyle name="Style 130 7 2" xfId="5052" xr:uid="{00000000-0005-0000-0000-00009E5B0000}"/>
    <cellStyle name="Style 130 7 3" xfId="5053" xr:uid="{00000000-0005-0000-0000-00009F5B0000}"/>
    <cellStyle name="Style 130 8" xfId="5054" xr:uid="{00000000-0005-0000-0000-0000A05B0000}"/>
    <cellStyle name="Style 130 8 2" xfId="16279" xr:uid="{00000000-0005-0000-0000-0000A15B0000}"/>
    <cellStyle name="Style 130 8 3" xfId="16722" xr:uid="{00000000-0005-0000-0000-0000A25B0000}"/>
    <cellStyle name="Style 130 9" xfId="5055" xr:uid="{00000000-0005-0000-0000-0000A35B0000}"/>
    <cellStyle name="Style 130_ADDON" xfId="5056" xr:uid="{00000000-0005-0000-0000-0000A45B0000}"/>
    <cellStyle name="Style 131" xfId="3846" xr:uid="{00000000-0005-0000-0000-0000A55B0000}"/>
    <cellStyle name="Style 131 2" xfId="5057" xr:uid="{00000000-0005-0000-0000-0000A65B0000}"/>
    <cellStyle name="Style 131 2 2" xfId="5058" xr:uid="{00000000-0005-0000-0000-0000A75B0000}"/>
    <cellStyle name="Style 131 2 2 2" xfId="5059" xr:uid="{00000000-0005-0000-0000-0000A85B0000}"/>
    <cellStyle name="Style 131 2 2 2 2" xfId="16993" xr:uid="{00000000-0005-0000-0000-0000A95B0000}"/>
    <cellStyle name="Style 131 2 2 3" xfId="5060" xr:uid="{00000000-0005-0000-0000-0000AA5B0000}"/>
    <cellStyle name="Style 131 2 3" xfId="5061" xr:uid="{00000000-0005-0000-0000-0000AB5B0000}"/>
    <cellStyle name="Style 131 2 3 2" xfId="16197" xr:uid="{00000000-0005-0000-0000-0000AC5B0000}"/>
    <cellStyle name="Style 131 2 4" xfId="5062" xr:uid="{00000000-0005-0000-0000-0000AD5B0000}"/>
    <cellStyle name="Style 131 2 5" xfId="5063" xr:uid="{00000000-0005-0000-0000-0000AE5B0000}"/>
    <cellStyle name="Style 131 3" xfId="5064" xr:uid="{00000000-0005-0000-0000-0000AF5B0000}"/>
    <cellStyle name="Style 131 3 2" xfId="5065" xr:uid="{00000000-0005-0000-0000-0000B05B0000}"/>
    <cellStyle name="Style 131 3 2 2" xfId="5066" xr:uid="{00000000-0005-0000-0000-0000B15B0000}"/>
    <cellStyle name="Style 131 3 2 2 2" xfId="16480" xr:uid="{00000000-0005-0000-0000-0000B25B0000}"/>
    <cellStyle name="Style 131 3 2 3" xfId="5067" xr:uid="{00000000-0005-0000-0000-0000B35B0000}"/>
    <cellStyle name="Style 131 3 3" xfId="5068" xr:uid="{00000000-0005-0000-0000-0000B45B0000}"/>
    <cellStyle name="Style 131 3 3 2" xfId="5069" xr:uid="{00000000-0005-0000-0000-0000B55B0000}"/>
    <cellStyle name="Style 131 3 3 2 2" xfId="16446" xr:uid="{00000000-0005-0000-0000-0000B65B0000}"/>
    <cellStyle name="Style 131 3 3 3" xfId="5070" xr:uid="{00000000-0005-0000-0000-0000B75B0000}"/>
    <cellStyle name="Style 131 3 4" xfId="5071" xr:uid="{00000000-0005-0000-0000-0000B85B0000}"/>
    <cellStyle name="Style 131 3 4 2" xfId="5072" xr:uid="{00000000-0005-0000-0000-0000B95B0000}"/>
    <cellStyle name="Style 131 3 5" xfId="5073" xr:uid="{00000000-0005-0000-0000-0000BA5B0000}"/>
    <cellStyle name="Style 131 4" xfId="5074" xr:uid="{00000000-0005-0000-0000-0000BB5B0000}"/>
    <cellStyle name="Style 131 4 2" xfId="5075" xr:uid="{00000000-0005-0000-0000-0000BC5B0000}"/>
    <cellStyle name="Style 131 4 2 2" xfId="16649" xr:uid="{00000000-0005-0000-0000-0000BD5B0000}"/>
    <cellStyle name="Style 131 4 3" xfId="5076" xr:uid="{00000000-0005-0000-0000-0000BE5B0000}"/>
    <cellStyle name="Style 131 5" xfId="5077" xr:uid="{00000000-0005-0000-0000-0000BF5B0000}"/>
    <cellStyle name="Style 131 6" xfId="5078" xr:uid="{00000000-0005-0000-0000-0000C05B0000}"/>
    <cellStyle name="Style 131 7" xfId="16850" xr:uid="{00000000-0005-0000-0000-0000C15B0000}"/>
    <cellStyle name="Style 131_ADDON" xfId="5079" xr:uid="{00000000-0005-0000-0000-0000C25B0000}"/>
    <cellStyle name="Style 132" xfId="3847" xr:uid="{00000000-0005-0000-0000-0000C35B0000}"/>
    <cellStyle name="Style 132 2" xfId="5080" xr:uid="{00000000-0005-0000-0000-0000C45B0000}"/>
    <cellStyle name="Style 132 2 2" xfId="5081" xr:uid="{00000000-0005-0000-0000-0000C55B0000}"/>
    <cellStyle name="Style 132 2 2 2" xfId="5082" xr:uid="{00000000-0005-0000-0000-0000C65B0000}"/>
    <cellStyle name="Style 132 2 2 2 2" xfId="16999" xr:uid="{00000000-0005-0000-0000-0000C75B0000}"/>
    <cellStyle name="Style 132 2 2 3" xfId="5083" xr:uid="{00000000-0005-0000-0000-0000C85B0000}"/>
    <cellStyle name="Style 132 2 3" xfId="5084" xr:uid="{00000000-0005-0000-0000-0000C95B0000}"/>
    <cellStyle name="Style 132 2 3 2" xfId="17123" xr:uid="{00000000-0005-0000-0000-0000CA5B0000}"/>
    <cellStyle name="Style 132 2 4" xfId="5085" xr:uid="{00000000-0005-0000-0000-0000CB5B0000}"/>
    <cellStyle name="Style 132 2 5" xfId="5086" xr:uid="{00000000-0005-0000-0000-0000CC5B0000}"/>
    <cellStyle name="Style 132 3" xfId="5087" xr:uid="{00000000-0005-0000-0000-0000CD5B0000}"/>
    <cellStyle name="Style 132 3 2" xfId="5088" xr:uid="{00000000-0005-0000-0000-0000CE5B0000}"/>
    <cellStyle name="Style 132 3 2 2" xfId="5089" xr:uid="{00000000-0005-0000-0000-0000CF5B0000}"/>
    <cellStyle name="Style 132 3 2 2 2" xfId="15570" xr:uid="{00000000-0005-0000-0000-0000D05B0000}"/>
    <cellStyle name="Style 132 3 2 3" xfId="5090" xr:uid="{00000000-0005-0000-0000-0000D15B0000}"/>
    <cellStyle name="Style 132 3 3" xfId="5091" xr:uid="{00000000-0005-0000-0000-0000D25B0000}"/>
    <cellStyle name="Style 132 3 3 2" xfId="5092" xr:uid="{00000000-0005-0000-0000-0000D35B0000}"/>
    <cellStyle name="Style 132 3 3 2 2" xfId="16450" xr:uid="{00000000-0005-0000-0000-0000D45B0000}"/>
    <cellStyle name="Style 132 3 3 3" xfId="5093" xr:uid="{00000000-0005-0000-0000-0000D55B0000}"/>
    <cellStyle name="Style 132 3 4" xfId="5094" xr:uid="{00000000-0005-0000-0000-0000D65B0000}"/>
    <cellStyle name="Style 132 3 4 2" xfId="5095" xr:uid="{00000000-0005-0000-0000-0000D75B0000}"/>
    <cellStyle name="Style 132 3 5" xfId="5096" xr:uid="{00000000-0005-0000-0000-0000D85B0000}"/>
    <cellStyle name="Style 132 4" xfId="5097" xr:uid="{00000000-0005-0000-0000-0000D95B0000}"/>
    <cellStyle name="Style 132 4 2" xfId="5098" xr:uid="{00000000-0005-0000-0000-0000DA5B0000}"/>
    <cellStyle name="Style 132 4 2 2" xfId="16577" xr:uid="{00000000-0005-0000-0000-0000DB5B0000}"/>
    <cellStyle name="Style 132 4 3" xfId="5099" xr:uid="{00000000-0005-0000-0000-0000DC5B0000}"/>
    <cellStyle name="Style 132 5" xfId="5100" xr:uid="{00000000-0005-0000-0000-0000DD5B0000}"/>
    <cellStyle name="Style 132 6" xfId="5101" xr:uid="{00000000-0005-0000-0000-0000DE5B0000}"/>
    <cellStyle name="Style 132 7" xfId="15494" xr:uid="{00000000-0005-0000-0000-0000DF5B0000}"/>
    <cellStyle name="Style 132_ADDON" xfId="5102" xr:uid="{00000000-0005-0000-0000-0000E05B0000}"/>
    <cellStyle name="Style 137" xfId="3848" xr:uid="{00000000-0005-0000-0000-0000E15B0000}"/>
    <cellStyle name="Style 137 10" xfId="5103" xr:uid="{00000000-0005-0000-0000-0000E25B0000}"/>
    <cellStyle name="Style 137 11" xfId="5104" xr:uid="{00000000-0005-0000-0000-0000E35B0000}"/>
    <cellStyle name="Style 137 12" xfId="5105" xr:uid="{00000000-0005-0000-0000-0000E45B0000}"/>
    <cellStyle name="Style 137 2" xfId="5106" xr:uid="{00000000-0005-0000-0000-0000E55B0000}"/>
    <cellStyle name="Style 137 2 2" xfId="5107" xr:uid="{00000000-0005-0000-0000-0000E65B0000}"/>
    <cellStyle name="Style 137 3" xfId="5108" xr:uid="{00000000-0005-0000-0000-0000E75B0000}"/>
    <cellStyle name="Style 137 3 2" xfId="5109" xr:uid="{00000000-0005-0000-0000-0000E85B0000}"/>
    <cellStyle name="Style 137 3 2 2" xfId="5110" xr:uid="{00000000-0005-0000-0000-0000E95B0000}"/>
    <cellStyle name="Style 137 3 2 3" xfId="5111" xr:uid="{00000000-0005-0000-0000-0000EA5B0000}"/>
    <cellStyle name="Style 137 3 3" xfId="5112" xr:uid="{00000000-0005-0000-0000-0000EB5B0000}"/>
    <cellStyle name="Style 137 3 3 2" xfId="5113" xr:uid="{00000000-0005-0000-0000-0000EC5B0000}"/>
    <cellStyle name="Style 137 3 3 2 2" xfId="5114" xr:uid="{00000000-0005-0000-0000-0000ED5B0000}"/>
    <cellStyle name="Style 137 3 3 3" xfId="5115" xr:uid="{00000000-0005-0000-0000-0000EE5B0000}"/>
    <cellStyle name="Style 137 3 3 3 2" xfId="5116" xr:uid="{00000000-0005-0000-0000-0000EF5B0000}"/>
    <cellStyle name="Style 137 3 3 3 3" xfId="5117" xr:uid="{00000000-0005-0000-0000-0000F05B0000}"/>
    <cellStyle name="Style 137 3 3 4" xfId="5118" xr:uid="{00000000-0005-0000-0000-0000F15B0000}"/>
    <cellStyle name="Style 137 3 3 4 2" xfId="5119" xr:uid="{00000000-0005-0000-0000-0000F25B0000}"/>
    <cellStyle name="Style 137 3 3 5" xfId="5120" xr:uid="{00000000-0005-0000-0000-0000F35B0000}"/>
    <cellStyle name="Style 137 3 4" xfId="5121" xr:uid="{00000000-0005-0000-0000-0000F45B0000}"/>
    <cellStyle name="Style 137 3 4 2" xfId="16452" xr:uid="{00000000-0005-0000-0000-0000F55B0000}"/>
    <cellStyle name="Style 137 3 5" xfId="5122" xr:uid="{00000000-0005-0000-0000-0000F65B0000}"/>
    <cellStyle name="Style 137 4" xfId="5123" xr:uid="{00000000-0005-0000-0000-0000F75B0000}"/>
    <cellStyle name="Style 137 4 2" xfId="5124" xr:uid="{00000000-0005-0000-0000-0000F85B0000}"/>
    <cellStyle name="Style 137 4 2 2" xfId="5125" xr:uid="{00000000-0005-0000-0000-0000F95B0000}"/>
    <cellStyle name="Style 137 4 2 2 2" xfId="5126" xr:uid="{00000000-0005-0000-0000-0000FA5B0000}"/>
    <cellStyle name="Style 137 4 2 3" xfId="5127" xr:uid="{00000000-0005-0000-0000-0000FB5B0000}"/>
    <cellStyle name="Style 137 4 2 3 2" xfId="5128" xr:uid="{00000000-0005-0000-0000-0000FC5B0000}"/>
    <cellStyle name="Style 137 4 2 3 3" xfId="5129" xr:uid="{00000000-0005-0000-0000-0000FD5B0000}"/>
    <cellStyle name="Style 137 4 2 4" xfId="5130" xr:uid="{00000000-0005-0000-0000-0000FE5B0000}"/>
    <cellStyle name="Style 137 4 2 4 2" xfId="5131" xr:uid="{00000000-0005-0000-0000-0000FF5B0000}"/>
    <cellStyle name="Style 137 4 2 5" xfId="5132" xr:uid="{00000000-0005-0000-0000-0000005C0000}"/>
    <cellStyle name="Style 137 4 3" xfId="5133" xr:uid="{00000000-0005-0000-0000-0000015C0000}"/>
    <cellStyle name="Style 137 4 3 2" xfId="5134" xr:uid="{00000000-0005-0000-0000-0000025C0000}"/>
    <cellStyle name="Style 137 4 4" xfId="5135" xr:uid="{00000000-0005-0000-0000-0000035C0000}"/>
    <cellStyle name="Style 137 4 4 2" xfId="16741" xr:uid="{00000000-0005-0000-0000-0000045C0000}"/>
    <cellStyle name="Style 137 4 5" xfId="5136" xr:uid="{00000000-0005-0000-0000-0000055C0000}"/>
    <cellStyle name="Style 137 5" xfId="5137" xr:uid="{00000000-0005-0000-0000-0000065C0000}"/>
    <cellStyle name="Style 137 5 2" xfId="5138" xr:uid="{00000000-0005-0000-0000-0000075C0000}"/>
    <cellStyle name="Style 137 5 2 2" xfId="5139" xr:uid="{00000000-0005-0000-0000-0000085C0000}"/>
    <cellStyle name="Style 137 5 2 2 2" xfId="5140" xr:uid="{00000000-0005-0000-0000-0000095C0000}"/>
    <cellStyle name="Style 137 5 2 3" xfId="5141" xr:uid="{00000000-0005-0000-0000-00000A5C0000}"/>
    <cellStyle name="Style 137 5 2 3 2" xfId="5142" xr:uid="{00000000-0005-0000-0000-00000B5C0000}"/>
    <cellStyle name="Style 137 5 2 3 3" xfId="5143" xr:uid="{00000000-0005-0000-0000-00000C5C0000}"/>
    <cellStyle name="Style 137 5 2 4" xfId="5144" xr:uid="{00000000-0005-0000-0000-00000D5C0000}"/>
    <cellStyle name="Style 137 5 2 4 2" xfId="16178" xr:uid="{00000000-0005-0000-0000-00000E5C0000}"/>
    <cellStyle name="Style 137 5 2 5" xfId="5145" xr:uid="{00000000-0005-0000-0000-00000F5C0000}"/>
    <cellStyle name="Style 137 5 3" xfId="5146" xr:uid="{00000000-0005-0000-0000-0000105C0000}"/>
    <cellStyle name="Style 137 5 3 2" xfId="5147" xr:uid="{00000000-0005-0000-0000-0000115C0000}"/>
    <cellStyle name="Style 137 5 4" xfId="5148" xr:uid="{00000000-0005-0000-0000-0000125C0000}"/>
    <cellStyle name="Style 137 5 5" xfId="5149" xr:uid="{00000000-0005-0000-0000-0000135C0000}"/>
    <cellStyle name="Style 137 6" xfId="5150" xr:uid="{00000000-0005-0000-0000-0000145C0000}"/>
    <cellStyle name="Style 137 6 2" xfId="5151" xr:uid="{00000000-0005-0000-0000-0000155C0000}"/>
    <cellStyle name="Style 137 6 2 2" xfId="5152" xr:uid="{00000000-0005-0000-0000-0000165C0000}"/>
    <cellStyle name="Style 137 6 3" xfId="5153" xr:uid="{00000000-0005-0000-0000-0000175C0000}"/>
    <cellStyle name="Style 137 6 3 2" xfId="5154" xr:uid="{00000000-0005-0000-0000-0000185C0000}"/>
    <cellStyle name="Style 137 6 3 3" xfId="5155" xr:uid="{00000000-0005-0000-0000-0000195C0000}"/>
    <cellStyle name="Style 137 6 4" xfId="5156" xr:uid="{00000000-0005-0000-0000-00001A5C0000}"/>
    <cellStyle name="Style 137 6 4 2" xfId="5157" xr:uid="{00000000-0005-0000-0000-00001B5C0000}"/>
    <cellStyle name="Style 137 6 5" xfId="5158" xr:uid="{00000000-0005-0000-0000-00001C5C0000}"/>
    <cellStyle name="Style 137 7" xfId="5159" xr:uid="{00000000-0005-0000-0000-00001D5C0000}"/>
    <cellStyle name="Style 137 7 2" xfId="5160" xr:uid="{00000000-0005-0000-0000-00001E5C0000}"/>
    <cellStyle name="Style 137 7 3" xfId="5161" xr:uid="{00000000-0005-0000-0000-00001F5C0000}"/>
    <cellStyle name="Style 137 8" xfId="5162" xr:uid="{00000000-0005-0000-0000-0000205C0000}"/>
    <cellStyle name="Style 137 8 2" xfId="15777" xr:uid="{00000000-0005-0000-0000-0000215C0000}"/>
    <cellStyle name="Style 137 8 3" xfId="15871" xr:uid="{00000000-0005-0000-0000-0000225C0000}"/>
    <cellStyle name="Style 137 9" xfId="5163" xr:uid="{00000000-0005-0000-0000-0000235C0000}"/>
    <cellStyle name="Style 137_ADDON" xfId="5164" xr:uid="{00000000-0005-0000-0000-0000245C0000}"/>
    <cellStyle name="Style 138" xfId="3849" xr:uid="{00000000-0005-0000-0000-0000255C0000}"/>
    <cellStyle name="Style 138 2" xfId="5165" xr:uid="{00000000-0005-0000-0000-0000265C0000}"/>
    <cellStyle name="Style 138 3" xfId="5166" xr:uid="{00000000-0005-0000-0000-0000275C0000}"/>
    <cellStyle name="Style 138 3 2" xfId="5167" xr:uid="{00000000-0005-0000-0000-0000285C0000}"/>
    <cellStyle name="Style 138 3 3" xfId="5168" xr:uid="{00000000-0005-0000-0000-0000295C0000}"/>
    <cellStyle name="Style 138 3 3 2" xfId="5169" xr:uid="{00000000-0005-0000-0000-00002A5C0000}"/>
    <cellStyle name="Style 138 3 3 3" xfId="15546" xr:uid="{00000000-0005-0000-0000-00002B5C0000}"/>
    <cellStyle name="Style 138 3 4" xfId="5170" xr:uid="{00000000-0005-0000-0000-00002C5C0000}"/>
    <cellStyle name="Style 138 3 4 2" xfId="17086" xr:uid="{00000000-0005-0000-0000-00002D5C0000}"/>
    <cellStyle name="Style 138 4" xfId="5171" xr:uid="{00000000-0005-0000-0000-00002E5C0000}"/>
    <cellStyle name="Style 138 4 2" xfId="5172" xr:uid="{00000000-0005-0000-0000-00002F5C0000}"/>
    <cellStyle name="Style 138 4 3" xfId="16889" xr:uid="{00000000-0005-0000-0000-0000305C0000}"/>
    <cellStyle name="Style 138 5" xfId="5173" xr:uid="{00000000-0005-0000-0000-0000315C0000}"/>
    <cellStyle name="Style 138 5 2" xfId="16294" xr:uid="{00000000-0005-0000-0000-0000325C0000}"/>
    <cellStyle name="Style 138 6" xfId="5174" xr:uid="{00000000-0005-0000-0000-0000335C0000}"/>
    <cellStyle name="Style 138 7" xfId="5175" xr:uid="{00000000-0005-0000-0000-0000345C0000}"/>
    <cellStyle name="Style 138_ADDON" xfId="5176" xr:uid="{00000000-0005-0000-0000-0000355C0000}"/>
    <cellStyle name="Style 139" xfId="3850" xr:uid="{00000000-0005-0000-0000-0000365C0000}"/>
    <cellStyle name="Style 139 2" xfId="5177" xr:uid="{00000000-0005-0000-0000-0000375C0000}"/>
    <cellStyle name="Style 139 2 2" xfId="5178" xr:uid="{00000000-0005-0000-0000-0000385C0000}"/>
    <cellStyle name="Style 139 2 2 2" xfId="5179" xr:uid="{00000000-0005-0000-0000-0000395C0000}"/>
    <cellStyle name="Style 139 2 2 2 2" xfId="16191" xr:uid="{00000000-0005-0000-0000-00003A5C0000}"/>
    <cellStyle name="Style 139 2 2 3" xfId="5180" xr:uid="{00000000-0005-0000-0000-00003B5C0000}"/>
    <cellStyle name="Style 139 2 3" xfId="5181" xr:uid="{00000000-0005-0000-0000-00003C5C0000}"/>
    <cellStyle name="Style 139 2 3 2" xfId="16670" xr:uid="{00000000-0005-0000-0000-00003D5C0000}"/>
    <cellStyle name="Style 139 2 4" xfId="5182" xr:uid="{00000000-0005-0000-0000-00003E5C0000}"/>
    <cellStyle name="Style 139 2 5" xfId="5183" xr:uid="{00000000-0005-0000-0000-00003F5C0000}"/>
    <cellStyle name="Style 139 3" xfId="5184" xr:uid="{00000000-0005-0000-0000-0000405C0000}"/>
    <cellStyle name="Style 139 3 2" xfId="5185" xr:uid="{00000000-0005-0000-0000-0000415C0000}"/>
    <cellStyle name="Style 139 3 2 2" xfId="5186" xr:uid="{00000000-0005-0000-0000-0000425C0000}"/>
    <cellStyle name="Style 139 3 2 2 2" xfId="16948" xr:uid="{00000000-0005-0000-0000-0000435C0000}"/>
    <cellStyle name="Style 139 3 2 3" xfId="5187" xr:uid="{00000000-0005-0000-0000-0000445C0000}"/>
    <cellStyle name="Style 139 3 3" xfId="5188" xr:uid="{00000000-0005-0000-0000-0000455C0000}"/>
    <cellStyle name="Style 139 3 3 2" xfId="5189" xr:uid="{00000000-0005-0000-0000-0000465C0000}"/>
    <cellStyle name="Style 139 3 3 2 2" xfId="16458" xr:uid="{00000000-0005-0000-0000-0000475C0000}"/>
    <cellStyle name="Style 139 3 3 3" xfId="5190" xr:uid="{00000000-0005-0000-0000-0000485C0000}"/>
    <cellStyle name="Style 139 3 4" xfId="5191" xr:uid="{00000000-0005-0000-0000-0000495C0000}"/>
    <cellStyle name="Style 139 3 4 2" xfId="5192" xr:uid="{00000000-0005-0000-0000-00004A5C0000}"/>
    <cellStyle name="Style 139 3 5" xfId="5193" xr:uid="{00000000-0005-0000-0000-00004B5C0000}"/>
    <cellStyle name="Style 139 4" xfId="5194" xr:uid="{00000000-0005-0000-0000-00004C5C0000}"/>
    <cellStyle name="Style 139 4 2" xfId="5195" xr:uid="{00000000-0005-0000-0000-00004D5C0000}"/>
    <cellStyle name="Style 139 4 2 2" xfId="16757" xr:uid="{00000000-0005-0000-0000-00004E5C0000}"/>
    <cellStyle name="Style 139 4 3" xfId="5196" xr:uid="{00000000-0005-0000-0000-00004F5C0000}"/>
    <cellStyle name="Style 139 5" xfId="5197" xr:uid="{00000000-0005-0000-0000-0000505C0000}"/>
    <cellStyle name="Style 139 6" xfId="5198" xr:uid="{00000000-0005-0000-0000-0000515C0000}"/>
    <cellStyle name="Style 139 7" xfId="16394" xr:uid="{00000000-0005-0000-0000-0000525C0000}"/>
    <cellStyle name="Style 139_ADDON" xfId="5199" xr:uid="{00000000-0005-0000-0000-0000535C0000}"/>
    <cellStyle name="Style 140" xfId="3851" xr:uid="{00000000-0005-0000-0000-0000545C0000}"/>
    <cellStyle name="Style 140 2" xfId="5200" xr:uid="{00000000-0005-0000-0000-0000555C0000}"/>
    <cellStyle name="Style 140 3" xfId="5201" xr:uid="{00000000-0005-0000-0000-0000565C0000}"/>
    <cellStyle name="Style 140 3 2" xfId="5202" xr:uid="{00000000-0005-0000-0000-0000575C0000}"/>
    <cellStyle name="Style 140 3 3" xfId="5203" xr:uid="{00000000-0005-0000-0000-0000585C0000}"/>
    <cellStyle name="Style 140 3 3 2" xfId="5204" xr:uid="{00000000-0005-0000-0000-0000595C0000}"/>
    <cellStyle name="Style 140 3 3 3" xfId="16654" xr:uid="{00000000-0005-0000-0000-00005A5C0000}"/>
    <cellStyle name="Style 140 3 4" xfId="5205" xr:uid="{00000000-0005-0000-0000-00005B5C0000}"/>
    <cellStyle name="Style 140 3 4 2" xfId="16547" xr:uid="{00000000-0005-0000-0000-00005C5C0000}"/>
    <cellStyle name="Style 140 4" xfId="5206" xr:uid="{00000000-0005-0000-0000-00005D5C0000}"/>
    <cellStyle name="Style 140 4 2" xfId="5207" xr:uid="{00000000-0005-0000-0000-00005E5C0000}"/>
    <cellStyle name="Style 140 4 3" xfId="16344" xr:uid="{00000000-0005-0000-0000-00005F5C0000}"/>
    <cellStyle name="Style 140 5" xfId="5208" xr:uid="{00000000-0005-0000-0000-0000605C0000}"/>
    <cellStyle name="Style 140 5 2" xfId="16677" xr:uid="{00000000-0005-0000-0000-0000615C0000}"/>
    <cellStyle name="Style 140 6" xfId="5209" xr:uid="{00000000-0005-0000-0000-0000625C0000}"/>
    <cellStyle name="Style 140 7" xfId="5210" xr:uid="{00000000-0005-0000-0000-0000635C0000}"/>
    <cellStyle name="Style 140_ADDON" xfId="5211" xr:uid="{00000000-0005-0000-0000-0000645C0000}"/>
    <cellStyle name="Style 141" xfId="3852" xr:uid="{00000000-0005-0000-0000-0000655C0000}"/>
    <cellStyle name="Style 141 10" xfId="5212" xr:uid="{00000000-0005-0000-0000-0000665C0000}"/>
    <cellStyle name="Style 141 11" xfId="5213" xr:uid="{00000000-0005-0000-0000-0000675C0000}"/>
    <cellStyle name="Style 141 12" xfId="5214" xr:uid="{00000000-0005-0000-0000-0000685C0000}"/>
    <cellStyle name="Style 141 2" xfId="5215" xr:uid="{00000000-0005-0000-0000-0000695C0000}"/>
    <cellStyle name="Style 141 2 2" xfId="5216" xr:uid="{00000000-0005-0000-0000-00006A5C0000}"/>
    <cellStyle name="Style 141 3" xfId="5217" xr:uid="{00000000-0005-0000-0000-00006B5C0000}"/>
    <cellStyle name="Style 141 3 2" xfId="5218" xr:uid="{00000000-0005-0000-0000-00006C5C0000}"/>
    <cellStyle name="Style 141 3 2 2" xfId="5219" xr:uid="{00000000-0005-0000-0000-00006D5C0000}"/>
    <cellStyle name="Style 141 3 2 3" xfId="5220" xr:uid="{00000000-0005-0000-0000-00006E5C0000}"/>
    <cellStyle name="Style 141 3 3" xfId="5221" xr:uid="{00000000-0005-0000-0000-00006F5C0000}"/>
    <cellStyle name="Style 141 3 3 2" xfId="5222" xr:uid="{00000000-0005-0000-0000-0000705C0000}"/>
    <cellStyle name="Style 141 3 3 2 2" xfId="5223" xr:uid="{00000000-0005-0000-0000-0000715C0000}"/>
    <cellStyle name="Style 141 3 3 3" xfId="5224" xr:uid="{00000000-0005-0000-0000-0000725C0000}"/>
    <cellStyle name="Style 141 3 3 3 2" xfId="5225" xr:uid="{00000000-0005-0000-0000-0000735C0000}"/>
    <cellStyle name="Style 141 3 3 3 3" xfId="5226" xr:uid="{00000000-0005-0000-0000-0000745C0000}"/>
    <cellStyle name="Style 141 3 3 4" xfId="5227" xr:uid="{00000000-0005-0000-0000-0000755C0000}"/>
    <cellStyle name="Style 141 3 3 4 2" xfId="5228" xr:uid="{00000000-0005-0000-0000-0000765C0000}"/>
    <cellStyle name="Style 141 3 3 5" xfId="5229" xr:uid="{00000000-0005-0000-0000-0000775C0000}"/>
    <cellStyle name="Style 141 3 4" xfId="5230" xr:uid="{00000000-0005-0000-0000-0000785C0000}"/>
    <cellStyle name="Style 141 3 4 2" xfId="16660" xr:uid="{00000000-0005-0000-0000-0000795C0000}"/>
    <cellStyle name="Style 141 3 5" xfId="5231" xr:uid="{00000000-0005-0000-0000-00007A5C0000}"/>
    <cellStyle name="Style 141 4" xfId="5232" xr:uid="{00000000-0005-0000-0000-00007B5C0000}"/>
    <cellStyle name="Style 141 4 2" xfId="5233" xr:uid="{00000000-0005-0000-0000-00007C5C0000}"/>
    <cellStyle name="Style 141 4 2 2" xfId="5234" xr:uid="{00000000-0005-0000-0000-00007D5C0000}"/>
    <cellStyle name="Style 141 4 2 2 2" xfId="5235" xr:uid="{00000000-0005-0000-0000-00007E5C0000}"/>
    <cellStyle name="Style 141 4 2 3" xfId="5236" xr:uid="{00000000-0005-0000-0000-00007F5C0000}"/>
    <cellStyle name="Style 141 4 2 3 2" xfId="5237" xr:uid="{00000000-0005-0000-0000-0000805C0000}"/>
    <cellStyle name="Style 141 4 2 3 3" xfId="5238" xr:uid="{00000000-0005-0000-0000-0000815C0000}"/>
    <cellStyle name="Style 141 4 2 4" xfId="5239" xr:uid="{00000000-0005-0000-0000-0000825C0000}"/>
    <cellStyle name="Style 141 4 2 4 2" xfId="5240" xr:uid="{00000000-0005-0000-0000-0000835C0000}"/>
    <cellStyle name="Style 141 4 2 5" xfId="5241" xr:uid="{00000000-0005-0000-0000-0000845C0000}"/>
    <cellStyle name="Style 141 4 3" xfId="5242" xr:uid="{00000000-0005-0000-0000-0000855C0000}"/>
    <cellStyle name="Style 141 4 3 2" xfId="5243" xr:uid="{00000000-0005-0000-0000-0000865C0000}"/>
    <cellStyle name="Style 141 4 4" xfId="5244" xr:uid="{00000000-0005-0000-0000-0000875C0000}"/>
    <cellStyle name="Style 141 4 4 2" xfId="16765" xr:uid="{00000000-0005-0000-0000-0000885C0000}"/>
    <cellStyle name="Style 141 4 5" xfId="5245" xr:uid="{00000000-0005-0000-0000-0000895C0000}"/>
    <cellStyle name="Style 141 5" xfId="5246" xr:uid="{00000000-0005-0000-0000-00008A5C0000}"/>
    <cellStyle name="Style 141 5 2" xfId="5247" xr:uid="{00000000-0005-0000-0000-00008B5C0000}"/>
    <cellStyle name="Style 141 5 2 2" xfId="5248" xr:uid="{00000000-0005-0000-0000-00008C5C0000}"/>
    <cellStyle name="Style 141 5 2 2 2" xfId="5249" xr:uid="{00000000-0005-0000-0000-00008D5C0000}"/>
    <cellStyle name="Style 141 5 2 3" xfId="5250" xr:uid="{00000000-0005-0000-0000-00008E5C0000}"/>
    <cellStyle name="Style 141 5 2 3 2" xfId="5251" xr:uid="{00000000-0005-0000-0000-00008F5C0000}"/>
    <cellStyle name="Style 141 5 2 3 3" xfId="5252" xr:uid="{00000000-0005-0000-0000-0000905C0000}"/>
    <cellStyle name="Style 141 5 2 4" xfId="5253" xr:uid="{00000000-0005-0000-0000-0000915C0000}"/>
    <cellStyle name="Style 141 5 2 4 2" xfId="16382" xr:uid="{00000000-0005-0000-0000-0000925C0000}"/>
    <cellStyle name="Style 141 5 2 5" xfId="5254" xr:uid="{00000000-0005-0000-0000-0000935C0000}"/>
    <cellStyle name="Style 141 5 3" xfId="5255" xr:uid="{00000000-0005-0000-0000-0000945C0000}"/>
    <cellStyle name="Style 141 5 3 2" xfId="5256" xr:uid="{00000000-0005-0000-0000-0000955C0000}"/>
    <cellStyle name="Style 141 5 4" xfId="5257" xr:uid="{00000000-0005-0000-0000-0000965C0000}"/>
    <cellStyle name="Style 141 5 5" xfId="5258" xr:uid="{00000000-0005-0000-0000-0000975C0000}"/>
    <cellStyle name="Style 141 6" xfId="5259" xr:uid="{00000000-0005-0000-0000-0000985C0000}"/>
    <cellStyle name="Style 141 6 2" xfId="5260" xr:uid="{00000000-0005-0000-0000-0000995C0000}"/>
    <cellStyle name="Style 141 6 2 2" xfId="5261" xr:uid="{00000000-0005-0000-0000-00009A5C0000}"/>
    <cellStyle name="Style 141 6 3" xfId="5262" xr:uid="{00000000-0005-0000-0000-00009B5C0000}"/>
    <cellStyle name="Style 141 6 3 2" xfId="5263" xr:uid="{00000000-0005-0000-0000-00009C5C0000}"/>
    <cellStyle name="Style 141 6 3 3" xfId="5264" xr:uid="{00000000-0005-0000-0000-00009D5C0000}"/>
    <cellStyle name="Style 141 6 4" xfId="5265" xr:uid="{00000000-0005-0000-0000-00009E5C0000}"/>
    <cellStyle name="Style 141 6 4 2" xfId="5266" xr:uid="{00000000-0005-0000-0000-00009F5C0000}"/>
    <cellStyle name="Style 141 6 5" xfId="5267" xr:uid="{00000000-0005-0000-0000-0000A05C0000}"/>
    <cellStyle name="Style 141 7" xfId="5268" xr:uid="{00000000-0005-0000-0000-0000A15C0000}"/>
    <cellStyle name="Style 141 7 2" xfId="5269" xr:uid="{00000000-0005-0000-0000-0000A25C0000}"/>
    <cellStyle name="Style 141 7 3" xfId="5270" xr:uid="{00000000-0005-0000-0000-0000A35C0000}"/>
    <cellStyle name="Style 141 8" xfId="5271" xr:uid="{00000000-0005-0000-0000-0000A45C0000}"/>
    <cellStyle name="Style 141 8 2" xfId="16905" xr:uid="{00000000-0005-0000-0000-0000A55C0000}"/>
    <cellStyle name="Style 141 8 3" xfId="16439" xr:uid="{00000000-0005-0000-0000-0000A65C0000}"/>
    <cellStyle name="Style 141 9" xfId="5272" xr:uid="{00000000-0005-0000-0000-0000A75C0000}"/>
    <cellStyle name="Style 141_ADDON" xfId="5273" xr:uid="{00000000-0005-0000-0000-0000A85C0000}"/>
    <cellStyle name="Style 142" xfId="3853" xr:uid="{00000000-0005-0000-0000-0000A95C0000}"/>
    <cellStyle name="Style 142 2" xfId="5274" xr:uid="{00000000-0005-0000-0000-0000AA5C0000}"/>
    <cellStyle name="Style 142 2 2" xfId="5275" xr:uid="{00000000-0005-0000-0000-0000AB5C0000}"/>
    <cellStyle name="Style 142 2 2 2" xfId="5276" xr:uid="{00000000-0005-0000-0000-0000AC5C0000}"/>
    <cellStyle name="Style 142 2 2 2 2" xfId="16554" xr:uid="{00000000-0005-0000-0000-0000AD5C0000}"/>
    <cellStyle name="Style 142 2 2 3" xfId="5277" xr:uid="{00000000-0005-0000-0000-0000AE5C0000}"/>
    <cellStyle name="Style 142 2 3" xfId="5278" xr:uid="{00000000-0005-0000-0000-0000AF5C0000}"/>
    <cellStyle name="Style 142 2 3 2" xfId="15537" xr:uid="{00000000-0005-0000-0000-0000B05C0000}"/>
    <cellStyle name="Style 142 2 4" xfId="5279" xr:uid="{00000000-0005-0000-0000-0000B15C0000}"/>
    <cellStyle name="Style 142 2 5" xfId="5280" xr:uid="{00000000-0005-0000-0000-0000B25C0000}"/>
    <cellStyle name="Style 142 3" xfId="5281" xr:uid="{00000000-0005-0000-0000-0000B35C0000}"/>
    <cellStyle name="Style 142 3 2" xfId="5282" xr:uid="{00000000-0005-0000-0000-0000B45C0000}"/>
    <cellStyle name="Style 142 3 2 2" xfId="5283" xr:uid="{00000000-0005-0000-0000-0000B55C0000}"/>
    <cellStyle name="Style 142 3 2 2 2" xfId="16472" xr:uid="{00000000-0005-0000-0000-0000B65C0000}"/>
    <cellStyle name="Style 142 3 2 3" xfId="5284" xr:uid="{00000000-0005-0000-0000-0000B75C0000}"/>
    <cellStyle name="Style 142 3 3" xfId="5285" xr:uid="{00000000-0005-0000-0000-0000B85C0000}"/>
    <cellStyle name="Style 142 3 3 2" xfId="5286" xr:uid="{00000000-0005-0000-0000-0000B95C0000}"/>
    <cellStyle name="Style 142 3 3 2 2" xfId="16163" xr:uid="{00000000-0005-0000-0000-0000BA5C0000}"/>
    <cellStyle name="Style 142 3 3 3" xfId="5287" xr:uid="{00000000-0005-0000-0000-0000BB5C0000}"/>
    <cellStyle name="Style 142 3 4" xfId="5288" xr:uid="{00000000-0005-0000-0000-0000BC5C0000}"/>
    <cellStyle name="Style 142 3 4 2" xfId="5289" xr:uid="{00000000-0005-0000-0000-0000BD5C0000}"/>
    <cellStyle name="Style 142 3 5" xfId="5290" xr:uid="{00000000-0005-0000-0000-0000BE5C0000}"/>
    <cellStyle name="Style 142 4" xfId="5291" xr:uid="{00000000-0005-0000-0000-0000BF5C0000}"/>
    <cellStyle name="Style 142 4 2" xfId="5292" xr:uid="{00000000-0005-0000-0000-0000C05C0000}"/>
    <cellStyle name="Style 142 4 2 2" xfId="16753" xr:uid="{00000000-0005-0000-0000-0000C15C0000}"/>
    <cellStyle name="Style 142 4 3" xfId="5293" xr:uid="{00000000-0005-0000-0000-0000C25C0000}"/>
    <cellStyle name="Style 142 5" xfId="5294" xr:uid="{00000000-0005-0000-0000-0000C35C0000}"/>
    <cellStyle name="Style 142 6" xfId="5295" xr:uid="{00000000-0005-0000-0000-0000C45C0000}"/>
    <cellStyle name="Style 142 7" xfId="16916" xr:uid="{00000000-0005-0000-0000-0000C55C0000}"/>
    <cellStyle name="Style 142_ADDON" xfId="5296" xr:uid="{00000000-0005-0000-0000-0000C65C0000}"/>
    <cellStyle name="Style 143" xfId="3854" xr:uid="{00000000-0005-0000-0000-0000C75C0000}"/>
    <cellStyle name="Style 143 2" xfId="5297" xr:uid="{00000000-0005-0000-0000-0000C85C0000}"/>
    <cellStyle name="Style 143 2 2" xfId="5298" xr:uid="{00000000-0005-0000-0000-0000C95C0000}"/>
    <cellStyle name="Style 143 2 2 2" xfId="5299" xr:uid="{00000000-0005-0000-0000-0000CA5C0000}"/>
    <cellStyle name="Style 143 2 2 2 2" xfId="15776" xr:uid="{00000000-0005-0000-0000-0000CB5C0000}"/>
    <cellStyle name="Style 143 2 2 3" xfId="5300" xr:uid="{00000000-0005-0000-0000-0000CC5C0000}"/>
    <cellStyle name="Style 143 2 3" xfId="5301" xr:uid="{00000000-0005-0000-0000-0000CD5C0000}"/>
    <cellStyle name="Style 143 2 3 2" xfId="16196" xr:uid="{00000000-0005-0000-0000-0000CE5C0000}"/>
    <cellStyle name="Style 143 2 4" xfId="5302" xr:uid="{00000000-0005-0000-0000-0000CF5C0000}"/>
    <cellStyle name="Style 143 2 5" xfId="5303" xr:uid="{00000000-0005-0000-0000-0000D05C0000}"/>
    <cellStyle name="Style 143 3" xfId="5304" xr:uid="{00000000-0005-0000-0000-0000D15C0000}"/>
    <cellStyle name="Style 143 3 2" xfId="5305" xr:uid="{00000000-0005-0000-0000-0000D25C0000}"/>
    <cellStyle name="Style 143 3 2 2" xfId="5306" xr:uid="{00000000-0005-0000-0000-0000D35C0000}"/>
    <cellStyle name="Style 143 3 2 2 2" xfId="16252" xr:uid="{00000000-0005-0000-0000-0000D45C0000}"/>
    <cellStyle name="Style 143 3 2 3" xfId="5307" xr:uid="{00000000-0005-0000-0000-0000D55C0000}"/>
    <cellStyle name="Style 143 3 3" xfId="5308" xr:uid="{00000000-0005-0000-0000-0000D65C0000}"/>
    <cellStyle name="Style 143 3 3 2" xfId="5309" xr:uid="{00000000-0005-0000-0000-0000D75C0000}"/>
    <cellStyle name="Style 143 3 3 2 2" xfId="16707" xr:uid="{00000000-0005-0000-0000-0000D85C0000}"/>
    <cellStyle name="Style 143 3 3 3" xfId="5310" xr:uid="{00000000-0005-0000-0000-0000D95C0000}"/>
    <cellStyle name="Style 143 3 4" xfId="5311" xr:uid="{00000000-0005-0000-0000-0000DA5C0000}"/>
    <cellStyle name="Style 143 3 4 2" xfId="5312" xr:uid="{00000000-0005-0000-0000-0000DB5C0000}"/>
    <cellStyle name="Style 143 3 5" xfId="5313" xr:uid="{00000000-0005-0000-0000-0000DC5C0000}"/>
    <cellStyle name="Style 143 4" xfId="5314" xr:uid="{00000000-0005-0000-0000-0000DD5C0000}"/>
    <cellStyle name="Style 143 4 2" xfId="5315" xr:uid="{00000000-0005-0000-0000-0000DE5C0000}"/>
    <cellStyle name="Style 143 4 2 2" xfId="15635" xr:uid="{00000000-0005-0000-0000-0000DF5C0000}"/>
    <cellStyle name="Style 143 4 3" xfId="5316" xr:uid="{00000000-0005-0000-0000-0000E05C0000}"/>
    <cellStyle name="Style 143 5" xfId="5317" xr:uid="{00000000-0005-0000-0000-0000E15C0000}"/>
    <cellStyle name="Style 143 6" xfId="5318" xr:uid="{00000000-0005-0000-0000-0000E25C0000}"/>
    <cellStyle name="Style 143 7" xfId="17155" xr:uid="{00000000-0005-0000-0000-0000E35C0000}"/>
    <cellStyle name="Style 143_ADDON" xfId="5319" xr:uid="{00000000-0005-0000-0000-0000E45C0000}"/>
    <cellStyle name="Style 148" xfId="3855" xr:uid="{00000000-0005-0000-0000-0000E55C0000}"/>
    <cellStyle name="Style 148 10" xfId="5320" xr:uid="{00000000-0005-0000-0000-0000E65C0000}"/>
    <cellStyle name="Style 148 11" xfId="5321" xr:uid="{00000000-0005-0000-0000-0000E75C0000}"/>
    <cellStyle name="Style 148 12" xfId="5322" xr:uid="{00000000-0005-0000-0000-0000E85C0000}"/>
    <cellStyle name="Style 148 2" xfId="5323" xr:uid="{00000000-0005-0000-0000-0000E95C0000}"/>
    <cellStyle name="Style 148 2 2" xfId="5324" xr:uid="{00000000-0005-0000-0000-0000EA5C0000}"/>
    <cellStyle name="Style 148 3" xfId="5325" xr:uid="{00000000-0005-0000-0000-0000EB5C0000}"/>
    <cellStyle name="Style 148 3 2" xfId="5326" xr:uid="{00000000-0005-0000-0000-0000EC5C0000}"/>
    <cellStyle name="Style 148 3 2 2" xfId="5327" xr:uid="{00000000-0005-0000-0000-0000ED5C0000}"/>
    <cellStyle name="Style 148 3 2 3" xfId="5328" xr:uid="{00000000-0005-0000-0000-0000EE5C0000}"/>
    <cellStyle name="Style 148 3 3" xfId="5329" xr:uid="{00000000-0005-0000-0000-0000EF5C0000}"/>
    <cellStyle name="Style 148 3 3 2" xfId="5330" xr:uid="{00000000-0005-0000-0000-0000F05C0000}"/>
    <cellStyle name="Style 148 3 3 2 2" xfId="5331" xr:uid="{00000000-0005-0000-0000-0000F15C0000}"/>
    <cellStyle name="Style 148 3 3 3" xfId="5332" xr:uid="{00000000-0005-0000-0000-0000F25C0000}"/>
    <cellStyle name="Style 148 3 3 3 2" xfId="5333" xr:uid="{00000000-0005-0000-0000-0000F35C0000}"/>
    <cellStyle name="Style 148 3 3 3 3" xfId="5334" xr:uid="{00000000-0005-0000-0000-0000F45C0000}"/>
    <cellStyle name="Style 148 3 3 4" xfId="5335" xr:uid="{00000000-0005-0000-0000-0000F55C0000}"/>
    <cellStyle name="Style 148 3 3 4 2" xfId="5336" xr:uid="{00000000-0005-0000-0000-0000F65C0000}"/>
    <cellStyle name="Style 148 3 3 5" xfId="5337" xr:uid="{00000000-0005-0000-0000-0000F75C0000}"/>
    <cellStyle name="Style 148 3 4" xfId="5338" xr:uid="{00000000-0005-0000-0000-0000F85C0000}"/>
    <cellStyle name="Style 148 3 4 2" xfId="15783" xr:uid="{00000000-0005-0000-0000-0000F95C0000}"/>
    <cellStyle name="Style 148 3 5" xfId="5339" xr:uid="{00000000-0005-0000-0000-0000FA5C0000}"/>
    <cellStyle name="Style 148 4" xfId="5340" xr:uid="{00000000-0005-0000-0000-0000FB5C0000}"/>
    <cellStyle name="Style 148 4 2" xfId="5341" xr:uid="{00000000-0005-0000-0000-0000FC5C0000}"/>
    <cellStyle name="Style 148 4 2 2" xfId="5342" xr:uid="{00000000-0005-0000-0000-0000FD5C0000}"/>
    <cellStyle name="Style 148 4 2 2 2" xfId="5343" xr:uid="{00000000-0005-0000-0000-0000FE5C0000}"/>
    <cellStyle name="Style 148 4 2 3" xfId="5344" xr:uid="{00000000-0005-0000-0000-0000FF5C0000}"/>
    <cellStyle name="Style 148 4 2 3 2" xfId="5345" xr:uid="{00000000-0005-0000-0000-0000005D0000}"/>
    <cellStyle name="Style 148 4 2 3 3" xfId="5346" xr:uid="{00000000-0005-0000-0000-0000015D0000}"/>
    <cellStyle name="Style 148 4 2 4" xfId="5347" xr:uid="{00000000-0005-0000-0000-0000025D0000}"/>
    <cellStyle name="Style 148 4 2 4 2" xfId="5348" xr:uid="{00000000-0005-0000-0000-0000035D0000}"/>
    <cellStyle name="Style 148 4 2 5" xfId="5349" xr:uid="{00000000-0005-0000-0000-0000045D0000}"/>
    <cellStyle name="Style 148 4 3" xfId="5350" xr:uid="{00000000-0005-0000-0000-0000055D0000}"/>
    <cellStyle name="Style 148 4 3 2" xfId="5351" xr:uid="{00000000-0005-0000-0000-0000065D0000}"/>
    <cellStyle name="Style 148 4 4" xfId="5352" xr:uid="{00000000-0005-0000-0000-0000075D0000}"/>
    <cellStyle name="Style 148 4 4 2" xfId="24" xr:uid="{00000000-0005-0000-0000-0000085D0000}"/>
    <cellStyle name="Style 148 4 5" xfId="5353" xr:uid="{00000000-0005-0000-0000-0000095D0000}"/>
    <cellStyle name="Style 148 5" xfId="5354" xr:uid="{00000000-0005-0000-0000-00000A5D0000}"/>
    <cellStyle name="Style 148 5 2" xfId="5355" xr:uid="{00000000-0005-0000-0000-00000B5D0000}"/>
    <cellStyle name="Style 148 5 2 2" xfId="5356" xr:uid="{00000000-0005-0000-0000-00000C5D0000}"/>
    <cellStyle name="Style 148 5 2 2 2" xfId="5357" xr:uid="{00000000-0005-0000-0000-00000D5D0000}"/>
    <cellStyle name="Style 148 5 2 3" xfId="5358" xr:uid="{00000000-0005-0000-0000-00000E5D0000}"/>
    <cellStyle name="Style 148 5 2 3 2" xfId="5359" xr:uid="{00000000-0005-0000-0000-00000F5D0000}"/>
    <cellStyle name="Style 148 5 2 3 3" xfId="5360" xr:uid="{00000000-0005-0000-0000-0000105D0000}"/>
    <cellStyle name="Style 148 5 2 4" xfId="5361" xr:uid="{00000000-0005-0000-0000-0000115D0000}"/>
    <cellStyle name="Style 148 5 2 4 2" xfId="16286" xr:uid="{00000000-0005-0000-0000-0000125D0000}"/>
    <cellStyle name="Style 148 5 2 5" xfId="5362" xr:uid="{00000000-0005-0000-0000-0000135D0000}"/>
    <cellStyle name="Style 148 5 3" xfId="5363" xr:uid="{00000000-0005-0000-0000-0000145D0000}"/>
    <cellStyle name="Style 148 5 3 2" xfId="5364" xr:uid="{00000000-0005-0000-0000-0000155D0000}"/>
    <cellStyle name="Style 148 5 4" xfId="5365" xr:uid="{00000000-0005-0000-0000-0000165D0000}"/>
    <cellStyle name="Style 148 5 5" xfId="5366" xr:uid="{00000000-0005-0000-0000-0000175D0000}"/>
    <cellStyle name="Style 148 6" xfId="5367" xr:uid="{00000000-0005-0000-0000-0000185D0000}"/>
    <cellStyle name="Style 148 6 2" xfId="5368" xr:uid="{00000000-0005-0000-0000-0000195D0000}"/>
    <cellStyle name="Style 148 6 2 2" xfId="5369" xr:uid="{00000000-0005-0000-0000-00001A5D0000}"/>
    <cellStyle name="Style 148 6 3" xfId="5370" xr:uid="{00000000-0005-0000-0000-00001B5D0000}"/>
    <cellStyle name="Style 148 6 3 2" xfId="5371" xr:uid="{00000000-0005-0000-0000-00001C5D0000}"/>
    <cellStyle name="Style 148 6 3 3" xfId="5372" xr:uid="{00000000-0005-0000-0000-00001D5D0000}"/>
    <cellStyle name="Style 148 6 4" xfId="5373" xr:uid="{00000000-0005-0000-0000-00001E5D0000}"/>
    <cellStyle name="Style 148 6 4 2" xfId="5374" xr:uid="{00000000-0005-0000-0000-00001F5D0000}"/>
    <cellStyle name="Style 148 6 5" xfId="5375" xr:uid="{00000000-0005-0000-0000-0000205D0000}"/>
    <cellStyle name="Style 148 7" xfId="5376" xr:uid="{00000000-0005-0000-0000-0000215D0000}"/>
    <cellStyle name="Style 148 7 2" xfId="5377" xr:uid="{00000000-0005-0000-0000-0000225D0000}"/>
    <cellStyle name="Style 148 7 3" xfId="5378" xr:uid="{00000000-0005-0000-0000-0000235D0000}"/>
    <cellStyle name="Style 148 8" xfId="5379" xr:uid="{00000000-0005-0000-0000-0000245D0000}"/>
    <cellStyle name="Style 148 8 2" xfId="16255" xr:uid="{00000000-0005-0000-0000-0000255D0000}"/>
    <cellStyle name="Style 148 8 3" xfId="17157" xr:uid="{00000000-0005-0000-0000-0000265D0000}"/>
    <cellStyle name="Style 148 9" xfId="5380" xr:uid="{00000000-0005-0000-0000-0000275D0000}"/>
    <cellStyle name="Style 148_ADDON" xfId="5381" xr:uid="{00000000-0005-0000-0000-0000285D0000}"/>
    <cellStyle name="Style 149" xfId="3856" xr:uid="{00000000-0005-0000-0000-0000295D0000}"/>
    <cellStyle name="Style 149 2" xfId="5382" xr:uid="{00000000-0005-0000-0000-00002A5D0000}"/>
    <cellStyle name="Style 149 3" xfId="5383" xr:uid="{00000000-0005-0000-0000-00002B5D0000}"/>
    <cellStyle name="Style 149 3 2" xfId="5384" xr:uid="{00000000-0005-0000-0000-00002C5D0000}"/>
    <cellStyle name="Style 149 3 3" xfId="5385" xr:uid="{00000000-0005-0000-0000-00002D5D0000}"/>
    <cellStyle name="Style 149 3 3 2" xfId="5386" xr:uid="{00000000-0005-0000-0000-00002E5D0000}"/>
    <cellStyle name="Style 149 3 3 3" xfId="16613" xr:uid="{00000000-0005-0000-0000-00002F5D0000}"/>
    <cellStyle name="Style 149 3 4" xfId="5387" xr:uid="{00000000-0005-0000-0000-0000305D0000}"/>
    <cellStyle name="Style 149 3 4 2" xfId="16341" xr:uid="{00000000-0005-0000-0000-0000315D0000}"/>
    <cellStyle name="Style 149 4" xfId="5388" xr:uid="{00000000-0005-0000-0000-0000325D0000}"/>
    <cellStyle name="Style 149 4 2" xfId="5389" xr:uid="{00000000-0005-0000-0000-0000335D0000}"/>
    <cellStyle name="Style 149 4 3" xfId="15480" xr:uid="{00000000-0005-0000-0000-0000345D0000}"/>
    <cellStyle name="Style 149 5" xfId="5390" xr:uid="{00000000-0005-0000-0000-0000355D0000}"/>
    <cellStyle name="Style 149 5 2" xfId="15615" xr:uid="{00000000-0005-0000-0000-0000365D0000}"/>
    <cellStyle name="Style 149 6" xfId="5391" xr:uid="{00000000-0005-0000-0000-0000375D0000}"/>
    <cellStyle name="Style 149 7" xfId="5392" xr:uid="{00000000-0005-0000-0000-0000385D0000}"/>
    <cellStyle name="Style 149_ADDON" xfId="5393" xr:uid="{00000000-0005-0000-0000-0000395D0000}"/>
    <cellStyle name="Style 150" xfId="3857" xr:uid="{00000000-0005-0000-0000-00003A5D0000}"/>
    <cellStyle name="Style 150 2" xfId="5394" xr:uid="{00000000-0005-0000-0000-00003B5D0000}"/>
    <cellStyle name="Style 150 2 2" xfId="5395" xr:uid="{00000000-0005-0000-0000-00003C5D0000}"/>
    <cellStyle name="Style 150 2 2 2" xfId="5396" xr:uid="{00000000-0005-0000-0000-00003D5D0000}"/>
    <cellStyle name="Style 150 2 2 2 2" xfId="15485" xr:uid="{00000000-0005-0000-0000-00003E5D0000}"/>
    <cellStyle name="Style 150 2 2 3" xfId="5397" xr:uid="{00000000-0005-0000-0000-00003F5D0000}"/>
    <cellStyle name="Style 150 2 3" xfId="5398" xr:uid="{00000000-0005-0000-0000-0000405D0000}"/>
    <cellStyle name="Style 150 2 3 2" xfId="15782" xr:uid="{00000000-0005-0000-0000-0000415D0000}"/>
    <cellStyle name="Style 150 2 4" xfId="5399" xr:uid="{00000000-0005-0000-0000-0000425D0000}"/>
    <cellStyle name="Style 150 2 5" xfId="5400" xr:uid="{00000000-0005-0000-0000-0000435D0000}"/>
    <cellStyle name="Style 150 3" xfId="5401" xr:uid="{00000000-0005-0000-0000-0000445D0000}"/>
    <cellStyle name="Style 150 3 2" xfId="5402" xr:uid="{00000000-0005-0000-0000-0000455D0000}"/>
    <cellStyle name="Style 150 3 2 2" xfId="5403" xr:uid="{00000000-0005-0000-0000-0000465D0000}"/>
    <cellStyle name="Style 150 3 2 2 2" xfId="16711" xr:uid="{00000000-0005-0000-0000-0000475D0000}"/>
    <cellStyle name="Style 150 3 2 3" xfId="5404" xr:uid="{00000000-0005-0000-0000-0000485D0000}"/>
    <cellStyle name="Style 150 3 3" xfId="5405" xr:uid="{00000000-0005-0000-0000-0000495D0000}"/>
    <cellStyle name="Style 150 3 3 2" xfId="5406" xr:uid="{00000000-0005-0000-0000-00004A5D0000}"/>
    <cellStyle name="Style 150 3 3 2 2" xfId="15805" xr:uid="{00000000-0005-0000-0000-00004B5D0000}"/>
    <cellStyle name="Style 150 3 3 3" xfId="5407" xr:uid="{00000000-0005-0000-0000-00004C5D0000}"/>
    <cellStyle name="Style 150 3 4" xfId="5408" xr:uid="{00000000-0005-0000-0000-00004D5D0000}"/>
    <cellStyle name="Style 150 3 4 2" xfId="5409" xr:uid="{00000000-0005-0000-0000-00004E5D0000}"/>
    <cellStyle name="Style 150 3 5" xfId="5410" xr:uid="{00000000-0005-0000-0000-00004F5D0000}"/>
    <cellStyle name="Style 150 4" xfId="5411" xr:uid="{00000000-0005-0000-0000-0000505D0000}"/>
    <cellStyle name="Style 150 4 2" xfId="5412" xr:uid="{00000000-0005-0000-0000-0000515D0000}"/>
    <cellStyle name="Style 150 4 2 2" xfId="15479" xr:uid="{00000000-0005-0000-0000-0000525D0000}"/>
    <cellStyle name="Style 150 4 3" xfId="5413" xr:uid="{00000000-0005-0000-0000-0000535D0000}"/>
    <cellStyle name="Style 150 5" xfId="5414" xr:uid="{00000000-0005-0000-0000-0000545D0000}"/>
    <cellStyle name="Style 150 6" xfId="5415" xr:uid="{00000000-0005-0000-0000-0000555D0000}"/>
    <cellStyle name="Style 150 7" xfId="16433" xr:uid="{00000000-0005-0000-0000-0000565D0000}"/>
    <cellStyle name="Style 150_ADDON" xfId="5416" xr:uid="{00000000-0005-0000-0000-0000575D0000}"/>
    <cellStyle name="Style 151" xfId="3858" xr:uid="{00000000-0005-0000-0000-0000585D0000}"/>
    <cellStyle name="Style 151 2" xfId="5417" xr:uid="{00000000-0005-0000-0000-0000595D0000}"/>
    <cellStyle name="Style 151 3" xfId="5418" xr:uid="{00000000-0005-0000-0000-00005A5D0000}"/>
    <cellStyle name="Style 151 3 2" xfId="5419" xr:uid="{00000000-0005-0000-0000-00005B5D0000}"/>
    <cellStyle name="Style 151 3 3" xfId="5420" xr:uid="{00000000-0005-0000-0000-00005C5D0000}"/>
    <cellStyle name="Style 151 3 3 2" xfId="5421" xr:uid="{00000000-0005-0000-0000-00005D5D0000}"/>
    <cellStyle name="Style 151 3 3 3" xfId="17068" xr:uid="{00000000-0005-0000-0000-00005E5D0000}"/>
    <cellStyle name="Style 151 3 4" xfId="5422" xr:uid="{00000000-0005-0000-0000-00005F5D0000}"/>
    <cellStyle name="Style 151 3 4 2" xfId="16803" xr:uid="{00000000-0005-0000-0000-0000605D0000}"/>
    <cellStyle name="Style 151 4" xfId="5423" xr:uid="{00000000-0005-0000-0000-0000615D0000}"/>
    <cellStyle name="Style 151 4 2" xfId="5424" xr:uid="{00000000-0005-0000-0000-0000625D0000}"/>
    <cellStyle name="Style 151 4 3" xfId="15746" xr:uid="{00000000-0005-0000-0000-0000635D0000}"/>
    <cellStyle name="Style 151 5" xfId="5425" xr:uid="{00000000-0005-0000-0000-0000645D0000}"/>
    <cellStyle name="Style 151 5 2" xfId="16249" xr:uid="{00000000-0005-0000-0000-0000655D0000}"/>
    <cellStyle name="Style 151 6" xfId="5426" xr:uid="{00000000-0005-0000-0000-0000665D0000}"/>
    <cellStyle name="Style 151 7" xfId="5427" xr:uid="{00000000-0005-0000-0000-0000675D0000}"/>
    <cellStyle name="Style 151_ADDON" xfId="5428" xr:uid="{00000000-0005-0000-0000-0000685D0000}"/>
    <cellStyle name="Style 152" xfId="3859" xr:uid="{00000000-0005-0000-0000-0000695D0000}"/>
    <cellStyle name="Style 152 10" xfId="5429" xr:uid="{00000000-0005-0000-0000-00006A5D0000}"/>
    <cellStyle name="Style 152 11" xfId="5430" xr:uid="{00000000-0005-0000-0000-00006B5D0000}"/>
    <cellStyle name="Style 152 12" xfId="5431" xr:uid="{00000000-0005-0000-0000-00006C5D0000}"/>
    <cellStyle name="Style 152 2" xfId="5432" xr:uid="{00000000-0005-0000-0000-00006D5D0000}"/>
    <cellStyle name="Style 152 2 2" xfId="5433" xr:uid="{00000000-0005-0000-0000-00006E5D0000}"/>
    <cellStyle name="Style 152 3" xfId="5434" xr:uid="{00000000-0005-0000-0000-00006F5D0000}"/>
    <cellStyle name="Style 152 3 2" xfId="5435" xr:uid="{00000000-0005-0000-0000-0000705D0000}"/>
    <cellStyle name="Style 152 3 2 2" xfId="5436" xr:uid="{00000000-0005-0000-0000-0000715D0000}"/>
    <cellStyle name="Style 152 3 2 3" xfId="5437" xr:uid="{00000000-0005-0000-0000-0000725D0000}"/>
    <cellStyle name="Style 152 3 3" xfId="5438" xr:uid="{00000000-0005-0000-0000-0000735D0000}"/>
    <cellStyle name="Style 152 3 3 2" xfId="5439" xr:uid="{00000000-0005-0000-0000-0000745D0000}"/>
    <cellStyle name="Style 152 3 3 2 2" xfId="5440" xr:uid="{00000000-0005-0000-0000-0000755D0000}"/>
    <cellStyle name="Style 152 3 3 3" xfId="5441" xr:uid="{00000000-0005-0000-0000-0000765D0000}"/>
    <cellStyle name="Style 152 3 3 3 2" xfId="5442" xr:uid="{00000000-0005-0000-0000-0000775D0000}"/>
    <cellStyle name="Style 152 3 3 3 3" xfId="5443" xr:uid="{00000000-0005-0000-0000-0000785D0000}"/>
    <cellStyle name="Style 152 3 3 4" xfId="5444" xr:uid="{00000000-0005-0000-0000-0000795D0000}"/>
    <cellStyle name="Style 152 3 3 4 2" xfId="5445" xr:uid="{00000000-0005-0000-0000-00007A5D0000}"/>
    <cellStyle name="Style 152 3 3 5" xfId="5446" xr:uid="{00000000-0005-0000-0000-00007B5D0000}"/>
    <cellStyle name="Style 152 3 4" xfId="5447" xr:uid="{00000000-0005-0000-0000-00007C5D0000}"/>
    <cellStyle name="Style 152 3 4 2" xfId="15745" xr:uid="{00000000-0005-0000-0000-00007D5D0000}"/>
    <cellStyle name="Style 152 3 5" xfId="5448" xr:uid="{00000000-0005-0000-0000-00007E5D0000}"/>
    <cellStyle name="Style 152 4" xfId="5449" xr:uid="{00000000-0005-0000-0000-00007F5D0000}"/>
    <cellStyle name="Style 152 4 2" xfId="5450" xr:uid="{00000000-0005-0000-0000-0000805D0000}"/>
    <cellStyle name="Style 152 4 2 2" xfId="5451" xr:uid="{00000000-0005-0000-0000-0000815D0000}"/>
    <cellStyle name="Style 152 4 2 2 2" xfId="5452" xr:uid="{00000000-0005-0000-0000-0000825D0000}"/>
    <cellStyle name="Style 152 4 2 3" xfId="5453" xr:uid="{00000000-0005-0000-0000-0000835D0000}"/>
    <cellStyle name="Style 152 4 2 3 2" xfId="5454" xr:uid="{00000000-0005-0000-0000-0000845D0000}"/>
    <cellStyle name="Style 152 4 2 3 3" xfId="5455" xr:uid="{00000000-0005-0000-0000-0000855D0000}"/>
    <cellStyle name="Style 152 4 2 4" xfId="5456" xr:uid="{00000000-0005-0000-0000-0000865D0000}"/>
    <cellStyle name="Style 152 4 2 4 2" xfId="5457" xr:uid="{00000000-0005-0000-0000-0000875D0000}"/>
    <cellStyle name="Style 152 4 2 5" xfId="5458" xr:uid="{00000000-0005-0000-0000-0000885D0000}"/>
    <cellStyle name="Style 152 4 3" xfId="5459" xr:uid="{00000000-0005-0000-0000-0000895D0000}"/>
    <cellStyle name="Style 152 4 3 2" xfId="5460" xr:uid="{00000000-0005-0000-0000-00008A5D0000}"/>
    <cellStyle name="Style 152 4 4" xfId="5461" xr:uid="{00000000-0005-0000-0000-00008B5D0000}"/>
    <cellStyle name="Style 152 4 4 2" xfId="15744" xr:uid="{00000000-0005-0000-0000-00008C5D0000}"/>
    <cellStyle name="Style 152 4 5" xfId="5462" xr:uid="{00000000-0005-0000-0000-00008D5D0000}"/>
    <cellStyle name="Style 152 5" xfId="5463" xr:uid="{00000000-0005-0000-0000-00008E5D0000}"/>
    <cellStyle name="Style 152 5 2" xfId="5464" xr:uid="{00000000-0005-0000-0000-00008F5D0000}"/>
    <cellStyle name="Style 152 5 2 2" xfId="5465" xr:uid="{00000000-0005-0000-0000-0000905D0000}"/>
    <cellStyle name="Style 152 5 2 2 2" xfId="5466" xr:uid="{00000000-0005-0000-0000-0000915D0000}"/>
    <cellStyle name="Style 152 5 2 3" xfId="5467" xr:uid="{00000000-0005-0000-0000-0000925D0000}"/>
    <cellStyle name="Style 152 5 2 3 2" xfId="5468" xr:uid="{00000000-0005-0000-0000-0000935D0000}"/>
    <cellStyle name="Style 152 5 2 3 3" xfId="5469" xr:uid="{00000000-0005-0000-0000-0000945D0000}"/>
    <cellStyle name="Style 152 5 2 4" xfId="5470" xr:uid="{00000000-0005-0000-0000-0000955D0000}"/>
    <cellStyle name="Style 152 5 2 4 2" xfId="15743" xr:uid="{00000000-0005-0000-0000-0000965D0000}"/>
    <cellStyle name="Style 152 5 2 5" xfId="5471" xr:uid="{00000000-0005-0000-0000-0000975D0000}"/>
    <cellStyle name="Style 152 5 3" xfId="5472" xr:uid="{00000000-0005-0000-0000-0000985D0000}"/>
    <cellStyle name="Style 152 5 3 2" xfId="5473" xr:uid="{00000000-0005-0000-0000-0000995D0000}"/>
    <cellStyle name="Style 152 5 4" xfId="5474" xr:uid="{00000000-0005-0000-0000-00009A5D0000}"/>
    <cellStyle name="Style 152 5 5" xfId="5475" xr:uid="{00000000-0005-0000-0000-00009B5D0000}"/>
    <cellStyle name="Style 152 6" xfId="5476" xr:uid="{00000000-0005-0000-0000-00009C5D0000}"/>
    <cellStyle name="Style 152 6 2" xfId="5477" xr:uid="{00000000-0005-0000-0000-00009D5D0000}"/>
    <cellStyle name="Style 152 6 2 2" xfId="5478" xr:uid="{00000000-0005-0000-0000-00009E5D0000}"/>
    <cellStyle name="Style 152 6 3" xfId="5479" xr:uid="{00000000-0005-0000-0000-00009F5D0000}"/>
    <cellStyle name="Style 152 6 3 2" xfId="5480" xr:uid="{00000000-0005-0000-0000-0000A05D0000}"/>
    <cellStyle name="Style 152 6 3 3" xfId="5481" xr:uid="{00000000-0005-0000-0000-0000A15D0000}"/>
    <cellStyle name="Style 152 6 4" xfId="5482" xr:uid="{00000000-0005-0000-0000-0000A25D0000}"/>
    <cellStyle name="Style 152 6 4 2" xfId="5483" xr:uid="{00000000-0005-0000-0000-0000A35D0000}"/>
    <cellStyle name="Style 152 6 5" xfId="5484" xr:uid="{00000000-0005-0000-0000-0000A45D0000}"/>
    <cellStyle name="Style 152 7" xfId="5485" xr:uid="{00000000-0005-0000-0000-0000A55D0000}"/>
    <cellStyle name="Style 152 7 2" xfId="5486" xr:uid="{00000000-0005-0000-0000-0000A65D0000}"/>
    <cellStyle name="Style 152 7 3" xfId="5487" xr:uid="{00000000-0005-0000-0000-0000A75D0000}"/>
    <cellStyle name="Style 152 8" xfId="5488" xr:uid="{00000000-0005-0000-0000-0000A85D0000}"/>
    <cellStyle name="Style 152 8 2" xfId="15742" xr:uid="{00000000-0005-0000-0000-0000A95D0000}"/>
    <cellStyle name="Style 152 8 3" xfId="15741" xr:uid="{00000000-0005-0000-0000-0000AA5D0000}"/>
    <cellStyle name="Style 152 9" xfId="5489" xr:uid="{00000000-0005-0000-0000-0000AB5D0000}"/>
    <cellStyle name="Style 152_ADDON" xfId="5490" xr:uid="{00000000-0005-0000-0000-0000AC5D0000}"/>
    <cellStyle name="Style 153" xfId="3860" xr:uid="{00000000-0005-0000-0000-0000AD5D0000}"/>
    <cellStyle name="Style 153 2" xfId="5491" xr:uid="{00000000-0005-0000-0000-0000AE5D0000}"/>
    <cellStyle name="Style 153 2 2" xfId="5492" xr:uid="{00000000-0005-0000-0000-0000AF5D0000}"/>
    <cellStyle name="Style 153 2 2 2" xfId="5493" xr:uid="{00000000-0005-0000-0000-0000B05D0000}"/>
    <cellStyle name="Style 153 2 2 2 2" xfId="15740" xr:uid="{00000000-0005-0000-0000-0000B15D0000}"/>
    <cellStyle name="Style 153 2 2 3" xfId="5494" xr:uid="{00000000-0005-0000-0000-0000B25D0000}"/>
    <cellStyle name="Style 153 2 3" xfId="5495" xr:uid="{00000000-0005-0000-0000-0000B35D0000}"/>
    <cellStyle name="Style 153 2 3 2" xfId="15739" xr:uid="{00000000-0005-0000-0000-0000B45D0000}"/>
    <cellStyle name="Style 153 2 4" xfId="5496" xr:uid="{00000000-0005-0000-0000-0000B55D0000}"/>
    <cellStyle name="Style 153 2 5" xfId="5497" xr:uid="{00000000-0005-0000-0000-0000B65D0000}"/>
    <cellStyle name="Style 153 3" xfId="5498" xr:uid="{00000000-0005-0000-0000-0000B75D0000}"/>
    <cellStyle name="Style 153 3 2" xfId="5499" xr:uid="{00000000-0005-0000-0000-0000B85D0000}"/>
    <cellStyle name="Style 153 3 2 2" xfId="5500" xr:uid="{00000000-0005-0000-0000-0000B95D0000}"/>
    <cellStyle name="Style 153 3 2 2 2" xfId="15738" xr:uid="{00000000-0005-0000-0000-0000BA5D0000}"/>
    <cellStyle name="Style 153 3 2 3" xfId="5501" xr:uid="{00000000-0005-0000-0000-0000BB5D0000}"/>
    <cellStyle name="Style 153 3 3" xfId="5502" xr:uid="{00000000-0005-0000-0000-0000BC5D0000}"/>
    <cellStyle name="Style 153 3 3 2" xfId="5503" xr:uid="{00000000-0005-0000-0000-0000BD5D0000}"/>
    <cellStyle name="Style 153 3 3 2 2" xfId="15737" xr:uid="{00000000-0005-0000-0000-0000BE5D0000}"/>
    <cellStyle name="Style 153 3 3 3" xfId="5504" xr:uid="{00000000-0005-0000-0000-0000BF5D0000}"/>
    <cellStyle name="Style 153 3 4" xfId="5505" xr:uid="{00000000-0005-0000-0000-0000C05D0000}"/>
    <cellStyle name="Style 153 3 4 2" xfId="5506" xr:uid="{00000000-0005-0000-0000-0000C15D0000}"/>
    <cellStyle name="Style 153 3 5" xfId="5507" xr:uid="{00000000-0005-0000-0000-0000C25D0000}"/>
    <cellStyle name="Style 153 4" xfId="5508" xr:uid="{00000000-0005-0000-0000-0000C35D0000}"/>
    <cellStyle name="Style 153 4 2" xfId="5509" xr:uid="{00000000-0005-0000-0000-0000C45D0000}"/>
    <cellStyle name="Style 153 4 2 2" xfId="15736" xr:uid="{00000000-0005-0000-0000-0000C55D0000}"/>
    <cellStyle name="Style 153 4 3" xfId="5510" xr:uid="{00000000-0005-0000-0000-0000C65D0000}"/>
    <cellStyle name="Style 153 5" xfId="5511" xr:uid="{00000000-0005-0000-0000-0000C75D0000}"/>
    <cellStyle name="Style 153 6" xfId="5512" xr:uid="{00000000-0005-0000-0000-0000C85D0000}"/>
    <cellStyle name="Style 153 7" xfId="15735" xr:uid="{00000000-0005-0000-0000-0000C95D0000}"/>
    <cellStyle name="Style 153_ADDON" xfId="5513" xr:uid="{00000000-0005-0000-0000-0000CA5D0000}"/>
    <cellStyle name="Style 154" xfId="3861" xr:uid="{00000000-0005-0000-0000-0000CB5D0000}"/>
    <cellStyle name="Style 154 2" xfId="5514" xr:uid="{00000000-0005-0000-0000-0000CC5D0000}"/>
    <cellStyle name="Style 154 2 2" xfId="5515" xr:uid="{00000000-0005-0000-0000-0000CD5D0000}"/>
    <cellStyle name="Style 154 2 2 2" xfId="5516" xr:uid="{00000000-0005-0000-0000-0000CE5D0000}"/>
    <cellStyle name="Style 154 2 2 2 2" xfId="15734" xr:uid="{00000000-0005-0000-0000-0000CF5D0000}"/>
    <cellStyle name="Style 154 2 2 3" xfId="5517" xr:uid="{00000000-0005-0000-0000-0000D05D0000}"/>
    <cellStyle name="Style 154 2 3" xfId="5518" xr:uid="{00000000-0005-0000-0000-0000D15D0000}"/>
    <cellStyle name="Style 154 2 3 2" xfId="15733" xr:uid="{00000000-0005-0000-0000-0000D25D0000}"/>
    <cellStyle name="Style 154 2 4" xfId="5519" xr:uid="{00000000-0005-0000-0000-0000D35D0000}"/>
    <cellStyle name="Style 154 2 5" xfId="5520" xr:uid="{00000000-0005-0000-0000-0000D45D0000}"/>
    <cellStyle name="Style 154 3" xfId="5521" xr:uid="{00000000-0005-0000-0000-0000D55D0000}"/>
    <cellStyle name="Style 154 3 2" xfId="5522" xr:uid="{00000000-0005-0000-0000-0000D65D0000}"/>
    <cellStyle name="Style 154 3 2 2" xfId="5523" xr:uid="{00000000-0005-0000-0000-0000D75D0000}"/>
    <cellStyle name="Style 154 3 2 2 2" xfId="15732" xr:uid="{00000000-0005-0000-0000-0000D85D0000}"/>
    <cellStyle name="Style 154 3 2 3" xfId="5524" xr:uid="{00000000-0005-0000-0000-0000D95D0000}"/>
    <cellStyle name="Style 154 3 3" xfId="5525" xr:uid="{00000000-0005-0000-0000-0000DA5D0000}"/>
    <cellStyle name="Style 154 3 3 2" xfId="5526" xr:uid="{00000000-0005-0000-0000-0000DB5D0000}"/>
    <cellStyle name="Style 154 3 3 2 2" xfId="15731" xr:uid="{00000000-0005-0000-0000-0000DC5D0000}"/>
    <cellStyle name="Style 154 3 3 3" xfId="5527" xr:uid="{00000000-0005-0000-0000-0000DD5D0000}"/>
    <cellStyle name="Style 154 3 4" xfId="5528" xr:uid="{00000000-0005-0000-0000-0000DE5D0000}"/>
    <cellStyle name="Style 154 3 4 2" xfId="5529" xr:uid="{00000000-0005-0000-0000-0000DF5D0000}"/>
    <cellStyle name="Style 154 3 5" xfId="5530" xr:uid="{00000000-0005-0000-0000-0000E05D0000}"/>
    <cellStyle name="Style 154 4" xfId="5531" xr:uid="{00000000-0005-0000-0000-0000E15D0000}"/>
    <cellStyle name="Style 154 4 2" xfId="5532" xr:uid="{00000000-0005-0000-0000-0000E25D0000}"/>
    <cellStyle name="Style 154 4 2 2" xfId="15730" xr:uid="{00000000-0005-0000-0000-0000E35D0000}"/>
    <cellStyle name="Style 154 4 3" xfId="5533" xr:uid="{00000000-0005-0000-0000-0000E45D0000}"/>
    <cellStyle name="Style 154 5" xfId="5534" xr:uid="{00000000-0005-0000-0000-0000E55D0000}"/>
    <cellStyle name="Style 154 6" xfId="5535" xr:uid="{00000000-0005-0000-0000-0000E65D0000}"/>
    <cellStyle name="Style 154 7" xfId="15729" xr:uid="{00000000-0005-0000-0000-0000E75D0000}"/>
    <cellStyle name="Style 154_ADDON" xfId="5536" xr:uid="{00000000-0005-0000-0000-0000E85D0000}"/>
    <cellStyle name="Style 159" xfId="3862" xr:uid="{00000000-0005-0000-0000-0000E95D0000}"/>
    <cellStyle name="Style 159 10" xfId="5537" xr:uid="{00000000-0005-0000-0000-0000EA5D0000}"/>
    <cellStyle name="Style 159 11" xfId="5538" xr:uid="{00000000-0005-0000-0000-0000EB5D0000}"/>
    <cellStyle name="Style 159 12" xfId="5539" xr:uid="{00000000-0005-0000-0000-0000EC5D0000}"/>
    <cellStyle name="Style 159 2" xfId="5540" xr:uid="{00000000-0005-0000-0000-0000ED5D0000}"/>
    <cellStyle name="Style 159 2 2" xfId="5541" xr:uid="{00000000-0005-0000-0000-0000EE5D0000}"/>
    <cellStyle name="Style 159 3" xfId="5542" xr:uid="{00000000-0005-0000-0000-0000EF5D0000}"/>
    <cellStyle name="Style 159 3 2" xfId="5543" xr:uid="{00000000-0005-0000-0000-0000F05D0000}"/>
    <cellStyle name="Style 159 3 2 2" xfId="5544" xr:uid="{00000000-0005-0000-0000-0000F15D0000}"/>
    <cellStyle name="Style 159 3 2 3" xfId="5545" xr:uid="{00000000-0005-0000-0000-0000F25D0000}"/>
    <cellStyle name="Style 159 3 3" xfId="5546" xr:uid="{00000000-0005-0000-0000-0000F35D0000}"/>
    <cellStyle name="Style 159 3 3 2" xfId="5547" xr:uid="{00000000-0005-0000-0000-0000F45D0000}"/>
    <cellStyle name="Style 159 3 3 2 2" xfId="5548" xr:uid="{00000000-0005-0000-0000-0000F55D0000}"/>
    <cellStyle name="Style 159 3 3 3" xfId="5549" xr:uid="{00000000-0005-0000-0000-0000F65D0000}"/>
    <cellStyle name="Style 159 3 3 3 2" xfId="5550" xr:uid="{00000000-0005-0000-0000-0000F75D0000}"/>
    <cellStyle name="Style 159 3 3 3 3" xfId="5551" xr:uid="{00000000-0005-0000-0000-0000F85D0000}"/>
    <cellStyle name="Style 159 3 3 4" xfId="5552" xr:uid="{00000000-0005-0000-0000-0000F95D0000}"/>
    <cellStyle name="Style 159 3 3 4 2" xfId="5553" xr:uid="{00000000-0005-0000-0000-0000FA5D0000}"/>
    <cellStyle name="Style 159 3 3 5" xfId="5554" xr:uid="{00000000-0005-0000-0000-0000FB5D0000}"/>
    <cellStyle name="Style 159 3 4" xfId="5555" xr:uid="{00000000-0005-0000-0000-0000FC5D0000}"/>
    <cellStyle name="Style 159 3 4 2" xfId="15728" xr:uid="{00000000-0005-0000-0000-0000FD5D0000}"/>
    <cellStyle name="Style 159 3 5" xfId="5556" xr:uid="{00000000-0005-0000-0000-0000FE5D0000}"/>
    <cellStyle name="Style 159 4" xfId="5557" xr:uid="{00000000-0005-0000-0000-0000FF5D0000}"/>
    <cellStyle name="Style 159 4 2" xfId="5558" xr:uid="{00000000-0005-0000-0000-0000005E0000}"/>
    <cellStyle name="Style 159 4 2 2" xfId="5559" xr:uid="{00000000-0005-0000-0000-0000015E0000}"/>
    <cellStyle name="Style 159 4 2 2 2" xfId="5560" xr:uid="{00000000-0005-0000-0000-0000025E0000}"/>
    <cellStyle name="Style 159 4 2 3" xfId="5561" xr:uid="{00000000-0005-0000-0000-0000035E0000}"/>
    <cellStyle name="Style 159 4 2 3 2" xfId="5562" xr:uid="{00000000-0005-0000-0000-0000045E0000}"/>
    <cellStyle name="Style 159 4 2 3 3" xfId="5563" xr:uid="{00000000-0005-0000-0000-0000055E0000}"/>
    <cellStyle name="Style 159 4 2 4" xfId="5564" xr:uid="{00000000-0005-0000-0000-0000065E0000}"/>
    <cellStyle name="Style 159 4 2 4 2" xfId="5565" xr:uid="{00000000-0005-0000-0000-0000075E0000}"/>
    <cellStyle name="Style 159 4 2 5" xfId="5566" xr:uid="{00000000-0005-0000-0000-0000085E0000}"/>
    <cellStyle name="Style 159 4 3" xfId="5567" xr:uid="{00000000-0005-0000-0000-0000095E0000}"/>
    <cellStyle name="Style 159 4 3 2" xfId="5568" xr:uid="{00000000-0005-0000-0000-00000A5E0000}"/>
    <cellStyle name="Style 159 4 4" xfId="5569" xr:uid="{00000000-0005-0000-0000-00000B5E0000}"/>
    <cellStyle name="Style 159 4 4 2" xfId="15727" xr:uid="{00000000-0005-0000-0000-00000C5E0000}"/>
    <cellStyle name="Style 159 4 5" xfId="5570" xr:uid="{00000000-0005-0000-0000-00000D5E0000}"/>
    <cellStyle name="Style 159 5" xfId="5571" xr:uid="{00000000-0005-0000-0000-00000E5E0000}"/>
    <cellStyle name="Style 159 5 2" xfId="5572" xr:uid="{00000000-0005-0000-0000-00000F5E0000}"/>
    <cellStyle name="Style 159 5 2 2" xfId="5573" xr:uid="{00000000-0005-0000-0000-0000105E0000}"/>
    <cellStyle name="Style 159 5 2 2 2" xfId="5574" xr:uid="{00000000-0005-0000-0000-0000115E0000}"/>
    <cellStyle name="Style 159 5 2 3" xfId="5575" xr:uid="{00000000-0005-0000-0000-0000125E0000}"/>
    <cellStyle name="Style 159 5 2 3 2" xfId="5576" xr:uid="{00000000-0005-0000-0000-0000135E0000}"/>
    <cellStyle name="Style 159 5 2 3 3" xfId="5577" xr:uid="{00000000-0005-0000-0000-0000145E0000}"/>
    <cellStyle name="Style 159 5 2 4" xfId="5578" xr:uid="{00000000-0005-0000-0000-0000155E0000}"/>
    <cellStyle name="Style 159 5 2 4 2" xfId="15726" xr:uid="{00000000-0005-0000-0000-0000165E0000}"/>
    <cellStyle name="Style 159 5 2 5" xfId="5579" xr:uid="{00000000-0005-0000-0000-0000175E0000}"/>
    <cellStyle name="Style 159 5 3" xfId="5580" xr:uid="{00000000-0005-0000-0000-0000185E0000}"/>
    <cellStyle name="Style 159 5 3 2" xfId="5581" xr:uid="{00000000-0005-0000-0000-0000195E0000}"/>
    <cellStyle name="Style 159 5 4" xfId="5582" xr:uid="{00000000-0005-0000-0000-00001A5E0000}"/>
    <cellStyle name="Style 159 5 5" xfId="5583" xr:uid="{00000000-0005-0000-0000-00001B5E0000}"/>
    <cellStyle name="Style 159 6" xfId="5584" xr:uid="{00000000-0005-0000-0000-00001C5E0000}"/>
    <cellStyle name="Style 159 6 2" xfId="5585" xr:uid="{00000000-0005-0000-0000-00001D5E0000}"/>
    <cellStyle name="Style 159 6 2 2" xfId="5586" xr:uid="{00000000-0005-0000-0000-00001E5E0000}"/>
    <cellStyle name="Style 159 6 3" xfId="5587" xr:uid="{00000000-0005-0000-0000-00001F5E0000}"/>
    <cellStyle name="Style 159 6 3 2" xfId="5588" xr:uid="{00000000-0005-0000-0000-0000205E0000}"/>
    <cellStyle name="Style 159 6 3 3" xfId="5589" xr:uid="{00000000-0005-0000-0000-0000215E0000}"/>
    <cellStyle name="Style 159 6 4" xfId="5590" xr:uid="{00000000-0005-0000-0000-0000225E0000}"/>
    <cellStyle name="Style 159 6 4 2" xfId="5591" xr:uid="{00000000-0005-0000-0000-0000235E0000}"/>
    <cellStyle name="Style 159 6 5" xfId="5592" xr:uid="{00000000-0005-0000-0000-0000245E0000}"/>
    <cellStyle name="Style 159 7" xfId="5593" xr:uid="{00000000-0005-0000-0000-0000255E0000}"/>
    <cellStyle name="Style 159 7 2" xfId="5594" xr:uid="{00000000-0005-0000-0000-0000265E0000}"/>
    <cellStyle name="Style 159 7 3" xfId="5595" xr:uid="{00000000-0005-0000-0000-0000275E0000}"/>
    <cellStyle name="Style 159 8" xfId="5596" xr:uid="{00000000-0005-0000-0000-0000285E0000}"/>
    <cellStyle name="Style 159 8 2" xfId="15725" xr:uid="{00000000-0005-0000-0000-0000295E0000}"/>
    <cellStyle name="Style 159 8 3" xfId="15724" xr:uid="{00000000-0005-0000-0000-00002A5E0000}"/>
    <cellStyle name="Style 159 9" xfId="5597" xr:uid="{00000000-0005-0000-0000-00002B5E0000}"/>
    <cellStyle name="Style 159_ADDON" xfId="5598" xr:uid="{00000000-0005-0000-0000-00002C5E0000}"/>
    <cellStyle name="Style 160" xfId="3863" xr:uid="{00000000-0005-0000-0000-00002D5E0000}"/>
    <cellStyle name="Style 160 2" xfId="5599" xr:uid="{00000000-0005-0000-0000-00002E5E0000}"/>
    <cellStyle name="Style 160 3" xfId="5600" xr:uid="{00000000-0005-0000-0000-00002F5E0000}"/>
    <cellStyle name="Style 160 3 2" xfId="5601" xr:uid="{00000000-0005-0000-0000-0000305E0000}"/>
    <cellStyle name="Style 160 3 3" xfId="5602" xr:uid="{00000000-0005-0000-0000-0000315E0000}"/>
    <cellStyle name="Style 160 3 3 2" xfId="5603" xr:uid="{00000000-0005-0000-0000-0000325E0000}"/>
    <cellStyle name="Style 160 3 3 3" xfId="15723" xr:uid="{00000000-0005-0000-0000-0000335E0000}"/>
    <cellStyle name="Style 160 3 4" xfId="5604" xr:uid="{00000000-0005-0000-0000-0000345E0000}"/>
    <cellStyle name="Style 160 3 4 2" xfId="15722" xr:uid="{00000000-0005-0000-0000-0000355E0000}"/>
    <cellStyle name="Style 160 4" xfId="5605" xr:uid="{00000000-0005-0000-0000-0000365E0000}"/>
    <cellStyle name="Style 160 4 2" xfId="5606" xr:uid="{00000000-0005-0000-0000-0000375E0000}"/>
    <cellStyle name="Style 160 4 3" xfId="15721" xr:uid="{00000000-0005-0000-0000-0000385E0000}"/>
    <cellStyle name="Style 160 5" xfId="5607" xr:uid="{00000000-0005-0000-0000-0000395E0000}"/>
    <cellStyle name="Style 160 5 2" xfId="15720" xr:uid="{00000000-0005-0000-0000-00003A5E0000}"/>
    <cellStyle name="Style 160 6" xfId="5608" xr:uid="{00000000-0005-0000-0000-00003B5E0000}"/>
    <cellStyle name="Style 160 7" xfId="5609" xr:uid="{00000000-0005-0000-0000-00003C5E0000}"/>
    <cellStyle name="Style 160_ADDON" xfId="5610" xr:uid="{00000000-0005-0000-0000-00003D5E0000}"/>
    <cellStyle name="Style 161" xfId="3864" xr:uid="{00000000-0005-0000-0000-00003E5E0000}"/>
    <cellStyle name="Style 161 2" xfId="5611" xr:uid="{00000000-0005-0000-0000-00003F5E0000}"/>
    <cellStyle name="Style 161 2 2" xfId="5612" xr:uid="{00000000-0005-0000-0000-0000405E0000}"/>
    <cellStyle name="Style 161 2 2 2" xfId="5613" xr:uid="{00000000-0005-0000-0000-0000415E0000}"/>
    <cellStyle name="Style 161 2 2 2 2" xfId="15719" xr:uid="{00000000-0005-0000-0000-0000425E0000}"/>
    <cellStyle name="Style 161 2 2 3" xfId="5614" xr:uid="{00000000-0005-0000-0000-0000435E0000}"/>
    <cellStyle name="Style 161 2 3" xfId="5615" xr:uid="{00000000-0005-0000-0000-0000445E0000}"/>
    <cellStyle name="Style 161 2 3 2" xfId="15718" xr:uid="{00000000-0005-0000-0000-0000455E0000}"/>
    <cellStyle name="Style 161 2 4" xfId="5616" xr:uid="{00000000-0005-0000-0000-0000465E0000}"/>
    <cellStyle name="Style 161 2 5" xfId="5617" xr:uid="{00000000-0005-0000-0000-0000475E0000}"/>
    <cellStyle name="Style 161 3" xfId="5618" xr:uid="{00000000-0005-0000-0000-0000485E0000}"/>
    <cellStyle name="Style 161 3 2" xfId="5619" xr:uid="{00000000-0005-0000-0000-0000495E0000}"/>
    <cellStyle name="Style 161 3 2 2" xfId="5620" xr:uid="{00000000-0005-0000-0000-00004A5E0000}"/>
    <cellStyle name="Style 161 3 2 2 2" xfId="15717" xr:uid="{00000000-0005-0000-0000-00004B5E0000}"/>
    <cellStyle name="Style 161 3 2 3" xfId="5621" xr:uid="{00000000-0005-0000-0000-00004C5E0000}"/>
    <cellStyle name="Style 161 3 3" xfId="5622" xr:uid="{00000000-0005-0000-0000-00004D5E0000}"/>
    <cellStyle name="Style 161 3 3 2" xfId="5623" xr:uid="{00000000-0005-0000-0000-00004E5E0000}"/>
    <cellStyle name="Style 161 3 3 2 2" xfId="15716" xr:uid="{00000000-0005-0000-0000-00004F5E0000}"/>
    <cellStyle name="Style 161 3 3 3" xfId="5624" xr:uid="{00000000-0005-0000-0000-0000505E0000}"/>
    <cellStyle name="Style 161 3 4" xfId="5625" xr:uid="{00000000-0005-0000-0000-0000515E0000}"/>
    <cellStyle name="Style 161 3 4 2" xfId="5626" xr:uid="{00000000-0005-0000-0000-0000525E0000}"/>
    <cellStyle name="Style 161 3 5" xfId="5627" xr:uid="{00000000-0005-0000-0000-0000535E0000}"/>
    <cellStyle name="Style 161 4" xfId="5628" xr:uid="{00000000-0005-0000-0000-0000545E0000}"/>
    <cellStyle name="Style 161 4 2" xfId="5629" xr:uid="{00000000-0005-0000-0000-0000555E0000}"/>
    <cellStyle name="Style 161 4 2 2" xfId="15715" xr:uid="{00000000-0005-0000-0000-0000565E0000}"/>
    <cellStyle name="Style 161 4 3" xfId="5630" xr:uid="{00000000-0005-0000-0000-0000575E0000}"/>
    <cellStyle name="Style 161 5" xfId="5631" xr:uid="{00000000-0005-0000-0000-0000585E0000}"/>
    <cellStyle name="Style 161 6" xfId="5632" xr:uid="{00000000-0005-0000-0000-0000595E0000}"/>
    <cellStyle name="Style 161 7" xfId="15714" xr:uid="{00000000-0005-0000-0000-00005A5E0000}"/>
    <cellStyle name="Style 161_ADDON" xfId="5633" xr:uid="{00000000-0005-0000-0000-00005B5E0000}"/>
    <cellStyle name="Style 162" xfId="3865" xr:uid="{00000000-0005-0000-0000-00005C5E0000}"/>
    <cellStyle name="Style 162 2" xfId="5634" xr:uid="{00000000-0005-0000-0000-00005D5E0000}"/>
    <cellStyle name="Style 162 3" xfId="5635" xr:uid="{00000000-0005-0000-0000-00005E5E0000}"/>
    <cellStyle name="Style 162 3 2" xfId="5636" xr:uid="{00000000-0005-0000-0000-00005F5E0000}"/>
    <cellStyle name="Style 162 3 3" xfId="5637" xr:uid="{00000000-0005-0000-0000-0000605E0000}"/>
    <cellStyle name="Style 162 3 3 2" xfId="5638" xr:uid="{00000000-0005-0000-0000-0000615E0000}"/>
    <cellStyle name="Style 162 3 3 3" xfId="15713" xr:uid="{00000000-0005-0000-0000-0000625E0000}"/>
    <cellStyle name="Style 162 3 4" xfId="5639" xr:uid="{00000000-0005-0000-0000-0000635E0000}"/>
    <cellStyle name="Style 162 3 4 2" xfId="15712" xr:uid="{00000000-0005-0000-0000-0000645E0000}"/>
    <cellStyle name="Style 162 4" xfId="5640" xr:uid="{00000000-0005-0000-0000-0000655E0000}"/>
    <cellStyle name="Style 162 4 2" xfId="5641" xr:uid="{00000000-0005-0000-0000-0000665E0000}"/>
    <cellStyle name="Style 162 4 3" xfId="15711" xr:uid="{00000000-0005-0000-0000-0000675E0000}"/>
    <cellStyle name="Style 162 5" xfId="5642" xr:uid="{00000000-0005-0000-0000-0000685E0000}"/>
    <cellStyle name="Style 162 5 2" xfId="15710" xr:uid="{00000000-0005-0000-0000-0000695E0000}"/>
    <cellStyle name="Style 162 6" xfId="5643" xr:uid="{00000000-0005-0000-0000-00006A5E0000}"/>
    <cellStyle name="Style 162 7" xfId="5644" xr:uid="{00000000-0005-0000-0000-00006B5E0000}"/>
    <cellStyle name="Style 162_ADDON" xfId="5645" xr:uid="{00000000-0005-0000-0000-00006C5E0000}"/>
    <cellStyle name="Style 163" xfId="3866" xr:uid="{00000000-0005-0000-0000-00006D5E0000}"/>
    <cellStyle name="Style 163 10" xfId="5646" xr:uid="{00000000-0005-0000-0000-00006E5E0000}"/>
    <cellStyle name="Style 163 11" xfId="5647" xr:uid="{00000000-0005-0000-0000-00006F5E0000}"/>
    <cellStyle name="Style 163 12" xfId="5648" xr:uid="{00000000-0005-0000-0000-0000705E0000}"/>
    <cellStyle name="Style 163 2" xfId="5649" xr:uid="{00000000-0005-0000-0000-0000715E0000}"/>
    <cellStyle name="Style 163 2 2" xfId="5650" xr:uid="{00000000-0005-0000-0000-0000725E0000}"/>
    <cellStyle name="Style 163 3" xfId="5651" xr:uid="{00000000-0005-0000-0000-0000735E0000}"/>
    <cellStyle name="Style 163 3 2" xfId="5652" xr:uid="{00000000-0005-0000-0000-0000745E0000}"/>
    <cellStyle name="Style 163 3 2 2" xfId="5653" xr:uid="{00000000-0005-0000-0000-0000755E0000}"/>
    <cellStyle name="Style 163 3 2 3" xfId="5654" xr:uid="{00000000-0005-0000-0000-0000765E0000}"/>
    <cellStyle name="Style 163 3 3" xfId="5655" xr:uid="{00000000-0005-0000-0000-0000775E0000}"/>
    <cellStyle name="Style 163 3 3 2" xfId="5656" xr:uid="{00000000-0005-0000-0000-0000785E0000}"/>
    <cellStyle name="Style 163 3 3 2 2" xfId="5657" xr:uid="{00000000-0005-0000-0000-0000795E0000}"/>
    <cellStyle name="Style 163 3 3 3" xfId="5658" xr:uid="{00000000-0005-0000-0000-00007A5E0000}"/>
    <cellStyle name="Style 163 3 3 3 2" xfId="5659" xr:uid="{00000000-0005-0000-0000-00007B5E0000}"/>
    <cellStyle name="Style 163 3 3 3 3" xfId="5660" xr:uid="{00000000-0005-0000-0000-00007C5E0000}"/>
    <cellStyle name="Style 163 3 3 4" xfId="5661" xr:uid="{00000000-0005-0000-0000-00007D5E0000}"/>
    <cellStyle name="Style 163 3 3 4 2" xfId="5662" xr:uid="{00000000-0005-0000-0000-00007E5E0000}"/>
    <cellStyle name="Style 163 3 3 5" xfId="5663" xr:uid="{00000000-0005-0000-0000-00007F5E0000}"/>
    <cellStyle name="Style 163 3 4" xfId="5664" xr:uid="{00000000-0005-0000-0000-0000805E0000}"/>
    <cellStyle name="Style 163 3 4 2" xfId="15709" xr:uid="{00000000-0005-0000-0000-0000815E0000}"/>
    <cellStyle name="Style 163 3 5" xfId="5665" xr:uid="{00000000-0005-0000-0000-0000825E0000}"/>
    <cellStyle name="Style 163 4" xfId="5666" xr:uid="{00000000-0005-0000-0000-0000835E0000}"/>
    <cellStyle name="Style 163 4 2" xfId="5667" xr:uid="{00000000-0005-0000-0000-0000845E0000}"/>
    <cellStyle name="Style 163 4 2 2" xfId="5668" xr:uid="{00000000-0005-0000-0000-0000855E0000}"/>
    <cellStyle name="Style 163 4 2 2 2" xfId="5669" xr:uid="{00000000-0005-0000-0000-0000865E0000}"/>
    <cellStyle name="Style 163 4 2 3" xfId="5670" xr:uid="{00000000-0005-0000-0000-0000875E0000}"/>
    <cellStyle name="Style 163 4 2 3 2" xfId="5671" xr:uid="{00000000-0005-0000-0000-0000885E0000}"/>
    <cellStyle name="Style 163 4 2 3 3" xfId="5672" xr:uid="{00000000-0005-0000-0000-0000895E0000}"/>
    <cellStyle name="Style 163 4 2 4" xfId="5673" xr:uid="{00000000-0005-0000-0000-00008A5E0000}"/>
    <cellStyle name="Style 163 4 2 4 2" xfId="5674" xr:uid="{00000000-0005-0000-0000-00008B5E0000}"/>
    <cellStyle name="Style 163 4 2 5" xfId="5675" xr:uid="{00000000-0005-0000-0000-00008C5E0000}"/>
    <cellStyle name="Style 163 4 3" xfId="5676" xr:uid="{00000000-0005-0000-0000-00008D5E0000}"/>
    <cellStyle name="Style 163 4 3 2" xfId="5677" xr:uid="{00000000-0005-0000-0000-00008E5E0000}"/>
    <cellStyle name="Style 163 4 4" xfId="5678" xr:uid="{00000000-0005-0000-0000-00008F5E0000}"/>
    <cellStyle name="Style 163 4 4 2" xfId="15708" xr:uid="{00000000-0005-0000-0000-0000905E0000}"/>
    <cellStyle name="Style 163 4 5" xfId="5679" xr:uid="{00000000-0005-0000-0000-0000915E0000}"/>
    <cellStyle name="Style 163 5" xfId="5680" xr:uid="{00000000-0005-0000-0000-0000925E0000}"/>
    <cellStyle name="Style 163 5 2" xfId="5681" xr:uid="{00000000-0005-0000-0000-0000935E0000}"/>
    <cellStyle name="Style 163 5 2 2" xfId="5682" xr:uid="{00000000-0005-0000-0000-0000945E0000}"/>
    <cellStyle name="Style 163 5 2 2 2" xfId="5683" xr:uid="{00000000-0005-0000-0000-0000955E0000}"/>
    <cellStyle name="Style 163 5 2 3" xfId="5684" xr:uid="{00000000-0005-0000-0000-0000965E0000}"/>
    <cellStyle name="Style 163 5 2 3 2" xfId="5685" xr:uid="{00000000-0005-0000-0000-0000975E0000}"/>
    <cellStyle name="Style 163 5 2 3 3" xfId="5686" xr:uid="{00000000-0005-0000-0000-0000985E0000}"/>
    <cellStyle name="Style 163 5 2 4" xfId="5687" xr:uid="{00000000-0005-0000-0000-0000995E0000}"/>
    <cellStyle name="Style 163 5 2 4 2" xfId="15707" xr:uid="{00000000-0005-0000-0000-00009A5E0000}"/>
    <cellStyle name="Style 163 5 2 5" xfId="5688" xr:uid="{00000000-0005-0000-0000-00009B5E0000}"/>
    <cellStyle name="Style 163 5 3" xfId="5689" xr:uid="{00000000-0005-0000-0000-00009C5E0000}"/>
    <cellStyle name="Style 163 5 3 2" xfId="5690" xr:uid="{00000000-0005-0000-0000-00009D5E0000}"/>
    <cellStyle name="Style 163 5 4" xfId="5691" xr:uid="{00000000-0005-0000-0000-00009E5E0000}"/>
    <cellStyle name="Style 163 5 5" xfId="5692" xr:uid="{00000000-0005-0000-0000-00009F5E0000}"/>
    <cellStyle name="Style 163 6" xfId="5693" xr:uid="{00000000-0005-0000-0000-0000A05E0000}"/>
    <cellStyle name="Style 163 6 2" xfId="5694" xr:uid="{00000000-0005-0000-0000-0000A15E0000}"/>
    <cellStyle name="Style 163 6 2 2" xfId="5695" xr:uid="{00000000-0005-0000-0000-0000A25E0000}"/>
    <cellStyle name="Style 163 6 3" xfId="5696" xr:uid="{00000000-0005-0000-0000-0000A35E0000}"/>
    <cellStyle name="Style 163 6 3 2" xfId="5697" xr:uid="{00000000-0005-0000-0000-0000A45E0000}"/>
    <cellStyle name="Style 163 6 3 3" xfId="5698" xr:uid="{00000000-0005-0000-0000-0000A55E0000}"/>
    <cellStyle name="Style 163 6 4" xfId="5699" xr:uid="{00000000-0005-0000-0000-0000A65E0000}"/>
    <cellStyle name="Style 163 6 4 2" xfId="5700" xr:uid="{00000000-0005-0000-0000-0000A75E0000}"/>
    <cellStyle name="Style 163 6 5" xfId="5701" xr:uid="{00000000-0005-0000-0000-0000A85E0000}"/>
    <cellStyle name="Style 163 7" xfId="5702" xr:uid="{00000000-0005-0000-0000-0000A95E0000}"/>
    <cellStyle name="Style 163 7 2" xfId="5703" xr:uid="{00000000-0005-0000-0000-0000AA5E0000}"/>
    <cellStyle name="Style 163 7 3" xfId="5704" xr:uid="{00000000-0005-0000-0000-0000AB5E0000}"/>
    <cellStyle name="Style 163 8" xfId="5705" xr:uid="{00000000-0005-0000-0000-0000AC5E0000}"/>
    <cellStyle name="Style 163 8 2" xfId="15706" xr:uid="{00000000-0005-0000-0000-0000AD5E0000}"/>
    <cellStyle name="Style 163 8 3" xfId="15705" xr:uid="{00000000-0005-0000-0000-0000AE5E0000}"/>
    <cellStyle name="Style 163 9" xfId="5706" xr:uid="{00000000-0005-0000-0000-0000AF5E0000}"/>
    <cellStyle name="Style 163_ADDON" xfId="5707" xr:uid="{00000000-0005-0000-0000-0000B05E0000}"/>
    <cellStyle name="Style 164" xfId="3867" xr:uid="{00000000-0005-0000-0000-0000B15E0000}"/>
    <cellStyle name="Style 164 2" xfId="5708" xr:uid="{00000000-0005-0000-0000-0000B25E0000}"/>
    <cellStyle name="Style 164 2 2" xfId="5709" xr:uid="{00000000-0005-0000-0000-0000B35E0000}"/>
    <cellStyle name="Style 164 2 2 2" xfId="5710" xr:uid="{00000000-0005-0000-0000-0000B45E0000}"/>
    <cellStyle name="Style 164 2 2 2 2" xfId="15704" xr:uid="{00000000-0005-0000-0000-0000B55E0000}"/>
    <cellStyle name="Style 164 2 2 3" xfId="5711" xr:uid="{00000000-0005-0000-0000-0000B65E0000}"/>
    <cellStyle name="Style 164 2 3" xfId="5712" xr:uid="{00000000-0005-0000-0000-0000B75E0000}"/>
    <cellStyle name="Style 164 2 3 2" xfId="15703" xr:uid="{00000000-0005-0000-0000-0000B85E0000}"/>
    <cellStyle name="Style 164 2 4" xfId="5713" xr:uid="{00000000-0005-0000-0000-0000B95E0000}"/>
    <cellStyle name="Style 164 2 5" xfId="5714" xr:uid="{00000000-0005-0000-0000-0000BA5E0000}"/>
    <cellStyle name="Style 164 3" xfId="5715" xr:uid="{00000000-0005-0000-0000-0000BB5E0000}"/>
    <cellStyle name="Style 164 3 2" xfId="5716" xr:uid="{00000000-0005-0000-0000-0000BC5E0000}"/>
    <cellStyle name="Style 164 3 2 2" xfId="5717" xr:uid="{00000000-0005-0000-0000-0000BD5E0000}"/>
    <cellStyle name="Style 164 3 2 2 2" xfId="15702" xr:uid="{00000000-0005-0000-0000-0000BE5E0000}"/>
    <cellStyle name="Style 164 3 2 3" xfId="5718" xr:uid="{00000000-0005-0000-0000-0000BF5E0000}"/>
    <cellStyle name="Style 164 3 3" xfId="5719" xr:uid="{00000000-0005-0000-0000-0000C05E0000}"/>
    <cellStyle name="Style 164 3 3 2" xfId="5720" xr:uid="{00000000-0005-0000-0000-0000C15E0000}"/>
    <cellStyle name="Style 164 3 3 2 2" xfId="15701" xr:uid="{00000000-0005-0000-0000-0000C25E0000}"/>
    <cellStyle name="Style 164 3 3 3" xfId="5721" xr:uid="{00000000-0005-0000-0000-0000C35E0000}"/>
    <cellStyle name="Style 164 3 4" xfId="5722" xr:uid="{00000000-0005-0000-0000-0000C45E0000}"/>
    <cellStyle name="Style 164 3 4 2" xfId="5723" xr:uid="{00000000-0005-0000-0000-0000C55E0000}"/>
    <cellStyle name="Style 164 3 5" xfId="5724" xr:uid="{00000000-0005-0000-0000-0000C65E0000}"/>
    <cellStyle name="Style 164 4" xfId="5725" xr:uid="{00000000-0005-0000-0000-0000C75E0000}"/>
    <cellStyle name="Style 164 4 2" xfId="5726" xr:uid="{00000000-0005-0000-0000-0000C85E0000}"/>
    <cellStyle name="Style 164 4 2 2" xfId="15700" xr:uid="{00000000-0005-0000-0000-0000C95E0000}"/>
    <cellStyle name="Style 164 4 3" xfId="5727" xr:uid="{00000000-0005-0000-0000-0000CA5E0000}"/>
    <cellStyle name="Style 164 5" xfId="5728" xr:uid="{00000000-0005-0000-0000-0000CB5E0000}"/>
    <cellStyle name="Style 164 6" xfId="5729" xr:uid="{00000000-0005-0000-0000-0000CC5E0000}"/>
    <cellStyle name="Style 164 7" xfId="15699" xr:uid="{00000000-0005-0000-0000-0000CD5E0000}"/>
    <cellStyle name="Style 164_ADDON" xfId="5730" xr:uid="{00000000-0005-0000-0000-0000CE5E0000}"/>
    <cellStyle name="Style 165" xfId="3868" xr:uid="{00000000-0005-0000-0000-0000CF5E0000}"/>
    <cellStyle name="Style 165 2" xfId="5731" xr:uid="{00000000-0005-0000-0000-0000D05E0000}"/>
    <cellStyle name="Style 165 2 2" xfId="5732" xr:uid="{00000000-0005-0000-0000-0000D15E0000}"/>
    <cellStyle name="Style 165 2 2 2" xfId="5733" xr:uid="{00000000-0005-0000-0000-0000D25E0000}"/>
    <cellStyle name="Style 165 2 2 2 2" xfId="15698" xr:uid="{00000000-0005-0000-0000-0000D35E0000}"/>
    <cellStyle name="Style 165 2 2 3" xfId="5734" xr:uid="{00000000-0005-0000-0000-0000D45E0000}"/>
    <cellStyle name="Style 165 2 3" xfId="5735" xr:uid="{00000000-0005-0000-0000-0000D55E0000}"/>
    <cellStyle name="Style 165 2 3 2" xfId="15697" xr:uid="{00000000-0005-0000-0000-0000D65E0000}"/>
    <cellStyle name="Style 165 2 4" xfId="5736" xr:uid="{00000000-0005-0000-0000-0000D75E0000}"/>
    <cellStyle name="Style 165 2 5" xfId="5737" xr:uid="{00000000-0005-0000-0000-0000D85E0000}"/>
    <cellStyle name="Style 165 3" xfId="5738" xr:uid="{00000000-0005-0000-0000-0000D95E0000}"/>
    <cellStyle name="Style 165 3 2" xfId="5739" xr:uid="{00000000-0005-0000-0000-0000DA5E0000}"/>
    <cellStyle name="Style 165 3 2 2" xfId="5740" xr:uid="{00000000-0005-0000-0000-0000DB5E0000}"/>
    <cellStyle name="Style 165 3 2 2 2" xfId="15696" xr:uid="{00000000-0005-0000-0000-0000DC5E0000}"/>
    <cellStyle name="Style 165 3 2 3" xfId="5741" xr:uid="{00000000-0005-0000-0000-0000DD5E0000}"/>
    <cellStyle name="Style 165 3 3" xfId="5742" xr:uid="{00000000-0005-0000-0000-0000DE5E0000}"/>
    <cellStyle name="Style 165 3 3 2" xfId="5743" xr:uid="{00000000-0005-0000-0000-0000DF5E0000}"/>
    <cellStyle name="Style 165 3 3 2 2" xfId="15695" xr:uid="{00000000-0005-0000-0000-0000E05E0000}"/>
    <cellStyle name="Style 165 3 3 3" xfId="5744" xr:uid="{00000000-0005-0000-0000-0000E15E0000}"/>
    <cellStyle name="Style 165 3 4" xfId="5745" xr:uid="{00000000-0005-0000-0000-0000E25E0000}"/>
    <cellStyle name="Style 165 3 4 2" xfId="5746" xr:uid="{00000000-0005-0000-0000-0000E35E0000}"/>
    <cellStyle name="Style 165 3 5" xfId="5747" xr:uid="{00000000-0005-0000-0000-0000E45E0000}"/>
    <cellStyle name="Style 165 4" xfId="5748" xr:uid="{00000000-0005-0000-0000-0000E55E0000}"/>
    <cellStyle name="Style 165 4 2" xfId="5749" xr:uid="{00000000-0005-0000-0000-0000E65E0000}"/>
    <cellStyle name="Style 165 4 2 2" xfId="15694" xr:uid="{00000000-0005-0000-0000-0000E75E0000}"/>
    <cellStyle name="Style 165 4 3" xfId="5750" xr:uid="{00000000-0005-0000-0000-0000E85E0000}"/>
    <cellStyle name="Style 165 5" xfId="5751" xr:uid="{00000000-0005-0000-0000-0000E95E0000}"/>
    <cellStyle name="Style 165 6" xfId="5752" xr:uid="{00000000-0005-0000-0000-0000EA5E0000}"/>
    <cellStyle name="Style 165 7" xfId="15693" xr:uid="{00000000-0005-0000-0000-0000EB5E0000}"/>
    <cellStyle name="Style 165_ADDON" xfId="5753" xr:uid="{00000000-0005-0000-0000-0000EC5E0000}"/>
    <cellStyle name="Style 21" xfId="3869" xr:uid="{00000000-0005-0000-0000-0000ED5E0000}"/>
    <cellStyle name="Style 21 10" xfId="5754" xr:uid="{00000000-0005-0000-0000-0000EE5E0000}"/>
    <cellStyle name="Style 21 11" xfId="5755" xr:uid="{00000000-0005-0000-0000-0000EF5E0000}"/>
    <cellStyle name="Style 21 12" xfId="5756" xr:uid="{00000000-0005-0000-0000-0000F05E0000}"/>
    <cellStyle name="Style 21 2" xfId="5757" xr:uid="{00000000-0005-0000-0000-0000F15E0000}"/>
    <cellStyle name="Style 21 2 2" xfId="5758" xr:uid="{00000000-0005-0000-0000-0000F25E0000}"/>
    <cellStyle name="Style 21 3" xfId="5759" xr:uid="{00000000-0005-0000-0000-0000F35E0000}"/>
    <cellStyle name="Style 21 3 2" xfId="5760" xr:uid="{00000000-0005-0000-0000-0000F45E0000}"/>
    <cellStyle name="Style 21 3 2 2" xfId="5761" xr:uid="{00000000-0005-0000-0000-0000F55E0000}"/>
    <cellStyle name="Style 21 3 2 3" xfId="5762" xr:uid="{00000000-0005-0000-0000-0000F65E0000}"/>
    <cellStyle name="Style 21 3 3" xfId="5763" xr:uid="{00000000-0005-0000-0000-0000F75E0000}"/>
    <cellStyle name="Style 21 3 3 2" xfId="5764" xr:uid="{00000000-0005-0000-0000-0000F85E0000}"/>
    <cellStyle name="Style 21 3 3 2 2" xfId="5765" xr:uid="{00000000-0005-0000-0000-0000F95E0000}"/>
    <cellStyle name="Style 21 3 3 3" xfId="5766" xr:uid="{00000000-0005-0000-0000-0000FA5E0000}"/>
    <cellStyle name="Style 21 3 3 3 2" xfId="5767" xr:uid="{00000000-0005-0000-0000-0000FB5E0000}"/>
    <cellStyle name="Style 21 3 3 3 3" xfId="5768" xr:uid="{00000000-0005-0000-0000-0000FC5E0000}"/>
    <cellStyle name="Style 21 3 3 4" xfId="5769" xr:uid="{00000000-0005-0000-0000-0000FD5E0000}"/>
    <cellStyle name="Style 21 3 3 4 2" xfId="5770" xr:uid="{00000000-0005-0000-0000-0000FE5E0000}"/>
    <cellStyle name="Style 21 3 3 5" xfId="5771" xr:uid="{00000000-0005-0000-0000-0000FF5E0000}"/>
    <cellStyle name="Style 21 3 4" xfId="5772" xr:uid="{00000000-0005-0000-0000-0000005F0000}"/>
    <cellStyle name="Style 21 3 4 2" xfId="15692" xr:uid="{00000000-0005-0000-0000-0000015F0000}"/>
    <cellStyle name="Style 21 3 5" xfId="5773" xr:uid="{00000000-0005-0000-0000-0000025F0000}"/>
    <cellStyle name="Style 21 4" xfId="5774" xr:uid="{00000000-0005-0000-0000-0000035F0000}"/>
    <cellStyle name="Style 21 4 2" xfId="5775" xr:uid="{00000000-0005-0000-0000-0000045F0000}"/>
    <cellStyle name="Style 21 4 2 2" xfId="5776" xr:uid="{00000000-0005-0000-0000-0000055F0000}"/>
    <cellStyle name="Style 21 4 2 2 2" xfId="5777" xr:uid="{00000000-0005-0000-0000-0000065F0000}"/>
    <cellStyle name="Style 21 4 2 3" xfId="5778" xr:uid="{00000000-0005-0000-0000-0000075F0000}"/>
    <cellStyle name="Style 21 4 2 3 2" xfId="5779" xr:uid="{00000000-0005-0000-0000-0000085F0000}"/>
    <cellStyle name="Style 21 4 2 3 3" xfId="5780" xr:uid="{00000000-0005-0000-0000-0000095F0000}"/>
    <cellStyle name="Style 21 4 2 4" xfId="5781" xr:uid="{00000000-0005-0000-0000-00000A5F0000}"/>
    <cellStyle name="Style 21 4 2 4 2" xfId="5782" xr:uid="{00000000-0005-0000-0000-00000B5F0000}"/>
    <cellStyle name="Style 21 4 2 5" xfId="5783" xr:uid="{00000000-0005-0000-0000-00000C5F0000}"/>
    <cellStyle name="Style 21 4 3" xfId="5784" xr:uid="{00000000-0005-0000-0000-00000D5F0000}"/>
    <cellStyle name="Style 21 4 3 2" xfId="5785" xr:uid="{00000000-0005-0000-0000-00000E5F0000}"/>
    <cellStyle name="Style 21 4 4" xfId="5786" xr:uid="{00000000-0005-0000-0000-00000F5F0000}"/>
    <cellStyle name="Style 21 4 4 2" xfId="15691" xr:uid="{00000000-0005-0000-0000-0000105F0000}"/>
    <cellStyle name="Style 21 4 5" xfId="5787" xr:uid="{00000000-0005-0000-0000-0000115F0000}"/>
    <cellStyle name="Style 21 5" xfId="5788" xr:uid="{00000000-0005-0000-0000-0000125F0000}"/>
    <cellStyle name="Style 21 5 2" xfId="5789" xr:uid="{00000000-0005-0000-0000-0000135F0000}"/>
    <cellStyle name="Style 21 5 2 2" xfId="5790" xr:uid="{00000000-0005-0000-0000-0000145F0000}"/>
    <cellStyle name="Style 21 5 2 2 2" xfId="5791" xr:uid="{00000000-0005-0000-0000-0000155F0000}"/>
    <cellStyle name="Style 21 5 2 3" xfId="5792" xr:uid="{00000000-0005-0000-0000-0000165F0000}"/>
    <cellStyle name="Style 21 5 2 3 2" xfId="5793" xr:uid="{00000000-0005-0000-0000-0000175F0000}"/>
    <cellStyle name="Style 21 5 2 3 3" xfId="5794" xr:uid="{00000000-0005-0000-0000-0000185F0000}"/>
    <cellStyle name="Style 21 5 2 4" xfId="5795" xr:uid="{00000000-0005-0000-0000-0000195F0000}"/>
    <cellStyle name="Style 21 5 2 4 2" xfId="15690" xr:uid="{00000000-0005-0000-0000-00001A5F0000}"/>
    <cellStyle name="Style 21 5 2 5" xfId="5796" xr:uid="{00000000-0005-0000-0000-00001B5F0000}"/>
    <cellStyle name="Style 21 5 3" xfId="5797" xr:uid="{00000000-0005-0000-0000-00001C5F0000}"/>
    <cellStyle name="Style 21 5 3 2" xfId="5798" xr:uid="{00000000-0005-0000-0000-00001D5F0000}"/>
    <cellStyle name="Style 21 5 4" xfId="5799" xr:uid="{00000000-0005-0000-0000-00001E5F0000}"/>
    <cellStyle name="Style 21 5 5" xfId="5800" xr:uid="{00000000-0005-0000-0000-00001F5F0000}"/>
    <cellStyle name="Style 21 6" xfId="5801" xr:uid="{00000000-0005-0000-0000-0000205F0000}"/>
    <cellStyle name="Style 21 6 2" xfId="5802" xr:uid="{00000000-0005-0000-0000-0000215F0000}"/>
    <cellStyle name="Style 21 6 2 2" xfId="5803" xr:uid="{00000000-0005-0000-0000-0000225F0000}"/>
    <cellStyle name="Style 21 6 3" xfId="5804" xr:uid="{00000000-0005-0000-0000-0000235F0000}"/>
    <cellStyle name="Style 21 6 3 2" xfId="5805" xr:uid="{00000000-0005-0000-0000-0000245F0000}"/>
    <cellStyle name="Style 21 6 3 3" xfId="5806" xr:uid="{00000000-0005-0000-0000-0000255F0000}"/>
    <cellStyle name="Style 21 6 4" xfId="5807" xr:uid="{00000000-0005-0000-0000-0000265F0000}"/>
    <cellStyle name="Style 21 6 4 2" xfId="5808" xr:uid="{00000000-0005-0000-0000-0000275F0000}"/>
    <cellStyle name="Style 21 6 5" xfId="5809" xr:uid="{00000000-0005-0000-0000-0000285F0000}"/>
    <cellStyle name="Style 21 7" xfId="5810" xr:uid="{00000000-0005-0000-0000-0000295F0000}"/>
    <cellStyle name="Style 21 7 2" xfId="5811" xr:uid="{00000000-0005-0000-0000-00002A5F0000}"/>
    <cellStyle name="Style 21 7 3" xfId="5812" xr:uid="{00000000-0005-0000-0000-00002B5F0000}"/>
    <cellStyle name="Style 21 8" xfId="5813" xr:uid="{00000000-0005-0000-0000-00002C5F0000}"/>
    <cellStyle name="Style 21 8 2" xfId="15689" xr:uid="{00000000-0005-0000-0000-00002D5F0000}"/>
    <cellStyle name="Style 21 8 3" xfId="15688" xr:uid="{00000000-0005-0000-0000-00002E5F0000}"/>
    <cellStyle name="Style 21 9" xfId="5814" xr:uid="{00000000-0005-0000-0000-00002F5F0000}"/>
    <cellStyle name="Style 21_ADDON" xfId="5815" xr:uid="{00000000-0005-0000-0000-0000305F0000}"/>
    <cellStyle name="Style 22" xfId="3870" xr:uid="{00000000-0005-0000-0000-0000315F0000}"/>
    <cellStyle name="Style 22 2" xfId="5816" xr:uid="{00000000-0005-0000-0000-0000325F0000}"/>
    <cellStyle name="Style 22 3" xfId="5817" xr:uid="{00000000-0005-0000-0000-0000335F0000}"/>
    <cellStyle name="Style 22 3 2" xfId="5818" xr:uid="{00000000-0005-0000-0000-0000345F0000}"/>
    <cellStyle name="Style 22 3 3" xfId="5819" xr:uid="{00000000-0005-0000-0000-0000355F0000}"/>
    <cellStyle name="Style 22 3 3 2" xfId="5820" xr:uid="{00000000-0005-0000-0000-0000365F0000}"/>
    <cellStyle name="Style 22 3 3 3" xfId="15687" xr:uid="{00000000-0005-0000-0000-0000375F0000}"/>
    <cellStyle name="Style 22 3 4" xfId="5821" xr:uid="{00000000-0005-0000-0000-0000385F0000}"/>
    <cellStyle name="Style 22 3 4 2" xfId="15686" xr:uid="{00000000-0005-0000-0000-0000395F0000}"/>
    <cellStyle name="Style 22 4" xfId="5822" xr:uid="{00000000-0005-0000-0000-00003A5F0000}"/>
    <cellStyle name="Style 22 4 2" xfId="5823" xr:uid="{00000000-0005-0000-0000-00003B5F0000}"/>
    <cellStyle name="Style 22 4 3" xfId="15685" xr:uid="{00000000-0005-0000-0000-00003C5F0000}"/>
    <cellStyle name="Style 22 5" xfId="5824" xr:uid="{00000000-0005-0000-0000-00003D5F0000}"/>
    <cellStyle name="Style 22 5 2" xfId="15684" xr:uid="{00000000-0005-0000-0000-00003E5F0000}"/>
    <cellStyle name="Style 22 6" xfId="5825" xr:uid="{00000000-0005-0000-0000-00003F5F0000}"/>
    <cellStyle name="Style 22 7" xfId="5826" xr:uid="{00000000-0005-0000-0000-0000405F0000}"/>
    <cellStyle name="Style 22_ADDON" xfId="5827" xr:uid="{00000000-0005-0000-0000-0000415F0000}"/>
    <cellStyle name="Style 23" xfId="3871" xr:uid="{00000000-0005-0000-0000-0000425F0000}"/>
    <cellStyle name="Style 23 2" xfId="5828" xr:uid="{00000000-0005-0000-0000-0000435F0000}"/>
    <cellStyle name="Style 23 2 2" xfId="5829" xr:uid="{00000000-0005-0000-0000-0000445F0000}"/>
    <cellStyle name="Style 23 2 2 2" xfId="5830" xr:uid="{00000000-0005-0000-0000-0000455F0000}"/>
    <cellStyle name="Style 23 2 2 2 2" xfId="15683" xr:uid="{00000000-0005-0000-0000-0000465F0000}"/>
    <cellStyle name="Style 23 2 2 3" xfId="5831" xr:uid="{00000000-0005-0000-0000-0000475F0000}"/>
    <cellStyle name="Style 23 2 3" xfId="5832" xr:uid="{00000000-0005-0000-0000-0000485F0000}"/>
    <cellStyle name="Style 23 2 3 2" xfId="15682" xr:uid="{00000000-0005-0000-0000-0000495F0000}"/>
    <cellStyle name="Style 23 2 4" xfId="5833" xr:uid="{00000000-0005-0000-0000-00004A5F0000}"/>
    <cellStyle name="Style 23 2 5" xfId="5834" xr:uid="{00000000-0005-0000-0000-00004B5F0000}"/>
    <cellStyle name="Style 23 3" xfId="5835" xr:uid="{00000000-0005-0000-0000-00004C5F0000}"/>
    <cellStyle name="Style 23 3 2" xfId="5836" xr:uid="{00000000-0005-0000-0000-00004D5F0000}"/>
    <cellStyle name="Style 23 3 2 2" xfId="5837" xr:uid="{00000000-0005-0000-0000-00004E5F0000}"/>
    <cellStyle name="Style 23 3 2 2 2" xfId="15681" xr:uid="{00000000-0005-0000-0000-00004F5F0000}"/>
    <cellStyle name="Style 23 3 2 3" xfId="5838" xr:uid="{00000000-0005-0000-0000-0000505F0000}"/>
    <cellStyle name="Style 23 3 3" xfId="5839" xr:uid="{00000000-0005-0000-0000-0000515F0000}"/>
    <cellStyle name="Style 23 3 3 2" xfId="5840" xr:uid="{00000000-0005-0000-0000-0000525F0000}"/>
    <cellStyle name="Style 23 3 3 2 2" xfId="15680" xr:uid="{00000000-0005-0000-0000-0000535F0000}"/>
    <cellStyle name="Style 23 3 3 3" xfId="5841" xr:uid="{00000000-0005-0000-0000-0000545F0000}"/>
    <cellStyle name="Style 23 3 4" xfId="5842" xr:uid="{00000000-0005-0000-0000-0000555F0000}"/>
    <cellStyle name="Style 23 3 4 2" xfId="5843" xr:uid="{00000000-0005-0000-0000-0000565F0000}"/>
    <cellStyle name="Style 23 3 5" xfId="5844" xr:uid="{00000000-0005-0000-0000-0000575F0000}"/>
    <cellStyle name="Style 23 4" xfId="5845" xr:uid="{00000000-0005-0000-0000-0000585F0000}"/>
    <cellStyle name="Style 23 4 2" xfId="5846" xr:uid="{00000000-0005-0000-0000-0000595F0000}"/>
    <cellStyle name="Style 23 4 2 2" xfId="15679" xr:uid="{00000000-0005-0000-0000-00005A5F0000}"/>
    <cellStyle name="Style 23 4 3" xfId="5847" xr:uid="{00000000-0005-0000-0000-00005B5F0000}"/>
    <cellStyle name="Style 23 5" xfId="5848" xr:uid="{00000000-0005-0000-0000-00005C5F0000}"/>
    <cellStyle name="Style 23 6" xfId="5849" xr:uid="{00000000-0005-0000-0000-00005D5F0000}"/>
    <cellStyle name="Style 23 7" xfId="15678" xr:uid="{00000000-0005-0000-0000-00005E5F0000}"/>
    <cellStyle name="Style 23_ADDON" xfId="5850" xr:uid="{00000000-0005-0000-0000-00005F5F0000}"/>
    <cellStyle name="Style 24" xfId="3872" xr:uid="{00000000-0005-0000-0000-0000605F0000}"/>
    <cellStyle name="Style 24 2" xfId="5851" xr:uid="{00000000-0005-0000-0000-0000615F0000}"/>
    <cellStyle name="Style 24 3" xfId="5852" xr:uid="{00000000-0005-0000-0000-0000625F0000}"/>
    <cellStyle name="Style 24 3 2" xfId="5853" xr:uid="{00000000-0005-0000-0000-0000635F0000}"/>
    <cellStyle name="Style 24 3 3" xfId="5854" xr:uid="{00000000-0005-0000-0000-0000645F0000}"/>
    <cellStyle name="Style 24 3 3 2" xfId="5855" xr:uid="{00000000-0005-0000-0000-0000655F0000}"/>
    <cellStyle name="Style 24 3 3 3" xfId="15677" xr:uid="{00000000-0005-0000-0000-0000665F0000}"/>
    <cellStyle name="Style 24 3 4" xfId="5856" xr:uid="{00000000-0005-0000-0000-0000675F0000}"/>
    <cellStyle name="Style 24 3 4 2" xfId="15676" xr:uid="{00000000-0005-0000-0000-0000685F0000}"/>
    <cellStyle name="Style 24 4" xfId="5857" xr:uid="{00000000-0005-0000-0000-0000695F0000}"/>
    <cellStyle name="Style 24 4 2" xfId="5858" xr:uid="{00000000-0005-0000-0000-00006A5F0000}"/>
    <cellStyle name="Style 24 4 3" xfId="15675" xr:uid="{00000000-0005-0000-0000-00006B5F0000}"/>
    <cellStyle name="Style 24 5" xfId="5859" xr:uid="{00000000-0005-0000-0000-00006C5F0000}"/>
    <cellStyle name="Style 24 5 2" xfId="15674" xr:uid="{00000000-0005-0000-0000-00006D5F0000}"/>
    <cellStyle name="Style 24 6" xfId="5860" xr:uid="{00000000-0005-0000-0000-00006E5F0000}"/>
    <cellStyle name="Style 24 7" xfId="5861" xr:uid="{00000000-0005-0000-0000-00006F5F0000}"/>
    <cellStyle name="Style 24_ADDON" xfId="5862" xr:uid="{00000000-0005-0000-0000-0000705F0000}"/>
    <cellStyle name="Style 25" xfId="3873" xr:uid="{00000000-0005-0000-0000-0000715F0000}"/>
    <cellStyle name="Style 25 10" xfId="5863" xr:uid="{00000000-0005-0000-0000-0000725F0000}"/>
    <cellStyle name="Style 25 11" xfId="5864" xr:uid="{00000000-0005-0000-0000-0000735F0000}"/>
    <cellStyle name="Style 25 12" xfId="5865" xr:uid="{00000000-0005-0000-0000-0000745F0000}"/>
    <cellStyle name="Style 25 2" xfId="5866" xr:uid="{00000000-0005-0000-0000-0000755F0000}"/>
    <cellStyle name="Style 25 2 2" xfId="5867" xr:uid="{00000000-0005-0000-0000-0000765F0000}"/>
    <cellStyle name="Style 25 3" xfId="5868" xr:uid="{00000000-0005-0000-0000-0000775F0000}"/>
    <cellStyle name="Style 25 3 2" xfId="5869" xr:uid="{00000000-0005-0000-0000-0000785F0000}"/>
    <cellStyle name="Style 25 3 2 2" xfId="5870" xr:uid="{00000000-0005-0000-0000-0000795F0000}"/>
    <cellStyle name="Style 25 3 2 3" xfId="5871" xr:uid="{00000000-0005-0000-0000-00007A5F0000}"/>
    <cellStyle name="Style 25 3 3" xfId="5872" xr:uid="{00000000-0005-0000-0000-00007B5F0000}"/>
    <cellStyle name="Style 25 3 3 2" xfId="5873" xr:uid="{00000000-0005-0000-0000-00007C5F0000}"/>
    <cellStyle name="Style 25 3 3 2 2" xfId="5874" xr:uid="{00000000-0005-0000-0000-00007D5F0000}"/>
    <cellStyle name="Style 25 3 3 3" xfId="5875" xr:uid="{00000000-0005-0000-0000-00007E5F0000}"/>
    <cellStyle name="Style 25 3 3 3 2" xfId="5876" xr:uid="{00000000-0005-0000-0000-00007F5F0000}"/>
    <cellStyle name="Style 25 3 3 3 3" xfId="5877" xr:uid="{00000000-0005-0000-0000-0000805F0000}"/>
    <cellStyle name="Style 25 3 3 4" xfId="5878" xr:uid="{00000000-0005-0000-0000-0000815F0000}"/>
    <cellStyle name="Style 25 3 3 4 2" xfId="5879" xr:uid="{00000000-0005-0000-0000-0000825F0000}"/>
    <cellStyle name="Style 25 3 3 5" xfId="5880" xr:uid="{00000000-0005-0000-0000-0000835F0000}"/>
    <cellStyle name="Style 25 3 4" xfId="5881" xr:uid="{00000000-0005-0000-0000-0000845F0000}"/>
    <cellStyle name="Style 25 3 4 2" xfId="15673" xr:uid="{00000000-0005-0000-0000-0000855F0000}"/>
    <cellStyle name="Style 25 3 5" xfId="5882" xr:uid="{00000000-0005-0000-0000-0000865F0000}"/>
    <cellStyle name="Style 25 4" xfId="5883" xr:uid="{00000000-0005-0000-0000-0000875F0000}"/>
    <cellStyle name="Style 25 4 2" xfId="5884" xr:uid="{00000000-0005-0000-0000-0000885F0000}"/>
    <cellStyle name="Style 25 4 2 2" xfId="5885" xr:uid="{00000000-0005-0000-0000-0000895F0000}"/>
    <cellStyle name="Style 25 4 2 2 2" xfId="5886" xr:uid="{00000000-0005-0000-0000-00008A5F0000}"/>
    <cellStyle name="Style 25 4 2 3" xfId="5887" xr:uid="{00000000-0005-0000-0000-00008B5F0000}"/>
    <cellStyle name="Style 25 4 2 3 2" xfId="5888" xr:uid="{00000000-0005-0000-0000-00008C5F0000}"/>
    <cellStyle name="Style 25 4 2 3 3" xfId="5889" xr:uid="{00000000-0005-0000-0000-00008D5F0000}"/>
    <cellStyle name="Style 25 4 2 4" xfId="5890" xr:uid="{00000000-0005-0000-0000-00008E5F0000}"/>
    <cellStyle name="Style 25 4 2 4 2" xfId="5891" xr:uid="{00000000-0005-0000-0000-00008F5F0000}"/>
    <cellStyle name="Style 25 4 2 5" xfId="5892" xr:uid="{00000000-0005-0000-0000-0000905F0000}"/>
    <cellStyle name="Style 25 4 3" xfId="5893" xr:uid="{00000000-0005-0000-0000-0000915F0000}"/>
    <cellStyle name="Style 25 4 3 2" xfId="5894" xr:uid="{00000000-0005-0000-0000-0000925F0000}"/>
    <cellStyle name="Style 25 4 4" xfId="5895" xr:uid="{00000000-0005-0000-0000-0000935F0000}"/>
    <cellStyle name="Style 25 4 4 2" xfId="15672" xr:uid="{00000000-0005-0000-0000-0000945F0000}"/>
    <cellStyle name="Style 25 4 5" xfId="5896" xr:uid="{00000000-0005-0000-0000-0000955F0000}"/>
    <cellStyle name="Style 25 5" xfId="5897" xr:uid="{00000000-0005-0000-0000-0000965F0000}"/>
    <cellStyle name="Style 25 5 2" xfId="5898" xr:uid="{00000000-0005-0000-0000-0000975F0000}"/>
    <cellStyle name="Style 25 5 2 2" xfId="5899" xr:uid="{00000000-0005-0000-0000-0000985F0000}"/>
    <cellStyle name="Style 25 5 2 2 2" xfId="5900" xr:uid="{00000000-0005-0000-0000-0000995F0000}"/>
    <cellStyle name="Style 25 5 2 3" xfId="5901" xr:uid="{00000000-0005-0000-0000-00009A5F0000}"/>
    <cellStyle name="Style 25 5 2 3 2" xfId="5902" xr:uid="{00000000-0005-0000-0000-00009B5F0000}"/>
    <cellStyle name="Style 25 5 2 3 3" xfId="5903" xr:uid="{00000000-0005-0000-0000-00009C5F0000}"/>
    <cellStyle name="Style 25 5 2 4" xfId="5904" xr:uid="{00000000-0005-0000-0000-00009D5F0000}"/>
    <cellStyle name="Style 25 5 2 4 2" xfId="15671" xr:uid="{00000000-0005-0000-0000-00009E5F0000}"/>
    <cellStyle name="Style 25 5 2 5" xfId="5905" xr:uid="{00000000-0005-0000-0000-00009F5F0000}"/>
    <cellStyle name="Style 25 5 3" xfId="5906" xr:uid="{00000000-0005-0000-0000-0000A05F0000}"/>
    <cellStyle name="Style 25 5 3 2" xfId="5907" xr:uid="{00000000-0005-0000-0000-0000A15F0000}"/>
    <cellStyle name="Style 25 5 4" xfId="5908" xr:uid="{00000000-0005-0000-0000-0000A25F0000}"/>
    <cellStyle name="Style 25 5 5" xfId="5909" xr:uid="{00000000-0005-0000-0000-0000A35F0000}"/>
    <cellStyle name="Style 25 6" xfId="5910" xr:uid="{00000000-0005-0000-0000-0000A45F0000}"/>
    <cellStyle name="Style 25 6 2" xfId="5911" xr:uid="{00000000-0005-0000-0000-0000A55F0000}"/>
    <cellStyle name="Style 25 6 2 2" xfId="5912" xr:uid="{00000000-0005-0000-0000-0000A65F0000}"/>
    <cellStyle name="Style 25 6 3" xfId="5913" xr:uid="{00000000-0005-0000-0000-0000A75F0000}"/>
    <cellStyle name="Style 25 6 3 2" xfId="5914" xr:uid="{00000000-0005-0000-0000-0000A85F0000}"/>
    <cellStyle name="Style 25 6 3 3" xfId="5915" xr:uid="{00000000-0005-0000-0000-0000A95F0000}"/>
    <cellStyle name="Style 25 6 4" xfId="5916" xr:uid="{00000000-0005-0000-0000-0000AA5F0000}"/>
    <cellStyle name="Style 25 6 4 2" xfId="5917" xr:uid="{00000000-0005-0000-0000-0000AB5F0000}"/>
    <cellStyle name="Style 25 6 5" xfId="5918" xr:uid="{00000000-0005-0000-0000-0000AC5F0000}"/>
    <cellStyle name="Style 25 7" xfId="5919" xr:uid="{00000000-0005-0000-0000-0000AD5F0000}"/>
    <cellStyle name="Style 25 7 2" xfId="5920" xr:uid="{00000000-0005-0000-0000-0000AE5F0000}"/>
    <cellStyle name="Style 25 7 3" xfId="5921" xr:uid="{00000000-0005-0000-0000-0000AF5F0000}"/>
    <cellStyle name="Style 25 8" xfId="5922" xr:uid="{00000000-0005-0000-0000-0000B05F0000}"/>
    <cellStyle name="Style 25 8 2" xfId="15670" xr:uid="{00000000-0005-0000-0000-0000B15F0000}"/>
    <cellStyle name="Style 25 8 3" xfId="15669" xr:uid="{00000000-0005-0000-0000-0000B25F0000}"/>
    <cellStyle name="Style 25 9" xfId="5923" xr:uid="{00000000-0005-0000-0000-0000B35F0000}"/>
    <cellStyle name="Style 25_ADDON" xfId="5924" xr:uid="{00000000-0005-0000-0000-0000B45F0000}"/>
    <cellStyle name="Style 26" xfId="3874" xr:uid="{00000000-0005-0000-0000-0000B55F0000}"/>
    <cellStyle name="Style 26 2" xfId="5925" xr:uid="{00000000-0005-0000-0000-0000B65F0000}"/>
    <cellStyle name="Style 26 2 2" xfId="5926" xr:uid="{00000000-0005-0000-0000-0000B75F0000}"/>
    <cellStyle name="Style 26 2 2 2" xfId="5927" xr:uid="{00000000-0005-0000-0000-0000B85F0000}"/>
    <cellStyle name="Style 26 2 2 2 2" xfId="15668" xr:uid="{00000000-0005-0000-0000-0000B95F0000}"/>
    <cellStyle name="Style 26 2 2 3" xfId="5928" xr:uid="{00000000-0005-0000-0000-0000BA5F0000}"/>
    <cellStyle name="Style 26 2 3" xfId="5929" xr:uid="{00000000-0005-0000-0000-0000BB5F0000}"/>
    <cellStyle name="Style 26 2 3 2" xfId="15667" xr:uid="{00000000-0005-0000-0000-0000BC5F0000}"/>
    <cellStyle name="Style 26 2 4" xfId="5930" xr:uid="{00000000-0005-0000-0000-0000BD5F0000}"/>
    <cellStyle name="Style 26 2 5" xfId="5931" xr:uid="{00000000-0005-0000-0000-0000BE5F0000}"/>
    <cellStyle name="Style 26 3" xfId="5932" xr:uid="{00000000-0005-0000-0000-0000BF5F0000}"/>
    <cellStyle name="Style 26 3 2" xfId="5933" xr:uid="{00000000-0005-0000-0000-0000C05F0000}"/>
    <cellStyle name="Style 26 3 2 2" xfId="5934" xr:uid="{00000000-0005-0000-0000-0000C15F0000}"/>
    <cellStyle name="Style 26 3 2 2 2" xfId="15666" xr:uid="{00000000-0005-0000-0000-0000C25F0000}"/>
    <cellStyle name="Style 26 3 2 3" xfId="5935" xr:uid="{00000000-0005-0000-0000-0000C35F0000}"/>
    <cellStyle name="Style 26 3 3" xfId="5936" xr:uid="{00000000-0005-0000-0000-0000C45F0000}"/>
    <cellStyle name="Style 26 3 3 2" xfId="5937" xr:uid="{00000000-0005-0000-0000-0000C55F0000}"/>
    <cellStyle name="Style 26 3 3 2 2" xfId="15665" xr:uid="{00000000-0005-0000-0000-0000C65F0000}"/>
    <cellStyle name="Style 26 3 3 3" xfId="5938" xr:uid="{00000000-0005-0000-0000-0000C75F0000}"/>
    <cellStyle name="Style 26 3 4" xfId="5939" xr:uid="{00000000-0005-0000-0000-0000C85F0000}"/>
    <cellStyle name="Style 26 3 4 2" xfId="5940" xr:uid="{00000000-0005-0000-0000-0000C95F0000}"/>
    <cellStyle name="Style 26 3 5" xfId="5941" xr:uid="{00000000-0005-0000-0000-0000CA5F0000}"/>
    <cellStyle name="Style 26 4" xfId="5942" xr:uid="{00000000-0005-0000-0000-0000CB5F0000}"/>
    <cellStyle name="Style 26 4 2" xfId="5943" xr:uid="{00000000-0005-0000-0000-0000CC5F0000}"/>
    <cellStyle name="Style 26 4 2 2" xfId="15664" xr:uid="{00000000-0005-0000-0000-0000CD5F0000}"/>
    <cellStyle name="Style 26 4 3" xfId="5944" xr:uid="{00000000-0005-0000-0000-0000CE5F0000}"/>
    <cellStyle name="Style 26 5" xfId="5945" xr:uid="{00000000-0005-0000-0000-0000CF5F0000}"/>
    <cellStyle name="Style 26 6" xfId="5946" xr:uid="{00000000-0005-0000-0000-0000D05F0000}"/>
    <cellStyle name="Style 26 7" xfId="15663" xr:uid="{00000000-0005-0000-0000-0000D15F0000}"/>
    <cellStyle name="Style 26_ADDON" xfId="5947" xr:uid="{00000000-0005-0000-0000-0000D25F0000}"/>
    <cellStyle name="Style 27" xfId="3875" xr:uid="{00000000-0005-0000-0000-0000D35F0000}"/>
    <cellStyle name="Style 27 2" xfId="5948" xr:uid="{00000000-0005-0000-0000-0000D45F0000}"/>
    <cellStyle name="Style 27 2 2" xfId="5949" xr:uid="{00000000-0005-0000-0000-0000D55F0000}"/>
    <cellStyle name="Style 27 2 2 2" xfId="5950" xr:uid="{00000000-0005-0000-0000-0000D65F0000}"/>
    <cellStyle name="Style 27 2 2 2 2" xfId="15662" xr:uid="{00000000-0005-0000-0000-0000D75F0000}"/>
    <cellStyle name="Style 27 2 2 3" xfId="5951" xr:uid="{00000000-0005-0000-0000-0000D85F0000}"/>
    <cellStyle name="Style 27 2 3" xfId="5952" xr:uid="{00000000-0005-0000-0000-0000D95F0000}"/>
    <cellStyle name="Style 27 2 3 2" xfId="15661" xr:uid="{00000000-0005-0000-0000-0000DA5F0000}"/>
    <cellStyle name="Style 27 2 4" xfId="5953" xr:uid="{00000000-0005-0000-0000-0000DB5F0000}"/>
    <cellStyle name="Style 27 2 5" xfId="5954" xr:uid="{00000000-0005-0000-0000-0000DC5F0000}"/>
    <cellStyle name="Style 27 3" xfId="5955" xr:uid="{00000000-0005-0000-0000-0000DD5F0000}"/>
    <cellStyle name="Style 27 3 2" xfId="5956" xr:uid="{00000000-0005-0000-0000-0000DE5F0000}"/>
    <cellStyle name="Style 27 3 2 2" xfId="5957" xr:uid="{00000000-0005-0000-0000-0000DF5F0000}"/>
    <cellStyle name="Style 27 3 2 2 2" xfId="15660" xr:uid="{00000000-0005-0000-0000-0000E05F0000}"/>
    <cellStyle name="Style 27 3 2 3" xfId="5958" xr:uid="{00000000-0005-0000-0000-0000E15F0000}"/>
    <cellStyle name="Style 27 3 3" xfId="5959" xr:uid="{00000000-0005-0000-0000-0000E25F0000}"/>
    <cellStyle name="Style 27 3 3 2" xfId="5960" xr:uid="{00000000-0005-0000-0000-0000E35F0000}"/>
    <cellStyle name="Style 27 3 3 2 2" xfId="15659" xr:uid="{00000000-0005-0000-0000-0000E45F0000}"/>
    <cellStyle name="Style 27 3 3 3" xfId="5961" xr:uid="{00000000-0005-0000-0000-0000E55F0000}"/>
    <cellStyle name="Style 27 3 4" xfId="5962" xr:uid="{00000000-0005-0000-0000-0000E65F0000}"/>
    <cellStyle name="Style 27 3 4 2" xfId="5963" xr:uid="{00000000-0005-0000-0000-0000E75F0000}"/>
    <cellStyle name="Style 27 3 5" xfId="5964" xr:uid="{00000000-0005-0000-0000-0000E85F0000}"/>
    <cellStyle name="Style 27 4" xfId="5965" xr:uid="{00000000-0005-0000-0000-0000E95F0000}"/>
    <cellStyle name="Style 27 4 2" xfId="5966" xr:uid="{00000000-0005-0000-0000-0000EA5F0000}"/>
    <cellStyle name="Style 27 4 2 2" xfId="15658" xr:uid="{00000000-0005-0000-0000-0000EB5F0000}"/>
    <cellStyle name="Style 27 4 3" xfId="5967" xr:uid="{00000000-0005-0000-0000-0000EC5F0000}"/>
    <cellStyle name="Style 27 5" xfId="5968" xr:uid="{00000000-0005-0000-0000-0000ED5F0000}"/>
    <cellStyle name="Style 27 6" xfId="5969" xr:uid="{00000000-0005-0000-0000-0000EE5F0000}"/>
    <cellStyle name="Style 27 7" xfId="15657" xr:uid="{00000000-0005-0000-0000-0000EF5F0000}"/>
    <cellStyle name="Style 27_ADDON" xfId="5970" xr:uid="{00000000-0005-0000-0000-0000F05F0000}"/>
    <cellStyle name="Style 35" xfId="3876" xr:uid="{00000000-0005-0000-0000-0000F15F0000}"/>
    <cellStyle name="Style 35 10" xfId="5971" xr:uid="{00000000-0005-0000-0000-0000F25F0000}"/>
    <cellStyle name="Style 35 11" xfId="5972" xr:uid="{00000000-0005-0000-0000-0000F35F0000}"/>
    <cellStyle name="Style 35 12" xfId="5973" xr:uid="{00000000-0005-0000-0000-0000F45F0000}"/>
    <cellStyle name="Style 35 2" xfId="5974" xr:uid="{00000000-0005-0000-0000-0000F55F0000}"/>
    <cellStyle name="Style 35 2 2" xfId="5975" xr:uid="{00000000-0005-0000-0000-0000F65F0000}"/>
    <cellStyle name="Style 35 3" xfId="5976" xr:uid="{00000000-0005-0000-0000-0000F75F0000}"/>
    <cellStyle name="Style 35 3 2" xfId="5977" xr:uid="{00000000-0005-0000-0000-0000F85F0000}"/>
    <cellStyle name="Style 35 3 2 2" xfId="5978" xr:uid="{00000000-0005-0000-0000-0000F95F0000}"/>
    <cellStyle name="Style 35 3 2 3" xfId="5979" xr:uid="{00000000-0005-0000-0000-0000FA5F0000}"/>
    <cellStyle name="Style 35 3 3" xfId="5980" xr:uid="{00000000-0005-0000-0000-0000FB5F0000}"/>
    <cellStyle name="Style 35 3 3 2" xfId="5981" xr:uid="{00000000-0005-0000-0000-0000FC5F0000}"/>
    <cellStyle name="Style 35 3 3 2 2" xfId="5982" xr:uid="{00000000-0005-0000-0000-0000FD5F0000}"/>
    <cellStyle name="Style 35 3 3 3" xfId="5983" xr:uid="{00000000-0005-0000-0000-0000FE5F0000}"/>
    <cellStyle name="Style 35 3 3 3 2" xfId="5984" xr:uid="{00000000-0005-0000-0000-0000FF5F0000}"/>
    <cellStyle name="Style 35 3 3 3 3" xfId="5985" xr:uid="{00000000-0005-0000-0000-000000600000}"/>
    <cellStyle name="Style 35 3 3 4" xfId="5986" xr:uid="{00000000-0005-0000-0000-000001600000}"/>
    <cellStyle name="Style 35 3 3 4 2" xfId="5987" xr:uid="{00000000-0005-0000-0000-000002600000}"/>
    <cellStyle name="Style 35 3 3 5" xfId="5988" xr:uid="{00000000-0005-0000-0000-000003600000}"/>
    <cellStyle name="Style 35 3 4" xfId="5989" xr:uid="{00000000-0005-0000-0000-000004600000}"/>
    <cellStyle name="Style 35 3 4 2" xfId="17100" xr:uid="{00000000-0005-0000-0000-000005600000}"/>
    <cellStyle name="Style 35 3 5" xfId="5990" xr:uid="{00000000-0005-0000-0000-000006600000}"/>
    <cellStyle name="Style 35 4" xfId="5991" xr:uid="{00000000-0005-0000-0000-000007600000}"/>
    <cellStyle name="Style 35 4 2" xfId="5992" xr:uid="{00000000-0005-0000-0000-000008600000}"/>
    <cellStyle name="Style 35 4 2 2" xfId="5993" xr:uid="{00000000-0005-0000-0000-000009600000}"/>
    <cellStyle name="Style 35 4 2 2 2" xfId="5994" xr:uid="{00000000-0005-0000-0000-00000A600000}"/>
    <cellStyle name="Style 35 4 2 3" xfId="5995" xr:uid="{00000000-0005-0000-0000-00000B600000}"/>
    <cellStyle name="Style 35 4 2 3 2" xfId="5996" xr:uid="{00000000-0005-0000-0000-00000C600000}"/>
    <cellStyle name="Style 35 4 2 3 3" xfId="5997" xr:uid="{00000000-0005-0000-0000-00000D600000}"/>
    <cellStyle name="Style 35 4 2 4" xfId="5998" xr:uid="{00000000-0005-0000-0000-00000E600000}"/>
    <cellStyle name="Style 35 4 2 4 2" xfId="5999" xr:uid="{00000000-0005-0000-0000-00000F600000}"/>
    <cellStyle name="Style 35 4 2 5" xfId="6000" xr:uid="{00000000-0005-0000-0000-000010600000}"/>
    <cellStyle name="Style 35 4 3" xfId="6001" xr:uid="{00000000-0005-0000-0000-000011600000}"/>
    <cellStyle name="Style 35 4 3 2" xfId="6002" xr:uid="{00000000-0005-0000-0000-000012600000}"/>
    <cellStyle name="Style 35 4 4" xfId="6003" xr:uid="{00000000-0005-0000-0000-000013600000}"/>
    <cellStyle name="Style 35 4 4 2" xfId="16909" xr:uid="{00000000-0005-0000-0000-000014600000}"/>
    <cellStyle name="Style 35 4 5" xfId="6004" xr:uid="{00000000-0005-0000-0000-000015600000}"/>
    <cellStyle name="Style 35 5" xfId="6005" xr:uid="{00000000-0005-0000-0000-000016600000}"/>
    <cellStyle name="Style 35 5 2" xfId="6006" xr:uid="{00000000-0005-0000-0000-000017600000}"/>
    <cellStyle name="Style 35 5 2 2" xfId="6007" xr:uid="{00000000-0005-0000-0000-000018600000}"/>
    <cellStyle name="Style 35 5 2 2 2" xfId="6008" xr:uid="{00000000-0005-0000-0000-000019600000}"/>
    <cellStyle name="Style 35 5 2 3" xfId="6009" xr:uid="{00000000-0005-0000-0000-00001A600000}"/>
    <cellStyle name="Style 35 5 2 3 2" xfId="6010" xr:uid="{00000000-0005-0000-0000-00001B600000}"/>
    <cellStyle name="Style 35 5 2 3 3" xfId="6011" xr:uid="{00000000-0005-0000-0000-00001C600000}"/>
    <cellStyle name="Style 35 5 2 4" xfId="6012" xr:uid="{00000000-0005-0000-0000-00001D600000}"/>
    <cellStyle name="Style 35 5 2 4 2" xfId="15870" xr:uid="{00000000-0005-0000-0000-00001E600000}"/>
    <cellStyle name="Style 35 5 2 5" xfId="6013" xr:uid="{00000000-0005-0000-0000-00001F600000}"/>
    <cellStyle name="Style 35 5 3" xfId="6014" xr:uid="{00000000-0005-0000-0000-000020600000}"/>
    <cellStyle name="Style 35 5 3 2" xfId="6015" xr:uid="{00000000-0005-0000-0000-000021600000}"/>
    <cellStyle name="Style 35 5 4" xfId="6016" xr:uid="{00000000-0005-0000-0000-000022600000}"/>
    <cellStyle name="Style 35 5 5" xfId="6017" xr:uid="{00000000-0005-0000-0000-000023600000}"/>
    <cellStyle name="Style 35 6" xfId="6018" xr:uid="{00000000-0005-0000-0000-000024600000}"/>
    <cellStyle name="Style 35 6 2" xfId="6019" xr:uid="{00000000-0005-0000-0000-000025600000}"/>
    <cellStyle name="Style 35 6 2 2" xfId="6020" xr:uid="{00000000-0005-0000-0000-000026600000}"/>
    <cellStyle name="Style 35 6 3" xfId="6021" xr:uid="{00000000-0005-0000-0000-000027600000}"/>
    <cellStyle name="Style 35 6 3 2" xfId="6022" xr:uid="{00000000-0005-0000-0000-000028600000}"/>
    <cellStyle name="Style 35 6 3 3" xfId="6023" xr:uid="{00000000-0005-0000-0000-000029600000}"/>
    <cellStyle name="Style 35 6 4" xfId="6024" xr:uid="{00000000-0005-0000-0000-00002A600000}"/>
    <cellStyle name="Style 35 6 4 2" xfId="6025" xr:uid="{00000000-0005-0000-0000-00002B600000}"/>
    <cellStyle name="Style 35 6 5" xfId="6026" xr:uid="{00000000-0005-0000-0000-00002C600000}"/>
    <cellStyle name="Style 35 7" xfId="6027" xr:uid="{00000000-0005-0000-0000-00002D600000}"/>
    <cellStyle name="Style 35 7 2" xfId="6028" xr:uid="{00000000-0005-0000-0000-00002E600000}"/>
    <cellStyle name="Style 35 7 3" xfId="6029" xr:uid="{00000000-0005-0000-0000-00002F600000}"/>
    <cellStyle name="Style 35 8" xfId="6030" xr:uid="{00000000-0005-0000-0000-000030600000}"/>
    <cellStyle name="Style 35 8 2" xfId="15634" xr:uid="{00000000-0005-0000-0000-000031600000}"/>
    <cellStyle name="Style 35 8 3" xfId="15869" xr:uid="{00000000-0005-0000-0000-000032600000}"/>
    <cellStyle name="Style 35 9" xfId="6031" xr:uid="{00000000-0005-0000-0000-000033600000}"/>
    <cellStyle name="Style 35_ADDON" xfId="6032" xr:uid="{00000000-0005-0000-0000-000034600000}"/>
    <cellStyle name="Style 36" xfId="3877" xr:uid="{00000000-0005-0000-0000-000035600000}"/>
    <cellStyle name="Style 36 2" xfId="6033" xr:uid="{00000000-0005-0000-0000-000036600000}"/>
    <cellStyle name="Style 36 3" xfId="6034" xr:uid="{00000000-0005-0000-0000-000037600000}"/>
    <cellStyle name="Style 36 3 2" xfId="6035" xr:uid="{00000000-0005-0000-0000-000038600000}"/>
    <cellStyle name="Style 36 3 3" xfId="6036" xr:uid="{00000000-0005-0000-0000-000039600000}"/>
    <cellStyle name="Style 36 3 3 2" xfId="6037" xr:uid="{00000000-0005-0000-0000-00003A600000}"/>
    <cellStyle name="Style 36 3 3 3" xfId="15775" xr:uid="{00000000-0005-0000-0000-00003B600000}"/>
    <cellStyle name="Style 36 3 4" xfId="6038" xr:uid="{00000000-0005-0000-0000-00003C600000}"/>
    <cellStyle name="Style 36 3 4 2" xfId="15868" xr:uid="{00000000-0005-0000-0000-00003D600000}"/>
    <cellStyle name="Style 36 4" xfId="6039" xr:uid="{00000000-0005-0000-0000-00003E600000}"/>
    <cellStyle name="Style 36 4 2" xfId="6040" xr:uid="{00000000-0005-0000-0000-00003F600000}"/>
    <cellStyle name="Style 36 4 3" xfId="15774" xr:uid="{00000000-0005-0000-0000-000040600000}"/>
    <cellStyle name="Style 36 5" xfId="6041" xr:uid="{00000000-0005-0000-0000-000041600000}"/>
    <cellStyle name="Style 36 5 2" xfId="15867" xr:uid="{00000000-0005-0000-0000-000042600000}"/>
    <cellStyle name="Style 36 6" xfId="6042" xr:uid="{00000000-0005-0000-0000-000043600000}"/>
    <cellStyle name="Style 36 7" xfId="6043" xr:uid="{00000000-0005-0000-0000-000044600000}"/>
    <cellStyle name="Style 36_ADDON" xfId="6044" xr:uid="{00000000-0005-0000-0000-000045600000}"/>
    <cellStyle name="Style 37" xfId="3878" xr:uid="{00000000-0005-0000-0000-000046600000}"/>
    <cellStyle name="Style 37 2" xfId="6045" xr:uid="{00000000-0005-0000-0000-000047600000}"/>
    <cellStyle name="Style 37 2 2" xfId="6046" xr:uid="{00000000-0005-0000-0000-000048600000}"/>
    <cellStyle name="Style 37 2 2 2" xfId="6047" xr:uid="{00000000-0005-0000-0000-000049600000}"/>
    <cellStyle name="Style 37 2 2 2 2" xfId="16922" xr:uid="{00000000-0005-0000-0000-00004A600000}"/>
    <cellStyle name="Style 37 2 2 3" xfId="6048" xr:uid="{00000000-0005-0000-0000-00004B600000}"/>
    <cellStyle name="Style 37 2 3" xfId="6049" xr:uid="{00000000-0005-0000-0000-00004C600000}"/>
    <cellStyle name="Style 37 2 3 2" xfId="16947" xr:uid="{00000000-0005-0000-0000-00004D600000}"/>
    <cellStyle name="Style 37 2 4" xfId="6050" xr:uid="{00000000-0005-0000-0000-00004E600000}"/>
    <cellStyle name="Style 37 2 5" xfId="6051" xr:uid="{00000000-0005-0000-0000-00004F600000}"/>
    <cellStyle name="Style 37 3" xfId="6052" xr:uid="{00000000-0005-0000-0000-000050600000}"/>
    <cellStyle name="Style 37 3 2" xfId="6053" xr:uid="{00000000-0005-0000-0000-000051600000}"/>
    <cellStyle name="Style 37 3 2 2" xfId="6054" xr:uid="{00000000-0005-0000-0000-000052600000}"/>
    <cellStyle name="Style 37 3 2 2 2" xfId="16635" xr:uid="{00000000-0005-0000-0000-000053600000}"/>
    <cellStyle name="Style 37 3 2 3" xfId="6055" xr:uid="{00000000-0005-0000-0000-000054600000}"/>
    <cellStyle name="Style 37 3 3" xfId="6056" xr:uid="{00000000-0005-0000-0000-000055600000}"/>
    <cellStyle name="Style 37 3 3 2" xfId="6057" xr:uid="{00000000-0005-0000-0000-000056600000}"/>
    <cellStyle name="Style 37 3 3 2 2" xfId="16124" xr:uid="{00000000-0005-0000-0000-000057600000}"/>
    <cellStyle name="Style 37 3 3 3" xfId="6058" xr:uid="{00000000-0005-0000-0000-000058600000}"/>
    <cellStyle name="Style 37 3 4" xfId="6059" xr:uid="{00000000-0005-0000-0000-000059600000}"/>
    <cellStyle name="Style 37 3 4 2" xfId="6060" xr:uid="{00000000-0005-0000-0000-00005A600000}"/>
    <cellStyle name="Style 37 3 5" xfId="6061" xr:uid="{00000000-0005-0000-0000-00005B600000}"/>
    <cellStyle name="Style 37 4" xfId="6062" xr:uid="{00000000-0005-0000-0000-00005C600000}"/>
    <cellStyle name="Style 37 4 2" xfId="6063" xr:uid="{00000000-0005-0000-0000-00005D600000}"/>
    <cellStyle name="Style 37 4 2 2" xfId="17126" xr:uid="{00000000-0005-0000-0000-00005E600000}"/>
    <cellStyle name="Style 37 4 3" xfId="6064" xr:uid="{00000000-0005-0000-0000-00005F600000}"/>
    <cellStyle name="Style 37 5" xfId="6065" xr:uid="{00000000-0005-0000-0000-000060600000}"/>
    <cellStyle name="Style 37 6" xfId="6066" xr:uid="{00000000-0005-0000-0000-000061600000}"/>
    <cellStyle name="Style 37 7" xfId="15501" xr:uid="{00000000-0005-0000-0000-000062600000}"/>
    <cellStyle name="Style 37_ADDON" xfId="6067" xr:uid="{00000000-0005-0000-0000-000063600000}"/>
    <cellStyle name="Style 38" xfId="3879" xr:uid="{00000000-0005-0000-0000-000064600000}"/>
    <cellStyle name="Style 38 2" xfId="6068" xr:uid="{00000000-0005-0000-0000-000065600000}"/>
    <cellStyle name="Style 38 3" xfId="6069" xr:uid="{00000000-0005-0000-0000-000066600000}"/>
    <cellStyle name="Style 38 3 2" xfId="6070" xr:uid="{00000000-0005-0000-0000-000067600000}"/>
    <cellStyle name="Style 38 3 3" xfId="6071" xr:uid="{00000000-0005-0000-0000-000068600000}"/>
    <cellStyle name="Style 38 3 3 2" xfId="6072" xr:uid="{00000000-0005-0000-0000-000069600000}"/>
    <cellStyle name="Style 38 3 3 3" xfId="16340" xr:uid="{00000000-0005-0000-0000-00006A600000}"/>
    <cellStyle name="Style 38 3 4" xfId="6073" xr:uid="{00000000-0005-0000-0000-00006B600000}"/>
    <cellStyle name="Style 38 3 4 2" xfId="15785" xr:uid="{00000000-0005-0000-0000-00006C600000}"/>
    <cellStyle name="Style 38 4" xfId="6074" xr:uid="{00000000-0005-0000-0000-00006D600000}"/>
    <cellStyle name="Style 38 4 2" xfId="6075" xr:uid="{00000000-0005-0000-0000-00006E600000}"/>
    <cellStyle name="Style 38 4 3" xfId="15784" xr:uid="{00000000-0005-0000-0000-00006F600000}"/>
    <cellStyle name="Style 38 5" xfId="6076" xr:uid="{00000000-0005-0000-0000-000070600000}"/>
    <cellStyle name="Style 38 5 2" xfId="15773" xr:uid="{00000000-0005-0000-0000-000071600000}"/>
    <cellStyle name="Style 38 6" xfId="6077" xr:uid="{00000000-0005-0000-0000-000072600000}"/>
    <cellStyle name="Style 38 7" xfId="6078" xr:uid="{00000000-0005-0000-0000-000073600000}"/>
    <cellStyle name="Style 38_ADDON" xfId="6079" xr:uid="{00000000-0005-0000-0000-000074600000}"/>
    <cellStyle name="Style 39" xfId="3880" xr:uid="{00000000-0005-0000-0000-000075600000}"/>
    <cellStyle name="Style 39 10" xfId="6080" xr:uid="{00000000-0005-0000-0000-000076600000}"/>
    <cellStyle name="Style 39 11" xfId="6081" xr:uid="{00000000-0005-0000-0000-000077600000}"/>
    <cellStyle name="Style 39 12" xfId="6082" xr:uid="{00000000-0005-0000-0000-000078600000}"/>
    <cellStyle name="Style 39 2" xfId="6083" xr:uid="{00000000-0005-0000-0000-000079600000}"/>
    <cellStyle name="Style 39 2 2" xfId="6084" xr:uid="{00000000-0005-0000-0000-00007A600000}"/>
    <cellStyle name="Style 39 3" xfId="6085" xr:uid="{00000000-0005-0000-0000-00007B600000}"/>
    <cellStyle name="Style 39 3 2" xfId="6086" xr:uid="{00000000-0005-0000-0000-00007C600000}"/>
    <cellStyle name="Style 39 3 2 2" xfId="6087" xr:uid="{00000000-0005-0000-0000-00007D600000}"/>
    <cellStyle name="Style 39 3 2 3" xfId="6088" xr:uid="{00000000-0005-0000-0000-00007E600000}"/>
    <cellStyle name="Style 39 3 3" xfId="6089" xr:uid="{00000000-0005-0000-0000-00007F600000}"/>
    <cellStyle name="Style 39 3 3 2" xfId="6090" xr:uid="{00000000-0005-0000-0000-000080600000}"/>
    <cellStyle name="Style 39 3 3 2 2" xfId="6091" xr:uid="{00000000-0005-0000-0000-000081600000}"/>
    <cellStyle name="Style 39 3 3 3" xfId="6092" xr:uid="{00000000-0005-0000-0000-000082600000}"/>
    <cellStyle name="Style 39 3 3 3 2" xfId="6093" xr:uid="{00000000-0005-0000-0000-000083600000}"/>
    <cellStyle name="Style 39 3 3 3 3" xfId="6094" xr:uid="{00000000-0005-0000-0000-000084600000}"/>
    <cellStyle name="Style 39 3 3 4" xfId="6095" xr:uid="{00000000-0005-0000-0000-000085600000}"/>
    <cellStyle name="Style 39 3 3 4 2" xfId="6096" xr:uid="{00000000-0005-0000-0000-000086600000}"/>
    <cellStyle name="Style 39 3 3 5" xfId="6097" xr:uid="{00000000-0005-0000-0000-000087600000}"/>
    <cellStyle name="Style 39 3 4" xfId="6098" xr:uid="{00000000-0005-0000-0000-000088600000}"/>
    <cellStyle name="Style 39 3 4 2" xfId="16935" xr:uid="{00000000-0005-0000-0000-000089600000}"/>
    <cellStyle name="Style 39 3 5" xfId="6099" xr:uid="{00000000-0005-0000-0000-00008A600000}"/>
    <cellStyle name="Style 39 4" xfId="6100" xr:uid="{00000000-0005-0000-0000-00008B600000}"/>
    <cellStyle name="Style 39 4 2" xfId="6101" xr:uid="{00000000-0005-0000-0000-00008C600000}"/>
    <cellStyle name="Style 39 4 2 2" xfId="6102" xr:uid="{00000000-0005-0000-0000-00008D600000}"/>
    <cellStyle name="Style 39 4 2 2 2" xfId="6103" xr:uid="{00000000-0005-0000-0000-00008E600000}"/>
    <cellStyle name="Style 39 4 2 3" xfId="6104" xr:uid="{00000000-0005-0000-0000-00008F600000}"/>
    <cellStyle name="Style 39 4 2 3 2" xfId="6105" xr:uid="{00000000-0005-0000-0000-000090600000}"/>
    <cellStyle name="Style 39 4 2 3 3" xfId="6106" xr:uid="{00000000-0005-0000-0000-000091600000}"/>
    <cellStyle name="Style 39 4 2 4" xfId="6107" xr:uid="{00000000-0005-0000-0000-000092600000}"/>
    <cellStyle name="Style 39 4 2 4 2" xfId="6108" xr:uid="{00000000-0005-0000-0000-000093600000}"/>
    <cellStyle name="Style 39 4 2 5" xfId="6109" xr:uid="{00000000-0005-0000-0000-000094600000}"/>
    <cellStyle name="Style 39 4 3" xfId="6110" xr:uid="{00000000-0005-0000-0000-000095600000}"/>
    <cellStyle name="Style 39 4 3 2" xfId="6111" xr:uid="{00000000-0005-0000-0000-000096600000}"/>
    <cellStyle name="Style 39 4 4" xfId="6112" xr:uid="{00000000-0005-0000-0000-000097600000}"/>
    <cellStyle name="Style 39 4 4 2" xfId="16303" xr:uid="{00000000-0005-0000-0000-000098600000}"/>
    <cellStyle name="Style 39 4 5" xfId="6113" xr:uid="{00000000-0005-0000-0000-000099600000}"/>
    <cellStyle name="Style 39 5" xfId="6114" xr:uid="{00000000-0005-0000-0000-00009A600000}"/>
    <cellStyle name="Style 39 5 2" xfId="6115" xr:uid="{00000000-0005-0000-0000-00009B600000}"/>
    <cellStyle name="Style 39 5 2 2" xfId="6116" xr:uid="{00000000-0005-0000-0000-00009C600000}"/>
    <cellStyle name="Style 39 5 2 2 2" xfId="6117" xr:uid="{00000000-0005-0000-0000-00009D600000}"/>
    <cellStyle name="Style 39 5 2 3" xfId="6118" xr:uid="{00000000-0005-0000-0000-00009E600000}"/>
    <cellStyle name="Style 39 5 2 3 2" xfId="6119" xr:uid="{00000000-0005-0000-0000-00009F600000}"/>
    <cellStyle name="Style 39 5 2 3 3" xfId="6120" xr:uid="{00000000-0005-0000-0000-0000A0600000}"/>
    <cellStyle name="Style 39 5 2 4" xfId="6121" xr:uid="{00000000-0005-0000-0000-0000A1600000}"/>
    <cellStyle name="Style 39 5 2 4 2" xfId="16257" xr:uid="{00000000-0005-0000-0000-0000A2600000}"/>
    <cellStyle name="Style 39 5 2 5" xfId="6122" xr:uid="{00000000-0005-0000-0000-0000A3600000}"/>
    <cellStyle name="Style 39 5 3" xfId="6123" xr:uid="{00000000-0005-0000-0000-0000A4600000}"/>
    <cellStyle name="Style 39 5 3 2" xfId="6124" xr:uid="{00000000-0005-0000-0000-0000A5600000}"/>
    <cellStyle name="Style 39 5 4" xfId="6125" xr:uid="{00000000-0005-0000-0000-0000A6600000}"/>
    <cellStyle name="Style 39 5 5" xfId="6126" xr:uid="{00000000-0005-0000-0000-0000A7600000}"/>
    <cellStyle name="Style 39 6" xfId="6127" xr:uid="{00000000-0005-0000-0000-0000A8600000}"/>
    <cellStyle name="Style 39 6 2" xfId="6128" xr:uid="{00000000-0005-0000-0000-0000A9600000}"/>
    <cellStyle name="Style 39 6 2 2" xfId="6129" xr:uid="{00000000-0005-0000-0000-0000AA600000}"/>
    <cellStyle name="Style 39 6 3" xfId="6130" xr:uid="{00000000-0005-0000-0000-0000AB600000}"/>
    <cellStyle name="Style 39 6 3 2" xfId="6131" xr:uid="{00000000-0005-0000-0000-0000AC600000}"/>
    <cellStyle name="Style 39 6 3 3" xfId="6132" xr:uid="{00000000-0005-0000-0000-0000AD600000}"/>
    <cellStyle name="Style 39 6 4" xfId="6133" xr:uid="{00000000-0005-0000-0000-0000AE600000}"/>
    <cellStyle name="Style 39 6 4 2" xfId="6134" xr:uid="{00000000-0005-0000-0000-0000AF600000}"/>
    <cellStyle name="Style 39 6 5" xfId="6135" xr:uid="{00000000-0005-0000-0000-0000B0600000}"/>
    <cellStyle name="Style 39 7" xfId="6136" xr:uid="{00000000-0005-0000-0000-0000B1600000}"/>
    <cellStyle name="Style 39 7 2" xfId="6137" xr:uid="{00000000-0005-0000-0000-0000B2600000}"/>
    <cellStyle name="Style 39 7 3" xfId="6138" xr:uid="{00000000-0005-0000-0000-0000B3600000}"/>
    <cellStyle name="Style 39 8" xfId="6139" xr:uid="{00000000-0005-0000-0000-0000B4600000}"/>
    <cellStyle name="Style 39 8 2" xfId="17081" xr:uid="{00000000-0005-0000-0000-0000B5600000}"/>
    <cellStyle name="Style 39 8 3" xfId="15866" xr:uid="{00000000-0005-0000-0000-0000B6600000}"/>
    <cellStyle name="Style 39 9" xfId="6140" xr:uid="{00000000-0005-0000-0000-0000B7600000}"/>
    <cellStyle name="Style 39_ADDON" xfId="6141" xr:uid="{00000000-0005-0000-0000-0000B8600000}"/>
    <cellStyle name="Style 40" xfId="3881" xr:uid="{00000000-0005-0000-0000-0000B9600000}"/>
    <cellStyle name="Style 40 2" xfId="6142" xr:uid="{00000000-0005-0000-0000-0000BA600000}"/>
    <cellStyle name="Style 40 2 2" xfId="6143" xr:uid="{00000000-0005-0000-0000-0000BB600000}"/>
    <cellStyle name="Style 40 2 2 2" xfId="6144" xr:uid="{00000000-0005-0000-0000-0000BC600000}"/>
    <cellStyle name="Style 40 2 2 2 2" xfId="16177" xr:uid="{00000000-0005-0000-0000-0000BD600000}"/>
    <cellStyle name="Style 40 2 2 3" xfId="6145" xr:uid="{00000000-0005-0000-0000-0000BE600000}"/>
    <cellStyle name="Style 40 2 3" xfId="6146" xr:uid="{00000000-0005-0000-0000-0000BF600000}"/>
    <cellStyle name="Style 40 2 3 2" xfId="16307" xr:uid="{00000000-0005-0000-0000-0000C0600000}"/>
    <cellStyle name="Style 40 2 4" xfId="6147" xr:uid="{00000000-0005-0000-0000-0000C1600000}"/>
    <cellStyle name="Style 40 2 5" xfId="6148" xr:uid="{00000000-0005-0000-0000-0000C2600000}"/>
    <cellStyle name="Style 40 3" xfId="6149" xr:uid="{00000000-0005-0000-0000-0000C3600000}"/>
    <cellStyle name="Style 40 3 2" xfId="6150" xr:uid="{00000000-0005-0000-0000-0000C4600000}"/>
    <cellStyle name="Style 40 3 2 2" xfId="6151" xr:uid="{00000000-0005-0000-0000-0000C5600000}"/>
    <cellStyle name="Style 40 3 2 2 2" xfId="16386" xr:uid="{00000000-0005-0000-0000-0000C6600000}"/>
    <cellStyle name="Style 40 3 2 3" xfId="6152" xr:uid="{00000000-0005-0000-0000-0000C7600000}"/>
    <cellStyle name="Style 40 3 3" xfId="6153" xr:uid="{00000000-0005-0000-0000-0000C8600000}"/>
    <cellStyle name="Style 40 3 3 2" xfId="6154" xr:uid="{00000000-0005-0000-0000-0000C9600000}"/>
    <cellStyle name="Style 40 3 3 2 2" xfId="16816" xr:uid="{00000000-0005-0000-0000-0000CA600000}"/>
    <cellStyle name="Style 40 3 3 3" xfId="6155" xr:uid="{00000000-0005-0000-0000-0000CB600000}"/>
    <cellStyle name="Style 40 3 4" xfId="6156" xr:uid="{00000000-0005-0000-0000-0000CC600000}"/>
    <cellStyle name="Style 40 3 4 2" xfId="6157" xr:uid="{00000000-0005-0000-0000-0000CD600000}"/>
    <cellStyle name="Style 40 3 5" xfId="6158" xr:uid="{00000000-0005-0000-0000-0000CE600000}"/>
    <cellStyle name="Style 40 4" xfId="6159" xr:uid="{00000000-0005-0000-0000-0000CF600000}"/>
    <cellStyle name="Style 40 4 2" xfId="6160" xr:uid="{00000000-0005-0000-0000-0000D0600000}"/>
    <cellStyle name="Style 40 4 2 2" xfId="15616" xr:uid="{00000000-0005-0000-0000-0000D1600000}"/>
    <cellStyle name="Style 40 4 3" xfId="6161" xr:uid="{00000000-0005-0000-0000-0000D2600000}"/>
    <cellStyle name="Style 40 5" xfId="6162" xr:uid="{00000000-0005-0000-0000-0000D3600000}"/>
    <cellStyle name="Style 40 6" xfId="6163" xr:uid="{00000000-0005-0000-0000-0000D4600000}"/>
    <cellStyle name="Style 40 7" xfId="15791" xr:uid="{00000000-0005-0000-0000-0000D5600000}"/>
    <cellStyle name="Style 40_ADDON" xfId="6164" xr:uid="{00000000-0005-0000-0000-0000D6600000}"/>
    <cellStyle name="Style 41" xfId="3882" xr:uid="{00000000-0005-0000-0000-0000D7600000}"/>
    <cellStyle name="Style 41 2" xfId="6165" xr:uid="{00000000-0005-0000-0000-0000D8600000}"/>
    <cellStyle name="Style 41 2 2" xfId="6166" xr:uid="{00000000-0005-0000-0000-0000D9600000}"/>
    <cellStyle name="Style 41 2 2 2" xfId="6167" xr:uid="{00000000-0005-0000-0000-0000DA600000}"/>
    <cellStyle name="Style 41 2 2 2 2" xfId="16942" xr:uid="{00000000-0005-0000-0000-0000DB600000}"/>
    <cellStyle name="Style 41 2 2 3" xfId="6168" xr:uid="{00000000-0005-0000-0000-0000DC600000}"/>
    <cellStyle name="Style 41 2 3" xfId="6169" xr:uid="{00000000-0005-0000-0000-0000DD600000}"/>
    <cellStyle name="Style 41 2 3 2" xfId="15493" xr:uid="{00000000-0005-0000-0000-0000DE600000}"/>
    <cellStyle name="Style 41 2 4" xfId="6170" xr:uid="{00000000-0005-0000-0000-0000DF600000}"/>
    <cellStyle name="Style 41 2 5" xfId="6171" xr:uid="{00000000-0005-0000-0000-0000E0600000}"/>
    <cellStyle name="Style 41 3" xfId="6172" xr:uid="{00000000-0005-0000-0000-0000E1600000}"/>
    <cellStyle name="Style 41 3 2" xfId="6173" xr:uid="{00000000-0005-0000-0000-0000E2600000}"/>
    <cellStyle name="Style 41 3 2 2" xfId="6174" xr:uid="{00000000-0005-0000-0000-0000E3600000}"/>
    <cellStyle name="Style 41 3 2 2 2" xfId="16262" xr:uid="{00000000-0005-0000-0000-0000E4600000}"/>
    <cellStyle name="Style 41 3 2 3" xfId="6175" xr:uid="{00000000-0005-0000-0000-0000E5600000}"/>
    <cellStyle name="Style 41 3 3" xfId="6176" xr:uid="{00000000-0005-0000-0000-0000E6600000}"/>
    <cellStyle name="Style 41 3 3 2" xfId="6177" xr:uid="{00000000-0005-0000-0000-0000E7600000}"/>
    <cellStyle name="Style 41 3 3 2 2" xfId="16190" xr:uid="{00000000-0005-0000-0000-0000E8600000}"/>
    <cellStyle name="Style 41 3 3 3" xfId="6178" xr:uid="{00000000-0005-0000-0000-0000E9600000}"/>
    <cellStyle name="Style 41 3 4" xfId="6179" xr:uid="{00000000-0005-0000-0000-0000EA600000}"/>
    <cellStyle name="Style 41 3 4 2" xfId="6180" xr:uid="{00000000-0005-0000-0000-0000EB600000}"/>
    <cellStyle name="Style 41 3 5" xfId="6181" xr:uid="{00000000-0005-0000-0000-0000EC600000}"/>
    <cellStyle name="Style 41 4" xfId="6182" xr:uid="{00000000-0005-0000-0000-0000ED600000}"/>
    <cellStyle name="Style 41 4 2" xfId="6183" xr:uid="{00000000-0005-0000-0000-0000EE600000}"/>
    <cellStyle name="Style 41 4 2 2" xfId="15633" xr:uid="{00000000-0005-0000-0000-0000EF600000}"/>
    <cellStyle name="Style 41 4 3" xfId="6184" xr:uid="{00000000-0005-0000-0000-0000F0600000}"/>
    <cellStyle name="Style 41 5" xfId="6185" xr:uid="{00000000-0005-0000-0000-0000F1600000}"/>
    <cellStyle name="Style 41 6" xfId="6186" xr:uid="{00000000-0005-0000-0000-0000F2600000}"/>
    <cellStyle name="Style 41 7" xfId="16820" xr:uid="{00000000-0005-0000-0000-0000F3600000}"/>
    <cellStyle name="Style 41_ADDON" xfId="6187" xr:uid="{00000000-0005-0000-0000-0000F4600000}"/>
    <cellStyle name="Style 46" xfId="3883" xr:uid="{00000000-0005-0000-0000-0000F5600000}"/>
    <cellStyle name="Style 46 10" xfId="6188" xr:uid="{00000000-0005-0000-0000-0000F6600000}"/>
    <cellStyle name="Style 46 11" xfId="6189" xr:uid="{00000000-0005-0000-0000-0000F7600000}"/>
    <cellStyle name="Style 46 12" xfId="6190" xr:uid="{00000000-0005-0000-0000-0000F8600000}"/>
    <cellStyle name="Style 46 2" xfId="6191" xr:uid="{00000000-0005-0000-0000-0000F9600000}"/>
    <cellStyle name="Style 46 2 2" xfId="6192" xr:uid="{00000000-0005-0000-0000-0000FA600000}"/>
    <cellStyle name="Style 46 3" xfId="6193" xr:uid="{00000000-0005-0000-0000-0000FB600000}"/>
    <cellStyle name="Style 46 3 2" xfId="6194" xr:uid="{00000000-0005-0000-0000-0000FC600000}"/>
    <cellStyle name="Style 46 3 2 2" xfId="6195" xr:uid="{00000000-0005-0000-0000-0000FD600000}"/>
    <cellStyle name="Style 46 3 2 3" xfId="6196" xr:uid="{00000000-0005-0000-0000-0000FE600000}"/>
    <cellStyle name="Style 46 3 3" xfId="6197" xr:uid="{00000000-0005-0000-0000-0000FF600000}"/>
    <cellStyle name="Style 46 3 3 2" xfId="6198" xr:uid="{00000000-0005-0000-0000-000000610000}"/>
    <cellStyle name="Style 46 3 3 2 2" xfId="6199" xr:uid="{00000000-0005-0000-0000-000001610000}"/>
    <cellStyle name="Style 46 3 3 3" xfId="6200" xr:uid="{00000000-0005-0000-0000-000002610000}"/>
    <cellStyle name="Style 46 3 3 3 2" xfId="6201" xr:uid="{00000000-0005-0000-0000-000003610000}"/>
    <cellStyle name="Style 46 3 3 3 3" xfId="6202" xr:uid="{00000000-0005-0000-0000-000004610000}"/>
    <cellStyle name="Style 46 3 3 4" xfId="6203" xr:uid="{00000000-0005-0000-0000-000005610000}"/>
    <cellStyle name="Style 46 3 3 4 2" xfId="6204" xr:uid="{00000000-0005-0000-0000-000006610000}"/>
    <cellStyle name="Style 46 3 3 5" xfId="6205" xr:uid="{00000000-0005-0000-0000-000007610000}"/>
    <cellStyle name="Style 46 3 4" xfId="6206" xr:uid="{00000000-0005-0000-0000-000008610000}"/>
    <cellStyle name="Style 46 3 4 2" xfId="15632" xr:uid="{00000000-0005-0000-0000-000009610000}"/>
    <cellStyle name="Style 46 3 5" xfId="6207" xr:uid="{00000000-0005-0000-0000-00000A610000}"/>
    <cellStyle name="Style 46 4" xfId="6208" xr:uid="{00000000-0005-0000-0000-00000B610000}"/>
    <cellStyle name="Style 46 4 2" xfId="6209" xr:uid="{00000000-0005-0000-0000-00000C610000}"/>
    <cellStyle name="Style 46 4 2 2" xfId="6210" xr:uid="{00000000-0005-0000-0000-00000D610000}"/>
    <cellStyle name="Style 46 4 2 2 2" xfId="6211" xr:uid="{00000000-0005-0000-0000-00000E610000}"/>
    <cellStyle name="Style 46 4 2 3" xfId="6212" xr:uid="{00000000-0005-0000-0000-00000F610000}"/>
    <cellStyle name="Style 46 4 2 3 2" xfId="6213" xr:uid="{00000000-0005-0000-0000-000010610000}"/>
    <cellStyle name="Style 46 4 2 3 3" xfId="6214" xr:uid="{00000000-0005-0000-0000-000011610000}"/>
    <cellStyle name="Style 46 4 2 4" xfId="6215" xr:uid="{00000000-0005-0000-0000-000012610000}"/>
    <cellStyle name="Style 46 4 2 4 2" xfId="6216" xr:uid="{00000000-0005-0000-0000-000013610000}"/>
    <cellStyle name="Style 46 4 2 5" xfId="6217" xr:uid="{00000000-0005-0000-0000-000014610000}"/>
    <cellStyle name="Style 46 4 3" xfId="6218" xr:uid="{00000000-0005-0000-0000-000015610000}"/>
    <cellStyle name="Style 46 4 3 2" xfId="6219" xr:uid="{00000000-0005-0000-0000-000016610000}"/>
    <cellStyle name="Style 46 4 4" xfId="6220" xr:uid="{00000000-0005-0000-0000-000017610000}"/>
    <cellStyle name="Style 46 4 4 2" xfId="15656" xr:uid="{00000000-0005-0000-0000-000018610000}"/>
    <cellStyle name="Style 46 4 5" xfId="6221" xr:uid="{00000000-0005-0000-0000-000019610000}"/>
    <cellStyle name="Style 46 5" xfId="6222" xr:uid="{00000000-0005-0000-0000-00001A610000}"/>
    <cellStyle name="Style 46 5 2" xfId="6223" xr:uid="{00000000-0005-0000-0000-00001B610000}"/>
    <cellStyle name="Style 46 5 2 2" xfId="6224" xr:uid="{00000000-0005-0000-0000-00001C610000}"/>
    <cellStyle name="Style 46 5 2 2 2" xfId="6225" xr:uid="{00000000-0005-0000-0000-00001D610000}"/>
    <cellStyle name="Style 46 5 2 3" xfId="6226" xr:uid="{00000000-0005-0000-0000-00001E610000}"/>
    <cellStyle name="Style 46 5 2 3 2" xfId="6227" xr:uid="{00000000-0005-0000-0000-00001F610000}"/>
    <cellStyle name="Style 46 5 2 3 3" xfId="6228" xr:uid="{00000000-0005-0000-0000-000020610000}"/>
    <cellStyle name="Style 46 5 2 4" xfId="6229" xr:uid="{00000000-0005-0000-0000-000021610000}"/>
    <cellStyle name="Style 46 5 2 4 2" xfId="15631" xr:uid="{00000000-0005-0000-0000-000022610000}"/>
    <cellStyle name="Style 46 5 2 5" xfId="6230" xr:uid="{00000000-0005-0000-0000-000023610000}"/>
    <cellStyle name="Style 46 5 3" xfId="6231" xr:uid="{00000000-0005-0000-0000-000024610000}"/>
    <cellStyle name="Style 46 5 3 2" xfId="6232" xr:uid="{00000000-0005-0000-0000-000025610000}"/>
    <cellStyle name="Style 46 5 4" xfId="6233" xr:uid="{00000000-0005-0000-0000-000026610000}"/>
    <cellStyle name="Style 46 5 5" xfId="6234" xr:uid="{00000000-0005-0000-0000-000027610000}"/>
    <cellStyle name="Style 46 6" xfId="6235" xr:uid="{00000000-0005-0000-0000-000028610000}"/>
    <cellStyle name="Style 46 6 2" xfId="6236" xr:uid="{00000000-0005-0000-0000-000029610000}"/>
    <cellStyle name="Style 46 6 2 2" xfId="6237" xr:uid="{00000000-0005-0000-0000-00002A610000}"/>
    <cellStyle name="Style 46 6 3" xfId="6238" xr:uid="{00000000-0005-0000-0000-00002B610000}"/>
    <cellStyle name="Style 46 6 3 2" xfId="6239" xr:uid="{00000000-0005-0000-0000-00002C610000}"/>
    <cellStyle name="Style 46 6 3 3" xfId="6240" xr:uid="{00000000-0005-0000-0000-00002D610000}"/>
    <cellStyle name="Style 46 6 4" xfId="6241" xr:uid="{00000000-0005-0000-0000-00002E610000}"/>
    <cellStyle name="Style 46 6 4 2" xfId="6242" xr:uid="{00000000-0005-0000-0000-00002F610000}"/>
    <cellStyle name="Style 46 6 5" xfId="6243" xr:uid="{00000000-0005-0000-0000-000030610000}"/>
    <cellStyle name="Style 46 7" xfId="6244" xr:uid="{00000000-0005-0000-0000-000031610000}"/>
    <cellStyle name="Style 46 7 2" xfId="6245" xr:uid="{00000000-0005-0000-0000-000032610000}"/>
    <cellStyle name="Style 46 7 3" xfId="6246" xr:uid="{00000000-0005-0000-0000-000033610000}"/>
    <cellStyle name="Style 46 8" xfId="6247" xr:uid="{00000000-0005-0000-0000-000034610000}"/>
    <cellStyle name="Style 46 8 2" xfId="17084" xr:uid="{00000000-0005-0000-0000-000035610000}"/>
    <cellStyle name="Style 46 8 3" xfId="16309" xr:uid="{00000000-0005-0000-0000-000036610000}"/>
    <cellStyle name="Style 46 9" xfId="6248" xr:uid="{00000000-0005-0000-0000-000037610000}"/>
    <cellStyle name="Style 46_ADDON" xfId="6249" xr:uid="{00000000-0005-0000-0000-000038610000}"/>
    <cellStyle name="Style 47" xfId="3884" xr:uid="{00000000-0005-0000-0000-000039610000}"/>
    <cellStyle name="Style 47 2" xfId="6250" xr:uid="{00000000-0005-0000-0000-00003A610000}"/>
    <cellStyle name="Style 47 3" xfId="6251" xr:uid="{00000000-0005-0000-0000-00003B610000}"/>
    <cellStyle name="Style 47 3 2" xfId="6252" xr:uid="{00000000-0005-0000-0000-00003C610000}"/>
    <cellStyle name="Style 47 3 3" xfId="6253" xr:uid="{00000000-0005-0000-0000-00003D610000}"/>
    <cellStyle name="Style 47 3 3 2" xfId="6254" xr:uid="{00000000-0005-0000-0000-00003E610000}"/>
    <cellStyle name="Style 47 3 3 3" xfId="15766" xr:uid="{00000000-0005-0000-0000-00003F610000}"/>
    <cellStyle name="Style 47 3 4" xfId="6255" xr:uid="{00000000-0005-0000-0000-000040610000}"/>
    <cellStyle name="Style 47 3 4 2" xfId="16626" xr:uid="{00000000-0005-0000-0000-000041610000}"/>
    <cellStyle name="Style 47 4" xfId="6256" xr:uid="{00000000-0005-0000-0000-000042610000}"/>
    <cellStyle name="Style 47 4 2" xfId="6257" xr:uid="{00000000-0005-0000-0000-000043610000}"/>
    <cellStyle name="Style 47 4 3" xfId="17072" xr:uid="{00000000-0005-0000-0000-000044610000}"/>
    <cellStyle name="Style 47 5" xfId="6258" xr:uid="{00000000-0005-0000-0000-000045610000}"/>
    <cellStyle name="Style 47 5 2" xfId="16251" xr:uid="{00000000-0005-0000-0000-000046610000}"/>
    <cellStyle name="Style 47 6" xfId="6259" xr:uid="{00000000-0005-0000-0000-000047610000}"/>
    <cellStyle name="Style 47 7" xfId="6260" xr:uid="{00000000-0005-0000-0000-000048610000}"/>
    <cellStyle name="Style 47_ADDON" xfId="6261" xr:uid="{00000000-0005-0000-0000-000049610000}"/>
    <cellStyle name="Style 48" xfId="3885" xr:uid="{00000000-0005-0000-0000-00004A610000}"/>
    <cellStyle name="Style 48 2" xfId="6262" xr:uid="{00000000-0005-0000-0000-00004B610000}"/>
    <cellStyle name="Style 48 2 2" xfId="6263" xr:uid="{00000000-0005-0000-0000-00004C610000}"/>
    <cellStyle name="Style 48 2 2 2" xfId="6264" xr:uid="{00000000-0005-0000-0000-00004D610000}"/>
    <cellStyle name="Style 48 2 2 2 2" xfId="15842" xr:uid="{00000000-0005-0000-0000-00004E610000}"/>
    <cellStyle name="Style 48 2 2 3" xfId="6265" xr:uid="{00000000-0005-0000-0000-00004F610000}"/>
    <cellStyle name="Style 48 2 3" xfId="6266" xr:uid="{00000000-0005-0000-0000-000050610000}"/>
    <cellStyle name="Style 48 2 3 2" xfId="15841" xr:uid="{00000000-0005-0000-0000-000051610000}"/>
    <cellStyle name="Style 48 2 4" xfId="6267" xr:uid="{00000000-0005-0000-0000-000052610000}"/>
    <cellStyle name="Style 48 2 5" xfId="6268" xr:uid="{00000000-0005-0000-0000-000053610000}"/>
    <cellStyle name="Style 48 3" xfId="6269" xr:uid="{00000000-0005-0000-0000-000054610000}"/>
    <cellStyle name="Style 48 3 2" xfId="6270" xr:uid="{00000000-0005-0000-0000-000055610000}"/>
    <cellStyle name="Style 48 3 2 2" xfId="6271" xr:uid="{00000000-0005-0000-0000-000056610000}"/>
    <cellStyle name="Style 48 3 2 2 2" xfId="15840" xr:uid="{00000000-0005-0000-0000-000057610000}"/>
    <cellStyle name="Style 48 3 2 3" xfId="6272" xr:uid="{00000000-0005-0000-0000-000058610000}"/>
    <cellStyle name="Style 48 3 3" xfId="6273" xr:uid="{00000000-0005-0000-0000-000059610000}"/>
    <cellStyle name="Style 48 3 3 2" xfId="6274" xr:uid="{00000000-0005-0000-0000-00005A610000}"/>
    <cellStyle name="Style 48 3 3 2 2" xfId="15839" xr:uid="{00000000-0005-0000-0000-00005B610000}"/>
    <cellStyle name="Style 48 3 3 3" xfId="6275" xr:uid="{00000000-0005-0000-0000-00005C610000}"/>
    <cellStyle name="Style 48 3 4" xfId="6276" xr:uid="{00000000-0005-0000-0000-00005D610000}"/>
    <cellStyle name="Style 48 3 4 2" xfId="6277" xr:uid="{00000000-0005-0000-0000-00005E610000}"/>
    <cellStyle name="Style 48 3 5" xfId="6278" xr:uid="{00000000-0005-0000-0000-00005F610000}"/>
    <cellStyle name="Style 48 4" xfId="6279" xr:uid="{00000000-0005-0000-0000-000060610000}"/>
    <cellStyle name="Style 48 4 2" xfId="6280" xr:uid="{00000000-0005-0000-0000-000061610000}"/>
    <cellStyle name="Style 48 4 2 2" xfId="15838" xr:uid="{00000000-0005-0000-0000-000062610000}"/>
    <cellStyle name="Style 48 4 3" xfId="6281" xr:uid="{00000000-0005-0000-0000-000063610000}"/>
    <cellStyle name="Style 48 5" xfId="6282" xr:uid="{00000000-0005-0000-0000-000064610000}"/>
    <cellStyle name="Style 48 6" xfId="6283" xr:uid="{00000000-0005-0000-0000-000065610000}"/>
    <cellStyle name="Style 48 7" xfId="15837" xr:uid="{00000000-0005-0000-0000-000066610000}"/>
    <cellStyle name="Style 48_ADDON" xfId="6284" xr:uid="{00000000-0005-0000-0000-000067610000}"/>
    <cellStyle name="Style 49" xfId="3886" xr:uid="{00000000-0005-0000-0000-000068610000}"/>
    <cellStyle name="Style 49 2" xfId="6285" xr:uid="{00000000-0005-0000-0000-000069610000}"/>
    <cellStyle name="Style 49 3" xfId="6286" xr:uid="{00000000-0005-0000-0000-00006A610000}"/>
    <cellStyle name="Style 49 3 2" xfId="6287" xr:uid="{00000000-0005-0000-0000-00006B610000}"/>
    <cellStyle name="Style 49 3 3" xfId="6288" xr:uid="{00000000-0005-0000-0000-00006C610000}"/>
    <cellStyle name="Style 49 3 3 2" xfId="6289" xr:uid="{00000000-0005-0000-0000-00006D610000}"/>
    <cellStyle name="Style 49 3 3 3" xfId="15836" xr:uid="{00000000-0005-0000-0000-00006E610000}"/>
    <cellStyle name="Style 49 3 4" xfId="6290" xr:uid="{00000000-0005-0000-0000-00006F610000}"/>
    <cellStyle name="Style 49 3 4 2" xfId="15835" xr:uid="{00000000-0005-0000-0000-000070610000}"/>
    <cellStyle name="Style 49 4" xfId="6291" xr:uid="{00000000-0005-0000-0000-000071610000}"/>
    <cellStyle name="Style 49 4 2" xfId="6292" xr:uid="{00000000-0005-0000-0000-000072610000}"/>
    <cellStyle name="Style 49 4 3" xfId="15834" xr:uid="{00000000-0005-0000-0000-000073610000}"/>
    <cellStyle name="Style 49 5" xfId="6293" xr:uid="{00000000-0005-0000-0000-000074610000}"/>
    <cellStyle name="Style 49 5 2" xfId="15833" xr:uid="{00000000-0005-0000-0000-000075610000}"/>
    <cellStyle name="Style 49 6" xfId="6294" xr:uid="{00000000-0005-0000-0000-000076610000}"/>
    <cellStyle name="Style 49 7" xfId="6295" xr:uid="{00000000-0005-0000-0000-000077610000}"/>
    <cellStyle name="Style 49_ADDON" xfId="6296" xr:uid="{00000000-0005-0000-0000-000078610000}"/>
    <cellStyle name="Style 50" xfId="3887" xr:uid="{00000000-0005-0000-0000-000079610000}"/>
    <cellStyle name="Style 50 10" xfId="6297" xr:uid="{00000000-0005-0000-0000-00007A610000}"/>
    <cellStyle name="Style 50 11" xfId="6298" xr:uid="{00000000-0005-0000-0000-00007B610000}"/>
    <cellStyle name="Style 50 12" xfId="6299" xr:uid="{00000000-0005-0000-0000-00007C610000}"/>
    <cellStyle name="Style 50 2" xfId="6300" xr:uid="{00000000-0005-0000-0000-00007D610000}"/>
    <cellStyle name="Style 50 2 2" xfId="6301" xr:uid="{00000000-0005-0000-0000-00007E610000}"/>
    <cellStyle name="Style 50 3" xfId="6302" xr:uid="{00000000-0005-0000-0000-00007F610000}"/>
    <cellStyle name="Style 50 3 2" xfId="6303" xr:uid="{00000000-0005-0000-0000-000080610000}"/>
    <cellStyle name="Style 50 3 2 2" xfId="6304" xr:uid="{00000000-0005-0000-0000-000081610000}"/>
    <cellStyle name="Style 50 3 2 3" xfId="6305" xr:uid="{00000000-0005-0000-0000-000082610000}"/>
    <cellStyle name="Style 50 3 3" xfId="6306" xr:uid="{00000000-0005-0000-0000-000083610000}"/>
    <cellStyle name="Style 50 3 3 2" xfId="6307" xr:uid="{00000000-0005-0000-0000-000084610000}"/>
    <cellStyle name="Style 50 3 3 2 2" xfId="6308" xr:uid="{00000000-0005-0000-0000-000085610000}"/>
    <cellStyle name="Style 50 3 3 3" xfId="6309" xr:uid="{00000000-0005-0000-0000-000086610000}"/>
    <cellStyle name="Style 50 3 3 3 2" xfId="6310" xr:uid="{00000000-0005-0000-0000-000087610000}"/>
    <cellStyle name="Style 50 3 3 3 3" xfId="6311" xr:uid="{00000000-0005-0000-0000-000088610000}"/>
    <cellStyle name="Style 50 3 3 4" xfId="6312" xr:uid="{00000000-0005-0000-0000-000089610000}"/>
    <cellStyle name="Style 50 3 3 4 2" xfId="6313" xr:uid="{00000000-0005-0000-0000-00008A610000}"/>
    <cellStyle name="Style 50 3 3 5" xfId="6314" xr:uid="{00000000-0005-0000-0000-00008B610000}"/>
    <cellStyle name="Style 50 3 4" xfId="6315" xr:uid="{00000000-0005-0000-0000-00008C610000}"/>
    <cellStyle name="Style 50 3 4 2" xfId="16437" xr:uid="{00000000-0005-0000-0000-00008D610000}"/>
    <cellStyle name="Style 50 3 5" xfId="6316" xr:uid="{00000000-0005-0000-0000-00008E610000}"/>
    <cellStyle name="Style 50 4" xfId="6317" xr:uid="{00000000-0005-0000-0000-00008F610000}"/>
    <cellStyle name="Style 50 4 2" xfId="6318" xr:uid="{00000000-0005-0000-0000-000090610000}"/>
    <cellStyle name="Style 50 4 2 2" xfId="6319" xr:uid="{00000000-0005-0000-0000-000091610000}"/>
    <cellStyle name="Style 50 4 2 2 2" xfId="6320" xr:uid="{00000000-0005-0000-0000-000092610000}"/>
    <cellStyle name="Style 50 4 2 3" xfId="6321" xr:uid="{00000000-0005-0000-0000-000093610000}"/>
    <cellStyle name="Style 50 4 2 3 2" xfId="6322" xr:uid="{00000000-0005-0000-0000-000094610000}"/>
    <cellStyle name="Style 50 4 2 3 3" xfId="6323" xr:uid="{00000000-0005-0000-0000-000095610000}"/>
    <cellStyle name="Style 50 4 2 4" xfId="6324" xr:uid="{00000000-0005-0000-0000-000096610000}"/>
    <cellStyle name="Style 50 4 2 4 2" xfId="6325" xr:uid="{00000000-0005-0000-0000-000097610000}"/>
    <cellStyle name="Style 50 4 2 5" xfId="6326" xr:uid="{00000000-0005-0000-0000-000098610000}"/>
    <cellStyle name="Style 50 4 3" xfId="6327" xr:uid="{00000000-0005-0000-0000-000099610000}"/>
    <cellStyle name="Style 50 4 3 2" xfId="6328" xr:uid="{00000000-0005-0000-0000-00009A610000}"/>
    <cellStyle name="Style 50 4 4" xfId="6329" xr:uid="{00000000-0005-0000-0000-00009B610000}"/>
    <cellStyle name="Style 50 4 4 2" xfId="15832" xr:uid="{00000000-0005-0000-0000-00009C610000}"/>
    <cellStyle name="Style 50 4 5" xfId="6330" xr:uid="{00000000-0005-0000-0000-00009D610000}"/>
    <cellStyle name="Style 50 5" xfId="6331" xr:uid="{00000000-0005-0000-0000-00009E610000}"/>
    <cellStyle name="Style 50 5 2" xfId="6332" xr:uid="{00000000-0005-0000-0000-00009F610000}"/>
    <cellStyle name="Style 50 5 2 2" xfId="6333" xr:uid="{00000000-0005-0000-0000-0000A0610000}"/>
    <cellStyle name="Style 50 5 2 2 2" xfId="6334" xr:uid="{00000000-0005-0000-0000-0000A1610000}"/>
    <cellStyle name="Style 50 5 2 3" xfId="6335" xr:uid="{00000000-0005-0000-0000-0000A2610000}"/>
    <cellStyle name="Style 50 5 2 3 2" xfId="6336" xr:uid="{00000000-0005-0000-0000-0000A3610000}"/>
    <cellStyle name="Style 50 5 2 3 3" xfId="6337" xr:uid="{00000000-0005-0000-0000-0000A4610000}"/>
    <cellStyle name="Style 50 5 2 4" xfId="6338" xr:uid="{00000000-0005-0000-0000-0000A5610000}"/>
    <cellStyle name="Style 50 5 2 4 2" xfId="15831" xr:uid="{00000000-0005-0000-0000-0000A6610000}"/>
    <cellStyle name="Style 50 5 2 5" xfId="6339" xr:uid="{00000000-0005-0000-0000-0000A7610000}"/>
    <cellStyle name="Style 50 5 3" xfId="6340" xr:uid="{00000000-0005-0000-0000-0000A8610000}"/>
    <cellStyle name="Style 50 5 3 2" xfId="6341" xr:uid="{00000000-0005-0000-0000-0000A9610000}"/>
    <cellStyle name="Style 50 5 4" xfId="6342" xr:uid="{00000000-0005-0000-0000-0000AA610000}"/>
    <cellStyle name="Style 50 5 5" xfId="6343" xr:uid="{00000000-0005-0000-0000-0000AB610000}"/>
    <cellStyle name="Style 50 6" xfId="6344" xr:uid="{00000000-0005-0000-0000-0000AC610000}"/>
    <cellStyle name="Style 50 6 2" xfId="6345" xr:uid="{00000000-0005-0000-0000-0000AD610000}"/>
    <cellStyle name="Style 50 6 2 2" xfId="6346" xr:uid="{00000000-0005-0000-0000-0000AE610000}"/>
    <cellStyle name="Style 50 6 3" xfId="6347" xr:uid="{00000000-0005-0000-0000-0000AF610000}"/>
    <cellStyle name="Style 50 6 3 2" xfId="6348" xr:uid="{00000000-0005-0000-0000-0000B0610000}"/>
    <cellStyle name="Style 50 6 3 3" xfId="6349" xr:uid="{00000000-0005-0000-0000-0000B1610000}"/>
    <cellStyle name="Style 50 6 4" xfId="6350" xr:uid="{00000000-0005-0000-0000-0000B2610000}"/>
    <cellStyle name="Style 50 6 4 2" xfId="6351" xr:uid="{00000000-0005-0000-0000-0000B3610000}"/>
    <cellStyle name="Style 50 6 5" xfId="6352" xr:uid="{00000000-0005-0000-0000-0000B4610000}"/>
    <cellStyle name="Style 50 7" xfId="6353" xr:uid="{00000000-0005-0000-0000-0000B5610000}"/>
    <cellStyle name="Style 50 7 2" xfId="6354" xr:uid="{00000000-0005-0000-0000-0000B6610000}"/>
    <cellStyle name="Style 50 7 3" xfId="6355" xr:uid="{00000000-0005-0000-0000-0000B7610000}"/>
    <cellStyle name="Style 50 8" xfId="6356" xr:uid="{00000000-0005-0000-0000-0000B8610000}"/>
    <cellStyle name="Style 50 8 2" xfId="15830" xr:uid="{00000000-0005-0000-0000-0000B9610000}"/>
    <cellStyle name="Style 50 8 3" xfId="15829" xr:uid="{00000000-0005-0000-0000-0000BA610000}"/>
    <cellStyle name="Style 50 9" xfId="6357" xr:uid="{00000000-0005-0000-0000-0000BB610000}"/>
    <cellStyle name="Style 50_ADDON" xfId="6358" xr:uid="{00000000-0005-0000-0000-0000BC610000}"/>
    <cellStyle name="Style 51" xfId="3888" xr:uid="{00000000-0005-0000-0000-0000BD610000}"/>
    <cellStyle name="Style 51 2" xfId="6359" xr:uid="{00000000-0005-0000-0000-0000BE610000}"/>
    <cellStyle name="Style 51 2 2" xfId="6360" xr:uid="{00000000-0005-0000-0000-0000BF610000}"/>
    <cellStyle name="Style 51 2 2 2" xfId="6361" xr:uid="{00000000-0005-0000-0000-0000C0610000}"/>
    <cellStyle name="Style 51 2 2 2 2" xfId="16432" xr:uid="{00000000-0005-0000-0000-0000C1610000}"/>
    <cellStyle name="Style 51 2 2 3" xfId="6362" xr:uid="{00000000-0005-0000-0000-0000C2610000}"/>
    <cellStyle name="Style 51 2 3" xfId="6363" xr:uid="{00000000-0005-0000-0000-0000C3610000}"/>
    <cellStyle name="Style 51 2 3 2" xfId="16895" xr:uid="{00000000-0005-0000-0000-0000C4610000}"/>
    <cellStyle name="Style 51 2 4" xfId="6364" xr:uid="{00000000-0005-0000-0000-0000C5610000}"/>
    <cellStyle name="Style 51 2 5" xfId="6365" xr:uid="{00000000-0005-0000-0000-0000C6610000}"/>
    <cellStyle name="Style 51 3" xfId="6366" xr:uid="{00000000-0005-0000-0000-0000C7610000}"/>
    <cellStyle name="Style 51 3 2" xfId="6367" xr:uid="{00000000-0005-0000-0000-0000C8610000}"/>
    <cellStyle name="Style 51 3 2 2" xfId="6368" xr:uid="{00000000-0005-0000-0000-0000C9610000}"/>
    <cellStyle name="Style 51 3 2 2 2" xfId="15865" xr:uid="{00000000-0005-0000-0000-0000CA610000}"/>
    <cellStyle name="Style 51 3 2 3" xfId="6369" xr:uid="{00000000-0005-0000-0000-0000CB610000}"/>
    <cellStyle name="Style 51 3 3" xfId="6370" xr:uid="{00000000-0005-0000-0000-0000CC610000}"/>
    <cellStyle name="Style 51 3 3 2" xfId="6371" xr:uid="{00000000-0005-0000-0000-0000CD610000}"/>
    <cellStyle name="Style 51 3 3 2 2" xfId="16376" xr:uid="{00000000-0005-0000-0000-0000CE610000}"/>
    <cellStyle name="Style 51 3 3 3" xfId="6372" xr:uid="{00000000-0005-0000-0000-0000CF610000}"/>
    <cellStyle name="Style 51 3 4" xfId="6373" xr:uid="{00000000-0005-0000-0000-0000D0610000}"/>
    <cellStyle name="Style 51 3 4 2" xfId="6374" xr:uid="{00000000-0005-0000-0000-0000D1610000}"/>
    <cellStyle name="Style 51 3 5" xfId="6375" xr:uid="{00000000-0005-0000-0000-0000D2610000}"/>
    <cellStyle name="Style 51 4" xfId="6376" xr:uid="{00000000-0005-0000-0000-0000D3610000}"/>
    <cellStyle name="Style 51 4 2" xfId="6377" xr:uid="{00000000-0005-0000-0000-0000D4610000}"/>
    <cellStyle name="Style 51 4 2 2" xfId="15492" xr:uid="{00000000-0005-0000-0000-0000D5610000}"/>
    <cellStyle name="Style 51 4 3" xfId="6378" xr:uid="{00000000-0005-0000-0000-0000D6610000}"/>
    <cellStyle name="Style 51 5" xfId="6379" xr:uid="{00000000-0005-0000-0000-0000D7610000}"/>
    <cellStyle name="Style 51 6" xfId="6380" xr:uid="{00000000-0005-0000-0000-0000D8610000}"/>
    <cellStyle name="Style 51 7" xfId="16619" xr:uid="{00000000-0005-0000-0000-0000D9610000}"/>
    <cellStyle name="Style 51_ADDON" xfId="6381" xr:uid="{00000000-0005-0000-0000-0000DA610000}"/>
    <cellStyle name="Style 52" xfId="3889" xr:uid="{00000000-0005-0000-0000-0000DB610000}"/>
    <cellStyle name="Style 52 2" xfId="6382" xr:uid="{00000000-0005-0000-0000-0000DC610000}"/>
    <cellStyle name="Style 52 2 2" xfId="6383" xr:uid="{00000000-0005-0000-0000-0000DD610000}"/>
    <cellStyle name="Style 52 2 2 2" xfId="6384" xr:uid="{00000000-0005-0000-0000-0000DE610000}"/>
    <cellStyle name="Style 52 2 2 2 2" xfId="16558" xr:uid="{00000000-0005-0000-0000-0000DF610000}"/>
    <cellStyle name="Style 52 2 2 3" xfId="6385" xr:uid="{00000000-0005-0000-0000-0000E0610000}"/>
    <cellStyle name="Style 52 2 3" xfId="6386" xr:uid="{00000000-0005-0000-0000-0000E1610000}"/>
    <cellStyle name="Style 52 2 3 2" xfId="16764" xr:uid="{00000000-0005-0000-0000-0000E2610000}"/>
    <cellStyle name="Style 52 2 4" xfId="6387" xr:uid="{00000000-0005-0000-0000-0000E3610000}"/>
    <cellStyle name="Style 52 2 5" xfId="6388" xr:uid="{00000000-0005-0000-0000-0000E4610000}"/>
    <cellStyle name="Style 52 3" xfId="6389" xr:uid="{00000000-0005-0000-0000-0000E5610000}"/>
    <cellStyle name="Style 52 3 2" xfId="6390" xr:uid="{00000000-0005-0000-0000-0000E6610000}"/>
    <cellStyle name="Style 52 3 2 2" xfId="6391" xr:uid="{00000000-0005-0000-0000-0000E7610000}"/>
    <cellStyle name="Style 52 3 2 2 2" xfId="17035" xr:uid="{00000000-0005-0000-0000-0000E8610000}"/>
    <cellStyle name="Style 52 3 2 3" xfId="6392" xr:uid="{00000000-0005-0000-0000-0000E9610000}"/>
    <cellStyle name="Style 52 3 3" xfId="6393" xr:uid="{00000000-0005-0000-0000-0000EA610000}"/>
    <cellStyle name="Style 52 3 3 2" xfId="6394" xr:uid="{00000000-0005-0000-0000-0000EB610000}"/>
    <cellStyle name="Style 52 3 3 2 2" xfId="16825" xr:uid="{00000000-0005-0000-0000-0000EC610000}"/>
    <cellStyle name="Style 52 3 3 3" xfId="6395" xr:uid="{00000000-0005-0000-0000-0000ED610000}"/>
    <cellStyle name="Style 52 3 4" xfId="6396" xr:uid="{00000000-0005-0000-0000-0000EE610000}"/>
    <cellStyle name="Style 52 3 4 2" xfId="6397" xr:uid="{00000000-0005-0000-0000-0000EF610000}"/>
    <cellStyle name="Style 52 3 5" xfId="6398" xr:uid="{00000000-0005-0000-0000-0000F0610000}"/>
    <cellStyle name="Style 52 4" xfId="6399" xr:uid="{00000000-0005-0000-0000-0000F1610000}"/>
    <cellStyle name="Style 52 4 2" xfId="6400" xr:uid="{00000000-0005-0000-0000-0000F2610000}"/>
    <cellStyle name="Style 52 4 2 2" xfId="17110" xr:uid="{00000000-0005-0000-0000-0000F3610000}"/>
    <cellStyle name="Style 52 4 3" xfId="6401" xr:uid="{00000000-0005-0000-0000-0000F4610000}"/>
    <cellStyle name="Style 52 5" xfId="6402" xr:uid="{00000000-0005-0000-0000-0000F5610000}"/>
    <cellStyle name="Style 52 6" xfId="6403" xr:uid="{00000000-0005-0000-0000-0000F6610000}"/>
    <cellStyle name="Style 52 7" xfId="16492" xr:uid="{00000000-0005-0000-0000-0000F7610000}"/>
    <cellStyle name="Style 52_ADDON" xfId="6404" xr:uid="{00000000-0005-0000-0000-0000F8610000}"/>
    <cellStyle name="Style 58" xfId="3890" xr:uid="{00000000-0005-0000-0000-0000F9610000}"/>
    <cellStyle name="Style 58 10" xfId="6405" xr:uid="{00000000-0005-0000-0000-0000FA610000}"/>
    <cellStyle name="Style 58 11" xfId="6406" xr:uid="{00000000-0005-0000-0000-0000FB610000}"/>
    <cellStyle name="Style 58 12" xfId="6407" xr:uid="{00000000-0005-0000-0000-0000FC610000}"/>
    <cellStyle name="Style 58 2" xfId="6408" xr:uid="{00000000-0005-0000-0000-0000FD610000}"/>
    <cellStyle name="Style 58 2 2" xfId="6409" xr:uid="{00000000-0005-0000-0000-0000FE610000}"/>
    <cellStyle name="Style 58 3" xfId="6410" xr:uid="{00000000-0005-0000-0000-0000FF610000}"/>
    <cellStyle name="Style 58 3 2" xfId="6411" xr:uid="{00000000-0005-0000-0000-000000620000}"/>
    <cellStyle name="Style 58 3 2 2" xfId="6412" xr:uid="{00000000-0005-0000-0000-000001620000}"/>
    <cellStyle name="Style 58 3 2 3" xfId="6413" xr:uid="{00000000-0005-0000-0000-000002620000}"/>
    <cellStyle name="Style 58 3 3" xfId="6414" xr:uid="{00000000-0005-0000-0000-000003620000}"/>
    <cellStyle name="Style 58 3 3 2" xfId="6415" xr:uid="{00000000-0005-0000-0000-000004620000}"/>
    <cellStyle name="Style 58 3 3 2 2" xfId="6416" xr:uid="{00000000-0005-0000-0000-000005620000}"/>
    <cellStyle name="Style 58 3 3 3" xfId="6417" xr:uid="{00000000-0005-0000-0000-000006620000}"/>
    <cellStyle name="Style 58 3 3 3 2" xfId="6418" xr:uid="{00000000-0005-0000-0000-000007620000}"/>
    <cellStyle name="Style 58 3 3 3 3" xfId="6419" xr:uid="{00000000-0005-0000-0000-000008620000}"/>
    <cellStyle name="Style 58 3 3 4" xfId="6420" xr:uid="{00000000-0005-0000-0000-000009620000}"/>
    <cellStyle name="Style 58 3 3 4 2" xfId="6421" xr:uid="{00000000-0005-0000-0000-00000A620000}"/>
    <cellStyle name="Style 58 3 3 5" xfId="6422" xr:uid="{00000000-0005-0000-0000-00000B620000}"/>
    <cellStyle name="Style 58 3 4" xfId="6423" xr:uid="{00000000-0005-0000-0000-00000C620000}"/>
    <cellStyle name="Style 58 3 4 2" xfId="15864" xr:uid="{00000000-0005-0000-0000-00000D620000}"/>
    <cellStyle name="Style 58 3 5" xfId="6424" xr:uid="{00000000-0005-0000-0000-00000E620000}"/>
    <cellStyle name="Style 58 4" xfId="6425" xr:uid="{00000000-0005-0000-0000-00000F620000}"/>
    <cellStyle name="Style 58 4 2" xfId="6426" xr:uid="{00000000-0005-0000-0000-000010620000}"/>
    <cellStyle name="Style 58 4 2 2" xfId="6427" xr:uid="{00000000-0005-0000-0000-000011620000}"/>
    <cellStyle name="Style 58 4 2 2 2" xfId="6428" xr:uid="{00000000-0005-0000-0000-000012620000}"/>
    <cellStyle name="Style 58 4 2 3" xfId="6429" xr:uid="{00000000-0005-0000-0000-000013620000}"/>
    <cellStyle name="Style 58 4 2 3 2" xfId="6430" xr:uid="{00000000-0005-0000-0000-000014620000}"/>
    <cellStyle name="Style 58 4 2 3 3" xfId="6431" xr:uid="{00000000-0005-0000-0000-000015620000}"/>
    <cellStyle name="Style 58 4 2 3 3 2" xfId="16637" xr:uid="{00000000-0005-0000-0000-000016620000}"/>
    <cellStyle name="Style 58 4 2 4" xfId="6432" xr:uid="{00000000-0005-0000-0000-000017620000}"/>
    <cellStyle name="Style 58 4 2 4 2" xfId="6433" xr:uid="{00000000-0005-0000-0000-000018620000}"/>
    <cellStyle name="Style 58 4 2 4 2 2" xfId="16501" xr:uid="{00000000-0005-0000-0000-000019620000}"/>
    <cellStyle name="Style 58 4 2 4 3" xfId="15491" xr:uid="{00000000-0005-0000-0000-00001A620000}"/>
    <cellStyle name="Style 58 4 2 5" xfId="6434" xr:uid="{00000000-0005-0000-0000-00001B620000}"/>
    <cellStyle name="Style 58 4 2 5 2" xfId="16752" xr:uid="{00000000-0005-0000-0000-00001C620000}"/>
    <cellStyle name="Style 58 4 3" xfId="6435" xr:uid="{00000000-0005-0000-0000-00001D620000}"/>
    <cellStyle name="Style 58 4 3 2" xfId="6436" xr:uid="{00000000-0005-0000-0000-00001E620000}"/>
    <cellStyle name="Style 58 4 3 2 2" xfId="16721" xr:uid="{00000000-0005-0000-0000-00001F620000}"/>
    <cellStyle name="Style 58 4 3 3" xfId="16278" xr:uid="{00000000-0005-0000-0000-000020620000}"/>
    <cellStyle name="Style 58 4 4" xfId="6437" xr:uid="{00000000-0005-0000-0000-000021620000}"/>
    <cellStyle name="Style 58 4 4 2" xfId="16915" xr:uid="{00000000-0005-0000-0000-000022620000}"/>
    <cellStyle name="Style 58 4 4 3" xfId="16572" xr:uid="{00000000-0005-0000-0000-000023620000}"/>
    <cellStyle name="Style 58 4 5" xfId="6438" xr:uid="{00000000-0005-0000-0000-000024620000}"/>
    <cellStyle name="Style 58 4 5 2" xfId="16992" xr:uid="{00000000-0005-0000-0000-000025620000}"/>
    <cellStyle name="Style 58 5" xfId="6439" xr:uid="{00000000-0005-0000-0000-000026620000}"/>
    <cellStyle name="Style 58 5 2" xfId="6440" xr:uid="{00000000-0005-0000-0000-000027620000}"/>
    <cellStyle name="Style 58 5 2 2" xfId="6441" xr:uid="{00000000-0005-0000-0000-000028620000}"/>
    <cellStyle name="Style 58 5 2 2 2" xfId="6442" xr:uid="{00000000-0005-0000-0000-000029620000}"/>
    <cellStyle name="Style 58 5 2 2 2 2" xfId="16358" xr:uid="{00000000-0005-0000-0000-00002A620000}"/>
    <cellStyle name="Style 58 5 2 2 3" xfId="16195" xr:uid="{00000000-0005-0000-0000-00002B620000}"/>
    <cellStyle name="Style 58 5 2 3" xfId="6443" xr:uid="{00000000-0005-0000-0000-00002C620000}"/>
    <cellStyle name="Style 58 5 2 3 2" xfId="6444" xr:uid="{00000000-0005-0000-0000-00002D620000}"/>
    <cellStyle name="Style 58 5 2 3 2 2" xfId="16219" xr:uid="{00000000-0005-0000-0000-00002E620000}"/>
    <cellStyle name="Style 58 5 2 3 3" xfId="6445" xr:uid="{00000000-0005-0000-0000-00002F620000}"/>
    <cellStyle name="Style 58 5 2 3 3 2" xfId="16479" xr:uid="{00000000-0005-0000-0000-000030620000}"/>
    <cellStyle name="Style 58 5 2 3 4" xfId="15490" xr:uid="{00000000-0005-0000-0000-000031620000}"/>
    <cellStyle name="Style 58 5 2 4" xfId="6446" xr:uid="{00000000-0005-0000-0000-000032620000}"/>
    <cellStyle name="Style 58 5 2 4 2" xfId="16887" xr:uid="{00000000-0005-0000-0000-000033620000}"/>
    <cellStyle name="Style 58 5 2 4 3" xfId="15528" xr:uid="{00000000-0005-0000-0000-000034620000}"/>
    <cellStyle name="Style 58 5 2 5" xfId="6447" xr:uid="{00000000-0005-0000-0000-000035620000}"/>
    <cellStyle name="Style 58 5 2 5 2" xfId="17117" xr:uid="{00000000-0005-0000-0000-000036620000}"/>
    <cellStyle name="Style 58 5 3" xfId="6448" xr:uid="{00000000-0005-0000-0000-000037620000}"/>
    <cellStyle name="Style 58 5 3 2" xfId="6449" xr:uid="{00000000-0005-0000-0000-000038620000}"/>
    <cellStyle name="Style 58 5 3 2 2" xfId="17067" xr:uid="{00000000-0005-0000-0000-000039620000}"/>
    <cellStyle name="Style 58 5 3 3" xfId="15819" xr:uid="{00000000-0005-0000-0000-00003A620000}"/>
    <cellStyle name="Style 58 5 4" xfId="6450" xr:uid="{00000000-0005-0000-0000-00003B620000}"/>
    <cellStyle name="Style 58 5 4 2" xfId="16802" xr:uid="{00000000-0005-0000-0000-00003C620000}"/>
    <cellStyle name="Style 58 5 5" xfId="6451" xr:uid="{00000000-0005-0000-0000-00003D620000}"/>
    <cellStyle name="Style 58 5 5 2" xfId="16531" xr:uid="{00000000-0005-0000-0000-00003E620000}"/>
    <cellStyle name="Style 58 5 6" xfId="15863" xr:uid="{00000000-0005-0000-0000-00003F620000}"/>
    <cellStyle name="Style 58 6" xfId="6452" xr:uid="{00000000-0005-0000-0000-000040620000}"/>
    <cellStyle name="Style 58 6 2" xfId="6453" xr:uid="{00000000-0005-0000-0000-000041620000}"/>
    <cellStyle name="Style 58 6 2 2" xfId="6454" xr:uid="{00000000-0005-0000-0000-000042620000}"/>
    <cellStyle name="Style 58 6 2 2 2" xfId="15828" xr:uid="{00000000-0005-0000-0000-000043620000}"/>
    <cellStyle name="Style 58 6 2 3" xfId="15780" xr:uid="{00000000-0005-0000-0000-000044620000}"/>
    <cellStyle name="Style 58 6 3" xfId="6455" xr:uid="{00000000-0005-0000-0000-000045620000}"/>
    <cellStyle name="Style 58 6 3 2" xfId="6456" xr:uid="{00000000-0005-0000-0000-000046620000}"/>
    <cellStyle name="Style 58 6 3 2 2" xfId="15818" xr:uid="{00000000-0005-0000-0000-000047620000}"/>
    <cellStyle name="Style 58 6 3 3" xfId="6457" xr:uid="{00000000-0005-0000-0000-000048620000}"/>
    <cellStyle name="Style 58 6 3 3 2" xfId="16248" xr:uid="{00000000-0005-0000-0000-000049620000}"/>
    <cellStyle name="Style 58 6 3 4" xfId="15772" xr:uid="{00000000-0005-0000-0000-00004A620000}"/>
    <cellStyle name="Style 58 6 4" xfId="6458" xr:uid="{00000000-0005-0000-0000-00004B620000}"/>
    <cellStyle name="Style 58 6 4 2" xfId="6459" xr:uid="{00000000-0005-0000-0000-00004C620000}"/>
    <cellStyle name="Style 58 6 4 2 2" xfId="16885" xr:uid="{00000000-0005-0000-0000-00004D620000}"/>
    <cellStyle name="Style 58 6 4 3" xfId="17153" xr:uid="{00000000-0005-0000-0000-00004E620000}"/>
    <cellStyle name="Style 58 6 5" xfId="6460" xr:uid="{00000000-0005-0000-0000-00004F620000}"/>
    <cellStyle name="Style 58 6 5 2" xfId="16610" xr:uid="{00000000-0005-0000-0000-000050620000}"/>
    <cellStyle name="Style 58 6 6" xfId="15781" xr:uid="{00000000-0005-0000-0000-000051620000}"/>
    <cellStyle name="Style 58 7" xfId="6461" xr:uid="{00000000-0005-0000-0000-000052620000}"/>
    <cellStyle name="Style 58 7 2" xfId="6462" xr:uid="{00000000-0005-0000-0000-000053620000}"/>
    <cellStyle name="Style 58 7 2 2" xfId="15614" xr:uid="{00000000-0005-0000-0000-000054620000}"/>
    <cellStyle name="Style 58 7 3" xfId="6463" xr:uid="{00000000-0005-0000-0000-000055620000}"/>
    <cellStyle name="Style 58 7 3 2" xfId="15484" xr:uid="{00000000-0005-0000-0000-000056620000}"/>
    <cellStyle name="Style 58 7 4" xfId="16336" xr:uid="{00000000-0005-0000-0000-000057620000}"/>
    <cellStyle name="Style 58 8" xfId="6464" xr:uid="{00000000-0005-0000-0000-000058620000}"/>
    <cellStyle name="Style 58 8 2" xfId="16706" xr:uid="{00000000-0005-0000-0000-000059620000}"/>
    <cellStyle name="Style 58 8 3" xfId="16431" xr:uid="{00000000-0005-0000-0000-00005A620000}"/>
    <cellStyle name="Style 58 8 4" xfId="16979" xr:uid="{00000000-0005-0000-0000-00005B620000}"/>
    <cellStyle name="Style 58 9" xfId="6465" xr:uid="{00000000-0005-0000-0000-00005C620000}"/>
    <cellStyle name="Style 58 9 2" xfId="17066" xr:uid="{00000000-0005-0000-0000-00005D620000}"/>
    <cellStyle name="Style 58_ADDON" xfId="6466" xr:uid="{00000000-0005-0000-0000-00005E620000}"/>
    <cellStyle name="Style 59" xfId="3891" xr:uid="{00000000-0005-0000-0000-00005F620000}"/>
    <cellStyle name="Style 59 2" xfId="6467" xr:uid="{00000000-0005-0000-0000-000060620000}"/>
    <cellStyle name="Style 59 2 2" xfId="16530" xr:uid="{00000000-0005-0000-0000-000061620000}"/>
    <cellStyle name="Style 59 3" xfId="6468" xr:uid="{00000000-0005-0000-0000-000062620000}"/>
    <cellStyle name="Style 59 3 2" xfId="6469" xr:uid="{00000000-0005-0000-0000-000063620000}"/>
    <cellStyle name="Style 59 3 2 2" xfId="17152" xr:uid="{00000000-0005-0000-0000-000064620000}"/>
    <cellStyle name="Style 59 3 3" xfId="6470" xr:uid="{00000000-0005-0000-0000-000065620000}"/>
    <cellStyle name="Style 59 3 3 2" xfId="6471" xr:uid="{00000000-0005-0000-0000-000066620000}"/>
    <cellStyle name="Style 59 3 3 2 2" xfId="16609" xr:uid="{00000000-0005-0000-0000-000067620000}"/>
    <cellStyle name="Style 59 3 3 3" xfId="16335" xr:uid="{00000000-0005-0000-0000-000068620000}"/>
    <cellStyle name="Style 59 3 3 4" xfId="16884" xr:uid="{00000000-0005-0000-0000-000069620000}"/>
    <cellStyle name="Style 59 3 4" xfId="6472" xr:uid="{00000000-0005-0000-0000-00006A620000}"/>
    <cellStyle name="Style 59 3 4 2" xfId="16978" xr:uid="{00000000-0005-0000-0000-00006B620000}"/>
    <cellStyle name="Style 59 3 4 3" xfId="15613" xr:uid="{00000000-0005-0000-0000-00006C620000}"/>
    <cellStyle name="Style 59 3 5" xfId="16247" xr:uid="{00000000-0005-0000-0000-00006D620000}"/>
    <cellStyle name="Style 59 4" xfId="6473" xr:uid="{00000000-0005-0000-0000-00006E620000}"/>
    <cellStyle name="Style 59 4 2" xfId="6474" xr:uid="{00000000-0005-0000-0000-00006F620000}"/>
    <cellStyle name="Style 59 4 2 2" xfId="16430" xr:uid="{00000000-0005-0000-0000-000070620000}"/>
    <cellStyle name="Style 59 4 3" xfId="17065" xr:uid="{00000000-0005-0000-0000-000071620000}"/>
    <cellStyle name="Style 59 4 4" xfId="16705" xr:uid="{00000000-0005-0000-0000-000072620000}"/>
    <cellStyle name="Style 59 5" xfId="6475" xr:uid="{00000000-0005-0000-0000-000073620000}"/>
    <cellStyle name="Style 59 5 2" xfId="16529" xr:uid="{00000000-0005-0000-0000-000074620000}"/>
    <cellStyle name="Style 59 5 3" xfId="16800" xr:uid="{00000000-0005-0000-0000-000075620000}"/>
    <cellStyle name="Style 59 6" xfId="6476" xr:uid="{00000000-0005-0000-0000-000076620000}"/>
    <cellStyle name="Style 59 6 2" xfId="16246" xr:uid="{00000000-0005-0000-0000-000077620000}"/>
    <cellStyle name="Style 59 7" xfId="6477" xr:uid="{00000000-0005-0000-0000-000078620000}"/>
    <cellStyle name="Style 59 7 2" xfId="17151" xr:uid="{00000000-0005-0000-0000-000079620000}"/>
    <cellStyle name="Style 59 8" xfId="16801" xr:uid="{00000000-0005-0000-0000-00007A620000}"/>
    <cellStyle name="Style 59_ADDON" xfId="6478" xr:uid="{00000000-0005-0000-0000-00007B620000}"/>
    <cellStyle name="Style 60" xfId="3892" xr:uid="{00000000-0005-0000-0000-00007C620000}"/>
    <cellStyle name="Style 60 2" xfId="6479" xr:uid="{00000000-0005-0000-0000-00007D620000}"/>
    <cellStyle name="Style 60 2 2" xfId="6480" xr:uid="{00000000-0005-0000-0000-00007E620000}"/>
    <cellStyle name="Style 60 2 2 2" xfId="6481" xr:uid="{00000000-0005-0000-0000-00007F620000}"/>
    <cellStyle name="Style 60 2 2 2 2" xfId="16977" xr:uid="{00000000-0005-0000-0000-000080620000}"/>
    <cellStyle name="Style 60 2 2 2 3" xfId="15612" xr:uid="{00000000-0005-0000-0000-000081620000}"/>
    <cellStyle name="Style 60 2 2 3" xfId="6482" xr:uid="{00000000-0005-0000-0000-000082620000}"/>
    <cellStyle name="Style 60 2 2 3 2" xfId="16704" xr:uid="{00000000-0005-0000-0000-000083620000}"/>
    <cellStyle name="Style 60 2 2 4" xfId="16334" xr:uid="{00000000-0005-0000-0000-000084620000}"/>
    <cellStyle name="Style 60 2 3" xfId="6483" xr:uid="{00000000-0005-0000-0000-000085620000}"/>
    <cellStyle name="Style 60 2 3 2" xfId="17064" xr:uid="{00000000-0005-0000-0000-000086620000}"/>
    <cellStyle name="Style 60 2 3 3" xfId="16429" xr:uid="{00000000-0005-0000-0000-000087620000}"/>
    <cellStyle name="Style 60 2 4" xfId="6484" xr:uid="{00000000-0005-0000-0000-000088620000}"/>
    <cellStyle name="Style 60 2 4 2" xfId="16799" xr:uid="{00000000-0005-0000-0000-000089620000}"/>
    <cellStyle name="Style 60 2 5" xfId="6485" xr:uid="{00000000-0005-0000-0000-00008A620000}"/>
    <cellStyle name="Style 60 2 5 2" xfId="16528" xr:uid="{00000000-0005-0000-0000-00008B620000}"/>
    <cellStyle name="Style 60 2 6" xfId="16608" xr:uid="{00000000-0005-0000-0000-00008C620000}"/>
    <cellStyle name="Style 60 3" xfId="6486" xr:uid="{00000000-0005-0000-0000-00008D620000}"/>
    <cellStyle name="Style 60 3 2" xfId="6487" xr:uid="{00000000-0005-0000-0000-00008E620000}"/>
    <cellStyle name="Style 60 3 2 2" xfId="6488" xr:uid="{00000000-0005-0000-0000-00008F620000}"/>
    <cellStyle name="Style 60 3 2 2 2" xfId="16607" xr:uid="{00000000-0005-0000-0000-000090620000}"/>
    <cellStyle name="Style 60 3 2 2 3" xfId="16882" xr:uid="{00000000-0005-0000-0000-000091620000}"/>
    <cellStyle name="Style 60 3 2 3" xfId="6489" xr:uid="{00000000-0005-0000-0000-000092620000}"/>
    <cellStyle name="Style 60 3 2 3 2" xfId="16333" xr:uid="{00000000-0005-0000-0000-000093620000}"/>
    <cellStyle name="Style 60 3 2 4" xfId="17150" xr:uid="{00000000-0005-0000-0000-000094620000}"/>
    <cellStyle name="Style 60 3 3" xfId="6490" xr:uid="{00000000-0005-0000-0000-000095620000}"/>
    <cellStyle name="Style 60 3 3 2" xfId="6491" xr:uid="{00000000-0005-0000-0000-000096620000}"/>
    <cellStyle name="Style 60 3 3 2 2" xfId="16703" xr:uid="{00000000-0005-0000-0000-000097620000}"/>
    <cellStyle name="Style 60 3 3 2 3" xfId="16976" xr:uid="{00000000-0005-0000-0000-000098620000}"/>
    <cellStyle name="Style 60 3 3 3" xfId="6492" xr:uid="{00000000-0005-0000-0000-000099620000}"/>
    <cellStyle name="Style 60 3 3 3 2" xfId="16428" xr:uid="{00000000-0005-0000-0000-00009A620000}"/>
    <cellStyle name="Style 60 3 3 4" xfId="15611" xr:uid="{00000000-0005-0000-0000-00009B620000}"/>
    <cellStyle name="Style 60 3 4" xfId="6493" xr:uid="{00000000-0005-0000-0000-00009C620000}"/>
    <cellStyle name="Style 60 3 4 2" xfId="6494" xr:uid="{00000000-0005-0000-0000-00009D620000}"/>
    <cellStyle name="Style 60 3 4 2 2" xfId="17063" xr:uid="{00000000-0005-0000-0000-00009E620000}"/>
    <cellStyle name="Style 60 3 5" xfId="6495" xr:uid="{00000000-0005-0000-0000-00009F620000}"/>
    <cellStyle name="Style 60 3 5 2" xfId="16245" xr:uid="{00000000-0005-0000-0000-0000A0620000}"/>
    <cellStyle name="Style 60 4" xfId="6496" xr:uid="{00000000-0005-0000-0000-0000A1620000}"/>
    <cellStyle name="Style 60 4 2" xfId="6497" xr:uid="{00000000-0005-0000-0000-0000A2620000}"/>
    <cellStyle name="Style 60 4 2 2" xfId="16244" xr:uid="{00000000-0005-0000-0000-0000A3620000}"/>
    <cellStyle name="Style 60 4 2 3" xfId="16527" xr:uid="{00000000-0005-0000-0000-0000A4620000}"/>
    <cellStyle name="Style 60 4 3" xfId="6498" xr:uid="{00000000-0005-0000-0000-0000A5620000}"/>
    <cellStyle name="Style 60 4 3 2" xfId="17149" xr:uid="{00000000-0005-0000-0000-0000A6620000}"/>
    <cellStyle name="Style 60 4 4" xfId="16798" xr:uid="{00000000-0005-0000-0000-0000A7620000}"/>
    <cellStyle name="Style 60 5" xfId="6499" xr:uid="{00000000-0005-0000-0000-0000A8620000}"/>
    <cellStyle name="Style 60 5 2" xfId="16881" xr:uid="{00000000-0005-0000-0000-0000A9620000}"/>
    <cellStyle name="Style 60 6" xfId="6500" xr:uid="{00000000-0005-0000-0000-0000AA620000}"/>
    <cellStyle name="Style 60 6 2" xfId="16606" xr:uid="{00000000-0005-0000-0000-0000AB620000}"/>
    <cellStyle name="Style 60 7" xfId="16332" xr:uid="{00000000-0005-0000-0000-0000AC620000}"/>
    <cellStyle name="Style 60 8" xfId="16883" xr:uid="{00000000-0005-0000-0000-0000AD620000}"/>
    <cellStyle name="Style 60_ADDON" xfId="6501" xr:uid="{00000000-0005-0000-0000-0000AE620000}"/>
    <cellStyle name="Style 61" xfId="3893" xr:uid="{00000000-0005-0000-0000-0000AF620000}"/>
    <cellStyle name="Style 61 2" xfId="6502" xr:uid="{00000000-0005-0000-0000-0000B0620000}"/>
    <cellStyle name="Style 61 2 2" xfId="16975" xr:uid="{00000000-0005-0000-0000-0000B1620000}"/>
    <cellStyle name="Style 61 3" xfId="6503" xr:uid="{00000000-0005-0000-0000-0000B2620000}"/>
    <cellStyle name="Style 61 3 2" xfId="6504" xr:uid="{00000000-0005-0000-0000-0000B3620000}"/>
    <cellStyle name="Style 61 3 2 2" xfId="16427" xr:uid="{00000000-0005-0000-0000-0000B4620000}"/>
    <cellStyle name="Style 61 3 3" xfId="6505" xr:uid="{00000000-0005-0000-0000-0000B5620000}"/>
    <cellStyle name="Style 61 3 3 2" xfId="6506" xr:uid="{00000000-0005-0000-0000-0000B6620000}"/>
    <cellStyle name="Style 61 3 3 2 2" xfId="16797" xr:uid="{00000000-0005-0000-0000-0000B7620000}"/>
    <cellStyle name="Style 61 3 3 3" xfId="16526" xr:uid="{00000000-0005-0000-0000-0000B8620000}"/>
    <cellStyle name="Style 61 3 3 4" xfId="17062" xr:uid="{00000000-0005-0000-0000-0000B9620000}"/>
    <cellStyle name="Style 61 3 4" xfId="6507" xr:uid="{00000000-0005-0000-0000-0000BA620000}"/>
    <cellStyle name="Style 61 3 4 2" xfId="15817" xr:uid="{00000000-0005-0000-0000-0000BB620000}"/>
    <cellStyle name="Style 61 3 4 3" xfId="16243" xr:uid="{00000000-0005-0000-0000-0000BC620000}"/>
    <cellStyle name="Style 61 3 5" xfId="16702" xr:uid="{00000000-0005-0000-0000-0000BD620000}"/>
    <cellStyle name="Style 61 4" xfId="6508" xr:uid="{00000000-0005-0000-0000-0000BE620000}"/>
    <cellStyle name="Style 61 4 2" xfId="6509" xr:uid="{00000000-0005-0000-0000-0000BF620000}"/>
    <cellStyle name="Style 61 4 2 2" xfId="16880" xr:uid="{00000000-0005-0000-0000-0000C0620000}"/>
    <cellStyle name="Style 61 4 3" xfId="16605" xr:uid="{00000000-0005-0000-0000-0000C1620000}"/>
    <cellStyle name="Style 61 4 4" xfId="17148" xr:uid="{00000000-0005-0000-0000-0000C2620000}"/>
    <cellStyle name="Style 61 5" xfId="6510" xr:uid="{00000000-0005-0000-0000-0000C3620000}"/>
    <cellStyle name="Style 61 5 2" xfId="15609" xr:uid="{00000000-0005-0000-0000-0000C4620000}"/>
    <cellStyle name="Style 61 5 3" xfId="16331" xr:uid="{00000000-0005-0000-0000-0000C5620000}"/>
    <cellStyle name="Style 61 6" xfId="6511" xr:uid="{00000000-0005-0000-0000-0000C6620000}"/>
    <cellStyle name="Style 61 6 2" xfId="16974" xr:uid="{00000000-0005-0000-0000-0000C7620000}"/>
    <cellStyle name="Style 61 7" xfId="6512" xr:uid="{00000000-0005-0000-0000-0000C8620000}"/>
    <cellStyle name="Style 61 7 2" xfId="16701" xr:uid="{00000000-0005-0000-0000-0000C9620000}"/>
    <cellStyle name="Style 61 8" xfId="15610" xr:uid="{00000000-0005-0000-0000-0000CA620000}"/>
    <cellStyle name="Style 61_ADDON" xfId="6513" xr:uid="{00000000-0005-0000-0000-0000CB620000}"/>
    <cellStyle name="Style 62" xfId="3894" xr:uid="{00000000-0005-0000-0000-0000CC620000}"/>
    <cellStyle name="Style 62 10" xfId="6514" xr:uid="{00000000-0005-0000-0000-0000CD620000}"/>
    <cellStyle name="Style 62 10 2" xfId="17061" xr:uid="{00000000-0005-0000-0000-0000CE620000}"/>
    <cellStyle name="Style 62 11" xfId="6515" xr:uid="{00000000-0005-0000-0000-0000CF620000}"/>
    <cellStyle name="Style 62 11 2" xfId="16796" xr:uid="{00000000-0005-0000-0000-0000D0620000}"/>
    <cellStyle name="Style 62 12" xfId="6516" xr:uid="{00000000-0005-0000-0000-0000D1620000}"/>
    <cellStyle name="Style 62 12 2" xfId="16525" xr:uid="{00000000-0005-0000-0000-0000D2620000}"/>
    <cellStyle name="Style 62 13" xfId="16426" xr:uid="{00000000-0005-0000-0000-0000D3620000}"/>
    <cellStyle name="Style 62 2" xfId="6517" xr:uid="{00000000-0005-0000-0000-0000D4620000}"/>
    <cellStyle name="Style 62 2 2" xfId="6518" xr:uid="{00000000-0005-0000-0000-0000D5620000}"/>
    <cellStyle name="Style 62 2 2 2" xfId="17147" xr:uid="{00000000-0005-0000-0000-0000D6620000}"/>
    <cellStyle name="Style 62 2 3" xfId="16242" xr:uid="{00000000-0005-0000-0000-0000D7620000}"/>
    <cellStyle name="Style 62 3" xfId="6519" xr:uid="{00000000-0005-0000-0000-0000D8620000}"/>
    <cellStyle name="Style 62 3 2" xfId="6520" xr:uid="{00000000-0005-0000-0000-0000D9620000}"/>
    <cellStyle name="Style 62 3 2 2" xfId="6521" xr:uid="{00000000-0005-0000-0000-0000DA620000}"/>
    <cellStyle name="Style 62 3 2 2 2" xfId="16330" xr:uid="{00000000-0005-0000-0000-0000DB620000}"/>
    <cellStyle name="Style 62 3 2 3" xfId="6522" xr:uid="{00000000-0005-0000-0000-0000DC620000}"/>
    <cellStyle name="Style 62 3 2 3 2" xfId="16604" xr:uid="{00000000-0005-0000-0000-0000DD620000}"/>
    <cellStyle name="Style 62 3 3" xfId="6523" xr:uid="{00000000-0005-0000-0000-0000DE620000}"/>
    <cellStyle name="Style 62 3 3 2" xfId="6524" xr:uid="{00000000-0005-0000-0000-0000DF620000}"/>
    <cellStyle name="Style 62 3 3 2 2" xfId="6525" xr:uid="{00000000-0005-0000-0000-0000E0620000}"/>
    <cellStyle name="Style 62 3 3 2 2 2" xfId="16700" xr:uid="{00000000-0005-0000-0000-0000E1620000}"/>
    <cellStyle name="Style 62 3 3 2 3" xfId="16973" xr:uid="{00000000-0005-0000-0000-0000E2620000}"/>
    <cellStyle name="Style 62 3 3 3" xfId="6526" xr:uid="{00000000-0005-0000-0000-0000E3620000}"/>
    <cellStyle name="Style 62 3 3 3 2" xfId="6527" xr:uid="{00000000-0005-0000-0000-0000E4620000}"/>
    <cellStyle name="Style 62 3 3 3 2 2" xfId="17060" xr:uid="{00000000-0005-0000-0000-0000E5620000}"/>
    <cellStyle name="Style 62 3 3 3 3" xfId="6528" xr:uid="{00000000-0005-0000-0000-0000E6620000}"/>
    <cellStyle name="Style 62 3 3 3 3 2" xfId="16795" xr:uid="{00000000-0005-0000-0000-0000E7620000}"/>
    <cellStyle name="Style 62 3 3 3 4" xfId="16425" xr:uid="{00000000-0005-0000-0000-0000E8620000}"/>
    <cellStyle name="Style 62 3 3 4" xfId="6529" xr:uid="{00000000-0005-0000-0000-0000E9620000}"/>
    <cellStyle name="Style 62 3 3 4 2" xfId="6530" xr:uid="{00000000-0005-0000-0000-0000EA620000}"/>
    <cellStyle name="Style 62 3 3 4 2 2" xfId="16241" xr:uid="{00000000-0005-0000-0000-0000EB620000}"/>
    <cellStyle name="Style 62 3 3 4 3" xfId="16524" xr:uid="{00000000-0005-0000-0000-0000EC620000}"/>
    <cellStyle name="Style 62 3 3 5" xfId="6531" xr:uid="{00000000-0005-0000-0000-0000ED620000}"/>
    <cellStyle name="Style 62 3 3 5 2" xfId="17146" xr:uid="{00000000-0005-0000-0000-0000EE620000}"/>
    <cellStyle name="Style 62 3 3 6" xfId="15608" xr:uid="{00000000-0005-0000-0000-0000EF620000}"/>
    <cellStyle name="Style 62 3 4" xfId="6532" xr:uid="{00000000-0005-0000-0000-0000F0620000}"/>
    <cellStyle name="Style 62 3 4 2" xfId="16603" xr:uid="{00000000-0005-0000-0000-0000F1620000}"/>
    <cellStyle name="Style 62 3 4 3" xfId="16878" xr:uid="{00000000-0005-0000-0000-0000F2620000}"/>
    <cellStyle name="Style 62 3 5" xfId="6533" xr:uid="{00000000-0005-0000-0000-0000F3620000}"/>
    <cellStyle name="Style 62 3 5 2" xfId="16329" xr:uid="{00000000-0005-0000-0000-0000F4620000}"/>
    <cellStyle name="Style 62 3 6" xfId="16879" xr:uid="{00000000-0005-0000-0000-0000F5620000}"/>
    <cellStyle name="Style 62 4" xfId="6534" xr:uid="{00000000-0005-0000-0000-0000F6620000}"/>
    <cellStyle name="Style 62 4 2" xfId="6535" xr:uid="{00000000-0005-0000-0000-0000F7620000}"/>
    <cellStyle name="Style 62 4 2 2" xfId="6536" xr:uid="{00000000-0005-0000-0000-0000F8620000}"/>
    <cellStyle name="Style 62 4 2 2 2" xfId="6537" xr:uid="{00000000-0005-0000-0000-0000F9620000}"/>
    <cellStyle name="Style 62 4 2 2 2 2" xfId="16699" xr:uid="{00000000-0005-0000-0000-0000FA620000}"/>
    <cellStyle name="Style 62 4 2 2 3" xfId="16972" xr:uid="{00000000-0005-0000-0000-0000FB620000}"/>
    <cellStyle name="Style 62 4 2 3" xfId="6538" xr:uid="{00000000-0005-0000-0000-0000FC620000}"/>
    <cellStyle name="Style 62 4 2 3 2" xfId="6539" xr:uid="{00000000-0005-0000-0000-0000FD620000}"/>
    <cellStyle name="Style 62 4 2 3 2 2" xfId="17059" xr:uid="{00000000-0005-0000-0000-0000FE620000}"/>
    <cellStyle name="Style 62 4 2 3 3" xfId="6540" xr:uid="{00000000-0005-0000-0000-0000FF620000}"/>
    <cellStyle name="Style 62 4 2 3 3 2" xfId="16794" xr:uid="{00000000-0005-0000-0000-000000630000}"/>
    <cellStyle name="Style 62 4 2 3 4" xfId="16424" xr:uid="{00000000-0005-0000-0000-000001630000}"/>
    <cellStyle name="Style 62 4 2 4" xfId="6541" xr:uid="{00000000-0005-0000-0000-000002630000}"/>
    <cellStyle name="Style 62 4 2 4 2" xfId="6542" xr:uid="{00000000-0005-0000-0000-000003630000}"/>
    <cellStyle name="Style 62 4 2 4 2 2" xfId="16240" xr:uid="{00000000-0005-0000-0000-000004630000}"/>
    <cellStyle name="Style 62 4 2 4 3" xfId="16523" xr:uid="{00000000-0005-0000-0000-000005630000}"/>
    <cellStyle name="Style 62 4 2 5" xfId="6543" xr:uid="{00000000-0005-0000-0000-000006630000}"/>
    <cellStyle name="Style 62 4 2 5 2" xfId="17145" xr:uid="{00000000-0005-0000-0000-000007630000}"/>
    <cellStyle name="Style 62 4 2 6" xfId="15483" xr:uid="{00000000-0005-0000-0000-000008630000}"/>
    <cellStyle name="Style 62 4 3" xfId="6544" xr:uid="{00000000-0005-0000-0000-000009630000}"/>
    <cellStyle name="Style 62 4 3 2" xfId="6545" xr:uid="{00000000-0005-0000-0000-00000A630000}"/>
    <cellStyle name="Style 62 4 3 2 2" xfId="16602" xr:uid="{00000000-0005-0000-0000-00000B630000}"/>
    <cellStyle name="Style 62 4 3 3" xfId="16877" xr:uid="{00000000-0005-0000-0000-00000C630000}"/>
    <cellStyle name="Style 62 4 4" xfId="6546" xr:uid="{00000000-0005-0000-0000-00000D630000}"/>
    <cellStyle name="Style 62 4 4 2" xfId="15606" xr:uid="{00000000-0005-0000-0000-00000E630000}"/>
    <cellStyle name="Style 62 4 4 3" xfId="16328" xr:uid="{00000000-0005-0000-0000-00000F630000}"/>
    <cellStyle name="Style 62 4 5" xfId="6547" xr:uid="{00000000-0005-0000-0000-000010630000}"/>
    <cellStyle name="Style 62 4 5 2" xfId="16971" xr:uid="{00000000-0005-0000-0000-000011630000}"/>
    <cellStyle name="Style 62 4 6" xfId="15607" xr:uid="{00000000-0005-0000-0000-000012630000}"/>
    <cellStyle name="Style 62 5" xfId="6548" xr:uid="{00000000-0005-0000-0000-000013630000}"/>
    <cellStyle name="Style 62 5 2" xfId="6549" xr:uid="{00000000-0005-0000-0000-000014630000}"/>
    <cellStyle name="Style 62 5 2 2" xfId="6550" xr:uid="{00000000-0005-0000-0000-000015630000}"/>
    <cellStyle name="Style 62 5 2 2 2" xfId="6551" xr:uid="{00000000-0005-0000-0000-000016630000}"/>
    <cellStyle name="Style 62 5 2 2 2 2" xfId="16793" xr:uid="{00000000-0005-0000-0000-000017630000}"/>
    <cellStyle name="Style 62 5 2 2 3" xfId="17058" xr:uid="{00000000-0005-0000-0000-000018630000}"/>
    <cellStyle name="Style 62 5 2 3" xfId="6552" xr:uid="{00000000-0005-0000-0000-000019630000}"/>
    <cellStyle name="Style 62 5 2 3 2" xfId="6553" xr:uid="{00000000-0005-0000-0000-00001A630000}"/>
    <cellStyle name="Style 62 5 2 3 2 2" xfId="16239" xr:uid="{00000000-0005-0000-0000-00001B630000}"/>
    <cellStyle name="Style 62 5 2 3 3" xfId="6554" xr:uid="{00000000-0005-0000-0000-00001C630000}"/>
    <cellStyle name="Style 62 5 2 3 3 2" xfId="17144" xr:uid="{00000000-0005-0000-0000-00001D630000}"/>
    <cellStyle name="Style 62 5 2 3 4" xfId="16522" xr:uid="{00000000-0005-0000-0000-00001E630000}"/>
    <cellStyle name="Style 62 5 2 4" xfId="6555" xr:uid="{00000000-0005-0000-0000-00001F630000}"/>
    <cellStyle name="Style 62 5 2 4 2" xfId="16601" xr:uid="{00000000-0005-0000-0000-000020630000}"/>
    <cellStyle name="Style 62 5 2 4 3" xfId="16876" xr:uid="{00000000-0005-0000-0000-000021630000}"/>
    <cellStyle name="Style 62 5 2 5" xfId="6556" xr:uid="{00000000-0005-0000-0000-000022630000}"/>
    <cellStyle name="Style 62 5 2 5 2" xfId="16423" xr:uid="{00000000-0005-0000-0000-000023630000}"/>
    <cellStyle name="Style 62 5 3" xfId="6557" xr:uid="{00000000-0005-0000-0000-000024630000}"/>
    <cellStyle name="Style 62 5 3 2" xfId="6558" xr:uid="{00000000-0005-0000-0000-000025630000}"/>
    <cellStyle name="Style 62 5 3 2 2" xfId="15605" xr:uid="{00000000-0005-0000-0000-000026630000}"/>
    <cellStyle name="Style 62 5 3 3" xfId="16327" xr:uid="{00000000-0005-0000-0000-000027630000}"/>
    <cellStyle name="Style 62 5 4" xfId="6559" xr:uid="{00000000-0005-0000-0000-000028630000}"/>
    <cellStyle name="Style 62 5 4 2" xfId="16970" xr:uid="{00000000-0005-0000-0000-000029630000}"/>
    <cellStyle name="Style 62 5 5" xfId="6560" xr:uid="{00000000-0005-0000-0000-00002A630000}"/>
    <cellStyle name="Style 62 5 5 2" xfId="16697" xr:uid="{00000000-0005-0000-0000-00002B630000}"/>
    <cellStyle name="Style 62 5 6" xfId="16698" xr:uid="{00000000-0005-0000-0000-00002C630000}"/>
    <cellStyle name="Style 62 6" xfId="6561" xr:uid="{00000000-0005-0000-0000-00002D630000}"/>
    <cellStyle name="Style 62 6 2" xfId="6562" xr:uid="{00000000-0005-0000-0000-00002E630000}"/>
    <cellStyle name="Style 62 6 2 2" xfId="6563" xr:uid="{00000000-0005-0000-0000-00002F630000}"/>
    <cellStyle name="Style 62 6 2 2 2" xfId="16792" xr:uid="{00000000-0005-0000-0000-000030630000}"/>
    <cellStyle name="Style 62 6 2 3" xfId="17057" xr:uid="{00000000-0005-0000-0000-000031630000}"/>
    <cellStyle name="Style 62 6 3" xfId="6564" xr:uid="{00000000-0005-0000-0000-000032630000}"/>
    <cellStyle name="Style 62 6 3 2" xfId="6565" xr:uid="{00000000-0005-0000-0000-000033630000}"/>
    <cellStyle name="Style 62 6 3 2 2" xfId="16238" xr:uid="{00000000-0005-0000-0000-000034630000}"/>
    <cellStyle name="Style 62 6 3 3" xfId="6566" xr:uid="{00000000-0005-0000-0000-000035630000}"/>
    <cellStyle name="Style 62 6 3 3 2" xfId="17143" xr:uid="{00000000-0005-0000-0000-000036630000}"/>
    <cellStyle name="Style 62 6 3 4" xfId="16521" xr:uid="{00000000-0005-0000-0000-000037630000}"/>
    <cellStyle name="Style 62 6 4" xfId="6567" xr:uid="{00000000-0005-0000-0000-000038630000}"/>
    <cellStyle name="Style 62 6 4 2" xfId="6568" xr:uid="{00000000-0005-0000-0000-000039630000}"/>
    <cellStyle name="Style 62 6 4 2 2" xfId="16875" xr:uid="{00000000-0005-0000-0000-00003A630000}"/>
    <cellStyle name="Style 62 6 4 3" xfId="15816" xr:uid="{00000000-0005-0000-0000-00003B630000}"/>
    <cellStyle name="Style 62 6 5" xfId="6569" xr:uid="{00000000-0005-0000-0000-00003C630000}"/>
    <cellStyle name="Style 62 6 5 2" xfId="16600" xr:uid="{00000000-0005-0000-0000-00003D630000}"/>
    <cellStyle name="Style 62 6 6" xfId="16422" xr:uid="{00000000-0005-0000-0000-00003E630000}"/>
    <cellStyle name="Style 62 7" xfId="6570" xr:uid="{00000000-0005-0000-0000-00003F630000}"/>
    <cellStyle name="Style 62 7 2" xfId="6571" xr:uid="{00000000-0005-0000-0000-000040630000}"/>
    <cellStyle name="Style 62 7 2 2" xfId="15604" xr:uid="{00000000-0005-0000-0000-000041630000}"/>
    <cellStyle name="Style 62 7 3" xfId="6572" xr:uid="{00000000-0005-0000-0000-000042630000}"/>
    <cellStyle name="Style 62 7 3 2" xfId="16969" xr:uid="{00000000-0005-0000-0000-000043630000}"/>
    <cellStyle name="Style 62 7 4" xfId="16326" xr:uid="{00000000-0005-0000-0000-000044630000}"/>
    <cellStyle name="Style 62 8" xfId="6573" xr:uid="{00000000-0005-0000-0000-000045630000}"/>
    <cellStyle name="Style 62 8 2" xfId="16421" xr:uid="{00000000-0005-0000-0000-000046630000}"/>
    <cellStyle name="Style 62 8 3" xfId="17056" xr:uid="{00000000-0005-0000-0000-000047630000}"/>
    <cellStyle name="Style 62 8 4" xfId="16696" xr:uid="{00000000-0005-0000-0000-000048630000}"/>
    <cellStyle name="Style 62 9" xfId="6574" xr:uid="{00000000-0005-0000-0000-000049630000}"/>
    <cellStyle name="Style 62 9 2" xfId="16791" xr:uid="{00000000-0005-0000-0000-00004A630000}"/>
    <cellStyle name="Style 62_ADDON" xfId="6575" xr:uid="{00000000-0005-0000-0000-00004B630000}"/>
    <cellStyle name="Style 63" xfId="3895" xr:uid="{00000000-0005-0000-0000-00004C630000}"/>
    <cellStyle name="Style 63 2" xfId="6576" xr:uid="{00000000-0005-0000-0000-00004D630000}"/>
    <cellStyle name="Style 63 2 2" xfId="6577" xr:uid="{00000000-0005-0000-0000-00004E630000}"/>
    <cellStyle name="Style 63 2 2 2" xfId="6578" xr:uid="{00000000-0005-0000-0000-00004F630000}"/>
    <cellStyle name="Style 63 2 2 2 2" xfId="16874" xr:uid="{00000000-0005-0000-0000-000050630000}"/>
    <cellStyle name="Style 63 2 2 2 3" xfId="15815" xr:uid="{00000000-0005-0000-0000-000051630000}"/>
    <cellStyle name="Style 63 2 2 3" xfId="6579" xr:uid="{00000000-0005-0000-0000-000052630000}"/>
    <cellStyle name="Style 63 2 2 3 2" xfId="16599" xr:uid="{00000000-0005-0000-0000-000053630000}"/>
    <cellStyle name="Style 63 2 2 4" xfId="17142" xr:uid="{00000000-0005-0000-0000-000054630000}"/>
    <cellStyle name="Style 63 2 3" xfId="6580" xr:uid="{00000000-0005-0000-0000-000055630000}"/>
    <cellStyle name="Style 63 2 3 2" xfId="15603" xr:uid="{00000000-0005-0000-0000-000056630000}"/>
    <cellStyle name="Style 63 2 3 3" xfId="16325" xr:uid="{00000000-0005-0000-0000-000057630000}"/>
    <cellStyle name="Style 63 2 4" xfId="6581" xr:uid="{00000000-0005-0000-0000-000058630000}"/>
    <cellStyle name="Style 63 2 4 2" xfId="15482" xr:uid="{00000000-0005-0000-0000-000059630000}"/>
    <cellStyle name="Style 63 2 5" xfId="6582" xr:uid="{00000000-0005-0000-0000-00005A630000}"/>
    <cellStyle name="Style 63 2 5 2" xfId="16968" xr:uid="{00000000-0005-0000-0000-00005B630000}"/>
    <cellStyle name="Style 63 2 6" xfId="16237" xr:uid="{00000000-0005-0000-0000-00005C630000}"/>
    <cellStyle name="Style 63 3" xfId="6583" xr:uid="{00000000-0005-0000-0000-00005D630000}"/>
    <cellStyle name="Style 63 3 2" xfId="6584" xr:uid="{00000000-0005-0000-0000-00005E630000}"/>
    <cellStyle name="Style 63 3 2 2" xfId="6585" xr:uid="{00000000-0005-0000-0000-00005F630000}"/>
    <cellStyle name="Style 63 3 2 2 2" xfId="16790" xr:uid="{00000000-0005-0000-0000-000060630000}"/>
    <cellStyle name="Style 63 3 2 2 3" xfId="17055" xr:uid="{00000000-0005-0000-0000-000061630000}"/>
    <cellStyle name="Style 63 3 2 3" xfId="6586" xr:uid="{00000000-0005-0000-0000-000062630000}"/>
    <cellStyle name="Style 63 3 2 3 2" xfId="16519" xr:uid="{00000000-0005-0000-0000-000063630000}"/>
    <cellStyle name="Style 63 3 2 4" xfId="16420" xr:uid="{00000000-0005-0000-0000-000064630000}"/>
    <cellStyle name="Style 63 3 3" xfId="6587" xr:uid="{00000000-0005-0000-0000-000065630000}"/>
    <cellStyle name="Style 63 3 3 2" xfId="6588" xr:uid="{00000000-0005-0000-0000-000066630000}"/>
    <cellStyle name="Style 63 3 3 2 2" xfId="16873" xr:uid="{00000000-0005-0000-0000-000067630000}"/>
    <cellStyle name="Style 63 3 3 2 3" xfId="17141" xr:uid="{00000000-0005-0000-0000-000068630000}"/>
    <cellStyle name="Style 63 3 3 3" xfId="6589" xr:uid="{00000000-0005-0000-0000-000069630000}"/>
    <cellStyle name="Style 63 3 3 3 2" xfId="16598" xr:uid="{00000000-0005-0000-0000-00006A630000}"/>
    <cellStyle name="Style 63 3 3 4" xfId="16236" xr:uid="{00000000-0005-0000-0000-00006B630000}"/>
    <cellStyle name="Style 63 3 4" xfId="6590" xr:uid="{00000000-0005-0000-0000-00006C630000}"/>
    <cellStyle name="Style 63 3 4 2" xfId="6591" xr:uid="{00000000-0005-0000-0000-00006D630000}"/>
    <cellStyle name="Style 63 3 4 2 2" xfId="16324" xr:uid="{00000000-0005-0000-0000-00006E630000}"/>
    <cellStyle name="Style 63 3 5" xfId="6592" xr:uid="{00000000-0005-0000-0000-00006F630000}"/>
    <cellStyle name="Style 63 3 5 2" xfId="16695" xr:uid="{00000000-0005-0000-0000-000070630000}"/>
    <cellStyle name="Style 63 4" xfId="6593" xr:uid="{00000000-0005-0000-0000-000071630000}"/>
    <cellStyle name="Style 63 4 2" xfId="6594" xr:uid="{00000000-0005-0000-0000-000072630000}"/>
    <cellStyle name="Style 63 4 2 2" xfId="16694" xr:uid="{00000000-0005-0000-0000-000073630000}"/>
    <cellStyle name="Style 63 4 2 3" xfId="16967" xr:uid="{00000000-0005-0000-0000-000074630000}"/>
    <cellStyle name="Style 63 4 3" xfId="6595" xr:uid="{00000000-0005-0000-0000-000075630000}"/>
    <cellStyle name="Style 63 4 3 2" xfId="16419" xr:uid="{00000000-0005-0000-0000-000076630000}"/>
    <cellStyle name="Style 63 4 4" xfId="15602" xr:uid="{00000000-0005-0000-0000-000077630000}"/>
    <cellStyle name="Style 63 5" xfId="6596" xr:uid="{00000000-0005-0000-0000-000078630000}"/>
    <cellStyle name="Style 63 5 2" xfId="17054" xr:uid="{00000000-0005-0000-0000-000079630000}"/>
    <cellStyle name="Style 63 6" xfId="6597" xr:uid="{00000000-0005-0000-0000-00007A630000}"/>
    <cellStyle name="Style 63 6 2" xfId="16789" xr:uid="{00000000-0005-0000-0000-00007B630000}"/>
    <cellStyle name="Style 63 7" xfId="16518" xr:uid="{00000000-0005-0000-0000-00007C630000}"/>
    <cellStyle name="Style 63 8" xfId="16520" xr:uid="{00000000-0005-0000-0000-00007D630000}"/>
    <cellStyle name="Style 63_ADDON" xfId="6598" xr:uid="{00000000-0005-0000-0000-00007E630000}"/>
    <cellStyle name="Style 64" xfId="3896" xr:uid="{00000000-0005-0000-0000-00007F630000}"/>
    <cellStyle name="Style 64 2" xfId="6599" xr:uid="{00000000-0005-0000-0000-000080630000}"/>
    <cellStyle name="Style 64 2 2" xfId="6600" xr:uid="{00000000-0005-0000-0000-000081630000}"/>
    <cellStyle name="Style 64 2 2 2" xfId="6601" xr:uid="{00000000-0005-0000-0000-000082630000}"/>
    <cellStyle name="Style 64 2 2 2 2" xfId="16597" xr:uid="{00000000-0005-0000-0000-000083630000}"/>
    <cellStyle name="Style 64 2 2 2 3" xfId="16872" xr:uid="{00000000-0005-0000-0000-000084630000}"/>
    <cellStyle name="Style 64 2 2 3" xfId="6602" xr:uid="{00000000-0005-0000-0000-000085630000}"/>
    <cellStyle name="Style 64 2 2 3 2" xfId="16323" xr:uid="{00000000-0005-0000-0000-000086630000}"/>
    <cellStyle name="Style 64 2 2 4" xfId="17140" xr:uid="{00000000-0005-0000-0000-000087630000}"/>
    <cellStyle name="Style 64 2 3" xfId="6603" xr:uid="{00000000-0005-0000-0000-000088630000}"/>
    <cellStyle name="Style 64 2 3 2" xfId="16966" xr:uid="{00000000-0005-0000-0000-000089630000}"/>
    <cellStyle name="Style 64 2 3 3" xfId="15601" xr:uid="{00000000-0005-0000-0000-00008A630000}"/>
    <cellStyle name="Style 64 2 4" xfId="6604" xr:uid="{00000000-0005-0000-0000-00008B630000}"/>
    <cellStyle name="Style 64 2 4 2" xfId="16693" xr:uid="{00000000-0005-0000-0000-00008C630000}"/>
    <cellStyle name="Style 64 2 5" xfId="6605" xr:uid="{00000000-0005-0000-0000-00008D630000}"/>
    <cellStyle name="Style 64 2 5 2" xfId="16418" xr:uid="{00000000-0005-0000-0000-00008E630000}"/>
    <cellStyle name="Style 64 2 6" xfId="16235" xr:uid="{00000000-0005-0000-0000-00008F630000}"/>
    <cellStyle name="Style 64 3" xfId="6606" xr:uid="{00000000-0005-0000-0000-000090630000}"/>
    <cellStyle name="Style 64 3 2" xfId="6607" xr:uid="{00000000-0005-0000-0000-000091630000}"/>
    <cellStyle name="Style 64 3 2 2" xfId="6608" xr:uid="{00000000-0005-0000-0000-000092630000}"/>
    <cellStyle name="Style 64 3 2 2 2" xfId="15813" xr:uid="{00000000-0005-0000-0000-000093630000}"/>
    <cellStyle name="Style 64 3 2 2 3" xfId="16517" xr:uid="{00000000-0005-0000-0000-000094630000}"/>
    <cellStyle name="Style 64 3 2 3" xfId="6609" xr:uid="{00000000-0005-0000-0000-000095630000}"/>
    <cellStyle name="Style 64 3 2 3 2" xfId="16234" xr:uid="{00000000-0005-0000-0000-000096630000}"/>
    <cellStyle name="Style 64 3 2 4" xfId="16788" xr:uid="{00000000-0005-0000-0000-000097630000}"/>
    <cellStyle name="Style 64 3 3" xfId="6610" xr:uid="{00000000-0005-0000-0000-000098630000}"/>
    <cellStyle name="Style 64 3 3 2" xfId="6611" xr:uid="{00000000-0005-0000-0000-000099630000}"/>
    <cellStyle name="Style 64 3 3 2 2" xfId="16596" xr:uid="{00000000-0005-0000-0000-00009A630000}"/>
    <cellStyle name="Style 64 3 3 2 3" xfId="16871" xr:uid="{00000000-0005-0000-0000-00009B630000}"/>
    <cellStyle name="Style 64 3 3 3" xfId="6612" xr:uid="{00000000-0005-0000-0000-00009C630000}"/>
    <cellStyle name="Style 64 3 3 3 2" xfId="16322" xr:uid="{00000000-0005-0000-0000-00009D630000}"/>
    <cellStyle name="Style 64 3 3 4" xfId="17139" xr:uid="{00000000-0005-0000-0000-00009E630000}"/>
    <cellStyle name="Style 64 3 4" xfId="6613" xr:uid="{00000000-0005-0000-0000-00009F630000}"/>
    <cellStyle name="Style 64 3 4 2" xfId="6614" xr:uid="{00000000-0005-0000-0000-0000A0630000}"/>
    <cellStyle name="Style 64 3 4 2 2" xfId="15600" xr:uid="{00000000-0005-0000-0000-0000A1630000}"/>
    <cellStyle name="Style 64 3 5" xfId="6615" xr:uid="{00000000-0005-0000-0000-0000A2630000}"/>
    <cellStyle name="Style 64 3 5 2" xfId="17053" xr:uid="{00000000-0005-0000-0000-0000A3630000}"/>
    <cellStyle name="Style 64 4" xfId="6616" xr:uid="{00000000-0005-0000-0000-0000A4630000}"/>
    <cellStyle name="Style 64 4 2" xfId="6617" xr:uid="{00000000-0005-0000-0000-0000A5630000}"/>
    <cellStyle name="Style 64 4 2 2" xfId="16417" xr:uid="{00000000-0005-0000-0000-0000A6630000}"/>
    <cellStyle name="Style 64 4 2 3" xfId="16692" xr:uid="{00000000-0005-0000-0000-0000A7630000}"/>
    <cellStyle name="Style 64 4 3" xfId="6618" xr:uid="{00000000-0005-0000-0000-0000A8630000}"/>
    <cellStyle name="Style 64 4 3 2" xfId="17052" xr:uid="{00000000-0005-0000-0000-0000A9630000}"/>
    <cellStyle name="Style 64 4 4" xfId="16965" xr:uid="{00000000-0005-0000-0000-0000AA630000}"/>
    <cellStyle name="Style 64 5" xfId="6619" xr:uid="{00000000-0005-0000-0000-0000AB630000}"/>
    <cellStyle name="Style 64 5 2" xfId="16787" xr:uid="{00000000-0005-0000-0000-0000AC630000}"/>
    <cellStyle name="Style 64 6" xfId="6620" xr:uid="{00000000-0005-0000-0000-0000AD630000}"/>
    <cellStyle name="Style 64 6 2" xfId="16516" xr:uid="{00000000-0005-0000-0000-0000AE630000}"/>
    <cellStyle name="Style 64 7" xfId="16233" xr:uid="{00000000-0005-0000-0000-0000AF630000}"/>
    <cellStyle name="Style 64 8" xfId="15814" xr:uid="{00000000-0005-0000-0000-0000B0630000}"/>
    <cellStyle name="Style 64_ADDON" xfId="6621" xr:uid="{00000000-0005-0000-0000-0000B1630000}"/>
    <cellStyle name="Style 69" xfId="3897" xr:uid="{00000000-0005-0000-0000-0000B2630000}"/>
    <cellStyle name="Style 69 10" xfId="6622" xr:uid="{00000000-0005-0000-0000-0000B3630000}"/>
    <cellStyle name="Style 69 10 2" xfId="16870" xr:uid="{00000000-0005-0000-0000-0000B4630000}"/>
    <cellStyle name="Style 69 11" xfId="6623" xr:uid="{00000000-0005-0000-0000-0000B5630000}"/>
    <cellStyle name="Style 69 11 2" xfId="16595" xr:uid="{00000000-0005-0000-0000-0000B6630000}"/>
    <cellStyle name="Style 69 12" xfId="6624" xr:uid="{00000000-0005-0000-0000-0000B7630000}"/>
    <cellStyle name="Style 69 12 2" xfId="16321" xr:uid="{00000000-0005-0000-0000-0000B8630000}"/>
    <cellStyle name="Style 69 13" xfId="17138" xr:uid="{00000000-0005-0000-0000-0000B9630000}"/>
    <cellStyle name="Style 69 2" xfId="6625" xr:uid="{00000000-0005-0000-0000-0000BA630000}"/>
    <cellStyle name="Style 69 2 2" xfId="6626" xr:uid="{00000000-0005-0000-0000-0000BB630000}"/>
    <cellStyle name="Style 69 2 2 2" xfId="16964" xr:uid="{00000000-0005-0000-0000-0000BC630000}"/>
    <cellStyle name="Style 69 2 3" xfId="15599" xr:uid="{00000000-0005-0000-0000-0000BD630000}"/>
    <cellStyle name="Style 69 3" xfId="6627" xr:uid="{00000000-0005-0000-0000-0000BE630000}"/>
    <cellStyle name="Style 69 3 2" xfId="6628" xr:uid="{00000000-0005-0000-0000-0000BF630000}"/>
    <cellStyle name="Style 69 3 2 2" xfId="6629" xr:uid="{00000000-0005-0000-0000-0000C0630000}"/>
    <cellStyle name="Style 69 3 2 2 2" xfId="17051" xr:uid="{00000000-0005-0000-0000-0000C1630000}"/>
    <cellStyle name="Style 69 3 2 3" xfId="6630" xr:uid="{00000000-0005-0000-0000-0000C2630000}"/>
    <cellStyle name="Style 69 3 2 3 2" xfId="16416" xr:uid="{00000000-0005-0000-0000-0000C3630000}"/>
    <cellStyle name="Style 69 3 3" xfId="6631" xr:uid="{00000000-0005-0000-0000-0000C4630000}"/>
    <cellStyle name="Style 69 3 3 2" xfId="6632" xr:uid="{00000000-0005-0000-0000-0000C5630000}"/>
    <cellStyle name="Style 69 3 3 2 2" xfId="6633" xr:uid="{00000000-0005-0000-0000-0000C6630000}"/>
    <cellStyle name="Style 69 3 3 2 2 2" xfId="16232" xr:uid="{00000000-0005-0000-0000-0000C7630000}"/>
    <cellStyle name="Style 69 3 3 2 3" xfId="16515" xr:uid="{00000000-0005-0000-0000-0000C8630000}"/>
    <cellStyle name="Style 69 3 3 3" xfId="6634" xr:uid="{00000000-0005-0000-0000-0000C9630000}"/>
    <cellStyle name="Style 69 3 3 3 2" xfId="6635" xr:uid="{00000000-0005-0000-0000-0000CA630000}"/>
    <cellStyle name="Style 69 3 3 3 2 2" xfId="16869" xr:uid="{00000000-0005-0000-0000-0000CB630000}"/>
    <cellStyle name="Style 69 3 3 3 3" xfId="6636" xr:uid="{00000000-0005-0000-0000-0000CC630000}"/>
    <cellStyle name="Style 69 3 3 3 3 2" xfId="16594" xr:uid="{00000000-0005-0000-0000-0000CD630000}"/>
    <cellStyle name="Style 69 3 3 3 4" xfId="17137" xr:uid="{00000000-0005-0000-0000-0000CE630000}"/>
    <cellStyle name="Style 69 3 3 4" xfId="6637" xr:uid="{00000000-0005-0000-0000-0000CF630000}"/>
    <cellStyle name="Style 69 3 3 4 2" xfId="6638" xr:uid="{00000000-0005-0000-0000-0000D0630000}"/>
    <cellStyle name="Style 69 3 3 4 2 2" xfId="15598" xr:uid="{00000000-0005-0000-0000-0000D1630000}"/>
    <cellStyle name="Style 69 3 3 4 3" xfId="16320" xr:uid="{00000000-0005-0000-0000-0000D2630000}"/>
    <cellStyle name="Style 69 3 3 5" xfId="6639" xr:uid="{00000000-0005-0000-0000-0000D3630000}"/>
    <cellStyle name="Style 69 3 3 5 2" xfId="16963" xr:uid="{00000000-0005-0000-0000-0000D4630000}"/>
    <cellStyle name="Style 69 3 3 6" xfId="16786" xr:uid="{00000000-0005-0000-0000-0000D5630000}"/>
    <cellStyle name="Style 69 3 4" xfId="6640" xr:uid="{00000000-0005-0000-0000-0000D6630000}"/>
    <cellStyle name="Style 69 3 4 2" xfId="16415" xr:uid="{00000000-0005-0000-0000-0000D7630000}"/>
    <cellStyle name="Style 69 3 4 3" xfId="16690" xr:uid="{00000000-0005-0000-0000-0000D8630000}"/>
    <cellStyle name="Style 69 3 5" xfId="6641" xr:uid="{00000000-0005-0000-0000-0000D9630000}"/>
    <cellStyle name="Style 69 3 5 2" xfId="17050" xr:uid="{00000000-0005-0000-0000-0000DA630000}"/>
    <cellStyle name="Style 69 3 6" xfId="16691" xr:uid="{00000000-0005-0000-0000-0000DB630000}"/>
    <cellStyle name="Style 69 4" xfId="6642" xr:uid="{00000000-0005-0000-0000-0000DC630000}"/>
    <cellStyle name="Style 69 4 2" xfId="6643" xr:uid="{00000000-0005-0000-0000-0000DD630000}"/>
    <cellStyle name="Style 69 4 2 2" xfId="6644" xr:uid="{00000000-0005-0000-0000-0000DE630000}"/>
    <cellStyle name="Style 69 4 2 2 2" xfId="6645" xr:uid="{00000000-0005-0000-0000-0000DF630000}"/>
    <cellStyle name="Style 69 4 2 2 2 2" xfId="17136" xr:uid="{00000000-0005-0000-0000-0000E0630000}"/>
    <cellStyle name="Style 69 4 2 2 3" xfId="16231" xr:uid="{00000000-0005-0000-0000-0000E1630000}"/>
    <cellStyle name="Style 69 4 2 3" xfId="6646" xr:uid="{00000000-0005-0000-0000-0000E2630000}"/>
    <cellStyle name="Style 69 4 2 3 2" xfId="6647" xr:uid="{00000000-0005-0000-0000-0000E3630000}"/>
    <cellStyle name="Style 69 4 2 3 2 2" xfId="16593" xr:uid="{00000000-0005-0000-0000-0000E4630000}"/>
    <cellStyle name="Style 69 4 2 3 3" xfId="6648" xr:uid="{00000000-0005-0000-0000-0000E5630000}"/>
    <cellStyle name="Style 69 4 2 3 3 2" xfId="16319" xr:uid="{00000000-0005-0000-0000-0000E6630000}"/>
    <cellStyle name="Style 69 4 2 3 4" xfId="16868" xr:uid="{00000000-0005-0000-0000-0000E7630000}"/>
    <cellStyle name="Style 69 4 2 4" xfId="6649" xr:uid="{00000000-0005-0000-0000-0000E8630000}"/>
    <cellStyle name="Style 69 4 2 4 2" xfId="6650" xr:uid="{00000000-0005-0000-0000-0000E9630000}"/>
    <cellStyle name="Style 69 4 2 4 2 2" xfId="16962" xr:uid="{00000000-0005-0000-0000-0000EA630000}"/>
    <cellStyle name="Style 69 4 2 4 3" xfId="15597" xr:uid="{00000000-0005-0000-0000-0000EB630000}"/>
    <cellStyle name="Style 69 4 2 5" xfId="6651" xr:uid="{00000000-0005-0000-0000-0000EC630000}"/>
    <cellStyle name="Style 69 4 2 5 2" xfId="16689" xr:uid="{00000000-0005-0000-0000-0000ED630000}"/>
    <cellStyle name="Style 69 4 2 6" xfId="16514" xr:uid="{00000000-0005-0000-0000-0000EE630000}"/>
    <cellStyle name="Style 69 4 3" xfId="6652" xr:uid="{00000000-0005-0000-0000-0000EF630000}"/>
    <cellStyle name="Style 69 4 3 2" xfId="6653" xr:uid="{00000000-0005-0000-0000-0000F0630000}"/>
    <cellStyle name="Style 69 4 3 2 2" xfId="17049" xr:uid="{00000000-0005-0000-0000-0000F1630000}"/>
    <cellStyle name="Style 69 4 3 3" xfId="16414" xr:uid="{00000000-0005-0000-0000-0000F2630000}"/>
    <cellStyle name="Style 69 4 4" xfId="6654" xr:uid="{00000000-0005-0000-0000-0000F3630000}"/>
    <cellStyle name="Style 69 4 4 2" xfId="16513" xr:uid="{00000000-0005-0000-0000-0000F4630000}"/>
    <cellStyle name="Style 69 4 4 3" xfId="16784" xr:uid="{00000000-0005-0000-0000-0000F5630000}"/>
    <cellStyle name="Style 69 4 5" xfId="6655" xr:uid="{00000000-0005-0000-0000-0000F6630000}"/>
    <cellStyle name="Style 69 4 5 2" xfId="16230" xr:uid="{00000000-0005-0000-0000-0000F7630000}"/>
    <cellStyle name="Style 69 4 6" xfId="16785" xr:uid="{00000000-0005-0000-0000-0000F8630000}"/>
    <cellStyle name="Style 69 5" xfId="6656" xr:uid="{00000000-0005-0000-0000-0000F9630000}"/>
    <cellStyle name="Style 69 5 2" xfId="6657" xr:uid="{00000000-0005-0000-0000-0000FA630000}"/>
    <cellStyle name="Style 69 5 2 2" xfId="6658" xr:uid="{00000000-0005-0000-0000-0000FB630000}"/>
    <cellStyle name="Style 69 5 2 2 2" xfId="6659" xr:uid="{00000000-0005-0000-0000-0000FC630000}"/>
    <cellStyle name="Style 69 5 2 2 2 2" xfId="16318" xr:uid="{00000000-0005-0000-0000-0000FD630000}"/>
    <cellStyle name="Style 69 5 2 2 3" xfId="16592" xr:uid="{00000000-0005-0000-0000-0000FE630000}"/>
    <cellStyle name="Style 69 5 2 3" xfId="6660" xr:uid="{00000000-0005-0000-0000-0000FF630000}"/>
    <cellStyle name="Style 69 5 2 3 2" xfId="6661" xr:uid="{00000000-0005-0000-0000-000000640000}"/>
    <cellStyle name="Style 69 5 2 3 2 2" xfId="16961" xr:uid="{00000000-0005-0000-0000-000001640000}"/>
    <cellStyle name="Style 69 5 2 3 3" xfId="6662" xr:uid="{00000000-0005-0000-0000-000002640000}"/>
    <cellStyle name="Style 69 5 2 3 3 2" xfId="16688" xr:uid="{00000000-0005-0000-0000-000003640000}"/>
    <cellStyle name="Style 69 5 2 3 4" xfId="15596" xr:uid="{00000000-0005-0000-0000-000004640000}"/>
    <cellStyle name="Style 69 5 2 4" xfId="6663" xr:uid="{00000000-0005-0000-0000-000005640000}"/>
    <cellStyle name="Style 69 5 2 4 2" xfId="17048" xr:uid="{00000000-0005-0000-0000-000006640000}"/>
    <cellStyle name="Style 69 5 2 4 3" xfId="16413" xr:uid="{00000000-0005-0000-0000-000007640000}"/>
    <cellStyle name="Style 69 5 2 5" xfId="6664" xr:uid="{00000000-0005-0000-0000-000008640000}"/>
    <cellStyle name="Style 69 5 2 5 2" xfId="16867" xr:uid="{00000000-0005-0000-0000-000009640000}"/>
    <cellStyle name="Style 69 5 3" xfId="6665" xr:uid="{00000000-0005-0000-0000-00000A640000}"/>
    <cellStyle name="Style 69 5 3 2" xfId="6666" xr:uid="{00000000-0005-0000-0000-00000B640000}"/>
    <cellStyle name="Style 69 5 3 2 2" xfId="16512" xr:uid="{00000000-0005-0000-0000-00000C640000}"/>
    <cellStyle name="Style 69 5 3 3" xfId="16783" xr:uid="{00000000-0005-0000-0000-00000D640000}"/>
    <cellStyle name="Style 69 5 4" xfId="6667" xr:uid="{00000000-0005-0000-0000-00000E640000}"/>
    <cellStyle name="Style 69 5 4 2" xfId="16229" xr:uid="{00000000-0005-0000-0000-00000F640000}"/>
    <cellStyle name="Style 69 5 5" xfId="6668" xr:uid="{00000000-0005-0000-0000-000010640000}"/>
    <cellStyle name="Style 69 5 5 2" xfId="17134" xr:uid="{00000000-0005-0000-0000-000011640000}"/>
    <cellStyle name="Style 69 5 6" xfId="17135" xr:uid="{00000000-0005-0000-0000-000012640000}"/>
    <cellStyle name="Style 69 6" xfId="6669" xr:uid="{00000000-0005-0000-0000-000013640000}"/>
    <cellStyle name="Style 69 6 2" xfId="6670" xr:uid="{00000000-0005-0000-0000-000014640000}"/>
    <cellStyle name="Style 69 6 2 2" xfId="6671" xr:uid="{00000000-0005-0000-0000-000015640000}"/>
    <cellStyle name="Style 69 6 2 2 2" xfId="16591" xr:uid="{00000000-0005-0000-0000-000016640000}"/>
    <cellStyle name="Style 69 6 2 3" xfId="16866" xr:uid="{00000000-0005-0000-0000-000017640000}"/>
    <cellStyle name="Style 69 6 3" xfId="6672" xr:uid="{00000000-0005-0000-0000-000018640000}"/>
    <cellStyle name="Style 69 6 3 2" xfId="6673" xr:uid="{00000000-0005-0000-0000-000019640000}"/>
    <cellStyle name="Style 69 6 3 2 2" xfId="15595" xr:uid="{00000000-0005-0000-0000-00001A640000}"/>
    <cellStyle name="Style 69 6 3 3" xfId="6674" xr:uid="{00000000-0005-0000-0000-00001B640000}"/>
    <cellStyle name="Style 69 6 3 3 2" xfId="15481" xr:uid="{00000000-0005-0000-0000-00001C640000}"/>
    <cellStyle name="Style 69 6 3 4" xfId="16317" xr:uid="{00000000-0005-0000-0000-00001D640000}"/>
    <cellStyle name="Style 69 6 4" xfId="6675" xr:uid="{00000000-0005-0000-0000-00001E640000}"/>
    <cellStyle name="Style 69 6 4 2" xfId="6676" xr:uid="{00000000-0005-0000-0000-00001F640000}"/>
    <cellStyle name="Style 69 6 4 2 2" xfId="16687" xr:uid="{00000000-0005-0000-0000-000020640000}"/>
    <cellStyle name="Style 69 6 4 3" xfId="16960" xr:uid="{00000000-0005-0000-0000-000021640000}"/>
    <cellStyle name="Style 69 6 5" xfId="6677" xr:uid="{00000000-0005-0000-0000-000022640000}"/>
    <cellStyle name="Style 69 6 5 2" xfId="15630" xr:uid="{00000000-0005-0000-0000-000023640000}"/>
    <cellStyle name="Style 69 6 6" xfId="15812" xr:uid="{00000000-0005-0000-0000-000024640000}"/>
    <cellStyle name="Style 69 7" xfId="6678" xr:uid="{00000000-0005-0000-0000-000025640000}"/>
    <cellStyle name="Style 69 7 2" xfId="6679" xr:uid="{00000000-0005-0000-0000-000026640000}"/>
    <cellStyle name="Style 69 7 2 2" xfId="16445" xr:uid="{00000000-0005-0000-0000-000027640000}"/>
    <cellStyle name="Style 69 7 3" xfId="6680" xr:uid="{00000000-0005-0000-0000-000028640000}"/>
    <cellStyle name="Style 69 7 3 2" xfId="16301" xr:uid="{00000000-0005-0000-0000-000029640000}"/>
    <cellStyle name="Style 69 7 4" xfId="15638" xr:uid="{00000000-0005-0000-0000-00002A640000}"/>
    <cellStyle name="Style 69 8" xfId="6681" xr:uid="{00000000-0005-0000-0000-00002B640000}"/>
    <cellStyle name="Style 69 8 2" xfId="16726" xr:uid="{00000000-0005-0000-0000-00002C640000}"/>
    <cellStyle name="Style 69 8 3" xfId="15862" xr:uid="{00000000-0005-0000-0000-00002D640000}"/>
    <cellStyle name="Style 69 8 4" xfId="16648" xr:uid="{00000000-0005-0000-0000-00002E640000}"/>
    <cellStyle name="Style 69 9" xfId="6682" xr:uid="{00000000-0005-0000-0000-00002F640000}"/>
    <cellStyle name="Style 69 9 2" xfId="15861" xr:uid="{00000000-0005-0000-0000-000030640000}"/>
    <cellStyle name="Style 69_ADDON" xfId="6683" xr:uid="{00000000-0005-0000-0000-000031640000}"/>
    <cellStyle name="Style 70" xfId="3898" xr:uid="{00000000-0005-0000-0000-000032640000}"/>
    <cellStyle name="Style 70 2" xfId="6684" xr:uid="{00000000-0005-0000-0000-000033640000}"/>
    <cellStyle name="Style 70 2 2" xfId="15809" xr:uid="{00000000-0005-0000-0000-000034640000}"/>
    <cellStyle name="Style 70 3" xfId="6685" xr:uid="{00000000-0005-0000-0000-000035640000}"/>
    <cellStyle name="Style 70 3 2" xfId="6686" xr:uid="{00000000-0005-0000-0000-000036640000}"/>
    <cellStyle name="Style 70 3 2 2" xfId="16161" xr:uid="{00000000-0005-0000-0000-000037640000}"/>
    <cellStyle name="Style 70 3 3" xfId="6687" xr:uid="{00000000-0005-0000-0000-000038640000}"/>
    <cellStyle name="Style 70 3 3 2" xfId="6688" xr:uid="{00000000-0005-0000-0000-000039640000}"/>
    <cellStyle name="Style 70 3 3 2 2" xfId="16151" xr:uid="{00000000-0005-0000-0000-00003A640000}"/>
    <cellStyle name="Style 70 3 3 3" xfId="16349" xr:uid="{00000000-0005-0000-0000-00003B640000}"/>
    <cellStyle name="Style 70 3 3 4" xfId="15808" xr:uid="{00000000-0005-0000-0000-00003C640000}"/>
    <cellStyle name="Style 70 3 4" xfId="6689" xr:uid="{00000000-0005-0000-0000-00003D640000}"/>
    <cellStyle name="Style 70 3 4 2" xfId="15619" xr:uid="{00000000-0005-0000-0000-00003E640000}"/>
    <cellStyle name="Style 70 3 4 3" xfId="15548" xr:uid="{00000000-0005-0000-0000-00003F640000}"/>
    <cellStyle name="Style 70 3 5" xfId="15487" xr:uid="{00000000-0005-0000-0000-000040640000}"/>
    <cellStyle name="Style 70 4" xfId="6690" xr:uid="{00000000-0005-0000-0000-000041640000}"/>
    <cellStyle name="Style 70 4 2" xfId="6691" xr:uid="{00000000-0005-0000-0000-000042640000}"/>
    <cellStyle name="Style 70 4 2 2" xfId="15522" xr:uid="{00000000-0005-0000-0000-000043640000}"/>
    <cellStyle name="Style 70 4 3" xfId="16656" xr:uid="{00000000-0005-0000-0000-000044640000}"/>
    <cellStyle name="Style 70 4 4" xfId="15535" xr:uid="{00000000-0005-0000-0000-000045640000}"/>
    <cellStyle name="Style 70 5" xfId="6692" xr:uid="{00000000-0005-0000-0000-000046640000}"/>
    <cellStyle name="Style 70 5 2" xfId="17007" xr:uid="{00000000-0005-0000-0000-000047640000}"/>
    <cellStyle name="Style 70 5 3" xfId="16152" xr:uid="{00000000-0005-0000-0000-000048640000}"/>
    <cellStyle name="Style 70 6" xfId="6693" xr:uid="{00000000-0005-0000-0000-000049640000}"/>
    <cellStyle name="Style 70 6 2" xfId="16580" xr:uid="{00000000-0005-0000-0000-00004A640000}"/>
    <cellStyle name="Style 70 7" xfId="6694" xr:uid="{00000000-0005-0000-0000-00004B640000}"/>
    <cellStyle name="Style 70 7 2" xfId="15771" xr:uid="{00000000-0005-0000-0000-00004C640000}"/>
    <cellStyle name="Style 70 8" xfId="15860" xr:uid="{00000000-0005-0000-0000-00004D640000}"/>
    <cellStyle name="Style 70_ADDON" xfId="6695" xr:uid="{00000000-0005-0000-0000-00004E640000}"/>
    <cellStyle name="Style 71" xfId="3899" xr:uid="{00000000-0005-0000-0000-00004F640000}"/>
    <cellStyle name="Style 71 2" xfId="6696" xr:uid="{00000000-0005-0000-0000-000050640000}"/>
    <cellStyle name="Style 71 2 2" xfId="6697" xr:uid="{00000000-0005-0000-0000-000051640000}"/>
    <cellStyle name="Style 71 2 2 2" xfId="6698" xr:uid="{00000000-0005-0000-0000-000052640000}"/>
    <cellStyle name="Style 71 2 2 2 2" xfId="15486" xr:uid="{00000000-0005-0000-0000-000053640000}"/>
    <cellStyle name="Style 71 2 2 2 3" xfId="15859" xr:uid="{00000000-0005-0000-0000-000054640000}"/>
    <cellStyle name="Style 71 2 2 3" xfId="6699" xr:uid="{00000000-0005-0000-0000-000055640000}"/>
    <cellStyle name="Style 71 2 2 3 2" xfId="15858" xr:uid="{00000000-0005-0000-0000-000056640000}"/>
    <cellStyle name="Style 71 2 2 4" xfId="16397" xr:uid="{00000000-0005-0000-0000-000057640000}"/>
    <cellStyle name="Style 71 2 3" xfId="6700" xr:uid="{00000000-0005-0000-0000-000058640000}"/>
    <cellStyle name="Style 71 2 3 2" xfId="16738" xr:uid="{00000000-0005-0000-0000-000059640000}"/>
    <cellStyle name="Style 71 2 3 3" xfId="16261" xr:uid="{00000000-0005-0000-0000-00005A640000}"/>
    <cellStyle name="Style 71 2 4" xfId="6701" xr:uid="{00000000-0005-0000-0000-00005B640000}"/>
    <cellStyle name="Style 71 2 4 2" xfId="16651" xr:uid="{00000000-0005-0000-0000-00005C640000}"/>
    <cellStyle name="Style 71 2 5" xfId="6702" xr:uid="{00000000-0005-0000-0000-00005D640000}"/>
    <cellStyle name="Style 71 2 5 2" xfId="16734" xr:uid="{00000000-0005-0000-0000-00005E640000}"/>
    <cellStyle name="Style 71 2 6" xfId="16201" xr:uid="{00000000-0005-0000-0000-00005F640000}"/>
    <cellStyle name="Style 71 3" xfId="6703" xr:uid="{00000000-0005-0000-0000-000060640000}"/>
    <cellStyle name="Style 71 3 2" xfId="6704" xr:uid="{00000000-0005-0000-0000-000061640000}"/>
    <cellStyle name="Style 71 3 2 2" xfId="6705" xr:uid="{00000000-0005-0000-0000-000062640000}"/>
    <cellStyle name="Style 71 3 2 2 2" xfId="15767" xr:uid="{00000000-0005-0000-0000-000063640000}"/>
    <cellStyle name="Style 71 3 2 2 3" xfId="16289" xr:uid="{00000000-0005-0000-0000-000064640000}"/>
    <cellStyle name="Style 71 3 2 3" xfId="6706" xr:uid="{00000000-0005-0000-0000-000065640000}"/>
    <cellStyle name="Style 71 3 2 3 2" xfId="15566" xr:uid="{00000000-0005-0000-0000-000066640000}"/>
    <cellStyle name="Style 71 3 2 4" xfId="15521" xr:uid="{00000000-0005-0000-0000-000067640000}"/>
    <cellStyle name="Style 71 3 3" xfId="6707" xr:uid="{00000000-0005-0000-0000-000068640000}"/>
    <cellStyle name="Style 71 3 3 2" xfId="6708" xr:uid="{00000000-0005-0000-0000-000069640000}"/>
    <cellStyle name="Style 71 3 3 2 2" xfId="16217" xr:uid="{00000000-0005-0000-0000-00006A640000}"/>
    <cellStyle name="Style 71 3 3 2 3" xfId="17031" xr:uid="{00000000-0005-0000-0000-00006B640000}"/>
    <cellStyle name="Style 71 3 3 3" xfId="6709" xr:uid="{00000000-0005-0000-0000-00006C640000}"/>
    <cellStyle name="Style 71 3 3 3 2" xfId="16938" xr:uid="{00000000-0005-0000-0000-00006D640000}"/>
    <cellStyle name="Style 71 3 3 4" xfId="17104" xr:uid="{00000000-0005-0000-0000-00006E640000}"/>
    <cellStyle name="Style 71 3 4" xfId="6710" xr:uid="{00000000-0005-0000-0000-00006F640000}"/>
    <cellStyle name="Style 71 3 4 2" xfId="6711" xr:uid="{00000000-0005-0000-0000-000070640000}"/>
    <cellStyle name="Style 71 3 4 2 2" xfId="16551" xr:uid="{00000000-0005-0000-0000-000071640000}"/>
    <cellStyle name="Style 71 3 5" xfId="6712" xr:uid="{00000000-0005-0000-0000-000072640000}"/>
    <cellStyle name="Style 71 3 5 2" xfId="16489" xr:uid="{00000000-0005-0000-0000-000073640000}"/>
    <cellStyle name="Style 71 4" xfId="6713" xr:uid="{00000000-0005-0000-0000-000074640000}"/>
    <cellStyle name="Style 71 4 2" xfId="6714" xr:uid="{00000000-0005-0000-0000-000075640000}"/>
    <cellStyle name="Style 71 4 2 2" xfId="16166" xr:uid="{00000000-0005-0000-0000-000076640000}"/>
    <cellStyle name="Style 71 4 2 3" xfId="16898" xr:uid="{00000000-0005-0000-0000-000077640000}"/>
    <cellStyle name="Style 71 4 3" xfId="6715" xr:uid="{00000000-0005-0000-0000-000078640000}"/>
    <cellStyle name="Style 71 4 3 2" xfId="16550" xr:uid="{00000000-0005-0000-0000-000079640000}"/>
    <cellStyle name="Style 71 4 4" xfId="15618" xr:uid="{00000000-0005-0000-0000-00007A640000}"/>
    <cellStyle name="Style 71 5" xfId="6716" xr:uid="{00000000-0005-0000-0000-00007B640000}"/>
    <cellStyle name="Style 71 5 2" xfId="15857" xr:uid="{00000000-0005-0000-0000-00007C640000}"/>
    <cellStyle name="Style 71 6" xfId="6717" xr:uid="{00000000-0005-0000-0000-00007D640000}"/>
    <cellStyle name="Style 71 6 2" xfId="15850" xr:uid="{00000000-0005-0000-0000-00007E640000}"/>
    <cellStyle name="Style 71 7" xfId="15856" xr:uid="{00000000-0005-0000-0000-00007F640000}"/>
    <cellStyle name="Style 71 8" xfId="15567" xr:uid="{00000000-0005-0000-0000-000080640000}"/>
    <cellStyle name="Style 71_ADDON" xfId="6718" xr:uid="{00000000-0005-0000-0000-000081640000}"/>
    <cellStyle name="Style 72" xfId="3900" xr:uid="{00000000-0005-0000-0000-000082640000}"/>
    <cellStyle name="Style 72 2" xfId="6719" xr:uid="{00000000-0005-0000-0000-000083640000}"/>
    <cellStyle name="Style 72 2 2" xfId="16746" xr:uid="{00000000-0005-0000-0000-000084640000}"/>
    <cellStyle name="Style 72 3" xfId="6720" xr:uid="{00000000-0005-0000-0000-000085640000}"/>
    <cellStyle name="Style 72 3 2" xfId="6721" xr:uid="{00000000-0005-0000-0000-000086640000}"/>
    <cellStyle name="Style 72 3 2 2" xfId="15617" xr:uid="{00000000-0005-0000-0000-000087640000}"/>
    <cellStyle name="Style 72 3 3" xfId="6722" xr:uid="{00000000-0005-0000-0000-000088640000}"/>
    <cellStyle name="Style 72 3 3 2" xfId="6723" xr:uid="{00000000-0005-0000-0000-000089640000}"/>
    <cellStyle name="Style 72 3 3 2 2" xfId="16404" xr:uid="{00000000-0005-0000-0000-00008A640000}"/>
    <cellStyle name="Style 72 3 3 3" xfId="16616" xr:uid="{00000000-0005-0000-0000-00008B640000}"/>
    <cellStyle name="Style 72 3 3 4" xfId="16576" xr:uid="{00000000-0005-0000-0000-00008C640000}"/>
    <cellStyle name="Style 72 3 4" xfId="6724" xr:uid="{00000000-0005-0000-0000-00008D640000}"/>
    <cellStyle name="Style 72 3 4 2" xfId="15621" xr:uid="{00000000-0005-0000-0000-00008E640000}"/>
    <cellStyle name="Style 72 3 4 3" xfId="16162" xr:uid="{00000000-0005-0000-0000-00008F640000}"/>
    <cellStyle name="Style 72 3 5" xfId="15496" xr:uid="{00000000-0005-0000-0000-000090640000}"/>
    <cellStyle name="Style 72 4" xfId="6725" xr:uid="{00000000-0005-0000-0000-000091640000}"/>
    <cellStyle name="Style 72 4 2" xfId="6726" xr:uid="{00000000-0005-0000-0000-000092640000}"/>
    <cellStyle name="Style 72 4 2 2" xfId="16287" xr:uid="{00000000-0005-0000-0000-000093640000}"/>
    <cellStyle name="Style 72 4 3" xfId="16176" xr:uid="{00000000-0005-0000-0000-000094640000}"/>
    <cellStyle name="Style 72 4 4" xfId="15573" xr:uid="{00000000-0005-0000-0000-000095640000}"/>
    <cellStyle name="Style 72 5" xfId="6727" xr:uid="{00000000-0005-0000-0000-000096640000}"/>
    <cellStyle name="Style 72 5 2" xfId="16306" xr:uid="{00000000-0005-0000-0000-000097640000}"/>
    <cellStyle name="Style 72 5 3" xfId="15489" xr:uid="{00000000-0005-0000-0000-000098640000}"/>
    <cellStyle name="Style 72 6" xfId="6728" xr:uid="{00000000-0005-0000-0000-000099640000}"/>
    <cellStyle name="Style 72 6 2" xfId="16565" xr:uid="{00000000-0005-0000-0000-00009A640000}"/>
    <cellStyle name="Style 72 7" xfId="6729" xr:uid="{00000000-0005-0000-0000-00009B640000}"/>
    <cellStyle name="Style 72 7 2" xfId="15629" xr:uid="{00000000-0005-0000-0000-00009C640000}"/>
    <cellStyle name="Style 72 8" xfId="16477" xr:uid="{00000000-0005-0000-0000-00009D640000}"/>
    <cellStyle name="Style 72_ADDON" xfId="6730" xr:uid="{00000000-0005-0000-0000-00009E640000}"/>
    <cellStyle name="Style 73" xfId="3901" xr:uid="{00000000-0005-0000-0000-00009F640000}"/>
    <cellStyle name="Style 73 10" xfId="6731" xr:uid="{00000000-0005-0000-0000-0000A0640000}"/>
    <cellStyle name="Style 73 10 2" xfId="16855" xr:uid="{00000000-0005-0000-0000-0000A1640000}"/>
    <cellStyle name="Style 73 11" xfId="6732" xr:uid="{00000000-0005-0000-0000-0000A2640000}"/>
    <cellStyle name="Style 73 11 2" xfId="17025" xr:uid="{00000000-0005-0000-0000-0000A3640000}"/>
    <cellStyle name="Style 73 12" xfId="6733" xr:uid="{00000000-0005-0000-0000-0000A4640000}"/>
    <cellStyle name="Style 73 12 2" xfId="16988" xr:uid="{00000000-0005-0000-0000-0000A5640000}"/>
    <cellStyle name="Style 73 13" xfId="15636" xr:uid="{00000000-0005-0000-0000-0000A6640000}"/>
    <cellStyle name="Style 73 2" xfId="6734" xr:uid="{00000000-0005-0000-0000-0000A7640000}"/>
    <cellStyle name="Style 73 2 2" xfId="6735" xr:uid="{00000000-0005-0000-0000-0000A8640000}"/>
    <cellStyle name="Style 73 2 2 2" xfId="16840" xr:uid="{00000000-0005-0000-0000-0000A9640000}"/>
    <cellStyle name="Style 73 2 3" xfId="16188" xr:uid="{00000000-0005-0000-0000-0000AA640000}"/>
    <cellStyle name="Style 73 3" xfId="6736" xr:uid="{00000000-0005-0000-0000-0000AB640000}"/>
    <cellStyle name="Style 73 3 2" xfId="6737" xr:uid="{00000000-0005-0000-0000-0000AC640000}"/>
    <cellStyle name="Style 73 3 2 2" xfId="6738" xr:uid="{00000000-0005-0000-0000-0000AD640000}"/>
    <cellStyle name="Style 73 3 2 2 2" xfId="15572" xr:uid="{00000000-0005-0000-0000-0000AE640000}"/>
    <cellStyle name="Style 73 3 2 3" xfId="6739" xr:uid="{00000000-0005-0000-0000-0000AF640000}"/>
    <cellStyle name="Style 73 3 2 3 2" xfId="16811" xr:uid="{00000000-0005-0000-0000-0000B0640000}"/>
    <cellStyle name="Style 73 3 3" xfId="6740" xr:uid="{00000000-0005-0000-0000-0000B1640000}"/>
    <cellStyle name="Style 73 3 3 2" xfId="6741" xr:uid="{00000000-0005-0000-0000-0000B2640000}"/>
    <cellStyle name="Style 73 3 3 2 2" xfId="6742" xr:uid="{00000000-0005-0000-0000-0000B3640000}"/>
    <cellStyle name="Style 73 3 3 2 2 2" xfId="16365" xr:uid="{00000000-0005-0000-0000-0000B4640000}"/>
    <cellStyle name="Style 73 3 3 2 3" xfId="16448" xr:uid="{00000000-0005-0000-0000-0000B5640000}"/>
    <cellStyle name="Style 73 3 3 3" xfId="6743" xr:uid="{00000000-0005-0000-0000-0000B6640000}"/>
    <cellStyle name="Style 73 3 3 3 2" xfId="6744" xr:uid="{00000000-0005-0000-0000-0000B7640000}"/>
    <cellStyle name="Style 73 3 3 3 2 2" xfId="16537" xr:uid="{00000000-0005-0000-0000-0000B8640000}"/>
    <cellStyle name="Style 73 3 3 3 3" xfId="6745" xr:uid="{00000000-0005-0000-0000-0000B9640000}"/>
    <cellStyle name="Style 73 3 3 3 3 2" xfId="16385" xr:uid="{00000000-0005-0000-0000-0000BA640000}"/>
    <cellStyle name="Style 73 3 3 3 4" xfId="17003" xr:uid="{00000000-0005-0000-0000-0000BB640000}"/>
    <cellStyle name="Style 73 3 3 4" xfId="6746" xr:uid="{00000000-0005-0000-0000-0000BC640000}"/>
    <cellStyle name="Style 73 3 3 4 2" xfId="6747" xr:uid="{00000000-0005-0000-0000-0000BD640000}"/>
    <cellStyle name="Style 73 3 3 4 2 2" xfId="15827" xr:uid="{00000000-0005-0000-0000-0000BE640000}"/>
    <cellStyle name="Style 73 3 3 4 3" xfId="15628" xr:uid="{00000000-0005-0000-0000-0000BF640000}"/>
    <cellStyle name="Style 73 3 3 5" xfId="6748" xr:uid="{00000000-0005-0000-0000-0000C0640000}"/>
    <cellStyle name="Style 73 3 3 5 2" xfId="16926" xr:uid="{00000000-0005-0000-0000-0000C1640000}"/>
    <cellStyle name="Style 73 3 3 6" xfId="15555" xr:uid="{00000000-0005-0000-0000-0000C2640000}"/>
    <cellStyle name="Style 73 3 4" xfId="6749" xr:uid="{00000000-0005-0000-0000-0000C3640000}"/>
    <cellStyle name="Style 73 3 4 2" xfId="16538" xr:uid="{00000000-0005-0000-0000-0000C4640000}"/>
    <cellStyle name="Style 73 3 4 3" xfId="16952" xr:uid="{00000000-0005-0000-0000-0000C5640000}"/>
    <cellStyle name="Style 73 3 5" xfId="6750" xr:uid="{00000000-0005-0000-0000-0000C6640000}"/>
    <cellStyle name="Style 73 3 5 2" xfId="15581" xr:uid="{00000000-0005-0000-0000-0000C7640000}"/>
    <cellStyle name="Style 73 3 6" xfId="16624" xr:uid="{00000000-0005-0000-0000-0000C8640000}"/>
    <cellStyle name="Style 73 4" xfId="6751" xr:uid="{00000000-0005-0000-0000-0000C9640000}"/>
    <cellStyle name="Style 73 4 2" xfId="6752" xr:uid="{00000000-0005-0000-0000-0000CA640000}"/>
    <cellStyle name="Style 73 4 2 2" xfId="6753" xr:uid="{00000000-0005-0000-0000-0000CB640000}"/>
    <cellStyle name="Style 73 4 2 2 2" xfId="6754" xr:uid="{00000000-0005-0000-0000-0000CC640000}"/>
    <cellStyle name="Style 73 4 2 2 2 2" xfId="15769" xr:uid="{00000000-0005-0000-0000-0000CD640000}"/>
    <cellStyle name="Style 73 4 2 2 3" xfId="16114" xr:uid="{00000000-0005-0000-0000-0000CE640000}"/>
    <cellStyle name="Style 73 4 2 3" xfId="6755" xr:uid="{00000000-0005-0000-0000-0000CF640000}"/>
    <cellStyle name="Style 73 4 2 3 2" xfId="6756" xr:uid="{00000000-0005-0000-0000-0000D0640000}"/>
    <cellStyle name="Style 73 4 2 3 2 2" xfId="16134" xr:uid="{00000000-0005-0000-0000-0000D1640000}"/>
    <cellStyle name="Style 73 4 2 3 3" xfId="6757" xr:uid="{00000000-0005-0000-0000-0000D2640000}"/>
    <cellStyle name="Style 73 4 2 3 3 2" xfId="17083" xr:uid="{00000000-0005-0000-0000-0000D3640000}"/>
    <cellStyle name="Style 73 4 2 3 4" xfId="16810" xr:uid="{00000000-0005-0000-0000-0000D4640000}"/>
    <cellStyle name="Style 73 4 2 4" xfId="6758" xr:uid="{00000000-0005-0000-0000-0000D5640000}"/>
    <cellStyle name="Style 73 4 2 4 2" xfId="6759" xr:uid="{00000000-0005-0000-0000-0000D6640000}"/>
    <cellStyle name="Style 73 4 2 4 2 2" xfId="15624" xr:uid="{00000000-0005-0000-0000-0000D7640000}"/>
    <cellStyle name="Style 73 4 2 4 3" xfId="15852" xr:uid="{00000000-0005-0000-0000-0000D8640000}"/>
    <cellStyle name="Style 73 4 2 5" xfId="6760" xr:uid="{00000000-0005-0000-0000-0000D9640000}"/>
    <cellStyle name="Style 73 4 2 5 2" xfId="16412" xr:uid="{00000000-0005-0000-0000-0000DA640000}"/>
    <cellStyle name="Style 73 4 2 6" xfId="15579" xr:uid="{00000000-0005-0000-0000-0000DB640000}"/>
    <cellStyle name="Style 73 4 3" xfId="6761" xr:uid="{00000000-0005-0000-0000-0000DC640000}"/>
    <cellStyle name="Style 73 4 3 2" xfId="6762" xr:uid="{00000000-0005-0000-0000-0000DD640000}"/>
    <cellStyle name="Style 73 4 3 2 2" xfId="16465" xr:uid="{00000000-0005-0000-0000-0000DE640000}"/>
    <cellStyle name="Style 73 4 3 3" xfId="15627" xr:uid="{00000000-0005-0000-0000-0000DF640000}"/>
    <cellStyle name="Style 73 4 4" xfId="6763" xr:uid="{00000000-0005-0000-0000-0000E0640000}"/>
    <cellStyle name="Style 73 4 4 2" xfId="16815" xr:uid="{00000000-0005-0000-0000-0000E1640000}"/>
    <cellStyle name="Style 73 4 4 3" xfId="15626" xr:uid="{00000000-0005-0000-0000-0000E2640000}"/>
    <cellStyle name="Style 73 4 5" xfId="6764" xr:uid="{00000000-0005-0000-0000-0000E3640000}"/>
    <cellStyle name="Style 73 4 5 2" xfId="15625" xr:uid="{00000000-0005-0000-0000-0000E4640000}"/>
    <cellStyle name="Style 73 4 6" xfId="17096" xr:uid="{00000000-0005-0000-0000-0000E5640000}"/>
    <cellStyle name="Style 73 5" xfId="6765" xr:uid="{00000000-0005-0000-0000-0000E6640000}"/>
    <cellStyle name="Style 73 5 2" xfId="6766" xr:uid="{00000000-0005-0000-0000-0000E7640000}"/>
    <cellStyle name="Style 73 5 2 2" xfId="6767" xr:uid="{00000000-0005-0000-0000-0000E8640000}"/>
    <cellStyle name="Style 73 5 2 2 2" xfId="6768" xr:uid="{00000000-0005-0000-0000-0000E9640000}"/>
    <cellStyle name="Style 73 5 2 2 2 2" xfId="16937" xr:uid="{00000000-0005-0000-0000-0000EA640000}"/>
    <cellStyle name="Style 73 5 2 2 3" xfId="16845" xr:uid="{00000000-0005-0000-0000-0000EB640000}"/>
    <cellStyle name="Style 73 5 2 3" xfId="6769" xr:uid="{00000000-0005-0000-0000-0000EC640000}"/>
    <cellStyle name="Style 73 5 2 3 2" xfId="6770" xr:uid="{00000000-0005-0000-0000-0000ED640000}"/>
    <cellStyle name="Style 73 5 2 3 2 2" xfId="16172" xr:uid="{00000000-0005-0000-0000-0000EE640000}"/>
    <cellStyle name="Style 73 5 2 3 3" xfId="6771" xr:uid="{00000000-0005-0000-0000-0000EF640000}"/>
    <cellStyle name="Style 73 5 2 3 3 2" xfId="16475" xr:uid="{00000000-0005-0000-0000-0000F0640000}"/>
    <cellStyle name="Style 73 5 2 3 4" xfId="16293" xr:uid="{00000000-0005-0000-0000-0000F1640000}"/>
    <cellStyle name="Style 73 5 2 4" xfId="6772" xr:uid="{00000000-0005-0000-0000-0000F2640000}"/>
    <cellStyle name="Style 73 5 2 4 2" xfId="15768" xr:uid="{00000000-0005-0000-0000-0000F3640000}"/>
    <cellStyle name="Style 73 5 2 4 3" xfId="16673" xr:uid="{00000000-0005-0000-0000-0000F4640000}"/>
    <cellStyle name="Style 73 5 2 5" xfId="6773" xr:uid="{00000000-0005-0000-0000-0000F5640000}"/>
    <cellStyle name="Style 73 5 2 5 2" xfId="16183" xr:uid="{00000000-0005-0000-0000-0000F6640000}"/>
    <cellStyle name="Style 73 5 3" xfId="6774" xr:uid="{00000000-0005-0000-0000-0000F7640000}"/>
    <cellStyle name="Style 73 5 3 2" xfId="6775" xr:uid="{00000000-0005-0000-0000-0000F8640000}"/>
    <cellStyle name="Style 73 5 3 2 2" xfId="16769" xr:uid="{00000000-0005-0000-0000-0000F9640000}"/>
    <cellStyle name="Style 73 5 3 3" xfId="16858" xr:uid="{00000000-0005-0000-0000-0000FA640000}"/>
    <cellStyle name="Style 73 5 4" xfId="6776" xr:uid="{00000000-0005-0000-0000-0000FB640000}"/>
    <cellStyle name="Style 73 5 4 2" xfId="16119" xr:uid="{00000000-0005-0000-0000-0000FC640000}"/>
    <cellStyle name="Style 73 5 5" xfId="6777" xr:uid="{00000000-0005-0000-0000-0000FD640000}"/>
    <cellStyle name="Style 73 5 5 2" xfId="15851" xr:uid="{00000000-0005-0000-0000-0000FE640000}"/>
    <cellStyle name="Style 73 5 6" xfId="15807" xr:uid="{00000000-0005-0000-0000-0000FF640000}"/>
    <cellStyle name="Style 73 6" xfId="6778" xr:uid="{00000000-0005-0000-0000-000000650000}"/>
    <cellStyle name="Style 73 6 2" xfId="6779" xr:uid="{00000000-0005-0000-0000-000001650000}"/>
    <cellStyle name="Style 73 6 2 2" xfId="6780" xr:uid="{00000000-0005-0000-0000-000002650000}"/>
    <cellStyle name="Style 73 6 2 2 2" xfId="16782" xr:uid="{00000000-0005-0000-0000-000003650000}"/>
    <cellStyle name="Style 73 6 2 3" xfId="17047" xr:uid="{00000000-0005-0000-0000-000004650000}"/>
    <cellStyle name="Style 73 6 3" xfId="6781" xr:uid="{00000000-0005-0000-0000-000005650000}"/>
    <cellStyle name="Style 73 6 3 2" xfId="6782" xr:uid="{00000000-0005-0000-0000-000006650000}"/>
    <cellStyle name="Style 73 6 3 2 2" xfId="15803" xr:uid="{00000000-0005-0000-0000-000007650000}"/>
    <cellStyle name="Style 73 6 3 3" xfId="6783" xr:uid="{00000000-0005-0000-0000-000008650000}"/>
    <cellStyle name="Style 73 6 3 3 2" xfId="16228" xr:uid="{00000000-0005-0000-0000-000009650000}"/>
    <cellStyle name="Style 73 6 3 4" xfId="16511" xr:uid="{00000000-0005-0000-0000-00000A650000}"/>
    <cellStyle name="Style 73 6 4" xfId="6784" xr:uid="{00000000-0005-0000-0000-00000B650000}"/>
    <cellStyle name="Style 73 6 4 2" xfId="6785" xr:uid="{00000000-0005-0000-0000-00000C650000}"/>
    <cellStyle name="Style 73 6 4 2 2" xfId="16859" xr:uid="{00000000-0005-0000-0000-00000D650000}"/>
    <cellStyle name="Style 73 6 4 3" xfId="16981" xr:uid="{00000000-0005-0000-0000-00000E650000}"/>
    <cellStyle name="Style 73 6 5" xfId="6786" xr:uid="{00000000-0005-0000-0000-00000F650000}"/>
    <cellStyle name="Style 73 6 5 2" xfId="15802" xr:uid="{00000000-0005-0000-0000-000010650000}"/>
    <cellStyle name="Style 73 6 6" xfId="16584" xr:uid="{00000000-0005-0000-0000-000011650000}"/>
    <cellStyle name="Style 73 7" xfId="6787" xr:uid="{00000000-0005-0000-0000-000012650000}"/>
    <cellStyle name="Style 73 7 2" xfId="6788" xr:uid="{00000000-0005-0000-0000-000013650000}"/>
    <cellStyle name="Style 73 7 2 2" xfId="17133" xr:uid="{00000000-0005-0000-0000-000014650000}"/>
    <cellStyle name="Style 73 7 3" xfId="6789" xr:uid="{00000000-0005-0000-0000-000015650000}"/>
    <cellStyle name="Style 73 7 3 2" xfId="16865" xr:uid="{00000000-0005-0000-0000-000016650000}"/>
    <cellStyle name="Style 73 7 4" xfId="16710" xr:uid="{00000000-0005-0000-0000-000017650000}"/>
    <cellStyle name="Style 73 8" xfId="6790" xr:uid="{00000000-0005-0000-0000-000018650000}"/>
    <cellStyle name="Style 73 8 2" xfId="16368" xr:uid="{00000000-0005-0000-0000-000019650000}"/>
    <cellStyle name="Style 73 8 3" xfId="16469" xr:uid="{00000000-0005-0000-0000-00001A650000}"/>
    <cellStyle name="Style 73 8 4" xfId="16590" xr:uid="{00000000-0005-0000-0000-00001B650000}"/>
    <cellStyle name="Style 73 9" xfId="6791" xr:uid="{00000000-0005-0000-0000-00001C650000}"/>
    <cellStyle name="Style 73 9 2" xfId="16496" xr:uid="{00000000-0005-0000-0000-00001D650000}"/>
    <cellStyle name="Style 73_ADDON" xfId="6792" xr:uid="{00000000-0005-0000-0000-00001E650000}"/>
    <cellStyle name="Style 74" xfId="3902" xr:uid="{00000000-0005-0000-0000-00001F650000}"/>
    <cellStyle name="Style 74 2" xfId="6793" xr:uid="{00000000-0005-0000-0000-000020650000}"/>
    <cellStyle name="Style 74 2 2" xfId="6794" xr:uid="{00000000-0005-0000-0000-000021650000}"/>
    <cellStyle name="Style 74 2 2 2" xfId="6795" xr:uid="{00000000-0005-0000-0000-000022650000}"/>
    <cellStyle name="Style 74 2 2 2 2" xfId="15765" xr:uid="{00000000-0005-0000-0000-000023650000}"/>
    <cellStyle name="Style 74 2 2 2 3" xfId="16950" xr:uid="{00000000-0005-0000-0000-000024650000}"/>
    <cellStyle name="Style 74 2 2 3" xfId="6796" xr:uid="{00000000-0005-0000-0000-000025650000}"/>
    <cellStyle name="Style 74 2 2 3 2" xfId="16302" xr:uid="{00000000-0005-0000-0000-000026650000}"/>
    <cellStyle name="Style 74 2 2 4" xfId="16383" xr:uid="{00000000-0005-0000-0000-000027650000}"/>
    <cellStyle name="Style 74 2 3" xfId="6797" xr:uid="{00000000-0005-0000-0000-000028650000}"/>
    <cellStyle name="Style 74 2 3 2" xfId="16345" xr:uid="{00000000-0005-0000-0000-000029650000}"/>
    <cellStyle name="Style 74 2 3 3" xfId="17039" xr:uid="{00000000-0005-0000-0000-00002A650000}"/>
    <cellStyle name="Style 74 2 4" xfId="6798" xr:uid="{00000000-0005-0000-0000-00002B650000}"/>
    <cellStyle name="Style 74 2 4 2" xfId="16316" xr:uid="{00000000-0005-0000-0000-00002C650000}"/>
    <cellStyle name="Style 74 2 5" xfId="6799" xr:uid="{00000000-0005-0000-0000-00002D650000}"/>
    <cellStyle name="Style 74 2 5 2" xfId="16899" xr:uid="{00000000-0005-0000-0000-00002E650000}"/>
    <cellStyle name="Style 74 2 6" xfId="16142" xr:uid="{00000000-0005-0000-0000-00002F650000}"/>
    <cellStyle name="Style 74 3" xfId="6800" xr:uid="{00000000-0005-0000-0000-000030650000}"/>
    <cellStyle name="Style 74 3 2" xfId="6801" xr:uid="{00000000-0005-0000-0000-000031650000}"/>
    <cellStyle name="Style 74 3 2 2" xfId="6802" xr:uid="{00000000-0005-0000-0000-000032650000}"/>
    <cellStyle name="Style 74 3 2 2 2" xfId="16499" xr:uid="{00000000-0005-0000-0000-000033650000}"/>
    <cellStyle name="Style 74 3 2 2 3" xfId="16740" xr:uid="{00000000-0005-0000-0000-000034650000}"/>
    <cellStyle name="Style 74 3 2 3" xfId="6803" xr:uid="{00000000-0005-0000-0000-000035650000}"/>
    <cellStyle name="Style 74 3 2 3 2" xfId="16912" xr:uid="{00000000-0005-0000-0000-000036650000}"/>
    <cellStyle name="Style 74 3 2 4" xfId="17102" xr:uid="{00000000-0005-0000-0000-000037650000}"/>
    <cellStyle name="Style 74 3 3" xfId="6804" xr:uid="{00000000-0005-0000-0000-000038650000}"/>
    <cellStyle name="Style 74 3 3 2" xfId="6805" xr:uid="{00000000-0005-0000-0000-000039650000}"/>
    <cellStyle name="Style 74 3 3 2 2" xfId="17013" xr:uid="{00000000-0005-0000-0000-00003A650000}"/>
    <cellStyle name="Style 74 3 3 2 3" xfId="15764" xr:uid="{00000000-0005-0000-0000-00003B650000}"/>
    <cellStyle name="Style 74 3 3 3" xfId="6806" xr:uid="{00000000-0005-0000-0000-00003C650000}"/>
    <cellStyle name="Style 74 3 3 3 2" xfId="16569" xr:uid="{00000000-0005-0000-0000-00003D650000}"/>
    <cellStyle name="Style 74 3 3 4" xfId="16567" xr:uid="{00000000-0005-0000-0000-00003E650000}"/>
    <cellStyle name="Style 74 3 4" xfId="6807" xr:uid="{00000000-0005-0000-0000-00003F650000}"/>
    <cellStyle name="Style 74 3 4 2" xfId="6808" xr:uid="{00000000-0005-0000-0000-000040650000}"/>
    <cellStyle name="Style 74 3 4 2 2" xfId="16403" xr:uid="{00000000-0005-0000-0000-000041650000}"/>
    <cellStyle name="Style 74 3 5" xfId="6809" xr:uid="{00000000-0005-0000-0000-000042650000}"/>
    <cellStyle name="Style 74 3 5 2" xfId="15517" xr:uid="{00000000-0005-0000-0000-000043650000}"/>
    <cellStyle name="Style 74 4" xfId="6810" xr:uid="{00000000-0005-0000-0000-000044650000}"/>
    <cellStyle name="Style 74 4 2" xfId="6811" xr:uid="{00000000-0005-0000-0000-000045650000}"/>
    <cellStyle name="Style 74 4 2 2" xfId="16138" xr:uid="{00000000-0005-0000-0000-000046650000}"/>
    <cellStyle name="Style 74 4 2 3" xfId="16392" xr:uid="{00000000-0005-0000-0000-000047650000}"/>
    <cellStyle name="Style 74 4 3" xfId="6812" xr:uid="{00000000-0005-0000-0000-000048650000}"/>
    <cellStyle name="Style 74 4 3 2" xfId="16455" xr:uid="{00000000-0005-0000-0000-000049650000}"/>
    <cellStyle name="Style 74 4 4" xfId="15594" xr:uid="{00000000-0005-0000-0000-00004A650000}"/>
    <cellStyle name="Style 74 5" xfId="6813" xr:uid="{00000000-0005-0000-0000-00004B650000}"/>
    <cellStyle name="Style 74 5 2" xfId="15509" xr:uid="{00000000-0005-0000-0000-00004C650000}"/>
    <cellStyle name="Style 74 6" xfId="6814" xr:uid="{00000000-0005-0000-0000-00004D650000}"/>
    <cellStyle name="Style 74 6 2" xfId="15554" xr:uid="{00000000-0005-0000-0000-00004E650000}"/>
    <cellStyle name="Style 74 7" xfId="16170" xr:uid="{00000000-0005-0000-0000-00004F650000}"/>
    <cellStyle name="Style 74 8" xfId="16300" xr:uid="{00000000-0005-0000-0000-000050650000}"/>
    <cellStyle name="Style 74_ADDON" xfId="6815" xr:uid="{00000000-0005-0000-0000-000051650000}"/>
    <cellStyle name="Style 75" xfId="3903" xr:uid="{00000000-0005-0000-0000-000052650000}"/>
    <cellStyle name="Style 75 2" xfId="6816" xr:uid="{00000000-0005-0000-0000-000053650000}"/>
    <cellStyle name="Style 75 2 2" xfId="6817" xr:uid="{00000000-0005-0000-0000-000054650000}"/>
    <cellStyle name="Style 75 2 2 2" xfId="6818" xr:uid="{00000000-0005-0000-0000-000055650000}"/>
    <cellStyle name="Style 75 2 2 2 2" xfId="17018" xr:uid="{00000000-0005-0000-0000-000056650000}"/>
    <cellStyle name="Style 75 2 2 2 3" xfId="16461" xr:uid="{00000000-0005-0000-0000-000057650000}"/>
    <cellStyle name="Style 75 2 2 3" xfId="6819" xr:uid="{00000000-0005-0000-0000-000058650000}"/>
    <cellStyle name="Style 75 2 2 3 2" xfId="16959" xr:uid="{00000000-0005-0000-0000-000059650000}"/>
    <cellStyle name="Style 75 2 2 4" xfId="16634" xr:uid="{00000000-0005-0000-0000-00005A650000}"/>
    <cellStyle name="Style 75 2 3" xfId="6820" xr:uid="{00000000-0005-0000-0000-00005B650000}"/>
    <cellStyle name="Style 75 2 3 2" xfId="16398" xr:uid="{00000000-0005-0000-0000-00005C650000}"/>
    <cellStyle name="Style 75 2 3 3" xfId="15543" xr:uid="{00000000-0005-0000-0000-00005D650000}"/>
    <cellStyle name="Style 75 2 4" xfId="6821" xr:uid="{00000000-0005-0000-0000-00005E650000}"/>
    <cellStyle name="Style 75 2 4 2" xfId="17070" xr:uid="{00000000-0005-0000-0000-00005F650000}"/>
    <cellStyle name="Style 75 2 5" xfId="6822" xr:uid="{00000000-0005-0000-0000-000060650000}"/>
    <cellStyle name="Style 75 2 5 2" xfId="16940" xr:uid="{00000000-0005-0000-0000-000061650000}"/>
    <cellStyle name="Style 75 2 6" xfId="15763" xr:uid="{00000000-0005-0000-0000-000062650000}"/>
    <cellStyle name="Style 75 3" xfId="6823" xr:uid="{00000000-0005-0000-0000-000063650000}"/>
    <cellStyle name="Style 75 3 2" xfId="6824" xr:uid="{00000000-0005-0000-0000-000064650000}"/>
    <cellStyle name="Style 75 3 2 2" xfId="6825" xr:uid="{00000000-0005-0000-0000-000065650000}"/>
    <cellStyle name="Style 75 3 2 2 2" xfId="15762" xr:uid="{00000000-0005-0000-0000-000066650000}"/>
    <cellStyle name="Style 75 3 2 2 3" xfId="16622" xr:uid="{00000000-0005-0000-0000-000067650000}"/>
    <cellStyle name="Style 75 3 2 3" xfId="6826" xr:uid="{00000000-0005-0000-0000-000068650000}"/>
    <cellStyle name="Style 75 3 2 3 2" xfId="16146" xr:uid="{00000000-0005-0000-0000-000069650000}"/>
    <cellStyle name="Style 75 3 2 4" xfId="16761" xr:uid="{00000000-0005-0000-0000-00006A650000}"/>
    <cellStyle name="Style 75 3 3" xfId="6827" xr:uid="{00000000-0005-0000-0000-00006B650000}"/>
    <cellStyle name="Style 75 3 3 2" xfId="6828" xr:uid="{00000000-0005-0000-0000-00006C650000}"/>
    <cellStyle name="Style 75 3 3 2 2" xfId="16686" xr:uid="{00000000-0005-0000-0000-00006D650000}"/>
    <cellStyle name="Style 75 3 3 2 3" xfId="16826" xr:uid="{00000000-0005-0000-0000-00006E650000}"/>
    <cellStyle name="Style 75 3 3 3" xfId="6829" xr:uid="{00000000-0005-0000-0000-00006F650000}"/>
    <cellStyle name="Style 75 3 3 3 2" xfId="16545" xr:uid="{00000000-0005-0000-0000-000070650000}"/>
    <cellStyle name="Style 75 3 3 4" xfId="16266" xr:uid="{00000000-0005-0000-0000-000071650000}"/>
    <cellStyle name="Style 75 3 4" xfId="6830" xr:uid="{00000000-0005-0000-0000-000072650000}"/>
    <cellStyle name="Style 75 3 4 2" xfId="6831" xr:uid="{00000000-0005-0000-0000-000073650000}"/>
    <cellStyle name="Style 75 3 4 2 2" xfId="16292" xr:uid="{00000000-0005-0000-0000-000074650000}"/>
    <cellStyle name="Style 75 3 5" xfId="6832" xr:uid="{00000000-0005-0000-0000-000075650000}"/>
    <cellStyle name="Style 75 3 5 2" xfId="16182" xr:uid="{00000000-0005-0000-0000-000076650000}"/>
    <cellStyle name="Style 75 4" xfId="6833" xr:uid="{00000000-0005-0000-0000-000077650000}"/>
    <cellStyle name="Style 75 4 2" xfId="6834" xr:uid="{00000000-0005-0000-0000-000078650000}"/>
    <cellStyle name="Style 75 4 2 2" xfId="16719" xr:uid="{00000000-0005-0000-0000-000079650000}"/>
    <cellStyle name="Style 75 4 2 3" xfId="16560" xr:uid="{00000000-0005-0000-0000-00007A650000}"/>
    <cellStyle name="Style 75 4 3" xfId="6835" xr:uid="{00000000-0005-0000-0000-00007B650000}"/>
    <cellStyle name="Style 75 4 3 2" xfId="16284" xr:uid="{00000000-0005-0000-0000-00007C650000}"/>
    <cellStyle name="Style 75 4 4" xfId="15584" xr:uid="{00000000-0005-0000-0000-00007D650000}"/>
    <cellStyle name="Style 75 5" xfId="6836" xr:uid="{00000000-0005-0000-0000-00007E650000}"/>
    <cellStyle name="Style 75 5 2" xfId="16936" xr:uid="{00000000-0005-0000-0000-00007F650000}"/>
    <cellStyle name="Style 75 6" xfId="6837" xr:uid="{00000000-0005-0000-0000-000080650000}"/>
    <cellStyle name="Style 75 6 2" xfId="15761" xr:uid="{00000000-0005-0000-0000-000081650000}"/>
    <cellStyle name="Style 75 7" xfId="16305" xr:uid="{00000000-0005-0000-0000-000082650000}"/>
    <cellStyle name="Style 75 8" xfId="17004" xr:uid="{00000000-0005-0000-0000-000083650000}"/>
    <cellStyle name="Style 75_ADDON" xfId="6838" xr:uid="{00000000-0005-0000-0000-000084650000}"/>
    <cellStyle name="Style 80" xfId="3904" xr:uid="{00000000-0005-0000-0000-000085650000}"/>
    <cellStyle name="Style 80 10" xfId="6839" xr:uid="{00000000-0005-0000-0000-000086650000}"/>
    <cellStyle name="Style 80 10 2" xfId="16447" xr:uid="{00000000-0005-0000-0000-000087650000}"/>
    <cellStyle name="Style 80 11" xfId="6840" xr:uid="{00000000-0005-0000-0000-000088650000}"/>
    <cellStyle name="Style 80 11 2" xfId="16411" xr:uid="{00000000-0005-0000-0000-000089650000}"/>
    <cellStyle name="Style 80 12" xfId="6841" xr:uid="{00000000-0005-0000-0000-00008A650000}"/>
    <cellStyle name="Style 80 12 2" xfId="16150" xr:uid="{00000000-0005-0000-0000-00008B650000}"/>
    <cellStyle name="Style 80 13" xfId="16487" xr:uid="{00000000-0005-0000-0000-00008C650000}"/>
    <cellStyle name="Style 80 2" xfId="6842" xr:uid="{00000000-0005-0000-0000-00008D650000}"/>
    <cellStyle name="Style 80 2 2" xfId="6843" xr:uid="{00000000-0005-0000-0000-00008E650000}"/>
    <cellStyle name="Style 80 2 2 2" xfId="16844" xr:uid="{00000000-0005-0000-0000-00008F650000}"/>
    <cellStyle name="Style 80 2 3" xfId="15526" xr:uid="{00000000-0005-0000-0000-000090650000}"/>
    <cellStyle name="Style 80 3" xfId="6844" xr:uid="{00000000-0005-0000-0000-000091650000}"/>
    <cellStyle name="Style 80 3 2" xfId="6845" xr:uid="{00000000-0005-0000-0000-000092650000}"/>
    <cellStyle name="Style 80 3 2 2" xfId="6846" xr:uid="{00000000-0005-0000-0000-000093650000}"/>
    <cellStyle name="Style 80 3 2 2 2" xfId="16542" xr:uid="{00000000-0005-0000-0000-000094650000}"/>
    <cellStyle name="Style 80 3 2 3" xfId="6847" xr:uid="{00000000-0005-0000-0000-000095650000}"/>
    <cellStyle name="Style 80 3 2 3 2" xfId="16775" xr:uid="{00000000-0005-0000-0000-000096650000}"/>
    <cellStyle name="Style 80 3 3" xfId="6848" xr:uid="{00000000-0005-0000-0000-000097650000}"/>
    <cellStyle name="Style 80 3 3 2" xfId="6849" xr:uid="{00000000-0005-0000-0000-000098650000}"/>
    <cellStyle name="Style 80 3 3 2 2" xfId="6850" xr:uid="{00000000-0005-0000-0000-000099650000}"/>
    <cellStyle name="Style 80 3 3 2 2 2" xfId="16476" xr:uid="{00000000-0005-0000-0000-00009A650000}"/>
    <cellStyle name="Style 80 3 3 2 3" xfId="15760" xr:uid="{00000000-0005-0000-0000-00009B650000}"/>
    <cellStyle name="Style 80 3 3 3" xfId="6851" xr:uid="{00000000-0005-0000-0000-00009C650000}"/>
    <cellStyle name="Style 80 3 3 3 2" xfId="6852" xr:uid="{00000000-0005-0000-0000-00009D650000}"/>
    <cellStyle name="Style 80 3 3 3 2 2" xfId="16389" xr:uid="{00000000-0005-0000-0000-00009E650000}"/>
    <cellStyle name="Style 80 3 3 3 3" xfId="6853" xr:uid="{00000000-0005-0000-0000-00009F650000}"/>
    <cellStyle name="Style 80 3 3 3 3 2" xfId="17046" xr:uid="{00000000-0005-0000-0000-0000A0650000}"/>
    <cellStyle name="Style 80 3 3 3 4" xfId="16373" xr:uid="{00000000-0005-0000-0000-0000A1650000}"/>
    <cellStyle name="Style 80 3 3 4" xfId="6854" xr:uid="{00000000-0005-0000-0000-0000A2650000}"/>
    <cellStyle name="Style 80 3 3 4 2" xfId="6855" xr:uid="{00000000-0005-0000-0000-0000A3650000}"/>
    <cellStyle name="Style 80 3 3 4 2 2" xfId="16617" xr:uid="{00000000-0005-0000-0000-0000A4650000}"/>
    <cellStyle name="Style 80 3 3 4 3" xfId="16399" xr:uid="{00000000-0005-0000-0000-0000A5650000}"/>
    <cellStyle name="Style 80 3 3 5" xfId="6856" xr:uid="{00000000-0005-0000-0000-0000A6650000}"/>
    <cellStyle name="Style 80 3 3 5 2" xfId="16645" xr:uid="{00000000-0005-0000-0000-0000A7650000}"/>
    <cellStyle name="Style 80 3 3 6" xfId="16466" xr:uid="{00000000-0005-0000-0000-0000A8650000}"/>
    <cellStyle name="Style 80 3 4" xfId="6857" xr:uid="{00000000-0005-0000-0000-0000A9650000}"/>
    <cellStyle name="Style 80 3 4 2" xfId="16930" xr:uid="{00000000-0005-0000-0000-0000AA650000}"/>
    <cellStyle name="Style 80 3 4 3" xfId="16159" xr:uid="{00000000-0005-0000-0000-0000AB650000}"/>
    <cellStyle name="Style 80 3 5" xfId="6858" xr:uid="{00000000-0005-0000-0000-0000AC650000}"/>
    <cellStyle name="Style 80 3 5 2" xfId="16128" xr:uid="{00000000-0005-0000-0000-0000AD650000}"/>
    <cellStyle name="Style 80 3 6" xfId="17085" xr:uid="{00000000-0005-0000-0000-0000AE650000}"/>
    <cellStyle name="Style 80 4" xfId="6859" xr:uid="{00000000-0005-0000-0000-0000AF650000}"/>
    <cellStyle name="Style 80 4 2" xfId="6860" xr:uid="{00000000-0005-0000-0000-0000B0650000}"/>
    <cellStyle name="Style 80 4 2 2" xfId="6861" xr:uid="{00000000-0005-0000-0000-0000B1650000}"/>
    <cellStyle name="Style 80 4 2 2 2" xfId="6862" xr:uid="{00000000-0005-0000-0000-0000B2650000}"/>
    <cellStyle name="Style 80 4 2 2 2 2" xfId="16271" xr:uid="{00000000-0005-0000-0000-0000B3650000}"/>
    <cellStyle name="Style 80 4 2 2 3" xfId="16362" xr:uid="{00000000-0005-0000-0000-0000B4650000}"/>
    <cellStyle name="Style 80 4 2 3" xfId="6863" xr:uid="{00000000-0005-0000-0000-0000B5650000}"/>
    <cellStyle name="Style 80 4 2 3 2" xfId="6864" xr:uid="{00000000-0005-0000-0000-0000B6650000}"/>
    <cellStyle name="Style 80 4 2 3 2 2" xfId="16781" xr:uid="{00000000-0005-0000-0000-0000B7650000}"/>
    <cellStyle name="Style 80 4 2 3 3" xfId="6865" xr:uid="{00000000-0005-0000-0000-0000B8650000}"/>
    <cellStyle name="Style 80 4 2 3 3 2" xfId="16658" xr:uid="{00000000-0005-0000-0000-0000B9650000}"/>
    <cellStyle name="Style 80 4 2 3 4" xfId="16559" xr:uid="{00000000-0005-0000-0000-0000BA650000}"/>
    <cellStyle name="Style 80 4 2 4" xfId="6866" xr:uid="{00000000-0005-0000-0000-0000BB650000}"/>
    <cellStyle name="Style 80 4 2 4 2" xfId="6867" xr:uid="{00000000-0005-0000-0000-0000BC650000}"/>
    <cellStyle name="Style 80 4 2 4 2 2" xfId="16265" xr:uid="{00000000-0005-0000-0000-0000BD650000}"/>
    <cellStyle name="Style 80 4 2 4 3" xfId="16679" xr:uid="{00000000-0005-0000-0000-0000BE650000}"/>
    <cellStyle name="Style 80 4 2 5" xfId="6868" xr:uid="{00000000-0005-0000-0000-0000BF650000}"/>
    <cellStyle name="Style 80 4 2 5 2" xfId="16946" xr:uid="{00000000-0005-0000-0000-0000C0650000}"/>
    <cellStyle name="Style 80 4 2 6" xfId="15759" xr:uid="{00000000-0005-0000-0000-0000C1650000}"/>
    <cellStyle name="Style 80 4 3" xfId="6869" xr:uid="{00000000-0005-0000-0000-0000C2650000}"/>
    <cellStyle name="Style 80 4 3 2" xfId="6870" xr:uid="{00000000-0005-0000-0000-0000C3650000}"/>
    <cellStyle name="Style 80 4 3 2 2" xfId="15578" xr:uid="{00000000-0005-0000-0000-0000C4650000}"/>
    <cellStyle name="Style 80 4 3 3" xfId="16829" xr:uid="{00000000-0005-0000-0000-0000C5650000}"/>
    <cellStyle name="Style 80 4 4" xfId="6871" xr:uid="{00000000-0005-0000-0000-0000C6650000}"/>
    <cellStyle name="Style 80 4 4 2" xfId="15758" xr:uid="{00000000-0005-0000-0000-0000C7650000}"/>
    <cellStyle name="Style 80 4 4 3" xfId="16113" xr:uid="{00000000-0005-0000-0000-0000C8650000}"/>
    <cellStyle name="Style 80 4 5" xfId="6872" xr:uid="{00000000-0005-0000-0000-0000C9650000}"/>
    <cellStyle name="Style 80 4 5 2" xfId="16536" xr:uid="{00000000-0005-0000-0000-0000CA650000}"/>
    <cellStyle name="Style 80 4 6" xfId="16728" xr:uid="{00000000-0005-0000-0000-0000CB650000}"/>
    <cellStyle name="Style 80 5" xfId="6873" xr:uid="{00000000-0005-0000-0000-0000CC650000}"/>
    <cellStyle name="Style 80 5 2" xfId="6874" xr:uid="{00000000-0005-0000-0000-0000CD650000}"/>
    <cellStyle name="Style 80 5 2 2" xfId="6875" xr:uid="{00000000-0005-0000-0000-0000CE650000}"/>
    <cellStyle name="Style 80 5 2 2 2" xfId="6876" xr:uid="{00000000-0005-0000-0000-0000CF650000}"/>
    <cellStyle name="Style 80 5 2 2 2 2" xfId="15811" xr:uid="{00000000-0005-0000-0000-0000D0650000}"/>
    <cellStyle name="Style 80 5 2 2 3" xfId="16510" xr:uid="{00000000-0005-0000-0000-0000D1650000}"/>
    <cellStyle name="Style 80 5 2 3" xfId="6877" xr:uid="{00000000-0005-0000-0000-0000D2650000}"/>
    <cellStyle name="Style 80 5 2 3 2" xfId="6878" xr:uid="{00000000-0005-0000-0000-0000D3650000}"/>
    <cellStyle name="Style 80 5 2 3 2 2" xfId="15801" xr:uid="{00000000-0005-0000-0000-0000D4650000}"/>
    <cellStyle name="Style 80 5 2 3 3" xfId="6879" xr:uid="{00000000-0005-0000-0000-0000D5650000}"/>
    <cellStyle name="Style 80 5 2 3 3 2" xfId="15855" xr:uid="{00000000-0005-0000-0000-0000D6650000}"/>
    <cellStyle name="Style 80 5 2 3 4" xfId="15623" xr:uid="{00000000-0005-0000-0000-0000D7650000}"/>
    <cellStyle name="Style 80 5 2 4" xfId="6880" xr:uid="{00000000-0005-0000-0000-0000D8650000}"/>
    <cellStyle name="Style 80 5 2 4 2" xfId="17091" xr:uid="{00000000-0005-0000-0000-0000D9650000}"/>
    <cellStyle name="Style 80 5 2 4 3" xfId="15654" xr:uid="{00000000-0005-0000-0000-0000DA650000}"/>
    <cellStyle name="Style 80 5 2 5" xfId="6881" xr:uid="{00000000-0005-0000-0000-0000DB650000}"/>
    <cellStyle name="Style 80 5 2 5 2" xfId="16817" xr:uid="{00000000-0005-0000-0000-0000DC650000}"/>
    <cellStyle name="Style 80 5 3" xfId="6882" xr:uid="{00000000-0005-0000-0000-0000DD650000}"/>
    <cellStyle name="Style 80 5 3 2" xfId="6883" xr:uid="{00000000-0005-0000-0000-0000DE650000}"/>
    <cellStyle name="Style 80 5 3 2 2" xfId="16667" xr:uid="{00000000-0005-0000-0000-0000DF650000}"/>
    <cellStyle name="Style 80 5 3 3" xfId="16570" xr:uid="{00000000-0005-0000-0000-0000E0650000}"/>
    <cellStyle name="Style 80 5 4" xfId="6884" xr:uid="{00000000-0005-0000-0000-0000E1650000}"/>
    <cellStyle name="Style 80 5 4 2" xfId="15556" xr:uid="{00000000-0005-0000-0000-0000E2650000}"/>
    <cellStyle name="Style 80 5 5" xfId="6885" xr:uid="{00000000-0005-0000-0000-0000E3650000}"/>
    <cellStyle name="Style 80 5 5 2" xfId="17078" xr:uid="{00000000-0005-0000-0000-0000E4650000}"/>
    <cellStyle name="Style 80 5 6" xfId="16133" xr:uid="{00000000-0005-0000-0000-0000E5650000}"/>
    <cellStyle name="Style 80 6" xfId="6886" xr:uid="{00000000-0005-0000-0000-0000E6650000}"/>
    <cellStyle name="Style 80 6 2" xfId="6887" xr:uid="{00000000-0005-0000-0000-0000E7650000}"/>
    <cellStyle name="Style 80 6 2 2" xfId="6888" xr:uid="{00000000-0005-0000-0000-0000E8650000}"/>
    <cellStyle name="Style 80 6 2 2 2" xfId="15757" xr:uid="{00000000-0005-0000-0000-0000E9650000}"/>
    <cellStyle name="Style 80 6 2 3" xfId="16396" xr:uid="{00000000-0005-0000-0000-0000EA650000}"/>
    <cellStyle name="Style 80 6 3" xfId="6889" xr:uid="{00000000-0005-0000-0000-0000EB650000}"/>
    <cellStyle name="Style 80 6 3 2" xfId="6890" xr:uid="{00000000-0005-0000-0000-0000EC650000}"/>
    <cellStyle name="Style 80 6 3 2 2" xfId="16497" xr:uid="{00000000-0005-0000-0000-0000ED650000}"/>
    <cellStyle name="Style 80 6 3 3" xfId="6891" xr:uid="{00000000-0005-0000-0000-0000EE650000}"/>
    <cellStyle name="Style 80 6 3 3 2" xfId="16118" xr:uid="{00000000-0005-0000-0000-0000EF650000}"/>
    <cellStyle name="Style 80 6 3 4" xfId="16583" xr:uid="{00000000-0005-0000-0000-0000F0650000}"/>
    <cellStyle name="Style 80 6 4" xfId="6892" xr:uid="{00000000-0005-0000-0000-0000F1650000}"/>
    <cellStyle name="Style 80 6 4 2" xfId="6893" xr:uid="{00000000-0005-0000-0000-0000F2650000}"/>
    <cellStyle name="Style 80 6 4 2 2" xfId="15498" xr:uid="{00000000-0005-0000-0000-0000F3650000}"/>
    <cellStyle name="Style 80 6 4 3" xfId="16227" xr:uid="{00000000-0005-0000-0000-0000F4650000}"/>
    <cellStyle name="Style 80 6 5" xfId="6894" xr:uid="{00000000-0005-0000-0000-0000F5650000}"/>
    <cellStyle name="Style 80 6 5 2" xfId="16462" xr:uid="{00000000-0005-0000-0000-0000F6650000}"/>
    <cellStyle name="Style 80 6 6" xfId="16200" xr:uid="{00000000-0005-0000-0000-0000F7650000}"/>
    <cellStyle name="Style 80 7" xfId="6895" xr:uid="{00000000-0005-0000-0000-0000F8650000}"/>
    <cellStyle name="Style 80 7 2" xfId="6896" xr:uid="{00000000-0005-0000-0000-0000F9650000}"/>
    <cellStyle name="Style 80 7 2 2" xfId="16457" xr:uid="{00000000-0005-0000-0000-0000FA650000}"/>
    <cellStyle name="Style 80 7 3" xfId="6897" xr:uid="{00000000-0005-0000-0000-0000FB650000}"/>
    <cellStyle name="Style 80 7 3 2" xfId="16211" xr:uid="{00000000-0005-0000-0000-0000FC650000}"/>
    <cellStyle name="Style 80 7 4" xfId="16372" xr:uid="{00000000-0005-0000-0000-0000FD650000}"/>
    <cellStyle name="Style 80 8" xfId="6898" xr:uid="{00000000-0005-0000-0000-0000FE650000}"/>
    <cellStyle name="Style 80 8 2" xfId="15547" xr:uid="{00000000-0005-0000-0000-0000FF650000}"/>
    <cellStyle name="Style 80 8 3" xfId="16218" xr:uid="{00000000-0005-0000-0000-000000660000}"/>
    <cellStyle name="Style 80 8 4" xfId="16907" xr:uid="{00000000-0005-0000-0000-000001660000}"/>
    <cellStyle name="Style 80 9" xfId="6899" xr:uid="{00000000-0005-0000-0000-000002660000}"/>
    <cellStyle name="Style 80 9 2" xfId="15565" xr:uid="{00000000-0005-0000-0000-000003660000}"/>
    <cellStyle name="Style 80_ADDON" xfId="6900" xr:uid="{00000000-0005-0000-0000-000004660000}"/>
    <cellStyle name="Style 81" xfId="3905" xr:uid="{00000000-0005-0000-0000-000005660000}"/>
    <cellStyle name="Style 81 10" xfId="6901" xr:uid="{00000000-0005-0000-0000-000006660000}"/>
    <cellStyle name="Style 81 10 2" xfId="16768" xr:uid="{00000000-0005-0000-0000-000007660000}"/>
    <cellStyle name="Style 81 11" xfId="6902" xr:uid="{00000000-0005-0000-0000-000008660000}"/>
    <cellStyle name="Style 81 11 2" xfId="15804" xr:uid="{00000000-0005-0000-0000-000009660000}"/>
    <cellStyle name="Style 81 12" xfId="6903" xr:uid="{00000000-0005-0000-0000-00000A660000}"/>
    <cellStyle name="Style 81 12 2" xfId="17132" xr:uid="{00000000-0005-0000-0000-00000B660000}"/>
    <cellStyle name="Style 81 13" xfId="16839" xr:uid="{00000000-0005-0000-0000-00000C660000}"/>
    <cellStyle name="Style 81 2" xfId="6904" xr:uid="{00000000-0005-0000-0000-00000D660000}"/>
    <cellStyle name="Style 81 2 2" xfId="6905" xr:uid="{00000000-0005-0000-0000-00000E660000}"/>
    <cellStyle name="Style 81 2 2 2" xfId="16724" xr:uid="{00000000-0005-0000-0000-00000F660000}"/>
    <cellStyle name="Style 81 2 3" xfId="16680" xr:uid="{00000000-0005-0000-0000-000010660000}"/>
    <cellStyle name="Style 81 3" xfId="6906" xr:uid="{00000000-0005-0000-0000-000011660000}"/>
    <cellStyle name="Style 81 3 2" xfId="6907" xr:uid="{00000000-0005-0000-0000-000012660000}"/>
    <cellStyle name="Style 81 3 2 2" xfId="6908" xr:uid="{00000000-0005-0000-0000-000013660000}"/>
    <cellStyle name="Style 81 3 2 2 2" xfId="15788" xr:uid="{00000000-0005-0000-0000-000014660000}"/>
    <cellStyle name="Style 81 3 2 3" xfId="6909" xr:uid="{00000000-0005-0000-0000-000015660000}"/>
    <cellStyle name="Style 81 3 2 3 2" xfId="15500" xr:uid="{00000000-0005-0000-0000-000016660000}"/>
    <cellStyle name="Style 81 3 3" xfId="6910" xr:uid="{00000000-0005-0000-0000-000017660000}"/>
    <cellStyle name="Style 81 3 3 2" xfId="6911" xr:uid="{00000000-0005-0000-0000-000018660000}"/>
    <cellStyle name="Style 81 3 3 2 2" xfId="6912" xr:uid="{00000000-0005-0000-0000-000019660000}"/>
    <cellStyle name="Style 81 3 3 2 2 2" xfId="16478" xr:uid="{00000000-0005-0000-0000-00001A660000}"/>
    <cellStyle name="Style 81 3 3 2 3" xfId="17088" xr:uid="{00000000-0005-0000-0000-00001B660000}"/>
    <cellStyle name="Style 81 3 3 3" xfId="6913" xr:uid="{00000000-0005-0000-0000-00001C660000}"/>
    <cellStyle name="Style 81 3 3 3 2" xfId="6914" xr:uid="{00000000-0005-0000-0000-00001D660000}"/>
    <cellStyle name="Style 81 3 3 3 2 2" xfId="16641" xr:uid="{00000000-0005-0000-0000-00001E660000}"/>
    <cellStyle name="Style 81 3 3 3 3" xfId="6915" xr:uid="{00000000-0005-0000-0000-00001F660000}"/>
    <cellStyle name="Style 81 3 3 3 3 2" xfId="17015" xr:uid="{00000000-0005-0000-0000-000020660000}"/>
    <cellStyle name="Style 81 3 3 3 4" xfId="15534" xr:uid="{00000000-0005-0000-0000-000021660000}"/>
    <cellStyle name="Style 81 3 3 4" xfId="6916" xr:uid="{00000000-0005-0000-0000-000022660000}"/>
    <cellStyle name="Style 81 3 3 4 2" xfId="6917" xr:uid="{00000000-0005-0000-0000-000023660000}"/>
    <cellStyle name="Style 81 3 3 4 2 2" xfId="16864" xr:uid="{00000000-0005-0000-0000-000024660000}"/>
    <cellStyle name="Style 81 3 3 4 3" xfId="15620" xr:uid="{00000000-0005-0000-0000-000025660000}"/>
    <cellStyle name="Style 81 3 3 5" xfId="6918" xr:uid="{00000000-0005-0000-0000-000026660000}"/>
    <cellStyle name="Style 81 3 3 5 2" xfId="15655" xr:uid="{00000000-0005-0000-0000-000027660000}"/>
    <cellStyle name="Style 81 3 3 6" xfId="16717" xr:uid="{00000000-0005-0000-0000-000028660000}"/>
    <cellStyle name="Style 81 3 4" xfId="6919" xr:uid="{00000000-0005-0000-0000-000029660000}"/>
    <cellStyle name="Style 81 3 4 2" xfId="15826" xr:uid="{00000000-0005-0000-0000-00002A660000}"/>
    <cellStyle name="Style 81 3 4 3" xfId="15622" xr:uid="{00000000-0005-0000-0000-00002B660000}"/>
    <cellStyle name="Style 81 3 5" xfId="6920" xr:uid="{00000000-0005-0000-0000-00002C660000}"/>
    <cellStyle name="Style 81 3 5 2" xfId="15825" xr:uid="{00000000-0005-0000-0000-00002D660000}"/>
    <cellStyle name="Style 81 3 6" xfId="16631" xr:uid="{00000000-0005-0000-0000-00002E660000}"/>
    <cellStyle name="Style 81 4" xfId="6921" xr:uid="{00000000-0005-0000-0000-00002F660000}"/>
    <cellStyle name="Style 81 4 2" xfId="6922" xr:uid="{00000000-0005-0000-0000-000030660000}"/>
    <cellStyle name="Style 81 4 2 2" xfId="6923" xr:uid="{00000000-0005-0000-0000-000031660000}"/>
    <cellStyle name="Style 81 4 2 2 2" xfId="6924" xr:uid="{00000000-0005-0000-0000-000032660000}"/>
    <cellStyle name="Style 81 4 2 2 2 2" xfId="16129" xr:uid="{00000000-0005-0000-0000-000033660000}"/>
    <cellStyle name="Style 81 4 2 2 3" xfId="15563" xr:uid="{00000000-0005-0000-0000-000034660000}"/>
    <cellStyle name="Style 81 4 2 3" xfId="6925" xr:uid="{00000000-0005-0000-0000-000035660000}"/>
    <cellStyle name="Style 81 4 2 3 2" xfId="6926" xr:uid="{00000000-0005-0000-0000-000036660000}"/>
    <cellStyle name="Style 81 4 2 3 2 2" xfId="15770" xr:uid="{00000000-0005-0000-0000-000037660000}"/>
    <cellStyle name="Style 81 4 2 3 3" xfId="6927" xr:uid="{00000000-0005-0000-0000-000038660000}"/>
    <cellStyle name="Style 81 4 2 3 3 2" xfId="16642" xr:uid="{00000000-0005-0000-0000-000039660000}"/>
    <cellStyle name="Style 81 4 2 3 4" xfId="16995" xr:uid="{00000000-0005-0000-0000-00003A660000}"/>
    <cellStyle name="Style 81 4 2 4" xfId="6928" xr:uid="{00000000-0005-0000-0000-00003B660000}"/>
    <cellStyle name="Style 81 4 2 4 2" xfId="6929" xr:uid="{00000000-0005-0000-0000-00003C660000}"/>
    <cellStyle name="Style 81 4 2 4 2 2" xfId="16833" xr:uid="{00000000-0005-0000-0000-00003D660000}"/>
    <cellStyle name="Style 81 4 2 4 3" xfId="16543" xr:uid="{00000000-0005-0000-0000-00003E660000}"/>
    <cellStyle name="Style 81 4 2 5" xfId="6930" xr:uid="{00000000-0005-0000-0000-00003F660000}"/>
    <cellStyle name="Style 81 4 2 5 2" xfId="15640" xr:uid="{00000000-0005-0000-0000-000040660000}"/>
    <cellStyle name="Style 81 4 2 6" xfId="16160" xr:uid="{00000000-0005-0000-0000-000041660000}"/>
    <cellStyle name="Style 81 4 3" xfId="6931" xr:uid="{00000000-0005-0000-0000-000042660000}"/>
    <cellStyle name="Style 81 4 3 2" xfId="6932" xr:uid="{00000000-0005-0000-0000-000043660000}"/>
    <cellStyle name="Style 81 4 3 2 2" xfId="16315" xr:uid="{00000000-0005-0000-0000-000044660000}"/>
    <cellStyle name="Style 81 4 3 3" xfId="16589" xr:uid="{00000000-0005-0000-0000-000045660000}"/>
    <cellStyle name="Style 81 4 4" xfId="6933" xr:uid="{00000000-0005-0000-0000-000046660000}"/>
    <cellStyle name="Style 81 4 4 2" xfId="15653" xr:uid="{00000000-0005-0000-0000-000047660000}"/>
    <cellStyle name="Style 81 4 4 3" xfId="15545" xr:uid="{00000000-0005-0000-0000-000048660000}"/>
    <cellStyle name="Style 81 4 5" xfId="6934" xr:uid="{00000000-0005-0000-0000-000049660000}"/>
    <cellStyle name="Style 81 4 5 2" xfId="15593" xr:uid="{00000000-0005-0000-0000-00004A660000}"/>
    <cellStyle name="Style 81 4 6" xfId="16941" xr:uid="{00000000-0005-0000-0000-00004B660000}"/>
    <cellStyle name="Style 81 5" xfId="6935" xr:uid="{00000000-0005-0000-0000-00004C660000}"/>
    <cellStyle name="Style 81 5 2" xfId="6936" xr:uid="{00000000-0005-0000-0000-00004D660000}"/>
    <cellStyle name="Style 81 5 2 2" xfId="6937" xr:uid="{00000000-0005-0000-0000-00004E660000}"/>
    <cellStyle name="Style 81 5 2 2 2" xfId="6938" xr:uid="{00000000-0005-0000-0000-00004F660000}"/>
    <cellStyle name="Style 81 5 2 2 2 2" xfId="15637" xr:uid="{00000000-0005-0000-0000-000050660000}"/>
    <cellStyle name="Style 81 5 2 2 3" xfId="16958" xr:uid="{00000000-0005-0000-0000-000051660000}"/>
    <cellStyle name="Style 81 5 2 3" xfId="6939" xr:uid="{00000000-0005-0000-0000-000052660000}"/>
    <cellStyle name="Style 81 5 2 3 2" xfId="6940" xr:uid="{00000000-0005-0000-0000-000053660000}"/>
    <cellStyle name="Style 81 5 2 3 2 2" xfId="16891" xr:uid="{00000000-0005-0000-0000-000054660000}"/>
    <cellStyle name="Style 81 5 2 3 3" xfId="6941" xr:uid="{00000000-0005-0000-0000-000055660000}"/>
    <cellStyle name="Style 81 5 2 3 3 2" xfId="15529" xr:uid="{00000000-0005-0000-0000-000056660000}"/>
    <cellStyle name="Style 81 5 2 3 4" xfId="16675" xr:uid="{00000000-0005-0000-0000-000057660000}"/>
    <cellStyle name="Style 81 5 2 4" xfId="6942" xr:uid="{00000000-0005-0000-0000-000058660000}"/>
    <cellStyle name="Style 81 5 2 4 2" xfId="15853" xr:uid="{00000000-0005-0000-0000-000059660000}"/>
    <cellStyle name="Style 81 5 2 4 3" xfId="15854" xr:uid="{00000000-0005-0000-0000-00005A660000}"/>
    <cellStyle name="Style 81 5 2 5" xfId="6943" xr:uid="{00000000-0005-0000-0000-00005B660000}"/>
    <cellStyle name="Style 81 5 2 5 2" xfId="15651" xr:uid="{00000000-0005-0000-0000-00005C660000}"/>
    <cellStyle name="Style 81 5 3" xfId="6944" xr:uid="{00000000-0005-0000-0000-00005D660000}"/>
    <cellStyle name="Style 81 5 3 2" xfId="6945" xr:uid="{00000000-0005-0000-0000-00005E660000}"/>
    <cellStyle name="Style 81 5 3 2 2" xfId="16685" xr:uid="{00000000-0005-0000-0000-00005F660000}"/>
    <cellStyle name="Style 81 5 3 3" xfId="15639" xr:uid="{00000000-0005-0000-0000-000060660000}"/>
    <cellStyle name="Style 81 5 4" xfId="6946" xr:uid="{00000000-0005-0000-0000-000061660000}"/>
    <cellStyle name="Style 81 5 4 2" xfId="16571" xr:uid="{00000000-0005-0000-0000-000062660000}"/>
    <cellStyle name="Style 81 5 5" xfId="6947" xr:uid="{00000000-0005-0000-0000-000063660000}"/>
    <cellStyle name="Style 81 5 5 2" xfId="16391" xr:uid="{00000000-0005-0000-0000-000064660000}"/>
    <cellStyle name="Style 81 5 6" xfId="15652" xr:uid="{00000000-0005-0000-0000-000065660000}"/>
    <cellStyle name="Style 81 6" xfId="6948" xr:uid="{00000000-0005-0000-0000-000066660000}"/>
    <cellStyle name="Style 81 6 2" xfId="6949" xr:uid="{00000000-0005-0000-0000-000067660000}"/>
    <cellStyle name="Style 81 6 2 2" xfId="6950" xr:uid="{00000000-0005-0000-0000-000068660000}"/>
    <cellStyle name="Style 81 6 2 2 2" xfId="16818" xr:uid="{00000000-0005-0000-0000-000069660000}"/>
    <cellStyle name="Style 81 6 2 3" xfId="15589" xr:uid="{00000000-0005-0000-0000-00006A660000}"/>
    <cellStyle name="Style 81 6 3" xfId="6951" xr:uid="{00000000-0005-0000-0000-00006B660000}"/>
    <cellStyle name="Style 81 6 3 2" xfId="6952" xr:uid="{00000000-0005-0000-0000-00006C660000}"/>
    <cellStyle name="Style 81 6 3 2 2" xfId="15495" xr:uid="{00000000-0005-0000-0000-00006D660000}"/>
    <cellStyle name="Style 81 6 3 3" xfId="6953" xr:uid="{00000000-0005-0000-0000-00006E660000}"/>
    <cellStyle name="Style 81 6 3 3 2" xfId="15527" xr:uid="{00000000-0005-0000-0000-00006F660000}"/>
    <cellStyle name="Style 81 6 3 4" xfId="15587" xr:uid="{00000000-0005-0000-0000-000070660000}"/>
    <cellStyle name="Style 81 6 4" xfId="6954" xr:uid="{00000000-0005-0000-0000-000071660000}"/>
    <cellStyle name="Style 81 6 4 2" xfId="6955" xr:uid="{00000000-0005-0000-0000-000072660000}"/>
    <cellStyle name="Style 81 6 4 2 2" xfId="16809" xr:uid="{00000000-0005-0000-0000-000073660000}"/>
    <cellStyle name="Style 81 6 4 3" xfId="16350" xr:uid="{00000000-0005-0000-0000-000074660000}"/>
    <cellStyle name="Style 81 6 5" xfId="6956" xr:uid="{00000000-0005-0000-0000-000075660000}"/>
    <cellStyle name="Style 81 6 5 2" xfId="15520" xr:uid="{00000000-0005-0000-0000-000076660000}"/>
    <cellStyle name="Style 81 6 6" xfId="16123" xr:uid="{00000000-0005-0000-0000-000077660000}"/>
    <cellStyle name="Style 81 7" xfId="6957" xr:uid="{00000000-0005-0000-0000-000078660000}"/>
    <cellStyle name="Style 81 7 2" xfId="6958" xr:uid="{00000000-0005-0000-0000-000079660000}"/>
    <cellStyle name="Style 81 7 2 2" xfId="17008" xr:uid="{00000000-0005-0000-0000-00007A660000}"/>
    <cellStyle name="Style 81 7 3" xfId="6959" xr:uid="{00000000-0005-0000-0000-00007B660000}"/>
    <cellStyle name="Style 81 7 3 2" xfId="16193" xr:uid="{00000000-0005-0000-0000-00007C660000}"/>
    <cellStyle name="Style 81 7 4" xfId="16410" xr:uid="{00000000-0005-0000-0000-00007D660000}"/>
    <cellStyle name="Style 81 8" xfId="6960" xr:uid="{00000000-0005-0000-0000-00007E660000}"/>
    <cellStyle name="Style 81 8 2" xfId="15569" xr:uid="{00000000-0005-0000-0000-00007F660000}"/>
    <cellStyle name="Style 81 8 3" xfId="16141" xr:uid="{00000000-0005-0000-0000-000080660000}"/>
    <cellStyle name="Style 81 8 4" xfId="16214" xr:uid="{00000000-0005-0000-0000-000081660000}"/>
    <cellStyle name="Style 81 9" xfId="6961" xr:uid="{00000000-0005-0000-0000-000082660000}"/>
    <cellStyle name="Style 81 9 2" xfId="17019" xr:uid="{00000000-0005-0000-0000-000083660000}"/>
    <cellStyle name="Style 81_ADDON" xfId="6962" xr:uid="{00000000-0005-0000-0000-000084660000}"/>
    <cellStyle name="Style 82" xfId="3906" xr:uid="{00000000-0005-0000-0000-000085660000}"/>
    <cellStyle name="Style 82 2" xfId="6963" xr:uid="{00000000-0005-0000-0000-000086660000}"/>
    <cellStyle name="Style 82 2 2" xfId="16720" xr:uid="{00000000-0005-0000-0000-000087660000}"/>
    <cellStyle name="Style 82 3" xfId="6964" xr:uid="{00000000-0005-0000-0000-000088660000}"/>
    <cellStyle name="Style 82 3 2" xfId="6965" xr:uid="{00000000-0005-0000-0000-000089660000}"/>
    <cellStyle name="Style 82 3 2 2" xfId="16773" xr:uid="{00000000-0005-0000-0000-00008A660000}"/>
    <cellStyle name="Style 82 3 3" xfId="6966" xr:uid="{00000000-0005-0000-0000-00008B660000}"/>
    <cellStyle name="Style 82 3 3 2" xfId="6967" xr:uid="{00000000-0005-0000-0000-00008C660000}"/>
    <cellStyle name="Style 82 3 3 2 2" xfId="17045" xr:uid="{00000000-0005-0000-0000-00008D660000}"/>
    <cellStyle name="Style 82 3 3 3" xfId="15650" xr:uid="{00000000-0005-0000-0000-00008E660000}"/>
    <cellStyle name="Style 82 3 3 4" xfId="16985" xr:uid="{00000000-0005-0000-0000-00008F660000}"/>
    <cellStyle name="Style 82 3 4" xfId="6968" xr:uid="{00000000-0005-0000-0000-000090660000}"/>
    <cellStyle name="Style 82 3 4 2" xfId="15516" xr:uid="{00000000-0005-0000-0000-000091660000}"/>
    <cellStyle name="Style 82 3 4 3" xfId="16627" xr:uid="{00000000-0005-0000-0000-000092660000}"/>
    <cellStyle name="Style 82 3 5" xfId="15571" xr:uid="{00000000-0005-0000-0000-000093660000}"/>
    <cellStyle name="Style 82 4" xfId="6969" xr:uid="{00000000-0005-0000-0000-000094660000}"/>
    <cellStyle name="Style 82 4 2" xfId="6970" xr:uid="{00000000-0005-0000-0000-000095660000}"/>
    <cellStyle name="Style 82 4 2 2" xfId="16464" xr:uid="{00000000-0005-0000-0000-000096660000}"/>
    <cellStyle name="Style 82 4 3" xfId="16216" xr:uid="{00000000-0005-0000-0000-000097660000}"/>
    <cellStyle name="Style 82 4 4" xfId="16837" xr:uid="{00000000-0005-0000-0000-000098660000}"/>
    <cellStyle name="Style 82 5" xfId="6971" xr:uid="{00000000-0005-0000-0000-000099660000}"/>
    <cellStyle name="Style 82 5 2" xfId="16295" xr:uid="{00000000-0005-0000-0000-00009A660000}"/>
    <cellStyle name="Style 82 5 3" xfId="16646" xr:uid="{00000000-0005-0000-0000-00009B660000}"/>
    <cellStyle name="Style 82 6" xfId="6972" xr:uid="{00000000-0005-0000-0000-00009C660000}"/>
    <cellStyle name="Style 82 6 2" xfId="16505" xr:uid="{00000000-0005-0000-0000-00009D660000}"/>
    <cellStyle name="Style 82 7" xfId="6973" xr:uid="{00000000-0005-0000-0000-00009E660000}"/>
    <cellStyle name="Style 82 7 2" xfId="16747" xr:uid="{00000000-0005-0000-0000-00009F660000}"/>
    <cellStyle name="Style 82 8" xfId="16678" xr:uid="{00000000-0005-0000-0000-0000A0660000}"/>
    <cellStyle name="Style 82_ADDON" xfId="6974" xr:uid="{00000000-0005-0000-0000-0000A1660000}"/>
    <cellStyle name="Style 83" xfId="3907" xr:uid="{00000000-0005-0000-0000-0000A2660000}"/>
    <cellStyle name="Style 83 2" xfId="6975" xr:uid="{00000000-0005-0000-0000-0000A3660000}"/>
    <cellStyle name="Style 83 2 2" xfId="6976" xr:uid="{00000000-0005-0000-0000-0000A4660000}"/>
    <cellStyle name="Style 83 2 2 2" xfId="6977" xr:uid="{00000000-0005-0000-0000-0000A5660000}"/>
    <cellStyle name="Style 83 2 2 2 2" xfId="16137" xr:uid="{00000000-0005-0000-0000-0000A6660000}"/>
    <cellStyle name="Style 83 2 2 2 3" xfId="17027" xr:uid="{00000000-0005-0000-0000-0000A7660000}"/>
    <cellStyle name="Style 83 2 2 3" xfId="6978" xr:uid="{00000000-0005-0000-0000-0000A8660000}"/>
    <cellStyle name="Style 83 2 2 3 2" xfId="16181" xr:uid="{00000000-0005-0000-0000-0000A9660000}"/>
    <cellStyle name="Style 83 2 2 4" xfId="16780" xr:uid="{00000000-0005-0000-0000-0000AA660000}"/>
    <cellStyle name="Style 83 2 3" xfId="6979" xr:uid="{00000000-0005-0000-0000-0000AB660000}"/>
    <cellStyle name="Style 83 2 3 2" xfId="15553" xr:uid="{00000000-0005-0000-0000-0000AC660000}"/>
    <cellStyle name="Style 83 2 3 3" xfId="16900" xr:uid="{00000000-0005-0000-0000-0000AD660000}"/>
    <cellStyle name="Style 83 2 4" xfId="6980" xr:uid="{00000000-0005-0000-0000-0000AE660000}"/>
    <cellStyle name="Style 83 2 4 2" xfId="17076" xr:uid="{00000000-0005-0000-0000-0000AF660000}"/>
    <cellStyle name="Style 83 2 5" xfId="6981" xr:uid="{00000000-0005-0000-0000-0000B0660000}"/>
    <cellStyle name="Style 83 2 5 2" xfId="16736" xr:uid="{00000000-0005-0000-0000-0000B1660000}"/>
    <cellStyle name="Style 83 2 6" xfId="17038" xr:uid="{00000000-0005-0000-0000-0000B2660000}"/>
    <cellStyle name="Style 83 3" xfId="6982" xr:uid="{00000000-0005-0000-0000-0000B3660000}"/>
    <cellStyle name="Style 83 3 2" xfId="6983" xr:uid="{00000000-0005-0000-0000-0000B4660000}"/>
    <cellStyle name="Style 83 3 2 2" xfId="6984" xr:uid="{00000000-0005-0000-0000-0000B5660000}"/>
    <cellStyle name="Style 83 3 2 2 2" xfId="16754" xr:uid="{00000000-0005-0000-0000-0000B6660000}"/>
    <cellStyle name="Style 83 3 2 2 3" xfId="16186" xr:uid="{00000000-0005-0000-0000-0000B7660000}"/>
    <cellStyle name="Style 83 3 2 3" xfId="6985" xr:uid="{00000000-0005-0000-0000-0000B8660000}"/>
    <cellStyle name="Style 83 3 2 3 2" xfId="16509" xr:uid="{00000000-0005-0000-0000-0000B9660000}"/>
    <cellStyle name="Style 83 3 2 4" xfId="16356" xr:uid="{00000000-0005-0000-0000-0000BA660000}"/>
    <cellStyle name="Style 83 3 3" xfId="6986" xr:uid="{00000000-0005-0000-0000-0000BB660000}"/>
    <cellStyle name="Style 83 3 3 2" xfId="6987" xr:uid="{00000000-0005-0000-0000-0000BC660000}"/>
    <cellStyle name="Style 83 3 3 2 2" xfId="16808" xr:uid="{00000000-0005-0000-0000-0000BD660000}"/>
    <cellStyle name="Style 83 3 3 2 3" xfId="17032" xr:uid="{00000000-0005-0000-0000-0000BE660000}"/>
    <cellStyle name="Style 83 3 3 3" xfId="6988" xr:uid="{00000000-0005-0000-0000-0000BF660000}"/>
    <cellStyle name="Style 83 3 3 3 2" xfId="16669" xr:uid="{00000000-0005-0000-0000-0000C0660000}"/>
    <cellStyle name="Style 83 3 3 4" xfId="16920" xr:uid="{00000000-0005-0000-0000-0000C1660000}"/>
    <cellStyle name="Style 83 3 4" xfId="6989" xr:uid="{00000000-0005-0000-0000-0000C2660000}"/>
    <cellStyle name="Style 83 3 4 2" xfId="6990" xr:uid="{00000000-0005-0000-0000-0000C3660000}"/>
    <cellStyle name="Style 83 3 4 2 2" xfId="17090" xr:uid="{00000000-0005-0000-0000-0000C4660000}"/>
    <cellStyle name="Style 83 3 5" xfId="6991" xr:uid="{00000000-0005-0000-0000-0000C5660000}"/>
    <cellStyle name="Style 83 3 5 2" xfId="16483" xr:uid="{00000000-0005-0000-0000-0000C6660000}"/>
    <cellStyle name="Style 83 4" xfId="6992" xr:uid="{00000000-0005-0000-0000-0000C7660000}"/>
    <cellStyle name="Style 83 4 2" xfId="6993" xr:uid="{00000000-0005-0000-0000-0000C8660000}"/>
    <cellStyle name="Style 83 4 2 2" xfId="15536" xr:uid="{00000000-0005-0000-0000-0000C9660000}"/>
    <cellStyle name="Style 83 4 2 3" xfId="16348" xr:uid="{00000000-0005-0000-0000-0000CA660000}"/>
    <cellStyle name="Style 83 4 3" xfId="6994" xr:uid="{00000000-0005-0000-0000-0000CB660000}"/>
    <cellStyle name="Style 83 4 3 2" xfId="16145" xr:uid="{00000000-0005-0000-0000-0000CC660000}"/>
    <cellStyle name="Style 83 4 4" xfId="16486" xr:uid="{00000000-0005-0000-0000-0000CD660000}"/>
    <cellStyle name="Style 83 5" xfId="6995" xr:uid="{00000000-0005-0000-0000-0000CE660000}"/>
    <cellStyle name="Style 83 5 2" xfId="15507" xr:uid="{00000000-0005-0000-0000-0000CF660000}"/>
    <cellStyle name="Style 83 6" xfId="6996" xr:uid="{00000000-0005-0000-0000-0000D0660000}"/>
    <cellStyle name="Style 83 6 2" xfId="16555" xr:uid="{00000000-0005-0000-0000-0000D1660000}"/>
    <cellStyle name="Style 83 7" xfId="16226" xr:uid="{00000000-0005-0000-0000-0000D2660000}"/>
    <cellStyle name="Style 83 8" xfId="16297" xr:uid="{00000000-0005-0000-0000-0000D3660000}"/>
    <cellStyle name="Style 83_ADDON" xfId="6997" xr:uid="{00000000-0005-0000-0000-0000D4660000}"/>
    <cellStyle name="Style 84" xfId="3908" xr:uid="{00000000-0005-0000-0000-0000D5660000}"/>
    <cellStyle name="Style 84 2" xfId="6998" xr:uid="{00000000-0005-0000-0000-0000D6660000}"/>
    <cellStyle name="Style 84 2 2" xfId="15550" xr:uid="{00000000-0005-0000-0000-0000D7660000}"/>
    <cellStyle name="Style 84 3" xfId="6999" xr:uid="{00000000-0005-0000-0000-0000D8660000}"/>
    <cellStyle name="Style 84 3 2" xfId="7000" xr:uid="{00000000-0005-0000-0000-0000D9660000}"/>
    <cellStyle name="Style 84 3 2 2" xfId="16285" xr:uid="{00000000-0005-0000-0000-0000DA660000}"/>
    <cellStyle name="Style 84 3 3" xfId="7001" xr:uid="{00000000-0005-0000-0000-0000DB660000}"/>
    <cellStyle name="Style 84 3 3 2" xfId="7002" xr:uid="{00000000-0005-0000-0000-0000DC660000}"/>
    <cellStyle name="Style 84 3 3 2 2" xfId="15539" xr:uid="{00000000-0005-0000-0000-0000DD660000}"/>
    <cellStyle name="Style 84 3 3 3" xfId="16666" xr:uid="{00000000-0005-0000-0000-0000DE660000}"/>
    <cellStyle name="Style 84 3 3 4" xfId="16443" xr:uid="{00000000-0005-0000-0000-0000DF660000}"/>
    <cellStyle name="Style 84 3 4" xfId="7003" xr:uid="{00000000-0005-0000-0000-0000E0660000}"/>
    <cellStyle name="Style 84 3 4 2" xfId="15580" xr:uid="{00000000-0005-0000-0000-0000E1660000}"/>
    <cellStyle name="Style 84 3 4 3" xfId="16173" xr:uid="{00000000-0005-0000-0000-0000E2660000}"/>
    <cellStyle name="Style 84 3 5" xfId="15583" xr:uid="{00000000-0005-0000-0000-0000E3660000}"/>
    <cellStyle name="Style 84 4" xfId="7004" xr:uid="{00000000-0005-0000-0000-0000E4660000}"/>
    <cellStyle name="Style 84 4 2" xfId="7005" xr:uid="{00000000-0005-0000-0000-0000E5660000}"/>
    <cellStyle name="Style 84 4 2 2" xfId="16169" xr:uid="{00000000-0005-0000-0000-0000E6660000}"/>
    <cellStyle name="Style 84 4 3" xfId="17131" xr:uid="{00000000-0005-0000-0000-0000E7660000}"/>
    <cellStyle name="Style 84 4 4" xfId="16210" xr:uid="{00000000-0005-0000-0000-0000E8660000}"/>
    <cellStyle name="Style 84 5" xfId="7006" xr:uid="{00000000-0005-0000-0000-0000E9660000}"/>
    <cellStyle name="Style 84 5 2" xfId="15525" xr:uid="{00000000-0005-0000-0000-0000EA660000}"/>
    <cellStyle name="Style 84 5 3" xfId="16149" xr:uid="{00000000-0005-0000-0000-0000EB660000}"/>
    <cellStyle name="Style 84 6" xfId="7007" xr:uid="{00000000-0005-0000-0000-0000EC660000}"/>
    <cellStyle name="Style 84 6 2" xfId="16568" xr:uid="{00000000-0005-0000-0000-0000ED660000}"/>
    <cellStyle name="Style 84 7" xfId="7008" xr:uid="{00000000-0005-0000-0000-0000EE660000}"/>
    <cellStyle name="Style 84 7 2" xfId="16819" xr:uid="{00000000-0005-0000-0000-0000EF660000}"/>
    <cellStyle name="Style 84 8" xfId="16273" xr:uid="{00000000-0005-0000-0000-0000F0660000}"/>
    <cellStyle name="Style 84_ADDON" xfId="7009" xr:uid="{00000000-0005-0000-0000-0000F1660000}"/>
    <cellStyle name="Style 85" xfId="3909" xr:uid="{00000000-0005-0000-0000-0000F2660000}"/>
    <cellStyle name="Style 85 10" xfId="7010" xr:uid="{00000000-0005-0000-0000-0000F3660000}"/>
    <cellStyle name="Style 85 10 2" xfId="16270" xr:uid="{00000000-0005-0000-0000-0000F4660000}"/>
    <cellStyle name="Style 85 11" xfId="7011" xr:uid="{00000000-0005-0000-0000-0000F5660000}"/>
    <cellStyle name="Style 85 11 2" xfId="16192" xr:uid="{00000000-0005-0000-0000-0000F6660000}"/>
    <cellStyle name="Style 85 12" xfId="7012" xr:uid="{00000000-0005-0000-0000-0000F7660000}"/>
    <cellStyle name="Style 85 12 2" xfId="17116" xr:uid="{00000000-0005-0000-0000-0000F8660000}"/>
    <cellStyle name="Style 85 13" xfId="16504" xr:uid="{00000000-0005-0000-0000-0000F9660000}"/>
    <cellStyle name="Style 85 2" xfId="7013" xr:uid="{00000000-0005-0000-0000-0000FA660000}"/>
    <cellStyle name="Style 85 2 2" xfId="7014" xr:uid="{00000000-0005-0000-0000-0000FB660000}"/>
    <cellStyle name="Style 85 2 2 2" xfId="17012" xr:uid="{00000000-0005-0000-0000-0000FC660000}"/>
    <cellStyle name="Style 85 2 3" xfId="16202" xr:uid="{00000000-0005-0000-0000-0000FD660000}"/>
    <cellStyle name="Style 85 3" xfId="7015" xr:uid="{00000000-0005-0000-0000-0000FE660000}"/>
    <cellStyle name="Style 85 3 2" xfId="7016" xr:uid="{00000000-0005-0000-0000-0000FF660000}"/>
    <cellStyle name="Style 85 3 2 2" xfId="7017" xr:uid="{00000000-0005-0000-0000-000000670000}"/>
    <cellStyle name="Style 85 3 2 2 2" xfId="17033" xr:uid="{00000000-0005-0000-0000-000001670000}"/>
    <cellStyle name="Style 85 3 2 3" xfId="7018" xr:uid="{00000000-0005-0000-0000-000002670000}"/>
    <cellStyle name="Style 85 3 2 3 2" xfId="16863" xr:uid="{00000000-0005-0000-0000-000003670000}"/>
    <cellStyle name="Style 85 3 3" xfId="7019" xr:uid="{00000000-0005-0000-0000-000004670000}"/>
    <cellStyle name="Style 85 3 3 2" xfId="7020" xr:uid="{00000000-0005-0000-0000-000005670000}"/>
    <cellStyle name="Style 85 3 3 2 2" xfId="7021" xr:uid="{00000000-0005-0000-0000-000006670000}"/>
    <cellStyle name="Style 85 3 3 2 2 2" xfId="16158" xr:uid="{00000000-0005-0000-0000-000007670000}"/>
    <cellStyle name="Style 85 3 3 2 3" xfId="16366" xr:uid="{00000000-0005-0000-0000-000008670000}"/>
    <cellStyle name="Style 85 3 3 3" xfId="7022" xr:uid="{00000000-0005-0000-0000-000009670000}"/>
    <cellStyle name="Style 85 3 3 3 2" xfId="7023" xr:uid="{00000000-0005-0000-0000-00000A670000}"/>
    <cellStyle name="Style 85 3 3 3 2 2" xfId="16127" xr:uid="{00000000-0005-0000-0000-00000B670000}"/>
    <cellStyle name="Style 85 3 3 3 3" xfId="7024" xr:uid="{00000000-0005-0000-0000-00000C670000}"/>
    <cellStyle name="Style 85 3 3 3 3 2" xfId="16451" xr:uid="{00000000-0005-0000-0000-00000D670000}"/>
    <cellStyle name="Style 85 3 3 3 4" xfId="16662" xr:uid="{00000000-0005-0000-0000-00000E670000}"/>
    <cellStyle name="Style 85 3 3 4" xfId="7025" xr:uid="{00000000-0005-0000-0000-00000F670000}"/>
    <cellStyle name="Style 85 3 3 4 2" xfId="7026" xr:uid="{00000000-0005-0000-0000-000010670000}"/>
    <cellStyle name="Style 85 3 3 4 2 2" xfId="17002" xr:uid="{00000000-0005-0000-0000-000011670000}"/>
    <cellStyle name="Style 85 3 3 4 3" xfId="16748" xr:uid="{00000000-0005-0000-0000-000012670000}"/>
    <cellStyle name="Style 85 3 3 5" xfId="7027" xr:uid="{00000000-0005-0000-0000-000013670000}"/>
    <cellStyle name="Style 85 3 3 5 2" xfId="15513" xr:uid="{00000000-0005-0000-0000-000014670000}"/>
    <cellStyle name="Style 85 3 3 6" xfId="16346" xr:uid="{00000000-0005-0000-0000-000015670000}"/>
    <cellStyle name="Style 85 3 4" xfId="7028" xr:uid="{00000000-0005-0000-0000-000016670000}"/>
    <cellStyle name="Style 85 3 4 2" xfId="16588" xr:uid="{00000000-0005-0000-0000-000017670000}"/>
    <cellStyle name="Style 85 3 4 3" xfId="16283" xr:uid="{00000000-0005-0000-0000-000018670000}"/>
    <cellStyle name="Style 85 3 5" xfId="7029" xr:uid="{00000000-0005-0000-0000-000019670000}"/>
    <cellStyle name="Style 85 3 5 2" xfId="16380" xr:uid="{00000000-0005-0000-0000-00001A670000}"/>
    <cellStyle name="Style 85 3 6" xfId="17023" xr:uid="{00000000-0005-0000-0000-00001B670000}"/>
    <cellStyle name="Style 85 4" xfId="7030" xr:uid="{00000000-0005-0000-0000-00001C670000}"/>
    <cellStyle name="Style 85 4 2" xfId="7031" xr:uid="{00000000-0005-0000-0000-00001D670000}"/>
    <cellStyle name="Style 85 4 2 2" xfId="7032" xr:uid="{00000000-0005-0000-0000-00001E670000}"/>
    <cellStyle name="Style 85 4 2 2 2" xfId="7033" xr:uid="{00000000-0005-0000-0000-00001F670000}"/>
    <cellStyle name="Style 85 4 2 2 2 2" xfId="16556" xr:uid="{00000000-0005-0000-0000-000020670000}"/>
    <cellStyle name="Style 85 4 2 2 3" xfId="16676" xr:uid="{00000000-0005-0000-0000-000021670000}"/>
    <cellStyle name="Style 85 4 2 3" xfId="7034" xr:uid="{00000000-0005-0000-0000-000022670000}"/>
    <cellStyle name="Style 85 4 2 3 2" xfId="7035" xr:uid="{00000000-0005-0000-0000-000023670000}"/>
    <cellStyle name="Style 85 4 2 3 2 2" xfId="16112" xr:uid="{00000000-0005-0000-0000-000024670000}"/>
    <cellStyle name="Style 85 4 2 3 3" xfId="7036" xr:uid="{00000000-0005-0000-0000-000025670000}"/>
    <cellStyle name="Style 85 4 2 3 3 2" xfId="16357" xr:uid="{00000000-0005-0000-0000-000026670000}"/>
    <cellStyle name="Style 85 4 2 3 4" xfId="15577" xr:uid="{00000000-0005-0000-0000-000027670000}"/>
    <cellStyle name="Style 85 4 2 4" xfId="7037" xr:uid="{00000000-0005-0000-0000-000028670000}"/>
    <cellStyle name="Style 85 4 2 4 2" xfId="7038" xr:uid="{00000000-0005-0000-0000-000029670000}"/>
    <cellStyle name="Style 85 4 2 4 2 2" xfId="16132" xr:uid="{00000000-0005-0000-0000-00002A670000}"/>
    <cellStyle name="Style 85 4 2 4 3" xfId="16260" xr:uid="{00000000-0005-0000-0000-00002B670000}"/>
    <cellStyle name="Style 85 4 2 5" xfId="7039" xr:uid="{00000000-0005-0000-0000-00002C670000}"/>
    <cellStyle name="Style 85 4 2 5 2" xfId="16541" xr:uid="{00000000-0005-0000-0000-00002D670000}"/>
    <cellStyle name="Style 85 4 2 6" xfId="15506" xr:uid="{00000000-0005-0000-0000-00002E670000}"/>
    <cellStyle name="Style 85 4 3" xfId="7040" xr:uid="{00000000-0005-0000-0000-00002F670000}"/>
    <cellStyle name="Style 85 4 3 2" xfId="7041" xr:uid="{00000000-0005-0000-0000-000030670000}"/>
    <cellStyle name="Style 85 4 3 2 2" xfId="15649" xr:uid="{00000000-0005-0000-0000-000031670000}"/>
    <cellStyle name="Style 85 4 3 3" xfId="16314" xr:uid="{00000000-0005-0000-0000-000032670000}"/>
    <cellStyle name="Style 85 4 4" xfId="7042" xr:uid="{00000000-0005-0000-0000-000033670000}"/>
    <cellStyle name="Style 85 4 4 2" xfId="16298" xr:uid="{00000000-0005-0000-0000-000034670000}"/>
    <cellStyle name="Style 85 4 4 3" xfId="16824" xr:uid="{00000000-0005-0000-0000-000035670000}"/>
    <cellStyle name="Style 85 4 5" xfId="7043" xr:uid="{00000000-0005-0000-0000-000036670000}"/>
    <cellStyle name="Style 85 4 5 2" xfId="16390" xr:uid="{00000000-0005-0000-0000-000037670000}"/>
    <cellStyle name="Style 85 4 6" xfId="16405" xr:uid="{00000000-0005-0000-0000-000038670000}"/>
    <cellStyle name="Style 85 5" xfId="7044" xr:uid="{00000000-0005-0000-0000-000039670000}"/>
    <cellStyle name="Style 85 5 2" xfId="7045" xr:uid="{00000000-0005-0000-0000-00003A670000}"/>
    <cellStyle name="Style 85 5 2 2" xfId="7046" xr:uid="{00000000-0005-0000-0000-00003B670000}"/>
    <cellStyle name="Style 85 5 2 2 2" xfId="7047" xr:uid="{00000000-0005-0000-0000-00003C670000}"/>
    <cellStyle name="Style 85 5 2 2 2 2" xfId="17030" xr:uid="{00000000-0005-0000-0000-00003D670000}"/>
    <cellStyle name="Style 85 5 2 2 3" xfId="17103" xr:uid="{00000000-0005-0000-0000-00003E670000}"/>
    <cellStyle name="Style 85 5 2 3" xfId="7048" xr:uid="{00000000-0005-0000-0000-00003F670000}"/>
    <cellStyle name="Style 85 5 2 3 2" xfId="7049" xr:uid="{00000000-0005-0000-0000-000040670000}"/>
    <cellStyle name="Style 85 5 2 3 2 2" xfId="16310" xr:uid="{00000000-0005-0000-0000-000041670000}"/>
    <cellStyle name="Style 85 5 2 3 3" xfId="7050" xr:uid="{00000000-0005-0000-0000-000042670000}"/>
    <cellStyle name="Style 85 5 2 3 3 2" xfId="16215" xr:uid="{00000000-0005-0000-0000-000043670000}"/>
    <cellStyle name="Style 85 5 2 3 4" xfId="15756" xr:uid="{00000000-0005-0000-0000-000044670000}"/>
    <cellStyle name="Style 85 5 2 4" xfId="7051" xr:uid="{00000000-0005-0000-0000-000045670000}"/>
    <cellStyle name="Style 85 5 2 4 2" xfId="15592" xr:uid="{00000000-0005-0000-0000-000046670000}"/>
    <cellStyle name="Style 85 5 2 4 3" xfId="16117" xr:uid="{00000000-0005-0000-0000-000047670000}"/>
    <cellStyle name="Style 85 5 2 5" xfId="7052" xr:uid="{00000000-0005-0000-0000-000048670000}"/>
    <cellStyle name="Style 85 5 2 5 2" xfId="16814" xr:uid="{00000000-0005-0000-0000-000049670000}"/>
    <cellStyle name="Style 85 5 3" xfId="7053" xr:uid="{00000000-0005-0000-0000-00004A670000}"/>
    <cellStyle name="Style 85 5 3 2" xfId="7054" xr:uid="{00000000-0005-0000-0000-00004B670000}"/>
    <cellStyle name="Style 85 5 3 2 2" xfId="16187" xr:uid="{00000000-0005-0000-0000-00004C670000}"/>
    <cellStyle name="Style 85 5 3 3" xfId="16893" xr:uid="{00000000-0005-0000-0000-00004D670000}"/>
    <cellStyle name="Style 85 5 4" xfId="7055" xr:uid="{00000000-0005-0000-0000-00004E670000}"/>
    <cellStyle name="Style 85 5 4 2" xfId="17011" xr:uid="{00000000-0005-0000-0000-00004F670000}"/>
    <cellStyle name="Style 85 5 5" xfId="7056" xr:uid="{00000000-0005-0000-0000-000050670000}"/>
    <cellStyle name="Style 85 5 5 2" xfId="16184" xr:uid="{00000000-0005-0000-0000-000051670000}"/>
    <cellStyle name="Style 85 5 6" xfId="16927" xr:uid="{00000000-0005-0000-0000-000052670000}"/>
    <cellStyle name="Style 85 6" xfId="7057" xr:uid="{00000000-0005-0000-0000-000053670000}"/>
    <cellStyle name="Style 85 6 2" xfId="7058" xr:uid="{00000000-0005-0000-0000-000054670000}"/>
    <cellStyle name="Style 85 6 2 2" xfId="7059" xr:uid="{00000000-0005-0000-0000-000055670000}"/>
    <cellStyle name="Style 85 6 2 2 2" xfId="16924" xr:uid="{00000000-0005-0000-0000-000056670000}"/>
    <cellStyle name="Style 85 6 2 3" xfId="16640" xr:uid="{00000000-0005-0000-0000-000057670000}"/>
    <cellStyle name="Style 85 6 3" xfId="7060" xr:uid="{00000000-0005-0000-0000-000058670000}"/>
    <cellStyle name="Style 85 6 3 2" xfId="7061" xr:uid="{00000000-0005-0000-0000-000059670000}"/>
    <cellStyle name="Style 85 6 3 2 2" xfId="16931" xr:uid="{00000000-0005-0000-0000-00005A670000}"/>
    <cellStyle name="Style 85 6 3 3" xfId="7062" xr:uid="{00000000-0005-0000-0000-00005B670000}"/>
    <cellStyle name="Style 85 6 3 3 2" xfId="16564" xr:uid="{00000000-0005-0000-0000-00005C670000}"/>
    <cellStyle name="Style 85 6 3 4" xfId="15755" xr:uid="{00000000-0005-0000-0000-00005D670000}"/>
    <cellStyle name="Style 85 6 4" xfId="7063" xr:uid="{00000000-0005-0000-0000-00005E670000}"/>
    <cellStyle name="Style 85 6 4 2" xfId="7064" xr:uid="{00000000-0005-0000-0000-00005F670000}"/>
    <cellStyle name="Style 85 6 4 2 2" xfId="16957" xr:uid="{00000000-0005-0000-0000-000060670000}"/>
    <cellStyle name="Style 85 6 4 3" xfId="16495" xr:uid="{00000000-0005-0000-0000-000061670000}"/>
    <cellStyle name="Style 85 6 5" xfId="7065" xr:uid="{00000000-0005-0000-0000-000062670000}"/>
    <cellStyle name="Style 85 6 5 2" xfId="16406" xr:uid="{00000000-0005-0000-0000-000063670000}"/>
    <cellStyle name="Style 85 6 6" xfId="17115" xr:uid="{00000000-0005-0000-0000-000064670000}"/>
    <cellStyle name="Style 85 7" xfId="7066" xr:uid="{00000000-0005-0000-0000-000065670000}"/>
    <cellStyle name="Style 85 7 2" xfId="7067" xr:uid="{00000000-0005-0000-0000-000066670000}"/>
    <cellStyle name="Style 85 7 2 2" xfId="16355" xr:uid="{00000000-0005-0000-0000-000067670000}"/>
    <cellStyle name="Style 85 7 3" xfId="7068" xr:uid="{00000000-0005-0000-0000-000068670000}"/>
    <cellStyle name="Style 85 7 3 2" xfId="15499" xr:uid="{00000000-0005-0000-0000-000069670000}"/>
    <cellStyle name="Style 85 7 4" xfId="16449" xr:uid="{00000000-0005-0000-0000-00006A670000}"/>
    <cellStyle name="Style 85 8" xfId="7069" xr:uid="{00000000-0005-0000-0000-00006B670000}"/>
    <cellStyle name="Style 85 8 2" xfId="16442" xr:uid="{00000000-0005-0000-0000-00006C670000}"/>
    <cellStyle name="Style 85 8 3" xfId="16821" xr:uid="{00000000-0005-0000-0000-00006D670000}"/>
    <cellStyle name="Style 85 8 4" xfId="15542" xr:uid="{00000000-0005-0000-0000-00006E670000}"/>
    <cellStyle name="Style 85 9" xfId="7070" xr:uid="{00000000-0005-0000-0000-00006F670000}"/>
    <cellStyle name="Style 85 9 2" xfId="15754" xr:uid="{00000000-0005-0000-0000-000070670000}"/>
    <cellStyle name="Style 85_ADDON" xfId="7071" xr:uid="{00000000-0005-0000-0000-000071670000}"/>
    <cellStyle name="Style 86" xfId="3910" xr:uid="{00000000-0005-0000-0000-000072670000}"/>
    <cellStyle name="Style 86 2" xfId="7072" xr:uid="{00000000-0005-0000-0000-000073670000}"/>
    <cellStyle name="Style 86 2 2" xfId="7073" xr:uid="{00000000-0005-0000-0000-000074670000}"/>
    <cellStyle name="Style 86 2 2 2" xfId="7074" xr:uid="{00000000-0005-0000-0000-000075670000}"/>
    <cellStyle name="Style 86 2 2 2 2" xfId="16299" xr:uid="{00000000-0005-0000-0000-000076670000}"/>
    <cellStyle name="Style 86 2 2 2 3" xfId="16684" xr:uid="{00000000-0005-0000-0000-000077670000}"/>
    <cellStyle name="Style 86 2 2 3" xfId="7075" xr:uid="{00000000-0005-0000-0000-000078670000}"/>
    <cellStyle name="Style 86 2 2 3 2" xfId="17026" xr:uid="{00000000-0005-0000-0000-000079670000}"/>
    <cellStyle name="Style 86 2 2 4" xfId="16750" xr:uid="{00000000-0005-0000-0000-00007A670000}"/>
    <cellStyle name="Style 86 2 3" xfId="7076" xr:uid="{00000000-0005-0000-0000-00007B670000}"/>
    <cellStyle name="Style 86 2 3 2" xfId="16954" xr:uid="{00000000-0005-0000-0000-00007C670000}"/>
    <cellStyle name="Style 86 2 3 3" xfId="16122" xr:uid="{00000000-0005-0000-0000-00007D670000}"/>
    <cellStyle name="Style 86 2 4" xfId="7077" xr:uid="{00000000-0005-0000-0000-00007E670000}"/>
    <cellStyle name="Style 86 2 4 2" xfId="16544" xr:uid="{00000000-0005-0000-0000-00007F670000}"/>
    <cellStyle name="Style 86 2 5" xfId="7078" xr:uid="{00000000-0005-0000-0000-000080670000}"/>
    <cellStyle name="Style 86 2 5 2" xfId="15586" xr:uid="{00000000-0005-0000-0000-000081670000}"/>
    <cellStyle name="Style 86 2 6" xfId="16361" xr:uid="{00000000-0005-0000-0000-000082670000}"/>
    <cellStyle name="Style 86 3" xfId="7079" xr:uid="{00000000-0005-0000-0000-000083670000}"/>
    <cellStyle name="Style 86 3 2" xfId="7080" xr:uid="{00000000-0005-0000-0000-000084670000}"/>
    <cellStyle name="Style 86 3 2 2" xfId="7081" xr:uid="{00000000-0005-0000-0000-000085670000}"/>
    <cellStyle name="Style 86 3 2 2 2" xfId="16535" xr:uid="{00000000-0005-0000-0000-000086670000}"/>
    <cellStyle name="Style 86 3 2 2 3" xfId="16989" xr:uid="{00000000-0005-0000-0000-000087670000}"/>
    <cellStyle name="Style 86 3 2 3" xfId="7082" xr:uid="{00000000-0005-0000-0000-000088670000}"/>
    <cellStyle name="Style 86 3 2 3 2" xfId="16906" xr:uid="{00000000-0005-0000-0000-000089670000}"/>
    <cellStyle name="Style 86 3 2 4" xfId="15753" xr:uid="{00000000-0005-0000-0000-00008A670000}"/>
    <cellStyle name="Style 86 3 3" xfId="7083" xr:uid="{00000000-0005-0000-0000-00008B670000}"/>
    <cellStyle name="Style 86 3 3 2" xfId="7084" xr:uid="{00000000-0005-0000-0000-00008C670000}"/>
    <cellStyle name="Style 86 3 3 2 2" xfId="16739" xr:uid="{00000000-0005-0000-0000-00008D670000}"/>
    <cellStyle name="Style 86 3 3 2 3" xfId="15648" xr:uid="{00000000-0005-0000-0000-00008E670000}"/>
    <cellStyle name="Style 86 3 3 3" xfId="7085" xr:uid="{00000000-0005-0000-0000-00008F670000}"/>
    <cellStyle name="Style 86 3 3 3 2" xfId="17099" xr:uid="{00000000-0005-0000-0000-000090670000}"/>
    <cellStyle name="Style 86 3 3 4" xfId="16409" xr:uid="{00000000-0005-0000-0000-000091670000}"/>
    <cellStyle name="Style 86 3 4" xfId="7086" xr:uid="{00000000-0005-0000-0000-000092670000}"/>
    <cellStyle name="Style 86 3 4 2" xfId="7087" xr:uid="{00000000-0005-0000-0000-000093670000}"/>
    <cellStyle name="Style 86 3 4 2 2" xfId="17119" xr:uid="{00000000-0005-0000-0000-000094670000}"/>
    <cellStyle name="Style 86 3 5" xfId="7088" xr:uid="{00000000-0005-0000-0000-000095670000}"/>
    <cellStyle name="Style 86 3 5 2" xfId="16890" xr:uid="{00000000-0005-0000-0000-000096670000}"/>
    <cellStyle name="Style 86 4" xfId="7089" xr:uid="{00000000-0005-0000-0000-000097670000}"/>
    <cellStyle name="Style 86 4 2" xfId="7090" xr:uid="{00000000-0005-0000-0000-000098670000}"/>
    <cellStyle name="Style 86 4 2 2" xfId="16755" xr:uid="{00000000-0005-0000-0000-000099670000}"/>
    <cellStyle name="Style 86 4 2 3" xfId="16140" xr:uid="{00000000-0005-0000-0000-00009A670000}"/>
    <cellStyle name="Style 86 4 3" xfId="7091" xr:uid="{00000000-0005-0000-0000-00009B670000}"/>
    <cellStyle name="Style 86 4 3 2" xfId="16402" xr:uid="{00000000-0005-0000-0000-00009C670000}"/>
    <cellStyle name="Style 86 4 4" xfId="16933" xr:uid="{00000000-0005-0000-0000-00009D670000}"/>
    <cellStyle name="Style 86 5" xfId="7092" xr:uid="{00000000-0005-0000-0000-00009E670000}"/>
    <cellStyle name="Style 86 5 2" xfId="15752" xr:uid="{00000000-0005-0000-0000-00009F670000}"/>
    <cellStyle name="Style 86 6" xfId="7093" xr:uid="{00000000-0005-0000-0000-0000A0670000}"/>
    <cellStyle name="Style 86 6 2" xfId="16939" xr:uid="{00000000-0005-0000-0000-0000A1670000}"/>
    <cellStyle name="Style 86 7" xfId="16503" xr:uid="{00000000-0005-0000-0000-0000A2670000}"/>
    <cellStyle name="Style 86 8" xfId="15533" xr:uid="{00000000-0005-0000-0000-0000A3670000}"/>
    <cellStyle name="Style 86_ADDON" xfId="7094" xr:uid="{00000000-0005-0000-0000-0000A4670000}"/>
    <cellStyle name="Style 87" xfId="3911" xr:uid="{00000000-0005-0000-0000-0000A5670000}"/>
    <cellStyle name="Style 87 2" xfId="7095" xr:uid="{00000000-0005-0000-0000-0000A6670000}"/>
    <cellStyle name="Style 87 2 2" xfId="7096" xr:uid="{00000000-0005-0000-0000-0000A7670000}"/>
    <cellStyle name="Style 87 2 2 2" xfId="7097" xr:uid="{00000000-0005-0000-0000-0000A8670000}"/>
    <cellStyle name="Style 87 2 2 2 2" xfId="16562" xr:uid="{00000000-0005-0000-0000-0000A9670000}"/>
    <cellStyle name="Style 87 2 2 2 3" xfId="15515" xr:uid="{00000000-0005-0000-0000-0000AA670000}"/>
    <cellStyle name="Style 87 2 2 3" xfId="7098" xr:uid="{00000000-0005-0000-0000-0000AB670000}"/>
    <cellStyle name="Style 87 2 2 3 2" xfId="16189" xr:uid="{00000000-0005-0000-0000-0000AC670000}"/>
    <cellStyle name="Style 87 2 2 4" xfId="16351" xr:uid="{00000000-0005-0000-0000-0000AD670000}"/>
    <cellStyle name="Style 87 2 3" xfId="7099" xr:uid="{00000000-0005-0000-0000-0000AE670000}"/>
    <cellStyle name="Style 87 2 3 2" xfId="16367" xr:uid="{00000000-0005-0000-0000-0000AF670000}"/>
    <cellStyle name="Style 87 2 3 3" xfId="17121" xr:uid="{00000000-0005-0000-0000-0000B0670000}"/>
    <cellStyle name="Style 87 2 4" xfId="7100" xr:uid="{00000000-0005-0000-0000-0000B1670000}"/>
    <cellStyle name="Style 87 2 4 2" xfId="15557" xr:uid="{00000000-0005-0000-0000-0000B2670000}"/>
    <cellStyle name="Style 87 2 5" xfId="7101" xr:uid="{00000000-0005-0000-0000-0000B3670000}"/>
    <cellStyle name="Style 87 2 5 2" xfId="15751" xr:uid="{00000000-0005-0000-0000-0000B4670000}"/>
    <cellStyle name="Style 87 2 6" xfId="17044" xr:uid="{00000000-0005-0000-0000-0000B5670000}"/>
    <cellStyle name="Style 87 3" xfId="7102" xr:uid="{00000000-0005-0000-0000-0000B6670000}"/>
    <cellStyle name="Style 87 3 2" xfId="7103" xr:uid="{00000000-0005-0000-0000-0000B7670000}"/>
    <cellStyle name="Style 87 3 2 2" xfId="7104" xr:uid="{00000000-0005-0000-0000-0000B8670000}"/>
    <cellStyle name="Style 87 3 2 2 2" xfId="16779" xr:uid="{00000000-0005-0000-0000-0000B9670000}"/>
    <cellStyle name="Style 87 3 2 2 3" xfId="16772" xr:uid="{00000000-0005-0000-0000-0000BA670000}"/>
    <cellStyle name="Style 87 3 2 3" xfId="7105" xr:uid="{00000000-0005-0000-0000-0000BB670000}"/>
    <cellStyle name="Style 87 3 2 3 2" xfId="16763" xr:uid="{00000000-0005-0000-0000-0000BC670000}"/>
    <cellStyle name="Style 87 3 2 4" xfId="15560" xr:uid="{00000000-0005-0000-0000-0000BD670000}"/>
    <cellStyle name="Style 87 3 3" xfId="7106" xr:uid="{00000000-0005-0000-0000-0000BE670000}"/>
    <cellStyle name="Style 87 3 3 2" xfId="7107" xr:uid="{00000000-0005-0000-0000-0000BF670000}"/>
    <cellStyle name="Style 87 3 3 2 2" xfId="16628" xr:uid="{00000000-0005-0000-0000-0000C0670000}"/>
    <cellStyle name="Style 87 3 3 2 3" xfId="17089" xr:uid="{00000000-0005-0000-0000-0000C1670000}"/>
    <cellStyle name="Style 87 3 3 3" xfId="7108" xr:uid="{00000000-0005-0000-0000-0000C2670000}"/>
    <cellStyle name="Style 87 3 3 3 2" xfId="15552" xr:uid="{00000000-0005-0000-0000-0000C3670000}"/>
    <cellStyle name="Style 87 3 3 4" xfId="16136" xr:uid="{00000000-0005-0000-0000-0000C4670000}"/>
    <cellStyle name="Style 87 3 4" xfId="7109" xr:uid="{00000000-0005-0000-0000-0000C5670000}"/>
    <cellStyle name="Style 87 3 4 2" xfId="7110" xr:uid="{00000000-0005-0000-0000-0000C6670000}"/>
    <cellStyle name="Style 87 3 4 2 2" xfId="16813" xr:uid="{00000000-0005-0000-0000-0000C7670000}"/>
    <cellStyle name="Style 87 3 5" xfId="7111" xr:uid="{00000000-0005-0000-0000-0000C8670000}"/>
    <cellStyle name="Style 87 3 5 2" xfId="16470" xr:uid="{00000000-0005-0000-0000-0000C9670000}"/>
    <cellStyle name="Style 87 4" xfId="7112" xr:uid="{00000000-0005-0000-0000-0000CA670000}"/>
    <cellStyle name="Style 87 4 2" xfId="7113" xr:uid="{00000000-0005-0000-0000-0000CB670000}"/>
    <cellStyle name="Style 87 4 2 2" xfId="16997" xr:uid="{00000000-0005-0000-0000-0000CC670000}"/>
    <cellStyle name="Style 87 4 2 3" xfId="15750" xr:uid="{00000000-0005-0000-0000-0000CD670000}"/>
    <cellStyle name="Style 87 4 3" xfId="7114" xr:uid="{00000000-0005-0000-0000-0000CE670000}"/>
    <cellStyle name="Style 87 4 3 2" xfId="17094" xr:uid="{00000000-0005-0000-0000-0000CF670000}"/>
    <cellStyle name="Style 87 4 4" xfId="16460" xr:uid="{00000000-0005-0000-0000-0000D0670000}"/>
    <cellStyle name="Style 87 5" xfId="7115" xr:uid="{00000000-0005-0000-0000-0000D1670000}"/>
    <cellStyle name="Style 87 5 2" xfId="16481" xr:uid="{00000000-0005-0000-0000-0000D2670000}"/>
    <cellStyle name="Style 87 6" xfId="7116" xr:uid="{00000000-0005-0000-0000-0000D3670000}"/>
    <cellStyle name="Style 87 6 2" xfId="15810" xr:uid="{00000000-0005-0000-0000-0000D4670000}"/>
    <cellStyle name="Style 87 7" xfId="16653" xr:uid="{00000000-0005-0000-0000-0000D5670000}"/>
    <cellStyle name="Style 87 8" xfId="16716" xr:uid="{00000000-0005-0000-0000-0000D6670000}"/>
    <cellStyle name="Style 87_ADDON" xfId="7117" xr:uid="{00000000-0005-0000-0000-0000D7670000}"/>
    <cellStyle name="Style 93" xfId="3912" xr:uid="{00000000-0005-0000-0000-0000D8670000}"/>
    <cellStyle name="Style 93 10" xfId="7118" xr:uid="{00000000-0005-0000-0000-0000D9670000}"/>
    <cellStyle name="Style 93 10 2" xfId="16534" xr:uid="{00000000-0005-0000-0000-0000DA670000}"/>
    <cellStyle name="Style 93 11" xfId="7119" xr:uid="{00000000-0005-0000-0000-0000DB670000}"/>
    <cellStyle name="Style 93 11 2" xfId="16393" xr:uid="{00000000-0005-0000-0000-0000DC670000}"/>
    <cellStyle name="Style 93 12" xfId="7120" xr:uid="{00000000-0005-0000-0000-0000DD670000}"/>
    <cellStyle name="Style 93 12 2" xfId="16823" xr:uid="{00000000-0005-0000-0000-0000DE670000}"/>
    <cellStyle name="Style 93 13" xfId="16770" xr:uid="{00000000-0005-0000-0000-0000DF670000}"/>
    <cellStyle name="Style 93 2" xfId="7121" xr:uid="{00000000-0005-0000-0000-0000E0670000}"/>
    <cellStyle name="Style 93 2 2" xfId="7122" xr:uid="{00000000-0005-0000-0000-0000E1670000}"/>
    <cellStyle name="Style 93 2 2 2" xfId="16987" xr:uid="{00000000-0005-0000-0000-0000E2670000}"/>
    <cellStyle name="Style 93 2 3" xfId="16209" xr:uid="{00000000-0005-0000-0000-0000E3670000}"/>
    <cellStyle name="Style 93 3" xfId="7123" xr:uid="{00000000-0005-0000-0000-0000E4670000}"/>
    <cellStyle name="Style 93 3 2" xfId="7124" xr:uid="{00000000-0005-0000-0000-0000E5670000}"/>
    <cellStyle name="Style 93 3 2 2" xfId="7125" xr:uid="{00000000-0005-0000-0000-0000E6670000}"/>
    <cellStyle name="Style 93 3 2 2 2" xfId="16897" xr:uid="{00000000-0005-0000-0000-0000E7670000}"/>
    <cellStyle name="Style 93 3 2 3" xfId="7126" xr:uid="{00000000-0005-0000-0000-0000E8670000}"/>
    <cellStyle name="Style 93 3 2 3 2" xfId="16144" xr:uid="{00000000-0005-0000-0000-0000E9670000}"/>
    <cellStyle name="Style 93 3 3" xfId="7127" xr:uid="{00000000-0005-0000-0000-0000EA670000}"/>
    <cellStyle name="Style 93 3 3 2" xfId="7128" xr:uid="{00000000-0005-0000-0000-0000EB670000}"/>
    <cellStyle name="Style 93 3 3 2 2" xfId="7129" xr:uid="{00000000-0005-0000-0000-0000EC670000}"/>
    <cellStyle name="Style 93 3 3 2 2 2" xfId="15518" xr:uid="{00000000-0005-0000-0000-0000ED670000}"/>
    <cellStyle name="Style 93 3 3 2 3" xfId="16508" xr:uid="{00000000-0005-0000-0000-0000EE670000}"/>
    <cellStyle name="Style 93 3 3 3" xfId="7130" xr:uid="{00000000-0005-0000-0000-0000EF670000}"/>
    <cellStyle name="Style 93 3 3 3 2" xfId="7131" xr:uid="{00000000-0005-0000-0000-0000F0670000}"/>
    <cellStyle name="Style 93 3 3 3 2 2" xfId="15582" xr:uid="{00000000-0005-0000-0000-0000F1670000}"/>
    <cellStyle name="Style 93 3 3 3 3" xfId="7132" xr:uid="{00000000-0005-0000-0000-0000F2670000}"/>
    <cellStyle name="Style 93 3 3 3 3 2" xfId="15544" xr:uid="{00000000-0005-0000-0000-0000F3670000}"/>
    <cellStyle name="Style 93 3 3 3 4" xfId="16925" xr:uid="{00000000-0005-0000-0000-0000F4670000}"/>
    <cellStyle name="Style 93 3 3 4" xfId="7133" xr:uid="{00000000-0005-0000-0000-0000F5670000}"/>
    <cellStyle name="Style 93 3 3 4 2" xfId="7134" xr:uid="{00000000-0005-0000-0000-0000F6670000}"/>
    <cellStyle name="Style 93 3 3 4 2 2" xfId="16919" xr:uid="{00000000-0005-0000-0000-0000F7670000}"/>
    <cellStyle name="Style 93 3 3 4 3" xfId="16167" xr:uid="{00000000-0005-0000-0000-0000F8670000}"/>
    <cellStyle name="Style 93 3 3 5" xfId="7135" xr:uid="{00000000-0005-0000-0000-0000F9670000}"/>
    <cellStyle name="Style 93 3 3 5 2" xfId="16388" xr:uid="{00000000-0005-0000-0000-0000FA670000}"/>
    <cellStyle name="Style 93 3 3 6" xfId="16280" xr:uid="{00000000-0005-0000-0000-0000FB670000}"/>
    <cellStyle name="Style 93 3 4" xfId="7136" xr:uid="{00000000-0005-0000-0000-0000FC670000}"/>
    <cellStyle name="Style 93 3 4 2" xfId="16945" xr:uid="{00000000-0005-0000-0000-0000FD670000}"/>
    <cellStyle name="Style 93 3 4 3" xfId="17122" xr:uid="{00000000-0005-0000-0000-0000FE670000}"/>
    <cellStyle name="Style 93 3 5" xfId="7137" xr:uid="{00000000-0005-0000-0000-0000FF670000}"/>
    <cellStyle name="Style 93 3 5 2" xfId="17114" xr:uid="{00000000-0005-0000-0000-000000680000}"/>
    <cellStyle name="Style 93 3 6" xfId="15749" xr:uid="{00000000-0005-0000-0000-000001680000}"/>
    <cellStyle name="Style 93 4" xfId="7138" xr:uid="{00000000-0005-0000-0000-000002680000}"/>
    <cellStyle name="Style 93 4 2" xfId="7139" xr:uid="{00000000-0005-0000-0000-000003680000}"/>
    <cellStyle name="Style 93 4 2 2" xfId="7140" xr:uid="{00000000-0005-0000-0000-000004680000}"/>
    <cellStyle name="Style 93 4 2 2 2" xfId="7141" xr:uid="{00000000-0005-0000-0000-000005680000}"/>
    <cellStyle name="Style 93 4 2 2 2 2" xfId="15524" xr:uid="{00000000-0005-0000-0000-000006680000}"/>
    <cellStyle name="Style 93 4 2 2 3" xfId="16148" xr:uid="{00000000-0005-0000-0000-000007680000}"/>
    <cellStyle name="Style 93 4 2 3" xfId="7142" xr:uid="{00000000-0005-0000-0000-000008680000}"/>
    <cellStyle name="Style 93 4 2 3 2" xfId="7143" xr:uid="{00000000-0005-0000-0000-000009680000}"/>
    <cellStyle name="Style 93 4 2 3 2 2" xfId="16546" xr:uid="{00000000-0005-0000-0000-00000A680000}"/>
    <cellStyle name="Style 93 4 2 3 3" xfId="7144" xr:uid="{00000000-0005-0000-0000-00000B680000}"/>
    <cellStyle name="Style 93 4 2 3 3 2" xfId="16221" xr:uid="{00000000-0005-0000-0000-00000C680000}"/>
    <cellStyle name="Style 93 4 2 3 4" xfId="16296" xr:uid="{00000000-0005-0000-0000-00000D680000}"/>
    <cellStyle name="Style 93 4 2 4" xfId="7145" xr:uid="{00000000-0005-0000-0000-00000E680000}"/>
    <cellStyle name="Style 93 4 2 4 2" xfId="7146" xr:uid="{00000000-0005-0000-0000-00000F680000}"/>
    <cellStyle name="Style 93 4 2 4 2 2" xfId="17098" xr:uid="{00000000-0005-0000-0000-000010680000}"/>
    <cellStyle name="Style 93 4 2 4 3" xfId="15512" xr:uid="{00000000-0005-0000-0000-000011680000}"/>
    <cellStyle name="Style 93 4 2 5" xfId="7147" xr:uid="{00000000-0005-0000-0000-000012680000}"/>
    <cellStyle name="Style 93 4 2 5 2" xfId="16203" xr:uid="{00000000-0005-0000-0000-000013680000}"/>
    <cellStyle name="Style 93 4 2 6" xfId="16225" xr:uid="{00000000-0005-0000-0000-000014680000}"/>
    <cellStyle name="Style 93 4 3" xfId="7148" xr:uid="{00000000-0005-0000-0000-000015680000}"/>
    <cellStyle name="Style 93 4 3 2" xfId="7149" xr:uid="{00000000-0005-0000-0000-000016680000}"/>
    <cellStyle name="Style 93 4 3 2 2" xfId="16745" xr:uid="{00000000-0005-0000-0000-000017680000}"/>
    <cellStyle name="Style 93 4 3 3" xfId="17105" xr:uid="{00000000-0005-0000-0000-000018680000}"/>
    <cellStyle name="Style 93 4 4" xfId="7150" xr:uid="{00000000-0005-0000-0000-000019680000}"/>
    <cellStyle name="Style 93 4 4 2" xfId="17130" xr:uid="{00000000-0005-0000-0000-00001A680000}"/>
    <cellStyle name="Style 93 4 4 3" xfId="16759" xr:uid="{00000000-0005-0000-0000-00001B680000}"/>
    <cellStyle name="Style 93 4 5" xfId="7151" xr:uid="{00000000-0005-0000-0000-00001C680000}"/>
    <cellStyle name="Style 93 4 5 2" xfId="16771" xr:uid="{00000000-0005-0000-0000-00001D680000}"/>
    <cellStyle name="Style 93 4 6" xfId="17075" xr:uid="{00000000-0005-0000-0000-00001E680000}"/>
    <cellStyle name="Style 93 5" xfId="7152" xr:uid="{00000000-0005-0000-0000-00001F680000}"/>
    <cellStyle name="Style 93 5 2" xfId="7153" xr:uid="{00000000-0005-0000-0000-000020680000}"/>
    <cellStyle name="Style 93 5 2 2" xfId="7154" xr:uid="{00000000-0005-0000-0000-000021680000}"/>
    <cellStyle name="Style 93 5 2 2 2" xfId="7155" xr:uid="{00000000-0005-0000-0000-000022680000}"/>
    <cellStyle name="Style 93 5 2 2 2 2" xfId="16384" xr:uid="{00000000-0005-0000-0000-000023680000}"/>
    <cellStyle name="Style 93 5 2 2 3" xfId="16157" xr:uid="{00000000-0005-0000-0000-000024680000}"/>
    <cellStyle name="Style 93 5 2 3" xfId="7156" xr:uid="{00000000-0005-0000-0000-000025680000}"/>
    <cellStyle name="Style 93 5 2 3 2" xfId="7157" xr:uid="{00000000-0005-0000-0000-000026680000}"/>
    <cellStyle name="Style 93 5 2 3 2 2" xfId="16175" xr:uid="{00000000-0005-0000-0000-000027680000}"/>
    <cellStyle name="Style 93 5 2 3 3" xfId="7158" xr:uid="{00000000-0005-0000-0000-000028680000}"/>
    <cellStyle name="Style 93 5 2 3 3 2" xfId="16908" xr:uid="{00000000-0005-0000-0000-000029680000}"/>
    <cellStyle name="Style 93 5 2 3 4" xfId="16126" xr:uid="{00000000-0005-0000-0000-00002A680000}"/>
    <cellStyle name="Style 93 5 2 4" xfId="7159" xr:uid="{00000000-0005-0000-0000-00002B680000}"/>
    <cellStyle name="Style 93 5 2 4 2" xfId="16903" xr:uid="{00000000-0005-0000-0000-00002C680000}"/>
    <cellStyle name="Style 93 5 2 4 3" xfId="16733" xr:uid="{00000000-0005-0000-0000-00002D680000}"/>
    <cellStyle name="Style 93 5 2 5" xfId="7160" xr:uid="{00000000-0005-0000-0000-00002E680000}"/>
    <cellStyle name="Style 93 5 2 5 2" xfId="17005" xr:uid="{00000000-0005-0000-0000-00002F680000}"/>
    <cellStyle name="Style 93 5 3" xfId="7161" xr:uid="{00000000-0005-0000-0000-000030680000}"/>
    <cellStyle name="Style 93 5 3 2" xfId="7162" xr:uid="{00000000-0005-0000-0000-000031680000}"/>
    <cellStyle name="Style 93 5 3 2 2" xfId="16862" xr:uid="{00000000-0005-0000-0000-000032680000}"/>
    <cellStyle name="Style 93 5 3 3" xfId="15538" xr:uid="{00000000-0005-0000-0000-000033680000}"/>
    <cellStyle name="Style 93 5 4" xfId="7163" xr:uid="{00000000-0005-0000-0000-000034680000}"/>
    <cellStyle name="Style 93 5 4 2" xfId="17016" xr:uid="{00000000-0005-0000-0000-000035680000}"/>
    <cellStyle name="Style 93 5 5" xfId="7164" xr:uid="{00000000-0005-0000-0000-000036680000}"/>
    <cellStyle name="Style 93 5 5 2" xfId="17040" xr:uid="{00000000-0005-0000-0000-000037680000}"/>
    <cellStyle name="Style 93 5 6" xfId="16986" xr:uid="{00000000-0005-0000-0000-000038680000}"/>
    <cellStyle name="Style 93 6" xfId="7165" xr:uid="{00000000-0005-0000-0000-000039680000}"/>
    <cellStyle name="Style 93 6 2" xfId="7166" xr:uid="{00000000-0005-0000-0000-00003A680000}"/>
    <cellStyle name="Style 93 6 2 2" xfId="7167" xr:uid="{00000000-0005-0000-0000-00003B680000}"/>
    <cellStyle name="Style 93 6 2 2 2" xfId="16281" xr:uid="{00000000-0005-0000-0000-00003C680000}"/>
    <cellStyle name="Style 93 6 2 3" xfId="16400" xr:uid="{00000000-0005-0000-0000-00003D680000}"/>
    <cellStyle name="Style 93 6 3" xfId="7168" xr:uid="{00000000-0005-0000-0000-00003E680000}"/>
    <cellStyle name="Style 93 6 3 2" xfId="7169" xr:uid="{00000000-0005-0000-0000-00003F680000}"/>
    <cellStyle name="Style 93 6 3 2 2" xfId="16111" xr:uid="{00000000-0005-0000-0000-000040680000}"/>
    <cellStyle name="Style 93 6 3 3" xfId="7170" xr:uid="{00000000-0005-0000-0000-000041680000}"/>
    <cellStyle name="Style 93 6 3 3 2" xfId="16444" xr:uid="{00000000-0005-0000-0000-000042680000}"/>
    <cellStyle name="Style 93 6 3 4" xfId="15576" xr:uid="{00000000-0005-0000-0000-000043680000}"/>
    <cellStyle name="Style 93 6 4" xfId="7171" xr:uid="{00000000-0005-0000-0000-000044680000}"/>
    <cellStyle name="Style 93 6 4 2" xfId="7172" xr:uid="{00000000-0005-0000-0000-000045680000}"/>
    <cellStyle name="Style 93 6 4 2 2" xfId="16131" xr:uid="{00000000-0005-0000-0000-000046680000}"/>
    <cellStyle name="Style 93 6 4 3" xfId="15497" xr:uid="{00000000-0005-0000-0000-000047680000}"/>
    <cellStyle name="Style 93 6 5" xfId="7173" xr:uid="{00000000-0005-0000-0000-000048680000}"/>
    <cellStyle name="Style 93 6 5 2" xfId="16269" xr:uid="{00000000-0005-0000-0000-000049680000}"/>
    <cellStyle name="Style 93 6 6" xfId="16896" xr:uid="{00000000-0005-0000-0000-00004A680000}"/>
    <cellStyle name="Style 93 7" xfId="7174" xr:uid="{00000000-0005-0000-0000-00004B680000}"/>
    <cellStyle name="Style 93 7 2" xfId="7175" xr:uid="{00000000-0005-0000-0000-00004C680000}"/>
    <cellStyle name="Style 93 7 2 2" xfId="15647" xr:uid="{00000000-0005-0000-0000-00004D680000}"/>
    <cellStyle name="Style 93 7 3" xfId="7176" xr:uid="{00000000-0005-0000-0000-00004E680000}"/>
    <cellStyle name="Style 93 7 3 2" xfId="16553" xr:uid="{00000000-0005-0000-0000-00004F680000}"/>
    <cellStyle name="Style 93 7 4" xfId="16587" xr:uid="{00000000-0005-0000-0000-000050680000}"/>
    <cellStyle name="Style 93 8" xfId="7177" xr:uid="{00000000-0005-0000-0000-000051680000}"/>
    <cellStyle name="Style 93 8 2" xfId="17024" xr:uid="{00000000-0005-0000-0000-000052680000}"/>
    <cellStyle name="Style 93 8 3" xfId="16659" xr:uid="{00000000-0005-0000-0000-000053680000}"/>
    <cellStyle name="Style 93 8 4" xfId="15562" xr:uid="{00000000-0005-0000-0000-000054680000}"/>
    <cellStyle name="Style 93 9" xfId="7178" xr:uid="{00000000-0005-0000-0000-000055680000}"/>
    <cellStyle name="Style 93 9 2" xfId="16540" xr:uid="{00000000-0005-0000-0000-000056680000}"/>
    <cellStyle name="Style 93_ADDON" xfId="7179" xr:uid="{00000000-0005-0000-0000-000057680000}"/>
    <cellStyle name="Style 94" xfId="3913" xr:uid="{00000000-0005-0000-0000-000058680000}"/>
    <cellStyle name="Style 94 2" xfId="7180" xr:uid="{00000000-0005-0000-0000-000059680000}"/>
    <cellStyle name="Style 94 2 2" xfId="16767" xr:uid="{00000000-0005-0000-0000-00005A680000}"/>
    <cellStyle name="Style 94 3" xfId="7181" xr:uid="{00000000-0005-0000-0000-00005B680000}"/>
    <cellStyle name="Style 94 3 2" xfId="7182" xr:uid="{00000000-0005-0000-0000-00005C680000}"/>
    <cellStyle name="Style 94 3 2 2" xfId="15588" xr:uid="{00000000-0005-0000-0000-00005D680000}"/>
    <cellStyle name="Style 94 3 3" xfId="7183" xr:uid="{00000000-0005-0000-0000-00005E680000}"/>
    <cellStyle name="Style 94 3 3 2" xfId="7184" xr:uid="{00000000-0005-0000-0000-00005F680000}"/>
    <cellStyle name="Style 94 3 3 2 2" xfId="16116" xr:uid="{00000000-0005-0000-0000-000060680000}"/>
    <cellStyle name="Style 94 3 3 3" xfId="16313" xr:uid="{00000000-0005-0000-0000-000061680000}"/>
    <cellStyle name="Style 94 3 3 4" xfId="17120" xr:uid="{00000000-0005-0000-0000-000062680000}"/>
    <cellStyle name="Style 94 3 4" xfId="7185" xr:uid="{00000000-0005-0000-0000-000063680000}"/>
    <cellStyle name="Style 94 3 4 2" xfId="17095" xr:uid="{00000000-0005-0000-0000-000064680000}"/>
    <cellStyle name="Style 94 3 4 3" xfId="16618" xr:uid="{00000000-0005-0000-0000-000065680000}"/>
    <cellStyle name="Style 94 3 5" xfId="16222" xr:uid="{00000000-0005-0000-0000-000066680000}"/>
    <cellStyle name="Style 94 4" xfId="7186" xr:uid="{00000000-0005-0000-0000-000067680000}"/>
    <cellStyle name="Style 94 4 2" xfId="7187" xr:uid="{00000000-0005-0000-0000-000068680000}"/>
    <cellStyle name="Style 94 4 2 2" xfId="17092" xr:uid="{00000000-0005-0000-0000-000069680000}"/>
    <cellStyle name="Style 94 4 3" xfId="16848" xr:uid="{00000000-0005-0000-0000-00006A680000}"/>
    <cellStyle name="Style 94 4 4" xfId="16744" xr:uid="{00000000-0005-0000-0000-00006B680000}"/>
    <cellStyle name="Style 94 5" xfId="7188" xr:uid="{00000000-0005-0000-0000-00006C680000}"/>
    <cellStyle name="Style 94 5 2" xfId="16655" xr:uid="{00000000-0005-0000-0000-00006D680000}"/>
    <cellStyle name="Style 94 5 3" xfId="16360" xr:uid="{00000000-0005-0000-0000-00006E680000}"/>
    <cellStyle name="Style 94 6" xfId="7189" xr:uid="{00000000-0005-0000-0000-00006F680000}"/>
    <cellStyle name="Style 94 6 2" xfId="16206" xr:uid="{00000000-0005-0000-0000-000070680000}"/>
    <cellStyle name="Style 94 7" xfId="7190" xr:uid="{00000000-0005-0000-0000-000071680000}"/>
    <cellStyle name="Style 94 7 2" xfId="16663" xr:uid="{00000000-0005-0000-0000-000072680000}"/>
    <cellStyle name="Style 94 8" xfId="16838" xr:uid="{00000000-0005-0000-0000-000073680000}"/>
    <cellStyle name="Style 94_ADDON" xfId="7191" xr:uid="{00000000-0005-0000-0000-000074680000}"/>
    <cellStyle name="Style 95" xfId="3914" xr:uid="{00000000-0005-0000-0000-000075680000}"/>
    <cellStyle name="Style 95 2" xfId="7192" xr:uid="{00000000-0005-0000-0000-000076680000}"/>
    <cellStyle name="Style 95 2 2" xfId="7193" xr:uid="{00000000-0005-0000-0000-000077680000}"/>
    <cellStyle name="Style 95 2 2 2" xfId="7194" xr:uid="{00000000-0005-0000-0000-000078680000}"/>
    <cellStyle name="Style 95 2 2 2 2" xfId="16171" xr:uid="{00000000-0005-0000-0000-000079680000}"/>
    <cellStyle name="Style 95 2 2 2 3" xfId="17041" xr:uid="{00000000-0005-0000-0000-00007A680000}"/>
    <cellStyle name="Style 95 2 2 3" xfId="7195" xr:uid="{00000000-0005-0000-0000-00007B680000}"/>
    <cellStyle name="Style 95 2 2 3 2" xfId="16996" xr:uid="{00000000-0005-0000-0000-00007C680000}"/>
    <cellStyle name="Style 95 2 2 4" xfId="15591" xr:uid="{00000000-0005-0000-0000-00007D680000}"/>
    <cellStyle name="Style 95 2 3" xfId="7196" xr:uid="{00000000-0005-0000-0000-00007E680000}"/>
    <cellStyle name="Style 95 2 3 2" xfId="15541" xr:uid="{00000000-0005-0000-0000-00007F680000}"/>
    <cellStyle name="Style 95 2 3 3" xfId="16894" xr:uid="{00000000-0005-0000-0000-000080680000}"/>
    <cellStyle name="Style 95 2 4" xfId="7197" xr:uid="{00000000-0005-0000-0000-000081680000}"/>
    <cellStyle name="Style 95 2 4 2" xfId="16165" xr:uid="{00000000-0005-0000-0000-000082680000}"/>
    <cellStyle name="Style 95 2 5" xfId="7198" xr:uid="{00000000-0005-0000-0000-000083680000}"/>
    <cellStyle name="Style 95 2 5 2" xfId="16549" xr:uid="{00000000-0005-0000-0000-000084680000}"/>
    <cellStyle name="Style 95 2 6" xfId="16213" xr:uid="{00000000-0005-0000-0000-000085680000}"/>
    <cellStyle name="Style 95 3" xfId="7199" xr:uid="{00000000-0005-0000-0000-000086680000}"/>
    <cellStyle name="Style 95 3 2" xfId="7200" xr:uid="{00000000-0005-0000-0000-000087680000}"/>
    <cellStyle name="Style 95 3 2 2" xfId="7201" xr:uid="{00000000-0005-0000-0000-000088680000}"/>
    <cellStyle name="Style 95 3 2 2 2" xfId="16474" xr:uid="{00000000-0005-0000-0000-000089680000}"/>
    <cellStyle name="Style 95 3 2 2 3" xfId="17001" xr:uid="{00000000-0005-0000-0000-00008A680000}"/>
    <cellStyle name="Style 95 3 2 3" xfId="7202" xr:uid="{00000000-0005-0000-0000-00008B680000}"/>
    <cellStyle name="Style 95 3 2 3 2" xfId="16956" xr:uid="{00000000-0005-0000-0000-00008C680000}"/>
    <cellStyle name="Style 95 3 2 4" xfId="15532" xr:uid="{00000000-0005-0000-0000-00008D680000}"/>
    <cellStyle name="Style 95 3 3" xfId="7203" xr:uid="{00000000-0005-0000-0000-00008E680000}"/>
    <cellStyle name="Style 95 3 3 2" xfId="7204" xr:uid="{00000000-0005-0000-0000-00008F680000}"/>
    <cellStyle name="Style 95 3 3 2 2" xfId="16121" xr:uid="{00000000-0005-0000-0000-000090680000}"/>
    <cellStyle name="Style 95 3 3 2 3" xfId="16762" xr:uid="{00000000-0005-0000-0000-000091680000}"/>
    <cellStyle name="Style 95 3 3 3" xfId="7205" xr:uid="{00000000-0005-0000-0000-000092680000}"/>
    <cellStyle name="Style 95 3 3 3 2" xfId="16681" xr:uid="{00000000-0005-0000-0000-000093680000}"/>
    <cellStyle name="Style 95 3 3 4" xfId="15568" xr:uid="{00000000-0005-0000-0000-000094680000}"/>
    <cellStyle name="Style 95 3 4" xfId="7206" xr:uid="{00000000-0005-0000-0000-000095680000}"/>
    <cellStyle name="Style 95 3 4 2" xfId="7207" xr:uid="{00000000-0005-0000-0000-000096680000}"/>
    <cellStyle name="Style 95 3 4 2 2" xfId="16272" xr:uid="{00000000-0005-0000-0000-000097680000}"/>
    <cellStyle name="Style 95 3 5" xfId="7208" xr:uid="{00000000-0005-0000-0000-000098680000}"/>
    <cellStyle name="Style 95 3 5 2" xfId="16913" xr:uid="{00000000-0005-0000-0000-000099680000}"/>
    <cellStyle name="Style 95 4" xfId="7209" xr:uid="{00000000-0005-0000-0000-00009A680000}"/>
    <cellStyle name="Style 95 4 2" xfId="7210" xr:uid="{00000000-0005-0000-0000-00009B680000}"/>
    <cellStyle name="Style 95 4 2 2" xfId="17079" xr:uid="{00000000-0005-0000-0000-00009C680000}"/>
    <cellStyle name="Style 95 4 2 3" xfId="16615" xr:uid="{00000000-0005-0000-0000-00009D680000}"/>
    <cellStyle name="Style 95 4 3" xfId="7211" xr:uid="{00000000-0005-0000-0000-00009E680000}"/>
    <cellStyle name="Style 95 4 3 2" xfId="16725" xr:uid="{00000000-0005-0000-0000-00009F680000}"/>
    <cellStyle name="Style 95 4 4" xfId="15585" xr:uid="{00000000-0005-0000-0000-0000A0680000}"/>
    <cellStyle name="Style 95 5" xfId="7212" xr:uid="{00000000-0005-0000-0000-0000A1680000}"/>
    <cellStyle name="Style 95 5 2" xfId="16259" xr:uid="{00000000-0005-0000-0000-0000A2680000}"/>
    <cellStyle name="Style 95 6" xfId="7213" xr:uid="{00000000-0005-0000-0000-0000A3680000}"/>
    <cellStyle name="Style 95 6 2" xfId="16639" xr:uid="{00000000-0005-0000-0000-0000A4680000}"/>
    <cellStyle name="Style 95 7" xfId="16683" xr:uid="{00000000-0005-0000-0000-0000A5680000}"/>
    <cellStyle name="Style 95 8" xfId="16291" xr:uid="{00000000-0005-0000-0000-0000A6680000}"/>
    <cellStyle name="Style 95_ADDON" xfId="7214" xr:uid="{00000000-0005-0000-0000-0000A7680000}"/>
    <cellStyle name="Style 96" xfId="3915" xr:uid="{00000000-0005-0000-0000-0000A8680000}"/>
    <cellStyle name="Style 96 2" xfId="7215" xr:uid="{00000000-0005-0000-0000-0000A9680000}"/>
    <cellStyle name="Style 96 2 2" xfId="16834" xr:uid="{00000000-0005-0000-0000-0000AA680000}"/>
    <cellStyle name="Style 96 3" xfId="7216" xr:uid="{00000000-0005-0000-0000-0000AB680000}"/>
    <cellStyle name="Style 96 3 2" xfId="7217" xr:uid="{00000000-0005-0000-0000-0000AC680000}"/>
    <cellStyle name="Style 96 3 2 2" xfId="16664" xr:uid="{00000000-0005-0000-0000-0000AD680000}"/>
    <cellStyle name="Style 96 3 3" xfId="7218" xr:uid="{00000000-0005-0000-0000-0000AE680000}"/>
    <cellStyle name="Style 96 3 3 2" xfId="7219" xr:uid="{00000000-0005-0000-0000-0000AF680000}"/>
    <cellStyle name="Style 96 3 3 2 2" xfId="16482" xr:uid="{00000000-0005-0000-0000-0000B0680000}"/>
    <cellStyle name="Style 96 3 3 3" xfId="17037" xr:uid="{00000000-0005-0000-0000-0000B1680000}"/>
    <cellStyle name="Style 96 3 3 4" xfId="16139" xr:uid="{00000000-0005-0000-0000-0000B2680000}"/>
    <cellStyle name="Style 96 3 4" xfId="7220" xr:uid="{00000000-0005-0000-0000-0000B3680000}"/>
    <cellStyle name="Style 96 3 4 2" xfId="16668" xr:uid="{00000000-0005-0000-0000-0000B4680000}"/>
    <cellStyle name="Style 96 3 4 3" xfId="16849" xr:uid="{00000000-0005-0000-0000-0000B5680000}"/>
    <cellStyle name="Style 96 3 5" xfId="16852" xr:uid="{00000000-0005-0000-0000-0000B6680000}"/>
    <cellStyle name="Style 96 4" xfId="7221" xr:uid="{00000000-0005-0000-0000-0000B7680000}"/>
    <cellStyle name="Style 96 4 2" xfId="7222" xr:uid="{00000000-0005-0000-0000-0000B8680000}"/>
    <cellStyle name="Style 96 4 2 2" xfId="16441" xr:uid="{00000000-0005-0000-0000-0000B9680000}"/>
    <cellStyle name="Style 96 4 3" xfId="16408" xr:uid="{00000000-0005-0000-0000-0000BA680000}"/>
    <cellStyle name="Style 96 4 4" xfId="16220" xr:uid="{00000000-0005-0000-0000-0000BB680000}"/>
    <cellStyle name="Style 96 5" xfId="7223" xr:uid="{00000000-0005-0000-0000-0000BC680000}"/>
    <cellStyle name="Style 96 5 2" xfId="15514" xr:uid="{00000000-0005-0000-0000-0000BD680000}"/>
    <cellStyle name="Style 96 5 3" xfId="16990" xr:uid="{00000000-0005-0000-0000-0000BE680000}"/>
    <cellStyle name="Style 96 6" xfId="7224" xr:uid="{00000000-0005-0000-0000-0000BF680000}"/>
    <cellStyle name="Style 96 6 2" xfId="16290" xr:uid="{00000000-0005-0000-0000-0000C0680000}"/>
    <cellStyle name="Style 96 7" xfId="7225" xr:uid="{00000000-0005-0000-0000-0000C1680000}"/>
    <cellStyle name="Style 96 7 2" xfId="17097" xr:uid="{00000000-0005-0000-0000-0000C2680000}"/>
    <cellStyle name="Style 96 8" xfId="16463" xr:uid="{00000000-0005-0000-0000-0000C3680000}"/>
    <cellStyle name="Style 96_ADDON" xfId="7226" xr:uid="{00000000-0005-0000-0000-0000C4680000}"/>
    <cellStyle name="Style 97" xfId="3916" xr:uid="{00000000-0005-0000-0000-0000C5680000}"/>
    <cellStyle name="Style 97 10" xfId="7227" xr:uid="{00000000-0005-0000-0000-0000C6680000}"/>
    <cellStyle name="Style 97 10 2" xfId="17006" xr:uid="{00000000-0005-0000-0000-0000C7680000}"/>
    <cellStyle name="Style 97 11" xfId="7228" xr:uid="{00000000-0005-0000-0000-0000C8680000}"/>
    <cellStyle name="Style 97 11 2" xfId="16929" xr:uid="{00000000-0005-0000-0000-0000C9680000}"/>
    <cellStyle name="Style 97 12" xfId="7229" xr:uid="{00000000-0005-0000-0000-0000CA680000}"/>
    <cellStyle name="Style 97 12 2" xfId="16471" xr:uid="{00000000-0005-0000-0000-0000CB680000}"/>
    <cellStyle name="Style 97 13" xfId="16854" xr:uid="{00000000-0005-0000-0000-0000CC680000}"/>
    <cellStyle name="Style 97 2" xfId="7230" xr:uid="{00000000-0005-0000-0000-0000CD680000}"/>
    <cellStyle name="Style 97 2 2" xfId="7231" xr:uid="{00000000-0005-0000-0000-0000CE680000}"/>
    <cellStyle name="Style 97 2 2 2" xfId="15559" xr:uid="{00000000-0005-0000-0000-0000CF680000}"/>
    <cellStyle name="Style 97 2 3" xfId="16194" xr:uid="{00000000-0005-0000-0000-0000D0680000}"/>
    <cellStyle name="Style 97 3" xfId="7232" xr:uid="{00000000-0005-0000-0000-0000D1680000}"/>
    <cellStyle name="Style 97 3 2" xfId="7233" xr:uid="{00000000-0005-0000-0000-0000D2680000}"/>
    <cellStyle name="Style 97 3 2 2" xfId="7234" xr:uid="{00000000-0005-0000-0000-0000D3680000}"/>
    <cellStyle name="Style 97 3 2 2 2" xfId="16490" xr:uid="{00000000-0005-0000-0000-0000D4680000}"/>
    <cellStyle name="Style 97 3 2 3" xfId="7235" xr:uid="{00000000-0005-0000-0000-0000D5680000}"/>
    <cellStyle name="Style 97 3 2 3 2" xfId="17043" xr:uid="{00000000-0005-0000-0000-0000D6680000}"/>
    <cellStyle name="Style 97 3 3" xfId="7236" xr:uid="{00000000-0005-0000-0000-0000D7680000}"/>
    <cellStyle name="Style 97 3 3 2" xfId="7237" xr:uid="{00000000-0005-0000-0000-0000D8680000}"/>
    <cellStyle name="Style 97 3 3 2 2" xfId="7238" xr:uid="{00000000-0005-0000-0000-0000D9680000}"/>
    <cellStyle name="Style 97 3 3 2 2 2" xfId="15508" xr:uid="{00000000-0005-0000-0000-0000DA680000}"/>
    <cellStyle name="Style 97 3 3 2 3" xfId="16822" xr:uid="{00000000-0005-0000-0000-0000DB680000}"/>
    <cellStyle name="Style 97 3 3 3" xfId="7239" xr:uid="{00000000-0005-0000-0000-0000DC680000}"/>
    <cellStyle name="Style 97 3 3 3 2" xfId="7240" xr:uid="{00000000-0005-0000-0000-0000DD680000}"/>
    <cellStyle name="Style 97 3 3 3 2 2" xfId="16539" xr:uid="{00000000-0005-0000-0000-0000DE680000}"/>
    <cellStyle name="Style 97 3 3 3 3" xfId="7241" xr:uid="{00000000-0005-0000-0000-0000DF680000}"/>
    <cellStyle name="Style 97 3 3 3 3 2" xfId="16185" xr:uid="{00000000-0005-0000-0000-0000E0680000}"/>
    <cellStyle name="Style 97 3 3 3 4" xfId="15551" xr:uid="{00000000-0005-0000-0000-0000E1680000}"/>
    <cellStyle name="Style 97 3 3 4" xfId="7242" xr:uid="{00000000-0005-0000-0000-0000E2680000}"/>
    <cellStyle name="Style 97 3 3 4 2" xfId="7243" xr:uid="{00000000-0005-0000-0000-0000E3680000}"/>
    <cellStyle name="Style 97 3 3 4 2 2" xfId="16730" xr:uid="{00000000-0005-0000-0000-0000E4680000}"/>
    <cellStyle name="Style 97 3 3 4 3" xfId="16998" xr:uid="{00000000-0005-0000-0000-0000E5680000}"/>
    <cellStyle name="Style 97 3 3 5" xfId="7244" xr:uid="{00000000-0005-0000-0000-0000E6680000}"/>
    <cellStyle name="Style 97 3 3 5 2" xfId="16827" xr:uid="{00000000-0005-0000-0000-0000E7680000}"/>
    <cellStyle name="Style 97 3 3 6" xfId="16135" xr:uid="{00000000-0005-0000-0000-0000E8680000}"/>
    <cellStyle name="Style 97 3 4" xfId="7245" xr:uid="{00000000-0005-0000-0000-0000E9680000}"/>
    <cellStyle name="Style 97 3 4 2" xfId="16778" xr:uid="{00000000-0005-0000-0000-0000EA680000}"/>
    <cellStyle name="Style 97 3 4 3" xfId="16205" xr:uid="{00000000-0005-0000-0000-0000EB680000}"/>
    <cellStyle name="Style 97 3 5" xfId="7246" xr:uid="{00000000-0005-0000-0000-0000EC680000}"/>
    <cellStyle name="Style 97 3 5 2" xfId="16374" xr:uid="{00000000-0005-0000-0000-0000ED680000}"/>
    <cellStyle name="Style 97 3 6" xfId="16502" xr:uid="{00000000-0005-0000-0000-0000EE680000}"/>
    <cellStyle name="Style 97 4" xfId="7247" xr:uid="{00000000-0005-0000-0000-0000EF680000}"/>
    <cellStyle name="Style 97 4 2" xfId="7248" xr:uid="{00000000-0005-0000-0000-0000F0680000}"/>
    <cellStyle name="Style 97 4 2 2" xfId="7249" xr:uid="{00000000-0005-0000-0000-0000F1680000}"/>
    <cellStyle name="Style 97 4 2 2 2" xfId="7250" xr:uid="{00000000-0005-0000-0000-0000F2680000}"/>
    <cellStyle name="Style 97 4 2 2 2 2" xfId="16552" xr:uid="{00000000-0005-0000-0000-0000F3680000}"/>
    <cellStyle name="Style 97 4 2 2 3" xfId="17028" xr:uid="{00000000-0005-0000-0000-0000F4680000}"/>
    <cellStyle name="Style 97 4 2 3" xfId="7251" xr:uid="{00000000-0005-0000-0000-0000F5680000}"/>
    <cellStyle name="Style 97 4 2 3 2" xfId="7252" xr:uid="{00000000-0005-0000-0000-0000F6680000}"/>
    <cellStyle name="Style 97 4 2 3 2 2" xfId="16723" xr:uid="{00000000-0005-0000-0000-0000F7680000}"/>
    <cellStyle name="Style 97 4 2 3 3" xfId="7253" xr:uid="{00000000-0005-0000-0000-0000F8680000}"/>
    <cellStyle name="Style 97 4 2 3 3 2" xfId="15748" xr:uid="{00000000-0005-0000-0000-0000F9680000}"/>
    <cellStyle name="Style 97 4 2 3 4" xfId="17113" xr:uid="{00000000-0005-0000-0000-0000FA680000}"/>
    <cellStyle name="Style 97 4 2 4" xfId="7254" xr:uid="{00000000-0005-0000-0000-0000FB680000}"/>
    <cellStyle name="Style 97 4 2 4 2" xfId="7255" xr:uid="{00000000-0005-0000-0000-0000FC680000}"/>
    <cellStyle name="Style 97 4 2 4 2 2" xfId="16625" xr:uid="{00000000-0005-0000-0000-0000FD680000}"/>
    <cellStyle name="Style 97 4 2 4 3" xfId="16143" xr:uid="{00000000-0005-0000-0000-0000FE680000}"/>
    <cellStyle name="Style 97 4 2 5" xfId="7256" xr:uid="{00000000-0005-0000-0000-0000FF680000}"/>
    <cellStyle name="Style 97 4 2 5 2" xfId="16911" xr:uid="{00000000-0005-0000-0000-000000690000}"/>
    <cellStyle name="Style 97 4 2 6" xfId="16258" xr:uid="{00000000-0005-0000-0000-000001690000}"/>
    <cellStyle name="Style 97 4 3" xfId="7257" xr:uid="{00000000-0005-0000-0000-000002690000}"/>
    <cellStyle name="Style 97 4 3 2" xfId="7258" xr:uid="{00000000-0005-0000-0000-000003690000}"/>
    <cellStyle name="Style 97 4 3 2 2" xfId="15646" xr:uid="{00000000-0005-0000-0000-000004690000}"/>
    <cellStyle name="Style 97 4 3 3" xfId="16507" xr:uid="{00000000-0005-0000-0000-000005690000}"/>
    <cellStyle name="Style 97 4 4" xfId="7259" xr:uid="{00000000-0005-0000-0000-000006690000}"/>
    <cellStyle name="Style 97 4 4 2" xfId="16904" xr:uid="{00000000-0005-0000-0000-000007690000}"/>
    <cellStyle name="Style 97 4 4 3" xfId="15645" xr:uid="{00000000-0005-0000-0000-000008690000}"/>
    <cellStyle name="Style 97 4 5" xfId="7260" xr:uid="{00000000-0005-0000-0000-000009690000}"/>
    <cellStyle name="Style 97 4 5 2" xfId="16657" xr:uid="{00000000-0005-0000-0000-00000A690000}"/>
    <cellStyle name="Style 97 4 6" xfId="16498" xr:uid="{00000000-0005-0000-0000-00000B690000}"/>
    <cellStyle name="Style 97 5" xfId="7261" xr:uid="{00000000-0005-0000-0000-00000C690000}"/>
    <cellStyle name="Style 97 5 2" xfId="7262" xr:uid="{00000000-0005-0000-0000-00000D690000}"/>
    <cellStyle name="Style 97 5 2 2" xfId="7263" xr:uid="{00000000-0005-0000-0000-00000E690000}"/>
    <cellStyle name="Style 97 5 2 2 2" xfId="7264" xr:uid="{00000000-0005-0000-0000-00000F690000}"/>
    <cellStyle name="Style 97 5 2 2 2 2" xfId="16652" xr:uid="{00000000-0005-0000-0000-000010690000}"/>
    <cellStyle name="Style 97 5 2 2 3" xfId="17073" xr:uid="{00000000-0005-0000-0000-000011690000}"/>
    <cellStyle name="Style 97 5 2 3" xfId="7265" xr:uid="{00000000-0005-0000-0000-000012690000}"/>
    <cellStyle name="Style 97 5 2 3 2" xfId="7266" xr:uid="{00000000-0005-0000-0000-000013690000}"/>
    <cellStyle name="Style 97 5 2 3 2 2" xfId="16856" xr:uid="{00000000-0005-0000-0000-000014690000}"/>
    <cellStyle name="Style 97 5 2 3 3" xfId="7267" xr:uid="{00000000-0005-0000-0000-000015690000}"/>
    <cellStyle name="Style 97 5 2 3 3 2" xfId="16674" xr:uid="{00000000-0005-0000-0000-000016690000}"/>
    <cellStyle name="Style 97 5 2 3 4" xfId="17022" xr:uid="{00000000-0005-0000-0000-000017690000}"/>
    <cellStyle name="Style 97 5 2 4" xfId="7268" xr:uid="{00000000-0005-0000-0000-000018690000}"/>
    <cellStyle name="Style 97 5 2 4 2" xfId="16812" xr:uid="{00000000-0005-0000-0000-000019690000}"/>
    <cellStyle name="Style 97 5 2 4 3" xfId="16847" xr:uid="{00000000-0005-0000-0000-00001A690000}"/>
    <cellStyle name="Style 97 5 2 5" xfId="7269" xr:uid="{00000000-0005-0000-0000-00001B690000}"/>
    <cellStyle name="Style 97 5 2 5 2" xfId="16921" xr:uid="{00000000-0005-0000-0000-00001C690000}"/>
    <cellStyle name="Style 97 5 3" xfId="7270" xr:uid="{00000000-0005-0000-0000-00001D690000}"/>
    <cellStyle name="Style 97 5 3 2" xfId="7271" xr:uid="{00000000-0005-0000-0000-00001E690000}"/>
    <cellStyle name="Style 97 5 3 2 2" xfId="16147" xr:uid="{00000000-0005-0000-0000-00001F690000}"/>
    <cellStyle name="Style 97 5 3 3" xfId="16224" xr:uid="{00000000-0005-0000-0000-000020690000}"/>
    <cellStyle name="Style 97 5 4" xfId="7272" xr:uid="{00000000-0005-0000-0000-000021690000}"/>
    <cellStyle name="Style 97 5 4 2" xfId="15523" xr:uid="{00000000-0005-0000-0000-000022690000}"/>
    <cellStyle name="Style 97 5 5" xfId="7273" xr:uid="{00000000-0005-0000-0000-000023690000}"/>
    <cellStyle name="Style 97 5 5 2" xfId="15558" xr:uid="{00000000-0005-0000-0000-000024690000}"/>
    <cellStyle name="Style 97 5 6" xfId="16951" xr:uid="{00000000-0005-0000-0000-000025690000}"/>
    <cellStyle name="Style 97 6" xfId="7274" xr:uid="{00000000-0005-0000-0000-000026690000}"/>
    <cellStyle name="Style 97 6 2" xfId="7275" xr:uid="{00000000-0005-0000-0000-000027690000}"/>
    <cellStyle name="Style 97 6 2 2" xfId="7276" xr:uid="{00000000-0005-0000-0000-000028690000}"/>
    <cellStyle name="Style 97 6 2 2 2" xfId="16632" xr:uid="{00000000-0005-0000-0000-000029690000}"/>
    <cellStyle name="Style 97 6 2 3" xfId="17125" xr:uid="{00000000-0005-0000-0000-00002A690000}"/>
    <cellStyle name="Style 97 6 3" xfId="7277" xr:uid="{00000000-0005-0000-0000-00002B690000}"/>
    <cellStyle name="Style 97 6 3 2" xfId="7278" xr:uid="{00000000-0005-0000-0000-00002C690000}"/>
    <cellStyle name="Style 97 6 3 2 2" xfId="17106" xr:uid="{00000000-0005-0000-0000-00002D690000}"/>
    <cellStyle name="Style 97 6 3 3" xfId="7279" xr:uid="{00000000-0005-0000-0000-00002E690000}"/>
    <cellStyle name="Style 97 6 3 3 2" xfId="16841" xr:uid="{00000000-0005-0000-0000-00002F690000}"/>
    <cellStyle name="Style 97 6 3 4" xfId="16832" xr:uid="{00000000-0005-0000-0000-000030690000}"/>
    <cellStyle name="Style 97 6 4" xfId="7280" xr:uid="{00000000-0005-0000-0000-000031690000}"/>
    <cellStyle name="Style 97 6 4 2" xfId="7281" xr:uid="{00000000-0005-0000-0000-000032690000}"/>
    <cellStyle name="Style 97 6 4 2 2" xfId="16485" xr:uid="{00000000-0005-0000-0000-000033690000}"/>
    <cellStyle name="Style 97 6 4 3" xfId="16468" xr:uid="{00000000-0005-0000-0000-000034690000}"/>
    <cellStyle name="Style 97 6 5" xfId="7282" xr:uid="{00000000-0005-0000-0000-000035690000}"/>
    <cellStyle name="Style 97 6 5 2" xfId="17129" xr:uid="{00000000-0005-0000-0000-000036690000}"/>
    <cellStyle name="Style 97 6 6" xfId="16274" xr:uid="{00000000-0005-0000-0000-000037690000}"/>
    <cellStyle name="Style 97 7" xfId="7283" xr:uid="{00000000-0005-0000-0000-000038690000}"/>
    <cellStyle name="Style 97 7 2" xfId="7284" xr:uid="{00000000-0005-0000-0000-000039690000}"/>
    <cellStyle name="Style 97 7 2 2" xfId="16718" xr:uid="{00000000-0005-0000-0000-00003A690000}"/>
    <cellStyle name="Style 97 7 3" xfId="7285" xr:uid="{00000000-0005-0000-0000-00003B690000}"/>
    <cellStyle name="Style 97 7 3 2" xfId="16737" xr:uid="{00000000-0005-0000-0000-00003C690000}"/>
    <cellStyle name="Style 97 7 4" xfId="16500" xr:uid="{00000000-0005-0000-0000-00003D690000}"/>
    <cellStyle name="Style 97 8" xfId="7286" xr:uid="{00000000-0005-0000-0000-00003E690000}"/>
    <cellStyle name="Style 97 8 2" xfId="17020" xr:uid="{00000000-0005-0000-0000-00003F690000}"/>
    <cellStyle name="Style 97 8 3" xfId="16125" xr:uid="{00000000-0005-0000-0000-000040690000}"/>
    <cellStyle name="Style 97 8 4" xfId="16156" xr:uid="{00000000-0005-0000-0000-000041690000}"/>
    <cellStyle name="Style 97 9" xfId="7287" xr:uid="{00000000-0005-0000-0000-000042690000}"/>
    <cellStyle name="Style 97 9 2" xfId="17082" xr:uid="{00000000-0005-0000-0000-000043690000}"/>
    <cellStyle name="Style 97_ADDON" xfId="7288" xr:uid="{00000000-0005-0000-0000-000044690000}"/>
    <cellStyle name="Style 98" xfId="3917" xr:uid="{00000000-0005-0000-0000-000045690000}"/>
    <cellStyle name="Style 98 2" xfId="7289" xr:uid="{00000000-0005-0000-0000-000046690000}"/>
    <cellStyle name="Style 98 2 2" xfId="7290" xr:uid="{00000000-0005-0000-0000-000047690000}"/>
    <cellStyle name="Style 98 2 2 2" xfId="7291" xr:uid="{00000000-0005-0000-0000-000048690000}"/>
    <cellStyle name="Style 98 2 2 2 2" xfId="16861" xr:uid="{00000000-0005-0000-0000-000049690000}"/>
    <cellStyle name="Style 98 2 2 2 3" xfId="16918" xr:uid="{00000000-0005-0000-0000-00004A690000}"/>
    <cellStyle name="Style 98 2 2 3" xfId="7292" xr:uid="{00000000-0005-0000-0000-00004B690000}"/>
    <cellStyle name="Style 98 2 2 3 2" xfId="16751" xr:uid="{00000000-0005-0000-0000-00004C690000}"/>
    <cellStyle name="Style 98 2 2 4" xfId="16633" xr:uid="{00000000-0005-0000-0000-00004D690000}"/>
    <cellStyle name="Style 98 2 3" xfId="7293" xr:uid="{00000000-0005-0000-0000-00004E690000}"/>
    <cellStyle name="Style 98 2 3 2" xfId="16623" xr:uid="{00000000-0005-0000-0000-00004F690000}"/>
    <cellStyle name="Style 98 2 3 3" xfId="16774" xr:uid="{00000000-0005-0000-0000-000050690000}"/>
    <cellStyle name="Style 98 2 4" xfId="7294" xr:uid="{00000000-0005-0000-0000-000051690000}"/>
    <cellStyle name="Style 98 2 4 2" xfId="16155" xr:uid="{00000000-0005-0000-0000-000052690000}"/>
    <cellStyle name="Style 98 2 5" xfId="7295" xr:uid="{00000000-0005-0000-0000-000053690000}"/>
    <cellStyle name="Style 98 2 5 2" xfId="15530" xr:uid="{00000000-0005-0000-0000-000054690000}"/>
    <cellStyle name="Style 98 2 6" xfId="16456" xr:uid="{00000000-0005-0000-0000-000055690000}"/>
    <cellStyle name="Style 98 3" xfId="7296" xr:uid="{00000000-0005-0000-0000-000056690000}"/>
    <cellStyle name="Style 98 3 2" xfId="7297" xr:uid="{00000000-0005-0000-0000-000057690000}"/>
    <cellStyle name="Style 98 3 2 2" xfId="7298" xr:uid="{00000000-0005-0000-0000-000058690000}"/>
    <cellStyle name="Style 98 3 2 2 2" xfId="16892" xr:uid="{00000000-0005-0000-0000-000059690000}"/>
    <cellStyle name="Style 98 3 2 2 3" xfId="16168" xr:uid="{00000000-0005-0000-0000-00005A690000}"/>
    <cellStyle name="Style 98 3 2 3" xfId="7299" xr:uid="{00000000-0005-0000-0000-00005B690000}"/>
    <cellStyle name="Style 98 3 2 3 2" xfId="16130" xr:uid="{00000000-0005-0000-0000-00005C690000}"/>
    <cellStyle name="Style 98 3 2 4" xfId="16110" xr:uid="{00000000-0005-0000-0000-00005D690000}"/>
    <cellStyle name="Style 98 3 3" xfId="7300" xr:uid="{00000000-0005-0000-0000-00005E690000}"/>
    <cellStyle name="Style 98 3 3 2" xfId="7301" xr:uid="{00000000-0005-0000-0000-00005F690000}"/>
    <cellStyle name="Style 98 3 3 2 2" xfId="16277" xr:uid="{00000000-0005-0000-0000-000060690000}"/>
    <cellStyle name="Style 98 3 3 2 3" xfId="16586" xr:uid="{00000000-0005-0000-0000-000061690000}"/>
    <cellStyle name="Style 98 3 3 3" xfId="7302" xr:uid="{00000000-0005-0000-0000-000062690000}"/>
    <cellStyle name="Style 98 3 3 3 2" xfId="15561" xr:uid="{00000000-0005-0000-0000-000063690000}"/>
    <cellStyle name="Style 98 3 3 4" xfId="15511" xr:uid="{00000000-0005-0000-0000-000064690000}"/>
    <cellStyle name="Style 98 3 4" xfId="7303" xr:uid="{00000000-0005-0000-0000-000065690000}"/>
    <cellStyle name="Style 98 3 4 2" xfId="7304" xr:uid="{00000000-0005-0000-0000-000066690000}"/>
    <cellStyle name="Style 98 3 4 2 2" xfId="16760" xr:uid="{00000000-0005-0000-0000-000067690000}"/>
    <cellStyle name="Style 98 3 5" xfId="7305" xr:uid="{00000000-0005-0000-0000-000068690000}"/>
    <cellStyle name="Style 98 3 5 2" xfId="15575" xr:uid="{00000000-0005-0000-0000-000069690000}"/>
    <cellStyle name="Style 98 4" xfId="7306" xr:uid="{00000000-0005-0000-0000-00006A690000}"/>
    <cellStyle name="Style 98 4 2" xfId="7307" xr:uid="{00000000-0005-0000-0000-00006B690000}"/>
    <cellStyle name="Style 98 4 2 2" xfId="16563" xr:uid="{00000000-0005-0000-0000-00006C690000}"/>
    <cellStyle name="Style 98 4 2 3" xfId="16267" xr:uid="{00000000-0005-0000-0000-00006D690000}"/>
    <cellStyle name="Style 98 4 3" xfId="7308" xr:uid="{00000000-0005-0000-0000-00006E690000}"/>
    <cellStyle name="Style 98 4 3 2" xfId="16494" xr:uid="{00000000-0005-0000-0000-00006F690000}"/>
    <cellStyle name="Style 98 4 4" xfId="16154" xr:uid="{00000000-0005-0000-0000-000070690000}"/>
    <cellStyle name="Style 98 5" xfId="7309" xr:uid="{00000000-0005-0000-0000-000071690000}"/>
    <cellStyle name="Style 98 5 2" xfId="17127" xr:uid="{00000000-0005-0000-0000-000072690000}"/>
    <cellStyle name="Style 98 6" xfId="7310" xr:uid="{00000000-0005-0000-0000-000073690000}"/>
    <cellStyle name="Style 98 6 2" xfId="16953" xr:uid="{00000000-0005-0000-0000-000074690000}"/>
    <cellStyle name="Style 98 7" xfId="16853" xr:uid="{00000000-0005-0000-0000-000075690000}"/>
    <cellStyle name="Style 98 8" xfId="16643" xr:uid="{00000000-0005-0000-0000-000076690000}"/>
    <cellStyle name="Style 98_ADDON" xfId="7311" xr:uid="{00000000-0005-0000-0000-000077690000}"/>
    <cellStyle name="Style 99" xfId="3918" xr:uid="{00000000-0005-0000-0000-000078690000}"/>
    <cellStyle name="Style 99 2" xfId="7312" xr:uid="{00000000-0005-0000-0000-000079690000}"/>
    <cellStyle name="Style 99 2 2" xfId="7313" xr:uid="{00000000-0005-0000-0000-00007A690000}"/>
    <cellStyle name="Style 99 2 2 2" xfId="7314" xr:uid="{00000000-0005-0000-0000-00007B690000}"/>
    <cellStyle name="Style 99 2 2 2 2" xfId="15642" xr:uid="{00000000-0005-0000-0000-00007C690000}"/>
    <cellStyle name="Style 99 2 2 2 3" xfId="15643" xr:uid="{00000000-0005-0000-0000-00007D690000}"/>
    <cellStyle name="Style 99 2 2 3" xfId="7315" xr:uid="{00000000-0005-0000-0000-00007E690000}"/>
    <cellStyle name="Style 99 2 2 3 2" xfId="16347" xr:uid="{00000000-0005-0000-0000-00007F690000}"/>
    <cellStyle name="Style 99 2 2 4" xfId="15644" xr:uid="{00000000-0005-0000-0000-000080690000}"/>
    <cellStyle name="Style 99 2 3" xfId="7316" xr:uid="{00000000-0005-0000-0000-000081690000}"/>
    <cellStyle name="Style 99 2 3 2" xfId="16467" xr:uid="{00000000-0005-0000-0000-000082690000}"/>
    <cellStyle name="Style 99 2 3 3" xfId="16828" xr:uid="{00000000-0005-0000-0000-000083690000}"/>
    <cellStyle name="Style 99 2 4" xfId="7317" xr:uid="{00000000-0005-0000-0000-000084690000}"/>
    <cellStyle name="Style 99 2 4 2" xfId="16153" xr:uid="{00000000-0005-0000-0000-000085690000}"/>
    <cellStyle name="Style 99 2 5" xfId="7318" xr:uid="{00000000-0005-0000-0000-000086690000}"/>
    <cellStyle name="Style 99 2 5 2" xfId="16575" xr:uid="{00000000-0005-0000-0000-000087690000}"/>
    <cellStyle name="Style 99 2 6" xfId="16312" xr:uid="{00000000-0005-0000-0000-000088690000}"/>
    <cellStyle name="Style 99 3" xfId="7319" xr:uid="{00000000-0005-0000-0000-000089690000}"/>
    <cellStyle name="Style 99 3 2" xfId="7320" xr:uid="{00000000-0005-0000-0000-00008A690000}"/>
    <cellStyle name="Style 99 3 2 2" xfId="7321" xr:uid="{00000000-0005-0000-0000-00008B690000}"/>
    <cellStyle name="Style 99 3 2 2 2" xfId="15564" xr:uid="{00000000-0005-0000-0000-00008C690000}"/>
    <cellStyle name="Style 99 3 2 2 3" xfId="17109" xr:uid="{00000000-0005-0000-0000-00008D690000}"/>
    <cellStyle name="Style 99 3 2 3" xfId="7322" xr:uid="{00000000-0005-0000-0000-00008E690000}"/>
    <cellStyle name="Style 99 3 2 3 2" xfId="15549" xr:uid="{00000000-0005-0000-0000-00008F690000}"/>
    <cellStyle name="Style 99 3 2 4" xfId="16379" xr:uid="{00000000-0005-0000-0000-000090690000}"/>
    <cellStyle name="Style 99 3 3" xfId="7323" xr:uid="{00000000-0005-0000-0000-000091690000}"/>
    <cellStyle name="Style 99 3 3 2" xfId="7324" xr:uid="{00000000-0005-0000-0000-000092690000}"/>
    <cellStyle name="Style 99 3 3 2 2" xfId="15641" xr:uid="{00000000-0005-0000-0000-000093690000}"/>
    <cellStyle name="Style 99 3 3 2 3" xfId="15590" xr:uid="{00000000-0005-0000-0000-000094690000}"/>
    <cellStyle name="Style 99 3 3 3" xfId="7325" xr:uid="{00000000-0005-0000-0000-000095690000}"/>
    <cellStyle name="Style 99 3 3 3 2" xfId="16955" xr:uid="{00000000-0005-0000-0000-000096690000}"/>
    <cellStyle name="Style 99 3 3 4" xfId="17118" xr:uid="{00000000-0005-0000-0000-000097690000}"/>
    <cellStyle name="Style 99 3 4" xfId="7326" xr:uid="{00000000-0005-0000-0000-000098690000}"/>
    <cellStyle name="Style 99 3 4 2" xfId="7327" xr:uid="{00000000-0005-0000-0000-000099690000}"/>
    <cellStyle name="Style 99 3 4 2 2" xfId="16682" xr:uid="{00000000-0005-0000-0000-00009A690000}"/>
    <cellStyle name="Style 99 3 5" xfId="7328" xr:uid="{00000000-0005-0000-0000-00009B690000}"/>
    <cellStyle name="Style 99 3 5 2" xfId="17000" xr:uid="{00000000-0005-0000-0000-00009C690000}"/>
    <cellStyle name="Style 99 4" xfId="7329" xr:uid="{00000000-0005-0000-0000-00009D690000}"/>
    <cellStyle name="Style 99 4 2" xfId="7330" xr:uid="{00000000-0005-0000-0000-00009E690000}"/>
    <cellStyle name="Style 99 4 2 2" xfId="16777" xr:uid="{00000000-0005-0000-0000-00009F690000}"/>
    <cellStyle name="Style 99 4 2 3" xfId="17042" xr:uid="{00000000-0005-0000-0000-0000A0690000}"/>
    <cellStyle name="Style 99 4 3" xfId="7331" xr:uid="{00000000-0005-0000-0000-0000A1690000}"/>
    <cellStyle name="Style 99 4 3 2" xfId="16506" xr:uid="{00000000-0005-0000-0000-0000A2690000}"/>
    <cellStyle name="Style 99 4 4" xfId="16407" xr:uid="{00000000-0005-0000-0000-0000A3690000}"/>
    <cellStyle name="Style 99 5" xfId="7332" xr:uid="{00000000-0005-0000-0000-0000A4690000}"/>
    <cellStyle name="Style 99 5 2" xfId="16776" xr:uid="{00000000-0005-0000-0000-0000A5690000}"/>
    <cellStyle name="Style 99 6" xfId="7333" xr:uid="{00000000-0005-0000-0000-0000A6690000}"/>
    <cellStyle name="Style 99 6 2" xfId="17077" xr:uid="{00000000-0005-0000-0000-0000A7690000}"/>
    <cellStyle name="Style 99 7" xfId="16729" xr:uid="{00000000-0005-0000-0000-0000A8690000}"/>
    <cellStyle name="Style 99 8" xfId="16115" xr:uid="{00000000-0005-0000-0000-0000A9690000}"/>
    <cellStyle name="Style 99_ADDON" xfId="7334" xr:uid="{00000000-0005-0000-0000-0000AA690000}"/>
    <cellStyle name="Texte explicatif" xfId="7335" xr:uid="{00000000-0005-0000-0000-0000AB690000}"/>
    <cellStyle name="Texte explicatif 2" xfId="17034" xr:uid="{00000000-0005-0000-0000-0000AC690000}"/>
    <cellStyle name="Title 10" xfId="3621" xr:uid="{00000000-0005-0000-0000-0000AD690000}"/>
    <cellStyle name="Title 11" xfId="3622" xr:uid="{00000000-0005-0000-0000-0000AE690000}"/>
    <cellStyle name="Title 12" xfId="3623" xr:uid="{00000000-0005-0000-0000-0000AF690000}"/>
    <cellStyle name="Title 13" xfId="3624" xr:uid="{00000000-0005-0000-0000-0000B0690000}"/>
    <cellStyle name="Title 14" xfId="3625" xr:uid="{00000000-0005-0000-0000-0000B1690000}"/>
    <cellStyle name="Title 15" xfId="3626" xr:uid="{00000000-0005-0000-0000-0000B2690000}"/>
    <cellStyle name="Title 16" xfId="3627" xr:uid="{00000000-0005-0000-0000-0000B3690000}"/>
    <cellStyle name="Title 17" xfId="3628" xr:uid="{00000000-0005-0000-0000-0000B4690000}"/>
    <cellStyle name="Title 18" xfId="3629" xr:uid="{00000000-0005-0000-0000-0000B5690000}"/>
    <cellStyle name="Title 19" xfId="3630" xr:uid="{00000000-0005-0000-0000-0000B6690000}"/>
    <cellStyle name="Title 2" xfId="3631" xr:uid="{00000000-0005-0000-0000-0000B7690000}"/>
    <cellStyle name="Title 2 10" xfId="3632" xr:uid="{00000000-0005-0000-0000-0000B8690000}"/>
    <cellStyle name="Title 2 11" xfId="3633" xr:uid="{00000000-0005-0000-0000-0000B9690000}"/>
    <cellStyle name="Title 2 12" xfId="3634" xr:uid="{00000000-0005-0000-0000-0000BA690000}"/>
    <cellStyle name="Title 2 13" xfId="3635" xr:uid="{00000000-0005-0000-0000-0000BB690000}"/>
    <cellStyle name="Title 2 14" xfId="3636" xr:uid="{00000000-0005-0000-0000-0000BC690000}"/>
    <cellStyle name="Title 2 15" xfId="3637" xr:uid="{00000000-0005-0000-0000-0000BD690000}"/>
    <cellStyle name="Title 2 16" xfId="3638" xr:uid="{00000000-0005-0000-0000-0000BE690000}"/>
    <cellStyle name="Title 2 2" xfId="3639" xr:uid="{00000000-0005-0000-0000-0000BF690000}"/>
    <cellStyle name="Title 2 2 2" xfId="3640" xr:uid="{00000000-0005-0000-0000-0000C0690000}"/>
    <cellStyle name="Title 2 2 3" xfId="3641" xr:uid="{00000000-0005-0000-0000-0000C1690000}"/>
    <cellStyle name="Title 2 2 4" xfId="3642" xr:uid="{00000000-0005-0000-0000-0000C2690000}"/>
    <cellStyle name="Title 2 2 5" xfId="3643" xr:uid="{00000000-0005-0000-0000-0000C3690000}"/>
    <cellStyle name="Title 2 2 6" xfId="15540" xr:uid="{00000000-0005-0000-0000-0000C4690000}"/>
    <cellStyle name="Title 2 3" xfId="3644" xr:uid="{00000000-0005-0000-0000-0000C5690000}"/>
    <cellStyle name="Title 2 4" xfId="3645" xr:uid="{00000000-0005-0000-0000-0000C6690000}"/>
    <cellStyle name="Title 2 5" xfId="3646" xr:uid="{00000000-0005-0000-0000-0000C7690000}"/>
    <cellStyle name="Title 2 6" xfId="3647" xr:uid="{00000000-0005-0000-0000-0000C8690000}"/>
    <cellStyle name="Title 2 7" xfId="3648" xr:uid="{00000000-0005-0000-0000-0000C9690000}"/>
    <cellStyle name="Title 2 8" xfId="3649" xr:uid="{00000000-0005-0000-0000-0000CA690000}"/>
    <cellStyle name="Title 2 9" xfId="3650" xr:uid="{00000000-0005-0000-0000-0000CB690000}"/>
    <cellStyle name="Title 20" xfId="3651" xr:uid="{00000000-0005-0000-0000-0000CC690000}"/>
    <cellStyle name="Title 21" xfId="3652" xr:uid="{00000000-0005-0000-0000-0000CD690000}"/>
    <cellStyle name="Title 22" xfId="3653" xr:uid="{00000000-0005-0000-0000-0000CE690000}"/>
    <cellStyle name="Title 3" xfId="3654" xr:uid="{00000000-0005-0000-0000-0000CF690000}"/>
    <cellStyle name="Title 3 2" xfId="3655" xr:uid="{00000000-0005-0000-0000-0000D0690000}"/>
    <cellStyle name="Title 3 3" xfId="3656" xr:uid="{00000000-0005-0000-0000-0000D1690000}"/>
    <cellStyle name="Title 3 4" xfId="3657" xr:uid="{00000000-0005-0000-0000-0000D2690000}"/>
    <cellStyle name="Title 3 5" xfId="3658" xr:uid="{00000000-0005-0000-0000-0000D3690000}"/>
    <cellStyle name="Title 3 6" xfId="3659" xr:uid="{00000000-0005-0000-0000-0000D4690000}"/>
    <cellStyle name="Title 4" xfId="3660" xr:uid="{00000000-0005-0000-0000-0000D5690000}"/>
    <cellStyle name="Title 4 2" xfId="3661" xr:uid="{00000000-0005-0000-0000-0000D6690000}"/>
    <cellStyle name="Title 5" xfId="3662" xr:uid="{00000000-0005-0000-0000-0000D7690000}"/>
    <cellStyle name="Title 5 2" xfId="3663" xr:uid="{00000000-0005-0000-0000-0000D8690000}"/>
    <cellStyle name="Title 6" xfId="3664" xr:uid="{00000000-0005-0000-0000-0000D9690000}"/>
    <cellStyle name="Title 7" xfId="3665" xr:uid="{00000000-0005-0000-0000-0000DA690000}"/>
    <cellStyle name="Title 8" xfId="3666" xr:uid="{00000000-0005-0000-0000-0000DB690000}"/>
    <cellStyle name="Title 9" xfId="3667" xr:uid="{00000000-0005-0000-0000-0000DC690000}"/>
    <cellStyle name="Titre" xfId="7336" xr:uid="{00000000-0005-0000-0000-0000DD690000}"/>
    <cellStyle name="Titre 2" xfId="17071" xr:uid="{00000000-0005-0000-0000-0000DE690000}"/>
    <cellStyle name="Titre 1" xfId="7337" xr:uid="{00000000-0005-0000-0000-0000DF690000}"/>
    <cellStyle name="Titre 1 2" xfId="16276" xr:uid="{00000000-0005-0000-0000-0000E0690000}"/>
    <cellStyle name="Titre 2" xfId="7338" xr:uid="{00000000-0005-0000-0000-0000E1690000}"/>
    <cellStyle name="Titre 2 2" xfId="16647" xr:uid="{00000000-0005-0000-0000-0000E2690000}"/>
    <cellStyle name="Titre 3" xfId="7339" xr:uid="{00000000-0005-0000-0000-0000E3690000}"/>
    <cellStyle name="Titre 3 2" xfId="15531" xr:uid="{00000000-0005-0000-0000-0000E4690000}"/>
    <cellStyle name="Titre 4" xfId="7340" xr:uid="{00000000-0005-0000-0000-0000E5690000}"/>
    <cellStyle name="Titre 4 2" xfId="16732" xr:uid="{00000000-0005-0000-0000-0000E6690000}"/>
    <cellStyle name="To_Financials" xfId="3668" xr:uid="{00000000-0005-0000-0000-0000E7690000}"/>
    <cellStyle name="Total 10" xfId="3669" xr:uid="{00000000-0005-0000-0000-0000E8690000}"/>
    <cellStyle name="Total 11" xfId="3670" xr:uid="{00000000-0005-0000-0000-0000E9690000}"/>
    <cellStyle name="Total 12" xfId="3671" xr:uid="{00000000-0005-0000-0000-0000EA690000}"/>
    <cellStyle name="Total 13" xfId="3672" xr:uid="{00000000-0005-0000-0000-0000EB690000}"/>
    <cellStyle name="Total 14" xfId="3673" xr:uid="{00000000-0005-0000-0000-0000EC690000}"/>
    <cellStyle name="Total 15" xfId="3674" xr:uid="{00000000-0005-0000-0000-0000ED690000}"/>
    <cellStyle name="Total 16" xfId="3675" xr:uid="{00000000-0005-0000-0000-0000EE690000}"/>
    <cellStyle name="Total 17" xfId="3676" xr:uid="{00000000-0005-0000-0000-0000EF690000}"/>
    <cellStyle name="Total 18" xfId="3677" xr:uid="{00000000-0005-0000-0000-0000F0690000}"/>
    <cellStyle name="Total 19" xfId="3678" xr:uid="{00000000-0005-0000-0000-0000F1690000}"/>
    <cellStyle name="Total 2" xfId="3679" xr:uid="{00000000-0005-0000-0000-0000F2690000}"/>
    <cellStyle name="Total 2 10" xfId="3680" xr:uid="{00000000-0005-0000-0000-0000F3690000}"/>
    <cellStyle name="Total 2 11" xfId="3681" xr:uid="{00000000-0005-0000-0000-0000F4690000}"/>
    <cellStyle name="Total 2 12" xfId="3682" xr:uid="{00000000-0005-0000-0000-0000F5690000}"/>
    <cellStyle name="Total 2 13" xfId="3683" xr:uid="{00000000-0005-0000-0000-0000F6690000}"/>
    <cellStyle name="Total 2 14" xfId="3684" xr:uid="{00000000-0005-0000-0000-0000F7690000}"/>
    <cellStyle name="Total 2 15" xfId="3685" xr:uid="{00000000-0005-0000-0000-0000F8690000}"/>
    <cellStyle name="Total 2 16" xfId="3686" xr:uid="{00000000-0005-0000-0000-0000F9690000}"/>
    <cellStyle name="Total 2 17" xfId="3687" xr:uid="{00000000-0005-0000-0000-0000FA690000}"/>
    <cellStyle name="Total 2 18" xfId="3688" xr:uid="{00000000-0005-0000-0000-0000FB690000}"/>
    <cellStyle name="Total 2 2" xfId="3689" xr:uid="{00000000-0005-0000-0000-0000FC690000}"/>
    <cellStyle name="Total 2 2 2" xfId="3690" xr:uid="{00000000-0005-0000-0000-0000FD690000}"/>
    <cellStyle name="Total 2 2 3" xfId="3691" xr:uid="{00000000-0005-0000-0000-0000FE690000}"/>
    <cellStyle name="Total 2 2 4" xfId="3692" xr:uid="{00000000-0005-0000-0000-0000FF690000}"/>
    <cellStyle name="Total 2 2 5" xfId="3693" xr:uid="{00000000-0005-0000-0000-0000006A0000}"/>
    <cellStyle name="Total 2 2 6" xfId="16199" xr:uid="{00000000-0005-0000-0000-0000016A0000}"/>
    <cellStyle name="Total 2 3" xfId="3694" xr:uid="{00000000-0005-0000-0000-0000026A0000}"/>
    <cellStyle name="Total 2 4" xfId="3695" xr:uid="{00000000-0005-0000-0000-0000036A0000}"/>
    <cellStyle name="Total 2 5" xfId="3696" xr:uid="{00000000-0005-0000-0000-0000046A0000}"/>
    <cellStyle name="Total 2 6" xfId="3697" xr:uid="{00000000-0005-0000-0000-0000056A0000}"/>
    <cellStyle name="Total 2 7" xfId="3698" xr:uid="{00000000-0005-0000-0000-0000066A0000}"/>
    <cellStyle name="Total 2 8" xfId="3699" xr:uid="{00000000-0005-0000-0000-0000076A0000}"/>
    <cellStyle name="Total 2 9" xfId="3700" xr:uid="{00000000-0005-0000-0000-0000086A0000}"/>
    <cellStyle name="Total 20" xfId="3701" xr:uid="{00000000-0005-0000-0000-0000096A0000}"/>
    <cellStyle name="Total 21" xfId="3702" xr:uid="{00000000-0005-0000-0000-00000A6A0000}"/>
    <cellStyle name="Total 22" xfId="3703" xr:uid="{00000000-0005-0000-0000-00000B6A0000}"/>
    <cellStyle name="Total 23" xfId="3704" xr:uid="{00000000-0005-0000-0000-00000C6A0000}"/>
    <cellStyle name="Total 24" xfId="3705" xr:uid="{00000000-0005-0000-0000-00000D6A0000}"/>
    <cellStyle name="Total 3" xfId="3706" xr:uid="{00000000-0005-0000-0000-00000E6A0000}"/>
    <cellStyle name="Total 3 2" xfId="3707" xr:uid="{00000000-0005-0000-0000-00000F6A0000}"/>
    <cellStyle name="Total 3 3" xfId="3708" xr:uid="{00000000-0005-0000-0000-0000106A0000}"/>
    <cellStyle name="Total 3 4" xfId="3709" xr:uid="{00000000-0005-0000-0000-0000116A0000}"/>
    <cellStyle name="Total 3 5" xfId="3710" xr:uid="{00000000-0005-0000-0000-0000126A0000}"/>
    <cellStyle name="Total 3 6" xfId="3711" xr:uid="{00000000-0005-0000-0000-0000136A0000}"/>
    <cellStyle name="Total 3 7" xfId="3712" xr:uid="{00000000-0005-0000-0000-0000146A0000}"/>
    <cellStyle name="Total 4" xfId="3713" xr:uid="{00000000-0005-0000-0000-0000156A0000}"/>
    <cellStyle name="Total 4 2" xfId="3714" xr:uid="{00000000-0005-0000-0000-0000166A0000}"/>
    <cellStyle name="Total 5" xfId="3715" xr:uid="{00000000-0005-0000-0000-0000176A0000}"/>
    <cellStyle name="Total 5 2" xfId="3716" xr:uid="{00000000-0005-0000-0000-0000186A0000}"/>
    <cellStyle name="Total 6" xfId="3717" xr:uid="{00000000-0005-0000-0000-0000196A0000}"/>
    <cellStyle name="Total 7" xfId="3718" xr:uid="{00000000-0005-0000-0000-00001A6A0000}"/>
    <cellStyle name="Total 8" xfId="3719" xr:uid="{00000000-0005-0000-0000-00001B6A0000}"/>
    <cellStyle name="Total 9" xfId="3720" xr:uid="{00000000-0005-0000-0000-00001C6A0000}"/>
    <cellStyle name="Überschrift" xfId="3919" xr:uid="{00000000-0005-0000-0000-00001D6A0000}"/>
    <cellStyle name="Überschrift 1" xfId="3920" xr:uid="{00000000-0005-0000-0000-00001E6A0000}"/>
    <cellStyle name="Überschrift 1 2" xfId="15824" xr:uid="{00000000-0005-0000-0000-00001F6A0000}"/>
    <cellStyle name="Überschrift 2" xfId="3921" xr:uid="{00000000-0005-0000-0000-0000206A0000}"/>
    <cellStyle name="Überschrift 2 2" xfId="17128" xr:uid="{00000000-0005-0000-0000-0000216A0000}"/>
    <cellStyle name="Überschrift 3" xfId="3922" xr:uid="{00000000-0005-0000-0000-0000226A0000}"/>
    <cellStyle name="Überschrift 3 2" xfId="16860" xr:uid="{00000000-0005-0000-0000-0000236A0000}"/>
    <cellStyle name="Überschrift 4" xfId="3923" xr:uid="{00000000-0005-0000-0000-0000246A0000}"/>
    <cellStyle name="Überschrift 4 2" xfId="16585" xr:uid="{00000000-0005-0000-0000-0000256A0000}"/>
    <cellStyle name="Überschrift 5" xfId="16223" xr:uid="{00000000-0005-0000-0000-0000266A0000}"/>
    <cellStyle name="Überschrift_Energy cost" xfId="7341" xr:uid="{00000000-0005-0000-0000-0000276A0000}"/>
    <cellStyle name="Vérification" xfId="7342" xr:uid="{00000000-0005-0000-0000-0000286A0000}"/>
    <cellStyle name="Vérification 2" xfId="16311" xr:uid="{00000000-0005-0000-0000-0000296A0000}"/>
    <cellStyle name="Verknüpfte Zelle" xfId="3924" xr:uid="{00000000-0005-0000-0000-00002A6A0000}"/>
    <cellStyle name="Verknüpfte Zelle 2" xfId="16932" xr:uid="{00000000-0005-0000-0000-00002B6A0000}"/>
    <cellStyle name="Warnender Text" xfId="3925" xr:uid="{00000000-0005-0000-0000-00002C6A0000}"/>
    <cellStyle name="Warnender Text 2" xfId="16488" xr:uid="{00000000-0005-0000-0000-00002D6A0000}"/>
    <cellStyle name="Warning Text 10" xfId="3721" xr:uid="{00000000-0005-0000-0000-00002E6A0000}"/>
    <cellStyle name="Warning Text 11" xfId="3722" xr:uid="{00000000-0005-0000-0000-00002F6A0000}"/>
    <cellStyle name="Warning Text 12" xfId="3723" xr:uid="{00000000-0005-0000-0000-0000306A0000}"/>
    <cellStyle name="Warning Text 13" xfId="3724" xr:uid="{00000000-0005-0000-0000-0000316A0000}"/>
    <cellStyle name="Warning Text 2" xfId="3725" xr:uid="{00000000-0005-0000-0000-0000326A0000}"/>
    <cellStyle name="Warning Text 2 10" xfId="3726" xr:uid="{00000000-0005-0000-0000-0000336A0000}"/>
    <cellStyle name="Warning Text 2 11" xfId="3727" xr:uid="{00000000-0005-0000-0000-0000346A0000}"/>
    <cellStyle name="Warning Text 2 12" xfId="3728" xr:uid="{00000000-0005-0000-0000-0000356A0000}"/>
    <cellStyle name="Warning Text 2 13" xfId="3729" xr:uid="{00000000-0005-0000-0000-0000366A0000}"/>
    <cellStyle name="Warning Text 2 14" xfId="3730" xr:uid="{00000000-0005-0000-0000-0000376A0000}"/>
    <cellStyle name="Warning Text 2 15" xfId="3731" xr:uid="{00000000-0005-0000-0000-0000386A0000}"/>
    <cellStyle name="Warning Text 2 16" xfId="3732" xr:uid="{00000000-0005-0000-0000-0000396A0000}"/>
    <cellStyle name="Warning Text 2 2" xfId="3733" xr:uid="{00000000-0005-0000-0000-00003A6A0000}"/>
    <cellStyle name="Warning Text 2 2 2" xfId="3734" xr:uid="{00000000-0005-0000-0000-00003B6A0000}"/>
    <cellStyle name="Warning Text 2 2 3" xfId="3735" xr:uid="{00000000-0005-0000-0000-00003C6A0000}"/>
    <cellStyle name="Warning Text 2 2 4" xfId="3736" xr:uid="{00000000-0005-0000-0000-00003D6A0000}"/>
    <cellStyle name="Warning Text 2 2 5" xfId="3737" xr:uid="{00000000-0005-0000-0000-00003E6A0000}"/>
    <cellStyle name="Warning Text 2 2 6" xfId="16120" xr:uid="{00000000-0005-0000-0000-00003F6A0000}"/>
    <cellStyle name="Warning Text 2 3" xfId="3738" xr:uid="{00000000-0005-0000-0000-0000406A0000}"/>
    <cellStyle name="Warning Text 2 4" xfId="3739" xr:uid="{00000000-0005-0000-0000-0000416A0000}"/>
    <cellStyle name="Warning Text 2 5" xfId="3740" xr:uid="{00000000-0005-0000-0000-0000426A0000}"/>
    <cellStyle name="Warning Text 2 6" xfId="3741" xr:uid="{00000000-0005-0000-0000-0000436A0000}"/>
    <cellStyle name="Warning Text 2 7" xfId="3742" xr:uid="{00000000-0005-0000-0000-0000446A0000}"/>
    <cellStyle name="Warning Text 2 8" xfId="3743" xr:uid="{00000000-0005-0000-0000-0000456A0000}"/>
    <cellStyle name="Warning Text 2 9" xfId="3744" xr:uid="{00000000-0005-0000-0000-0000466A0000}"/>
    <cellStyle name="Warning Text 3" xfId="3745" xr:uid="{00000000-0005-0000-0000-0000476A0000}"/>
    <cellStyle name="Warning Text 3 10" xfId="3746" xr:uid="{00000000-0005-0000-0000-0000486A0000}"/>
    <cellStyle name="Warning Text 3 2" xfId="3747" xr:uid="{00000000-0005-0000-0000-0000496A0000}"/>
    <cellStyle name="Warning Text 3 2 2" xfId="3748" xr:uid="{00000000-0005-0000-0000-00004A6A0000}"/>
    <cellStyle name="Warning Text 3 2 3" xfId="3749" xr:uid="{00000000-0005-0000-0000-00004B6A0000}"/>
    <cellStyle name="Warning Text 3 2 4" xfId="3750" xr:uid="{00000000-0005-0000-0000-00004C6A0000}"/>
    <cellStyle name="Warning Text 3 2 5" xfId="3751" xr:uid="{00000000-0005-0000-0000-00004D6A0000}"/>
    <cellStyle name="Warning Text 3 3" xfId="3752" xr:uid="{00000000-0005-0000-0000-00004E6A0000}"/>
    <cellStyle name="Warning Text 3 4" xfId="3753" xr:uid="{00000000-0005-0000-0000-00004F6A0000}"/>
    <cellStyle name="Warning Text 3 5" xfId="3754" xr:uid="{00000000-0005-0000-0000-0000506A0000}"/>
    <cellStyle name="Warning Text 3 6" xfId="3755" xr:uid="{00000000-0005-0000-0000-0000516A0000}"/>
    <cellStyle name="Warning Text 3 7" xfId="3756" xr:uid="{00000000-0005-0000-0000-0000526A0000}"/>
    <cellStyle name="Warning Text 3 8" xfId="3757" xr:uid="{00000000-0005-0000-0000-0000536A0000}"/>
    <cellStyle name="Warning Text 3 9" xfId="3758" xr:uid="{00000000-0005-0000-0000-0000546A0000}"/>
    <cellStyle name="Warning Text 4" xfId="3759" xr:uid="{00000000-0005-0000-0000-0000556A0000}"/>
    <cellStyle name="Warning Text 4 2" xfId="3760" xr:uid="{00000000-0005-0000-0000-0000566A0000}"/>
    <cellStyle name="Warning Text 4 3" xfId="3761" xr:uid="{00000000-0005-0000-0000-0000576A0000}"/>
    <cellStyle name="Warning Text 4 4" xfId="3762" xr:uid="{00000000-0005-0000-0000-0000586A0000}"/>
    <cellStyle name="Warning Text 4 5" xfId="3763" xr:uid="{00000000-0005-0000-0000-0000596A0000}"/>
    <cellStyle name="Warning Text 4 6" xfId="3764" xr:uid="{00000000-0005-0000-0000-00005A6A0000}"/>
    <cellStyle name="Warning Text 4 7" xfId="3765" xr:uid="{00000000-0005-0000-0000-00005B6A0000}"/>
    <cellStyle name="Warning Text 5" xfId="3766" xr:uid="{00000000-0005-0000-0000-00005C6A0000}"/>
    <cellStyle name="Warning Text 5 2" xfId="3767" xr:uid="{00000000-0005-0000-0000-00005D6A0000}"/>
    <cellStyle name="Warning Text 6" xfId="3768" xr:uid="{00000000-0005-0000-0000-00005E6A0000}"/>
    <cellStyle name="Warning Text 7" xfId="3769" xr:uid="{00000000-0005-0000-0000-00005F6A0000}"/>
    <cellStyle name="Warning Text 8" xfId="3770" xr:uid="{00000000-0005-0000-0000-0000606A0000}"/>
    <cellStyle name="Warning Text 9" xfId="3771" xr:uid="{00000000-0005-0000-0000-0000616A0000}"/>
    <cellStyle name="xHeading" xfId="3772" xr:uid="{00000000-0005-0000-0000-0000626A0000}"/>
    <cellStyle name="xHeading 2" xfId="3773" xr:uid="{00000000-0005-0000-0000-0000636A0000}"/>
    <cellStyle name="xHeading 3" xfId="3774" xr:uid="{00000000-0005-0000-0000-0000646A0000}"/>
    <cellStyle name="xHeadingCen" xfId="3775" xr:uid="{00000000-0005-0000-0000-0000656A0000}"/>
    <cellStyle name="xHeadingCen 2" xfId="3776" xr:uid="{00000000-0005-0000-0000-0000666A0000}"/>
    <cellStyle name="xHeadingCen 3" xfId="3777" xr:uid="{00000000-0005-0000-0000-0000676A0000}"/>
    <cellStyle name="xHeadingVer" xfId="3778" xr:uid="{00000000-0005-0000-0000-0000686A0000}"/>
    <cellStyle name="xHeadingVer 2" xfId="3779" xr:uid="{00000000-0005-0000-0000-0000696A0000}"/>
    <cellStyle name="xHeadingVer 3" xfId="3780" xr:uid="{00000000-0005-0000-0000-00006A6A0000}"/>
    <cellStyle name="xRangeName" xfId="3781" xr:uid="{00000000-0005-0000-0000-00006B6A0000}"/>
    <cellStyle name="xTitle" xfId="3782" xr:uid="{00000000-0005-0000-0000-00006C6A0000}"/>
    <cellStyle name="xTitle B&amp;W" xfId="3783" xr:uid="{00000000-0005-0000-0000-00006D6A0000}"/>
    <cellStyle name="xTitle Colour" xfId="3784" xr:uid="{00000000-0005-0000-0000-00006E6A0000}"/>
    <cellStyle name="xTitle_Attrition Rate Scorecard - October 2008" xfId="3785" xr:uid="{00000000-0005-0000-0000-00006F6A0000}"/>
    <cellStyle name="Year" xfId="3786" xr:uid="{00000000-0005-0000-0000-0000706A0000}"/>
    <cellStyle name="Year 2" xfId="3787" xr:uid="{00000000-0005-0000-0000-0000716A0000}"/>
    <cellStyle name="Year 3" xfId="3788" xr:uid="{00000000-0005-0000-0000-0000726A0000}"/>
    <cellStyle name="Zelle überprüfen" xfId="3926" xr:uid="{00000000-0005-0000-0000-0000736A0000}"/>
    <cellStyle name="Zelle überprüfen 2" xfId="16381" xr:uid="{00000000-0005-0000-0000-0000746A0000}"/>
    <cellStyle name="Обычный_CRF2002 (1)" xfId="7343" xr:uid="{00000000-0005-0000-0000-0000756A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01\DATA3\Research%20Monitoring%20&amp;%20Technical%20Info%20(RT)\01%20Monitoring\01%20Programme%20Performance\02%20International%20Reporting\02%20IEA\2001_Energy%20Efficiency%20Template\IEA_Queries\NZ_NEW_Updated_F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Energy%20Information/Data/Energy%20Balances/balance%20table%20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eca.cohesion.net.nz/R&amp;N/Networks/Energy%20Information%20&amp;%20Modelling/Energy%20Information/Data/Electricity/Cap_Gen%20(MYE%20&amp;%20DYE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suleimenov_b/switchdrive/TIMES_NZ_II/EECA_BEC_PSI%20PHASE%202/DEMAND%20SECTORS/DEMAND%20TECHNOLOGIES/RESIDENTIAL%20BUILDINGS/RES_TIMES_input.xlsx" TargetMode="External"/><Relationship Id="rId1" Type="http://schemas.openxmlformats.org/officeDocument/2006/relationships/externalLinkPath" Target="/Users/suleimenov_b/switchdrive/TIMES_NZ_II/EECA_BEC_PSI%20PHASE%202/DEMAND%20SECTORS/DEMAND%20TECHNOLOGIES/RESIDENTIAL%20BUILDINGS/RES_TI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MACRO ECONOMIC DATA"/>
      <sheetName val="COMMODITIES"/>
      <sheetName val="INDUSTRY"/>
      <sheetName val="SERVICES"/>
      <sheetName val="RESIDENTIAL"/>
      <sheetName val="TRANSPORT"/>
      <sheetName val="ELECTRICITY GENERATION"/>
      <sheetName val="BASIC INDICATORS"/>
      <sheetName val="USER REMARKS"/>
      <sheetName val="DATA COVERAGE"/>
      <sheetName val="GRAPHS"/>
      <sheetName val="MULTILINE GRAPHS"/>
      <sheetName val="CHECKS"/>
      <sheetName val="indicators data"/>
    </sheetNames>
    <sheetDataSet>
      <sheetData sheetId="0" refreshError="1"/>
      <sheetData sheetId="1" refreshError="1">
        <row r="4">
          <cell r="E4">
            <v>3.3730000000000002</v>
          </cell>
        </row>
        <row r="133">
          <cell r="D133">
            <v>2009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  <row r="90">
          <cell r="A90">
            <v>40148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I"/>
      <sheetName val="VT_NI"/>
      <sheetName val="SI"/>
      <sheetName val="VT_SI"/>
      <sheetName val="Future Technologies"/>
      <sheetName val="OTH_RES"/>
    </sheetNames>
    <sheetDataSet>
      <sheetData sheetId="0"/>
      <sheetData sheetId="1"/>
      <sheetData sheetId="2">
        <row r="2">
          <cell r="A2" t="str">
            <v>Detached dwellings</v>
          </cell>
          <cell r="C2" t="str">
            <v>Heat/Cooling Devices</v>
          </cell>
          <cell r="D2" t="str">
            <v>Burner (Direct Heat)</v>
          </cell>
          <cell r="J2" t="str">
            <v>R_DDW-SH_Burner-WOD00</v>
          </cell>
          <cell r="K2" t="str">
            <v>RESWOD</v>
          </cell>
          <cell r="L2" t="str">
            <v>R_DDW-SH</v>
          </cell>
          <cell r="O2">
            <v>0.6</v>
          </cell>
          <cell r="P2">
            <v>20</v>
          </cell>
          <cell r="Q2">
            <v>8.2100000000000006E-2</v>
          </cell>
        </row>
        <row r="3">
          <cell r="A3" t="str">
            <v>Detached dwellings</v>
          </cell>
          <cell r="C3" t="str">
            <v>Heat/Cooling Devices</v>
          </cell>
          <cell r="D3" t="str">
            <v>Burner (Direct Heat)</v>
          </cell>
          <cell r="J3" t="str">
            <v>R_DDW-SH_Burner-LPG00</v>
          </cell>
          <cell r="K3" t="str">
            <v>RESLPG</v>
          </cell>
          <cell r="L3" t="str">
            <v>R_DDW-SH</v>
          </cell>
          <cell r="O3">
            <v>0.8</v>
          </cell>
          <cell r="P3">
            <v>20</v>
          </cell>
          <cell r="Q3">
            <v>8.2100000000000006E-2</v>
          </cell>
          <cell r="U3">
            <v>1260</v>
          </cell>
          <cell r="V3">
            <v>150</v>
          </cell>
        </row>
        <row r="4">
          <cell r="A4" t="str">
            <v>Detached dwellings</v>
          </cell>
          <cell r="C4" t="str">
            <v>Heat/Cooling Devices</v>
          </cell>
          <cell r="D4" t="str">
            <v>Burner (Direct Heat)</v>
          </cell>
          <cell r="J4" t="str">
            <v>R_DDW-SH_Burner-DSL00</v>
          </cell>
          <cell r="K4" t="str">
            <v>RESDSL</v>
          </cell>
          <cell r="L4" t="str">
            <v>R_DDW-SH</v>
          </cell>
          <cell r="O4">
            <v>0.8</v>
          </cell>
          <cell r="Q4">
            <v>4.4999999999999997E-3</v>
          </cell>
        </row>
        <row r="5">
          <cell r="A5" t="str">
            <v>Detached dwellings</v>
          </cell>
          <cell r="C5" t="str">
            <v>Heat/Cooling Devices</v>
          </cell>
          <cell r="D5" t="str">
            <v>Burner (Direct Heat)</v>
          </cell>
          <cell r="J5" t="str">
            <v>R_DDW-SH_Burner-COA00</v>
          </cell>
          <cell r="K5" t="str">
            <v>RESCOA</v>
          </cell>
          <cell r="L5" t="str">
            <v>R_DDW-SH</v>
          </cell>
          <cell r="O5">
            <v>0.6</v>
          </cell>
          <cell r="Q5">
            <v>4.4999999999999997E-3</v>
          </cell>
        </row>
        <row r="6">
          <cell r="A6" t="str">
            <v>Detached dwellings</v>
          </cell>
          <cell r="C6" t="str">
            <v>Heat/Cooling Devices</v>
          </cell>
          <cell r="D6" t="str">
            <v>Open Fire</v>
          </cell>
          <cell r="J6" t="str">
            <v>R_DDW-SH_OF-WOD00</v>
          </cell>
          <cell r="K6" t="str">
            <v>RESWOD</v>
          </cell>
          <cell r="L6" t="str">
            <v>R_DDW-SH</v>
          </cell>
          <cell r="O6">
            <v>0.06</v>
          </cell>
          <cell r="P6">
            <v>50</v>
          </cell>
          <cell r="Q6">
            <v>8.2100000000000006E-2</v>
          </cell>
        </row>
        <row r="7">
          <cell r="A7" t="str">
            <v>Detached dwellings</v>
          </cell>
          <cell r="C7" t="str">
            <v>Heat/Cooling Devices</v>
          </cell>
          <cell r="D7" t="str">
            <v>Open Fire</v>
          </cell>
          <cell r="J7" t="str">
            <v>R_DDW-SH_OF-COA00</v>
          </cell>
          <cell r="K7" t="str">
            <v>RESCOA</v>
          </cell>
          <cell r="L7" t="str">
            <v>R_DDW-SH</v>
          </cell>
          <cell r="O7">
            <v>0.06</v>
          </cell>
          <cell r="P7">
            <v>50</v>
          </cell>
          <cell r="Q7">
            <v>8.2100000000000006E-2</v>
          </cell>
        </row>
        <row r="8">
          <cell r="A8" t="str">
            <v>Detached dwellings</v>
          </cell>
          <cell r="C8" t="str">
            <v>Heat/Cooling Devices</v>
          </cell>
          <cell r="D8" t="str">
            <v>Open Fire, with Wetback</v>
          </cell>
          <cell r="J8" t="str">
            <v>R_DDW-SH_OFWB-COA00</v>
          </cell>
          <cell r="K8" t="str">
            <v>RESCOA</v>
          </cell>
          <cell r="L8" t="str">
            <v>R_DDW-SH</v>
          </cell>
          <cell r="O8">
            <v>0.06</v>
          </cell>
          <cell r="P8">
            <v>50</v>
          </cell>
          <cell r="Q8">
            <v>8.2100000000000006E-2</v>
          </cell>
        </row>
        <row r="9">
          <cell r="A9" t="str">
            <v>Detached dwellings</v>
          </cell>
          <cell r="C9" t="str">
            <v>Heat/Cooling Devices</v>
          </cell>
          <cell r="D9" t="str">
            <v>Heat Pump (for Heating)</v>
          </cell>
          <cell r="J9" t="str">
            <v>R_DDW-SH_HP-ELC00</v>
          </cell>
          <cell r="K9" t="str">
            <v>RESELC</v>
          </cell>
          <cell r="L9" t="str">
            <v>R_DDW-SH</v>
          </cell>
          <cell r="O9">
            <v>3.75</v>
          </cell>
          <cell r="P9">
            <v>12</v>
          </cell>
          <cell r="Q9">
            <v>8.2100000000000006E-2</v>
          </cell>
          <cell r="U9">
            <v>557.90697674418607</v>
          </cell>
        </row>
        <row r="10">
          <cell r="A10" t="str">
            <v>Detached dwellings</v>
          </cell>
          <cell r="C10" t="str">
            <v>Heat/Cooling Devices</v>
          </cell>
          <cell r="D10" t="str">
            <v>Resistance Heater</v>
          </cell>
          <cell r="J10" t="str">
            <v>R_DDW-SH_RH-ELC00</v>
          </cell>
          <cell r="K10" t="str">
            <v>RESELC</v>
          </cell>
          <cell r="L10" t="str">
            <v>R_DDW-SH</v>
          </cell>
          <cell r="O10">
            <v>1</v>
          </cell>
          <cell r="P10">
            <v>5</v>
          </cell>
          <cell r="Q10">
            <v>8.2100000000000006E-2</v>
          </cell>
          <cell r="U10">
            <v>24</v>
          </cell>
        </row>
        <row r="11">
          <cell r="A11" t="str">
            <v>Detached dwellings</v>
          </cell>
          <cell r="C11" t="str">
            <v>Heat/Cooling Devices</v>
          </cell>
          <cell r="D11" t="str">
            <v>Open Fire, with Wetback</v>
          </cell>
          <cell r="J11" t="str">
            <v>R_DDW-WH_OFWB-COA00</v>
          </cell>
          <cell r="K11" t="str">
            <v>RESCOA</v>
          </cell>
          <cell r="L11" t="str">
            <v>R_DDW-WH</v>
          </cell>
          <cell r="O11">
            <v>0.16</v>
          </cell>
          <cell r="P11">
            <v>50</v>
          </cell>
          <cell r="Q11">
            <v>0.1666</v>
          </cell>
        </row>
        <row r="12">
          <cell r="A12" t="str">
            <v>Detached dwellings</v>
          </cell>
          <cell r="C12" t="str">
            <v>Heat/Cooling Devices</v>
          </cell>
          <cell r="D12" t="str">
            <v>Hot Water Cylinder</v>
          </cell>
          <cell r="J12" t="str">
            <v>R_DDW-WH_HWC-SOL00</v>
          </cell>
          <cell r="K12" t="str">
            <v>RESSOL</v>
          </cell>
          <cell r="L12" t="str">
            <v>R_DDW-WH</v>
          </cell>
          <cell r="O12">
            <v>0.6</v>
          </cell>
          <cell r="P12">
            <v>20</v>
          </cell>
        </row>
        <row r="13">
          <cell r="A13" t="str">
            <v>Detached dwellings</v>
          </cell>
          <cell r="C13" t="str">
            <v>Heat/Cooling Devices</v>
          </cell>
          <cell r="D13" t="str">
            <v>Hot Water Cylinder</v>
          </cell>
          <cell r="J13" t="str">
            <v>R_DDW-WH_HWC-ELC00</v>
          </cell>
          <cell r="K13" t="str">
            <v>RESELC</v>
          </cell>
          <cell r="L13" t="str">
            <v>R_DDW-WH</v>
          </cell>
          <cell r="O13">
            <v>1</v>
          </cell>
          <cell r="P13">
            <v>20</v>
          </cell>
        </row>
        <row r="14">
          <cell r="A14" t="str">
            <v>Detached dwellings</v>
          </cell>
          <cell r="C14" t="str">
            <v>Heat/Cooling Devices</v>
          </cell>
          <cell r="D14" t="str">
            <v>Gas Water Heater</v>
          </cell>
          <cell r="J14" t="str">
            <v>R_DDW-WH_Gasheat-LPG00</v>
          </cell>
          <cell r="K14" t="str">
            <v>RESLPG</v>
          </cell>
          <cell r="L14" t="str">
            <v>R_DDW-WH</v>
          </cell>
          <cell r="O14">
            <v>0.8</v>
          </cell>
          <cell r="P14">
            <v>20</v>
          </cell>
          <cell r="V14">
            <v>150</v>
          </cell>
        </row>
        <row r="15">
          <cell r="A15" t="str">
            <v>Detached dwellings</v>
          </cell>
          <cell r="C15" t="str">
            <v>Heat/Cooling Devices</v>
          </cell>
          <cell r="D15" t="str">
            <v>Burner, with Wetback</v>
          </cell>
          <cell r="J15" t="str">
            <v>R_DDW-WH_BRNWB-WOD00</v>
          </cell>
          <cell r="K15" t="str">
            <v>RESWOD</v>
          </cell>
          <cell r="L15" t="str">
            <v>R_DDW-WH</v>
          </cell>
          <cell r="O15">
            <v>0.16</v>
          </cell>
          <cell r="P15">
            <v>20</v>
          </cell>
          <cell r="Q15">
            <v>0.1666</v>
          </cell>
        </row>
        <row r="16">
          <cell r="A16" t="str">
            <v>Detached dwellings</v>
          </cell>
          <cell r="C16" t="str">
            <v>Heat/Cooling Devices</v>
          </cell>
          <cell r="D16" t="str">
            <v>Cooking Ovens</v>
          </cell>
          <cell r="J16" t="str">
            <v>R_DDW-CK_Oven-COA00</v>
          </cell>
          <cell r="K16" t="str">
            <v>RESCOA</v>
          </cell>
          <cell r="L16" t="str">
            <v>R_DDW-CK</v>
          </cell>
          <cell r="O16">
            <v>0.15</v>
          </cell>
          <cell r="P16">
            <v>10</v>
          </cell>
        </row>
        <row r="17">
          <cell r="A17" t="str">
            <v>Detached dwellings</v>
          </cell>
          <cell r="C17" t="str">
            <v>Heat/Cooling Devices</v>
          </cell>
          <cell r="D17" t="str">
            <v>Cooking Appliances</v>
          </cell>
          <cell r="J17" t="str">
            <v>R_DDW-CK_Appl-ELC00</v>
          </cell>
          <cell r="K17" t="str">
            <v>RESELC</v>
          </cell>
          <cell r="L17" t="str">
            <v>R_DDW-CK</v>
          </cell>
          <cell r="O17">
            <v>0.75</v>
          </cell>
          <cell r="P17">
            <v>13</v>
          </cell>
          <cell r="Q17">
            <v>4.1599999999999998E-2</v>
          </cell>
          <cell r="U17">
            <v>449.99999999999994</v>
          </cell>
        </row>
        <row r="18">
          <cell r="A18" t="str">
            <v>Detached dwellings</v>
          </cell>
          <cell r="C18" t="str">
            <v>Heat/Cooling Devices</v>
          </cell>
          <cell r="D18" t="str">
            <v>Cooking Appliances</v>
          </cell>
          <cell r="J18" t="str">
            <v>R_DDW-CK_Appl-LPG00</v>
          </cell>
          <cell r="K18" t="str">
            <v>RESLPG</v>
          </cell>
          <cell r="L18" t="str">
            <v>R_DDW-CK</v>
          </cell>
          <cell r="O18">
            <v>0.4</v>
          </cell>
          <cell r="P18">
            <v>13</v>
          </cell>
          <cell r="Q18">
            <v>4.1599999999999998E-2</v>
          </cell>
          <cell r="U18">
            <v>350</v>
          </cell>
          <cell r="V18">
            <v>150</v>
          </cell>
        </row>
        <row r="19">
          <cell r="A19" t="str">
            <v>Detached dwellings</v>
          </cell>
          <cell r="C19" t="str">
            <v>Heat/Cooling Devices</v>
          </cell>
          <cell r="D19" t="str">
            <v>Refrigeration systems</v>
          </cell>
          <cell r="J19" t="str">
            <v>R_DDW-RF_Refriger-ELC00</v>
          </cell>
          <cell r="K19" t="str">
            <v>RESELC</v>
          </cell>
          <cell r="L19" t="str">
            <v>R_DDW-RF</v>
          </cell>
          <cell r="O19">
            <v>1.8</v>
          </cell>
          <cell r="P19">
            <v>18</v>
          </cell>
          <cell r="Q19">
            <v>1</v>
          </cell>
          <cell r="U19">
            <v>3280</v>
          </cell>
        </row>
        <row r="20">
          <cell r="A20" t="str">
            <v>Detached dwellings</v>
          </cell>
          <cell r="C20" t="str">
            <v>Heat/Cooling Devices</v>
          </cell>
          <cell r="D20" t="str">
            <v>Clothes Dryer</v>
          </cell>
          <cell r="J20" t="str">
            <v>R_DDW-CD_Dryer-ELC00</v>
          </cell>
          <cell r="K20" t="str">
            <v>RESELC</v>
          </cell>
          <cell r="L20" t="str">
            <v>R_DDW-CD</v>
          </cell>
          <cell r="O20">
            <v>0.25</v>
          </cell>
          <cell r="P20">
            <v>15</v>
          </cell>
          <cell r="Q20">
            <v>5.8999999999999999E-3</v>
          </cell>
          <cell r="U20">
            <v>1665.3333333333333</v>
          </cell>
        </row>
        <row r="21">
          <cell r="A21" t="str">
            <v>Detached dwellings</v>
          </cell>
          <cell r="C21" t="str">
            <v>Heat/Cooling Devices</v>
          </cell>
          <cell r="D21" t="str">
            <v>Heat Pump (for Cooling)</v>
          </cell>
          <cell r="J21" t="str">
            <v>R_DDW-SC_HP-ELC00</v>
          </cell>
          <cell r="K21" t="str">
            <v>RESELC</v>
          </cell>
          <cell r="L21" t="str">
            <v>R_DDW-SC</v>
          </cell>
          <cell r="O21">
            <v>3.45</v>
          </cell>
          <cell r="P21">
            <v>12</v>
          </cell>
          <cell r="Q21">
            <v>1.14E-2</v>
          </cell>
          <cell r="U21">
            <v>685.42857142857144</v>
          </cell>
        </row>
        <row r="22">
          <cell r="A22" t="str">
            <v>Detached dwellings</v>
          </cell>
          <cell r="C22" t="str">
            <v>Heat/Cooling Devices</v>
          </cell>
          <cell r="D22" t="str">
            <v>Clothes Washers</v>
          </cell>
          <cell r="J22" t="str">
            <v>R_DDW-CW_Washer-ELC00</v>
          </cell>
          <cell r="K22" t="str">
            <v>RESELC</v>
          </cell>
          <cell r="L22" t="str">
            <v>R_DDW-CW</v>
          </cell>
          <cell r="O22">
            <v>0.25</v>
          </cell>
          <cell r="P22">
            <v>15</v>
          </cell>
          <cell r="Q22">
            <v>4.1599999999999998E-2</v>
          </cell>
          <cell r="U22">
            <v>3994.6666666666665</v>
          </cell>
        </row>
        <row r="23">
          <cell r="A23" t="str">
            <v>Detached dwellings</v>
          </cell>
          <cell r="C23" t="str">
            <v>Heat/Cooling Devices</v>
          </cell>
          <cell r="D23" t="str">
            <v>Dishwashers</v>
          </cell>
          <cell r="J23" t="str">
            <v>R_DDW-DW_Dwash-ELC00</v>
          </cell>
          <cell r="K23" t="str">
            <v>RESELC</v>
          </cell>
          <cell r="L23" t="str">
            <v>R_DDW-DW</v>
          </cell>
          <cell r="O23">
            <v>0.25</v>
          </cell>
          <cell r="P23">
            <v>15</v>
          </cell>
          <cell r="Q23">
            <v>4.1599999999999998E-2</v>
          </cell>
          <cell r="U23">
            <v>2640</v>
          </cell>
        </row>
        <row r="24">
          <cell r="A24" t="str">
            <v>Detached dwellings</v>
          </cell>
          <cell r="C24" t="str">
            <v>Electronics and Lights</v>
          </cell>
          <cell r="D24" t="str">
            <v>LED</v>
          </cell>
          <cell r="J24" t="str">
            <v>R_DDW-LT_LED-ELC00</v>
          </cell>
          <cell r="K24" t="str">
            <v>RESELC</v>
          </cell>
          <cell r="L24" t="str">
            <v>R_DDW-LT</v>
          </cell>
          <cell r="O24">
            <v>0.9</v>
          </cell>
          <cell r="P24">
            <v>14</v>
          </cell>
          <cell r="Q24">
            <v>0.1666</v>
          </cell>
          <cell r="U24">
            <v>1148.3253588516748</v>
          </cell>
        </row>
        <row r="25">
          <cell r="A25" t="str">
            <v>Detached dwellings</v>
          </cell>
          <cell r="C25" t="str">
            <v>Electronics and Lights</v>
          </cell>
          <cell r="D25" t="str">
            <v>Incandescent</v>
          </cell>
          <cell r="J25" t="str">
            <v>R_DDW-LT_Incan-ELC00</v>
          </cell>
          <cell r="K25" t="str">
            <v>RESELC</v>
          </cell>
          <cell r="L25" t="str">
            <v>R_DDW-LT</v>
          </cell>
          <cell r="O25">
            <v>0.1</v>
          </cell>
          <cell r="P25">
            <v>1</v>
          </cell>
          <cell r="Q25">
            <v>0.1666</v>
          </cell>
          <cell r="U25">
            <v>777.77777777777783</v>
          </cell>
        </row>
        <row r="26">
          <cell r="A26" t="str">
            <v>Detached dwellings</v>
          </cell>
          <cell r="C26" t="str">
            <v>Electronics and Lights</v>
          </cell>
          <cell r="D26" t="str">
            <v>Fluorescent</v>
          </cell>
          <cell r="J26" t="str">
            <v>R_DDW-LT_CFL-ELC00</v>
          </cell>
          <cell r="K26" t="str">
            <v>RESELC</v>
          </cell>
          <cell r="L26" t="str">
            <v>R_DDW-LT</v>
          </cell>
          <cell r="O26">
            <v>0.8</v>
          </cell>
          <cell r="P26">
            <v>7</v>
          </cell>
          <cell r="Q26">
            <v>0.1666</v>
          </cell>
          <cell r="U26">
            <v>1176.4705882352941</v>
          </cell>
        </row>
        <row r="27">
          <cell r="A27" t="str">
            <v>Detached dwellings</v>
          </cell>
          <cell r="C27" t="str">
            <v>Electronics and Lights</v>
          </cell>
          <cell r="D27" t="str">
            <v>Electronics</v>
          </cell>
          <cell r="J27" t="str">
            <v>R_DDW-OTH_Elec-ELC00</v>
          </cell>
          <cell r="K27" t="str">
            <v>RESELC</v>
          </cell>
          <cell r="L27" t="str">
            <v>R_DDW-OTH</v>
          </cell>
          <cell r="O27">
            <v>0.9</v>
          </cell>
          <cell r="P27">
            <v>5</v>
          </cell>
          <cell r="Q27">
            <v>0.1666</v>
          </cell>
          <cell r="U27">
            <v>733.33333333333337</v>
          </cell>
        </row>
        <row r="28">
          <cell r="A28" t="str">
            <v>Detached dwellings</v>
          </cell>
          <cell r="C28" t="str">
            <v>Stationary Motors</v>
          </cell>
          <cell r="D28" t="str">
            <v>Electric Motor</v>
          </cell>
          <cell r="J28" t="str">
            <v>R_DDW-MPS_Motor-ELC00</v>
          </cell>
          <cell r="K28" t="str">
            <v>RESELC</v>
          </cell>
          <cell r="L28" t="str">
            <v>R_DDW-MPS</v>
          </cell>
          <cell r="O28">
            <v>0.75</v>
          </cell>
          <cell r="P28">
            <v>15</v>
          </cell>
          <cell r="Q28">
            <v>2.8999999999999998E-3</v>
          </cell>
          <cell r="U28">
            <v>153.33333333333334</v>
          </cell>
        </row>
        <row r="29">
          <cell r="A29" t="str">
            <v>Detached dwellings</v>
          </cell>
          <cell r="C29" t="str">
            <v>Stationary Motors</v>
          </cell>
          <cell r="D29" t="str">
            <v>Internal Combustion (Domestic Use)</v>
          </cell>
          <cell r="J29" t="str">
            <v>R_DDW-MPM_ICE-PET00</v>
          </cell>
          <cell r="K29" t="str">
            <v>RESPET</v>
          </cell>
          <cell r="L29" t="str">
            <v>R_DDW-MPM</v>
          </cell>
          <cell r="O29">
            <v>0.25</v>
          </cell>
          <cell r="P29">
            <v>10</v>
          </cell>
          <cell r="Q29">
            <v>2.8999999999999998E-3</v>
          </cell>
          <cell r="U29">
            <v>1466.6666666666667</v>
          </cell>
        </row>
        <row r="30">
          <cell r="A30" t="str">
            <v>Joined dwellings</v>
          </cell>
          <cell r="C30" t="str">
            <v>Heat/Cooling Devices</v>
          </cell>
          <cell r="D30" t="str">
            <v>Burner (Direct Heat)</v>
          </cell>
          <cell r="J30" t="str">
            <v>R_JDW-SH_Burner-LPG00</v>
          </cell>
          <cell r="K30" t="str">
            <v>RESLPG</v>
          </cell>
          <cell r="L30" t="str">
            <v>R_JDW-SH</v>
          </cell>
          <cell r="O30">
            <v>0.8</v>
          </cell>
          <cell r="P30">
            <v>20</v>
          </cell>
          <cell r="Q30">
            <v>8.2100000000000006E-2</v>
          </cell>
          <cell r="U30">
            <v>807.46268656716427</v>
          </cell>
          <cell r="V30">
            <v>150</v>
          </cell>
        </row>
        <row r="31">
          <cell r="A31" t="str">
            <v>Joined dwellings</v>
          </cell>
          <cell r="C31" t="str">
            <v>Heat/Cooling Devices</v>
          </cell>
          <cell r="D31" t="str">
            <v>Burner (Direct Heat)</v>
          </cell>
          <cell r="J31" t="str">
            <v>R_JDW-SH_Burner-DSL00</v>
          </cell>
          <cell r="K31" t="str">
            <v>RESDSL</v>
          </cell>
          <cell r="L31" t="str">
            <v>R_JDW-SH</v>
          </cell>
          <cell r="O31">
            <v>0.8</v>
          </cell>
          <cell r="Q31">
            <v>4.4999999999999997E-3</v>
          </cell>
        </row>
        <row r="32">
          <cell r="A32" t="str">
            <v>Joined dwellings</v>
          </cell>
          <cell r="C32" t="str">
            <v>Heat/Cooling Devices</v>
          </cell>
          <cell r="D32" t="str">
            <v>Heat Pump (for Heating)</v>
          </cell>
          <cell r="J32" t="str">
            <v>R_JDW-SH_HP-ELC00</v>
          </cell>
          <cell r="K32" t="str">
            <v>RESELC</v>
          </cell>
          <cell r="L32" t="str">
            <v>R_JDW-SH</v>
          </cell>
          <cell r="O32">
            <v>3.75</v>
          </cell>
          <cell r="P32">
            <v>12</v>
          </cell>
          <cell r="Q32">
            <v>8.2100000000000006E-2</v>
          </cell>
          <cell r="U32">
            <v>702.8125</v>
          </cell>
        </row>
        <row r="33">
          <cell r="A33" t="str">
            <v>Joined dwellings</v>
          </cell>
          <cell r="C33" t="str">
            <v>Heat/Cooling Devices</v>
          </cell>
          <cell r="D33" t="str">
            <v>Resistance Heater</v>
          </cell>
          <cell r="J33" t="str">
            <v>R_JDW-SH_RH-ELC00</v>
          </cell>
          <cell r="K33" t="str">
            <v>RESELC</v>
          </cell>
          <cell r="L33" t="str">
            <v>R_JDW-SH</v>
          </cell>
          <cell r="O33">
            <v>1</v>
          </cell>
          <cell r="P33">
            <v>5</v>
          </cell>
          <cell r="Q33">
            <v>8.2100000000000006E-2</v>
          </cell>
          <cell r="U33">
            <v>24</v>
          </cell>
        </row>
        <row r="34">
          <cell r="A34" t="str">
            <v>Joined dwellings</v>
          </cell>
          <cell r="C34" t="str">
            <v>Heat/Cooling Devices</v>
          </cell>
          <cell r="D34" t="str">
            <v>Hot Water Cylinder</v>
          </cell>
          <cell r="J34" t="str">
            <v>R_JDW-WH_HWC-SOL00</v>
          </cell>
          <cell r="K34" t="str">
            <v>RESSOL</v>
          </cell>
          <cell r="L34" t="str">
            <v>R_JDW-WH</v>
          </cell>
          <cell r="O34">
            <v>0.6</v>
          </cell>
          <cell r="P34">
            <v>20</v>
          </cell>
          <cell r="Q34">
            <v>8.3299999999999999E-2</v>
          </cell>
        </row>
        <row r="35">
          <cell r="A35" t="str">
            <v>Joined dwellings</v>
          </cell>
          <cell r="C35" t="str">
            <v>Heat/Cooling Devices</v>
          </cell>
          <cell r="D35" t="str">
            <v>Hot Water Cylinder</v>
          </cell>
          <cell r="J35" t="str">
            <v>R_JDW-WH_HWC-ELC00</v>
          </cell>
          <cell r="K35" t="str">
            <v>RESELC</v>
          </cell>
          <cell r="L35" t="str">
            <v>R_JDW-WH</v>
          </cell>
          <cell r="O35">
            <v>1</v>
          </cell>
          <cell r="P35">
            <v>20</v>
          </cell>
          <cell r="Q35">
            <v>8.3299999999999999E-2</v>
          </cell>
        </row>
        <row r="36">
          <cell r="A36" t="str">
            <v>Joined dwellings</v>
          </cell>
          <cell r="C36" t="str">
            <v>Heat/Cooling Devices</v>
          </cell>
          <cell r="D36" t="str">
            <v>Gas Water Heater</v>
          </cell>
          <cell r="J36" t="str">
            <v>R_JDW-WH_Gasheat-LPG00</v>
          </cell>
          <cell r="K36" t="str">
            <v>RESLPG</v>
          </cell>
          <cell r="L36" t="str">
            <v>R_JDW-WH</v>
          </cell>
          <cell r="O36">
            <v>0.8</v>
          </cell>
          <cell r="P36">
            <v>20</v>
          </cell>
          <cell r="V36">
            <v>150</v>
          </cell>
        </row>
        <row r="37">
          <cell r="A37" t="str">
            <v>Joined dwellings</v>
          </cell>
          <cell r="C37" t="str">
            <v>Heat/Cooling Devices</v>
          </cell>
          <cell r="D37" t="str">
            <v>Cooking Appliances</v>
          </cell>
          <cell r="J37" t="str">
            <v>R_JDW-CK_Appl-ELC00</v>
          </cell>
          <cell r="K37" t="str">
            <v>RESELC</v>
          </cell>
          <cell r="L37" t="str">
            <v>R_JDW-CK</v>
          </cell>
          <cell r="O37">
            <v>0.75</v>
          </cell>
          <cell r="P37">
            <v>13</v>
          </cell>
          <cell r="Q37">
            <v>2.8000000000000001E-2</v>
          </cell>
          <cell r="U37">
            <v>449.99999999999994</v>
          </cell>
        </row>
        <row r="38">
          <cell r="A38" t="str">
            <v>Joined dwellings</v>
          </cell>
          <cell r="C38" t="str">
            <v>Heat/Cooling Devices</v>
          </cell>
          <cell r="D38" t="str">
            <v>Cooking Appliances</v>
          </cell>
          <cell r="J38" t="str">
            <v>R_JDW-CK_Appl-LPG00</v>
          </cell>
          <cell r="K38" t="str">
            <v>RESLPG</v>
          </cell>
          <cell r="L38" t="str">
            <v>R_JDW-CK</v>
          </cell>
          <cell r="O38">
            <v>0.4</v>
          </cell>
          <cell r="P38">
            <v>13</v>
          </cell>
          <cell r="Q38">
            <v>2.8000000000000001E-2</v>
          </cell>
          <cell r="U38">
            <v>350</v>
          </cell>
          <cell r="V38">
            <v>150</v>
          </cell>
        </row>
        <row r="39">
          <cell r="A39" t="str">
            <v>Joined dwellings</v>
          </cell>
          <cell r="C39" t="str">
            <v>Heat/Cooling Devices</v>
          </cell>
          <cell r="D39" t="str">
            <v>Refrigeration systems</v>
          </cell>
          <cell r="J39" t="str">
            <v>R_JDW-RF_Refriger-ELC00</v>
          </cell>
          <cell r="K39" t="str">
            <v>RESELC</v>
          </cell>
          <cell r="L39" t="str">
            <v>R_JDW-RF</v>
          </cell>
          <cell r="O39">
            <v>1.8</v>
          </cell>
          <cell r="P39">
            <v>18</v>
          </cell>
          <cell r="Q39">
            <v>1</v>
          </cell>
          <cell r="U39">
            <v>3280</v>
          </cell>
        </row>
        <row r="40">
          <cell r="A40" t="str">
            <v>Joined dwellings</v>
          </cell>
          <cell r="C40" t="str">
            <v>Heat/Cooling Devices</v>
          </cell>
          <cell r="D40" t="str">
            <v>Clothes Dryer</v>
          </cell>
          <cell r="J40" t="str">
            <v>R_JDW-CD_Dryer-ELC00</v>
          </cell>
          <cell r="K40" t="str">
            <v>RESELC</v>
          </cell>
          <cell r="L40" t="str">
            <v>R_JDW-CD</v>
          </cell>
          <cell r="O40">
            <v>0.25</v>
          </cell>
          <cell r="P40">
            <v>15</v>
          </cell>
          <cell r="Q40">
            <v>5.8999999999999999E-3</v>
          </cell>
          <cell r="U40">
            <v>1665.3333333333333</v>
          </cell>
        </row>
        <row r="41">
          <cell r="A41" t="str">
            <v>Joined dwellings</v>
          </cell>
          <cell r="C41" t="str">
            <v>Heat/Cooling Devices</v>
          </cell>
          <cell r="D41" t="str">
            <v>Heat Pump (for Cooling)</v>
          </cell>
          <cell r="J41" t="str">
            <v>R_JDW-SC_HP-ELC00</v>
          </cell>
          <cell r="K41" t="str">
            <v>RESELC</v>
          </cell>
          <cell r="L41" t="str">
            <v>R_JDW-SC</v>
          </cell>
          <cell r="O41">
            <v>3.45</v>
          </cell>
          <cell r="P41">
            <v>12</v>
          </cell>
          <cell r="Q41">
            <v>1.14E-2</v>
          </cell>
          <cell r="U41">
            <v>899.6</v>
          </cell>
        </row>
        <row r="42">
          <cell r="A42" t="str">
            <v>Joined dwellings</v>
          </cell>
          <cell r="C42" t="str">
            <v>Heat/Cooling Devices</v>
          </cell>
          <cell r="D42" t="str">
            <v>Clothes Washers</v>
          </cell>
          <cell r="J42" t="str">
            <v>R_JDW-CW_Washer-ELC00</v>
          </cell>
          <cell r="K42" t="str">
            <v>RESELC</v>
          </cell>
          <cell r="L42" t="str">
            <v>R_JDW-CW</v>
          </cell>
          <cell r="O42">
            <v>0.25</v>
          </cell>
          <cell r="P42">
            <v>15</v>
          </cell>
          <cell r="Q42">
            <v>4.1599999999999998E-2</v>
          </cell>
          <cell r="U42">
            <v>3994.6666666666665</v>
          </cell>
        </row>
        <row r="43">
          <cell r="A43" t="str">
            <v>Joined dwellings</v>
          </cell>
          <cell r="C43" t="str">
            <v>Heat/Cooling Devices</v>
          </cell>
          <cell r="D43" t="str">
            <v>Dishwashers</v>
          </cell>
          <cell r="J43" t="str">
            <v>R_JDW-DW_Dwash-ELC00</v>
          </cell>
          <cell r="K43" t="str">
            <v>RESELC</v>
          </cell>
          <cell r="L43" t="str">
            <v>R_JDW-DW</v>
          </cell>
          <cell r="O43">
            <v>0.25</v>
          </cell>
          <cell r="P43">
            <v>15</v>
          </cell>
          <cell r="Q43">
            <v>4.1599999999999998E-2</v>
          </cell>
          <cell r="U43">
            <v>2640</v>
          </cell>
        </row>
        <row r="44">
          <cell r="A44" t="str">
            <v>Joined dwellings</v>
          </cell>
          <cell r="C44" t="str">
            <v>Electronics and Lights</v>
          </cell>
          <cell r="D44" t="str">
            <v>LED</v>
          </cell>
          <cell r="J44" t="str">
            <v>R_JDW-LT_LED-ELC00</v>
          </cell>
          <cell r="K44" t="str">
            <v>RESELC</v>
          </cell>
          <cell r="L44" t="str">
            <v>R_JDW-LT</v>
          </cell>
          <cell r="O44">
            <v>0.9</v>
          </cell>
          <cell r="P44">
            <v>14</v>
          </cell>
          <cell r="Q44">
            <v>0.1666</v>
          </cell>
          <cell r="U44">
            <v>1148.3253588516748</v>
          </cell>
        </row>
        <row r="45">
          <cell r="A45" t="str">
            <v>Joined dwellings</v>
          </cell>
          <cell r="C45" t="str">
            <v>Electronics and Lights</v>
          </cell>
          <cell r="D45" t="str">
            <v>Incandescent</v>
          </cell>
          <cell r="J45" t="str">
            <v>R_JDW-LT_Incan-ELC00</v>
          </cell>
          <cell r="K45" t="str">
            <v>RESELC</v>
          </cell>
          <cell r="L45" t="str">
            <v>R_JDW-LT</v>
          </cell>
          <cell r="O45">
            <v>0.1</v>
          </cell>
          <cell r="P45">
            <v>1</v>
          </cell>
          <cell r="Q45">
            <v>0.1666</v>
          </cell>
          <cell r="U45">
            <v>777.77777777777783</v>
          </cell>
        </row>
        <row r="46">
          <cell r="A46" t="str">
            <v>Joined dwellings</v>
          </cell>
          <cell r="C46" t="str">
            <v>Electronics and Lights</v>
          </cell>
          <cell r="D46" t="str">
            <v>Fluorescent</v>
          </cell>
          <cell r="J46" t="str">
            <v>R_JDW-LT_CFL-ELC00</v>
          </cell>
          <cell r="K46" t="str">
            <v>RESELC</v>
          </cell>
          <cell r="L46" t="str">
            <v>R_JDW-LT</v>
          </cell>
          <cell r="O46">
            <v>0.8</v>
          </cell>
          <cell r="P46">
            <v>7</v>
          </cell>
          <cell r="Q46">
            <v>0.1666</v>
          </cell>
          <cell r="U46">
            <v>1176.4705882352941</v>
          </cell>
        </row>
        <row r="47">
          <cell r="A47" t="str">
            <v>Joined dwellings</v>
          </cell>
          <cell r="C47" t="str">
            <v>Electronics and Lights</v>
          </cell>
          <cell r="D47" t="str">
            <v>Electronics</v>
          </cell>
          <cell r="J47" t="str">
            <v>R_JDW-OTH_Elec-ELC00</v>
          </cell>
          <cell r="K47" t="str">
            <v>RESELC</v>
          </cell>
          <cell r="L47" t="str">
            <v>R_JDW-OTH</v>
          </cell>
          <cell r="O47">
            <v>0.9</v>
          </cell>
          <cell r="P47">
            <v>5</v>
          </cell>
          <cell r="Q47">
            <v>0.1666</v>
          </cell>
          <cell r="U47">
            <v>733.33333333333337</v>
          </cell>
        </row>
        <row r="48">
          <cell r="A48" t="str">
            <v>Joined dwellings</v>
          </cell>
          <cell r="C48" t="str">
            <v>Stationary Motors</v>
          </cell>
          <cell r="D48" t="str">
            <v>Electric Motor</v>
          </cell>
          <cell r="J48" t="str">
            <v>R_JDW-MPS_Motor-ELC00</v>
          </cell>
          <cell r="K48" t="str">
            <v>RESELC</v>
          </cell>
          <cell r="L48" t="str">
            <v>R_JDW-MPS</v>
          </cell>
          <cell r="O48">
            <v>0.75</v>
          </cell>
          <cell r="P48">
            <v>15</v>
          </cell>
          <cell r="Q48">
            <v>2.8999999999999998E-3</v>
          </cell>
          <cell r="U48">
            <v>153.33333333333334</v>
          </cell>
        </row>
        <row r="49">
          <cell r="A49" t="str">
            <v>Joined dwellings</v>
          </cell>
          <cell r="C49" t="str">
            <v>Stationary Motors</v>
          </cell>
          <cell r="D49" t="str">
            <v>Internal Combustion (Domestic Use)</v>
          </cell>
          <cell r="J49" t="str">
            <v>R_JDW-MPM_ICE-PET00</v>
          </cell>
          <cell r="K49" t="str">
            <v>RESPET</v>
          </cell>
          <cell r="L49" t="str">
            <v>R_JDW-MPM</v>
          </cell>
          <cell r="O49">
            <v>0.25</v>
          </cell>
          <cell r="P49">
            <v>10</v>
          </cell>
          <cell r="Q49">
            <v>2.8999999999999998E-3</v>
          </cell>
          <cell r="U49">
            <v>1466.6666666666667</v>
          </cell>
        </row>
      </sheetData>
      <sheetData sheetId="3"/>
      <sheetData sheetId="4">
        <row r="2">
          <cell r="A2" t="str">
            <v>Detached dwellings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461C-9544-4CC9-B471-7F6E5C7E52EB}">
  <dimension ref="A1:A11"/>
  <sheetViews>
    <sheetView workbookViewId="0">
      <selection activeCell="C20" sqref="C20"/>
    </sheetView>
  </sheetViews>
  <sheetFormatPr defaultRowHeight="12.75"/>
  <sheetData>
    <row r="1" spans="1:1">
      <c r="A1" s="430" t="s">
        <v>991</v>
      </c>
    </row>
    <row r="2" spans="1:1">
      <c r="A2" s="430" t="s">
        <v>992</v>
      </c>
    </row>
    <row r="3" spans="1:1">
      <c r="A3" s="430" t="s">
        <v>993</v>
      </c>
    </row>
    <row r="4" spans="1:1">
      <c r="A4" s="430" t="s">
        <v>994</v>
      </c>
    </row>
    <row r="5" spans="1:1">
      <c r="A5" s="430" t="s">
        <v>995</v>
      </c>
    </row>
    <row r="6" spans="1:1">
      <c r="A6" s="430" t="s">
        <v>996</v>
      </c>
    </row>
    <row r="7" spans="1:1">
      <c r="A7" s="430" t="s">
        <v>997</v>
      </c>
    </row>
    <row r="8" spans="1:1">
      <c r="A8" s="430" t="s">
        <v>998</v>
      </c>
    </row>
    <row r="9" spans="1:1">
      <c r="A9" s="430" t="s">
        <v>999</v>
      </c>
    </row>
    <row r="10" spans="1:1">
      <c r="A10" s="430" t="s">
        <v>1000</v>
      </c>
    </row>
    <row r="11" spans="1:1">
      <c r="A11" s="430" t="s">
        <v>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3:AG132"/>
  <sheetViews>
    <sheetView topLeftCell="G30" zoomScale="55" zoomScaleNormal="55" workbookViewId="0">
      <selection activeCell="Q41" sqref="Q41"/>
    </sheetView>
  </sheetViews>
  <sheetFormatPr defaultColWidth="9.1328125" defaultRowHeight="15.75"/>
  <cols>
    <col min="1" max="2" width="12.73046875" style="2" customWidth="1"/>
    <col min="3" max="3" width="99.1328125" style="2" customWidth="1"/>
    <col min="4" max="17" width="15.86328125" style="2" customWidth="1"/>
    <col min="18" max="18" width="12.73046875" style="2" customWidth="1"/>
    <col min="19" max="33" width="21.86328125" style="117" customWidth="1"/>
    <col min="34" max="45" width="12.73046875" style="2" customWidth="1"/>
    <col min="46" max="46" width="10.86328125" style="2" customWidth="1"/>
    <col min="47" max="16384" width="9.1328125" style="2"/>
  </cols>
  <sheetData>
    <row r="3" spans="2:17">
      <c r="B3" s="2" t="s">
        <v>108</v>
      </c>
    </row>
    <row r="5" spans="2:17" ht="31.5">
      <c r="B5" s="3" t="s">
        <v>105</v>
      </c>
      <c r="C5" s="4" t="s">
        <v>30</v>
      </c>
      <c r="D5" s="5" t="s">
        <v>78</v>
      </c>
      <c r="E5" s="6" t="s">
        <v>79</v>
      </c>
      <c r="F5" s="6" t="s">
        <v>80</v>
      </c>
      <c r="G5" s="6" t="s">
        <v>81</v>
      </c>
      <c r="H5" s="6" t="s">
        <v>82</v>
      </c>
      <c r="I5" s="6" t="s">
        <v>57</v>
      </c>
      <c r="J5" s="6" t="s">
        <v>83</v>
      </c>
      <c r="K5" s="6" t="s">
        <v>84</v>
      </c>
      <c r="L5" s="6" t="s">
        <v>71</v>
      </c>
      <c r="M5" s="6" t="s">
        <v>43</v>
      </c>
      <c r="N5" s="6" t="s">
        <v>85</v>
      </c>
      <c r="O5" s="6" t="s">
        <v>86</v>
      </c>
      <c r="P5" s="6" t="s">
        <v>87</v>
      </c>
      <c r="Q5" s="7" t="s">
        <v>88</v>
      </c>
    </row>
    <row r="6" spans="2:17">
      <c r="B6" s="8" t="s">
        <v>106</v>
      </c>
      <c r="C6" s="9" t="s">
        <v>89</v>
      </c>
      <c r="D6" s="10">
        <v>5.0760697891031183</v>
      </c>
      <c r="E6" s="10">
        <v>0</v>
      </c>
      <c r="F6" s="10">
        <v>0</v>
      </c>
      <c r="G6" s="10">
        <v>4.7040854193889867</v>
      </c>
      <c r="H6" s="10">
        <v>30.3538563674093</v>
      </c>
      <c r="I6" s="10">
        <v>35.58110165866357</v>
      </c>
      <c r="J6" s="10">
        <v>1.8844479515971762</v>
      </c>
      <c r="K6" s="10">
        <v>5.8266817921370666E-2</v>
      </c>
      <c r="L6" s="10">
        <v>2.0048566721315408</v>
      </c>
      <c r="M6" s="10">
        <v>13.929683732123166</v>
      </c>
      <c r="N6" s="10">
        <v>38.135748205446177</v>
      </c>
      <c r="O6" s="10">
        <v>0.12148231662722253</v>
      </c>
      <c r="P6" s="10">
        <v>9.5274124899668724</v>
      </c>
      <c r="Q6" s="11">
        <v>141.37701142037849</v>
      </c>
    </row>
    <row r="7" spans="2:17">
      <c r="B7" s="8" t="s">
        <v>106</v>
      </c>
      <c r="C7" s="9" t="s">
        <v>90</v>
      </c>
      <c r="D7" s="10">
        <v>0.13260687444558333</v>
      </c>
      <c r="E7" s="10">
        <v>2.4054982817869417E-2</v>
      </c>
      <c r="F7" s="10">
        <v>9.947862618134808</v>
      </c>
      <c r="G7" s="10">
        <v>1.1435760892066689</v>
      </c>
      <c r="H7" s="10">
        <v>7.0120437442632033</v>
      </c>
      <c r="I7" s="10">
        <v>9.3897224043882783</v>
      </c>
      <c r="J7" s="10">
        <v>0.45823449036430558</v>
      </c>
      <c r="K7" s="10">
        <v>6.5921801613853797</v>
      </c>
      <c r="L7" s="10">
        <v>0.16889858429086166</v>
      </c>
      <c r="M7" s="10">
        <v>3.6873564525442459</v>
      </c>
      <c r="N7" s="10">
        <v>4.9873045117517938</v>
      </c>
      <c r="O7" s="10">
        <v>2.2977497747228414E-2</v>
      </c>
      <c r="P7" s="10">
        <v>5.0932435310366042</v>
      </c>
      <c r="Q7" s="11">
        <v>48.660061942376828</v>
      </c>
    </row>
    <row r="8" spans="2:17">
      <c r="B8" s="8" t="s">
        <v>107</v>
      </c>
      <c r="C8" s="9" t="s">
        <v>91</v>
      </c>
      <c r="D8" s="10">
        <v>2.6526414568237624</v>
      </c>
      <c r="E8" s="10">
        <v>7.9513141436064388E-2</v>
      </c>
      <c r="F8" s="10">
        <v>0</v>
      </c>
      <c r="G8" s="10">
        <v>4.0231409307435664</v>
      </c>
      <c r="H8" s="10">
        <v>16.404213413214155</v>
      </c>
      <c r="I8" s="10">
        <v>18.836870766901185</v>
      </c>
      <c r="J8" s="10">
        <v>1.0367629582991524</v>
      </c>
      <c r="K8" s="10">
        <v>7.2148549229814507E-2</v>
      </c>
      <c r="L8" s="10">
        <v>1.8615094200741353</v>
      </c>
      <c r="M8" s="10">
        <v>0</v>
      </c>
      <c r="N8" s="10">
        <v>15.441666102955558</v>
      </c>
      <c r="O8" s="10">
        <v>4.6294069799846377E-2</v>
      </c>
      <c r="P8" s="10">
        <v>4.873304523880198</v>
      </c>
      <c r="Q8" s="11">
        <v>65.328065333357443</v>
      </c>
    </row>
    <row r="9" spans="2:17">
      <c r="B9" s="8" t="s">
        <v>106</v>
      </c>
      <c r="C9" s="9" t="s">
        <v>92</v>
      </c>
      <c r="D9" s="10">
        <v>3.3616480039762718E-2</v>
      </c>
      <c r="E9" s="10">
        <v>0</v>
      </c>
      <c r="F9" s="10">
        <v>0</v>
      </c>
      <c r="G9" s="10">
        <v>0.24963515581755683</v>
      </c>
      <c r="H9" s="10">
        <v>1.3037123771442296</v>
      </c>
      <c r="I9" s="10">
        <v>1.061003322171751</v>
      </c>
      <c r="J9" s="10">
        <v>8.982054107336622E-2</v>
      </c>
      <c r="K9" s="10">
        <v>1.3996155297717414E-4</v>
      </c>
      <c r="L9" s="10">
        <v>2.5363381046222027E-2</v>
      </c>
      <c r="M9" s="10">
        <v>0.40745179521102964</v>
      </c>
      <c r="N9" s="10">
        <v>0.75035921727985389</v>
      </c>
      <c r="O9" s="10">
        <v>3.7462947742772385E-3</v>
      </c>
      <c r="P9" s="10">
        <v>0.48418477420341044</v>
      </c>
      <c r="Q9" s="11">
        <v>4.4090333003144373</v>
      </c>
    </row>
    <row r="10" spans="2:17">
      <c r="B10" s="8" t="s">
        <v>106</v>
      </c>
      <c r="C10" s="9" t="s">
        <v>93</v>
      </c>
      <c r="D10" s="10">
        <v>7.2715335220356447E-2</v>
      </c>
      <c r="E10" s="10">
        <v>0</v>
      </c>
      <c r="F10" s="10">
        <v>0</v>
      </c>
      <c r="G10" s="10">
        <v>0.77956338132597935</v>
      </c>
      <c r="H10" s="10">
        <v>4.1767430317644587</v>
      </c>
      <c r="I10" s="10">
        <v>7.1955040637175864</v>
      </c>
      <c r="J10" s="10">
        <v>0.24770723295131672</v>
      </c>
      <c r="K10" s="10">
        <v>2.7630290725406256E-3</v>
      </c>
      <c r="L10" s="10">
        <v>7.2958221498510042E-2</v>
      </c>
      <c r="M10" s="10">
        <v>1.9565645022084925</v>
      </c>
      <c r="N10" s="10">
        <v>2.8167153727337895</v>
      </c>
      <c r="O10" s="10">
        <v>1.2974162089213998E-2</v>
      </c>
      <c r="P10" s="10">
        <v>1.8602813940172349</v>
      </c>
      <c r="Q10" s="11">
        <v>19.194489726599478</v>
      </c>
    </row>
    <row r="11" spans="2:17">
      <c r="B11" s="8" t="s">
        <v>106</v>
      </c>
      <c r="C11" s="9" t="s">
        <v>94</v>
      </c>
      <c r="D11" s="10">
        <v>0.10916047098760168</v>
      </c>
      <c r="E11" s="10">
        <v>0</v>
      </c>
      <c r="F11" s="10">
        <v>0</v>
      </c>
      <c r="G11" s="10">
        <v>1.7535830537426529</v>
      </c>
      <c r="H11" s="10">
        <v>5.3424020267542733</v>
      </c>
      <c r="I11" s="10">
        <v>5.0873240722232245</v>
      </c>
      <c r="J11" s="10">
        <v>0.25885927084013366</v>
      </c>
      <c r="K11" s="10">
        <v>0</v>
      </c>
      <c r="L11" s="10">
        <v>0.21271586173961149</v>
      </c>
      <c r="M11" s="10">
        <v>3.704910677741398</v>
      </c>
      <c r="N11" s="10">
        <v>4.6520993856506045</v>
      </c>
      <c r="O11" s="10">
        <v>1.9109424577773315E-2</v>
      </c>
      <c r="P11" s="10">
        <v>1.7945471370406887</v>
      </c>
      <c r="Q11" s="11">
        <v>22.934711381297962</v>
      </c>
    </row>
    <row r="12" spans="2:17">
      <c r="B12" s="8" t="s">
        <v>107</v>
      </c>
      <c r="C12" s="9" t="s">
        <v>95</v>
      </c>
      <c r="D12" s="10">
        <v>6.2092935844005819E-2</v>
      </c>
      <c r="E12" s="10">
        <v>0</v>
      </c>
      <c r="F12" s="10">
        <v>0</v>
      </c>
      <c r="G12" s="10">
        <v>0.19982416501883635</v>
      </c>
      <c r="H12" s="10">
        <v>1.9760480418260573</v>
      </c>
      <c r="I12" s="10">
        <v>1.3702089247000366</v>
      </c>
      <c r="J12" s="10">
        <v>0.20108325561689977</v>
      </c>
      <c r="K12" s="10">
        <v>1.2872250598680401E-3</v>
      </c>
      <c r="L12" s="10">
        <v>4.6250880868661567E-2</v>
      </c>
      <c r="M12" s="10">
        <v>0</v>
      </c>
      <c r="N12" s="10">
        <v>0.82225439318842575</v>
      </c>
      <c r="O12" s="10">
        <v>3.7259554651460519E-3</v>
      </c>
      <c r="P12" s="10">
        <v>0.37086394094011305</v>
      </c>
      <c r="Q12" s="11">
        <v>5.0536397185280508</v>
      </c>
    </row>
    <row r="13" spans="2:17">
      <c r="B13" s="8" t="s">
        <v>107</v>
      </c>
      <c r="C13" s="9" t="s">
        <v>96</v>
      </c>
      <c r="D13" s="10">
        <v>0.35519589214511604</v>
      </c>
      <c r="E13" s="10">
        <v>1.4432989690721649E-2</v>
      </c>
      <c r="F13" s="10">
        <v>0</v>
      </c>
      <c r="G13" s="10">
        <v>0.17115603136991753</v>
      </c>
      <c r="H13" s="10">
        <v>1.4389495193931572</v>
      </c>
      <c r="I13" s="10">
        <v>2.2799314261054779</v>
      </c>
      <c r="J13" s="10">
        <v>0.27337410521957939</v>
      </c>
      <c r="K13" s="10">
        <v>0</v>
      </c>
      <c r="L13" s="10">
        <v>2.6859045826888084E-2</v>
      </c>
      <c r="M13" s="10">
        <v>0</v>
      </c>
      <c r="N13" s="10">
        <v>0.90615769557368431</v>
      </c>
      <c r="O13" s="10">
        <v>3.9852172916663717E-3</v>
      </c>
      <c r="P13" s="10">
        <v>0.63873610625889621</v>
      </c>
      <c r="Q13" s="11">
        <v>6.108778028875105</v>
      </c>
    </row>
    <row r="14" spans="2:17">
      <c r="B14" s="8" t="s">
        <v>106</v>
      </c>
      <c r="C14" s="9" t="s">
        <v>97</v>
      </c>
      <c r="D14" s="10">
        <v>5.7808581803015804E-2</v>
      </c>
      <c r="E14" s="10">
        <v>0</v>
      </c>
      <c r="F14" s="10">
        <v>0</v>
      </c>
      <c r="G14" s="10">
        <v>1.0708962205439438</v>
      </c>
      <c r="H14" s="10">
        <v>3.8956291690953715</v>
      </c>
      <c r="I14" s="10">
        <v>4.7860155646638542</v>
      </c>
      <c r="J14" s="10">
        <v>0.26735772193992341</v>
      </c>
      <c r="K14" s="10">
        <v>6.0928918760917855E-3</v>
      </c>
      <c r="L14" s="10">
        <v>0.44892451976427783</v>
      </c>
      <c r="M14" s="10">
        <v>6.2790527475734752</v>
      </c>
      <c r="N14" s="10">
        <v>3.2058461184949518</v>
      </c>
      <c r="O14" s="10">
        <v>1.3017930222787438E-2</v>
      </c>
      <c r="P14" s="10">
        <v>1.7913011247695687</v>
      </c>
      <c r="Q14" s="11">
        <v>21.821942590747263</v>
      </c>
    </row>
    <row r="15" spans="2:17">
      <c r="B15" s="8" t="s">
        <v>107</v>
      </c>
      <c r="C15" s="9" t="s">
        <v>98</v>
      </c>
      <c r="D15" s="10">
        <v>0.34279866251681518</v>
      </c>
      <c r="E15" s="10">
        <v>0</v>
      </c>
      <c r="F15" s="10">
        <v>0</v>
      </c>
      <c r="G15" s="10">
        <v>1.0977014654047126</v>
      </c>
      <c r="H15" s="10">
        <v>5.7433184852897945</v>
      </c>
      <c r="I15" s="10">
        <v>4.9356680496160905</v>
      </c>
      <c r="J15" s="10">
        <v>0.33985624481629872</v>
      </c>
      <c r="K15" s="10">
        <v>5.1489002394721605E-3</v>
      </c>
      <c r="L15" s="10">
        <v>1.4892075360593087</v>
      </c>
      <c r="M15" s="10">
        <v>0</v>
      </c>
      <c r="N15" s="10">
        <v>6.3539984636554667</v>
      </c>
      <c r="O15" s="10">
        <v>1.7375949028655822E-2</v>
      </c>
      <c r="P15" s="10">
        <v>1.5058922528931329</v>
      </c>
      <c r="Q15" s="11">
        <v>21.830966009519752</v>
      </c>
    </row>
    <row r="16" spans="2:17">
      <c r="B16" s="8" t="s">
        <v>107</v>
      </c>
      <c r="C16" s="9" t="s">
        <v>99</v>
      </c>
      <c r="D16" s="10">
        <v>6.7921240358798873E-2</v>
      </c>
      <c r="E16" s="10">
        <v>0</v>
      </c>
      <c r="F16" s="10">
        <v>0</v>
      </c>
      <c r="G16" s="10">
        <v>1.3148228028719318</v>
      </c>
      <c r="H16" s="10">
        <v>3.6756720302319952</v>
      </c>
      <c r="I16" s="10">
        <v>21.561642811623813</v>
      </c>
      <c r="J16" s="10">
        <v>0.46876303498049376</v>
      </c>
      <c r="K16" s="10">
        <v>0</v>
      </c>
      <c r="L16" s="10">
        <v>0.17159346118140603</v>
      </c>
      <c r="M16" s="10">
        <v>0</v>
      </c>
      <c r="N16" s="10">
        <v>2.4737966318568008</v>
      </c>
      <c r="O16" s="10">
        <v>8.010340822767352E-3</v>
      </c>
      <c r="P16" s="10">
        <v>1.0148820140015768</v>
      </c>
      <c r="Q16" s="11">
        <v>30.757104367929578</v>
      </c>
    </row>
    <row r="17" spans="2:33">
      <c r="B17" s="8" t="s">
        <v>106</v>
      </c>
      <c r="C17" s="9" t="s">
        <v>100</v>
      </c>
      <c r="D17" s="10">
        <v>5.2061730389908023E-2</v>
      </c>
      <c r="E17" s="10">
        <v>0</v>
      </c>
      <c r="F17" s="10">
        <v>0</v>
      </c>
      <c r="G17" s="10">
        <v>2.1805580917803287</v>
      </c>
      <c r="H17" s="10">
        <v>4.3243677751033154</v>
      </c>
      <c r="I17" s="10">
        <v>3.2469848912861443</v>
      </c>
      <c r="J17" s="10">
        <v>0.16234413588497307</v>
      </c>
      <c r="K17" s="10">
        <v>1.0754655011496767E-4</v>
      </c>
      <c r="L17" s="10">
        <v>6.091166214019126E-2</v>
      </c>
      <c r="M17" s="10">
        <v>20.9578843031838</v>
      </c>
      <c r="N17" s="10">
        <v>2.2789300782503905</v>
      </c>
      <c r="O17" s="10">
        <v>9.4065442837600981E-3</v>
      </c>
      <c r="P17" s="10">
        <v>0.95135166762525669</v>
      </c>
      <c r="Q17" s="11">
        <v>34.22490842647818</v>
      </c>
    </row>
    <row r="18" spans="2:33">
      <c r="B18" s="8" t="s">
        <v>107</v>
      </c>
      <c r="C18" s="9" t="s">
        <v>101</v>
      </c>
      <c r="D18" s="10">
        <v>2.9626097839846325E-2</v>
      </c>
      <c r="E18" s="10">
        <v>0</v>
      </c>
      <c r="F18" s="10">
        <v>0</v>
      </c>
      <c r="G18" s="10">
        <v>0.37648237665491135</v>
      </c>
      <c r="H18" s="10">
        <v>2.0753570384709552</v>
      </c>
      <c r="I18" s="10">
        <v>0.56619456517933298</v>
      </c>
      <c r="J18" s="10">
        <v>0.27186649174700611</v>
      </c>
      <c r="K18" s="10">
        <v>0</v>
      </c>
      <c r="L18" s="10">
        <v>6.1474541940468669E-2</v>
      </c>
      <c r="M18" s="10">
        <v>0</v>
      </c>
      <c r="N18" s="10">
        <v>0.90206522402443878</v>
      </c>
      <c r="O18" s="10">
        <v>4.0470075978877003E-3</v>
      </c>
      <c r="P18" s="10">
        <v>0.83694467783561111</v>
      </c>
      <c r="Q18" s="11">
        <v>5.1240580212904581</v>
      </c>
    </row>
    <row r="19" spans="2:33">
      <c r="B19" s="8" t="s">
        <v>106</v>
      </c>
      <c r="C19" s="9" t="s">
        <v>102</v>
      </c>
      <c r="D19" s="10">
        <v>0.22933454231933972</v>
      </c>
      <c r="E19" s="10">
        <v>0.16415056041960571</v>
      </c>
      <c r="F19" s="10">
        <v>6.8064323176711845</v>
      </c>
      <c r="G19" s="10">
        <v>4.0357585279347186</v>
      </c>
      <c r="H19" s="10">
        <v>11.869910865325462</v>
      </c>
      <c r="I19" s="10">
        <v>11.761979608186552</v>
      </c>
      <c r="J19" s="10">
        <v>0.6190870839074416</v>
      </c>
      <c r="K19" s="10">
        <v>3.0950966141011507</v>
      </c>
      <c r="L19" s="10">
        <v>0.29276209175014378</v>
      </c>
      <c r="M19" s="10">
        <v>5.441080046764843</v>
      </c>
      <c r="N19" s="10">
        <v>7.9962990346376372</v>
      </c>
      <c r="O19" s="10">
        <v>3.4640160586894737E-2</v>
      </c>
      <c r="P19" s="10">
        <v>4.6630091812137371</v>
      </c>
      <c r="Q19" s="11">
        <v>57.00954063481872</v>
      </c>
    </row>
    <row r="20" spans="2:33">
      <c r="B20" s="8" t="s">
        <v>106</v>
      </c>
      <c r="C20" s="9" t="s">
        <v>103</v>
      </c>
      <c r="D20" s="10">
        <v>2.6623327256527869</v>
      </c>
      <c r="E20" s="10">
        <v>4.8109965635738834E-2</v>
      </c>
      <c r="F20" s="10">
        <v>0</v>
      </c>
      <c r="G20" s="10">
        <v>0.86269998975355056</v>
      </c>
      <c r="H20" s="10">
        <v>10.53502108924814</v>
      </c>
      <c r="I20" s="10">
        <v>11.904731177309305</v>
      </c>
      <c r="J20" s="10">
        <v>0.55194503611885304</v>
      </c>
      <c r="K20" s="10">
        <v>0</v>
      </c>
      <c r="L20" s="10">
        <v>0.38035961650755234</v>
      </c>
      <c r="M20" s="10">
        <v>4.2216928442423116</v>
      </c>
      <c r="N20" s="10">
        <v>13.933673525959179</v>
      </c>
      <c r="O20" s="10">
        <v>4.0448191912090273E-2</v>
      </c>
      <c r="P20" s="10">
        <v>2.7440404300118955</v>
      </c>
      <c r="Q20" s="11">
        <v>47.885054592351402</v>
      </c>
    </row>
    <row r="21" spans="2:33">
      <c r="B21" s="8" t="s">
        <v>107</v>
      </c>
      <c r="C21" s="9" t="s">
        <v>104</v>
      </c>
      <c r="D21" s="10">
        <v>2.2245430933967508E-2</v>
      </c>
      <c r="E21" s="10">
        <v>0</v>
      </c>
      <c r="F21" s="10">
        <v>0</v>
      </c>
      <c r="G21" s="10">
        <v>0.62618634568284703</v>
      </c>
      <c r="H21" s="10">
        <v>1.9635326702827922</v>
      </c>
      <c r="I21" s="10">
        <v>1.2607231898554863</v>
      </c>
      <c r="J21" s="10">
        <v>0.13779825246946559</v>
      </c>
      <c r="K21" s="10">
        <v>1.2311063876014945E-2</v>
      </c>
      <c r="L21" s="10">
        <v>1.4712835106612464E-2</v>
      </c>
      <c r="M21" s="10">
        <v>0</v>
      </c>
      <c r="N21" s="10">
        <v>0.76520285119063292</v>
      </c>
      <c r="O21" s="10">
        <v>2.7589371727822754E-3</v>
      </c>
      <c r="P21" s="10">
        <v>0.43574306628738008</v>
      </c>
      <c r="Q21" s="11">
        <v>5.2412146428579822</v>
      </c>
    </row>
    <row r="22" spans="2:33">
      <c r="B22" s="12"/>
      <c r="C22" s="13" t="s">
        <v>88</v>
      </c>
      <c r="D22" s="14">
        <v>11.958228246423788</v>
      </c>
      <c r="E22" s="14">
        <v>0.33026164000000002</v>
      </c>
      <c r="F22" s="14">
        <v>16.754294935805991</v>
      </c>
      <c r="G22" s="14">
        <v>24.58967004724111</v>
      </c>
      <c r="H22" s="14">
        <v>112.09077764481665</v>
      </c>
      <c r="I22" s="14">
        <v>140.82560649659169</v>
      </c>
      <c r="J22" s="14">
        <v>7.269307807826384</v>
      </c>
      <c r="K22" s="14">
        <v>9.845542760864797</v>
      </c>
      <c r="L22" s="14">
        <v>7.339358331926392</v>
      </c>
      <c r="M22" s="14">
        <v>60.585677101592758</v>
      </c>
      <c r="N22" s="14">
        <v>106.42211681264941</v>
      </c>
      <c r="O22" s="14">
        <v>0.36400000000000005</v>
      </c>
      <c r="P22" s="14">
        <v>38.585738311982183</v>
      </c>
      <c r="Q22" s="15">
        <v>536.96058013772119</v>
      </c>
    </row>
    <row r="25" spans="2:33" s="16" customFormat="1"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</row>
    <row r="26" spans="2:33" s="16" customFormat="1">
      <c r="C26" s="56" t="s">
        <v>30</v>
      </c>
      <c r="D26" s="54" t="s">
        <v>78</v>
      </c>
      <c r="E26" s="54" t="s">
        <v>79</v>
      </c>
      <c r="F26" s="54" t="s">
        <v>80</v>
      </c>
      <c r="G26" s="54" t="s">
        <v>81</v>
      </c>
      <c r="H26" s="54" t="s">
        <v>82</v>
      </c>
      <c r="I26" s="54" t="s">
        <v>57</v>
      </c>
      <c r="J26" s="54" t="s">
        <v>83</v>
      </c>
      <c r="K26" s="54" t="s">
        <v>84</v>
      </c>
      <c r="L26" s="54" t="s">
        <v>71</v>
      </c>
      <c r="M26" s="54" t="s">
        <v>43</v>
      </c>
      <c r="N26" s="54" t="s">
        <v>85</v>
      </c>
      <c r="O26" s="54" t="s">
        <v>86</v>
      </c>
      <c r="P26" s="54" t="s">
        <v>87</v>
      </c>
      <c r="Q26" s="55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</row>
    <row r="27" spans="2:33" s="16" customFormat="1">
      <c r="C27" s="57" t="s">
        <v>106</v>
      </c>
      <c r="D27" s="50">
        <f>SUMIF($B$6:$B$21,$C$27,D6:D21)</f>
        <v>8.4257065299614737</v>
      </c>
      <c r="E27" s="50">
        <f t="shared" ref="E27:Q27" si="0">SUMIF($B$6:$B$21,$C$27,E6:E21)</f>
        <v>0.23631550887321395</v>
      </c>
      <c r="F27" s="50">
        <f t="shared" si="0"/>
        <v>16.754294935805994</v>
      </c>
      <c r="G27" s="50">
        <f t="shared" si="0"/>
        <v>16.780355929494387</v>
      </c>
      <c r="H27" s="50">
        <f t="shared" si="0"/>
        <v>78.813686446107766</v>
      </c>
      <c r="I27" s="50">
        <f t="shared" si="0"/>
        <v>90.014366762610265</v>
      </c>
      <c r="J27" s="50">
        <f t="shared" si="0"/>
        <v>4.5398034646774885</v>
      </c>
      <c r="K27" s="50">
        <f t="shared" si="0"/>
        <v>9.7546470224596256</v>
      </c>
      <c r="L27" s="50">
        <f t="shared" si="0"/>
        <v>3.6677506108689109</v>
      </c>
      <c r="M27" s="50">
        <f t="shared" si="0"/>
        <v>60.585677101592772</v>
      </c>
      <c r="N27" s="50">
        <f t="shared" si="0"/>
        <v>78.756975450204365</v>
      </c>
      <c r="O27" s="50">
        <f t="shared" si="0"/>
        <v>0.27780252282124801</v>
      </c>
      <c r="P27" s="50">
        <f t="shared" si="0"/>
        <v>28.909371729885269</v>
      </c>
      <c r="Q27" s="51">
        <f t="shared" si="0"/>
        <v>397.51675401536284</v>
      </c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</row>
    <row r="28" spans="2:33" s="16" customFormat="1">
      <c r="C28" s="58" t="s">
        <v>107</v>
      </c>
      <c r="D28" s="52">
        <f>SUMIF($B$6:$B$21,$C$28,D6:D21)</f>
        <v>3.5325217164623122</v>
      </c>
      <c r="E28" s="52">
        <f t="shared" ref="E28:Q28" si="1">SUMIF($B$6:$B$21,$C$28,E6:E21)</f>
        <v>9.3946131126786042E-2</v>
      </c>
      <c r="F28" s="52">
        <f t="shared" si="1"/>
        <v>0</v>
      </c>
      <c r="G28" s="52">
        <f t="shared" si="1"/>
        <v>7.8093141177467231</v>
      </c>
      <c r="H28" s="52">
        <f t="shared" si="1"/>
        <v>33.277091198708909</v>
      </c>
      <c r="I28" s="52">
        <f t="shared" si="1"/>
        <v>50.811239733981417</v>
      </c>
      <c r="J28" s="52">
        <f t="shared" si="1"/>
        <v>2.7295043431488955</v>
      </c>
      <c r="K28" s="52">
        <f t="shared" si="1"/>
        <v>9.0895738405169652E-2</v>
      </c>
      <c r="L28" s="52">
        <f t="shared" si="1"/>
        <v>3.6716077210574807</v>
      </c>
      <c r="M28" s="52">
        <f t="shared" si="1"/>
        <v>0</v>
      </c>
      <c r="N28" s="52">
        <f t="shared" si="1"/>
        <v>27.665141362445009</v>
      </c>
      <c r="O28" s="52">
        <f t="shared" si="1"/>
        <v>8.6197477178751952E-2</v>
      </c>
      <c r="P28" s="52">
        <f t="shared" si="1"/>
        <v>9.6763665820969074</v>
      </c>
      <c r="Q28" s="53">
        <f t="shared" si="1"/>
        <v>139.44382612235839</v>
      </c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</row>
    <row r="29" spans="2:33" s="16" customFormat="1"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</row>
    <row r="30" spans="2:33" s="16" customFormat="1"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</row>
    <row r="31" spans="2:33" s="16" customFormat="1">
      <c r="C31" s="16" t="s">
        <v>151</v>
      </c>
      <c r="S31" s="100" t="s">
        <v>299</v>
      </c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</row>
    <row r="32" spans="2:33" ht="15.75" customHeight="1">
      <c r="C32" s="4" t="s">
        <v>109</v>
      </c>
      <c r="D32" s="17" t="s">
        <v>78</v>
      </c>
      <c r="E32" s="18" t="s">
        <v>79</v>
      </c>
      <c r="F32" s="18" t="s">
        <v>80</v>
      </c>
      <c r="G32" s="6" t="s">
        <v>81</v>
      </c>
      <c r="H32" s="19" t="s">
        <v>82</v>
      </c>
      <c r="I32" s="6" t="s">
        <v>57</v>
      </c>
      <c r="J32" s="19" t="s">
        <v>83</v>
      </c>
      <c r="K32" s="18" t="s">
        <v>84</v>
      </c>
      <c r="L32" s="19" t="s">
        <v>71</v>
      </c>
      <c r="M32" s="20" t="s">
        <v>43</v>
      </c>
      <c r="N32" s="19" t="s">
        <v>85</v>
      </c>
      <c r="O32" s="18" t="s">
        <v>86</v>
      </c>
      <c r="P32" s="18" t="s">
        <v>87</v>
      </c>
      <c r="Q32" s="4" t="s">
        <v>88</v>
      </c>
      <c r="S32" s="99" t="s">
        <v>109</v>
      </c>
      <c r="T32" s="98" t="s">
        <v>78</v>
      </c>
      <c r="U32" s="97" t="s">
        <v>79</v>
      </c>
      <c r="V32" s="97" t="s">
        <v>80</v>
      </c>
      <c r="W32" s="96" t="s">
        <v>81</v>
      </c>
      <c r="X32" s="95" t="s">
        <v>82</v>
      </c>
      <c r="Y32" s="96" t="s">
        <v>57</v>
      </c>
      <c r="Z32" s="95" t="s">
        <v>83</v>
      </c>
      <c r="AA32" s="97" t="s">
        <v>84</v>
      </c>
      <c r="AB32" s="95" t="s">
        <v>71</v>
      </c>
      <c r="AC32" s="94" t="s">
        <v>43</v>
      </c>
      <c r="AD32" s="95" t="s">
        <v>85</v>
      </c>
      <c r="AE32" s="97" t="s">
        <v>86</v>
      </c>
      <c r="AF32" s="97" t="s">
        <v>87</v>
      </c>
      <c r="AG32" s="99" t="s">
        <v>88</v>
      </c>
    </row>
    <row r="33" spans="3:33">
      <c r="C33" s="21"/>
      <c r="D33" s="45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S33" s="93"/>
      <c r="T33" s="92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0"/>
    </row>
    <row r="34" spans="3:33">
      <c r="C34" s="41" t="s">
        <v>47</v>
      </c>
      <c r="D34" s="46">
        <v>0</v>
      </c>
      <c r="E34" s="34">
        <v>7.3481929824561414</v>
      </c>
      <c r="F34" s="34">
        <v>0</v>
      </c>
      <c r="G34" s="34">
        <v>1680.8780635657715</v>
      </c>
      <c r="H34" s="34">
        <v>22796.671644149887</v>
      </c>
      <c r="I34" s="34">
        <v>9784.3770205965029</v>
      </c>
      <c r="J34" s="34">
        <v>2323.2179110622387</v>
      </c>
      <c r="K34" s="34">
        <v>731.78960232758595</v>
      </c>
      <c r="L34" s="34">
        <v>67.994451089265837</v>
      </c>
      <c r="M34" s="34">
        <v>1631.7636539999996</v>
      </c>
      <c r="N34" s="34">
        <v>3844.6755504109419</v>
      </c>
      <c r="O34" s="34">
        <v>0</v>
      </c>
      <c r="P34" s="34">
        <v>0</v>
      </c>
      <c r="Q34" s="35">
        <v>42868.716090184644</v>
      </c>
      <c r="S34" s="89" t="s">
        <v>47</v>
      </c>
      <c r="T34" s="88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6"/>
    </row>
    <row r="35" spans="3:33">
      <c r="C35" s="42" t="s">
        <v>110</v>
      </c>
      <c r="D35" s="47"/>
      <c r="E35" s="36">
        <v>7.3481929824561414</v>
      </c>
      <c r="F35" s="36"/>
      <c r="G35" s="36"/>
      <c r="H35" s="36">
        <v>5234.9647069182101</v>
      </c>
      <c r="I35" s="36">
        <v>7091.2887980399382</v>
      </c>
      <c r="J35" s="36"/>
      <c r="K35" s="36"/>
      <c r="L35" s="36"/>
      <c r="M35" s="36"/>
      <c r="N35" s="36">
        <v>2200.187301493922</v>
      </c>
      <c r="O35" s="36"/>
      <c r="P35" s="36"/>
      <c r="Q35" s="37">
        <v>14533.788999434528</v>
      </c>
      <c r="S35" s="85"/>
      <c r="T35" s="102">
        <v>0.5</v>
      </c>
      <c r="U35" s="102">
        <v>0.5</v>
      </c>
      <c r="V35" s="102">
        <v>0.5</v>
      </c>
      <c r="W35" s="102">
        <v>0.5</v>
      </c>
      <c r="X35" s="102">
        <v>0.5</v>
      </c>
      <c r="Y35" s="102">
        <v>0.5</v>
      </c>
      <c r="Z35" s="102">
        <v>0.5</v>
      </c>
      <c r="AA35" s="102">
        <v>0.5</v>
      </c>
      <c r="AB35" s="102">
        <v>0.5</v>
      </c>
      <c r="AC35" s="102">
        <v>0.5</v>
      </c>
      <c r="AD35" s="102">
        <v>0.5</v>
      </c>
      <c r="AE35" s="102">
        <v>0.5</v>
      </c>
      <c r="AF35" s="102">
        <v>0.5</v>
      </c>
      <c r="AG35" s="83"/>
    </row>
    <row r="36" spans="3:33">
      <c r="C36" s="43" t="s">
        <v>111</v>
      </c>
      <c r="D36" s="47"/>
      <c r="E36" s="36"/>
      <c r="F36" s="36"/>
      <c r="G36" s="36"/>
      <c r="H36" s="36">
        <v>2902.9715502303115</v>
      </c>
      <c r="I36" s="36">
        <v>182.4127173313824</v>
      </c>
      <c r="J36" s="36">
        <v>2323.2179110622387</v>
      </c>
      <c r="K36" s="36"/>
      <c r="L36" s="36"/>
      <c r="M36" s="36"/>
      <c r="N36" s="36">
        <v>203.55389247107496</v>
      </c>
      <c r="O36" s="36"/>
      <c r="P36" s="36"/>
      <c r="Q36" s="37">
        <v>5612.1560710950071</v>
      </c>
      <c r="S36" s="82"/>
      <c r="T36" s="102">
        <v>0.5</v>
      </c>
      <c r="U36" s="102">
        <v>0.5</v>
      </c>
      <c r="V36" s="102">
        <v>0.5</v>
      </c>
      <c r="W36" s="102">
        <v>0.5</v>
      </c>
      <c r="X36" s="102">
        <v>0.5</v>
      </c>
      <c r="Y36" s="102">
        <v>0.5</v>
      </c>
      <c r="Z36" s="102">
        <v>0.5</v>
      </c>
      <c r="AA36" s="102">
        <v>0.5</v>
      </c>
      <c r="AB36" s="102">
        <v>0.5</v>
      </c>
      <c r="AC36" s="102">
        <v>0.5</v>
      </c>
      <c r="AD36" s="102">
        <v>0.5</v>
      </c>
      <c r="AE36" s="102">
        <v>0.5</v>
      </c>
      <c r="AF36" s="102">
        <v>0.5</v>
      </c>
      <c r="AG36" s="83"/>
    </row>
    <row r="37" spans="3:33">
      <c r="C37" s="43" t="s">
        <v>112</v>
      </c>
      <c r="D37" s="47"/>
      <c r="E37" s="36"/>
      <c r="F37" s="36"/>
      <c r="G37" s="36">
        <v>0.64772262184121387</v>
      </c>
      <c r="H37" s="36">
        <v>2864.0065931190152</v>
      </c>
      <c r="I37" s="36">
        <v>641.45471368725839</v>
      </c>
      <c r="J37" s="36"/>
      <c r="K37" s="36"/>
      <c r="L37" s="36"/>
      <c r="M37" s="36">
        <v>9.6740000000000003E-3</v>
      </c>
      <c r="N37" s="36">
        <v>74.529936007796309</v>
      </c>
      <c r="O37" s="36"/>
      <c r="P37" s="36"/>
      <c r="Q37" s="37">
        <v>3580.6486394359108</v>
      </c>
      <c r="S37" s="82"/>
      <c r="T37" s="102">
        <v>0.5</v>
      </c>
      <c r="U37" s="102">
        <v>0.5</v>
      </c>
      <c r="V37" s="102">
        <v>0.5</v>
      </c>
      <c r="W37" s="102">
        <v>0.5</v>
      </c>
      <c r="X37" s="102">
        <v>0.5</v>
      </c>
      <c r="Y37" s="102">
        <v>0.5</v>
      </c>
      <c r="Z37" s="102">
        <v>0.5</v>
      </c>
      <c r="AA37" s="102">
        <v>0.5</v>
      </c>
      <c r="AB37" s="102">
        <v>0.5</v>
      </c>
      <c r="AC37" s="102">
        <v>0.5</v>
      </c>
      <c r="AD37" s="102">
        <v>0.5</v>
      </c>
      <c r="AE37" s="102">
        <v>0.5</v>
      </c>
      <c r="AF37" s="102">
        <v>0.5</v>
      </c>
      <c r="AG37" s="83"/>
    </row>
    <row r="38" spans="3:33">
      <c r="C38" s="43" t="s">
        <v>113</v>
      </c>
      <c r="D38" s="47"/>
      <c r="E38" s="36"/>
      <c r="F38" s="36"/>
      <c r="G38" s="36">
        <v>1680.2303409439303</v>
      </c>
      <c r="H38" s="36">
        <v>223.31056984687348</v>
      </c>
      <c r="I38" s="36">
        <v>33.769723489333728</v>
      </c>
      <c r="J38" s="36"/>
      <c r="K38" s="36">
        <v>527.18543656882525</v>
      </c>
      <c r="L38" s="36"/>
      <c r="M38" s="36">
        <v>1631.7539799999997</v>
      </c>
      <c r="N38" s="36"/>
      <c r="O38" s="36"/>
      <c r="P38" s="36"/>
      <c r="Q38" s="37">
        <v>4096.250050848962</v>
      </c>
      <c r="S38" s="82"/>
      <c r="T38" s="102">
        <v>0.5</v>
      </c>
      <c r="U38" s="102">
        <v>0.5</v>
      </c>
      <c r="V38" s="102">
        <v>0.5</v>
      </c>
      <c r="W38" s="102">
        <v>0.5</v>
      </c>
      <c r="X38" s="102">
        <v>0.5</v>
      </c>
      <c r="Y38" s="102">
        <v>0.5</v>
      </c>
      <c r="Z38" s="102">
        <v>0.5</v>
      </c>
      <c r="AA38" s="102">
        <v>0.5</v>
      </c>
      <c r="AB38" s="102">
        <v>0.5</v>
      </c>
      <c r="AC38" s="102">
        <v>0.5</v>
      </c>
      <c r="AD38" s="102">
        <v>0.5</v>
      </c>
      <c r="AE38" s="102">
        <v>0.5</v>
      </c>
      <c r="AF38" s="102">
        <v>0.5</v>
      </c>
      <c r="AG38" s="83"/>
    </row>
    <row r="39" spans="3:33">
      <c r="C39" s="43" t="s">
        <v>114</v>
      </c>
      <c r="D39" s="47"/>
      <c r="E39" s="36"/>
      <c r="F39" s="36"/>
      <c r="G39" s="36"/>
      <c r="H39" s="36">
        <v>11571.418224035475</v>
      </c>
      <c r="I39" s="36">
        <v>1835.4510680485901</v>
      </c>
      <c r="J39" s="36"/>
      <c r="K39" s="36">
        <v>204.60416575876064</v>
      </c>
      <c r="L39" s="36">
        <v>67.994451089265837</v>
      </c>
      <c r="M39" s="36"/>
      <c r="N39" s="36">
        <v>1366.4044204381489</v>
      </c>
      <c r="O39" s="36"/>
      <c r="P39" s="36"/>
      <c r="Q39" s="37">
        <v>15045.872329370242</v>
      </c>
      <c r="S39" s="82"/>
      <c r="T39" s="102">
        <v>0.5</v>
      </c>
      <c r="U39" s="102">
        <v>0.5</v>
      </c>
      <c r="V39" s="102">
        <v>0.5</v>
      </c>
      <c r="W39" s="102">
        <v>0.5</v>
      </c>
      <c r="X39" s="102">
        <v>0.5</v>
      </c>
      <c r="Y39" s="102">
        <v>0.5</v>
      </c>
      <c r="Z39" s="102">
        <v>0.5</v>
      </c>
      <c r="AA39" s="102">
        <v>0.5</v>
      </c>
      <c r="AB39" s="102">
        <v>0.5</v>
      </c>
      <c r="AC39" s="102">
        <v>0.5</v>
      </c>
      <c r="AD39" s="102">
        <v>0.5</v>
      </c>
      <c r="AE39" s="102">
        <v>0.5</v>
      </c>
      <c r="AF39" s="102">
        <v>0.5</v>
      </c>
      <c r="AG39" s="83"/>
    </row>
    <row r="40" spans="3:33">
      <c r="C40" s="25" t="s">
        <v>115</v>
      </c>
      <c r="D40" s="46">
        <v>0</v>
      </c>
      <c r="E40" s="34">
        <v>280</v>
      </c>
      <c r="F40" s="34">
        <v>0</v>
      </c>
      <c r="G40" s="34">
        <v>1128.7058298240188</v>
      </c>
      <c r="H40" s="34">
        <v>18898.855529525878</v>
      </c>
      <c r="I40" s="34">
        <v>33673.329707686709</v>
      </c>
      <c r="J40" s="34">
        <v>4.6744072035876831</v>
      </c>
      <c r="K40" s="34">
        <v>2251.7422866074448</v>
      </c>
      <c r="L40" s="34">
        <v>1253.8726437373889</v>
      </c>
      <c r="M40" s="34">
        <v>8714.255124460502</v>
      </c>
      <c r="N40" s="34">
        <v>17028.203314148312</v>
      </c>
      <c r="O40" s="34">
        <v>0</v>
      </c>
      <c r="P40" s="34">
        <v>0</v>
      </c>
      <c r="Q40" s="35">
        <v>83233.638843193839</v>
      </c>
      <c r="S40" s="81" t="s">
        <v>115</v>
      </c>
      <c r="T40" s="88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6"/>
    </row>
    <row r="41" spans="3:33">
      <c r="C41" s="43" t="s">
        <v>116</v>
      </c>
      <c r="D41" s="47"/>
      <c r="E41" s="36"/>
      <c r="F41" s="36"/>
      <c r="G41" s="36">
        <v>10.258235429630346</v>
      </c>
      <c r="H41" s="36">
        <v>324.6865004369609</v>
      </c>
      <c r="I41" s="36">
        <v>3038.8157220903909</v>
      </c>
      <c r="J41" s="36">
        <v>0.62127059054227174</v>
      </c>
      <c r="K41" s="36">
        <v>366.88619401309381</v>
      </c>
      <c r="L41" s="36">
        <v>230.95187464911294</v>
      </c>
      <c r="M41" s="36">
        <v>702.91834113761286</v>
      </c>
      <c r="N41" s="36">
        <v>685.88206725173313</v>
      </c>
      <c r="O41" s="36"/>
      <c r="P41" s="36"/>
      <c r="Q41" s="37">
        <v>5361.0202055990767</v>
      </c>
      <c r="S41" s="82"/>
      <c r="T41" s="102">
        <v>0.5</v>
      </c>
      <c r="U41" s="102">
        <v>0.5</v>
      </c>
      <c r="V41" s="102">
        <v>0.5</v>
      </c>
      <c r="W41" s="102">
        <v>0.5</v>
      </c>
      <c r="X41" s="102">
        <v>0.5</v>
      </c>
      <c r="Y41" s="102">
        <v>0.5</v>
      </c>
      <c r="Z41" s="102">
        <v>0.5</v>
      </c>
      <c r="AA41" s="102">
        <v>0.5</v>
      </c>
      <c r="AB41" s="102">
        <v>0.5</v>
      </c>
      <c r="AC41" s="102">
        <v>0.5</v>
      </c>
      <c r="AD41" s="102">
        <v>0.5</v>
      </c>
      <c r="AE41" s="102">
        <v>0.5</v>
      </c>
      <c r="AF41" s="102">
        <v>0.5</v>
      </c>
      <c r="AG41" s="83"/>
    </row>
    <row r="42" spans="3:33">
      <c r="C42" s="43" t="s">
        <v>117</v>
      </c>
      <c r="D42" s="47"/>
      <c r="E42" s="36"/>
      <c r="F42" s="36"/>
      <c r="G42" s="36">
        <v>36.67147040854082</v>
      </c>
      <c r="H42" s="36">
        <v>1701.9263773071889</v>
      </c>
      <c r="I42" s="36">
        <v>2091.2729403587473</v>
      </c>
      <c r="J42" s="36">
        <v>0.165513929905623</v>
      </c>
      <c r="K42" s="36">
        <v>1695.7098916299913</v>
      </c>
      <c r="L42" s="36"/>
      <c r="M42" s="36">
        <v>343.71566502721805</v>
      </c>
      <c r="N42" s="36">
        <v>1936.363458626905</v>
      </c>
      <c r="O42" s="36"/>
      <c r="P42" s="36"/>
      <c r="Q42" s="37">
        <v>7805.8253172884961</v>
      </c>
      <c r="S42" s="82"/>
      <c r="T42" s="102">
        <v>0.5</v>
      </c>
      <c r="U42" s="102">
        <v>0.5</v>
      </c>
      <c r="V42" s="102">
        <v>0.5</v>
      </c>
      <c r="W42" s="102">
        <v>0.5</v>
      </c>
      <c r="X42" s="102">
        <v>0.5</v>
      </c>
      <c r="Y42" s="102">
        <v>0.5</v>
      </c>
      <c r="Z42" s="102">
        <v>0.5</v>
      </c>
      <c r="AA42" s="102">
        <v>0.5</v>
      </c>
      <c r="AB42" s="102">
        <v>0.5</v>
      </c>
      <c r="AC42" s="102">
        <v>0.5</v>
      </c>
      <c r="AD42" s="102">
        <v>0.5</v>
      </c>
      <c r="AE42" s="102">
        <v>0.5</v>
      </c>
      <c r="AF42" s="102">
        <v>0.5</v>
      </c>
      <c r="AG42" s="83"/>
    </row>
    <row r="43" spans="3:33">
      <c r="C43" s="43" t="s">
        <v>118</v>
      </c>
      <c r="D43" s="47"/>
      <c r="E43" s="36"/>
      <c r="F43" s="36"/>
      <c r="G43" s="36"/>
      <c r="H43" s="36">
        <v>696.33883884588329</v>
      </c>
      <c r="I43" s="36">
        <v>78.991729945930729</v>
      </c>
      <c r="J43" s="36"/>
      <c r="K43" s="36"/>
      <c r="L43" s="36"/>
      <c r="M43" s="36"/>
      <c r="N43" s="36">
        <v>737.16655213445449</v>
      </c>
      <c r="O43" s="36"/>
      <c r="P43" s="36"/>
      <c r="Q43" s="37">
        <v>1512.4971209262685</v>
      </c>
      <c r="S43" s="82"/>
      <c r="T43" s="102">
        <v>0.5</v>
      </c>
      <c r="U43" s="102">
        <v>0.5</v>
      </c>
      <c r="V43" s="102">
        <v>0.5</v>
      </c>
      <c r="W43" s="102">
        <v>0.5</v>
      </c>
      <c r="X43" s="102">
        <v>0.5</v>
      </c>
      <c r="Y43" s="102">
        <v>0.5</v>
      </c>
      <c r="Z43" s="102">
        <v>0.5</v>
      </c>
      <c r="AA43" s="102">
        <v>0.5</v>
      </c>
      <c r="AB43" s="102">
        <v>0.5</v>
      </c>
      <c r="AC43" s="102">
        <v>0.5</v>
      </c>
      <c r="AD43" s="102">
        <v>0.5</v>
      </c>
      <c r="AE43" s="102">
        <v>0.5</v>
      </c>
      <c r="AF43" s="102">
        <v>0.5</v>
      </c>
      <c r="AG43" s="83"/>
    </row>
    <row r="44" spans="3:33">
      <c r="C44" s="43" t="s">
        <v>119</v>
      </c>
      <c r="D44" s="47"/>
      <c r="E44" s="36"/>
      <c r="F44" s="36"/>
      <c r="G44" s="36">
        <v>7.6757245819368372</v>
      </c>
      <c r="H44" s="36">
        <v>64.420542955274271</v>
      </c>
      <c r="I44" s="36">
        <v>720.6725211150449</v>
      </c>
      <c r="J44" s="36">
        <v>4.7366042539739875E-2</v>
      </c>
      <c r="K44" s="36"/>
      <c r="L44" s="36"/>
      <c r="M44" s="36">
        <v>202.11045709724584</v>
      </c>
      <c r="N44" s="36">
        <v>103.83170615008913</v>
      </c>
      <c r="O44" s="36"/>
      <c r="P44" s="36"/>
      <c r="Q44" s="37">
        <v>1098.7583179421306</v>
      </c>
      <c r="S44" s="82"/>
      <c r="T44" s="102">
        <v>0.5</v>
      </c>
      <c r="U44" s="102">
        <v>0.5</v>
      </c>
      <c r="V44" s="102">
        <v>0.5</v>
      </c>
      <c r="W44" s="102">
        <v>0.5</v>
      </c>
      <c r="X44" s="102">
        <v>0.5</v>
      </c>
      <c r="Y44" s="102">
        <v>0.5</v>
      </c>
      <c r="Z44" s="102">
        <v>0.5</v>
      </c>
      <c r="AA44" s="102">
        <v>0.5</v>
      </c>
      <c r="AB44" s="102">
        <v>0.5</v>
      </c>
      <c r="AC44" s="102">
        <v>0.5</v>
      </c>
      <c r="AD44" s="102">
        <v>0.5</v>
      </c>
      <c r="AE44" s="102">
        <v>0.5</v>
      </c>
      <c r="AF44" s="102">
        <v>0.5</v>
      </c>
      <c r="AG44" s="83"/>
    </row>
    <row r="45" spans="3:33">
      <c r="C45" s="43" t="s">
        <v>120</v>
      </c>
      <c r="D45" s="47"/>
      <c r="E45" s="36"/>
      <c r="F45" s="36"/>
      <c r="G45" s="36">
        <v>151.62888451232729</v>
      </c>
      <c r="H45" s="36">
        <v>1149.7576114303461</v>
      </c>
      <c r="I45" s="36">
        <v>389.61032755904421</v>
      </c>
      <c r="J45" s="36">
        <v>2.5587471205329537</v>
      </c>
      <c r="K45" s="36"/>
      <c r="L45" s="36"/>
      <c r="M45" s="36">
        <v>117.99221640243718</v>
      </c>
      <c r="N45" s="36">
        <v>1095.7877106941437</v>
      </c>
      <c r="O45" s="36"/>
      <c r="P45" s="36"/>
      <c r="Q45" s="37">
        <v>2907.335497718831</v>
      </c>
      <c r="S45" s="82"/>
      <c r="T45" s="102">
        <v>0.5</v>
      </c>
      <c r="U45" s="102">
        <v>0.5</v>
      </c>
      <c r="V45" s="102">
        <v>0.5</v>
      </c>
      <c r="W45" s="102">
        <v>0.5</v>
      </c>
      <c r="X45" s="102">
        <v>0.5</v>
      </c>
      <c r="Y45" s="102">
        <v>0.5</v>
      </c>
      <c r="Z45" s="102">
        <v>0.5</v>
      </c>
      <c r="AA45" s="102">
        <v>0.5</v>
      </c>
      <c r="AB45" s="102">
        <v>0.5</v>
      </c>
      <c r="AC45" s="102">
        <v>0.5</v>
      </c>
      <c r="AD45" s="102">
        <v>0.5</v>
      </c>
      <c r="AE45" s="102">
        <v>0.5</v>
      </c>
      <c r="AF45" s="102">
        <v>0.5</v>
      </c>
      <c r="AG45" s="83"/>
    </row>
    <row r="46" spans="3:33">
      <c r="C46" s="43" t="s">
        <v>121</v>
      </c>
      <c r="D46" s="47"/>
      <c r="E46" s="36"/>
      <c r="F46" s="36"/>
      <c r="G46" s="36">
        <v>17.69764657759767</v>
      </c>
      <c r="H46" s="36">
        <v>248.19486903754483</v>
      </c>
      <c r="I46" s="36">
        <v>1670.1537411347635</v>
      </c>
      <c r="J46" s="36">
        <v>0.1163764596590173</v>
      </c>
      <c r="K46" s="36">
        <v>27.079540839138538</v>
      </c>
      <c r="L46" s="36"/>
      <c r="M46" s="36">
        <v>1560.7123544347305</v>
      </c>
      <c r="N46" s="36">
        <v>165.27071547685171</v>
      </c>
      <c r="O46" s="36"/>
      <c r="P46" s="36"/>
      <c r="Q46" s="37">
        <v>3689.2252439602858</v>
      </c>
      <c r="S46" s="82"/>
      <c r="T46" s="102">
        <v>0.5</v>
      </c>
      <c r="U46" s="102">
        <v>0.5</v>
      </c>
      <c r="V46" s="102">
        <v>0.5</v>
      </c>
      <c r="W46" s="102">
        <v>0.5</v>
      </c>
      <c r="X46" s="102">
        <v>0.5</v>
      </c>
      <c r="Y46" s="102">
        <v>0.5</v>
      </c>
      <c r="Z46" s="102">
        <v>0.5</v>
      </c>
      <c r="AA46" s="102">
        <v>0.5</v>
      </c>
      <c r="AB46" s="102">
        <v>0.5</v>
      </c>
      <c r="AC46" s="102">
        <v>0.5</v>
      </c>
      <c r="AD46" s="102">
        <v>0.5</v>
      </c>
      <c r="AE46" s="102">
        <v>0.5</v>
      </c>
      <c r="AF46" s="102">
        <v>0.5</v>
      </c>
      <c r="AG46" s="83"/>
    </row>
    <row r="47" spans="3:33">
      <c r="C47" s="43" t="s">
        <v>122</v>
      </c>
      <c r="D47" s="47"/>
      <c r="E47" s="36"/>
      <c r="F47" s="36"/>
      <c r="G47" s="36">
        <v>10.650218168214757</v>
      </c>
      <c r="H47" s="36">
        <v>243.69130960100972</v>
      </c>
      <c r="I47" s="36">
        <v>991.27629250702967</v>
      </c>
      <c r="J47" s="36">
        <v>5.6303272972247312E-2</v>
      </c>
      <c r="K47" s="36">
        <v>9.2677689446474556</v>
      </c>
      <c r="L47" s="36"/>
      <c r="M47" s="36">
        <v>1031.7931718546311</v>
      </c>
      <c r="N47" s="36">
        <v>390.34371398382996</v>
      </c>
      <c r="O47" s="36"/>
      <c r="P47" s="36"/>
      <c r="Q47" s="37">
        <v>2677.0787783323349</v>
      </c>
      <c r="S47" s="82"/>
      <c r="T47" s="102">
        <v>0.5</v>
      </c>
      <c r="U47" s="102">
        <v>0.5</v>
      </c>
      <c r="V47" s="102">
        <v>0.5</v>
      </c>
      <c r="W47" s="102">
        <v>0.5</v>
      </c>
      <c r="X47" s="102">
        <v>0.5</v>
      </c>
      <c r="Y47" s="102">
        <v>0.5</v>
      </c>
      <c r="Z47" s="102">
        <v>0.5</v>
      </c>
      <c r="AA47" s="102">
        <v>0.5</v>
      </c>
      <c r="AB47" s="102">
        <v>0.5</v>
      </c>
      <c r="AC47" s="102">
        <v>0.5</v>
      </c>
      <c r="AD47" s="102">
        <v>0.5</v>
      </c>
      <c r="AE47" s="102">
        <v>0.5</v>
      </c>
      <c r="AF47" s="102">
        <v>0.5</v>
      </c>
      <c r="AG47" s="83"/>
    </row>
    <row r="48" spans="3:33">
      <c r="C48" s="43" t="s">
        <v>123</v>
      </c>
      <c r="D48" s="47"/>
      <c r="E48" s="36"/>
      <c r="F48" s="36"/>
      <c r="G48" s="36">
        <v>39.233887236437646</v>
      </c>
      <c r="H48" s="36">
        <v>6683.268199098613</v>
      </c>
      <c r="I48" s="36">
        <v>6160.4345549287718</v>
      </c>
      <c r="J48" s="36">
        <v>0.94776683102057058</v>
      </c>
      <c r="K48" s="36">
        <v>73.687953224460301</v>
      </c>
      <c r="L48" s="36"/>
      <c r="M48" s="36">
        <v>718.02144902938971</v>
      </c>
      <c r="N48" s="36">
        <v>6477.6682500072711</v>
      </c>
      <c r="O48" s="36"/>
      <c r="P48" s="36"/>
      <c r="Q48" s="37">
        <v>20153.262060355963</v>
      </c>
      <c r="S48" s="82"/>
      <c r="T48" s="102">
        <v>0.5</v>
      </c>
      <c r="U48" s="102">
        <v>0.5</v>
      </c>
      <c r="V48" s="102">
        <v>0.5</v>
      </c>
      <c r="W48" s="102">
        <v>0.5</v>
      </c>
      <c r="X48" s="102">
        <v>0.5</v>
      </c>
      <c r="Y48" s="102">
        <v>0.5</v>
      </c>
      <c r="Z48" s="102">
        <v>0.5</v>
      </c>
      <c r="AA48" s="102">
        <v>0.5</v>
      </c>
      <c r="AB48" s="102">
        <v>0.5</v>
      </c>
      <c r="AC48" s="102">
        <v>0.5</v>
      </c>
      <c r="AD48" s="102">
        <v>0.5</v>
      </c>
      <c r="AE48" s="102">
        <v>0.5</v>
      </c>
      <c r="AF48" s="102">
        <v>0.5</v>
      </c>
      <c r="AG48" s="83"/>
    </row>
    <row r="49" spans="3:33">
      <c r="C49" s="43" t="s">
        <v>124</v>
      </c>
      <c r="D49" s="47"/>
      <c r="E49" s="36"/>
      <c r="F49" s="36"/>
      <c r="G49" s="36">
        <v>142.59674860053951</v>
      </c>
      <c r="H49" s="36">
        <v>295.38329319569033</v>
      </c>
      <c r="I49" s="36">
        <v>2305.1492953648112</v>
      </c>
      <c r="J49" s="36">
        <v>7.0875605397300132E-2</v>
      </c>
      <c r="K49" s="36">
        <v>79.110937956113659</v>
      </c>
      <c r="L49" s="36"/>
      <c r="M49" s="36">
        <v>2534.6750622376076</v>
      </c>
      <c r="N49" s="36">
        <v>555.03983826575586</v>
      </c>
      <c r="O49" s="36"/>
      <c r="P49" s="36"/>
      <c r="Q49" s="37">
        <v>5912.0260512259147</v>
      </c>
      <c r="S49" s="82"/>
      <c r="T49" s="102">
        <v>0.5</v>
      </c>
      <c r="U49" s="102">
        <v>0.5</v>
      </c>
      <c r="V49" s="102">
        <v>0.5</v>
      </c>
      <c r="W49" s="102">
        <v>0.5</v>
      </c>
      <c r="X49" s="102">
        <v>0.5</v>
      </c>
      <c r="Y49" s="102">
        <v>0.5</v>
      </c>
      <c r="Z49" s="102">
        <v>0.5</v>
      </c>
      <c r="AA49" s="102">
        <v>0.5</v>
      </c>
      <c r="AB49" s="102">
        <v>0.5</v>
      </c>
      <c r="AC49" s="102">
        <v>0.5</v>
      </c>
      <c r="AD49" s="102">
        <v>0.5</v>
      </c>
      <c r="AE49" s="102">
        <v>0.5</v>
      </c>
      <c r="AF49" s="102">
        <v>0.5</v>
      </c>
      <c r="AG49" s="83"/>
    </row>
    <row r="50" spans="3:33">
      <c r="C50" s="43" t="s">
        <v>125</v>
      </c>
      <c r="D50" s="47"/>
      <c r="E50" s="36"/>
      <c r="F50" s="36"/>
      <c r="G50" s="36"/>
      <c r="H50" s="36">
        <v>233.45871846216352</v>
      </c>
      <c r="I50" s="36">
        <v>2618.0532376113533</v>
      </c>
      <c r="J50" s="36"/>
      <c r="K50" s="36"/>
      <c r="L50" s="36">
        <v>11.057191364375891</v>
      </c>
      <c r="M50" s="36">
        <v>3.173990311035046</v>
      </c>
      <c r="N50" s="36">
        <v>553.04556041953151</v>
      </c>
      <c r="O50" s="36"/>
      <c r="P50" s="36"/>
      <c r="Q50" s="37">
        <v>3418.7886981684596</v>
      </c>
      <c r="S50" s="82"/>
      <c r="T50" s="102">
        <v>0.5</v>
      </c>
      <c r="U50" s="102">
        <v>0.5</v>
      </c>
      <c r="V50" s="102">
        <v>0.5</v>
      </c>
      <c r="W50" s="102">
        <v>0.5</v>
      </c>
      <c r="X50" s="102">
        <v>0.5</v>
      </c>
      <c r="Y50" s="102">
        <v>0.5</v>
      </c>
      <c r="Z50" s="102">
        <v>0.5</v>
      </c>
      <c r="AA50" s="102">
        <v>0.5</v>
      </c>
      <c r="AB50" s="102">
        <v>0.5</v>
      </c>
      <c r="AC50" s="102">
        <v>0.5</v>
      </c>
      <c r="AD50" s="102">
        <v>0.5</v>
      </c>
      <c r="AE50" s="102">
        <v>0.5</v>
      </c>
      <c r="AF50" s="102">
        <v>0.5</v>
      </c>
      <c r="AG50" s="83"/>
    </row>
    <row r="51" spans="3:33">
      <c r="C51" s="43" t="s">
        <v>126</v>
      </c>
      <c r="D51" s="47"/>
      <c r="E51" s="36">
        <v>280</v>
      </c>
      <c r="F51" s="36"/>
      <c r="G51" s="36">
        <v>64.7310894505231</v>
      </c>
      <c r="H51" s="36">
        <v>499.45274261394303</v>
      </c>
      <c r="I51" s="36">
        <v>1023.2845114153827</v>
      </c>
      <c r="J51" s="36"/>
      <c r="K51" s="36"/>
      <c r="L51" s="36"/>
      <c r="M51" s="36">
        <v>260.55118746882937</v>
      </c>
      <c r="N51" s="36">
        <v>479.91720458598218</v>
      </c>
      <c r="O51" s="36"/>
      <c r="P51" s="36"/>
      <c r="Q51" s="37">
        <v>2607.9367355346603</v>
      </c>
      <c r="S51" s="82"/>
      <c r="T51" s="102">
        <v>0.5</v>
      </c>
      <c r="U51" s="102">
        <v>0.5</v>
      </c>
      <c r="V51" s="102">
        <v>0.5</v>
      </c>
      <c r="W51" s="102">
        <v>0.5</v>
      </c>
      <c r="X51" s="102">
        <v>0.5</v>
      </c>
      <c r="Y51" s="102">
        <v>0.5</v>
      </c>
      <c r="Z51" s="102">
        <v>0.5</v>
      </c>
      <c r="AA51" s="102">
        <v>0.5</v>
      </c>
      <c r="AB51" s="102">
        <v>0.5</v>
      </c>
      <c r="AC51" s="102">
        <v>0.5</v>
      </c>
      <c r="AD51" s="102">
        <v>0.5</v>
      </c>
      <c r="AE51" s="102">
        <v>0.5</v>
      </c>
      <c r="AF51" s="102">
        <v>0.5</v>
      </c>
      <c r="AG51" s="83"/>
    </row>
    <row r="52" spans="3:33">
      <c r="C52" s="43" t="s">
        <v>127</v>
      </c>
      <c r="D52" s="47"/>
      <c r="E52" s="36"/>
      <c r="F52" s="36"/>
      <c r="G52" s="36"/>
      <c r="H52" s="36">
        <v>2200.2602725731977</v>
      </c>
      <c r="I52" s="36"/>
      <c r="J52" s="36"/>
      <c r="K52" s="36"/>
      <c r="L52" s="36"/>
      <c r="M52" s="36"/>
      <c r="N52" s="36">
        <v>17.592884131185151</v>
      </c>
      <c r="O52" s="36"/>
      <c r="P52" s="36"/>
      <c r="Q52" s="37">
        <v>2217.8531567043829</v>
      </c>
      <c r="S52" s="82"/>
      <c r="T52" s="102">
        <v>0.5</v>
      </c>
      <c r="U52" s="102">
        <v>0.5</v>
      </c>
      <c r="V52" s="102">
        <v>0.5</v>
      </c>
      <c r="W52" s="102">
        <v>0.5</v>
      </c>
      <c r="X52" s="102">
        <v>0.5</v>
      </c>
      <c r="Y52" s="102">
        <v>0.5</v>
      </c>
      <c r="Z52" s="102">
        <v>0.5</v>
      </c>
      <c r="AA52" s="102">
        <v>0.5</v>
      </c>
      <c r="AB52" s="102">
        <v>0.5</v>
      </c>
      <c r="AC52" s="102">
        <v>0.5</v>
      </c>
      <c r="AD52" s="102">
        <v>0.5</v>
      </c>
      <c r="AE52" s="102">
        <v>0.5</v>
      </c>
      <c r="AF52" s="102">
        <v>0.5</v>
      </c>
      <c r="AG52" s="83"/>
    </row>
    <row r="53" spans="3:33">
      <c r="C53" s="43" t="s">
        <v>128</v>
      </c>
      <c r="D53" s="47"/>
      <c r="E53" s="36"/>
      <c r="F53" s="36"/>
      <c r="G53" s="36">
        <v>46.435697489265607</v>
      </c>
      <c r="H53" s="36">
        <v>95.643446578673135</v>
      </c>
      <c r="I53" s="36">
        <v>6128.4782114872105</v>
      </c>
      <c r="J53" s="36">
        <v>1.141522364893786E-2</v>
      </c>
      <c r="K53" s="36"/>
      <c r="L53" s="36">
        <v>543.93402299839795</v>
      </c>
      <c r="M53" s="36">
        <v>612.70160319983438</v>
      </c>
      <c r="N53" s="36">
        <v>150.69835625158305</v>
      </c>
      <c r="O53" s="36"/>
      <c r="P53" s="36"/>
      <c r="Q53" s="37">
        <v>7577.9027532286145</v>
      </c>
      <c r="S53" s="82"/>
      <c r="T53" s="102">
        <v>0.5</v>
      </c>
      <c r="U53" s="102">
        <v>0.5</v>
      </c>
      <c r="V53" s="102">
        <v>0.5</v>
      </c>
      <c r="W53" s="102">
        <v>0.5</v>
      </c>
      <c r="X53" s="102">
        <v>0.5</v>
      </c>
      <c r="Y53" s="102">
        <v>0.5</v>
      </c>
      <c r="Z53" s="102">
        <v>0.5</v>
      </c>
      <c r="AA53" s="102">
        <v>0.5</v>
      </c>
      <c r="AB53" s="102">
        <v>0.5</v>
      </c>
      <c r="AC53" s="102">
        <v>0.5</v>
      </c>
      <c r="AD53" s="102">
        <v>0.5</v>
      </c>
      <c r="AE53" s="102">
        <v>0.5</v>
      </c>
      <c r="AF53" s="102">
        <v>0.5</v>
      </c>
      <c r="AG53" s="83"/>
    </row>
    <row r="54" spans="3:33">
      <c r="C54" s="43" t="s">
        <v>129</v>
      </c>
      <c r="D54" s="47"/>
      <c r="E54" s="36"/>
      <c r="F54" s="36"/>
      <c r="G54" s="36"/>
      <c r="H54" s="36"/>
      <c r="I54" s="36">
        <v>2434.6134385229848</v>
      </c>
      <c r="J54" s="36"/>
      <c r="K54" s="36"/>
      <c r="L54" s="36"/>
      <c r="M54" s="36"/>
      <c r="N54" s="36"/>
      <c r="O54" s="36"/>
      <c r="P54" s="36"/>
      <c r="Q54" s="37">
        <v>2434.6134385229848</v>
      </c>
      <c r="S54" s="82"/>
      <c r="T54" s="102">
        <v>0.5</v>
      </c>
      <c r="U54" s="102">
        <v>0.5</v>
      </c>
      <c r="V54" s="102">
        <v>0.5</v>
      </c>
      <c r="W54" s="102">
        <v>0.5</v>
      </c>
      <c r="X54" s="102">
        <v>0.5</v>
      </c>
      <c r="Y54" s="102">
        <v>0.5</v>
      </c>
      <c r="Z54" s="102">
        <v>0.5</v>
      </c>
      <c r="AA54" s="102">
        <v>0.5</v>
      </c>
      <c r="AB54" s="102">
        <v>0.5</v>
      </c>
      <c r="AC54" s="102">
        <v>0.5</v>
      </c>
      <c r="AD54" s="102">
        <v>0.5</v>
      </c>
      <c r="AE54" s="102">
        <v>0.5</v>
      </c>
      <c r="AF54" s="102">
        <v>0.5</v>
      </c>
      <c r="AG54" s="83"/>
    </row>
    <row r="55" spans="3:33">
      <c r="C55" s="43" t="s">
        <v>130</v>
      </c>
      <c r="D55" s="47"/>
      <c r="E55" s="36"/>
      <c r="F55" s="36"/>
      <c r="G55" s="36">
        <v>596.4213704349537</v>
      </c>
      <c r="H55" s="36">
        <v>2911.2880785654743</v>
      </c>
      <c r="I55" s="36">
        <v>3489.6968482963443</v>
      </c>
      <c r="J55" s="36">
        <v>7.0796868849123576E-2</v>
      </c>
      <c r="K55" s="36"/>
      <c r="L55" s="36">
        <v>465.42668038807147</v>
      </c>
      <c r="M55" s="36">
        <v>601.40493935477434</v>
      </c>
      <c r="N55" s="36">
        <v>3258.0490364546508</v>
      </c>
      <c r="O55" s="36"/>
      <c r="P55" s="36"/>
      <c r="Q55" s="37">
        <v>11322.357750363119</v>
      </c>
      <c r="S55" s="82"/>
      <c r="T55" s="102">
        <v>0.5</v>
      </c>
      <c r="U55" s="102">
        <v>0.5</v>
      </c>
      <c r="V55" s="102">
        <v>0.5</v>
      </c>
      <c r="W55" s="102">
        <v>0.5</v>
      </c>
      <c r="X55" s="102">
        <v>0.5</v>
      </c>
      <c r="Y55" s="102">
        <v>0.5</v>
      </c>
      <c r="Z55" s="102">
        <v>0.5</v>
      </c>
      <c r="AA55" s="102">
        <v>0.5</v>
      </c>
      <c r="AB55" s="102">
        <v>0.5</v>
      </c>
      <c r="AC55" s="102">
        <v>0.5</v>
      </c>
      <c r="AD55" s="102">
        <v>0.5</v>
      </c>
      <c r="AE55" s="102">
        <v>0.5</v>
      </c>
      <c r="AF55" s="102">
        <v>0.5</v>
      </c>
      <c r="AG55" s="83"/>
    </row>
    <row r="56" spans="3:33">
      <c r="C56" s="43" t="s">
        <v>131</v>
      </c>
      <c r="D56" s="47"/>
      <c r="E56" s="36"/>
      <c r="F56" s="36"/>
      <c r="G56" s="36">
        <v>4.7048569340515929</v>
      </c>
      <c r="H56" s="36">
        <v>1551.0847288239147</v>
      </c>
      <c r="I56" s="36">
        <v>532.82633534890135</v>
      </c>
      <c r="J56" s="36">
        <v>7.9752585198978078E-3</v>
      </c>
      <c r="K56" s="36"/>
      <c r="L56" s="36">
        <v>2.5028743374307134</v>
      </c>
      <c r="M56" s="36">
        <v>24.484686905156458</v>
      </c>
      <c r="N56" s="36">
        <v>421.54625971434683</v>
      </c>
      <c r="O56" s="36"/>
      <c r="P56" s="36"/>
      <c r="Q56" s="37">
        <v>2537.1577173223213</v>
      </c>
      <c r="S56" s="82"/>
      <c r="T56" s="102">
        <v>0.5</v>
      </c>
      <c r="U56" s="102">
        <v>0.5</v>
      </c>
      <c r="V56" s="102">
        <v>0.5</v>
      </c>
      <c r="W56" s="102">
        <v>0.5</v>
      </c>
      <c r="X56" s="102">
        <v>0.5</v>
      </c>
      <c r="Y56" s="102">
        <v>0.5</v>
      </c>
      <c r="Z56" s="102">
        <v>0.5</v>
      </c>
      <c r="AA56" s="102">
        <v>0.5</v>
      </c>
      <c r="AB56" s="102">
        <v>0.5</v>
      </c>
      <c r="AC56" s="102">
        <v>0.5</v>
      </c>
      <c r="AD56" s="102">
        <v>0.5</v>
      </c>
      <c r="AE56" s="102">
        <v>0.5</v>
      </c>
      <c r="AF56" s="102">
        <v>0.5</v>
      </c>
      <c r="AG56" s="83"/>
    </row>
    <row r="57" spans="3:33">
      <c r="C57" s="25" t="s">
        <v>132</v>
      </c>
      <c r="D57" s="46">
        <v>0</v>
      </c>
      <c r="E57" s="34">
        <v>0</v>
      </c>
      <c r="F57" s="34">
        <v>0</v>
      </c>
      <c r="G57" s="34">
        <v>367.28010479002569</v>
      </c>
      <c r="H57" s="34">
        <v>14747.316157271051</v>
      </c>
      <c r="I57" s="34">
        <v>44547.139881590272</v>
      </c>
      <c r="J57" s="34">
        <v>0</v>
      </c>
      <c r="K57" s="34">
        <v>296.63123479038109</v>
      </c>
      <c r="L57" s="34">
        <v>2857.4143210748603</v>
      </c>
      <c r="M57" s="34">
        <v>6557.3776916933957</v>
      </c>
      <c r="N57" s="34">
        <v>76810.804337116351</v>
      </c>
      <c r="O57" s="34">
        <v>364</v>
      </c>
      <c r="P57" s="34">
        <v>7336.6435574358484</v>
      </c>
      <c r="Q57" s="35">
        <v>153884.60728576218</v>
      </c>
      <c r="S57" s="81" t="s">
        <v>132</v>
      </c>
      <c r="T57" s="88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6"/>
    </row>
    <row r="58" spans="3:33">
      <c r="C58" s="43" t="s">
        <v>132</v>
      </c>
      <c r="D58" s="47"/>
      <c r="E58" s="36"/>
      <c r="F58" s="36"/>
      <c r="G58" s="36">
        <v>367.28010479002569</v>
      </c>
      <c r="H58" s="36">
        <v>100.90842231836314</v>
      </c>
      <c r="I58" s="36">
        <v>44547.139881590272</v>
      </c>
      <c r="J58" s="36"/>
      <c r="K58" s="36">
        <v>296.63123479038109</v>
      </c>
      <c r="L58" s="36">
        <v>2857.4143210748603</v>
      </c>
      <c r="M58" s="36">
        <v>6557.1374519999999</v>
      </c>
      <c r="N58" s="36"/>
      <c r="O58" s="36">
        <v>364</v>
      </c>
      <c r="P58" s="36">
        <v>7336.6435574358484</v>
      </c>
      <c r="Q58" s="37">
        <v>62427.15497399975</v>
      </c>
      <c r="S58" s="82"/>
      <c r="T58" s="102">
        <v>0.5</v>
      </c>
      <c r="U58" s="102">
        <v>0.5</v>
      </c>
      <c r="V58" s="102">
        <v>0.5</v>
      </c>
      <c r="W58" s="102">
        <v>0.5</v>
      </c>
      <c r="X58" s="102">
        <v>0.5</v>
      </c>
      <c r="Y58" s="102">
        <v>0.5</v>
      </c>
      <c r="Z58" s="102">
        <v>0.5</v>
      </c>
      <c r="AA58" s="102">
        <v>0.5</v>
      </c>
      <c r="AB58" s="102">
        <v>0.5</v>
      </c>
      <c r="AC58" s="102">
        <v>0.5</v>
      </c>
      <c r="AD58" s="102">
        <v>0.5</v>
      </c>
      <c r="AE58" s="102">
        <v>0.5</v>
      </c>
      <c r="AF58" s="102">
        <v>0.5</v>
      </c>
      <c r="AG58" s="83"/>
    </row>
    <row r="59" spans="3:33">
      <c r="C59" s="43" t="s">
        <v>133</v>
      </c>
      <c r="D59" s="47"/>
      <c r="E59" s="36"/>
      <c r="F59" s="36"/>
      <c r="G59" s="36"/>
      <c r="H59" s="36">
        <v>14646.407734952687</v>
      </c>
      <c r="I59" s="36"/>
      <c r="J59" s="36"/>
      <c r="K59" s="36"/>
      <c r="L59" s="36"/>
      <c r="M59" s="36">
        <v>0.2402396933958085</v>
      </c>
      <c r="N59" s="36">
        <v>76810.804337116351</v>
      </c>
      <c r="O59" s="36"/>
      <c r="P59" s="36"/>
      <c r="Q59" s="37">
        <v>91457.452311762434</v>
      </c>
      <c r="S59" s="82"/>
      <c r="T59" s="102">
        <v>0.5</v>
      </c>
      <c r="U59" s="102">
        <v>0.5</v>
      </c>
      <c r="V59" s="102">
        <v>0.5</v>
      </c>
      <c r="W59" s="102">
        <v>0.5</v>
      </c>
      <c r="X59" s="102">
        <v>0.5</v>
      </c>
      <c r="Y59" s="102">
        <v>0.5</v>
      </c>
      <c r="Z59" s="102">
        <v>0.5</v>
      </c>
      <c r="AA59" s="102">
        <v>0.5</v>
      </c>
      <c r="AB59" s="102">
        <v>0.5</v>
      </c>
      <c r="AC59" s="102">
        <v>0.5</v>
      </c>
      <c r="AD59" s="102">
        <v>0.5</v>
      </c>
      <c r="AE59" s="102">
        <v>0.5</v>
      </c>
      <c r="AF59" s="102">
        <v>0.5</v>
      </c>
      <c r="AG59" s="83"/>
    </row>
    <row r="60" spans="3:33">
      <c r="C60" s="25" t="s">
        <v>46</v>
      </c>
      <c r="D60" s="46">
        <v>0</v>
      </c>
      <c r="E60" s="34">
        <v>42.913447017543866</v>
      </c>
      <c r="F60" s="34">
        <v>17736.792474344355</v>
      </c>
      <c r="G60" s="34">
        <v>23760.874528917011</v>
      </c>
      <c r="H60" s="34">
        <v>34893.827693021827</v>
      </c>
      <c r="I60" s="34">
        <v>52927.823283639351</v>
      </c>
      <c r="J60" s="34">
        <v>954.61205920977727</v>
      </c>
      <c r="K60" s="34">
        <v>8380.8673844000023</v>
      </c>
      <c r="L60" s="34">
        <v>3035.2434892549927</v>
      </c>
      <c r="M60" s="34">
        <v>68035.987946617155</v>
      </c>
      <c r="N60" s="34">
        <v>7650.9501907699814</v>
      </c>
      <c r="O60" s="34">
        <v>0</v>
      </c>
      <c r="P60" s="34">
        <v>28147.185771804223</v>
      </c>
      <c r="Q60" s="35">
        <v>245567.07826899621</v>
      </c>
      <c r="S60" s="81" t="s">
        <v>46</v>
      </c>
      <c r="T60" s="88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6"/>
    </row>
    <row r="61" spans="3:33">
      <c r="C61" s="43" t="s">
        <v>134</v>
      </c>
      <c r="D61" s="47"/>
      <c r="E61" s="36"/>
      <c r="F61" s="36"/>
      <c r="G61" s="36">
        <v>0.15265042817627222</v>
      </c>
      <c r="H61" s="36">
        <v>17156.221260399408</v>
      </c>
      <c r="I61" s="36">
        <v>1256.1187754980504</v>
      </c>
      <c r="J61" s="36">
        <v>22.656352204961674</v>
      </c>
      <c r="K61" s="36"/>
      <c r="L61" s="36">
        <v>246.66350442395051</v>
      </c>
      <c r="M61" s="36">
        <v>445.82558200000005</v>
      </c>
      <c r="N61" s="36">
        <v>5184.376797034306</v>
      </c>
      <c r="O61" s="36"/>
      <c r="P61" s="36"/>
      <c r="Q61" s="37">
        <v>24312.014921988855</v>
      </c>
      <c r="S61" s="82"/>
      <c r="T61" s="102">
        <v>0.5</v>
      </c>
      <c r="U61" s="102">
        <v>0.5</v>
      </c>
      <c r="V61" s="102">
        <v>0.5</v>
      </c>
      <c r="W61" s="102">
        <v>0.5</v>
      </c>
      <c r="X61" s="102">
        <v>0.5</v>
      </c>
      <c r="Y61" s="102">
        <v>0.5</v>
      </c>
      <c r="Z61" s="102">
        <v>0.5</v>
      </c>
      <c r="AA61" s="102">
        <v>0.5</v>
      </c>
      <c r="AB61" s="102">
        <v>0.5</v>
      </c>
      <c r="AC61" s="102">
        <v>0.5</v>
      </c>
      <c r="AD61" s="102">
        <v>0.5</v>
      </c>
      <c r="AE61" s="102">
        <v>0.5</v>
      </c>
      <c r="AF61" s="102">
        <v>0.5</v>
      </c>
      <c r="AG61" s="83"/>
    </row>
    <row r="62" spans="3:33">
      <c r="C62" s="43" t="s">
        <v>135</v>
      </c>
      <c r="D62" s="47"/>
      <c r="E62" s="36">
        <v>42.913447017543866</v>
      </c>
      <c r="F62" s="36"/>
      <c r="G62" s="36">
        <v>13319.401901929819</v>
      </c>
      <c r="H62" s="36">
        <v>2257.2544667501988</v>
      </c>
      <c r="I62" s="36">
        <v>4769.4360939850412</v>
      </c>
      <c r="J62" s="36">
        <v>15.818532598847497</v>
      </c>
      <c r="K62" s="36">
        <v>448.28370287486359</v>
      </c>
      <c r="L62" s="36">
        <v>35.320053496792497</v>
      </c>
      <c r="M62" s="36">
        <v>10219.245362999998</v>
      </c>
      <c r="N62" s="36">
        <v>70.457125003396243</v>
      </c>
      <c r="O62" s="36"/>
      <c r="P62" s="36"/>
      <c r="Q62" s="37">
        <v>31178.130686656499</v>
      </c>
      <c r="S62" s="82"/>
      <c r="T62" s="102">
        <v>0.5</v>
      </c>
      <c r="U62" s="102">
        <v>0.5</v>
      </c>
      <c r="V62" s="102">
        <v>0.5</v>
      </c>
      <c r="W62" s="102">
        <v>0.5</v>
      </c>
      <c r="X62" s="102">
        <v>0.5</v>
      </c>
      <c r="Y62" s="102">
        <v>0.5</v>
      </c>
      <c r="Z62" s="102">
        <v>0.5</v>
      </c>
      <c r="AA62" s="102">
        <v>0.5</v>
      </c>
      <c r="AB62" s="102">
        <v>0.5</v>
      </c>
      <c r="AC62" s="102">
        <v>0.5</v>
      </c>
      <c r="AD62" s="102">
        <v>0.5</v>
      </c>
      <c r="AE62" s="102">
        <v>0.5</v>
      </c>
      <c r="AF62" s="102">
        <v>0.5</v>
      </c>
      <c r="AG62" s="83"/>
    </row>
    <row r="63" spans="3:33">
      <c r="C63" s="43" t="s">
        <v>136</v>
      </c>
      <c r="D63" s="47"/>
      <c r="E63" s="36"/>
      <c r="F63" s="36"/>
      <c r="G63" s="36"/>
      <c r="H63" s="36">
        <v>2926.0689773406907</v>
      </c>
      <c r="I63" s="36">
        <v>1434.6631002664037</v>
      </c>
      <c r="J63" s="36"/>
      <c r="K63" s="36">
        <v>5.8705241356479365E-2</v>
      </c>
      <c r="L63" s="36"/>
      <c r="M63" s="36"/>
      <c r="N63" s="36">
        <v>151.82786300735029</v>
      </c>
      <c r="O63" s="36"/>
      <c r="P63" s="36"/>
      <c r="Q63" s="37">
        <v>4512.6186458558013</v>
      </c>
      <c r="S63" s="82"/>
      <c r="T63" s="102">
        <v>0.5</v>
      </c>
      <c r="U63" s="102">
        <v>0.5</v>
      </c>
      <c r="V63" s="102">
        <v>0.5</v>
      </c>
      <c r="W63" s="102">
        <v>0.5</v>
      </c>
      <c r="X63" s="102">
        <v>0.5</v>
      </c>
      <c r="Y63" s="102">
        <v>0.5</v>
      </c>
      <c r="Z63" s="102">
        <v>0.5</v>
      </c>
      <c r="AA63" s="102">
        <v>0.5</v>
      </c>
      <c r="AB63" s="102">
        <v>0.5</v>
      </c>
      <c r="AC63" s="102">
        <v>0.5</v>
      </c>
      <c r="AD63" s="102">
        <v>0.5</v>
      </c>
      <c r="AE63" s="102">
        <v>0.5</v>
      </c>
      <c r="AF63" s="102">
        <v>0.5</v>
      </c>
      <c r="AG63" s="83"/>
    </row>
    <row r="64" spans="3:33">
      <c r="C64" s="43" t="s">
        <v>137</v>
      </c>
      <c r="D64" s="47"/>
      <c r="E64" s="36"/>
      <c r="F64" s="36"/>
      <c r="G64" s="36">
        <v>5.0954179584842159</v>
      </c>
      <c r="H64" s="36">
        <v>665.08072612155161</v>
      </c>
      <c r="I64" s="36">
        <v>563.2601547987673</v>
      </c>
      <c r="J64" s="36">
        <v>90.322641746678798</v>
      </c>
      <c r="K64" s="36"/>
      <c r="L64" s="36">
        <v>382.35292410410489</v>
      </c>
      <c r="M64" s="36">
        <v>729.61377792079224</v>
      </c>
      <c r="N64" s="36">
        <v>400.45547369234106</v>
      </c>
      <c r="O64" s="36"/>
      <c r="P64" s="36"/>
      <c r="Q64" s="37">
        <v>2836.1811163427201</v>
      </c>
      <c r="S64" s="82"/>
      <c r="T64" s="102">
        <v>0.5</v>
      </c>
      <c r="U64" s="102">
        <v>0.5</v>
      </c>
      <c r="V64" s="102">
        <v>0.5</v>
      </c>
      <c r="W64" s="102">
        <v>0.5</v>
      </c>
      <c r="X64" s="102">
        <v>0.5</v>
      </c>
      <c r="Y64" s="102">
        <v>0.5</v>
      </c>
      <c r="Z64" s="102">
        <v>0.5</v>
      </c>
      <c r="AA64" s="102">
        <v>0.5</v>
      </c>
      <c r="AB64" s="102">
        <v>0.5</v>
      </c>
      <c r="AC64" s="102">
        <v>0.5</v>
      </c>
      <c r="AD64" s="102">
        <v>0.5</v>
      </c>
      <c r="AE64" s="102">
        <v>0.5</v>
      </c>
      <c r="AF64" s="102">
        <v>0.5</v>
      </c>
      <c r="AG64" s="83"/>
    </row>
    <row r="65" spans="3:33">
      <c r="C65" s="43" t="s">
        <v>138</v>
      </c>
      <c r="D65" s="47"/>
      <c r="E65" s="36"/>
      <c r="F65" s="36"/>
      <c r="G65" s="36"/>
      <c r="H65" s="36">
        <v>31.50977606532626</v>
      </c>
      <c r="I65" s="36">
        <v>976.24546241170844</v>
      </c>
      <c r="J65" s="36"/>
      <c r="K65" s="36"/>
      <c r="L65" s="36"/>
      <c r="M65" s="36"/>
      <c r="N65" s="36">
        <v>84.969637937077252</v>
      </c>
      <c r="O65" s="36"/>
      <c r="P65" s="36"/>
      <c r="Q65" s="37">
        <v>1092.724876414112</v>
      </c>
      <c r="S65" s="82"/>
      <c r="T65" s="102">
        <v>0.5</v>
      </c>
      <c r="U65" s="102">
        <v>0.5</v>
      </c>
      <c r="V65" s="102">
        <v>0.5</v>
      </c>
      <c r="W65" s="102">
        <v>0.5</v>
      </c>
      <c r="X65" s="102">
        <v>0.5</v>
      </c>
      <c r="Y65" s="102">
        <v>0.5</v>
      </c>
      <c r="Z65" s="102">
        <v>0.5</v>
      </c>
      <c r="AA65" s="102">
        <v>0.5</v>
      </c>
      <c r="AB65" s="102">
        <v>0.5</v>
      </c>
      <c r="AC65" s="102">
        <v>0.5</v>
      </c>
      <c r="AD65" s="102">
        <v>0.5</v>
      </c>
      <c r="AE65" s="102">
        <v>0.5</v>
      </c>
      <c r="AF65" s="102">
        <v>0.5</v>
      </c>
      <c r="AG65" s="83"/>
    </row>
    <row r="66" spans="3:33">
      <c r="C66" s="43" t="s">
        <v>139</v>
      </c>
      <c r="D66" s="47"/>
      <c r="E66" s="36"/>
      <c r="F66" s="36"/>
      <c r="G66" s="36">
        <v>1870.5140564087783</v>
      </c>
      <c r="H66" s="36"/>
      <c r="I66" s="36"/>
      <c r="J66" s="36">
        <v>0.39331521352033744</v>
      </c>
      <c r="K66" s="36"/>
      <c r="L66" s="36">
        <v>5.4700293317156987</v>
      </c>
      <c r="M66" s="36">
        <v>168.87487407920796</v>
      </c>
      <c r="N66" s="36"/>
      <c r="O66" s="36"/>
      <c r="P66" s="36"/>
      <c r="Q66" s="37">
        <v>2045.2522750332223</v>
      </c>
      <c r="S66" s="82"/>
      <c r="T66" s="102">
        <v>0.5</v>
      </c>
      <c r="U66" s="102">
        <v>0.5</v>
      </c>
      <c r="V66" s="102">
        <v>0.5</v>
      </c>
      <c r="W66" s="102">
        <v>0.5</v>
      </c>
      <c r="X66" s="102">
        <v>0.5</v>
      </c>
      <c r="Y66" s="102">
        <v>0.5</v>
      </c>
      <c r="Z66" s="102">
        <v>0.5</v>
      </c>
      <c r="AA66" s="102">
        <v>0.5</v>
      </c>
      <c r="AB66" s="102">
        <v>0.5</v>
      </c>
      <c r="AC66" s="102">
        <v>0.5</v>
      </c>
      <c r="AD66" s="102">
        <v>0.5</v>
      </c>
      <c r="AE66" s="102">
        <v>0.5</v>
      </c>
      <c r="AF66" s="102">
        <v>0.5</v>
      </c>
      <c r="AG66" s="83"/>
    </row>
    <row r="67" spans="3:33">
      <c r="C67" s="43" t="s">
        <v>140</v>
      </c>
      <c r="D67" s="47"/>
      <c r="E67" s="36"/>
      <c r="F67" s="36"/>
      <c r="G67" s="36">
        <v>2080.0751382702902</v>
      </c>
      <c r="H67" s="36">
        <v>192.4649534951138</v>
      </c>
      <c r="I67" s="36">
        <v>2344.9586019860139</v>
      </c>
      <c r="J67" s="36">
        <v>5.4644768133174795</v>
      </c>
      <c r="K67" s="36"/>
      <c r="L67" s="36">
        <v>377.27563475809649</v>
      </c>
      <c r="M67" s="36">
        <v>3150.6547956349023</v>
      </c>
      <c r="N67" s="36">
        <v>3.5415874998582204</v>
      </c>
      <c r="O67" s="36"/>
      <c r="P67" s="36"/>
      <c r="Q67" s="37">
        <v>8154.4351884575917</v>
      </c>
      <c r="S67" s="82"/>
      <c r="T67" s="102">
        <v>0.5</v>
      </c>
      <c r="U67" s="102">
        <v>0.5</v>
      </c>
      <c r="V67" s="102">
        <v>0.5</v>
      </c>
      <c r="W67" s="102">
        <v>0.5</v>
      </c>
      <c r="X67" s="102">
        <v>0.5</v>
      </c>
      <c r="Y67" s="102">
        <v>0.5</v>
      </c>
      <c r="Z67" s="102">
        <v>0.5</v>
      </c>
      <c r="AA67" s="102">
        <v>0.5</v>
      </c>
      <c r="AB67" s="102">
        <v>0.5</v>
      </c>
      <c r="AC67" s="102">
        <v>0.5</v>
      </c>
      <c r="AD67" s="102">
        <v>0.5</v>
      </c>
      <c r="AE67" s="102">
        <v>0.5</v>
      </c>
      <c r="AF67" s="102">
        <v>0.5</v>
      </c>
      <c r="AG67" s="83"/>
    </row>
    <row r="68" spans="3:33">
      <c r="C68" s="43" t="s">
        <v>141</v>
      </c>
      <c r="D68" s="47"/>
      <c r="E68" s="36"/>
      <c r="F68" s="36"/>
      <c r="G68" s="36"/>
      <c r="H68" s="36">
        <v>3734.9844042448649</v>
      </c>
      <c r="I68" s="36">
        <v>1611.7717663908159</v>
      </c>
      <c r="J68" s="36"/>
      <c r="K68" s="36"/>
      <c r="L68" s="36"/>
      <c r="M68" s="36">
        <v>56.964525999999999</v>
      </c>
      <c r="N68" s="36">
        <v>53.6887975241644</v>
      </c>
      <c r="O68" s="36"/>
      <c r="P68" s="36"/>
      <c r="Q68" s="37">
        <v>5457.4094941598451</v>
      </c>
      <c r="S68" s="82"/>
      <c r="T68" s="102">
        <v>0.5</v>
      </c>
      <c r="U68" s="102">
        <v>0.5</v>
      </c>
      <c r="V68" s="102">
        <v>0.5</v>
      </c>
      <c r="W68" s="102">
        <v>0.5</v>
      </c>
      <c r="X68" s="102">
        <v>0.5</v>
      </c>
      <c r="Y68" s="102">
        <v>0.5</v>
      </c>
      <c r="Z68" s="102">
        <v>0.5</v>
      </c>
      <c r="AA68" s="102">
        <v>0.5</v>
      </c>
      <c r="AB68" s="102">
        <v>0.5</v>
      </c>
      <c r="AC68" s="102">
        <v>0.5</v>
      </c>
      <c r="AD68" s="102">
        <v>0.5</v>
      </c>
      <c r="AE68" s="102">
        <v>0.5</v>
      </c>
      <c r="AF68" s="102">
        <v>0.5</v>
      </c>
      <c r="AG68" s="83"/>
    </row>
    <row r="69" spans="3:33">
      <c r="C69" s="43" t="s">
        <v>142</v>
      </c>
      <c r="D69" s="47"/>
      <c r="E69" s="36"/>
      <c r="F69" s="36"/>
      <c r="G69" s="36">
        <v>4994.0868572378895</v>
      </c>
      <c r="H69" s="36">
        <v>2171.4505110987293</v>
      </c>
      <c r="I69" s="36">
        <v>1448.9132260177339</v>
      </c>
      <c r="J69" s="36">
        <v>37.28582390047054</v>
      </c>
      <c r="K69" s="36"/>
      <c r="L69" s="36">
        <v>607.04445653248399</v>
      </c>
      <c r="M69" s="36">
        <v>1665.0003130000005</v>
      </c>
      <c r="N69" s="36">
        <v>38.336745170303239</v>
      </c>
      <c r="O69" s="36"/>
      <c r="P69" s="36">
        <v>255.74764055994487</v>
      </c>
      <c r="Q69" s="37">
        <v>11217.865573517554</v>
      </c>
      <c r="S69" s="82"/>
      <c r="T69" s="102">
        <v>0.5</v>
      </c>
      <c r="U69" s="102">
        <v>0.5</v>
      </c>
      <c r="V69" s="102">
        <v>0.5</v>
      </c>
      <c r="W69" s="102">
        <v>0.5</v>
      </c>
      <c r="X69" s="102">
        <v>0.5</v>
      </c>
      <c r="Y69" s="102">
        <v>0.5</v>
      </c>
      <c r="Z69" s="102">
        <v>0.5</v>
      </c>
      <c r="AA69" s="102">
        <v>0.5</v>
      </c>
      <c r="AB69" s="102">
        <v>0.5</v>
      </c>
      <c r="AC69" s="102">
        <v>0.5</v>
      </c>
      <c r="AD69" s="102">
        <v>0.5</v>
      </c>
      <c r="AE69" s="102">
        <v>0.5</v>
      </c>
      <c r="AF69" s="102">
        <v>0.5</v>
      </c>
      <c r="AG69" s="83"/>
    </row>
    <row r="70" spans="3:33">
      <c r="C70" s="43" t="s">
        <v>143</v>
      </c>
      <c r="D70" s="47"/>
      <c r="E70" s="36"/>
      <c r="F70" s="36"/>
      <c r="G70" s="36">
        <v>807.70766012371587</v>
      </c>
      <c r="H70" s="36">
        <v>2571.6384826987269</v>
      </c>
      <c r="I70" s="36">
        <v>2284.306951347764</v>
      </c>
      <c r="J70" s="36">
        <v>27.090733043546905</v>
      </c>
      <c r="K70" s="36">
        <v>17.922400479061878</v>
      </c>
      <c r="L70" s="36">
        <v>427.74082319279933</v>
      </c>
      <c r="M70" s="36">
        <v>2474.0853090901992</v>
      </c>
      <c r="N70" s="36">
        <v>472.85715848455163</v>
      </c>
      <c r="O70" s="36"/>
      <c r="P70" s="36"/>
      <c r="Q70" s="37">
        <v>9083.3495184603671</v>
      </c>
      <c r="S70" s="82"/>
      <c r="T70" s="102">
        <v>0.5</v>
      </c>
      <c r="U70" s="102">
        <v>0.5</v>
      </c>
      <c r="V70" s="102">
        <v>0.5</v>
      </c>
      <c r="W70" s="102">
        <v>0.5</v>
      </c>
      <c r="X70" s="102">
        <v>0.5</v>
      </c>
      <c r="Y70" s="102">
        <v>0.5</v>
      </c>
      <c r="Z70" s="102">
        <v>0.5</v>
      </c>
      <c r="AA70" s="102">
        <v>0.5</v>
      </c>
      <c r="AB70" s="102">
        <v>0.5</v>
      </c>
      <c r="AC70" s="102">
        <v>0.5</v>
      </c>
      <c r="AD70" s="102">
        <v>0.5</v>
      </c>
      <c r="AE70" s="102">
        <v>0.5</v>
      </c>
      <c r="AF70" s="102">
        <v>0.5</v>
      </c>
      <c r="AG70" s="83"/>
    </row>
    <row r="71" spans="3:33">
      <c r="C71" s="43" t="s">
        <v>144</v>
      </c>
      <c r="D71" s="47"/>
      <c r="E71" s="36"/>
      <c r="F71" s="36"/>
      <c r="G71" s="36">
        <v>2.8542976869136156</v>
      </c>
      <c r="H71" s="36">
        <v>1167.8493206851676</v>
      </c>
      <c r="I71" s="36">
        <v>2664.1924402588888</v>
      </c>
      <c r="J71" s="36">
        <v>151.70308395745946</v>
      </c>
      <c r="K71" s="36"/>
      <c r="L71" s="36">
        <v>123.56563110659516</v>
      </c>
      <c r="M71" s="36">
        <v>40003.484913568536</v>
      </c>
      <c r="N71" s="36">
        <v>726.05937443343328</v>
      </c>
      <c r="O71" s="36"/>
      <c r="P71" s="36"/>
      <c r="Q71" s="37">
        <v>44839.709061696994</v>
      </c>
      <c r="S71" s="82"/>
      <c r="T71" s="102">
        <v>0.5</v>
      </c>
      <c r="U71" s="102">
        <v>0.5</v>
      </c>
      <c r="V71" s="102">
        <v>0.5</v>
      </c>
      <c r="W71" s="102">
        <v>0.5</v>
      </c>
      <c r="X71" s="102">
        <v>0.5</v>
      </c>
      <c r="Y71" s="102">
        <v>0.5</v>
      </c>
      <c r="Z71" s="102">
        <v>0.5</v>
      </c>
      <c r="AA71" s="102">
        <v>0.5</v>
      </c>
      <c r="AB71" s="102">
        <v>0.5</v>
      </c>
      <c r="AC71" s="102">
        <v>0.5</v>
      </c>
      <c r="AD71" s="102">
        <v>0.5</v>
      </c>
      <c r="AE71" s="102">
        <v>0.5</v>
      </c>
      <c r="AF71" s="102">
        <v>0.5</v>
      </c>
      <c r="AG71" s="83"/>
    </row>
    <row r="72" spans="3:33">
      <c r="C72" s="43" t="s">
        <v>145</v>
      </c>
      <c r="D72" s="47"/>
      <c r="E72" s="36"/>
      <c r="F72" s="36"/>
      <c r="G72" s="36"/>
      <c r="H72" s="36">
        <v>500.17712774978179</v>
      </c>
      <c r="I72" s="36">
        <v>23722.804256133382</v>
      </c>
      <c r="J72" s="36">
        <v>354.50914125681277</v>
      </c>
      <c r="K72" s="36"/>
      <c r="L72" s="36">
        <v>151.46237554408546</v>
      </c>
      <c r="M72" s="36">
        <v>3440.0338040250413</v>
      </c>
      <c r="N72" s="36">
        <v>27.336784447867199</v>
      </c>
      <c r="O72" s="36"/>
      <c r="P72" s="36"/>
      <c r="Q72" s="37">
        <v>28196.323489156974</v>
      </c>
      <c r="S72" s="82"/>
      <c r="T72" s="102">
        <v>0.5</v>
      </c>
      <c r="U72" s="102">
        <v>0.5</v>
      </c>
      <c r="V72" s="102">
        <v>0.5</v>
      </c>
      <c r="W72" s="102">
        <v>0.5</v>
      </c>
      <c r="X72" s="102">
        <v>0.5</v>
      </c>
      <c r="Y72" s="102">
        <v>0.5</v>
      </c>
      <c r="Z72" s="102">
        <v>0.5</v>
      </c>
      <c r="AA72" s="102">
        <v>0.5</v>
      </c>
      <c r="AB72" s="102">
        <v>0.5</v>
      </c>
      <c r="AC72" s="102">
        <v>0.5</v>
      </c>
      <c r="AD72" s="102">
        <v>0.5</v>
      </c>
      <c r="AE72" s="102">
        <v>0.5</v>
      </c>
      <c r="AF72" s="102">
        <v>0.5</v>
      </c>
      <c r="AG72" s="83"/>
    </row>
    <row r="73" spans="3:33">
      <c r="C73" s="43" t="s">
        <v>146</v>
      </c>
      <c r="D73" s="47"/>
      <c r="E73" s="36"/>
      <c r="F73" s="36"/>
      <c r="G73" s="36"/>
      <c r="H73" s="36">
        <v>19.234004562007435</v>
      </c>
      <c r="I73" s="36">
        <v>213.18060545560726</v>
      </c>
      <c r="J73" s="36">
        <v>9.1348143128357706E-2</v>
      </c>
      <c r="K73" s="36"/>
      <c r="L73" s="36"/>
      <c r="M73" s="36">
        <v>83.235368999999992</v>
      </c>
      <c r="N73" s="36">
        <v>84.85115478649287</v>
      </c>
      <c r="O73" s="36"/>
      <c r="P73" s="36"/>
      <c r="Q73" s="37">
        <v>400.59248194723591</v>
      </c>
      <c r="S73" s="82"/>
      <c r="T73" s="102">
        <v>0.5</v>
      </c>
      <c r="U73" s="102">
        <v>0.5</v>
      </c>
      <c r="V73" s="102">
        <v>0.5</v>
      </c>
      <c r="W73" s="102">
        <v>0.5</v>
      </c>
      <c r="X73" s="102">
        <v>0.5</v>
      </c>
      <c r="Y73" s="102">
        <v>0.5</v>
      </c>
      <c r="Z73" s="102">
        <v>0.5</v>
      </c>
      <c r="AA73" s="102">
        <v>0.5</v>
      </c>
      <c r="AB73" s="102">
        <v>0.5</v>
      </c>
      <c r="AC73" s="102">
        <v>0.5</v>
      </c>
      <c r="AD73" s="102">
        <v>0.5</v>
      </c>
      <c r="AE73" s="102">
        <v>0.5</v>
      </c>
      <c r="AF73" s="102">
        <v>0.5</v>
      </c>
      <c r="AG73" s="83"/>
    </row>
    <row r="74" spans="3:33">
      <c r="C74" s="43" t="s">
        <v>147</v>
      </c>
      <c r="D74" s="47"/>
      <c r="E74" s="36"/>
      <c r="F74" s="36">
        <v>17736.792474344355</v>
      </c>
      <c r="G74" s="36"/>
      <c r="H74" s="36">
        <v>150.82501954576574</v>
      </c>
      <c r="I74" s="36">
        <v>4371.1033794284785</v>
      </c>
      <c r="J74" s="36">
        <v>119.67293505829907</v>
      </c>
      <c r="K74" s="36">
        <v>6965.8926858869008</v>
      </c>
      <c r="L74" s="36"/>
      <c r="M74" s="36">
        <v>3593.8097509999989</v>
      </c>
      <c r="N74" s="36">
        <v>22.299271915699705</v>
      </c>
      <c r="O74" s="36"/>
      <c r="P74" s="36">
        <v>8223.8497584667184</v>
      </c>
      <c r="Q74" s="37">
        <v>41184.245275646215</v>
      </c>
      <c r="S74" s="82"/>
      <c r="T74" s="102">
        <v>0.5</v>
      </c>
      <c r="U74" s="102">
        <v>0.5</v>
      </c>
      <c r="V74" s="102">
        <v>0.5</v>
      </c>
      <c r="W74" s="102">
        <v>0.5</v>
      </c>
      <c r="X74" s="102">
        <v>0.5</v>
      </c>
      <c r="Y74" s="102">
        <v>0.5</v>
      </c>
      <c r="Z74" s="102">
        <v>0.5</v>
      </c>
      <c r="AA74" s="102">
        <v>0.5</v>
      </c>
      <c r="AB74" s="102">
        <v>0.5</v>
      </c>
      <c r="AC74" s="102">
        <v>0.5</v>
      </c>
      <c r="AD74" s="102">
        <v>0.5</v>
      </c>
      <c r="AE74" s="102">
        <v>0.5</v>
      </c>
      <c r="AF74" s="102">
        <v>0.5</v>
      </c>
      <c r="AG74" s="83"/>
    </row>
    <row r="75" spans="3:33">
      <c r="C75" s="43" t="s">
        <v>148</v>
      </c>
      <c r="D75" s="47"/>
      <c r="E75" s="36"/>
      <c r="F75" s="36"/>
      <c r="G75" s="36">
        <v>69.047231488273411</v>
      </c>
      <c r="H75" s="36">
        <v>92.903962277802009</v>
      </c>
      <c r="I75" s="36">
        <v>369.82861874291706</v>
      </c>
      <c r="J75" s="36">
        <v>54.853191526895998</v>
      </c>
      <c r="K75" s="36"/>
      <c r="L75" s="36">
        <v>16.114386304533113</v>
      </c>
      <c r="M75" s="36">
        <v>557.56303829847707</v>
      </c>
      <c r="N75" s="36">
        <v>34.790297478437736</v>
      </c>
      <c r="O75" s="36"/>
      <c r="P75" s="36"/>
      <c r="Q75" s="37">
        <v>1195.1007261173363</v>
      </c>
      <c r="S75" s="82"/>
      <c r="T75" s="102">
        <v>0.5</v>
      </c>
      <c r="U75" s="102">
        <v>0.5</v>
      </c>
      <c r="V75" s="102">
        <v>0.5</v>
      </c>
      <c r="W75" s="102">
        <v>0.5</v>
      </c>
      <c r="X75" s="102">
        <v>0.5</v>
      </c>
      <c r="Y75" s="102">
        <v>0.5</v>
      </c>
      <c r="Z75" s="102">
        <v>0.5</v>
      </c>
      <c r="AA75" s="102">
        <v>0.5</v>
      </c>
      <c r="AB75" s="102">
        <v>0.5</v>
      </c>
      <c r="AC75" s="102">
        <v>0.5</v>
      </c>
      <c r="AD75" s="102">
        <v>0.5</v>
      </c>
      <c r="AE75" s="102">
        <v>0.5</v>
      </c>
      <c r="AF75" s="102">
        <v>0.5</v>
      </c>
      <c r="AG75" s="83"/>
    </row>
    <row r="76" spans="3:33">
      <c r="C76" s="43" t="s">
        <v>149</v>
      </c>
      <c r="D76" s="47"/>
      <c r="E76" s="36"/>
      <c r="F76" s="36"/>
      <c r="G76" s="36">
        <v>611.9393173846729</v>
      </c>
      <c r="H76" s="36">
        <v>1256.1646999866944</v>
      </c>
      <c r="I76" s="36">
        <v>4897.0398509177739</v>
      </c>
      <c r="J76" s="36">
        <v>74.750483745838366</v>
      </c>
      <c r="K76" s="36">
        <v>948.70988991781928</v>
      </c>
      <c r="L76" s="36">
        <v>662.23367045983628</v>
      </c>
      <c r="M76" s="36">
        <v>1447.59653</v>
      </c>
      <c r="N76" s="36">
        <v>295.10212235470431</v>
      </c>
      <c r="O76" s="36"/>
      <c r="P76" s="36">
        <v>19667.588372777562</v>
      </c>
      <c r="Q76" s="37">
        <v>29861.124937544904</v>
      </c>
      <c r="S76" s="82"/>
      <c r="T76" s="102">
        <v>0.5</v>
      </c>
      <c r="U76" s="102">
        <v>0.5</v>
      </c>
      <c r="V76" s="102">
        <v>0.5</v>
      </c>
      <c r="W76" s="102">
        <v>0.5</v>
      </c>
      <c r="X76" s="102">
        <v>0.5</v>
      </c>
      <c r="Y76" s="102">
        <v>0.5</v>
      </c>
      <c r="Z76" s="102">
        <v>0.5</v>
      </c>
      <c r="AA76" s="102">
        <v>0.5</v>
      </c>
      <c r="AB76" s="102">
        <v>0.5</v>
      </c>
      <c r="AC76" s="102">
        <v>0.5</v>
      </c>
      <c r="AD76" s="102">
        <v>0.5</v>
      </c>
      <c r="AE76" s="102">
        <v>0.5</v>
      </c>
      <c r="AF76" s="102">
        <v>0.5</v>
      </c>
      <c r="AG76" s="83"/>
    </row>
    <row r="77" spans="3:33">
      <c r="C77" s="25" t="s">
        <v>48</v>
      </c>
      <c r="D77" s="46">
        <v>12384.125574703461</v>
      </c>
      <c r="E77" s="34">
        <v>0</v>
      </c>
      <c r="F77" s="34">
        <v>0</v>
      </c>
      <c r="G77" s="34">
        <v>15.434665947759072</v>
      </c>
      <c r="H77" s="34">
        <v>28994.369786814961</v>
      </c>
      <c r="I77" s="34">
        <v>298.29859790907358</v>
      </c>
      <c r="J77" s="34">
        <v>4337.8988978019897</v>
      </c>
      <c r="K77" s="34">
        <v>0</v>
      </c>
      <c r="L77" s="34">
        <v>309.33452700420872</v>
      </c>
      <c r="M77" s="34">
        <v>4.2611839584953159</v>
      </c>
      <c r="N77" s="34">
        <v>883.91431106604125</v>
      </c>
      <c r="O77" s="34">
        <v>0</v>
      </c>
      <c r="P77" s="34">
        <v>0</v>
      </c>
      <c r="Q77" s="35">
        <v>47227.637545205995</v>
      </c>
      <c r="S77" s="81" t="s">
        <v>48</v>
      </c>
      <c r="T77" s="88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6"/>
    </row>
    <row r="78" spans="3:33">
      <c r="C78" s="44" t="s">
        <v>150</v>
      </c>
      <c r="D78" s="47">
        <v>12384.125574703461</v>
      </c>
      <c r="E78" s="36"/>
      <c r="F78" s="36"/>
      <c r="G78" s="36">
        <v>15.434665947759072</v>
      </c>
      <c r="H78" s="36">
        <v>28994.369786814961</v>
      </c>
      <c r="I78" s="36">
        <v>298.29859790907358</v>
      </c>
      <c r="J78" s="36">
        <v>4337.8988978019897</v>
      </c>
      <c r="K78" s="36"/>
      <c r="L78" s="36">
        <v>309.33452700420872</v>
      </c>
      <c r="M78" s="36">
        <v>4.2611839584953159</v>
      </c>
      <c r="N78" s="36">
        <v>883.91431106604125</v>
      </c>
      <c r="O78" s="36"/>
      <c r="P78" s="36"/>
      <c r="Q78" s="37">
        <v>47227.637545205995</v>
      </c>
      <c r="S78" s="80"/>
      <c r="T78" s="102">
        <v>0.5</v>
      </c>
      <c r="U78" s="102">
        <v>0.5</v>
      </c>
      <c r="V78" s="102">
        <v>0.5</v>
      </c>
      <c r="W78" s="102">
        <v>0.5</v>
      </c>
      <c r="X78" s="102">
        <v>0.5</v>
      </c>
      <c r="Y78" s="102">
        <v>0.5</v>
      </c>
      <c r="Z78" s="102">
        <v>0.5</v>
      </c>
      <c r="AA78" s="102">
        <v>0.5</v>
      </c>
      <c r="AB78" s="102">
        <v>0.5</v>
      </c>
      <c r="AC78" s="102">
        <v>0.5</v>
      </c>
      <c r="AD78" s="102">
        <v>0.5</v>
      </c>
      <c r="AE78" s="102">
        <v>0.5</v>
      </c>
      <c r="AF78" s="102">
        <v>0.5</v>
      </c>
      <c r="AG78" s="83"/>
    </row>
    <row r="79" spans="3:33">
      <c r="C79" s="43"/>
      <c r="D79" s="4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7"/>
      <c r="S79" s="82"/>
      <c r="T79" s="84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83"/>
    </row>
    <row r="80" spans="3:33">
      <c r="C80" s="4" t="s">
        <v>88</v>
      </c>
      <c r="D80" s="49">
        <v>12384.125574703461</v>
      </c>
      <c r="E80" s="39">
        <v>330.26164000000006</v>
      </c>
      <c r="F80" s="39">
        <v>17736.792474344355</v>
      </c>
      <c r="G80" s="39">
        <v>26953.173193044586</v>
      </c>
      <c r="H80" s="39">
        <v>120331.0408107836</v>
      </c>
      <c r="I80" s="39">
        <v>141230.96849142193</v>
      </c>
      <c r="J80" s="39">
        <v>7620.4032752775929</v>
      </c>
      <c r="K80" s="39">
        <v>11661.030508125416</v>
      </c>
      <c r="L80" s="39">
        <v>7523.859432160717</v>
      </c>
      <c r="M80" s="39">
        <v>84943.645600729549</v>
      </c>
      <c r="N80" s="39">
        <v>106218.54770351163</v>
      </c>
      <c r="O80" s="39">
        <v>364</v>
      </c>
      <c r="P80" s="39">
        <v>35483.82932924007</v>
      </c>
      <c r="Q80" s="40">
        <v>572781.67803334293</v>
      </c>
      <c r="S80" s="99"/>
      <c r="T80" s="78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3"/>
    </row>
    <row r="82" spans="3:27">
      <c r="P82" s="170"/>
      <c r="T82" s="111"/>
      <c r="U82" s="111"/>
      <c r="V82" s="111"/>
      <c r="W82" s="111"/>
      <c r="X82" s="111"/>
      <c r="Y82" s="111"/>
      <c r="Z82" s="111"/>
      <c r="AA82" s="111"/>
    </row>
    <row r="83" spans="3:27">
      <c r="C83" s="2" t="s">
        <v>300</v>
      </c>
      <c r="F83" s="2" t="s">
        <v>152</v>
      </c>
      <c r="G83" s="2" t="s">
        <v>153</v>
      </c>
    </row>
    <row r="84" spans="3:27" ht="31.5">
      <c r="C84" s="4" t="s">
        <v>109</v>
      </c>
      <c r="D84" s="17" t="s">
        <v>78</v>
      </c>
      <c r="E84" s="18" t="s">
        <v>79</v>
      </c>
      <c r="F84" s="18" t="s">
        <v>80</v>
      </c>
      <c r="G84" s="6" t="s">
        <v>81</v>
      </c>
      <c r="H84" s="19" t="s">
        <v>82</v>
      </c>
      <c r="I84" s="6" t="s">
        <v>57</v>
      </c>
      <c r="J84" s="19" t="s">
        <v>83</v>
      </c>
      <c r="K84" s="18" t="s">
        <v>84</v>
      </c>
      <c r="L84" s="19" t="s">
        <v>71</v>
      </c>
      <c r="M84" s="20" t="s">
        <v>43</v>
      </c>
      <c r="N84" s="19" t="s">
        <v>85</v>
      </c>
      <c r="O84" s="18" t="s">
        <v>86</v>
      </c>
      <c r="P84" s="18" t="s">
        <v>87</v>
      </c>
      <c r="Q84" s="4" t="s">
        <v>88</v>
      </c>
    </row>
    <row r="85" spans="3:27">
      <c r="C85" s="21"/>
      <c r="D85" s="22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4"/>
    </row>
    <row r="86" spans="3:27">
      <c r="C86" s="25" t="s">
        <v>47</v>
      </c>
      <c r="D86" s="26">
        <f>SUM(D87:D91)</f>
        <v>0</v>
      </c>
      <c r="E86" s="26">
        <f t="shared" ref="E86:Q86" si="2">SUM(E87:E91)</f>
        <v>3.6740964912280708E-3</v>
      </c>
      <c r="F86" s="26">
        <f t="shared" si="2"/>
        <v>0</v>
      </c>
      <c r="G86" s="26">
        <f t="shared" si="2"/>
        <v>0.84043903178288581</v>
      </c>
      <c r="H86" s="26">
        <f t="shared" si="2"/>
        <v>11.398335822074941</v>
      </c>
      <c r="I86" s="26">
        <f t="shared" si="2"/>
        <v>4.8921885102982516</v>
      </c>
      <c r="J86" s="26">
        <f t="shared" si="2"/>
        <v>1.1616089555311193</v>
      </c>
      <c r="K86" s="26">
        <f t="shared" si="2"/>
        <v>0.36589480116379292</v>
      </c>
      <c r="L86" s="26">
        <f t="shared" si="2"/>
        <v>3.3997225544632921E-2</v>
      </c>
      <c r="M86" s="26">
        <f t="shared" si="2"/>
        <v>0.81588182699999989</v>
      </c>
      <c r="N86" s="26">
        <f t="shared" si="2"/>
        <v>1.9223377752054711</v>
      </c>
      <c r="O86" s="26">
        <f t="shared" si="2"/>
        <v>0</v>
      </c>
      <c r="P86" s="26">
        <f t="shared" si="2"/>
        <v>0</v>
      </c>
      <c r="Q86" s="27">
        <f t="shared" si="2"/>
        <v>21.434358045092324</v>
      </c>
    </row>
    <row r="87" spans="3:27">
      <c r="C87" s="28" t="s">
        <v>110</v>
      </c>
      <c r="D87" s="29">
        <f>D35*T35/1000</f>
        <v>0</v>
      </c>
      <c r="E87" s="29">
        <f t="shared" ref="E87:P87" si="3">E35*U35/1000</f>
        <v>3.6740964912280708E-3</v>
      </c>
      <c r="F87" s="29">
        <f t="shared" si="3"/>
        <v>0</v>
      </c>
      <c r="G87" s="29">
        <f t="shared" si="3"/>
        <v>0</v>
      </c>
      <c r="H87" s="29">
        <f t="shared" si="3"/>
        <v>2.617482353459105</v>
      </c>
      <c r="I87" s="29">
        <f t="shared" si="3"/>
        <v>3.5456443990199693</v>
      </c>
      <c r="J87" s="29">
        <f t="shared" si="3"/>
        <v>0</v>
      </c>
      <c r="K87" s="29">
        <f t="shared" si="3"/>
        <v>0</v>
      </c>
      <c r="L87" s="29">
        <f t="shared" si="3"/>
        <v>0</v>
      </c>
      <c r="M87" s="29">
        <f t="shared" si="3"/>
        <v>0</v>
      </c>
      <c r="N87" s="29">
        <f t="shared" si="3"/>
        <v>1.100093650746961</v>
      </c>
      <c r="O87" s="29">
        <f t="shared" si="3"/>
        <v>0</v>
      </c>
      <c r="P87" s="29">
        <f t="shared" si="3"/>
        <v>0</v>
      </c>
      <c r="Q87" s="30">
        <f>SUM(D87:P87)</f>
        <v>7.2668944997172638</v>
      </c>
    </row>
    <row r="88" spans="3:27">
      <c r="C88" s="28" t="s">
        <v>111</v>
      </c>
      <c r="D88" s="29">
        <f t="shared" ref="D88:D91" si="4">D36*T36/1000</f>
        <v>0</v>
      </c>
      <c r="E88" s="29">
        <f t="shared" ref="E88:E91" si="5">E36*U36/1000</f>
        <v>0</v>
      </c>
      <c r="F88" s="29">
        <f t="shared" ref="F88:F91" si="6">F36*V36/1000</f>
        <v>0</v>
      </c>
      <c r="G88" s="29">
        <f t="shared" ref="G88:G91" si="7">G36*W36/1000</f>
        <v>0</v>
      </c>
      <c r="H88" s="29">
        <f t="shared" ref="H88:H91" si="8">H36*X36/1000</f>
        <v>1.4514857751151558</v>
      </c>
      <c r="I88" s="29">
        <f t="shared" ref="I88:I91" si="9">I36*Y36/1000</f>
        <v>9.1206358665691198E-2</v>
      </c>
      <c r="J88" s="29">
        <f t="shared" ref="J88:J91" si="10">J36*Z36/1000</f>
        <v>1.1616089555311193</v>
      </c>
      <c r="K88" s="29">
        <f t="shared" ref="K88:K91" si="11">K36*AA36/1000</f>
        <v>0</v>
      </c>
      <c r="L88" s="29">
        <f t="shared" ref="L88:L91" si="12">L36*AB36/1000</f>
        <v>0</v>
      </c>
      <c r="M88" s="29">
        <f t="shared" ref="M88:M91" si="13">M36*AC36/1000</f>
        <v>0</v>
      </c>
      <c r="N88" s="29">
        <f t="shared" ref="N88:N91" si="14">N36*AD36/1000</f>
        <v>0.10177694623553749</v>
      </c>
      <c r="O88" s="29">
        <f t="shared" ref="O88:O91" si="15">O36*AE36/1000</f>
        <v>0</v>
      </c>
      <c r="P88" s="29">
        <f t="shared" ref="P88:P91" si="16">P36*AF36/1000</f>
        <v>0</v>
      </c>
      <c r="Q88" s="30">
        <f t="shared" ref="Q88:Q91" si="17">SUM(D88:P88)</f>
        <v>2.8060780355475039</v>
      </c>
    </row>
    <row r="89" spans="3:27">
      <c r="C89" s="28" t="s">
        <v>112</v>
      </c>
      <c r="D89" s="29">
        <f t="shared" si="4"/>
        <v>0</v>
      </c>
      <c r="E89" s="29">
        <f t="shared" si="5"/>
        <v>0</v>
      </c>
      <c r="F89" s="29">
        <f t="shared" si="6"/>
        <v>0</v>
      </c>
      <c r="G89" s="29">
        <f t="shared" si="7"/>
        <v>3.2386131092060696E-4</v>
      </c>
      <c r="H89" s="29">
        <f t="shared" si="8"/>
        <v>1.4320032965595075</v>
      </c>
      <c r="I89" s="29">
        <f t="shared" si="9"/>
        <v>0.32072735684362919</v>
      </c>
      <c r="J89" s="29">
        <f t="shared" si="10"/>
        <v>0</v>
      </c>
      <c r="K89" s="29">
        <f t="shared" si="11"/>
        <v>0</v>
      </c>
      <c r="L89" s="29">
        <f t="shared" si="12"/>
        <v>0</v>
      </c>
      <c r="M89" s="29">
        <f t="shared" si="13"/>
        <v>4.8370000000000004E-6</v>
      </c>
      <c r="N89" s="29">
        <f t="shared" si="14"/>
        <v>3.7264968003898155E-2</v>
      </c>
      <c r="O89" s="29">
        <f t="shared" si="15"/>
        <v>0</v>
      </c>
      <c r="P89" s="29">
        <f t="shared" si="16"/>
        <v>0</v>
      </c>
      <c r="Q89" s="30">
        <f t="shared" si="17"/>
        <v>1.7903243197179555</v>
      </c>
    </row>
    <row r="90" spans="3:27">
      <c r="C90" s="28" t="s">
        <v>113</v>
      </c>
      <c r="D90" s="29">
        <f t="shared" si="4"/>
        <v>0</v>
      </c>
      <c r="E90" s="29">
        <f t="shared" si="5"/>
        <v>0</v>
      </c>
      <c r="F90" s="29">
        <f t="shared" si="6"/>
        <v>0</v>
      </c>
      <c r="G90" s="29">
        <f t="shared" si="7"/>
        <v>0.84011517047196516</v>
      </c>
      <c r="H90" s="29">
        <f t="shared" si="8"/>
        <v>0.11165528492343674</v>
      </c>
      <c r="I90" s="29">
        <f t="shared" si="9"/>
        <v>1.6884861744666864E-2</v>
      </c>
      <c r="J90" s="29">
        <f t="shared" si="10"/>
        <v>0</v>
      </c>
      <c r="K90" s="29">
        <f t="shared" si="11"/>
        <v>0.26359271828441261</v>
      </c>
      <c r="L90" s="29">
        <f t="shared" si="12"/>
        <v>0</v>
      </c>
      <c r="M90" s="29">
        <f t="shared" si="13"/>
        <v>0.81587698999999991</v>
      </c>
      <c r="N90" s="29">
        <f t="shared" si="14"/>
        <v>0</v>
      </c>
      <c r="O90" s="29">
        <f t="shared" si="15"/>
        <v>0</v>
      </c>
      <c r="P90" s="29">
        <f t="shared" si="16"/>
        <v>0</v>
      </c>
      <c r="Q90" s="30">
        <f t="shared" si="17"/>
        <v>2.0481250254244814</v>
      </c>
    </row>
    <row r="91" spans="3:27">
      <c r="C91" s="28" t="s">
        <v>114</v>
      </c>
      <c r="D91" s="29">
        <f t="shared" si="4"/>
        <v>0</v>
      </c>
      <c r="E91" s="29">
        <f t="shared" si="5"/>
        <v>0</v>
      </c>
      <c r="F91" s="29">
        <f t="shared" si="6"/>
        <v>0</v>
      </c>
      <c r="G91" s="29">
        <f t="shared" si="7"/>
        <v>0</v>
      </c>
      <c r="H91" s="29">
        <f t="shared" si="8"/>
        <v>5.7857091120177371</v>
      </c>
      <c r="I91" s="29">
        <f t="shared" si="9"/>
        <v>0.91772553402429502</v>
      </c>
      <c r="J91" s="29">
        <f t="shared" si="10"/>
        <v>0</v>
      </c>
      <c r="K91" s="29">
        <f t="shared" si="11"/>
        <v>0.10230208287938032</v>
      </c>
      <c r="L91" s="29">
        <f t="shared" si="12"/>
        <v>3.3997225544632921E-2</v>
      </c>
      <c r="M91" s="29">
        <f t="shared" si="13"/>
        <v>0</v>
      </c>
      <c r="N91" s="29">
        <f t="shared" si="14"/>
        <v>0.68320221021907446</v>
      </c>
      <c r="O91" s="29">
        <f t="shared" si="15"/>
        <v>0</v>
      </c>
      <c r="P91" s="29">
        <f t="shared" si="16"/>
        <v>0</v>
      </c>
      <c r="Q91" s="30">
        <f t="shared" si="17"/>
        <v>7.5229361646851203</v>
      </c>
    </row>
    <row r="92" spans="3:27">
      <c r="C92" s="25" t="s">
        <v>115</v>
      </c>
      <c r="D92" s="26">
        <f>SUM(D93:D108)</f>
        <v>0</v>
      </c>
      <c r="E92" s="26">
        <f t="shared" ref="E92:Q92" si="18">SUM(E93:E108)</f>
        <v>0.14000000000000001</v>
      </c>
      <c r="F92" s="26">
        <f t="shared" si="18"/>
        <v>0</v>
      </c>
      <c r="G92" s="26">
        <f t="shared" si="18"/>
        <v>0.56435291491200945</v>
      </c>
      <c r="H92" s="26">
        <f t="shared" si="18"/>
        <v>9.449427764762941</v>
      </c>
      <c r="I92" s="26">
        <f t="shared" si="18"/>
        <v>16.836664853843356</v>
      </c>
      <c r="J92" s="26">
        <f t="shared" si="18"/>
        <v>2.3372036017938408E-3</v>
      </c>
      <c r="K92" s="26">
        <f t="shared" si="18"/>
        <v>1.1258711433037225</v>
      </c>
      <c r="L92" s="26">
        <f t="shared" si="18"/>
        <v>0.62693632186869452</v>
      </c>
      <c r="M92" s="26">
        <f t="shared" si="18"/>
        <v>4.357127562230251</v>
      </c>
      <c r="N92" s="26">
        <f t="shared" si="18"/>
        <v>8.514101657074157</v>
      </c>
      <c r="O92" s="26">
        <f t="shared" si="18"/>
        <v>0</v>
      </c>
      <c r="P92" s="26">
        <f t="shared" si="18"/>
        <v>0</v>
      </c>
      <c r="Q92" s="27">
        <f t="shared" si="18"/>
        <v>41.616819421596915</v>
      </c>
    </row>
    <row r="93" spans="3:27">
      <c r="C93" s="28" t="s">
        <v>116</v>
      </c>
      <c r="D93" s="29">
        <f>D41*T41/1000</f>
        <v>0</v>
      </c>
      <c r="E93" s="29">
        <f t="shared" ref="E93:P93" si="19">E41*U41/1000</f>
        <v>0</v>
      </c>
      <c r="F93" s="29">
        <f t="shared" si="19"/>
        <v>0</v>
      </c>
      <c r="G93" s="29">
        <f t="shared" si="19"/>
        <v>5.1291177148151731E-3</v>
      </c>
      <c r="H93" s="29">
        <f t="shared" si="19"/>
        <v>0.16234325021848045</v>
      </c>
      <c r="I93" s="29">
        <f t="shared" si="19"/>
        <v>1.5194078610451955</v>
      </c>
      <c r="J93" s="29">
        <f t="shared" si="19"/>
        <v>3.1063529527113585E-4</v>
      </c>
      <c r="K93" s="29">
        <f t="shared" si="19"/>
        <v>0.1834430970065469</v>
      </c>
      <c r="L93" s="29">
        <f t="shared" si="19"/>
        <v>0.11547593732455647</v>
      </c>
      <c r="M93" s="29">
        <f t="shared" si="19"/>
        <v>0.35145917056880643</v>
      </c>
      <c r="N93" s="29">
        <f t="shared" si="19"/>
        <v>0.34294103362586659</v>
      </c>
      <c r="O93" s="29">
        <f t="shared" si="19"/>
        <v>0</v>
      </c>
      <c r="P93" s="29">
        <f t="shared" si="19"/>
        <v>0</v>
      </c>
      <c r="Q93" s="30">
        <f>SUM(D93:P93)</f>
        <v>2.6805101027995386</v>
      </c>
    </row>
    <row r="94" spans="3:27">
      <c r="C94" s="28" t="s">
        <v>117</v>
      </c>
      <c r="D94" s="29">
        <f t="shared" ref="D94:D108" si="20">D42*T42/1000</f>
        <v>0</v>
      </c>
      <c r="E94" s="29">
        <f t="shared" ref="E94:E108" si="21">E42*U42/1000</f>
        <v>0</v>
      </c>
      <c r="F94" s="29">
        <f t="shared" ref="F94:F108" si="22">F42*V42/1000</f>
        <v>0</v>
      </c>
      <c r="G94" s="29">
        <f t="shared" ref="G94:G108" si="23">G42*W42/1000</f>
        <v>1.8335735204270408E-2</v>
      </c>
      <c r="H94" s="29">
        <f t="shared" ref="H94:H108" si="24">H42*X42/1000</f>
        <v>0.85096318865359444</v>
      </c>
      <c r="I94" s="29">
        <f t="shared" ref="I94:I108" si="25">I42*Y42/1000</f>
        <v>1.0456364701793737</v>
      </c>
      <c r="J94" s="29">
        <f t="shared" ref="J94:J108" si="26">J42*Z42/1000</f>
        <v>8.2756964952811495E-5</v>
      </c>
      <c r="K94" s="29">
        <f t="shared" ref="K94:K108" si="27">K42*AA42/1000</f>
        <v>0.84785494581499565</v>
      </c>
      <c r="L94" s="29">
        <f t="shared" ref="L94:L108" si="28">L42*AB42/1000</f>
        <v>0</v>
      </c>
      <c r="M94" s="29">
        <f t="shared" ref="M94:M108" si="29">M42*AC42/1000</f>
        <v>0.17185783251360903</v>
      </c>
      <c r="N94" s="29">
        <f t="shared" ref="N94:N108" si="30">N42*AD42/1000</f>
        <v>0.96818172931345248</v>
      </c>
      <c r="O94" s="29">
        <f t="shared" ref="O94:O108" si="31">O42*AE42/1000</f>
        <v>0</v>
      </c>
      <c r="P94" s="29">
        <f t="shared" ref="P94:P108" si="32">P42*AF42/1000</f>
        <v>0</v>
      </c>
      <c r="Q94" s="30">
        <f t="shared" ref="Q94:Q108" si="33">SUM(D94:P94)</f>
        <v>3.9029126586442482</v>
      </c>
    </row>
    <row r="95" spans="3:27">
      <c r="C95" s="28" t="s">
        <v>118</v>
      </c>
      <c r="D95" s="29">
        <f t="shared" si="20"/>
        <v>0</v>
      </c>
      <c r="E95" s="29">
        <f t="shared" si="21"/>
        <v>0</v>
      </c>
      <c r="F95" s="29">
        <f t="shared" si="22"/>
        <v>0</v>
      </c>
      <c r="G95" s="29">
        <f t="shared" si="23"/>
        <v>0</v>
      </c>
      <c r="H95" s="29">
        <f t="shared" si="24"/>
        <v>0.34816941942294166</v>
      </c>
      <c r="I95" s="29">
        <f t="shared" si="25"/>
        <v>3.9495864972965367E-2</v>
      </c>
      <c r="J95" s="29">
        <f t="shared" si="26"/>
        <v>0</v>
      </c>
      <c r="K95" s="29">
        <f t="shared" si="27"/>
        <v>0</v>
      </c>
      <c r="L95" s="29">
        <f t="shared" si="28"/>
        <v>0</v>
      </c>
      <c r="M95" s="29">
        <f t="shared" si="29"/>
        <v>0</v>
      </c>
      <c r="N95" s="29">
        <f t="shared" si="30"/>
        <v>0.36858327606722724</v>
      </c>
      <c r="O95" s="29">
        <f t="shared" si="31"/>
        <v>0</v>
      </c>
      <c r="P95" s="29">
        <f t="shared" si="32"/>
        <v>0</v>
      </c>
      <c r="Q95" s="30">
        <f t="shared" si="33"/>
        <v>0.75624856046313427</v>
      </c>
    </row>
    <row r="96" spans="3:27">
      <c r="C96" s="28" t="s">
        <v>119</v>
      </c>
      <c r="D96" s="29">
        <f t="shared" si="20"/>
        <v>0</v>
      </c>
      <c r="E96" s="29">
        <f t="shared" si="21"/>
        <v>0</v>
      </c>
      <c r="F96" s="29">
        <f t="shared" si="22"/>
        <v>0</v>
      </c>
      <c r="G96" s="29">
        <f t="shared" si="23"/>
        <v>3.8378622909684187E-3</v>
      </c>
      <c r="H96" s="29">
        <f t="shared" si="24"/>
        <v>3.2210271477637137E-2</v>
      </c>
      <c r="I96" s="29">
        <f t="shared" si="25"/>
        <v>0.36033626055752244</v>
      </c>
      <c r="J96" s="29">
        <f t="shared" si="26"/>
        <v>2.3683021269869936E-5</v>
      </c>
      <c r="K96" s="29">
        <f t="shared" si="27"/>
        <v>0</v>
      </c>
      <c r="L96" s="29">
        <f t="shared" si="28"/>
        <v>0</v>
      </c>
      <c r="M96" s="29">
        <f t="shared" si="29"/>
        <v>0.10105522854862292</v>
      </c>
      <c r="N96" s="29">
        <f t="shared" si="30"/>
        <v>5.1915853075044566E-2</v>
      </c>
      <c r="O96" s="29">
        <f t="shared" si="31"/>
        <v>0</v>
      </c>
      <c r="P96" s="29">
        <f t="shared" si="32"/>
        <v>0</v>
      </c>
      <c r="Q96" s="30">
        <f t="shared" si="33"/>
        <v>0.54937915897106537</v>
      </c>
    </row>
    <row r="97" spans="3:17">
      <c r="C97" s="28" t="s">
        <v>120</v>
      </c>
      <c r="D97" s="29">
        <f t="shared" si="20"/>
        <v>0</v>
      </c>
      <c r="E97" s="29">
        <f t="shared" si="21"/>
        <v>0</v>
      </c>
      <c r="F97" s="29">
        <f t="shared" si="22"/>
        <v>0</v>
      </c>
      <c r="G97" s="29">
        <f t="shared" si="23"/>
        <v>7.5814442256163642E-2</v>
      </c>
      <c r="H97" s="29">
        <f t="shared" si="24"/>
        <v>0.57487880571517302</v>
      </c>
      <c r="I97" s="29">
        <f t="shared" si="25"/>
        <v>0.19480516377952212</v>
      </c>
      <c r="J97" s="29">
        <f t="shared" si="26"/>
        <v>1.2793735602664768E-3</v>
      </c>
      <c r="K97" s="29">
        <f t="shared" si="27"/>
        <v>0</v>
      </c>
      <c r="L97" s="29">
        <f t="shared" si="28"/>
        <v>0</v>
      </c>
      <c r="M97" s="29">
        <f t="shared" si="29"/>
        <v>5.8996108201218589E-2</v>
      </c>
      <c r="N97" s="29">
        <f t="shared" si="30"/>
        <v>0.5478938553470718</v>
      </c>
      <c r="O97" s="29">
        <f t="shared" si="31"/>
        <v>0</v>
      </c>
      <c r="P97" s="29">
        <f t="shared" si="32"/>
        <v>0</v>
      </c>
      <c r="Q97" s="30">
        <f t="shared" si="33"/>
        <v>1.4536677488594156</v>
      </c>
    </row>
    <row r="98" spans="3:17">
      <c r="C98" s="28" t="s">
        <v>121</v>
      </c>
      <c r="D98" s="29">
        <f t="shared" si="20"/>
        <v>0</v>
      </c>
      <c r="E98" s="29">
        <f t="shared" si="21"/>
        <v>0</v>
      </c>
      <c r="F98" s="29">
        <f t="shared" si="22"/>
        <v>0</v>
      </c>
      <c r="G98" s="29">
        <f t="shared" si="23"/>
        <v>8.8488232887988343E-3</v>
      </c>
      <c r="H98" s="29">
        <f t="shared" si="24"/>
        <v>0.12409743451877242</v>
      </c>
      <c r="I98" s="29">
        <f t="shared" si="25"/>
        <v>0.83507687056738178</v>
      </c>
      <c r="J98" s="29">
        <f t="shared" si="26"/>
        <v>5.8188229829508648E-5</v>
      </c>
      <c r="K98" s="29">
        <f t="shared" si="27"/>
        <v>1.353977041956927E-2</v>
      </c>
      <c r="L98" s="29">
        <f t="shared" si="28"/>
        <v>0</v>
      </c>
      <c r="M98" s="29">
        <f t="shared" si="29"/>
        <v>0.78035617721736528</v>
      </c>
      <c r="N98" s="29">
        <f t="shared" si="30"/>
        <v>8.2635357738425855E-2</v>
      </c>
      <c r="O98" s="29">
        <f t="shared" si="31"/>
        <v>0</v>
      </c>
      <c r="P98" s="29">
        <f t="shared" si="32"/>
        <v>0</v>
      </c>
      <c r="Q98" s="30">
        <f t="shared" si="33"/>
        <v>1.8446126219801426</v>
      </c>
    </row>
    <row r="99" spans="3:17">
      <c r="C99" s="28" t="s">
        <v>122</v>
      </c>
      <c r="D99" s="29">
        <f t="shared" si="20"/>
        <v>0</v>
      </c>
      <c r="E99" s="29">
        <f t="shared" si="21"/>
        <v>0</v>
      </c>
      <c r="F99" s="29">
        <f t="shared" si="22"/>
        <v>0</v>
      </c>
      <c r="G99" s="29">
        <f t="shared" si="23"/>
        <v>5.3251090841073779E-3</v>
      </c>
      <c r="H99" s="29">
        <f t="shared" si="24"/>
        <v>0.12184565480050485</v>
      </c>
      <c r="I99" s="29">
        <f t="shared" si="25"/>
        <v>0.49563814625351482</v>
      </c>
      <c r="J99" s="29">
        <f t="shared" si="26"/>
        <v>2.8151636486123655E-5</v>
      </c>
      <c r="K99" s="29">
        <f t="shared" si="27"/>
        <v>4.6338844723237274E-3</v>
      </c>
      <c r="L99" s="29">
        <f t="shared" si="28"/>
        <v>0</v>
      </c>
      <c r="M99" s="29">
        <f t="shared" si="29"/>
        <v>0.51589658592731558</v>
      </c>
      <c r="N99" s="29">
        <f t="shared" si="30"/>
        <v>0.19517185699191497</v>
      </c>
      <c r="O99" s="29">
        <f t="shared" si="31"/>
        <v>0</v>
      </c>
      <c r="P99" s="29">
        <f t="shared" si="32"/>
        <v>0</v>
      </c>
      <c r="Q99" s="30">
        <f t="shared" si="33"/>
        <v>1.3385393891661677</v>
      </c>
    </row>
    <row r="100" spans="3:17">
      <c r="C100" s="28" t="s">
        <v>123</v>
      </c>
      <c r="D100" s="29">
        <f t="shared" si="20"/>
        <v>0</v>
      </c>
      <c r="E100" s="29">
        <f t="shared" si="21"/>
        <v>0</v>
      </c>
      <c r="F100" s="29">
        <f t="shared" si="22"/>
        <v>0</v>
      </c>
      <c r="G100" s="29">
        <f t="shared" si="23"/>
        <v>1.9616943618218821E-2</v>
      </c>
      <c r="H100" s="29">
        <f t="shared" si="24"/>
        <v>3.3416340995493066</v>
      </c>
      <c r="I100" s="29">
        <f t="shared" si="25"/>
        <v>3.0802172774643859</v>
      </c>
      <c r="J100" s="29">
        <f t="shared" si="26"/>
        <v>4.7388341551028528E-4</v>
      </c>
      <c r="K100" s="29">
        <f t="shared" si="27"/>
        <v>3.6843976612230149E-2</v>
      </c>
      <c r="L100" s="29">
        <f t="shared" si="28"/>
        <v>0</v>
      </c>
      <c r="M100" s="29">
        <f t="shared" si="29"/>
        <v>0.35901072451469485</v>
      </c>
      <c r="N100" s="29">
        <f t="shared" si="30"/>
        <v>3.2388341250036357</v>
      </c>
      <c r="O100" s="29">
        <f t="shared" si="31"/>
        <v>0</v>
      </c>
      <c r="P100" s="29">
        <f t="shared" si="32"/>
        <v>0</v>
      </c>
      <c r="Q100" s="30">
        <f t="shared" si="33"/>
        <v>10.076631030177982</v>
      </c>
    </row>
    <row r="101" spans="3:17">
      <c r="C101" s="28" t="s">
        <v>124</v>
      </c>
      <c r="D101" s="29">
        <f t="shared" si="20"/>
        <v>0</v>
      </c>
      <c r="E101" s="29">
        <f t="shared" si="21"/>
        <v>0</v>
      </c>
      <c r="F101" s="29">
        <f t="shared" si="22"/>
        <v>0</v>
      </c>
      <c r="G101" s="29">
        <f t="shared" si="23"/>
        <v>7.1298374300269751E-2</v>
      </c>
      <c r="H101" s="29">
        <f t="shared" si="24"/>
        <v>0.14769164659784517</v>
      </c>
      <c r="I101" s="29">
        <f t="shared" si="25"/>
        <v>1.1525746476824057</v>
      </c>
      <c r="J101" s="29">
        <f t="shared" si="26"/>
        <v>3.5437802698650068E-5</v>
      </c>
      <c r="K101" s="29">
        <f t="shared" si="27"/>
        <v>3.9555468978056826E-2</v>
      </c>
      <c r="L101" s="29">
        <f t="shared" si="28"/>
        <v>0</v>
      </c>
      <c r="M101" s="29">
        <f t="shared" si="29"/>
        <v>1.2673375311188038</v>
      </c>
      <c r="N101" s="29">
        <f t="shared" si="30"/>
        <v>0.27751991913287793</v>
      </c>
      <c r="O101" s="29">
        <f t="shared" si="31"/>
        <v>0</v>
      </c>
      <c r="P101" s="29">
        <f t="shared" si="32"/>
        <v>0</v>
      </c>
      <c r="Q101" s="30">
        <f t="shared" si="33"/>
        <v>2.9560130256129575</v>
      </c>
    </row>
    <row r="102" spans="3:17">
      <c r="C102" s="28" t="s">
        <v>125</v>
      </c>
      <c r="D102" s="29">
        <f t="shared" si="20"/>
        <v>0</v>
      </c>
      <c r="E102" s="29">
        <f t="shared" si="21"/>
        <v>0</v>
      </c>
      <c r="F102" s="29">
        <f t="shared" si="22"/>
        <v>0</v>
      </c>
      <c r="G102" s="29">
        <f t="shared" si="23"/>
        <v>0</v>
      </c>
      <c r="H102" s="29">
        <f t="shared" si="24"/>
        <v>0.11672935923108176</v>
      </c>
      <c r="I102" s="29">
        <f t="shared" si="25"/>
        <v>1.3090266188056767</v>
      </c>
      <c r="J102" s="29">
        <f t="shared" si="26"/>
        <v>0</v>
      </c>
      <c r="K102" s="29">
        <f t="shared" si="27"/>
        <v>0</v>
      </c>
      <c r="L102" s="29">
        <f t="shared" si="28"/>
        <v>5.5285956821879458E-3</v>
      </c>
      <c r="M102" s="29">
        <f t="shared" si="29"/>
        <v>1.586995155517523E-3</v>
      </c>
      <c r="N102" s="29">
        <f t="shared" si="30"/>
        <v>0.27652278020976573</v>
      </c>
      <c r="O102" s="29">
        <f t="shared" si="31"/>
        <v>0</v>
      </c>
      <c r="P102" s="29">
        <f t="shared" si="32"/>
        <v>0</v>
      </c>
      <c r="Q102" s="30">
        <f t="shared" si="33"/>
        <v>1.7093943490842296</v>
      </c>
    </row>
    <row r="103" spans="3:17">
      <c r="C103" s="28" t="s">
        <v>126</v>
      </c>
      <c r="D103" s="29">
        <f t="shared" si="20"/>
        <v>0</v>
      </c>
      <c r="E103" s="29">
        <f t="shared" si="21"/>
        <v>0.14000000000000001</v>
      </c>
      <c r="F103" s="29">
        <f t="shared" si="22"/>
        <v>0</v>
      </c>
      <c r="G103" s="29">
        <f t="shared" si="23"/>
        <v>3.2365544725261548E-2</v>
      </c>
      <c r="H103" s="29">
        <f t="shared" si="24"/>
        <v>0.24972637130697151</v>
      </c>
      <c r="I103" s="29">
        <f t="shared" si="25"/>
        <v>0.51164225570769128</v>
      </c>
      <c r="J103" s="29">
        <f t="shared" si="26"/>
        <v>0</v>
      </c>
      <c r="K103" s="29">
        <f t="shared" si="27"/>
        <v>0</v>
      </c>
      <c r="L103" s="29">
        <f t="shared" si="28"/>
        <v>0</v>
      </c>
      <c r="M103" s="29">
        <f t="shared" si="29"/>
        <v>0.13027559373441469</v>
      </c>
      <c r="N103" s="29">
        <f t="shared" si="30"/>
        <v>0.2399586022929911</v>
      </c>
      <c r="O103" s="29">
        <f t="shared" si="31"/>
        <v>0</v>
      </c>
      <c r="P103" s="29">
        <f t="shared" si="32"/>
        <v>0</v>
      </c>
      <c r="Q103" s="30">
        <f t="shared" si="33"/>
        <v>1.3039683677673302</v>
      </c>
    </row>
    <row r="104" spans="3:17">
      <c r="C104" s="28" t="s">
        <v>127</v>
      </c>
      <c r="D104" s="29">
        <f t="shared" si="20"/>
        <v>0</v>
      </c>
      <c r="E104" s="29">
        <f t="shared" si="21"/>
        <v>0</v>
      </c>
      <c r="F104" s="29">
        <f t="shared" si="22"/>
        <v>0</v>
      </c>
      <c r="G104" s="29">
        <f t="shared" si="23"/>
        <v>0</v>
      </c>
      <c r="H104" s="29">
        <f t="shared" si="24"/>
        <v>1.1001301362865987</v>
      </c>
      <c r="I104" s="29">
        <f t="shared" si="25"/>
        <v>0</v>
      </c>
      <c r="J104" s="29">
        <f t="shared" si="26"/>
        <v>0</v>
      </c>
      <c r="K104" s="29">
        <f t="shared" si="27"/>
        <v>0</v>
      </c>
      <c r="L104" s="29">
        <f t="shared" si="28"/>
        <v>0</v>
      </c>
      <c r="M104" s="29">
        <f t="shared" si="29"/>
        <v>0</v>
      </c>
      <c r="N104" s="29">
        <f t="shared" si="30"/>
        <v>8.7964420655925763E-3</v>
      </c>
      <c r="O104" s="29">
        <f t="shared" si="31"/>
        <v>0</v>
      </c>
      <c r="P104" s="29">
        <f t="shared" si="32"/>
        <v>0</v>
      </c>
      <c r="Q104" s="30">
        <f t="shared" si="33"/>
        <v>1.1089265783521913</v>
      </c>
    </row>
    <row r="105" spans="3:17">
      <c r="C105" s="28" t="s">
        <v>128</v>
      </c>
      <c r="D105" s="29">
        <f t="shared" si="20"/>
        <v>0</v>
      </c>
      <c r="E105" s="29">
        <f t="shared" si="21"/>
        <v>0</v>
      </c>
      <c r="F105" s="29">
        <f t="shared" si="22"/>
        <v>0</v>
      </c>
      <c r="G105" s="29">
        <f t="shared" si="23"/>
        <v>2.3217848744632803E-2</v>
      </c>
      <c r="H105" s="29">
        <f t="shared" si="24"/>
        <v>4.7821723289336565E-2</v>
      </c>
      <c r="I105" s="29">
        <f t="shared" si="25"/>
        <v>3.0642391057436051</v>
      </c>
      <c r="J105" s="29">
        <f t="shared" si="26"/>
        <v>5.70761182446893E-6</v>
      </c>
      <c r="K105" s="29">
        <f t="shared" si="27"/>
        <v>0</v>
      </c>
      <c r="L105" s="29">
        <f t="shared" si="28"/>
        <v>0.271967011499199</v>
      </c>
      <c r="M105" s="29">
        <f t="shared" si="29"/>
        <v>0.30635080159991718</v>
      </c>
      <c r="N105" s="29">
        <f t="shared" si="30"/>
        <v>7.5349178125791519E-2</v>
      </c>
      <c r="O105" s="29">
        <f t="shared" si="31"/>
        <v>0</v>
      </c>
      <c r="P105" s="29">
        <f t="shared" si="32"/>
        <v>0</v>
      </c>
      <c r="Q105" s="30">
        <f t="shared" si="33"/>
        <v>3.7889513766143068</v>
      </c>
    </row>
    <row r="106" spans="3:17">
      <c r="C106" s="28" t="s">
        <v>129</v>
      </c>
      <c r="D106" s="29">
        <f t="shared" si="20"/>
        <v>0</v>
      </c>
      <c r="E106" s="29">
        <f t="shared" si="21"/>
        <v>0</v>
      </c>
      <c r="F106" s="29">
        <f t="shared" si="22"/>
        <v>0</v>
      </c>
      <c r="G106" s="29">
        <f t="shared" si="23"/>
        <v>0</v>
      </c>
      <c r="H106" s="29">
        <f t="shared" si="24"/>
        <v>0</v>
      </c>
      <c r="I106" s="29">
        <f t="shared" si="25"/>
        <v>1.2173067192614924</v>
      </c>
      <c r="J106" s="29">
        <f t="shared" si="26"/>
        <v>0</v>
      </c>
      <c r="K106" s="29">
        <f t="shared" si="27"/>
        <v>0</v>
      </c>
      <c r="L106" s="29">
        <f t="shared" si="28"/>
        <v>0</v>
      </c>
      <c r="M106" s="29">
        <f t="shared" si="29"/>
        <v>0</v>
      </c>
      <c r="N106" s="29">
        <f t="shared" si="30"/>
        <v>0</v>
      </c>
      <c r="O106" s="29">
        <f t="shared" si="31"/>
        <v>0</v>
      </c>
      <c r="P106" s="29">
        <f t="shared" si="32"/>
        <v>0</v>
      </c>
      <c r="Q106" s="30">
        <f t="shared" si="33"/>
        <v>1.2173067192614924</v>
      </c>
    </row>
    <row r="107" spans="3:17">
      <c r="C107" s="28" t="s">
        <v>130</v>
      </c>
      <c r="D107" s="29">
        <f t="shared" si="20"/>
        <v>0</v>
      </c>
      <c r="E107" s="29">
        <f t="shared" si="21"/>
        <v>0</v>
      </c>
      <c r="F107" s="29">
        <f t="shared" si="22"/>
        <v>0</v>
      </c>
      <c r="G107" s="29">
        <f t="shared" si="23"/>
        <v>0.29821068521747685</v>
      </c>
      <c r="H107" s="29">
        <f t="shared" si="24"/>
        <v>1.4556440392827372</v>
      </c>
      <c r="I107" s="29">
        <f t="shared" si="25"/>
        <v>1.7448484241481721</v>
      </c>
      <c r="J107" s="29">
        <f t="shared" si="26"/>
        <v>3.539843442456179E-5</v>
      </c>
      <c r="K107" s="29">
        <f t="shared" si="27"/>
        <v>0</v>
      </c>
      <c r="L107" s="29">
        <f t="shared" si="28"/>
        <v>0.23271334019403575</v>
      </c>
      <c r="M107" s="29">
        <f t="shared" si="29"/>
        <v>0.30070246967738717</v>
      </c>
      <c r="N107" s="29">
        <f t="shared" si="30"/>
        <v>1.6290245182273255</v>
      </c>
      <c r="O107" s="29">
        <f t="shared" si="31"/>
        <v>0</v>
      </c>
      <c r="P107" s="29">
        <f t="shared" si="32"/>
        <v>0</v>
      </c>
      <c r="Q107" s="30">
        <f t="shared" si="33"/>
        <v>5.6611788751815588</v>
      </c>
    </row>
    <row r="108" spans="3:17">
      <c r="C108" s="28" t="s">
        <v>131</v>
      </c>
      <c r="D108" s="29">
        <f t="shared" si="20"/>
        <v>0</v>
      </c>
      <c r="E108" s="29">
        <f t="shared" si="21"/>
        <v>0</v>
      </c>
      <c r="F108" s="29">
        <f t="shared" si="22"/>
        <v>0</v>
      </c>
      <c r="G108" s="29">
        <f t="shared" si="23"/>
        <v>2.3524284670257962E-3</v>
      </c>
      <c r="H108" s="29">
        <f t="shared" si="24"/>
        <v>0.77554236441195734</v>
      </c>
      <c r="I108" s="29">
        <f t="shared" si="25"/>
        <v>0.26641316767445067</v>
      </c>
      <c r="J108" s="29">
        <f t="shared" si="26"/>
        <v>3.987629259948904E-6</v>
      </c>
      <c r="K108" s="29">
        <f t="shared" si="27"/>
        <v>0</v>
      </c>
      <c r="L108" s="29">
        <f t="shared" si="28"/>
        <v>1.2514371687153568E-3</v>
      </c>
      <c r="M108" s="29">
        <f t="shared" si="29"/>
        <v>1.2242343452578229E-2</v>
      </c>
      <c r="N108" s="29">
        <f t="shared" si="30"/>
        <v>0.21077312985717342</v>
      </c>
      <c r="O108" s="29">
        <f t="shared" si="31"/>
        <v>0</v>
      </c>
      <c r="P108" s="29">
        <f t="shared" si="32"/>
        <v>0</v>
      </c>
      <c r="Q108" s="30">
        <f t="shared" si="33"/>
        <v>1.2685788586611606</v>
      </c>
    </row>
    <row r="109" spans="3:17">
      <c r="C109" s="25" t="s">
        <v>132</v>
      </c>
      <c r="D109" s="26">
        <f>SUM(D110:D111)</f>
        <v>0</v>
      </c>
      <c r="E109" s="26">
        <f t="shared" ref="E109:P109" si="34">SUM(E110:E111)</f>
        <v>0</v>
      </c>
      <c r="F109" s="26">
        <f t="shared" si="34"/>
        <v>0</v>
      </c>
      <c r="G109" s="26">
        <f t="shared" si="34"/>
        <v>0.18364005239501285</v>
      </c>
      <c r="H109" s="26">
        <f t="shared" si="34"/>
        <v>7.3736580786355255</v>
      </c>
      <c r="I109" s="26">
        <f t="shared" si="34"/>
        <v>22.273569940795134</v>
      </c>
      <c r="J109" s="26">
        <f t="shared" si="34"/>
        <v>0</v>
      </c>
      <c r="K109" s="26">
        <f t="shared" si="34"/>
        <v>0.14831561739519053</v>
      </c>
      <c r="L109" s="26">
        <f t="shared" si="34"/>
        <v>1.4287071605374302</v>
      </c>
      <c r="M109" s="26">
        <f t="shared" si="34"/>
        <v>3.2786888458466978</v>
      </c>
      <c r="N109" s="26">
        <f t="shared" si="34"/>
        <v>38.405402168558176</v>
      </c>
      <c r="O109" s="26">
        <f t="shared" si="34"/>
        <v>0.182</v>
      </c>
      <c r="P109" s="26">
        <f t="shared" si="34"/>
        <v>3.6683217787179241</v>
      </c>
      <c r="Q109" s="27">
        <f>SUM(Q110:Q111)</f>
        <v>76.942303642881086</v>
      </c>
    </row>
    <row r="110" spans="3:17">
      <c r="C110" s="28" t="s">
        <v>132</v>
      </c>
      <c r="D110" s="29">
        <f>D58*T58/1000</f>
        <v>0</v>
      </c>
      <c r="E110" s="29">
        <f t="shared" ref="E110:P110" si="35">E58*U58/1000</f>
        <v>0</v>
      </c>
      <c r="F110" s="29">
        <f t="shared" si="35"/>
        <v>0</v>
      </c>
      <c r="G110" s="29">
        <f t="shared" si="35"/>
        <v>0.18364005239501285</v>
      </c>
      <c r="H110" s="29">
        <f t="shared" si="35"/>
        <v>5.045421115918157E-2</v>
      </c>
      <c r="I110" s="29">
        <f t="shared" si="35"/>
        <v>22.273569940795134</v>
      </c>
      <c r="J110" s="29">
        <f t="shared" si="35"/>
        <v>0</v>
      </c>
      <c r="K110" s="29">
        <f t="shared" si="35"/>
        <v>0.14831561739519053</v>
      </c>
      <c r="L110" s="29">
        <f t="shared" si="35"/>
        <v>1.4287071605374302</v>
      </c>
      <c r="M110" s="29">
        <f t="shared" si="35"/>
        <v>3.278568726</v>
      </c>
      <c r="N110" s="29">
        <f t="shared" si="35"/>
        <v>0</v>
      </c>
      <c r="O110" s="29">
        <f t="shared" si="35"/>
        <v>0.182</v>
      </c>
      <c r="P110" s="29">
        <f t="shared" si="35"/>
        <v>3.6683217787179241</v>
      </c>
      <c r="Q110" s="30">
        <f>SUM(D110:P110)</f>
        <v>31.213577486999874</v>
      </c>
    </row>
    <row r="111" spans="3:17">
      <c r="C111" s="28" t="s">
        <v>133</v>
      </c>
      <c r="D111" s="29">
        <f>D59*T59/1000</f>
        <v>0</v>
      </c>
      <c r="E111" s="29">
        <f t="shared" ref="E111" si="36">E59*U59/1000</f>
        <v>0</v>
      </c>
      <c r="F111" s="29">
        <f t="shared" ref="F111" si="37">F59*V59/1000</f>
        <v>0</v>
      </c>
      <c r="G111" s="29">
        <f t="shared" ref="G111" si="38">G59*W59/1000</f>
        <v>0</v>
      </c>
      <c r="H111" s="29">
        <f t="shared" ref="H111" si="39">H59*X59/1000</f>
        <v>7.3232038674763436</v>
      </c>
      <c r="I111" s="29">
        <f t="shared" ref="I111" si="40">I59*Y59/1000</f>
        <v>0</v>
      </c>
      <c r="J111" s="29">
        <f t="shared" ref="J111" si="41">J59*Z59/1000</f>
        <v>0</v>
      </c>
      <c r="K111" s="29">
        <f t="shared" ref="K111" si="42">K59*AA59/1000</f>
        <v>0</v>
      </c>
      <c r="L111" s="29">
        <f t="shared" ref="L111" si="43">L59*AB59/1000</f>
        <v>0</v>
      </c>
      <c r="M111" s="29">
        <f t="shared" ref="M111" si="44">M59*AC59/1000</f>
        <v>1.2011984669790425E-4</v>
      </c>
      <c r="N111" s="29">
        <f t="shared" ref="N111" si="45">N59*AD59/1000</f>
        <v>38.405402168558176</v>
      </c>
      <c r="O111" s="29">
        <f t="shared" ref="O111" si="46">O59*AE59/1000</f>
        <v>0</v>
      </c>
      <c r="P111" s="29">
        <f t="shared" ref="P111" si="47">P59*AF59/1000</f>
        <v>0</v>
      </c>
      <c r="Q111" s="30">
        <f>SUM(D111:P111)</f>
        <v>45.728726155881219</v>
      </c>
    </row>
    <row r="112" spans="3:17">
      <c r="C112" s="25" t="s">
        <v>46</v>
      </c>
      <c r="D112" s="26">
        <f>SUM(D113:D128)</f>
        <v>0</v>
      </c>
      <c r="E112" s="26">
        <f t="shared" ref="E112:Q112" si="48">SUM(E113:E128)</f>
        <v>2.1456723508771935E-2</v>
      </c>
      <c r="F112" s="26">
        <f t="shared" si="48"/>
        <v>8.8683962371721776</v>
      </c>
      <c r="G112" s="26">
        <f t="shared" si="48"/>
        <v>11.880437264458505</v>
      </c>
      <c r="H112" s="26">
        <f t="shared" si="48"/>
        <v>17.446913846510917</v>
      </c>
      <c r="I112" s="26">
        <f t="shared" si="48"/>
        <v>26.463911641819667</v>
      </c>
      <c r="J112" s="26">
        <f t="shared" si="48"/>
        <v>0.47730602960488866</v>
      </c>
      <c r="K112" s="26">
        <f t="shared" si="48"/>
        <v>4.1904336922000009</v>
      </c>
      <c r="L112" s="26">
        <f t="shared" si="48"/>
        <v>1.5176217446274967</v>
      </c>
      <c r="M112" s="26">
        <f t="shared" si="48"/>
        <v>34.017993973308577</v>
      </c>
      <c r="N112" s="26">
        <f t="shared" si="48"/>
        <v>3.8254750953849919</v>
      </c>
      <c r="O112" s="26">
        <f t="shared" si="48"/>
        <v>0</v>
      </c>
      <c r="P112" s="26">
        <f t="shared" si="48"/>
        <v>14.073592885902112</v>
      </c>
      <c r="Q112" s="27">
        <f t="shared" si="48"/>
        <v>122.78353913449813</v>
      </c>
    </row>
    <row r="113" spans="3:17">
      <c r="C113" s="28" t="s">
        <v>134</v>
      </c>
      <c r="D113" s="29">
        <f>D61*T61/1000</f>
        <v>0</v>
      </c>
      <c r="E113" s="29">
        <f t="shared" ref="E113:P113" si="49">E61*U61/1000</f>
        <v>0</v>
      </c>
      <c r="F113" s="29">
        <f t="shared" si="49"/>
        <v>0</v>
      </c>
      <c r="G113" s="29">
        <f t="shared" si="49"/>
        <v>7.6325214088136106E-5</v>
      </c>
      <c r="H113" s="29">
        <f t="shared" si="49"/>
        <v>8.5781106301997045</v>
      </c>
      <c r="I113" s="29">
        <f t="shared" si="49"/>
        <v>0.62805938774902514</v>
      </c>
      <c r="J113" s="29">
        <f t="shared" si="49"/>
        <v>1.1328176102480837E-2</v>
      </c>
      <c r="K113" s="29">
        <f t="shared" si="49"/>
        <v>0</v>
      </c>
      <c r="L113" s="29">
        <f t="shared" si="49"/>
        <v>0.12333175221197526</v>
      </c>
      <c r="M113" s="29">
        <f t="shared" si="49"/>
        <v>0.22291279100000003</v>
      </c>
      <c r="N113" s="29">
        <f t="shared" si="49"/>
        <v>2.5921883985171532</v>
      </c>
      <c r="O113" s="29">
        <f t="shared" si="49"/>
        <v>0</v>
      </c>
      <c r="P113" s="29">
        <f t="shared" si="49"/>
        <v>0</v>
      </c>
      <c r="Q113" s="30">
        <f>SUM(D113:P113)</f>
        <v>12.156007460994427</v>
      </c>
    </row>
    <row r="114" spans="3:17">
      <c r="C114" s="28" t="s">
        <v>135</v>
      </c>
      <c r="D114" s="29">
        <f t="shared" ref="D114:D128" si="50">D62*T62/1000</f>
        <v>0</v>
      </c>
      <c r="E114" s="29">
        <f t="shared" ref="E114:E128" si="51">E62*U62/1000</f>
        <v>2.1456723508771935E-2</v>
      </c>
      <c r="F114" s="29">
        <f t="shared" ref="F114:F128" si="52">F62*V62/1000</f>
        <v>0</v>
      </c>
      <c r="G114" s="29">
        <f t="shared" ref="G114:G128" si="53">G62*W62/1000</f>
        <v>6.6597009509649094</v>
      </c>
      <c r="H114" s="29">
        <f t="shared" ref="H114:H128" si="54">H62*X62/1000</f>
        <v>1.1286272333750995</v>
      </c>
      <c r="I114" s="29">
        <f t="shared" ref="I114:I128" si="55">I62*Y62/1000</f>
        <v>2.3847180469925204</v>
      </c>
      <c r="J114" s="29">
        <f t="shared" ref="J114:J128" si="56">J62*Z62/1000</f>
        <v>7.9092662994237478E-3</v>
      </c>
      <c r="K114" s="29">
        <f t="shared" ref="K114:K128" si="57">K62*AA62/1000</f>
        <v>0.22414185143743179</v>
      </c>
      <c r="L114" s="29">
        <f t="shared" ref="L114:L128" si="58">L62*AB62/1000</f>
        <v>1.766002674839625E-2</v>
      </c>
      <c r="M114" s="29">
        <f t="shared" ref="M114:M128" si="59">M62*AC62/1000</f>
        <v>5.1096226814999994</v>
      </c>
      <c r="N114" s="29">
        <f t="shared" ref="N114:N128" si="60">N62*AD62/1000</f>
        <v>3.5228562501698119E-2</v>
      </c>
      <c r="O114" s="29">
        <f t="shared" ref="O114:O128" si="61">O62*AE62/1000</f>
        <v>0</v>
      </c>
      <c r="P114" s="29">
        <f t="shared" ref="P114:P128" si="62">P62*AF62/1000</f>
        <v>0</v>
      </c>
      <c r="Q114" s="30">
        <f t="shared" ref="Q114:Q128" si="63">SUM(D114:P114)</f>
        <v>15.589065343328251</v>
      </c>
    </row>
    <row r="115" spans="3:17">
      <c r="C115" s="28" t="s">
        <v>136</v>
      </c>
      <c r="D115" s="29">
        <f t="shared" si="50"/>
        <v>0</v>
      </c>
      <c r="E115" s="29">
        <f t="shared" si="51"/>
        <v>0</v>
      </c>
      <c r="F115" s="29">
        <f t="shared" si="52"/>
        <v>0</v>
      </c>
      <c r="G115" s="29">
        <f t="shared" si="53"/>
        <v>0</v>
      </c>
      <c r="H115" s="29">
        <f t="shared" si="54"/>
        <v>1.4630344886703452</v>
      </c>
      <c r="I115" s="29">
        <f t="shared" si="55"/>
        <v>0.71733155013320182</v>
      </c>
      <c r="J115" s="29">
        <f t="shared" si="56"/>
        <v>0</v>
      </c>
      <c r="K115" s="29">
        <f t="shared" si="57"/>
        <v>2.9352620678239683E-5</v>
      </c>
      <c r="L115" s="29">
        <f t="shared" si="58"/>
        <v>0</v>
      </c>
      <c r="M115" s="29">
        <f t="shared" si="59"/>
        <v>0</v>
      </c>
      <c r="N115" s="29">
        <f t="shared" si="60"/>
        <v>7.5913931503675147E-2</v>
      </c>
      <c r="O115" s="29">
        <f t="shared" si="61"/>
        <v>0</v>
      </c>
      <c r="P115" s="29">
        <f t="shared" si="62"/>
        <v>0</v>
      </c>
      <c r="Q115" s="30">
        <f t="shared" si="63"/>
        <v>2.2563093229279003</v>
      </c>
    </row>
    <row r="116" spans="3:17">
      <c r="C116" s="28" t="s">
        <v>137</v>
      </c>
      <c r="D116" s="29">
        <f t="shared" si="50"/>
        <v>0</v>
      </c>
      <c r="E116" s="29">
        <f t="shared" si="51"/>
        <v>0</v>
      </c>
      <c r="F116" s="29">
        <f t="shared" si="52"/>
        <v>0</v>
      </c>
      <c r="G116" s="29">
        <f t="shared" si="53"/>
        <v>2.5477089792421081E-3</v>
      </c>
      <c r="H116" s="29">
        <f t="shared" si="54"/>
        <v>0.33254036306077578</v>
      </c>
      <c r="I116" s="29">
        <f t="shared" si="55"/>
        <v>0.28163007739938367</v>
      </c>
      <c r="J116" s="29">
        <f t="shared" si="56"/>
        <v>4.5161320873339399E-2</v>
      </c>
      <c r="K116" s="29">
        <f t="shared" si="57"/>
        <v>0</v>
      </c>
      <c r="L116" s="29">
        <f t="shared" si="58"/>
        <v>0.19117646205205244</v>
      </c>
      <c r="M116" s="29">
        <f t="shared" si="59"/>
        <v>0.36480688896039615</v>
      </c>
      <c r="N116" s="29">
        <f t="shared" si="60"/>
        <v>0.20022773684617054</v>
      </c>
      <c r="O116" s="29">
        <f t="shared" si="61"/>
        <v>0</v>
      </c>
      <c r="P116" s="29">
        <f t="shared" si="62"/>
        <v>0</v>
      </c>
      <c r="Q116" s="30">
        <f t="shared" si="63"/>
        <v>1.4180905581713599</v>
      </c>
    </row>
    <row r="117" spans="3:17">
      <c r="C117" s="28" t="s">
        <v>138</v>
      </c>
      <c r="D117" s="29">
        <f t="shared" si="50"/>
        <v>0</v>
      </c>
      <c r="E117" s="29">
        <f t="shared" si="51"/>
        <v>0</v>
      </c>
      <c r="F117" s="29">
        <f t="shared" si="52"/>
        <v>0</v>
      </c>
      <c r="G117" s="29">
        <f t="shared" si="53"/>
        <v>0</v>
      </c>
      <c r="H117" s="29">
        <f t="shared" si="54"/>
        <v>1.5754888032663131E-2</v>
      </c>
      <c r="I117" s="29">
        <f t="shared" si="55"/>
        <v>0.4881227312058542</v>
      </c>
      <c r="J117" s="29">
        <f t="shared" si="56"/>
        <v>0</v>
      </c>
      <c r="K117" s="29">
        <f t="shared" si="57"/>
        <v>0</v>
      </c>
      <c r="L117" s="29">
        <f t="shared" si="58"/>
        <v>0</v>
      </c>
      <c r="M117" s="29">
        <f t="shared" si="59"/>
        <v>0</v>
      </c>
      <c r="N117" s="29">
        <f t="shared" si="60"/>
        <v>4.2484818968538625E-2</v>
      </c>
      <c r="O117" s="29">
        <f t="shared" si="61"/>
        <v>0</v>
      </c>
      <c r="P117" s="29">
        <f t="shared" si="62"/>
        <v>0</v>
      </c>
      <c r="Q117" s="30">
        <f t="shared" si="63"/>
        <v>0.54636243820705599</v>
      </c>
    </row>
    <row r="118" spans="3:17">
      <c r="C118" s="28" t="s">
        <v>139</v>
      </c>
      <c r="D118" s="29">
        <f t="shared" si="50"/>
        <v>0</v>
      </c>
      <c r="E118" s="29">
        <f t="shared" si="51"/>
        <v>0</v>
      </c>
      <c r="F118" s="29">
        <f t="shared" si="52"/>
        <v>0</v>
      </c>
      <c r="G118" s="29">
        <f t="shared" si="53"/>
        <v>0.93525702820438916</v>
      </c>
      <c r="H118" s="29">
        <f t="shared" si="54"/>
        <v>0</v>
      </c>
      <c r="I118" s="29">
        <f t="shared" si="55"/>
        <v>0</v>
      </c>
      <c r="J118" s="29">
        <f t="shared" si="56"/>
        <v>1.9665760676016873E-4</v>
      </c>
      <c r="K118" s="29">
        <f t="shared" si="57"/>
        <v>0</v>
      </c>
      <c r="L118" s="29">
        <f t="shared" si="58"/>
        <v>2.7350146658578493E-3</v>
      </c>
      <c r="M118" s="29">
        <f t="shared" si="59"/>
        <v>8.4437437039603977E-2</v>
      </c>
      <c r="N118" s="29">
        <f t="shared" si="60"/>
        <v>0</v>
      </c>
      <c r="O118" s="29">
        <f t="shared" si="61"/>
        <v>0</v>
      </c>
      <c r="P118" s="29">
        <f t="shared" si="62"/>
        <v>0</v>
      </c>
      <c r="Q118" s="30">
        <f t="shared" si="63"/>
        <v>1.0226261375166112</v>
      </c>
    </row>
    <row r="119" spans="3:17">
      <c r="C119" s="28" t="s">
        <v>140</v>
      </c>
      <c r="D119" s="29">
        <f t="shared" si="50"/>
        <v>0</v>
      </c>
      <c r="E119" s="29">
        <f t="shared" si="51"/>
        <v>0</v>
      </c>
      <c r="F119" s="29">
        <f t="shared" si="52"/>
        <v>0</v>
      </c>
      <c r="G119" s="29">
        <f t="shared" si="53"/>
        <v>1.0400375691351451</v>
      </c>
      <c r="H119" s="29">
        <f t="shared" si="54"/>
        <v>9.6232476747556903E-2</v>
      </c>
      <c r="I119" s="29">
        <f t="shared" si="55"/>
        <v>1.172479300993007</v>
      </c>
      <c r="J119" s="29">
        <f t="shared" si="56"/>
        <v>2.7322384066587398E-3</v>
      </c>
      <c r="K119" s="29">
        <f t="shared" si="57"/>
        <v>0</v>
      </c>
      <c r="L119" s="29">
        <f t="shared" si="58"/>
        <v>0.18863781737904825</v>
      </c>
      <c r="M119" s="29">
        <f t="shared" si="59"/>
        <v>1.5753273978174511</v>
      </c>
      <c r="N119" s="29">
        <f t="shared" si="60"/>
        <v>1.7707937499291102E-3</v>
      </c>
      <c r="O119" s="29">
        <f t="shared" si="61"/>
        <v>0</v>
      </c>
      <c r="P119" s="29">
        <f t="shared" si="62"/>
        <v>0</v>
      </c>
      <c r="Q119" s="30">
        <f t="shared" si="63"/>
        <v>4.0772175942287969</v>
      </c>
    </row>
    <row r="120" spans="3:17">
      <c r="C120" s="28" t="s">
        <v>141</v>
      </c>
      <c r="D120" s="29">
        <f t="shared" si="50"/>
        <v>0</v>
      </c>
      <c r="E120" s="29">
        <f t="shared" si="51"/>
        <v>0</v>
      </c>
      <c r="F120" s="29">
        <f t="shared" si="52"/>
        <v>0</v>
      </c>
      <c r="G120" s="29">
        <f t="shared" si="53"/>
        <v>0</v>
      </c>
      <c r="H120" s="29">
        <f t="shared" si="54"/>
        <v>1.8674922021224325</v>
      </c>
      <c r="I120" s="29">
        <f t="shared" si="55"/>
        <v>0.80588588319540788</v>
      </c>
      <c r="J120" s="29">
        <f t="shared" si="56"/>
        <v>0</v>
      </c>
      <c r="K120" s="29">
        <f t="shared" si="57"/>
        <v>0</v>
      </c>
      <c r="L120" s="29">
        <f t="shared" si="58"/>
        <v>0</v>
      </c>
      <c r="M120" s="29">
        <f t="shared" si="59"/>
        <v>2.8482263000000001E-2</v>
      </c>
      <c r="N120" s="29">
        <f t="shared" si="60"/>
        <v>2.6844398762082201E-2</v>
      </c>
      <c r="O120" s="29">
        <f t="shared" si="61"/>
        <v>0</v>
      </c>
      <c r="P120" s="29">
        <f t="shared" si="62"/>
        <v>0</v>
      </c>
      <c r="Q120" s="30">
        <f t="shared" si="63"/>
        <v>2.7287047470799224</v>
      </c>
    </row>
    <row r="121" spans="3:17">
      <c r="C121" s="28" t="s">
        <v>142</v>
      </c>
      <c r="D121" s="29">
        <f t="shared" si="50"/>
        <v>0</v>
      </c>
      <c r="E121" s="29">
        <f t="shared" si="51"/>
        <v>0</v>
      </c>
      <c r="F121" s="29">
        <f t="shared" si="52"/>
        <v>0</v>
      </c>
      <c r="G121" s="29">
        <f t="shared" si="53"/>
        <v>2.4970434286189449</v>
      </c>
      <c r="H121" s="29">
        <f t="shared" si="54"/>
        <v>1.0857252555493646</v>
      </c>
      <c r="I121" s="29">
        <f t="shared" si="55"/>
        <v>0.72445661300886699</v>
      </c>
      <c r="J121" s="29">
        <f t="shared" si="56"/>
        <v>1.8642911950235271E-2</v>
      </c>
      <c r="K121" s="29">
        <f t="shared" si="57"/>
        <v>0</v>
      </c>
      <c r="L121" s="29">
        <f t="shared" si="58"/>
        <v>0.30352222826624198</v>
      </c>
      <c r="M121" s="29">
        <f t="shared" si="59"/>
        <v>0.8325001565000002</v>
      </c>
      <c r="N121" s="29">
        <f t="shared" si="60"/>
        <v>1.9168372585151618E-2</v>
      </c>
      <c r="O121" s="29">
        <f t="shared" si="61"/>
        <v>0</v>
      </c>
      <c r="P121" s="29">
        <f t="shared" si="62"/>
        <v>0.12787382027997243</v>
      </c>
      <c r="Q121" s="30">
        <f t="shared" si="63"/>
        <v>5.6089327867587766</v>
      </c>
    </row>
    <row r="122" spans="3:17">
      <c r="C122" s="28" t="s">
        <v>143</v>
      </c>
      <c r="D122" s="29">
        <f t="shared" si="50"/>
        <v>0</v>
      </c>
      <c r="E122" s="29">
        <f t="shared" si="51"/>
        <v>0</v>
      </c>
      <c r="F122" s="29">
        <f t="shared" si="52"/>
        <v>0</v>
      </c>
      <c r="G122" s="29">
        <f t="shared" si="53"/>
        <v>0.40385383006185793</v>
      </c>
      <c r="H122" s="29">
        <f t="shared" si="54"/>
        <v>1.2858192413493634</v>
      </c>
      <c r="I122" s="29">
        <f t="shared" si="55"/>
        <v>1.142153475673882</v>
      </c>
      <c r="J122" s="29">
        <f t="shared" si="56"/>
        <v>1.3545366521773452E-2</v>
      </c>
      <c r="K122" s="29">
        <f t="shared" si="57"/>
        <v>8.9612002395309392E-3</v>
      </c>
      <c r="L122" s="29">
        <f t="shared" si="58"/>
        <v>0.21387041159639966</v>
      </c>
      <c r="M122" s="29">
        <f t="shared" si="59"/>
        <v>1.2370426545450997</v>
      </c>
      <c r="N122" s="29">
        <f t="shared" si="60"/>
        <v>0.23642857924227581</v>
      </c>
      <c r="O122" s="29">
        <f t="shared" si="61"/>
        <v>0</v>
      </c>
      <c r="P122" s="29">
        <f t="shared" si="62"/>
        <v>0</v>
      </c>
      <c r="Q122" s="30">
        <f t="shared" si="63"/>
        <v>4.5416747592301832</v>
      </c>
    </row>
    <row r="123" spans="3:17">
      <c r="C123" s="28" t="s">
        <v>144</v>
      </c>
      <c r="D123" s="29">
        <f t="shared" si="50"/>
        <v>0</v>
      </c>
      <c r="E123" s="29">
        <f t="shared" si="51"/>
        <v>0</v>
      </c>
      <c r="F123" s="29">
        <f t="shared" si="52"/>
        <v>0</v>
      </c>
      <c r="G123" s="29">
        <f t="shared" si="53"/>
        <v>1.4271488434568079E-3</v>
      </c>
      <c r="H123" s="29">
        <f t="shared" si="54"/>
        <v>0.58392466034258383</v>
      </c>
      <c r="I123" s="29">
        <f t="shared" si="55"/>
        <v>1.3320962201294444</v>
      </c>
      <c r="J123" s="29">
        <f t="shared" si="56"/>
        <v>7.5851541978729731E-2</v>
      </c>
      <c r="K123" s="29">
        <f t="shared" si="57"/>
        <v>0</v>
      </c>
      <c r="L123" s="29">
        <f t="shared" si="58"/>
        <v>6.1782815553297579E-2</v>
      </c>
      <c r="M123" s="29">
        <f t="shared" si="59"/>
        <v>20.001742456784267</v>
      </c>
      <c r="N123" s="29">
        <f t="shared" si="60"/>
        <v>0.36302968721671663</v>
      </c>
      <c r="O123" s="29">
        <f t="shared" si="61"/>
        <v>0</v>
      </c>
      <c r="P123" s="29">
        <f t="shared" si="62"/>
        <v>0</v>
      </c>
      <c r="Q123" s="30">
        <f t="shared" si="63"/>
        <v>22.419854530848497</v>
      </c>
    </row>
    <row r="124" spans="3:17">
      <c r="C124" s="28" t="s">
        <v>145</v>
      </c>
      <c r="D124" s="29">
        <f t="shared" si="50"/>
        <v>0</v>
      </c>
      <c r="E124" s="29">
        <f t="shared" si="51"/>
        <v>0</v>
      </c>
      <c r="F124" s="29">
        <f t="shared" si="52"/>
        <v>0</v>
      </c>
      <c r="G124" s="29">
        <f t="shared" si="53"/>
        <v>0</v>
      </c>
      <c r="H124" s="29">
        <f t="shared" si="54"/>
        <v>0.25008856387489087</v>
      </c>
      <c r="I124" s="29">
        <f t="shared" si="55"/>
        <v>11.861402128066691</v>
      </c>
      <c r="J124" s="29">
        <f t="shared" si="56"/>
        <v>0.17725457062840638</v>
      </c>
      <c r="K124" s="29">
        <f t="shared" si="57"/>
        <v>0</v>
      </c>
      <c r="L124" s="29">
        <f t="shared" si="58"/>
        <v>7.5731187772042727E-2</v>
      </c>
      <c r="M124" s="29">
        <f t="shared" si="59"/>
        <v>1.7200169020125207</v>
      </c>
      <c r="N124" s="29">
        <f t="shared" si="60"/>
        <v>1.3668392223933599E-2</v>
      </c>
      <c r="O124" s="29">
        <f t="shared" si="61"/>
        <v>0</v>
      </c>
      <c r="P124" s="29">
        <f t="shared" si="62"/>
        <v>0</v>
      </c>
      <c r="Q124" s="30">
        <f t="shared" si="63"/>
        <v>14.098161744578487</v>
      </c>
    </row>
    <row r="125" spans="3:17">
      <c r="C125" s="28" t="s">
        <v>146</v>
      </c>
      <c r="D125" s="29">
        <f t="shared" si="50"/>
        <v>0</v>
      </c>
      <c r="E125" s="29">
        <f t="shared" si="51"/>
        <v>0</v>
      </c>
      <c r="F125" s="29">
        <f t="shared" si="52"/>
        <v>0</v>
      </c>
      <c r="G125" s="29">
        <f t="shared" si="53"/>
        <v>0</v>
      </c>
      <c r="H125" s="29">
        <f t="shared" si="54"/>
        <v>9.6170022810037181E-3</v>
      </c>
      <c r="I125" s="29">
        <f t="shared" si="55"/>
        <v>0.10659030272780363</v>
      </c>
      <c r="J125" s="29">
        <f t="shared" si="56"/>
        <v>4.5674071564178855E-5</v>
      </c>
      <c r="K125" s="29">
        <f t="shared" si="57"/>
        <v>0</v>
      </c>
      <c r="L125" s="29">
        <f t="shared" si="58"/>
        <v>0</v>
      </c>
      <c r="M125" s="29">
        <f t="shared" si="59"/>
        <v>4.1617684499999995E-2</v>
      </c>
      <c r="N125" s="29">
        <f t="shared" si="60"/>
        <v>4.2425577393246434E-2</v>
      </c>
      <c r="O125" s="29">
        <f t="shared" si="61"/>
        <v>0</v>
      </c>
      <c r="P125" s="29">
        <f t="shared" si="62"/>
        <v>0</v>
      </c>
      <c r="Q125" s="30">
        <f t="shared" si="63"/>
        <v>0.20029624097361795</v>
      </c>
    </row>
    <row r="126" spans="3:17">
      <c r="C126" s="28" t="s">
        <v>147</v>
      </c>
      <c r="D126" s="29">
        <f t="shared" si="50"/>
        <v>0</v>
      </c>
      <c r="E126" s="29">
        <f t="shared" si="51"/>
        <v>0</v>
      </c>
      <c r="F126" s="29">
        <f t="shared" si="52"/>
        <v>8.8683962371721776</v>
      </c>
      <c r="G126" s="29">
        <f t="shared" si="53"/>
        <v>0</v>
      </c>
      <c r="H126" s="29">
        <f t="shared" si="54"/>
        <v>7.5412509772882871E-2</v>
      </c>
      <c r="I126" s="29">
        <f t="shared" si="55"/>
        <v>2.1855516897142393</v>
      </c>
      <c r="J126" s="29">
        <f t="shared" si="56"/>
        <v>5.9836467529149534E-2</v>
      </c>
      <c r="K126" s="29">
        <f t="shared" si="57"/>
        <v>3.4829463429434506</v>
      </c>
      <c r="L126" s="29">
        <f t="shared" si="58"/>
        <v>0</v>
      </c>
      <c r="M126" s="29">
        <f t="shared" si="59"/>
        <v>1.7969048754999994</v>
      </c>
      <c r="N126" s="29">
        <f t="shared" si="60"/>
        <v>1.1149635957849853E-2</v>
      </c>
      <c r="O126" s="29">
        <f t="shared" si="61"/>
        <v>0</v>
      </c>
      <c r="P126" s="29">
        <f t="shared" si="62"/>
        <v>4.1119248792333591</v>
      </c>
      <c r="Q126" s="30">
        <f t="shared" si="63"/>
        <v>20.592122637823113</v>
      </c>
    </row>
    <row r="127" spans="3:17">
      <c r="C127" s="28" t="s">
        <v>148</v>
      </c>
      <c r="D127" s="29">
        <f t="shared" si="50"/>
        <v>0</v>
      </c>
      <c r="E127" s="29">
        <f t="shared" si="51"/>
        <v>0</v>
      </c>
      <c r="F127" s="29">
        <f t="shared" si="52"/>
        <v>0</v>
      </c>
      <c r="G127" s="29">
        <f t="shared" si="53"/>
        <v>3.4523615744136704E-2</v>
      </c>
      <c r="H127" s="29">
        <f t="shared" si="54"/>
        <v>4.6451981138901005E-2</v>
      </c>
      <c r="I127" s="29">
        <f t="shared" si="55"/>
        <v>0.18491430937145853</v>
      </c>
      <c r="J127" s="29">
        <f t="shared" si="56"/>
        <v>2.7426595763447997E-2</v>
      </c>
      <c r="K127" s="29">
        <f t="shared" si="57"/>
        <v>0</v>
      </c>
      <c r="L127" s="29">
        <f t="shared" si="58"/>
        <v>8.057193152266556E-3</v>
      </c>
      <c r="M127" s="29">
        <f t="shared" si="59"/>
        <v>0.27878151914923854</v>
      </c>
      <c r="N127" s="29">
        <f t="shared" si="60"/>
        <v>1.7395148739218869E-2</v>
      </c>
      <c r="O127" s="29">
        <f t="shared" si="61"/>
        <v>0</v>
      </c>
      <c r="P127" s="29">
        <f t="shared" si="62"/>
        <v>0</v>
      </c>
      <c r="Q127" s="30">
        <f t="shared" si="63"/>
        <v>0.59755036305866815</v>
      </c>
    </row>
    <row r="128" spans="3:17">
      <c r="C128" s="28" t="s">
        <v>149</v>
      </c>
      <c r="D128" s="29">
        <f t="shared" si="50"/>
        <v>0</v>
      </c>
      <c r="E128" s="29">
        <f t="shared" si="51"/>
        <v>0</v>
      </c>
      <c r="F128" s="29">
        <f t="shared" si="52"/>
        <v>0</v>
      </c>
      <c r="G128" s="29">
        <f t="shared" si="53"/>
        <v>0.30596965869233644</v>
      </c>
      <c r="H128" s="29">
        <f t="shared" si="54"/>
        <v>0.62808234999334722</v>
      </c>
      <c r="I128" s="29">
        <f t="shared" si="55"/>
        <v>2.448519925458887</v>
      </c>
      <c r="J128" s="29">
        <f t="shared" si="56"/>
        <v>3.7375241872919185E-2</v>
      </c>
      <c r="K128" s="29">
        <f t="shared" si="57"/>
        <v>0.47435494495890962</v>
      </c>
      <c r="L128" s="29">
        <f t="shared" si="58"/>
        <v>0.33111683522991814</v>
      </c>
      <c r="M128" s="29">
        <f t="shared" si="59"/>
        <v>0.723798265</v>
      </c>
      <c r="N128" s="29">
        <f t="shared" si="60"/>
        <v>0.14755106117735214</v>
      </c>
      <c r="O128" s="29">
        <f t="shared" si="61"/>
        <v>0</v>
      </c>
      <c r="P128" s="29">
        <f t="shared" si="62"/>
        <v>9.833794186388781</v>
      </c>
      <c r="Q128" s="30">
        <f t="shared" si="63"/>
        <v>14.93056246877245</v>
      </c>
    </row>
    <row r="129" spans="3:17">
      <c r="C129" s="25" t="s">
        <v>48</v>
      </c>
      <c r="D129" s="26">
        <f>SUM(D130)</f>
        <v>6.1920627873517304</v>
      </c>
      <c r="E129" s="26">
        <f t="shared" ref="E129:Q129" si="64">SUM(E130)</f>
        <v>0</v>
      </c>
      <c r="F129" s="26">
        <f t="shared" si="64"/>
        <v>0</v>
      </c>
      <c r="G129" s="26">
        <f t="shared" si="64"/>
        <v>7.7173329738795364E-3</v>
      </c>
      <c r="H129" s="26">
        <f t="shared" si="64"/>
        <v>14.49718489340748</v>
      </c>
      <c r="I129" s="26">
        <f t="shared" si="64"/>
        <v>0.1491492989545368</v>
      </c>
      <c r="J129" s="26">
        <f t="shared" si="64"/>
        <v>2.1689494489009951</v>
      </c>
      <c r="K129" s="26">
        <f t="shared" si="64"/>
        <v>0</v>
      </c>
      <c r="L129" s="26">
        <f t="shared" si="64"/>
        <v>0.15466726350210436</v>
      </c>
      <c r="M129" s="26">
        <f t="shared" si="64"/>
        <v>2.130591979247658E-3</v>
      </c>
      <c r="N129" s="26">
        <f t="shared" si="64"/>
        <v>0.44195715553302062</v>
      </c>
      <c r="O129" s="26">
        <f t="shared" si="64"/>
        <v>0</v>
      </c>
      <c r="P129" s="26">
        <f t="shared" si="64"/>
        <v>0</v>
      </c>
      <c r="Q129" s="27">
        <f t="shared" si="64"/>
        <v>23.613818772603</v>
      </c>
    </row>
    <row r="130" spans="3:17">
      <c r="C130" s="28" t="s">
        <v>150</v>
      </c>
      <c r="D130" s="29">
        <f>D78*T78/1000</f>
        <v>6.1920627873517304</v>
      </c>
      <c r="E130" s="29">
        <f t="shared" ref="E130:P130" si="65">E78*U78/1000</f>
        <v>0</v>
      </c>
      <c r="F130" s="29">
        <f t="shared" si="65"/>
        <v>0</v>
      </c>
      <c r="G130" s="29">
        <f t="shared" si="65"/>
        <v>7.7173329738795364E-3</v>
      </c>
      <c r="H130" s="29">
        <f t="shared" si="65"/>
        <v>14.49718489340748</v>
      </c>
      <c r="I130" s="29">
        <f t="shared" si="65"/>
        <v>0.1491492989545368</v>
      </c>
      <c r="J130" s="29">
        <f t="shared" si="65"/>
        <v>2.1689494489009951</v>
      </c>
      <c r="K130" s="29">
        <f t="shared" si="65"/>
        <v>0</v>
      </c>
      <c r="L130" s="29">
        <f t="shared" si="65"/>
        <v>0.15466726350210436</v>
      </c>
      <c r="M130" s="29">
        <f t="shared" si="65"/>
        <v>2.130591979247658E-3</v>
      </c>
      <c r="N130" s="29">
        <f t="shared" si="65"/>
        <v>0.44195715553302062</v>
      </c>
      <c r="O130" s="29">
        <f t="shared" si="65"/>
        <v>0</v>
      </c>
      <c r="P130" s="29">
        <f t="shared" si="65"/>
        <v>0</v>
      </c>
      <c r="Q130" s="30">
        <f>SUM(D130:P130)</f>
        <v>23.613818772603</v>
      </c>
    </row>
    <row r="131" spans="3:17">
      <c r="C131" s="28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0"/>
    </row>
    <row r="132" spans="3:17">
      <c r="C132" s="4" t="s">
        <v>88</v>
      </c>
      <c r="D132" s="32">
        <f>SUM(D129,D112,D109,D92,D86)</f>
        <v>6.1920627873517304</v>
      </c>
      <c r="E132" s="32">
        <f t="shared" ref="E132:Q132" si="66">SUM(E129,E112,E109,E92,E86)</f>
        <v>0.16513082000000001</v>
      </c>
      <c r="F132" s="32">
        <f t="shared" si="66"/>
        <v>8.8683962371721776</v>
      </c>
      <c r="G132" s="32">
        <f t="shared" si="66"/>
        <v>13.476586596522292</v>
      </c>
      <c r="H132" s="32">
        <f t="shared" si="66"/>
        <v>60.165520405391803</v>
      </c>
      <c r="I132" s="32">
        <f t="shared" si="66"/>
        <v>70.615484245710945</v>
      </c>
      <c r="J132" s="32">
        <f t="shared" si="66"/>
        <v>3.810201637638797</v>
      </c>
      <c r="K132" s="32">
        <f t="shared" si="66"/>
        <v>5.830515254062707</v>
      </c>
      <c r="L132" s="32">
        <f t="shared" si="66"/>
        <v>3.7619297160803589</v>
      </c>
      <c r="M132" s="32">
        <f t="shared" si="66"/>
        <v>42.47182280036477</v>
      </c>
      <c r="N132" s="32">
        <f t="shared" si="66"/>
        <v>53.109273851755816</v>
      </c>
      <c r="O132" s="32">
        <f t="shared" si="66"/>
        <v>0.182</v>
      </c>
      <c r="P132" s="32">
        <f t="shared" si="66"/>
        <v>17.741914664620037</v>
      </c>
      <c r="Q132" s="33">
        <f t="shared" si="66"/>
        <v>286.39083901667146</v>
      </c>
    </row>
  </sheetData>
  <conditionalFormatting sqref="D61:P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3:P1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AE54"/>
  <sheetViews>
    <sheetView zoomScale="85" zoomScaleNormal="85" workbookViewId="0">
      <selection activeCell="B1" sqref="B1"/>
    </sheetView>
  </sheetViews>
  <sheetFormatPr defaultColWidth="9.1328125" defaultRowHeight="14.25"/>
  <cols>
    <col min="1" max="3" width="9.1328125" style="198"/>
    <col min="4" max="4" width="22.265625" style="198" bestFit="1" customWidth="1"/>
    <col min="5" max="5" width="9" style="198" bestFit="1" customWidth="1"/>
    <col min="6" max="6" width="12.3984375" style="198" bestFit="1" customWidth="1"/>
    <col min="7" max="8" width="22.265625" style="198" customWidth="1"/>
    <col min="9" max="9" width="65.3984375" style="198" bestFit="1" customWidth="1"/>
    <col min="10" max="17" width="9.1328125" style="198"/>
    <col min="18" max="18" width="33" style="198" customWidth="1"/>
    <col min="19" max="19" width="33.73046875" style="198" customWidth="1"/>
    <col min="20" max="24" width="21" style="198" customWidth="1"/>
    <col min="25" max="25" width="18.73046875" style="198" bestFit="1" customWidth="1"/>
    <col min="26" max="26" width="14.59765625" style="198" bestFit="1" customWidth="1"/>
    <col min="27" max="27" width="8.73046875" style="198" bestFit="1" customWidth="1"/>
    <col min="28" max="16384" width="9.1328125" style="198"/>
  </cols>
  <sheetData>
    <row r="4" spans="2:31">
      <c r="B4" s="196" t="s">
        <v>14</v>
      </c>
      <c r="C4" s="196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Q4" s="199" t="s">
        <v>15</v>
      </c>
      <c r="R4" s="199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</row>
    <row r="5" spans="2:31">
      <c r="B5" s="201" t="s">
        <v>7</v>
      </c>
      <c r="C5" s="202" t="s">
        <v>30</v>
      </c>
      <c r="D5" s="201" t="s">
        <v>0</v>
      </c>
      <c r="E5" s="405" t="s">
        <v>913</v>
      </c>
      <c r="F5" s="405" t="s">
        <v>911</v>
      </c>
      <c r="G5" s="405" t="s">
        <v>3</v>
      </c>
      <c r="H5" s="405" t="s">
        <v>910</v>
      </c>
      <c r="I5" s="201" t="s">
        <v>4</v>
      </c>
      <c r="J5" s="201" t="s">
        <v>8</v>
      </c>
      <c r="K5" s="201" t="s">
        <v>9</v>
      </c>
      <c r="L5" s="201" t="s">
        <v>10</v>
      </c>
      <c r="M5" s="201" t="s">
        <v>12</v>
      </c>
      <c r="Q5" s="203" t="s">
        <v>11</v>
      </c>
      <c r="R5" s="204" t="s">
        <v>30</v>
      </c>
      <c r="S5" s="203" t="s">
        <v>1</v>
      </c>
      <c r="T5" s="203" t="s">
        <v>908</v>
      </c>
      <c r="U5" s="203" t="s">
        <v>909</v>
      </c>
      <c r="V5" s="203" t="s">
        <v>912</v>
      </c>
      <c r="W5" s="203" t="s">
        <v>913</v>
      </c>
      <c r="X5" s="66" t="s">
        <v>2</v>
      </c>
      <c r="Y5" s="203" t="s">
        <v>914</v>
      </c>
      <c r="Z5" s="203" t="s">
        <v>16</v>
      </c>
      <c r="AA5" s="203" t="s">
        <v>17</v>
      </c>
      <c r="AB5" s="203" t="s">
        <v>18</v>
      </c>
      <c r="AC5" s="203" t="s">
        <v>19</v>
      </c>
      <c r="AD5" s="203" t="s">
        <v>20</v>
      </c>
    </row>
    <row r="6" spans="2:31" ht="35.25" thickBot="1">
      <c r="B6" s="205" t="s">
        <v>35</v>
      </c>
      <c r="C6" s="205" t="s">
        <v>31</v>
      </c>
      <c r="D6" s="205" t="s">
        <v>26</v>
      </c>
      <c r="E6" s="205"/>
      <c r="F6" s="205"/>
      <c r="G6" s="205"/>
      <c r="H6" s="205" t="s">
        <v>27</v>
      </c>
      <c r="I6" s="205" t="s">
        <v>4</v>
      </c>
      <c r="J6" s="205" t="s">
        <v>38</v>
      </c>
      <c r="K6" s="205" t="s">
        <v>39</v>
      </c>
      <c r="L6" s="205" t="s">
        <v>28</v>
      </c>
      <c r="M6" s="205" t="s">
        <v>29</v>
      </c>
      <c r="Q6" s="206" t="s">
        <v>36</v>
      </c>
      <c r="R6" s="206" t="s">
        <v>31</v>
      </c>
      <c r="S6" s="206" t="s">
        <v>21</v>
      </c>
      <c r="T6" s="206"/>
      <c r="U6" s="206"/>
      <c r="V6" s="206"/>
      <c r="W6" s="206"/>
      <c r="X6" s="206"/>
      <c r="Y6" s="206" t="s">
        <v>22</v>
      </c>
      <c r="Z6" s="206" t="s">
        <v>23</v>
      </c>
      <c r="AA6" s="206" t="s">
        <v>24</v>
      </c>
      <c r="AB6" s="206" t="s">
        <v>41</v>
      </c>
      <c r="AC6" s="206" t="s">
        <v>40</v>
      </c>
      <c r="AD6" s="206" t="s">
        <v>25</v>
      </c>
    </row>
    <row r="7" spans="2:31">
      <c r="B7" s="207" t="s">
        <v>310</v>
      </c>
      <c r="C7" s="207"/>
      <c r="D7" s="208" t="s">
        <v>365</v>
      </c>
      <c r="E7" s="208"/>
      <c r="F7" s="208" t="s">
        <v>915</v>
      </c>
      <c r="G7" s="208" t="str">
        <f xml:space="preserve"> _xlfn.CONCAT(E7, " -:- ", F7)</f>
        <v xml:space="preserve"> -:- Milking Machine</v>
      </c>
      <c r="H7" s="209" t="s">
        <v>366</v>
      </c>
      <c r="I7" s="207" t="s">
        <v>53</v>
      </c>
      <c r="J7" s="207"/>
      <c r="K7" s="207"/>
      <c r="L7" s="207"/>
      <c r="M7" s="207"/>
      <c r="Q7" s="210" t="s">
        <v>55</v>
      </c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</row>
    <row r="8" spans="2:31">
      <c r="B8" s="207" t="s">
        <v>310</v>
      </c>
      <c r="C8" s="207"/>
      <c r="D8" s="208" t="s">
        <v>367</v>
      </c>
      <c r="E8" s="208"/>
      <c r="F8" s="208" t="s">
        <v>916</v>
      </c>
      <c r="G8" s="208" t="str">
        <f t="shared" ref="G8:G41" si="0" xml:space="preserve"> _xlfn.CONCAT(E8, " -:- ", F8)</f>
        <v xml:space="preserve"> -:- Irrigation</v>
      </c>
      <c r="H8" s="209" t="s">
        <v>368</v>
      </c>
      <c r="I8" s="207" t="s">
        <v>53</v>
      </c>
      <c r="J8" s="207"/>
      <c r="K8" s="207"/>
      <c r="L8" s="207"/>
      <c r="M8" s="207"/>
      <c r="Q8" s="211" t="s">
        <v>311</v>
      </c>
      <c r="R8" s="118"/>
      <c r="S8" s="118" t="s">
        <v>369</v>
      </c>
      <c r="T8" s="118" t="s">
        <v>47</v>
      </c>
      <c r="U8" s="118" t="s">
        <v>110</v>
      </c>
      <c r="V8" s="118" t="s">
        <v>917</v>
      </c>
      <c r="W8" s="118" t="s">
        <v>57</v>
      </c>
      <c r="X8" s="118" t="str">
        <f t="shared" ref="X8:X51" si="1" xml:space="preserve"> _xlfn.CONCAT( T8, " -:- ", U8, " -:- ", V8, " -:- ", W8)</f>
        <v>Agriculture -:- Dairy Cattle Farming -:- Vacuum Pump -:- Electricity</v>
      </c>
      <c r="Y8" s="118" t="s">
        <v>370</v>
      </c>
      <c r="Z8" s="211" t="s">
        <v>53</v>
      </c>
      <c r="AA8" s="211" t="s">
        <v>371</v>
      </c>
      <c r="AB8" s="211"/>
      <c r="AC8" s="211"/>
      <c r="AD8" s="211"/>
    </row>
    <row r="9" spans="2:31">
      <c r="B9" s="207" t="s">
        <v>310</v>
      </c>
      <c r="C9" s="207"/>
      <c r="D9" s="208" t="s">
        <v>372</v>
      </c>
      <c r="E9" s="208"/>
      <c r="F9" s="208" t="s">
        <v>918</v>
      </c>
      <c r="G9" s="208" t="str">
        <f t="shared" si="0"/>
        <v xml:space="preserve"> -:- Water Heating</v>
      </c>
      <c r="H9" s="209" t="s">
        <v>373</v>
      </c>
      <c r="I9" s="207" t="s">
        <v>53</v>
      </c>
      <c r="J9" s="207"/>
      <c r="K9" s="207"/>
      <c r="L9" s="207"/>
      <c r="M9" s="207"/>
      <c r="Q9" s="211" t="s">
        <v>311</v>
      </c>
      <c r="R9" s="118"/>
      <c r="S9" s="118" t="s">
        <v>374</v>
      </c>
      <c r="T9" s="118" t="s">
        <v>47</v>
      </c>
      <c r="U9" s="118" t="s">
        <v>110</v>
      </c>
      <c r="V9" s="118" t="s">
        <v>919</v>
      </c>
      <c r="W9" s="118" t="s">
        <v>57</v>
      </c>
      <c r="X9" s="118" t="str">
        <f t="shared" si="1"/>
        <v>Agriculture -:- Dairy Cattle Farming -:- Vacuum Pump with VSD -:- Electricity</v>
      </c>
      <c r="Y9" s="118" t="s">
        <v>375</v>
      </c>
      <c r="Z9" s="211" t="s">
        <v>53</v>
      </c>
      <c r="AA9" s="211" t="s">
        <v>371</v>
      </c>
      <c r="AB9" s="211"/>
      <c r="AC9" s="211"/>
      <c r="AD9" s="211"/>
    </row>
    <row r="10" spans="2:31">
      <c r="B10" s="207" t="s">
        <v>310</v>
      </c>
      <c r="C10" s="207"/>
      <c r="D10" s="208" t="s">
        <v>376</v>
      </c>
      <c r="E10" s="208"/>
      <c r="F10" s="208" t="s">
        <v>920</v>
      </c>
      <c r="G10" s="208" t="str">
        <f t="shared" si="0"/>
        <v xml:space="preserve"> -:- Tractor Services</v>
      </c>
      <c r="H10" s="209" t="s">
        <v>377</v>
      </c>
      <c r="I10" s="207" t="s">
        <v>53</v>
      </c>
      <c r="J10" s="207"/>
      <c r="K10" s="207"/>
      <c r="L10" s="207"/>
      <c r="M10" s="207"/>
      <c r="Q10" s="211" t="s">
        <v>311</v>
      </c>
      <c r="R10" s="118"/>
      <c r="S10" s="118" t="s">
        <v>378</v>
      </c>
      <c r="T10" s="118" t="s">
        <v>47</v>
      </c>
      <c r="U10" s="118" t="s">
        <v>110</v>
      </c>
      <c r="V10" s="118" t="s">
        <v>921</v>
      </c>
      <c r="W10" s="118" t="s">
        <v>57</v>
      </c>
      <c r="X10" s="118" t="str">
        <f t="shared" si="1"/>
        <v>Agriculture -:- Dairy Cattle Farming -:- Irrigator -:- Electricity</v>
      </c>
      <c r="Y10" s="118" t="s">
        <v>379</v>
      </c>
      <c r="Z10" s="211" t="s">
        <v>53</v>
      </c>
      <c r="AA10" s="211" t="s">
        <v>371</v>
      </c>
      <c r="AB10" s="211"/>
      <c r="AC10" s="211"/>
      <c r="AD10" s="211"/>
    </row>
    <row r="11" spans="2:31">
      <c r="B11" s="207" t="s">
        <v>310</v>
      </c>
      <c r="C11" s="207"/>
      <c r="D11" s="208" t="s">
        <v>380</v>
      </c>
      <c r="E11" s="208"/>
      <c r="F11" s="208" t="s">
        <v>922</v>
      </c>
      <c r="G11" s="208" t="str">
        <f t="shared" si="0"/>
        <v xml:space="preserve"> -:- Truck Services</v>
      </c>
      <c r="H11" s="209" t="s">
        <v>377</v>
      </c>
      <c r="I11" s="207" t="s">
        <v>53</v>
      </c>
      <c r="J11" s="207"/>
      <c r="K11" s="207"/>
      <c r="L11" s="207"/>
      <c r="M11" s="207"/>
      <c r="Q11" s="211" t="s">
        <v>311</v>
      </c>
      <c r="R11" s="118"/>
      <c r="S11" s="118" t="s">
        <v>381</v>
      </c>
      <c r="T11" s="118" t="s">
        <v>47</v>
      </c>
      <c r="U11" s="118" t="s">
        <v>110</v>
      </c>
      <c r="V11" s="118" t="s">
        <v>923</v>
      </c>
      <c r="W11" s="118" t="s">
        <v>57</v>
      </c>
      <c r="X11" s="118" t="str">
        <f t="shared" si="1"/>
        <v>Agriculture -:- Dairy Cattle Farming -:- Irrigator with VSD -:- Electricity</v>
      </c>
      <c r="Y11" s="118" t="s">
        <v>382</v>
      </c>
      <c r="Z11" s="211" t="s">
        <v>53</v>
      </c>
      <c r="AA11" s="211" t="s">
        <v>371</v>
      </c>
      <c r="AB11" s="211"/>
      <c r="AC11" s="211"/>
      <c r="AD11" s="211"/>
    </row>
    <row r="12" spans="2:31">
      <c r="B12" s="207" t="s">
        <v>310</v>
      </c>
      <c r="C12" s="207"/>
      <c r="D12" s="208" t="s">
        <v>383</v>
      </c>
      <c r="E12" s="208"/>
      <c r="F12" s="208" t="s">
        <v>924</v>
      </c>
      <c r="G12" s="208" t="str">
        <f t="shared" si="0"/>
        <v xml:space="preserve"> -:- Farm Vehicle</v>
      </c>
      <c r="H12" s="209" t="s">
        <v>377</v>
      </c>
      <c r="I12" s="207" t="s">
        <v>53</v>
      </c>
      <c r="J12" s="207"/>
      <c r="K12" s="207"/>
      <c r="L12" s="207"/>
      <c r="M12" s="207"/>
      <c r="Q12" s="211" t="s">
        <v>311</v>
      </c>
      <c r="R12" s="118"/>
      <c r="S12" s="118" t="s">
        <v>384</v>
      </c>
      <c r="T12" s="118" t="s">
        <v>47</v>
      </c>
      <c r="U12" s="118" t="s">
        <v>110</v>
      </c>
      <c r="V12" s="118" t="s">
        <v>925</v>
      </c>
      <c r="W12" s="118" t="s">
        <v>57</v>
      </c>
      <c r="X12" s="118" t="str">
        <f t="shared" si="1"/>
        <v>Agriculture -:- Dairy Cattle Farming -:- Hot Water Cylinder -:- Electricity</v>
      </c>
      <c r="Y12" s="118" t="s">
        <v>385</v>
      </c>
      <c r="Z12" s="211" t="s">
        <v>53</v>
      </c>
      <c r="AA12" s="211" t="s">
        <v>371</v>
      </c>
      <c r="AB12" s="211"/>
      <c r="AC12" s="211"/>
      <c r="AD12" s="211"/>
    </row>
    <row r="13" spans="2:31">
      <c r="B13" s="207" t="s">
        <v>310</v>
      </c>
      <c r="C13" s="207"/>
      <c r="D13" s="208" t="s">
        <v>386</v>
      </c>
      <c r="E13" s="208"/>
      <c r="F13" s="208" t="s">
        <v>926</v>
      </c>
      <c r="G13" s="208" t="str">
        <f t="shared" si="0"/>
        <v xml:space="preserve"> -:- Off-road Motorbike Use</v>
      </c>
      <c r="H13" s="209" t="s">
        <v>377</v>
      </c>
      <c r="I13" s="207" t="s">
        <v>53</v>
      </c>
      <c r="J13" s="207"/>
      <c r="K13" s="207"/>
      <c r="L13" s="207"/>
      <c r="M13" s="207"/>
      <c r="Q13" s="211" t="s">
        <v>311</v>
      </c>
      <c r="R13" s="118"/>
      <c r="S13" s="118" t="s">
        <v>387</v>
      </c>
      <c r="T13" s="118" t="s">
        <v>47</v>
      </c>
      <c r="U13" s="118" t="s">
        <v>110</v>
      </c>
      <c r="V13" s="118" t="s">
        <v>927</v>
      </c>
      <c r="W13" s="118" t="s">
        <v>57</v>
      </c>
      <c r="X13" s="118" t="str">
        <f t="shared" si="1"/>
        <v>Agriculture -:- Dairy Cattle Farming -:- Heat Recovery System (Heating) -:- Electricity</v>
      </c>
      <c r="Y13" s="118" t="s">
        <v>388</v>
      </c>
      <c r="Z13" s="211" t="s">
        <v>53</v>
      </c>
      <c r="AA13" s="211" t="s">
        <v>371</v>
      </c>
      <c r="AB13" s="211"/>
      <c r="AC13" s="211"/>
      <c r="AD13" s="211"/>
    </row>
    <row r="14" spans="2:31">
      <c r="B14" s="207" t="s">
        <v>310</v>
      </c>
      <c r="C14" s="207"/>
      <c r="D14" s="208" t="s">
        <v>389</v>
      </c>
      <c r="E14" s="208"/>
      <c r="F14" s="208" t="s">
        <v>928</v>
      </c>
      <c r="G14" s="208" t="str">
        <f t="shared" si="0"/>
        <v xml:space="preserve"> -:- Pumping</v>
      </c>
      <c r="H14" s="209" t="s">
        <v>390</v>
      </c>
      <c r="I14" s="207" t="s">
        <v>53</v>
      </c>
      <c r="J14" s="207"/>
      <c r="K14" s="207"/>
      <c r="L14" s="207"/>
      <c r="M14" s="207"/>
      <c r="Q14" s="211" t="s">
        <v>311</v>
      </c>
      <c r="R14" s="118"/>
      <c r="S14" s="118" t="s">
        <v>391</v>
      </c>
      <c r="T14" s="118" t="s">
        <v>47</v>
      </c>
      <c r="U14" s="118" t="s">
        <v>110</v>
      </c>
      <c r="V14" s="118" t="s">
        <v>929</v>
      </c>
      <c r="W14" s="118" t="s">
        <v>82</v>
      </c>
      <c r="X14" s="118" t="str">
        <f t="shared" si="1"/>
        <v>Agriculture -:- Dairy Cattle Farming -:- Tractor (Agricultural) -:- Diesel</v>
      </c>
      <c r="Y14" s="118" t="s">
        <v>392</v>
      </c>
      <c r="Z14" s="211" t="s">
        <v>53</v>
      </c>
      <c r="AA14" s="211" t="s">
        <v>371</v>
      </c>
      <c r="AB14" s="211"/>
      <c r="AC14" s="211"/>
      <c r="AD14" s="211"/>
    </row>
    <row r="15" spans="2:31">
      <c r="B15" s="207" t="s">
        <v>310</v>
      </c>
      <c r="C15" s="207"/>
      <c r="D15" s="208" t="s">
        <v>393</v>
      </c>
      <c r="E15" s="208"/>
      <c r="F15" s="208" t="s">
        <v>930</v>
      </c>
      <c r="G15" s="208" t="str">
        <f t="shared" si="0"/>
        <v xml:space="preserve"> -:- Refrigeration</v>
      </c>
      <c r="H15" s="209" t="s">
        <v>394</v>
      </c>
      <c r="I15" s="207" t="s">
        <v>53</v>
      </c>
      <c r="J15" s="207"/>
      <c r="K15" s="207"/>
      <c r="L15" s="207"/>
      <c r="M15" s="207"/>
      <c r="Q15" s="211" t="s">
        <v>311</v>
      </c>
      <c r="R15" s="118"/>
      <c r="S15" s="118" t="s">
        <v>395</v>
      </c>
      <c r="T15" s="118" t="s">
        <v>47</v>
      </c>
      <c r="U15" s="118" t="s">
        <v>110</v>
      </c>
      <c r="V15" s="118" t="s">
        <v>931</v>
      </c>
      <c r="W15" s="118" t="s">
        <v>82</v>
      </c>
      <c r="X15" s="118" t="str">
        <f t="shared" si="1"/>
        <v>Agriculture -:- Dairy Cattle Farming -:- Truck (Agricultural) -:- Diesel</v>
      </c>
      <c r="Y15" s="118" t="s">
        <v>396</v>
      </c>
      <c r="Z15" s="211" t="s">
        <v>53</v>
      </c>
      <c r="AA15" s="211" t="s">
        <v>371</v>
      </c>
      <c r="AB15" s="211"/>
      <c r="AC15" s="211"/>
      <c r="AD15" s="211"/>
    </row>
    <row r="16" spans="2:31">
      <c r="B16" s="207" t="s">
        <v>310</v>
      </c>
      <c r="C16" s="207"/>
      <c r="D16" s="208" t="s">
        <v>397</v>
      </c>
      <c r="E16" s="208"/>
      <c r="F16" s="208" t="s">
        <v>932</v>
      </c>
      <c r="G16" s="208" t="str">
        <f t="shared" si="0"/>
        <v xml:space="preserve"> -:- Lighting</v>
      </c>
      <c r="H16" s="209" t="s">
        <v>398</v>
      </c>
      <c r="I16" s="207" t="s">
        <v>53</v>
      </c>
      <c r="J16" s="207"/>
      <c r="K16" s="207"/>
      <c r="L16" s="207"/>
      <c r="M16" s="207"/>
      <c r="Q16" s="211" t="s">
        <v>311</v>
      </c>
      <c r="R16" s="118"/>
      <c r="S16" s="118" t="s">
        <v>399</v>
      </c>
      <c r="T16" s="118" t="s">
        <v>47</v>
      </c>
      <c r="U16" s="118" t="s">
        <v>110</v>
      </c>
      <c r="V16" s="118" t="s">
        <v>933</v>
      </c>
      <c r="W16" s="118" t="s">
        <v>82</v>
      </c>
      <c r="X16" s="118" t="str">
        <f t="shared" si="1"/>
        <v>Agriculture -:- Dairy Cattle Farming -:- Utility Vehicle (Agricultural) -:- Diesel</v>
      </c>
      <c r="Y16" s="118" t="s">
        <v>400</v>
      </c>
      <c r="Z16" s="211" t="s">
        <v>53</v>
      </c>
      <c r="AA16" s="211" t="s">
        <v>371</v>
      </c>
      <c r="AB16" s="211"/>
      <c r="AC16" s="211"/>
      <c r="AD16" s="211"/>
    </row>
    <row r="17" spans="2:30">
      <c r="B17" s="207" t="s">
        <v>310</v>
      </c>
      <c r="C17" s="207"/>
      <c r="D17" s="208" t="s">
        <v>401</v>
      </c>
      <c r="E17" s="208"/>
      <c r="F17" s="208" t="s">
        <v>916</v>
      </c>
      <c r="G17" s="208" t="str">
        <f t="shared" si="0"/>
        <v xml:space="preserve"> -:- Irrigation</v>
      </c>
      <c r="H17" s="209" t="s">
        <v>402</v>
      </c>
      <c r="I17" s="207" t="s">
        <v>53</v>
      </c>
      <c r="J17" s="207"/>
      <c r="K17" s="207"/>
      <c r="L17" s="207"/>
      <c r="M17" s="207"/>
      <c r="Q17" s="211" t="s">
        <v>311</v>
      </c>
      <c r="R17" s="118"/>
      <c r="S17" s="118" t="s">
        <v>403</v>
      </c>
      <c r="T17" s="118" t="s">
        <v>47</v>
      </c>
      <c r="U17" s="118" t="s">
        <v>110</v>
      </c>
      <c r="V17" s="118" t="s">
        <v>935</v>
      </c>
      <c r="W17" s="118" t="s">
        <v>85</v>
      </c>
      <c r="X17" s="118" t="str">
        <f t="shared" si="1"/>
        <v>Agriculture -:- Dairy Cattle Farming -:- Farm Bike -:- Petrol</v>
      </c>
      <c r="Y17" s="118" t="s">
        <v>404</v>
      </c>
      <c r="Z17" s="211" t="s">
        <v>53</v>
      </c>
      <c r="AA17" s="211" t="s">
        <v>371</v>
      </c>
      <c r="AB17" s="211"/>
      <c r="AC17" s="211"/>
      <c r="AD17" s="211"/>
    </row>
    <row r="18" spans="2:30">
      <c r="B18" s="207" t="s">
        <v>310</v>
      </c>
      <c r="C18" s="207"/>
      <c r="D18" s="208" t="s">
        <v>405</v>
      </c>
      <c r="E18" s="208"/>
      <c r="F18" s="208" t="s">
        <v>920</v>
      </c>
      <c r="G18" s="208" t="str">
        <f t="shared" si="0"/>
        <v xml:space="preserve"> -:- Tractor Services</v>
      </c>
      <c r="H18" s="209" t="s">
        <v>406</v>
      </c>
      <c r="I18" s="207" t="s">
        <v>53</v>
      </c>
      <c r="J18" s="207"/>
      <c r="K18" s="207"/>
      <c r="L18" s="207"/>
      <c r="M18" s="207"/>
      <c r="Q18" s="211" t="s">
        <v>311</v>
      </c>
      <c r="R18" s="118"/>
      <c r="S18" s="118" t="s">
        <v>407</v>
      </c>
      <c r="T18" s="118" t="s">
        <v>47</v>
      </c>
      <c r="U18" s="118" t="s">
        <v>110</v>
      </c>
      <c r="V18" s="118" t="s">
        <v>936</v>
      </c>
      <c r="W18" s="118" t="s">
        <v>57</v>
      </c>
      <c r="X18" s="118" t="str">
        <f t="shared" si="1"/>
        <v>Agriculture -:- Dairy Cattle Farming -:- Transfer Pump -:- Electricity</v>
      </c>
      <c r="Y18" s="118" t="s">
        <v>408</v>
      </c>
      <c r="Z18" s="211" t="s">
        <v>53</v>
      </c>
      <c r="AA18" s="211" t="s">
        <v>371</v>
      </c>
      <c r="AB18" s="211"/>
      <c r="AC18" s="211"/>
      <c r="AD18" s="211"/>
    </row>
    <row r="19" spans="2:30">
      <c r="B19" s="207" t="s">
        <v>310</v>
      </c>
      <c r="C19" s="207"/>
      <c r="D19" s="208" t="s">
        <v>409</v>
      </c>
      <c r="E19" s="208"/>
      <c r="F19" s="208" t="s">
        <v>922</v>
      </c>
      <c r="G19" s="208" t="str">
        <f t="shared" si="0"/>
        <v xml:space="preserve"> -:- Truck Services</v>
      </c>
      <c r="H19" s="209" t="s">
        <v>406</v>
      </c>
      <c r="I19" s="207" t="s">
        <v>53</v>
      </c>
      <c r="J19" s="207"/>
      <c r="K19" s="207"/>
      <c r="L19" s="207"/>
      <c r="M19" s="207"/>
      <c r="Q19" s="211" t="s">
        <v>311</v>
      </c>
      <c r="R19" s="118"/>
      <c r="S19" s="118" t="s">
        <v>410</v>
      </c>
      <c r="T19" s="118" t="s">
        <v>47</v>
      </c>
      <c r="U19" s="118" t="s">
        <v>110</v>
      </c>
      <c r="V19" s="118" t="s">
        <v>937</v>
      </c>
      <c r="W19" s="118" t="s">
        <v>57</v>
      </c>
      <c r="X19" s="118" t="str">
        <f t="shared" si="1"/>
        <v>Agriculture -:- Dairy Cattle Farming -:- Refrigerator -:- Electricity</v>
      </c>
      <c r="Y19" s="118" t="s">
        <v>411</v>
      </c>
      <c r="Z19" s="211" t="s">
        <v>53</v>
      </c>
      <c r="AA19" s="211" t="s">
        <v>371</v>
      </c>
      <c r="AB19" s="211"/>
      <c r="AC19" s="211"/>
      <c r="AD19" s="211"/>
    </row>
    <row r="20" spans="2:30">
      <c r="B20" s="207" t="s">
        <v>310</v>
      </c>
      <c r="C20" s="207"/>
      <c r="D20" s="208" t="s">
        <v>412</v>
      </c>
      <c r="E20" s="208"/>
      <c r="F20" s="208" t="s">
        <v>924</v>
      </c>
      <c r="G20" s="208" t="str">
        <f t="shared" si="0"/>
        <v xml:space="preserve"> -:- Farm Vehicle</v>
      </c>
      <c r="H20" s="209" t="s">
        <v>406</v>
      </c>
      <c r="I20" s="207" t="s">
        <v>53</v>
      </c>
      <c r="J20" s="207"/>
      <c r="K20" s="207"/>
      <c r="L20" s="207"/>
      <c r="M20" s="207"/>
      <c r="Q20" s="211" t="s">
        <v>311</v>
      </c>
      <c r="R20" s="118"/>
      <c r="S20" s="118" t="s">
        <v>413</v>
      </c>
      <c r="T20" s="118" t="s">
        <v>47</v>
      </c>
      <c r="U20" s="118" t="s">
        <v>110</v>
      </c>
      <c r="V20" s="118" t="s">
        <v>938</v>
      </c>
      <c r="W20" s="118" t="s">
        <v>57</v>
      </c>
      <c r="X20" s="118" t="str">
        <f t="shared" si="1"/>
        <v>Agriculture -:- Dairy Cattle Farming -:- Heat Recovery System (Cooling) -:- Electricity</v>
      </c>
      <c r="Y20" s="118" t="s">
        <v>414</v>
      </c>
      <c r="Z20" s="211" t="s">
        <v>53</v>
      </c>
      <c r="AA20" s="211" t="s">
        <v>371</v>
      </c>
      <c r="AB20" s="211"/>
      <c r="AC20" s="211"/>
      <c r="AD20" s="211"/>
    </row>
    <row r="21" spans="2:30">
      <c r="B21" s="207" t="s">
        <v>310</v>
      </c>
      <c r="C21" s="207"/>
      <c r="D21" s="208" t="s">
        <v>415</v>
      </c>
      <c r="E21" s="208"/>
      <c r="F21" s="208" t="s">
        <v>926</v>
      </c>
      <c r="G21" s="208" t="str">
        <f t="shared" si="0"/>
        <v xml:space="preserve"> -:- Off-road Motorbike Use</v>
      </c>
      <c r="H21" s="209" t="s">
        <v>406</v>
      </c>
      <c r="I21" s="207" t="s">
        <v>53</v>
      </c>
      <c r="J21" s="207"/>
      <c r="K21" s="207"/>
      <c r="L21" s="207"/>
      <c r="M21" s="207"/>
      <c r="Q21" s="211" t="s">
        <v>311</v>
      </c>
      <c r="R21" s="118"/>
      <c r="S21" s="118" t="s">
        <v>416</v>
      </c>
      <c r="T21" s="118" t="s">
        <v>47</v>
      </c>
      <c r="U21" s="118" t="s">
        <v>110</v>
      </c>
      <c r="V21" s="118" t="s">
        <v>939</v>
      </c>
      <c r="W21" s="118" t="s">
        <v>57</v>
      </c>
      <c r="X21" s="118" t="str">
        <f t="shared" si="1"/>
        <v>Agriculture -:- Dairy Cattle Farming -:- Lights (General) -:- Electricity</v>
      </c>
      <c r="Y21" s="118" t="s">
        <v>417</v>
      </c>
      <c r="Z21" s="211" t="s">
        <v>53</v>
      </c>
      <c r="AA21" s="211" t="s">
        <v>371</v>
      </c>
      <c r="AB21" s="211"/>
      <c r="AC21" s="211"/>
      <c r="AD21" s="211"/>
    </row>
    <row r="22" spans="2:30">
      <c r="B22" s="207" t="s">
        <v>310</v>
      </c>
      <c r="C22" s="207"/>
      <c r="D22" s="208" t="s">
        <v>418</v>
      </c>
      <c r="E22" s="208"/>
      <c r="F22" s="208" t="s">
        <v>932</v>
      </c>
      <c r="G22" s="208" t="str">
        <f t="shared" si="0"/>
        <v xml:space="preserve"> -:- Lighting</v>
      </c>
      <c r="H22" s="209" t="s">
        <v>419</v>
      </c>
      <c r="I22" s="207" t="s">
        <v>53</v>
      </c>
      <c r="J22" s="207"/>
      <c r="K22" s="207"/>
      <c r="L22" s="207"/>
      <c r="M22" s="207"/>
      <c r="Q22" s="211" t="s">
        <v>311</v>
      </c>
      <c r="R22" s="118"/>
      <c r="S22" s="118" t="s">
        <v>420</v>
      </c>
      <c r="T22" s="118" t="s">
        <v>47</v>
      </c>
      <c r="U22" s="118" t="s">
        <v>934</v>
      </c>
      <c r="V22" s="118" t="s">
        <v>921</v>
      </c>
      <c r="W22" s="118" t="s">
        <v>57</v>
      </c>
      <c r="X22" s="118" t="str">
        <f t="shared" si="1"/>
        <v>Agriculture -:- Livestock Farming -:- Irrigator -:- Electricity</v>
      </c>
      <c r="Y22" s="118" t="s">
        <v>421</v>
      </c>
      <c r="Z22" s="211" t="s">
        <v>53</v>
      </c>
      <c r="AA22" s="211" t="s">
        <v>371</v>
      </c>
      <c r="AB22" s="211"/>
      <c r="AC22" s="211"/>
      <c r="AD22" s="211"/>
    </row>
    <row r="23" spans="2:30">
      <c r="B23" s="207" t="s">
        <v>310</v>
      </c>
      <c r="C23" s="207"/>
      <c r="D23" s="208" t="s">
        <v>422</v>
      </c>
      <c r="E23" s="208"/>
      <c r="F23" s="208" t="s">
        <v>916</v>
      </c>
      <c r="G23" s="208" t="str">
        <f t="shared" si="0"/>
        <v xml:space="preserve"> -:- Irrigation</v>
      </c>
      <c r="H23" s="209" t="s">
        <v>423</v>
      </c>
      <c r="I23" s="207" t="s">
        <v>53</v>
      </c>
      <c r="J23" s="207"/>
      <c r="K23" s="207"/>
      <c r="L23" s="207"/>
      <c r="M23" s="207"/>
      <c r="Q23" s="211" t="s">
        <v>311</v>
      </c>
      <c r="R23" s="118"/>
      <c r="S23" s="118" t="s">
        <v>424</v>
      </c>
      <c r="T23" s="118" t="s">
        <v>47</v>
      </c>
      <c r="U23" s="118" t="s">
        <v>934</v>
      </c>
      <c r="V23" s="118" t="s">
        <v>923</v>
      </c>
      <c r="W23" s="118" t="s">
        <v>57</v>
      </c>
      <c r="X23" s="118" t="str">
        <f t="shared" si="1"/>
        <v>Agriculture -:- Livestock Farming -:- Irrigator with VSD -:- Electricity</v>
      </c>
      <c r="Y23" s="118" t="s">
        <v>425</v>
      </c>
      <c r="Z23" s="211" t="s">
        <v>53</v>
      </c>
      <c r="AA23" s="211" t="s">
        <v>371</v>
      </c>
      <c r="AB23" s="211"/>
      <c r="AC23" s="211"/>
      <c r="AD23" s="211"/>
    </row>
    <row r="24" spans="2:30">
      <c r="B24" s="207" t="s">
        <v>310</v>
      </c>
      <c r="C24" s="207"/>
      <c r="D24" s="208" t="s">
        <v>426</v>
      </c>
      <c r="E24" s="208"/>
      <c r="F24" s="208" t="s">
        <v>920</v>
      </c>
      <c r="G24" s="208" t="str">
        <f t="shared" si="0"/>
        <v xml:space="preserve"> -:- Tractor Services</v>
      </c>
      <c r="H24" s="209" t="s">
        <v>427</v>
      </c>
      <c r="I24" s="207" t="s">
        <v>53</v>
      </c>
      <c r="J24" s="207"/>
      <c r="K24" s="207"/>
      <c r="L24" s="207"/>
      <c r="M24" s="207"/>
      <c r="Q24" s="211" t="s">
        <v>311</v>
      </c>
      <c r="R24" s="118"/>
      <c r="S24" s="118" t="s">
        <v>428</v>
      </c>
      <c r="T24" s="118" t="s">
        <v>47</v>
      </c>
      <c r="U24" s="118" t="s">
        <v>934</v>
      </c>
      <c r="V24" s="118" t="s">
        <v>929</v>
      </c>
      <c r="W24" s="118" t="s">
        <v>82</v>
      </c>
      <c r="X24" s="118" t="str">
        <f t="shared" si="1"/>
        <v>Agriculture -:- Livestock Farming -:- Tractor (Agricultural) -:- Diesel</v>
      </c>
      <c r="Y24" s="118" t="s">
        <v>429</v>
      </c>
      <c r="Z24" s="211" t="s">
        <v>53</v>
      </c>
      <c r="AA24" s="211" t="s">
        <v>371</v>
      </c>
      <c r="AB24" s="211"/>
      <c r="AC24" s="211"/>
      <c r="AD24" s="211"/>
    </row>
    <row r="25" spans="2:30">
      <c r="B25" s="207" t="s">
        <v>310</v>
      </c>
      <c r="C25" s="207"/>
      <c r="D25" s="208" t="s">
        <v>430</v>
      </c>
      <c r="E25" s="208"/>
      <c r="F25" s="208" t="s">
        <v>922</v>
      </c>
      <c r="G25" s="208" t="str">
        <f t="shared" si="0"/>
        <v xml:space="preserve"> -:- Truck Services</v>
      </c>
      <c r="H25" s="209" t="s">
        <v>427</v>
      </c>
      <c r="I25" s="207" t="s">
        <v>53</v>
      </c>
      <c r="J25" s="207"/>
      <c r="K25" s="207"/>
      <c r="L25" s="207"/>
      <c r="M25" s="207"/>
      <c r="Q25" s="211" t="s">
        <v>311</v>
      </c>
      <c r="R25" s="118"/>
      <c r="S25" s="118" t="s">
        <v>431</v>
      </c>
      <c r="T25" s="118" t="s">
        <v>47</v>
      </c>
      <c r="U25" s="118" t="s">
        <v>934</v>
      </c>
      <c r="V25" s="118" t="s">
        <v>931</v>
      </c>
      <c r="W25" s="118" t="s">
        <v>82</v>
      </c>
      <c r="X25" s="118" t="str">
        <f t="shared" si="1"/>
        <v>Agriculture -:- Livestock Farming -:- Truck (Agricultural) -:- Diesel</v>
      </c>
      <c r="Y25" s="118" t="s">
        <v>432</v>
      </c>
      <c r="Z25" s="211" t="s">
        <v>53</v>
      </c>
      <c r="AA25" s="211" t="s">
        <v>371</v>
      </c>
      <c r="AB25" s="211"/>
      <c r="AC25" s="211"/>
      <c r="AD25" s="211"/>
    </row>
    <row r="26" spans="2:30">
      <c r="B26" s="207" t="s">
        <v>310</v>
      </c>
      <c r="C26" s="207"/>
      <c r="D26" s="208" t="s">
        <v>433</v>
      </c>
      <c r="E26" s="208"/>
      <c r="F26" s="208" t="s">
        <v>924</v>
      </c>
      <c r="G26" s="208" t="str">
        <f t="shared" si="0"/>
        <v xml:space="preserve"> -:- Farm Vehicle</v>
      </c>
      <c r="H26" s="209" t="s">
        <v>427</v>
      </c>
      <c r="I26" s="207" t="s">
        <v>53</v>
      </c>
      <c r="J26" s="207"/>
      <c r="K26" s="207"/>
      <c r="L26" s="207"/>
      <c r="M26" s="207"/>
      <c r="Q26" s="211" t="s">
        <v>311</v>
      </c>
      <c r="R26" s="118"/>
      <c r="S26" s="118" t="s">
        <v>434</v>
      </c>
      <c r="T26" s="118" t="s">
        <v>47</v>
      </c>
      <c r="U26" s="118" t="s">
        <v>934</v>
      </c>
      <c r="V26" s="118" t="s">
        <v>933</v>
      </c>
      <c r="W26" s="118" t="s">
        <v>82</v>
      </c>
      <c r="X26" s="118" t="str">
        <f t="shared" si="1"/>
        <v>Agriculture -:- Livestock Farming -:- Utility Vehicle (Agricultural) -:- Diesel</v>
      </c>
      <c r="Y26" s="118" t="s">
        <v>435</v>
      </c>
      <c r="Z26" s="211" t="s">
        <v>53</v>
      </c>
      <c r="AA26" s="211" t="s">
        <v>371</v>
      </c>
      <c r="AB26" s="211"/>
      <c r="AC26" s="211"/>
      <c r="AD26" s="211"/>
    </row>
    <row r="27" spans="2:30">
      <c r="B27" s="207" t="s">
        <v>310</v>
      </c>
      <c r="C27" s="207"/>
      <c r="D27" s="208" t="s">
        <v>436</v>
      </c>
      <c r="E27" s="208"/>
      <c r="F27" s="208" t="s">
        <v>941</v>
      </c>
      <c r="G27" s="208" t="str">
        <f t="shared" si="0"/>
        <v xml:space="preserve"> -:- Motive Power, Stationary</v>
      </c>
      <c r="H27" s="209" t="s">
        <v>437</v>
      </c>
      <c r="I27" s="207" t="s">
        <v>53</v>
      </c>
      <c r="J27" s="207"/>
      <c r="K27" s="207"/>
      <c r="L27" s="207"/>
      <c r="M27" s="207"/>
      <c r="Q27" s="211" t="s">
        <v>311</v>
      </c>
      <c r="R27" s="118"/>
      <c r="S27" s="118" t="s">
        <v>438</v>
      </c>
      <c r="T27" s="118" t="s">
        <v>47</v>
      </c>
      <c r="U27" s="118" t="s">
        <v>934</v>
      </c>
      <c r="V27" s="118" t="s">
        <v>935</v>
      </c>
      <c r="W27" s="118" t="s">
        <v>85</v>
      </c>
      <c r="X27" s="118" t="str">
        <f t="shared" si="1"/>
        <v>Agriculture -:- Livestock Farming -:- Farm Bike -:- Petrol</v>
      </c>
      <c r="Y27" s="118" t="s">
        <v>439</v>
      </c>
      <c r="Z27" s="211" t="s">
        <v>53</v>
      </c>
      <c r="AA27" s="211" t="s">
        <v>371</v>
      </c>
      <c r="AB27" s="211"/>
      <c r="AC27" s="211"/>
      <c r="AD27" s="211"/>
    </row>
    <row r="28" spans="2:30">
      <c r="B28" s="207" t="s">
        <v>310</v>
      </c>
      <c r="C28" s="207"/>
      <c r="D28" s="208" t="s">
        <v>440</v>
      </c>
      <c r="E28" s="208"/>
      <c r="F28" s="208" t="s">
        <v>932</v>
      </c>
      <c r="G28" s="208" t="str">
        <f t="shared" si="0"/>
        <v xml:space="preserve"> -:- Lighting</v>
      </c>
      <c r="H28" s="209" t="s">
        <v>441</v>
      </c>
      <c r="I28" s="207" t="s">
        <v>53</v>
      </c>
      <c r="J28" s="207"/>
      <c r="K28" s="207"/>
      <c r="L28" s="207"/>
      <c r="M28" s="207"/>
      <c r="Q28" s="211" t="s">
        <v>311</v>
      </c>
      <c r="R28" s="118"/>
      <c r="S28" s="118" t="s">
        <v>442</v>
      </c>
      <c r="T28" s="118" t="s">
        <v>47</v>
      </c>
      <c r="U28" s="118" t="s">
        <v>934</v>
      </c>
      <c r="V28" s="118" t="s">
        <v>939</v>
      </c>
      <c r="W28" s="118" t="s">
        <v>57</v>
      </c>
      <c r="X28" s="118" t="str">
        <f t="shared" si="1"/>
        <v>Agriculture -:- Livestock Farming -:- Lights (General) -:- Electricity</v>
      </c>
      <c r="Y28" s="118" t="s">
        <v>443</v>
      </c>
      <c r="Z28" s="211" t="s">
        <v>53</v>
      </c>
      <c r="AA28" s="211" t="s">
        <v>371</v>
      </c>
      <c r="AB28" s="211"/>
      <c r="AC28" s="211"/>
      <c r="AD28" s="211"/>
    </row>
    <row r="29" spans="2:30">
      <c r="B29" s="207" t="s">
        <v>310</v>
      </c>
      <c r="C29" s="207"/>
      <c r="D29" s="208" t="s">
        <v>444</v>
      </c>
      <c r="E29" s="208"/>
      <c r="F29" s="208" t="s">
        <v>942</v>
      </c>
      <c r="G29" s="208" t="str">
        <f t="shared" si="0"/>
        <v xml:space="preserve"> -:- Space Heating</v>
      </c>
      <c r="H29" s="209" t="s">
        <v>445</v>
      </c>
      <c r="I29" s="207" t="s">
        <v>53</v>
      </c>
      <c r="J29" s="207"/>
      <c r="K29" s="207"/>
      <c r="L29" s="207"/>
      <c r="M29" s="207"/>
      <c r="Q29" s="211" t="s">
        <v>311</v>
      </c>
      <c r="R29" s="118"/>
      <c r="S29" s="118" t="s">
        <v>446</v>
      </c>
      <c r="T29" s="118" t="s">
        <v>47</v>
      </c>
      <c r="U29" s="118" t="s">
        <v>940</v>
      </c>
      <c r="V29" s="118" t="s">
        <v>921</v>
      </c>
      <c r="W29" s="118" t="s">
        <v>57</v>
      </c>
      <c r="X29" s="118" t="str">
        <f t="shared" si="1"/>
        <v>Agriculture -:- Outdoor Horticulture/Arable Farming -:- Irrigator -:- Electricity</v>
      </c>
      <c r="Y29" s="118" t="s">
        <v>447</v>
      </c>
      <c r="Z29" s="211" t="s">
        <v>53</v>
      </c>
      <c r="AA29" s="211" t="s">
        <v>371</v>
      </c>
      <c r="AB29" s="211"/>
      <c r="AC29" s="211"/>
      <c r="AD29" s="211"/>
    </row>
    <row r="30" spans="2:30">
      <c r="B30" s="207" t="s">
        <v>310</v>
      </c>
      <c r="C30" s="207"/>
      <c r="D30" s="208" t="s">
        <v>448</v>
      </c>
      <c r="E30" s="208"/>
      <c r="F30" s="208" t="s">
        <v>932</v>
      </c>
      <c r="G30" s="208" t="str">
        <f t="shared" si="0"/>
        <v xml:space="preserve"> -:- Lighting</v>
      </c>
      <c r="H30" s="209" t="s">
        <v>445</v>
      </c>
      <c r="I30" s="207" t="s">
        <v>53</v>
      </c>
      <c r="J30" s="207"/>
      <c r="K30" s="207"/>
      <c r="L30" s="207"/>
      <c r="M30" s="207"/>
      <c r="Q30" s="211" t="s">
        <v>311</v>
      </c>
      <c r="R30" s="118"/>
      <c r="S30" s="118" t="s">
        <v>449</v>
      </c>
      <c r="T30" s="118" t="s">
        <v>47</v>
      </c>
      <c r="U30" s="118" t="s">
        <v>940</v>
      </c>
      <c r="V30" s="118" t="s">
        <v>923</v>
      </c>
      <c r="W30" s="118" t="s">
        <v>57</v>
      </c>
      <c r="X30" s="118" t="str">
        <f t="shared" si="1"/>
        <v>Agriculture -:- Outdoor Horticulture/Arable Farming -:- Irrigator with VSD -:- Electricity</v>
      </c>
      <c r="Y30" s="118" t="s">
        <v>450</v>
      </c>
      <c r="Z30" s="211" t="s">
        <v>53</v>
      </c>
      <c r="AA30" s="211" t="s">
        <v>371</v>
      </c>
      <c r="AB30" s="211"/>
      <c r="AC30" s="211"/>
      <c r="AD30" s="211"/>
    </row>
    <row r="31" spans="2:30">
      <c r="B31" s="207" t="s">
        <v>310</v>
      </c>
      <c r="C31" s="207"/>
      <c r="D31" s="208" t="s">
        <v>451</v>
      </c>
      <c r="E31" s="208"/>
      <c r="F31" s="208" t="s">
        <v>941</v>
      </c>
      <c r="G31" s="208" t="str">
        <f t="shared" si="0"/>
        <v xml:space="preserve"> -:- Motive Power, Stationary</v>
      </c>
      <c r="H31" s="209" t="s">
        <v>452</v>
      </c>
      <c r="I31" s="207" t="s">
        <v>53</v>
      </c>
      <c r="J31" s="207"/>
      <c r="K31" s="207"/>
      <c r="L31" s="207"/>
      <c r="M31" s="207"/>
      <c r="Q31" s="211" t="s">
        <v>311</v>
      </c>
      <c r="R31" s="118"/>
      <c r="S31" s="118" t="s">
        <v>453</v>
      </c>
      <c r="T31" s="118" t="s">
        <v>47</v>
      </c>
      <c r="U31" s="118" t="s">
        <v>940</v>
      </c>
      <c r="V31" s="118" t="s">
        <v>929</v>
      </c>
      <c r="W31" s="118" t="s">
        <v>82</v>
      </c>
      <c r="X31" s="118" t="str">
        <f t="shared" si="1"/>
        <v>Agriculture -:- Outdoor Horticulture/Arable Farming -:- Tractor (Agricultural) -:- Diesel</v>
      </c>
      <c r="Y31" s="118" t="s">
        <v>454</v>
      </c>
      <c r="Z31" s="211" t="s">
        <v>53</v>
      </c>
      <c r="AA31" s="211" t="s">
        <v>371</v>
      </c>
      <c r="AB31" s="211"/>
      <c r="AC31" s="211"/>
      <c r="AD31" s="211"/>
    </row>
    <row r="32" spans="2:30">
      <c r="B32" s="207" t="s">
        <v>310</v>
      </c>
      <c r="C32" s="207"/>
      <c r="D32" s="208" t="s">
        <v>455</v>
      </c>
      <c r="E32" s="208"/>
      <c r="F32" s="208" t="s">
        <v>944</v>
      </c>
      <c r="G32" s="208" t="str">
        <f t="shared" si="0"/>
        <v xml:space="preserve"> -:- Ground Based Forestry</v>
      </c>
      <c r="H32" s="209" t="s">
        <v>456</v>
      </c>
      <c r="I32" s="207" t="s">
        <v>53</v>
      </c>
      <c r="J32" s="207"/>
      <c r="K32" s="207"/>
      <c r="L32" s="207"/>
      <c r="M32" s="207"/>
      <c r="Q32" s="211" t="s">
        <v>311</v>
      </c>
      <c r="R32" s="118"/>
      <c r="S32" s="118" t="s">
        <v>457</v>
      </c>
      <c r="T32" s="118" t="s">
        <v>47</v>
      </c>
      <c r="U32" s="118" t="s">
        <v>940</v>
      </c>
      <c r="V32" s="118" t="s">
        <v>931</v>
      </c>
      <c r="W32" s="118" t="s">
        <v>82</v>
      </c>
      <c r="X32" s="118" t="str">
        <f t="shared" si="1"/>
        <v>Agriculture -:- Outdoor Horticulture/Arable Farming -:- Truck (Agricultural) -:- Diesel</v>
      </c>
      <c r="Y32" s="118" t="s">
        <v>458</v>
      </c>
      <c r="Z32" s="211" t="s">
        <v>53</v>
      </c>
      <c r="AA32" s="211" t="s">
        <v>371</v>
      </c>
      <c r="AB32" s="211"/>
      <c r="AC32" s="211"/>
      <c r="AD32" s="211"/>
    </row>
    <row r="33" spans="2:30">
      <c r="B33" s="207" t="s">
        <v>310</v>
      </c>
      <c r="C33" s="207"/>
      <c r="D33" s="208" t="s">
        <v>459</v>
      </c>
      <c r="E33" s="208"/>
      <c r="F33" s="208" t="s">
        <v>945</v>
      </c>
      <c r="G33" s="208" t="str">
        <f t="shared" si="0"/>
        <v xml:space="preserve"> -:- Cable Yarding (Forestry)</v>
      </c>
      <c r="H33" s="209" t="s">
        <v>456</v>
      </c>
      <c r="I33" s="207" t="s">
        <v>53</v>
      </c>
      <c r="J33" s="207"/>
      <c r="K33" s="207"/>
      <c r="L33" s="207"/>
      <c r="M33" s="207"/>
      <c r="Q33" s="211" t="s">
        <v>311</v>
      </c>
      <c r="R33" s="118"/>
      <c r="S33" s="118" t="s">
        <v>460</v>
      </c>
      <c r="T33" s="118" t="s">
        <v>47</v>
      </c>
      <c r="U33" s="118" t="s">
        <v>940</v>
      </c>
      <c r="V33" s="118" t="s">
        <v>933</v>
      </c>
      <c r="W33" s="118" t="s">
        <v>82</v>
      </c>
      <c r="X33" s="118" t="str">
        <f t="shared" si="1"/>
        <v>Agriculture -:- Outdoor Horticulture/Arable Farming -:- Utility Vehicle (Agricultural) -:- Diesel</v>
      </c>
      <c r="Y33" s="118" t="s">
        <v>461</v>
      </c>
      <c r="Z33" s="211" t="s">
        <v>53</v>
      </c>
      <c r="AA33" s="211" t="s">
        <v>371</v>
      </c>
      <c r="AB33" s="211"/>
      <c r="AC33" s="211"/>
      <c r="AD33" s="211"/>
    </row>
    <row r="34" spans="2:30">
      <c r="B34" s="207" t="s">
        <v>310</v>
      </c>
      <c r="C34" s="207"/>
      <c r="D34" s="208" t="s">
        <v>462</v>
      </c>
      <c r="E34" s="208"/>
      <c r="F34" s="208" t="s">
        <v>932</v>
      </c>
      <c r="G34" s="208" t="str">
        <f t="shared" si="0"/>
        <v xml:space="preserve"> -:- Lighting</v>
      </c>
      <c r="H34" s="209" t="s">
        <v>463</v>
      </c>
      <c r="I34" s="207" t="s">
        <v>53</v>
      </c>
      <c r="J34" s="207"/>
      <c r="K34" s="207"/>
      <c r="L34" s="207"/>
      <c r="M34" s="207"/>
      <c r="Q34" s="211" t="s">
        <v>311</v>
      </c>
      <c r="R34" s="118"/>
      <c r="S34" s="118" t="s">
        <v>464</v>
      </c>
      <c r="T34" s="118" t="s">
        <v>47</v>
      </c>
      <c r="U34" s="118" t="s">
        <v>940</v>
      </c>
      <c r="V34" s="118" t="s">
        <v>946</v>
      </c>
      <c r="W34" s="118" t="s">
        <v>82</v>
      </c>
      <c r="X34" s="118" t="str">
        <f t="shared" si="1"/>
        <v>Agriculture -:- Outdoor Horticulture/Arable Farming -:- Stationary Motor -:- Diesel</v>
      </c>
      <c r="Y34" s="118" t="s">
        <v>465</v>
      </c>
      <c r="Z34" s="211" t="s">
        <v>53</v>
      </c>
      <c r="AA34" s="211" t="s">
        <v>371</v>
      </c>
      <c r="AB34" s="211"/>
      <c r="AC34" s="211"/>
      <c r="AD34" s="211"/>
    </row>
    <row r="35" spans="2:30">
      <c r="B35" s="207" t="s">
        <v>310</v>
      </c>
      <c r="C35" s="207"/>
      <c r="D35" s="212" t="s">
        <v>466</v>
      </c>
      <c r="E35" s="208"/>
      <c r="F35" s="208" t="s">
        <v>948</v>
      </c>
      <c r="G35" s="208" t="str">
        <f t="shared" si="0"/>
        <v xml:space="preserve"> -:- Boat </v>
      </c>
      <c r="H35" s="212" t="s">
        <v>467</v>
      </c>
      <c r="I35" s="207" t="s">
        <v>53</v>
      </c>
      <c r="J35" s="207"/>
      <c r="K35" s="207"/>
      <c r="L35" s="207"/>
      <c r="M35" s="207"/>
      <c r="Q35" s="211" t="s">
        <v>311</v>
      </c>
      <c r="R35" s="118"/>
      <c r="S35" s="118" t="s">
        <v>468</v>
      </c>
      <c r="T35" s="118" t="s">
        <v>47</v>
      </c>
      <c r="U35" s="118" t="s">
        <v>940</v>
      </c>
      <c r="V35" s="118" t="s">
        <v>939</v>
      </c>
      <c r="W35" s="118" t="s">
        <v>57</v>
      </c>
      <c r="X35" s="118" t="str">
        <f t="shared" si="1"/>
        <v>Agriculture -:- Outdoor Horticulture/Arable Farming -:- Lights (General) -:- Electricity</v>
      </c>
      <c r="Y35" s="118" t="s">
        <v>469</v>
      </c>
      <c r="Z35" s="211" t="s">
        <v>53</v>
      </c>
      <c r="AA35" s="211" t="s">
        <v>371</v>
      </c>
      <c r="AB35" s="211"/>
      <c r="AC35" s="211"/>
      <c r="AD35" s="211"/>
    </row>
    <row r="36" spans="2:30">
      <c r="B36" s="207" t="s">
        <v>310</v>
      </c>
      <c r="C36" s="207"/>
      <c r="D36" s="212" t="s">
        <v>470</v>
      </c>
      <c r="E36" s="208"/>
      <c r="F36" s="208" t="s">
        <v>930</v>
      </c>
      <c r="G36" s="208" t="str">
        <f t="shared" si="0"/>
        <v xml:space="preserve"> -:- Refrigeration</v>
      </c>
      <c r="H36" s="212" t="s">
        <v>471</v>
      </c>
      <c r="I36" s="207" t="s">
        <v>53</v>
      </c>
      <c r="J36" s="207"/>
      <c r="K36" s="207"/>
      <c r="L36" s="207"/>
      <c r="M36" s="207"/>
      <c r="Q36" s="211" t="s">
        <v>311</v>
      </c>
      <c r="R36" s="118"/>
      <c r="S36" s="118" t="s">
        <v>472</v>
      </c>
      <c r="T36" s="118" t="s">
        <v>47</v>
      </c>
      <c r="U36" s="118" t="s">
        <v>113</v>
      </c>
      <c r="V36" s="118" t="s">
        <v>949</v>
      </c>
      <c r="W36" s="118" t="s">
        <v>81</v>
      </c>
      <c r="X36" s="118" t="str">
        <f t="shared" si="1"/>
        <v>Agriculture -:- Indoor Cropping -:- Boiler -:- Coal</v>
      </c>
      <c r="Y36" s="118" t="s">
        <v>473</v>
      </c>
      <c r="Z36" s="211" t="s">
        <v>53</v>
      </c>
      <c r="AA36" s="211" t="s">
        <v>371</v>
      </c>
      <c r="AB36" s="211"/>
      <c r="AC36" s="211"/>
      <c r="AD36" s="211"/>
    </row>
    <row r="37" spans="2:30">
      <c r="B37" s="207" t="s">
        <v>310</v>
      </c>
      <c r="C37" s="207"/>
      <c r="D37" s="212" t="s">
        <v>474</v>
      </c>
      <c r="E37" s="208"/>
      <c r="F37" s="208" t="s">
        <v>932</v>
      </c>
      <c r="G37" s="208" t="str">
        <f t="shared" si="0"/>
        <v xml:space="preserve"> -:- Lighting</v>
      </c>
      <c r="H37" s="212" t="s">
        <v>475</v>
      </c>
      <c r="I37" s="207" t="s">
        <v>53</v>
      </c>
      <c r="J37" s="207"/>
      <c r="K37" s="207"/>
      <c r="L37" s="207"/>
      <c r="M37" s="207"/>
      <c r="Q37" s="211" t="s">
        <v>311</v>
      </c>
      <c r="R37" s="118"/>
      <c r="S37" s="118" t="s">
        <v>476</v>
      </c>
      <c r="T37" s="118" t="s">
        <v>47</v>
      </c>
      <c r="U37" s="118" t="s">
        <v>113</v>
      </c>
      <c r="V37" s="118" t="s">
        <v>949</v>
      </c>
      <c r="W37" s="118" t="s">
        <v>82</v>
      </c>
      <c r="X37" s="118" t="str">
        <f t="shared" si="1"/>
        <v>Agriculture -:- Indoor Cropping -:- Boiler -:- Diesel</v>
      </c>
      <c r="Y37" s="118" t="s">
        <v>473</v>
      </c>
      <c r="Z37" s="211" t="s">
        <v>53</v>
      </c>
      <c r="AA37" s="211" t="s">
        <v>371</v>
      </c>
      <c r="AB37" s="211"/>
      <c r="AC37" s="211"/>
      <c r="AD37" s="211"/>
    </row>
    <row r="38" spans="2:30">
      <c r="B38" s="207" t="s">
        <v>310</v>
      </c>
      <c r="C38" s="207"/>
      <c r="D38" s="212" t="s">
        <v>477</v>
      </c>
      <c r="E38" s="208"/>
      <c r="F38" s="208" t="s">
        <v>951</v>
      </c>
      <c r="G38" s="208" t="str">
        <f t="shared" si="0"/>
        <v xml:space="preserve"> -:- Other</v>
      </c>
      <c r="H38" s="212" t="s">
        <v>478</v>
      </c>
      <c r="I38" s="207" t="s">
        <v>53</v>
      </c>
      <c r="J38" s="207"/>
      <c r="K38" s="207"/>
      <c r="L38" s="207"/>
      <c r="M38" s="207"/>
      <c r="Q38" s="211" t="s">
        <v>311</v>
      </c>
      <c r="R38" s="118"/>
      <c r="S38" s="118" t="s">
        <v>479</v>
      </c>
      <c r="T38" s="118" t="s">
        <v>47</v>
      </c>
      <c r="U38" s="118" t="s">
        <v>113</v>
      </c>
      <c r="V38" s="118" t="s">
        <v>939</v>
      </c>
      <c r="W38" s="118" t="s">
        <v>57</v>
      </c>
      <c r="X38" s="118" t="str">
        <f t="shared" si="1"/>
        <v>Agriculture -:- Indoor Cropping -:- Lights (General) -:- Electricity</v>
      </c>
      <c r="Y38" s="118" t="s">
        <v>480</v>
      </c>
      <c r="Z38" s="211" t="s">
        <v>53</v>
      </c>
      <c r="AA38" s="211" t="s">
        <v>371</v>
      </c>
      <c r="AB38" s="211"/>
      <c r="AC38" s="211"/>
      <c r="AD38" s="211"/>
    </row>
    <row r="39" spans="2:30">
      <c r="B39" s="406" t="s">
        <v>310</v>
      </c>
      <c r="C39" s="406"/>
      <c r="D39" s="407" t="s">
        <v>481</v>
      </c>
      <c r="E39" s="408"/>
      <c r="F39" s="408" t="s">
        <v>951</v>
      </c>
      <c r="G39" s="208" t="str">
        <f t="shared" si="0"/>
        <v xml:space="preserve"> -:- Other</v>
      </c>
      <c r="H39" s="407" t="s">
        <v>482</v>
      </c>
      <c r="I39" s="406" t="s">
        <v>53</v>
      </c>
      <c r="J39" s="406"/>
      <c r="K39" s="406"/>
      <c r="L39" s="406"/>
      <c r="M39" s="406"/>
      <c r="Q39" s="211" t="s">
        <v>311</v>
      </c>
      <c r="R39" s="118"/>
      <c r="S39" s="118" t="s">
        <v>483</v>
      </c>
      <c r="T39" s="118" t="s">
        <v>47</v>
      </c>
      <c r="U39" s="118" t="s">
        <v>943</v>
      </c>
      <c r="V39" s="118" t="s">
        <v>946</v>
      </c>
      <c r="W39" s="118" t="s">
        <v>57</v>
      </c>
      <c r="X39" s="118" t="str">
        <f t="shared" si="1"/>
        <v>Agriculture -:- Forestry -:- Stationary Motor -:- Electricity</v>
      </c>
      <c r="Y39" s="118" t="s">
        <v>484</v>
      </c>
      <c r="Z39" s="211" t="s">
        <v>53</v>
      </c>
      <c r="AA39" s="211" t="s">
        <v>371</v>
      </c>
      <c r="AB39" s="211"/>
      <c r="AC39" s="211"/>
      <c r="AD39" s="211"/>
    </row>
    <row r="40" spans="2:30">
      <c r="B40" s="411" t="s">
        <v>310</v>
      </c>
      <c r="C40" s="411"/>
      <c r="D40" s="412" t="s">
        <v>485</v>
      </c>
      <c r="E40" s="413"/>
      <c r="F40" s="413" t="s">
        <v>951</v>
      </c>
      <c r="G40" s="208" t="str">
        <f t="shared" si="0"/>
        <v xml:space="preserve"> -:- Other</v>
      </c>
      <c r="H40" s="412" t="s">
        <v>486</v>
      </c>
      <c r="I40" s="411" t="s">
        <v>53</v>
      </c>
      <c r="J40" s="411"/>
      <c r="K40" s="411"/>
      <c r="L40" s="411"/>
      <c r="M40" s="411"/>
      <c r="Q40" s="211" t="s">
        <v>311</v>
      </c>
      <c r="R40" s="118"/>
      <c r="S40" s="118" t="s">
        <v>532</v>
      </c>
      <c r="T40" s="118" t="s">
        <v>47</v>
      </c>
      <c r="U40" s="118" t="s">
        <v>943</v>
      </c>
      <c r="V40" s="118" t="s">
        <v>946</v>
      </c>
      <c r="W40" s="118" t="s">
        <v>82</v>
      </c>
      <c r="X40" s="118" t="str">
        <f t="shared" si="1"/>
        <v>Agriculture -:- Forestry -:- Stationary Motor -:- Diesel</v>
      </c>
      <c r="Y40" s="118" t="s">
        <v>484</v>
      </c>
      <c r="Z40" s="211" t="s">
        <v>53</v>
      </c>
      <c r="AA40" s="211" t="s">
        <v>371</v>
      </c>
      <c r="AB40" s="211"/>
      <c r="AC40" s="211"/>
      <c r="AD40" s="211"/>
    </row>
    <row r="41" spans="2:30">
      <c r="B41" s="411" t="s">
        <v>310</v>
      </c>
      <c r="C41" s="411"/>
      <c r="D41" s="414" t="s">
        <v>487</v>
      </c>
      <c r="E41" s="414"/>
      <c r="F41" s="414" t="s">
        <v>951</v>
      </c>
      <c r="G41" s="208" t="str">
        <f t="shared" si="0"/>
        <v xml:space="preserve"> -:- Other</v>
      </c>
      <c r="H41" s="412" t="s">
        <v>488</v>
      </c>
      <c r="I41" s="411" t="s">
        <v>53</v>
      </c>
      <c r="J41" s="411"/>
      <c r="K41" s="411"/>
      <c r="L41" s="411"/>
      <c r="M41" s="411"/>
      <c r="Q41" s="211" t="s">
        <v>311</v>
      </c>
      <c r="R41" s="118"/>
      <c r="S41" s="118" t="s">
        <v>489</v>
      </c>
      <c r="T41" s="118" t="s">
        <v>47</v>
      </c>
      <c r="U41" s="118" t="s">
        <v>943</v>
      </c>
      <c r="V41" s="118" t="s">
        <v>990</v>
      </c>
      <c r="W41" s="118" t="s">
        <v>82</v>
      </c>
      <c r="X41" s="118" t="str">
        <f t="shared" si="1"/>
        <v>Agriculture -:- Forestry -:- Skidder (Forestry) -:- Diesel</v>
      </c>
      <c r="Y41" s="118" t="s">
        <v>490</v>
      </c>
      <c r="Z41" s="211" t="s">
        <v>53</v>
      </c>
      <c r="AA41" s="211" t="s">
        <v>371</v>
      </c>
      <c r="AB41" s="211"/>
      <c r="AC41" s="211"/>
      <c r="AD41" s="211"/>
    </row>
    <row r="42" spans="2:30">
      <c r="B42" s="409"/>
      <c r="C42" s="409"/>
      <c r="E42" s="410"/>
      <c r="F42" s="410"/>
      <c r="G42" s="410"/>
      <c r="H42" s="410"/>
      <c r="J42" s="409"/>
      <c r="K42" s="409"/>
      <c r="L42" s="409"/>
      <c r="M42" s="409"/>
      <c r="N42" s="409"/>
      <c r="Q42" s="211" t="s">
        <v>311</v>
      </c>
      <c r="R42" s="118"/>
      <c r="S42" s="118" t="s">
        <v>491</v>
      </c>
      <c r="T42" s="118" t="s">
        <v>47</v>
      </c>
      <c r="U42" s="118" t="s">
        <v>943</v>
      </c>
      <c r="V42" s="118" t="s">
        <v>989</v>
      </c>
      <c r="W42" s="118" t="s">
        <v>82</v>
      </c>
      <c r="X42" s="118" t="str">
        <f t="shared" si="1"/>
        <v>Agriculture -:- Forestry -:- Cable Yarder (Forestry) -:- Diesel</v>
      </c>
      <c r="Y42" s="118" t="s">
        <v>492</v>
      </c>
      <c r="Z42" s="211" t="s">
        <v>53</v>
      </c>
      <c r="AA42" s="211" t="s">
        <v>371</v>
      </c>
      <c r="AB42" s="211"/>
      <c r="AC42" s="211"/>
      <c r="AD42" s="211"/>
    </row>
    <row r="43" spans="2:30">
      <c r="Q43" s="211" t="s">
        <v>311</v>
      </c>
      <c r="R43" s="118"/>
      <c r="S43" s="118" t="s">
        <v>493</v>
      </c>
      <c r="T43" s="118" t="s">
        <v>47</v>
      </c>
      <c r="U43" s="118" t="s">
        <v>943</v>
      </c>
      <c r="V43" s="118" t="s">
        <v>939</v>
      </c>
      <c r="W43" s="118" t="s">
        <v>57</v>
      </c>
      <c r="X43" s="118" t="str">
        <f t="shared" si="1"/>
        <v>Agriculture -:- Forestry -:- Lights (General) -:- Electricity</v>
      </c>
      <c r="Y43" s="118" t="s">
        <v>494</v>
      </c>
      <c r="Z43" s="211" t="s">
        <v>53</v>
      </c>
      <c r="AA43" s="211" t="s">
        <v>371</v>
      </c>
      <c r="AB43" s="211"/>
      <c r="AC43" s="211"/>
      <c r="AD43" s="211"/>
    </row>
    <row r="44" spans="2:30">
      <c r="Q44" s="211" t="s">
        <v>311</v>
      </c>
      <c r="R44" s="118"/>
      <c r="S44" s="118" t="s">
        <v>495</v>
      </c>
      <c r="T44" s="118" t="s">
        <v>47</v>
      </c>
      <c r="U44" s="118" t="s">
        <v>947</v>
      </c>
      <c r="V44" s="118" t="s">
        <v>953</v>
      </c>
      <c r="W44" s="118" t="s">
        <v>82</v>
      </c>
      <c r="X44" s="118" t="str">
        <f t="shared" si="1"/>
        <v>Agriculture -:- Fishing -:- Fishing Boat (Non-Hybrid) -:- Diesel</v>
      </c>
      <c r="Y44" s="118" t="s">
        <v>496</v>
      </c>
      <c r="Z44" s="211" t="s">
        <v>53</v>
      </c>
      <c r="AA44" s="211" t="s">
        <v>371</v>
      </c>
      <c r="AB44" s="211"/>
      <c r="AC44" s="211"/>
      <c r="AD44" s="211"/>
    </row>
    <row r="45" spans="2:30">
      <c r="Q45" s="211" t="s">
        <v>311</v>
      </c>
      <c r="R45" s="118"/>
      <c r="S45" s="118" t="s">
        <v>497</v>
      </c>
      <c r="T45" s="118" t="s">
        <v>47</v>
      </c>
      <c r="U45" s="118" t="s">
        <v>947</v>
      </c>
      <c r="V45" s="118" t="s">
        <v>953</v>
      </c>
      <c r="W45" s="118" t="s">
        <v>83</v>
      </c>
      <c r="X45" s="118" t="str">
        <f t="shared" si="1"/>
        <v>Agriculture -:- Fishing -:- Fishing Boat (Non-Hybrid) -:- Fuel Oil</v>
      </c>
      <c r="Y45" s="118" t="s">
        <v>496</v>
      </c>
      <c r="Z45" s="211" t="s">
        <v>53</v>
      </c>
      <c r="AA45" s="211" t="s">
        <v>371</v>
      </c>
      <c r="AB45" s="211"/>
      <c r="AC45" s="211"/>
      <c r="AD45" s="211"/>
    </row>
    <row r="46" spans="2:30">
      <c r="Q46" s="211" t="s">
        <v>311</v>
      </c>
      <c r="R46" s="118"/>
      <c r="S46" s="118" t="s">
        <v>498</v>
      </c>
      <c r="T46" s="118" t="s">
        <v>47</v>
      </c>
      <c r="U46" s="118" t="s">
        <v>947</v>
      </c>
      <c r="V46" s="118" t="s">
        <v>937</v>
      </c>
      <c r="W46" s="118" t="s">
        <v>57</v>
      </c>
      <c r="X46" s="118" t="str">
        <f t="shared" si="1"/>
        <v>Agriculture -:- Fishing -:- Refrigerator -:- Electricity</v>
      </c>
      <c r="Y46" s="118" t="s">
        <v>499</v>
      </c>
      <c r="Z46" s="211" t="s">
        <v>53</v>
      </c>
      <c r="AA46" s="211" t="s">
        <v>371</v>
      </c>
      <c r="AB46" s="211"/>
      <c r="AC46" s="211"/>
      <c r="AD46" s="211"/>
    </row>
    <row r="47" spans="2:30">
      <c r="Q47" s="211" t="s">
        <v>311</v>
      </c>
      <c r="R47" s="118"/>
      <c r="S47" s="118" t="s">
        <v>500</v>
      </c>
      <c r="T47" s="118" t="s">
        <v>47</v>
      </c>
      <c r="U47" s="118" t="s">
        <v>947</v>
      </c>
      <c r="V47" s="118" t="s">
        <v>939</v>
      </c>
      <c r="W47" s="118" t="s">
        <v>57</v>
      </c>
      <c r="X47" s="118" t="str">
        <f t="shared" si="1"/>
        <v>Agriculture -:- Fishing -:- Lights (General) -:- Electricity</v>
      </c>
      <c r="Y47" s="118" t="s">
        <v>501</v>
      </c>
      <c r="Z47" s="211" t="s">
        <v>53</v>
      </c>
      <c r="AA47" s="211" t="s">
        <v>371</v>
      </c>
      <c r="AB47" s="211"/>
      <c r="AC47" s="211"/>
      <c r="AD47" s="211"/>
    </row>
    <row r="48" spans="2:30">
      <c r="Q48" s="211" t="s">
        <v>311</v>
      </c>
      <c r="R48" s="118"/>
      <c r="S48" s="118" t="s">
        <v>502</v>
      </c>
      <c r="T48" s="118" t="s">
        <v>47</v>
      </c>
      <c r="U48" s="118" t="s">
        <v>950</v>
      </c>
      <c r="V48" s="428" t="s">
        <v>951</v>
      </c>
      <c r="W48" s="118" t="s">
        <v>57</v>
      </c>
      <c r="X48" s="118" t="str">
        <f t="shared" si="1"/>
        <v>Agriculture -:- Other (Agriculture) -:- Other -:- Electricity</v>
      </c>
      <c r="Y48" s="118" t="s">
        <v>503</v>
      </c>
      <c r="Z48" s="211" t="s">
        <v>53</v>
      </c>
      <c r="AA48" s="211" t="s">
        <v>504</v>
      </c>
      <c r="AB48" s="211"/>
      <c r="AC48" s="211"/>
      <c r="AD48" s="211"/>
    </row>
    <row r="49" spans="17:30">
      <c r="Q49" s="415" t="s">
        <v>311</v>
      </c>
      <c r="R49" s="118"/>
      <c r="S49" s="416" t="s">
        <v>505</v>
      </c>
      <c r="T49" s="416" t="s">
        <v>47</v>
      </c>
      <c r="U49" s="118" t="s">
        <v>950</v>
      </c>
      <c r="V49" s="428" t="s">
        <v>951</v>
      </c>
      <c r="W49" s="416" t="s">
        <v>83</v>
      </c>
      <c r="X49" s="118" t="str">
        <f t="shared" si="1"/>
        <v>Agriculture -:- Other (Agriculture) -:- Other -:- Fuel Oil</v>
      </c>
      <c r="Y49" s="416" t="s">
        <v>506</v>
      </c>
      <c r="Z49" s="415" t="s">
        <v>53</v>
      </c>
      <c r="AA49" s="415" t="s">
        <v>504</v>
      </c>
      <c r="AB49" s="415"/>
      <c r="AC49" s="415"/>
      <c r="AD49" s="415"/>
    </row>
    <row r="50" spans="17:30">
      <c r="Q50" s="417" t="s">
        <v>311</v>
      </c>
      <c r="R50" s="118"/>
      <c r="S50" s="418" t="s">
        <v>507</v>
      </c>
      <c r="T50" s="418" t="s">
        <v>47</v>
      </c>
      <c r="U50" s="418" t="s">
        <v>950</v>
      </c>
      <c r="V50" s="428" t="s">
        <v>951</v>
      </c>
      <c r="W50" s="418" t="s">
        <v>71</v>
      </c>
      <c r="X50" s="118" t="str">
        <f t="shared" si="1"/>
        <v>Agriculture -:- Other (Agriculture) -:- Other -:- LPG</v>
      </c>
      <c r="Y50" s="418" t="s">
        <v>508</v>
      </c>
      <c r="Z50" s="417" t="s">
        <v>53</v>
      </c>
      <c r="AA50" s="417" t="s">
        <v>504</v>
      </c>
      <c r="AB50" s="417"/>
      <c r="AC50" s="417"/>
      <c r="AD50" s="417"/>
    </row>
    <row r="51" spans="17:30">
      <c r="Q51" s="417" t="s">
        <v>311</v>
      </c>
      <c r="R51" s="118"/>
      <c r="S51" s="418" t="s">
        <v>509</v>
      </c>
      <c r="T51" s="418" t="s">
        <v>47</v>
      </c>
      <c r="U51" s="418" t="s">
        <v>950</v>
      </c>
      <c r="V51" s="428" t="s">
        <v>951</v>
      </c>
      <c r="W51" s="418" t="s">
        <v>85</v>
      </c>
      <c r="X51" s="118" t="str">
        <f t="shared" si="1"/>
        <v>Agriculture -:- Other (Agriculture) -:- Other -:- Petrol</v>
      </c>
      <c r="Y51" s="418" t="s">
        <v>510</v>
      </c>
      <c r="Z51" s="417" t="s">
        <v>53</v>
      </c>
      <c r="AA51" s="417" t="s">
        <v>504</v>
      </c>
      <c r="AB51" s="417"/>
      <c r="AC51" s="417"/>
      <c r="AD51" s="417"/>
    </row>
    <row r="52" spans="17:30">
      <c r="Q52" s="200"/>
      <c r="R52" s="184"/>
      <c r="S52" s="184"/>
      <c r="T52" s="184"/>
      <c r="U52" s="184"/>
      <c r="V52" s="184"/>
      <c r="X52" s="184"/>
      <c r="Y52" s="184"/>
      <c r="Z52" s="200"/>
      <c r="AA52" s="200"/>
      <c r="AB52" s="200"/>
      <c r="AC52" s="200"/>
      <c r="AD52" s="200"/>
    </row>
    <row r="53" spans="17:30">
      <c r="Q53" s="200"/>
      <c r="R53" s="184"/>
      <c r="S53" s="184"/>
      <c r="T53" s="184"/>
      <c r="U53" s="184"/>
      <c r="V53" s="184"/>
      <c r="X53" s="184"/>
      <c r="Y53" s="184"/>
      <c r="Z53" s="200"/>
      <c r="AA53" s="200"/>
      <c r="AB53" s="200"/>
      <c r="AC53" s="200"/>
      <c r="AD53" s="200"/>
    </row>
    <row r="54" spans="17:30">
      <c r="Q54" s="200"/>
      <c r="R54" s="184"/>
      <c r="S54" s="184"/>
      <c r="T54" s="184"/>
      <c r="U54" s="184"/>
      <c r="V54" s="184"/>
      <c r="X54" s="184"/>
      <c r="Y54" s="184"/>
      <c r="Z54" s="200"/>
      <c r="AA54" s="200"/>
      <c r="AB54" s="200"/>
      <c r="AC54" s="200"/>
      <c r="AD54" s="20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262"/>
  <sheetViews>
    <sheetView topLeftCell="T1" zoomScale="85" zoomScaleNormal="85" workbookViewId="0">
      <selection activeCell="AF9" sqref="AF9"/>
    </sheetView>
  </sheetViews>
  <sheetFormatPr defaultColWidth="9.1328125" defaultRowHeight="13.15"/>
  <cols>
    <col min="1" max="4" width="10.3984375" style="61" customWidth="1"/>
    <col min="5" max="5" width="12.265625" style="61" bestFit="1" customWidth="1"/>
    <col min="6" max="6" width="19.3984375" style="61" bestFit="1" customWidth="1"/>
    <col min="7" max="7" width="10.3984375" style="61" customWidth="1"/>
    <col min="8" max="8" width="30.86328125" style="61" customWidth="1"/>
    <col min="9" max="9" width="34.265625" style="61" customWidth="1"/>
    <col min="10" max="22" width="10.3984375" style="61" customWidth="1"/>
    <col min="23" max="23" width="11.265625" style="61" bestFit="1" customWidth="1"/>
    <col min="24" max="24" width="22.59765625" style="61" bestFit="1" customWidth="1"/>
    <col min="25" max="25" width="18.3984375" style="61" bestFit="1" customWidth="1"/>
    <col min="26" max="26" width="8.1328125" style="61" bestFit="1" customWidth="1"/>
    <col min="27" max="27" width="8.73046875" style="61" bestFit="1" customWidth="1"/>
    <col min="28" max="28" width="13.3984375" style="61" bestFit="1" customWidth="1"/>
    <col min="29" max="29" width="9" style="61" bestFit="1" customWidth="1"/>
    <col min="30" max="30" width="6.73046875" style="61" bestFit="1" customWidth="1"/>
    <col min="31" max="43" width="10.3984375" style="61" customWidth="1"/>
    <col min="44" max="16384" width="9.1328125" style="61"/>
  </cols>
  <sheetData>
    <row r="1" spans="2:31" ht="15.75" customHeight="1">
      <c r="B1" s="59" t="s">
        <v>50</v>
      </c>
      <c r="C1" s="59" t="s">
        <v>51</v>
      </c>
      <c r="D1" s="59" t="s">
        <v>52</v>
      </c>
      <c r="E1" s="59" t="s">
        <v>68</v>
      </c>
      <c r="F1" s="59" t="s">
        <v>61</v>
      </c>
      <c r="G1" s="59" t="s">
        <v>62</v>
      </c>
      <c r="H1" s="60"/>
    </row>
    <row r="2" spans="2:31" ht="15.75" customHeight="1">
      <c r="B2" s="62" t="s">
        <v>290</v>
      </c>
      <c r="C2" s="62" t="s">
        <v>47</v>
      </c>
      <c r="D2" s="62" t="s">
        <v>66</v>
      </c>
      <c r="E2" s="62" t="s">
        <v>53</v>
      </c>
      <c r="F2" s="62" t="s">
        <v>288</v>
      </c>
      <c r="G2" s="62" t="s">
        <v>63</v>
      </c>
      <c r="H2" s="63"/>
    </row>
    <row r="3" spans="2:31" ht="15.75" customHeight="1"/>
    <row r="4" spans="2:31" ht="15.75" customHeight="1">
      <c r="B4" s="64" t="s">
        <v>14</v>
      </c>
      <c r="C4" s="64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Q4" s="64" t="s">
        <v>15</v>
      </c>
      <c r="R4" s="64"/>
      <c r="S4" s="65"/>
      <c r="T4" s="65"/>
      <c r="U4" s="65"/>
      <c r="V4" s="65"/>
      <c r="W4" s="65"/>
      <c r="X4" s="65"/>
      <c r="Y4" s="65"/>
      <c r="Z4" s="421"/>
      <c r="AA4" s="65"/>
      <c r="AB4" s="65"/>
      <c r="AC4" s="65"/>
      <c r="AD4" s="65"/>
      <c r="AE4" s="65"/>
    </row>
    <row r="5" spans="2:31" ht="15.75" customHeight="1">
      <c r="B5" s="75" t="s">
        <v>7</v>
      </c>
      <c r="C5" s="76" t="s">
        <v>30</v>
      </c>
      <c r="D5" s="75" t="s">
        <v>0</v>
      </c>
      <c r="E5" s="75" t="s">
        <v>913</v>
      </c>
      <c r="F5" s="75" t="s">
        <v>911</v>
      </c>
      <c r="G5" s="75" t="s">
        <v>3</v>
      </c>
      <c r="H5" s="75" t="s">
        <v>910</v>
      </c>
      <c r="I5" s="75" t="s">
        <v>4</v>
      </c>
      <c r="J5" s="75" t="s">
        <v>8</v>
      </c>
      <c r="K5" s="75" t="s">
        <v>9</v>
      </c>
      <c r="L5" s="75" t="s">
        <v>10</v>
      </c>
      <c r="M5" s="75" t="s">
        <v>12</v>
      </c>
      <c r="Q5" s="66" t="s">
        <v>11</v>
      </c>
      <c r="R5" s="67" t="s">
        <v>30</v>
      </c>
      <c r="S5" s="66" t="s">
        <v>1</v>
      </c>
      <c r="T5" s="66" t="s">
        <v>908</v>
      </c>
      <c r="U5" s="66" t="s">
        <v>909</v>
      </c>
      <c r="V5" s="66" t="s">
        <v>912</v>
      </c>
      <c r="W5" s="66" t="s">
        <v>913</v>
      </c>
      <c r="X5" s="66" t="s">
        <v>2</v>
      </c>
      <c r="Y5" s="422" t="s">
        <v>914</v>
      </c>
      <c r="Z5" s="66" t="s">
        <v>16</v>
      </c>
      <c r="AA5" s="66" t="s">
        <v>17</v>
      </c>
      <c r="AB5" s="66" t="s">
        <v>18</v>
      </c>
      <c r="AC5" s="66" t="s">
        <v>19</v>
      </c>
      <c r="AD5" s="66" t="s">
        <v>20</v>
      </c>
    </row>
    <row r="6" spans="2:31" ht="33.75" customHeight="1" thickBot="1">
      <c r="B6" s="205" t="s">
        <v>35</v>
      </c>
      <c r="C6" s="205" t="s">
        <v>31</v>
      </c>
      <c r="D6" s="205" t="s">
        <v>26</v>
      </c>
      <c r="E6" s="205"/>
      <c r="F6" s="205"/>
      <c r="G6" s="205"/>
      <c r="H6" s="205" t="s">
        <v>27</v>
      </c>
      <c r="I6" s="205" t="s">
        <v>4</v>
      </c>
      <c r="J6" s="205" t="s">
        <v>38</v>
      </c>
      <c r="K6" s="205" t="s">
        <v>39</v>
      </c>
      <c r="L6" s="205" t="s">
        <v>28</v>
      </c>
      <c r="M6" s="205" t="s">
        <v>29</v>
      </c>
      <c r="Q6" s="206" t="s">
        <v>36</v>
      </c>
      <c r="R6" s="206" t="s">
        <v>31</v>
      </c>
      <c r="S6" s="206" t="s">
        <v>21</v>
      </c>
      <c r="T6" s="206"/>
      <c r="U6" s="206"/>
      <c r="V6" s="206"/>
      <c r="W6" s="206"/>
      <c r="X6" s="206"/>
      <c r="Y6" s="423" t="s">
        <v>22</v>
      </c>
      <c r="Z6" s="206" t="s">
        <v>23</v>
      </c>
      <c r="AA6" s="206" t="s">
        <v>24</v>
      </c>
      <c r="AB6" s="206" t="s">
        <v>41</v>
      </c>
      <c r="AC6" s="206" t="s">
        <v>40</v>
      </c>
      <c r="AD6" s="206" t="s">
        <v>25</v>
      </c>
    </row>
    <row r="7" spans="2:31">
      <c r="B7" s="419" t="s">
        <v>49</v>
      </c>
      <c r="C7" s="419"/>
      <c r="D7" s="208" t="s">
        <v>275</v>
      </c>
      <c r="E7" s="208" t="s">
        <v>81</v>
      </c>
      <c r="F7" s="208"/>
      <c r="G7" s="208" t="str">
        <f xml:space="preserve"> _xlfn.CONCAT(E7, " -:- ", F7 )</f>
        <v xml:space="preserve">Coal -:- </v>
      </c>
      <c r="H7" s="420" t="s">
        <v>291</v>
      </c>
      <c r="I7" s="419" t="s">
        <v>53</v>
      </c>
      <c r="J7" s="419" t="s">
        <v>345</v>
      </c>
      <c r="K7" s="419" t="s">
        <v>154</v>
      </c>
      <c r="L7" s="419"/>
      <c r="M7" s="419"/>
      <c r="Q7" s="210" t="s">
        <v>55</v>
      </c>
      <c r="R7" s="210"/>
      <c r="S7" s="210"/>
      <c r="T7" s="210"/>
      <c r="U7" s="210"/>
      <c r="V7" s="210"/>
      <c r="W7" s="210"/>
      <c r="X7" s="210"/>
      <c r="Y7" s="424"/>
      <c r="Z7" s="210"/>
      <c r="AA7" s="210"/>
      <c r="AB7" s="210"/>
      <c r="AC7" s="210"/>
      <c r="AD7" s="210"/>
    </row>
    <row r="8" spans="2:31" ht="26.25">
      <c r="B8" s="419" t="s">
        <v>49</v>
      </c>
      <c r="C8" s="419"/>
      <c r="D8" s="208" t="s">
        <v>522</v>
      </c>
      <c r="E8" s="208" t="s">
        <v>82</v>
      </c>
      <c r="F8" s="208"/>
      <c r="G8" s="208" t="str">
        <f t="shared" ref="G8:G14" si="0" xml:space="preserve"> _xlfn.CONCAT(E8, " -:- ", F8 )</f>
        <v xml:space="preserve">Diesel -:- </v>
      </c>
      <c r="H8" s="420" t="s">
        <v>526</v>
      </c>
      <c r="I8" s="419" t="s">
        <v>53</v>
      </c>
      <c r="J8" s="419" t="s">
        <v>345</v>
      </c>
      <c r="K8" s="419" t="s">
        <v>154</v>
      </c>
      <c r="L8" s="419"/>
      <c r="M8" s="419"/>
      <c r="Q8" s="77" t="s">
        <v>67</v>
      </c>
      <c r="R8" s="77"/>
      <c r="S8" s="118" t="s">
        <v>292</v>
      </c>
      <c r="T8" s="118" t="s">
        <v>47</v>
      </c>
      <c r="U8" s="118"/>
      <c r="V8" s="118"/>
      <c r="W8" s="118" t="s">
        <v>81</v>
      </c>
      <c r="X8" s="118" t="str">
        <f t="shared" ref="X8:X14" si="1" xml:space="preserve"> _xlfn.CONCAT( T8, " -:- ", U8, " -:- ", V8, " -:- ", W8)</f>
        <v>Agriculture -:-  -:-  -:- Coal</v>
      </c>
      <c r="Y8" s="105" t="s">
        <v>335</v>
      </c>
      <c r="Z8" s="77" t="s">
        <v>53</v>
      </c>
      <c r="AA8" s="77" t="s">
        <v>289</v>
      </c>
      <c r="AB8" s="77" t="s">
        <v>154</v>
      </c>
      <c r="AC8" s="77"/>
      <c r="AD8" s="77"/>
    </row>
    <row r="9" spans="2:31" ht="26.25">
      <c r="B9" s="419" t="s">
        <v>49</v>
      </c>
      <c r="C9" s="419"/>
      <c r="D9" s="208" t="s">
        <v>523</v>
      </c>
      <c r="E9" s="208" t="s">
        <v>85</v>
      </c>
      <c r="F9" s="208"/>
      <c r="G9" s="208" t="str">
        <f t="shared" si="0"/>
        <v xml:space="preserve">Petrol -:- </v>
      </c>
      <c r="H9" s="420" t="s">
        <v>527</v>
      </c>
      <c r="I9" s="419" t="s">
        <v>53</v>
      </c>
      <c r="J9" s="419" t="s">
        <v>345</v>
      </c>
      <c r="K9" s="419" t="s">
        <v>154</v>
      </c>
      <c r="L9" s="419"/>
      <c r="M9" s="419"/>
      <c r="Q9" s="77" t="s">
        <v>67</v>
      </c>
      <c r="R9" s="77"/>
      <c r="S9" s="118" t="str">
        <f>+B23</f>
        <v>FTE_AGRDSL</v>
      </c>
      <c r="T9" s="118" t="s">
        <v>47</v>
      </c>
      <c r="U9" s="118"/>
      <c r="V9" s="118"/>
      <c r="W9" s="118" t="s">
        <v>82</v>
      </c>
      <c r="X9" s="118" t="str">
        <f t="shared" si="1"/>
        <v>Agriculture -:-  -:-  -:- Diesel</v>
      </c>
      <c r="Y9" s="105" t="str">
        <f t="shared" ref="Y9:Y14" si="2">+"Sector Fuel Supply - "&amp;H8</f>
        <v>Sector Fuel Supply - Agriculture diesel oil</v>
      </c>
      <c r="Z9" s="77" t="s">
        <v>53</v>
      </c>
      <c r="AA9" s="77" t="s">
        <v>289</v>
      </c>
      <c r="AB9" s="77" t="s">
        <v>154</v>
      </c>
      <c r="AC9" s="77"/>
      <c r="AD9" s="77"/>
    </row>
    <row r="10" spans="2:31" ht="26.25">
      <c r="B10" s="419" t="s">
        <v>49</v>
      </c>
      <c r="C10" s="419"/>
      <c r="D10" s="208" t="s">
        <v>524</v>
      </c>
      <c r="E10" s="208" t="s">
        <v>83</v>
      </c>
      <c r="F10" s="208"/>
      <c r="G10" s="208" t="str">
        <f t="shared" si="0"/>
        <v xml:space="preserve">Fuel Oil -:- </v>
      </c>
      <c r="H10" s="420" t="s">
        <v>528</v>
      </c>
      <c r="I10" s="419" t="s">
        <v>53</v>
      </c>
      <c r="J10" s="419" t="s">
        <v>345</v>
      </c>
      <c r="K10" s="419" t="s">
        <v>154</v>
      </c>
      <c r="L10" s="419"/>
      <c r="M10" s="419"/>
      <c r="P10" s="69"/>
      <c r="Q10" s="77" t="s">
        <v>67</v>
      </c>
      <c r="R10" s="77"/>
      <c r="S10" s="118" t="str">
        <f>+B25</f>
        <v>FTE_AGRPET</v>
      </c>
      <c r="T10" s="118" t="s">
        <v>47</v>
      </c>
      <c r="U10" s="118"/>
      <c r="V10" s="118"/>
      <c r="W10" s="118" t="s">
        <v>85</v>
      </c>
      <c r="X10" s="118" t="str">
        <f t="shared" si="1"/>
        <v>Agriculture -:-  -:-  -:- Petrol</v>
      </c>
      <c r="Y10" s="105" t="str">
        <f t="shared" si="2"/>
        <v>Sector Fuel Supply - Agriculture petroleum</v>
      </c>
      <c r="Z10" s="77" t="s">
        <v>53</v>
      </c>
      <c r="AA10" s="77" t="s">
        <v>289</v>
      </c>
      <c r="AB10" s="77" t="s">
        <v>154</v>
      </c>
      <c r="AC10" s="77"/>
      <c r="AD10" s="77"/>
    </row>
    <row r="11" spans="2:31" ht="26.25">
      <c r="B11" s="419" t="s">
        <v>49</v>
      </c>
      <c r="C11" s="419"/>
      <c r="D11" s="208" t="s">
        <v>525</v>
      </c>
      <c r="E11" s="208" t="s">
        <v>71</v>
      </c>
      <c r="F11" s="208"/>
      <c r="G11" s="208" t="str">
        <f t="shared" si="0"/>
        <v xml:space="preserve">LPG -:- </v>
      </c>
      <c r="H11" s="420" t="s">
        <v>529</v>
      </c>
      <c r="I11" s="419" t="s">
        <v>53</v>
      </c>
      <c r="J11" s="419" t="s">
        <v>345</v>
      </c>
      <c r="K11" s="419" t="s">
        <v>154</v>
      </c>
      <c r="L11" s="419"/>
      <c r="M11" s="419"/>
      <c r="P11" s="69"/>
      <c r="Q11" s="77" t="s">
        <v>67</v>
      </c>
      <c r="R11" s="77"/>
      <c r="S11" s="118" t="str">
        <f t="shared" ref="S11:S14" si="3">+B26</f>
        <v>FTE_AGRFOL</v>
      </c>
      <c r="T11" s="118" t="s">
        <v>47</v>
      </c>
      <c r="U11" s="118"/>
      <c r="V11" s="118"/>
      <c r="W11" s="118" t="s">
        <v>83</v>
      </c>
      <c r="X11" s="118" t="str">
        <f t="shared" si="1"/>
        <v>Agriculture -:-  -:-  -:- Fuel Oil</v>
      </c>
      <c r="Y11" s="105" t="str">
        <f t="shared" si="2"/>
        <v>Sector Fuel Supply - Agriculture fuel oil</v>
      </c>
      <c r="Z11" s="77" t="s">
        <v>53</v>
      </c>
      <c r="AA11" s="77" t="s">
        <v>289</v>
      </c>
      <c r="AB11" s="77" t="s">
        <v>154</v>
      </c>
      <c r="AC11" s="77"/>
      <c r="AD11" s="77"/>
    </row>
    <row r="12" spans="2:31" ht="26.25">
      <c r="B12" s="419" t="s">
        <v>49</v>
      </c>
      <c r="C12" s="419"/>
      <c r="D12" s="208" t="s">
        <v>285</v>
      </c>
      <c r="E12" s="208" t="s">
        <v>87</v>
      </c>
      <c r="F12" s="208"/>
      <c r="G12" s="208" t="str">
        <f t="shared" si="0"/>
        <v xml:space="preserve">Wood -:- </v>
      </c>
      <c r="H12" s="420" t="s">
        <v>954</v>
      </c>
      <c r="I12" s="419" t="s">
        <v>53</v>
      </c>
      <c r="J12" s="419" t="s">
        <v>345</v>
      </c>
      <c r="K12" s="419" t="s">
        <v>154</v>
      </c>
      <c r="L12" s="419"/>
      <c r="M12" s="419"/>
      <c r="P12" s="69"/>
      <c r="Q12" s="77" t="s">
        <v>67</v>
      </c>
      <c r="R12" s="77"/>
      <c r="S12" s="118" t="str">
        <f t="shared" si="3"/>
        <v>FTE_AGRLPG</v>
      </c>
      <c r="T12" s="118" t="s">
        <v>47</v>
      </c>
      <c r="U12" s="118"/>
      <c r="V12" s="118"/>
      <c r="W12" s="118" t="s">
        <v>71</v>
      </c>
      <c r="X12" s="118" t="str">
        <f t="shared" si="1"/>
        <v>Agriculture -:-  -:-  -:- LPG</v>
      </c>
      <c r="Y12" s="105" t="str">
        <f t="shared" si="2"/>
        <v>Sector Fuel Supply - Agriculture LPG</v>
      </c>
      <c r="Z12" s="77" t="s">
        <v>53</v>
      </c>
      <c r="AA12" s="77" t="s">
        <v>289</v>
      </c>
      <c r="AB12" s="77" t="s">
        <v>154</v>
      </c>
      <c r="AC12" s="77"/>
      <c r="AD12" s="77"/>
    </row>
    <row r="13" spans="2:31" ht="26.25">
      <c r="B13" s="419" t="s">
        <v>49</v>
      </c>
      <c r="C13" s="419"/>
      <c r="D13" s="208" t="s">
        <v>530</v>
      </c>
      <c r="E13" s="208" t="s">
        <v>955</v>
      </c>
      <c r="F13" s="208"/>
      <c r="G13" s="208" t="str">
        <f t="shared" si="0"/>
        <v xml:space="preserve">Pellet -:- </v>
      </c>
      <c r="H13" s="420" t="s">
        <v>531</v>
      </c>
      <c r="I13" s="419" t="s">
        <v>53</v>
      </c>
      <c r="J13" s="419" t="s">
        <v>345</v>
      </c>
      <c r="K13" s="419" t="s">
        <v>154</v>
      </c>
      <c r="L13" s="419"/>
      <c r="M13" s="419"/>
      <c r="P13" s="69"/>
      <c r="Q13" s="77" t="s">
        <v>67</v>
      </c>
      <c r="R13" s="77"/>
      <c r="S13" s="118" t="str">
        <f t="shared" si="3"/>
        <v>FTE_AGRWOD</v>
      </c>
      <c r="T13" s="118" t="s">
        <v>47</v>
      </c>
      <c r="U13" s="118"/>
      <c r="V13" s="118"/>
      <c r="W13" s="118" t="s">
        <v>87</v>
      </c>
      <c r="X13" s="118" t="str">
        <f t="shared" si="1"/>
        <v>Agriculture -:-  -:-  -:- Wood</v>
      </c>
      <c r="Y13" s="105" t="str">
        <f t="shared" si="2"/>
        <v>Sector Fuel Supply - Agriculture wood</v>
      </c>
      <c r="Z13" s="77" t="s">
        <v>53</v>
      </c>
      <c r="AA13" s="77" t="s">
        <v>289</v>
      </c>
      <c r="AB13" s="77" t="s">
        <v>154</v>
      </c>
      <c r="AC13" s="77"/>
      <c r="AD13" s="77"/>
    </row>
    <row r="14" spans="2:31" ht="26.25">
      <c r="B14" s="419" t="s">
        <v>65</v>
      </c>
      <c r="C14" s="419"/>
      <c r="D14" s="208" t="s">
        <v>340</v>
      </c>
      <c r="E14" s="208"/>
      <c r="F14" s="208"/>
      <c r="G14" s="208" t="str">
        <f t="shared" si="0"/>
        <v xml:space="preserve"> -:- </v>
      </c>
      <c r="H14" s="420" t="s">
        <v>342</v>
      </c>
      <c r="I14" s="419" t="s">
        <v>333</v>
      </c>
      <c r="J14" s="419"/>
      <c r="K14" s="419"/>
      <c r="L14" s="419"/>
      <c r="M14" s="419"/>
      <c r="P14" s="69"/>
      <c r="Q14" s="77" t="s">
        <v>67</v>
      </c>
      <c r="R14" s="77"/>
      <c r="S14" s="118" t="str">
        <f t="shared" si="3"/>
        <v>FTE_AGRPLT</v>
      </c>
      <c r="T14" s="118" t="s">
        <v>47</v>
      </c>
      <c r="U14" s="118"/>
      <c r="V14" s="118"/>
      <c r="W14" s="118" t="s">
        <v>955</v>
      </c>
      <c r="X14" s="118" t="str">
        <f t="shared" si="1"/>
        <v>Agriculture -:-  -:-  -:- Pellet</v>
      </c>
      <c r="Y14" s="105" t="str">
        <f t="shared" si="2"/>
        <v>Sector Fuel Supply - Agriculture pellet</v>
      </c>
      <c r="Z14" s="77" t="s">
        <v>53</v>
      </c>
      <c r="AA14" s="77" t="s">
        <v>289</v>
      </c>
      <c r="AB14" s="77" t="s">
        <v>154</v>
      </c>
      <c r="AC14" s="77"/>
      <c r="AD14" s="77"/>
    </row>
    <row r="15" spans="2:31">
      <c r="B15" s="190"/>
      <c r="C15" s="190"/>
      <c r="D15" s="191"/>
      <c r="E15" s="192"/>
      <c r="F15" s="190"/>
      <c r="G15" s="190"/>
      <c r="H15" s="190"/>
      <c r="I15" s="190"/>
      <c r="J15" s="190"/>
      <c r="K15" s="69"/>
      <c r="L15" s="70"/>
    </row>
    <row r="16" spans="2:31">
      <c r="B16" s="65"/>
      <c r="C16" s="65"/>
      <c r="D16" s="65"/>
      <c r="E16" s="68"/>
      <c r="F16" s="65"/>
      <c r="G16" s="65"/>
      <c r="H16" s="65"/>
      <c r="I16" s="65"/>
      <c r="J16" s="65"/>
      <c r="K16" s="69"/>
      <c r="L16" s="70"/>
    </row>
    <row r="17" spans="2:19">
      <c r="D17" s="71" t="s">
        <v>13</v>
      </c>
      <c r="E17" s="71"/>
      <c r="F17" s="71"/>
    </row>
    <row r="18" spans="2:19" ht="26.25">
      <c r="B18" s="72" t="s">
        <v>1</v>
      </c>
      <c r="C18" s="72" t="s">
        <v>5</v>
      </c>
      <c r="D18" s="72" t="s">
        <v>6</v>
      </c>
      <c r="E18" s="73" t="s">
        <v>74</v>
      </c>
      <c r="F18" s="73" t="s">
        <v>363</v>
      </c>
      <c r="G18" s="73" t="s">
        <v>357</v>
      </c>
      <c r="H18" s="73" t="s">
        <v>344</v>
      </c>
      <c r="I18" s="74" t="s">
        <v>56</v>
      </c>
      <c r="J18" s="74" t="s">
        <v>54</v>
      </c>
      <c r="K18" s="74" t="s">
        <v>358</v>
      </c>
      <c r="L18" s="74" t="s">
        <v>337</v>
      </c>
      <c r="M18" s="74" t="s">
        <v>338</v>
      </c>
      <c r="N18" s="74" t="s">
        <v>339</v>
      </c>
      <c r="O18" s="74" t="s">
        <v>343</v>
      </c>
      <c r="P18" s="74" t="s">
        <v>336</v>
      </c>
      <c r="Q18" s="74" t="s">
        <v>346</v>
      </c>
      <c r="R18" s="74" t="s">
        <v>347</v>
      </c>
      <c r="S18" s="74" t="s">
        <v>903</v>
      </c>
    </row>
    <row r="19" spans="2:19" ht="23.25">
      <c r="B19" s="193" t="s">
        <v>37</v>
      </c>
      <c r="C19" s="193" t="s">
        <v>32</v>
      </c>
      <c r="D19" s="193" t="s">
        <v>33</v>
      </c>
      <c r="E19" s="193" t="s">
        <v>73</v>
      </c>
      <c r="F19" s="193" t="s">
        <v>73</v>
      </c>
      <c r="G19" s="193" t="s">
        <v>73</v>
      </c>
      <c r="H19" s="193" t="s">
        <v>73</v>
      </c>
      <c r="I19" s="193" t="s">
        <v>58</v>
      </c>
      <c r="J19" s="193" t="s">
        <v>77</v>
      </c>
      <c r="K19" s="193"/>
      <c r="L19" s="193"/>
      <c r="M19" s="193"/>
      <c r="N19" s="193"/>
      <c r="O19" s="193"/>
      <c r="P19" s="193" t="s">
        <v>348</v>
      </c>
      <c r="Q19" s="193" t="s">
        <v>349</v>
      </c>
      <c r="R19" s="193" t="s">
        <v>350</v>
      </c>
    </row>
    <row r="20" spans="2:19">
      <c r="B20" s="193" t="s">
        <v>59</v>
      </c>
      <c r="C20" s="193"/>
      <c r="D20" s="193"/>
      <c r="E20" s="193"/>
      <c r="F20" s="193"/>
      <c r="G20" s="193"/>
      <c r="H20" s="193"/>
      <c r="I20" s="193"/>
      <c r="J20" s="193" t="s">
        <v>60</v>
      </c>
      <c r="K20" s="193"/>
      <c r="L20" s="193"/>
      <c r="M20" s="193"/>
      <c r="N20" s="193"/>
      <c r="O20" s="193"/>
      <c r="P20" s="193" t="s">
        <v>351</v>
      </c>
      <c r="Q20" s="193" t="s">
        <v>351</v>
      </c>
      <c r="R20" s="193" t="s">
        <v>352</v>
      </c>
    </row>
    <row r="21" spans="2:19">
      <c r="B21" s="118" t="s">
        <v>292</v>
      </c>
      <c r="C21" s="115" t="s">
        <v>42</v>
      </c>
      <c r="D21" s="171" t="s">
        <v>275</v>
      </c>
      <c r="E21" s="194">
        <v>1</v>
      </c>
      <c r="F21" s="194">
        <v>1</v>
      </c>
      <c r="G21" s="194"/>
      <c r="H21" s="194">
        <v>5</v>
      </c>
      <c r="I21" s="194">
        <v>1</v>
      </c>
      <c r="J21" s="194">
        <v>100</v>
      </c>
      <c r="K21" s="194"/>
      <c r="L21" s="194"/>
      <c r="M21" s="194"/>
      <c r="N21" s="194"/>
      <c r="O21" s="194"/>
    </row>
    <row r="22" spans="2:19">
      <c r="B22" s="118"/>
      <c r="C22" s="115" t="s">
        <v>167</v>
      </c>
      <c r="D22" s="171"/>
      <c r="E22" s="194">
        <v>0.05</v>
      </c>
      <c r="F22" s="194">
        <f>+E22</f>
        <v>0.05</v>
      </c>
      <c r="G22" s="194"/>
      <c r="H22" s="194"/>
      <c r="I22" s="194"/>
      <c r="J22" s="194"/>
      <c r="K22" s="194"/>
      <c r="L22" s="194"/>
      <c r="M22" s="194"/>
      <c r="N22" s="194"/>
      <c r="O22" s="194"/>
    </row>
    <row r="23" spans="2:19">
      <c r="B23" s="118" t="str">
        <f>+"FTE_AGR"&amp;C23</f>
        <v>FTE_AGRDSL</v>
      </c>
      <c r="C23" s="115" t="str">
        <f>+RIGHT(D23,3)</f>
        <v>DSL</v>
      </c>
      <c r="D23" s="171" t="str">
        <f>+D8</f>
        <v>AGRDSL</v>
      </c>
      <c r="E23" s="194">
        <v>1</v>
      </c>
      <c r="F23" s="194">
        <v>1</v>
      </c>
      <c r="G23" s="194"/>
      <c r="H23" s="194"/>
      <c r="I23" s="194">
        <v>1</v>
      </c>
      <c r="J23" s="194">
        <v>100</v>
      </c>
      <c r="K23" s="194"/>
      <c r="L23" s="194"/>
      <c r="M23" s="194"/>
      <c r="N23" s="194"/>
      <c r="O23" s="194"/>
      <c r="R23" s="61">
        <v>0.92</v>
      </c>
    </row>
    <row r="24" spans="2:19">
      <c r="B24" s="118"/>
      <c r="C24" s="115" t="s">
        <v>902</v>
      </c>
      <c r="D24" s="171"/>
      <c r="E24" s="194">
        <v>1</v>
      </c>
      <c r="F24" s="194">
        <v>1</v>
      </c>
      <c r="G24" s="194"/>
      <c r="H24" s="194"/>
      <c r="I24" s="194"/>
      <c r="J24" s="194"/>
      <c r="K24" s="194"/>
      <c r="L24" s="194"/>
      <c r="M24" s="194"/>
      <c r="N24" s="194"/>
      <c r="O24" s="194"/>
      <c r="S24" s="61">
        <v>2.4</v>
      </c>
    </row>
    <row r="25" spans="2:19">
      <c r="B25" s="118" t="str">
        <f t="shared" ref="B25:B27" si="4">+"FTE_AGR"&amp;C25</f>
        <v>FTE_AGRPET</v>
      </c>
      <c r="C25" s="115" t="str">
        <f t="shared" ref="C25:C27" si="5">+RIGHT(D25,3)</f>
        <v>PET</v>
      </c>
      <c r="D25" s="171" t="str">
        <f>+D9</f>
        <v>AGRPET</v>
      </c>
      <c r="E25" s="194"/>
      <c r="F25" s="194"/>
      <c r="G25" s="194"/>
      <c r="H25" s="194"/>
      <c r="I25" s="194">
        <v>1</v>
      </c>
      <c r="J25" s="194">
        <v>100</v>
      </c>
      <c r="K25" s="194"/>
      <c r="L25" s="194"/>
      <c r="M25" s="194"/>
      <c r="N25" s="194"/>
      <c r="O25" s="194"/>
      <c r="R25" s="61">
        <v>0.92</v>
      </c>
    </row>
    <row r="26" spans="2:19">
      <c r="B26" s="118" t="str">
        <f>+"FTE_AGR"&amp;C26</f>
        <v>FTE_AGRFOL</v>
      </c>
      <c r="C26" s="115" t="str">
        <f t="shared" si="5"/>
        <v>FOL</v>
      </c>
      <c r="D26" s="171" t="str">
        <f>+D10</f>
        <v>AGRFOL</v>
      </c>
      <c r="E26" s="194"/>
      <c r="F26" s="194"/>
      <c r="G26" s="194"/>
      <c r="H26" s="194"/>
      <c r="I26" s="194">
        <v>1</v>
      </c>
      <c r="J26" s="194">
        <v>100</v>
      </c>
      <c r="K26" s="194"/>
      <c r="L26" s="194"/>
      <c r="M26" s="194"/>
      <c r="N26" s="194"/>
      <c r="O26" s="194"/>
    </row>
    <row r="27" spans="2:19">
      <c r="B27" s="118" t="str">
        <f t="shared" si="4"/>
        <v>FTE_AGRLPG</v>
      </c>
      <c r="C27" s="115" t="str">
        <f t="shared" si="5"/>
        <v>LPG</v>
      </c>
      <c r="D27" s="171" t="str">
        <f>+D11</f>
        <v>AGRLPG</v>
      </c>
      <c r="E27" s="194"/>
      <c r="F27" s="194"/>
      <c r="G27" s="194"/>
      <c r="H27" s="194"/>
      <c r="I27" s="194">
        <v>1</v>
      </c>
      <c r="J27" s="194">
        <v>100</v>
      </c>
      <c r="K27" s="194"/>
      <c r="L27" s="194"/>
      <c r="M27" s="194"/>
      <c r="N27" s="194"/>
      <c r="O27" s="194"/>
    </row>
    <row r="28" spans="2:19">
      <c r="B28" s="118" t="str">
        <f>+"FTE_AGR"&amp;C28</f>
        <v>FTE_AGRWOD</v>
      </c>
      <c r="C28" s="115" t="s">
        <v>170</v>
      </c>
      <c r="D28" s="171" t="str">
        <f>+D12</f>
        <v>AGRWOD</v>
      </c>
      <c r="E28" s="194"/>
      <c r="F28" s="194"/>
      <c r="G28" s="194"/>
      <c r="H28" s="194"/>
      <c r="I28" s="194">
        <v>1</v>
      </c>
      <c r="J28" s="194">
        <v>100</v>
      </c>
      <c r="K28" s="194"/>
      <c r="L28" s="194"/>
      <c r="M28" s="194"/>
      <c r="N28" s="194"/>
      <c r="O28" s="194"/>
    </row>
    <row r="29" spans="2:19">
      <c r="B29" s="118" t="str">
        <f t="shared" ref="B29" si="6">+"FTE_AGR"&amp;C29</f>
        <v>FTE_AGRPLT</v>
      </c>
      <c r="C29" s="115" t="s">
        <v>956</v>
      </c>
      <c r="D29" s="171" t="str">
        <f>+D13</f>
        <v>AGRPLT</v>
      </c>
      <c r="E29" s="194"/>
      <c r="F29" s="194"/>
      <c r="G29" s="194"/>
      <c r="H29" s="194"/>
      <c r="I29" s="194">
        <v>1</v>
      </c>
      <c r="J29" s="194">
        <v>100</v>
      </c>
      <c r="K29" s="194"/>
      <c r="L29" s="194"/>
      <c r="M29" s="194"/>
      <c r="N29" s="194"/>
      <c r="O29" s="194"/>
    </row>
    <row r="30" spans="2:19" ht="15.75" customHeight="1"/>
    <row r="31" spans="2:19" ht="15.75" customHeight="1"/>
    <row r="32" spans="2:19" ht="15.75" customHeight="1">
      <c r="L32"/>
    </row>
    <row r="33" spans="12:12" ht="15.75" customHeight="1">
      <c r="L33"/>
    </row>
    <row r="34" spans="12:12" ht="15.75" customHeight="1">
      <c r="L34"/>
    </row>
    <row r="35" spans="12:12" ht="15.75" customHeight="1">
      <c r="L35"/>
    </row>
    <row r="36" spans="12:12" ht="15.75" customHeight="1">
      <c r="L36"/>
    </row>
    <row r="37" spans="12:12" ht="15.75" customHeight="1">
      <c r="L37"/>
    </row>
    <row r="38" spans="12:12" ht="15.75" customHeight="1">
      <c r="L38"/>
    </row>
    <row r="39" spans="12:12" ht="15.75" customHeight="1">
      <c r="L39"/>
    </row>
    <row r="40" spans="12:12" ht="15.75" customHeight="1">
      <c r="L40"/>
    </row>
    <row r="41" spans="12:12" ht="15.75" customHeight="1">
      <c r="L41"/>
    </row>
    <row r="42" spans="12:12" ht="15.75" customHeight="1">
      <c r="L42"/>
    </row>
    <row r="43" spans="12:12" ht="15.75" customHeight="1">
      <c r="L43"/>
    </row>
    <row r="44" spans="12:12" ht="15.75" customHeight="1">
      <c r="L44"/>
    </row>
    <row r="45" spans="12:12" ht="15.75" customHeight="1">
      <c r="L45"/>
    </row>
    <row r="46" spans="12:12" ht="15.75" customHeight="1">
      <c r="L46"/>
    </row>
    <row r="47" spans="12:12" ht="15.75" customHeight="1">
      <c r="L47"/>
    </row>
    <row r="48" spans="12:12" ht="15.75" customHeight="1">
      <c r="L48"/>
    </row>
    <row r="49" spans="12:12" ht="15.75" customHeight="1">
      <c r="L49"/>
    </row>
    <row r="50" spans="12:12" ht="15.75" customHeight="1">
      <c r="L50"/>
    </row>
    <row r="51" spans="12:12" ht="15.75" customHeight="1">
      <c r="L51"/>
    </row>
    <row r="52" spans="12:12" ht="15.75" customHeight="1">
      <c r="L52"/>
    </row>
    <row r="53" spans="12:12" ht="15.75" customHeight="1">
      <c r="L53"/>
    </row>
    <row r="54" spans="12:12" ht="15.75" customHeight="1">
      <c r="L54"/>
    </row>
    <row r="55" spans="12:12" ht="15.75" customHeight="1">
      <c r="L55"/>
    </row>
    <row r="56" spans="12:12" ht="15.75" customHeight="1">
      <c r="L56"/>
    </row>
    <row r="57" spans="12:12" ht="15.75" customHeight="1">
      <c r="L57"/>
    </row>
    <row r="58" spans="12:12" ht="15.75" customHeight="1">
      <c r="L58"/>
    </row>
    <row r="59" spans="12:12" ht="15.75" customHeight="1">
      <c r="L59"/>
    </row>
    <row r="60" spans="12:12" ht="15.75" customHeight="1">
      <c r="L60"/>
    </row>
    <row r="61" spans="12:12" ht="15.75" customHeight="1">
      <c r="L61"/>
    </row>
    <row r="62" spans="12:12" ht="15.75" customHeight="1">
      <c r="L62"/>
    </row>
    <row r="63" spans="12:12" ht="15.75" customHeight="1">
      <c r="L63"/>
    </row>
    <row r="64" spans="12:12" ht="15.75" customHeight="1">
      <c r="L64"/>
    </row>
    <row r="65" spans="12:12" ht="15.75" customHeight="1">
      <c r="L65"/>
    </row>
    <row r="66" spans="12:12" ht="15.75" customHeight="1">
      <c r="L66"/>
    </row>
    <row r="67" spans="12:12" ht="15.75" customHeight="1">
      <c r="L67"/>
    </row>
    <row r="68" spans="12:12" ht="15.75" customHeight="1"/>
    <row r="69" spans="12:12" ht="15.75" customHeight="1"/>
    <row r="70" spans="12:12" ht="15.75" customHeight="1"/>
    <row r="71" spans="12:12" ht="15.75" customHeight="1"/>
    <row r="72" spans="12:12" ht="15.75" customHeight="1"/>
    <row r="73" spans="12:12" ht="15.75" customHeight="1"/>
    <row r="74" spans="12:12" ht="15.75" customHeight="1"/>
    <row r="75" spans="12:12" ht="15.75" customHeight="1"/>
    <row r="76" spans="12:12" ht="15.75" customHeight="1"/>
    <row r="77" spans="12:12" ht="15.75" customHeight="1"/>
    <row r="78" spans="12:12" ht="15.75" customHeight="1"/>
    <row r="79" spans="12:12" ht="15.75" customHeight="1"/>
    <row r="80" spans="12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P100"/>
  <sheetViews>
    <sheetView topLeftCell="A48" workbookViewId="0">
      <selection activeCell="A57" sqref="A57:XFD57"/>
    </sheetView>
  </sheetViews>
  <sheetFormatPr defaultColWidth="9.1328125" defaultRowHeight="14.25"/>
  <cols>
    <col min="1" max="2" width="9.1328125" style="198"/>
    <col min="3" max="3" width="25.73046875" style="198" customWidth="1"/>
    <col min="4" max="4" width="43.3984375" style="198" customWidth="1"/>
    <col min="5" max="5" width="17.59765625" style="198" customWidth="1"/>
    <col min="6" max="6" width="22.1328125" style="198" customWidth="1"/>
    <col min="7" max="7" width="26.59765625" style="198" customWidth="1"/>
    <col min="8" max="8" width="22" style="198" customWidth="1"/>
    <col min="9" max="10" width="9.265625" style="198" bestFit="1" customWidth="1"/>
    <col min="11" max="11" width="10.59765625" style="198" bestFit="1" customWidth="1"/>
    <col min="12" max="12" width="14.265625" style="198" customWidth="1"/>
    <col min="13" max="13" width="23" style="198" customWidth="1"/>
    <col min="14" max="14" width="21.86328125" style="198" customWidth="1"/>
    <col min="15" max="15" width="9.265625" style="198" bestFit="1" customWidth="1"/>
    <col min="16" max="16" width="9.59765625" style="198" bestFit="1" customWidth="1"/>
    <col min="17" max="16384" width="9.1328125" style="198"/>
  </cols>
  <sheetData>
    <row r="2" spans="3:16">
      <c r="E2" s="71" t="s">
        <v>13</v>
      </c>
    </row>
    <row r="3" spans="3:16">
      <c r="C3" s="177" t="s">
        <v>1</v>
      </c>
      <c r="D3" s="178" t="s">
        <v>5</v>
      </c>
      <c r="E3" s="177" t="s">
        <v>6</v>
      </c>
      <c r="F3" s="177" t="s">
        <v>353</v>
      </c>
      <c r="G3" s="179" t="s">
        <v>511</v>
      </c>
      <c r="H3" s="179" t="s">
        <v>56</v>
      </c>
      <c r="I3" s="179" t="s">
        <v>54</v>
      </c>
      <c r="J3" s="180" t="s">
        <v>336</v>
      </c>
      <c r="K3" s="179" t="s">
        <v>346</v>
      </c>
      <c r="L3" s="179" t="s">
        <v>354</v>
      </c>
      <c r="M3" s="179" t="s">
        <v>364</v>
      </c>
      <c r="N3" s="179" t="s">
        <v>360</v>
      </c>
    </row>
    <row r="4" spans="3:16" ht="23.25">
      <c r="C4" s="172" t="s">
        <v>37</v>
      </c>
      <c r="D4" s="172" t="s">
        <v>32</v>
      </c>
      <c r="E4" s="172" t="s">
        <v>33</v>
      </c>
      <c r="F4" s="172" t="s">
        <v>34</v>
      </c>
      <c r="G4" s="172" t="s">
        <v>512</v>
      </c>
      <c r="H4" s="172" t="s">
        <v>58</v>
      </c>
      <c r="I4" s="172" t="s">
        <v>77</v>
      </c>
      <c r="J4" s="193" t="s">
        <v>513</v>
      </c>
      <c r="K4" s="193" t="s">
        <v>514</v>
      </c>
      <c r="L4" s="193" t="s">
        <v>355</v>
      </c>
      <c r="M4" s="172" t="s">
        <v>515</v>
      </c>
      <c r="N4" s="172" t="s">
        <v>516</v>
      </c>
    </row>
    <row r="5" spans="3:16">
      <c r="C5" s="172" t="s">
        <v>59</v>
      </c>
      <c r="D5" s="172"/>
      <c r="E5" s="172"/>
      <c r="F5" s="172" t="s">
        <v>371</v>
      </c>
      <c r="G5" s="172" t="s">
        <v>517</v>
      </c>
      <c r="H5" s="172" t="s">
        <v>518</v>
      </c>
      <c r="I5" s="172" t="s">
        <v>60</v>
      </c>
      <c r="J5" s="193" t="s">
        <v>519</v>
      </c>
      <c r="K5" s="193" t="s">
        <v>520</v>
      </c>
      <c r="L5" s="193"/>
      <c r="M5" s="172" t="s">
        <v>521</v>
      </c>
      <c r="N5" s="172" t="s">
        <v>518</v>
      </c>
    </row>
    <row r="6" spans="3:16">
      <c r="C6" s="214" t="s">
        <v>369</v>
      </c>
      <c r="D6" s="214" t="s">
        <v>287</v>
      </c>
      <c r="E6" s="214" t="s">
        <v>365</v>
      </c>
      <c r="F6" s="215">
        <v>2.2523371959533325E-2</v>
      </c>
      <c r="G6" s="215">
        <v>0.19110073948491013</v>
      </c>
      <c r="H6" s="215">
        <v>0.84</v>
      </c>
      <c r="I6" s="216">
        <v>25</v>
      </c>
      <c r="J6" s="216">
        <v>410.61349999999999</v>
      </c>
      <c r="K6" s="216">
        <v>14.445557173097599</v>
      </c>
      <c r="L6" s="217">
        <v>31.536000000000001</v>
      </c>
      <c r="M6" s="215">
        <v>0.16052462116732449</v>
      </c>
      <c r="N6" s="215">
        <v>0.2259964606824324</v>
      </c>
      <c r="P6" s="224"/>
    </row>
    <row r="7" spans="3:16">
      <c r="C7" s="198" t="s">
        <v>374</v>
      </c>
      <c r="D7" s="198" t="s">
        <v>287</v>
      </c>
      <c r="E7" s="198" t="s">
        <v>365</v>
      </c>
      <c r="F7" s="218">
        <v>3.5345118334765245E-2</v>
      </c>
      <c r="G7" s="218">
        <v>0.2639010211934455</v>
      </c>
      <c r="H7" s="218">
        <v>0.95454545454545436</v>
      </c>
      <c r="I7" s="219">
        <v>25</v>
      </c>
      <c r="J7" s="219">
        <v>643.4135</v>
      </c>
      <c r="K7" s="219">
        <v>14.445557173097599</v>
      </c>
      <c r="L7" s="220">
        <v>31.536000000000001</v>
      </c>
      <c r="M7" s="218">
        <v>0.25190552023010704</v>
      </c>
      <c r="N7" s="218">
        <v>0.2259964606824324</v>
      </c>
      <c r="P7" s="224"/>
    </row>
    <row r="8" spans="3:16">
      <c r="C8" s="198" t="s">
        <v>378</v>
      </c>
      <c r="D8" s="198" t="s">
        <v>287</v>
      </c>
      <c r="E8" s="198" t="s">
        <v>367</v>
      </c>
      <c r="F8" s="218">
        <v>0.1305891045016998</v>
      </c>
      <c r="G8" s="218">
        <v>0.95782043308984166</v>
      </c>
      <c r="H8" s="218">
        <v>0.7</v>
      </c>
      <c r="I8" s="219">
        <v>20</v>
      </c>
      <c r="J8" s="219">
        <v>6000</v>
      </c>
      <c r="K8" s="219">
        <v>917.19322633483489</v>
      </c>
      <c r="L8" s="220">
        <v>31.536000000000001</v>
      </c>
      <c r="M8" s="218">
        <v>0.67047430316288914</v>
      </c>
      <c r="N8" s="218">
        <v>0.16280531798483994</v>
      </c>
      <c r="P8" s="224"/>
    </row>
    <row r="9" spans="3:16">
      <c r="C9" s="198" t="s">
        <v>381</v>
      </c>
      <c r="D9" s="198" t="s">
        <v>287</v>
      </c>
      <c r="E9" s="198" t="s">
        <v>367</v>
      </c>
      <c r="F9" s="218">
        <v>5.1691520531922844E-2</v>
      </c>
      <c r="G9" s="218">
        <v>0.31927347769661391</v>
      </c>
      <c r="H9" s="218">
        <v>0.83124999999999993</v>
      </c>
      <c r="I9" s="219">
        <v>20</v>
      </c>
      <c r="J9" s="219">
        <v>6257.143</v>
      </c>
      <c r="K9" s="219">
        <v>917.19322633483489</v>
      </c>
      <c r="L9" s="220">
        <v>31.536000000000001</v>
      </c>
      <c r="M9" s="218">
        <v>0.26539607833531031</v>
      </c>
      <c r="N9" s="218">
        <v>0.16280531798483994</v>
      </c>
      <c r="P9" s="224"/>
    </row>
    <row r="10" spans="3:16">
      <c r="C10" s="198" t="s">
        <v>384</v>
      </c>
      <c r="D10" s="198" t="s">
        <v>287</v>
      </c>
      <c r="E10" s="198" t="s">
        <v>372</v>
      </c>
      <c r="F10" s="218">
        <v>3.2996602188132239E-2</v>
      </c>
      <c r="G10" s="218">
        <v>0.28287469626188183</v>
      </c>
      <c r="H10" s="218">
        <v>0.83134897357142878</v>
      </c>
      <c r="I10" s="219">
        <v>20</v>
      </c>
      <c r="J10" s="219">
        <v>518.51689999999996</v>
      </c>
      <c r="K10" s="219">
        <v>18.241643532400669</v>
      </c>
      <c r="L10" s="220">
        <v>31.536000000000001</v>
      </c>
      <c r="M10" s="218">
        <v>0.23516758838664514</v>
      </c>
      <c r="N10" s="218">
        <v>0.2259964606824324</v>
      </c>
      <c r="P10" s="224"/>
    </row>
    <row r="11" spans="3:16">
      <c r="C11" s="198" t="s">
        <v>387</v>
      </c>
      <c r="D11" s="198" t="s">
        <v>287</v>
      </c>
      <c r="E11" s="198" t="s">
        <v>372</v>
      </c>
      <c r="F11" s="218">
        <v>8.5142384216913683E-2</v>
      </c>
      <c r="G11" s="218">
        <v>0.17337481383792946</v>
      </c>
      <c r="H11" s="218">
        <v>3.5</v>
      </c>
      <c r="I11" s="219">
        <v>20</v>
      </c>
      <c r="J11" s="219">
        <v>1525.0719999999999</v>
      </c>
      <c r="K11" s="219">
        <v>53.652674679464823</v>
      </c>
      <c r="L11" s="220">
        <v>31.536000000000001</v>
      </c>
      <c r="M11" s="218">
        <v>0.60681184843275315</v>
      </c>
      <c r="N11" s="218">
        <v>0.2259964606824324</v>
      </c>
      <c r="P11" s="224"/>
    </row>
    <row r="12" spans="3:16">
      <c r="C12" s="198" t="s">
        <v>391</v>
      </c>
      <c r="D12" s="198" t="s">
        <v>522</v>
      </c>
      <c r="E12" s="198" t="s">
        <v>376</v>
      </c>
      <c r="F12" s="218">
        <v>1.7039839581176117</v>
      </c>
      <c r="G12" s="218">
        <v>1.4005347600966671</v>
      </c>
      <c r="H12" s="218">
        <v>0.1111111111111111</v>
      </c>
      <c r="I12" s="219">
        <v>15</v>
      </c>
      <c r="J12" s="219">
        <v>965.29409999999996</v>
      </c>
      <c r="K12" s="219">
        <v>38.611763270553908</v>
      </c>
      <c r="L12" s="220">
        <v>1</v>
      </c>
      <c r="M12" s="218">
        <v>0.15561497334407412</v>
      </c>
      <c r="N12" s="218">
        <v>9.1324200913242004E-2</v>
      </c>
      <c r="P12" s="224"/>
    </row>
    <row r="13" spans="3:16">
      <c r="C13" s="198" t="s">
        <v>395</v>
      </c>
      <c r="D13" s="198" t="s">
        <v>522</v>
      </c>
      <c r="E13" s="198" t="s">
        <v>380</v>
      </c>
      <c r="F13" s="218">
        <v>2.1936931300979379</v>
      </c>
      <c r="G13" s="218">
        <v>0.40015278859904779</v>
      </c>
      <c r="H13" s="218">
        <v>0.12516298640355117</v>
      </c>
      <c r="I13" s="219">
        <v>22</v>
      </c>
      <c r="J13" s="219">
        <v>264.04300000000001</v>
      </c>
      <c r="K13" s="219">
        <v>70.396141885154464</v>
      </c>
      <c r="L13" s="220">
        <v>1</v>
      </c>
      <c r="M13" s="218">
        <v>5.0084318038765702E-2</v>
      </c>
      <c r="N13" s="218">
        <v>2.2831050228310501E-2</v>
      </c>
      <c r="P13" s="224"/>
    </row>
    <row r="14" spans="3:16">
      <c r="C14" s="198" t="s">
        <v>399</v>
      </c>
      <c r="D14" s="198" t="s">
        <v>522</v>
      </c>
      <c r="E14" s="198" t="s">
        <v>383</v>
      </c>
      <c r="F14" s="218">
        <v>0.50389239904335104</v>
      </c>
      <c r="G14" s="218">
        <v>0.2000763942995239</v>
      </c>
      <c r="H14" s="218">
        <v>0.23</v>
      </c>
      <c r="I14" s="219">
        <v>22</v>
      </c>
      <c r="J14" s="219">
        <v>1851.867</v>
      </c>
      <c r="K14" s="219">
        <v>11.87981165599351</v>
      </c>
      <c r="L14" s="220">
        <v>1</v>
      </c>
      <c r="M14" s="218">
        <v>4.6017570688890501E-2</v>
      </c>
      <c r="N14" s="218">
        <v>9.1324200913242004E-2</v>
      </c>
      <c r="P14" s="224"/>
    </row>
    <row r="15" spans="3:16">
      <c r="C15" s="198" t="s">
        <v>403</v>
      </c>
      <c r="D15" s="198" t="s">
        <v>523</v>
      </c>
      <c r="E15" s="198" t="s">
        <v>386</v>
      </c>
      <c r="F15" s="218">
        <v>0.11484717119400004</v>
      </c>
      <c r="G15" s="218">
        <v>0.28711792798500008</v>
      </c>
      <c r="H15" s="218">
        <v>0.1</v>
      </c>
      <c r="I15" s="219">
        <v>10</v>
      </c>
      <c r="J15" s="219">
        <v>363.42579999999998</v>
      </c>
      <c r="K15" s="219">
        <v>34.750456968509411</v>
      </c>
      <c r="L15" s="220">
        <v>1</v>
      </c>
      <c r="M15" s="218">
        <v>2.8711792798500009E-2</v>
      </c>
      <c r="N15" s="218">
        <v>0.25</v>
      </c>
      <c r="P15" s="224"/>
    </row>
    <row r="16" spans="3:16">
      <c r="C16" s="198" t="s">
        <v>407</v>
      </c>
      <c r="D16" s="198" t="s">
        <v>287</v>
      </c>
      <c r="E16" s="198" t="s">
        <v>389</v>
      </c>
      <c r="F16" s="218">
        <v>5.0877906943814631E-2</v>
      </c>
      <c r="G16" s="218">
        <v>0.5180115477136864</v>
      </c>
      <c r="H16" s="218">
        <v>0.7</v>
      </c>
      <c r="I16" s="219">
        <v>25</v>
      </c>
      <c r="J16" s="219">
        <v>886.90629999999999</v>
      </c>
      <c r="K16" s="219">
        <v>31.201735956749125</v>
      </c>
      <c r="L16" s="220">
        <v>31.536000000000001</v>
      </c>
      <c r="M16" s="218">
        <v>0.36260808339958045</v>
      </c>
      <c r="N16" s="218">
        <v>0.2259964606824324</v>
      </c>
      <c r="P16" s="224"/>
    </row>
    <row r="17" spans="3:16">
      <c r="C17" s="198" t="s">
        <v>410</v>
      </c>
      <c r="D17" s="198" t="s">
        <v>287</v>
      </c>
      <c r="E17" s="198" t="s">
        <v>393</v>
      </c>
      <c r="F17" s="218">
        <v>8.7844422557808749E-2</v>
      </c>
      <c r="G17" s="218">
        <v>0.21211230087983296</v>
      </c>
      <c r="H17" s="218">
        <v>2.9515937499999998</v>
      </c>
      <c r="I17" s="219">
        <v>15</v>
      </c>
      <c r="J17" s="219">
        <v>1637.346</v>
      </c>
      <c r="K17" s="219">
        <v>57.602514816240443</v>
      </c>
      <c r="L17" s="220">
        <v>31.536000000000001</v>
      </c>
      <c r="M17" s="218">
        <v>0.62606934157503447</v>
      </c>
      <c r="N17" s="218">
        <v>0.2259964606824324</v>
      </c>
      <c r="P17" s="224"/>
    </row>
    <row r="18" spans="3:16">
      <c r="C18" s="198" t="s">
        <v>413</v>
      </c>
      <c r="D18" s="198" t="s">
        <v>287</v>
      </c>
      <c r="E18" s="198" t="s">
        <v>393</v>
      </c>
      <c r="F18" s="218">
        <v>0.10416592017527161</v>
      </c>
      <c r="G18" s="218">
        <v>0.21211230087983296</v>
      </c>
      <c r="H18" s="218">
        <v>3.5</v>
      </c>
      <c r="I18" s="219">
        <v>15</v>
      </c>
      <c r="J18" s="219">
        <v>2395.5700000000002</v>
      </c>
      <c r="K18" s="219">
        <v>84.277165324170809</v>
      </c>
      <c r="L18" s="220">
        <v>31.536000000000001</v>
      </c>
      <c r="M18" s="218">
        <v>0.74239305307941539</v>
      </c>
      <c r="N18" s="218">
        <v>0.2259964606824324</v>
      </c>
      <c r="P18" s="224"/>
    </row>
    <row r="19" spans="3:16">
      <c r="C19" s="213" t="s">
        <v>416</v>
      </c>
      <c r="D19" s="213" t="s">
        <v>287</v>
      </c>
      <c r="E19" s="213" t="s">
        <v>397</v>
      </c>
      <c r="F19" s="221">
        <v>6.7226114515926835E-4</v>
      </c>
      <c r="G19" s="221">
        <v>1.9963423225085205E-2</v>
      </c>
      <c r="H19" s="221">
        <v>0.24</v>
      </c>
      <c r="I19" s="222">
        <v>3.4246575342465753</v>
      </c>
      <c r="J19" s="222">
        <v>365.13040000000001</v>
      </c>
      <c r="K19" s="222">
        <v>0</v>
      </c>
      <c r="L19" s="223">
        <v>31.536000000000001</v>
      </c>
      <c r="M19" s="221">
        <v>4.7912215740204493E-3</v>
      </c>
      <c r="N19" s="221">
        <v>0.2259964606824324</v>
      </c>
      <c r="P19" s="224"/>
    </row>
    <row r="20" spans="3:16">
      <c r="C20" s="214" t="s">
        <v>420</v>
      </c>
      <c r="D20" s="214" t="s">
        <v>287</v>
      </c>
      <c r="E20" s="214" t="s">
        <v>401</v>
      </c>
      <c r="F20" s="215">
        <v>6.7093831693873701E-2</v>
      </c>
      <c r="G20" s="215">
        <v>0.49210723341660229</v>
      </c>
      <c r="H20" s="215">
        <v>0.7</v>
      </c>
      <c r="I20" s="216">
        <v>20</v>
      </c>
      <c r="J20" s="216">
        <v>6000</v>
      </c>
      <c r="K20" s="216">
        <v>917.19322633483489</v>
      </c>
      <c r="L20" s="217">
        <v>31.536000000000001</v>
      </c>
      <c r="M20" s="215">
        <v>0.34447506339162159</v>
      </c>
      <c r="N20" s="215">
        <v>0.16280531798483994</v>
      </c>
      <c r="P20" s="224"/>
    </row>
    <row r="21" spans="3:16">
      <c r="C21" s="198" t="s">
        <v>424</v>
      </c>
      <c r="D21" s="198" t="s">
        <v>287</v>
      </c>
      <c r="E21" s="198" t="s">
        <v>401</v>
      </c>
      <c r="F21" s="218">
        <v>2.6557975045491677E-2</v>
      </c>
      <c r="G21" s="218">
        <v>0.16403574447220076</v>
      </c>
      <c r="H21" s="218">
        <v>0.83124999999999993</v>
      </c>
      <c r="I21" s="219">
        <v>20</v>
      </c>
      <c r="J21" s="219">
        <v>6257.143</v>
      </c>
      <c r="K21" s="219">
        <v>917.19322633483489</v>
      </c>
      <c r="L21" s="220">
        <v>31.536000000000001</v>
      </c>
      <c r="M21" s="218">
        <v>0.13635471259251689</v>
      </c>
      <c r="N21" s="218">
        <v>0.16280531798483994</v>
      </c>
      <c r="P21" s="224"/>
    </row>
    <row r="22" spans="3:16">
      <c r="C22" s="198" t="s">
        <v>428</v>
      </c>
      <c r="D22" s="198" t="s">
        <v>522</v>
      </c>
      <c r="E22" s="198" t="s">
        <v>405</v>
      </c>
      <c r="F22" s="218">
        <v>1.2672467729212391</v>
      </c>
      <c r="G22" s="218">
        <v>1.0415726900722513</v>
      </c>
      <c r="H22" s="218">
        <v>0.1111111111111111</v>
      </c>
      <c r="I22" s="219">
        <v>15</v>
      </c>
      <c r="J22" s="219">
        <v>965.29409999999996</v>
      </c>
      <c r="K22" s="219">
        <v>38.611763270553908</v>
      </c>
      <c r="L22" s="220">
        <v>1</v>
      </c>
      <c r="M22" s="218">
        <v>0.1157302988969168</v>
      </c>
      <c r="N22" s="218">
        <v>9.1324200913242004E-2</v>
      </c>
      <c r="P22" s="224"/>
    </row>
    <row r="23" spans="3:16">
      <c r="C23" s="198" t="s">
        <v>431</v>
      </c>
      <c r="D23" s="198" t="s">
        <v>522</v>
      </c>
      <c r="E23" s="198" t="s">
        <v>409</v>
      </c>
      <c r="F23" s="218">
        <v>0.31722478121817033</v>
      </c>
      <c r="G23" s="218">
        <v>5.7865149448458407E-2</v>
      </c>
      <c r="H23" s="218">
        <v>0.12516298640355117</v>
      </c>
      <c r="I23" s="219">
        <v>22</v>
      </c>
      <c r="J23" s="219">
        <v>264.04300000000001</v>
      </c>
      <c r="K23" s="219">
        <v>70.396141885154464</v>
      </c>
      <c r="L23" s="220">
        <v>1</v>
      </c>
      <c r="M23" s="218">
        <v>7.2425749136568558E-3</v>
      </c>
      <c r="N23" s="218">
        <v>2.2831050228310501E-2</v>
      </c>
      <c r="P23" s="224"/>
    </row>
    <row r="24" spans="3:16">
      <c r="C24" s="198" t="s">
        <v>434</v>
      </c>
      <c r="D24" s="198" t="s">
        <v>522</v>
      </c>
      <c r="E24" s="198" t="s">
        <v>412</v>
      </c>
      <c r="F24" s="218">
        <v>0.14573337888594251</v>
      </c>
      <c r="G24" s="218">
        <v>5.7865149448458407E-2</v>
      </c>
      <c r="H24" s="218">
        <v>0.23</v>
      </c>
      <c r="I24" s="219">
        <v>22</v>
      </c>
      <c r="J24" s="219">
        <v>1851.867</v>
      </c>
      <c r="K24" s="219">
        <v>11.87981165599351</v>
      </c>
      <c r="L24" s="220">
        <v>1</v>
      </c>
      <c r="M24" s="218">
        <v>1.3308984373145434E-2</v>
      </c>
      <c r="N24" s="218">
        <v>9.1324200913242004E-2</v>
      </c>
      <c r="P24" s="224"/>
    </row>
    <row r="25" spans="3:16">
      <c r="C25" s="198" t="s">
        <v>438</v>
      </c>
      <c r="D25" s="198" t="s">
        <v>523</v>
      </c>
      <c r="E25" s="198" t="s">
        <v>415</v>
      </c>
      <c r="F25" s="218">
        <v>8.526168006279651E-2</v>
      </c>
      <c r="G25" s="218">
        <v>0.21315420015699127</v>
      </c>
      <c r="H25" s="218">
        <v>0.1</v>
      </c>
      <c r="I25" s="219">
        <v>10</v>
      </c>
      <c r="J25" s="219">
        <v>363.42579999999998</v>
      </c>
      <c r="K25" s="219">
        <v>34.750456968509411</v>
      </c>
      <c r="L25" s="220">
        <v>1</v>
      </c>
      <c r="M25" s="218">
        <v>2.1315420015699128E-2</v>
      </c>
      <c r="N25" s="218">
        <v>0.25</v>
      </c>
      <c r="P25" s="224"/>
    </row>
    <row r="26" spans="3:16">
      <c r="C26" s="213" t="s">
        <v>442</v>
      </c>
      <c r="D26" s="213" t="s">
        <v>287</v>
      </c>
      <c r="E26" s="213" t="s">
        <v>418</v>
      </c>
      <c r="F26" s="221">
        <v>4.5403059713147922E-3</v>
      </c>
      <c r="G26" s="221">
        <v>0.13482863070312481</v>
      </c>
      <c r="H26" s="221">
        <v>0.24</v>
      </c>
      <c r="I26" s="222">
        <v>3.4246575342465753</v>
      </c>
      <c r="J26" s="222">
        <v>365.13040000000001</v>
      </c>
      <c r="K26" s="222">
        <v>0</v>
      </c>
      <c r="L26" s="223">
        <v>31.536000000000001</v>
      </c>
      <c r="M26" s="221">
        <v>3.2358871368749952E-2</v>
      </c>
      <c r="N26" s="221">
        <v>0.2259964606824324</v>
      </c>
      <c r="P26" s="224"/>
    </row>
    <row r="27" spans="3:16">
      <c r="C27" s="214" t="s">
        <v>446</v>
      </c>
      <c r="D27" s="214" t="s">
        <v>287</v>
      </c>
      <c r="E27" s="214" t="s">
        <v>422</v>
      </c>
      <c r="F27" s="215">
        <v>6.7890598173593067E-2</v>
      </c>
      <c r="G27" s="215">
        <v>0.49795120652284514</v>
      </c>
      <c r="H27" s="215">
        <v>0.7</v>
      </c>
      <c r="I27" s="216">
        <v>20</v>
      </c>
      <c r="J27" s="216">
        <v>6000</v>
      </c>
      <c r="K27" s="216">
        <v>917.19322633483489</v>
      </c>
      <c r="L27" s="217">
        <v>31.536000000000001</v>
      </c>
      <c r="M27" s="215">
        <v>0.3485658445659916</v>
      </c>
      <c r="N27" s="215">
        <v>0.16280531798483994</v>
      </c>
      <c r="P27" s="224"/>
    </row>
    <row r="28" spans="3:16">
      <c r="C28" s="198" t="s">
        <v>449</v>
      </c>
      <c r="D28" s="198" t="s">
        <v>287</v>
      </c>
      <c r="E28" s="198" t="s">
        <v>422</v>
      </c>
      <c r="F28" s="218">
        <v>2.6873361777047258E-2</v>
      </c>
      <c r="G28" s="218">
        <v>0.16598373550761505</v>
      </c>
      <c r="H28" s="218">
        <v>0.83124999999999993</v>
      </c>
      <c r="I28" s="219">
        <v>20</v>
      </c>
      <c r="J28" s="219">
        <v>6257.143</v>
      </c>
      <c r="K28" s="219">
        <v>917.19322633483489</v>
      </c>
      <c r="L28" s="220">
        <v>31.536000000000001</v>
      </c>
      <c r="M28" s="218">
        <v>0.137973980140705</v>
      </c>
      <c r="N28" s="218">
        <v>0.16280531798483994</v>
      </c>
      <c r="P28" s="224"/>
    </row>
    <row r="29" spans="3:16">
      <c r="C29" s="198" t="s">
        <v>453</v>
      </c>
      <c r="D29" s="198" t="s">
        <v>522</v>
      </c>
      <c r="E29" s="198" t="s">
        <v>426</v>
      </c>
      <c r="F29" s="218">
        <v>2.174429474878532</v>
      </c>
      <c r="G29" s="218">
        <v>1.2063615579805553</v>
      </c>
      <c r="H29" s="218">
        <v>0.1111111111111111</v>
      </c>
      <c r="I29" s="219">
        <v>12</v>
      </c>
      <c r="J29" s="219">
        <v>965.29409999999996</v>
      </c>
      <c r="K29" s="219">
        <v>62.40284973018813</v>
      </c>
      <c r="L29" s="220">
        <v>1</v>
      </c>
      <c r="M29" s="218">
        <v>0.13404017310895058</v>
      </c>
      <c r="N29" s="218">
        <v>6.1643835616438353E-2</v>
      </c>
      <c r="P29" s="224"/>
    </row>
    <row r="30" spans="3:16">
      <c r="C30" s="198" t="s">
        <v>457</v>
      </c>
      <c r="D30" s="198" t="s">
        <v>522</v>
      </c>
      <c r="E30" s="198" t="s">
        <v>430</v>
      </c>
      <c r="F30" s="218">
        <v>0.36741341717959852</v>
      </c>
      <c r="G30" s="218">
        <v>6.7020086554475305E-2</v>
      </c>
      <c r="H30" s="218">
        <v>0.12516298640355117</v>
      </c>
      <c r="I30" s="219">
        <v>22</v>
      </c>
      <c r="J30" s="219">
        <v>264.04300000000001</v>
      </c>
      <c r="K30" s="219">
        <v>70.396141885154464</v>
      </c>
      <c r="L30" s="220">
        <v>1</v>
      </c>
      <c r="M30" s="218">
        <v>8.3884341821826146E-3</v>
      </c>
      <c r="N30" s="218">
        <v>2.2831050228310501E-2</v>
      </c>
      <c r="P30" s="224"/>
    </row>
    <row r="31" spans="3:16">
      <c r="C31" s="198" t="s">
        <v>460</v>
      </c>
      <c r="D31" s="198" t="s">
        <v>522</v>
      </c>
      <c r="E31" s="198" t="s">
        <v>433</v>
      </c>
      <c r="F31" s="218">
        <v>0.16879008798744607</v>
      </c>
      <c r="G31" s="218">
        <v>6.7020086554475305E-2</v>
      </c>
      <c r="H31" s="218">
        <v>0.23</v>
      </c>
      <c r="I31" s="219">
        <v>22</v>
      </c>
      <c r="J31" s="219">
        <v>1851.867</v>
      </c>
      <c r="K31" s="219">
        <v>11.87981165599351</v>
      </c>
      <c r="L31" s="220">
        <v>1</v>
      </c>
      <c r="M31" s="218">
        <v>1.5414619907529322E-2</v>
      </c>
      <c r="N31" s="218">
        <v>9.1324200913242004E-2</v>
      </c>
      <c r="P31" s="224"/>
    </row>
    <row r="32" spans="3:16">
      <c r="C32" s="198" t="s">
        <v>464</v>
      </c>
      <c r="D32" s="198" t="s">
        <v>522</v>
      </c>
      <c r="E32" s="198" t="s">
        <v>436</v>
      </c>
      <c r="F32" s="218">
        <v>1.2967967197770804E-2</v>
      </c>
      <c r="G32" s="218">
        <v>0.21515446528068932</v>
      </c>
      <c r="H32" s="218">
        <v>0.32829015544041457</v>
      </c>
      <c r="I32" s="219">
        <v>20</v>
      </c>
      <c r="J32" s="219">
        <v>2400</v>
      </c>
      <c r="K32" s="219">
        <v>0</v>
      </c>
      <c r="L32" s="220">
        <v>31.536000000000001</v>
      </c>
      <c r="M32" s="218">
        <v>7.0633092850696771E-2</v>
      </c>
      <c r="N32" s="218">
        <v>0.17271486327097893</v>
      </c>
      <c r="P32" s="224"/>
    </row>
    <row r="33" spans="3:16">
      <c r="C33" s="213" t="s">
        <v>468</v>
      </c>
      <c r="D33" s="213" t="s">
        <v>287</v>
      </c>
      <c r="E33" s="213" t="s">
        <v>440</v>
      </c>
      <c r="F33" s="221">
        <v>3.2434084707745755E-4</v>
      </c>
      <c r="G33" s="221">
        <v>9.6316046911441161E-3</v>
      </c>
      <c r="H33" s="221">
        <v>0.24</v>
      </c>
      <c r="I33" s="222">
        <v>3.4246575342465753</v>
      </c>
      <c r="J33" s="222">
        <v>365.13040000000001</v>
      </c>
      <c r="K33" s="222">
        <v>0</v>
      </c>
      <c r="L33" s="223">
        <v>31.536000000000001</v>
      </c>
      <c r="M33" s="221">
        <v>2.3115851258745878E-3</v>
      </c>
      <c r="N33" s="221">
        <v>0.2259964606824324</v>
      </c>
      <c r="P33" s="224"/>
    </row>
    <row r="34" spans="3:16">
      <c r="C34" s="214" t="s">
        <v>472</v>
      </c>
      <c r="D34" s="214" t="s">
        <v>275</v>
      </c>
      <c r="E34" s="214" t="s">
        <v>444</v>
      </c>
      <c r="F34" s="215">
        <v>0.10956112508783136</v>
      </c>
      <c r="G34" s="215">
        <v>1.3494219203136333</v>
      </c>
      <c r="H34" s="215">
        <v>0.70234840259125286</v>
      </c>
      <c r="I34" s="216">
        <v>25</v>
      </c>
      <c r="J34" s="216">
        <v>600</v>
      </c>
      <c r="K34" s="216">
        <v>11.25</v>
      </c>
      <c r="L34" s="217">
        <v>31.536000000000001</v>
      </c>
      <c r="M34" s="215">
        <v>0.94776433015390127</v>
      </c>
      <c r="N34" s="215">
        <v>0.27430723931247886</v>
      </c>
      <c r="P34" s="224"/>
    </row>
    <row r="35" spans="3:16">
      <c r="C35" s="198" t="s">
        <v>476</v>
      </c>
      <c r="D35" s="198" t="s">
        <v>522</v>
      </c>
      <c r="E35" s="198" t="s">
        <v>444</v>
      </c>
      <c r="F35" s="218">
        <v>1.464789895853518E-2</v>
      </c>
      <c r="G35" s="218">
        <v>0.14907344438704123</v>
      </c>
      <c r="H35" s="218">
        <v>0.85</v>
      </c>
      <c r="I35" s="219">
        <v>25</v>
      </c>
      <c r="J35" s="219">
        <v>150</v>
      </c>
      <c r="K35" s="219">
        <v>1.1842105263157896</v>
      </c>
      <c r="L35" s="220">
        <v>31.536000000000001</v>
      </c>
      <c r="M35" s="218">
        <v>0.12671242772898506</v>
      </c>
      <c r="N35" s="218">
        <v>0.27430723931247886</v>
      </c>
      <c r="P35" s="224"/>
    </row>
    <row r="36" spans="3:16">
      <c r="C36" s="213" t="s">
        <v>479</v>
      </c>
      <c r="D36" s="213" t="s">
        <v>287</v>
      </c>
      <c r="E36" s="213" t="s">
        <v>448</v>
      </c>
      <c r="F36" s="221">
        <v>1.4444305025521751E-4</v>
      </c>
      <c r="G36" s="221">
        <v>4.2893714219999993E-3</v>
      </c>
      <c r="H36" s="221">
        <v>0.24</v>
      </c>
      <c r="I36" s="222">
        <v>3.4246575342465753</v>
      </c>
      <c r="J36" s="222">
        <v>365.13040000000001</v>
      </c>
      <c r="K36" s="222">
        <v>0</v>
      </c>
      <c r="L36" s="223">
        <v>31.536000000000001</v>
      </c>
      <c r="M36" s="221">
        <v>1.0294491412799998E-3</v>
      </c>
      <c r="N36" s="221">
        <v>0.2259964606824324</v>
      </c>
      <c r="P36" s="224"/>
    </row>
    <row r="37" spans="3:16">
      <c r="C37" s="214" t="s">
        <v>483</v>
      </c>
      <c r="D37" s="214" t="s">
        <v>287</v>
      </c>
      <c r="E37" s="214" t="s">
        <v>451</v>
      </c>
      <c r="F37" s="215">
        <v>8.4065672340607987E-3</v>
      </c>
      <c r="G37" s="215">
        <v>4.5264127626555704E-2</v>
      </c>
      <c r="H37" s="215">
        <v>0.9</v>
      </c>
      <c r="I37" s="216">
        <v>20</v>
      </c>
      <c r="J37" s="216">
        <v>174.66120000000001</v>
      </c>
      <c r="K37" s="216">
        <v>0</v>
      </c>
      <c r="L37" s="217">
        <v>31.536000000000001</v>
      </c>
      <c r="M37" s="215">
        <v>4.0737714863900133E-2</v>
      </c>
      <c r="N37" s="215">
        <v>0.15366372839965861</v>
      </c>
      <c r="P37" s="224"/>
    </row>
    <row r="38" spans="3:16">
      <c r="C38" s="225" t="s">
        <v>532</v>
      </c>
      <c r="D38" s="198" t="s">
        <v>522</v>
      </c>
      <c r="E38" s="198" t="s">
        <v>451</v>
      </c>
      <c r="F38" s="218">
        <v>2.6494610554099237E-3</v>
      </c>
      <c r="G38" s="218">
        <v>4.2797091850201134E-2</v>
      </c>
      <c r="H38" s="218">
        <v>0.3</v>
      </c>
      <c r="I38" s="219">
        <v>20</v>
      </c>
      <c r="J38" s="219">
        <v>45</v>
      </c>
      <c r="K38" s="219">
        <v>0</v>
      </c>
      <c r="L38" s="220">
        <v>31.536000000000001</v>
      </c>
      <c r="M38" s="218">
        <v>1.283912755506034E-2</v>
      </c>
      <c r="N38" s="218">
        <v>0.15366372839965861</v>
      </c>
      <c r="P38" s="224"/>
    </row>
    <row r="39" spans="3:16">
      <c r="C39" s="198" t="s">
        <v>489</v>
      </c>
      <c r="D39" s="198" t="s">
        <v>522</v>
      </c>
      <c r="E39" s="198" t="s">
        <v>455</v>
      </c>
      <c r="F39" s="218">
        <v>0.15008480630738399</v>
      </c>
      <c r="G39" s="218">
        <v>0.20756331821999904</v>
      </c>
      <c r="H39" s="218">
        <v>0.1111111111111111</v>
      </c>
      <c r="I39" s="219">
        <v>15</v>
      </c>
      <c r="J39" s="219">
        <v>1273.6610000000001</v>
      </c>
      <c r="K39" s="219">
        <v>50.946427093824248</v>
      </c>
      <c r="L39" s="220">
        <v>1</v>
      </c>
      <c r="M39" s="218">
        <v>2.3062590913333226E-2</v>
      </c>
      <c r="N39" s="218">
        <v>0.15366372839965861</v>
      </c>
      <c r="P39" s="224"/>
    </row>
    <row r="40" spans="3:16">
      <c r="C40" s="198" t="s">
        <v>491</v>
      </c>
      <c r="D40" s="198" t="s">
        <v>522</v>
      </c>
      <c r="E40" s="198" t="s">
        <v>459</v>
      </c>
      <c r="F40" s="218">
        <v>0.15035447160097573</v>
      </c>
      <c r="G40" s="218">
        <v>0.20756331821999904</v>
      </c>
      <c r="H40" s="218">
        <v>0.1111111111111111</v>
      </c>
      <c r="I40" s="219">
        <v>15</v>
      </c>
      <c r="J40" s="219">
        <v>805.55169999999998</v>
      </c>
      <c r="K40" s="219">
        <v>32.22206646076652</v>
      </c>
      <c r="L40" s="220">
        <v>1</v>
      </c>
      <c r="M40" s="218">
        <v>2.3062590913333226E-2</v>
      </c>
      <c r="N40" s="218">
        <v>0.15338812785388126</v>
      </c>
      <c r="P40" s="224"/>
    </row>
    <row r="41" spans="3:16">
      <c r="C41" s="213" t="s">
        <v>493</v>
      </c>
      <c r="D41" s="213" t="s">
        <v>287</v>
      </c>
      <c r="E41" s="213" t="s">
        <v>462</v>
      </c>
      <c r="F41" s="221">
        <v>2.9328647892771365E-4</v>
      </c>
      <c r="G41" s="221">
        <v>8.7094161951630361E-3</v>
      </c>
      <c r="H41" s="221">
        <v>0.24</v>
      </c>
      <c r="I41" s="222">
        <v>3.4246575342465753</v>
      </c>
      <c r="J41" s="222">
        <v>365.13040000000001</v>
      </c>
      <c r="K41" s="222">
        <v>0</v>
      </c>
      <c r="L41" s="223">
        <v>31.536000000000001</v>
      </c>
      <c r="M41" s="221">
        <v>2.0902598868391287E-3</v>
      </c>
      <c r="N41" s="221">
        <v>0.2259964606824324</v>
      </c>
      <c r="P41" s="224"/>
    </row>
    <row r="42" spans="3:16">
      <c r="C42" s="214" t="s">
        <v>495</v>
      </c>
      <c r="D42" s="214" t="s">
        <v>522</v>
      </c>
      <c r="E42" s="214" t="s">
        <v>466</v>
      </c>
      <c r="F42" s="215">
        <v>6.30360795717808E-3</v>
      </c>
      <c r="G42" s="215">
        <v>1.1148157582946523</v>
      </c>
      <c r="H42" s="215">
        <v>0.17831698113207547</v>
      </c>
      <c r="I42" s="216">
        <v>50</v>
      </c>
      <c r="J42" s="216">
        <v>986.67560000000003</v>
      </c>
      <c r="K42" s="216">
        <v>0</v>
      </c>
      <c r="L42" s="217">
        <v>31.536000000000001</v>
      </c>
      <c r="M42" s="215">
        <v>0.19879058053756793</v>
      </c>
      <c r="N42" s="215">
        <v>1</v>
      </c>
      <c r="P42" s="224"/>
    </row>
    <row r="43" spans="3:16">
      <c r="C43" s="198" t="s">
        <v>497</v>
      </c>
      <c r="D43" s="198" t="s">
        <v>524</v>
      </c>
      <c r="E43" s="198" t="s">
        <v>466</v>
      </c>
      <c r="F43" s="218">
        <v>4.38914219346329E-3</v>
      </c>
      <c r="G43" s="218">
        <v>0.77623559648834917</v>
      </c>
      <c r="H43" s="218">
        <v>0.17831698113207547</v>
      </c>
      <c r="I43" s="219">
        <v>50</v>
      </c>
      <c r="J43" s="219">
        <v>986.67560000000003</v>
      </c>
      <c r="K43" s="219">
        <v>0</v>
      </c>
      <c r="L43" s="220">
        <v>31.536000000000001</v>
      </c>
      <c r="M43" s="218">
        <v>0.13841598821305831</v>
      </c>
      <c r="N43" s="218">
        <v>1</v>
      </c>
      <c r="P43" s="224"/>
    </row>
    <row r="44" spans="3:16">
      <c r="C44" s="198" t="s">
        <v>498</v>
      </c>
      <c r="D44" s="198" t="s">
        <v>287</v>
      </c>
      <c r="E44" s="198" t="s">
        <v>470</v>
      </c>
      <c r="F44" s="218">
        <v>5.1175596384496558E-3</v>
      </c>
      <c r="G44" s="218">
        <v>5.4678039875287167E-2</v>
      </c>
      <c r="H44" s="218">
        <v>2.9515937499999998</v>
      </c>
      <c r="I44" s="219">
        <v>15</v>
      </c>
      <c r="J44" s="219">
        <v>1637.346</v>
      </c>
      <c r="K44" s="219">
        <v>0</v>
      </c>
      <c r="L44" s="220">
        <v>31.536000000000001</v>
      </c>
      <c r="M44" s="218">
        <v>0.16138736075814836</v>
      </c>
      <c r="N44" s="218">
        <v>1</v>
      </c>
      <c r="P44" s="224"/>
    </row>
    <row r="45" spans="3:16">
      <c r="C45" s="213" t="s">
        <v>500</v>
      </c>
      <c r="D45" s="213" t="s">
        <v>287</v>
      </c>
      <c r="E45" s="213" t="s">
        <v>474</v>
      </c>
      <c r="F45" s="221">
        <v>2.7621509671933844E-4</v>
      </c>
      <c r="G45" s="221">
        <v>8.2024655398752876E-3</v>
      </c>
      <c r="H45" s="221">
        <v>0.24</v>
      </c>
      <c r="I45" s="222">
        <v>3.4246575342465753</v>
      </c>
      <c r="J45" s="222">
        <v>365.13040000000001</v>
      </c>
      <c r="K45" s="222">
        <v>0</v>
      </c>
      <c r="L45" s="223">
        <v>31.536000000000001</v>
      </c>
      <c r="M45" s="221">
        <v>1.9685917295700689E-3</v>
      </c>
      <c r="N45" s="221">
        <v>0.2259964606824324</v>
      </c>
      <c r="P45" s="224"/>
    </row>
    <row r="46" spans="3:16">
      <c r="C46" s="214" t="s">
        <v>502</v>
      </c>
      <c r="D46" s="214" t="s">
        <v>287</v>
      </c>
      <c r="E46" s="214" t="s">
        <v>477</v>
      </c>
      <c r="F46" s="215"/>
      <c r="G46" s="215">
        <v>1.1645478000001042E-2</v>
      </c>
      <c r="H46" s="215">
        <v>1</v>
      </c>
      <c r="I46" s="216"/>
      <c r="J46" s="215"/>
      <c r="K46" s="215"/>
      <c r="L46" s="215">
        <v>1</v>
      </c>
      <c r="M46" s="215">
        <f>+G46</f>
        <v>1.1645478000001042E-2</v>
      </c>
      <c r="N46" s="215">
        <v>1</v>
      </c>
      <c r="P46" s="224"/>
    </row>
    <row r="47" spans="3:16">
      <c r="C47" s="198" t="s">
        <v>505</v>
      </c>
      <c r="D47" s="198" t="s">
        <v>524</v>
      </c>
      <c r="E47" s="198" t="s">
        <v>481</v>
      </c>
      <c r="F47" s="218"/>
      <c r="G47" s="218">
        <v>1.5942325500000076E-2</v>
      </c>
      <c r="H47" s="218">
        <v>1</v>
      </c>
      <c r="I47" s="219"/>
      <c r="J47" s="218"/>
      <c r="K47" s="218"/>
      <c r="L47" s="218">
        <v>1</v>
      </c>
      <c r="M47" s="218">
        <f t="shared" ref="M47:M49" si="0">+G47</f>
        <v>1.5942325500000076E-2</v>
      </c>
      <c r="N47" s="218">
        <v>1</v>
      </c>
      <c r="P47" s="224"/>
    </row>
    <row r="48" spans="3:16">
      <c r="C48" s="198" t="s">
        <v>507</v>
      </c>
      <c r="D48" s="198" t="s">
        <v>525</v>
      </c>
      <c r="E48" s="198" t="s">
        <v>485</v>
      </c>
      <c r="F48" s="218"/>
      <c r="G48" s="218">
        <v>5.5427963499999996E-2</v>
      </c>
      <c r="H48" s="218">
        <v>1</v>
      </c>
      <c r="I48" s="219"/>
      <c r="J48" s="218"/>
      <c r="K48" s="218"/>
      <c r="L48" s="218">
        <v>1</v>
      </c>
      <c r="M48" s="218">
        <f t="shared" si="0"/>
        <v>5.5427963499999996E-2</v>
      </c>
      <c r="N48" s="218">
        <v>1</v>
      </c>
      <c r="P48" s="224"/>
    </row>
    <row r="49" spans="3:16">
      <c r="C49" s="213" t="s">
        <v>509</v>
      </c>
      <c r="D49" s="213" t="s">
        <v>523</v>
      </c>
      <c r="E49" s="213" t="s">
        <v>487</v>
      </c>
      <c r="F49" s="221"/>
      <c r="G49" s="221">
        <v>6.9424525000001402E-3</v>
      </c>
      <c r="H49" s="221">
        <v>1</v>
      </c>
      <c r="I49" s="222"/>
      <c r="J49" s="221"/>
      <c r="K49" s="221"/>
      <c r="L49" s="221">
        <v>1</v>
      </c>
      <c r="M49" s="221">
        <f t="shared" si="0"/>
        <v>6.9424525000001402E-3</v>
      </c>
      <c r="N49" s="221">
        <v>1</v>
      </c>
      <c r="P49" s="224"/>
    </row>
    <row r="55" spans="3:16">
      <c r="C55" s="173" t="s">
        <v>13</v>
      </c>
      <c r="D55" s="174"/>
    </row>
    <row r="56" spans="3:16">
      <c r="C56" s="177" t="s">
        <v>0</v>
      </c>
      <c r="D56" s="179" t="s">
        <v>361</v>
      </c>
    </row>
    <row r="57" spans="3:16">
      <c r="C57" t="s">
        <v>365</v>
      </c>
      <c r="D57" s="195">
        <f>+ROUNDDOWN(SUMIF($E$6:$E$49,C57,$M$6:$M$49),3)</f>
        <v>0.41199999999999998</v>
      </c>
    </row>
    <row r="58" spans="3:16">
      <c r="C58" t="s">
        <v>367</v>
      </c>
      <c r="D58" s="195">
        <f t="shared" ref="D58:D91" si="1">+ROUNDDOWN(SUMIF($E$6:$E$49,C58,$M$6:$M$49),3)</f>
        <v>0.93500000000000005</v>
      </c>
    </row>
    <row r="59" spans="3:16">
      <c r="C59" t="s">
        <v>372</v>
      </c>
      <c r="D59" s="195">
        <f t="shared" si="1"/>
        <v>0.84099999999999997</v>
      </c>
    </row>
    <row r="60" spans="3:16">
      <c r="C60" t="s">
        <v>376</v>
      </c>
      <c r="D60" s="195">
        <f t="shared" si="1"/>
        <v>0.155</v>
      </c>
    </row>
    <row r="61" spans="3:16">
      <c r="C61" t="s">
        <v>380</v>
      </c>
      <c r="D61" s="195">
        <f t="shared" si="1"/>
        <v>0.05</v>
      </c>
    </row>
    <row r="62" spans="3:16">
      <c r="C62" t="s">
        <v>383</v>
      </c>
      <c r="D62" s="195">
        <f t="shared" si="1"/>
        <v>4.5999999999999999E-2</v>
      </c>
    </row>
    <row r="63" spans="3:16">
      <c r="C63" s="198" t="s">
        <v>386</v>
      </c>
      <c r="D63" s="195">
        <f t="shared" si="1"/>
        <v>2.8000000000000001E-2</v>
      </c>
    </row>
    <row r="64" spans="3:16">
      <c r="C64" s="198" t="s">
        <v>389</v>
      </c>
      <c r="D64" s="195">
        <f t="shared" si="1"/>
        <v>0.36199999999999999</v>
      </c>
    </row>
    <row r="65" spans="3:4">
      <c r="C65" s="198" t="s">
        <v>393</v>
      </c>
      <c r="D65" s="195">
        <f t="shared" si="1"/>
        <v>1.3680000000000001</v>
      </c>
    </row>
    <row r="66" spans="3:4">
      <c r="C66" s="198" t="s">
        <v>397</v>
      </c>
      <c r="D66" s="195">
        <f t="shared" si="1"/>
        <v>4.0000000000000001E-3</v>
      </c>
    </row>
    <row r="67" spans="3:4">
      <c r="C67" s="198" t="s">
        <v>401</v>
      </c>
      <c r="D67" s="195">
        <f t="shared" si="1"/>
        <v>0.48</v>
      </c>
    </row>
    <row r="68" spans="3:4">
      <c r="C68" s="198" t="s">
        <v>405</v>
      </c>
      <c r="D68" s="195">
        <f t="shared" si="1"/>
        <v>0.115</v>
      </c>
    </row>
    <row r="69" spans="3:4">
      <c r="C69" s="198" t="s">
        <v>409</v>
      </c>
      <c r="D69" s="195">
        <f t="shared" si="1"/>
        <v>7.0000000000000001E-3</v>
      </c>
    </row>
    <row r="70" spans="3:4">
      <c r="C70" s="198" t="s">
        <v>412</v>
      </c>
      <c r="D70" s="195">
        <f t="shared" si="1"/>
        <v>1.2999999999999999E-2</v>
      </c>
    </row>
    <row r="71" spans="3:4">
      <c r="C71" s="198" t="s">
        <v>415</v>
      </c>
      <c r="D71" s="195">
        <f t="shared" si="1"/>
        <v>2.1000000000000001E-2</v>
      </c>
    </row>
    <row r="72" spans="3:4">
      <c r="C72" s="198" t="s">
        <v>418</v>
      </c>
      <c r="D72" s="195">
        <f t="shared" si="1"/>
        <v>3.2000000000000001E-2</v>
      </c>
    </row>
    <row r="73" spans="3:4">
      <c r="C73" s="198" t="s">
        <v>422</v>
      </c>
      <c r="D73" s="195">
        <f t="shared" si="1"/>
        <v>0.48599999999999999</v>
      </c>
    </row>
    <row r="74" spans="3:4">
      <c r="C74" s="198" t="s">
        <v>426</v>
      </c>
      <c r="D74" s="195">
        <f t="shared" si="1"/>
        <v>0.13400000000000001</v>
      </c>
    </row>
    <row r="75" spans="3:4">
      <c r="C75" s="198" t="s">
        <v>430</v>
      </c>
      <c r="D75" s="195">
        <f t="shared" si="1"/>
        <v>8.0000000000000002E-3</v>
      </c>
    </row>
    <row r="76" spans="3:4">
      <c r="C76" s="198" t="s">
        <v>433</v>
      </c>
      <c r="D76" s="195">
        <f t="shared" si="1"/>
        <v>1.4999999999999999E-2</v>
      </c>
    </row>
    <row r="77" spans="3:4">
      <c r="C77" s="198" t="s">
        <v>436</v>
      </c>
      <c r="D77" s="195">
        <f t="shared" si="1"/>
        <v>7.0000000000000007E-2</v>
      </c>
    </row>
    <row r="78" spans="3:4">
      <c r="C78" s="198" t="s">
        <v>440</v>
      </c>
      <c r="D78" s="195">
        <f t="shared" si="1"/>
        <v>2E-3</v>
      </c>
    </row>
    <row r="79" spans="3:4">
      <c r="C79" s="198" t="s">
        <v>444</v>
      </c>
      <c r="D79" s="195">
        <f t="shared" si="1"/>
        <v>1.0740000000000001</v>
      </c>
    </row>
    <row r="80" spans="3:4">
      <c r="C80" s="198" t="s">
        <v>448</v>
      </c>
      <c r="D80" s="195">
        <f t="shared" si="1"/>
        <v>1E-3</v>
      </c>
    </row>
    <row r="81" spans="3:4">
      <c r="C81" s="198" t="s">
        <v>451</v>
      </c>
      <c r="D81" s="195">
        <f t="shared" si="1"/>
        <v>5.2999999999999999E-2</v>
      </c>
    </row>
    <row r="82" spans="3:4">
      <c r="C82" s="198" t="s">
        <v>455</v>
      </c>
      <c r="D82" s="195">
        <f t="shared" si="1"/>
        <v>2.3E-2</v>
      </c>
    </row>
    <row r="83" spans="3:4">
      <c r="C83" s="198" t="s">
        <v>459</v>
      </c>
      <c r="D83" s="195">
        <f t="shared" si="1"/>
        <v>2.3E-2</v>
      </c>
    </row>
    <row r="84" spans="3:4">
      <c r="C84" s="198" t="s">
        <v>462</v>
      </c>
      <c r="D84" s="195">
        <f t="shared" si="1"/>
        <v>2E-3</v>
      </c>
    </row>
    <row r="85" spans="3:4">
      <c r="C85" s="198" t="s">
        <v>466</v>
      </c>
      <c r="D85" s="195">
        <f t="shared" si="1"/>
        <v>0.33700000000000002</v>
      </c>
    </row>
    <row r="86" spans="3:4">
      <c r="C86" s="198" t="s">
        <v>470</v>
      </c>
      <c r="D86" s="195">
        <f t="shared" si="1"/>
        <v>0.161</v>
      </c>
    </row>
    <row r="87" spans="3:4">
      <c r="C87" s="198" t="s">
        <v>474</v>
      </c>
      <c r="D87" s="195">
        <f t="shared" si="1"/>
        <v>1E-3</v>
      </c>
    </row>
    <row r="88" spans="3:4">
      <c r="C88" s="198" t="s">
        <v>477</v>
      </c>
      <c r="D88" s="195">
        <f t="shared" si="1"/>
        <v>1.0999999999999999E-2</v>
      </c>
    </row>
    <row r="89" spans="3:4">
      <c r="C89" s="198" t="s">
        <v>481</v>
      </c>
      <c r="D89" s="195">
        <f t="shared" si="1"/>
        <v>1.4999999999999999E-2</v>
      </c>
    </row>
    <row r="90" spans="3:4">
      <c r="C90" s="198" t="s">
        <v>485</v>
      </c>
      <c r="D90" s="195">
        <f t="shared" si="1"/>
        <v>5.5E-2</v>
      </c>
    </row>
    <row r="91" spans="3:4">
      <c r="C91" s="198" t="s">
        <v>487</v>
      </c>
      <c r="D91" s="195">
        <f t="shared" si="1"/>
        <v>6.0000000000000001E-3</v>
      </c>
    </row>
    <row r="92" spans="3:4">
      <c r="C92"/>
    </row>
    <row r="93" spans="3:4">
      <c r="C93"/>
    </row>
    <row r="94" spans="3:4">
      <c r="C94"/>
    </row>
    <row r="95" spans="3:4">
      <c r="C95"/>
    </row>
    <row r="96" spans="3:4">
      <c r="C96"/>
    </row>
    <row r="97" spans="3:3">
      <c r="C97"/>
    </row>
    <row r="98" spans="3:3">
      <c r="C98"/>
    </row>
    <row r="99" spans="3:3">
      <c r="C99"/>
    </row>
    <row r="100" spans="3:3">
      <c r="C10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1"/>
  <sheetViews>
    <sheetView zoomScale="55" zoomScaleNormal="55" workbookViewId="0">
      <selection activeCell="V8" sqref="V8"/>
    </sheetView>
  </sheetViews>
  <sheetFormatPr defaultColWidth="9.1328125" defaultRowHeight="12.75"/>
  <cols>
    <col min="1" max="1" width="14" style="182" customWidth="1"/>
    <col min="2" max="2" width="13.73046875" style="182" customWidth="1"/>
    <col min="3" max="3" width="15.3984375" style="182" customWidth="1"/>
    <col min="4" max="4" width="13.59765625" style="182" customWidth="1"/>
    <col min="5" max="5" width="18.1328125" style="182" customWidth="1"/>
    <col min="6" max="6" width="19.86328125" style="182" customWidth="1"/>
    <col min="7" max="7" width="47.73046875" style="182" customWidth="1"/>
    <col min="8" max="8" width="57.59765625" style="182" bestFit="1" customWidth="1"/>
    <col min="9" max="12" width="9.1328125" style="182"/>
    <col min="13" max="13" width="13.3984375" style="182" customWidth="1"/>
    <col min="14" max="14" width="10.73046875" style="182" customWidth="1"/>
    <col min="15" max="15" width="9.1328125" style="182"/>
    <col min="16" max="16" width="25.86328125" style="182" bestFit="1" customWidth="1"/>
    <col min="17" max="17" width="28.265625" style="182" bestFit="1" customWidth="1"/>
    <col min="18" max="18" width="17.73046875" style="182" customWidth="1"/>
    <col min="19" max="19" width="14.3984375" style="182" customWidth="1"/>
    <col min="20" max="20" width="25.86328125" style="182" customWidth="1"/>
    <col min="21" max="21" width="9.86328125" style="182" bestFit="1" customWidth="1"/>
    <col min="22" max="22" width="25.86328125" style="182" customWidth="1"/>
    <col min="23" max="23" width="20" style="182" bestFit="1" customWidth="1"/>
    <col min="24" max="24" width="16" style="182" bestFit="1" customWidth="1"/>
    <col min="25" max="25" width="65.1328125" style="182" bestFit="1" customWidth="1"/>
    <col min="26" max="26" width="60.86328125" style="182" bestFit="1" customWidth="1"/>
    <col min="27" max="27" width="4.1328125" style="182" bestFit="1" customWidth="1"/>
    <col min="28" max="28" width="4.3984375" style="182" bestFit="1" customWidth="1"/>
    <col min="29" max="29" width="4.1328125" style="182" bestFit="1" customWidth="1"/>
    <col min="30" max="30" width="8.86328125" style="182" bestFit="1" customWidth="1"/>
    <col min="31" max="31" width="6.59765625" style="182" bestFit="1" customWidth="1"/>
    <col min="32" max="16384" width="9.1328125" style="182"/>
  </cols>
  <sheetData>
    <row r="1" spans="2:29">
      <c r="B1" s="182" t="s">
        <v>840</v>
      </c>
    </row>
    <row r="2" spans="2:29">
      <c r="P2" s="271"/>
      <c r="Q2" s="271"/>
      <c r="R2" s="271"/>
      <c r="S2" s="271"/>
      <c r="T2" s="271"/>
      <c r="U2" s="271"/>
      <c r="V2" s="271"/>
      <c r="W2" s="271"/>
    </row>
    <row r="3" spans="2:29">
      <c r="P3" s="271"/>
      <c r="Q3" s="271"/>
      <c r="R3" s="271"/>
      <c r="S3" s="271"/>
      <c r="T3" s="271"/>
      <c r="U3" s="271"/>
      <c r="V3" s="271"/>
      <c r="W3" s="271"/>
    </row>
    <row r="4" spans="2:29">
      <c r="P4" s="271"/>
      <c r="Q4" s="271"/>
      <c r="R4" s="271"/>
      <c r="S4" s="271"/>
      <c r="T4" s="271"/>
      <c r="U4" s="271"/>
      <c r="V4" s="271"/>
      <c r="W4" s="271"/>
    </row>
    <row r="5" spans="2:29">
      <c r="P5" s="271"/>
      <c r="Q5" s="271"/>
      <c r="R5" s="271"/>
      <c r="S5" s="271"/>
      <c r="T5" s="271"/>
      <c r="U5" s="271"/>
      <c r="V5" s="271"/>
      <c r="W5" s="271"/>
    </row>
    <row r="6" spans="2:29" ht="13.15">
      <c r="B6" s="183" t="s">
        <v>14</v>
      </c>
      <c r="I6" s="184"/>
      <c r="J6" s="184"/>
      <c r="K6" s="184"/>
      <c r="L6" s="184"/>
      <c r="M6" s="184"/>
      <c r="N6" s="184"/>
      <c r="P6" s="183" t="s">
        <v>15</v>
      </c>
      <c r="X6" s="184"/>
      <c r="Y6" s="184"/>
      <c r="Z6" s="184"/>
      <c r="AA6" s="184"/>
      <c r="AB6" s="184"/>
      <c r="AC6" s="184"/>
    </row>
    <row r="7" spans="2:29" ht="13.15">
      <c r="B7" s="185" t="s">
        <v>7</v>
      </c>
      <c r="C7" s="185" t="s">
        <v>0</v>
      </c>
      <c r="D7" s="425" t="s">
        <v>913</v>
      </c>
      <c r="E7" s="425" t="s">
        <v>911</v>
      </c>
      <c r="F7" s="425" t="s">
        <v>3</v>
      </c>
      <c r="G7" s="425" t="s">
        <v>910</v>
      </c>
      <c r="H7" s="185" t="s">
        <v>4</v>
      </c>
      <c r="I7" s="185" t="s">
        <v>8</v>
      </c>
      <c r="J7" s="185" t="s">
        <v>9</v>
      </c>
      <c r="K7" s="185" t="s">
        <v>10</v>
      </c>
      <c r="L7" s="185" t="s">
        <v>12</v>
      </c>
      <c r="P7" s="185" t="s">
        <v>11</v>
      </c>
      <c r="Q7" s="185" t="s">
        <v>1</v>
      </c>
      <c r="R7" s="425" t="s">
        <v>908</v>
      </c>
      <c r="S7" s="425" t="s">
        <v>909</v>
      </c>
      <c r="T7" s="425" t="s">
        <v>912</v>
      </c>
      <c r="U7" s="425" t="s">
        <v>913</v>
      </c>
      <c r="V7" s="425" t="s">
        <v>2</v>
      </c>
      <c r="W7" s="425" t="s">
        <v>914</v>
      </c>
      <c r="X7" s="185" t="s">
        <v>16</v>
      </c>
      <c r="Y7" s="185" t="s">
        <v>17</v>
      </c>
      <c r="Z7" s="185" t="s">
        <v>18</v>
      </c>
      <c r="AA7" s="185" t="s">
        <v>19</v>
      </c>
      <c r="AB7" s="185" t="s">
        <v>20</v>
      </c>
    </row>
    <row r="8" spans="2:29" ht="13.15">
      <c r="B8" s="186" t="s">
        <v>49</v>
      </c>
      <c r="C8" s="186" t="s">
        <v>223</v>
      </c>
      <c r="D8" s="114" t="s">
        <v>81</v>
      </c>
      <c r="E8" s="114"/>
      <c r="F8" s="114" t="str">
        <f xml:space="preserve"> _xlfn.CONCAT(D8, " -:- ", E8)</f>
        <v xml:space="preserve">Coal -:- </v>
      </c>
      <c r="G8" s="186" t="s">
        <v>303</v>
      </c>
      <c r="H8" s="186" t="s">
        <v>53</v>
      </c>
      <c r="I8" s="186" t="s">
        <v>345</v>
      </c>
      <c r="J8" s="186"/>
      <c r="K8" s="186"/>
      <c r="L8" s="186"/>
      <c r="P8" s="186" t="s">
        <v>67</v>
      </c>
      <c r="Q8" s="187" t="str">
        <f t="shared" ref="Q8:Q15" si="0">"FTE_"&amp;C8&amp;"_00"</f>
        <v>FTE_RESCOA_00</v>
      </c>
      <c r="R8" s="112" t="s">
        <v>44</v>
      </c>
      <c r="S8" s="112"/>
      <c r="T8" s="112"/>
      <c r="U8" s="112" t="s">
        <v>81</v>
      </c>
      <c r="V8" s="112" t="str">
        <f t="shared" ref="V8:V39" si="1" xml:space="preserve"> _xlfn.CONCAT( R8, " -:- ", S8, " -:- ", T8, " -:- ", U8)</f>
        <v>Residential -:-  -:-  -:- Coal</v>
      </c>
      <c r="W8" s="186" t="str">
        <f t="shared" ref="W8:W15" si="2">"Distribution network for "&amp;G8</f>
        <v>Distribution network for  Residential Coal</v>
      </c>
      <c r="X8" s="186" t="s">
        <v>53</v>
      </c>
      <c r="Y8" s="186" t="s">
        <v>298</v>
      </c>
      <c r="Z8" s="186"/>
      <c r="AA8" s="186"/>
      <c r="AB8" s="186"/>
    </row>
    <row r="9" spans="2:29" ht="13.15">
      <c r="B9" s="186" t="s">
        <v>49</v>
      </c>
      <c r="C9" s="186" t="s">
        <v>226</v>
      </c>
      <c r="D9" s="114" t="s">
        <v>43</v>
      </c>
      <c r="E9" s="114"/>
      <c r="F9" s="114" t="str">
        <f t="shared" ref="F9:F41" si="3" xml:space="preserve"> _xlfn.CONCAT(D9, " -:- ", E9)</f>
        <v xml:space="preserve">Natural Gas -:- </v>
      </c>
      <c r="G9" s="186" t="s">
        <v>304</v>
      </c>
      <c r="H9" s="186" t="s">
        <v>53</v>
      </c>
      <c r="I9" s="186" t="s">
        <v>345</v>
      </c>
      <c r="J9" s="186"/>
      <c r="K9" s="186"/>
      <c r="L9" s="186"/>
      <c r="P9" s="186" t="s">
        <v>67</v>
      </c>
      <c r="Q9" s="187" t="str">
        <f t="shared" si="0"/>
        <v>FTE_RESNGA_00</v>
      </c>
      <c r="R9" s="112" t="s">
        <v>44</v>
      </c>
      <c r="S9" s="112"/>
      <c r="T9" s="112"/>
      <c r="U9" s="112" t="s">
        <v>43</v>
      </c>
      <c r="V9" s="112" t="str">
        <f t="shared" si="1"/>
        <v>Residential -:-  -:-  -:- Natural Gas</v>
      </c>
      <c r="W9" s="186" t="str">
        <f t="shared" si="2"/>
        <v>Distribution network for Residential Natural gas</v>
      </c>
      <c r="X9" s="186" t="s">
        <v>53</v>
      </c>
      <c r="Y9" s="186" t="s">
        <v>298</v>
      </c>
      <c r="Z9" s="186"/>
      <c r="AA9" s="186"/>
      <c r="AB9" s="186"/>
    </row>
    <row r="10" spans="2:29" ht="13.15">
      <c r="B10" s="186" t="s">
        <v>49</v>
      </c>
      <c r="C10" s="186" t="s">
        <v>301</v>
      </c>
      <c r="D10" s="114" t="s">
        <v>71</v>
      </c>
      <c r="E10" s="114"/>
      <c r="F10" s="114" t="str">
        <f t="shared" si="3"/>
        <v xml:space="preserve">LPG -:- </v>
      </c>
      <c r="G10" s="186" t="s">
        <v>305</v>
      </c>
      <c r="H10" s="186" t="s">
        <v>53</v>
      </c>
      <c r="I10" s="186" t="s">
        <v>345</v>
      </c>
      <c r="J10" s="186"/>
      <c r="K10" s="186"/>
      <c r="L10" s="186"/>
      <c r="P10" s="186" t="s">
        <v>67</v>
      </c>
      <c r="Q10" s="187" t="str">
        <f t="shared" si="0"/>
        <v>FTE_RESLPG_00</v>
      </c>
      <c r="R10" s="112" t="s">
        <v>44</v>
      </c>
      <c r="S10" s="112"/>
      <c r="T10" s="112"/>
      <c r="U10" s="112" t="s">
        <v>71</v>
      </c>
      <c r="V10" s="112" t="str">
        <f t="shared" si="1"/>
        <v>Residential -:-  -:-  -:- LPG</v>
      </c>
      <c r="W10" s="186" t="str">
        <f t="shared" si="2"/>
        <v>Distribution network for Residential LPG</v>
      </c>
      <c r="X10" s="186" t="s">
        <v>53</v>
      </c>
      <c r="Y10" s="186" t="s">
        <v>298</v>
      </c>
      <c r="Z10" s="186"/>
      <c r="AA10" s="186"/>
      <c r="AB10" s="186"/>
    </row>
    <row r="11" spans="2:29" ht="13.15">
      <c r="B11" s="186" t="s">
        <v>49</v>
      </c>
      <c r="C11" s="186" t="s">
        <v>302</v>
      </c>
      <c r="D11" s="114" t="s">
        <v>82</v>
      </c>
      <c r="E11" s="114"/>
      <c r="F11" s="114" t="str">
        <f t="shared" si="3"/>
        <v xml:space="preserve">Diesel -:- </v>
      </c>
      <c r="G11" s="186" t="s">
        <v>306</v>
      </c>
      <c r="H11" s="186" t="s">
        <v>53</v>
      </c>
      <c r="I11" s="186" t="s">
        <v>345</v>
      </c>
      <c r="J11" s="186"/>
      <c r="K11" s="186"/>
      <c r="L11" s="186"/>
      <c r="P11" s="186" t="s">
        <v>67</v>
      </c>
      <c r="Q11" s="187" t="str">
        <f t="shared" si="0"/>
        <v>FTE_RESDSL_00</v>
      </c>
      <c r="R11" s="112" t="s">
        <v>44</v>
      </c>
      <c r="S11" s="112"/>
      <c r="T11" s="112"/>
      <c r="U11" s="112" t="s">
        <v>82</v>
      </c>
      <c r="V11" s="112" t="str">
        <f t="shared" si="1"/>
        <v>Residential -:-  -:-  -:- Diesel</v>
      </c>
      <c r="W11" s="186" t="str">
        <f t="shared" si="2"/>
        <v>Distribution network for Residential Diesel</v>
      </c>
      <c r="X11" s="186" t="s">
        <v>53</v>
      </c>
      <c r="Y11" s="186" t="s">
        <v>298</v>
      </c>
      <c r="Z11" s="186"/>
      <c r="AA11" s="186"/>
      <c r="AB11" s="186"/>
    </row>
    <row r="12" spans="2:29" ht="13.15">
      <c r="B12" s="186" t="s">
        <v>49</v>
      </c>
      <c r="C12" s="186" t="s">
        <v>233</v>
      </c>
      <c r="D12" s="114" t="s">
        <v>87</v>
      </c>
      <c r="E12" s="114"/>
      <c r="F12" s="114" t="str">
        <f t="shared" si="3"/>
        <v xml:space="preserve">Wood -:- </v>
      </c>
      <c r="G12" s="186" t="s">
        <v>307</v>
      </c>
      <c r="H12" s="186" t="s">
        <v>53</v>
      </c>
      <c r="I12" s="186" t="s">
        <v>345</v>
      </c>
      <c r="J12" s="186"/>
      <c r="K12" s="186"/>
      <c r="L12" s="186"/>
      <c r="P12" s="186" t="s">
        <v>67</v>
      </c>
      <c r="Q12" s="187" t="str">
        <f t="shared" si="0"/>
        <v>FTE_RESWOD_00</v>
      </c>
      <c r="R12" s="112" t="s">
        <v>44</v>
      </c>
      <c r="S12" s="112"/>
      <c r="T12" s="112"/>
      <c r="U12" s="112" t="s">
        <v>87</v>
      </c>
      <c r="V12" s="112" t="str">
        <f t="shared" si="1"/>
        <v>Residential -:-  -:-  -:- Wood</v>
      </c>
      <c r="W12" s="186" t="str">
        <f t="shared" si="2"/>
        <v>Distribution network for Residential Firewood</v>
      </c>
      <c r="X12" s="186" t="s">
        <v>53</v>
      </c>
      <c r="Y12" s="186" t="s">
        <v>298</v>
      </c>
      <c r="Z12" s="186"/>
      <c r="AA12" s="186"/>
      <c r="AB12" s="186"/>
    </row>
    <row r="13" spans="2:29" ht="13.15">
      <c r="B13" s="186" t="s">
        <v>49</v>
      </c>
      <c r="C13" s="186" t="s">
        <v>228</v>
      </c>
      <c r="D13" s="114" t="s">
        <v>84</v>
      </c>
      <c r="E13" s="114"/>
      <c r="F13" s="114" t="str">
        <f t="shared" si="3"/>
        <v xml:space="preserve">Geothermal -:- </v>
      </c>
      <c r="G13" s="186" t="s">
        <v>308</v>
      </c>
      <c r="H13" s="186" t="s">
        <v>53</v>
      </c>
      <c r="I13" s="186" t="s">
        <v>345</v>
      </c>
      <c r="J13" s="186"/>
      <c r="K13" s="186"/>
      <c r="L13" s="186"/>
      <c r="P13" s="186" t="s">
        <v>67</v>
      </c>
      <c r="Q13" s="187" t="str">
        <f t="shared" si="0"/>
        <v>FTE_RESGEO_00</v>
      </c>
      <c r="R13" s="112" t="s">
        <v>44</v>
      </c>
      <c r="S13" s="112"/>
      <c r="T13" s="112"/>
      <c r="U13" s="112" t="s">
        <v>84</v>
      </c>
      <c r="V13" s="112" t="str">
        <f t="shared" si="1"/>
        <v>Residential -:-  -:-  -:- Geothermal</v>
      </c>
      <c r="W13" s="186" t="str">
        <f t="shared" si="2"/>
        <v>Distribution network for Residential Geothermal</v>
      </c>
      <c r="X13" s="186" t="s">
        <v>53</v>
      </c>
      <c r="Y13" s="186" t="s">
        <v>298</v>
      </c>
      <c r="Z13" s="186"/>
      <c r="AA13" s="186"/>
      <c r="AB13" s="186"/>
    </row>
    <row r="14" spans="2:29" ht="13.15">
      <c r="B14" s="186" t="s">
        <v>49</v>
      </c>
      <c r="C14" s="186" t="s">
        <v>229</v>
      </c>
      <c r="D14" s="114" t="s">
        <v>86</v>
      </c>
      <c r="E14" s="114"/>
      <c r="F14" s="114" t="str">
        <f t="shared" si="3"/>
        <v xml:space="preserve">Solar -:- </v>
      </c>
      <c r="G14" s="186" t="s">
        <v>309</v>
      </c>
      <c r="H14" s="186" t="s">
        <v>53</v>
      </c>
      <c r="I14" s="186" t="s">
        <v>345</v>
      </c>
      <c r="J14" s="186"/>
      <c r="K14" s="186"/>
      <c r="L14" s="186"/>
      <c r="P14" s="186" t="s">
        <v>67</v>
      </c>
      <c r="Q14" s="187" t="str">
        <f t="shared" si="0"/>
        <v>FTE_RESSOL_00</v>
      </c>
      <c r="R14" s="112" t="s">
        <v>44</v>
      </c>
      <c r="S14" s="112"/>
      <c r="T14" s="112"/>
      <c r="U14" s="112" t="s">
        <v>86</v>
      </c>
      <c r="V14" s="112" t="str">
        <f t="shared" si="1"/>
        <v>Residential -:-  -:-  -:- Solar</v>
      </c>
      <c r="W14" s="186" t="str">
        <f t="shared" si="2"/>
        <v>Distribution network for Residential Solar energy</v>
      </c>
      <c r="X14" s="186" t="s">
        <v>53</v>
      </c>
      <c r="Y14" s="186" t="s">
        <v>298</v>
      </c>
      <c r="Z14" s="186"/>
      <c r="AA14" s="186"/>
      <c r="AB14" s="186"/>
    </row>
    <row r="15" spans="2:29" ht="13.15">
      <c r="B15" s="186" t="s">
        <v>49</v>
      </c>
      <c r="C15" s="186" t="s">
        <v>841</v>
      </c>
      <c r="D15" s="114" t="s">
        <v>85</v>
      </c>
      <c r="E15" s="114"/>
      <c r="F15" s="114" t="str">
        <f t="shared" si="3"/>
        <v xml:space="preserve">Petrol -:- </v>
      </c>
      <c r="G15" s="186" t="s">
        <v>842</v>
      </c>
      <c r="H15" s="186" t="s">
        <v>53</v>
      </c>
      <c r="I15" s="186" t="s">
        <v>345</v>
      </c>
      <c r="J15" s="186"/>
      <c r="K15" s="186"/>
      <c r="L15" s="186"/>
      <c r="P15" s="186" t="s">
        <v>67</v>
      </c>
      <c r="Q15" s="187" t="str">
        <f t="shared" si="0"/>
        <v>FTE_RESPET_00</v>
      </c>
      <c r="R15" s="112" t="s">
        <v>44</v>
      </c>
      <c r="S15" s="112"/>
      <c r="T15" s="112"/>
      <c r="U15" s="112" t="s">
        <v>85</v>
      </c>
      <c r="V15" s="112" t="str">
        <f t="shared" si="1"/>
        <v>Residential -:-  -:-  -:- Petrol</v>
      </c>
      <c r="W15" s="186" t="str">
        <f t="shared" si="2"/>
        <v>Distribution network for Residential petroleum</v>
      </c>
      <c r="X15" s="186" t="s">
        <v>53</v>
      </c>
      <c r="Y15" s="186" t="s">
        <v>298</v>
      </c>
      <c r="Z15" s="186"/>
      <c r="AA15" s="186"/>
      <c r="AB15" s="186"/>
    </row>
    <row r="16" spans="2:29" ht="13.15">
      <c r="B16" s="186" t="s">
        <v>65</v>
      </c>
      <c r="C16" s="186" t="s">
        <v>341</v>
      </c>
      <c r="D16" s="114"/>
      <c r="E16" s="114"/>
      <c r="F16" s="114" t="str">
        <f t="shared" si="3"/>
        <v xml:space="preserve"> -:- </v>
      </c>
      <c r="G16" s="186" t="s">
        <v>843</v>
      </c>
      <c r="H16" s="186" t="s">
        <v>333</v>
      </c>
      <c r="I16" s="186"/>
      <c r="J16" s="186"/>
      <c r="K16" s="186"/>
      <c r="L16" s="186"/>
      <c r="P16" s="272" t="s">
        <v>311</v>
      </c>
      <c r="Q16" s="272" t="str">
        <f>+RES!C7</f>
        <v>R_DDW-SH_Burner-WOD00</v>
      </c>
      <c r="R16" s="272" t="s">
        <v>44</v>
      </c>
      <c r="S16" s="427" t="s">
        <v>957</v>
      </c>
      <c r="T16" s="427" t="s">
        <v>965</v>
      </c>
      <c r="U16" s="427" t="s">
        <v>87</v>
      </c>
      <c r="V16" s="427" t="str">
        <f t="shared" si="1"/>
        <v>Residential -:- Detached Dwellings -:- Burner -:- Wood</v>
      </c>
      <c r="W16" s="272" t="str">
        <f>+RES!D7</f>
        <v>Detached dwellings - Heat/Cooling Devices - Burner (Direct Heat)</v>
      </c>
      <c r="X16" s="273" t="s">
        <v>53</v>
      </c>
      <c r="Y16" s="273" t="s">
        <v>371</v>
      </c>
      <c r="Z16" s="273"/>
      <c r="AA16" s="273"/>
      <c r="AB16" s="273"/>
    </row>
    <row r="17" spans="2:28" ht="13.15">
      <c r="B17" s="274" t="s">
        <v>310</v>
      </c>
      <c r="C17" s="274" t="s">
        <v>844</v>
      </c>
      <c r="D17" s="426"/>
      <c r="E17" s="426" t="s">
        <v>942</v>
      </c>
      <c r="F17" s="426" t="str">
        <f t="shared" si="3"/>
        <v xml:space="preserve"> -:- Space Heating</v>
      </c>
      <c r="G17" s="274" t="s">
        <v>845</v>
      </c>
      <c r="H17" s="274" t="s">
        <v>53</v>
      </c>
      <c r="I17" s="274"/>
      <c r="J17" s="274"/>
      <c r="K17" s="274"/>
      <c r="L17" s="274"/>
      <c r="P17" s="272" t="s">
        <v>311</v>
      </c>
      <c r="Q17" s="272" t="str">
        <f>+RES!C8</f>
        <v>R_DDW-SH_Burner-LPG00</v>
      </c>
      <c r="R17" s="272" t="s">
        <v>44</v>
      </c>
      <c r="S17" s="427" t="s">
        <v>957</v>
      </c>
      <c r="T17" s="427" t="s">
        <v>965</v>
      </c>
      <c r="U17" s="427" t="s">
        <v>71</v>
      </c>
      <c r="V17" s="427" t="str">
        <f t="shared" si="1"/>
        <v>Residential -:- Detached Dwellings -:- Burner -:- LPG</v>
      </c>
      <c r="W17" s="272" t="str">
        <f>+RES!D8</f>
        <v>Detached dwellings - Heat/Cooling Devices - Burner (Direct Heat)</v>
      </c>
      <c r="X17" s="273" t="s">
        <v>53</v>
      </c>
      <c r="Y17" s="273" t="s">
        <v>371</v>
      </c>
      <c r="Z17" s="273"/>
      <c r="AA17" s="273"/>
      <c r="AB17" s="273"/>
    </row>
    <row r="18" spans="2:28" ht="13.15">
      <c r="B18" s="274" t="s">
        <v>310</v>
      </c>
      <c r="C18" s="274" t="s">
        <v>846</v>
      </c>
      <c r="D18" s="426"/>
      <c r="E18" s="426" t="s">
        <v>918</v>
      </c>
      <c r="F18" s="426" t="str">
        <f t="shared" si="3"/>
        <v xml:space="preserve"> -:- Water Heating</v>
      </c>
      <c r="G18" s="274" t="s">
        <v>847</v>
      </c>
      <c r="H18" s="274" t="s">
        <v>53</v>
      </c>
      <c r="I18" s="274"/>
      <c r="J18" s="274"/>
      <c r="K18" s="274"/>
      <c r="L18" s="274"/>
      <c r="P18" s="272" t="s">
        <v>311</v>
      </c>
      <c r="Q18" s="272" t="str">
        <f>+RES!C9</f>
        <v>R_DDW-SH_Burner-DSL00</v>
      </c>
      <c r="R18" s="272" t="s">
        <v>44</v>
      </c>
      <c r="S18" s="427" t="s">
        <v>957</v>
      </c>
      <c r="T18" s="427" t="s">
        <v>965</v>
      </c>
      <c r="U18" s="427" t="s">
        <v>82</v>
      </c>
      <c r="V18" s="427" t="str">
        <f t="shared" si="1"/>
        <v>Residential -:- Detached Dwellings -:- Burner -:- Diesel</v>
      </c>
      <c r="W18" s="272" t="str">
        <f>+RES!D9</f>
        <v>Detached dwellings - Heat/Cooling Devices - Burner (Direct Heat)</v>
      </c>
      <c r="X18" s="273" t="s">
        <v>53</v>
      </c>
      <c r="Y18" s="273" t="s">
        <v>371</v>
      </c>
      <c r="Z18" s="273"/>
      <c r="AA18" s="273"/>
      <c r="AB18" s="273"/>
    </row>
    <row r="19" spans="2:28" ht="13.15">
      <c r="B19" s="274" t="s">
        <v>310</v>
      </c>
      <c r="C19" s="274" t="s">
        <v>848</v>
      </c>
      <c r="D19" s="426"/>
      <c r="E19" s="426" t="s">
        <v>219</v>
      </c>
      <c r="F19" s="426" t="str">
        <f t="shared" si="3"/>
        <v xml:space="preserve"> -:- Cooking</v>
      </c>
      <c r="G19" s="274" t="s">
        <v>849</v>
      </c>
      <c r="H19" s="274" t="s">
        <v>53</v>
      </c>
      <c r="I19" s="274"/>
      <c r="J19" s="274"/>
      <c r="K19" s="274"/>
      <c r="L19" s="274"/>
      <c r="P19" s="272" t="s">
        <v>311</v>
      </c>
      <c r="Q19" s="272" t="str">
        <f>+RES!C10</f>
        <v>R_DDW-SH_Burner-COA00</v>
      </c>
      <c r="R19" s="272" t="s">
        <v>44</v>
      </c>
      <c r="S19" s="427" t="s">
        <v>957</v>
      </c>
      <c r="T19" s="427" t="s">
        <v>965</v>
      </c>
      <c r="U19" s="427" t="s">
        <v>81</v>
      </c>
      <c r="V19" s="427" t="str">
        <f t="shared" si="1"/>
        <v>Residential -:- Detached Dwellings -:- Burner -:- Coal</v>
      </c>
      <c r="W19" s="272" t="str">
        <f>+RES!D10</f>
        <v>Detached dwellings - Heat/Cooling Devices - Burner (Direct Heat)</v>
      </c>
      <c r="X19" s="273" t="s">
        <v>53</v>
      </c>
      <c r="Y19" s="273" t="s">
        <v>371</v>
      </c>
      <c r="Z19" s="273"/>
      <c r="AA19" s="273"/>
      <c r="AB19" s="273"/>
    </row>
    <row r="20" spans="2:28" ht="13.15">
      <c r="B20" s="274" t="s">
        <v>310</v>
      </c>
      <c r="C20" s="274" t="s">
        <v>850</v>
      </c>
      <c r="D20" s="426"/>
      <c r="E20" s="426" t="s">
        <v>930</v>
      </c>
      <c r="F20" s="426" t="str">
        <f t="shared" si="3"/>
        <v xml:space="preserve"> -:- Refrigeration</v>
      </c>
      <c r="G20" s="274" t="s">
        <v>851</v>
      </c>
      <c r="H20" s="274" t="s">
        <v>53</v>
      </c>
      <c r="I20" s="274"/>
      <c r="J20" s="274"/>
      <c r="K20" s="274"/>
      <c r="L20" s="274"/>
      <c r="P20" s="272" t="s">
        <v>311</v>
      </c>
      <c r="Q20" s="272" t="str">
        <f>+RES!C11</f>
        <v>R_DDW-SH_OF-WOD00</v>
      </c>
      <c r="R20" s="272" t="s">
        <v>44</v>
      </c>
      <c r="S20" s="427" t="s">
        <v>957</v>
      </c>
      <c r="T20" s="427" t="s">
        <v>966</v>
      </c>
      <c r="U20" s="427" t="s">
        <v>87</v>
      </c>
      <c r="V20" s="427" t="str">
        <f t="shared" si="1"/>
        <v>Residential -:- Detached Dwellings -:- Open Fire -:- Wood</v>
      </c>
      <c r="W20" s="272" t="str">
        <f>+RES!D11</f>
        <v>Detached dwellings - Heat/Cooling Devices - Open Fire</v>
      </c>
      <c r="X20" s="273" t="s">
        <v>53</v>
      </c>
      <c r="Y20" s="273" t="s">
        <v>371</v>
      </c>
      <c r="Z20" s="273"/>
      <c r="AA20" s="273"/>
      <c r="AB20" s="273"/>
    </row>
    <row r="21" spans="2:28" ht="13.15">
      <c r="B21" s="274" t="s">
        <v>310</v>
      </c>
      <c r="C21" s="274" t="s">
        <v>852</v>
      </c>
      <c r="D21" s="426"/>
      <c r="E21" s="426" t="s">
        <v>958</v>
      </c>
      <c r="F21" s="426" t="str">
        <f t="shared" si="3"/>
        <v xml:space="preserve"> -:- Clothes Drying</v>
      </c>
      <c r="G21" s="274" t="s">
        <v>853</v>
      </c>
      <c r="H21" s="274" t="s">
        <v>53</v>
      </c>
      <c r="I21" s="274"/>
      <c r="J21" s="274"/>
      <c r="K21" s="274"/>
      <c r="L21" s="274"/>
      <c r="P21" s="272" t="s">
        <v>311</v>
      </c>
      <c r="Q21" s="272" t="str">
        <f>+RES!C12</f>
        <v>R_DDW-SH_OF-COA00</v>
      </c>
      <c r="R21" s="272" t="s">
        <v>44</v>
      </c>
      <c r="S21" s="427" t="s">
        <v>957</v>
      </c>
      <c r="T21" s="427" t="s">
        <v>966</v>
      </c>
      <c r="U21" s="427" t="s">
        <v>81</v>
      </c>
      <c r="V21" s="427" t="str">
        <f t="shared" si="1"/>
        <v>Residential -:- Detached Dwellings -:- Open Fire -:- Coal</v>
      </c>
      <c r="W21" s="272" t="str">
        <f>+RES!D12</f>
        <v>Detached dwellings - Heat/Cooling Devices - Open Fire</v>
      </c>
      <c r="X21" s="273" t="s">
        <v>53</v>
      </c>
      <c r="Y21" s="273" t="s">
        <v>371</v>
      </c>
      <c r="Z21" s="273"/>
      <c r="AA21" s="273"/>
      <c r="AB21" s="273"/>
    </row>
    <row r="22" spans="2:28" ht="13.15">
      <c r="B22" s="274" t="s">
        <v>310</v>
      </c>
      <c r="C22" s="274" t="s">
        <v>854</v>
      </c>
      <c r="D22" s="426"/>
      <c r="E22" s="426" t="s">
        <v>959</v>
      </c>
      <c r="F22" s="426" t="str">
        <f t="shared" si="3"/>
        <v xml:space="preserve"> -:- Space Cooling</v>
      </c>
      <c r="G22" s="274" t="s">
        <v>855</v>
      </c>
      <c r="H22" s="274" t="s">
        <v>53</v>
      </c>
      <c r="I22" s="274"/>
      <c r="J22" s="274"/>
      <c r="K22" s="274"/>
      <c r="L22" s="274"/>
      <c r="P22" s="272" t="s">
        <v>311</v>
      </c>
      <c r="Q22" s="272" t="str">
        <f>+RES!C13</f>
        <v>R_DDW-SH_OFWB-COA00</v>
      </c>
      <c r="R22" s="272" t="s">
        <v>44</v>
      </c>
      <c r="S22" s="427" t="s">
        <v>957</v>
      </c>
      <c r="T22" s="427" t="s">
        <v>967</v>
      </c>
      <c r="U22" s="427" t="s">
        <v>81</v>
      </c>
      <c r="V22" s="427" t="str">
        <f t="shared" si="1"/>
        <v>Residential -:- Detached Dwellings -:- Open Fire (with Wetback) -:- Coal</v>
      </c>
      <c r="W22" s="272" t="str">
        <f>+RES!D13</f>
        <v>Detached dwellings - Heat/Cooling Devices - Open Fire, with Wetback</v>
      </c>
      <c r="X22" s="273" t="s">
        <v>53</v>
      </c>
      <c r="Y22" s="273" t="s">
        <v>371</v>
      </c>
      <c r="Z22" s="273"/>
      <c r="AA22" s="273"/>
      <c r="AB22" s="273"/>
    </row>
    <row r="23" spans="2:28" ht="13.15">
      <c r="B23" s="274" t="s">
        <v>310</v>
      </c>
      <c r="C23" s="274" t="s">
        <v>856</v>
      </c>
      <c r="D23" s="426"/>
      <c r="E23" s="426" t="s">
        <v>960</v>
      </c>
      <c r="F23" s="426" t="str">
        <f t="shared" si="3"/>
        <v xml:space="preserve"> -:- Clothes Washing</v>
      </c>
      <c r="G23" s="274" t="s">
        <v>857</v>
      </c>
      <c r="H23" s="274" t="s">
        <v>53</v>
      </c>
      <c r="I23" s="274"/>
      <c r="J23" s="274"/>
      <c r="K23" s="274"/>
      <c r="L23" s="274"/>
      <c r="P23" s="272" t="s">
        <v>311</v>
      </c>
      <c r="Q23" s="272" t="str">
        <f>+RES!C14</f>
        <v>R_DDW-SH_HP-ELC00</v>
      </c>
      <c r="R23" s="272" t="s">
        <v>44</v>
      </c>
      <c r="S23" s="427" t="s">
        <v>957</v>
      </c>
      <c r="T23" s="427" t="s">
        <v>968</v>
      </c>
      <c r="U23" s="427" t="s">
        <v>57</v>
      </c>
      <c r="V23" s="427" t="str">
        <f t="shared" si="1"/>
        <v>Residential -:- Detached Dwellings -:- Heat Pump -:- Electricity</v>
      </c>
      <c r="W23" s="272" t="str">
        <f>+RES!D14</f>
        <v>Detached dwellings - Heat/Cooling Devices - Heat Pump (for Heating)</v>
      </c>
      <c r="X23" s="273" t="s">
        <v>53</v>
      </c>
      <c r="Y23" s="273" t="s">
        <v>371</v>
      </c>
      <c r="Z23" s="273"/>
      <c r="AA23" s="273"/>
      <c r="AB23" s="273"/>
    </row>
    <row r="24" spans="2:28" ht="13.15">
      <c r="B24" s="274" t="s">
        <v>310</v>
      </c>
      <c r="C24" s="274" t="s">
        <v>858</v>
      </c>
      <c r="D24" s="426"/>
      <c r="E24" s="426" t="s">
        <v>961</v>
      </c>
      <c r="F24" s="426" t="str">
        <f t="shared" si="3"/>
        <v xml:space="preserve"> -:- Dishwashing</v>
      </c>
      <c r="G24" s="274" t="s">
        <v>859</v>
      </c>
      <c r="H24" s="274" t="s">
        <v>53</v>
      </c>
      <c r="I24" s="274"/>
      <c r="J24" s="274"/>
      <c r="K24" s="274"/>
      <c r="L24" s="274"/>
      <c r="P24" s="272" t="s">
        <v>311</v>
      </c>
      <c r="Q24" s="272" t="str">
        <f>+RES!C15</f>
        <v>R_DDW-SH_RH-ELC00</v>
      </c>
      <c r="R24" s="272" t="s">
        <v>44</v>
      </c>
      <c r="S24" s="427" t="s">
        <v>957</v>
      </c>
      <c r="T24" s="427" t="s">
        <v>969</v>
      </c>
      <c r="U24" s="427" t="s">
        <v>57</v>
      </c>
      <c r="V24" s="427" t="str">
        <f t="shared" si="1"/>
        <v>Residential -:- Detached Dwellings -:- Resistance Heater -:- Electricity</v>
      </c>
      <c r="W24" s="272" t="str">
        <f>+RES!D15</f>
        <v>Detached dwellings - Heat/Cooling Devices - Resistance Heater</v>
      </c>
      <c r="X24" s="273" t="s">
        <v>53</v>
      </c>
      <c r="Y24" s="273" t="s">
        <v>371</v>
      </c>
      <c r="Z24" s="273"/>
      <c r="AA24" s="273"/>
      <c r="AB24" s="273"/>
    </row>
    <row r="25" spans="2:28" ht="13.15">
      <c r="B25" s="274" t="s">
        <v>310</v>
      </c>
      <c r="C25" s="274" t="s">
        <v>860</v>
      </c>
      <c r="D25" s="426"/>
      <c r="E25" s="426" t="s">
        <v>932</v>
      </c>
      <c r="F25" s="426" t="str">
        <f t="shared" si="3"/>
        <v xml:space="preserve"> -:- Lighting</v>
      </c>
      <c r="G25" s="274" t="s">
        <v>861</v>
      </c>
      <c r="H25" s="274" t="s">
        <v>53</v>
      </c>
      <c r="I25" s="274"/>
      <c r="J25" s="274"/>
      <c r="K25" s="274"/>
      <c r="L25" s="274"/>
      <c r="P25" s="272" t="s">
        <v>311</v>
      </c>
      <c r="Q25" s="272" t="str">
        <f>+RES!C16</f>
        <v>R_DDW-WH_OFWB-COA00</v>
      </c>
      <c r="R25" s="272" t="s">
        <v>44</v>
      </c>
      <c r="S25" s="427" t="s">
        <v>957</v>
      </c>
      <c r="T25" s="427" t="s">
        <v>967</v>
      </c>
      <c r="U25" s="427" t="s">
        <v>81</v>
      </c>
      <c r="V25" s="427" t="str">
        <f t="shared" si="1"/>
        <v>Residential -:- Detached Dwellings -:- Open Fire (with Wetback) -:- Coal</v>
      </c>
      <c r="W25" s="272" t="str">
        <f>+RES!D16</f>
        <v>Detached dwellings - Heat/Cooling Devices - Open Fire, with Wetback</v>
      </c>
      <c r="X25" s="273" t="s">
        <v>53</v>
      </c>
      <c r="Y25" s="273" t="s">
        <v>371</v>
      </c>
      <c r="Z25" s="273"/>
      <c r="AA25" s="273"/>
      <c r="AB25" s="273"/>
    </row>
    <row r="26" spans="2:28" ht="13.15">
      <c r="B26" s="274" t="s">
        <v>310</v>
      </c>
      <c r="C26" s="274" t="s">
        <v>862</v>
      </c>
      <c r="D26" s="426"/>
      <c r="E26" s="426" t="s">
        <v>962</v>
      </c>
      <c r="F26" s="426" t="str">
        <f t="shared" si="3"/>
        <v xml:space="preserve"> -:- Electronics and Other Appliances</v>
      </c>
      <c r="G26" s="274" t="s">
        <v>863</v>
      </c>
      <c r="H26" s="274" t="s">
        <v>53</v>
      </c>
      <c r="I26" s="274"/>
      <c r="J26" s="274"/>
      <c r="K26" s="274"/>
      <c r="L26" s="274"/>
      <c r="P26" s="272" t="s">
        <v>311</v>
      </c>
      <c r="Q26" s="272" t="str">
        <f>+RES!C17</f>
        <v>R_DDW-WH_HWC-SOL00</v>
      </c>
      <c r="R26" s="272" t="s">
        <v>44</v>
      </c>
      <c r="S26" s="427" t="s">
        <v>957</v>
      </c>
      <c r="T26" s="427" t="s">
        <v>925</v>
      </c>
      <c r="U26" s="427" t="s">
        <v>86</v>
      </c>
      <c r="V26" s="427" t="str">
        <f t="shared" si="1"/>
        <v>Residential -:- Detached Dwellings -:- Hot Water Cylinder -:- Solar</v>
      </c>
      <c r="W26" s="272" t="str">
        <f>+RES!D17</f>
        <v>Detached dwellings - Heat/Cooling Devices - Hot Water Cylinder</v>
      </c>
      <c r="X26" s="273" t="s">
        <v>53</v>
      </c>
      <c r="Y26" s="273" t="s">
        <v>371</v>
      </c>
      <c r="Z26" s="273"/>
      <c r="AA26" s="273"/>
      <c r="AB26" s="273"/>
    </row>
    <row r="27" spans="2:28" ht="13.15">
      <c r="B27" s="274" t="s">
        <v>310</v>
      </c>
      <c r="C27" s="274" t="s">
        <v>864</v>
      </c>
      <c r="D27" s="426"/>
      <c r="E27" s="426" t="s">
        <v>941</v>
      </c>
      <c r="F27" s="426" t="str">
        <f t="shared" si="3"/>
        <v xml:space="preserve"> -:- Motive Power, Stationary</v>
      </c>
      <c r="G27" s="274" t="s">
        <v>865</v>
      </c>
      <c r="H27" s="274" t="s">
        <v>53</v>
      </c>
      <c r="I27" s="274"/>
      <c r="J27" s="274"/>
      <c r="K27" s="274"/>
      <c r="L27" s="274"/>
      <c r="P27" s="272" t="s">
        <v>311</v>
      </c>
      <c r="Q27" s="272" t="str">
        <f>+RES!C18</f>
        <v>R_DDW-WH_HWC-ELC00</v>
      </c>
      <c r="R27" s="272" t="s">
        <v>44</v>
      </c>
      <c r="S27" s="427" t="s">
        <v>957</v>
      </c>
      <c r="T27" s="427" t="s">
        <v>925</v>
      </c>
      <c r="U27" s="427" t="s">
        <v>57</v>
      </c>
      <c r="V27" s="427" t="str">
        <f t="shared" si="1"/>
        <v>Residential -:- Detached Dwellings -:- Hot Water Cylinder -:- Electricity</v>
      </c>
      <c r="W27" s="272" t="str">
        <f>+RES!D18</f>
        <v>Detached dwellings - Heat/Cooling Devices - Hot Water Cylinder</v>
      </c>
      <c r="X27" s="273" t="s">
        <v>53</v>
      </c>
      <c r="Y27" s="273" t="s">
        <v>371</v>
      </c>
      <c r="Z27" s="273"/>
      <c r="AA27" s="273"/>
      <c r="AB27" s="273"/>
    </row>
    <row r="28" spans="2:28" ht="13.15">
      <c r="B28" s="274" t="s">
        <v>310</v>
      </c>
      <c r="C28" s="274" t="s">
        <v>866</v>
      </c>
      <c r="D28" s="426"/>
      <c r="E28" s="426" t="s">
        <v>963</v>
      </c>
      <c r="F28" s="426" t="str">
        <f t="shared" si="3"/>
        <v xml:space="preserve"> -:- Motive Power, Mobile</v>
      </c>
      <c r="G28" s="274" t="s">
        <v>867</v>
      </c>
      <c r="H28" s="274" t="s">
        <v>53</v>
      </c>
      <c r="I28" s="274"/>
      <c r="J28" s="274"/>
      <c r="K28" s="274"/>
      <c r="L28" s="274"/>
      <c r="P28" s="272" t="s">
        <v>311</v>
      </c>
      <c r="Q28" s="272" t="str">
        <f>+RES!C19</f>
        <v>R_DDW-WH_Gasheat-LPG00</v>
      </c>
      <c r="R28" s="272" t="s">
        <v>44</v>
      </c>
      <c r="S28" s="427" t="s">
        <v>957</v>
      </c>
      <c r="T28" s="427" t="s">
        <v>970</v>
      </c>
      <c r="U28" s="427" t="s">
        <v>71</v>
      </c>
      <c r="V28" s="427" t="str">
        <f t="shared" si="1"/>
        <v>Residential -:- Detached Dwellings -:- Gas Heater -:- LPG</v>
      </c>
      <c r="W28" s="272" t="str">
        <f>+RES!D19</f>
        <v>Detached dwellings - Heat/Cooling Devices - Gas Water Heater</v>
      </c>
      <c r="X28" s="273" t="s">
        <v>53</v>
      </c>
      <c r="Y28" s="273" t="s">
        <v>371</v>
      </c>
      <c r="Z28" s="273"/>
      <c r="AA28" s="273"/>
      <c r="AB28" s="273"/>
    </row>
    <row r="29" spans="2:28" ht="13.15">
      <c r="B29" s="274" t="s">
        <v>310</v>
      </c>
      <c r="C29" s="274" t="s">
        <v>868</v>
      </c>
      <c r="D29" s="426"/>
      <c r="E29" s="426" t="s">
        <v>942</v>
      </c>
      <c r="F29" s="426" t="str">
        <f t="shared" si="3"/>
        <v xml:space="preserve"> -:- Space Heating</v>
      </c>
      <c r="G29" s="274" t="s">
        <v>869</v>
      </c>
      <c r="H29" s="274" t="s">
        <v>53</v>
      </c>
      <c r="I29" s="274"/>
      <c r="J29" s="274"/>
      <c r="K29" s="274"/>
      <c r="L29" s="274"/>
      <c r="P29" s="272" t="s">
        <v>311</v>
      </c>
      <c r="Q29" s="272" t="str">
        <f>+RES!C20</f>
        <v>R_DDW-WH_BRNWB-WOD00</v>
      </c>
      <c r="R29" s="272" t="s">
        <v>44</v>
      </c>
      <c r="S29" s="427" t="s">
        <v>957</v>
      </c>
      <c r="T29" s="427" t="s">
        <v>971</v>
      </c>
      <c r="U29" s="427" t="s">
        <v>87</v>
      </c>
      <c r="V29" s="427" t="str">
        <f t="shared" si="1"/>
        <v>Residential -:- Detached Dwellings -:- Burner (with Wetback) -:- Wood</v>
      </c>
      <c r="W29" s="272" t="str">
        <f>+RES!D20</f>
        <v>Detached dwellings - Heat/Cooling Devices - Burner, with Wetback</v>
      </c>
      <c r="X29" s="273" t="s">
        <v>53</v>
      </c>
      <c r="Y29" s="273" t="s">
        <v>371</v>
      </c>
      <c r="Z29" s="273"/>
      <c r="AA29" s="273"/>
      <c r="AB29" s="273"/>
    </row>
    <row r="30" spans="2:28" ht="13.15">
      <c r="B30" s="274" t="s">
        <v>310</v>
      </c>
      <c r="C30" s="274" t="s">
        <v>870</v>
      </c>
      <c r="D30" s="426"/>
      <c r="E30" s="426" t="s">
        <v>918</v>
      </c>
      <c r="F30" s="426" t="str">
        <f t="shared" si="3"/>
        <v xml:space="preserve"> -:- Water Heating</v>
      </c>
      <c r="G30" s="274" t="s">
        <v>871</v>
      </c>
      <c r="H30" s="274" t="s">
        <v>53</v>
      </c>
      <c r="I30" s="274"/>
      <c r="J30" s="274"/>
      <c r="K30" s="274"/>
      <c r="L30" s="274"/>
      <c r="P30" s="272" t="s">
        <v>311</v>
      </c>
      <c r="Q30" s="272" t="str">
        <f>+RES!C21</f>
        <v>R_DDW-CK_Oven-COA00</v>
      </c>
      <c r="R30" s="272" t="s">
        <v>44</v>
      </c>
      <c r="S30" s="427" t="s">
        <v>957</v>
      </c>
      <c r="T30" s="427" t="s">
        <v>972</v>
      </c>
      <c r="U30" s="427" t="s">
        <v>81</v>
      </c>
      <c r="V30" s="427" t="str">
        <f t="shared" si="1"/>
        <v>Residential -:- Detached Dwellings -:- Oven -:- Coal</v>
      </c>
      <c r="W30" s="272" t="str">
        <f>+RES!D21</f>
        <v>Detached dwellings - Heat/Cooling Devices - Cooking Ovens</v>
      </c>
      <c r="X30" s="273" t="s">
        <v>53</v>
      </c>
      <c r="Y30" s="273" t="s">
        <v>371</v>
      </c>
      <c r="Z30" s="273"/>
      <c r="AA30" s="273"/>
      <c r="AB30" s="273"/>
    </row>
    <row r="31" spans="2:28" ht="13.15">
      <c r="B31" s="274" t="s">
        <v>310</v>
      </c>
      <c r="C31" s="274" t="s">
        <v>872</v>
      </c>
      <c r="D31" s="426"/>
      <c r="E31" s="426" t="s">
        <v>219</v>
      </c>
      <c r="F31" s="426" t="str">
        <f t="shared" si="3"/>
        <v xml:space="preserve"> -:- Cooking</v>
      </c>
      <c r="G31" s="274" t="s">
        <v>873</v>
      </c>
      <c r="H31" s="274" t="s">
        <v>53</v>
      </c>
      <c r="I31" s="274"/>
      <c r="J31" s="274"/>
      <c r="K31" s="274"/>
      <c r="L31" s="274"/>
      <c r="P31" s="272" t="s">
        <v>311</v>
      </c>
      <c r="Q31" s="272" t="str">
        <f>+RES!C22</f>
        <v>R_DDW-CK_Appl-ELC00</v>
      </c>
      <c r="R31" s="272" t="s">
        <v>44</v>
      </c>
      <c r="S31" s="427" t="s">
        <v>957</v>
      </c>
      <c r="T31" s="427" t="s">
        <v>973</v>
      </c>
      <c r="U31" s="427" t="s">
        <v>57</v>
      </c>
      <c r="V31" s="427" t="str">
        <f t="shared" si="1"/>
        <v>Residential -:- Detached Dwellings -:- Cooking Element -:- Electricity</v>
      </c>
      <c r="W31" s="272" t="str">
        <f>+RES!D22</f>
        <v>Detached dwellings - Heat/Cooling Devices - Cooking Appliances</v>
      </c>
      <c r="X31" s="273" t="s">
        <v>53</v>
      </c>
      <c r="Y31" s="273" t="s">
        <v>371</v>
      </c>
      <c r="Z31" s="273"/>
      <c r="AA31" s="273"/>
      <c r="AB31" s="273"/>
    </row>
    <row r="32" spans="2:28" ht="13.15">
      <c r="B32" s="274" t="s">
        <v>310</v>
      </c>
      <c r="C32" s="274" t="s">
        <v>874</v>
      </c>
      <c r="D32" s="426"/>
      <c r="E32" s="426" t="s">
        <v>930</v>
      </c>
      <c r="F32" s="426" t="str">
        <f t="shared" si="3"/>
        <v xml:space="preserve"> -:- Refrigeration</v>
      </c>
      <c r="G32" s="274" t="s">
        <v>875</v>
      </c>
      <c r="H32" s="274" t="s">
        <v>53</v>
      </c>
      <c r="I32" s="274"/>
      <c r="J32" s="274"/>
      <c r="K32" s="274"/>
      <c r="L32" s="274"/>
      <c r="P32" s="272" t="s">
        <v>311</v>
      </c>
      <c r="Q32" s="272" t="str">
        <f>+RES!C23</f>
        <v>R_DDW-CK_Appl-LPG00</v>
      </c>
      <c r="R32" s="272" t="s">
        <v>44</v>
      </c>
      <c r="S32" s="427" t="s">
        <v>957</v>
      </c>
      <c r="T32" s="427" t="s">
        <v>973</v>
      </c>
      <c r="U32" s="427" t="s">
        <v>71</v>
      </c>
      <c r="V32" s="427" t="str">
        <f t="shared" si="1"/>
        <v>Residential -:- Detached Dwellings -:- Cooking Element -:- LPG</v>
      </c>
      <c r="W32" s="272" t="str">
        <f>+RES!D23</f>
        <v>Detached dwellings - Heat/Cooling Devices - Cooking Appliances</v>
      </c>
      <c r="X32" s="273" t="s">
        <v>53</v>
      </c>
      <c r="Y32" s="273" t="s">
        <v>371</v>
      </c>
      <c r="Z32" s="273"/>
      <c r="AA32" s="273"/>
      <c r="AB32" s="273"/>
    </row>
    <row r="33" spans="1:28" ht="13.15">
      <c r="B33" s="274" t="s">
        <v>310</v>
      </c>
      <c r="C33" s="274" t="s">
        <v>876</v>
      </c>
      <c r="D33" s="426"/>
      <c r="E33" s="426" t="s">
        <v>958</v>
      </c>
      <c r="F33" s="426" t="str">
        <f t="shared" si="3"/>
        <v xml:space="preserve"> -:- Clothes Drying</v>
      </c>
      <c r="G33" s="274" t="s">
        <v>877</v>
      </c>
      <c r="H33" s="274" t="s">
        <v>53</v>
      </c>
      <c r="I33" s="274"/>
      <c r="J33" s="274"/>
      <c r="K33" s="274"/>
      <c r="L33" s="274"/>
      <c r="P33" s="272" t="s">
        <v>311</v>
      </c>
      <c r="Q33" s="272" t="str">
        <f>+RES!C24</f>
        <v>R_DDW-RF_Refriger-ELC00</v>
      </c>
      <c r="R33" s="272" t="s">
        <v>44</v>
      </c>
      <c r="S33" s="427" t="s">
        <v>957</v>
      </c>
      <c r="T33" s="427" t="s">
        <v>937</v>
      </c>
      <c r="U33" s="427" t="s">
        <v>57</v>
      </c>
      <c r="V33" s="427" t="str">
        <f t="shared" si="1"/>
        <v>Residential -:- Detached Dwellings -:- Refrigerator -:- Electricity</v>
      </c>
      <c r="W33" s="272" t="str">
        <f>+RES!D24</f>
        <v>Detached dwellings - Heat/Cooling Devices - Refrigeration systems</v>
      </c>
      <c r="X33" s="273" t="s">
        <v>53</v>
      </c>
      <c r="Y33" s="273" t="s">
        <v>371</v>
      </c>
      <c r="Z33" s="273"/>
      <c r="AA33" s="273"/>
      <c r="AB33" s="273"/>
    </row>
    <row r="34" spans="1:28" ht="13.15">
      <c r="B34" s="274" t="s">
        <v>310</v>
      </c>
      <c r="C34" s="274" t="s">
        <v>878</v>
      </c>
      <c r="D34" s="426"/>
      <c r="E34" s="426" t="s">
        <v>959</v>
      </c>
      <c r="F34" s="426" t="str">
        <f t="shared" si="3"/>
        <v xml:space="preserve"> -:- Space Cooling</v>
      </c>
      <c r="G34" s="274" t="s">
        <v>879</v>
      </c>
      <c r="H34" s="274" t="s">
        <v>53</v>
      </c>
      <c r="I34" s="274"/>
      <c r="J34" s="274"/>
      <c r="K34" s="274"/>
      <c r="L34" s="274"/>
      <c r="P34" s="272" t="s">
        <v>311</v>
      </c>
      <c r="Q34" s="272" t="str">
        <f>+RES!C25</f>
        <v>R_DDW-CD_Dryer-ELC00</v>
      </c>
      <c r="R34" s="272" t="s">
        <v>44</v>
      </c>
      <c r="S34" s="427" t="s">
        <v>957</v>
      </c>
      <c r="T34" s="427" t="s">
        <v>974</v>
      </c>
      <c r="U34" s="427" t="s">
        <v>57</v>
      </c>
      <c r="V34" s="427" t="str">
        <f t="shared" si="1"/>
        <v>Residential -:- Detached Dwellings -:- Clothes Dryer -:- Electricity</v>
      </c>
      <c r="W34" s="272" t="str">
        <f>+RES!D25</f>
        <v>Detached dwellings - Heat/Cooling Devices - Clothes Dryer</v>
      </c>
      <c r="X34" s="273" t="s">
        <v>53</v>
      </c>
      <c r="Y34" s="273" t="s">
        <v>371</v>
      </c>
      <c r="Z34" s="273"/>
      <c r="AA34" s="273"/>
      <c r="AB34" s="273"/>
    </row>
    <row r="35" spans="1:28" ht="13.15">
      <c r="B35" s="274" t="s">
        <v>310</v>
      </c>
      <c r="C35" s="274" t="s">
        <v>880</v>
      </c>
      <c r="D35" s="426"/>
      <c r="E35" s="426" t="s">
        <v>960</v>
      </c>
      <c r="F35" s="426" t="str">
        <f t="shared" si="3"/>
        <v xml:space="preserve"> -:- Clothes Washing</v>
      </c>
      <c r="G35" s="274" t="s">
        <v>881</v>
      </c>
      <c r="H35" s="274" t="s">
        <v>53</v>
      </c>
      <c r="I35" s="274"/>
      <c r="J35" s="274"/>
      <c r="K35" s="274"/>
      <c r="L35" s="274"/>
      <c r="P35" s="272" t="s">
        <v>311</v>
      </c>
      <c r="Q35" s="272" t="str">
        <f>+RES!C26</f>
        <v>R_DDW-SC_HP-ELC00</v>
      </c>
      <c r="R35" s="272" t="s">
        <v>44</v>
      </c>
      <c r="S35" s="427" t="s">
        <v>957</v>
      </c>
      <c r="T35" s="427" t="s">
        <v>968</v>
      </c>
      <c r="U35" s="427" t="s">
        <v>57</v>
      </c>
      <c r="V35" s="427" t="str">
        <f t="shared" si="1"/>
        <v>Residential -:- Detached Dwellings -:- Heat Pump -:- Electricity</v>
      </c>
      <c r="W35" s="272" t="str">
        <f>+RES!D26</f>
        <v>Detached dwellings - Heat/Cooling Devices - Heat Pump (for Cooling)</v>
      </c>
      <c r="X35" s="273" t="s">
        <v>53</v>
      </c>
      <c r="Y35" s="273" t="s">
        <v>371</v>
      </c>
      <c r="Z35" s="273"/>
      <c r="AA35" s="273"/>
      <c r="AB35" s="273"/>
    </row>
    <row r="36" spans="1:28" ht="13.15">
      <c r="B36" s="274" t="s">
        <v>310</v>
      </c>
      <c r="C36" s="274" t="s">
        <v>882</v>
      </c>
      <c r="D36" s="426"/>
      <c r="E36" s="426" t="s">
        <v>961</v>
      </c>
      <c r="F36" s="426" t="str">
        <f t="shared" si="3"/>
        <v xml:space="preserve"> -:- Dishwashing</v>
      </c>
      <c r="G36" s="274" t="s">
        <v>883</v>
      </c>
      <c r="H36" s="274" t="s">
        <v>53</v>
      </c>
      <c r="I36" s="274"/>
      <c r="J36" s="274"/>
      <c r="K36" s="274"/>
      <c r="L36" s="274"/>
      <c r="P36" s="272" t="s">
        <v>311</v>
      </c>
      <c r="Q36" s="272" t="str">
        <f>+RES!C27</f>
        <v>R_DDW-CW_Washer-ELC00</v>
      </c>
      <c r="R36" s="272" t="s">
        <v>44</v>
      </c>
      <c r="S36" s="427" t="s">
        <v>957</v>
      </c>
      <c r="T36" s="427" t="s">
        <v>975</v>
      </c>
      <c r="U36" s="427" t="s">
        <v>57</v>
      </c>
      <c r="V36" s="427" t="str">
        <f t="shared" si="1"/>
        <v>Residential -:- Detached Dwellings -:- Clothes Washer -:- Electricity</v>
      </c>
      <c r="W36" s="272" t="str">
        <f>+RES!D27</f>
        <v>Detached dwellings - Heat/Cooling Devices - Clothes Washers</v>
      </c>
      <c r="X36" s="273" t="s">
        <v>53</v>
      </c>
      <c r="Y36" s="273" t="s">
        <v>371</v>
      </c>
      <c r="Z36" s="273"/>
      <c r="AA36" s="273"/>
      <c r="AB36" s="273"/>
    </row>
    <row r="37" spans="1:28" ht="13.15">
      <c r="B37" s="274" t="s">
        <v>310</v>
      </c>
      <c r="C37" s="274" t="s">
        <v>884</v>
      </c>
      <c r="D37" s="426"/>
      <c r="E37" s="426" t="s">
        <v>932</v>
      </c>
      <c r="F37" s="426" t="str">
        <f t="shared" si="3"/>
        <v xml:space="preserve"> -:- Lighting</v>
      </c>
      <c r="G37" s="274" t="s">
        <v>885</v>
      </c>
      <c r="H37" s="274" t="s">
        <v>53</v>
      </c>
      <c r="I37" s="274"/>
      <c r="J37" s="274"/>
      <c r="K37" s="274"/>
      <c r="L37" s="274"/>
      <c r="P37" s="272" t="s">
        <v>311</v>
      </c>
      <c r="Q37" s="272" t="str">
        <f>+RES!C28</f>
        <v>R_DDW-DW_Dwash-ELC00</v>
      </c>
      <c r="R37" s="272" t="s">
        <v>44</v>
      </c>
      <c r="S37" s="427" t="s">
        <v>957</v>
      </c>
      <c r="T37" s="427" t="s">
        <v>976</v>
      </c>
      <c r="U37" s="427" t="s">
        <v>57</v>
      </c>
      <c r="V37" s="427" t="str">
        <f t="shared" si="1"/>
        <v>Residential -:- Detached Dwellings -:- Dishwasher -:- Electricity</v>
      </c>
      <c r="W37" s="272" t="str">
        <f>+RES!D28</f>
        <v>Detached dwellings - Heat/Cooling Devices - Dishwashers</v>
      </c>
      <c r="X37" s="273" t="s">
        <v>53</v>
      </c>
      <c r="Y37" s="273" t="s">
        <v>371</v>
      </c>
      <c r="Z37" s="273"/>
      <c r="AA37" s="273"/>
      <c r="AB37" s="273"/>
    </row>
    <row r="38" spans="1:28" ht="13.15">
      <c r="B38" s="274" t="s">
        <v>310</v>
      </c>
      <c r="C38" s="274" t="s">
        <v>886</v>
      </c>
      <c r="D38" s="426"/>
      <c r="E38" s="426" t="s">
        <v>962</v>
      </c>
      <c r="F38" s="426" t="str">
        <f t="shared" si="3"/>
        <v xml:space="preserve"> -:- Electronics and Other Appliances</v>
      </c>
      <c r="G38" s="274" t="s">
        <v>887</v>
      </c>
      <c r="H38" s="274" t="s">
        <v>53</v>
      </c>
      <c r="I38" s="274"/>
      <c r="J38" s="274"/>
      <c r="K38" s="274"/>
      <c r="L38" s="274"/>
      <c r="P38" s="272" t="s">
        <v>311</v>
      </c>
      <c r="Q38" s="272" t="str">
        <f>+RES!C29</f>
        <v>R_DDW-LT_LED-ELC00</v>
      </c>
      <c r="R38" s="272" t="s">
        <v>44</v>
      </c>
      <c r="S38" s="427" t="s">
        <v>957</v>
      </c>
      <c r="T38" s="427" t="s">
        <v>977</v>
      </c>
      <c r="U38" s="427" t="s">
        <v>57</v>
      </c>
      <c r="V38" s="427" t="str">
        <f t="shared" si="1"/>
        <v>Residential -:- Detached Dwellings -:- Lights (LED) -:- Electricity</v>
      </c>
      <c r="W38" s="272" t="str">
        <f>+RES!D29</f>
        <v>Detached dwellings - Electronics and Lights - LED</v>
      </c>
      <c r="X38" s="273" t="s">
        <v>53</v>
      </c>
      <c r="Y38" s="273" t="s">
        <v>371</v>
      </c>
      <c r="Z38" s="273"/>
      <c r="AA38" s="273"/>
      <c r="AB38" s="273"/>
    </row>
    <row r="39" spans="1:28" ht="13.15">
      <c r="B39" s="274" t="s">
        <v>310</v>
      </c>
      <c r="C39" s="274" t="s">
        <v>888</v>
      </c>
      <c r="D39" s="426"/>
      <c r="E39" s="426" t="s">
        <v>941</v>
      </c>
      <c r="F39" s="426" t="str">
        <f t="shared" si="3"/>
        <v xml:space="preserve"> -:- Motive Power, Stationary</v>
      </c>
      <c r="G39" s="274" t="s">
        <v>889</v>
      </c>
      <c r="H39" s="274" t="s">
        <v>53</v>
      </c>
      <c r="I39" s="274"/>
      <c r="J39" s="274"/>
      <c r="K39" s="274"/>
      <c r="L39" s="274"/>
      <c r="P39" s="272" t="s">
        <v>311</v>
      </c>
      <c r="Q39" s="272" t="str">
        <f>+RES!C30</f>
        <v>R_DDW-LT_Incan-ELC00</v>
      </c>
      <c r="R39" s="272" t="s">
        <v>44</v>
      </c>
      <c r="S39" s="427" t="s">
        <v>957</v>
      </c>
      <c r="T39" s="427" t="s">
        <v>978</v>
      </c>
      <c r="U39" s="427" t="s">
        <v>57</v>
      </c>
      <c r="V39" s="427" t="str">
        <f t="shared" si="1"/>
        <v>Residential -:- Detached Dwellings -:- Lights (Incandescent)  -:- Electricity</v>
      </c>
      <c r="W39" s="272" t="str">
        <f>+RES!D30</f>
        <v>Detached dwellings - Electronics and Lights - Incandescent</v>
      </c>
      <c r="X39" s="273" t="s">
        <v>53</v>
      </c>
      <c r="Y39" s="273" t="s">
        <v>371</v>
      </c>
      <c r="Z39" s="273"/>
      <c r="AA39" s="273"/>
      <c r="AB39" s="273"/>
    </row>
    <row r="40" spans="1:28" ht="13.15">
      <c r="B40" s="274" t="s">
        <v>310</v>
      </c>
      <c r="C40" s="274" t="s">
        <v>890</v>
      </c>
      <c r="D40" s="426"/>
      <c r="E40" s="426" t="s">
        <v>963</v>
      </c>
      <c r="F40" s="426" t="str">
        <f t="shared" si="3"/>
        <v xml:space="preserve"> -:- Motive Power, Mobile</v>
      </c>
      <c r="G40" s="274" t="s">
        <v>891</v>
      </c>
      <c r="H40" s="274" t="s">
        <v>53</v>
      </c>
      <c r="I40" s="274"/>
      <c r="J40" s="274"/>
      <c r="K40" s="274"/>
      <c r="L40" s="274"/>
      <c r="P40" s="272" t="s">
        <v>311</v>
      </c>
      <c r="Q40" s="272" t="str">
        <f>+RES!C31</f>
        <v>R_DDW-LT_CFL-ELC00</v>
      </c>
      <c r="R40" s="272" t="s">
        <v>44</v>
      </c>
      <c r="S40" s="427" t="s">
        <v>957</v>
      </c>
      <c r="T40" s="427" t="s">
        <v>979</v>
      </c>
      <c r="U40" s="427" t="s">
        <v>57</v>
      </c>
      <c r="V40" s="427" t="str">
        <f t="shared" ref="V40:V63" si="4" xml:space="preserve"> _xlfn.CONCAT( R40, " -:- ", S40, " -:- ", T40, " -:- ", U40)</f>
        <v>Residential -:- Detached Dwellings -:- Lights (Fluorescent)  -:- Electricity</v>
      </c>
      <c r="W40" s="272" t="str">
        <f>+RES!D31</f>
        <v>Detached dwellings - Electronics and Lights - Fluorescent</v>
      </c>
      <c r="X40" s="273" t="s">
        <v>53</v>
      </c>
      <c r="Y40" s="273" t="s">
        <v>371</v>
      </c>
      <c r="Z40" s="273"/>
      <c r="AA40" s="273"/>
      <c r="AB40" s="273"/>
    </row>
    <row r="41" spans="1:28" ht="13.15">
      <c r="A41"/>
      <c r="B41" s="274"/>
      <c r="C41" s="274"/>
      <c r="D41" s="426"/>
      <c r="E41" s="426"/>
      <c r="F41" s="426" t="str">
        <f t="shared" si="3"/>
        <v xml:space="preserve"> -:- </v>
      </c>
      <c r="G41" s="274"/>
      <c r="H41" s="274"/>
      <c r="I41" s="274"/>
      <c r="J41" s="274"/>
      <c r="K41" s="274"/>
      <c r="L41" s="274"/>
      <c r="P41" s="272" t="s">
        <v>311</v>
      </c>
      <c r="Q41" s="272" t="str">
        <f>+RES!C32</f>
        <v>R_DDW-OTH_Elec-ELC00</v>
      </c>
      <c r="R41" s="272" t="s">
        <v>44</v>
      </c>
      <c r="S41" s="427" t="s">
        <v>957</v>
      </c>
      <c r="T41" s="427" t="s">
        <v>962</v>
      </c>
      <c r="U41" s="427" t="s">
        <v>57</v>
      </c>
      <c r="V41" s="427" t="str">
        <f t="shared" si="4"/>
        <v>Residential -:- Detached Dwellings -:- Electronics and Other Appliances -:- Electricity</v>
      </c>
      <c r="W41" s="272" t="str">
        <f>+RES!D32</f>
        <v>Detached dwellings - Electronics and Lights - Electronics</v>
      </c>
      <c r="X41" s="273" t="s">
        <v>53</v>
      </c>
      <c r="Y41" s="273" t="s">
        <v>371</v>
      </c>
      <c r="Z41" s="273"/>
      <c r="AA41" s="273"/>
      <c r="AB41" s="273"/>
    </row>
    <row r="42" spans="1:28" ht="13.15">
      <c r="A42"/>
      <c r="P42" s="272" t="s">
        <v>311</v>
      </c>
      <c r="Q42" s="272" t="str">
        <f>+RES!C33</f>
        <v>R_DDW-MPS_Motor-ELC00</v>
      </c>
      <c r="R42" s="272" t="s">
        <v>44</v>
      </c>
      <c r="S42" s="427" t="s">
        <v>957</v>
      </c>
      <c r="T42" s="427" t="s">
        <v>946</v>
      </c>
      <c r="U42" s="427" t="s">
        <v>57</v>
      </c>
      <c r="V42" s="427" t="str">
        <f t="shared" si="4"/>
        <v>Residential -:- Detached Dwellings -:- Stationary Motor -:- Electricity</v>
      </c>
      <c r="W42" s="272" t="str">
        <f>+RES!D33</f>
        <v>Detached dwellings - Stationary Motors - Electric Motor</v>
      </c>
      <c r="X42" s="273" t="s">
        <v>53</v>
      </c>
      <c r="Y42" s="273" t="s">
        <v>371</v>
      </c>
      <c r="Z42" s="273"/>
      <c r="AA42" s="273"/>
      <c r="AB42" s="273"/>
    </row>
    <row r="43" spans="1:28" ht="13.15">
      <c r="A43"/>
      <c r="P43" s="272" t="s">
        <v>311</v>
      </c>
      <c r="Q43" s="272" t="str">
        <f>+RES!C34</f>
        <v>R_DDW-MPM_ICE-PET00</v>
      </c>
      <c r="R43" s="272" t="s">
        <v>44</v>
      </c>
      <c r="S43" s="427" t="s">
        <v>957</v>
      </c>
      <c r="T43" s="427" t="s">
        <v>980</v>
      </c>
      <c r="U43" s="427" t="s">
        <v>85</v>
      </c>
      <c r="V43" s="427" t="str">
        <f t="shared" si="4"/>
        <v>Residential -:- Detached Dwellings -:- Mobile Motor -:- Petrol</v>
      </c>
      <c r="W43" s="272" t="str">
        <f>+RES!D34</f>
        <v>Detached dwellings - Stationary Motors - Internal Combustion (Domestic Use)</v>
      </c>
      <c r="X43" s="273" t="s">
        <v>53</v>
      </c>
      <c r="Y43" s="273" t="s">
        <v>371</v>
      </c>
      <c r="Z43" s="273"/>
      <c r="AA43" s="273"/>
      <c r="AB43" s="273"/>
    </row>
    <row r="44" spans="1:28" ht="13.15">
      <c r="A44"/>
      <c r="P44" s="272" t="s">
        <v>311</v>
      </c>
      <c r="Q44" s="272" t="str">
        <f>+RES!C35</f>
        <v>R_JDW-SH_Burner-LPG00</v>
      </c>
      <c r="R44" s="272" t="s">
        <v>44</v>
      </c>
      <c r="S44" s="427" t="s">
        <v>964</v>
      </c>
      <c r="T44" s="427" t="s">
        <v>965</v>
      </c>
      <c r="U44" s="427" t="s">
        <v>71</v>
      </c>
      <c r="V44" s="427" t="str">
        <f t="shared" si="4"/>
        <v>Residential -:- Joined Dwellings -:- Burner -:- LPG</v>
      </c>
      <c r="W44" s="272" t="str">
        <f>+RES!D35</f>
        <v>Joined dwellings - Heat/Cooling Devices - Burner (Direct Heat)</v>
      </c>
      <c r="X44" s="273" t="s">
        <v>53</v>
      </c>
      <c r="Y44" s="273" t="s">
        <v>371</v>
      </c>
      <c r="Z44" s="273"/>
      <c r="AA44" s="273"/>
      <c r="AB44" s="273"/>
    </row>
    <row r="45" spans="1:28" ht="13.15">
      <c r="A45"/>
      <c r="P45" s="272" t="s">
        <v>311</v>
      </c>
      <c r="Q45" s="272" t="str">
        <f>+RES!C36</f>
        <v>R_JDW-SH_Burner-DSL00</v>
      </c>
      <c r="R45" s="272" t="s">
        <v>44</v>
      </c>
      <c r="S45" s="427" t="s">
        <v>964</v>
      </c>
      <c r="T45" s="427" t="s">
        <v>965</v>
      </c>
      <c r="U45" s="427" t="s">
        <v>82</v>
      </c>
      <c r="V45" s="427" t="str">
        <f t="shared" si="4"/>
        <v>Residential -:- Joined Dwellings -:- Burner -:- Diesel</v>
      </c>
      <c r="W45" s="272" t="str">
        <f>+RES!D36</f>
        <v>Joined dwellings - Heat/Cooling Devices - Burner (Direct Heat)</v>
      </c>
      <c r="X45" s="273" t="s">
        <v>53</v>
      </c>
      <c r="Y45" s="273" t="s">
        <v>371</v>
      </c>
      <c r="Z45" s="273"/>
      <c r="AA45" s="273"/>
      <c r="AB45" s="273"/>
    </row>
    <row r="46" spans="1:28" ht="13.15">
      <c r="A46"/>
      <c r="P46" s="272" t="s">
        <v>311</v>
      </c>
      <c r="Q46" s="272" t="str">
        <f>+RES!C37</f>
        <v>R_JDW-SH_HP-ELC00</v>
      </c>
      <c r="R46" s="272" t="s">
        <v>44</v>
      </c>
      <c r="S46" s="427" t="s">
        <v>964</v>
      </c>
      <c r="T46" s="427" t="s">
        <v>968</v>
      </c>
      <c r="U46" s="427" t="s">
        <v>57</v>
      </c>
      <c r="V46" s="427" t="str">
        <f t="shared" si="4"/>
        <v>Residential -:- Joined Dwellings -:- Heat Pump -:- Electricity</v>
      </c>
      <c r="W46" s="272" t="str">
        <f>+RES!D37</f>
        <v>Joined dwellings - Heat/Cooling Devices - Heat Pump (for Heating)</v>
      </c>
      <c r="X46" s="273" t="s">
        <v>53</v>
      </c>
      <c r="Y46" s="273" t="s">
        <v>371</v>
      </c>
      <c r="Z46" s="273"/>
      <c r="AA46" s="273"/>
      <c r="AB46" s="273"/>
    </row>
    <row r="47" spans="1:28" ht="13.15">
      <c r="A47"/>
      <c r="P47" s="272" t="s">
        <v>311</v>
      </c>
      <c r="Q47" s="272" t="str">
        <f>+RES!C38</f>
        <v>R_JDW-SH_RH-ELC00</v>
      </c>
      <c r="R47" s="272" t="s">
        <v>44</v>
      </c>
      <c r="S47" s="427" t="s">
        <v>964</v>
      </c>
      <c r="T47" s="427" t="s">
        <v>969</v>
      </c>
      <c r="U47" s="427" t="s">
        <v>57</v>
      </c>
      <c r="V47" s="427" t="str">
        <f t="shared" si="4"/>
        <v>Residential -:- Joined Dwellings -:- Resistance Heater -:- Electricity</v>
      </c>
      <c r="W47" s="272" t="str">
        <f>+RES!D38</f>
        <v>Joined dwellings - Heat/Cooling Devices - Resistance Heater</v>
      </c>
      <c r="X47" s="273" t="s">
        <v>53</v>
      </c>
      <c r="Y47" s="273" t="s">
        <v>371</v>
      </c>
      <c r="Z47" s="273"/>
      <c r="AA47" s="273"/>
      <c r="AB47" s="273"/>
    </row>
    <row r="48" spans="1:28" ht="13.15">
      <c r="A48"/>
      <c r="P48" s="272" t="s">
        <v>311</v>
      </c>
      <c r="Q48" s="272" t="str">
        <f>+RES!C39</f>
        <v>R_JDW-WH_HWC-SOL00</v>
      </c>
      <c r="R48" s="272" t="s">
        <v>44</v>
      </c>
      <c r="S48" s="427" t="s">
        <v>964</v>
      </c>
      <c r="T48" s="427" t="s">
        <v>925</v>
      </c>
      <c r="U48" s="427" t="s">
        <v>86</v>
      </c>
      <c r="V48" s="427" t="str">
        <f t="shared" si="4"/>
        <v>Residential -:- Joined Dwellings -:- Hot Water Cylinder -:- Solar</v>
      </c>
      <c r="W48" s="272" t="str">
        <f>+RES!D39</f>
        <v>Joined dwellings - Heat/Cooling Devices - Hot Water Cylinder</v>
      </c>
      <c r="X48" s="273" t="s">
        <v>53</v>
      </c>
      <c r="Y48" s="273" t="s">
        <v>371</v>
      </c>
      <c r="Z48" s="273"/>
      <c r="AA48" s="273"/>
      <c r="AB48" s="273"/>
    </row>
    <row r="49" spans="1:28" ht="13.15">
      <c r="A49"/>
      <c r="P49" s="272" t="s">
        <v>311</v>
      </c>
      <c r="Q49" s="272" t="str">
        <f>+RES!C40</f>
        <v>R_JDW-WH_HWC-ELC00</v>
      </c>
      <c r="R49" s="272" t="s">
        <v>44</v>
      </c>
      <c r="S49" s="427" t="s">
        <v>964</v>
      </c>
      <c r="T49" s="427" t="s">
        <v>925</v>
      </c>
      <c r="U49" s="427" t="s">
        <v>57</v>
      </c>
      <c r="V49" s="427" t="str">
        <f t="shared" si="4"/>
        <v>Residential -:- Joined Dwellings -:- Hot Water Cylinder -:- Electricity</v>
      </c>
      <c r="W49" s="272" t="str">
        <f>+RES!D40</f>
        <v>Joined dwellings - Heat/Cooling Devices - Hot Water Cylinder</v>
      </c>
      <c r="X49" s="273" t="s">
        <v>53</v>
      </c>
      <c r="Y49" s="273" t="s">
        <v>371</v>
      </c>
      <c r="Z49" s="273"/>
      <c r="AA49" s="273"/>
      <c r="AB49" s="273"/>
    </row>
    <row r="50" spans="1:28" ht="13.15">
      <c r="A50"/>
      <c r="P50" s="272" t="s">
        <v>311</v>
      </c>
      <c r="Q50" s="272" t="str">
        <f>+RES!C41</f>
        <v>R_JDW-WH_Gasheat-LPG00</v>
      </c>
      <c r="R50" s="272" t="s">
        <v>44</v>
      </c>
      <c r="S50" s="427" t="s">
        <v>964</v>
      </c>
      <c r="T50" s="427" t="s">
        <v>970</v>
      </c>
      <c r="U50" s="427" t="s">
        <v>71</v>
      </c>
      <c r="V50" s="427" t="str">
        <f t="shared" si="4"/>
        <v>Residential -:- Joined Dwellings -:- Gas Heater -:- LPG</v>
      </c>
      <c r="W50" s="272" t="str">
        <f>+RES!D41</f>
        <v>Joined dwellings - Heat/Cooling Devices - Gas Water Heater</v>
      </c>
      <c r="X50" s="273" t="s">
        <v>53</v>
      </c>
      <c r="Y50" s="273" t="s">
        <v>371</v>
      </c>
      <c r="Z50" s="273"/>
      <c r="AA50" s="273"/>
      <c r="AB50" s="273"/>
    </row>
    <row r="51" spans="1:28" ht="13.15">
      <c r="A51"/>
      <c r="P51" s="272" t="s">
        <v>311</v>
      </c>
      <c r="Q51" s="272" t="str">
        <f>+RES!C42</f>
        <v>R_JDW-CK_Appl-ELC00</v>
      </c>
      <c r="R51" s="272" t="s">
        <v>44</v>
      </c>
      <c r="S51" s="427" t="s">
        <v>964</v>
      </c>
      <c r="T51" s="427" t="s">
        <v>973</v>
      </c>
      <c r="U51" s="427" t="s">
        <v>57</v>
      </c>
      <c r="V51" s="427" t="str">
        <f t="shared" si="4"/>
        <v>Residential -:- Joined Dwellings -:- Cooking Element -:- Electricity</v>
      </c>
      <c r="W51" s="272" t="str">
        <f>+RES!D42</f>
        <v>Joined dwellings - Heat/Cooling Devices - Cooking Appliances</v>
      </c>
      <c r="X51" s="273" t="s">
        <v>53</v>
      </c>
      <c r="Y51" s="273" t="s">
        <v>371</v>
      </c>
      <c r="Z51" s="273"/>
      <c r="AA51" s="273"/>
      <c r="AB51" s="273"/>
    </row>
    <row r="52" spans="1:28" ht="13.15">
      <c r="A52"/>
      <c r="P52" s="272" t="s">
        <v>311</v>
      </c>
      <c r="Q52" s="272" t="str">
        <f>+RES!C43</f>
        <v>R_JDW-CK_Appl-LPG00</v>
      </c>
      <c r="R52" s="272" t="s">
        <v>44</v>
      </c>
      <c r="S52" s="427" t="s">
        <v>964</v>
      </c>
      <c r="T52" s="427" t="s">
        <v>973</v>
      </c>
      <c r="U52" s="427" t="s">
        <v>71</v>
      </c>
      <c r="V52" s="427" t="str">
        <f t="shared" si="4"/>
        <v>Residential -:- Joined Dwellings -:- Cooking Element -:- LPG</v>
      </c>
      <c r="W52" s="272" t="str">
        <f>+RES!D43</f>
        <v>Joined dwellings - Heat/Cooling Devices - Cooking Appliances</v>
      </c>
      <c r="X52" s="273" t="s">
        <v>53</v>
      </c>
      <c r="Y52" s="273" t="s">
        <v>371</v>
      </c>
      <c r="Z52" s="273"/>
      <c r="AA52" s="273"/>
      <c r="AB52" s="273"/>
    </row>
    <row r="53" spans="1:28" ht="13.15">
      <c r="A53"/>
      <c r="P53" s="272" t="s">
        <v>311</v>
      </c>
      <c r="Q53" s="272" t="str">
        <f>+RES!C44</f>
        <v>R_JDW-RF_Refriger-ELC00</v>
      </c>
      <c r="R53" s="272" t="s">
        <v>44</v>
      </c>
      <c r="S53" s="427" t="s">
        <v>964</v>
      </c>
      <c r="T53" s="427" t="s">
        <v>937</v>
      </c>
      <c r="U53" s="427" t="s">
        <v>57</v>
      </c>
      <c r="V53" s="427" t="str">
        <f t="shared" si="4"/>
        <v>Residential -:- Joined Dwellings -:- Refrigerator -:- Electricity</v>
      </c>
      <c r="W53" s="272" t="str">
        <f>+RES!D44</f>
        <v>Joined dwellings - Heat/Cooling Devices - Refrigeration systems</v>
      </c>
      <c r="X53" s="273" t="s">
        <v>53</v>
      </c>
      <c r="Y53" s="273" t="s">
        <v>371</v>
      </c>
      <c r="Z53" s="273"/>
      <c r="AA53" s="273"/>
      <c r="AB53" s="273"/>
    </row>
    <row r="54" spans="1:28" ht="13.15">
      <c r="A54"/>
      <c r="P54" s="272" t="s">
        <v>311</v>
      </c>
      <c r="Q54" s="272" t="str">
        <f>+RES!C45</f>
        <v>R_JDW-CD_Dryer-ELC00</v>
      </c>
      <c r="R54" s="272" t="s">
        <v>44</v>
      </c>
      <c r="S54" s="427" t="s">
        <v>964</v>
      </c>
      <c r="T54" s="427" t="s">
        <v>974</v>
      </c>
      <c r="U54" s="427" t="s">
        <v>57</v>
      </c>
      <c r="V54" s="427" t="str">
        <f t="shared" si="4"/>
        <v>Residential -:- Joined Dwellings -:- Clothes Dryer -:- Electricity</v>
      </c>
      <c r="W54" s="272" t="str">
        <f>+RES!D45</f>
        <v>Joined dwellings - Heat/Cooling Devices - Clothes Dryer</v>
      </c>
      <c r="X54" s="273" t="s">
        <v>53</v>
      </c>
      <c r="Y54" s="273" t="s">
        <v>371</v>
      </c>
      <c r="Z54" s="273"/>
      <c r="AA54" s="273"/>
      <c r="AB54" s="273"/>
    </row>
    <row r="55" spans="1:28" ht="13.15">
      <c r="A55"/>
      <c r="P55" s="272" t="s">
        <v>311</v>
      </c>
      <c r="Q55" s="272" t="str">
        <f>+RES!C46</f>
        <v>R_JDW-SC_HP-ELC00</v>
      </c>
      <c r="R55" s="272" t="s">
        <v>44</v>
      </c>
      <c r="S55" s="427" t="s">
        <v>964</v>
      </c>
      <c r="T55" s="427" t="s">
        <v>968</v>
      </c>
      <c r="U55" s="427" t="s">
        <v>57</v>
      </c>
      <c r="V55" s="427" t="str">
        <f t="shared" si="4"/>
        <v>Residential -:- Joined Dwellings -:- Heat Pump -:- Electricity</v>
      </c>
      <c r="W55" s="272" t="str">
        <f>+RES!D46</f>
        <v>Joined dwellings - Heat/Cooling Devices - Heat Pump (for Cooling)</v>
      </c>
      <c r="X55" s="273" t="s">
        <v>53</v>
      </c>
      <c r="Y55" s="273" t="s">
        <v>371</v>
      </c>
      <c r="Z55" s="273"/>
      <c r="AA55" s="273"/>
      <c r="AB55" s="273"/>
    </row>
    <row r="56" spans="1:28" ht="13.15">
      <c r="A56"/>
      <c r="P56" s="272" t="s">
        <v>311</v>
      </c>
      <c r="Q56" s="272" t="str">
        <f>+RES!C47</f>
        <v>R_JDW-CW_Washer-ELC00</v>
      </c>
      <c r="R56" s="272" t="s">
        <v>44</v>
      </c>
      <c r="S56" s="427" t="s">
        <v>964</v>
      </c>
      <c r="T56" s="427" t="s">
        <v>975</v>
      </c>
      <c r="U56" s="427" t="s">
        <v>57</v>
      </c>
      <c r="V56" s="427" t="str">
        <f t="shared" si="4"/>
        <v>Residential -:- Joined Dwellings -:- Clothes Washer -:- Electricity</v>
      </c>
      <c r="W56" s="272" t="str">
        <f>+RES!D47</f>
        <v>Joined dwellings - Heat/Cooling Devices - Clothes Washers</v>
      </c>
      <c r="X56" s="273" t="s">
        <v>53</v>
      </c>
      <c r="Y56" s="273" t="s">
        <v>371</v>
      </c>
      <c r="Z56" s="273"/>
      <c r="AA56" s="273"/>
      <c r="AB56" s="273"/>
    </row>
    <row r="57" spans="1:28" ht="13.15">
      <c r="A57"/>
      <c r="P57" s="272" t="s">
        <v>311</v>
      </c>
      <c r="Q57" s="272" t="str">
        <f>+RES!C48</f>
        <v>R_JDW-DW_Dwash-ELC00</v>
      </c>
      <c r="R57" s="272" t="s">
        <v>44</v>
      </c>
      <c r="S57" s="427" t="s">
        <v>964</v>
      </c>
      <c r="T57" s="427" t="s">
        <v>976</v>
      </c>
      <c r="U57" s="427" t="s">
        <v>57</v>
      </c>
      <c r="V57" s="427" t="str">
        <f t="shared" si="4"/>
        <v>Residential -:- Joined Dwellings -:- Dishwasher -:- Electricity</v>
      </c>
      <c r="W57" s="272" t="str">
        <f>+RES!D48</f>
        <v>Joined dwellings - Heat/Cooling Devices - Dishwashers</v>
      </c>
      <c r="X57" s="273" t="s">
        <v>53</v>
      </c>
      <c r="Y57" s="273" t="s">
        <v>371</v>
      </c>
      <c r="Z57" s="273"/>
      <c r="AA57" s="273"/>
      <c r="AB57" s="273"/>
    </row>
    <row r="58" spans="1:28" ht="13.15">
      <c r="A58"/>
      <c r="P58" s="272" t="s">
        <v>311</v>
      </c>
      <c r="Q58" s="272" t="str">
        <f>+RES!C49</f>
        <v>R_JDW-LT_LED-ELC00</v>
      </c>
      <c r="R58" s="272" t="s">
        <v>44</v>
      </c>
      <c r="S58" s="427" t="s">
        <v>964</v>
      </c>
      <c r="T58" s="427" t="s">
        <v>977</v>
      </c>
      <c r="U58" s="427" t="s">
        <v>57</v>
      </c>
      <c r="V58" s="427" t="str">
        <f t="shared" si="4"/>
        <v>Residential -:- Joined Dwellings -:- Lights (LED) -:- Electricity</v>
      </c>
      <c r="W58" s="272" t="str">
        <f>+RES!D49</f>
        <v>Joined dwellings - Electronics and Lights - LED</v>
      </c>
      <c r="X58" s="273" t="s">
        <v>53</v>
      </c>
      <c r="Y58" s="273" t="s">
        <v>371</v>
      </c>
      <c r="Z58" s="273"/>
      <c r="AA58" s="273"/>
      <c r="AB58" s="273"/>
    </row>
    <row r="59" spans="1:28" ht="13.15">
      <c r="A59"/>
      <c r="P59" s="272" t="s">
        <v>311</v>
      </c>
      <c r="Q59" s="272" t="str">
        <f>+RES!C50</f>
        <v>R_JDW-LT_Incan-ELC00</v>
      </c>
      <c r="R59" s="272" t="s">
        <v>44</v>
      </c>
      <c r="S59" s="427" t="s">
        <v>964</v>
      </c>
      <c r="T59" s="427" t="s">
        <v>978</v>
      </c>
      <c r="U59" s="427" t="s">
        <v>57</v>
      </c>
      <c r="V59" s="427" t="str">
        <f t="shared" si="4"/>
        <v>Residential -:- Joined Dwellings -:- Lights (Incandescent)  -:- Electricity</v>
      </c>
      <c r="W59" s="272" t="str">
        <f>+RES!D50</f>
        <v>Joined dwellings - Electronics and Lights - Incandescent</v>
      </c>
      <c r="X59" s="273" t="s">
        <v>53</v>
      </c>
      <c r="Y59" s="273" t="s">
        <v>371</v>
      </c>
      <c r="Z59" s="273"/>
      <c r="AA59" s="273"/>
      <c r="AB59" s="273"/>
    </row>
    <row r="60" spans="1:28" ht="13.15">
      <c r="A60"/>
      <c r="P60" s="272" t="s">
        <v>311</v>
      </c>
      <c r="Q60" s="272" t="str">
        <f>+RES!C51</f>
        <v>R_JDW-LT_CFL-ELC00</v>
      </c>
      <c r="R60" s="272" t="s">
        <v>44</v>
      </c>
      <c r="S60" s="427" t="s">
        <v>964</v>
      </c>
      <c r="T60" s="427" t="s">
        <v>979</v>
      </c>
      <c r="U60" s="427" t="s">
        <v>57</v>
      </c>
      <c r="V60" s="427" t="str">
        <f t="shared" si="4"/>
        <v>Residential -:- Joined Dwellings -:- Lights (Fluorescent)  -:- Electricity</v>
      </c>
      <c r="W60" s="272" t="str">
        <f>+RES!D51</f>
        <v>Joined dwellings - Electronics and Lights - Fluorescent</v>
      </c>
      <c r="X60" s="273" t="s">
        <v>53</v>
      </c>
      <c r="Y60" s="273" t="s">
        <v>371</v>
      </c>
      <c r="Z60" s="273"/>
      <c r="AA60" s="273"/>
      <c r="AB60" s="273"/>
    </row>
    <row r="61" spans="1:28" ht="13.15">
      <c r="A61"/>
      <c r="P61" s="272" t="s">
        <v>311</v>
      </c>
      <c r="Q61" s="272" t="str">
        <f>+RES!C52</f>
        <v>R_JDW-OTH_Elec-ELC00</v>
      </c>
      <c r="R61" s="272" t="s">
        <v>44</v>
      </c>
      <c r="S61" s="427" t="s">
        <v>964</v>
      </c>
      <c r="T61" s="427" t="s">
        <v>962</v>
      </c>
      <c r="U61" s="427" t="s">
        <v>57</v>
      </c>
      <c r="V61" s="427" t="str">
        <f t="shared" si="4"/>
        <v>Residential -:- Joined Dwellings -:- Electronics and Other Appliances -:- Electricity</v>
      </c>
      <c r="W61" s="272" t="str">
        <f>+RES!D52</f>
        <v>Joined dwellings - Electronics and Lights - Electronics</v>
      </c>
      <c r="X61" s="273" t="s">
        <v>53</v>
      </c>
      <c r="Y61" s="273" t="s">
        <v>371</v>
      </c>
      <c r="Z61" s="273"/>
      <c r="AA61" s="273"/>
      <c r="AB61" s="273"/>
    </row>
    <row r="62" spans="1:28" ht="13.15">
      <c r="A62"/>
      <c r="P62" s="272" t="s">
        <v>311</v>
      </c>
      <c r="Q62" s="272" t="str">
        <f>+RES!C53</f>
        <v>R_JDW-MPS_Motor-ELC00</v>
      </c>
      <c r="R62" s="272" t="s">
        <v>44</v>
      </c>
      <c r="S62" s="427" t="s">
        <v>964</v>
      </c>
      <c r="T62" s="427" t="s">
        <v>946</v>
      </c>
      <c r="U62" s="427" t="s">
        <v>57</v>
      </c>
      <c r="V62" s="427" t="str">
        <f t="shared" si="4"/>
        <v>Residential -:- Joined Dwellings -:- Stationary Motor -:- Electricity</v>
      </c>
      <c r="W62" s="272" t="str">
        <f>+RES!D53</f>
        <v>Joined dwellings - Stationary Motors - Electric Motor</v>
      </c>
      <c r="X62" s="273" t="s">
        <v>53</v>
      </c>
      <c r="Y62" s="273" t="s">
        <v>371</v>
      </c>
      <c r="Z62" s="273"/>
      <c r="AA62" s="273"/>
      <c r="AB62" s="273"/>
    </row>
    <row r="63" spans="1:28" ht="13.15">
      <c r="A63"/>
      <c r="P63" s="272" t="s">
        <v>311</v>
      </c>
      <c r="Q63" s="272" t="str">
        <f>+RES!C54</f>
        <v>R_JDW-MPM_ICE-PET00</v>
      </c>
      <c r="R63" s="272" t="s">
        <v>44</v>
      </c>
      <c r="S63" s="427" t="s">
        <v>964</v>
      </c>
      <c r="T63" s="427" t="s">
        <v>980</v>
      </c>
      <c r="U63" s="427" t="s">
        <v>85</v>
      </c>
      <c r="V63" s="427" t="str">
        <f t="shared" si="4"/>
        <v>Residential -:- Joined Dwellings -:- Mobile Motor -:- Petrol</v>
      </c>
      <c r="W63" s="272" t="str">
        <f>+RES!D54</f>
        <v>Joined dwellings - Stationary Motors - Internal Combustion (Domestic Use)</v>
      </c>
      <c r="X63" s="273" t="s">
        <v>53</v>
      </c>
      <c r="Y63" s="273" t="s">
        <v>371</v>
      </c>
      <c r="Z63" s="273"/>
      <c r="AA63" s="273"/>
      <c r="AB63" s="273"/>
    </row>
    <row r="64" spans="1:28" ht="13.15">
      <c r="A64"/>
      <c r="P64" s="272"/>
      <c r="Q64" s="272"/>
      <c r="R64" s="272"/>
      <c r="S64" s="272"/>
      <c r="T64" s="272"/>
      <c r="U64" s="272"/>
      <c r="V64" s="272"/>
      <c r="W64" s="273"/>
      <c r="X64" s="273"/>
      <c r="Y64" s="273"/>
      <c r="Z64" s="273"/>
      <c r="AA64" s="273"/>
      <c r="AB64" s="273"/>
    </row>
    <row r="65" spans="16:28" ht="13.15">
      <c r="P65" s="272"/>
      <c r="Q65" s="272"/>
      <c r="R65" s="272"/>
      <c r="S65" s="272"/>
      <c r="T65" s="272"/>
      <c r="U65" s="272"/>
      <c r="V65" s="272"/>
      <c r="W65" s="273"/>
      <c r="X65" s="273"/>
      <c r="Y65" s="273"/>
      <c r="Z65" s="273"/>
      <c r="AA65" s="273"/>
      <c r="AB65" s="273"/>
    </row>
    <row r="66" spans="16:28" ht="13.15">
      <c r="P66" s="272"/>
      <c r="Q66" s="272"/>
      <c r="R66" s="272"/>
      <c r="S66" s="272"/>
      <c r="T66" s="272"/>
      <c r="U66" s="272"/>
      <c r="V66" s="272"/>
      <c r="W66" s="273"/>
      <c r="X66" s="273"/>
      <c r="Y66" s="273"/>
      <c r="Z66" s="273"/>
      <c r="AA66" s="273"/>
      <c r="AB66" s="273"/>
    </row>
    <row r="67" spans="16:28" ht="13.15">
      <c r="P67" s="272"/>
      <c r="Q67" s="272"/>
      <c r="R67" s="272"/>
      <c r="S67" s="272"/>
      <c r="T67" s="272"/>
      <c r="U67" s="272"/>
      <c r="V67" s="272"/>
      <c r="W67" s="273"/>
      <c r="X67" s="273"/>
      <c r="Y67" s="273"/>
      <c r="Z67" s="273"/>
      <c r="AA67" s="273"/>
      <c r="AB67" s="273"/>
    </row>
    <row r="68" spans="16:28" ht="13.15">
      <c r="P68" s="272"/>
      <c r="Q68" s="272"/>
      <c r="R68" s="272"/>
      <c r="S68" s="272"/>
      <c r="T68" s="272"/>
      <c r="U68" s="272"/>
      <c r="V68" s="272"/>
      <c r="W68" s="273"/>
      <c r="X68" s="273"/>
      <c r="Y68" s="273"/>
      <c r="Z68" s="273"/>
      <c r="AA68" s="273"/>
      <c r="AB68" s="273"/>
    </row>
    <row r="69" spans="16:28" ht="13.15">
      <c r="P69" s="272"/>
      <c r="Q69" s="272"/>
      <c r="R69" s="272"/>
      <c r="S69" s="272"/>
      <c r="T69" s="272"/>
      <c r="U69" s="272"/>
      <c r="V69" s="272"/>
      <c r="W69" s="273"/>
      <c r="X69" s="273"/>
      <c r="Y69" s="273"/>
      <c r="Z69" s="273"/>
      <c r="AA69" s="273"/>
      <c r="AB69" s="273"/>
    </row>
    <row r="70" spans="16:28" ht="13.15">
      <c r="P70" s="272"/>
      <c r="Q70" s="272"/>
      <c r="R70" s="272"/>
      <c r="S70" s="272"/>
      <c r="T70" s="272"/>
      <c r="U70" s="272"/>
      <c r="V70" s="272"/>
      <c r="W70" s="273"/>
      <c r="X70" s="273"/>
      <c r="Y70" s="273"/>
      <c r="Z70" s="273"/>
      <c r="AA70" s="273"/>
      <c r="AB70" s="273"/>
    </row>
    <row r="71" spans="16:28" ht="13.15">
      <c r="P71" s="272"/>
      <c r="Q71" s="272"/>
      <c r="R71" s="272"/>
      <c r="S71" s="272"/>
      <c r="T71" s="272"/>
      <c r="U71" s="272"/>
      <c r="V71" s="272"/>
      <c r="W71" s="273"/>
      <c r="X71" s="273"/>
      <c r="Y71" s="273"/>
      <c r="Z71" s="273"/>
      <c r="AA71" s="273"/>
      <c r="AB71" s="27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43"/>
  <sheetViews>
    <sheetView workbookViewId="0">
      <selection activeCell="K24" sqref="K24"/>
    </sheetView>
  </sheetViews>
  <sheetFormatPr defaultColWidth="9.1328125" defaultRowHeight="12.75"/>
  <cols>
    <col min="1" max="2" width="9.1328125" style="182"/>
    <col min="3" max="3" width="17" style="182" bestFit="1" customWidth="1"/>
    <col min="4" max="4" width="30.59765625" style="182" customWidth="1"/>
    <col min="5" max="10" width="9.1328125" style="182"/>
    <col min="11" max="11" width="10.59765625" style="182" bestFit="1" customWidth="1"/>
    <col min="12" max="21" width="9.1328125" style="182"/>
    <col min="22" max="22" width="7.59765625" style="182" bestFit="1" customWidth="1"/>
    <col min="23" max="16384" width="9.1328125" style="182"/>
  </cols>
  <sheetData>
    <row r="1" spans="2:12">
      <c r="B1" s="182" t="s">
        <v>892</v>
      </c>
    </row>
    <row r="3" spans="2:12" ht="13.15">
      <c r="C3" s="69"/>
      <c r="D3" s="69"/>
      <c r="E3" s="71" t="s">
        <v>13</v>
      </c>
      <c r="F3" s="71"/>
      <c r="G3" s="71"/>
      <c r="H3" s="69"/>
      <c r="I3" s="69"/>
    </row>
    <row r="4" spans="2:12" ht="13.15">
      <c r="C4" s="72" t="s">
        <v>1</v>
      </c>
      <c r="D4" s="72" t="s">
        <v>5</v>
      </c>
      <c r="E4" s="72" t="s">
        <v>6</v>
      </c>
      <c r="F4" s="73" t="s">
        <v>74</v>
      </c>
      <c r="G4" s="74" t="s">
        <v>69</v>
      </c>
      <c r="H4" s="74" t="s">
        <v>56</v>
      </c>
      <c r="I4" s="74" t="s">
        <v>54</v>
      </c>
      <c r="J4" s="74" t="s">
        <v>336</v>
      </c>
      <c r="K4" s="74" t="s">
        <v>346</v>
      </c>
      <c r="L4" s="74" t="s">
        <v>347</v>
      </c>
    </row>
    <row r="5" spans="2:12" ht="34.9">
      <c r="C5" s="275" t="s">
        <v>37</v>
      </c>
      <c r="D5" s="275" t="s">
        <v>32</v>
      </c>
      <c r="E5" s="275" t="s">
        <v>33</v>
      </c>
      <c r="F5" s="275" t="s">
        <v>73</v>
      </c>
      <c r="G5" s="275" t="s">
        <v>34</v>
      </c>
      <c r="H5" s="275" t="s">
        <v>58</v>
      </c>
      <c r="I5" s="275" t="s">
        <v>77</v>
      </c>
      <c r="J5" s="275" t="s">
        <v>348</v>
      </c>
      <c r="K5" s="275" t="s">
        <v>349</v>
      </c>
      <c r="L5" s="275" t="s">
        <v>350</v>
      </c>
    </row>
    <row r="6" spans="2:12">
      <c r="C6" s="275" t="s">
        <v>59</v>
      </c>
      <c r="D6" s="275"/>
      <c r="E6" s="275"/>
      <c r="F6" s="275"/>
      <c r="G6" s="275" t="s">
        <v>289</v>
      </c>
      <c r="H6" s="275"/>
      <c r="I6" s="275" t="s">
        <v>60</v>
      </c>
      <c r="J6" s="275" t="s">
        <v>351</v>
      </c>
      <c r="K6" s="275" t="s">
        <v>351</v>
      </c>
      <c r="L6" s="275" t="s">
        <v>352</v>
      </c>
    </row>
    <row r="7" spans="2:12">
      <c r="C7" s="182" t="str">
        <f>RES_techs_coms!Q8</f>
        <v>FTE_RESCOA_00</v>
      </c>
      <c r="D7" s="182" t="s">
        <v>42</v>
      </c>
      <c r="E7" s="182" t="str">
        <f>MID(C7,5,6)</f>
        <v>RESCOA</v>
      </c>
      <c r="F7" s="182">
        <v>1</v>
      </c>
      <c r="H7" s="182">
        <v>1</v>
      </c>
      <c r="I7" s="182">
        <v>100</v>
      </c>
    </row>
    <row r="8" spans="2:12">
      <c r="D8" s="182" t="s">
        <v>167</v>
      </c>
      <c r="F8" s="182">
        <v>1</v>
      </c>
    </row>
    <row r="9" spans="2:12">
      <c r="C9" s="182" t="str">
        <f>RES_techs_coms!Q9</f>
        <v>FTE_RESNGA_00</v>
      </c>
      <c r="D9" s="182" t="s">
        <v>168</v>
      </c>
      <c r="E9" s="182" t="str">
        <f t="shared" ref="E9:E15" si="0">MID(C9,5,6)</f>
        <v>RESNGA</v>
      </c>
      <c r="H9" s="182">
        <v>1</v>
      </c>
      <c r="I9" s="182">
        <v>100</v>
      </c>
      <c r="L9" s="182">
        <v>25</v>
      </c>
    </row>
    <row r="10" spans="2:12">
      <c r="C10" s="182" t="str">
        <f>RES_techs_coms!Q10</f>
        <v>FTE_RESLPG_00</v>
      </c>
      <c r="D10" s="182" t="s">
        <v>71</v>
      </c>
      <c r="E10" s="182" t="str">
        <f t="shared" si="0"/>
        <v>RESLPG</v>
      </c>
      <c r="H10" s="182">
        <v>1</v>
      </c>
      <c r="I10" s="182">
        <v>100</v>
      </c>
    </row>
    <row r="11" spans="2:12">
      <c r="C11" s="182" t="str">
        <f>RES_techs_coms!Q11</f>
        <v>FTE_RESDSL_00</v>
      </c>
      <c r="D11" s="182" t="s">
        <v>70</v>
      </c>
      <c r="E11" s="182" t="str">
        <f t="shared" si="0"/>
        <v>RESDSL</v>
      </c>
      <c r="H11" s="182">
        <v>1</v>
      </c>
      <c r="I11" s="182">
        <v>100</v>
      </c>
      <c r="L11" s="182">
        <v>0.92</v>
      </c>
    </row>
    <row r="12" spans="2:12">
      <c r="C12" s="182" t="str">
        <f>RES_techs_coms!Q12</f>
        <v>FTE_RESWOD_00</v>
      </c>
      <c r="D12" s="182" t="s">
        <v>170</v>
      </c>
      <c r="E12" s="182" t="str">
        <f t="shared" si="0"/>
        <v>RESWOD</v>
      </c>
      <c r="H12" s="182">
        <v>1</v>
      </c>
      <c r="I12" s="182">
        <v>100</v>
      </c>
      <c r="L12" s="182">
        <v>10</v>
      </c>
    </row>
    <row r="13" spans="2:12">
      <c r="C13" s="182" t="str">
        <f>RES_techs_coms!Q13</f>
        <v>FTE_RESGEO_00</v>
      </c>
      <c r="D13" s="182" t="s">
        <v>169</v>
      </c>
      <c r="E13" s="182" t="str">
        <f t="shared" si="0"/>
        <v>RESGEO</v>
      </c>
      <c r="H13" s="182">
        <v>1</v>
      </c>
      <c r="I13" s="182">
        <v>100</v>
      </c>
    </row>
    <row r="14" spans="2:12">
      <c r="C14" s="182" t="str">
        <f>RES_techs_coms!Q14</f>
        <v>FTE_RESSOL_00</v>
      </c>
      <c r="D14" s="182" t="s">
        <v>76</v>
      </c>
      <c r="E14" s="182" t="str">
        <f t="shared" si="0"/>
        <v>RESSOL</v>
      </c>
      <c r="H14" s="182">
        <v>1</v>
      </c>
      <c r="I14" s="182">
        <v>100</v>
      </c>
    </row>
    <row r="15" spans="2:12">
      <c r="C15" s="182" t="str">
        <f>RES_techs_coms!Q15</f>
        <v>FTE_RESPET_00</v>
      </c>
      <c r="D15" s="182" t="s">
        <v>893</v>
      </c>
      <c r="E15" s="182" t="str">
        <f t="shared" si="0"/>
        <v>RESPET</v>
      </c>
      <c r="H15" s="182">
        <v>1</v>
      </c>
      <c r="I15" s="182">
        <v>100</v>
      </c>
      <c r="L15" s="182">
        <v>0.92</v>
      </c>
    </row>
    <row r="18" spans="3:24">
      <c r="C18" s="173" t="s">
        <v>13</v>
      </c>
    </row>
    <row r="19" spans="3:24" ht="20.25">
      <c r="C19" s="178" t="s">
        <v>0</v>
      </c>
      <c r="D19" s="276" t="s">
        <v>361</v>
      </c>
      <c r="E19" s="276" t="s">
        <v>362</v>
      </c>
      <c r="F19" s="276" t="s">
        <v>294</v>
      </c>
      <c r="G19" s="276" t="s">
        <v>295</v>
      </c>
      <c r="H19" s="276" t="s">
        <v>296</v>
      </c>
      <c r="I19" s="276" t="s">
        <v>297</v>
      </c>
      <c r="J19" s="276" t="s">
        <v>319</v>
      </c>
    </row>
    <row r="20" spans="3:24" ht="14.25">
      <c r="C20" s="182" t="str">
        <f>RES_techs_coms!C17</f>
        <v>R_DDW-SH</v>
      </c>
      <c r="D20" s="277">
        <f>ROUNDDOWN(SUMIF(RES!$F$7:$F$62,C20,RES!$N$7:$N$62),3)</f>
        <v>10.134</v>
      </c>
      <c r="E20" s="278">
        <f>+D20</f>
        <v>10.134</v>
      </c>
      <c r="F20" s="278">
        <f t="shared" ref="F20:I20" si="1">+E20</f>
        <v>10.134</v>
      </c>
      <c r="G20" s="278">
        <f t="shared" si="1"/>
        <v>10.134</v>
      </c>
      <c r="H20" s="278">
        <f t="shared" si="1"/>
        <v>10.134</v>
      </c>
      <c r="I20" s="278">
        <f t="shared" si="1"/>
        <v>10.134</v>
      </c>
      <c r="J20" s="278">
        <f>+I20</f>
        <v>10.134</v>
      </c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</row>
    <row r="21" spans="3:24" ht="14.25">
      <c r="C21" s="182" t="str">
        <f>RES_techs_coms!C18</f>
        <v>R_DDW-WH</v>
      </c>
      <c r="D21" s="277">
        <f>ROUNDDOWN(SUMIF(RES!$F$7:$F$62,C21,RES!$N$7:$N$62),3)</f>
        <v>3.3239999999999998</v>
      </c>
      <c r="E21" s="278">
        <f t="shared" ref="E21:J43" si="2">+D21</f>
        <v>3.3239999999999998</v>
      </c>
      <c r="F21" s="278">
        <f t="shared" si="2"/>
        <v>3.3239999999999998</v>
      </c>
      <c r="G21" s="278">
        <f t="shared" si="2"/>
        <v>3.3239999999999998</v>
      </c>
      <c r="H21" s="278">
        <f t="shared" si="2"/>
        <v>3.3239999999999998</v>
      </c>
      <c r="I21" s="278">
        <f t="shared" si="2"/>
        <v>3.3239999999999998</v>
      </c>
      <c r="J21" s="278">
        <f t="shared" si="2"/>
        <v>3.3239999999999998</v>
      </c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</row>
    <row r="22" spans="3:24" ht="14.25">
      <c r="C22" s="182" t="str">
        <f>RES_techs_coms!C19</f>
        <v>R_DDW-CK</v>
      </c>
      <c r="D22" s="277">
        <f>ROUNDDOWN(SUMIF(RES!$F$7:$F$62,C22,RES!$N$7:$N$62),3)</f>
        <v>0.61</v>
      </c>
      <c r="E22" s="278">
        <f t="shared" si="2"/>
        <v>0.61</v>
      </c>
      <c r="F22" s="278">
        <f t="shared" si="2"/>
        <v>0.61</v>
      </c>
      <c r="G22" s="278">
        <f t="shared" si="2"/>
        <v>0.61</v>
      </c>
      <c r="H22" s="278">
        <f t="shared" si="2"/>
        <v>0.61</v>
      </c>
      <c r="I22" s="278">
        <f t="shared" si="2"/>
        <v>0.61</v>
      </c>
      <c r="J22" s="278">
        <f t="shared" si="2"/>
        <v>0.61</v>
      </c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</row>
    <row r="23" spans="3:24" ht="14.25">
      <c r="C23" s="182" t="str">
        <f>RES_techs_coms!C20</f>
        <v>R_DDW-RF</v>
      </c>
      <c r="D23" s="277">
        <f>ROUNDDOWN(SUMIF(RES!$F$7:$F$62,C23,RES!$N$7:$N$62),3)</f>
        <v>1.8009999999999999</v>
      </c>
      <c r="E23" s="278">
        <f t="shared" si="2"/>
        <v>1.8009999999999999</v>
      </c>
      <c r="F23" s="278">
        <f t="shared" si="2"/>
        <v>1.8009999999999999</v>
      </c>
      <c r="G23" s="278">
        <f t="shared" si="2"/>
        <v>1.8009999999999999</v>
      </c>
      <c r="H23" s="278">
        <f t="shared" si="2"/>
        <v>1.8009999999999999</v>
      </c>
      <c r="I23" s="278">
        <f t="shared" si="2"/>
        <v>1.8009999999999999</v>
      </c>
      <c r="J23" s="278">
        <f t="shared" si="2"/>
        <v>1.8009999999999999</v>
      </c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</row>
    <row r="24" spans="3:24" ht="14.25">
      <c r="C24" s="182" t="str">
        <f>RES_techs_coms!C21</f>
        <v>R_DDW-CD</v>
      </c>
      <c r="D24" s="277">
        <f>ROUNDDOWN(SUMIF(RES!$F$7:$F$62,C24,RES!$N$7:$N$62),3)</f>
        <v>5.1999999999999998E-2</v>
      </c>
      <c r="E24" s="278">
        <f t="shared" si="2"/>
        <v>5.1999999999999998E-2</v>
      </c>
      <c r="F24" s="278">
        <f t="shared" si="2"/>
        <v>5.1999999999999998E-2</v>
      </c>
      <c r="G24" s="278">
        <f t="shared" si="2"/>
        <v>5.1999999999999998E-2</v>
      </c>
      <c r="H24" s="278">
        <f t="shared" si="2"/>
        <v>5.1999999999999998E-2</v>
      </c>
      <c r="I24" s="278">
        <f t="shared" si="2"/>
        <v>5.1999999999999998E-2</v>
      </c>
      <c r="J24" s="278">
        <f t="shared" si="2"/>
        <v>5.1999999999999998E-2</v>
      </c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</row>
    <row r="25" spans="3:24" ht="14.25">
      <c r="C25" s="182" t="str">
        <f>RES_techs_coms!C22</f>
        <v>R_DDW-SC</v>
      </c>
      <c r="D25" s="277">
        <f>ROUNDDOWN(SUMIF(RES!$F$7:$F$62,C25,RES!$N$7:$N$62),3)</f>
        <v>0.371</v>
      </c>
      <c r="E25" s="278">
        <f t="shared" si="2"/>
        <v>0.371</v>
      </c>
      <c r="F25" s="278">
        <f t="shared" si="2"/>
        <v>0.371</v>
      </c>
      <c r="G25" s="278">
        <f t="shared" si="2"/>
        <v>0.371</v>
      </c>
      <c r="H25" s="278">
        <f t="shared" si="2"/>
        <v>0.371</v>
      </c>
      <c r="I25" s="278">
        <f t="shared" si="2"/>
        <v>0.371</v>
      </c>
      <c r="J25" s="278">
        <f t="shared" si="2"/>
        <v>0.371</v>
      </c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</row>
    <row r="26" spans="3:24" ht="14.25">
      <c r="C26" s="182" t="str">
        <f>RES_techs_coms!C23</f>
        <v>R_DDW-CW</v>
      </c>
      <c r="D26" s="277">
        <f>ROUNDDOWN(SUMIF(RES!$F$7:$F$62,C26,RES!$N$7:$N$62),3)</f>
        <v>0.16900000000000001</v>
      </c>
      <c r="E26" s="278">
        <f t="shared" si="2"/>
        <v>0.16900000000000001</v>
      </c>
      <c r="F26" s="278">
        <f t="shared" si="2"/>
        <v>0.16900000000000001</v>
      </c>
      <c r="G26" s="278">
        <f t="shared" si="2"/>
        <v>0.16900000000000001</v>
      </c>
      <c r="H26" s="278">
        <f t="shared" si="2"/>
        <v>0.16900000000000001</v>
      </c>
      <c r="I26" s="278">
        <f t="shared" si="2"/>
        <v>0.16900000000000001</v>
      </c>
      <c r="J26" s="278">
        <f t="shared" si="2"/>
        <v>0.16900000000000001</v>
      </c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</row>
    <row r="27" spans="3:24" ht="14.25">
      <c r="C27" s="182" t="str">
        <f>RES_techs_coms!C24</f>
        <v>R_DDW-DW</v>
      </c>
      <c r="D27" s="277">
        <f>ROUNDDOWN(SUMIF(RES!$F$7:$F$62,C27,RES!$N$7:$N$62),3)</f>
        <v>5.6000000000000001E-2</v>
      </c>
      <c r="E27" s="278">
        <f t="shared" si="2"/>
        <v>5.6000000000000001E-2</v>
      </c>
      <c r="F27" s="278">
        <f t="shared" si="2"/>
        <v>5.6000000000000001E-2</v>
      </c>
      <c r="G27" s="278">
        <f t="shared" si="2"/>
        <v>5.6000000000000001E-2</v>
      </c>
      <c r="H27" s="278">
        <f t="shared" si="2"/>
        <v>5.6000000000000001E-2</v>
      </c>
      <c r="I27" s="278">
        <f t="shared" si="2"/>
        <v>5.6000000000000001E-2</v>
      </c>
      <c r="J27" s="278">
        <f t="shared" si="2"/>
        <v>5.6000000000000001E-2</v>
      </c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</row>
    <row r="28" spans="3:24" ht="14.25">
      <c r="C28" s="182" t="str">
        <f>RES_techs_coms!C25</f>
        <v>R_DDW-LT</v>
      </c>
      <c r="D28" s="277">
        <f>ROUNDDOWN(SUMIF(RES!$F$7:$F$62,C28,RES!$N$7:$N$62),3)</f>
        <v>0.17399999999999999</v>
      </c>
      <c r="E28" s="278">
        <f t="shared" si="2"/>
        <v>0.17399999999999999</v>
      </c>
      <c r="F28" s="278">
        <f t="shared" si="2"/>
        <v>0.17399999999999999</v>
      </c>
      <c r="G28" s="278">
        <f t="shared" si="2"/>
        <v>0.17399999999999999</v>
      </c>
      <c r="H28" s="278">
        <f t="shared" si="2"/>
        <v>0.17399999999999999</v>
      </c>
      <c r="I28" s="278">
        <f t="shared" si="2"/>
        <v>0.17399999999999999</v>
      </c>
      <c r="J28" s="278">
        <f t="shared" si="2"/>
        <v>0.17399999999999999</v>
      </c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</row>
    <row r="29" spans="3:24" ht="14.25">
      <c r="C29" s="182" t="str">
        <f>RES_techs_coms!C26</f>
        <v>R_DDW-OTH</v>
      </c>
      <c r="D29" s="277">
        <f>ROUNDDOWN(SUMIF(RES!$F$7:$F$62,C29,RES!$N$7:$N$62),3)</f>
        <v>0.65400000000000003</v>
      </c>
      <c r="E29" s="278">
        <f t="shared" si="2"/>
        <v>0.65400000000000003</v>
      </c>
      <c r="F29" s="278">
        <f t="shared" si="2"/>
        <v>0.65400000000000003</v>
      </c>
      <c r="G29" s="278">
        <f t="shared" si="2"/>
        <v>0.65400000000000003</v>
      </c>
      <c r="H29" s="278">
        <f t="shared" si="2"/>
        <v>0.65400000000000003</v>
      </c>
      <c r="I29" s="278">
        <f t="shared" si="2"/>
        <v>0.65400000000000003</v>
      </c>
      <c r="J29" s="278">
        <f t="shared" si="2"/>
        <v>0.65400000000000003</v>
      </c>
    </row>
    <row r="30" spans="3:24" ht="14.25">
      <c r="C30" s="182" t="str">
        <f>RES_techs_coms!C27</f>
        <v>R_DDW-MPS</v>
      </c>
      <c r="D30" s="277">
        <f>ROUNDDOWN(SUMIF(RES!$F$7:$F$62,C30,RES!$N$7:$N$62),3)</f>
        <v>5.0999999999999997E-2</v>
      </c>
      <c r="E30" s="278">
        <f t="shared" si="2"/>
        <v>5.0999999999999997E-2</v>
      </c>
      <c r="F30" s="278">
        <f t="shared" si="2"/>
        <v>5.0999999999999997E-2</v>
      </c>
      <c r="G30" s="278">
        <f t="shared" si="2"/>
        <v>5.0999999999999997E-2</v>
      </c>
      <c r="H30" s="278">
        <f t="shared" si="2"/>
        <v>5.0999999999999997E-2</v>
      </c>
      <c r="I30" s="278">
        <f t="shared" si="2"/>
        <v>5.0999999999999997E-2</v>
      </c>
      <c r="J30" s="278">
        <f t="shared" si="2"/>
        <v>5.0999999999999997E-2</v>
      </c>
    </row>
    <row r="31" spans="3:24" ht="14.25">
      <c r="C31" s="182" t="str">
        <f>RES_techs_coms!C28</f>
        <v>R_DDW-MPM</v>
      </c>
      <c r="D31" s="277">
        <f>ROUNDDOWN(SUMIF(RES!$F$7:$F$62,C31,RES!$N$7:$N$62),3)</f>
        <v>0</v>
      </c>
      <c r="E31" s="278">
        <f t="shared" si="2"/>
        <v>0</v>
      </c>
      <c r="F31" s="278">
        <f t="shared" si="2"/>
        <v>0</v>
      </c>
      <c r="G31" s="278">
        <f t="shared" si="2"/>
        <v>0</v>
      </c>
      <c r="H31" s="278">
        <f t="shared" si="2"/>
        <v>0</v>
      </c>
      <c r="I31" s="278">
        <f t="shared" si="2"/>
        <v>0</v>
      </c>
      <c r="J31" s="278">
        <f t="shared" si="2"/>
        <v>0</v>
      </c>
    </row>
    <row r="32" spans="3:24" ht="14.25">
      <c r="C32" s="182" t="str">
        <f>RES_techs_coms!C29</f>
        <v>R_JDW-SH</v>
      </c>
      <c r="D32" s="277">
        <f>ROUNDDOWN(SUMIF(RES!$F$7:$F$62,C32,RES!$N$7:$N$62),3)</f>
        <v>1.365</v>
      </c>
      <c r="E32" s="278">
        <f t="shared" si="2"/>
        <v>1.365</v>
      </c>
      <c r="F32" s="278">
        <f t="shared" si="2"/>
        <v>1.365</v>
      </c>
      <c r="G32" s="278">
        <f t="shared" si="2"/>
        <v>1.365</v>
      </c>
      <c r="H32" s="278">
        <f t="shared" si="2"/>
        <v>1.365</v>
      </c>
      <c r="I32" s="278">
        <f t="shared" si="2"/>
        <v>1.365</v>
      </c>
      <c r="J32" s="278">
        <f t="shared" si="2"/>
        <v>1.365</v>
      </c>
    </row>
    <row r="33" spans="3:10" ht="14.25">
      <c r="C33" s="182" t="str">
        <f>RES_techs_coms!C30</f>
        <v>R_JDW-WH</v>
      </c>
      <c r="D33" s="277">
        <f>ROUNDDOWN(SUMIF(RES!$F$7:$F$62,C33,RES!$N$7:$N$62),3)</f>
        <v>0.76200000000000001</v>
      </c>
      <c r="E33" s="278">
        <f t="shared" si="2"/>
        <v>0.76200000000000001</v>
      </c>
      <c r="F33" s="278">
        <f t="shared" si="2"/>
        <v>0.76200000000000001</v>
      </c>
      <c r="G33" s="278">
        <f t="shared" si="2"/>
        <v>0.76200000000000001</v>
      </c>
      <c r="H33" s="278">
        <f t="shared" si="2"/>
        <v>0.76200000000000001</v>
      </c>
      <c r="I33" s="278">
        <f t="shared" si="2"/>
        <v>0.76200000000000001</v>
      </c>
      <c r="J33" s="278">
        <f t="shared" si="2"/>
        <v>0.76200000000000001</v>
      </c>
    </row>
    <row r="34" spans="3:10" ht="14.25">
      <c r="C34" s="182" t="str">
        <f>RES_techs_coms!C31</f>
        <v>R_JDW-CK</v>
      </c>
      <c r="D34" s="277">
        <f>ROUNDDOWN(SUMIF(RES!$F$7:$F$62,C34,RES!$N$7:$N$62),3)</f>
        <v>0.13400000000000001</v>
      </c>
      <c r="E34" s="278">
        <f t="shared" si="2"/>
        <v>0.13400000000000001</v>
      </c>
      <c r="F34" s="278">
        <f t="shared" si="2"/>
        <v>0.13400000000000001</v>
      </c>
      <c r="G34" s="278">
        <f t="shared" si="2"/>
        <v>0.13400000000000001</v>
      </c>
      <c r="H34" s="278">
        <f t="shared" si="2"/>
        <v>0.13400000000000001</v>
      </c>
      <c r="I34" s="278">
        <f t="shared" si="2"/>
        <v>0.13400000000000001</v>
      </c>
      <c r="J34" s="278">
        <f t="shared" si="2"/>
        <v>0.13400000000000001</v>
      </c>
    </row>
    <row r="35" spans="3:10" ht="14.25">
      <c r="C35" s="182" t="str">
        <f>RES_techs_coms!C32</f>
        <v>R_JDW-RF</v>
      </c>
      <c r="D35" s="277">
        <f>ROUNDDOWN(SUMIF(RES!$F$7:$F$62,C35,RES!$N$7:$N$62),3)</f>
        <v>0.39500000000000002</v>
      </c>
      <c r="E35" s="278">
        <f t="shared" si="2"/>
        <v>0.39500000000000002</v>
      </c>
      <c r="F35" s="278">
        <f t="shared" si="2"/>
        <v>0.39500000000000002</v>
      </c>
      <c r="G35" s="278">
        <f t="shared" si="2"/>
        <v>0.39500000000000002</v>
      </c>
      <c r="H35" s="278">
        <f t="shared" si="2"/>
        <v>0.39500000000000002</v>
      </c>
      <c r="I35" s="278">
        <f t="shared" si="2"/>
        <v>0.39500000000000002</v>
      </c>
      <c r="J35" s="278">
        <f t="shared" si="2"/>
        <v>0.39500000000000002</v>
      </c>
    </row>
    <row r="36" spans="3:10" ht="14.25">
      <c r="C36" s="182" t="str">
        <f>RES_techs_coms!C33</f>
        <v>R_JDW-CD</v>
      </c>
      <c r="D36" s="277">
        <f>ROUNDDOWN(SUMIF(RES!$F$7:$F$62,C36,RES!$N$7:$N$62),3)</f>
        <v>1.0999999999999999E-2</v>
      </c>
      <c r="E36" s="278">
        <f t="shared" si="2"/>
        <v>1.0999999999999999E-2</v>
      </c>
      <c r="F36" s="278">
        <f t="shared" si="2"/>
        <v>1.0999999999999999E-2</v>
      </c>
      <c r="G36" s="278">
        <f t="shared" si="2"/>
        <v>1.0999999999999999E-2</v>
      </c>
      <c r="H36" s="278">
        <f t="shared" si="2"/>
        <v>1.0999999999999999E-2</v>
      </c>
      <c r="I36" s="278">
        <f t="shared" si="2"/>
        <v>1.0999999999999999E-2</v>
      </c>
      <c r="J36" s="278">
        <f t="shared" si="2"/>
        <v>1.0999999999999999E-2</v>
      </c>
    </row>
    <row r="37" spans="3:10" ht="14.25">
      <c r="C37" s="182" t="str">
        <f>RES_techs_coms!C34</f>
        <v>R_JDW-SC</v>
      </c>
      <c r="D37" s="277">
        <f>ROUNDDOWN(SUMIF(RES!$F$7:$F$62,C37,RES!$N$7:$N$62),3)</f>
        <v>8.1000000000000003E-2</v>
      </c>
      <c r="E37" s="278">
        <f t="shared" si="2"/>
        <v>8.1000000000000003E-2</v>
      </c>
      <c r="F37" s="278">
        <f t="shared" si="2"/>
        <v>8.1000000000000003E-2</v>
      </c>
      <c r="G37" s="278">
        <f t="shared" si="2"/>
        <v>8.1000000000000003E-2</v>
      </c>
      <c r="H37" s="278">
        <f t="shared" si="2"/>
        <v>8.1000000000000003E-2</v>
      </c>
      <c r="I37" s="278">
        <f t="shared" si="2"/>
        <v>8.1000000000000003E-2</v>
      </c>
      <c r="J37" s="278">
        <f t="shared" si="2"/>
        <v>8.1000000000000003E-2</v>
      </c>
    </row>
    <row r="38" spans="3:10" ht="14.25">
      <c r="C38" s="182" t="str">
        <f>RES_techs_coms!C35</f>
        <v>R_JDW-CW</v>
      </c>
      <c r="D38" s="277">
        <f>ROUNDDOWN(SUMIF(RES!$F$7:$F$62,C38,RES!$N$7:$N$62),3)</f>
        <v>3.6999999999999998E-2</v>
      </c>
      <c r="E38" s="278">
        <f t="shared" si="2"/>
        <v>3.6999999999999998E-2</v>
      </c>
      <c r="F38" s="278">
        <f t="shared" si="2"/>
        <v>3.6999999999999998E-2</v>
      </c>
      <c r="G38" s="278">
        <f t="shared" si="2"/>
        <v>3.6999999999999998E-2</v>
      </c>
      <c r="H38" s="278">
        <f t="shared" si="2"/>
        <v>3.6999999999999998E-2</v>
      </c>
      <c r="I38" s="278">
        <f t="shared" si="2"/>
        <v>3.6999999999999998E-2</v>
      </c>
      <c r="J38" s="278">
        <f t="shared" si="2"/>
        <v>3.6999999999999998E-2</v>
      </c>
    </row>
    <row r="39" spans="3:10" ht="14.25">
      <c r="C39" s="182" t="str">
        <f>RES_techs_coms!C36</f>
        <v>R_JDW-DW</v>
      </c>
      <c r="D39" s="277">
        <f>ROUNDDOWN(SUMIF(RES!$F$7:$F$62,C39,RES!$N$7:$N$62),3)</f>
        <v>1.2E-2</v>
      </c>
      <c r="E39" s="278">
        <f t="shared" si="2"/>
        <v>1.2E-2</v>
      </c>
      <c r="F39" s="278">
        <f t="shared" si="2"/>
        <v>1.2E-2</v>
      </c>
      <c r="G39" s="278">
        <f t="shared" si="2"/>
        <v>1.2E-2</v>
      </c>
      <c r="H39" s="278">
        <f t="shared" si="2"/>
        <v>1.2E-2</v>
      </c>
      <c r="I39" s="278">
        <f t="shared" si="2"/>
        <v>1.2E-2</v>
      </c>
      <c r="J39" s="278">
        <f t="shared" si="2"/>
        <v>1.2E-2</v>
      </c>
    </row>
    <row r="40" spans="3:10" ht="14.25">
      <c r="C40" s="182" t="str">
        <f>RES_techs_coms!C37</f>
        <v>R_JDW-LT</v>
      </c>
      <c r="D40" s="277">
        <f>ROUNDDOWN(SUMIF(RES!$F$7:$F$62,C40,RES!$N$7:$N$62),3)</f>
        <v>3.5000000000000003E-2</v>
      </c>
      <c r="E40" s="278">
        <f t="shared" si="2"/>
        <v>3.5000000000000003E-2</v>
      </c>
      <c r="F40" s="278">
        <f t="shared" si="2"/>
        <v>3.5000000000000003E-2</v>
      </c>
      <c r="G40" s="278">
        <f t="shared" si="2"/>
        <v>3.5000000000000003E-2</v>
      </c>
      <c r="H40" s="278">
        <f t="shared" si="2"/>
        <v>3.5000000000000003E-2</v>
      </c>
      <c r="I40" s="278">
        <f t="shared" si="2"/>
        <v>3.5000000000000003E-2</v>
      </c>
      <c r="J40" s="278">
        <f t="shared" si="2"/>
        <v>3.5000000000000003E-2</v>
      </c>
    </row>
    <row r="41" spans="3:10" ht="14.25">
      <c r="C41" s="182" t="str">
        <f>RES_techs_coms!C38</f>
        <v>R_JDW-OTH</v>
      </c>
      <c r="D41" s="277">
        <f>ROUNDDOWN(SUMIF(RES!$F$7:$F$62,C41,RES!$N$7:$N$62),3)</f>
        <v>0.14299999999999999</v>
      </c>
      <c r="E41" s="278">
        <f t="shared" si="2"/>
        <v>0.14299999999999999</v>
      </c>
      <c r="F41" s="278">
        <f t="shared" si="2"/>
        <v>0.14299999999999999</v>
      </c>
      <c r="G41" s="278">
        <f t="shared" si="2"/>
        <v>0.14299999999999999</v>
      </c>
      <c r="H41" s="278">
        <f t="shared" si="2"/>
        <v>0.14299999999999999</v>
      </c>
      <c r="I41" s="278">
        <f t="shared" si="2"/>
        <v>0.14299999999999999</v>
      </c>
      <c r="J41" s="278">
        <f t="shared" si="2"/>
        <v>0.14299999999999999</v>
      </c>
    </row>
    <row r="42" spans="3:10" ht="14.25">
      <c r="C42" s="182" t="str">
        <f>RES_techs_coms!C39</f>
        <v>R_JDW-MPS</v>
      </c>
      <c r="D42" s="277">
        <f>ROUNDDOWN(SUMIF(RES!$F$7:$F$62,C42,RES!$N$7:$N$62),3)</f>
        <v>1.0999999999999999E-2</v>
      </c>
      <c r="E42" s="278">
        <f t="shared" si="2"/>
        <v>1.0999999999999999E-2</v>
      </c>
      <c r="F42" s="278">
        <f t="shared" si="2"/>
        <v>1.0999999999999999E-2</v>
      </c>
      <c r="G42" s="278">
        <f t="shared" si="2"/>
        <v>1.0999999999999999E-2</v>
      </c>
      <c r="H42" s="278">
        <f t="shared" si="2"/>
        <v>1.0999999999999999E-2</v>
      </c>
      <c r="I42" s="278">
        <f t="shared" si="2"/>
        <v>1.0999999999999999E-2</v>
      </c>
      <c r="J42" s="278">
        <f t="shared" si="2"/>
        <v>1.0999999999999999E-2</v>
      </c>
    </row>
    <row r="43" spans="3:10" ht="14.25">
      <c r="C43" s="182" t="str">
        <f>RES_techs_coms!C40</f>
        <v>R_JDW-MPM</v>
      </c>
      <c r="D43" s="277">
        <f>ROUNDDOWN(SUMIF(RES!$F$7:$F$62,C43,RES!$N$7:$N$62),3)</f>
        <v>0</v>
      </c>
      <c r="E43" s="278">
        <f t="shared" si="2"/>
        <v>0</v>
      </c>
      <c r="F43" s="278">
        <f t="shared" si="2"/>
        <v>0</v>
      </c>
      <c r="G43" s="278">
        <f t="shared" si="2"/>
        <v>0</v>
      </c>
      <c r="H43" s="278">
        <f t="shared" si="2"/>
        <v>0</v>
      </c>
      <c r="I43" s="278">
        <f t="shared" si="2"/>
        <v>0</v>
      </c>
      <c r="J43" s="278">
        <f t="shared" si="2"/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W64"/>
  <sheetViews>
    <sheetView tabSelected="1" topLeftCell="A4" workbookViewId="0">
      <pane ySplit="3" topLeftCell="A45" activePane="bottomLeft" state="frozen"/>
      <selection activeCell="A4" sqref="A4"/>
      <selection pane="bottomLeft" activeCell="J6" sqref="J6"/>
    </sheetView>
  </sheetViews>
  <sheetFormatPr defaultColWidth="9.1328125" defaultRowHeight="14.25"/>
  <cols>
    <col min="1" max="2" width="9.1328125" style="287"/>
    <col min="3" max="3" width="27" style="287" bestFit="1" customWidth="1"/>
    <col min="4" max="5" width="9.1328125" style="287"/>
    <col min="6" max="6" width="12.86328125" style="287" bestFit="1" customWidth="1"/>
    <col min="7" max="13" width="9.1328125" style="287"/>
    <col min="14" max="14" width="9.59765625" style="287" bestFit="1" customWidth="1"/>
    <col min="15" max="15" width="12" style="287" bestFit="1" customWidth="1"/>
    <col min="16" max="16384" width="9.1328125" style="287"/>
  </cols>
  <sheetData>
    <row r="4" spans="3:23">
      <c r="F4" s="173" t="s">
        <v>13</v>
      </c>
      <c r="G4" s="174"/>
      <c r="H4" s="174"/>
      <c r="I4" s="174"/>
      <c r="J4" s="174"/>
      <c r="K4" s="174"/>
      <c r="L4" s="175"/>
      <c r="M4" s="175"/>
      <c r="N4" s="176"/>
    </row>
    <row r="5" spans="3:23" ht="20.25">
      <c r="C5" s="177" t="s">
        <v>1</v>
      </c>
      <c r="D5" s="178" t="s">
        <v>312</v>
      </c>
      <c r="E5" s="177" t="s">
        <v>5</v>
      </c>
      <c r="F5" s="177" t="s">
        <v>6</v>
      </c>
      <c r="G5" s="179" t="s">
        <v>56</v>
      </c>
      <c r="H5" s="179" t="s">
        <v>360</v>
      </c>
      <c r="I5" s="179" t="s">
        <v>899</v>
      </c>
      <c r="J5" s="179" t="s">
        <v>1002</v>
      </c>
      <c r="K5" s="180" t="s">
        <v>354</v>
      </c>
      <c r="L5" s="179" t="s">
        <v>907</v>
      </c>
      <c r="M5" s="179" t="s">
        <v>894</v>
      </c>
      <c r="N5" s="179" t="s">
        <v>364</v>
      </c>
      <c r="O5" s="179" t="s">
        <v>336</v>
      </c>
      <c r="P5" s="179" t="s">
        <v>346</v>
      </c>
      <c r="Q5" s="179" t="s">
        <v>897</v>
      </c>
      <c r="R5" s="179" t="s">
        <v>898</v>
      </c>
      <c r="S5" s="179" t="s">
        <v>900</v>
      </c>
      <c r="T5" s="179" t="s">
        <v>906</v>
      </c>
      <c r="U5" s="179" t="s">
        <v>905</v>
      </c>
      <c r="V5" s="179" t="s">
        <v>901</v>
      </c>
      <c r="W5" s="179"/>
    </row>
    <row r="6" spans="3:23" ht="40.9" thickBot="1">
      <c r="C6" s="181" t="s">
        <v>320</v>
      </c>
      <c r="D6" s="181" t="s">
        <v>22</v>
      </c>
      <c r="E6" s="181" t="s">
        <v>32</v>
      </c>
      <c r="F6" s="181" t="s">
        <v>33</v>
      </c>
      <c r="G6" s="181" t="s">
        <v>58</v>
      </c>
      <c r="H6" s="181" t="s">
        <v>314</v>
      </c>
      <c r="I6" s="181" t="s">
        <v>314</v>
      </c>
      <c r="J6" s="181" t="s">
        <v>315</v>
      </c>
      <c r="K6" s="181" t="s">
        <v>316</v>
      </c>
      <c r="L6" s="181" t="s">
        <v>317</v>
      </c>
      <c r="M6" s="181"/>
      <c r="N6" s="181" t="s">
        <v>318</v>
      </c>
      <c r="O6" s="181" t="s">
        <v>895</v>
      </c>
      <c r="P6" s="181" t="s">
        <v>896</v>
      </c>
    </row>
    <row r="7" spans="3:23">
      <c r="C7" s="379" t="str">
        <f>+[6]SI!J2</f>
        <v>R_DDW-SH_Burner-WOD00</v>
      </c>
      <c r="D7" s="379" t="str">
        <f>+[6]SI!A2&amp;" - "&amp;[6]SI!C2&amp;" - "&amp;[6]SI!D2</f>
        <v>Detached dwellings - Heat/Cooling Devices - Burner (Direct Heat)</v>
      </c>
      <c r="E7" s="379" t="str">
        <f>+[6]SI!K2</f>
        <v>RESWOD</v>
      </c>
      <c r="F7" s="379" t="str">
        <f>+[6]SI!L2</f>
        <v>R_DDW-SH</v>
      </c>
      <c r="G7" s="380">
        <f>+[6]SI!O2</f>
        <v>0.6</v>
      </c>
      <c r="H7" s="381">
        <f>+[6]SI!Q2</f>
        <v>8.2100000000000006E-2</v>
      </c>
      <c r="I7" s="381">
        <f t="shared" ref="I7:I16" si="0">+IF(L7&gt;0.01,H7*0.75,0)</f>
        <v>6.1575000000000005E-2</v>
      </c>
      <c r="J7" s="379">
        <f>+[6]SI!P2</f>
        <v>20</v>
      </c>
      <c r="K7" s="379">
        <v>31.536000000000001</v>
      </c>
      <c r="L7" s="380">
        <f t="shared" ref="L7:L54" si="1">+N7/K7/H7</f>
        <v>0.63556873368172162</v>
      </c>
      <c r="M7" s="379"/>
      <c r="N7" s="382">
        <v>1.6455545675602543</v>
      </c>
      <c r="O7" s="378">
        <v>373</v>
      </c>
      <c r="P7" s="378"/>
      <c r="S7" s="287">
        <f>+N7/SUM(N7:N15)</f>
        <v>0.16236589190506423</v>
      </c>
      <c r="V7" s="287">
        <v>5</v>
      </c>
    </row>
    <row r="8" spans="3:23">
      <c r="C8" s="375" t="str">
        <f>+[6]SI!J3</f>
        <v>R_DDW-SH_Burner-LPG00</v>
      </c>
      <c r="D8" s="375" t="str">
        <f>+[6]SI!A3&amp;" - "&amp;[6]SI!C3&amp;" - "&amp;[6]SI!D3</f>
        <v>Detached dwellings - Heat/Cooling Devices - Burner (Direct Heat)</v>
      </c>
      <c r="E8" s="375" t="str">
        <f>+[6]SI!K3</f>
        <v>RESLPG</v>
      </c>
      <c r="F8" s="375" t="str">
        <f>+[6]SI!L3</f>
        <v>R_DDW-SH</v>
      </c>
      <c r="G8" s="376">
        <f>+[6]SI!O3</f>
        <v>0.8</v>
      </c>
      <c r="H8" s="377">
        <f>+[6]SI!Q3</f>
        <v>8.2100000000000006E-2</v>
      </c>
      <c r="I8" s="377">
        <f t="shared" si="0"/>
        <v>6.1575000000000005E-2</v>
      </c>
      <c r="J8" s="375">
        <f>+[6]SI!P3</f>
        <v>20</v>
      </c>
      <c r="K8" s="375">
        <v>31.536000000000001</v>
      </c>
      <c r="L8" s="376">
        <f t="shared" si="1"/>
        <v>0.1289628716678852</v>
      </c>
      <c r="M8" s="375"/>
      <c r="N8" s="383">
        <v>0.33389849322740295</v>
      </c>
      <c r="O8" s="374">
        <f>+[6]SI!U3</f>
        <v>1260</v>
      </c>
      <c r="P8" s="374">
        <f>+[6]SI!V3</f>
        <v>150</v>
      </c>
    </row>
    <row r="9" spans="3:23">
      <c r="C9" s="375" t="str">
        <f>+[6]SI!J4</f>
        <v>R_DDW-SH_Burner-DSL00</v>
      </c>
      <c r="D9" s="375" t="str">
        <f>+[6]SI!A4&amp;" - "&amp;[6]SI!C4&amp;" - "&amp;[6]SI!D4</f>
        <v>Detached dwellings - Heat/Cooling Devices - Burner (Direct Heat)</v>
      </c>
      <c r="E9" s="375" t="str">
        <f>+[6]SI!K4</f>
        <v>RESDSL</v>
      </c>
      <c r="F9" s="375" t="str">
        <f>+[6]SI!L4</f>
        <v>R_DDW-SH</v>
      </c>
      <c r="G9" s="376">
        <f>+[6]SI!O4</f>
        <v>0.8</v>
      </c>
      <c r="H9" s="377">
        <f>+[6]SI!Q4</f>
        <v>4.4999999999999997E-3</v>
      </c>
      <c r="I9" s="377">
        <f t="shared" si="0"/>
        <v>3.3749999999999995E-3</v>
      </c>
      <c r="J9" s="375">
        <v>5</v>
      </c>
      <c r="K9" s="375">
        <v>31.536000000000001</v>
      </c>
      <c r="L9" s="376">
        <f t="shared" si="1"/>
        <v>0.21598682363912264</v>
      </c>
      <c r="M9" s="375"/>
      <c r="N9" s="383">
        <v>3.0651122116275169E-2</v>
      </c>
      <c r="O9" s="374"/>
      <c r="P9" s="374"/>
      <c r="Q9" s="287">
        <v>0</v>
      </c>
      <c r="R9" s="287">
        <v>5</v>
      </c>
    </row>
    <row r="10" spans="3:23">
      <c r="C10" s="375" t="str">
        <f>+[6]SI!J5</f>
        <v>R_DDW-SH_Burner-COA00</v>
      </c>
      <c r="D10" s="375" t="str">
        <f>+[6]SI!A5&amp;" - "&amp;[6]SI!C5&amp;" - "&amp;[6]SI!D5</f>
        <v>Detached dwellings - Heat/Cooling Devices - Burner (Direct Heat)</v>
      </c>
      <c r="E10" s="375" t="str">
        <f>+[6]SI!K5</f>
        <v>RESCOA</v>
      </c>
      <c r="F10" s="375" t="str">
        <f>+[6]SI!L5</f>
        <v>R_DDW-SH</v>
      </c>
      <c r="G10" s="376">
        <f>+[6]SI!O5</f>
        <v>0.6</v>
      </c>
      <c r="H10" s="377">
        <f>+[6]SI!Q5</f>
        <v>4.4999999999999997E-3</v>
      </c>
      <c r="I10" s="377">
        <f t="shared" si="0"/>
        <v>3.3749999999999995E-3</v>
      </c>
      <c r="J10" s="375">
        <v>5</v>
      </c>
      <c r="K10" s="375">
        <v>31.536000000000001</v>
      </c>
      <c r="L10" s="376">
        <f t="shared" si="1"/>
        <v>0.14145720199644807</v>
      </c>
      <c r="M10" s="375"/>
      <c r="N10" s="383">
        <v>2.007447444971994E-2</v>
      </c>
      <c r="O10" s="374"/>
      <c r="P10" s="374"/>
      <c r="Q10" s="287">
        <v>0</v>
      </c>
      <c r="R10" s="287">
        <v>5</v>
      </c>
    </row>
    <row r="11" spans="3:23">
      <c r="C11" s="375" t="str">
        <f>+[6]SI!J6</f>
        <v>R_DDW-SH_OF-WOD00</v>
      </c>
      <c r="D11" s="375" t="str">
        <f>+[6]SI!A6&amp;" - "&amp;[6]SI!C6&amp;" - "&amp;[6]SI!D6</f>
        <v>Detached dwellings - Heat/Cooling Devices - Open Fire</v>
      </c>
      <c r="E11" s="375" t="str">
        <f>+[6]SI!K6</f>
        <v>RESWOD</v>
      </c>
      <c r="F11" s="375" t="str">
        <f>+[6]SI!L6</f>
        <v>R_DDW-SH</v>
      </c>
      <c r="G11" s="376">
        <f>+[6]SI!O6</f>
        <v>0.06</v>
      </c>
      <c r="H11" s="377">
        <f>+[6]SI!Q6</f>
        <v>8.2100000000000006E-2</v>
      </c>
      <c r="I11" s="377">
        <f t="shared" si="0"/>
        <v>0</v>
      </c>
      <c r="J11" s="375">
        <f>+[6]SI!P6</f>
        <v>50</v>
      </c>
      <c r="K11" s="375">
        <v>31.536000000000001</v>
      </c>
      <c r="L11" s="376">
        <f t="shared" si="1"/>
        <v>1.9528038957474069E-3</v>
      </c>
      <c r="M11" s="375"/>
      <c r="N11" s="383">
        <v>5.056015502181428E-3</v>
      </c>
      <c r="O11" s="374"/>
      <c r="P11" s="374"/>
      <c r="Q11" s="287">
        <v>0</v>
      </c>
      <c r="R11" s="287">
        <v>5</v>
      </c>
    </row>
    <row r="12" spans="3:23">
      <c r="C12" s="375" t="str">
        <f>+[6]SI!J7</f>
        <v>R_DDW-SH_OF-COA00</v>
      </c>
      <c r="D12" s="375" t="str">
        <f>+[6]SI!A7&amp;" - "&amp;[6]SI!C7&amp;" - "&amp;[6]SI!D7</f>
        <v>Detached dwellings - Heat/Cooling Devices - Open Fire</v>
      </c>
      <c r="E12" s="375" t="str">
        <f>+[6]SI!K7</f>
        <v>RESCOA</v>
      </c>
      <c r="F12" s="375" t="str">
        <f>+[6]SI!L7</f>
        <v>R_DDW-SH</v>
      </c>
      <c r="G12" s="376">
        <f>+[6]SI!O7</f>
        <v>0.06</v>
      </c>
      <c r="H12" s="377">
        <f>+[6]SI!Q7</f>
        <v>8.2100000000000006E-2</v>
      </c>
      <c r="I12" s="377">
        <f t="shared" si="0"/>
        <v>0</v>
      </c>
      <c r="J12" s="375">
        <f>+[6]SI!P7</f>
        <v>50</v>
      </c>
      <c r="K12" s="375">
        <v>31.536000000000001</v>
      </c>
      <c r="L12" s="376">
        <f t="shared" si="1"/>
        <v>1.4953222973901898E-3</v>
      </c>
      <c r="M12" s="375"/>
      <c r="N12" s="383">
        <v>3.8715473339778067E-3</v>
      </c>
      <c r="O12" s="374"/>
      <c r="P12" s="374"/>
      <c r="Q12" s="287">
        <v>0</v>
      </c>
      <c r="R12" s="287">
        <v>5</v>
      </c>
    </row>
    <row r="13" spans="3:23">
      <c r="C13" s="375" t="str">
        <f>+[6]SI!J8</f>
        <v>R_DDW-SH_OFWB-COA00</v>
      </c>
      <c r="D13" s="375" t="str">
        <f>+[6]SI!A8&amp;" - "&amp;[6]SI!C8&amp;" - "&amp;[6]SI!D8</f>
        <v>Detached dwellings - Heat/Cooling Devices - Open Fire, with Wetback</v>
      </c>
      <c r="E13" s="375" t="str">
        <f>+[6]SI!K8</f>
        <v>RESCOA</v>
      </c>
      <c r="F13" s="375" t="str">
        <f>+[6]SI!L8</f>
        <v>R_DDW-SH</v>
      </c>
      <c r="G13" s="376">
        <f>+[6]SI!O8</f>
        <v>0.06</v>
      </c>
      <c r="H13" s="377">
        <f>+[6]SI!Q8</f>
        <v>8.2100000000000006E-2</v>
      </c>
      <c r="I13" s="377">
        <f t="shared" si="0"/>
        <v>0</v>
      </c>
      <c r="J13" s="375">
        <f>+[6]SI!P8</f>
        <v>50</v>
      </c>
      <c r="K13" s="375">
        <v>31.536000000000001</v>
      </c>
      <c r="L13" s="376">
        <f t="shared" si="1"/>
        <v>1.7711276270210497E-4</v>
      </c>
      <c r="M13" s="375"/>
      <c r="N13" s="383">
        <v>4.5856364574349117E-4</v>
      </c>
      <c r="O13" s="374"/>
      <c r="P13" s="374"/>
      <c r="Q13" s="287">
        <v>0</v>
      </c>
      <c r="R13" s="287">
        <v>5</v>
      </c>
    </row>
    <row r="14" spans="3:23">
      <c r="C14" s="375" t="str">
        <f>+[6]SI!J9</f>
        <v>R_DDW-SH_HP-ELC00</v>
      </c>
      <c r="D14" s="375" t="str">
        <f>+[6]SI!A9&amp;" - "&amp;[6]SI!C9&amp;" - "&amp;[6]SI!D9</f>
        <v>Detached dwellings - Heat/Cooling Devices - Heat Pump (for Heating)</v>
      </c>
      <c r="E14" s="375" t="str">
        <f>+[6]SI!K9</f>
        <v>RESELC</v>
      </c>
      <c r="F14" s="375" t="str">
        <f>+[6]SI!L9</f>
        <v>R_DDW-SH</v>
      </c>
      <c r="G14" s="376">
        <f>+[6]SI!O9</f>
        <v>3.75</v>
      </c>
      <c r="H14" s="377">
        <f>+[6]SI!Q9</f>
        <v>8.2100000000000006E-2</v>
      </c>
      <c r="I14" s="377">
        <f t="shared" si="0"/>
        <v>6.1575000000000005E-2</v>
      </c>
      <c r="J14" s="375">
        <f>+[6]SI!P9</f>
        <v>12</v>
      </c>
      <c r="K14" s="375">
        <v>31.536000000000001</v>
      </c>
      <c r="L14" s="376">
        <f t="shared" si="1"/>
        <v>2.5591375006259285</v>
      </c>
      <c r="M14" s="375"/>
      <c r="N14" s="383">
        <v>6.6258772340405949</v>
      </c>
      <c r="O14" s="374">
        <f>+[6]SI!U9</f>
        <v>557.90697674418607</v>
      </c>
      <c r="P14" s="374"/>
    </row>
    <row r="15" spans="3:23">
      <c r="C15" s="371" t="str">
        <f>+[6]SI!J10</f>
        <v>R_DDW-SH_RH-ELC00</v>
      </c>
      <c r="D15" s="371" t="str">
        <f>+[6]SI!A10&amp;" - "&amp;[6]SI!C10&amp;" - "&amp;[6]SI!D10</f>
        <v>Detached dwellings - Heat/Cooling Devices - Resistance Heater</v>
      </c>
      <c r="E15" s="371" t="str">
        <f>+[6]SI!K10</f>
        <v>RESELC</v>
      </c>
      <c r="F15" s="371" t="str">
        <f>+[6]SI!L10</f>
        <v>R_DDW-SH</v>
      </c>
      <c r="G15" s="372">
        <f>+[6]SI!O10</f>
        <v>1</v>
      </c>
      <c r="H15" s="373">
        <f>+[6]SI!Q10</f>
        <v>8.2100000000000006E-2</v>
      </c>
      <c r="I15" s="373">
        <f t="shared" si="0"/>
        <v>6.1575000000000005E-2</v>
      </c>
      <c r="J15" s="371">
        <f>+[6]SI!P10</f>
        <v>5</v>
      </c>
      <c r="K15" s="371">
        <v>31.536000000000001</v>
      </c>
      <c r="L15" s="372">
        <f t="shared" si="1"/>
        <v>0.56753642132934778</v>
      </c>
      <c r="M15" s="371"/>
      <c r="N15" s="384">
        <v>1.469411726667774</v>
      </c>
      <c r="O15" s="370">
        <f>+[6]SI!U10</f>
        <v>24</v>
      </c>
      <c r="P15" s="370"/>
    </row>
    <row r="16" spans="3:23">
      <c r="C16" s="357" t="str">
        <f>+[6]SI!J11</f>
        <v>R_DDW-WH_OFWB-COA00</v>
      </c>
      <c r="D16" s="357" t="str">
        <f>+[6]SI!A11&amp;" - "&amp;[6]SI!C11&amp;" - "&amp;[6]SI!D11</f>
        <v>Detached dwellings - Heat/Cooling Devices - Open Fire, with Wetback</v>
      </c>
      <c r="E16" s="357" t="str">
        <f>+[6]SI!K11</f>
        <v>RESCOA</v>
      </c>
      <c r="F16" s="357" t="str">
        <f>+[6]SI!L11</f>
        <v>R_DDW-WH</v>
      </c>
      <c r="G16" s="358">
        <f>+[6]SI!O11</f>
        <v>0.16</v>
      </c>
      <c r="H16" s="359">
        <f>+[6]SI!Q11</f>
        <v>0.1666</v>
      </c>
      <c r="I16" s="359">
        <f t="shared" si="0"/>
        <v>0</v>
      </c>
      <c r="J16" s="357">
        <f>+[6]SI!P11</f>
        <v>50</v>
      </c>
      <c r="K16" s="357">
        <v>31.536000000000001</v>
      </c>
      <c r="L16" s="358">
        <f t="shared" si="1"/>
        <v>1.327729636744011E-4</v>
      </c>
      <c r="M16" s="357"/>
      <c r="N16" s="385">
        <v>6.9757555519382318E-4</v>
      </c>
      <c r="O16" s="356"/>
      <c r="P16" s="356"/>
      <c r="Q16" s="287">
        <v>0</v>
      </c>
      <c r="R16" s="287">
        <v>5</v>
      </c>
    </row>
    <row r="17" spans="3:18">
      <c r="C17" s="353" t="str">
        <f>+[6]SI!J12</f>
        <v>R_DDW-WH_HWC-SOL00</v>
      </c>
      <c r="D17" s="353" t="str">
        <f>+[6]SI!A12&amp;" - "&amp;[6]SI!C12&amp;" - "&amp;[6]SI!D12</f>
        <v>Detached dwellings - Heat/Cooling Devices - Hot Water Cylinder</v>
      </c>
      <c r="E17" s="353" t="str">
        <f>+[6]SI!K12</f>
        <v>RESSOL</v>
      </c>
      <c r="F17" s="353" t="str">
        <f>+[6]SI!L12</f>
        <v>R_DDW-WH</v>
      </c>
      <c r="G17" s="354">
        <f>+[6]SI!O12</f>
        <v>0.6</v>
      </c>
      <c r="H17" s="355">
        <v>0.125</v>
      </c>
      <c r="I17" s="355"/>
      <c r="J17" s="353">
        <f>+[6]SI!P12</f>
        <v>20</v>
      </c>
      <c r="K17" s="353">
        <v>31.536000000000001</v>
      </c>
      <c r="L17" s="354">
        <f t="shared" si="1"/>
        <v>1.0713499894114903E-2</v>
      </c>
      <c r="M17" s="353"/>
      <c r="N17" s="386">
        <v>4.2232616582600947E-2</v>
      </c>
      <c r="O17" s="352">
        <v>2121</v>
      </c>
      <c r="P17" s="352"/>
      <c r="Q17" s="287">
        <v>0</v>
      </c>
      <c r="R17" s="287">
        <v>5</v>
      </c>
    </row>
    <row r="18" spans="3:18">
      <c r="C18" s="353" t="str">
        <f>+[6]SI!J13</f>
        <v>R_DDW-WH_HWC-ELC00</v>
      </c>
      <c r="D18" s="353" t="str">
        <f>+[6]SI!A13&amp;" - "&amp;[6]SI!C13&amp;" - "&amp;[6]SI!D13</f>
        <v>Detached dwellings - Heat/Cooling Devices - Hot Water Cylinder</v>
      </c>
      <c r="E18" s="353" t="str">
        <f>+[6]SI!K13</f>
        <v>RESELC</v>
      </c>
      <c r="F18" s="353" t="str">
        <f>+[6]SI!L13</f>
        <v>R_DDW-WH</v>
      </c>
      <c r="G18" s="354">
        <f>+[6]SI!O13</f>
        <v>1</v>
      </c>
      <c r="H18" s="355">
        <v>0.125</v>
      </c>
      <c r="I18" s="355">
        <f t="shared" ref="I18:I38" si="2">+IF(L18&gt;0.01,H18*0.75,0)</f>
        <v>9.375E-2</v>
      </c>
      <c r="J18" s="353">
        <f>+[6]SI!P13</f>
        <v>20</v>
      </c>
      <c r="K18" s="353">
        <v>31.536000000000001</v>
      </c>
      <c r="L18" s="354">
        <f t="shared" si="1"/>
        <v>0.741362027650596</v>
      </c>
      <c r="M18" s="353"/>
      <c r="N18" s="386">
        <v>2.9224491129986494</v>
      </c>
      <c r="O18" s="352">
        <v>757.6</v>
      </c>
      <c r="P18" s="352"/>
    </row>
    <row r="19" spans="3:18">
      <c r="C19" s="353" t="str">
        <f>+[6]SI!J14</f>
        <v>R_DDW-WH_Gasheat-LPG00</v>
      </c>
      <c r="D19" s="353" t="str">
        <f>+[6]SI!A14&amp;" - "&amp;[6]SI!C14&amp;" - "&amp;[6]SI!D14</f>
        <v>Detached dwellings - Heat/Cooling Devices - Gas Water Heater</v>
      </c>
      <c r="E19" s="353" t="str">
        <f>+[6]SI!K14</f>
        <v>RESLPG</v>
      </c>
      <c r="F19" s="353" t="str">
        <f>+[6]SI!L14</f>
        <v>R_DDW-WH</v>
      </c>
      <c r="G19" s="354">
        <f>+[6]SI!O14</f>
        <v>0.8</v>
      </c>
      <c r="H19" s="355">
        <v>4.2000000000000003E-2</v>
      </c>
      <c r="I19" s="355">
        <f t="shared" si="2"/>
        <v>3.15E-2</v>
      </c>
      <c r="J19" s="353">
        <f>+[6]SI!P14</f>
        <v>20</v>
      </c>
      <c r="K19" s="353">
        <v>31.536000000000001</v>
      </c>
      <c r="L19" s="354">
        <f t="shared" si="1"/>
        <v>0.26867738584915041</v>
      </c>
      <c r="M19" s="353"/>
      <c r="N19" s="386">
        <v>0.35586642168582999</v>
      </c>
      <c r="O19" s="352">
        <v>250</v>
      </c>
      <c r="P19" s="352">
        <f>+[6]SI!V14</f>
        <v>150</v>
      </c>
    </row>
    <row r="20" spans="3:18">
      <c r="C20" s="349" t="str">
        <f>+[6]SI!J15</f>
        <v>R_DDW-WH_BRNWB-WOD00</v>
      </c>
      <c r="D20" s="349" t="str">
        <f>+[6]SI!A15&amp;" - "&amp;[6]SI!C15&amp;" - "&amp;[6]SI!D15</f>
        <v>Detached dwellings - Heat/Cooling Devices - Burner, with Wetback</v>
      </c>
      <c r="E20" s="349" t="str">
        <f>+[6]SI!K15</f>
        <v>RESWOD</v>
      </c>
      <c r="F20" s="349" t="str">
        <f>+[6]SI!L15</f>
        <v>R_DDW-WH</v>
      </c>
      <c r="G20" s="350">
        <f>+[6]SI!O15</f>
        <v>0.16</v>
      </c>
      <c r="H20" s="351">
        <f>+[6]SI!Q15</f>
        <v>0.1666</v>
      </c>
      <c r="I20" s="351">
        <f t="shared" si="2"/>
        <v>0</v>
      </c>
      <c r="J20" s="349">
        <f>+[6]SI!P15</f>
        <v>20</v>
      </c>
      <c r="K20" s="349">
        <v>31.536000000000001</v>
      </c>
      <c r="L20" s="350">
        <f t="shared" si="1"/>
        <v>6.015656406731328E-4</v>
      </c>
      <c r="M20" s="349"/>
      <c r="N20" s="387">
        <v>3.1605642757750346E-3</v>
      </c>
      <c r="O20" s="348"/>
      <c r="P20" s="348"/>
      <c r="Q20" s="287">
        <v>0</v>
      </c>
      <c r="R20" s="287">
        <v>5</v>
      </c>
    </row>
    <row r="21" spans="3:18">
      <c r="C21" s="305" t="str">
        <f>+[6]SI!J16</f>
        <v>R_DDW-CK_Oven-COA00</v>
      </c>
      <c r="D21" s="305" t="str">
        <f>+[6]SI!A16&amp;" - "&amp;[6]SI!C16&amp;" - "&amp;[6]SI!D16</f>
        <v>Detached dwellings - Heat/Cooling Devices - Cooking Ovens</v>
      </c>
      <c r="E21" s="305" t="str">
        <f>+[6]SI!K16</f>
        <v>RESCOA</v>
      </c>
      <c r="F21" s="305" t="str">
        <f>+[6]SI!L16</f>
        <v>R_DDW-CK</v>
      </c>
      <c r="G21" s="306">
        <f>+[6]SI!O16</f>
        <v>0.15</v>
      </c>
      <c r="H21" s="369">
        <v>1</v>
      </c>
      <c r="I21" s="369">
        <f t="shared" si="2"/>
        <v>0</v>
      </c>
      <c r="J21" s="305">
        <f>+[6]SI!P16</f>
        <v>10</v>
      </c>
      <c r="K21" s="305">
        <v>31.536000000000001</v>
      </c>
      <c r="L21" s="306">
        <f t="shared" si="1"/>
        <v>2.007291209506336E-6</v>
      </c>
      <c r="M21" s="305"/>
      <c r="N21" s="388">
        <v>6.3301935582991812E-5</v>
      </c>
      <c r="O21" s="304"/>
      <c r="P21" s="304"/>
      <c r="Q21" s="287">
        <v>0</v>
      </c>
      <c r="R21" s="287">
        <v>5</v>
      </c>
    </row>
    <row r="22" spans="3:18">
      <c r="C22" s="305" t="str">
        <f>+[6]SI!J17</f>
        <v>R_DDW-CK_Appl-ELC00</v>
      </c>
      <c r="D22" s="305" t="str">
        <f>+[6]SI!A17&amp;" - "&amp;[6]SI!C17&amp;" - "&amp;[6]SI!D17</f>
        <v>Detached dwellings - Heat/Cooling Devices - Cooking Appliances</v>
      </c>
      <c r="E22" s="305" t="str">
        <f>+[6]SI!K17</f>
        <v>RESELC</v>
      </c>
      <c r="F22" s="305" t="str">
        <f>+[6]SI!L17</f>
        <v>R_DDW-CK</v>
      </c>
      <c r="G22" s="306">
        <f>+[6]SI!O17</f>
        <v>0.75</v>
      </c>
      <c r="H22" s="369">
        <f>+[6]SI!Q17</f>
        <v>4.1599999999999998E-2</v>
      </c>
      <c r="I22" s="369">
        <f t="shared" si="2"/>
        <v>3.1199999999999999E-2</v>
      </c>
      <c r="J22" s="305">
        <f>+[6]SI!P17</f>
        <v>13</v>
      </c>
      <c r="K22" s="305">
        <v>31.536000000000001</v>
      </c>
      <c r="L22" s="306">
        <f t="shared" si="1"/>
        <v>0.46216965944236449</v>
      </c>
      <c r="M22" s="305"/>
      <c r="N22" s="388">
        <v>0.60631926701525529</v>
      </c>
      <c r="O22" s="304">
        <f>+[6]SI!U17</f>
        <v>449.99999999999994</v>
      </c>
      <c r="P22" s="304"/>
    </row>
    <row r="23" spans="3:18">
      <c r="C23" s="305" t="str">
        <f>+[6]SI!J18</f>
        <v>R_DDW-CK_Appl-LPG00</v>
      </c>
      <c r="D23" s="305" t="str">
        <f>+[6]SI!A18&amp;" - "&amp;[6]SI!C18&amp;" - "&amp;[6]SI!D18</f>
        <v>Detached dwellings - Heat/Cooling Devices - Cooking Appliances</v>
      </c>
      <c r="E23" s="305" t="str">
        <f>+[6]SI!K18</f>
        <v>RESLPG</v>
      </c>
      <c r="F23" s="305" t="str">
        <f>+[6]SI!L18</f>
        <v>R_DDW-CK</v>
      </c>
      <c r="G23" s="306">
        <f>+[6]SI!O18</f>
        <v>0.4</v>
      </c>
      <c r="H23" s="369">
        <f>+[6]SI!Q18</f>
        <v>4.1599999999999998E-2</v>
      </c>
      <c r="I23" s="369">
        <f t="shared" si="2"/>
        <v>0</v>
      </c>
      <c r="J23" s="305">
        <f>+[6]SI!P18</f>
        <v>13</v>
      </c>
      <c r="K23" s="305">
        <v>31.536000000000001</v>
      </c>
      <c r="L23" s="306">
        <f t="shared" si="1"/>
        <v>3.2847737200545984E-3</v>
      </c>
      <c r="M23" s="305"/>
      <c r="N23" s="388">
        <v>4.3092867598826991E-3</v>
      </c>
      <c r="O23" s="304">
        <f>+[6]SI!U18</f>
        <v>350</v>
      </c>
      <c r="P23" s="304">
        <f>+[6]SI!V18</f>
        <v>150</v>
      </c>
    </row>
    <row r="24" spans="3:18">
      <c r="C24" s="361" t="str">
        <f>+[6]SI!J19</f>
        <v>R_DDW-RF_Refriger-ELC00</v>
      </c>
      <c r="D24" s="361" t="str">
        <f>+[6]SI!A19&amp;" - "&amp;[6]SI!C19&amp;" - "&amp;[6]SI!D19</f>
        <v>Detached dwellings - Heat/Cooling Devices - Refrigeration systems</v>
      </c>
      <c r="E24" s="361" t="str">
        <f>+[6]SI!K19</f>
        <v>RESELC</v>
      </c>
      <c r="F24" s="361" t="str">
        <f>+[6]SI!L19</f>
        <v>R_DDW-RF</v>
      </c>
      <c r="G24" s="362">
        <f>+[6]SI!O19</f>
        <v>1.8</v>
      </c>
      <c r="H24" s="363">
        <f>+[6]SI!Q19</f>
        <v>1</v>
      </c>
      <c r="I24" s="363">
        <f t="shared" si="2"/>
        <v>0.75</v>
      </c>
      <c r="J24" s="361">
        <f>+[6]SI!P19</f>
        <v>18</v>
      </c>
      <c r="K24" s="361">
        <v>31.536000000000001</v>
      </c>
      <c r="L24" s="362">
        <f t="shared" si="1"/>
        <v>5.7118833232571303E-2</v>
      </c>
      <c r="M24" s="361"/>
      <c r="N24" s="389">
        <v>1.8012995248223687</v>
      </c>
      <c r="O24" s="360">
        <f>+[6]SI!U19</f>
        <v>3280</v>
      </c>
      <c r="P24" s="360"/>
    </row>
    <row r="25" spans="3:18">
      <c r="C25" s="321" t="str">
        <f>+[6]SI!J20</f>
        <v>R_DDW-CD_Dryer-ELC00</v>
      </c>
      <c r="D25" s="321" t="str">
        <f>+[6]SI!A20&amp;" - "&amp;[6]SI!C20&amp;" - "&amp;[6]SI!D20</f>
        <v>Detached dwellings - Heat/Cooling Devices - Clothes Dryer</v>
      </c>
      <c r="E25" s="321" t="str">
        <f>+[6]SI!K20</f>
        <v>RESELC</v>
      </c>
      <c r="F25" s="321" t="str">
        <f>+[6]SI!L20</f>
        <v>R_DDW-CD</v>
      </c>
      <c r="G25" s="322">
        <f>+[6]SI!O20</f>
        <v>0.25</v>
      </c>
      <c r="H25" s="323">
        <f>+[6]SI!Q20</f>
        <v>5.8999999999999999E-3</v>
      </c>
      <c r="I25" s="323">
        <f t="shared" si="2"/>
        <v>4.4250000000000001E-3</v>
      </c>
      <c r="J25" s="321">
        <f>+[6]SI!P20</f>
        <v>15</v>
      </c>
      <c r="K25" s="321">
        <v>31.536000000000001</v>
      </c>
      <c r="L25" s="322">
        <f t="shared" si="1"/>
        <v>0.28141488705083612</v>
      </c>
      <c r="M25" s="321"/>
      <c r="N25" s="390">
        <v>5.2360729280407491E-2</v>
      </c>
      <c r="O25" s="320">
        <f>+[6]SI!U20</f>
        <v>1665.3333333333333</v>
      </c>
      <c r="P25" s="320"/>
    </row>
    <row r="26" spans="3:18">
      <c r="C26" s="321" t="str">
        <f>+[6]SI!J21</f>
        <v>R_DDW-SC_HP-ELC00</v>
      </c>
      <c r="D26" s="321" t="str">
        <f>+[6]SI!A21&amp;" - "&amp;[6]SI!C21&amp;" - "&amp;[6]SI!D21</f>
        <v>Detached dwellings - Heat/Cooling Devices - Heat Pump (for Cooling)</v>
      </c>
      <c r="E26" s="321" t="str">
        <f>+[6]SI!K21</f>
        <v>RESELC</v>
      </c>
      <c r="F26" s="321" t="str">
        <f>+[6]SI!L21</f>
        <v>R_DDW-SC</v>
      </c>
      <c r="G26" s="322">
        <f>+[6]SI!O21</f>
        <v>3.45</v>
      </c>
      <c r="H26" s="323">
        <f>+[6]SI!Q21</f>
        <v>1.14E-2</v>
      </c>
      <c r="I26" s="323">
        <f t="shared" si="2"/>
        <v>8.5500000000000003E-3</v>
      </c>
      <c r="J26" s="321">
        <f>+[6]SI!P21</f>
        <v>12</v>
      </c>
      <c r="K26" s="321">
        <v>31.536000000000001</v>
      </c>
      <c r="L26" s="322">
        <f t="shared" si="1"/>
        <v>1.0338071003137448</v>
      </c>
      <c r="M26" s="321"/>
      <c r="N26" s="390">
        <v>0.37166440415663454</v>
      </c>
      <c r="O26" s="320">
        <f>+[6]SI!U21</f>
        <v>685.42857142857144</v>
      </c>
      <c r="P26" s="320"/>
    </row>
    <row r="27" spans="3:18">
      <c r="C27" s="321" t="str">
        <f>+[6]SI!J22</f>
        <v>R_DDW-CW_Washer-ELC00</v>
      </c>
      <c r="D27" s="321" t="str">
        <f>+[6]SI!A22&amp;" - "&amp;[6]SI!C22&amp;" - "&amp;[6]SI!D22</f>
        <v>Detached dwellings - Heat/Cooling Devices - Clothes Washers</v>
      </c>
      <c r="E27" s="321" t="str">
        <f>+[6]SI!K22</f>
        <v>RESELC</v>
      </c>
      <c r="F27" s="321" t="str">
        <f>+[6]SI!L22</f>
        <v>R_DDW-CW</v>
      </c>
      <c r="G27" s="322">
        <f>+[6]SI!O22</f>
        <v>0.25</v>
      </c>
      <c r="H27" s="323">
        <f>+[6]SI!Q22</f>
        <v>4.1599999999999998E-2</v>
      </c>
      <c r="I27" s="323">
        <f t="shared" si="2"/>
        <v>3.1199999999999999E-2</v>
      </c>
      <c r="J27" s="321">
        <f>+[6]SI!P22</f>
        <v>15</v>
      </c>
      <c r="K27" s="321">
        <v>31.536000000000001</v>
      </c>
      <c r="L27" s="322">
        <f t="shared" si="1"/>
        <v>0.12918113422219349</v>
      </c>
      <c r="M27" s="321"/>
      <c r="N27" s="390">
        <v>0.16947241995137349</v>
      </c>
      <c r="O27" s="320">
        <f>+[6]SI!U22</f>
        <v>3994.6666666666665</v>
      </c>
      <c r="P27" s="320"/>
    </row>
    <row r="28" spans="3:18">
      <c r="C28" s="321" t="str">
        <f>+[6]SI!J23</f>
        <v>R_DDW-DW_Dwash-ELC00</v>
      </c>
      <c r="D28" s="321" t="str">
        <f>+[6]SI!A23&amp;" - "&amp;[6]SI!C23&amp;" - "&amp;[6]SI!D23</f>
        <v>Detached dwellings - Heat/Cooling Devices - Dishwashers</v>
      </c>
      <c r="E28" s="321" t="str">
        <f>+[6]SI!K23</f>
        <v>RESELC</v>
      </c>
      <c r="F28" s="321" t="str">
        <f>+[6]SI!L23</f>
        <v>R_DDW-DW</v>
      </c>
      <c r="G28" s="322">
        <f>+[6]SI!O23</f>
        <v>0.25</v>
      </c>
      <c r="H28" s="323">
        <f>+[6]SI!Q23</f>
        <v>4.1599999999999998E-2</v>
      </c>
      <c r="I28" s="323">
        <f t="shared" si="2"/>
        <v>3.1199999999999999E-2</v>
      </c>
      <c r="J28" s="321">
        <f>+[6]SI!P23</f>
        <v>15</v>
      </c>
      <c r="K28" s="321">
        <v>31.536000000000001</v>
      </c>
      <c r="L28" s="322">
        <f t="shared" si="1"/>
        <v>4.290279860147346E-2</v>
      </c>
      <c r="M28" s="321"/>
      <c r="N28" s="390">
        <v>5.6284078518556387E-2</v>
      </c>
      <c r="O28" s="320">
        <f>+[6]SI!U23</f>
        <v>2640</v>
      </c>
      <c r="P28" s="320"/>
    </row>
    <row r="29" spans="3:18">
      <c r="C29" s="366" t="str">
        <f>+[6]SI!J24</f>
        <v>R_DDW-LT_LED-ELC00</v>
      </c>
      <c r="D29" s="366" t="str">
        <f>+[6]SI!A24&amp;" - "&amp;[6]SI!C24&amp;" - "&amp;[6]SI!D24</f>
        <v>Detached dwellings - Electronics and Lights - LED</v>
      </c>
      <c r="E29" s="366" t="str">
        <f>+[6]SI!K24</f>
        <v>RESELC</v>
      </c>
      <c r="F29" s="366" t="str">
        <f>+[6]SI!L24</f>
        <v>R_DDW-LT</v>
      </c>
      <c r="G29" s="367">
        <f>+[6]SI!O24</f>
        <v>0.9</v>
      </c>
      <c r="H29" s="368">
        <f>+[6]SI!Q24</f>
        <v>0.1666</v>
      </c>
      <c r="I29" s="368">
        <f t="shared" si="2"/>
        <v>0</v>
      </c>
      <c r="J29" s="366">
        <f>+[6]SI!P24</f>
        <v>14</v>
      </c>
      <c r="K29" s="366">
        <v>31.536000000000001</v>
      </c>
      <c r="L29" s="367">
        <f t="shared" si="1"/>
        <v>8.9504256898145296E-4</v>
      </c>
      <c r="M29" s="366"/>
      <c r="N29" s="391">
        <v>4.7024620050694901E-3</v>
      </c>
      <c r="O29" s="365">
        <f>+[6]SI!U24</f>
        <v>1148.3253588516748</v>
      </c>
      <c r="P29" s="365"/>
    </row>
    <row r="30" spans="3:18">
      <c r="C30" s="287" t="str">
        <f>+[6]SI!J25</f>
        <v>R_DDW-LT_Incan-ELC00</v>
      </c>
      <c r="D30" s="287" t="str">
        <f>+[6]SI!A25&amp;" - "&amp;[6]SI!C25&amp;" - "&amp;[6]SI!D25</f>
        <v>Detached dwellings - Electronics and Lights - Incandescent</v>
      </c>
      <c r="E30" s="287" t="str">
        <f>+[6]SI!K25</f>
        <v>RESELC</v>
      </c>
      <c r="F30" s="287" t="str">
        <f>+[6]SI!L25</f>
        <v>R_DDW-LT</v>
      </c>
      <c r="G30" s="290">
        <f>+[6]SI!O25</f>
        <v>0.1</v>
      </c>
      <c r="H30" s="364">
        <f>+[6]SI!Q25</f>
        <v>0.1666</v>
      </c>
      <c r="I30" s="364">
        <f t="shared" si="2"/>
        <v>0.12495000000000001</v>
      </c>
      <c r="J30" s="287">
        <f>+[6]SI!P25</f>
        <v>1</v>
      </c>
      <c r="K30" s="287">
        <v>31.536000000000001</v>
      </c>
      <c r="L30" s="290">
        <f t="shared" si="1"/>
        <v>1.6059044681248805E-2</v>
      </c>
      <c r="N30" s="392">
        <v>8.4372576309105871E-2</v>
      </c>
      <c r="O30" s="288">
        <f>+[6]SI!U25</f>
        <v>777.77777777777783</v>
      </c>
      <c r="P30" s="288"/>
    </row>
    <row r="31" spans="3:18">
      <c r="C31" s="361" t="str">
        <f>+[6]SI!J26</f>
        <v>R_DDW-LT_CFL-ELC00</v>
      </c>
      <c r="D31" s="361" t="str">
        <f>+[6]SI!A26&amp;" - "&amp;[6]SI!C26&amp;" - "&amp;[6]SI!D26</f>
        <v>Detached dwellings - Electronics and Lights - Fluorescent</v>
      </c>
      <c r="E31" s="361" t="str">
        <f>+[6]SI!K26</f>
        <v>RESELC</v>
      </c>
      <c r="F31" s="361" t="str">
        <f>+[6]SI!L26</f>
        <v>R_DDW-LT</v>
      </c>
      <c r="G31" s="362">
        <f>+[6]SI!O26</f>
        <v>0.8</v>
      </c>
      <c r="H31" s="363">
        <f>+[6]SI!Q26</f>
        <v>0.1666</v>
      </c>
      <c r="I31" s="363">
        <f t="shared" si="2"/>
        <v>0.12495000000000001</v>
      </c>
      <c r="J31" s="361">
        <f>+[6]SI!P26</f>
        <v>7</v>
      </c>
      <c r="K31" s="361">
        <v>31.536000000000001</v>
      </c>
      <c r="L31" s="362">
        <f t="shared" si="1"/>
        <v>1.633539427378318E-2</v>
      </c>
      <c r="M31" s="361"/>
      <c r="N31" s="389">
        <v>8.5824488770083196E-2</v>
      </c>
      <c r="O31" s="360">
        <f>+[6]SI!U26</f>
        <v>1176.4705882352941</v>
      </c>
      <c r="P31" s="360"/>
    </row>
    <row r="32" spans="3:18">
      <c r="C32" s="321" t="str">
        <f>+[6]SI!J27</f>
        <v>R_DDW-OTH_Elec-ELC00</v>
      </c>
      <c r="D32" s="321" t="str">
        <f>+[6]SI!A27&amp;" - "&amp;[6]SI!C27&amp;" - "&amp;[6]SI!D27</f>
        <v>Detached dwellings - Electronics and Lights - Electronics</v>
      </c>
      <c r="E32" s="321" t="str">
        <f>+[6]SI!K27</f>
        <v>RESELC</v>
      </c>
      <c r="F32" s="321" t="str">
        <f>+[6]SI!L27</f>
        <v>R_DDW-OTH</v>
      </c>
      <c r="G32" s="322">
        <f>+[6]SI!O27</f>
        <v>0.9</v>
      </c>
      <c r="H32" s="323">
        <f>+[6]SI!Q27</f>
        <v>0.1666</v>
      </c>
      <c r="I32" s="323">
        <f t="shared" si="2"/>
        <v>0.12495000000000001</v>
      </c>
      <c r="J32" s="321">
        <f>+[6]SI!P27</f>
        <v>5</v>
      </c>
      <c r="K32" s="321">
        <v>31.536000000000001</v>
      </c>
      <c r="L32" s="322">
        <f t="shared" si="1"/>
        <v>0.12454040328154573</v>
      </c>
      <c r="M32" s="321"/>
      <c r="N32" s="390">
        <v>0.65432252590394524</v>
      </c>
      <c r="O32" s="320">
        <f>+[6]SI!U27</f>
        <v>733.33333333333337</v>
      </c>
      <c r="P32" s="320"/>
    </row>
    <row r="33" spans="3:18">
      <c r="C33" s="321" t="str">
        <f>+[6]SI!J28</f>
        <v>R_DDW-MPS_Motor-ELC00</v>
      </c>
      <c r="D33" s="321" t="str">
        <f>+[6]SI!A28&amp;" - "&amp;[6]SI!C28&amp;" - "&amp;[6]SI!D28</f>
        <v>Detached dwellings - Stationary Motors - Electric Motor</v>
      </c>
      <c r="E33" s="321" t="str">
        <f>+[6]SI!K28</f>
        <v>RESELC</v>
      </c>
      <c r="F33" s="321" t="str">
        <f>+[6]SI!L28</f>
        <v>R_DDW-MPS</v>
      </c>
      <c r="G33" s="322">
        <f>+[6]SI!O28</f>
        <v>0.75</v>
      </c>
      <c r="H33" s="323">
        <f>+[6]SI!Q28</f>
        <v>2.8999999999999998E-3</v>
      </c>
      <c r="I33" s="323">
        <f t="shared" si="2"/>
        <v>2.1749999999999999E-3</v>
      </c>
      <c r="J33" s="321">
        <f>+[6]SI!P28</f>
        <v>15</v>
      </c>
      <c r="K33" s="321">
        <v>31.536000000000001</v>
      </c>
      <c r="L33" s="322">
        <f t="shared" si="1"/>
        <v>0.56739311739525933</v>
      </c>
      <c r="M33" s="321"/>
      <c r="N33" s="390">
        <v>5.1890597115513006E-2</v>
      </c>
      <c r="O33" s="320">
        <f>+[6]SI!U28</f>
        <v>153.33333333333334</v>
      </c>
      <c r="P33" s="320"/>
    </row>
    <row r="34" spans="3:18">
      <c r="C34" s="321" t="str">
        <f>+[6]SI!J29</f>
        <v>R_DDW-MPM_ICE-PET00</v>
      </c>
      <c r="D34" s="321" t="str">
        <f>+[6]SI!A29&amp;" - "&amp;[6]SI!C29&amp;" - "&amp;[6]SI!D29</f>
        <v>Detached dwellings - Stationary Motors - Internal Combustion (Domestic Use)</v>
      </c>
      <c r="E34" s="321" t="str">
        <f>+[6]SI!K29</f>
        <v>RESPET</v>
      </c>
      <c r="F34" s="321" t="str">
        <f>+[6]SI!L29</f>
        <v>R_DDW-MPM</v>
      </c>
      <c r="G34" s="322">
        <f>+[6]SI!O29</f>
        <v>0.25</v>
      </c>
      <c r="H34" s="323">
        <f>+[6]SI!Q29</f>
        <v>2.8999999999999998E-3</v>
      </c>
      <c r="I34" s="323">
        <f t="shared" si="2"/>
        <v>0</v>
      </c>
      <c r="J34" s="321">
        <f>+[6]SI!P29</f>
        <v>10</v>
      </c>
      <c r="K34" s="321">
        <v>31.536000000000001</v>
      </c>
      <c r="L34" s="322">
        <f t="shared" si="1"/>
        <v>1.4231057389439233E-4</v>
      </c>
      <c r="M34" s="321"/>
      <c r="N34" s="390">
        <v>1.3014928149167314E-5</v>
      </c>
      <c r="O34" s="320">
        <f>+[6]SI!U29</f>
        <v>1466.6666666666667</v>
      </c>
      <c r="P34" s="320"/>
    </row>
    <row r="35" spans="3:18">
      <c r="C35" s="357" t="str">
        <f>+[6]SI!J30</f>
        <v>R_JDW-SH_Burner-LPG00</v>
      </c>
      <c r="D35" s="357" t="str">
        <f>+[6]SI!A30&amp;" - "&amp;[6]SI!C30&amp;" - "&amp;[6]SI!D30</f>
        <v>Joined dwellings - Heat/Cooling Devices - Burner (Direct Heat)</v>
      </c>
      <c r="E35" s="357" t="str">
        <f>+[6]SI!K30</f>
        <v>RESLPG</v>
      </c>
      <c r="F35" s="357" t="str">
        <f>+[6]SI!L30</f>
        <v>R_JDW-SH</v>
      </c>
      <c r="G35" s="358">
        <f>+[6]SI!O30</f>
        <v>0.8</v>
      </c>
      <c r="H35" s="359">
        <f>+[6]SI!Q30</f>
        <v>8.2100000000000006E-2</v>
      </c>
      <c r="I35" s="359">
        <f t="shared" si="2"/>
        <v>6.1575000000000005E-2</v>
      </c>
      <c r="J35" s="357">
        <f>+[6]SI!P30</f>
        <v>20</v>
      </c>
      <c r="K35" s="357">
        <v>31.536000000000001</v>
      </c>
      <c r="L35" s="358">
        <f t="shared" si="1"/>
        <v>2.0819789967289247E-2</v>
      </c>
      <c r="M35" s="357"/>
      <c r="N35" s="385">
        <v>5.3904634795132411E-2</v>
      </c>
      <c r="O35" s="356">
        <f>+[6]SI!U30</f>
        <v>807.46268656716427</v>
      </c>
      <c r="P35" s="356">
        <f>+[6]SI!V30</f>
        <v>150</v>
      </c>
    </row>
    <row r="36" spans="3:18">
      <c r="C36" s="353" t="str">
        <f>+[6]SI!J31</f>
        <v>R_JDW-SH_Burner-DSL00</v>
      </c>
      <c r="D36" s="353" t="str">
        <f>+[6]SI!A31&amp;" - "&amp;[6]SI!C31&amp;" - "&amp;[6]SI!D31</f>
        <v>Joined dwellings - Heat/Cooling Devices - Burner (Direct Heat)</v>
      </c>
      <c r="E36" s="353" t="str">
        <f>+[6]SI!K31</f>
        <v>RESDSL</v>
      </c>
      <c r="F36" s="353" t="str">
        <f>+[6]SI!L31</f>
        <v>R_JDW-SH</v>
      </c>
      <c r="G36" s="354">
        <f>+[6]SI!O31</f>
        <v>0.8</v>
      </c>
      <c r="H36" s="355">
        <f>+[6]SI!Q31</f>
        <v>4.4999999999999997E-3</v>
      </c>
      <c r="I36" s="355">
        <f t="shared" si="2"/>
        <v>3.3749999999999995E-3</v>
      </c>
      <c r="J36" s="353">
        <v>5</v>
      </c>
      <c r="K36" s="353">
        <v>31.536000000000001</v>
      </c>
      <c r="L36" s="354">
        <f t="shared" si="1"/>
        <v>3.4868952945224206E-2</v>
      </c>
      <c r="M36" s="353"/>
      <c r="N36" s="386">
        <v>4.9483228503626577E-3</v>
      </c>
      <c r="O36" s="352"/>
      <c r="P36" s="352"/>
      <c r="Q36" s="287">
        <v>0</v>
      </c>
      <c r="R36" s="287">
        <v>5</v>
      </c>
    </row>
    <row r="37" spans="3:18">
      <c r="C37" s="353" t="str">
        <f>+[6]SI!J32</f>
        <v>R_JDW-SH_HP-ELC00</v>
      </c>
      <c r="D37" s="353" t="str">
        <f>+[6]SI!A32&amp;" - "&amp;[6]SI!C32&amp;" - "&amp;[6]SI!D32</f>
        <v>Joined dwellings - Heat/Cooling Devices - Heat Pump (for Heating)</v>
      </c>
      <c r="E37" s="353" t="str">
        <f>+[6]SI!K32</f>
        <v>RESELC</v>
      </c>
      <c r="F37" s="353" t="str">
        <f>+[6]SI!L32</f>
        <v>R_JDW-SH</v>
      </c>
      <c r="G37" s="354">
        <f>+[6]SI!O32</f>
        <v>3.75</v>
      </c>
      <c r="H37" s="355">
        <f>+[6]SI!Q32</f>
        <v>8.2100000000000006E-2</v>
      </c>
      <c r="I37" s="355">
        <f t="shared" si="2"/>
        <v>6.1575000000000005E-2</v>
      </c>
      <c r="J37" s="353">
        <f>+[6]SI!P32</f>
        <v>12</v>
      </c>
      <c r="K37" s="353">
        <v>31.536000000000001</v>
      </c>
      <c r="L37" s="354">
        <f t="shared" si="1"/>
        <v>0.41314763366667134</v>
      </c>
      <c r="M37" s="353"/>
      <c r="N37" s="386">
        <v>1.0696828519531274</v>
      </c>
      <c r="O37" s="352">
        <f>+[6]SI!U32</f>
        <v>702.8125</v>
      </c>
      <c r="P37" s="352"/>
    </row>
    <row r="38" spans="3:18">
      <c r="C38" s="349" t="str">
        <f>+[6]SI!J33</f>
        <v>R_JDW-SH_RH-ELC00</v>
      </c>
      <c r="D38" s="349" t="str">
        <f>+[6]SI!A33&amp;" - "&amp;[6]SI!C33&amp;" - "&amp;[6]SI!D33</f>
        <v>Joined dwellings - Heat/Cooling Devices - Resistance Heater</v>
      </c>
      <c r="E38" s="349" t="str">
        <f>+[6]SI!K33</f>
        <v>RESELC</v>
      </c>
      <c r="F38" s="349" t="str">
        <f>+[6]SI!L33</f>
        <v>R_JDW-SH</v>
      </c>
      <c r="G38" s="350">
        <f>+[6]SI!O33</f>
        <v>1</v>
      </c>
      <c r="H38" s="351">
        <f>+[6]SI!Q33</f>
        <v>8.2100000000000006E-2</v>
      </c>
      <c r="I38" s="351">
        <f t="shared" si="2"/>
        <v>6.1575000000000005E-2</v>
      </c>
      <c r="J38" s="349">
        <f>+[6]SI!P33</f>
        <v>5</v>
      </c>
      <c r="K38" s="349">
        <v>31.536000000000001</v>
      </c>
      <c r="L38" s="350">
        <f t="shared" si="1"/>
        <v>9.1623185324946982E-2</v>
      </c>
      <c r="M38" s="349"/>
      <c r="N38" s="387">
        <v>0.23722210221465809</v>
      </c>
      <c r="O38" s="348">
        <f>+[6]SI!U33</f>
        <v>24</v>
      </c>
      <c r="P38" s="348"/>
    </row>
    <row r="39" spans="3:18">
      <c r="C39" s="345" t="str">
        <f>+[6]SI!J34</f>
        <v>R_JDW-WH_HWC-SOL00</v>
      </c>
      <c r="D39" s="345" t="str">
        <f>+[6]SI!A34&amp;" - "&amp;[6]SI!C34&amp;" - "&amp;[6]SI!D34</f>
        <v>Joined dwellings - Heat/Cooling Devices - Hot Water Cylinder</v>
      </c>
      <c r="E39" s="345" t="str">
        <f>+[6]SI!K34</f>
        <v>RESSOL</v>
      </c>
      <c r="F39" s="345" t="str">
        <f>+[6]SI!L34</f>
        <v>R_JDW-WH</v>
      </c>
      <c r="G39" s="346">
        <f>+[6]SI!O34</f>
        <v>0.6</v>
      </c>
      <c r="H39" s="343">
        <f>+[6]SI!Q34</f>
        <v>8.3299999999999999E-2</v>
      </c>
      <c r="I39" s="347"/>
      <c r="J39" s="345">
        <f>+[6]SI!P34</f>
        <v>20</v>
      </c>
      <c r="K39" s="345">
        <v>31.536000000000001</v>
      </c>
      <c r="L39" s="346">
        <f t="shared" si="1"/>
        <v>3.6927486704183324E-3</v>
      </c>
      <c r="M39" s="345"/>
      <c r="N39" s="393">
        <v>9.7006616884570337E-3</v>
      </c>
      <c r="O39" s="344">
        <v>2121</v>
      </c>
      <c r="P39" s="344"/>
      <c r="Q39" s="287">
        <v>0</v>
      </c>
      <c r="R39" s="287">
        <v>5</v>
      </c>
    </row>
    <row r="40" spans="3:18">
      <c r="C40" s="341" t="str">
        <f>+[6]SI!J35</f>
        <v>R_JDW-WH_HWC-ELC00</v>
      </c>
      <c r="D40" s="341" t="str">
        <f>+[6]SI!A35&amp;" - "&amp;[6]SI!C35&amp;" - "&amp;[6]SI!D35</f>
        <v>Joined dwellings - Heat/Cooling Devices - Hot Water Cylinder</v>
      </c>
      <c r="E40" s="341" t="str">
        <f>+[6]SI!K35</f>
        <v>RESELC</v>
      </c>
      <c r="F40" s="341" t="str">
        <f>+[6]SI!L35</f>
        <v>R_JDW-WH</v>
      </c>
      <c r="G40" s="342">
        <f>+[6]SI!O35</f>
        <v>1</v>
      </c>
      <c r="H40" s="343">
        <f>+[6]SI!Q35</f>
        <v>8.3299999999999999E-2</v>
      </c>
      <c r="I40" s="343">
        <f t="shared" ref="I40:I54" si="3">+IF(L40&gt;0.01,H40*0.75,0)</f>
        <v>6.2475000000000003E-2</v>
      </c>
      <c r="J40" s="341">
        <f>+[6]SI!P35</f>
        <v>20</v>
      </c>
      <c r="K40" s="341">
        <v>31.536000000000001</v>
      </c>
      <c r="L40" s="342">
        <f t="shared" si="1"/>
        <v>0.25553401493093958</v>
      </c>
      <c r="M40" s="341"/>
      <c r="N40" s="394">
        <v>0.67127477388201384</v>
      </c>
      <c r="O40" s="340">
        <v>757.6</v>
      </c>
      <c r="P40" s="340"/>
    </row>
    <row r="41" spans="3:18">
      <c r="C41" s="337" t="str">
        <f>+[6]SI!J36</f>
        <v>R_JDW-WH_Gasheat-LPG00</v>
      </c>
      <c r="D41" s="337" t="str">
        <f>+[6]SI!A36&amp;" - "&amp;[6]SI!C36&amp;" - "&amp;[6]SI!D36</f>
        <v>Joined dwellings - Heat/Cooling Devices - Gas Water Heater</v>
      </c>
      <c r="E41" s="337" t="str">
        <f>+[6]SI!K36</f>
        <v>RESLPG</v>
      </c>
      <c r="F41" s="337" t="str">
        <f>+[6]SI!L36</f>
        <v>R_JDW-WH</v>
      </c>
      <c r="G41" s="338">
        <f>+[6]SI!O36</f>
        <v>0.8</v>
      </c>
      <c r="H41" s="339">
        <v>2.8000000000000001E-2</v>
      </c>
      <c r="I41" s="339">
        <f t="shared" si="3"/>
        <v>2.1000000000000001E-2</v>
      </c>
      <c r="J41" s="337">
        <f>+[6]SI!P36</f>
        <v>20</v>
      </c>
      <c r="K41" s="337">
        <v>31.536000000000001</v>
      </c>
      <c r="L41" s="338">
        <f t="shared" si="1"/>
        <v>9.2571167773751295E-2</v>
      </c>
      <c r="M41" s="337"/>
      <c r="N41" s="395">
        <v>8.174108171356459E-2</v>
      </c>
      <c r="O41" s="336">
        <v>250</v>
      </c>
      <c r="P41" s="336">
        <f>+[6]SI!V36</f>
        <v>150</v>
      </c>
    </row>
    <row r="42" spans="3:18">
      <c r="C42" s="333" t="str">
        <f>+[6]SI!J37</f>
        <v>R_JDW-CK_Appl-ELC00</v>
      </c>
      <c r="D42" s="333" t="str">
        <f>+[6]SI!A37&amp;" - "&amp;[6]SI!C37&amp;" - "&amp;[6]SI!D37</f>
        <v>Joined dwellings - Heat/Cooling Devices - Cooking Appliances</v>
      </c>
      <c r="E42" s="333" t="str">
        <f>+[6]SI!K37</f>
        <v>RESELC</v>
      </c>
      <c r="F42" s="333" t="str">
        <f>+[6]SI!L37</f>
        <v>R_JDW-CK</v>
      </c>
      <c r="G42" s="334">
        <f>+[6]SI!O37</f>
        <v>0.75</v>
      </c>
      <c r="H42" s="335">
        <f>+[6]SI!Q37</f>
        <v>2.8000000000000001E-2</v>
      </c>
      <c r="I42" s="335">
        <f t="shared" si="3"/>
        <v>2.1000000000000001E-2</v>
      </c>
      <c r="J42" s="333">
        <f>+[6]SI!P37</f>
        <v>13</v>
      </c>
      <c r="K42" s="333">
        <v>31.536000000000001</v>
      </c>
      <c r="L42" s="334">
        <f t="shared" si="1"/>
        <v>0.1507285021735377</v>
      </c>
      <c r="M42" s="333"/>
      <c r="N42" s="396">
        <v>0.13309447324725118</v>
      </c>
      <c r="O42" s="332">
        <f>+[6]SI!U37</f>
        <v>449.99999999999994</v>
      </c>
      <c r="P42" s="332"/>
    </row>
    <row r="43" spans="3:18">
      <c r="C43" s="329" t="str">
        <f>+[6]SI!J38</f>
        <v>R_JDW-CK_Appl-LPG00</v>
      </c>
      <c r="D43" s="329" t="str">
        <f>+[6]SI!A38&amp;" - "&amp;[6]SI!C38&amp;" - "&amp;[6]SI!D38</f>
        <v>Joined dwellings - Heat/Cooling Devices - Cooking Appliances</v>
      </c>
      <c r="E43" s="329" t="str">
        <f>+[6]SI!K38</f>
        <v>RESLPG</v>
      </c>
      <c r="F43" s="329" t="str">
        <f>+[6]SI!L38</f>
        <v>R_JDW-CK</v>
      </c>
      <c r="G43" s="330">
        <f>+[6]SI!O38</f>
        <v>0.4</v>
      </c>
      <c r="H43" s="331">
        <f>+[6]SI!Q38</f>
        <v>2.8000000000000001E-2</v>
      </c>
      <c r="I43" s="331">
        <f t="shared" si="3"/>
        <v>0</v>
      </c>
      <c r="J43" s="329">
        <f>+[6]SI!P38</f>
        <v>13</v>
      </c>
      <c r="K43" s="329">
        <v>31.536000000000001</v>
      </c>
      <c r="L43" s="330">
        <f t="shared" si="1"/>
        <v>1.0712711505125802E-3</v>
      </c>
      <c r="M43" s="329"/>
      <c r="N43" s="397">
        <v>9.4594099607181242E-4</v>
      </c>
      <c r="O43" s="328">
        <f>+[6]SI!U38</f>
        <v>350</v>
      </c>
      <c r="P43" s="328">
        <f>+[6]SI!V38</f>
        <v>150</v>
      </c>
    </row>
    <row r="44" spans="3:18">
      <c r="C44" s="321" t="str">
        <f>+[6]SI!J39</f>
        <v>R_JDW-RF_Refriger-ELC00</v>
      </c>
      <c r="D44" s="321" t="str">
        <f>+[6]SI!A39&amp;" - "&amp;[6]SI!C39&amp;" - "&amp;[6]SI!D39</f>
        <v>Joined dwellings - Heat/Cooling Devices - Refrigeration systems</v>
      </c>
      <c r="E44" s="321" t="str">
        <f>+[6]SI!K39</f>
        <v>RESELC</v>
      </c>
      <c r="F44" s="321" t="str">
        <f>+[6]SI!L39</f>
        <v>R_JDW-RF</v>
      </c>
      <c r="G44" s="322">
        <f>+[6]SI!O39</f>
        <v>1.8</v>
      </c>
      <c r="H44" s="323">
        <f>+[6]SI!Q39</f>
        <v>1</v>
      </c>
      <c r="I44" s="323">
        <f t="shared" si="3"/>
        <v>0.75</v>
      </c>
      <c r="J44" s="321">
        <f>+[6]SI!P39</f>
        <v>18</v>
      </c>
      <c r="K44" s="321">
        <v>31.536000000000001</v>
      </c>
      <c r="L44" s="322">
        <f t="shared" si="1"/>
        <v>1.2538280465686386E-2</v>
      </c>
      <c r="M44" s="321"/>
      <c r="N44" s="390">
        <v>0.39540721276588586</v>
      </c>
      <c r="O44" s="320">
        <f>+[6]SI!U39</f>
        <v>3280</v>
      </c>
      <c r="P44" s="320"/>
    </row>
    <row r="45" spans="3:18">
      <c r="C45" s="325" t="str">
        <f>+[6]SI!J40</f>
        <v>R_JDW-CD_Dryer-ELC00</v>
      </c>
      <c r="D45" s="325" t="str">
        <f>+[6]SI!A40&amp;" - "&amp;[6]SI!C40&amp;" - "&amp;[6]SI!D40</f>
        <v>Joined dwellings - Heat/Cooling Devices - Clothes Dryer</v>
      </c>
      <c r="E45" s="325" t="str">
        <f>+[6]SI!K40</f>
        <v>RESELC</v>
      </c>
      <c r="F45" s="325" t="str">
        <f>+[6]SI!L40</f>
        <v>R_JDW-CD</v>
      </c>
      <c r="G45" s="326">
        <f>+[6]SI!O40</f>
        <v>0.25</v>
      </c>
      <c r="H45" s="327">
        <f>+[6]SI!Q40</f>
        <v>5.8999999999999999E-3</v>
      </c>
      <c r="I45" s="327">
        <f t="shared" si="3"/>
        <v>4.4250000000000001E-3</v>
      </c>
      <c r="J45" s="325">
        <f>+[6]SI!P40</f>
        <v>15</v>
      </c>
      <c r="K45" s="325">
        <v>31.536000000000001</v>
      </c>
      <c r="L45" s="326">
        <f t="shared" si="1"/>
        <v>6.1773999596525006E-2</v>
      </c>
      <c r="M45" s="325"/>
      <c r="N45" s="398">
        <v>1.1493818622528474E-2</v>
      </c>
      <c r="O45" s="324">
        <f>+[6]SI!U40</f>
        <v>1665.3333333333333</v>
      </c>
      <c r="P45" s="324"/>
    </row>
    <row r="46" spans="3:18">
      <c r="C46" s="321" t="str">
        <f>+[6]SI!J41</f>
        <v>R_JDW-SC_HP-ELC00</v>
      </c>
      <c r="D46" s="321" t="str">
        <f>+[6]SI!A41&amp;" - "&amp;[6]SI!C41&amp;" - "&amp;[6]SI!D41</f>
        <v>Joined dwellings - Heat/Cooling Devices - Heat Pump (for Cooling)</v>
      </c>
      <c r="E46" s="321" t="str">
        <f>+[6]SI!K41</f>
        <v>RESELC</v>
      </c>
      <c r="F46" s="321" t="str">
        <f>+[6]SI!L41</f>
        <v>R_JDW-SC</v>
      </c>
      <c r="G46" s="322">
        <f>+[6]SI!O41</f>
        <v>3.45</v>
      </c>
      <c r="H46" s="323">
        <f>+[6]SI!Q41</f>
        <v>1.14E-2</v>
      </c>
      <c r="I46" s="323">
        <f t="shared" si="3"/>
        <v>8.5500000000000003E-3</v>
      </c>
      <c r="J46" s="321">
        <f>+[6]SI!P41</f>
        <v>12</v>
      </c>
      <c r="K46" s="321">
        <v>31.536000000000001</v>
      </c>
      <c r="L46" s="322">
        <f t="shared" si="1"/>
        <v>0.22693326592252938</v>
      </c>
      <c r="M46" s="321"/>
      <c r="N46" s="390">
        <v>8.1584869205114915E-2</v>
      </c>
      <c r="O46" s="320">
        <f>+[6]SI!U41</f>
        <v>899.6</v>
      </c>
      <c r="P46" s="320"/>
    </row>
    <row r="47" spans="3:18">
      <c r="C47" s="317" t="str">
        <f>+[6]SI!J42</f>
        <v>R_JDW-CW_Washer-ELC00</v>
      </c>
      <c r="D47" s="317" t="str">
        <f>+[6]SI!A42&amp;" - "&amp;[6]SI!C42&amp;" - "&amp;[6]SI!D42</f>
        <v>Joined dwellings - Heat/Cooling Devices - Clothes Washers</v>
      </c>
      <c r="E47" s="317" t="str">
        <f>+[6]SI!K42</f>
        <v>RESELC</v>
      </c>
      <c r="F47" s="317" t="str">
        <f>+[6]SI!L42</f>
        <v>R_JDW-CW</v>
      </c>
      <c r="G47" s="318">
        <f>+[6]SI!O42</f>
        <v>0.25</v>
      </c>
      <c r="H47" s="319">
        <f>+[6]SI!Q42</f>
        <v>4.1599999999999998E-2</v>
      </c>
      <c r="I47" s="319">
        <f t="shared" si="3"/>
        <v>3.1199999999999999E-2</v>
      </c>
      <c r="J47" s="317">
        <f>+[6]SI!P42</f>
        <v>15</v>
      </c>
      <c r="K47" s="317">
        <v>31.536000000000001</v>
      </c>
      <c r="L47" s="318">
        <f t="shared" si="1"/>
        <v>2.8356834341457103E-2</v>
      </c>
      <c r="M47" s="317"/>
      <c r="N47" s="399">
        <v>3.7201262916155158E-2</v>
      </c>
      <c r="O47" s="316">
        <f>+[6]SI!U42</f>
        <v>3994.6666666666665</v>
      </c>
      <c r="P47" s="316"/>
    </row>
    <row r="48" spans="3:18">
      <c r="C48" s="313" t="str">
        <f>+[6]SI!J43</f>
        <v>R_JDW-DW_Dwash-ELC00</v>
      </c>
      <c r="D48" s="313" t="str">
        <f>+[6]SI!A43&amp;" - "&amp;[6]SI!C43&amp;" - "&amp;[6]SI!D43</f>
        <v>Joined dwellings - Heat/Cooling Devices - Dishwashers</v>
      </c>
      <c r="E48" s="313" t="str">
        <f>+[6]SI!K43</f>
        <v>RESELC</v>
      </c>
      <c r="F48" s="313" t="str">
        <f>+[6]SI!L43</f>
        <v>R_JDW-DW</v>
      </c>
      <c r="G48" s="314">
        <f>+[6]SI!O43</f>
        <v>0.25</v>
      </c>
      <c r="H48" s="315">
        <f>+[6]SI!Q43</f>
        <v>4.1599999999999998E-2</v>
      </c>
      <c r="I48" s="315">
        <f t="shared" si="3"/>
        <v>0</v>
      </c>
      <c r="J48" s="313">
        <f>+[6]SI!P43</f>
        <v>15</v>
      </c>
      <c r="K48" s="313">
        <v>31.536000000000001</v>
      </c>
      <c r="L48" s="314">
        <f t="shared" si="1"/>
        <v>9.4176874978844204E-3</v>
      </c>
      <c r="M48" s="313"/>
      <c r="N48" s="400">
        <v>1.2355041626024577E-2</v>
      </c>
      <c r="O48" s="312">
        <f>+[6]SI!U43</f>
        <v>2640</v>
      </c>
      <c r="P48" s="312"/>
    </row>
    <row r="49" spans="3:16">
      <c r="C49" s="309" t="str">
        <f>+[6]SI!J44</f>
        <v>R_JDW-LT_LED-ELC00</v>
      </c>
      <c r="D49" s="309" t="str">
        <f>+[6]SI!A44&amp;" - "&amp;[6]SI!C44&amp;" - "&amp;[6]SI!D44</f>
        <v>Joined dwellings - Electronics and Lights - LED</v>
      </c>
      <c r="E49" s="309" t="str">
        <f>+[6]SI!K44</f>
        <v>RESELC</v>
      </c>
      <c r="F49" s="309" t="str">
        <f>+[6]SI!L44</f>
        <v>R_JDW-LT</v>
      </c>
      <c r="G49" s="310">
        <f>+[6]SI!O44</f>
        <v>0.9</v>
      </c>
      <c r="H49" s="311">
        <f>+[6]SI!Q44</f>
        <v>0.1666</v>
      </c>
      <c r="I49" s="311">
        <f t="shared" si="3"/>
        <v>0</v>
      </c>
      <c r="J49" s="309">
        <f>+[6]SI!P44</f>
        <v>14</v>
      </c>
      <c r="K49" s="309">
        <v>31.536000000000001</v>
      </c>
      <c r="L49" s="310">
        <f t="shared" si="1"/>
        <v>1.8613208751604035E-4</v>
      </c>
      <c r="M49" s="309"/>
      <c r="N49" s="401">
        <v>9.7791892788351431E-4</v>
      </c>
      <c r="O49" s="308">
        <f>+[6]SI!U44</f>
        <v>1148.3253588516748</v>
      </c>
      <c r="P49" s="308"/>
    </row>
    <row r="50" spans="3:16">
      <c r="C50" s="305" t="str">
        <f>+[6]SI!J45</f>
        <v>R_JDW-LT_Incan-ELC00</v>
      </c>
      <c r="D50" s="305" t="str">
        <f>+[6]SI!A45&amp;" - "&amp;[6]SI!C45&amp;" - "&amp;[6]SI!D45</f>
        <v>Joined dwellings - Electronics and Lights - Incandescent</v>
      </c>
      <c r="E50" s="305" t="str">
        <f>+[6]SI!K45</f>
        <v>RESELC</v>
      </c>
      <c r="F50" s="305" t="str">
        <f>+[6]SI!L45</f>
        <v>R_JDW-LT</v>
      </c>
      <c r="G50" s="306">
        <f>+[6]SI!O45</f>
        <v>0.1</v>
      </c>
      <c r="H50" s="307">
        <f>+[6]SI!Q45</f>
        <v>0.1666</v>
      </c>
      <c r="I50" s="307">
        <f t="shared" si="3"/>
        <v>0</v>
      </c>
      <c r="J50" s="305">
        <f>+[6]SI!P45</f>
        <v>1</v>
      </c>
      <c r="K50" s="305">
        <v>31.536000000000001</v>
      </c>
      <c r="L50" s="306">
        <f t="shared" si="1"/>
        <v>2.3501040996949476E-3</v>
      </c>
      <c r="M50" s="305"/>
      <c r="N50" s="388">
        <v>1.2347206289137446E-2</v>
      </c>
      <c r="O50" s="304">
        <f>+[6]SI!U45</f>
        <v>777.77777777777783</v>
      </c>
      <c r="P50" s="304"/>
    </row>
    <row r="51" spans="3:16">
      <c r="C51" s="301" t="str">
        <f>+[6]SI!J46</f>
        <v>R_JDW-LT_CFL-ELC00</v>
      </c>
      <c r="D51" s="301" t="str">
        <f>+[6]SI!A46&amp;" - "&amp;[6]SI!C46&amp;" - "&amp;[6]SI!D46</f>
        <v>Joined dwellings - Electronics and Lights - Fluorescent</v>
      </c>
      <c r="E51" s="301" t="str">
        <f>+[6]SI!K46</f>
        <v>RESELC</v>
      </c>
      <c r="F51" s="301" t="str">
        <f>+[6]SI!L46</f>
        <v>R_JDW-LT</v>
      </c>
      <c r="G51" s="302">
        <f>+[6]SI!O46</f>
        <v>0.8</v>
      </c>
      <c r="H51" s="303">
        <f>+[6]SI!Q46</f>
        <v>0.1666</v>
      </c>
      <c r="I51" s="303">
        <f t="shared" si="3"/>
        <v>0</v>
      </c>
      <c r="J51" s="301">
        <f>+[6]SI!P46</f>
        <v>7</v>
      </c>
      <c r="K51" s="301">
        <v>31.536000000000001</v>
      </c>
      <c r="L51" s="302">
        <f t="shared" si="1"/>
        <v>4.2186097120243526E-3</v>
      </c>
      <c r="M51" s="301"/>
      <c r="N51" s="402">
        <v>2.2164143441341436E-2</v>
      </c>
      <c r="O51" s="300">
        <f>+[6]SI!U46</f>
        <v>1176.4705882352941</v>
      </c>
      <c r="P51" s="300"/>
    </row>
    <row r="52" spans="3:16">
      <c r="C52" s="297" t="str">
        <f>+[6]SI!J47</f>
        <v>R_JDW-OTH_Elec-ELC00</v>
      </c>
      <c r="D52" s="297" t="str">
        <f>+[6]SI!A47&amp;" - "&amp;[6]SI!C47&amp;" - "&amp;[6]SI!D47</f>
        <v>Joined dwellings - Electronics and Lights - Electronics</v>
      </c>
      <c r="E52" s="297" t="str">
        <f>+[6]SI!K47</f>
        <v>RESELC</v>
      </c>
      <c r="F52" s="297" t="str">
        <f>+[6]SI!L47</f>
        <v>R_JDW-OTH</v>
      </c>
      <c r="G52" s="298">
        <f>+[6]SI!O47</f>
        <v>0.9</v>
      </c>
      <c r="H52" s="299">
        <f>+[6]SI!Q47</f>
        <v>0.1666</v>
      </c>
      <c r="I52" s="299">
        <f t="shared" si="3"/>
        <v>0.12495000000000001</v>
      </c>
      <c r="J52" s="297">
        <f>+[6]SI!P47</f>
        <v>5</v>
      </c>
      <c r="K52" s="297">
        <v>31.536000000000001</v>
      </c>
      <c r="L52" s="298">
        <f t="shared" si="1"/>
        <v>2.7338137305705165E-2</v>
      </c>
      <c r="M52" s="297"/>
      <c r="N52" s="403">
        <v>0.14363177397891483</v>
      </c>
      <c r="O52" s="296">
        <f>+[6]SI!U47</f>
        <v>733.33333333333337</v>
      </c>
      <c r="P52" s="296"/>
    </row>
    <row r="53" spans="3:16">
      <c r="C53" s="293" t="str">
        <f>+[6]SI!J48</f>
        <v>R_JDW-MPS_Motor-ELC00</v>
      </c>
      <c r="D53" s="293" t="str">
        <f>+[6]SI!A48&amp;" - "&amp;[6]SI!C48&amp;" - "&amp;[6]SI!D48</f>
        <v>Joined dwellings - Stationary Motors - Electric Motor</v>
      </c>
      <c r="E53" s="293" t="str">
        <f>+[6]SI!K48</f>
        <v>RESELC</v>
      </c>
      <c r="F53" s="293" t="str">
        <f>+[6]SI!L48</f>
        <v>R_JDW-MPS</v>
      </c>
      <c r="G53" s="294">
        <f>+[6]SI!O48</f>
        <v>0.75</v>
      </c>
      <c r="H53" s="295">
        <f>+[6]SI!Q48</f>
        <v>2.8999999999999998E-3</v>
      </c>
      <c r="I53" s="295">
        <f t="shared" si="3"/>
        <v>2.1749999999999999E-3</v>
      </c>
      <c r="J53" s="293">
        <f>+[6]SI!P48</f>
        <v>15</v>
      </c>
      <c r="K53" s="293">
        <v>31.536000000000001</v>
      </c>
      <c r="L53" s="294">
        <f t="shared" si="1"/>
        <v>0.12454970869652039</v>
      </c>
      <c r="M53" s="293"/>
      <c r="N53" s="404">
        <v>1.1390618879015053E-2</v>
      </c>
      <c r="O53" s="292">
        <f>+[6]SI!U48</f>
        <v>153.33333333333334</v>
      </c>
      <c r="P53" s="292"/>
    </row>
    <row r="54" spans="3:16">
      <c r="C54" s="287" t="str">
        <f>+[6]SI!J49</f>
        <v>R_JDW-MPM_ICE-PET00</v>
      </c>
      <c r="D54" s="287" t="str">
        <f>+[6]SI!A49&amp;" - "&amp;[6]SI!C49&amp;" - "&amp;[6]SI!D49</f>
        <v>Joined dwellings - Stationary Motors - Internal Combustion (Domestic Use)</v>
      </c>
      <c r="E54" s="287" t="str">
        <f>+[6]SI!K49</f>
        <v>RESPET</v>
      </c>
      <c r="F54" s="287" t="str">
        <f>+[6]SI!L49</f>
        <v>R_JDW-MPM</v>
      </c>
      <c r="G54" s="290">
        <f>+[6]SI!O49</f>
        <v>0.25</v>
      </c>
      <c r="H54" s="291">
        <f>+[6]SI!Q49</f>
        <v>2.8999999999999998E-3</v>
      </c>
      <c r="I54" s="291">
        <f t="shared" si="3"/>
        <v>0</v>
      </c>
      <c r="J54" s="287">
        <f>+[6]SI!P49</f>
        <v>10</v>
      </c>
      <c r="K54" s="287">
        <v>31.536000000000001</v>
      </c>
      <c r="L54" s="290">
        <f t="shared" si="1"/>
        <v>3.1238906464622711E-5</v>
      </c>
      <c r="N54" s="392">
        <v>2.8569354473781914E-6</v>
      </c>
      <c r="O54" s="288">
        <f>+[6]SI!U49</f>
        <v>1466.6666666666667</v>
      </c>
      <c r="P54" s="288"/>
    </row>
    <row r="55" spans="3:16">
      <c r="G55" s="290"/>
      <c r="L55" s="288"/>
      <c r="N55" s="289"/>
      <c r="O55" s="288"/>
      <c r="P55" s="288"/>
    </row>
    <row r="56" spans="3:16">
      <c r="G56" s="290"/>
      <c r="L56" s="288"/>
      <c r="N56" s="289"/>
      <c r="O56" s="288"/>
      <c r="P56" s="288"/>
    </row>
    <row r="57" spans="3:16">
      <c r="G57" s="290"/>
      <c r="L57" s="288"/>
      <c r="N57" s="289"/>
      <c r="O57" s="288"/>
      <c r="P57" s="288"/>
    </row>
    <row r="58" spans="3:16">
      <c r="G58" s="290"/>
      <c r="L58" s="288"/>
      <c r="N58" s="289"/>
      <c r="O58" s="288"/>
      <c r="P58" s="288"/>
    </row>
    <row r="59" spans="3:16">
      <c r="G59" s="290"/>
      <c r="L59" s="288"/>
      <c r="N59" s="289"/>
      <c r="O59" s="288"/>
      <c r="P59" s="288"/>
    </row>
    <row r="60" spans="3:16">
      <c r="G60" s="290"/>
      <c r="L60" s="288"/>
      <c r="N60" s="289"/>
      <c r="O60" s="288"/>
      <c r="P60" s="288"/>
    </row>
    <row r="61" spans="3:16">
      <c r="G61" s="290"/>
      <c r="L61" s="288"/>
      <c r="N61" s="289"/>
      <c r="O61" s="288"/>
      <c r="P61" s="288"/>
    </row>
    <row r="62" spans="3:16">
      <c r="G62" s="290"/>
      <c r="L62" s="288"/>
      <c r="N62" s="289"/>
      <c r="O62" s="288"/>
      <c r="P62" s="288"/>
    </row>
    <row r="63" spans="3:16">
      <c r="G63" s="290"/>
      <c r="L63" s="288"/>
      <c r="N63" s="289"/>
      <c r="O63" s="288"/>
      <c r="P63" s="288"/>
    </row>
    <row r="64" spans="3:16">
      <c r="G64" s="290"/>
      <c r="L64" s="288"/>
      <c r="N64" s="289"/>
      <c r="O64" s="288"/>
      <c r="P64" s="28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AB299"/>
  <sheetViews>
    <sheetView topLeftCell="U1" zoomScale="70" zoomScaleNormal="70" workbookViewId="0">
      <selection activeCell="U6" sqref="U6"/>
    </sheetView>
  </sheetViews>
  <sheetFormatPr defaultColWidth="9.1328125" defaultRowHeight="12.75"/>
  <cols>
    <col min="1" max="1" width="9.1328125" style="182"/>
    <col min="2" max="5" width="19.3984375" style="182" customWidth="1"/>
    <col min="6" max="6" width="25.1328125" style="182" customWidth="1"/>
    <col min="7" max="7" width="69.265625" style="182" bestFit="1" customWidth="1"/>
    <col min="8" max="12" width="9.1328125" style="182"/>
    <col min="13" max="13" width="9.1328125" style="182" customWidth="1"/>
    <col min="14" max="14" width="9.1328125" style="182"/>
    <col min="15" max="15" width="24" style="182" bestFit="1" customWidth="1"/>
    <col min="16" max="20" width="24" style="182" customWidth="1"/>
    <col min="21" max="21" width="76.86328125" style="182" bestFit="1" customWidth="1"/>
    <col min="22" max="22" width="41.1328125" style="182" bestFit="1" customWidth="1"/>
    <col min="23" max="23" width="4.1328125" style="182" bestFit="1" customWidth="1"/>
    <col min="24" max="24" width="4.3984375" style="182" bestFit="1" customWidth="1"/>
    <col min="25" max="25" width="4.1328125" style="182" bestFit="1" customWidth="1"/>
    <col min="26" max="26" width="8.86328125" style="182" bestFit="1" customWidth="1"/>
    <col min="27" max="27" width="6.59765625" style="182" bestFit="1" customWidth="1"/>
    <col min="28" max="16384" width="9.1328125" style="182"/>
  </cols>
  <sheetData>
    <row r="5" spans="1:28" ht="13.15">
      <c r="A5" s="183" t="s">
        <v>14</v>
      </c>
      <c r="H5" s="184"/>
      <c r="I5" s="184"/>
      <c r="J5" s="184"/>
      <c r="K5" s="184"/>
      <c r="L5" s="184"/>
      <c r="M5" s="184"/>
      <c r="O5" s="183" t="s">
        <v>15</v>
      </c>
      <c r="W5" s="184"/>
      <c r="X5" s="184"/>
      <c r="Y5" s="184"/>
      <c r="Z5" s="184"/>
      <c r="AA5" s="184"/>
      <c r="AB5" s="184"/>
    </row>
    <row r="6" spans="1:28" ht="13.15">
      <c r="A6" s="185" t="s">
        <v>7</v>
      </c>
      <c r="B6" s="185" t="s">
        <v>0</v>
      </c>
      <c r="C6" s="185" t="s">
        <v>913</v>
      </c>
      <c r="D6" s="185" t="s">
        <v>911</v>
      </c>
      <c r="E6" s="185" t="s">
        <v>3</v>
      </c>
      <c r="F6" s="185" t="s">
        <v>910</v>
      </c>
      <c r="G6" s="185" t="s">
        <v>4</v>
      </c>
      <c r="H6" s="185" t="s">
        <v>8</v>
      </c>
      <c r="I6" s="185" t="s">
        <v>9</v>
      </c>
      <c r="J6" s="185" t="s">
        <v>10</v>
      </c>
      <c r="K6" s="185" t="s">
        <v>12</v>
      </c>
      <c r="O6" s="185" t="s">
        <v>11</v>
      </c>
      <c r="P6" s="185" t="s">
        <v>1</v>
      </c>
      <c r="Q6" s="185" t="s">
        <v>908</v>
      </c>
      <c r="R6" s="185" t="s">
        <v>909</v>
      </c>
      <c r="S6" s="185" t="s">
        <v>912</v>
      </c>
      <c r="T6" s="185" t="s">
        <v>913</v>
      </c>
      <c r="U6" s="185" t="s">
        <v>2</v>
      </c>
      <c r="V6" s="425" t="s">
        <v>914</v>
      </c>
      <c r="W6" s="185" t="s">
        <v>16</v>
      </c>
      <c r="X6" s="185" t="s">
        <v>17</v>
      </c>
      <c r="Y6" s="185" t="s">
        <v>18</v>
      </c>
      <c r="Z6" s="185" t="s">
        <v>19</v>
      </c>
      <c r="AA6" s="185" t="s">
        <v>20</v>
      </c>
    </row>
    <row r="7" spans="1:28" ht="13.15">
      <c r="A7" s="186" t="s">
        <v>49</v>
      </c>
      <c r="B7" s="186" t="s">
        <v>237</v>
      </c>
      <c r="C7" s="186" t="s">
        <v>81</v>
      </c>
      <c r="D7" s="428"/>
      <c r="E7" s="186" t="str">
        <f xml:space="preserve"> _xlfn.CONCAT(C7, " -:- ", D7 )</f>
        <v xml:space="preserve">Coal -:- </v>
      </c>
      <c r="F7" s="186" t="s">
        <v>987</v>
      </c>
      <c r="G7" s="186" t="s">
        <v>53</v>
      </c>
      <c r="H7" s="186" t="s">
        <v>345</v>
      </c>
      <c r="I7" s="186"/>
      <c r="J7" s="186"/>
      <c r="K7" s="186"/>
      <c r="O7" s="186" t="s">
        <v>67</v>
      </c>
      <c r="P7" s="187" t="str">
        <f t="shared" ref="P7:P16" si="0">"FTE_"&amp;B7&amp;"_00"</f>
        <v>FTE_COMCOA_00</v>
      </c>
      <c r="Q7" s="187" t="s">
        <v>45</v>
      </c>
      <c r="R7" s="187"/>
      <c r="S7" s="187"/>
      <c r="T7" s="187" t="s">
        <v>81</v>
      </c>
      <c r="U7" s="187" t="str">
        <f t="shared" ref="U7:U38" si="1" xml:space="preserve"> _xlfn.CONCAT( Q7, " -:- ", R7, " -:- ", S7, " -:- ", T7)</f>
        <v>Commercial -:-  -:-  -:- Coal</v>
      </c>
      <c r="V7" s="186" t="str">
        <f t="shared" ref="V7:V16" si="2">"Distribution network for "&amp;F7</f>
        <v>Distribution network for Commercial Coal</v>
      </c>
      <c r="W7" s="186" t="s">
        <v>53</v>
      </c>
      <c r="X7" s="186" t="s">
        <v>298</v>
      </c>
      <c r="Y7" s="186"/>
      <c r="Z7" s="186"/>
      <c r="AA7" s="186"/>
    </row>
    <row r="8" spans="1:28" ht="13.15">
      <c r="A8" s="186" t="s">
        <v>49</v>
      </c>
      <c r="B8" s="186" t="s">
        <v>240</v>
      </c>
      <c r="C8" s="186" t="s">
        <v>43</v>
      </c>
      <c r="D8" s="428"/>
      <c r="E8" s="186" t="str">
        <f t="shared" ref="E8:E57" si="3" xml:space="preserve"> _xlfn.CONCAT(C8, " -:- ", D8 )</f>
        <v xml:space="preserve">Natural Gas -:- </v>
      </c>
      <c r="F8" s="186" t="s">
        <v>324</v>
      </c>
      <c r="G8" s="186" t="s">
        <v>53</v>
      </c>
      <c r="H8" s="186" t="s">
        <v>345</v>
      </c>
      <c r="I8" s="186"/>
      <c r="J8" s="186"/>
      <c r="K8" s="186"/>
      <c r="O8" s="186" t="s">
        <v>67</v>
      </c>
      <c r="P8" s="187" t="str">
        <f t="shared" si="0"/>
        <v>FTE_COMNGA_00</v>
      </c>
      <c r="Q8" s="187" t="s">
        <v>45</v>
      </c>
      <c r="R8" s="187"/>
      <c r="S8" s="187"/>
      <c r="T8" s="187" t="s">
        <v>43</v>
      </c>
      <c r="U8" s="187" t="str">
        <f t="shared" si="1"/>
        <v>Commercial -:-  -:-  -:- Natural Gas</v>
      </c>
      <c r="V8" s="186" t="str">
        <f t="shared" si="2"/>
        <v>Distribution network for Commercial Natural gas</v>
      </c>
      <c r="W8" s="186" t="s">
        <v>53</v>
      </c>
      <c r="X8" s="186" t="s">
        <v>298</v>
      </c>
      <c r="Y8" s="186"/>
      <c r="Z8" s="186"/>
      <c r="AA8" s="186"/>
    </row>
    <row r="9" spans="1:28" ht="13.15">
      <c r="A9" s="186" t="s">
        <v>49</v>
      </c>
      <c r="B9" s="186" t="s">
        <v>321</v>
      </c>
      <c r="C9" s="186" t="s">
        <v>71</v>
      </c>
      <c r="D9" s="428"/>
      <c r="E9" s="186" t="str">
        <f t="shared" si="3"/>
        <v xml:space="preserve">LPG -:- </v>
      </c>
      <c r="F9" s="186" t="s">
        <v>325</v>
      </c>
      <c r="G9" s="186" t="s">
        <v>53</v>
      </c>
      <c r="H9" s="186" t="s">
        <v>345</v>
      </c>
      <c r="I9" s="186"/>
      <c r="J9" s="186"/>
      <c r="K9" s="186"/>
      <c r="O9" s="186" t="s">
        <v>67</v>
      </c>
      <c r="P9" s="187" t="str">
        <f t="shared" si="0"/>
        <v>FTE_COMLPG_00</v>
      </c>
      <c r="Q9" s="187" t="s">
        <v>45</v>
      </c>
      <c r="R9" s="187"/>
      <c r="S9" s="187"/>
      <c r="T9" s="187" t="s">
        <v>71</v>
      </c>
      <c r="U9" s="187" t="str">
        <f t="shared" si="1"/>
        <v>Commercial -:-  -:-  -:- LPG</v>
      </c>
      <c r="V9" s="186" t="str">
        <f t="shared" si="2"/>
        <v>Distribution network for Commercial LPG</v>
      </c>
      <c r="W9" s="186" t="s">
        <v>53</v>
      </c>
      <c r="X9" s="186" t="s">
        <v>298</v>
      </c>
      <c r="Y9" s="186"/>
      <c r="Z9" s="186"/>
      <c r="AA9" s="186"/>
    </row>
    <row r="10" spans="1:28" ht="13.15">
      <c r="A10" s="186" t="s">
        <v>49</v>
      </c>
      <c r="B10" s="186" t="s">
        <v>322</v>
      </c>
      <c r="C10" s="186" t="s">
        <v>82</v>
      </c>
      <c r="D10" s="428"/>
      <c r="E10" s="186" t="str">
        <f t="shared" si="3"/>
        <v xml:space="preserve">Diesel -:- </v>
      </c>
      <c r="F10" s="186" t="s">
        <v>326</v>
      </c>
      <c r="G10" s="186" t="s">
        <v>53</v>
      </c>
      <c r="H10" s="186" t="s">
        <v>345</v>
      </c>
      <c r="I10" s="186"/>
      <c r="J10" s="186"/>
      <c r="K10" s="186"/>
      <c r="O10" s="186" t="s">
        <v>67</v>
      </c>
      <c r="P10" s="187" t="str">
        <f t="shared" si="0"/>
        <v>FTE_COMDSL_00</v>
      </c>
      <c r="Q10" s="187" t="s">
        <v>45</v>
      </c>
      <c r="R10" s="187"/>
      <c r="S10" s="187"/>
      <c r="T10" s="187" t="s">
        <v>82</v>
      </c>
      <c r="U10" s="187" t="str">
        <f t="shared" si="1"/>
        <v>Commercial -:-  -:-  -:- Diesel</v>
      </c>
      <c r="V10" s="186" t="str">
        <f t="shared" si="2"/>
        <v>Distribution network for Commercial Diesel</v>
      </c>
      <c r="W10" s="186" t="s">
        <v>53</v>
      </c>
      <c r="X10" s="186" t="s">
        <v>298</v>
      </c>
      <c r="Y10" s="186"/>
      <c r="Z10" s="186"/>
      <c r="AA10" s="186"/>
    </row>
    <row r="11" spans="1:28" ht="13.15">
      <c r="A11" s="186" t="s">
        <v>49</v>
      </c>
      <c r="B11" s="186" t="s">
        <v>246</v>
      </c>
      <c r="C11" s="186" t="s">
        <v>79</v>
      </c>
      <c r="D11" s="428"/>
      <c r="E11" s="186" t="str">
        <f t="shared" si="3"/>
        <v xml:space="preserve">Biogas -:- </v>
      </c>
      <c r="F11" s="186" t="s">
        <v>327</v>
      </c>
      <c r="G11" s="186" t="s">
        <v>53</v>
      </c>
      <c r="H11" s="186" t="s">
        <v>345</v>
      </c>
      <c r="I11" s="186"/>
      <c r="J11" s="186"/>
      <c r="K11" s="186"/>
      <c r="O11" s="186" t="s">
        <v>67</v>
      </c>
      <c r="P11" s="187" t="str">
        <f t="shared" si="0"/>
        <v>FTE_COMBIG_00</v>
      </c>
      <c r="Q11" s="187" t="s">
        <v>45</v>
      </c>
      <c r="R11" s="187"/>
      <c r="S11" s="187"/>
      <c r="T11" s="187" t="s">
        <v>79</v>
      </c>
      <c r="U11" s="187" t="str">
        <f t="shared" si="1"/>
        <v>Commercial -:-  -:-  -:- Biogas</v>
      </c>
      <c r="V11" s="186" t="str">
        <f t="shared" si="2"/>
        <v>Distribution network for Commercial Biogas</v>
      </c>
      <c r="W11" s="186" t="s">
        <v>53</v>
      </c>
      <c r="X11" s="186" t="s">
        <v>298</v>
      </c>
      <c r="Y11" s="186"/>
      <c r="Z11" s="186"/>
      <c r="AA11" s="186"/>
    </row>
    <row r="12" spans="1:28" ht="13.15">
      <c r="A12" s="186" t="s">
        <v>49</v>
      </c>
      <c r="B12" s="186" t="s">
        <v>242</v>
      </c>
      <c r="C12" s="186" t="s">
        <v>84</v>
      </c>
      <c r="D12" s="428"/>
      <c r="E12" s="186" t="str">
        <f t="shared" si="3"/>
        <v xml:space="preserve">Geothermal -:- </v>
      </c>
      <c r="F12" s="186" t="s">
        <v>328</v>
      </c>
      <c r="G12" s="186" t="s">
        <v>53</v>
      </c>
      <c r="H12" s="186" t="s">
        <v>345</v>
      </c>
      <c r="I12" s="186"/>
      <c r="J12" s="186"/>
      <c r="K12" s="186"/>
      <c r="O12" s="186" t="s">
        <v>67</v>
      </c>
      <c r="P12" s="187" t="str">
        <f t="shared" si="0"/>
        <v>FTE_COMGEO_00</v>
      </c>
      <c r="Q12" s="187" t="s">
        <v>45</v>
      </c>
      <c r="R12" s="187"/>
      <c r="S12" s="187"/>
      <c r="T12" s="187" t="s">
        <v>84</v>
      </c>
      <c r="U12" s="187" t="str">
        <f t="shared" si="1"/>
        <v>Commercial -:-  -:-  -:- Geothermal</v>
      </c>
      <c r="V12" s="186" t="str">
        <f t="shared" si="2"/>
        <v>Distribution network for Commercial Geothermal</v>
      </c>
      <c r="W12" s="186" t="s">
        <v>53</v>
      </c>
      <c r="X12" s="186" t="s">
        <v>298</v>
      </c>
      <c r="Y12" s="186"/>
      <c r="Z12" s="186"/>
      <c r="AA12" s="186"/>
    </row>
    <row r="13" spans="1:28" ht="13.15">
      <c r="A13" s="186" t="s">
        <v>49</v>
      </c>
      <c r="B13" s="186" t="s">
        <v>334</v>
      </c>
      <c r="C13" s="186" t="s">
        <v>83</v>
      </c>
      <c r="D13" s="428"/>
      <c r="E13" s="186" t="str">
        <f t="shared" si="3"/>
        <v xml:space="preserve">Fuel Oil -:- </v>
      </c>
      <c r="F13" s="186" t="s">
        <v>329</v>
      </c>
      <c r="G13" s="186" t="s">
        <v>53</v>
      </c>
      <c r="H13" s="186" t="s">
        <v>345</v>
      </c>
      <c r="I13" s="186"/>
      <c r="J13" s="186"/>
      <c r="K13" s="186"/>
      <c r="O13" s="186" t="s">
        <v>67</v>
      </c>
      <c r="P13" s="187" t="str">
        <f t="shared" si="0"/>
        <v>FTE_COMFOL_00</v>
      </c>
      <c r="Q13" s="187" t="s">
        <v>45</v>
      </c>
      <c r="R13" s="187"/>
      <c r="S13" s="187"/>
      <c r="T13" s="187" t="s">
        <v>83</v>
      </c>
      <c r="U13" s="187" t="str">
        <f t="shared" si="1"/>
        <v>Commercial -:-  -:-  -:- Fuel Oil</v>
      </c>
      <c r="V13" s="186" t="str">
        <f t="shared" si="2"/>
        <v>Distribution network for Commercial Fuel Oil</v>
      </c>
      <c r="W13" s="186" t="s">
        <v>53</v>
      </c>
      <c r="X13" s="186" t="s">
        <v>298</v>
      </c>
      <c r="Y13" s="186"/>
      <c r="Z13" s="186"/>
      <c r="AA13" s="186"/>
    </row>
    <row r="14" spans="1:28" ht="13.15">
      <c r="A14" s="186" t="s">
        <v>49</v>
      </c>
      <c r="B14" s="186" t="s">
        <v>323</v>
      </c>
      <c r="C14" s="186" t="s">
        <v>85</v>
      </c>
      <c r="D14" s="428"/>
      <c r="E14" s="186" t="str">
        <f t="shared" si="3"/>
        <v xml:space="preserve">Petrol -:- </v>
      </c>
      <c r="F14" s="186" t="s">
        <v>330</v>
      </c>
      <c r="G14" s="186" t="s">
        <v>53</v>
      </c>
      <c r="H14" s="186" t="s">
        <v>345</v>
      </c>
      <c r="I14" s="186"/>
      <c r="J14" s="186"/>
      <c r="K14" s="186"/>
      <c r="O14" s="186" t="s">
        <v>67</v>
      </c>
      <c r="P14" s="187" t="str">
        <f t="shared" si="0"/>
        <v>FTE_COMPET_00</v>
      </c>
      <c r="Q14" s="187" t="s">
        <v>45</v>
      </c>
      <c r="R14" s="187"/>
      <c r="S14" s="187"/>
      <c r="T14" s="187" t="s">
        <v>85</v>
      </c>
      <c r="U14" s="187" t="str">
        <f t="shared" si="1"/>
        <v>Commercial -:-  -:-  -:- Petrol</v>
      </c>
      <c r="V14" s="186" t="str">
        <f t="shared" si="2"/>
        <v>Distribution network for Commercial petroleum</v>
      </c>
      <c r="W14" s="186" t="s">
        <v>53</v>
      </c>
      <c r="X14" s="186" t="s">
        <v>298</v>
      </c>
      <c r="Y14" s="186"/>
      <c r="Z14" s="186"/>
      <c r="AA14" s="186"/>
    </row>
    <row r="15" spans="1:28" ht="13.15">
      <c r="A15" s="186" t="s">
        <v>49</v>
      </c>
      <c r="B15" s="186" t="s">
        <v>247</v>
      </c>
      <c r="C15" s="186" t="s">
        <v>87</v>
      </c>
      <c r="D15" s="428"/>
      <c r="E15" s="186" t="str">
        <f t="shared" si="3"/>
        <v xml:space="preserve">Wood -:- </v>
      </c>
      <c r="F15" s="186" t="s">
        <v>827</v>
      </c>
      <c r="G15" s="186" t="s">
        <v>53</v>
      </c>
      <c r="H15" s="186" t="s">
        <v>345</v>
      </c>
      <c r="I15" s="186"/>
      <c r="J15" s="186"/>
      <c r="K15" s="186"/>
      <c r="O15" s="186" t="s">
        <v>67</v>
      </c>
      <c r="P15" s="187" t="str">
        <f t="shared" si="0"/>
        <v>FTE_COMWOD_00</v>
      </c>
      <c r="Q15" s="187" t="s">
        <v>45</v>
      </c>
      <c r="R15" s="187"/>
      <c r="S15" s="187"/>
      <c r="T15" s="187" t="s">
        <v>87</v>
      </c>
      <c r="U15" s="187" t="str">
        <f t="shared" si="1"/>
        <v>Commercial -:-  -:-  -:- Wood</v>
      </c>
      <c r="V15" s="186" t="str">
        <f t="shared" si="2"/>
        <v>Distribution network for Commercial wood</v>
      </c>
      <c r="W15" s="186" t="s">
        <v>53</v>
      </c>
      <c r="X15" s="186" t="s">
        <v>298</v>
      </c>
      <c r="Y15" s="186"/>
      <c r="Z15" s="186"/>
      <c r="AA15" s="186"/>
    </row>
    <row r="16" spans="1:28" ht="13.15">
      <c r="A16" s="186" t="s">
        <v>49</v>
      </c>
      <c r="B16" s="186" t="s">
        <v>826</v>
      </c>
      <c r="C16" s="428" t="s">
        <v>87</v>
      </c>
      <c r="D16" s="428"/>
      <c r="E16" s="186" t="str">
        <f t="shared" si="3"/>
        <v xml:space="preserve">Wood -:- </v>
      </c>
      <c r="F16" s="186" t="s">
        <v>828</v>
      </c>
      <c r="G16" s="186" t="s">
        <v>53</v>
      </c>
      <c r="H16" s="186" t="s">
        <v>345</v>
      </c>
      <c r="I16" s="186"/>
      <c r="J16" s="186"/>
      <c r="K16" s="186"/>
      <c r="O16" s="186" t="s">
        <v>67</v>
      </c>
      <c r="P16" s="187" t="str">
        <f t="shared" si="0"/>
        <v>FTE_COMPLT_00</v>
      </c>
      <c r="Q16" s="187" t="s">
        <v>45</v>
      </c>
      <c r="R16" s="187"/>
      <c r="S16" s="187"/>
      <c r="T16" s="429" t="s">
        <v>87</v>
      </c>
      <c r="U16" s="187" t="str">
        <f t="shared" si="1"/>
        <v>Commercial -:-  -:-  -:- Wood</v>
      </c>
      <c r="V16" s="186" t="str">
        <f t="shared" si="2"/>
        <v>Distribution network for Commercial pellet</v>
      </c>
      <c r="W16" s="186" t="s">
        <v>53</v>
      </c>
      <c r="X16" s="186" t="s">
        <v>298</v>
      </c>
      <c r="Y16" s="186"/>
      <c r="Z16" s="186"/>
      <c r="AA16" s="186"/>
    </row>
    <row r="17" spans="1:27" ht="13.15">
      <c r="A17" s="240" t="s">
        <v>65</v>
      </c>
      <c r="B17" s="240" t="s">
        <v>331</v>
      </c>
      <c r="C17" s="240"/>
      <c r="D17" s="240"/>
      <c r="E17" s="240" t="str">
        <f t="shared" si="3"/>
        <v xml:space="preserve"> -:- </v>
      </c>
      <c r="F17" s="240" t="s">
        <v>332</v>
      </c>
      <c r="G17" s="240" t="s">
        <v>333</v>
      </c>
      <c r="H17" s="240"/>
      <c r="I17" s="240"/>
      <c r="J17" s="240"/>
      <c r="K17" s="240"/>
      <c r="O17" s="242" t="s">
        <v>311</v>
      </c>
      <c r="P17" s="243" t="s">
        <v>680</v>
      </c>
      <c r="Q17" s="243" t="s">
        <v>45</v>
      </c>
      <c r="R17" s="243" t="s">
        <v>981</v>
      </c>
      <c r="S17" s="243" t="s">
        <v>962</v>
      </c>
      <c r="T17" s="243" t="s">
        <v>57</v>
      </c>
      <c r="U17" s="243" t="str">
        <f t="shared" si="1"/>
        <v>Commercial -:- Education -:- Electronics and Other Appliances -:- Electricity</v>
      </c>
      <c r="V17" s="242" t="s">
        <v>537</v>
      </c>
      <c r="W17" s="242" t="s">
        <v>53</v>
      </c>
      <c r="X17" s="242" t="s">
        <v>371</v>
      </c>
      <c r="Y17" s="242"/>
      <c r="Z17" s="242"/>
      <c r="AA17" s="242"/>
    </row>
    <row r="18" spans="1:27" ht="13.15">
      <c r="A18" s="241" t="s">
        <v>310</v>
      </c>
      <c r="B18" s="241" t="s">
        <v>681</v>
      </c>
      <c r="C18" s="241"/>
      <c r="D18" s="241" t="s">
        <v>962</v>
      </c>
      <c r="E18" s="241" t="str">
        <f t="shared" si="3"/>
        <v xml:space="preserve"> -:- Electronics and Other Appliances</v>
      </c>
      <c r="F18" s="241" t="s">
        <v>538</v>
      </c>
      <c r="G18" s="241" t="s">
        <v>53</v>
      </c>
      <c r="H18" s="241"/>
      <c r="I18" s="241"/>
      <c r="J18" s="241"/>
      <c r="K18" s="241"/>
      <c r="O18" s="242" t="s">
        <v>311</v>
      </c>
      <c r="P18" s="243" t="s">
        <v>683</v>
      </c>
      <c r="Q18" s="243" t="s">
        <v>45</v>
      </c>
      <c r="R18" s="243" t="s">
        <v>981</v>
      </c>
      <c r="S18" s="243" t="s">
        <v>978</v>
      </c>
      <c r="T18" s="243" t="s">
        <v>57</v>
      </c>
      <c r="U18" s="243" t="str">
        <f t="shared" si="1"/>
        <v>Commercial -:- Education -:- Lights (Incandescent)  -:- Electricity</v>
      </c>
      <c r="V18" s="242" t="s">
        <v>540</v>
      </c>
      <c r="W18" s="242" t="s">
        <v>53</v>
      </c>
      <c r="X18" s="242" t="s">
        <v>371</v>
      </c>
      <c r="Y18" s="242"/>
      <c r="Z18" s="242"/>
      <c r="AA18" s="242"/>
    </row>
    <row r="19" spans="1:27" ht="13.15">
      <c r="A19" s="241" t="s">
        <v>310</v>
      </c>
      <c r="B19" s="241" t="s">
        <v>682</v>
      </c>
      <c r="C19" s="241"/>
      <c r="D19" s="241" t="s">
        <v>932</v>
      </c>
      <c r="E19" s="241" t="str">
        <f t="shared" si="3"/>
        <v xml:space="preserve"> -:- Lighting</v>
      </c>
      <c r="F19" s="241" t="s">
        <v>539</v>
      </c>
      <c r="G19" s="241" t="s">
        <v>53</v>
      </c>
      <c r="H19" s="241"/>
      <c r="I19" s="241"/>
      <c r="J19" s="241"/>
      <c r="K19" s="241"/>
      <c r="O19" s="242" t="s">
        <v>311</v>
      </c>
      <c r="P19" s="243" t="s">
        <v>684</v>
      </c>
      <c r="Q19" s="243" t="s">
        <v>45</v>
      </c>
      <c r="R19" s="243" t="s">
        <v>981</v>
      </c>
      <c r="S19" s="243" t="s">
        <v>979</v>
      </c>
      <c r="T19" s="243" t="s">
        <v>57</v>
      </c>
      <c r="U19" s="243" t="str">
        <f t="shared" si="1"/>
        <v>Commercial -:- Education -:- Lights (Fluorescent)  -:- Electricity</v>
      </c>
      <c r="V19" s="242" t="s">
        <v>541</v>
      </c>
      <c r="W19" s="242" t="s">
        <v>53</v>
      </c>
      <c r="X19" s="242" t="s">
        <v>371</v>
      </c>
      <c r="Y19" s="242"/>
      <c r="Z19" s="242"/>
      <c r="AA19" s="242"/>
    </row>
    <row r="20" spans="1:27" ht="13.15">
      <c r="A20" s="241" t="s">
        <v>310</v>
      </c>
      <c r="B20" s="241" t="s">
        <v>687</v>
      </c>
      <c r="C20" s="241"/>
      <c r="D20" s="241" t="s">
        <v>942</v>
      </c>
      <c r="E20" s="241" t="str">
        <f t="shared" si="3"/>
        <v xml:space="preserve"> -:- Space Heating</v>
      </c>
      <c r="F20" s="241" t="s">
        <v>544</v>
      </c>
      <c r="G20" s="241" t="s">
        <v>53</v>
      </c>
      <c r="H20" s="241"/>
      <c r="I20" s="241"/>
      <c r="J20" s="241"/>
      <c r="K20" s="241"/>
      <c r="O20" s="242" t="s">
        <v>311</v>
      </c>
      <c r="P20" s="243" t="s">
        <v>685</v>
      </c>
      <c r="Q20" s="243" t="s">
        <v>45</v>
      </c>
      <c r="R20" s="243" t="s">
        <v>981</v>
      </c>
      <c r="S20" s="243" t="s">
        <v>977</v>
      </c>
      <c r="T20" s="243" t="s">
        <v>57</v>
      </c>
      <c r="U20" s="243" t="str">
        <f t="shared" si="1"/>
        <v>Commercial -:- Education -:- Lights (LED) -:- Electricity</v>
      </c>
      <c r="V20" s="242" t="s">
        <v>542</v>
      </c>
      <c r="W20" s="242" t="s">
        <v>53</v>
      </c>
      <c r="X20" s="242" t="s">
        <v>371</v>
      </c>
      <c r="Y20" s="242"/>
      <c r="Z20" s="242"/>
      <c r="AA20" s="242"/>
    </row>
    <row r="21" spans="1:27" ht="13.15">
      <c r="A21" s="241" t="s">
        <v>310</v>
      </c>
      <c r="B21" s="241" t="s">
        <v>695</v>
      </c>
      <c r="C21" s="241"/>
      <c r="D21" s="241" t="s">
        <v>918</v>
      </c>
      <c r="E21" s="241" t="str">
        <f t="shared" si="3"/>
        <v xml:space="preserve"> -:- Water Heating</v>
      </c>
      <c r="F21" s="241" t="s">
        <v>551</v>
      </c>
      <c r="G21" s="241" t="s">
        <v>53</v>
      </c>
      <c r="H21" s="241"/>
      <c r="I21" s="241"/>
      <c r="J21" s="241"/>
      <c r="K21" s="241"/>
      <c r="O21" s="242" t="s">
        <v>311</v>
      </c>
      <c r="P21" s="243" t="s">
        <v>686</v>
      </c>
      <c r="Q21" s="243" t="s">
        <v>45</v>
      </c>
      <c r="R21" s="243" t="s">
        <v>981</v>
      </c>
      <c r="S21" s="243" t="s">
        <v>949</v>
      </c>
      <c r="T21" s="243" t="s">
        <v>81</v>
      </c>
      <c r="U21" s="243" t="str">
        <f t="shared" si="1"/>
        <v>Commercial -:- Education -:- Boiler -:- Coal</v>
      </c>
      <c r="V21" s="242" t="s">
        <v>543</v>
      </c>
      <c r="W21" s="242" t="s">
        <v>53</v>
      </c>
      <c r="X21" s="242" t="s">
        <v>371</v>
      </c>
      <c r="Y21" s="242"/>
      <c r="Z21" s="242"/>
      <c r="AA21" s="242"/>
    </row>
    <row r="22" spans="1:27" ht="13.15">
      <c r="A22" s="241" t="s">
        <v>310</v>
      </c>
      <c r="B22" s="241" t="s">
        <v>699</v>
      </c>
      <c r="C22" s="241"/>
      <c r="D22" s="241" t="s">
        <v>963</v>
      </c>
      <c r="E22" s="241" t="str">
        <f t="shared" si="3"/>
        <v xml:space="preserve"> -:- Motive Power, Mobile</v>
      </c>
      <c r="F22" s="241" t="s">
        <v>555</v>
      </c>
      <c r="G22" s="241" t="s">
        <v>53</v>
      </c>
      <c r="H22" s="241"/>
      <c r="I22" s="241"/>
      <c r="J22" s="241"/>
      <c r="K22" s="241"/>
      <c r="O22" s="242" t="s">
        <v>311</v>
      </c>
      <c r="P22" s="243" t="s">
        <v>688</v>
      </c>
      <c r="Q22" s="243" t="s">
        <v>45</v>
      </c>
      <c r="R22" s="243" t="s">
        <v>981</v>
      </c>
      <c r="S22" s="243" t="s">
        <v>949</v>
      </c>
      <c r="T22" s="243" t="s">
        <v>82</v>
      </c>
      <c r="U22" s="243" t="str">
        <f t="shared" si="1"/>
        <v>Commercial -:- Education -:- Boiler -:- Diesel</v>
      </c>
      <c r="V22" s="242" t="s">
        <v>545</v>
      </c>
      <c r="W22" s="242" t="s">
        <v>53</v>
      </c>
      <c r="X22" s="242" t="s">
        <v>371</v>
      </c>
      <c r="Y22" s="242"/>
      <c r="Z22" s="242"/>
      <c r="AA22" s="242"/>
    </row>
    <row r="23" spans="1:27" ht="13.15">
      <c r="A23" s="241" t="s">
        <v>310</v>
      </c>
      <c r="B23" s="241" t="s">
        <v>702</v>
      </c>
      <c r="C23" s="241"/>
      <c r="D23" s="241" t="s">
        <v>941</v>
      </c>
      <c r="E23" s="241" t="str">
        <f t="shared" si="3"/>
        <v xml:space="preserve"> -:- Motive Power, Stationary</v>
      </c>
      <c r="F23" s="241" t="s">
        <v>558</v>
      </c>
      <c r="G23" s="241" t="s">
        <v>53</v>
      </c>
      <c r="H23" s="241"/>
      <c r="I23" s="241"/>
      <c r="J23" s="241"/>
      <c r="K23" s="241"/>
      <c r="O23" s="242" t="s">
        <v>311</v>
      </c>
      <c r="P23" s="243" t="s">
        <v>689</v>
      </c>
      <c r="Q23" s="243" t="s">
        <v>45</v>
      </c>
      <c r="R23" s="243" t="s">
        <v>981</v>
      </c>
      <c r="S23" s="243" t="s">
        <v>949</v>
      </c>
      <c r="T23" s="243" t="s">
        <v>83</v>
      </c>
      <c r="U23" s="243" t="str">
        <f t="shared" si="1"/>
        <v>Commercial -:- Education -:- Boiler -:- Fuel Oil</v>
      </c>
      <c r="V23" s="242" t="s">
        <v>546</v>
      </c>
      <c r="W23" s="242" t="s">
        <v>53</v>
      </c>
      <c r="X23" s="242" t="s">
        <v>371</v>
      </c>
      <c r="Y23" s="242"/>
      <c r="Z23" s="242"/>
      <c r="AA23" s="242"/>
    </row>
    <row r="24" spans="1:27" ht="13.15">
      <c r="A24" s="241" t="s">
        <v>310</v>
      </c>
      <c r="B24" s="241" t="s">
        <v>705</v>
      </c>
      <c r="C24" s="241"/>
      <c r="D24" s="241" t="s">
        <v>930</v>
      </c>
      <c r="E24" s="241" t="str">
        <f t="shared" si="3"/>
        <v xml:space="preserve"> -:- Refrigeration</v>
      </c>
      <c r="F24" s="241" t="s">
        <v>561</v>
      </c>
      <c r="G24" s="241" t="s">
        <v>53</v>
      </c>
      <c r="H24" s="241"/>
      <c r="I24" s="241"/>
      <c r="J24" s="241"/>
      <c r="K24" s="241"/>
      <c r="O24" s="242" t="s">
        <v>311</v>
      </c>
      <c r="P24" s="243" t="s">
        <v>690</v>
      </c>
      <c r="Q24" s="243" t="s">
        <v>45</v>
      </c>
      <c r="R24" s="243" t="s">
        <v>981</v>
      </c>
      <c r="S24" s="243" t="s">
        <v>949</v>
      </c>
      <c r="T24" s="243" t="s">
        <v>43</v>
      </c>
      <c r="U24" s="243" t="str">
        <f t="shared" si="1"/>
        <v>Commercial -:- Education -:- Boiler -:- Natural Gas</v>
      </c>
      <c r="V24" s="242" t="s">
        <v>547</v>
      </c>
      <c r="W24" s="242" t="s">
        <v>53</v>
      </c>
      <c r="X24" s="242" t="s">
        <v>371</v>
      </c>
      <c r="Y24" s="242"/>
      <c r="Z24" s="242"/>
      <c r="AA24" s="242"/>
    </row>
    <row r="25" spans="1:27" ht="13.15">
      <c r="A25" s="241" t="s">
        <v>310</v>
      </c>
      <c r="B25" s="241" t="s">
        <v>707</v>
      </c>
      <c r="C25" s="241"/>
      <c r="D25" s="241" t="s">
        <v>959</v>
      </c>
      <c r="E25" s="241" t="str">
        <f t="shared" si="3"/>
        <v xml:space="preserve"> -:- Space Cooling</v>
      </c>
      <c r="F25" s="241" t="s">
        <v>563</v>
      </c>
      <c r="G25" s="241" t="s">
        <v>53</v>
      </c>
      <c r="H25" s="241"/>
      <c r="I25" s="241"/>
      <c r="J25" s="241"/>
      <c r="K25" s="241"/>
      <c r="O25" s="242" t="s">
        <v>311</v>
      </c>
      <c r="P25" s="243" t="s">
        <v>691</v>
      </c>
      <c r="Q25" s="243" t="s">
        <v>45</v>
      </c>
      <c r="R25" s="243" t="s">
        <v>981</v>
      </c>
      <c r="S25" s="243" t="s">
        <v>965</v>
      </c>
      <c r="T25" s="243" t="s">
        <v>43</v>
      </c>
      <c r="U25" s="243" t="str">
        <f t="shared" si="1"/>
        <v>Commercial -:- Education -:- Burner -:- Natural Gas</v>
      </c>
      <c r="V25" s="242" t="s">
        <v>548</v>
      </c>
      <c r="W25" s="242" t="s">
        <v>53</v>
      </c>
      <c r="X25" s="242" t="s">
        <v>371</v>
      </c>
      <c r="Y25" s="242"/>
      <c r="Z25" s="242"/>
      <c r="AA25" s="242"/>
    </row>
    <row r="26" spans="1:27" ht="13.15">
      <c r="A26" s="241" t="s">
        <v>310</v>
      </c>
      <c r="B26" s="241" t="s">
        <v>709</v>
      </c>
      <c r="C26" s="241"/>
      <c r="D26" s="241" t="s">
        <v>962</v>
      </c>
      <c r="E26" s="241" t="str">
        <f t="shared" si="3"/>
        <v xml:space="preserve"> -:- Electronics and Other Appliances</v>
      </c>
      <c r="F26" s="241" t="s">
        <v>566</v>
      </c>
      <c r="G26" s="241" t="s">
        <v>53</v>
      </c>
      <c r="H26" s="241"/>
      <c r="I26" s="241"/>
      <c r="J26" s="241"/>
      <c r="K26" s="241"/>
      <c r="O26" s="242" t="s">
        <v>311</v>
      </c>
      <c r="P26" s="243" t="s">
        <v>692</v>
      </c>
      <c r="Q26" s="243" t="s">
        <v>45</v>
      </c>
      <c r="R26" s="243" t="s">
        <v>981</v>
      </c>
      <c r="S26" s="243" t="s">
        <v>968</v>
      </c>
      <c r="T26" s="243" t="s">
        <v>57</v>
      </c>
      <c r="U26" s="243" t="str">
        <f t="shared" si="1"/>
        <v>Commercial -:- Education -:- Heat Pump -:- Electricity</v>
      </c>
      <c r="V26" s="242" t="s">
        <v>549</v>
      </c>
      <c r="W26" s="242" t="s">
        <v>53</v>
      </c>
      <c r="X26" s="242" t="s">
        <v>371</v>
      </c>
      <c r="Y26" s="242"/>
      <c r="Z26" s="242"/>
      <c r="AA26" s="242"/>
    </row>
    <row r="27" spans="1:27" ht="13.15">
      <c r="A27" s="241" t="s">
        <v>310</v>
      </c>
      <c r="B27" s="241" t="s">
        <v>710</v>
      </c>
      <c r="C27" s="241"/>
      <c r="D27" s="241" t="s">
        <v>932</v>
      </c>
      <c r="E27" s="241" t="str">
        <f t="shared" si="3"/>
        <v xml:space="preserve"> -:- Lighting</v>
      </c>
      <c r="F27" s="241" t="s">
        <v>567</v>
      </c>
      <c r="G27" s="241" t="s">
        <v>53</v>
      </c>
      <c r="H27" s="241"/>
      <c r="I27" s="241"/>
      <c r="J27" s="241"/>
      <c r="K27" s="241"/>
      <c r="O27" s="242" t="s">
        <v>311</v>
      </c>
      <c r="P27" s="243" t="s">
        <v>693</v>
      </c>
      <c r="Q27" s="243" t="s">
        <v>45</v>
      </c>
      <c r="R27" s="243" t="s">
        <v>981</v>
      </c>
      <c r="S27" s="243" t="s">
        <v>969</v>
      </c>
      <c r="T27" s="243" t="s">
        <v>57</v>
      </c>
      <c r="U27" s="243" t="str">
        <f t="shared" si="1"/>
        <v>Commercial -:- Education -:- Resistance Heater -:- Electricity</v>
      </c>
      <c r="V27" s="242" t="s">
        <v>550</v>
      </c>
      <c r="W27" s="242" t="s">
        <v>53</v>
      </c>
      <c r="X27" s="242" t="s">
        <v>371</v>
      </c>
      <c r="Y27" s="242"/>
      <c r="Z27" s="242"/>
      <c r="AA27" s="242"/>
    </row>
    <row r="28" spans="1:27" ht="13.15">
      <c r="A28" s="241" t="s">
        <v>310</v>
      </c>
      <c r="B28" s="241" t="s">
        <v>715</v>
      </c>
      <c r="C28" s="241"/>
      <c r="D28" s="241" t="s">
        <v>942</v>
      </c>
      <c r="E28" s="241" t="str">
        <f t="shared" si="3"/>
        <v xml:space="preserve"> -:- Space Heating</v>
      </c>
      <c r="F28" s="241" t="s">
        <v>572</v>
      </c>
      <c r="G28" s="241" t="s">
        <v>53</v>
      </c>
      <c r="H28" s="241"/>
      <c r="I28" s="241"/>
      <c r="J28" s="241"/>
      <c r="K28" s="241"/>
      <c r="O28" s="242" t="s">
        <v>311</v>
      </c>
      <c r="P28" s="243" t="s">
        <v>694</v>
      </c>
      <c r="Q28" s="243" t="s">
        <v>45</v>
      </c>
      <c r="R28" s="243" t="s">
        <v>981</v>
      </c>
      <c r="S28" s="243" t="s">
        <v>949</v>
      </c>
      <c r="T28" s="243" t="s">
        <v>81</v>
      </c>
      <c r="U28" s="243" t="str">
        <f t="shared" si="1"/>
        <v>Commercial -:- Education -:- Boiler -:- Coal</v>
      </c>
      <c r="V28" s="242" t="s">
        <v>543</v>
      </c>
      <c r="W28" s="242" t="s">
        <v>53</v>
      </c>
      <c r="X28" s="242" t="s">
        <v>371</v>
      </c>
      <c r="Y28" s="242"/>
      <c r="Z28" s="242"/>
      <c r="AA28" s="242"/>
    </row>
    <row r="29" spans="1:27" ht="13.15">
      <c r="A29" s="241" t="s">
        <v>310</v>
      </c>
      <c r="B29" s="241" t="s">
        <v>721</v>
      </c>
      <c r="C29" s="241"/>
      <c r="D29" s="241" t="s">
        <v>918</v>
      </c>
      <c r="E29" s="241" t="str">
        <f t="shared" si="3"/>
        <v xml:space="preserve"> -:- Water Heating</v>
      </c>
      <c r="F29" s="241" t="s">
        <v>578</v>
      </c>
      <c r="G29" s="241" t="s">
        <v>53</v>
      </c>
      <c r="H29" s="241"/>
      <c r="I29" s="241"/>
      <c r="J29" s="241"/>
      <c r="K29" s="241"/>
      <c r="O29" s="242" t="s">
        <v>311</v>
      </c>
      <c r="P29" s="243" t="s">
        <v>696</v>
      </c>
      <c r="Q29" s="243" t="s">
        <v>45</v>
      </c>
      <c r="R29" s="243" t="s">
        <v>981</v>
      </c>
      <c r="S29" s="243" t="s">
        <v>925</v>
      </c>
      <c r="T29" s="243" t="s">
        <v>57</v>
      </c>
      <c r="U29" s="243" t="str">
        <f t="shared" si="1"/>
        <v>Commercial -:- Education -:- Hot Water Cylinder -:- Electricity</v>
      </c>
      <c r="V29" s="242" t="s">
        <v>552</v>
      </c>
      <c r="W29" s="242" t="s">
        <v>53</v>
      </c>
      <c r="X29" s="242" t="s">
        <v>371</v>
      </c>
      <c r="Y29" s="242"/>
      <c r="Z29" s="242"/>
      <c r="AA29" s="242"/>
    </row>
    <row r="30" spans="1:27" ht="13.15">
      <c r="A30" s="241" t="s">
        <v>310</v>
      </c>
      <c r="B30" s="241" t="s">
        <v>726</v>
      </c>
      <c r="C30" s="241"/>
      <c r="D30" s="241" t="s">
        <v>983</v>
      </c>
      <c r="E30" s="241" t="str">
        <f t="shared" si="3"/>
        <v xml:space="preserve"> -:- Process Heat</v>
      </c>
      <c r="F30" s="241" t="s">
        <v>581</v>
      </c>
      <c r="G30" s="241" t="s">
        <v>53</v>
      </c>
      <c r="H30" s="241"/>
      <c r="I30" s="241"/>
      <c r="J30" s="241"/>
      <c r="K30" s="241"/>
      <c r="O30" s="242" t="s">
        <v>311</v>
      </c>
      <c r="P30" s="243" t="s">
        <v>697</v>
      </c>
      <c r="Q30" s="243" t="s">
        <v>45</v>
      </c>
      <c r="R30" s="243" t="s">
        <v>981</v>
      </c>
      <c r="S30" s="243" t="s">
        <v>925</v>
      </c>
      <c r="T30" s="243" t="s">
        <v>43</v>
      </c>
      <c r="U30" s="243" t="str">
        <f t="shared" si="1"/>
        <v>Commercial -:- Education -:- Hot Water Cylinder -:- Natural Gas</v>
      </c>
      <c r="V30" s="242" t="s">
        <v>553</v>
      </c>
      <c r="W30" s="242" t="s">
        <v>53</v>
      </c>
      <c r="X30" s="242" t="s">
        <v>371</v>
      </c>
      <c r="Y30" s="242"/>
      <c r="Z30" s="242"/>
      <c r="AA30" s="242"/>
    </row>
    <row r="31" spans="1:27" ht="13.15">
      <c r="A31" s="241" t="s">
        <v>310</v>
      </c>
      <c r="B31" s="241" t="s">
        <v>729</v>
      </c>
      <c r="C31" s="241"/>
      <c r="D31" s="241" t="s">
        <v>963</v>
      </c>
      <c r="E31" s="241" t="str">
        <f t="shared" si="3"/>
        <v xml:space="preserve"> -:- Motive Power, Mobile</v>
      </c>
      <c r="F31" s="241" t="s">
        <v>583</v>
      </c>
      <c r="G31" s="241" t="s">
        <v>53</v>
      </c>
      <c r="H31" s="241"/>
      <c r="I31" s="241"/>
      <c r="J31" s="241"/>
      <c r="K31" s="241"/>
      <c r="O31" s="242" t="s">
        <v>311</v>
      </c>
      <c r="P31" s="243" t="s">
        <v>698</v>
      </c>
      <c r="Q31" s="243" t="s">
        <v>45</v>
      </c>
      <c r="R31" s="243" t="s">
        <v>981</v>
      </c>
      <c r="S31" s="243" t="s">
        <v>980</v>
      </c>
      <c r="T31" s="243" t="s">
        <v>82</v>
      </c>
      <c r="U31" s="243" t="str">
        <f t="shared" si="1"/>
        <v>Commercial -:- Education -:- Mobile Motor -:- Diesel</v>
      </c>
      <c r="V31" s="242" t="s">
        <v>554</v>
      </c>
      <c r="W31" s="242" t="s">
        <v>53</v>
      </c>
      <c r="X31" s="242" t="s">
        <v>371</v>
      </c>
      <c r="Y31" s="242"/>
      <c r="Z31" s="242"/>
      <c r="AA31" s="242"/>
    </row>
    <row r="32" spans="1:27" ht="13.15">
      <c r="A32" s="241" t="s">
        <v>310</v>
      </c>
      <c r="B32" s="241" t="s">
        <v>732</v>
      </c>
      <c r="C32" s="241"/>
      <c r="D32" s="241" t="s">
        <v>941</v>
      </c>
      <c r="E32" s="241" t="str">
        <f t="shared" si="3"/>
        <v xml:space="preserve"> -:- Motive Power, Stationary</v>
      </c>
      <c r="F32" s="241" t="s">
        <v>586</v>
      </c>
      <c r="G32" s="241" t="s">
        <v>53</v>
      </c>
      <c r="H32" s="241"/>
      <c r="I32" s="241"/>
      <c r="J32" s="241"/>
      <c r="K32" s="241"/>
      <c r="O32" s="242" t="s">
        <v>311</v>
      </c>
      <c r="P32" s="243" t="s">
        <v>700</v>
      </c>
      <c r="Q32" s="243" t="s">
        <v>45</v>
      </c>
      <c r="R32" s="243" t="s">
        <v>981</v>
      </c>
      <c r="S32" s="243" t="s">
        <v>980</v>
      </c>
      <c r="T32" s="243" t="s">
        <v>85</v>
      </c>
      <c r="U32" s="243" t="str">
        <f t="shared" si="1"/>
        <v>Commercial -:- Education -:- Mobile Motor -:- Petrol</v>
      </c>
      <c r="V32" s="242" t="s">
        <v>556</v>
      </c>
      <c r="W32" s="242" t="s">
        <v>53</v>
      </c>
      <c r="X32" s="242" t="s">
        <v>371</v>
      </c>
      <c r="Y32" s="242"/>
      <c r="Z32" s="242"/>
      <c r="AA32" s="242"/>
    </row>
    <row r="33" spans="1:27" ht="13.15">
      <c r="A33" s="241" t="s">
        <v>310</v>
      </c>
      <c r="B33" s="241" t="s">
        <v>734</v>
      </c>
      <c r="C33" s="241"/>
      <c r="D33" s="241" t="s">
        <v>930</v>
      </c>
      <c r="E33" s="241" t="str">
        <f t="shared" si="3"/>
        <v xml:space="preserve"> -:- Refrigeration</v>
      </c>
      <c r="F33" s="241" t="s">
        <v>588</v>
      </c>
      <c r="G33" s="241" t="s">
        <v>53</v>
      </c>
      <c r="H33" s="241"/>
      <c r="I33" s="241"/>
      <c r="J33" s="241"/>
      <c r="K33" s="241"/>
      <c r="O33" s="242" t="s">
        <v>311</v>
      </c>
      <c r="P33" s="243" t="s">
        <v>701</v>
      </c>
      <c r="Q33" s="243" t="s">
        <v>45</v>
      </c>
      <c r="R33" s="243" t="s">
        <v>981</v>
      </c>
      <c r="S33" s="243" t="s">
        <v>946</v>
      </c>
      <c r="T33" s="243" t="s">
        <v>57</v>
      </c>
      <c r="U33" s="243" t="str">
        <f t="shared" si="1"/>
        <v>Commercial -:- Education -:- Stationary Motor -:- Electricity</v>
      </c>
      <c r="V33" s="242" t="s">
        <v>557</v>
      </c>
      <c r="W33" s="242" t="s">
        <v>53</v>
      </c>
      <c r="X33" s="242" t="s">
        <v>371</v>
      </c>
      <c r="Y33" s="242"/>
      <c r="Z33" s="242"/>
      <c r="AA33" s="242"/>
    </row>
    <row r="34" spans="1:27" ht="13.15">
      <c r="A34" s="241" t="s">
        <v>310</v>
      </c>
      <c r="B34" s="241" t="s">
        <v>736</v>
      </c>
      <c r="C34" s="241"/>
      <c r="D34" s="241" t="s">
        <v>959</v>
      </c>
      <c r="E34" s="241" t="str">
        <f t="shared" si="3"/>
        <v xml:space="preserve"> -:- Space Cooling</v>
      </c>
      <c r="F34" s="241" t="s">
        <v>590</v>
      </c>
      <c r="G34" s="241" t="s">
        <v>53</v>
      </c>
      <c r="H34" s="241"/>
      <c r="I34" s="241"/>
      <c r="J34" s="241"/>
      <c r="K34" s="241"/>
      <c r="O34" s="242" t="s">
        <v>311</v>
      </c>
      <c r="P34" s="243" t="s">
        <v>703</v>
      </c>
      <c r="Q34" s="243" t="s">
        <v>45</v>
      </c>
      <c r="R34" s="243" t="s">
        <v>981</v>
      </c>
      <c r="S34" s="243" t="s">
        <v>946</v>
      </c>
      <c r="T34" s="243" t="s">
        <v>85</v>
      </c>
      <c r="U34" s="243" t="str">
        <f t="shared" si="1"/>
        <v>Commercial -:- Education -:- Stationary Motor -:- Petrol</v>
      </c>
      <c r="V34" s="242" t="s">
        <v>559</v>
      </c>
      <c r="W34" s="242" t="s">
        <v>53</v>
      </c>
      <c r="X34" s="242" t="s">
        <v>371</v>
      </c>
      <c r="Y34" s="242"/>
      <c r="Z34" s="242"/>
      <c r="AA34" s="242"/>
    </row>
    <row r="35" spans="1:27" ht="13.15">
      <c r="A35" s="241" t="s">
        <v>310</v>
      </c>
      <c r="B35" s="241" t="s">
        <v>738</v>
      </c>
      <c r="C35" s="241"/>
      <c r="D35" s="241" t="s">
        <v>962</v>
      </c>
      <c r="E35" s="241" t="str">
        <f t="shared" si="3"/>
        <v xml:space="preserve"> -:- Electronics and Other Appliances</v>
      </c>
      <c r="F35" s="241" t="s">
        <v>592</v>
      </c>
      <c r="G35" s="241" t="s">
        <v>53</v>
      </c>
      <c r="H35" s="241"/>
      <c r="I35" s="241"/>
      <c r="J35" s="241"/>
      <c r="K35" s="241"/>
      <c r="O35" s="242" t="s">
        <v>311</v>
      </c>
      <c r="P35" s="243" t="s">
        <v>704</v>
      </c>
      <c r="Q35" s="243" t="s">
        <v>45</v>
      </c>
      <c r="R35" s="243" t="s">
        <v>981</v>
      </c>
      <c r="S35" s="243" t="s">
        <v>937</v>
      </c>
      <c r="T35" s="243" t="s">
        <v>57</v>
      </c>
      <c r="U35" s="243" t="str">
        <f t="shared" si="1"/>
        <v>Commercial -:- Education -:- Refrigerator -:- Electricity</v>
      </c>
      <c r="V35" s="242" t="s">
        <v>560</v>
      </c>
      <c r="W35" s="242" t="s">
        <v>53</v>
      </c>
      <c r="X35" s="242" t="s">
        <v>371</v>
      </c>
      <c r="Y35" s="242"/>
      <c r="Z35" s="242"/>
      <c r="AA35" s="242"/>
    </row>
    <row r="36" spans="1:27" ht="13.15">
      <c r="A36" s="241" t="s">
        <v>310</v>
      </c>
      <c r="B36" s="241" t="s">
        <v>739</v>
      </c>
      <c r="C36" s="241"/>
      <c r="D36" s="241" t="s">
        <v>932</v>
      </c>
      <c r="E36" s="241" t="str">
        <f t="shared" si="3"/>
        <v xml:space="preserve"> -:- Lighting</v>
      </c>
      <c r="F36" s="241" t="s">
        <v>593</v>
      </c>
      <c r="G36" s="241" t="s">
        <v>53</v>
      </c>
      <c r="H36" s="241"/>
      <c r="I36" s="241"/>
      <c r="J36" s="241"/>
      <c r="K36" s="241"/>
      <c r="O36" s="242" t="s">
        <v>311</v>
      </c>
      <c r="P36" s="243" t="s">
        <v>706</v>
      </c>
      <c r="Q36" s="243" t="s">
        <v>45</v>
      </c>
      <c r="R36" s="243" t="s">
        <v>981</v>
      </c>
      <c r="S36" s="243" t="s">
        <v>968</v>
      </c>
      <c r="T36" s="243" t="s">
        <v>57</v>
      </c>
      <c r="U36" s="243" t="str">
        <f t="shared" si="1"/>
        <v>Commercial -:- Education -:- Heat Pump -:- Electricity</v>
      </c>
      <c r="V36" s="242" t="s">
        <v>562</v>
      </c>
      <c r="W36" s="242" t="s">
        <v>53</v>
      </c>
      <c r="X36" s="242" t="s">
        <v>371</v>
      </c>
      <c r="Y36" s="242"/>
      <c r="Z36" s="242"/>
      <c r="AA36" s="242"/>
    </row>
    <row r="37" spans="1:27" ht="13.15">
      <c r="A37" s="241" t="s">
        <v>310</v>
      </c>
      <c r="B37" s="241" t="s">
        <v>744</v>
      </c>
      <c r="C37" s="241"/>
      <c r="D37" s="241" t="s">
        <v>942</v>
      </c>
      <c r="E37" s="241" t="str">
        <f t="shared" si="3"/>
        <v xml:space="preserve"> -:- Space Heating</v>
      </c>
      <c r="F37" s="241" t="s">
        <v>598</v>
      </c>
      <c r="G37" s="241" t="s">
        <v>53</v>
      </c>
      <c r="H37" s="241"/>
      <c r="I37" s="241"/>
      <c r="J37" s="241"/>
      <c r="K37" s="241"/>
      <c r="O37" s="242" t="s">
        <v>311</v>
      </c>
      <c r="P37" s="243" t="s">
        <v>708</v>
      </c>
      <c r="Q37" s="243" t="s">
        <v>45</v>
      </c>
      <c r="R37" s="243" t="s">
        <v>982</v>
      </c>
      <c r="S37" s="243" t="s">
        <v>962</v>
      </c>
      <c r="T37" s="243" t="s">
        <v>57</v>
      </c>
      <c r="U37" s="243" t="str">
        <f t="shared" si="1"/>
        <v>Commercial -:- Healthcare -:- Electronics and Other Appliances -:- Electricity</v>
      </c>
      <c r="V37" s="242" t="s">
        <v>565</v>
      </c>
      <c r="W37" s="242" t="s">
        <v>53</v>
      </c>
      <c r="X37" s="242" t="s">
        <v>371</v>
      </c>
      <c r="Y37" s="242"/>
      <c r="Z37" s="242"/>
      <c r="AA37" s="242"/>
    </row>
    <row r="38" spans="1:27" ht="13.15">
      <c r="A38" s="241" t="s">
        <v>310</v>
      </c>
      <c r="B38" s="241" t="s">
        <v>752</v>
      </c>
      <c r="C38" s="241"/>
      <c r="D38" s="241" t="s">
        <v>918</v>
      </c>
      <c r="E38" s="241" t="str">
        <f t="shared" si="3"/>
        <v xml:space="preserve"> -:- Water Heating</v>
      </c>
      <c r="F38" s="241" t="s">
        <v>605</v>
      </c>
      <c r="G38" s="241" t="s">
        <v>53</v>
      </c>
      <c r="H38" s="241"/>
      <c r="I38" s="241"/>
      <c r="J38" s="241"/>
      <c r="K38" s="241"/>
      <c r="O38" s="242" t="s">
        <v>311</v>
      </c>
      <c r="P38" s="243" t="s">
        <v>711</v>
      </c>
      <c r="Q38" s="243" t="s">
        <v>45</v>
      </c>
      <c r="R38" s="243" t="s">
        <v>982</v>
      </c>
      <c r="S38" s="243" t="s">
        <v>978</v>
      </c>
      <c r="T38" s="243" t="s">
        <v>57</v>
      </c>
      <c r="U38" s="243" t="str">
        <f t="shared" si="1"/>
        <v>Commercial -:- Healthcare -:- Lights (Incandescent)  -:- Electricity</v>
      </c>
      <c r="V38" s="242" t="s">
        <v>568</v>
      </c>
      <c r="W38" s="242" t="s">
        <v>53</v>
      </c>
      <c r="X38" s="242" t="s">
        <v>371</v>
      </c>
      <c r="Y38" s="242"/>
      <c r="Z38" s="242"/>
      <c r="AA38" s="242"/>
    </row>
    <row r="39" spans="1:27" ht="13.15">
      <c r="A39" s="241" t="s">
        <v>310</v>
      </c>
      <c r="B39" s="241" t="s">
        <v>758</v>
      </c>
      <c r="C39" s="241"/>
      <c r="D39" s="241" t="s">
        <v>963</v>
      </c>
      <c r="E39" s="241" t="str">
        <f t="shared" si="3"/>
        <v xml:space="preserve"> -:- Motive Power, Mobile</v>
      </c>
      <c r="F39" s="241" t="s">
        <v>610</v>
      </c>
      <c r="G39" s="241" t="s">
        <v>53</v>
      </c>
      <c r="H39" s="241"/>
      <c r="I39" s="241"/>
      <c r="J39" s="241"/>
      <c r="K39" s="241"/>
      <c r="O39" s="242" t="s">
        <v>311</v>
      </c>
      <c r="P39" s="243" t="s">
        <v>712</v>
      </c>
      <c r="Q39" s="243" t="s">
        <v>45</v>
      </c>
      <c r="R39" s="243" t="s">
        <v>982</v>
      </c>
      <c r="S39" s="243" t="s">
        <v>979</v>
      </c>
      <c r="T39" s="243" t="s">
        <v>57</v>
      </c>
      <c r="U39" s="243" t="str">
        <f t="shared" ref="U39:U70" si="4" xml:space="preserve"> _xlfn.CONCAT( Q39, " -:- ", R39, " -:- ", S39, " -:- ", T39)</f>
        <v>Commercial -:- Healthcare -:- Lights (Fluorescent)  -:- Electricity</v>
      </c>
      <c r="V39" s="242" t="s">
        <v>569</v>
      </c>
      <c r="W39" s="242" t="s">
        <v>53</v>
      </c>
      <c r="X39" s="242" t="s">
        <v>371</v>
      </c>
      <c r="Y39" s="242"/>
      <c r="Z39" s="242"/>
      <c r="AA39" s="242"/>
    </row>
    <row r="40" spans="1:27" ht="13.15">
      <c r="A40" s="241" t="s">
        <v>310</v>
      </c>
      <c r="B40" s="241" t="s">
        <v>762</v>
      </c>
      <c r="C40" s="241"/>
      <c r="D40" s="241" t="s">
        <v>941</v>
      </c>
      <c r="E40" s="241" t="str">
        <f t="shared" si="3"/>
        <v xml:space="preserve"> -:- Motive Power, Stationary</v>
      </c>
      <c r="F40" s="241" t="s">
        <v>614</v>
      </c>
      <c r="G40" s="241" t="s">
        <v>53</v>
      </c>
      <c r="H40" s="241"/>
      <c r="I40" s="241"/>
      <c r="J40" s="241"/>
      <c r="K40" s="241"/>
      <c r="O40" s="242" t="s">
        <v>311</v>
      </c>
      <c r="P40" s="243" t="s">
        <v>713</v>
      </c>
      <c r="Q40" s="243" t="s">
        <v>45</v>
      </c>
      <c r="R40" s="243" t="s">
        <v>982</v>
      </c>
      <c r="S40" s="243" t="s">
        <v>977</v>
      </c>
      <c r="T40" s="243" t="s">
        <v>57</v>
      </c>
      <c r="U40" s="243" t="str">
        <f t="shared" si="4"/>
        <v>Commercial -:- Healthcare -:- Lights (LED) -:- Electricity</v>
      </c>
      <c r="V40" s="242" t="s">
        <v>570</v>
      </c>
      <c r="W40" s="242" t="s">
        <v>53</v>
      </c>
      <c r="X40" s="242" t="s">
        <v>371</v>
      </c>
      <c r="Y40" s="242"/>
      <c r="Z40" s="242"/>
      <c r="AA40" s="242"/>
    </row>
    <row r="41" spans="1:27" ht="13.15">
      <c r="A41" s="241" t="s">
        <v>310</v>
      </c>
      <c r="B41" s="241" t="s">
        <v>764</v>
      </c>
      <c r="C41" s="241"/>
      <c r="D41" s="241" t="s">
        <v>959</v>
      </c>
      <c r="E41" s="241" t="str">
        <f t="shared" si="3"/>
        <v xml:space="preserve"> -:- Space Cooling</v>
      </c>
      <c r="F41" s="241" t="s">
        <v>616</v>
      </c>
      <c r="G41" s="241" t="s">
        <v>53</v>
      </c>
      <c r="H41" s="241"/>
      <c r="I41" s="241"/>
      <c r="J41" s="241"/>
      <c r="K41" s="241"/>
      <c r="O41" s="242" t="s">
        <v>311</v>
      </c>
      <c r="P41" s="243" t="s">
        <v>714</v>
      </c>
      <c r="Q41" s="243" t="s">
        <v>45</v>
      </c>
      <c r="R41" s="243" t="s">
        <v>982</v>
      </c>
      <c r="S41" s="243" t="s">
        <v>949</v>
      </c>
      <c r="T41" s="243" t="s">
        <v>81</v>
      </c>
      <c r="U41" s="243" t="str">
        <f t="shared" si="4"/>
        <v>Commercial -:- Healthcare -:- Boiler -:- Coal</v>
      </c>
      <c r="V41" s="242" t="s">
        <v>571</v>
      </c>
      <c r="W41" s="242" t="s">
        <v>53</v>
      </c>
      <c r="X41" s="242" t="s">
        <v>371</v>
      </c>
      <c r="Y41" s="242"/>
      <c r="Z41" s="242"/>
      <c r="AA41" s="242"/>
    </row>
    <row r="42" spans="1:27" ht="13.15">
      <c r="A42" s="241" t="s">
        <v>310</v>
      </c>
      <c r="B42" s="241" t="s">
        <v>766</v>
      </c>
      <c r="C42" s="241"/>
      <c r="D42" s="241" t="s">
        <v>962</v>
      </c>
      <c r="E42" s="241" t="str">
        <f t="shared" si="3"/>
        <v xml:space="preserve"> -:- Electronics and Other Appliances</v>
      </c>
      <c r="F42" s="241" t="s">
        <v>618</v>
      </c>
      <c r="G42" s="241" t="s">
        <v>53</v>
      </c>
      <c r="H42" s="241"/>
      <c r="I42" s="241"/>
      <c r="J42" s="241"/>
      <c r="K42" s="241"/>
      <c r="O42" s="242" t="s">
        <v>311</v>
      </c>
      <c r="P42" s="243" t="s">
        <v>716</v>
      </c>
      <c r="Q42" s="243" t="s">
        <v>45</v>
      </c>
      <c r="R42" s="243" t="s">
        <v>982</v>
      </c>
      <c r="S42" s="243" t="s">
        <v>949</v>
      </c>
      <c r="T42" s="243" t="s">
        <v>82</v>
      </c>
      <c r="U42" s="243" t="str">
        <f t="shared" si="4"/>
        <v>Commercial -:- Healthcare -:- Boiler -:- Diesel</v>
      </c>
      <c r="V42" s="242" t="s">
        <v>573</v>
      </c>
      <c r="W42" s="242" t="s">
        <v>53</v>
      </c>
      <c r="X42" s="242" t="s">
        <v>371</v>
      </c>
      <c r="Y42" s="242"/>
      <c r="Z42" s="242"/>
      <c r="AA42" s="242"/>
    </row>
    <row r="43" spans="1:27" ht="13.15">
      <c r="A43" s="241" t="s">
        <v>310</v>
      </c>
      <c r="B43" s="241" t="s">
        <v>768</v>
      </c>
      <c r="C43" s="241"/>
      <c r="D43" s="241" t="s">
        <v>219</v>
      </c>
      <c r="E43" s="241" t="str">
        <f t="shared" si="3"/>
        <v xml:space="preserve"> -:- Cooking</v>
      </c>
      <c r="F43" s="241" t="s">
        <v>620</v>
      </c>
      <c r="G43" s="241" t="s">
        <v>53</v>
      </c>
      <c r="H43" s="241"/>
      <c r="I43" s="241"/>
      <c r="J43" s="241"/>
      <c r="K43" s="241"/>
      <c r="O43" s="242" t="s">
        <v>311</v>
      </c>
      <c r="P43" s="243" t="s">
        <v>717</v>
      </c>
      <c r="Q43" s="243" t="s">
        <v>45</v>
      </c>
      <c r="R43" s="243" t="s">
        <v>982</v>
      </c>
      <c r="S43" s="243" t="s">
        <v>949</v>
      </c>
      <c r="T43" s="243" t="s">
        <v>43</v>
      </c>
      <c r="U43" s="243" t="str">
        <f t="shared" si="4"/>
        <v>Commercial -:- Healthcare -:- Boiler -:- Natural Gas</v>
      </c>
      <c r="V43" s="242" t="s">
        <v>574</v>
      </c>
      <c r="W43" s="242" t="s">
        <v>53</v>
      </c>
      <c r="X43" s="242" t="s">
        <v>371</v>
      </c>
      <c r="Y43" s="242"/>
      <c r="Z43" s="242"/>
      <c r="AA43" s="242"/>
    </row>
    <row r="44" spans="1:27" ht="13.15">
      <c r="A44" s="241" t="s">
        <v>310</v>
      </c>
      <c r="B44" s="241" t="s">
        <v>772</v>
      </c>
      <c r="C44" s="241"/>
      <c r="D44" s="241" t="s">
        <v>932</v>
      </c>
      <c r="E44" s="241" t="str">
        <f t="shared" si="3"/>
        <v xml:space="preserve"> -:- Lighting</v>
      </c>
      <c r="F44" s="241" t="s">
        <v>624</v>
      </c>
      <c r="G44" s="241" t="s">
        <v>53</v>
      </c>
      <c r="H44" s="241"/>
      <c r="I44" s="241"/>
      <c r="J44" s="241"/>
      <c r="K44" s="241"/>
      <c r="O44" s="242" t="s">
        <v>311</v>
      </c>
      <c r="P44" s="243" t="s">
        <v>718</v>
      </c>
      <c r="Q44" s="243" t="s">
        <v>45</v>
      </c>
      <c r="R44" s="243" t="s">
        <v>982</v>
      </c>
      <c r="S44" s="243" t="s">
        <v>968</v>
      </c>
      <c r="T44" s="243" t="s">
        <v>57</v>
      </c>
      <c r="U44" s="243" t="str">
        <f t="shared" si="4"/>
        <v>Commercial -:- Healthcare -:- Heat Pump -:- Electricity</v>
      </c>
      <c r="V44" s="242" t="s">
        <v>575</v>
      </c>
      <c r="W44" s="242" t="s">
        <v>53</v>
      </c>
      <c r="X44" s="242" t="s">
        <v>371</v>
      </c>
      <c r="Y44" s="242"/>
      <c r="Z44" s="242"/>
      <c r="AA44" s="242"/>
    </row>
    <row r="45" spans="1:27" ht="13.15">
      <c r="A45" s="241" t="s">
        <v>310</v>
      </c>
      <c r="B45" s="241" t="s">
        <v>777</v>
      </c>
      <c r="C45" s="241"/>
      <c r="D45" s="241" t="s">
        <v>942</v>
      </c>
      <c r="E45" s="241" t="str">
        <f t="shared" si="3"/>
        <v xml:space="preserve"> -:- Space Heating</v>
      </c>
      <c r="F45" s="241" t="s">
        <v>629</v>
      </c>
      <c r="G45" s="241" t="s">
        <v>53</v>
      </c>
      <c r="H45" s="241"/>
      <c r="I45" s="241"/>
      <c r="J45" s="241"/>
      <c r="K45" s="241"/>
      <c r="O45" s="242" t="s">
        <v>311</v>
      </c>
      <c r="P45" s="243" t="s">
        <v>719</v>
      </c>
      <c r="Q45" s="243" t="s">
        <v>45</v>
      </c>
      <c r="R45" s="243" t="s">
        <v>982</v>
      </c>
      <c r="S45" s="243" t="s">
        <v>969</v>
      </c>
      <c r="T45" s="243" t="s">
        <v>57</v>
      </c>
      <c r="U45" s="243" t="str">
        <f t="shared" si="4"/>
        <v>Commercial -:- Healthcare -:- Resistance Heater -:- Electricity</v>
      </c>
      <c r="V45" s="242" t="s">
        <v>576</v>
      </c>
      <c r="W45" s="242" t="s">
        <v>53</v>
      </c>
      <c r="X45" s="242" t="s">
        <v>371</v>
      </c>
      <c r="Y45" s="242"/>
      <c r="Z45" s="242"/>
      <c r="AA45" s="242"/>
    </row>
    <row r="46" spans="1:27" ht="13.15">
      <c r="A46" s="241" t="s">
        <v>310</v>
      </c>
      <c r="B46" s="241" t="s">
        <v>829</v>
      </c>
      <c r="C46" s="241"/>
      <c r="D46" s="241" t="s">
        <v>918</v>
      </c>
      <c r="E46" s="241" t="str">
        <f t="shared" si="3"/>
        <v xml:space="preserve"> -:- Water Heating</v>
      </c>
      <c r="F46" s="241" t="s">
        <v>641</v>
      </c>
      <c r="G46" s="241" t="s">
        <v>53</v>
      </c>
      <c r="H46" s="241"/>
      <c r="I46" s="241"/>
      <c r="J46" s="241"/>
      <c r="K46" s="241"/>
      <c r="O46" s="242" t="s">
        <v>311</v>
      </c>
      <c r="P46" s="243" t="s">
        <v>720</v>
      </c>
      <c r="Q46" s="243" t="s">
        <v>45</v>
      </c>
      <c r="R46" s="243" t="s">
        <v>982</v>
      </c>
      <c r="S46" s="243" t="s">
        <v>949</v>
      </c>
      <c r="T46" s="243" t="s">
        <v>83</v>
      </c>
      <c r="U46" s="243" t="str">
        <f t="shared" si="4"/>
        <v>Commercial -:- Healthcare -:- Boiler -:- Fuel Oil</v>
      </c>
      <c r="V46" s="242" t="s">
        <v>577</v>
      </c>
      <c r="W46" s="242" t="s">
        <v>53</v>
      </c>
      <c r="X46" s="242" t="s">
        <v>371</v>
      </c>
      <c r="Y46" s="242"/>
      <c r="Z46" s="242"/>
      <c r="AA46" s="242"/>
    </row>
    <row r="47" spans="1:27" ht="13.15">
      <c r="A47" s="241" t="s">
        <v>310</v>
      </c>
      <c r="B47" s="241" t="s">
        <v>789</v>
      </c>
      <c r="C47" s="241"/>
      <c r="D47" s="241" t="s">
        <v>963</v>
      </c>
      <c r="E47" s="241" t="str">
        <f t="shared" si="3"/>
        <v xml:space="preserve"> -:- Motive Power, Mobile</v>
      </c>
      <c r="F47" s="241" t="s">
        <v>645</v>
      </c>
      <c r="G47" s="241" t="s">
        <v>53</v>
      </c>
      <c r="H47" s="241"/>
      <c r="I47" s="241"/>
      <c r="J47" s="241"/>
      <c r="K47" s="241"/>
      <c r="O47" s="242" t="s">
        <v>311</v>
      </c>
      <c r="P47" s="243" t="s">
        <v>722</v>
      </c>
      <c r="Q47" s="243" t="s">
        <v>45</v>
      </c>
      <c r="R47" s="243" t="s">
        <v>982</v>
      </c>
      <c r="S47" s="243" t="s">
        <v>949</v>
      </c>
      <c r="T47" s="243" t="s">
        <v>81</v>
      </c>
      <c r="U47" s="243" t="str">
        <f t="shared" si="4"/>
        <v>Commercial -:- Healthcare -:- Boiler -:- Coal</v>
      </c>
      <c r="V47" s="242" t="s">
        <v>571</v>
      </c>
      <c r="W47" s="242" t="s">
        <v>53</v>
      </c>
      <c r="X47" s="242" t="s">
        <v>371</v>
      </c>
      <c r="Y47" s="242"/>
      <c r="Z47" s="242"/>
      <c r="AA47" s="242"/>
    </row>
    <row r="48" spans="1:27" ht="13.15">
      <c r="A48" s="241" t="s">
        <v>310</v>
      </c>
      <c r="B48" s="241" t="s">
        <v>793</v>
      </c>
      <c r="C48" s="241"/>
      <c r="D48" s="241" t="s">
        <v>941</v>
      </c>
      <c r="E48" s="241" t="str">
        <f t="shared" si="3"/>
        <v xml:space="preserve"> -:- Motive Power, Stationary</v>
      </c>
      <c r="F48" s="241" t="s">
        <v>649</v>
      </c>
      <c r="G48" s="241" t="s">
        <v>53</v>
      </c>
      <c r="H48" s="241"/>
      <c r="I48" s="241"/>
      <c r="J48" s="241"/>
      <c r="K48" s="241"/>
      <c r="O48" s="242" t="s">
        <v>311</v>
      </c>
      <c r="P48" s="243" t="s">
        <v>723</v>
      </c>
      <c r="Q48" s="243" t="s">
        <v>45</v>
      </c>
      <c r="R48" s="243" t="s">
        <v>982</v>
      </c>
      <c r="S48" s="243" t="s">
        <v>925</v>
      </c>
      <c r="T48" s="243" t="s">
        <v>57</v>
      </c>
      <c r="U48" s="243" t="str">
        <f t="shared" si="4"/>
        <v>Commercial -:- Healthcare -:- Hot Water Cylinder -:- Electricity</v>
      </c>
      <c r="V48" s="242" t="s">
        <v>579</v>
      </c>
      <c r="W48" s="242" t="s">
        <v>53</v>
      </c>
      <c r="X48" s="242" t="s">
        <v>371</v>
      </c>
      <c r="Y48" s="242"/>
      <c r="Z48" s="242"/>
      <c r="AA48" s="242"/>
    </row>
    <row r="49" spans="1:27" ht="13.15">
      <c r="A49" s="241" t="s">
        <v>310</v>
      </c>
      <c r="B49" s="241" t="s">
        <v>795</v>
      </c>
      <c r="C49" s="241"/>
      <c r="D49" s="241" t="s">
        <v>930</v>
      </c>
      <c r="E49" s="241" t="str">
        <f t="shared" si="3"/>
        <v xml:space="preserve"> -:- Refrigeration</v>
      </c>
      <c r="F49" s="241" t="s">
        <v>651</v>
      </c>
      <c r="G49" s="241" t="s">
        <v>53</v>
      </c>
      <c r="H49" s="241"/>
      <c r="I49" s="241"/>
      <c r="J49" s="241"/>
      <c r="K49" s="241"/>
      <c r="O49" s="242" t="s">
        <v>311</v>
      </c>
      <c r="P49" s="243" t="s">
        <v>724</v>
      </c>
      <c r="Q49" s="243" t="s">
        <v>45</v>
      </c>
      <c r="R49" s="243" t="s">
        <v>982</v>
      </c>
      <c r="S49" s="243" t="s">
        <v>952</v>
      </c>
      <c r="T49" s="243" t="s">
        <v>84</v>
      </c>
      <c r="U49" s="243" t="str">
        <f t="shared" si="4"/>
        <v>Commercial -:- Healthcare -:- Direct Heat -:- Geothermal</v>
      </c>
      <c r="V49" s="242" t="s">
        <v>580</v>
      </c>
      <c r="W49" s="242" t="s">
        <v>53</v>
      </c>
      <c r="X49" s="242" t="s">
        <v>371</v>
      </c>
      <c r="Y49" s="242"/>
      <c r="Z49" s="242"/>
      <c r="AA49" s="242"/>
    </row>
    <row r="50" spans="1:27" ht="13.15">
      <c r="A50" s="241" t="s">
        <v>310</v>
      </c>
      <c r="B50" s="241" t="s">
        <v>797</v>
      </c>
      <c r="C50" s="241"/>
      <c r="D50" s="241" t="s">
        <v>959</v>
      </c>
      <c r="E50" s="241" t="str">
        <f t="shared" si="3"/>
        <v xml:space="preserve"> -:- Space Cooling</v>
      </c>
      <c r="F50" s="241" t="s">
        <v>653</v>
      </c>
      <c r="G50" s="241" t="s">
        <v>53</v>
      </c>
      <c r="H50" s="241"/>
      <c r="I50" s="241"/>
      <c r="J50" s="241"/>
      <c r="K50" s="241"/>
      <c r="O50" s="242" t="s">
        <v>311</v>
      </c>
      <c r="P50" s="243" t="s">
        <v>725</v>
      </c>
      <c r="Q50" s="243" t="s">
        <v>45</v>
      </c>
      <c r="R50" s="243" t="s">
        <v>982</v>
      </c>
      <c r="S50" s="243" t="s">
        <v>969</v>
      </c>
      <c r="T50" s="243" t="s">
        <v>57</v>
      </c>
      <c r="U50" s="243" t="str">
        <f t="shared" si="4"/>
        <v>Commercial -:- Healthcare -:- Resistance Heater -:- Electricity</v>
      </c>
      <c r="V50" s="242" t="s">
        <v>576</v>
      </c>
      <c r="W50" s="242" t="s">
        <v>53</v>
      </c>
      <c r="X50" s="242" t="s">
        <v>371</v>
      </c>
      <c r="Y50" s="242"/>
      <c r="Z50" s="242"/>
      <c r="AA50" s="242"/>
    </row>
    <row r="51" spans="1:27" ht="13.15">
      <c r="A51" s="241" t="s">
        <v>310</v>
      </c>
      <c r="B51" s="241" t="s">
        <v>799</v>
      </c>
      <c r="C51" s="241"/>
      <c r="D51" s="241" t="s">
        <v>962</v>
      </c>
      <c r="E51" s="241" t="str">
        <f t="shared" si="3"/>
        <v xml:space="preserve"> -:- Electronics and Other Appliances</v>
      </c>
      <c r="F51" s="241" t="s">
        <v>655</v>
      </c>
      <c r="G51" s="241" t="s">
        <v>53</v>
      </c>
      <c r="H51" s="241"/>
      <c r="I51" s="241"/>
      <c r="J51" s="241"/>
      <c r="K51" s="241"/>
      <c r="O51" s="242" t="s">
        <v>311</v>
      </c>
      <c r="P51" s="243" t="s">
        <v>727</v>
      </c>
      <c r="Q51" s="243" t="s">
        <v>45</v>
      </c>
      <c r="R51" s="243" t="s">
        <v>982</v>
      </c>
      <c r="S51" s="243" t="s">
        <v>949</v>
      </c>
      <c r="T51" s="243" t="s">
        <v>81</v>
      </c>
      <c r="U51" s="243" t="str">
        <f t="shared" si="4"/>
        <v>Commercial -:- Healthcare -:- Boiler -:- Coal</v>
      </c>
      <c r="V51" s="242" t="s">
        <v>571</v>
      </c>
      <c r="W51" s="242" t="s">
        <v>53</v>
      </c>
      <c r="X51" s="242" t="s">
        <v>371</v>
      </c>
      <c r="Y51" s="242"/>
      <c r="Z51" s="242"/>
      <c r="AA51" s="242"/>
    </row>
    <row r="52" spans="1:27" ht="13.15">
      <c r="A52" s="241" t="s">
        <v>310</v>
      </c>
      <c r="B52" s="241" t="s">
        <v>800</v>
      </c>
      <c r="C52" s="241"/>
      <c r="D52" s="241" t="s">
        <v>932</v>
      </c>
      <c r="E52" s="241" t="str">
        <f t="shared" si="3"/>
        <v xml:space="preserve"> -:- Lighting</v>
      </c>
      <c r="F52" s="241" t="s">
        <v>656</v>
      </c>
      <c r="G52" s="241" t="s">
        <v>53</v>
      </c>
      <c r="H52" s="241"/>
      <c r="I52" s="241"/>
      <c r="J52" s="241"/>
      <c r="K52" s="241"/>
      <c r="O52" s="242" t="s">
        <v>311</v>
      </c>
      <c r="P52" s="243" t="s">
        <v>904</v>
      </c>
      <c r="Q52" s="243" t="s">
        <v>45</v>
      </c>
      <c r="R52" s="243" t="s">
        <v>982</v>
      </c>
      <c r="S52" s="243" t="s">
        <v>949</v>
      </c>
      <c r="T52" s="243" t="s">
        <v>43</v>
      </c>
      <c r="U52" s="243" t="str">
        <f t="shared" si="4"/>
        <v>Commercial -:- Healthcare -:- Boiler -:- Natural Gas</v>
      </c>
      <c r="V52" s="242" t="s">
        <v>574</v>
      </c>
      <c r="W52" s="242" t="s">
        <v>53</v>
      </c>
      <c r="X52" s="242" t="s">
        <v>371</v>
      </c>
      <c r="Y52" s="242"/>
      <c r="Z52" s="242"/>
      <c r="AA52" s="242"/>
    </row>
    <row r="53" spans="1:27" ht="13.15">
      <c r="A53" s="241" t="s">
        <v>310</v>
      </c>
      <c r="B53" s="241" t="s">
        <v>805</v>
      </c>
      <c r="C53" s="241"/>
      <c r="D53" s="241" t="s">
        <v>942</v>
      </c>
      <c r="E53" s="241" t="str">
        <f t="shared" si="3"/>
        <v xml:space="preserve"> -:- Space Heating</v>
      </c>
      <c r="F53" s="241" t="s">
        <v>661</v>
      </c>
      <c r="G53" s="241" t="s">
        <v>53</v>
      </c>
      <c r="H53" s="241"/>
      <c r="I53" s="241"/>
      <c r="J53" s="241"/>
      <c r="K53" s="241"/>
      <c r="O53" s="242" t="s">
        <v>311</v>
      </c>
      <c r="P53" s="243" t="s">
        <v>728</v>
      </c>
      <c r="Q53" s="243" t="s">
        <v>45</v>
      </c>
      <c r="R53" s="243" t="s">
        <v>982</v>
      </c>
      <c r="S53" s="243" t="s">
        <v>980</v>
      </c>
      <c r="T53" s="243" t="s">
        <v>82</v>
      </c>
      <c r="U53" s="243" t="str">
        <f t="shared" si="4"/>
        <v>Commercial -:- Healthcare -:- Mobile Motor -:- Diesel</v>
      </c>
      <c r="V53" s="242" t="s">
        <v>582</v>
      </c>
      <c r="W53" s="242" t="s">
        <v>53</v>
      </c>
      <c r="X53" s="242" t="s">
        <v>371</v>
      </c>
      <c r="Y53" s="242"/>
      <c r="Z53" s="242"/>
      <c r="AA53" s="242"/>
    </row>
    <row r="54" spans="1:27" ht="13.15">
      <c r="A54" s="241" t="s">
        <v>310</v>
      </c>
      <c r="B54" s="241" t="s">
        <v>813</v>
      </c>
      <c r="C54" s="241"/>
      <c r="D54" s="241" t="s">
        <v>918</v>
      </c>
      <c r="E54" s="241" t="str">
        <f t="shared" si="3"/>
        <v xml:space="preserve"> -:- Water Heating</v>
      </c>
      <c r="F54" s="241" t="s">
        <v>668</v>
      </c>
      <c r="G54" s="241" t="s">
        <v>53</v>
      </c>
      <c r="H54" s="241"/>
      <c r="I54" s="241"/>
      <c r="J54" s="241"/>
      <c r="K54" s="241"/>
      <c r="O54" s="242" t="s">
        <v>311</v>
      </c>
      <c r="P54" s="243" t="s">
        <v>730</v>
      </c>
      <c r="Q54" s="243" t="s">
        <v>45</v>
      </c>
      <c r="R54" s="243" t="s">
        <v>982</v>
      </c>
      <c r="S54" s="243" t="s">
        <v>980</v>
      </c>
      <c r="T54" s="243" t="s">
        <v>85</v>
      </c>
      <c r="U54" s="243" t="str">
        <f t="shared" si="4"/>
        <v>Commercial -:- Healthcare -:- Mobile Motor -:- Petrol</v>
      </c>
      <c r="V54" s="242" t="s">
        <v>584</v>
      </c>
      <c r="W54" s="242" t="s">
        <v>53</v>
      </c>
      <c r="X54" s="242" t="s">
        <v>371</v>
      </c>
      <c r="Y54" s="242"/>
      <c r="Z54" s="242"/>
      <c r="AA54" s="242"/>
    </row>
    <row r="55" spans="1:27" ht="13.15">
      <c r="A55" s="241" t="s">
        <v>310</v>
      </c>
      <c r="B55" s="241" t="s">
        <v>819</v>
      </c>
      <c r="C55" s="241"/>
      <c r="D55" s="241" t="s">
        <v>963</v>
      </c>
      <c r="E55" s="241" t="str">
        <f t="shared" si="3"/>
        <v xml:space="preserve"> -:- Motive Power, Mobile</v>
      </c>
      <c r="F55" s="241" t="s">
        <v>673</v>
      </c>
      <c r="G55" s="241" t="s">
        <v>53</v>
      </c>
      <c r="H55" s="241"/>
      <c r="I55" s="241"/>
      <c r="J55" s="241"/>
      <c r="K55" s="241"/>
      <c r="O55" s="242" t="s">
        <v>311</v>
      </c>
      <c r="P55" s="243" t="s">
        <v>731</v>
      </c>
      <c r="Q55" s="243" t="s">
        <v>45</v>
      </c>
      <c r="R55" s="243" t="s">
        <v>982</v>
      </c>
      <c r="S55" s="243" t="s">
        <v>946</v>
      </c>
      <c r="T55" s="243" t="s">
        <v>57</v>
      </c>
      <c r="U55" s="243" t="str">
        <f t="shared" si="4"/>
        <v>Commercial -:- Healthcare -:- Stationary Motor -:- Electricity</v>
      </c>
      <c r="V55" s="242" t="s">
        <v>585</v>
      </c>
      <c r="W55" s="242" t="s">
        <v>53</v>
      </c>
      <c r="X55" s="242" t="s">
        <v>371</v>
      </c>
      <c r="Y55" s="242"/>
      <c r="Z55" s="242"/>
      <c r="AA55" s="242"/>
    </row>
    <row r="56" spans="1:27" ht="13.15">
      <c r="A56" s="241" t="s">
        <v>310</v>
      </c>
      <c r="B56" s="241" t="s">
        <v>823</v>
      </c>
      <c r="C56" s="241"/>
      <c r="D56" s="241" t="s">
        <v>941</v>
      </c>
      <c r="E56" s="241" t="str">
        <f t="shared" si="3"/>
        <v xml:space="preserve"> -:- Motive Power, Stationary</v>
      </c>
      <c r="F56" s="241" t="s">
        <v>677</v>
      </c>
      <c r="G56" s="241" t="s">
        <v>53</v>
      </c>
      <c r="H56" s="241"/>
      <c r="I56" s="241"/>
      <c r="J56" s="241"/>
      <c r="K56" s="241"/>
      <c r="O56" s="242" t="s">
        <v>311</v>
      </c>
      <c r="P56" s="243" t="s">
        <v>733</v>
      </c>
      <c r="Q56" s="243" t="s">
        <v>45</v>
      </c>
      <c r="R56" s="243" t="s">
        <v>982</v>
      </c>
      <c r="S56" s="243" t="s">
        <v>937</v>
      </c>
      <c r="T56" s="243" t="s">
        <v>57</v>
      </c>
      <c r="U56" s="243" t="str">
        <f t="shared" si="4"/>
        <v>Commercial -:- Healthcare -:- Refrigerator -:- Electricity</v>
      </c>
      <c r="V56" s="242" t="s">
        <v>587</v>
      </c>
      <c r="W56" s="242" t="s">
        <v>53</v>
      </c>
      <c r="X56" s="242" t="s">
        <v>371</v>
      </c>
      <c r="Y56" s="242"/>
      <c r="Z56" s="242"/>
      <c r="AA56" s="242"/>
    </row>
    <row r="57" spans="1:27" ht="13.15">
      <c r="A57" s="241" t="s">
        <v>310</v>
      </c>
      <c r="B57" s="241" t="s">
        <v>825</v>
      </c>
      <c r="C57" s="241"/>
      <c r="D57" s="241" t="s">
        <v>959</v>
      </c>
      <c r="E57" s="241" t="str">
        <f t="shared" si="3"/>
        <v xml:space="preserve"> -:- Space Cooling</v>
      </c>
      <c r="F57" s="241" t="s">
        <v>679</v>
      </c>
      <c r="G57" s="241" t="s">
        <v>53</v>
      </c>
      <c r="H57" s="241"/>
      <c r="I57" s="241"/>
      <c r="J57" s="241"/>
      <c r="K57" s="241"/>
      <c r="O57" s="242" t="s">
        <v>311</v>
      </c>
      <c r="P57" s="243" t="s">
        <v>735</v>
      </c>
      <c r="Q57" s="243" t="s">
        <v>45</v>
      </c>
      <c r="R57" s="243" t="s">
        <v>982</v>
      </c>
      <c r="S57" s="243" t="s">
        <v>968</v>
      </c>
      <c r="T57" s="243" t="s">
        <v>57</v>
      </c>
      <c r="U57" s="243" t="str">
        <f t="shared" si="4"/>
        <v>Commercial -:- Healthcare -:- Heat Pump -:- Electricity</v>
      </c>
      <c r="V57" s="242" t="s">
        <v>589</v>
      </c>
      <c r="W57" s="242" t="s">
        <v>53</v>
      </c>
      <c r="X57" s="242" t="s">
        <v>371</v>
      </c>
      <c r="Y57" s="242"/>
      <c r="Z57" s="242"/>
      <c r="AA57" s="242"/>
    </row>
    <row r="58" spans="1:27" ht="13.15">
      <c r="B58"/>
      <c r="C58"/>
      <c r="D58"/>
      <c r="F58"/>
      <c r="G58"/>
      <c r="H58"/>
      <c r="O58" s="242" t="s">
        <v>311</v>
      </c>
      <c r="P58" s="243" t="s">
        <v>737</v>
      </c>
      <c r="Q58" s="243" t="s">
        <v>45</v>
      </c>
      <c r="R58" s="243" t="s">
        <v>984</v>
      </c>
      <c r="S58" s="243" t="s">
        <v>962</v>
      </c>
      <c r="T58" s="243" t="s">
        <v>57</v>
      </c>
      <c r="U58" s="243" t="str">
        <f t="shared" si="4"/>
        <v>Commercial -:- Office Blocks -:- Electronics and Other Appliances -:- Electricity</v>
      </c>
      <c r="V58" s="242" t="s">
        <v>591</v>
      </c>
      <c r="W58" s="242" t="s">
        <v>53</v>
      </c>
      <c r="X58" s="242" t="s">
        <v>371</v>
      </c>
      <c r="Y58" s="242"/>
      <c r="Z58" s="242"/>
      <c r="AA58" s="242"/>
    </row>
    <row r="59" spans="1:27" ht="13.15">
      <c r="B59"/>
      <c r="C59"/>
      <c r="D59"/>
      <c r="F59"/>
      <c r="G59"/>
      <c r="H59"/>
      <c r="O59" s="242" t="s">
        <v>311</v>
      </c>
      <c r="P59" s="243" t="s">
        <v>740</v>
      </c>
      <c r="Q59" s="243" t="s">
        <v>45</v>
      </c>
      <c r="R59" s="243" t="s">
        <v>984</v>
      </c>
      <c r="S59" s="243" t="s">
        <v>978</v>
      </c>
      <c r="T59" s="243" t="s">
        <v>57</v>
      </c>
      <c r="U59" s="243" t="str">
        <f t="shared" si="4"/>
        <v>Commercial -:- Office Blocks -:- Lights (Incandescent)  -:- Electricity</v>
      </c>
      <c r="V59" s="242" t="s">
        <v>594</v>
      </c>
      <c r="W59" s="242" t="s">
        <v>53</v>
      </c>
      <c r="X59" s="242" t="s">
        <v>371</v>
      </c>
      <c r="Y59" s="242"/>
      <c r="Z59" s="242"/>
      <c r="AA59" s="242"/>
    </row>
    <row r="60" spans="1:27" ht="13.15">
      <c r="B60"/>
      <c r="C60"/>
      <c r="D60"/>
      <c r="F60"/>
      <c r="G60"/>
      <c r="H60"/>
      <c r="O60" s="242" t="s">
        <v>311</v>
      </c>
      <c r="P60" s="243" t="s">
        <v>741</v>
      </c>
      <c r="Q60" s="243" t="s">
        <v>45</v>
      </c>
      <c r="R60" s="243" t="s">
        <v>984</v>
      </c>
      <c r="S60" s="243" t="s">
        <v>979</v>
      </c>
      <c r="T60" s="243" t="s">
        <v>57</v>
      </c>
      <c r="U60" s="243" t="str">
        <f t="shared" si="4"/>
        <v>Commercial -:- Office Blocks -:- Lights (Fluorescent)  -:- Electricity</v>
      </c>
      <c r="V60" s="242" t="s">
        <v>595</v>
      </c>
      <c r="W60" s="242" t="s">
        <v>53</v>
      </c>
      <c r="X60" s="242" t="s">
        <v>371</v>
      </c>
      <c r="Y60" s="242"/>
      <c r="Z60" s="242"/>
      <c r="AA60" s="242"/>
    </row>
    <row r="61" spans="1:27" ht="13.15">
      <c r="B61"/>
      <c r="C61"/>
      <c r="D61"/>
      <c r="F61"/>
      <c r="G61"/>
      <c r="H61"/>
      <c r="O61" s="242" t="s">
        <v>311</v>
      </c>
      <c r="P61" s="243" t="s">
        <v>742</v>
      </c>
      <c r="Q61" s="243" t="s">
        <v>45</v>
      </c>
      <c r="R61" s="243" t="s">
        <v>984</v>
      </c>
      <c r="S61" s="243" t="s">
        <v>977</v>
      </c>
      <c r="T61" s="243" t="s">
        <v>57</v>
      </c>
      <c r="U61" s="243" t="str">
        <f t="shared" si="4"/>
        <v>Commercial -:- Office Blocks -:- Lights (LED) -:- Electricity</v>
      </c>
      <c r="V61" s="242" t="s">
        <v>596</v>
      </c>
      <c r="W61" s="242" t="s">
        <v>53</v>
      </c>
      <c r="X61" s="242" t="s">
        <v>371</v>
      </c>
      <c r="Y61" s="242"/>
      <c r="Z61" s="242"/>
      <c r="AA61" s="242"/>
    </row>
    <row r="62" spans="1:27" ht="13.15">
      <c r="B62"/>
      <c r="C62"/>
      <c r="D62"/>
      <c r="F62"/>
      <c r="G62"/>
      <c r="H62"/>
      <c r="O62" s="242" t="s">
        <v>311</v>
      </c>
      <c r="P62" s="243" t="s">
        <v>743</v>
      </c>
      <c r="Q62" s="243" t="s">
        <v>45</v>
      </c>
      <c r="R62" s="243" t="s">
        <v>984</v>
      </c>
      <c r="S62" s="243" t="s">
        <v>949</v>
      </c>
      <c r="T62" s="243" t="s">
        <v>81</v>
      </c>
      <c r="U62" s="243" t="str">
        <f t="shared" si="4"/>
        <v>Commercial -:- Office Blocks -:- Boiler -:- Coal</v>
      </c>
      <c r="V62" s="242" t="s">
        <v>597</v>
      </c>
      <c r="W62" s="242" t="s">
        <v>53</v>
      </c>
      <c r="X62" s="242" t="s">
        <v>371</v>
      </c>
      <c r="Y62" s="242"/>
      <c r="Z62" s="242"/>
      <c r="AA62" s="242"/>
    </row>
    <row r="63" spans="1:27" ht="13.15">
      <c r="B63"/>
      <c r="C63"/>
      <c r="D63"/>
      <c r="F63"/>
      <c r="G63"/>
      <c r="H63"/>
      <c r="O63" s="242" t="s">
        <v>311</v>
      </c>
      <c r="P63" s="243" t="s">
        <v>745</v>
      </c>
      <c r="Q63" s="243" t="s">
        <v>45</v>
      </c>
      <c r="R63" s="243" t="s">
        <v>984</v>
      </c>
      <c r="S63" s="243" t="s">
        <v>949</v>
      </c>
      <c r="T63" s="243" t="s">
        <v>82</v>
      </c>
      <c r="U63" s="243" t="str">
        <f t="shared" si="4"/>
        <v>Commercial -:- Office Blocks -:- Boiler -:- Diesel</v>
      </c>
      <c r="V63" s="242" t="s">
        <v>599</v>
      </c>
      <c r="W63" s="242" t="s">
        <v>53</v>
      </c>
      <c r="X63" s="242" t="s">
        <v>371</v>
      </c>
      <c r="Y63" s="242"/>
      <c r="Z63" s="242"/>
      <c r="AA63" s="242"/>
    </row>
    <row r="64" spans="1:27" ht="13.15">
      <c r="B64"/>
      <c r="C64"/>
      <c r="D64"/>
      <c r="F64"/>
      <c r="G64"/>
      <c r="H64"/>
      <c r="O64" s="242" t="s">
        <v>311</v>
      </c>
      <c r="P64" s="243" t="s">
        <v>746</v>
      </c>
      <c r="Q64" s="243" t="s">
        <v>45</v>
      </c>
      <c r="R64" s="243" t="s">
        <v>984</v>
      </c>
      <c r="S64" s="243" t="s">
        <v>949</v>
      </c>
      <c r="T64" s="243" t="s">
        <v>83</v>
      </c>
      <c r="U64" s="243" t="str">
        <f t="shared" si="4"/>
        <v>Commercial -:- Office Blocks -:- Boiler -:- Fuel Oil</v>
      </c>
      <c r="V64" s="242" t="s">
        <v>600</v>
      </c>
      <c r="W64" s="242" t="s">
        <v>53</v>
      </c>
      <c r="X64" s="242" t="s">
        <v>371</v>
      </c>
      <c r="Y64" s="242"/>
      <c r="Z64" s="242"/>
      <c r="AA64" s="242"/>
    </row>
    <row r="65" spans="2:27" ht="13.15">
      <c r="B65"/>
      <c r="C65"/>
      <c r="D65"/>
      <c r="F65"/>
      <c r="G65"/>
      <c r="H65"/>
      <c r="O65" s="242" t="s">
        <v>311</v>
      </c>
      <c r="P65" s="243" t="s">
        <v>747</v>
      </c>
      <c r="Q65" s="243" t="s">
        <v>45</v>
      </c>
      <c r="R65" s="243" t="s">
        <v>984</v>
      </c>
      <c r="S65" s="243" t="s">
        <v>949</v>
      </c>
      <c r="T65" s="243" t="s">
        <v>43</v>
      </c>
      <c r="U65" s="243" t="str">
        <f t="shared" si="4"/>
        <v>Commercial -:- Office Blocks -:- Boiler -:- Natural Gas</v>
      </c>
      <c r="V65" s="242" t="s">
        <v>601</v>
      </c>
      <c r="W65" s="242" t="s">
        <v>53</v>
      </c>
      <c r="X65" s="242" t="s">
        <v>371</v>
      </c>
      <c r="Y65" s="242"/>
      <c r="Z65" s="242"/>
      <c r="AA65" s="242"/>
    </row>
    <row r="66" spans="2:27" ht="13.15">
      <c r="B66"/>
      <c r="C66"/>
      <c r="D66"/>
      <c r="F66"/>
      <c r="G66"/>
      <c r="H66"/>
      <c r="O66" s="242" t="s">
        <v>311</v>
      </c>
      <c r="P66" s="243" t="s">
        <v>748</v>
      </c>
      <c r="Q66" s="243" t="s">
        <v>45</v>
      </c>
      <c r="R66" s="243" t="s">
        <v>984</v>
      </c>
      <c r="S66" s="243" t="s">
        <v>965</v>
      </c>
      <c r="T66" s="243" t="s">
        <v>43</v>
      </c>
      <c r="U66" s="243" t="str">
        <f t="shared" si="4"/>
        <v>Commercial -:- Office Blocks -:- Burner -:- Natural Gas</v>
      </c>
      <c r="V66" s="242" t="s">
        <v>602</v>
      </c>
      <c r="W66" s="242" t="s">
        <v>53</v>
      </c>
      <c r="X66" s="242" t="s">
        <v>371</v>
      </c>
      <c r="Y66" s="242"/>
      <c r="Z66" s="242"/>
      <c r="AA66" s="242"/>
    </row>
    <row r="67" spans="2:27" ht="13.15">
      <c r="B67"/>
      <c r="C67"/>
      <c r="D67"/>
      <c r="F67"/>
      <c r="G67"/>
      <c r="H67"/>
      <c r="O67" s="242" t="s">
        <v>311</v>
      </c>
      <c r="P67" s="243" t="s">
        <v>749</v>
      </c>
      <c r="Q67" s="243" t="s">
        <v>45</v>
      </c>
      <c r="R67" s="243" t="s">
        <v>984</v>
      </c>
      <c r="S67" s="243" t="s">
        <v>968</v>
      </c>
      <c r="T67" s="243" t="s">
        <v>57</v>
      </c>
      <c r="U67" s="243" t="str">
        <f t="shared" si="4"/>
        <v>Commercial -:- Office Blocks -:- Heat Pump -:- Electricity</v>
      </c>
      <c r="V67" s="242" t="s">
        <v>603</v>
      </c>
      <c r="W67" s="242" t="s">
        <v>53</v>
      </c>
      <c r="X67" s="242" t="s">
        <v>371</v>
      </c>
      <c r="Y67" s="242"/>
      <c r="Z67" s="242"/>
      <c r="AA67" s="242"/>
    </row>
    <row r="68" spans="2:27" ht="13.15">
      <c r="B68"/>
      <c r="C68"/>
      <c r="D68"/>
      <c r="F68"/>
      <c r="G68"/>
      <c r="H68"/>
      <c r="O68" s="242" t="s">
        <v>311</v>
      </c>
      <c r="P68" s="243" t="s">
        <v>750</v>
      </c>
      <c r="Q68" s="243" t="s">
        <v>45</v>
      </c>
      <c r="R68" s="243" t="s">
        <v>984</v>
      </c>
      <c r="S68" s="243" t="s">
        <v>969</v>
      </c>
      <c r="T68" s="243" t="s">
        <v>57</v>
      </c>
      <c r="U68" s="243" t="str">
        <f t="shared" si="4"/>
        <v>Commercial -:- Office Blocks -:- Resistance Heater -:- Electricity</v>
      </c>
      <c r="V68" s="242" t="s">
        <v>604</v>
      </c>
      <c r="W68" s="242" t="s">
        <v>53</v>
      </c>
      <c r="X68" s="242" t="s">
        <v>371</v>
      </c>
      <c r="Y68" s="242"/>
      <c r="Z68" s="242"/>
      <c r="AA68" s="242"/>
    </row>
    <row r="69" spans="2:27" ht="13.15">
      <c r="B69"/>
      <c r="C69"/>
      <c r="D69"/>
      <c r="F69"/>
      <c r="G69"/>
      <c r="H69"/>
      <c r="O69" s="242" t="s">
        <v>311</v>
      </c>
      <c r="P69" s="243" t="s">
        <v>751</v>
      </c>
      <c r="Q69" s="243" t="s">
        <v>45</v>
      </c>
      <c r="R69" s="243" t="s">
        <v>984</v>
      </c>
      <c r="S69" s="243" t="s">
        <v>949</v>
      </c>
      <c r="T69" s="243" t="s">
        <v>83</v>
      </c>
      <c r="U69" s="243" t="str">
        <f t="shared" si="4"/>
        <v>Commercial -:- Office Blocks -:- Boiler -:- Fuel Oil</v>
      </c>
      <c r="V69" s="242" t="s">
        <v>600</v>
      </c>
      <c r="W69" s="242" t="s">
        <v>53</v>
      </c>
      <c r="X69" s="242" t="s">
        <v>371</v>
      </c>
      <c r="Y69" s="242"/>
      <c r="Z69" s="242"/>
      <c r="AA69" s="242"/>
    </row>
    <row r="70" spans="2:27" ht="13.15">
      <c r="B70"/>
      <c r="C70"/>
      <c r="D70"/>
      <c r="F70"/>
      <c r="G70"/>
      <c r="H70"/>
      <c r="O70" s="242" t="s">
        <v>311</v>
      </c>
      <c r="P70" s="243" t="s">
        <v>753</v>
      </c>
      <c r="Q70" s="243" t="s">
        <v>45</v>
      </c>
      <c r="R70" s="243" t="s">
        <v>984</v>
      </c>
      <c r="S70" s="243" t="s">
        <v>949</v>
      </c>
      <c r="T70" s="243" t="s">
        <v>81</v>
      </c>
      <c r="U70" s="243" t="str">
        <f t="shared" si="4"/>
        <v>Commercial -:- Office Blocks -:- Boiler -:- Coal</v>
      </c>
      <c r="V70" s="242" t="s">
        <v>597</v>
      </c>
      <c r="W70" s="242" t="s">
        <v>53</v>
      </c>
      <c r="X70" s="242" t="s">
        <v>371</v>
      </c>
      <c r="Y70" s="242"/>
      <c r="Z70" s="242"/>
      <c r="AA70" s="242"/>
    </row>
    <row r="71" spans="2:27" ht="13.15">
      <c r="B71"/>
      <c r="C71"/>
      <c r="D71"/>
      <c r="F71"/>
      <c r="G71"/>
      <c r="H71"/>
      <c r="O71" s="242" t="s">
        <v>311</v>
      </c>
      <c r="P71" s="243" t="s">
        <v>754</v>
      </c>
      <c r="Q71" s="243" t="s">
        <v>45</v>
      </c>
      <c r="R71" s="243" t="s">
        <v>984</v>
      </c>
      <c r="S71" s="243" t="s">
        <v>968</v>
      </c>
      <c r="T71" s="243" t="s">
        <v>57</v>
      </c>
      <c r="U71" s="243" t="str">
        <f t="shared" ref="U71:U102" si="5" xml:space="preserve"> _xlfn.CONCAT( Q71, " -:- ", R71, " -:- ", S71, " -:- ", T71)</f>
        <v>Commercial -:- Office Blocks -:- Heat Pump -:- Electricity</v>
      </c>
      <c r="V71" s="242" t="s">
        <v>606</v>
      </c>
      <c r="W71" s="242" t="s">
        <v>53</v>
      </c>
      <c r="X71" s="242" t="s">
        <v>371</v>
      </c>
      <c r="Y71" s="242"/>
      <c r="Z71" s="242"/>
      <c r="AA71" s="242"/>
    </row>
    <row r="72" spans="2:27" ht="13.15">
      <c r="B72"/>
      <c r="C72"/>
      <c r="D72"/>
      <c r="F72"/>
      <c r="G72"/>
      <c r="H72"/>
      <c r="O72" s="242" t="s">
        <v>311</v>
      </c>
      <c r="P72" s="243" t="s">
        <v>755</v>
      </c>
      <c r="Q72" s="243" t="s">
        <v>45</v>
      </c>
      <c r="R72" s="243" t="s">
        <v>984</v>
      </c>
      <c r="S72" s="243" t="s">
        <v>925</v>
      </c>
      <c r="T72" s="243" t="s">
        <v>57</v>
      </c>
      <c r="U72" s="243" t="str">
        <f t="shared" si="5"/>
        <v>Commercial -:- Office Blocks -:- Hot Water Cylinder -:- Electricity</v>
      </c>
      <c r="V72" s="242" t="s">
        <v>607</v>
      </c>
      <c r="W72" s="242" t="s">
        <v>53</v>
      </c>
      <c r="X72" s="242" t="s">
        <v>371</v>
      </c>
      <c r="Y72" s="242"/>
      <c r="Z72" s="242"/>
      <c r="AA72" s="242"/>
    </row>
    <row r="73" spans="2:27" ht="13.15">
      <c r="B73"/>
      <c r="C73"/>
      <c r="D73"/>
      <c r="F73"/>
      <c r="G73"/>
      <c r="H73"/>
      <c r="O73" s="242" t="s">
        <v>311</v>
      </c>
      <c r="P73" s="243" t="s">
        <v>756</v>
      </c>
      <c r="Q73" s="243" t="s">
        <v>45</v>
      </c>
      <c r="R73" s="243" t="s">
        <v>984</v>
      </c>
      <c r="S73" s="243" t="s">
        <v>925</v>
      </c>
      <c r="T73" s="243" t="s">
        <v>43</v>
      </c>
      <c r="U73" s="243" t="str">
        <f t="shared" si="5"/>
        <v>Commercial -:- Office Blocks -:- Hot Water Cylinder -:- Natural Gas</v>
      </c>
      <c r="V73" s="242" t="s">
        <v>608</v>
      </c>
      <c r="W73" s="242" t="s">
        <v>53</v>
      </c>
      <c r="X73" s="242" t="s">
        <v>371</v>
      </c>
      <c r="Y73" s="242"/>
      <c r="Z73" s="242"/>
      <c r="AA73" s="242"/>
    </row>
    <row r="74" spans="2:27" ht="13.15">
      <c r="B74"/>
      <c r="C74"/>
      <c r="D74"/>
      <c r="F74"/>
      <c r="G74"/>
      <c r="H74"/>
      <c r="O74" s="242" t="s">
        <v>311</v>
      </c>
      <c r="P74" s="243" t="s">
        <v>757</v>
      </c>
      <c r="Q74" s="243" t="s">
        <v>45</v>
      </c>
      <c r="R74" s="243" t="s">
        <v>984</v>
      </c>
      <c r="S74" s="243" t="s">
        <v>980</v>
      </c>
      <c r="T74" s="243" t="s">
        <v>82</v>
      </c>
      <c r="U74" s="243" t="str">
        <f t="shared" si="5"/>
        <v>Commercial -:- Office Blocks -:- Mobile Motor -:- Diesel</v>
      </c>
      <c r="V74" s="242" t="s">
        <v>609</v>
      </c>
      <c r="W74" s="242" t="s">
        <v>53</v>
      </c>
      <c r="X74" s="242" t="s">
        <v>371</v>
      </c>
      <c r="Y74" s="242"/>
      <c r="Z74" s="242"/>
      <c r="AA74" s="242"/>
    </row>
    <row r="75" spans="2:27" ht="13.15">
      <c r="B75"/>
      <c r="C75"/>
      <c r="D75"/>
      <c r="F75"/>
      <c r="G75"/>
      <c r="H75"/>
      <c r="O75" s="242" t="s">
        <v>311</v>
      </c>
      <c r="P75" s="243" t="s">
        <v>759</v>
      </c>
      <c r="Q75" s="243" t="s">
        <v>45</v>
      </c>
      <c r="R75" s="243" t="s">
        <v>984</v>
      </c>
      <c r="S75" s="243" t="s">
        <v>980</v>
      </c>
      <c r="T75" s="243" t="s">
        <v>85</v>
      </c>
      <c r="U75" s="243" t="str">
        <f t="shared" si="5"/>
        <v>Commercial -:- Office Blocks -:- Mobile Motor -:- Petrol</v>
      </c>
      <c r="V75" s="242" t="s">
        <v>611</v>
      </c>
      <c r="W75" s="242" t="s">
        <v>53</v>
      </c>
      <c r="X75" s="242" t="s">
        <v>371</v>
      </c>
      <c r="Y75" s="242"/>
      <c r="Z75" s="242"/>
      <c r="AA75" s="242"/>
    </row>
    <row r="76" spans="2:27" ht="13.15">
      <c r="B76"/>
      <c r="C76"/>
      <c r="D76"/>
      <c r="F76"/>
      <c r="G76"/>
      <c r="H76"/>
      <c r="O76" s="242" t="s">
        <v>311</v>
      </c>
      <c r="P76" s="243" t="s">
        <v>760</v>
      </c>
      <c r="Q76" s="243" t="s">
        <v>45</v>
      </c>
      <c r="R76" s="243" t="s">
        <v>984</v>
      </c>
      <c r="S76" s="243" t="s">
        <v>980</v>
      </c>
      <c r="T76" s="243" t="s">
        <v>71</v>
      </c>
      <c r="U76" s="243" t="str">
        <f t="shared" si="5"/>
        <v>Commercial -:- Office Blocks -:- Mobile Motor -:- LPG</v>
      </c>
      <c r="V76" s="242" t="s">
        <v>612</v>
      </c>
      <c r="W76" s="242" t="s">
        <v>53</v>
      </c>
      <c r="X76" s="242" t="s">
        <v>371</v>
      </c>
      <c r="Y76" s="242"/>
      <c r="Z76" s="242"/>
      <c r="AA76" s="242"/>
    </row>
    <row r="77" spans="2:27" ht="13.15">
      <c r="B77"/>
      <c r="C77"/>
      <c r="D77"/>
      <c r="F77"/>
      <c r="G77"/>
      <c r="H77"/>
      <c r="O77" s="242" t="s">
        <v>311</v>
      </c>
      <c r="P77" s="243" t="s">
        <v>761</v>
      </c>
      <c r="Q77" s="243" t="s">
        <v>45</v>
      </c>
      <c r="R77" s="243" t="s">
        <v>984</v>
      </c>
      <c r="S77" s="243" t="s">
        <v>946</v>
      </c>
      <c r="T77" s="243" t="s">
        <v>57</v>
      </c>
      <c r="U77" s="243" t="str">
        <f t="shared" si="5"/>
        <v>Commercial -:- Office Blocks -:- Stationary Motor -:- Electricity</v>
      </c>
      <c r="V77" s="242" t="s">
        <v>613</v>
      </c>
      <c r="W77" s="242" t="s">
        <v>53</v>
      </c>
      <c r="X77" s="242" t="s">
        <v>371</v>
      </c>
      <c r="Y77" s="242"/>
      <c r="Z77" s="242"/>
      <c r="AA77" s="242"/>
    </row>
    <row r="78" spans="2:27" ht="13.15">
      <c r="B78"/>
      <c r="C78"/>
      <c r="D78"/>
      <c r="F78"/>
      <c r="G78"/>
      <c r="H78"/>
      <c r="O78" s="242" t="s">
        <v>311</v>
      </c>
      <c r="P78" s="243" t="s">
        <v>763</v>
      </c>
      <c r="Q78" s="243" t="s">
        <v>45</v>
      </c>
      <c r="R78" s="243" t="s">
        <v>984</v>
      </c>
      <c r="S78" s="243" t="s">
        <v>968</v>
      </c>
      <c r="T78" s="243" t="s">
        <v>57</v>
      </c>
      <c r="U78" s="243" t="str">
        <f t="shared" si="5"/>
        <v>Commercial -:- Office Blocks -:- Heat Pump -:- Electricity</v>
      </c>
      <c r="V78" s="242" t="s">
        <v>615</v>
      </c>
      <c r="W78" s="242" t="s">
        <v>53</v>
      </c>
      <c r="X78" s="242" t="s">
        <v>371</v>
      </c>
      <c r="Y78" s="242"/>
      <c r="Z78" s="242"/>
      <c r="AA78" s="242"/>
    </row>
    <row r="79" spans="2:27" ht="13.15">
      <c r="B79"/>
      <c r="C79"/>
      <c r="D79"/>
      <c r="F79"/>
      <c r="G79"/>
      <c r="H79"/>
      <c r="O79" s="242" t="s">
        <v>311</v>
      </c>
      <c r="P79" s="243" t="s">
        <v>765</v>
      </c>
      <c r="Q79" s="243" t="s">
        <v>45</v>
      </c>
      <c r="R79" s="243" t="s">
        <v>985</v>
      </c>
      <c r="S79" s="243" t="s">
        <v>962</v>
      </c>
      <c r="T79" s="243" t="s">
        <v>57</v>
      </c>
      <c r="U79" s="243" t="str">
        <f t="shared" si="5"/>
        <v>Commercial -:- Warehouses/Supermarkets/Retail -:- Electronics and Other Appliances -:- Electricity</v>
      </c>
      <c r="V79" s="242" t="s">
        <v>617</v>
      </c>
      <c r="W79" s="242" t="s">
        <v>53</v>
      </c>
      <c r="X79" s="242" t="s">
        <v>371</v>
      </c>
      <c r="Y79" s="242"/>
      <c r="Z79" s="242"/>
      <c r="AA79" s="242"/>
    </row>
    <row r="80" spans="2:27" ht="13.15">
      <c r="B80"/>
      <c r="C80"/>
      <c r="D80"/>
      <c r="F80"/>
      <c r="G80"/>
      <c r="H80"/>
      <c r="O80" s="242" t="s">
        <v>311</v>
      </c>
      <c r="P80" s="243" t="s">
        <v>767</v>
      </c>
      <c r="Q80" s="243" t="s">
        <v>45</v>
      </c>
      <c r="R80" s="243" t="s">
        <v>985</v>
      </c>
      <c r="S80" s="243" t="s">
        <v>973</v>
      </c>
      <c r="T80" s="243" t="s">
        <v>57</v>
      </c>
      <c r="U80" s="243" t="str">
        <f t="shared" si="5"/>
        <v>Commercial -:- Warehouses/Supermarkets/Retail -:- Cooking Element -:- Electricity</v>
      </c>
      <c r="V80" s="242" t="s">
        <v>619</v>
      </c>
      <c r="W80" s="242" t="s">
        <v>53</v>
      </c>
      <c r="X80" s="242" t="s">
        <v>371</v>
      </c>
      <c r="Y80" s="242"/>
      <c r="Z80" s="242"/>
      <c r="AA80" s="242"/>
    </row>
    <row r="81" spans="2:27" ht="13.15">
      <c r="B81"/>
      <c r="C81"/>
      <c r="D81"/>
      <c r="F81"/>
      <c r="G81"/>
      <c r="H81"/>
      <c r="O81" s="242" t="s">
        <v>311</v>
      </c>
      <c r="P81" s="243" t="s">
        <v>769</v>
      </c>
      <c r="Q81" s="243" t="s">
        <v>45</v>
      </c>
      <c r="R81" s="243" t="s">
        <v>985</v>
      </c>
      <c r="S81" s="243" t="s">
        <v>972</v>
      </c>
      <c r="T81" s="243" t="s">
        <v>57</v>
      </c>
      <c r="U81" s="243" t="str">
        <f t="shared" si="5"/>
        <v>Commercial -:- Warehouses/Supermarkets/Retail -:- Oven -:- Electricity</v>
      </c>
      <c r="V81" s="242" t="s">
        <v>621</v>
      </c>
      <c r="W81" s="242" t="s">
        <v>53</v>
      </c>
      <c r="X81" s="242" t="s">
        <v>371</v>
      </c>
      <c r="Y81" s="242"/>
      <c r="Z81" s="242"/>
      <c r="AA81" s="242"/>
    </row>
    <row r="82" spans="2:27" ht="13.15">
      <c r="B82"/>
      <c r="C82"/>
      <c r="D82"/>
      <c r="F82"/>
      <c r="G82"/>
      <c r="H82"/>
      <c r="O82" s="242" t="s">
        <v>311</v>
      </c>
      <c r="P82" s="243" t="s">
        <v>770</v>
      </c>
      <c r="Q82" s="243" t="s">
        <v>45</v>
      </c>
      <c r="R82" s="243" t="s">
        <v>985</v>
      </c>
      <c r="S82" s="243" t="s">
        <v>972</v>
      </c>
      <c r="T82" s="243" t="s">
        <v>71</v>
      </c>
      <c r="U82" s="243" t="str">
        <f t="shared" si="5"/>
        <v>Commercial -:- Warehouses/Supermarkets/Retail -:- Oven -:- LPG</v>
      </c>
      <c r="V82" s="242" t="s">
        <v>622</v>
      </c>
      <c r="W82" s="242" t="s">
        <v>53</v>
      </c>
      <c r="X82" s="242" t="s">
        <v>371</v>
      </c>
      <c r="Y82" s="242"/>
      <c r="Z82" s="242"/>
      <c r="AA82" s="242"/>
    </row>
    <row r="83" spans="2:27" ht="13.15">
      <c r="B83"/>
      <c r="C83"/>
      <c r="D83"/>
      <c r="F83"/>
      <c r="G83"/>
      <c r="H83"/>
      <c r="O83" s="242" t="s">
        <v>311</v>
      </c>
      <c r="P83" s="243" t="s">
        <v>771</v>
      </c>
      <c r="Q83" s="243" t="s">
        <v>45</v>
      </c>
      <c r="R83" s="243" t="s">
        <v>985</v>
      </c>
      <c r="S83" s="243" t="s">
        <v>972</v>
      </c>
      <c r="T83" s="243" t="s">
        <v>43</v>
      </c>
      <c r="U83" s="243" t="str">
        <f t="shared" si="5"/>
        <v>Commercial -:- Warehouses/Supermarkets/Retail -:- Oven -:- Natural Gas</v>
      </c>
      <c r="V83" s="242" t="s">
        <v>623</v>
      </c>
      <c r="W83" s="242" t="s">
        <v>53</v>
      </c>
      <c r="X83" s="242" t="s">
        <v>371</v>
      </c>
      <c r="Y83" s="242"/>
      <c r="Z83" s="242"/>
      <c r="AA83" s="242"/>
    </row>
    <row r="84" spans="2:27" ht="13.15">
      <c r="B84"/>
      <c r="C84"/>
      <c r="D84"/>
      <c r="F84"/>
      <c r="G84"/>
      <c r="H84"/>
      <c r="O84" s="242" t="s">
        <v>311</v>
      </c>
      <c r="P84" s="243" t="s">
        <v>773</v>
      </c>
      <c r="Q84" s="243" t="s">
        <v>45</v>
      </c>
      <c r="R84" s="243" t="s">
        <v>985</v>
      </c>
      <c r="S84" s="243" t="s">
        <v>978</v>
      </c>
      <c r="T84" s="243" t="s">
        <v>57</v>
      </c>
      <c r="U84" s="243" t="str">
        <f t="shared" si="5"/>
        <v>Commercial -:- Warehouses/Supermarkets/Retail -:- Lights (Incandescent)  -:- Electricity</v>
      </c>
      <c r="V84" s="242" t="s">
        <v>625</v>
      </c>
      <c r="W84" s="242" t="s">
        <v>53</v>
      </c>
      <c r="X84" s="242" t="s">
        <v>371</v>
      </c>
      <c r="Y84" s="242"/>
      <c r="Z84" s="242"/>
      <c r="AA84" s="242"/>
    </row>
    <row r="85" spans="2:27" ht="13.15">
      <c r="B85"/>
      <c r="C85"/>
      <c r="D85"/>
      <c r="F85"/>
      <c r="G85"/>
      <c r="H85"/>
      <c r="O85" s="242" t="s">
        <v>311</v>
      </c>
      <c r="P85" s="243" t="s">
        <v>774</v>
      </c>
      <c r="Q85" s="243" t="s">
        <v>45</v>
      </c>
      <c r="R85" s="243" t="s">
        <v>985</v>
      </c>
      <c r="S85" s="243" t="s">
        <v>979</v>
      </c>
      <c r="T85" s="243" t="s">
        <v>57</v>
      </c>
      <c r="U85" s="243" t="str">
        <f t="shared" si="5"/>
        <v>Commercial -:- Warehouses/Supermarkets/Retail -:- Lights (Fluorescent)  -:- Electricity</v>
      </c>
      <c r="V85" s="242" t="s">
        <v>626</v>
      </c>
      <c r="W85" s="242" t="s">
        <v>53</v>
      </c>
      <c r="X85" s="242" t="s">
        <v>371</v>
      </c>
      <c r="Y85" s="242"/>
      <c r="Z85" s="242"/>
      <c r="AA85" s="242"/>
    </row>
    <row r="86" spans="2:27" ht="13.15">
      <c r="B86"/>
      <c r="C86"/>
      <c r="D86"/>
      <c r="F86"/>
      <c r="G86"/>
      <c r="H86"/>
      <c r="O86" s="242" t="s">
        <v>311</v>
      </c>
      <c r="P86" s="243" t="s">
        <v>775</v>
      </c>
      <c r="Q86" s="243" t="s">
        <v>45</v>
      </c>
      <c r="R86" s="243" t="s">
        <v>985</v>
      </c>
      <c r="S86" s="243" t="s">
        <v>977</v>
      </c>
      <c r="T86" s="243" t="s">
        <v>57</v>
      </c>
      <c r="U86" s="243" t="str">
        <f t="shared" si="5"/>
        <v>Commercial -:- Warehouses/Supermarkets/Retail -:- Lights (LED) -:- Electricity</v>
      </c>
      <c r="V86" s="242" t="s">
        <v>627</v>
      </c>
      <c r="W86" s="242" t="s">
        <v>53</v>
      </c>
      <c r="X86" s="242" t="s">
        <v>371</v>
      </c>
      <c r="Y86" s="242"/>
      <c r="Z86" s="242"/>
      <c r="AA86" s="242"/>
    </row>
    <row r="87" spans="2:27" ht="13.15">
      <c r="B87"/>
      <c r="C87"/>
      <c r="D87"/>
      <c r="F87"/>
      <c r="G87"/>
      <c r="H87"/>
      <c r="O87" s="242" t="s">
        <v>311</v>
      </c>
      <c r="P87" s="243" t="s">
        <v>776</v>
      </c>
      <c r="Q87" s="243" t="s">
        <v>45</v>
      </c>
      <c r="R87" s="243" t="s">
        <v>985</v>
      </c>
      <c r="S87" s="243" t="s">
        <v>949</v>
      </c>
      <c r="T87" s="243" t="s">
        <v>81</v>
      </c>
      <c r="U87" s="243" t="str">
        <f t="shared" si="5"/>
        <v>Commercial -:- Warehouses/Supermarkets/Retail -:- Boiler -:- Coal</v>
      </c>
      <c r="V87" s="242" t="s">
        <v>628</v>
      </c>
      <c r="W87" s="242" t="s">
        <v>53</v>
      </c>
      <c r="X87" s="242" t="s">
        <v>371</v>
      </c>
      <c r="Y87" s="242"/>
      <c r="Z87" s="242"/>
      <c r="AA87" s="242"/>
    </row>
    <row r="88" spans="2:27" ht="13.15">
      <c r="B88"/>
      <c r="C88"/>
      <c r="D88"/>
      <c r="F88"/>
      <c r="G88"/>
      <c r="H88"/>
      <c r="O88" s="242" t="s">
        <v>311</v>
      </c>
      <c r="P88" s="243" t="s">
        <v>778</v>
      </c>
      <c r="Q88" s="243" t="s">
        <v>45</v>
      </c>
      <c r="R88" s="243" t="s">
        <v>985</v>
      </c>
      <c r="S88" s="243" t="s">
        <v>949</v>
      </c>
      <c r="T88" s="243" t="s">
        <v>82</v>
      </c>
      <c r="U88" s="243" t="str">
        <f t="shared" si="5"/>
        <v>Commercial -:- Warehouses/Supermarkets/Retail -:- Boiler -:- Diesel</v>
      </c>
      <c r="V88" s="242" t="s">
        <v>630</v>
      </c>
      <c r="W88" s="242" t="s">
        <v>53</v>
      </c>
      <c r="X88" s="242" t="s">
        <v>371</v>
      </c>
      <c r="Y88" s="242"/>
      <c r="Z88" s="242"/>
      <c r="AA88" s="242"/>
    </row>
    <row r="89" spans="2:27" ht="13.15">
      <c r="B89"/>
      <c r="C89"/>
      <c r="D89"/>
      <c r="F89"/>
      <c r="G89"/>
      <c r="H89"/>
      <c r="O89" s="242" t="s">
        <v>311</v>
      </c>
      <c r="P89" s="243" t="s">
        <v>779</v>
      </c>
      <c r="Q89" s="243" t="s">
        <v>45</v>
      </c>
      <c r="R89" s="243" t="s">
        <v>985</v>
      </c>
      <c r="S89" s="243" t="s">
        <v>949</v>
      </c>
      <c r="T89" s="243" t="s">
        <v>83</v>
      </c>
      <c r="U89" s="243" t="str">
        <f t="shared" si="5"/>
        <v>Commercial -:- Warehouses/Supermarkets/Retail -:- Boiler -:- Fuel Oil</v>
      </c>
      <c r="V89" s="242" t="s">
        <v>631</v>
      </c>
      <c r="W89" s="242" t="s">
        <v>53</v>
      </c>
      <c r="X89" s="242" t="s">
        <v>371</v>
      </c>
      <c r="Y89" s="242"/>
      <c r="Z89" s="242"/>
      <c r="AA89" s="242"/>
    </row>
    <row r="90" spans="2:27" ht="13.15">
      <c r="B90"/>
      <c r="C90"/>
      <c r="D90"/>
      <c r="F90"/>
      <c r="G90"/>
      <c r="H90"/>
      <c r="O90" s="242" t="s">
        <v>311</v>
      </c>
      <c r="P90" s="243" t="s">
        <v>780</v>
      </c>
      <c r="Q90" s="243" t="s">
        <v>45</v>
      </c>
      <c r="R90" s="243" t="s">
        <v>985</v>
      </c>
      <c r="S90" s="243" t="s">
        <v>949</v>
      </c>
      <c r="T90" s="243" t="s">
        <v>71</v>
      </c>
      <c r="U90" s="243" t="str">
        <f t="shared" si="5"/>
        <v>Commercial -:- Warehouses/Supermarkets/Retail -:- Boiler -:- LPG</v>
      </c>
      <c r="V90" s="242" t="s">
        <v>632</v>
      </c>
      <c r="W90" s="242" t="s">
        <v>53</v>
      </c>
      <c r="X90" s="242" t="s">
        <v>371</v>
      </c>
      <c r="Y90" s="242"/>
      <c r="Z90" s="242"/>
      <c r="AA90" s="242"/>
    </row>
    <row r="91" spans="2:27" ht="13.15">
      <c r="B91"/>
      <c r="C91"/>
      <c r="D91"/>
      <c r="F91"/>
      <c r="G91"/>
      <c r="H91"/>
      <c r="O91" s="242" t="s">
        <v>311</v>
      </c>
      <c r="P91" s="243" t="s">
        <v>781</v>
      </c>
      <c r="Q91" s="243" t="s">
        <v>45</v>
      </c>
      <c r="R91" s="243" t="s">
        <v>985</v>
      </c>
      <c r="S91" s="243" t="s">
        <v>949</v>
      </c>
      <c r="T91" s="243" t="s">
        <v>43</v>
      </c>
      <c r="U91" s="243" t="str">
        <f t="shared" si="5"/>
        <v>Commercial -:- Warehouses/Supermarkets/Retail -:- Boiler -:- Natural Gas</v>
      </c>
      <c r="V91" s="242" t="s">
        <v>633</v>
      </c>
      <c r="W91" s="242" t="s">
        <v>53</v>
      </c>
      <c r="X91" s="242" t="s">
        <v>371</v>
      </c>
      <c r="Y91" s="242"/>
      <c r="Z91" s="242"/>
      <c r="AA91" s="242"/>
    </row>
    <row r="92" spans="2:27" ht="13.15">
      <c r="B92"/>
      <c r="C92"/>
      <c r="D92"/>
      <c r="F92"/>
      <c r="G92"/>
      <c r="H92"/>
      <c r="O92" s="242" t="s">
        <v>311</v>
      </c>
      <c r="P92" s="243" t="s">
        <v>782</v>
      </c>
      <c r="Q92" s="243" t="s">
        <v>45</v>
      </c>
      <c r="R92" s="243" t="s">
        <v>985</v>
      </c>
      <c r="S92" s="243" t="s">
        <v>965</v>
      </c>
      <c r="T92" s="243" t="s">
        <v>81</v>
      </c>
      <c r="U92" s="243" t="str">
        <f t="shared" si="5"/>
        <v>Commercial -:- Warehouses/Supermarkets/Retail -:- Burner -:- Coal</v>
      </c>
      <c r="V92" s="242" t="s">
        <v>634</v>
      </c>
      <c r="W92" s="242" t="s">
        <v>53</v>
      </c>
      <c r="X92" s="242" t="s">
        <v>371</v>
      </c>
      <c r="Y92" s="242"/>
      <c r="Z92" s="242"/>
      <c r="AA92" s="242"/>
    </row>
    <row r="93" spans="2:27" ht="13.15">
      <c r="B93"/>
      <c r="C93"/>
      <c r="D93"/>
      <c r="F93"/>
      <c r="G93"/>
      <c r="H93"/>
      <c r="O93" s="242" t="s">
        <v>311</v>
      </c>
      <c r="P93" s="243" t="s">
        <v>783</v>
      </c>
      <c r="Q93" s="243" t="s">
        <v>45</v>
      </c>
      <c r="R93" s="243" t="s">
        <v>985</v>
      </c>
      <c r="S93" s="243" t="s">
        <v>965</v>
      </c>
      <c r="T93" s="243" t="s">
        <v>83</v>
      </c>
      <c r="U93" s="243" t="str">
        <f t="shared" si="5"/>
        <v>Commercial -:- Warehouses/Supermarkets/Retail -:- Burner -:- Fuel Oil</v>
      </c>
      <c r="V93" s="242" t="s">
        <v>635</v>
      </c>
      <c r="W93" s="242" t="s">
        <v>53</v>
      </c>
      <c r="X93" s="242" t="s">
        <v>371</v>
      </c>
      <c r="Y93" s="242"/>
      <c r="Z93" s="242"/>
      <c r="AA93" s="242"/>
    </row>
    <row r="94" spans="2:27" ht="13.15">
      <c r="B94"/>
      <c r="C94"/>
      <c r="D94"/>
      <c r="F94"/>
      <c r="G94"/>
      <c r="H94"/>
      <c r="O94" s="242" t="s">
        <v>311</v>
      </c>
      <c r="P94" s="243" t="s">
        <v>784</v>
      </c>
      <c r="Q94" s="243" t="s">
        <v>45</v>
      </c>
      <c r="R94" s="243" t="s">
        <v>985</v>
      </c>
      <c r="S94" s="243" t="s">
        <v>965</v>
      </c>
      <c r="T94" s="243" t="s">
        <v>71</v>
      </c>
      <c r="U94" s="243" t="str">
        <f t="shared" si="5"/>
        <v>Commercial -:- Warehouses/Supermarkets/Retail -:- Burner -:- LPG</v>
      </c>
      <c r="V94" s="242" t="s">
        <v>636</v>
      </c>
      <c r="W94" s="242" t="s">
        <v>53</v>
      </c>
      <c r="X94" s="242" t="s">
        <v>371</v>
      </c>
      <c r="Y94" s="242"/>
      <c r="Z94" s="242"/>
      <c r="AA94" s="242"/>
    </row>
    <row r="95" spans="2:27" ht="13.15">
      <c r="B95"/>
      <c r="C95"/>
      <c r="D95"/>
      <c r="F95"/>
      <c r="G95"/>
      <c r="H95"/>
      <c r="O95" s="242" t="s">
        <v>311</v>
      </c>
      <c r="P95" s="243" t="s">
        <v>785</v>
      </c>
      <c r="Q95" s="243" t="s">
        <v>45</v>
      </c>
      <c r="R95" s="243" t="s">
        <v>985</v>
      </c>
      <c r="S95" s="243" t="s">
        <v>965</v>
      </c>
      <c r="T95" s="243" t="s">
        <v>43</v>
      </c>
      <c r="U95" s="243" t="str">
        <f t="shared" si="5"/>
        <v>Commercial -:- Warehouses/Supermarkets/Retail -:- Burner -:- Natural Gas</v>
      </c>
      <c r="V95" s="242" t="s">
        <v>637</v>
      </c>
      <c r="W95" s="242" t="s">
        <v>53</v>
      </c>
      <c r="X95" s="242" t="s">
        <v>371</v>
      </c>
      <c r="Y95" s="242"/>
      <c r="Z95" s="242"/>
      <c r="AA95" s="242"/>
    </row>
    <row r="96" spans="2:27" ht="13.15">
      <c r="B96"/>
      <c r="C96"/>
      <c r="D96"/>
      <c r="F96"/>
      <c r="G96"/>
      <c r="H96"/>
      <c r="O96" s="242" t="s">
        <v>311</v>
      </c>
      <c r="P96" s="243" t="s">
        <v>786</v>
      </c>
      <c r="Q96" s="243" t="s">
        <v>45</v>
      </c>
      <c r="R96" s="243" t="s">
        <v>985</v>
      </c>
      <c r="S96" s="243" t="s">
        <v>968</v>
      </c>
      <c r="T96" s="243" t="s">
        <v>57</v>
      </c>
      <c r="U96" s="243" t="str">
        <f t="shared" si="5"/>
        <v>Commercial -:- Warehouses/Supermarkets/Retail -:- Heat Pump -:- Electricity</v>
      </c>
      <c r="V96" s="242" t="s">
        <v>638</v>
      </c>
      <c r="W96" s="242" t="s">
        <v>53</v>
      </c>
      <c r="X96" s="242" t="s">
        <v>371</v>
      </c>
      <c r="Y96" s="242"/>
      <c r="Z96" s="242"/>
      <c r="AA96" s="242"/>
    </row>
    <row r="97" spans="2:27" ht="13.15">
      <c r="B97"/>
      <c r="C97"/>
      <c r="D97"/>
      <c r="F97"/>
      <c r="G97"/>
      <c r="H97"/>
      <c r="O97" s="242" t="s">
        <v>311</v>
      </c>
      <c r="P97" s="243" t="s">
        <v>787</v>
      </c>
      <c r="Q97" s="243" t="s">
        <v>45</v>
      </c>
      <c r="R97" s="243" t="s">
        <v>985</v>
      </c>
      <c r="S97" s="243" t="s">
        <v>969</v>
      </c>
      <c r="T97" s="243" t="s">
        <v>57</v>
      </c>
      <c r="U97" s="243" t="str">
        <f t="shared" si="5"/>
        <v>Commercial -:- Warehouses/Supermarkets/Retail -:- Resistance Heater -:- Electricity</v>
      </c>
      <c r="V97" s="242" t="s">
        <v>639</v>
      </c>
      <c r="W97" s="242" t="s">
        <v>53</v>
      </c>
      <c r="X97" s="242" t="s">
        <v>371</v>
      </c>
      <c r="Y97" s="242"/>
      <c r="Z97" s="242"/>
      <c r="AA97" s="242"/>
    </row>
    <row r="98" spans="2:27" ht="13.15">
      <c r="B98"/>
      <c r="C98"/>
      <c r="D98"/>
      <c r="F98"/>
      <c r="G98"/>
      <c r="H98"/>
      <c r="O98" s="242" t="s">
        <v>311</v>
      </c>
      <c r="P98" s="243" t="s">
        <v>839</v>
      </c>
      <c r="Q98" s="243" t="s">
        <v>45</v>
      </c>
      <c r="R98" s="243" t="s">
        <v>985</v>
      </c>
      <c r="S98" s="243" t="s">
        <v>952</v>
      </c>
      <c r="T98" s="243" t="s">
        <v>84</v>
      </c>
      <c r="U98" s="243" t="str">
        <f t="shared" si="5"/>
        <v>Commercial -:- Warehouses/Supermarkets/Retail -:- Direct Heat -:- Geothermal</v>
      </c>
      <c r="V98" s="242" t="s">
        <v>640</v>
      </c>
      <c r="W98" s="242" t="s">
        <v>53</v>
      </c>
      <c r="X98" s="242" t="s">
        <v>371</v>
      </c>
      <c r="Y98" s="242"/>
      <c r="Z98" s="242"/>
      <c r="AA98" s="242"/>
    </row>
    <row r="99" spans="2:27" ht="13.15">
      <c r="B99"/>
      <c r="C99"/>
      <c r="D99"/>
      <c r="F99"/>
      <c r="G99"/>
      <c r="H99"/>
      <c r="O99" s="242" t="s">
        <v>311</v>
      </c>
      <c r="P99" s="243" t="s">
        <v>830</v>
      </c>
      <c r="Q99" s="243" t="s">
        <v>45</v>
      </c>
      <c r="R99" s="243" t="s">
        <v>985</v>
      </c>
      <c r="S99" s="243" t="s">
        <v>949</v>
      </c>
      <c r="T99" s="243" t="s">
        <v>81</v>
      </c>
      <c r="U99" s="243" t="str">
        <f t="shared" si="5"/>
        <v>Commercial -:- Warehouses/Supermarkets/Retail -:- Boiler -:- Coal</v>
      </c>
      <c r="V99" s="242" t="s">
        <v>628</v>
      </c>
      <c r="W99" s="242" t="s">
        <v>53</v>
      </c>
      <c r="X99" s="242" t="s">
        <v>371</v>
      </c>
      <c r="Y99" s="242"/>
      <c r="Z99" s="242"/>
      <c r="AA99" s="242"/>
    </row>
    <row r="100" spans="2:27" ht="13.15">
      <c r="B100"/>
      <c r="C100"/>
      <c r="D100"/>
      <c r="F100"/>
      <c r="G100"/>
      <c r="H100"/>
      <c r="O100" s="242" t="s">
        <v>311</v>
      </c>
      <c r="P100" s="243" t="s">
        <v>831</v>
      </c>
      <c r="Q100" s="243" t="s">
        <v>45</v>
      </c>
      <c r="R100" s="243" t="s">
        <v>985</v>
      </c>
      <c r="S100" s="243" t="s">
        <v>925</v>
      </c>
      <c r="T100" s="243" t="s">
        <v>57</v>
      </c>
      <c r="U100" s="243" t="str">
        <f t="shared" si="5"/>
        <v>Commercial -:- Warehouses/Supermarkets/Retail -:- Hot Water Cylinder -:- Electricity</v>
      </c>
      <c r="V100" s="242" t="s">
        <v>642</v>
      </c>
      <c r="W100" s="242" t="s">
        <v>53</v>
      </c>
      <c r="X100" s="242" t="s">
        <v>371</v>
      </c>
      <c r="Y100" s="242"/>
      <c r="Z100" s="242"/>
      <c r="AA100" s="242"/>
    </row>
    <row r="101" spans="2:27" ht="13.15">
      <c r="B101"/>
      <c r="C101"/>
      <c r="D101"/>
      <c r="F101"/>
      <c r="G101"/>
      <c r="H101"/>
      <c r="O101" s="242" t="s">
        <v>311</v>
      </c>
      <c r="P101" s="243" t="s">
        <v>832</v>
      </c>
      <c r="Q101" s="243" t="s">
        <v>45</v>
      </c>
      <c r="R101" s="243" t="s">
        <v>985</v>
      </c>
      <c r="S101" s="243" t="s">
        <v>925</v>
      </c>
      <c r="T101" s="243" t="s">
        <v>43</v>
      </c>
      <c r="U101" s="243" t="str">
        <f t="shared" si="5"/>
        <v>Commercial -:- Warehouses/Supermarkets/Retail -:- Hot Water Cylinder -:- Natural Gas</v>
      </c>
      <c r="V101" s="242" t="s">
        <v>643</v>
      </c>
      <c r="W101" s="242" t="s">
        <v>53</v>
      </c>
      <c r="X101" s="242" t="s">
        <v>371</v>
      </c>
      <c r="Y101" s="242"/>
      <c r="Z101" s="242"/>
      <c r="AA101" s="242"/>
    </row>
    <row r="102" spans="2:27" ht="13.15">
      <c r="B102"/>
      <c r="C102"/>
      <c r="D102"/>
      <c r="F102"/>
      <c r="G102"/>
      <c r="H102"/>
      <c r="O102" s="242" t="s">
        <v>311</v>
      </c>
      <c r="P102" s="243" t="s">
        <v>788</v>
      </c>
      <c r="Q102" s="243" t="s">
        <v>45</v>
      </c>
      <c r="R102" s="243" t="s">
        <v>985</v>
      </c>
      <c r="S102" s="243" t="s">
        <v>980</v>
      </c>
      <c r="T102" s="243" t="s">
        <v>82</v>
      </c>
      <c r="U102" s="243" t="str">
        <f t="shared" si="5"/>
        <v>Commercial -:- Warehouses/Supermarkets/Retail -:- Mobile Motor -:- Diesel</v>
      </c>
      <c r="V102" s="242" t="s">
        <v>644</v>
      </c>
      <c r="W102" s="242" t="s">
        <v>53</v>
      </c>
      <c r="X102" s="242" t="s">
        <v>371</v>
      </c>
      <c r="Y102" s="242"/>
      <c r="Z102" s="242"/>
      <c r="AA102" s="242"/>
    </row>
    <row r="103" spans="2:27" ht="13.15">
      <c r="B103"/>
      <c r="C103"/>
      <c r="D103"/>
      <c r="F103"/>
      <c r="G103"/>
      <c r="H103"/>
      <c r="O103" s="242" t="s">
        <v>311</v>
      </c>
      <c r="P103" s="243" t="s">
        <v>790</v>
      </c>
      <c r="Q103" s="243" t="s">
        <v>45</v>
      </c>
      <c r="R103" s="243" t="s">
        <v>985</v>
      </c>
      <c r="S103" s="243" t="s">
        <v>980</v>
      </c>
      <c r="T103" s="243" t="s">
        <v>85</v>
      </c>
      <c r="U103" s="243" t="str">
        <f t="shared" ref="U103:U128" si="6" xml:space="preserve"> _xlfn.CONCAT( Q103, " -:- ", R103, " -:- ", S103, " -:- ", T103)</f>
        <v>Commercial -:- Warehouses/Supermarkets/Retail -:- Mobile Motor -:- Petrol</v>
      </c>
      <c r="V103" s="242" t="s">
        <v>646</v>
      </c>
      <c r="W103" s="242" t="s">
        <v>53</v>
      </c>
      <c r="X103" s="242" t="s">
        <v>371</v>
      </c>
      <c r="Y103" s="242"/>
      <c r="Z103" s="242"/>
      <c r="AA103" s="242"/>
    </row>
    <row r="104" spans="2:27" ht="13.15">
      <c r="B104"/>
      <c r="C104"/>
      <c r="D104"/>
      <c r="F104"/>
      <c r="G104"/>
      <c r="H104"/>
      <c r="O104" s="242" t="s">
        <v>311</v>
      </c>
      <c r="P104" s="243" t="s">
        <v>791</v>
      </c>
      <c r="Q104" s="243" t="s">
        <v>45</v>
      </c>
      <c r="R104" s="243" t="s">
        <v>985</v>
      </c>
      <c r="S104" s="243" t="s">
        <v>980</v>
      </c>
      <c r="T104" s="243" t="s">
        <v>71</v>
      </c>
      <c r="U104" s="243" t="str">
        <f t="shared" si="6"/>
        <v>Commercial -:- Warehouses/Supermarkets/Retail -:- Mobile Motor -:- LPG</v>
      </c>
      <c r="V104" s="242" t="s">
        <v>647</v>
      </c>
      <c r="W104" s="242" t="s">
        <v>53</v>
      </c>
      <c r="X104" s="242" t="s">
        <v>371</v>
      </c>
      <c r="Y104" s="242"/>
      <c r="Z104" s="242"/>
      <c r="AA104" s="242"/>
    </row>
    <row r="105" spans="2:27" ht="13.15">
      <c r="B105"/>
      <c r="C105"/>
      <c r="D105"/>
      <c r="F105"/>
      <c r="G105"/>
      <c r="H105"/>
      <c r="O105" s="242" t="s">
        <v>311</v>
      </c>
      <c r="P105" s="243" t="s">
        <v>792</v>
      </c>
      <c r="Q105" s="243" t="s">
        <v>45</v>
      </c>
      <c r="R105" s="243" t="s">
        <v>985</v>
      </c>
      <c r="S105" s="243" t="s">
        <v>946</v>
      </c>
      <c r="T105" s="243" t="s">
        <v>57</v>
      </c>
      <c r="U105" s="243" t="str">
        <f t="shared" si="6"/>
        <v>Commercial -:- Warehouses/Supermarkets/Retail -:- Stationary Motor -:- Electricity</v>
      </c>
      <c r="V105" s="242" t="s">
        <v>648</v>
      </c>
      <c r="W105" s="242" t="s">
        <v>53</v>
      </c>
      <c r="X105" s="242" t="s">
        <v>371</v>
      </c>
      <c r="Y105" s="242"/>
      <c r="Z105" s="242"/>
      <c r="AA105" s="242"/>
    </row>
    <row r="106" spans="2:27" ht="13.15">
      <c r="B106"/>
      <c r="C106"/>
      <c r="D106"/>
      <c r="F106"/>
      <c r="G106"/>
      <c r="H106"/>
      <c r="O106" s="242" t="s">
        <v>311</v>
      </c>
      <c r="P106" s="243" t="s">
        <v>794</v>
      </c>
      <c r="Q106" s="243" t="s">
        <v>45</v>
      </c>
      <c r="R106" s="243" t="s">
        <v>985</v>
      </c>
      <c r="S106" s="243" t="s">
        <v>937</v>
      </c>
      <c r="T106" s="243" t="s">
        <v>57</v>
      </c>
      <c r="U106" s="243" t="str">
        <f t="shared" si="6"/>
        <v>Commercial -:- Warehouses/Supermarkets/Retail -:- Refrigerator -:- Electricity</v>
      </c>
      <c r="V106" s="242" t="s">
        <v>650</v>
      </c>
      <c r="W106" s="242" t="s">
        <v>53</v>
      </c>
      <c r="X106" s="242" t="s">
        <v>371</v>
      </c>
      <c r="Y106" s="242"/>
      <c r="Z106" s="242"/>
      <c r="AA106" s="242"/>
    </row>
    <row r="107" spans="2:27" ht="13.15">
      <c r="B107"/>
      <c r="C107"/>
      <c r="D107"/>
      <c r="F107"/>
      <c r="G107"/>
      <c r="H107"/>
      <c r="O107" s="242" t="s">
        <v>311</v>
      </c>
      <c r="P107" s="243" t="s">
        <v>796</v>
      </c>
      <c r="Q107" s="243" t="s">
        <v>45</v>
      </c>
      <c r="R107" s="243" t="s">
        <v>985</v>
      </c>
      <c r="S107" s="243" t="s">
        <v>968</v>
      </c>
      <c r="T107" s="243" t="s">
        <v>57</v>
      </c>
      <c r="U107" s="243" t="str">
        <f t="shared" si="6"/>
        <v>Commercial -:- Warehouses/Supermarkets/Retail -:- Heat Pump -:- Electricity</v>
      </c>
      <c r="V107" s="242" t="s">
        <v>652</v>
      </c>
      <c r="W107" s="242" t="s">
        <v>53</v>
      </c>
      <c r="X107" s="242" t="s">
        <v>371</v>
      </c>
      <c r="Y107" s="242"/>
      <c r="Z107" s="242"/>
      <c r="AA107" s="242"/>
    </row>
    <row r="108" spans="2:27" ht="13.15">
      <c r="B108"/>
      <c r="C108"/>
      <c r="D108"/>
      <c r="F108"/>
      <c r="G108"/>
      <c r="H108"/>
      <c r="O108" s="242" t="s">
        <v>311</v>
      </c>
      <c r="P108" s="243" t="s">
        <v>988</v>
      </c>
      <c r="Q108" s="243" t="s">
        <v>45</v>
      </c>
      <c r="R108" s="243" t="s">
        <v>986</v>
      </c>
      <c r="S108" s="243" t="s">
        <v>962</v>
      </c>
      <c r="T108" s="243" t="s">
        <v>57</v>
      </c>
      <c r="U108" s="243" t="str">
        <f t="shared" si="6"/>
        <v>Commercial -:- Other (Commercial) -:- Electronics and Other Appliances -:- Electricity</v>
      </c>
      <c r="V108" s="242" t="s">
        <v>654</v>
      </c>
      <c r="W108" s="242" t="s">
        <v>53</v>
      </c>
      <c r="X108" s="242" t="s">
        <v>371</v>
      </c>
      <c r="Y108" s="242"/>
      <c r="Z108" s="242"/>
      <c r="AA108" s="242"/>
    </row>
    <row r="109" spans="2:27" ht="13.15">
      <c r="B109"/>
      <c r="C109"/>
      <c r="D109"/>
      <c r="F109"/>
      <c r="G109"/>
      <c r="H109"/>
      <c r="O109" s="242" t="s">
        <v>311</v>
      </c>
      <c r="P109" s="243" t="s">
        <v>801</v>
      </c>
      <c r="Q109" s="243" t="s">
        <v>45</v>
      </c>
      <c r="R109" s="243" t="s">
        <v>986</v>
      </c>
      <c r="S109" s="243" t="s">
        <v>978</v>
      </c>
      <c r="T109" s="243" t="s">
        <v>57</v>
      </c>
      <c r="U109" s="243" t="str">
        <f t="shared" si="6"/>
        <v>Commercial -:- Other (Commercial) -:- Lights (Incandescent)  -:- Electricity</v>
      </c>
      <c r="V109" s="242" t="s">
        <v>657</v>
      </c>
      <c r="W109" s="242" t="s">
        <v>53</v>
      </c>
      <c r="X109" s="242" t="s">
        <v>371</v>
      </c>
      <c r="Y109" s="242"/>
      <c r="Z109" s="242"/>
      <c r="AA109" s="242"/>
    </row>
    <row r="110" spans="2:27" ht="13.15">
      <c r="B110"/>
      <c r="C110"/>
      <c r="D110"/>
      <c r="F110"/>
      <c r="G110"/>
      <c r="H110"/>
      <c r="O110" s="242" t="s">
        <v>311</v>
      </c>
      <c r="P110" s="243" t="s">
        <v>802</v>
      </c>
      <c r="Q110" s="243" t="s">
        <v>45</v>
      </c>
      <c r="R110" s="243" t="s">
        <v>986</v>
      </c>
      <c r="S110" s="243" t="s">
        <v>979</v>
      </c>
      <c r="T110" s="243" t="s">
        <v>57</v>
      </c>
      <c r="U110" s="243" t="str">
        <f t="shared" si="6"/>
        <v>Commercial -:- Other (Commercial) -:- Lights (Fluorescent)  -:- Electricity</v>
      </c>
      <c r="V110" s="242" t="s">
        <v>658</v>
      </c>
      <c r="W110" s="242" t="s">
        <v>53</v>
      </c>
      <c r="X110" s="242" t="s">
        <v>371</v>
      </c>
      <c r="Y110" s="242"/>
      <c r="Z110" s="242"/>
      <c r="AA110" s="242"/>
    </row>
    <row r="111" spans="2:27" ht="13.15">
      <c r="B111"/>
      <c r="C111"/>
      <c r="D111"/>
      <c r="F111"/>
      <c r="G111"/>
      <c r="H111"/>
      <c r="O111" s="242" t="s">
        <v>311</v>
      </c>
      <c r="P111" s="243" t="s">
        <v>803</v>
      </c>
      <c r="Q111" s="243" t="s">
        <v>45</v>
      </c>
      <c r="R111" s="243" t="s">
        <v>986</v>
      </c>
      <c r="S111" s="243" t="s">
        <v>977</v>
      </c>
      <c r="T111" s="243" t="s">
        <v>57</v>
      </c>
      <c r="U111" s="243" t="str">
        <f t="shared" si="6"/>
        <v>Commercial -:- Other (Commercial) -:- Lights (LED) -:- Electricity</v>
      </c>
      <c r="V111" s="242" t="s">
        <v>659</v>
      </c>
      <c r="W111" s="242" t="s">
        <v>53</v>
      </c>
      <c r="X111" s="242" t="s">
        <v>371</v>
      </c>
      <c r="Y111" s="242"/>
      <c r="Z111" s="242"/>
      <c r="AA111" s="242"/>
    </row>
    <row r="112" spans="2:27" ht="13.15">
      <c r="B112"/>
      <c r="C112"/>
      <c r="D112"/>
      <c r="F112"/>
      <c r="G112"/>
      <c r="H112"/>
      <c r="O112" s="242" t="s">
        <v>311</v>
      </c>
      <c r="P112" s="243" t="s">
        <v>804</v>
      </c>
      <c r="Q112" s="243" t="s">
        <v>45</v>
      </c>
      <c r="R112" s="243" t="s">
        <v>986</v>
      </c>
      <c r="S112" s="243" t="s">
        <v>949</v>
      </c>
      <c r="T112" s="243" t="s">
        <v>81</v>
      </c>
      <c r="U112" s="243" t="str">
        <f t="shared" si="6"/>
        <v>Commercial -:- Other (Commercial) -:- Boiler -:- Coal</v>
      </c>
      <c r="V112" s="242" t="s">
        <v>660</v>
      </c>
      <c r="W112" s="242" t="s">
        <v>53</v>
      </c>
      <c r="X112" s="242" t="s">
        <v>371</v>
      </c>
      <c r="Y112" s="242"/>
      <c r="Z112" s="242"/>
      <c r="AA112" s="242"/>
    </row>
    <row r="113" spans="2:27" ht="13.15">
      <c r="B113"/>
      <c r="C113"/>
      <c r="D113"/>
      <c r="F113"/>
      <c r="G113"/>
      <c r="H113"/>
      <c r="O113" s="242" t="s">
        <v>311</v>
      </c>
      <c r="P113" s="243" t="s">
        <v>806</v>
      </c>
      <c r="Q113" s="243" t="s">
        <v>45</v>
      </c>
      <c r="R113" s="243" t="s">
        <v>986</v>
      </c>
      <c r="S113" s="243" t="s">
        <v>949</v>
      </c>
      <c r="T113" s="243" t="s">
        <v>82</v>
      </c>
      <c r="U113" s="243" t="str">
        <f t="shared" si="6"/>
        <v>Commercial -:- Other (Commercial) -:- Boiler -:- Diesel</v>
      </c>
      <c r="V113" s="242" t="s">
        <v>662</v>
      </c>
      <c r="W113" s="242" t="s">
        <v>53</v>
      </c>
      <c r="X113" s="242" t="s">
        <v>371</v>
      </c>
      <c r="Y113" s="242"/>
      <c r="Z113" s="242"/>
      <c r="AA113" s="242"/>
    </row>
    <row r="114" spans="2:27" ht="13.15">
      <c r="B114"/>
      <c r="C114"/>
      <c r="D114"/>
      <c r="F114"/>
      <c r="G114"/>
      <c r="H114"/>
      <c r="O114" s="242" t="s">
        <v>311</v>
      </c>
      <c r="P114" s="243" t="s">
        <v>807</v>
      </c>
      <c r="Q114" s="243" t="s">
        <v>45</v>
      </c>
      <c r="R114" s="243" t="s">
        <v>986</v>
      </c>
      <c r="S114" s="243" t="s">
        <v>949</v>
      </c>
      <c r="T114" s="243" t="s">
        <v>83</v>
      </c>
      <c r="U114" s="243" t="str">
        <f t="shared" si="6"/>
        <v>Commercial -:- Other (Commercial) -:- Boiler -:- Fuel Oil</v>
      </c>
      <c r="V114" s="242" t="s">
        <v>663</v>
      </c>
      <c r="W114" s="242" t="s">
        <v>53</v>
      </c>
      <c r="X114" s="242" t="s">
        <v>371</v>
      </c>
      <c r="Y114" s="242"/>
      <c r="Z114" s="242"/>
      <c r="AA114" s="242"/>
    </row>
    <row r="115" spans="2:27" ht="13.15">
      <c r="B115"/>
      <c r="C115"/>
      <c r="D115"/>
      <c r="F115"/>
      <c r="G115"/>
      <c r="H115"/>
      <c r="O115" s="242" t="s">
        <v>311</v>
      </c>
      <c r="P115" s="243" t="s">
        <v>808</v>
      </c>
      <c r="Q115" s="243" t="s">
        <v>45</v>
      </c>
      <c r="R115" s="243" t="s">
        <v>986</v>
      </c>
      <c r="S115" s="243" t="s">
        <v>949</v>
      </c>
      <c r="T115" s="243" t="s">
        <v>43</v>
      </c>
      <c r="U115" s="243" t="str">
        <f t="shared" si="6"/>
        <v>Commercial -:- Other (Commercial) -:- Boiler -:- Natural Gas</v>
      </c>
      <c r="V115" s="242" t="s">
        <v>664</v>
      </c>
      <c r="W115" s="242" t="s">
        <v>53</v>
      </c>
      <c r="X115" s="242" t="s">
        <v>371</v>
      </c>
      <c r="Y115" s="242"/>
      <c r="Z115" s="242"/>
      <c r="AA115" s="242"/>
    </row>
    <row r="116" spans="2:27" ht="13.15">
      <c r="B116"/>
      <c r="C116"/>
      <c r="D116"/>
      <c r="F116"/>
      <c r="G116"/>
      <c r="H116"/>
      <c r="O116" s="242" t="s">
        <v>311</v>
      </c>
      <c r="P116" s="243" t="s">
        <v>809</v>
      </c>
      <c r="Q116" s="243" t="s">
        <v>45</v>
      </c>
      <c r="R116" s="243" t="s">
        <v>986</v>
      </c>
      <c r="S116" s="243" t="s">
        <v>965</v>
      </c>
      <c r="T116" s="243" t="s">
        <v>43</v>
      </c>
      <c r="U116" s="243" t="str">
        <f t="shared" si="6"/>
        <v>Commercial -:- Other (Commercial) -:- Burner -:- Natural Gas</v>
      </c>
      <c r="V116" s="242" t="s">
        <v>665</v>
      </c>
      <c r="W116" s="242" t="s">
        <v>53</v>
      </c>
      <c r="X116" s="242" t="s">
        <v>371</v>
      </c>
      <c r="Y116" s="242"/>
      <c r="Z116" s="242"/>
      <c r="AA116" s="242"/>
    </row>
    <row r="117" spans="2:27" ht="13.15">
      <c r="B117"/>
      <c r="C117"/>
      <c r="D117"/>
      <c r="F117"/>
      <c r="G117"/>
      <c r="H117"/>
      <c r="O117" s="242" t="s">
        <v>311</v>
      </c>
      <c r="P117" s="243" t="s">
        <v>810</v>
      </c>
      <c r="Q117" s="243" t="s">
        <v>45</v>
      </c>
      <c r="R117" s="243" t="s">
        <v>986</v>
      </c>
      <c r="S117" s="243" t="s">
        <v>968</v>
      </c>
      <c r="T117" s="243" t="s">
        <v>57</v>
      </c>
      <c r="U117" s="243" t="str">
        <f t="shared" si="6"/>
        <v>Commercial -:- Other (Commercial) -:- Heat Pump -:- Electricity</v>
      </c>
      <c r="V117" s="242" t="s">
        <v>666</v>
      </c>
      <c r="W117" s="242" t="s">
        <v>53</v>
      </c>
      <c r="X117" s="242" t="s">
        <v>371</v>
      </c>
      <c r="Y117" s="242"/>
      <c r="Z117" s="242"/>
      <c r="AA117" s="242"/>
    </row>
    <row r="118" spans="2:27" ht="13.15">
      <c r="B118"/>
      <c r="C118"/>
      <c r="D118"/>
      <c r="F118"/>
      <c r="G118"/>
      <c r="H118"/>
      <c r="O118" s="242" t="s">
        <v>311</v>
      </c>
      <c r="P118" s="243" t="s">
        <v>811</v>
      </c>
      <c r="Q118" s="243" t="s">
        <v>45</v>
      </c>
      <c r="R118" s="243" t="s">
        <v>986</v>
      </c>
      <c r="S118" s="243" t="s">
        <v>969</v>
      </c>
      <c r="T118" s="243" t="s">
        <v>57</v>
      </c>
      <c r="U118" s="243" t="str">
        <f t="shared" si="6"/>
        <v>Commercial -:- Other (Commercial) -:- Resistance Heater -:- Electricity</v>
      </c>
      <c r="V118" s="242" t="s">
        <v>667</v>
      </c>
      <c r="W118" s="242" t="s">
        <v>53</v>
      </c>
      <c r="X118" s="242" t="s">
        <v>371</v>
      </c>
      <c r="Y118" s="242"/>
      <c r="Z118" s="242"/>
      <c r="AA118" s="242"/>
    </row>
    <row r="119" spans="2:27" ht="13.15">
      <c r="B119"/>
      <c r="C119"/>
      <c r="D119"/>
      <c r="F119"/>
      <c r="G119"/>
      <c r="H119"/>
      <c r="O119" s="242" t="s">
        <v>311</v>
      </c>
      <c r="P119" s="243" t="s">
        <v>812</v>
      </c>
      <c r="Q119" s="243" t="s">
        <v>45</v>
      </c>
      <c r="R119" s="243" t="s">
        <v>986</v>
      </c>
      <c r="S119" s="243" t="s">
        <v>949</v>
      </c>
      <c r="T119" s="243" t="s">
        <v>83</v>
      </c>
      <c r="U119" s="243" t="str">
        <f t="shared" si="6"/>
        <v>Commercial -:- Other (Commercial) -:- Boiler -:- Fuel Oil</v>
      </c>
      <c r="V119" s="242" t="s">
        <v>663</v>
      </c>
      <c r="W119" s="242" t="s">
        <v>53</v>
      </c>
      <c r="X119" s="242" t="s">
        <v>371</v>
      </c>
      <c r="Y119" s="242"/>
      <c r="Z119" s="242"/>
      <c r="AA119" s="242"/>
    </row>
    <row r="120" spans="2:27" ht="13.15">
      <c r="B120"/>
      <c r="C120"/>
      <c r="D120"/>
      <c r="F120"/>
      <c r="G120"/>
      <c r="H120"/>
      <c r="O120" s="242" t="s">
        <v>311</v>
      </c>
      <c r="P120" s="243" t="s">
        <v>814</v>
      </c>
      <c r="Q120" s="243" t="s">
        <v>45</v>
      </c>
      <c r="R120" s="243" t="s">
        <v>986</v>
      </c>
      <c r="S120" s="243" t="s">
        <v>949</v>
      </c>
      <c r="T120" s="243" t="s">
        <v>81</v>
      </c>
      <c r="U120" s="243" t="str">
        <f t="shared" si="6"/>
        <v>Commercial -:- Other (Commercial) -:- Boiler -:- Coal</v>
      </c>
      <c r="V120" s="242" t="s">
        <v>660</v>
      </c>
      <c r="W120" s="242" t="s">
        <v>53</v>
      </c>
      <c r="X120" s="242" t="s">
        <v>371</v>
      </c>
      <c r="Y120" s="242"/>
      <c r="Z120" s="242"/>
      <c r="AA120" s="242"/>
    </row>
    <row r="121" spans="2:27" ht="13.15">
      <c r="B121"/>
      <c r="C121"/>
      <c r="D121"/>
      <c r="F121"/>
      <c r="G121"/>
      <c r="H121"/>
      <c r="O121" s="242" t="s">
        <v>311</v>
      </c>
      <c r="P121" s="243" t="s">
        <v>815</v>
      </c>
      <c r="Q121" s="243" t="s">
        <v>45</v>
      </c>
      <c r="R121" s="243" t="s">
        <v>986</v>
      </c>
      <c r="S121" s="243" t="s">
        <v>925</v>
      </c>
      <c r="T121" s="243" t="s">
        <v>57</v>
      </c>
      <c r="U121" s="243" t="str">
        <f t="shared" si="6"/>
        <v>Commercial -:- Other (Commercial) -:- Hot Water Cylinder -:- Electricity</v>
      </c>
      <c r="V121" s="242" t="s">
        <v>669</v>
      </c>
      <c r="W121" s="242" t="s">
        <v>53</v>
      </c>
      <c r="X121" s="242" t="s">
        <v>371</v>
      </c>
      <c r="Y121" s="242"/>
      <c r="Z121" s="242"/>
      <c r="AA121" s="242"/>
    </row>
    <row r="122" spans="2:27" ht="13.15">
      <c r="B122"/>
      <c r="C122"/>
      <c r="D122"/>
      <c r="F122"/>
      <c r="G122"/>
      <c r="H122"/>
      <c r="O122" s="242" t="s">
        <v>311</v>
      </c>
      <c r="P122" s="243" t="s">
        <v>816</v>
      </c>
      <c r="Q122" s="243" t="s">
        <v>45</v>
      </c>
      <c r="R122" s="243" t="s">
        <v>986</v>
      </c>
      <c r="S122" s="243" t="s">
        <v>925</v>
      </c>
      <c r="T122" s="243" t="s">
        <v>43</v>
      </c>
      <c r="U122" s="243" t="str">
        <f t="shared" si="6"/>
        <v>Commercial -:- Other (Commercial) -:- Hot Water Cylinder -:- Natural Gas</v>
      </c>
      <c r="V122" s="242" t="s">
        <v>670</v>
      </c>
      <c r="W122" s="242" t="s">
        <v>53</v>
      </c>
      <c r="X122" s="242" t="s">
        <v>371</v>
      </c>
      <c r="Y122" s="242"/>
      <c r="Z122" s="242"/>
      <c r="AA122" s="242"/>
    </row>
    <row r="123" spans="2:27" ht="13.15">
      <c r="B123"/>
      <c r="C123"/>
      <c r="D123"/>
      <c r="F123"/>
      <c r="G123"/>
      <c r="H123"/>
      <c r="O123" s="242" t="s">
        <v>311</v>
      </c>
      <c r="P123" s="243" t="s">
        <v>817</v>
      </c>
      <c r="Q123" s="243" t="s">
        <v>45</v>
      </c>
      <c r="R123" s="243" t="s">
        <v>986</v>
      </c>
      <c r="S123" s="243" t="s">
        <v>952</v>
      </c>
      <c r="T123" s="243" t="s">
        <v>84</v>
      </c>
      <c r="U123" s="243" t="str">
        <f t="shared" si="6"/>
        <v>Commercial -:- Other (Commercial) -:- Direct Heat -:- Geothermal</v>
      </c>
      <c r="V123" s="242" t="s">
        <v>671</v>
      </c>
      <c r="W123" s="242" t="s">
        <v>53</v>
      </c>
      <c r="X123" s="242" t="s">
        <v>371</v>
      </c>
      <c r="Y123" s="242"/>
      <c r="Z123" s="242"/>
      <c r="AA123" s="242"/>
    </row>
    <row r="124" spans="2:27" ht="13.15">
      <c r="B124"/>
      <c r="C124"/>
      <c r="D124"/>
      <c r="F124"/>
      <c r="G124"/>
      <c r="H124"/>
      <c r="O124" s="242" t="s">
        <v>311</v>
      </c>
      <c r="P124" s="243" t="s">
        <v>818</v>
      </c>
      <c r="Q124" s="243" t="s">
        <v>45</v>
      </c>
      <c r="R124" s="243" t="s">
        <v>986</v>
      </c>
      <c r="S124" s="243" t="s">
        <v>980</v>
      </c>
      <c r="T124" s="243" t="s">
        <v>82</v>
      </c>
      <c r="U124" s="243" t="str">
        <f t="shared" si="6"/>
        <v>Commercial -:- Other (Commercial) -:- Mobile Motor -:- Diesel</v>
      </c>
      <c r="V124" s="242" t="s">
        <v>672</v>
      </c>
      <c r="W124" s="242" t="s">
        <v>53</v>
      </c>
      <c r="X124" s="242" t="s">
        <v>371</v>
      </c>
      <c r="Y124" s="242"/>
      <c r="Z124" s="242"/>
      <c r="AA124" s="242"/>
    </row>
    <row r="125" spans="2:27" ht="13.15">
      <c r="B125"/>
      <c r="C125"/>
      <c r="D125"/>
      <c r="F125"/>
      <c r="G125"/>
      <c r="H125"/>
      <c r="O125" s="242" t="s">
        <v>311</v>
      </c>
      <c r="P125" s="243" t="s">
        <v>820</v>
      </c>
      <c r="Q125" s="243" t="s">
        <v>45</v>
      </c>
      <c r="R125" s="243" t="s">
        <v>986</v>
      </c>
      <c r="S125" s="243" t="s">
        <v>980</v>
      </c>
      <c r="T125" s="243" t="s">
        <v>85</v>
      </c>
      <c r="U125" s="243" t="str">
        <f t="shared" si="6"/>
        <v>Commercial -:- Other (Commercial) -:- Mobile Motor -:- Petrol</v>
      </c>
      <c r="V125" s="242" t="s">
        <v>674</v>
      </c>
      <c r="W125" s="242" t="s">
        <v>53</v>
      </c>
      <c r="X125" s="242" t="s">
        <v>371</v>
      </c>
      <c r="Y125" s="242"/>
      <c r="Z125" s="242"/>
      <c r="AA125" s="242"/>
    </row>
    <row r="126" spans="2:27" ht="13.15">
      <c r="B126"/>
      <c r="C126"/>
      <c r="D126"/>
      <c r="F126"/>
      <c r="G126"/>
      <c r="H126"/>
      <c r="O126" s="242" t="s">
        <v>311</v>
      </c>
      <c r="P126" s="243" t="s">
        <v>821</v>
      </c>
      <c r="Q126" s="243" t="s">
        <v>45</v>
      </c>
      <c r="R126" s="243" t="s">
        <v>986</v>
      </c>
      <c r="S126" s="243" t="s">
        <v>980</v>
      </c>
      <c r="T126" s="243" t="s">
        <v>83</v>
      </c>
      <c r="U126" s="243" t="str">
        <f t="shared" si="6"/>
        <v>Commercial -:- Other (Commercial) -:- Mobile Motor -:- Fuel Oil</v>
      </c>
      <c r="V126" s="242" t="s">
        <v>675</v>
      </c>
      <c r="W126" s="242" t="s">
        <v>53</v>
      </c>
      <c r="X126" s="242" t="s">
        <v>371</v>
      </c>
      <c r="Y126" s="242"/>
      <c r="Z126" s="242"/>
      <c r="AA126" s="242"/>
    </row>
    <row r="127" spans="2:27" ht="13.15">
      <c r="B127"/>
      <c r="C127"/>
      <c r="D127"/>
      <c r="F127"/>
      <c r="G127"/>
      <c r="H127"/>
      <c r="O127" s="242" t="s">
        <v>311</v>
      </c>
      <c r="P127" s="243" t="s">
        <v>822</v>
      </c>
      <c r="Q127" s="243" t="s">
        <v>45</v>
      </c>
      <c r="R127" s="243" t="s">
        <v>986</v>
      </c>
      <c r="S127" s="243" t="s">
        <v>946</v>
      </c>
      <c r="T127" s="243" t="s">
        <v>57</v>
      </c>
      <c r="U127" s="243" t="str">
        <f t="shared" si="6"/>
        <v>Commercial -:- Other (Commercial) -:- Stationary Motor -:- Electricity</v>
      </c>
      <c r="V127" s="242" t="s">
        <v>676</v>
      </c>
      <c r="W127" s="242" t="s">
        <v>53</v>
      </c>
      <c r="X127" s="242" t="s">
        <v>371</v>
      </c>
      <c r="Y127" s="242"/>
      <c r="Z127" s="242"/>
      <c r="AA127" s="242"/>
    </row>
    <row r="128" spans="2:27" ht="13.15">
      <c r="B128"/>
      <c r="C128"/>
      <c r="D128"/>
      <c r="F128"/>
      <c r="G128"/>
      <c r="H128"/>
      <c r="O128" s="242" t="s">
        <v>311</v>
      </c>
      <c r="P128" s="243" t="s">
        <v>824</v>
      </c>
      <c r="Q128" s="243" t="s">
        <v>45</v>
      </c>
      <c r="R128" s="243" t="s">
        <v>986</v>
      </c>
      <c r="S128" s="243" t="s">
        <v>968</v>
      </c>
      <c r="T128" s="243" t="s">
        <v>57</v>
      </c>
      <c r="U128" s="243" t="str">
        <f t="shared" si="6"/>
        <v>Commercial -:- Other (Commercial) -:- Heat Pump -:- Electricity</v>
      </c>
      <c r="V128" s="242" t="s">
        <v>678</v>
      </c>
      <c r="W128" s="242" t="s">
        <v>53</v>
      </c>
      <c r="X128" s="242" t="s">
        <v>371</v>
      </c>
      <c r="Y128" s="242"/>
      <c r="Z128" s="242"/>
      <c r="AA128" s="242"/>
    </row>
    <row r="129" spans="2:8">
      <c r="B129"/>
      <c r="C129"/>
      <c r="D129"/>
      <c r="F129"/>
      <c r="G129"/>
      <c r="H129"/>
    </row>
    <row r="130" spans="2:8">
      <c r="B130"/>
      <c r="C130"/>
      <c r="D130"/>
      <c r="F130"/>
      <c r="G130"/>
      <c r="H130"/>
    </row>
    <row r="131" spans="2:8">
      <c r="B131"/>
      <c r="C131"/>
      <c r="D131"/>
      <c r="F131"/>
      <c r="G131"/>
      <c r="H131"/>
    </row>
    <row r="132" spans="2:8">
      <c r="B132"/>
      <c r="C132"/>
      <c r="D132"/>
      <c r="F132"/>
      <c r="G132"/>
      <c r="H132"/>
    </row>
    <row r="133" spans="2:8">
      <c r="B133"/>
      <c r="C133"/>
      <c r="D133"/>
      <c r="F133"/>
      <c r="G133"/>
      <c r="H133"/>
    </row>
    <row r="134" spans="2:8">
      <c r="B134"/>
      <c r="C134"/>
      <c r="D134"/>
      <c r="F134"/>
      <c r="G134"/>
      <c r="H134"/>
    </row>
    <row r="135" spans="2:8">
      <c r="B135"/>
      <c r="C135"/>
      <c r="D135"/>
      <c r="F135"/>
      <c r="G135"/>
      <c r="H135"/>
    </row>
    <row r="136" spans="2:8">
      <c r="B136"/>
      <c r="C136"/>
      <c r="D136"/>
      <c r="F136"/>
      <c r="G136"/>
      <c r="H136"/>
    </row>
    <row r="137" spans="2:8">
      <c r="B137"/>
      <c r="C137"/>
      <c r="D137"/>
      <c r="F137"/>
      <c r="G137"/>
    </row>
    <row r="138" spans="2:8">
      <c r="B138"/>
      <c r="C138"/>
      <c r="D138"/>
      <c r="F138"/>
      <c r="G138"/>
    </row>
    <row r="139" spans="2:8">
      <c r="B139"/>
      <c r="C139"/>
      <c r="D139"/>
      <c r="F139"/>
      <c r="G139"/>
    </row>
    <row r="140" spans="2:8">
      <c r="B140"/>
      <c r="C140"/>
      <c r="D140"/>
      <c r="F140"/>
      <c r="G140"/>
    </row>
    <row r="141" spans="2:8">
      <c r="B141"/>
      <c r="C141"/>
      <c r="D141"/>
      <c r="F141"/>
      <c r="G141"/>
    </row>
    <row r="142" spans="2:8">
      <c r="B142"/>
      <c r="C142"/>
      <c r="D142"/>
      <c r="F142"/>
      <c r="G142"/>
    </row>
    <row r="143" spans="2:8">
      <c r="B143"/>
      <c r="C143"/>
      <c r="D143"/>
      <c r="F143"/>
      <c r="G143"/>
    </row>
    <row r="144" spans="2:8">
      <c r="B144"/>
      <c r="C144"/>
      <c r="D144"/>
      <c r="F144"/>
      <c r="G144"/>
    </row>
    <row r="145" spans="2:7">
      <c r="B145"/>
      <c r="C145"/>
      <c r="D145"/>
      <c r="F145"/>
      <c r="G145"/>
    </row>
    <row r="146" spans="2:7">
      <c r="B146"/>
      <c r="C146"/>
      <c r="D146"/>
      <c r="E146"/>
      <c r="F146"/>
    </row>
    <row r="147" spans="2:7">
      <c r="B147"/>
      <c r="C147"/>
      <c r="D147"/>
      <c r="E147"/>
      <c r="F147"/>
    </row>
    <row r="148" spans="2:7">
      <c r="B148"/>
      <c r="C148"/>
      <c r="D148"/>
      <c r="E148"/>
      <c r="F148"/>
    </row>
    <row r="149" spans="2:7">
      <c r="B149"/>
      <c r="C149"/>
      <c r="D149"/>
      <c r="E149"/>
      <c r="F149"/>
    </row>
    <row r="150" spans="2:7">
      <c r="B150"/>
      <c r="C150"/>
      <c r="D150"/>
      <c r="E150"/>
      <c r="F150"/>
    </row>
    <row r="151" spans="2:7">
      <c r="B151"/>
      <c r="C151"/>
      <c r="D151"/>
      <c r="E151"/>
      <c r="F151"/>
    </row>
    <row r="152" spans="2:7">
      <c r="B152"/>
      <c r="C152"/>
      <c r="D152"/>
      <c r="E152"/>
      <c r="F152"/>
    </row>
    <row r="153" spans="2:7">
      <c r="B153"/>
      <c r="C153"/>
      <c r="D153"/>
      <c r="E153"/>
      <c r="F153"/>
    </row>
    <row r="154" spans="2:7">
      <c r="B154"/>
      <c r="C154"/>
      <c r="D154"/>
      <c r="E154"/>
      <c r="F154"/>
    </row>
    <row r="155" spans="2:7">
      <c r="B155"/>
      <c r="C155"/>
      <c r="D155"/>
      <c r="E155"/>
      <c r="F155"/>
    </row>
    <row r="156" spans="2:7">
      <c r="B156"/>
      <c r="C156"/>
      <c r="D156"/>
      <c r="E156"/>
      <c r="F156"/>
    </row>
    <row r="157" spans="2:7">
      <c r="B157"/>
      <c r="C157"/>
      <c r="D157"/>
      <c r="E157"/>
      <c r="F157"/>
    </row>
    <row r="158" spans="2:7">
      <c r="B158"/>
      <c r="C158"/>
      <c r="D158"/>
      <c r="E158"/>
      <c r="F158"/>
    </row>
    <row r="159" spans="2:7">
      <c r="B159"/>
      <c r="C159"/>
      <c r="D159"/>
      <c r="E159"/>
      <c r="F159"/>
    </row>
    <row r="160" spans="2:7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2:N16"/>
  <sheetViews>
    <sheetView workbookViewId="0">
      <selection activeCell="S12" sqref="S12"/>
    </sheetView>
  </sheetViews>
  <sheetFormatPr defaultColWidth="9.1328125" defaultRowHeight="12.75"/>
  <cols>
    <col min="1" max="3" width="9.1328125" style="182"/>
    <col min="4" max="4" width="25.73046875" style="182" customWidth="1"/>
    <col min="5" max="17" width="9.1328125" style="182"/>
    <col min="18" max="18" width="9.1328125" style="182" customWidth="1"/>
    <col min="19" max="19" width="9.265625" style="182" customWidth="1"/>
    <col min="20" max="23" width="9.1328125" style="182" customWidth="1"/>
    <col min="24" max="16384" width="9.1328125" style="182"/>
  </cols>
  <sheetData>
    <row r="2" spans="4:14" ht="13.15">
      <c r="D2" s="69"/>
      <c r="E2" s="69"/>
      <c r="F2" s="71" t="s">
        <v>13</v>
      </c>
      <c r="G2" s="71"/>
      <c r="H2" s="71"/>
      <c r="I2" s="71"/>
      <c r="J2" s="71"/>
      <c r="K2" s="71"/>
      <c r="L2" s="71"/>
      <c r="M2" s="69"/>
      <c r="N2" s="69"/>
    </row>
    <row r="3" spans="4:14" ht="13.15">
      <c r="D3" s="72" t="s">
        <v>1</v>
      </c>
      <c r="E3" s="72" t="s">
        <v>5</v>
      </c>
      <c r="F3" s="72" t="s">
        <v>6</v>
      </c>
      <c r="G3" s="73" t="s">
        <v>74</v>
      </c>
      <c r="H3" s="74" t="s">
        <v>69</v>
      </c>
      <c r="I3" s="74" t="s">
        <v>56</v>
      </c>
      <c r="J3" s="74" t="s">
        <v>54</v>
      </c>
      <c r="K3" s="74" t="s">
        <v>336</v>
      </c>
      <c r="L3" s="74" t="s">
        <v>346</v>
      </c>
      <c r="M3" s="74" t="s">
        <v>347</v>
      </c>
    </row>
    <row r="4" spans="4:14" ht="34.9">
      <c r="D4" s="188" t="s">
        <v>37</v>
      </c>
      <c r="E4" s="188" t="s">
        <v>32</v>
      </c>
      <c r="F4" s="188" t="s">
        <v>33</v>
      </c>
      <c r="G4" s="188" t="s">
        <v>73</v>
      </c>
      <c r="H4" s="188" t="s">
        <v>34</v>
      </c>
      <c r="I4" s="188" t="s">
        <v>58</v>
      </c>
      <c r="J4" s="188" t="s">
        <v>77</v>
      </c>
      <c r="K4" s="193" t="s">
        <v>348</v>
      </c>
      <c r="L4" s="193" t="s">
        <v>349</v>
      </c>
      <c r="M4" s="193" t="s">
        <v>350</v>
      </c>
    </row>
    <row r="5" spans="4:14">
      <c r="D5" s="188" t="s">
        <v>59</v>
      </c>
      <c r="E5" s="188"/>
      <c r="F5" s="188"/>
      <c r="G5" s="188"/>
      <c r="H5" s="188" t="s">
        <v>289</v>
      </c>
      <c r="I5" s="188"/>
      <c r="J5" s="188" t="s">
        <v>60</v>
      </c>
      <c r="K5" s="193" t="s">
        <v>351</v>
      </c>
      <c r="L5" s="193" t="s">
        <v>351</v>
      </c>
      <c r="M5" s="193" t="s">
        <v>352</v>
      </c>
    </row>
    <row r="6" spans="4:14" ht="13.15">
      <c r="D6" s="182" t="str">
        <f>COM_techs!P7</f>
        <v>FTE_COMCOA_00</v>
      </c>
      <c r="E6" s="182" t="s">
        <v>42</v>
      </c>
      <c r="F6" s="182" t="str">
        <f>MID(D6,5,6)</f>
        <v>COMCOA</v>
      </c>
      <c r="G6" s="189">
        <v>1</v>
      </c>
      <c r="I6" s="182">
        <v>1</v>
      </c>
      <c r="J6" s="182">
        <v>100</v>
      </c>
      <c r="K6" s="61"/>
      <c r="L6" s="61"/>
      <c r="M6" s="61"/>
    </row>
    <row r="7" spans="4:14" ht="13.15">
      <c r="E7" s="182" t="s">
        <v>167</v>
      </c>
      <c r="G7" s="189">
        <f>0.1</f>
        <v>0.1</v>
      </c>
      <c r="K7" s="61"/>
      <c r="L7" s="61"/>
    </row>
    <row r="8" spans="4:14" ht="13.15">
      <c r="D8" s="182" t="str">
        <f>COM_techs!P8</f>
        <v>FTE_COMNGA_00</v>
      </c>
      <c r="E8" s="182" t="str">
        <f>+RIGHT(F8,3)</f>
        <v>NGA</v>
      </c>
      <c r="F8" s="182" t="str">
        <f>MID(D8,5,6)</f>
        <v>COMNGA</v>
      </c>
      <c r="I8" s="182">
        <v>1</v>
      </c>
      <c r="J8" s="182">
        <v>100</v>
      </c>
      <c r="K8" s="61"/>
      <c r="L8" s="61"/>
      <c r="M8" s="182">
        <v>9.35</v>
      </c>
    </row>
    <row r="9" spans="4:14">
      <c r="D9" s="182" t="str">
        <f>COM_techs!P9</f>
        <v>FTE_COMLPG_00</v>
      </c>
      <c r="E9" s="182" t="str">
        <f t="shared" ref="E9:E16" si="0">+RIGHT(F9,3)</f>
        <v>LPG</v>
      </c>
      <c r="F9" s="182" t="str">
        <f t="shared" ref="F9:F16" si="1">MID(D9,5,6)</f>
        <v>COMLPG</v>
      </c>
      <c r="I9" s="182">
        <v>1</v>
      </c>
      <c r="J9" s="182">
        <v>100</v>
      </c>
    </row>
    <row r="10" spans="4:14">
      <c r="D10" s="182" t="str">
        <f>COM_techs!P10</f>
        <v>FTE_COMDSL_00</v>
      </c>
      <c r="E10" s="182" t="str">
        <f t="shared" si="0"/>
        <v>DSL</v>
      </c>
      <c r="F10" s="182" t="str">
        <f t="shared" si="1"/>
        <v>COMDSL</v>
      </c>
      <c r="I10" s="182">
        <v>1</v>
      </c>
      <c r="J10" s="182">
        <v>100</v>
      </c>
      <c r="M10" s="182">
        <v>0.92</v>
      </c>
    </row>
    <row r="11" spans="4:14">
      <c r="D11" s="182" t="str">
        <f>COM_techs!P11</f>
        <v>FTE_COMBIG_00</v>
      </c>
      <c r="E11" s="182" t="str">
        <f t="shared" si="0"/>
        <v>BIG</v>
      </c>
      <c r="F11" s="182" t="str">
        <f t="shared" si="1"/>
        <v>COMBIG</v>
      </c>
      <c r="I11" s="182">
        <v>1</v>
      </c>
      <c r="J11" s="182">
        <v>100</v>
      </c>
    </row>
    <row r="12" spans="4:14">
      <c r="D12" s="182" t="str">
        <f>COM_techs!P12</f>
        <v>FTE_COMGEO_00</v>
      </c>
      <c r="E12" s="182" t="str">
        <f t="shared" si="0"/>
        <v>GEO</v>
      </c>
      <c r="F12" s="182" t="str">
        <f t="shared" si="1"/>
        <v>COMGEO</v>
      </c>
      <c r="I12" s="182">
        <v>1</v>
      </c>
      <c r="J12" s="182">
        <v>100</v>
      </c>
    </row>
    <row r="13" spans="4:14">
      <c r="D13" s="182" t="str">
        <f>COM_techs!P13</f>
        <v>FTE_COMFOL_00</v>
      </c>
      <c r="E13" s="182" t="str">
        <f t="shared" si="0"/>
        <v>FOL</v>
      </c>
      <c r="F13" s="182" t="str">
        <f t="shared" si="1"/>
        <v>COMFOL</v>
      </c>
      <c r="I13" s="182">
        <v>1</v>
      </c>
      <c r="J13" s="182">
        <v>100</v>
      </c>
      <c r="M13" s="182">
        <v>0.92</v>
      </c>
    </row>
    <row r="14" spans="4:14">
      <c r="D14" s="182" t="str">
        <f>COM_techs!P14</f>
        <v>FTE_COMPET_00</v>
      </c>
      <c r="E14" s="182" t="str">
        <f t="shared" si="0"/>
        <v>PET</v>
      </c>
      <c r="F14" s="182" t="str">
        <f t="shared" si="1"/>
        <v>COMPET</v>
      </c>
      <c r="I14" s="182">
        <v>1</v>
      </c>
      <c r="J14" s="182">
        <v>100</v>
      </c>
      <c r="M14" s="182">
        <v>0.92</v>
      </c>
    </row>
    <row r="15" spans="4:14">
      <c r="D15" s="182" t="str">
        <f>COM_techs!P15</f>
        <v>FTE_COMWOD_00</v>
      </c>
      <c r="E15" s="182" t="str">
        <f>+RIGHT(F15,3)</f>
        <v>WOD</v>
      </c>
      <c r="F15" s="182" t="str">
        <f t="shared" si="1"/>
        <v>COMWOD</v>
      </c>
      <c r="I15" s="182">
        <v>1</v>
      </c>
      <c r="J15" s="182">
        <v>100</v>
      </c>
    </row>
    <row r="16" spans="4:14">
      <c r="D16" s="182" t="str">
        <f>COM_techs!P16</f>
        <v>FTE_COMPLT_00</v>
      </c>
      <c r="E16" s="182" t="str">
        <f t="shared" si="0"/>
        <v>PLT</v>
      </c>
      <c r="F16" s="182" t="str">
        <f t="shared" si="1"/>
        <v>COMPLT</v>
      </c>
      <c r="I16" s="182">
        <v>1</v>
      </c>
      <c r="J16" s="182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T171"/>
  <sheetViews>
    <sheetView topLeftCell="A100" zoomScale="80" zoomScaleNormal="80" workbookViewId="0">
      <selection activeCell="E135" sqref="E135:E136"/>
    </sheetView>
  </sheetViews>
  <sheetFormatPr defaultColWidth="9.1328125" defaultRowHeight="14.25"/>
  <cols>
    <col min="1" max="2" width="9.1328125" style="230"/>
    <col min="3" max="3" width="28.59765625" style="230" customWidth="1"/>
    <col min="4" max="4" width="37.265625" style="230" customWidth="1"/>
    <col min="5" max="5" width="9.1328125" style="230"/>
    <col min="6" max="6" width="16.86328125" style="230" customWidth="1"/>
    <col min="7" max="7" width="27.3984375" style="230" customWidth="1"/>
    <col min="8" max="8" width="8.3984375" style="230" bestFit="1" customWidth="1"/>
    <col min="9" max="9" width="9.265625" style="230" bestFit="1" customWidth="1"/>
    <col min="10" max="10" width="9.1328125" style="230"/>
    <col min="11" max="11" width="8.86328125" style="239" bestFit="1" customWidth="1"/>
    <col min="12" max="12" width="7.86328125" style="230" bestFit="1" customWidth="1"/>
    <col min="13" max="13" width="7.73046875" style="230" bestFit="1" customWidth="1"/>
    <col min="14" max="14" width="8.73046875" style="230" bestFit="1" customWidth="1"/>
    <col min="15" max="15" width="8.59765625" style="230" bestFit="1" customWidth="1"/>
    <col min="16" max="16" width="10.265625" style="230" bestFit="1" customWidth="1"/>
    <col min="17" max="17" width="9.86328125" style="230" bestFit="1" customWidth="1"/>
    <col min="18" max="18" width="11" style="230" customWidth="1"/>
    <col min="19" max="19" width="26.1328125" style="230" bestFit="1" customWidth="1"/>
    <col min="20" max="20" width="11.59765625" style="230" customWidth="1"/>
    <col min="21" max="21" width="13" style="230" customWidth="1"/>
    <col min="22" max="22" width="14" style="230" customWidth="1"/>
    <col min="23" max="16384" width="9.1328125" style="230"/>
  </cols>
  <sheetData>
    <row r="3" spans="3:18">
      <c r="F3" s="173" t="s">
        <v>13</v>
      </c>
    </row>
    <row r="4" spans="3:18" ht="20.25">
      <c r="C4" s="226" t="s">
        <v>1</v>
      </c>
      <c r="D4" s="227" t="s">
        <v>312</v>
      </c>
      <c r="E4" s="226" t="s">
        <v>5</v>
      </c>
      <c r="F4" s="226" t="s">
        <v>6</v>
      </c>
      <c r="G4" s="226" t="s">
        <v>833</v>
      </c>
      <c r="H4" s="228" t="s">
        <v>56</v>
      </c>
      <c r="I4" s="228" t="s">
        <v>838</v>
      </c>
      <c r="J4" s="228" t="s">
        <v>313</v>
      </c>
      <c r="K4" s="229" t="s">
        <v>336</v>
      </c>
      <c r="L4" s="228" t="s">
        <v>346</v>
      </c>
      <c r="M4" s="228" t="s">
        <v>360</v>
      </c>
      <c r="N4" s="228" t="s">
        <v>354</v>
      </c>
      <c r="O4" s="228" t="s">
        <v>353</v>
      </c>
      <c r="P4" s="228" t="s">
        <v>834</v>
      </c>
      <c r="Q4" s="228" t="s">
        <v>837</v>
      </c>
      <c r="R4" s="228" t="s">
        <v>364</v>
      </c>
    </row>
    <row r="5" spans="3:18" ht="40.9" thickBot="1">
      <c r="C5" s="231" t="s">
        <v>37</v>
      </c>
      <c r="D5" s="231" t="s">
        <v>22</v>
      </c>
      <c r="E5" s="231" t="s">
        <v>32</v>
      </c>
      <c r="F5" s="231" t="s">
        <v>33</v>
      </c>
      <c r="G5" s="231" t="s">
        <v>835</v>
      </c>
      <c r="H5" s="231" t="s">
        <v>58</v>
      </c>
      <c r="I5" s="231"/>
      <c r="J5" s="231" t="s">
        <v>315</v>
      </c>
      <c r="K5" s="232" t="s">
        <v>533</v>
      </c>
      <c r="L5" s="231" t="s">
        <v>534</v>
      </c>
      <c r="M5" s="231" t="s">
        <v>535</v>
      </c>
      <c r="N5" s="231" t="s">
        <v>836</v>
      </c>
      <c r="O5" s="231" t="s">
        <v>317</v>
      </c>
      <c r="P5" s="231" t="s">
        <v>318</v>
      </c>
      <c r="Q5" s="231" t="s">
        <v>536</v>
      </c>
      <c r="R5" s="231" t="s">
        <v>318</v>
      </c>
    </row>
    <row r="6" spans="3:18">
      <c r="C6" s="233" t="s">
        <v>680</v>
      </c>
      <c r="D6" s="234" t="s">
        <v>537</v>
      </c>
      <c r="E6" s="235" t="s">
        <v>249</v>
      </c>
      <c r="F6" s="235" t="s">
        <v>681</v>
      </c>
      <c r="G6" s="266">
        <v>0.11312762899999999</v>
      </c>
      <c r="H6" s="236">
        <v>0.9</v>
      </c>
      <c r="I6" s="236"/>
      <c r="J6" s="237">
        <v>4</v>
      </c>
      <c r="K6" s="238">
        <v>5000</v>
      </c>
      <c r="L6" s="238">
        <v>0</v>
      </c>
      <c r="M6" s="237">
        <v>0.22</v>
      </c>
      <c r="N6" s="237">
        <v>31.536000000000001</v>
      </c>
      <c r="O6" s="237">
        <f>+R6/M6/N6</f>
        <v>3.1845028400010371E-3</v>
      </c>
      <c r="P6" s="237">
        <f>+G6*H6</f>
        <v>0.1018148661</v>
      </c>
      <c r="Q6" s="237">
        <v>0.78300000000000003</v>
      </c>
      <c r="R6" s="244">
        <f>+P6*(1-Q6)</f>
        <v>2.2093825943699998E-2</v>
      </c>
    </row>
    <row r="7" spans="3:18">
      <c r="C7" s="233" t="s">
        <v>683</v>
      </c>
      <c r="D7" s="234" t="s">
        <v>540</v>
      </c>
      <c r="E7" s="235" t="s">
        <v>249</v>
      </c>
      <c r="F7" s="235" t="s">
        <v>682</v>
      </c>
      <c r="G7" s="266">
        <v>6.0710995600000012E-3</v>
      </c>
      <c r="H7" s="236">
        <v>1.4999999999999999E-2</v>
      </c>
      <c r="I7" s="236">
        <v>0.01</v>
      </c>
      <c r="J7" s="237">
        <v>1</v>
      </c>
      <c r="K7" s="238">
        <v>22</v>
      </c>
      <c r="L7" s="238">
        <v>0</v>
      </c>
      <c r="M7" s="237">
        <v>0.22</v>
      </c>
      <c r="N7" s="237">
        <v>31.536000000000001</v>
      </c>
      <c r="O7" s="237">
        <f t="shared" ref="O7:O71" si="0">+R7/M7/N7</f>
        <v>2.8483218410993496E-6</v>
      </c>
      <c r="P7" s="237">
        <f t="shared" ref="P7:P71" si="1">+G7*H7</f>
        <v>9.1066493400000014E-5</v>
      </c>
      <c r="Q7" s="237">
        <v>0.78300000000000003</v>
      </c>
      <c r="R7" s="244">
        <f t="shared" ref="R7:R68" si="2">+P7*(1-Q7)</f>
        <v>1.97614290678E-5</v>
      </c>
    </row>
    <row r="8" spans="3:18">
      <c r="C8" s="233" t="s">
        <v>684</v>
      </c>
      <c r="D8" s="234" t="s">
        <v>541</v>
      </c>
      <c r="E8" s="235" t="s">
        <v>249</v>
      </c>
      <c r="F8" s="235" t="s">
        <v>682</v>
      </c>
      <c r="G8" s="266">
        <v>0.49175906436000011</v>
      </c>
      <c r="H8" s="236">
        <v>0.13500000000000001</v>
      </c>
      <c r="I8" s="236">
        <v>0.81</v>
      </c>
      <c r="J8" s="237">
        <v>5</v>
      </c>
      <c r="K8" s="238">
        <v>333</v>
      </c>
      <c r="L8" s="238">
        <v>0</v>
      </c>
      <c r="M8" s="237">
        <v>0.22</v>
      </c>
      <c r="N8" s="237">
        <v>31.536000000000001</v>
      </c>
      <c r="O8" s="237">
        <f t="shared" si="0"/>
        <v>2.0764266221614263E-3</v>
      </c>
      <c r="P8" s="237">
        <f t="shared" si="1"/>
        <v>6.6387473688600013E-2</v>
      </c>
      <c r="Q8" s="237">
        <v>0.78300000000000003</v>
      </c>
      <c r="R8" s="244">
        <f t="shared" si="2"/>
        <v>1.4406081790426201E-2</v>
      </c>
    </row>
    <row r="9" spans="3:18">
      <c r="C9" s="233" t="s">
        <v>685</v>
      </c>
      <c r="D9" s="234" t="s">
        <v>542</v>
      </c>
      <c r="E9" s="235" t="s">
        <v>249</v>
      </c>
      <c r="F9" s="235" t="s">
        <v>682</v>
      </c>
      <c r="G9" s="266">
        <v>0.10927979208000001</v>
      </c>
      <c r="H9" s="236">
        <v>0.25</v>
      </c>
      <c r="I9" s="236">
        <v>0.18</v>
      </c>
      <c r="J9" s="237">
        <v>20</v>
      </c>
      <c r="K9" s="238">
        <v>1000</v>
      </c>
      <c r="L9" s="238">
        <v>0</v>
      </c>
      <c r="M9" s="237">
        <v>0.22</v>
      </c>
      <c r="N9" s="237">
        <v>31.536000000000001</v>
      </c>
      <c r="O9" s="237">
        <f t="shared" si="0"/>
        <v>8.5449655232980488E-4</v>
      </c>
      <c r="P9" s="237">
        <f t="shared" si="1"/>
        <v>2.7319948020000002E-2</v>
      </c>
      <c r="Q9" s="237">
        <v>0.78300000000000003</v>
      </c>
      <c r="R9" s="244">
        <f t="shared" si="2"/>
        <v>5.9284287203399998E-3</v>
      </c>
    </row>
    <row r="10" spans="3:18">
      <c r="C10" s="233" t="s">
        <v>686</v>
      </c>
      <c r="D10" s="234" t="s">
        <v>543</v>
      </c>
      <c r="E10" s="235" t="s">
        <v>237</v>
      </c>
      <c r="F10" s="235" t="s">
        <v>687</v>
      </c>
      <c r="G10" s="266">
        <v>0.107400894</v>
      </c>
      <c r="H10" s="236">
        <v>0.75</v>
      </c>
      <c r="I10" s="236"/>
      <c r="J10" s="237">
        <v>25</v>
      </c>
      <c r="K10" s="238">
        <v>4000</v>
      </c>
      <c r="L10" s="238">
        <v>15</v>
      </c>
      <c r="M10" s="237">
        <v>0.1</v>
      </c>
      <c r="N10" s="237">
        <v>31.536000000000001</v>
      </c>
      <c r="O10" s="237">
        <f t="shared" si="0"/>
        <v>5.5427116623858437E-3</v>
      </c>
      <c r="P10" s="237">
        <f t="shared" si="1"/>
        <v>8.0550670500000005E-2</v>
      </c>
      <c r="Q10" s="237">
        <v>0.78300000000000003</v>
      </c>
      <c r="R10" s="244">
        <f t="shared" si="2"/>
        <v>1.7479495498499999E-2</v>
      </c>
    </row>
    <row r="11" spans="3:18">
      <c r="C11" s="233" t="s">
        <v>688</v>
      </c>
      <c r="D11" s="234" t="s">
        <v>545</v>
      </c>
      <c r="E11" s="235" t="s">
        <v>322</v>
      </c>
      <c r="F11" s="235" t="s">
        <v>687</v>
      </c>
      <c r="G11" s="266">
        <v>2.2328154000000003E-2</v>
      </c>
      <c r="H11" s="236">
        <v>0.85</v>
      </c>
      <c r="I11" s="236"/>
      <c r="J11" s="237">
        <v>25</v>
      </c>
      <c r="K11" s="238">
        <v>1900</v>
      </c>
      <c r="L11" s="238">
        <v>3</v>
      </c>
      <c r="M11" s="237">
        <v>0.1</v>
      </c>
      <c r="N11" s="237">
        <v>31.536000000000001</v>
      </c>
      <c r="O11" s="237">
        <f t="shared" si="0"/>
        <v>1.3059449534817353E-3</v>
      </c>
      <c r="P11" s="237">
        <f t="shared" si="1"/>
        <v>1.8978930900000003E-2</v>
      </c>
      <c r="Q11" s="237">
        <v>0.78300000000000003</v>
      </c>
      <c r="R11" s="244">
        <f t="shared" si="2"/>
        <v>4.1184280053000004E-3</v>
      </c>
    </row>
    <row r="12" spans="3:18">
      <c r="C12" s="233" t="s">
        <v>689</v>
      </c>
      <c r="D12" s="234" t="s">
        <v>546</v>
      </c>
      <c r="E12" s="235" t="s">
        <v>334</v>
      </c>
      <c r="F12" s="235" t="s">
        <v>687</v>
      </c>
      <c r="G12" s="266">
        <v>3.7342589999999998E-3</v>
      </c>
      <c r="H12" s="236">
        <v>0.84</v>
      </c>
      <c r="I12" s="236"/>
      <c r="J12" s="237">
        <v>25</v>
      </c>
      <c r="K12" s="238">
        <v>1900</v>
      </c>
      <c r="L12" s="238">
        <v>3</v>
      </c>
      <c r="M12" s="237">
        <v>0.1</v>
      </c>
      <c r="N12" s="237">
        <v>31.536000000000001</v>
      </c>
      <c r="O12" s="237">
        <f t="shared" si="0"/>
        <v>2.1584244372146113E-4</v>
      </c>
      <c r="P12" s="237">
        <f t="shared" si="1"/>
        <v>3.1367775599999998E-3</v>
      </c>
      <c r="Q12" s="237">
        <v>0.78300000000000003</v>
      </c>
      <c r="R12" s="244">
        <f t="shared" si="2"/>
        <v>6.8068073051999987E-4</v>
      </c>
    </row>
    <row r="13" spans="3:18">
      <c r="C13" s="233" t="s">
        <v>690</v>
      </c>
      <c r="D13" s="234" t="s">
        <v>547</v>
      </c>
      <c r="E13" s="235" t="s">
        <v>240</v>
      </c>
      <c r="F13" s="235" t="s">
        <v>687</v>
      </c>
      <c r="G13" s="266">
        <v>0.42693983600000002</v>
      </c>
      <c r="H13" s="236">
        <v>0.85</v>
      </c>
      <c r="I13" s="236"/>
      <c r="J13" s="237">
        <v>25</v>
      </c>
      <c r="K13" s="238">
        <v>1250</v>
      </c>
      <c r="L13" s="238">
        <v>2</v>
      </c>
      <c r="M13" s="237">
        <v>0.1</v>
      </c>
      <c r="N13" s="237">
        <v>31.536000000000001</v>
      </c>
      <c r="O13" s="237">
        <f t="shared" si="0"/>
        <v>0</v>
      </c>
      <c r="P13" s="237">
        <f t="shared" si="1"/>
        <v>0.36289886059999998</v>
      </c>
      <c r="Q13" s="237">
        <v>1</v>
      </c>
      <c r="R13" s="244">
        <f t="shared" si="2"/>
        <v>0</v>
      </c>
    </row>
    <row r="14" spans="3:18">
      <c r="C14" s="233" t="s">
        <v>691</v>
      </c>
      <c r="D14" s="234" t="s">
        <v>548</v>
      </c>
      <c r="E14" s="235" t="s">
        <v>240</v>
      </c>
      <c r="F14" s="235" t="s">
        <v>687</v>
      </c>
      <c r="G14" s="266">
        <v>0.23460196899999999</v>
      </c>
      <c r="H14" s="236">
        <v>0.8</v>
      </c>
      <c r="I14" s="236"/>
      <c r="J14" s="237">
        <v>12.5</v>
      </c>
      <c r="K14" s="238">
        <v>300</v>
      </c>
      <c r="L14" s="238">
        <v>0</v>
      </c>
      <c r="M14" s="237">
        <v>0.1</v>
      </c>
      <c r="N14" s="237">
        <v>31.536000000000001</v>
      </c>
      <c r="O14" s="237">
        <f t="shared" si="0"/>
        <v>0</v>
      </c>
      <c r="P14" s="237">
        <f t="shared" si="1"/>
        <v>0.18768157520000001</v>
      </c>
      <c r="Q14" s="237">
        <v>1</v>
      </c>
      <c r="R14" s="244">
        <f t="shared" si="2"/>
        <v>0</v>
      </c>
    </row>
    <row r="15" spans="3:18">
      <c r="C15" s="233" t="s">
        <v>692</v>
      </c>
      <c r="D15" s="234" t="s">
        <v>549</v>
      </c>
      <c r="E15" s="235" t="s">
        <v>249</v>
      </c>
      <c r="F15" s="235" t="s">
        <v>687</v>
      </c>
      <c r="G15" s="266">
        <v>2.0628337E-2</v>
      </c>
      <c r="H15" s="236">
        <v>3.5</v>
      </c>
      <c r="I15" s="236"/>
      <c r="J15" s="237">
        <v>10</v>
      </c>
      <c r="K15" s="238">
        <v>1718</v>
      </c>
      <c r="L15" s="238">
        <v>0</v>
      </c>
      <c r="M15" s="237">
        <v>0.1</v>
      </c>
      <c r="N15" s="237">
        <v>31.536000000000001</v>
      </c>
      <c r="O15" s="237">
        <f t="shared" si="0"/>
        <v>4.9680434904553518E-3</v>
      </c>
      <c r="P15" s="237">
        <f t="shared" si="1"/>
        <v>7.2199179500000002E-2</v>
      </c>
      <c r="Q15" s="237">
        <v>0.78300000000000003</v>
      </c>
      <c r="R15" s="244">
        <f t="shared" si="2"/>
        <v>1.5667221951499999E-2</v>
      </c>
    </row>
    <row r="16" spans="3:18">
      <c r="C16" s="233" t="s">
        <v>693</v>
      </c>
      <c r="D16" s="234" t="s">
        <v>550</v>
      </c>
      <c r="E16" s="235" t="s">
        <v>249</v>
      </c>
      <c r="F16" s="235" t="s">
        <v>687</v>
      </c>
      <c r="G16" s="266">
        <v>1.3732336140000003</v>
      </c>
      <c r="H16" s="236">
        <v>0.99</v>
      </c>
      <c r="I16" s="236"/>
      <c r="J16" s="237">
        <v>10</v>
      </c>
      <c r="K16" s="238">
        <v>80</v>
      </c>
      <c r="L16" s="238">
        <v>0</v>
      </c>
      <c r="M16" s="237">
        <v>0.1</v>
      </c>
      <c r="N16" s="237">
        <v>31.536000000000001</v>
      </c>
      <c r="O16" s="237">
        <f t="shared" si="0"/>
        <v>9.3547620908047954E-2</v>
      </c>
      <c r="P16" s="237">
        <f t="shared" si="1"/>
        <v>1.3595012778600004</v>
      </c>
      <c r="Q16" s="237">
        <v>0.78300000000000003</v>
      </c>
      <c r="R16" s="244">
        <f t="shared" si="2"/>
        <v>0.29501177729562006</v>
      </c>
    </row>
    <row r="17" spans="3:20">
      <c r="C17" s="233" t="s">
        <v>694</v>
      </c>
      <c r="D17" s="234" t="s">
        <v>543</v>
      </c>
      <c r="E17" s="235" t="s">
        <v>237</v>
      </c>
      <c r="F17" s="235" t="s">
        <v>695</v>
      </c>
      <c r="G17" s="266">
        <v>1.2821948000000001E-2</v>
      </c>
      <c r="H17" s="236">
        <v>0.75</v>
      </c>
      <c r="I17" s="236"/>
      <c r="J17" s="237">
        <v>25</v>
      </c>
      <c r="K17" s="238">
        <v>4000</v>
      </c>
      <c r="L17" s="238">
        <v>15</v>
      </c>
      <c r="M17" s="237">
        <v>0.22</v>
      </c>
      <c r="N17" s="237">
        <v>31.536000000000001</v>
      </c>
      <c r="O17" s="237">
        <f t="shared" si="0"/>
        <v>3.0077776004912131E-4</v>
      </c>
      <c r="P17" s="237">
        <f t="shared" si="1"/>
        <v>9.6164610000000015E-3</v>
      </c>
      <c r="Q17" s="237">
        <v>0.78300000000000003</v>
      </c>
      <c r="R17" s="244">
        <f t="shared" si="2"/>
        <v>2.086772037E-3</v>
      </c>
    </row>
    <row r="18" spans="3:20">
      <c r="C18" s="233" t="s">
        <v>696</v>
      </c>
      <c r="D18" s="234" t="s">
        <v>552</v>
      </c>
      <c r="E18" s="235" t="s">
        <v>249</v>
      </c>
      <c r="F18" s="235" t="s">
        <v>695</v>
      </c>
      <c r="G18" s="266">
        <v>0.12639834799999999</v>
      </c>
      <c r="H18" s="236">
        <v>0.9</v>
      </c>
      <c r="I18" s="236"/>
      <c r="J18" s="237">
        <v>15</v>
      </c>
      <c r="K18" s="238">
        <v>655</v>
      </c>
      <c r="L18" s="238">
        <v>0</v>
      </c>
      <c r="M18" s="237">
        <v>0.22</v>
      </c>
      <c r="N18" s="237">
        <v>31.536000000000001</v>
      </c>
      <c r="O18" s="237">
        <f t="shared" si="0"/>
        <v>3.5580688973640504E-3</v>
      </c>
      <c r="P18" s="237">
        <f t="shared" si="1"/>
        <v>0.11375851319999999</v>
      </c>
      <c r="Q18" s="237">
        <v>0.78300000000000003</v>
      </c>
      <c r="R18" s="244">
        <f t="shared" si="2"/>
        <v>2.4685597364399996E-2</v>
      </c>
      <c r="T18" s="286"/>
    </row>
    <row r="19" spans="3:20">
      <c r="C19" s="233" t="s">
        <v>697</v>
      </c>
      <c r="D19" s="234" t="s">
        <v>553</v>
      </c>
      <c r="E19" s="235" t="s">
        <v>240</v>
      </c>
      <c r="F19" s="235" t="s">
        <v>695</v>
      </c>
      <c r="G19" s="266">
        <v>5.4405725000000002E-2</v>
      </c>
      <c r="H19" s="236">
        <v>0.6</v>
      </c>
      <c r="I19" s="236"/>
      <c r="J19" s="237">
        <v>15</v>
      </c>
      <c r="K19" s="238">
        <v>316</v>
      </c>
      <c r="L19" s="238">
        <v>0</v>
      </c>
      <c r="M19" s="237">
        <v>0.22</v>
      </c>
      <c r="N19" s="237">
        <v>31.536000000000001</v>
      </c>
      <c r="O19" s="237">
        <f t="shared" si="0"/>
        <v>0</v>
      </c>
      <c r="P19" s="237">
        <f t="shared" si="1"/>
        <v>3.2643434999999998E-2</v>
      </c>
      <c r="Q19" s="237">
        <v>1</v>
      </c>
      <c r="R19" s="244">
        <f t="shared" si="2"/>
        <v>0</v>
      </c>
    </row>
    <row r="20" spans="3:20">
      <c r="C20" s="233" t="s">
        <v>698</v>
      </c>
      <c r="D20" s="234" t="s">
        <v>554</v>
      </c>
      <c r="E20" s="235" t="s">
        <v>322</v>
      </c>
      <c r="F20" s="235" t="s">
        <v>699</v>
      </c>
      <c r="G20" s="266">
        <v>0.49166672619999996</v>
      </c>
      <c r="H20" s="236">
        <v>0.16</v>
      </c>
      <c r="I20" s="236"/>
      <c r="J20" s="237">
        <v>20</v>
      </c>
      <c r="K20" s="238">
        <v>929</v>
      </c>
      <c r="L20" s="238">
        <v>7</v>
      </c>
      <c r="M20" s="237">
        <v>0.05</v>
      </c>
      <c r="N20" s="237">
        <v>31.536000000000001</v>
      </c>
      <c r="O20" s="237">
        <f t="shared" si="0"/>
        <v>1.0826147091364785E-2</v>
      </c>
      <c r="P20" s="237">
        <f t="shared" si="1"/>
        <v>7.866667619199999E-2</v>
      </c>
      <c r="Q20" s="237">
        <v>0.78300000000000003</v>
      </c>
      <c r="R20" s="244">
        <f t="shared" si="2"/>
        <v>1.7070668733663995E-2</v>
      </c>
    </row>
    <row r="21" spans="3:20">
      <c r="C21" s="233" t="s">
        <v>700</v>
      </c>
      <c r="D21" s="234" t="s">
        <v>556</v>
      </c>
      <c r="E21" s="235" t="s">
        <v>323</v>
      </c>
      <c r="F21" s="235" t="s">
        <v>699</v>
      </c>
      <c r="G21" s="266">
        <v>0.1100450892</v>
      </c>
      <c r="H21" s="236">
        <v>0.14000000000000001</v>
      </c>
      <c r="I21" s="236"/>
      <c r="J21" s="237">
        <v>20</v>
      </c>
      <c r="K21" s="238">
        <v>650</v>
      </c>
      <c r="L21" s="238">
        <v>7</v>
      </c>
      <c r="M21" s="237">
        <v>0.05</v>
      </c>
      <c r="N21" s="237">
        <v>31.536000000000001</v>
      </c>
      <c r="O21" s="237">
        <f t="shared" si="0"/>
        <v>2.1202243847640787E-3</v>
      </c>
      <c r="P21" s="237">
        <f t="shared" si="1"/>
        <v>1.5406312488000002E-2</v>
      </c>
      <c r="Q21" s="237">
        <v>0.78300000000000003</v>
      </c>
      <c r="R21" s="244">
        <f t="shared" si="2"/>
        <v>3.3431698098960001E-3</v>
      </c>
    </row>
    <row r="22" spans="3:20">
      <c r="C22" s="233" t="s">
        <v>701</v>
      </c>
      <c r="D22" s="234" t="s">
        <v>557</v>
      </c>
      <c r="E22" s="235" t="s">
        <v>249</v>
      </c>
      <c r="F22" s="235" t="s">
        <v>702</v>
      </c>
      <c r="G22" s="266">
        <v>1.1123123E-2</v>
      </c>
      <c r="H22" s="236">
        <v>0.86</v>
      </c>
      <c r="I22" s="236"/>
      <c r="J22" s="237">
        <v>10</v>
      </c>
      <c r="K22" s="238">
        <v>187</v>
      </c>
      <c r="L22" s="238">
        <v>0</v>
      </c>
      <c r="M22" s="237">
        <v>0.22</v>
      </c>
      <c r="N22" s="237">
        <v>31.536000000000001</v>
      </c>
      <c r="O22" s="237">
        <f t="shared" si="0"/>
        <v>2.9919589938483E-4</v>
      </c>
      <c r="P22" s="237">
        <f t="shared" si="1"/>
        <v>9.56588578E-3</v>
      </c>
      <c r="Q22" s="237">
        <v>0.78300000000000003</v>
      </c>
      <c r="R22" s="244">
        <f t="shared" si="2"/>
        <v>2.0757972142599998E-3</v>
      </c>
    </row>
    <row r="23" spans="3:20">
      <c r="C23" s="233" t="s">
        <v>703</v>
      </c>
      <c r="D23" s="234" t="s">
        <v>559</v>
      </c>
      <c r="E23" s="235" t="s">
        <v>323</v>
      </c>
      <c r="F23" s="235" t="s">
        <v>702</v>
      </c>
      <c r="G23" s="266">
        <v>3.518958E-3</v>
      </c>
      <c r="H23" s="236">
        <v>0.14000000000000001</v>
      </c>
      <c r="I23" s="236"/>
      <c r="J23" s="237">
        <v>20</v>
      </c>
      <c r="K23" s="238">
        <v>150</v>
      </c>
      <c r="L23" s="238">
        <v>5</v>
      </c>
      <c r="M23" s="237">
        <v>0.22</v>
      </c>
      <c r="N23" s="237">
        <v>31.536000000000001</v>
      </c>
      <c r="O23" s="237">
        <f t="shared" si="0"/>
        <v>1.5408932942438078E-5</v>
      </c>
      <c r="P23" s="237">
        <f t="shared" si="1"/>
        <v>4.9265412000000009E-4</v>
      </c>
      <c r="Q23" s="237">
        <v>0.78300000000000003</v>
      </c>
      <c r="R23" s="244">
        <f t="shared" si="2"/>
        <v>1.0690594404E-4</v>
      </c>
    </row>
    <row r="24" spans="3:20">
      <c r="C24" s="233" t="s">
        <v>704</v>
      </c>
      <c r="D24" s="234" t="s">
        <v>560</v>
      </c>
      <c r="E24" s="235" t="s">
        <v>249</v>
      </c>
      <c r="F24" s="235" t="s">
        <v>705</v>
      </c>
      <c r="G24" s="266">
        <v>2.0264669999999997E-3</v>
      </c>
      <c r="H24" s="236">
        <v>1.8</v>
      </c>
      <c r="I24" s="236"/>
      <c r="J24" s="237">
        <v>8</v>
      </c>
      <c r="K24" s="238">
        <v>7500</v>
      </c>
      <c r="L24" s="238">
        <v>5</v>
      </c>
      <c r="M24" s="237">
        <v>0.22</v>
      </c>
      <c r="N24" s="237">
        <v>31.536000000000001</v>
      </c>
      <c r="O24" s="237">
        <f t="shared" si="0"/>
        <v>1.1408866204856783E-4</v>
      </c>
      <c r="P24" s="237">
        <f t="shared" si="1"/>
        <v>3.6476405999999995E-3</v>
      </c>
      <c r="Q24" s="237">
        <v>0.78300000000000003</v>
      </c>
      <c r="R24" s="244">
        <f t="shared" si="2"/>
        <v>7.9153801019999975E-4</v>
      </c>
    </row>
    <row r="25" spans="3:20">
      <c r="C25" s="233" t="s">
        <v>706</v>
      </c>
      <c r="D25" s="234" t="s">
        <v>562</v>
      </c>
      <c r="E25" s="235" t="s">
        <v>249</v>
      </c>
      <c r="F25" s="235" t="s">
        <v>707</v>
      </c>
      <c r="G25" s="266">
        <v>0.12934477699999999</v>
      </c>
      <c r="H25" s="236">
        <v>3.5</v>
      </c>
      <c r="I25" s="236"/>
      <c r="J25" s="237">
        <v>10</v>
      </c>
      <c r="K25" s="238">
        <v>1718</v>
      </c>
      <c r="L25" s="238">
        <v>0</v>
      </c>
      <c r="M25" s="237">
        <v>0.11</v>
      </c>
      <c r="N25" s="237">
        <v>31.536000000000001</v>
      </c>
      <c r="O25" s="237">
        <f t="shared" si="0"/>
        <v>2.831896537622226E-2</v>
      </c>
      <c r="P25" s="237">
        <f t="shared" si="1"/>
        <v>0.45270671949999997</v>
      </c>
      <c r="Q25" s="237">
        <v>0.78300000000000003</v>
      </c>
      <c r="R25" s="244">
        <f t="shared" si="2"/>
        <v>9.8237358131499974E-2</v>
      </c>
    </row>
    <row r="26" spans="3:20">
      <c r="C26" s="233" t="s">
        <v>564</v>
      </c>
      <c r="D26" s="234"/>
      <c r="E26" s="235"/>
      <c r="F26" s="235"/>
      <c r="G26" s="266"/>
      <c r="H26" s="236"/>
      <c r="I26" s="236"/>
      <c r="J26" s="237"/>
      <c r="K26" s="238"/>
      <c r="L26" s="238"/>
      <c r="M26" s="237"/>
      <c r="N26" s="237"/>
      <c r="O26" s="237"/>
      <c r="P26" s="237"/>
      <c r="Q26" s="237"/>
      <c r="R26" s="244"/>
    </row>
    <row r="27" spans="3:20">
      <c r="C27" s="245" t="s">
        <v>708</v>
      </c>
      <c r="D27" s="246" t="s">
        <v>565</v>
      </c>
      <c r="E27" s="247" t="s">
        <v>249</v>
      </c>
      <c r="F27" s="247" t="s">
        <v>709</v>
      </c>
      <c r="G27" s="267">
        <v>0.24216870499999998</v>
      </c>
      <c r="H27" s="248">
        <v>0.9</v>
      </c>
      <c r="I27" s="248"/>
      <c r="J27" s="249">
        <v>4</v>
      </c>
      <c r="K27" s="250">
        <v>5000</v>
      </c>
      <c r="L27" s="250">
        <v>0</v>
      </c>
      <c r="M27" s="249">
        <v>0.46</v>
      </c>
      <c r="N27" s="249">
        <v>31.536000000000001</v>
      </c>
      <c r="O27" s="249">
        <f t="shared" si="0"/>
        <v>3.9814563992083577E-3</v>
      </c>
      <c r="P27" s="249">
        <f t="shared" si="1"/>
        <v>0.2179518345</v>
      </c>
      <c r="Q27" s="249">
        <v>0.73499999999999999</v>
      </c>
      <c r="R27" s="251">
        <f t="shared" si="2"/>
        <v>5.7757236142500001E-2</v>
      </c>
    </row>
    <row r="28" spans="3:20">
      <c r="C28" s="245" t="s">
        <v>711</v>
      </c>
      <c r="D28" s="246" t="s">
        <v>568</v>
      </c>
      <c r="E28" s="247" t="s">
        <v>249</v>
      </c>
      <c r="F28" s="247" t="s">
        <v>710</v>
      </c>
      <c r="G28" s="267">
        <v>4.4443340899999999E-3</v>
      </c>
      <c r="H28" s="248">
        <v>1.4999999999999999E-2</v>
      </c>
      <c r="I28" s="248">
        <v>0.01</v>
      </c>
      <c r="J28" s="249">
        <v>1</v>
      </c>
      <c r="K28" s="250">
        <v>88</v>
      </c>
      <c r="L28" s="250">
        <v>0</v>
      </c>
      <c r="M28" s="249">
        <v>0.46</v>
      </c>
      <c r="N28" s="249">
        <v>31.536000000000001</v>
      </c>
      <c r="O28" s="249">
        <f t="shared" si="0"/>
        <v>1.2178095983989312E-6</v>
      </c>
      <c r="P28" s="249">
        <f t="shared" si="1"/>
        <v>6.666501135E-5</v>
      </c>
      <c r="Q28" s="249">
        <v>0.73499999999999999</v>
      </c>
      <c r="R28" s="251">
        <f t="shared" si="2"/>
        <v>1.7666228007749999E-5</v>
      </c>
    </row>
    <row r="29" spans="3:20">
      <c r="C29" s="245" t="s">
        <v>712</v>
      </c>
      <c r="D29" s="246" t="s">
        <v>569</v>
      </c>
      <c r="E29" s="247" t="s">
        <v>249</v>
      </c>
      <c r="F29" s="247" t="s">
        <v>710</v>
      </c>
      <c r="G29" s="267">
        <v>0.35999106129000003</v>
      </c>
      <c r="H29" s="248">
        <v>0.13500000000000001</v>
      </c>
      <c r="I29" s="248">
        <v>0.81</v>
      </c>
      <c r="J29" s="249">
        <v>5</v>
      </c>
      <c r="K29" s="250">
        <v>1332</v>
      </c>
      <c r="L29" s="250">
        <v>0</v>
      </c>
      <c r="M29" s="249">
        <v>0.46</v>
      </c>
      <c r="N29" s="249">
        <v>31.536000000000001</v>
      </c>
      <c r="O29" s="249">
        <f t="shared" si="0"/>
        <v>8.8778319723282096E-4</v>
      </c>
      <c r="P29" s="249">
        <f t="shared" si="1"/>
        <v>4.8598793274150009E-2</v>
      </c>
      <c r="Q29" s="249">
        <v>0.73499999999999999</v>
      </c>
      <c r="R29" s="251">
        <f t="shared" si="2"/>
        <v>1.2878680217649752E-2</v>
      </c>
    </row>
    <row r="30" spans="3:20">
      <c r="C30" s="245" t="s">
        <v>713</v>
      </c>
      <c r="D30" s="246" t="s">
        <v>570</v>
      </c>
      <c r="E30" s="247" t="s">
        <v>249</v>
      </c>
      <c r="F30" s="247" t="s">
        <v>710</v>
      </c>
      <c r="G30" s="267">
        <v>7.9998013620000002E-2</v>
      </c>
      <c r="H30" s="248">
        <v>0.25</v>
      </c>
      <c r="I30" s="248">
        <v>0.18</v>
      </c>
      <c r="J30" s="249">
        <v>20</v>
      </c>
      <c r="K30" s="250">
        <v>4000</v>
      </c>
      <c r="L30" s="250">
        <v>0</v>
      </c>
      <c r="M30" s="249">
        <v>0.46</v>
      </c>
      <c r="N30" s="249">
        <v>31.536000000000001</v>
      </c>
      <c r="O30" s="249">
        <f t="shared" si="0"/>
        <v>3.6534287951967936E-4</v>
      </c>
      <c r="P30" s="249">
        <f t="shared" si="1"/>
        <v>1.9999503405000001E-2</v>
      </c>
      <c r="Q30" s="249">
        <v>0.73499999999999999</v>
      </c>
      <c r="R30" s="251">
        <f t="shared" si="2"/>
        <v>5.2998684023250007E-3</v>
      </c>
    </row>
    <row r="31" spans="3:20">
      <c r="C31" s="245" t="s">
        <v>714</v>
      </c>
      <c r="D31" s="246" t="s">
        <v>571</v>
      </c>
      <c r="E31" s="247" t="s">
        <v>237</v>
      </c>
      <c r="F31" s="247" t="s">
        <v>715</v>
      </c>
      <c r="G31" s="267">
        <v>7.1848823999999992E-2</v>
      </c>
      <c r="H31" s="248">
        <v>0.75</v>
      </c>
      <c r="I31" s="248"/>
      <c r="J31" s="249">
        <v>25</v>
      </c>
      <c r="K31" s="250">
        <v>1600</v>
      </c>
      <c r="L31" s="250">
        <v>15</v>
      </c>
      <c r="M31" s="249">
        <v>0.34</v>
      </c>
      <c r="N31" s="249">
        <v>31.536000000000001</v>
      </c>
      <c r="O31" s="249">
        <f t="shared" si="0"/>
        <v>1.3318069517190437E-3</v>
      </c>
      <c r="P31" s="249">
        <f t="shared" si="1"/>
        <v>5.3886617999999997E-2</v>
      </c>
      <c r="Q31" s="249">
        <v>0.73499999999999999</v>
      </c>
      <c r="R31" s="251">
        <f t="shared" si="2"/>
        <v>1.4279953769999999E-2</v>
      </c>
    </row>
    <row r="32" spans="3:20">
      <c r="C32" s="245" t="s">
        <v>716</v>
      </c>
      <c r="D32" s="246" t="s">
        <v>573</v>
      </c>
      <c r="E32" s="247" t="s">
        <v>322</v>
      </c>
      <c r="F32" s="247" t="s">
        <v>715</v>
      </c>
      <c r="G32" s="267">
        <v>1.2593835000000001E-2</v>
      </c>
      <c r="H32" s="248">
        <v>0.85</v>
      </c>
      <c r="I32" s="248"/>
      <c r="J32" s="249">
        <v>25</v>
      </c>
      <c r="K32" s="250">
        <v>760</v>
      </c>
      <c r="L32" s="250">
        <v>3</v>
      </c>
      <c r="M32" s="249">
        <v>0.34</v>
      </c>
      <c r="N32" s="249">
        <v>31.536000000000001</v>
      </c>
      <c r="O32" s="249">
        <f t="shared" si="0"/>
        <v>2.6456797588470324E-4</v>
      </c>
      <c r="P32" s="249">
        <f t="shared" si="1"/>
        <v>1.0704759750000001E-2</v>
      </c>
      <c r="Q32" s="249">
        <v>0.73499999999999999</v>
      </c>
      <c r="R32" s="251">
        <f t="shared" si="2"/>
        <v>2.8367613337500004E-3</v>
      </c>
    </row>
    <row r="33" spans="3:19">
      <c r="C33" s="245" t="s">
        <v>717</v>
      </c>
      <c r="D33" s="246" t="s">
        <v>574</v>
      </c>
      <c r="E33" s="247" t="s">
        <v>240</v>
      </c>
      <c r="F33" s="247" t="s">
        <v>715</v>
      </c>
      <c r="G33" s="267">
        <v>1.5158104269999999</v>
      </c>
      <c r="H33" s="248">
        <v>0.85</v>
      </c>
      <c r="I33" s="248"/>
      <c r="J33" s="249">
        <v>25</v>
      </c>
      <c r="K33" s="250">
        <v>500</v>
      </c>
      <c r="L33" s="250">
        <v>2</v>
      </c>
      <c r="M33" s="249">
        <v>0.34</v>
      </c>
      <c r="N33" s="249">
        <v>31.536000000000001</v>
      </c>
      <c r="O33" s="249">
        <f t="shared" si="0"/>
        <v>0</v>
      </c>
      <c r="P33" s="249">
        <f t="shared" si="1"/>
        <v>1.2884388629499999</v>
      </c>
      <c r="Q33" s="249">
        <v>1</v>
      </c>
      <c r="R33" s="251">
        <f t="shared" si="2"/>
        <v>0</v>
      </c>
    </row>
    <row r="34" spans="3:19">
      <c r="C34" s="245" t="s">
        <v>718</v>
      </c>
      <c r="D34" s="246" t="s">
        <v>575</v>
      </c>
      <c r="E34" s="247" t="s">
        <v>249</v>
      </c>
      <c r="F34" s="247" t="s">
        <v>715</v>
      </c>
      <c r="G34" s="267">
        <v>9.9243504999999996E-2</v>
      </c>
      <c r="H34" s="248">
        <v>3.5</v>
      </c>
      <c r="I34" s="248"/>
      <c r="J34" s="249">
        <v>10</v>
      </c>
      <c r="K34" s="250">
        <v>1718</v>
      </c>
      <c r="L34" s="250">
        <v>0</v>
      </c>
      <c r="M34" s="249">
        <v>0.34</v>
      </c>
      <c r="N34" s="249">
        <v>31.536000000000001</v>
      </c>
      <c r="O34" s="249">
        <f t="shared" si="0"/>
        <v>8.5848060561505794E-3</v>
      </c>
      <c r="P34" s="249">
        <f t="shared" si="1"/>
        <v>0.34735226749999998</v>
      </c>
      <c r="Q34" s="249">
        <v>0.73499999999999999</v>
      </c>
      <c r="R34" s="251">
        <f t="shared" si="2"/>
        <v>9.2048350887500005E-2</v>
      </c>
    </row>
    <row r="35" spans="3:19">
      <c r="C35" s="245" t="s">
        <v>719</v>
      </c>
      <c r="D35" s="246" t="s">
        <v>576</v>
      </c>
      <c r="E35" s="247" t="s">
        <v>249</v>
      </c>
      <c r="F35" s="247" t="s">
        <v>715</v>
      </c>
      <c r="G35" s="267">
        <v>0.53835991100000002</v>
      </c>
      <c r="H35" s="248">
        <v>0.99</v>
      </c>
      <c r="I35" s="248"/>
      <c r="J35" s="249">
        <v>10</v>
      </c>
      <c r="K35" s="250">
        <v>80</v>
      </c>
      <c r="L35" s="250">
        <v>0</v>
      </c>
      <c r="M35" s="249">
        <v>0.34</v>
      </c>
      <c r="N35" s="249">
        <v>31.536000000000001</v>
      </c>
      <c r="O35" s="249">
        <f t="shared" si="0"/>
        <v>1.3172501515620804E-2</v>
      </c>
      <c r="P35" s="249">
        <f t="shared" si="1"/>
        <v>0.53297631189000005</v>
      </c>
      <c r="Q35" s="249">
        <v>0.73499999999999999</v>
      </c>
      <c r="R35" s="251">
        <f t="shared" si="2"/>
        <v>0.14123872265085002</v>
      </c>
    </row>
    <row r="36" spans="3:19">
      <c r="C36" s="245" t="s">
        <v>720</v>
      </c>
      <c r="D36" s="246" t="s">
        <v>577</v>
      </c>
      <c r="E36" s="247" t="s">
        <v>334</v>
      </c>
      <c r="F36" s="247" t="s">
        <v>721</v>
      </c>
      <c r="G36" s="267">
        <v>2.456939E-3</v>
      </c>
      <c r="H36" s="248">
        <v>0.84</v>
      </c>
      <c r="I36" s="248"/>
      <c r="J36" s="249">
        <v>25</v>
      </c>
      <c r="K36" s="250">
        <v>760</v>
      </c>
      <c r="L36" s="250">
        <v>3</v>
      </c>
      <c r="M36" s="249">
        <v>0.46</v>
      </c>
      <c r="N36" s="249">
        <v>31.536000000000001</v>
      </c>
      <c r="O36" s="249">
        <f t="shared" si="0"/>
        <v>3.7701193211898612E-5</v>
      </c>
      <c r="P36" s="249">
        <f t="shared" si="1"/>
        <v>2.0638287599999998E-3</v>
      </c>
      <c r="Q36" s="249">
        <v>0.73499999999999999</v>
      </c>
      <c r="R36" s="251">
        <f t="shared" si="2"/>
        <v>5.4691462139999994E-4</v>
      </c>
    </row>
    <row r="37" spans="3:19">
      <c r="C37" s="245" t="s">
        <v>722</v>
      </c>
      <c r="D37" s="246" t="s">
        <v>571</v>
      </c>
      <c r="E37" s="247" t="s">
        <v>237</v>
      </c>
      <c r="F37" s="247" t="s">
        <v>721</v>
      </c>
      <c r="G37" s="267">
        <v>7.1019019000000003E-2</v>
      </c>
      <c r="H37" s="248">
        <v>0.75</v>
      </c>
      <c r="I37" s="248"/>
      <c r="J37" s="249">
        <v>25</v>
      </c>
      <c r="K37" s="250">
        <v>1600</v>
      </c>
      <c r="L37" s="250">
        <v>15</v>
      </c>
      <c r="M37" s="249">
        <v>0.46</v>
      </c>
      <c r="N37" s="249">
        <v>31.536000000000001</v>
      </c>
      <c r="O37" s="249">
        <f t="shared" si="0"/>
        <v>9.7301014342821446E-4</v>
      </c>
      <c r="P37" s="249">
        <f t="shared" si="1"/>
        <v>5.3264264249999999E-2</v>
      </c>
      <c r="Q37" s="249">
        <v>0.73499999999999999</v>
      </c>
      <c r="R37" s="251">
        <f t="shared" si="2"/>
        <v>1.4115030026250001E-2</v>
      </c>
    </row>
    <row r="38" spans="3:19">
      <c r="C38" s="245" t="s">
        <v>723</v>
      </c>
      <c r="D38" s="246" t="s">
        <v>579</v>
      </c>
      <c r="E38" s="247" t="s">
        <v>249</v>
      </c>
      <c r="F38" s="247" t="s">
        <v>721</v>
      </c>
      <c r="G38" s="267">
        <v>0.57176057899999999</v>
      </c>
      <c r="H38" s="248">
        <v>0.9</v>
      </c>
      <c r="I38" s="248"/>
      <c r="J38" s="249">
        <v>15</v>
      </c>
      <c r="K38" s="250">
        <v>655</v>
      </c>
      <c r="L38" s="250">
        <v>0</v>
      </c>
      <c r="M38" s="249">
        <v>0.46</v>
      </c>
      <c r="N38" s="249">
        <v>31.536000000000001</v>
      </c>
      <c r="O38" s="249">
        <f t="shared" si="0"/>
        <v>9.4002229399320018E-3</v>
      </c>
      <c r="P38" s="249">
        <f t="shared" si="1"/>
        <v>0.51458452109999997</v>
      </c>
      <c r="Q38" s="249">
        <v>0.73499999999999999</v>
      </c>
      <c r="R38" s="251">
        <f t="shared" si="2"/>
        <v>0.13636489809149999</v>
      </c>
      <c r="S38" s="230" t="s">
        <v>293</v>
      </c>
    </row>
    <row r="39" spans="3:19">
      <c r="C39" s="245" t="s">
        <v>724</v>
      </c>
      <c r="D39" s="246" t="s">
        <v>580</v>
      </c>
      <c r="E39" s="247" t="s">
        <v>242</v>
      </c>
      <c r="F39" s="247" t="s">
        <v>721</v>
      </c>
      <c r="G39" s="267">
        <v>5.2019951916445144E-2</v>
      </c>
      <c r="H39" s="248">
        <v>1</v>
      </c>
      <c r="I39" s="248"/>
      <c r="J39" s="249">
        <v>10</v>
      </c>
      <c r="K39" s="250">
        <v>100</v>
      </c>
      <c r="L39" s="250">
        <v>0</v>
      </c>
      <c r="M39" s="249">
        <v>0.46</v>
      </c>
      <c r="N39" s="249">
        <v>31.536000000000001</v>
      </c>
      <c r="O39" s="249">
        <f t="shared" si="0"/>
        <v>0</v>
      </c>
      <c r="P39" s="249">
        <f t="shared" si="1"/>
        <v>5.2019951916445144E-2</v>
      </c>
      <c r="Q39" s="249">
        <v>1</v>
      </c>
      <c r="R39" s="251">
        <f t="shared" si="2"/>
        <v>0</v>
      </c>
    </row>
    <row r="40" spans="3:19">
      <c r="C40" s="279" t="s">
        <v>725</v>
      </c>
      <c r="D40" s="280" t="s">
        <v>576</v>
      </c>
      <c r="E40" s="281" t="s">
        <v>249</v>
      </c>
      <c r="F40" s="281" t="s">
        <v>726</v>
      </c>
      <c r="G40" s="282">
        <v>0.27280018699999997</v>
      </c>
      <c r="H40" s="283">
        <v>0.99</v>
      </c>
      <c r="I40" s="283"/>
      <c r="J40" s="284">
        <v>10</v>
      </c>
      <c r="K40" s="285">
        <v>80</v>
      </c>
      <c r="L40" s="285">
        <v>0</v>
      </c>
      <c r="M40" s="284">
        <v>0.46</v>
      </c>
      <c r="N40" s="284">
        <v>31.536000000000001</v>
      </c>
      <c r="O40" s="284">
        <f t="shared" si="0"/>
        <v>4.9335699889877394E-3</v>
      </c>
      <c r="P40" s="284">
        <f t="shared" si="1"/>
        <v>0.27007218512999998</v>
      </c>
      <c r="Q40" s="284">
        <v>0.73499999999999999</v>
      </c>
      <c r="R40" s="251">
        <f t="shared" si="2"/>
        <v>7.1569129059449996E-2</v>
      </c>
    </row>
    <row r="41" spans="3:19">
      <c r="C41" s="279" t="s">
        <v>727</v>
      </c>
      <c r="D41" s="280" t="s">
        <v>571</v>
      </c>
      <c r="E41" s="281" t="s">
        <v>237</v>
      </c>
      <c r="F41" s="281" t="s">
        <v>726</v>
      </c>
      <c r="G41" s="282">
        <v>3.0929004999999999E-2</v>
      </c>
      <c r="H41" s="283">
        <v>0.75</v>
      </c>
      <c r="I41" s="283"/>
      <c r="J41" s="284">
        <v>25</v>
      </c>
      <c r="K41" s="285">
        <v>1600</v>
      </c>
      <c r="L41" s="285">
        <v>15</v>
      </c>
      <c r="M41" s="284">
        <v>0.46</v>
      </c>
      <c r="N41" s="284">
        <v>31.536000000000001</v>
      </c>
      <c r="O41" s="284">
        <f t="shared" si="0"/>
        <v>4.2374896210748786E-4</v>
      </c>
      <c r="P41" s="284">
        <f t="shared" si="1"/>
        <v>2.319675375E-2</v>
      </c>
      <c r="Q41" s="284">
        <v>0.73499999999999999</v>
      </c>
      <c r="R41" s="251">
        <f t="shared" si="2"/>
        <v>6.1471397437500002E-3</v>
      </c>
    </row>
    <row r="42" spans="3:19">
      <c r="C42" s="279" t="s">
        <v>904</v>
      </c>
      <c r="D42" s="280" t="s">
        <v>574</v>
      </c>
      <c r="E42" s="281" t="s">
        <v>240</v>
      </c>
      <c r="F42" s="281" t="s">
        <v>726</v>
      </c>
      <c r="G42" s="282">
        <v>0</v>
      </c>
      <c r="H42" s="283">
        <v>0.85</v>
      </c>
      <c r="I42" s="283"/>
      <c r="J42" s="284">
        <v>25</v>
      </c>
      <c r="K42" s="285">
        <v>500</v>
      </c>
      <c r="L42" s="285">
        <v>2</v>
      </c>
      <c r="M42" s="284">
        <v>0.34</v>
      </c>
      <c r="N42" s="284">
        <v>31.536000000000001</v>
      </c>
      <c r="O42" s="284">
        <f t="shared" si="0"/>
        <v>0</v>
      </c>
      <c r="P42" s="284">
        <f t="shared" si="1"/>
        <v>0</v>
      </c>
      <c r="Q42" s="284">
        <v>1</v>
      </c>
      <c r="R42" s="251">
        <f t="shared" si="2"/>
        <v>0</v>
      </c>
    </row>
    <row r="43" spans="3:19">
      <c r="C43" s="245" t="s">
        <v>728</v>
      </c>
      <c r="D43" s="246" t="s">
        <v>582</v>
      </c>
      <c r="E43" s="247" t="s">
        <v>322</v>
      </c>
      <c r="F43" s="247" t="s">
        <v>729</v>
      </c>
      <c r="G43" s="267">
        <v>5.3580365019999993E-2</v>
      </c>
      <c r="H43" s="248">
        <v>0.16</v>
      </c>
      <c r="I43" s="248"/>
      <c r="J43" s="249">
        <v>20</v>
      </c>
      <c r="K43" s="250">
        <v>929</v>
      </c>
      <c r="L43" s="250">
        <v>7</v>
      </c>
      <c r="M43" s="249">
        <v>0.05</v>
      </c>
      <c r="N43" s="249">
        <v>31.536000000000001</v>
      </c>
      <c r="O43" s="249">
        <f t="shared" si="0"/>
        <v>1.4407708503602228E-3</v>
      </c>
      <c r="P43" s="249">
        <f t="shared" si="1"/>
        <v>8.5728584031999986E-3</v>
      </c>
      <c r="Q43" s="249">
        <v>0.73499999999999999</v>
      </c>
      <c r="R43" s="251">
        <f t="shared" si="2"/>
        <v>2.2718074768479997E-3</v>
      </c>
    </row>
    <row r="44" spans="3:19">
      <c r="C44" s="245" t="s">
        <v>730</v>
      </c>
      <c r="D44" s="246" t="s">
        <v>584</v>
      </c>
      <c r="E44" s="247" t="s">
        <v>323</v>
      </c>
      <c r="F44" s="247" t="s">
        <v>729</v>
      </c>
      <c r="G44" s="267">
        <v>2.6631532800000003E-2</v>
      </c>
      <c r="H44" s="248">
        <v>0.14000000000000001</v>
      </c>
      <c r="I44" s="248"/>
      <c r="J44" s="249">
        <v>20</v>
      </c>
      <c r="K44" s="250">
        <v>650</v>
      </c>
      <c r="L44" s="250">
        <v>7</v>
      </c>
      <c r="M44" s="249">
        <v>0.05</v>
      </c>
      <c r="N44" s="249">
        <v>31.536000000000001</v>
      </c>
      <c r="O44" s="249">
        <f t="shared" si="0"/>
        <v>6.266044310502284E-4</v>
      </c>
      <c r="P44" s="249">
        <f t="shared" si="1"/>
        <v>3.7284145920000009E-3</v>
      </c>
      <c r="Q44" s="249">
        <v>0.73499999999999999</v>
      </c>
      <c r="R44" s="251">
        <f t="shared" si="2"/>
        <v>9.8802986688000037E-4</v>
      </c>
    </row>
    <row r="45" spans="3:19">
      <c r="C45" s="245" t="s">
        <v>731</v>
      </c>
      <c r="D45" s="246" t="s">
        <v>585</v>
      </c>
      <c r="E45" s="247" t="s">
        <v>249</v>
      </c>
      <c r="F45" s="247" t="s">
        <v>732</v>
      </c>
      <c r="G45" s="267">
        <v>7.1252471999999997E-2</v>
      </c>
      <c r="H45" s="248">
        <v>0.86</v>
      </c>
      <c r="I45" s="248"/>
      <c r="J45" s="249">
        <v>10</v>
      </c>
      <c r="K45" s="250">
        <v>187</v>
      </c>
      <c r="L45" s="250">
        <v>0</v>
      </c>
      <c r="M45" s="249">
        <v>0.46</v>
      </c>
      <c r="N45" s="249">
        <v>31.536000000000001</v>
      </c>
      <c r="O45" s="249">
        <f t="shared" si="0"/>
        <v>1.1193858756865856E-3</v>
      </c>
      <c r="P45" s="249">
        <f t="shared" si="1"/>
        <v>6.1277125919999995E-2</v>
      </c>
      <c r="Q45" s="249">
        <v>0.73499999999999999</v>
      </c>
      <c r="R45" s="251">
        <f t="shared" si="2"/>
        <v>1.6238438368799998E-2</v>
      </c>
    </row>
    <row r="46" spans="3:19">
      <c r="C46" s="245" t="s">
        <v>733</v>
      </c>
      <c r="D46" s="246" t="s">
        <v>587</v>
      </c>
      <c r="E46" s="247" t="s">
        <v>249</v>
      </c>
      <c r="F46" s="247" t="s">
        <v>734</v>
      </c>
      <c r="G46" s="267">
        <v>6.7219312000000003E-2</v>
      </c>
      <c r="H46" s="248">
        <v>1.8</v>
      </c>
      <c r="I46" s="248"/>
      <c r="J46" s="249">
        <v>8</v>
      </c>
      <c r="K46" s="250">
        <v>7500</v>
      </c>
      <c r="L46" s="250">
        <v>5</v>
      </c>
      <c r="M46" s="249">
        <v>0.46</v>
      </c>
      <c r="N46" s="249">
        <v>31.536000000000001</v>
      </c>
      <c r="O46" s="249">
        <f t="shared" si="0"/>
        <v>2.2102836112765541E-3</v>
      </c>
      <c r="P46" s="249">
        <f t="shared" si="1"/>
        <v>0.12099476160000001</v>
      </c>
      <c r="Q46" s="249">
        <v>0.73499999999999999</v>
      </c>
      <c r="R46" s="251">
        <f t="shared" si="2"/>
        <v>3.2063611824000006E-2</v>
      </c>
    </row>
    <row r="47" spans="3:19">
      <c r="C47" s="245" t="s">
        <v>735</v>
      </c>
      <c r="D47" s="246" t="s">
        <v>589</v>
      </c>
      <c r="E47" s="247" t="s">
        <v>249</v>
      </c>
      <c r="F47" s="247" t="s">
        <v>736</v>
      </c>
      <c r="G47" s="267">
        <v>0.21301599300000001</v>
      </c>
      <c r="H47" s="248">
        <v>3.5</v>
      </c>
      <c r="I47" s="248"/>
      <c r="J47" s="249">
        <v>10</v>
      </c>
      <c r="K47" s="250">
        <v>1718</v>
      </c>
      <c r="L47" s="250">
        <v>0</v>
      </c>
      <c r="M47" s="249">
        <v>0.23</v>
      </c>
      <c r="N47" s="249">
        <v>31.536000000000001</v>
      </c>
      <c r="O47" s="249">
        <f t="shared" si="0"/>
        <v>2.7239033031607771E-2</v>
      </c>
      <c r="P47" s="249">
        <f t="shared" si="1"/>
        <v>0.74555597550000008</v>
      </c>
      <c r="Q47" s="249">
        <v>0.73499999999999999</v>
      </c>
      <c r="R47" s="251">
        <f t="shared" si="2"/>
        <v>0.19757233350750003</v>
      </c>
    </row>
    <row r="48" spans="3:19">
      <c r="C48" s="245" t="s">
        <v>564</v>
      </c>
      <c r="D48" s="246"/>
      <c r="E48" s="247"/>
      <c r="F48" s="247"/>
      <c r="G48" s="267"/>
      <c r="H48" s="248"/>
      <c r="I48" s="248"/>
      <c r="J48" s="249"/>
      <c r="K48" s="250"/>
      <c r="L48" s="250"/>
      <c r="M48" s="249"/>
      <c r="N48" s="249"/>
      <c r="O48" s="249"/>
      <c r="P48" s="249"/>
      <c r="Q48" s="249"/>
      <c r="R48" s="251"/>
    </row>
    <row r="49" spans="3:18" ht="15" customHeight="1">
      <c r="C49" s="252" t="s">
        <v>737</v>
      </c>
      <c r="D49" s="253" t="s">
        <v>591</v>
      </c>
      <c r="E49" s="254" t="s">
        <v>249</v>
      </c>
      <c r="F49" s="254" t="s">
        <v>738</v>
      </c>
      <c r="G49" s="268">
        <v>2.3067524879999994</v>
      </c>
      <c r="H49" s="256">
        <v>0.9</v>
      </c>
      <c r="I49" s="256"/>
      <c r="J49" s="255">
        <v>4</v>
      </c>
      <c r="K49" s="257">
        <v>5000</v>
      </c>
      <c r="L49" s="257">
        <v>0</v>
      </c>
      <c r="M49" s="255">
        <v>0.45</v>
      </c>
      <c r="N49" s="255">
        <v>31.536000000000001</v>
      </c>
      <c r="O49" s="255">
        <f t="shared" si="0"/>
        <v>3.4232628246575331E-2</v>
      </c>
      <c r="P49" s="255">
        <f t="shared" si="1"/>
        <v>2.0760772391999995</v>
      </c>
      <c r="Q49" s="255">
        <v>0.76600000000000001</v>
      </c>
      <c r="R49" s="258">
        <f t="shared" si="2"/>
        <v>0.48580207397279984</v>
      </c>
    </row>
    <row r="50" spans="3:18">
      <c r="C50" s="252" t="s">
        <v>740</v>
      </c>
      <c r="D50" s="253" t="s">
        <v>594</v>
      </c>
      <c r="E50" s="254" t="s">
        <v>249</v>
      </c>
      <c r="F50" s="254" t="s">
        <v>739</v>
      </c>
      <c r="G50" s="268">
        <v>3.3797666270000006E-2</v>
      </c>
      <c r="H50" s="256">
        <v>1.4999999999999999E-2</v>
      </c>
      <c r="I50" s="256">
        <v>0.01</v>
      </c>
      <c r="J50" s="255">
        <v>1</v>
      </c>
      <c r="K50" s="257">
        <v>44</v>
      </c>
      <c r="L50" s="257">
        <v>0</v>
      </c>
      <c r="M50" s="255">
        <v>0.45</v>
      </c>
      <c r="N50" s="255">
        <v>31.536000000000001</v>
      </c>
      <c r="O50" s="255">
        <f t="shared" si="0"/>
        <v>8.3593923422754936E-6</v>
      </c>
      <c r="P50" s="255">
        <f t="shared" si="1"/>
        <v>5.0696499405000002E-4</v>
      </c>
      <c r="Q50" s="255">
        <v>0.76600000000000001</v>
      </c>
      <c r="R50" s="258">
        <f t="shared" si="2"/>
        <v>1.186298086077E-4</v>
      </c>
    </row>
    <row r="51" spans="3:18">
      <c r="C51" s="252" t="s">
        <v>741</v>
      </c>
      <c r="D51" s="253" t="s">
        <v>595</v>
      </c>
      <c r="E51" s="254" t="s">
        <v>249</v>
      </c>
      <c r="F51" s="254" t="s">
        <v>739</v>
      </c>
      <c r="G51" s="268">
        <v>2.7376109678700007</v>
      </c>
      <c r="H51" s="256">
        <v>0.13500000000000001</v>
      </c>
      <c r="I51" s="256">
        <v>0.81</v>
      </c>
      <c r="J51" s="255">
        <v>5</v>
      </c>
      <c r="K51" s="257">
        <v>666</v>
      </c>
      <c r="L51" s="257">
        <v>0</v>
      </c>
      <c r="M51" s="255">
        <v>0.45</v>
      </c>
      <c r="N51" s="255">
        <v>31.536000000000001</v>
      </c>
      <c r="O51" s="255">
        <f t="shared" si="0"/>
        <v>6.0939970175188374E-3</v>
      </c>
      <c r="P51" s="255">
        <f t="shared" si="1"/>
        <v>0.36957748066245011</v>
      </c>
      <c r="Q51" s="255">
        <v>0.76600000000000001</v>
      </c>
      <c r="R51" s="258">
        <f t="shared" si="2"/>
        <v>8.6481130475013324E-2</v>
      </c>
    </row>
    <row r="52" spans="3:18">
      <c r="C52" s="252" t="s">
        <v>742</v>
      </c>
      <c r="D52" s="253" t="s">
        <v>596</v>
      </c>
      <c r="E52" s="254" t="s">
        <v>249</v>
      </c>
      <c r="F52" s="254" t="s">
        <v>739</v>
      </c>
      <c r="G52" s="268">
        <v>0.60835799286000003</v>
      </c>
      <c r="H52" s="256">
        <v>0.25</v>
      </c>
      <c r="I52" s="256">
        <v>0.18</v>
      </c>
      <c r="J52" s="255">
        <v>20</v>
      </c>
      <c r="K52" s="257">
        <v>2000</v>
      </c>
      <c r="L52" s="257">
        <v>0</v>
      </c>
      <c r="M52" s="255">
        <v>0.45</v>
      </c>
      <c r="N52" s="255">
        <v>31.536000000000001</v>
      </c>
      <c r="O52" s="255">
        <f t="shared" si="0"/>
        <v>2.507817702682648E-3</v>
      </c>
      <c r="P52" s="255">
        <f t="shared" si="1"/>
        <v>0.15208949821500001</v>
      </c>
      <c r="Q52" s="255">
        <v>0.76600000000000001</v>
      </c>
      <c r="R52" s="258">
        <f t="shared" si="2"/>
        <v>3.5588942582309997E-2</v>
      </c>
    </row>
    <row r="53" spans="3:18">
      <c r="C53" s="252" t="s">
        <v>743</v>
      </c>
      <c r="D53" s="253" t="s">
        <v>597</v>
      </c>
      <c r="E53" s="254" t="s">
        <v>237</v>
      </c>
      <c r="F53" s="254" t="s">
        <v>744</v>
      </c>
      <c r="G53" s="268">
        <v>5.4823110000000001E-2</v>
      </c>
      <c r="H53" s="256">
        <v>0.75</v>
      </c>
      <c r="I53" s="256"/>
      <c r="J53" s="255">
        <v>25</v>
      </c>
      <c r="K53" s="257">
        <v>800</v>
      </c>
      <c r="L53" s="257">
        <v>15</v>
      </c>
      <c r="M53" s="255">
        <v>0.1</v>
      </c>
      <c r="N53" s="255">
        <v>31.536000000000001</v>
      </c>
      <c r="O53" s="255">
        <f t="shared" si="0"/>
        <v>3.0509436215753424E-3</v>
      </c>
      <c r="P53" s="255">
        <f t="shared" si="1"/>
        <v>4.1117332499999999E-2</v>
      </c>
      <c r="Q53" s="255">
        <v>0.76600000000000001</v>
      </c>
      <c r="R53" s="258">
        <f t="shared" si="2"/>
        <v>9.6214558049999999E-3</v>
      </c>
    </row>
    <row r="54" spans="3:18">
      <c r="C54" s="252" t="s">
        <v>745</v>
      </c>
      <c r="D54" s="253" t="s">
        <v>599</v>
      </c>
      <c r="E54" s="254" t="s">
        <v>322</v>
      </c>
      <c r="F54" s="254" t="s">
        <v>744</v>
      </c>
      <c r="G54" s="268">
        <v>1.3848736529999999</v>
      </c>
      <c r="H54" s="256">
        <v>0.85</v>
      </c>
      <c r="I54" s="256"/>
      <c r="J54" s="255">
        <v>25</v>
      </c>
      <c r="K54" s="257">
        <v>380</v>
      </c>
      <c r="L54" s="257">
        <v>3</v>
      </c>
      <c r="M54" s="255">
        <v>0.1</v>
      </c>
      <c r="N54" s="255">
        <v>31.536000000000001</v>
      </c>
      <c r="O54" s="255">
        <f t="shared" si="0"/>
        <v>8.7345056310787636E-2</v>
      </c>
      <c r="P54" s="255">
        <f t="shared" si="1"/>
        <v>1.1771426050499998</v>
      </c>
      <c r="Q54" s="255">
        <v>0.76600000000000001</v>
      </c>
      <c r="R54" s="258">
        <f t="shared" si="2"/>
        <v>0.27545136958169991</v>
      </c>
    </row>
    <row r="55" spans="3:18">
      <c r="C55" s="252" t="s">
        <v>746</v>
      </c>
      <c r="D55" s="253" t="s">
        <v>600</v>
      </c>
      <c r="E55" s="254" t="s">
        <v>334</v>
      </c>
      <c r="F55" s="254" t="s">
        <v>744</v>
      </c>
      <c r="G55" s="268">
        <v>2.9400894E-2</v>
      </c>
      <c r="H55" s="256">
        <v>0.84</v>
      </c>
      <c r="I55" s="256"/>
      <c r="J55" s="255">
        <v>25</v>
      </c>
      <c r="K55" s="257">
        <v>380</v>
      </c>
      <c r="L55" s="257">
        <v>3</v>
      </c>
      <c r="M55" s="255">
        <v>0.1</v>
      </c>
      <c r="N55" s="255">
        <v>31.536000000000001</v>
      </c>
      <c r="O55" s="255">
        <f t="shared" si="0"/>
        <v>1.8325214753424654E-3</v>
      </c>
      <c r="P55" s="255">
        <f t="shared" si="1"/>
        <v>2.469675096E-2</v>
      </c>
      <c r="Q55" s="255">
        <v>0.76600000000000001</v>
      </c>
      <c r="R55" s="258">
        <f t="shared" si="2"/>
        <v>5.7790397246399996E-3</v>
      </c>
    </row>
    <row r="56" spans="3:18">
      <c r="C56" s="252" t="s">
        <v>747</v>
      </c>
      <c r="D56" s="253" t="s">
        <v>601</v>
      </c>
      <c r="E56" s="254" t="s">
        <v>240</v>
      </c>
      <c r="F56" s="254" t="s">
        <v>744</v>
      </c>
      <c r="G56" s="268">
        <v>1.1012968529999998</v>
      </c>
      <c r="H56" s="256">
        <v>0.85</v>
      </c>
      <c r="I56" s="256"/>
      <c r="J56" s="255">
        <v>25</v>
      </c>
      <c r="K56" s="257">
        <v>250</v>
      </c>
      <c r="L56" s="257">
        <v>2</v>
      </c>
      <c r="M56" s="255">
        <v>0.1</v>
      </c>
      <c r="N56" s="255">
        <v>31.536000000000001</v>
      </c>
      <c r="O56" s="255">
        <f t="shared" si="0"/>
        <v>0</v>
      </c>
      <c r="P56" s="255">
        <f t="shared" si="1"/>
        <v>0.93610232504999979</v>
      </c>
      <c r="Q56" s="255">
        <v>1</v>
      </c>
      <c r="R56" s="258">
        <f t="shared" si="2"/>
        <v>0</v>
      </c>
    </row>
    <row r="57" spans="3:18">
      <c r="C57" s="252" t="s">
        <v>748</v>
      </c>
      <c r="D57" s="253" t="s">
        <v>602</v>
      </c>
      <c r="E57" s="254" t="s">
        <v>240</v>
      </c>
      <c r="F57" s="254" t="s">
        <v>744</v>
      </c>
      <c r="G57" s="268">
        <v>7.6031865000000004E-2</v>
      </c>
      <c r="H57" s="256">
        <v>0.8</v>
      </c>
      <c r="I57" s="256"/>
      <c r="J57" s="255">
        <v>12.5</v>
      </c>
      <c r="K57" s="257">
        <v>300</v>
      </c>
      <c r="L57" s="257">
        <v>0</v>
      </c>
      <c r="M57" s="255">
        <v>0.1</v>
      </c>
      <c r="N57" s="255">
        <v>31.536000000000001</v>
      </c>
      <c r="O57" s="255">
        <f t="shared" si="0"/>
        <v>0</v>
      </c>
      <c r="P57" s="255">
        <f t="shared" si="1"/>
        <v>6.0825492000000009E-2</v>
      </c>
      <c r="Q57" s="255">
        <v>1</v>
      </c>
      <c r="R57" s="258">
        <f t="shared" si="2"/>
        <v>0</v>
      </c>
    </row>
    <row r="58" spans="3:18">
      <c r="C58" s="252" t="s">
        <v>749</v>
      </c>
      <c r="D58" s="253" t="s">
        <v>603</v>
      </c>
      <c r="E58" s="254" t="s">
        <v>249</v>
      </c>
      <c r="F58" s="254" t="s">
        <v>744</v>
      </c>
      <c r="G58" s="268">
        <v>1.2728339070000001</v>
      </c>
      <c r="H58" s="256">
        <v>3.5</v>
      </c>
      <c r="I58" s="256"/>
      <c r="J58" s="255">
        <v>10</v>
      </c>
      <c r="K58" s="257">
        <v>1718</v>
      </c>
      <c r="L58" s="257">
        <v>0</v>
      </c>
      <c r="M58" s="255">
        <v>0.1</v>
      </c>
      <c r="N58" s="255">
        <v>31.536000000000001</v>
      </c>
      <c r="O58" s="255">
        <f t="shared" si="0"/>
        <v>0.33055903406678078</v>
      </c>
      <c r="P58" s="255">
        <f t="shared" si="1"/>
        <v>4.4549186745</v>
      </c>
      <c r="Q58" s="255">
        <v>0.76600000000000001</v>
      </c>
      <c r="R58" s="258">
        <f t="shared" si="2"/>
        <v>1.042450969833</v>
      </c>
    </row>
    <row r="59" spans="3:18">
      <c r="C59" s="252" t="s">
        <v>750</v>
      </c>
      <c r="D59" s="253" t="s">
        <v>604</v>
      </c>
      <c r="E59" s="254" t="s">
        <v>249</v>
      </c>
      <c r="F59" s="254" t="s">
        <v>744</v>
      </c>
      <c r="G59" s="268">
        <v>0.68371166099999992</v>
      </c>
      <c r="H59" s="256">
        <v>0.99</v>
      </c>
      <c r="I59" s="256"/>
      <c r="J59" s="255">
        <v>10</v>
      </c>
      <c r="K59" s="257">
        <v>80</v>
      </c>
      <c r="L59" s="257">
        <v>0</v>
      </c>
      <c r="M59" s="255">
        <v>0.1</v>
      </c>
      <c r="N59" s="255">
        <v>31.536000000000001</v>
      </c>
      <c r="O59" s="255">
        <f t="shared" si="0"/>
        <v>5.0224709344006829E-2</v>
      </c>
      <c r="P59" s="255">
        <f t="shared" si="1"/>
        <v>0.67687454438999994</v>
      </c>
      <c r="Q59" s="255">
        <v>0.76600000000000001</v>
      </c>
      <c r="R59" s="258">
        <f t="shared" si="2"/>
        <v>0.15838864338725997</v>
      </c>
    </row>
    <row r="60" spans="3:18">
      <c r="C60" s="252" t="s">
        <v>751</v>
      </c>
      <c r="D60" s="253" t="s">
        <v>600</v>
      </c>
      <c r="E60" s="254" t="s">
        <v>334</v>
      </c>
      <c r="F60" s="254" t="s">
        <v>752</v>
      </c>
      <c r="G60" s="268">
        <v>8.6308000000000001E-5</v>
      </c>
      <c r="H60" s="256">
        <v>0.84</v>
      </c>
      <c r="I60" s="256"/>
      <c r="J60" s="255">
        <v>25</v>
      </c>
      <c r="K60" s="257">
        <v>380</v>
      </c>
      <c r="L60" s="257">
        <v>3</v>
      </c>
      <c r="M60" s="255">
        <v>0.45</v>
      </c>
      <c r="N60" s="255">
        <v>31.536000000000001</v>
      </c>
      <c r="O60" s="255">
        <f t="shared" si="0"/>
        <v>1.1954380517503804E-6</v>
      </c>
      <c r="P60" s="255">
        <f t="shared" si="1"/>
        <v>7.2498719999999992E-5</v>
      </c>
      <c r="Q60" s="255">
        <v>0.76600000000000001</v>
      </c>
      <c r="R60" s="258">
        <f t="shared" si="2"/>
        <v>1.6964700479999999E-5</v>
      </c>
    </row>
    <row r="61" spans="3:18">
      <c r="C61" s="252" t="s">
        <v>753</v>
      </c>
      <c r="D61" s="253" t="s">
        <v>597</v>
      </c>
      <c r="E61" s="254" t="s">
        <v>237</v>
      </c>
      <c r="F61" s="254" t="s">
        <v>752</v>
      </c>
      <c r="G61" s="268">
        <v>3.8296700000000001E-4</v>
      </c>
      <c r="H61" s="256">
        <v>0.75</v>
      </c>
      <c r="I61" s="256"/>
      <c r="J61" s="255">
        <v>25</v>
      </c>
      <c r="K61" s="257">
        <v>800</v>
      </c>
      <c r="L61" s="257">
        <v>15</v>
      </c>
      <c r="M61" s="255">
        <v>0.45</v>
      </c>
      <c r="N61" s="255">
        <v>31.536000000000001</v>
      </c>
      <c r="O61" s="255">
        <f t="shared" si="0"/>
        <v>4.7360835235920844E-6</v>
      </c>
      <c r="P61" s="255">
        <f t="shared" si="1"/>
        <v>2.8722524999999998E-4</v>
      </c>
      <c r="Q61" s="255">
        <v>0.76600000000000001</v>
      </c>
      <c r="R61" s="258">
        <f t="shared" si="2"/>
        <v>6.721070849999999E-5</v>
      </c>
    </row>
    <row r="62" spans="3:18">
      <c r="C62" s="252" t="s">
        <v>754</v>
      </c>
      <c r="D62" s="253" t="s">
        <v>606</v>
      </c>
      <c r="E62" s="254" t="s">
        <v>249</v>
      </c>
      <c r="F62" s="254" t="s">
        <v>752</v>
      </c>
      <c r="G62" s="268">
        <v>0.21680041999999999</v>
      </c>
      <c r="H62" s="256">
        <v>2.5</v>
      </c>
      <c r="I62" s="256"/>
      <c r="J62" s="255">
        <v>10</v>
      </c>
      <c r="K62" s="257">
        <v>3750</v>
      </c>
      <c r="L62" s="257">
        <v>0</v>
      </c>
      <c r="M62" s="255">
        <v>0.45</v>
      </c>
      <c r="N62" s="255">
        <v>31.536000000000001</v>
      </c>
      <c r="O62" s="255">
        <f t="shared" si="0"/>
        <v>8.9371050862506324E-3</v>
      </c>
      <c r="P62" s="255">
        <f t="shared" si="1"/>
        <v>0.54200104999999998</v>
      </c>
      <c r="Q62" s="255">
        <v>0.76600000000000001</v>
      </c>
      <c r="R62" s="258">
        <f t="shared" si="2"/>
        <v>0.12682824569999998</v>
      </c>
    </row>
    <row r="63" spans="3:18">
      <c r="C63" s="252" t="s">
        <v>755</v>
      </c>
      <c r="D63" s="253" t="s">
        <v>607</v>
      </c>
      <c r="E63" s="254" t="s">
        <v>249</v>
      </c>
      <c r="F63" s="254" t="s">
        <v>752</v>
      </c>
      <c r="G63" s="268">
        <v>0.23226340400000001</v>
      </c>
      <c r="H63" s="256">
        <v>0.9</v>
      </c>
      <c r="I63" s="256"/>
      <c r="J63" s="255">
        <v>15</v>
      </c>
      <c r="K63" s="257">
        <v>655</v>
      </c>
      <c r="L63" s="257">
        <v>0</v>
      </c>
      <c r="M63" s="255">
        <v>0.45</v>
      </c>
      <c r="N63" s="255">
        <v>31.536000000000001</v>
      </c>
      <c r="O63" s="255">
        <f t="shared" si="0"/>
        <v>3.4468313378995434E-3</v>
      </c>
      <c r="P63" s="255">
        <f t="shared" si="1"/>
        <v>0.20903706360000002</v>
      </c>
      <c r="Q63" s="255">
        <v>0.76600000000000001</v>
      </c>
      <c r="R63" s="258">
        <f t="shared" si="2"/>
        <v>4.89146728824E-2</v>
      </c>
    </row>
    <row r="64" spans="3:18">
      <c r="C64" s="252" t="s">
        <v>756</v>
      </c>
      <c r="D64" s="253" t="s">
        <v>608</v>
      </c>
      <c r="E64" s="254" t="s">
        <v>240</v>
      </c>
      <c r="F64" s="254" t="s">
        <v>752</v>
      </c>
      <c r="G64" s="268">
        <v>2.4233406000000002E-2</v>
      </c>
      <c r="H64" s="256">
        <v>0.6</v>
      </c>
      <c r="I64" s="256"/>
      <c r="J64" s="255">
        <v>15</v>
      </c>
      <c r="K64" s="257">
        <v>316</v>
      </c>
      <c r="L64" s="257">
        <v>0</v>
      </c>
      <c r="M64" s="255">
        <v>0.45</v>
      </c>
      <c r="N64" s="255">
        <v>31.536000000000001</v>
      </c>
      <c r="O64" s="255">
        <f t="shared" si="0"/>
        <v>0</v>
      </c>
      <c r="P64" s="255">
        <f t="shared" si="1"/>
        <v>1.45400436E-2</v>
      </c>
      <c r="Q64" s="255">
        <v>1</v>
      </c>
      <c r="R64" s="258">
        <f t="shared" si="2"/>
        <v>0</v>
      </c>
    </row>
    <row r="65" spans="3:18">
      <c r="C65" s="252" t="s">
        <v>757</v>
      </c>
      <c r="D65" s="253" t="s">
        <v>609</v>
      </c>
      <c r="E65" s="254" t="s">
        <v>322</v>
      </c>
      <c r="F65" s="254" t="s">
        <v>758</v>
      </c>
      <c r="G65" s="268">
        <v>1.6191132808499999</v>
      </c>
      <c r="H65" s="256">
        <v>0.16</v>
      </c>
      <c r="I65" s="256"/>
      <c r="J65" s="255">
        <v>20</v>
      </c>
      <c r="K65" s="257">
        <v>929</v>
      </c>
      <c r="L65" s="257">
        <v>7</v>
      </c>
      <c r="M65" s="255">
        <v>0.1</v>
      </c>
      <c r="N65" s="255">
        <v>31.536000000000001</v>
      </c>
      <c r="O65" s="255">
        <f t="shared" si="0"/>
        <v>1.9222349453013696E-2</v>
      </c>
      <c r="P65" s="255">
        <f t="shared" si="1"/>
        <v>0.259058124936</v>
      </c>
      <c r="Q65" s="255">
        <v>0.76600000000000001</v>
      </c>
      <c r="R65" s="258">
        <f t="shared" si="2"/>
        <v>6.0619601235023995E-2</v>
      </c>
    </row>
    <row r="66" spans="3:18">
      <c r="C66" s="252" t="s">
        <v>759</v>
      </c>
      <c r="D66" s="253" t="s">
        <v>611</v>
      </c>
      <c r="E66" s="254" t="s">
        <v>323</v>
      </c>
      <c r="F66" s="254" t="s">
        <v>758</v>
      </c>
      <c r="G66" s="268">
        <v>1.2023595999999999E-2</v>
      </c>
      <c r="H66" s="256">
        <v>0.14000000000000001</v>
      </c>
      <c r="I66" s="256"/>
      <c r="J66" s="255">
        <v>20</v>
      </c>
      <c r="K66" s="257">
        <v>650</v>
      </c>
      <c r="L66" s="257">
        <v>7</v>
      </c>
      <c r="M66" s="255">
        <v>0.1</v>
      </c>
      <c r="N66" s="255">
        <v>31.536000000000001</v>
      </c>
      <c r="O66" s="255">
        <f t="shared" si="0"/>
        <v>1.2490265251141551E-4</v>
      </c>
      <c r="P66" s="255">
        <f t="shared" si="1"/>
        <v>1.6833034400000001E-3</v>
      </c>
      <c r="Q66" s="255">
        <v>0.76600000000000001</v>
      </c>
      <c r="R66" s="258">
        <f t="shared" si="2"/>
        <v>3.9389300496E-4</v>
      </c>
    </row>
    <row r="67" spans="3:18">
      <c r="C67" s="252" t="s">
        <v>760</v>
      </c>
      <c r="D67" s="253" t="s">
        <v>612</v>
      </c>
      <c r="E67" s="254" t="s">
        <v>321</v>
      </c>
      <c r="F67" s="254" t="s">
        <v>758</v>
      </c>
      <c r="G67" s="268">
        <v>0.18642072960000003</v>
      </c>
      <c r="H67" s="256">
        <v>0.14000000000000001</v>
      </c>
      <c r="I67" s="256"/>
      <c r="J67" s="255">
        <v>20</v>
      </c>
      <c r="K67" s="257">
        <v>681</v>
      </c>
      <c r="L67" s="257">
        <v>7</v>
      </c>
      <c r="M67" s="255">
        <v>0.1</v>
      </c>
      <c r="N67" s="255">
        <v>31.536000000000001</v>
      </c>
      <c r="O67" s="255">
        <f t="shared" si="0"/>
        <v>1.9365623736986304E-3</v>
      </c>
      <c r="P67" s="255">
        <f t="shared" si="1"/>
        <v>2.6098902144000007E-2</v>
      </c>
      <c r="Q67" s="255">
        <v>0.76600000000000001</v>
      </c>
      <c r="R67" s="258">
        <f t="shared" si="2"/>
        <v>6.1071431016960012E-3</v>
      </c>
    </row>
    <row r="68" spans="3:18">
      <c r="C68" s="252" t="s">
        <v>761</v>
      </c>
      <c r="D68" s="253" t="s">
        <v>613</v>
      </c>
      <c r="E68" s="254" t="s">
        <v>249</v>
      </c>
      <c r="F68" s="254" t="s">
        <v>762</v>
      </c>
      <c r="G68" s="268">
        <v>0.7085500520000001</v>
      </c>
      <c r="H68" s="256">
        <v>0.86</v>
      </c>
      <c r="I68" s="256"/>
      <c r="J68" s="255">
        <v>10</v>
      </c>
      <c r="K68" s="257">
        <v>187</v>
      </c>
      <c r="L68" s="257">
        <v>0</v>
      </c>
      <c r="M68" s="255">
        <v>0.45</v>
      </c>
      <c r="N68" s="255">
        <v>31.536000000000001</v>
      </c>
      <c r="O68" s="255">
        <f t="shared" si="0"/>
        <v>1.0047678312227295E-2</v>
      </c>
      <c r="P68" s="255">
        <f t="shared" si="1"/>
        <v>0.60935304472000007</v>
      </c>
      <c r="Q68" s="255">
        <v>0.76600000000000001</v>
      </c>
      <c r="R68" s="258">
        <f t="shared" si="2"/>
        <v>0.14258861246448001</v>
      </c>
    </row>
    <row r="69" spans="3:18">
      <c r="C69" s="252" t="s">
        <v>763</v>
      </c>
      <c r="D69" s="253" t="s">
        <v>615</v>
      </c>
      <c r="E69" s="254" t="s">
        <v>249</v>
      </c>
      <c r="F69" s="254" t="s">
        <v>764</v>
      </c>
      <c r="G69" s="268">
        <v>1.6504508530000002</v>
      </c>
      <c r="H69" s="256">
        <v>3.5</v>
      </c>
      <c r="I69" s="256"/>
      <c r="J69" s="255">
        <v>10</v>
      </c>
      <c r="K69" s="257">
        <v>1718</v>
      </c>
      <c r="L69" s="257">
        <v>0</v>
      </c>
      <c r="M69" s="255">
        <v>0.22</v>
      </c>
      <c r="N69" s="255">
        <v>31.536000000000001</v>
      </c>
      <c r="O69" s="255">
        <f t="shared" si="0"/>
        <v>0.19483061906262972</v>
      </c>
      <c r="P69" s="255">
        <f t="shared" si="1"/>
        <v>5.7765779855000003</v>
      </c>
      <c r="Q69" s="255">
        <v>0.76600000000000001</v>
      </c>
      <c r="R69" s="258">
        <f t="shared" ref="R69:R121" si="3">+P69*(1-Q69)</f>
        <v>1.351719248607</v>
      </c>
    </row>
    <row r="70" spans="3:18">
      <c r="C70" s="245" t="s">
        <v>564</v>
      </c>
      <c r="D70" s="246"/>
      <c r="E70" s="247"/>
      <c r="F70" s="247"/>
      <c r="G70" s="267"/>
      <c r="H70" s="248"/>
      <c r="I70" s="248"/>
      <c r="J70" s="249"/>
      <c r="K70" s="250"/>
      <c r="L70" s="250"/>
      <c r="M70" s="249"/>
      <c r="N70" s="249"/>
      <c r="O70" s="249"/>
      <c r="P70" s="249"/>
      <c r="Q70" s="249"/>
      <c r="R70" s="251"/>
    </row>
    <row r="71" spans="3:18">
      <c r="C71" s="259" t="s">
        <v>765</v>
      </c>
      <c r="D71" s="260" t="s">
        <v>617</v>
      </c>
      <c r="E71" s="261" t="s">
        <v>249</v>
      </c>
      <c r="F71" s="261" t="s">
        <v>766</v>
      </c>
      <c r="G71" s="269">
        <v>0.74029789400000001</v>
      </c>
      <c r="H71" s="262">
        <v>0.9</v>
      </c>
      <c r="I71" s="262"/>
      <c r="J71" s="263">
        <v>4</v>
      </c>
      <c r="K71" s="264">
        <v>5000</v>
      </c>
      <c r="L71" s="264">
        <v>0</v>
      </c>
      <c r="M71" s="263">
        <v>0.48</v>
      </c>
      <c r="N71" s="263">
        <v>31.536000000000001</v>
      </c>
      <c r="O71" s="263">
        <f t="shared" si="0"/>
        <v>1.0299521213613015E-2</v>
      </c>
      <c r="P71" s="263">
        <f t="shared" si="1"/>
        <v>0.66626810460000008</v>
      </c>
      <c r="Q71" s="263">
        <v>0.76600000000000001</v>
      </c>
      <c r="R71" s="265">
        <f t="shared" si="3"/>
        <v>0.15590673647640002</v>
      </c>
    </row>
    <row r="72" spans="3:18">
      <c r="C72" s="259" t="s">
        <v>767</v>
      </c>
      <c r="D72" s="260" t="s">
        <v>619</v>
      </c>
      <c r="E72" s="261" t="s">
        <v>249</v>
      </c>
      <c r="F72" s="261" t="s">
        <v>768</v>
      </c>
      <c r="G72" s="269">
        <v>0.43474732399999999</v>
      </c>
      <c r="H72" s="262">
        <v>0.74</v>
      </c>
      <c r="I72" s="262"/>
      <c r="J72" s="263">
        <v>15</v>
      </c>
      <c r="K72" s="264">
        <v>312</v>
      </c>
      <c r="L72" s="264">
        <v>0</v>
      </c>
      <c r="M72" s="263">
        <v>0.48</v>
      </c>
      <c r="N72" s="263">
        <v>31.536000000000001</v>
      </c>
      <c r="O72" s="263">
        <f t="shared" ref="O72:O121" si="4">+R72/M72/N72</f>
        <v>4.9732083058409426E-3</v>
      </c>
      <c r="P72" s="263">
        <f t="shared" ref="P72:P121" si="5">+G72*H72</f>
        <v>0.32171301976</v>
      </c>
      <c r="Q72" s="263">
        <v>0.76600000000000001</v>
      </c>
      <c r="R72" s="265">
        <f t="shared" si="3"/>
        <v>7.5280846623839992E-2</v>
      </c>
    </row>
    <row r="73" spans="3:18">
      <c r="C73" s="259" t="s">
        <v>769</v>
      </c>
      <c r="D73" s="260" t="s">
        <v>621</v>
      </c>
      <c r="E73" s="261" t="s">
        <v>249</v>
      </c>
      <c r="F73" s="261" t="s">
        <v>768</v>
      </c>
      <c r="G73" s="269">
        <v>0.67816109800000002</v>
      </c>
      <c r="H73" s="262">
        <v>0.65</v>
      </c>
      <c r="I73" s="262"/>
      <c r="J73" s="263">
        <v>20</v>
      </c>
      <c r="K73" s="264">
        <v>1225</v>
      </c>
      <c r="L73" s="264">
        <v>0</v>
      </c>
      <c r="M73" s="263">
        <v>0.48</v>
      </c>
      <c r="N73" s="263">
        <v>31.536000000000001</v>
      </c>
      <c r="O73" s="263">
        <f t="shared" si="4"/>
        <v>6.8141900662338278E-3</v>
      </c>
      <c r="P73" s="263">
        <f t="shared" si="5"/>
        <v>0.44080471370000002</v>
      </c>
      <c r="Q73" s="263">
        <v>0.76600000000000001</v>
      </c>
      <c r="R73" s="265">
        <f t="shared" si="3"/>
        <v>0.1031483030058</v>
      </c>
    </row>
    <row r="74" spans="3:18">
      <c r="C74" s="259" t="s">
        <v>770</v>
      </c>
      <c r="D74" s="260" t="s">
        <v>622</v>
      </c>
      <c r="E74" s="261" t="s">
        <v>321</v>
      </c>
      <c r="F74" s="261" t="s">
        <v>768</v>
      </c>
      <c r="G74" s="269">
        <v>1.0608817719999999</v>
      </c>
      <c r="H74" s="262">
        <v>0.3</v>
      </c>
      <c r="I74" s="262"/>
      <c r="J74" s="263">
        <v>20</v>
      </c>
      <c r="K74" s="264">
        <v>824</v>
      </c>
      <c r="L74" s="264">
        <v>0</v>
      </c>
      <c r="M74" s="263">
        <v>0.48</v>
      </c>
      <c r="N74" s="263">
        <v>31.536000000000001</v>
      </c>
      <c r="O74" s="263">
        <f t="shared" si="4"/>
        <v>4.9198997702625561E-3</v>
      </c>
      <c r="P74" s="263">
        <f t="shared" si="5"/>
        <v>0.31826453159999996</v>
      </c>
      <c r="Q74" s="263">
        <v>0.76600000000000001</v>
      </c>
      <c r="R74" s="265">
        <f t="shared" si="3"/>
        <v>7.4473900394399981E-2</v>
      </c>
    </row>
    <row r="75" spans="3:18">
      <c r="C75" s="259" t="s">
        <v>771</v>
      </c>
      <c r="D75" s="260" t="s">
        <v>623</v>
      </c>
      <c r="E75" s="261" t="s">
        <v>240</v>
      </c>
      <c r="F75" s="261" t="s">
        <v>768</v>
      </c>
      <c r="G75" s="269">
        <v>0.87947262900000001</v>
      </c>
      <c r="H75" s="262">
        <v>0.3</v>
      </c>
      <c r="I75" s="262"/>
      <c r="J75" s="263">
        <v>20</v>
      </c>
      <c r="K75" s="264">
        <v>824</v>
      </c>
      <c r="L75" s="264">
        <v>0</v>
      </c>
      <c r="M75" s="263">
        <v>0.48</v>
      </c>
      <c r="N75" s="263">
        <v>31.536000000000001</v>
      </c>
      <c r="O75" s="263">
        <f t="shared" si="4"/>
        <v>0</v>
      </c>
      <c r="P75" s="263">
        <f t="shared" si="5"/>
        <v>0.26384178869999997</v>
      </c>
      <c r="Q75" s="263">
        <v>1</v>
      </c>
      <c r="R75" s="265">
        <f t="shared" si="3"/>
        <v>0</v>
      </c>
    </row>
    <row r="76" spans="3:18">
      <c r="C76" s="259" t="s">
        <v>773</v>
      </c>
      <c r="D76" s="260" t="s">
        <v>625</v>
      </c>
      <c r="E76" s="261" t="s">
        <v>249</v>
      </c>
      <c r="F76" s="261" t="s">
        <v>772</v>
      </c>
      <c r="G76" s="269">
        <v>2.6030653490000003E-2</v>
      </c>
      <c r="H76" s="262">
        <v>1.4999999999999999E-2</v>
      </c>
      <c r="I76" s="262">
        <v>0.01</v>
      </c>
      <c r="J76" s="263">
        <v>1</v>
      </c>
      <c r="K76" s="264">
        <v>22</v>
      </c>
      <c r="L76" s="264">
        <v>0</v>
      </c>
      <c r="M76" s="263">
        <v>0.48</v>
      </c>
      <c r="N76" s="263">
        <v>31.536000000000001</v>
      </c>
      <c r="O76" s="263">
        <f t="shared" si="4"/>
        <v>6.035932066388413E-6</v>
      </c>
      <c r="P76" s="263">
        <f t="shared" si="5"/>
        <v>3.9045980235000003E-4</v>
      </c>
      <c r="Q76" s="263">
        <v>0.76600000000000001</v>
      </c>
      <c r="R76" s="265">
        <f t="shared" si="3"/>
        <v>9.1367593749900003E-5</v>
      </c>
    </row>
    <row r="77" spans="3:18">
      <c r="C77" s="259" t="s">
        <v>774</v>
      </c>
      <c r="D77" s="260" t="s">
        <v>626</v>
      </c>
      <c r="E77" s="261" t="s">
        <v>249</v>
      </c>
      <c r="F77" s="261" t="s">
        <v>772</v>
      </c>
      <c r="G77" s="269">
        <v>2.1084829326900003</v>
      </c>
      <c r="H77" s="262">
        <v>0.13500000000000001</v>
      </c>
      <c r="I77" s="262">
        <v>0.81</v>
      </c>
      <c r="J77" s="263">
        <v>5</v>
      </c>
      <c r="K77" s="264">
        <v>333</v>
      </c>
      <c r="L77" s="264">
        <v>0</v>
      </c>
      <c r="M77" s="263">
        <v>0.48</v>
      </c>
      <c r="N77" s="263">
        <v>31.536000000000001</v>
      </c>
      <c r="O77" s="263">
        <f t="shared" si="4"/>
        <v>4.400194476397154E-3</v>
      </c>
      <c r="P77" s="263">
        <f t="shared" si="5"/>
        <v>0.28464519591315007</v>
      </c>
      <c r="Q77" s="263">
        <v>0.76600000000000001</v>
      </c>
      <c r="R77" s="265">
        <f t="shared" si="3"/>
        <v>6.6606975843677113E-2</v>
      </c>
    </row>
    <row r="78" spans="3:18">
      <c r="C78" s="259" t="s">
        <v>775</v>
      </c>
      <c r="D78" s="260" t="s">
        <v>627</v>
      </c>
      <c r="E78" s="261" t="s">
        <v>249</v>
      </c>
      <c r="F78" s="261" t="s">
        <v>772</v>
      </c>
      <c r="G78" s="269">
        <v>0.46855176282000005</v>
      </c>
      <c r="H78" s="262">
        <v>0.25</v>
      </c>
      <c r="I78" s="262">
        <v>0.18</v>
      </c>
      <c r="J78" s="263">
        <v>20</v>
      </c>
      <c r="K78" s="264">
        <v>1000</v>
      </c>
      <c r="L78" s="264">
        <v>0</v>
      </c>
      <c r="M78" s="263">
        <v>0.48</v>
      </c>
      <c r="N78" s="263">
        <v>31.536000000000001</v>
      </c>
      <c r="O78" s="263">
        <f t="shared" si="4"/>
        <v>1.8107796199165241E-3</v>
      </c>
      <c r="P78" s="263">
        <f t="shared" si="5"/>
        <v>0.11713794070500001</v>
      </c>
      <c r="Q78" s="263">
        <v>0.76600000000000001</v>
      </c>
      <c r="R78" s="265">
        <f t="shared" si="3"/>
        <v>2.7410278124970003E-2</v>
      </c>
    </row>
    <row r="79" spans="3:18">
      <c r="C79" s="259" t="s">
        <v>776</v>
      </c>
      <c r="D79" s="260" t="s">
        <v>628</v>
      </c>
      <c r="E79" s="261" t="s">
        <v>237</v>
      </c>
      <c r="F79" s="261" t="s">
        <v>777</v>
      </c>
      <c r="G79" s="269">
        <v>3.8030819999999997E-3</v>
      </c>
      <c r="H79" s="262">
        <v>0.75</v>
      </c>
      <c r="I79" s="262"/>
      <c r="J79" s="263">
        <v>25</v>
      </c>
      <c r="K79" s="264">
        <v>800</v>
      </c>
      <c r="L79" s="264">
        <v>15</v>
      </c>
      <c r="M79" s="263">
        <v>0.1</v>
      </c>
      <c r="N79" s="263">
        <v>31.536000000000001</v>
      </c>
      <c r="O79" s="263">
        <f t="shared" si="4"/>
        <v>2.1164411815068491E-4</v>
      </c>
      <c r="P79" s="263">
        <f t="shared" si="5"/>
        <v>2.8523114999999999E-3</v>
      </c>
      <c r="Q79" s="263">
        <v>0.76600000000000001</v>
      </c>
      <c r="R79" s="265">
        <f t="shared" si="3"/>
        <v>6.6744089099999996E-4</v>
      </c>
    </row>
    <row r="80" spans="3:18">
      <c r="C80" s="259" t="s">
        <v>778</v>
      </c>
      <c r="D80" s="260" t="s">
        <v>630</v>
      </c>
      <c r="E80" s="261" t="s">
        <v>322</v>
      </c>
      <c r="F80" s="261" t="s">
        <v>777</v>
      </c>
      <c r="G80" s="269">
        <v>1.9841256000000002E-2</v>
      </c>
      <c r="H80" s="262">
        <v>0.85</v>
      </c>
      <c r="I80" s="262"/>
      <c r="J80" s="263">
        <v>25</v>
      </c>
      <c r="K80" s="264">
        <v>380</v>
      </c>
      <c r="L80" s="264">
        <v>3</v>
      </c>
      <c r="M80" s="263">
        <v>0.1</v>
      </c>
      <c r="N80" s="263">
        <v>31.536000000000001</v>
      </c>
      <c r="O80" s="263">
        <f t="shared" si="4"/>
        <v>1.2514034178082193E-3</v>
      </c>
      <c r="P80" s="263">
        <f t="shared" si="5"/>
        <v>1.6865067600000002E-2</v>
      </c>
      <c r="Q80" s="263">
        <v>0.76600000000000001</v>
      </c>
      <c r="R80" s="265">
        <f t="shared" si="3"/>
        <v>3.9464258184000005E-3</v>
      </c>
    </row>
    <row r="81" spans="3:18">
      <c r="C81" s="259" t="s">
        <v>779</v>
      </c>
      <c r="D81" s="260" t="s">
        <v>631</v>
      </c>
      <c r="E81" s="261" t="s">
        <v>334</v>
      </c>
      <c r="F81" s="261" t="s">
        <v>777</v>
      </c>
      <c r="G81" s="269">
        <v>1.7024308000000002E-2</v>
      </c>
      <c r="H81" s="262">
        <v>0.84</v>
      </c>
      <c r="I81" s="262"/>
      <c r="J81" s="263">
        <v>25</v>
      </c>
      <c r="K81" s="264">
        <v>380</v>
      </c>
      <c r="L81" s="264">
        <v>3</v>
      </c>
      <c r="M81" s="263">
        <v>0.1</v>
      </c>
      <c r="N81" s="263">
        <v>31.536000000000001</v>
      </c>
      <c r="O81" s="263">
        <f t="shared" si="4"/>
        <v>1.061104128767123E-3</v>
      </c>
      <c r="P81" s="263">
        <f t="shared" si="5"/>
        <v>1.4300418720000001E-2</v>
      </c>
      <c r="Q81" s="263">
        <v>0.76600000000000001</v>
      </c>
      <c r="R81" s="265">
        <f t="shared" si="3"/>
        <v>3.34629798048E-3</v>
      </c>
    </row>
    <row r="82" spans="3:18">
      <c r="C82" s="259" t="s">
        <v>780</v>
      </c>
      <c r="D82" s="260" t="s">
        <v>632</v>
      </c>
      <c r="E82" s="261" t="s">
        <v>321</v>
      </c>
      <c r="F82" s="261" t="s">
        <v>777</v>
      </c>
      <c r="G82" s="269">
        <v>4.0573375000000002E-2</v>
      </c>
      <c r="H82" s="262">
        <v>0.85</v>
      </c>
      <c r="I82" s="262"/>
      <c r="J82" s="263">
        <v>25</v>
      </c>
      <c r="K82" s="264">
        <v>250</v>
      </c>
      <c r="L82" s="264">
        <v>2</v>
      </c>
      <c r="M82" s="263">
        <v>0.1</v>
      </c>
      <c r="N82" s="263">
        <v>31.536000000000001</v>
      </c>
      <c r="O82" s="263">
        <f t="shared" si="4"/>
        <v>2.5589942565639266E-3</v>
      </c>
      <c r="P82" s="263">
        <f t="shared" si="5"/>
        <v>3.4487368750000004E-2</v>
      </c>
      <c r="Q82" s="263">
        <v>0.76600000000000001</v>
      </c>
      <c r="R82" s="265">
        <f t="shared" si="3"/>
        <v>8.0700442874999997E-3</v>
      </c>
    </row>
    <row r="83" spans="3:18">
      <c r="C83" s="259" t="s">
        <v>781</v>
      </c>
      <c r="D83" s="260" t="s">
        <v>633</v>
      </c>
      <c r="E83" s="261" t="s">
        <v>240</v>
      </c>
      <c r="F83" s="261" t="s">
        <v>777</v>
      </c>
      <c r="G83" s="269">
        <v>0.81503023099999994</v>
      </c>
      <c r="H83" s="262">
        <v>0.85</v>
      </c>
      <c r="I83" s="262"/>
      <c r="J83" s="263">
        <v>25</v>
      </c>
      <c r="K83" s="264">
        <v>250</v>
      </c>
      <c r="L83" s="264">
        <v>2</v>
      </c>
      <c r="M83" s="263">
        <v>0.1</v>
      </c>
      <c r="N83" s="263">
        <v>31.536000000000001</v>
      </c>
      <c r="O83" s="263">
        <f t="shared" si="4"/>
        <v>0</v>
      </c>
      <c r="P83" s="263">
        <f t="shared" si="5"/>
        <v>0.69277569634999991</v>
      </c>
      <c r="Q83" s="263">
        <v>1</v>
      </c>
      <c r="R83" s="265">
        <f t="shared" si="3"/>
        <v>0</v>
      </c>
    </row>
    <row r="84" spans="3:18">
      <c r="C84" s="259" t="s">
        <v>782</v>
      </c>
      <c r="D84" s="260" t="s">
        <v>634</v>
      </c>
      <c r="E84" s="261" t="s">
        <v>237</v>
      </c>
      <c r="F84" s="261" t="s">
        <v>777</v>
      </c>
      <c r="G84" s="269">
        <v>0.31314994600000001</v>
      </c>
      <c r="H84" s="262">
        <v>0.77</v>
      </c>
      <c r="I84" s="262"/>
      <c r="J84" s="263">
        <v>12.5</v>
      </c>
      <c r="K84" s="264">
        <v>500</v>
      </c>
      <c r="L84" s="264">
        <v>0</v>
      </c>
      <c r="M84" s="263">
        <v>0.1</v>
      </c>
      <c r="N84" s="263">
        <v>31.536000000000001</v>
      </c>
      <c r="O84" s="263">
        <f t="shared" si="4"/>
        <v>1.7891729220662098E-2</v>
      </c>
      <c r="P84" s="263">
        <f t="shared" si="5"/>
        <v>0.24112545842000002</v>
      </c>
      <c r="Q84" s="263">
        <v>0.76600000000000001</v>
      </c>
      <c r="R84" s="265">
        <f t="shared" si="3"/>
        <v>5.642335727028E-2</v>
      </c>
    </row>
    <row r="85" spans="3:18">
      <c r="C85" s="259" t="s">
        <v>783</v>
      </c>
      <c r="D85" s="260" t="s">
        <v>635</v>
      </c>
      <c r="E85" s="261" t="s">
        <v>334</v>
      </c>
      <c r="F85" s="261" t="s">
        <v>777</v>
      </c>
      <c r="G85" s="269">
        <v>7.537775E-3</v>
      </c>
      <c r="H85" s="262">
        <v>0.75</v>
      </c>
      <c r="I85" s="262"/>
      <c r="J85" s="263">
        <v>12.5</v>
      </c>
      <c r="K85" s="264">
        <v>250</v>
      </c>
      <c r="L85" s="264">
        <v>0</v>
      </c>
      <c r="M85" s="263">
        <v>0.1</v>
      </c>
      <c r="N85" s="263">
        <v>31.536000000000001</v>
      </c>
      <c r="O85" s="263">
        <f t="shared" si="4"/>
        <v>4.1948234160958902E-4</v>
      </c>
      <c r="P85" s="263">
        <f t="shared" si="5"/>
        <v>5.65333125E-3</v>
      </c>
      <c r="Q85" s="263">
        <v>0.76600000000000001</v>
      </c>
      <c r="R85" s="265">
        <f t="shared" si="3"/>
        <v>1.3228795125E-3</v>
      </c>
    </row>
    <row r="86" spans="3:18">
      <c r="C86" s="259" t="s">
        <v>784</v>
      </c>
      <c r="D86" s="260" t="s">
        <v>636</v>
      </c>
      <c r="E86" s="261" t="s">
        <v>321</v>
      </c>
      <c r="F86" s="261" t="s">
        <v>777</v>
      </c>
      <c r="G86" s="269">
        <v>0.55923511599999998</v>
      </c>
      <c r="H86" s="262">
        <v>0.8</v>
      </c>
      <c r="I86" s="262"/>
      <c r="J86" s="263">
        <v>12.5</v>
      </c>
      <c r="K86" s="264">
        <v>300</v>
      </c>
      <c r="L86" s="264">
        <v>0</v>
      </c>
      <c r="M86" s="263">
        <v>0.1</v>
      </c>
      <c r="N86" s="263">
        <v>31.536000000000001</v>
      </c>
      <c r="O86" s="263">
        <f t="shared" si="4"/>
        <v>3.3196605059360729E-2</v>
      </c>
      <c r="P86" s="263">
        <f t="shared" si="5"/>
        <v>0.44738809280000003</v>
      </c>
      <c r="Q86" s="263">
        <v>0.76600000000000001</v>
      </c>
      <c r="R86" s="265">
        <f t="shared" si="3"/>
        <v>0.1046888137152</v>
      </c>
    </row>
    <row r="87" spans="3:18">
      <c r="C87" s="259" t="s">
        <v>785</v>
      </c>
      <c r="D87" s="260" t="s">
        <v>637</v>
      </c>
      <c r="E87" s="261" t="s">
        <v>240</v>
      </c>
      <c r="F87" s="261" t="s">
        <v>777</v>
      </c>
      <c r="G87" s="269">
        <v>0.93596060199999997</v>
      </c>
      <c r="H87" s="262">
        <v>0.8</v>
      </c>
      <c r="I87" s="262"/>
      <c r="J87" s="263">
        <v>12.5</v>
      </c>
      <c r="K87" s="264">
        <v>300</v>
      </c>
      <c r="L87" s="264">
        <v>0</v>
      </c>
      <c r="M87" s="263">
        <v>0.1</v>
      </c>
      <c r="N87" s="263">
        <v>31.536000000000001</v>
      </c>
      <c r="O87" s="263">
        <f t="shared" si="4"/>
        <v>0</v>
      </c>
      <c r="P87" s="263">
        <f t="shared" si="5"/>
        <v>0.74876848159999998</v>
      </c>
      <c r="Q87" s="263">
        <v>1</v>
      </c>
      <c r="R87" s="265">
        <f t="shared" si="3"/>
        <v>0</v>
      </c>
    </row>
    <row r="88" spans="3:18">
      <c r="C88" s="259" t="s">
        <v>786</v>
      </c>
      <c r="D88" s="260" t="s">
        <v>638</v>
      </c>
      <c r="E88" s="261" t="s">
        <v>249</v>
      </c>
      <c r="F88" s="261" t="s">
        <v>777</v>
      </c>
      <c r="G88" s="269">
        <v>0.29241004099999995</v>
      </c>
      <c r="H88" s="262">
        <v>3.5</v>
      </c>
      <c r="I88" s="262"/>
      <c r="J88" s="263">
        <v>10</v>
      </c>
      <c r="K88" s="264">
        <v>1718</v>
      </c>
      <c r="L88" s="264">
        <v>0</v>
      </c>
      <c r="M88" s="263">
        <v>0.1</v>
      </c>
      <c r="N88" s="263">
        <v>31.536000000000001</v>
      </c>
      <c r="O88" s="263">
        <f t="shared" si="4"/>
        <v>7.5939822291666639E-2</v>
      </c>
      <c r="P88" s="263">
        <f t="shared" si="5"/>
        <v>1.0234351434999998</v>
      </c>
      <c r="Q88" s="263">
        <v>0.76600000000000001</v>
      </c>
      <c r="R88" s="265">
        <f t="shared" si="3"/>
        <v>0.23948382357899992</v>
      </c>
    </row>
    <row r="89" spans="3:18">
      <c r="C89" s="259" t="s">
        <v>787</v>
      </c>
      <c r="D89" s="260" t="s">
        <v>639</v>
      </c>
      <c r="E89" s="261" t="s">
        <v>249</v>
      </c>
      <c r="F89" s="261" t="s">
        <v>777</v>
      </c>
      <c r="G89" s="269">
        <v>1.9271023340000002</v>
      </c>
      <c r="H89" s="262">
        <v>0.99</v>
      </c>
      <c r="I89" s="262"/>
      <c r="J89" s="263">
        <v>10</v>
      </c>
      <c r="K89" s="264">
        <v>80</v>
      </c>
      <c r="L89" s="264">
        <v>0</v>
      </c>
      <c r="M89" s="263">
        <v>0.1</v>
      </c>
      <c r="N89" s="263">
        <v>31.536000000000001</v>
      </c>
      <c r="O89" s="263">
        <f t="shared" si="4"/>
        <v>0.14156282556267122</v>
      </c>
      <c r="P89" s="263">
        <f t="shared" si="5"/>
        <v>1.9078313106600002</v>
      </c>
      <c r="Q89" s="263">
        <v>0.76600000000000001</v>
      </c>
      <c r="R89" s="265">
        <f t="shared" si="3"/>
        <v>0.44643252669444</v>
      </c>
    </row>
    <row r="90" spans="3:18">
      <c r="C90" s="259" t="s">
        <v>839</v>
      </c>
      <c r="D90" s="260" t="s">
        <v>640</v>
      </c>
      <c r="E90" s="261" t="s">
        <v>242</v>
      </c>
      <c r="F90" s="261" t="s">
        <v>777</v>
      </c>
      <c r="G90" s="269">
        <v>0.20212627025111146</v>
      </c>
      <c r="H90" s="262">
        <v>1</v>
      </c>
      <c r="I90" s="262"/>
      <c r="J90" s="263">
        <v>10</v>
      </c>
      <c r="K90" s="264">
        <v>100</v>
      </c>
      <c r="L90" s="264">
        <v>0</v>
      </c>
      <c r="M90" s="263">
        <v>0.1</v>
      </c>
      <c r="N90" s="263">
        <v>31.536000000000001</v>
      </c>
      <c r="O90" s="263">
        <f t="shared" si="4"/>
        <v>0</v>
      </c>
      <c r="P90" s="263">
        <f t="shared" si="5"/>
        <v>0.20212627025111146</v>
      </c>
      <c r="Q90" s="263">
        <v>1</v>
      </c>
      <c r="R90" s="265">
        <f t="shared" si="3"/>
        <v>0</v>
      </c>
    </row>
    <row r="91" spans="3:18">
      <c r="C91" s="259" t="s">
        <v>830</v>
      </c>
      <c r="D91" s="260" t="s">
        <v>628</v>
      </c>
      <c r="E91" s="261" t="s">
        <v>237</v>
      </c>
      <c r="F91" s="261" t="s">
        <v>829</v>
      </c>
      <c r="G91" s="269">
        <v>1.2715192E-2</v>
      </c>
      <c r="H91" s="262">
        <v>0.75</v>
      </c>
      <c r="I91" s="262"/>
      <c r="J91" s="263">
        <v>25</v>
      </c>
      <c r="K91" s="264">
        <v>800</v>
      </c>
      <c r="L91" s="264">
        <v>15</v>
      </c>
      <c r="M91" s="263">
        <v>0.48</v>
      </c>
      <c r="N91" s="263">
        <v>31.536000000000001</v>
      </c>
      <c r="O91" s="263">
        <f t="shared" si="4"/>
        <v>1.4741857163242007E-4</v>
      </c>
      <c r="P91" s="263">
        <f t="shared" si="5"/>
        <v>9.5363940000000001E-3</v>
      </c>
      <c r="Q91" s="263">
        <v>0.76600000000000001</v>
      </c>
      <c r="R91" s="265">
        <f t="shared" si="3"/>
        <v>2.2315161959999999E-3</v>
      </c>
    </row>
    <row r="92" spans="3:18">
      <c r="C92" s="259" t="s">
        <v>831</v>
      </c>
      <c r="D92" s="260" t="s">
        <v>642</v>
      </c>
      <c r="E92" s="261" t="s">
        <v>249</v>
      </c>
      <c r="F92" s="261" t="s">
        <v>829</v>
      </c>
      <c r="G92" s="269">
        <v>2.2179528410000002</v>
      </c>
      <c r="H92" s="262">
        <v>0.9</v>
      </c>
      <c r="I92" s="262"/>
      <c r="J92" s="263">
        <v>15</v>
      </c>
      <c r="K92" s="264">
        <v>655</v>
      </c>
      <c r="L92" s="264">
        <v>0</v>
      </c>
      <c r="M92" s="263">
        <v>0.48</v>
      </c>
      <c r="N92" s="263">
        <v>31.536000000000001</v>
      </c>
      <c r="O92" s="263">
        <f t="shared" si="4"/>
        <v>3.0857648686857878E-2</v>
      </c>
      <c r="P92" s="263">
        <f t="shared" si="5"/>
        <v>1.9961575569000003</v>
      </c>
      <c r="Q92" s="263">
        <v>0.76600000000000001</v>
      </c>
      <c r="R92" s="265">
        <f t="shared" si="3"/>
        <v>0.46710086831460002</v>
      </c>
    </row>
    <row r="93" spans="3:18">
      <c r="C93" s="259" t="s">
        <v>832</v>
      </c>
      <c r="D93" s="260" t="s">
        <v>643</v>
      </c>
      <c r="E93" s="261" t="s">
        <v>240</v>
      </c>
      <c r="F93" s="261" t="s">
        <v>829</v>
      </c>
      <c r="G93" s="269">
        <v>0.87841602899999993</v>
      </c>
      <c r="H93" s="262">
        <v>0.6</v>
      </c>
      <c r="I93" s="262"/>
      <c r="J93" s="263">
        <v>15</v>
      </c>
      <c r="K93" s="264">
        <v>316</v>
      </c>
      <c r="L93" s="264">
        <v>0</v>
      </c>
      <c r="M93" s="263">
        <v>0.48</v>
      </c>
      <c r="N93" s="263">
        <v>31.536000000000001</v>
      </c>
      <c r="O93" s="263">
        <f t="shared" si="4"/>
        <v>0</v>
      </c>
      <c r="P93" s="263">
        <f t="shared" si="5"/>
        <v>0.52704961739999989</v>
      </c>
      <c r="Q93" s="263">
        <v>1</v>
      </c>
      <c r="R93" s="265">
        <f t="shared" si="3"/>
        <v>0</v>
      </c>
    </row>
    <row r="94" spans="3:18">
      <c r="C94" s="259" t="s">
        <v>788</v>
      </c>
      <c r="D94" s="260" t="s">
        <v>644</v>
      </c>
      <c r="E94" s="261" t="s">
        <v>322</v>
      </c>
      <c r="F94" s="261" t="s">
        <v>789</v>
      </c>
      <c r="G94" s="269">
        <v>0.32058760662999997</v>
      </c>
      <c r="H94" s="262">
        <v>0.16</v>
      </c>
      <c r="I94" s="262"/>
      <c r="J94" s="263">
        <v>20</v>
      </c>
      <c r="K94" s="264">
        <v>929</v>
      </c>
      <c r="L94" s="264">
        <v>7</v>
      </c>
      <c r="M94" s="263">
        <v>0.48</v>
      </c>
      <c r="N94" s="263">
        <v>31.536000000000001</v>
      </c>
      <c r="O94" s="263">
        <f t="shared" si="4"/>
        <v>7.9292977286719922E-4</v>
      </c>
      <c r="P94" s="263">
        <f t="shared" si="5"/>
        <v>5.1294017060799994E-2</v>
      </c>
      <c r="Q94" s="263">
        <v>0.76600000000000001</v>
      </c>
      <c r="R94" s="265">
        <f t="shared" si="3"/>
        <v>1.2002799992227198E-2</v>
      </c>
    </row>
    <row r="95" spans="3:18">
      <c r="C95" s="259" t="s">
        <v>790</v>
      </c>
      <c r="D95" s="260" t="s">
        <v>646</v>
      </c>
      <c r="E95" s="261" t="s">
        <v>323</v>
      </c>
      <c r="F95" s="261" t="s">
        <v>789</v>
      </c>
      <c r="G95" s="269">
        <v>2.6631532800000003E-2</v>
      </c>
      <c r="H95" s="262">
        <v>0.14000000000000001</v>
      </c>
      <c r="I95" s="262"/>
      <c r="J95" s="263">
        <v>20</v>
      </c>
      <c r="K95" s="264">
        <v>650</v>
      </c>
      <c r="L95" s="264">
        <v>7</v>
      </c>
      <c r="M95" s="263">
        <v>0.48</v>
      </c>
      <c r="N95" s="263">
        <v>31.536000000000001</v>
      </c>
      <c r="O95" s="263">
        <f t="shared" si="4"/>
        <v>5.7635784931506863E-5</v>
      </c>
      <c r="P95" s="263">
        <f t="shared" si="5"/>
        <v>3.7284145920000009E-3</v>
      </c>
      <c r="Q95" s="263">
        <v>0.76600000000000001</v>
      </c>
      <c r="R95" s="265">
        <f t="shared" si="3"/>
        <v>8.7244901452800019E-4</v>
      </c>
    </row>
    <row r="96" spans="3:18">
      <c r="C96" s="259" t="s">
        <v>791</v>
      </c>
      <c r="D96" s="260" t="s">
        <v>647</v>
      </c>
      <c r="E96" s="261" t="s">
        <v>321</v>
      </c>
      <c r="F96" s="261" t="s">
        <v>789</v>
      </c>
      <c r="G96" s="269">
        <v>1.8282493E-2</v>
      </c>
      <c r="H96" s="262">
        <v>0.14000000000000001</v>
      </c>
      <c r="I96" s="262"/>
      <c r="J96" s="263">
        <v>20</v>
      </c>
      <c r="K96" s="264">
        <v>681</v>
      </c>
      <c r="L96" s="264">
        <v>7</v>
      </c>
      <c r="M96" s="263">
        <v>0.48</v>
      </c>
      <c r="N96" s="263">
        <v>31.536000000000001</v>
      </c>
      <c r="O96" s="263">
        <f t="shared" si="4"/>
        <v>3.9566848910768646E-5</v>
      </c>
      <c r="P96" s="263">
        <f t="shared" si="5"/>
        <v>2.5595490200000003E-3</v>
      </c>
      <c r="Q96" s="263">
        <v>0.76600000000000001</v>
      </c>
      <c r="R96" s="265">
        <f t="shared" si="3"/>
        <v>5.9893447068000004E-4</v>
      </c>
    </row>
    <row r="97" spans="3:18">
      <c r="C97" s="259" t="s">
        <v>792</v>
      </c>
      <c r="D97" s="260" t="s">
        <v>648</v>
      </c>
      <c r="E97" s="261" t="s">
        <v>249</v>
      </c>
      <c r="F97" s="261" t="s">
        <v>793</v>
      </c>
      <c r="G97" s="269">
        <v>1.4592397500000001</v>
      </c>
      <c r="H97" s="262">
        <v>0.86</v>
      </c>
      <c r="I97" s="262"/>
      <c r="J97" s="263">
        <v>10</v>
      </c>
      <c r="K97" s="264">
        <v>187</v>
      </c>
      <c r="L97" s="264">
        <v>0</v>
      </c>
      <c r="M97" s="263">
        <v>0.48</v>
      </c>
      <c r="N97" s="263">
        <v>31.536000000000001</v>
      </c>
      <c r="O97" s="263">
        <f t="shared" si="4"/>
        <v>1.9399615207619861E-2</v>
      </c>
      <c r="P97" s="263">
        <f t="shared" si="5"/>
        <v>1.2549461850000001</v>
      </c>
      <c r="Q97" s="263">
        <v>0.76600000000000001</v>
      </c>
      <c r="R97" s="265">
        <f t="shared" si="3"/>
        <v>0.29365740729000001</v>
      </c>
    </row>
    <row r="98" spans="3:18">
      <c r="C98" s="259" t="s">
        <v>794</v>
      </c>
      <c r="D98" s="260" t="s">
        <v>650</v>
      </c>
      <c r="E98" s="261" t="s">
        <v>249</v>
      </c>
      <c r="F98" s="261" t="s">
        <v>795</v>
      </c>
      <c r="G98" s="269">
        <v>5.2631273680000001</v>
      </c>
      <c r="H98" s="262">
        <v>1.8</v>
      </c>
      <c r="I98" s="262"/>
      <c r="J98" s="263">
        <v>8</v>
      </c>
      <c r="K98" s="264">
        <v>7500</v>
      </c>
      <c r="L98" s="264">
        <v>5</v>
      </c>
      <c r="M98" s="263">
        <v>0.48</v>
      </c>
      <c r="N98" s="263">
        <v>31.536000000000001</v>
      </c>
      <c r="O98" s="263">
        <f t="shared" si="4"/>
        <v>0.14644832145547948</v>
      </c>
      <c r="P98" s="263">
        <f t="shared" si="5"/>
        <v>9.4736292624000011</v>
      </c>
      <c r="Q98" s="263">
        <v>0.76600000000000001</v>
      </c>
      <c r="R98" s="265">
        <f t="shared" si="3"/>
        <v>2.2168292474016003</v>
      </c>
    </row>
    <row r="99" spans="3:18">
      <c r="C99" s="259" t="s">
        <v>796</v>
      </c>
      <c r="D99" s="260" t="s">
        <v>652</v>
      </c>
      <c r="E99" s="261" t="s">
        <v>249</v>
      </c>
      <c r="F99" s="261" t="s">
        <v>797</v>
      </c>
      <c r="G99" s="269">
        <v>0.35709881999999998</v>
      </c>
      <c r="H99" s="262">
        <v>3.5</v>
      </c>
      <c r="I99" s="262"/>
      <c r="J99" s="263">
        <v>10</v>
      </c>
      <c r="K99" s="264">
        <v>1718</v>
      </c>
      <c r="L99" s="264">
        <v>0</v>
      </c>
      <c r="M99" s="263">
        <v>0.24</v>
      </c>
      <c r="N99" s="263">
        <v>31.536000000000001</v>
      </c>
      <c r="O99" s="263">
        <f t="shared" si="4"/>
        <v>3.8641543735730588E-2</v>
      </c>
      <c r="P99" s="263">
        <f t="shared" si="5"/>
        <v>1.2498458699999999</v>
      </c>
      <c r="Q99" s="263">
        <v>0.76600000000000001</v>
      </c>
      <c r="R99" s="265">
        <f t="shared" si="3"/>
        <v>0.29246393357999995</v>
      </c>
    </row>
    <row r="100" spans="3:18">
      <c r="C100" s="233" t="s">
        <v>564</v>
      </c>
      <c r="D100" s="234"/>
      <c r="E100" s="235"/>
      <c r="F100" s="235"/>
      <c r="G100" s="266"/>
      <c r="H100" s="236"/>
      <c r="I100" s="236"/>
      <c r="J100" s="237"/>
      <c r="K100" s="238"/>
      <c r="L100" s="238"/>
      <c r="M100" s="237"/>
      <c r="N100" s="237"/>
      <c r="O100" s="237"/>
      <c r="P100" s="237"/>
      <c r="Q100" s="237"/>
      <c r="R100" s="244"/>
    </row>
    <row r="101" spans="3:18">
      <c r="C101" s="233" t="s">
        <v>798</v>
      </c>
      <c r="D101" s="234" t="s">
        <v>654</v>
      </c>
      <c r="E101" s="235" t="s">
        <v>249</v>
      </c>
      <c r="F101" s="235" t="s">
        <v>799</v>
      </c>
      <c r="G101" s="266">
        <v>0.34476409699999999</v>
      </c>
      <c r="H101" s="236">
        <v>0.9</v>
      </c>
      <c r="I101" s="236"/>
      <c r="J101" s="237">
        <v>4</v>
      </c>
      <c r="K101" s="238">
        <v>5000</v>
      </c>
      <c r="L101" s="238">
        <v>0</v>
      </c>
      <c r="M101" s="237">
        <v>0.55000000000000004</v>
      </c>
      <c r="N101" s="237">
        <v>31.536000000000001</v>
      </c>
      <c r="O101" s="237">
        <f t="shared" si="4"/>
        <v>4.2218932592361967E-3</v>
      </c>
      <c r="P101" s="237">
        <f t="shared" si="5"/>
        <v>0.3102876873</v>
      </c>
      <c r="Q101" s="237">
        <v>0.76400000000000001</v>
      </c>
      <c r="R101" s="244">
        <f t="shared" si="3"/>
        <v>7.3227894202800001E-2</v>
      </c>
    </row>
    <row r="102" spans="3:18">
      <c r="C102" s="233" t="s">
        <v>801</v>
      </c>
      <c r="D102" s="234" t="s">
        <v>657</v>
      </c>
      <c r="E102" s="235" t="s">
        <v>249</v>
      </c>
      <c r="F102" s="235" t="s">
        <v>800</v>
      </c>
      <c r="G102" s="266">
        <v>8.7038240600000004E-3</v>
      </c>
      <c r="H102" s="236">
        <v>1.4999999999999999E-2</v>
      </c>
      <c r="I102" s="236">
        <v>0.01</v>
      </c>
      <c r="J102" s="237">
        <v>1</v>
      </c>
      <c r="K102" s="238">
        <v>22</v>
      </c>
      <c r="L102" s="238">
        <v>0</v>
      </c>
      <c r="M102" s="237">
        <v>0.55000000000000004</v>
      </c>
      <c r="N102" s="237">
        <v>31.536000000000001</v>
      </c>
      <c r="O102" s="237">
        <f t="shared" si="4"/>
        <v>1.7764135171578798E-6</v>
      </c>
      <c r="P102" s="237">
        <f t="shared" si="5"/>
        <v>1.3055736089999999E-4</v>
      </c>
      <c r="Q102" s="237">
        <v>0.76400000000000001</v>
      </c>
      <c r="R102" s="244">
        <f t="shared" si="3"/>
        <v>3.08115371724E-5</v>
      </c>
    </row>
    <row r="103" spans="3:18">
      <c r="C103" s="233" t="s">
        <v>802</v>
      </c>
      <c r="D103" s="234" t="s">
        <v>658</v>
      </c>
      <c r="E103" s="235" t="s">
        <v>249</v>
      </c>
      <c r="F103" s="235" t="s">
        <v>800</v>
      </c>
      <c r="G103" s="266">
        <v>0.70500974886000012</v>
      </c>
      <c r="H103" s="236">
        <v>0.13500000000000001</v>
      </c>
      <c r="I103" s="236">
        <v>0.81</v>
      </c>
      <c r="J103" s="237">
        <v>5</v>
      </c>
      <c r="K103" s="238">
        <v>333</v>
      </c>
      <c r="L103" s="238">
        <v>0</v>
      </c>
      <c r="M103" s="237">
        <v>0.55000000000000004</v>
      </c>
      <c r="N103" s="237">
        <v>31.536000000000001</v>
      </c>
      <c r="O103" s="237">
        <f t="shared" si="4"/>
        <v>1.2950054540080949E-3</v>
      </c>
      <c r="P103" s="237">
        <f t="shared" si="5"/>
        <v>9.5176316096100028E-2</v>
      </c>
      <c r="Q103" s="237">
        <v>0.76400000000000001</v>
      </c>
      <c r="R103" s="244">
        <f t="shared" si="3"/>
        <v>2.2461610598679606E-2</v>
      </c>
    </row>
    <row r="104" spans="3:18">
      <c r="C104" s="233" t="s">
        <v>803</v>
      </c>
      <c r="D104" s="234" t="s">
        <v>659</v>
      </c>
      <c r="E104" s="235" t="s">
        <v>249</v>
      </c>
      <c r="F104" s="235" t="s">
        <v>800</v>
      </c>
      <c r="G104" s="266">
        <v>0.15666883308000001</v>
      </c>
      <c r="H104" s="236">
        <v>0.25</v>
      </c>
      <c r="I104" s="236">
        <v>0.18</v>
      </c>
      <c r="J104" s="237">
        <v>20</v>
      </c>
      <c r="K104" s="238">
        <v>1000</v>
      </c>
      <c r="L104" s="238">
        <v>0</v>
      </c>
      <c r="M104" s="237">
        <v>0.55000000000000004</v>
      </c>
      <c r="N104" s="237">
        <v>31.536000000000001</v>
      </c>
      <c r="O104" s="237">
        <f t="shared" si="4"/>
        <v>5.3292405514736405E-4</v>
      </c>
      <c r="P104" s="237">
        <f t="shared" si="5"/>
        <v>3.9167208270000003E-2</v>
      </c>
      <c r="Q104" s="237">
        <v>0.76400000000000001</v>
      </c>
      <c r="R104" s="244">
        <f t="shared" si="3"/>
        <v>9.2434611517200008E-3</v>
      </c>
    </row>
    <row r="105" spans="3:18">
      <c r="C105" s="233" t="s">
        <v>804</v>
      </c>
      <c r="D105" s="234" t="s">
        <v>660</v>
      </c>
      <c r="E105" s="235" t="s">
        <v>237</v>
      </c>
      <c r="F105" s="235" t="s">
        <v>805</v>
      </c>
      <c r="G105" s="266">
        <v>7.1069505000000005E-2</v>
      </c>
      <c r="H105" s="236">
        <v>0.75</v>
      </c>
      <c r="I105" s="236"/>
      <c r="J105" s="237">
        <v>25</v>
      </c>
      <c r="K105" s="238">
        <v>800</v>
      </c>
      <c r="L105" s="238">
        <v>15</v>
      </c>
      <c r="M105" s="237">
        <v>0.1</v>
      </c>
      <c r="N105" s="237">
        <v>31.536000000000001</v>
      </c>
      <c r="O105" s="237">
        <f t="shared" si="4"/>
        <v>3.9888706192922367E-3</v>
      </c>
      <c r="P105" s="237">
        <f t="shared" si="5"/>
        <v>5.3302128750000004E-2</v>
      </c>
      <c r="Q105" s="237">
        <v>0.76400000000000001</v>
      </c>
      <c r="R105" s="244">
        <f t="shared" si="3"/>
        <v>1.2579302384999999E-2</v>
      </c>
    </row>
    <row r="106" spans="3:18">
      <c r="C106" s="233" t="s">
        <v>806</v>
      </c>
      <c r="D106" s="234" t="s">
        <v>662</v>
      </c>
      <c r="E106" s="235" t="s">
        <v>322</v>
      </c>
      <c r="F106" s="235" t="s">
        <v>805</v>
      </c>
      <c r="G106" s="266">
        <v>1.6881726E-2</v>
      </c>
      <c r="H106" s="236">
        <v>0.85</v>
      </c>
      <c r="I106" s="236"/>
      <c r="J106" s="237">
        <v>25</v>
      </c>
      <c r="K106" s="238">
        <v>380</v>
      </c>
      <c r="L106" s="238">
        <v>3</v>
      </c>
      <c r="M106" s="237">
        <v>0.1</v>
      </c>
      <c r="N106" s="237">
        <v>31.536000000000001</v>
      </c>
      <c r="O106" s="237">
        <f t="shared" si="4"/>
        <v>1.0738439356925418E-3</v>
      </c>
      <c r="P106" s="237">
        <f t="shared" si="5"/>
        <v>1.4349467099999999E-2</v>
      </c>
      <c r="Q106" s="237">
        <v>0.76400000000000001</v>
      </c>
      <c r="R106" s="244">
        <f t="shared" si="3"/>
        <v>3.3864742355999996E-3</v>
      </c>
    </row>
    <row r="107" spans="3:18">
      <c r="C107" s="233" t="s">
        <v>807</v>
      </c>
      <c r="D107" s="234" t="s">
        <v>663</v>
      </c>
      <c r="E107" s="235" t="s">
        <v>334</v>
      </c>
      <c r="F107" s="235" t="s">
        <v>805</v>
      </c>
      <c r="G107" s="266">
        <v>7.8750739999999993E-3</v>
      </c>
      <c r="H107" s="236">
        <v>0.84</v>
      </c>
      <c r="I107" s="236"/>
      <c r="J107" s="237">
        <v>25</v>
      </c>
      <c r="K107" s="238">
        <v>380</v>
      </c>
      <c r="L107" s="238">
        <v>3</v>
      </c>
      <c r="M107" s="237">
        <v>0.1</v>
      </c>
      <c r="N107" s="237">
        <v>31.536000000000001</v>
      </c>
      <c r="O107" s="237">
        <f t="shared" si="4"/>
        <v>4.9503889832572289E-4</v>
      </c>
      <c r="P107" s="237">
        <f t="shared" si="5"/>
        <v>6.615062159999999E-3</v>
      </c>
      <c r="Q107" s="237">
        <v>0.76400000000000001</v>
      </c>
      <c r="R107" s="244">
        <f t="shared" si="3"/>
        <v>1.5611546697599998E-3</v>
      </c>
    </row>
    <row r="108" spans="3:18">
      <c r="C108" s="233" t="s">
        <v>808</v>
      </c>
      <c r="D108" s="234" t="s">
        <v>664</v>
      </c>
      <c r="E108" s="235" t="s">
        <v>240</v>
      </c>
      <c r="F108" s="235" t="s">
        <v>805</v>
      </c>
      <c r="G108" s="266">
        <v>0.92886490600000005</v>
      </c>
      <c r="H108" s="236">
        <v>0.85</v>
      </c>
      <c r="I108" s="236"/>
      <c r="J108" s="237">
        <v>25</v>
      </c>
      <c r="K108" s="238">
        <v>250</v>
      </c>
      <c r="L108" s="238">
        <v>2</v>
      </c>
      <c r="M108" s="237">
        <v>0.1</v>
      </c>
      <c r="N108" s="237">
        <v>31.536000000000001</v>
      </c>
      <c r="O108" s="237">
        <f t="shared" si="4"/>
        <v>0</v>
      </c>
      <c r="P108" s="237">
        <f t="shared" si="5"/>
        <v>0.78953517010000007</v>
      </c>
      <c r="Q108" s="237">
        <v>1</v>
      </c>
      <c r="R108" s="244">
        <f t="shared" si="3"/>
        <v>0</v>
      </c>
    </row>
    <row r="109" spans="3:18">
      <c r="C109" s="233" t="s">
        <v>809</v>
      </c>
      <c r="D109" s="234" t="s">
        <v>665</v>
      </c>
      <c r="E109" s="235" t="s">
        <v>240</v>
      </c>
      <c r="F109" s="235" t="s">
        <v>805</v>
      </c>
      <c r="G109" s="266">
        <v>0.323880314</v>
      </c>
      <c r="H109" s="236">
        <v>0.8</v>
      </c>
      <c r="I109" s="236"/>
      <c r="J109" s="237">
        <v>12.5</v>
      </c>
      <c r="K109" s="238">
        <v>300</v>
      </c>
      <c r="L109" s="238">
        <v>0</v>
      </c>
      <c r="M109" s="237">
        <v>0.1</v>
      </c>
      <c r="N109" s="237">
        <v>31.536000000000001</v>
      </c>
      <c r="O109" s="237">
        <f t="shared" si="4"/>
        <v>0</v>
      </c>
      <c r="P109" s="237">
        <f t="shared" si="5"/>
        <v>0.25910425120000002</v>
      </c>
      <c r="Q109" s="237">
        <v>1</v>
      </c>
      <c r="R109" s="244">
        <f t="shared" si="3"/>
        <v>0</v>
      </c>
    </row>
    <row r="110" spans="3:18">
      <c r="C110" s="233" t="s">
        <v>810</v>
      </c>
      <c r="D110" s="234" t="s">
        <v>666</v>
      </c>
      <c r="E110" s="235" t="s">
        <v>249</v>
      </c>
      <c r="F110" s="235" t="s">
        <v>805</v>
      </c>
      <c r="G110" s="266">
        <v>0.27297176000000001</v>
      </c>
      <c r="H110" s="236">
        <v>3.5</v>
      </c>
      <c r="I110" s="236"/>
      <c r="J110" s="237">
        <v>10</v>
      </c>
      <c r="K110" s="238">
        <v>1718</v>
      </c>
      <c r="L110" s="238">
        <v>0</v>
      </c>
      <c r="M110" s="237">
        <v>0.1</v>
      </c>
      <c r="N110" s="237">
        <v>31.536000000000001</v>
      </c>
      <c r="O110" s="237">
        <f t="shared" si="4"/>
        <v>7.1497550025367826E-2</v>
      </c>
      <c r="P110" s="237">
        <f t="shared" si="5"/>
        <v>0.95540116000000008</v>
      </c>
      <c r="Q110" s="237">
        <v>0.76400000000000001</v>
      </c>
      <c r="R110" s="244">
        <f t="shared" si="3"/>
        <v>0.22547467375999999</v>
      </c>
    </row>
    <row r="111" spans="3:18">
      <c r="C111" s="233" t="s">
        <v>811</v>
      </c>
      <c r="D111" s="234" t="s">
        <v>667</v>
      </c>
      <c r="E111" s="235" t="s">
        <v>249</v>
      </c>
      <c r="F111" s="235" t="s">
        <v>805</v>
      </c>
      <c r="G111" s="266">
        <v>0.42739634399999998</v>
      </c>
      <c r="H111" s="236">
        <v>0.99</v>
      </c>
      <c r="I111" s="236"/>
      <c r="J111" s="237">
        <v>10</v>
      </c>
      <c r="K111" s="238">
        <v>80</v>
      </c>
      <c r="L111" s="238">
        <v>0</v>
      </c>
      <c r="M111" s="237">
        <v>0.1</v>
      </c>
      <c r="N111" s="237">
        <v>31.536000000000001</v>
      </c>
      <c r="O111" s="237">
        <f t="shared" si="4"/>
        <v>3.1664409504109585E-2</v>
      </c>
      <c r="P111" s="237">
        <f t="shared" si="5"/>
        <v>0.42312238055999996</v>
      </c>
      <c r="Q111" s="237">
        <v>0.76400000000000001</v>
      </c>
      <c r="R111" s="244">
        <f t="shared" si="3"/>
        <v>9.9856881812159987E-2</v>
      </c>
    </row>
    <row r="112" spans="3:18">
      <c r="C112" s="233" t="s">
        <v>812</v>
      </c>
      <c r="D112" s="234" t="s">
        <v>663</v>
      </c>
      <c r="E112" s="235" t="s">
        <v>334</v>
      </c>
      <c r="F112" s="235" t="s">
        <v>813</v>
      </c>
      <c r="G112" s="266">
        <v>1.27491E-3</v>
      </c>
      <c r="H112" s="236">
        <v>0.84</v>
      </c>
      <c r="I112" s="236"/>
      <c r="J112" s="237">
        <v>25</v>
      </c>
      <c r="K112" s="238">
        <v>380</v>
      </c>
      <c r="L112" s="238">
        <v>3</v>
      </c>
      <c r="M112" s="237">
        <v>0.55000000000000004</v>
      </c>
      <c r="N112" s="237">
        <v>31.536000000000001</v>
      </c>
      <c r="O112" s="237">
        <f t="shared" si="4"/>
        <v>1.4571408053134076E-5</v>
      </c>
      <c r="P112" s="237">
        <f t="shared" si="5"/>
        <v>1.0709243999999999E-3</v>
      </c>
      <c r="Q112" s="237">
        <v>0.76400000000000001</v>
      </c>
      <c r="R112" s="244">
        <f t="shared" si="3"/>
        <v>2.5273815839999995E-4</v>
      </c>
    </row>
    <row r="113" spans="3:18">
      <c r="C113" s="233" t="s">
        <v>814</v>
      </c>
      <c r="D113" s="234" t="s">
        <v>660</v>
      </c>
      <c r="E113" s="235" t="s">
        <v>237</v>
      </c>
      <c r="F113" s="235" t="s">
        <v>813</v>
      </c>
      <c r="G113" s="266">
        <v>2.3116087E-2</v>
      </c>
      <c r="H113" s="236">
        <v>0.75</v>
      </c>
      <c r="I113" s="236"/>
      <c r="J113" s="237">
        <v>25</v>
      </c>
      <c r="K113" s="238">
        <v>800</v>
      </c>
      <c r="L113" s="238">
        <v>15</v>
      </c>
      <c r="M113" s="237">
        <v>0.55000000000000004</v>
      </c>
      <c r="N113" s="237">
        <v>31.536000000000001</v>
      </c>
      <c r="O113" s="237">
        <f t="shared" si="4"/>
        <v>2.3589475802546003E-4</v>
      </c>
      <c r="P113" s="237">
        <f t="shared" si="5"/>
        <v>1.7337065249999999E-2</v>
      </c>
      <c r="Q113" s="237">
        <v>0.76400000000000001</v>
      </c>
      <c r="R113" s="244">
        <f t="shared" si="3"/>
        <v>4.0915473989999998E-3</v>
      </c>
    </row>
    <row r="114" spans="3:18">
      <c r="C114" s="233" t="s">
        <v>815</v>
      </c>
      <c r="D114" s="234" t="s">
        <v>669</v>
      </c>
      <c r="E114" s="235" t="s">
        <v>249</v>
      </c>
      <c r="F114" s="235" t="s">
        <v>813</v>
      </c>
      <c r="G114" s="266">
        <v>0.10049802400000001</v>
      </c>
      <c r="H114" s="236">
        <v>0.9</v>
      </c>
      <c r="I114" s="236"/>
      <c r="J114" s="237">
        <v>15</v>
      </c>
      <c r="K114" s="238">
        <v>655</v>
      </c>
      <c r="L114" s="238">
        <v>0</v>
      </c>
      <c r="M114" s="237">
        <v>0.55000000000000004</v>
      </c>
      <c r="N114" s="237">
        <v>31.536000000000001</v>
      </c>
      <c r="O114" s="237">
        <f t="shared" si="4"/>
        <v>1.2306731872146117E-3</v>
      </c>
      <c r="P114" s="237">
        <f t="shared" si="5"/>
        <v>9.0448221600000003E-2</v>
      </c>
      <c r="Q114" s="237">
        <v>0.76400000000000001</v>
      </c>
      <c r="R114" s="244">
        <f t="shared" si="3"/>
        <v>2.1345780297599998E-2</v>
      </c>
    </row>
    <row r="115" spans="3:18">
      <c r="C115" s="233" t="s">
        <v>816</v>
      </c>
      <c r="D115" s="234" t="s">
        <v>670</v>
      </c>
      <c r="E115" s="235" t="s">
        <v>240</v>
      </c>
      <c r="F115" s="235" t="s">
        <v>813</v>
      </c>
      <c r="G115" s="266">
        <v>5.5481543000000001E-2</v>
      </c>
      <c r="H115" s="236">
        <v>0.6</v>
      </c>
      <c r="I115" s="236"/>
      <c r="J115" s="237">
        <v>15</v>
      </c>
      <c r="K115" s="238">
        <v>316</v>
      </c>
      <c r="L115" s="238">
        <v>0</v>
      </c>
      <c r="M115" s="237">
        <v>0.55000000000000004</v>
      </c>
      <c r="N115" s="237">
        <v>31.536000000000001</v>
      </c>
      <c r="O115" s="237">
        <f t="shared" si="4"/>
        <v>0</v>
      </c>
      <c r="P115" s="237">
        <f t="shared" si="5"/>
        <v>3.3288925800000001E-2</v>
      </c>
      <c r="Q115" s="237">
        <v>1</v>
      </c>
      <c r="R115" s="244">
        <f t="shared" si="3"/>
        <v>0</v>
      </c>
    </row>
    <row r="116" spans="3:18">
      <c r="C116" s="233" t="s">
        <v>817</v>
      </c>
      <c r="D116" s="234" t="s">
        <v>671</v>
      </c>
      <c r="E116" s="235" t="s">
        <v>242</v>
      </c>
      <c r="F116" s="235" t="s">
        <v>813</v>
      </c>
      <c r="G116" s="266">
        <v>2.1306313898324434</v>
      </c>
      <c r="H116" s="236">
        <v>1</v>
      </c>
      <c r="I116" s="236"/>
      <c r="J116" s="237">
        <v>10</v>
      </c>
      <c r="K116" s="238">
        <v>100</v>
      </c>
      <c r="L116" s="238">
        <v>0</v>
      </c>
      <c r="M116" s="237">
        <v>0.55000000000000004</v>
      </c>
      <c r="N116" s="237">
        <v>31.536000000000001</v>
      </c>
      <c r="O116" s="237">
        <f t="shared" si="4"/>
        <v>0</v>
      </c>
      <c r="P116" s="237">
        <f t="shared" si="5"/>
        <v>2.1306313898324434</v>
      </c>
      <c r="Q116" s="237">
        <v>1</v>
      </c>
      <c r="R116" s="244">
        <f t="shared" si="3"/>
        <v>0</v>
      </c>
    </row>
    <row r="117" spans="3:18">
      <c r="C117" s="233" t="s">
        <v>818</v>
      </c>
      <c r="D117" s="234" t="s">
        <v>672</v>
      </c>
      <c r="E117" s="235" t="s">
        <v>322</v>
      </c>
      <c r="F117" s="235" t="s">
        <v>819</v>
      </c>
      <c r="G117" s="266">
        <v>0.76801382929999984</v>
      </c>
      <c r="H117" s="236">
        <v>0.16</v>
      </c>
      <c r="I117" s="236"/>
      <c r="J117" s="237">
        <v>20</v>
      </c>
      <c r="K117" s="238">
        <v>929</v>
      </c>
      <c r="L117" s="238">
        <v>7</v>
      </c>
      <c r="M117" s="237">
        <v>0.1</v>
      </c>
      <c r="N117" s="237">
        <v>31.536000000000001</v>
      </c>
      <c r="O117" s="237">
        <f t="shared" si="4"/>
        <v>9.1959037907052218E-3</v>
      </c>
      <c r="P117" s="237">
        <f t="shared" si="5"/>
        <v>0.12288221268799998</v>
      </c>
      <c r="Q117" s="237">
        <v>0.76400000000000001</v>
      </c>
      <c r="R117" s="244">
        <f t="shared" si="3"/>
        <v>2.9000202194367993E-2</v>
      </c>
    </row>
    <row r="118" spans="3:18">
      <c r="C118" s="233" t="s">
        <v>820</v>
      </c>
      <c r="D118" s="234" t="s">
        <v>674</v>
      </c>
      <c r="E118" s="235" t="s">
        <v>323</v>
      </c>
      <c r="F118" s="235" t="s">
        <v>819</v>
      </c>
      <c r="G118" s="266">
        <v>0.18642072960000003</v>
      </c>
      <c r="H118" s="236">
        <v>0.14000000000000001</v>
      </c>
      <c r="I118" s="236"/>
      <c r="J118" s="237">
        <v>20</v>
      </c>
      <c r="K118" s="238">
        <v>650</v>
      </c>
      <c r="L118" s="238">
        <v>7</v>
      </c>
      <c r="M118" s="237">
        <v>0.1</v>
      </c>
      <c r="N118" s="237">
        <v>31.536000000000001</v>
      </c>
      <c r="O118" s="237">
        <f t="shared" si="4"/>
        <v>1.9531141888584477E-3</v>
      </c>
      <c r="P118" s="237">
        <f t="shared" si="5"/>
        <v>2.6098902144000007E-2</v>
      </c>
      <c r="Q118" s="237">
        <v>0.76400000000000001</v>
      </c>
      <c r="R118" s="244">
        <f t="shared" si="3"/>
        <v>6.1593409059840015E-3</v>
      </c>
    </row>
    <row r="119" spans="3:18">
      <c r="C119" s="233" t="s">
        <v>821</v>
      </c>
      <c r="D119" s="234" t="s">
        <v>675</v>
      </c>
      <c r="E119" s="235" t="s">
        <v>334</v>
      </c>
      <c r="F119" s="235" t="s">
        <v>819</v>
      </c>
      <c r="G119" s="266">
        <v>7.5248107000000009E-2</v>
      </c>
      <c r="H119" s="236">
        <v>0.15</v>
      </c>
      <c r="I119" s="236"/>
      <c r="J119" s="237">
        <v>20</v>
      </c>
      <c r="K119" s="238">
        <v>9000</v>
      </c>
      <c r="L119" s="238">
        <v>5</v>
      </c>
      <c r="M119" s="237">
        <v>0.1</v>
      </c>
      <c r="N119" s="237">
        <v>31.536000000000001</v>
      </c>
      <c r="O119" s="237">
        <f t="shared" si="4"/>
        <v>8.4468004433028922E-4</v>
      </c>
      <c r="P119" s="237">
        <f t="shared" si="5"/>
        <v>1.1287216050000002E-2</v>
      </c>
      <c r="Q119" s="237">
        <v>0.76400000000000001</v>
      </c>
      <c r="R119" s="244">
        <f t="shared" si="3"/>
        <v>2.6637829878000002E-3</v>
      </c>
    </row>
    <row r="120" spans="3:18">
      <c r="C120" s="233" t="s">
        <v>822</v>
      </c>
      <c r="D120" s="234" t="s">
        <v>676</v>
      </c>
      <c r="E120" s="235" t="s">
        <v>249</v>
      </c>
      <c r="F120" s="235" t="s">
        <v>823</v>
      </c>
      <c r="G120" s="266">
        <v>0.37423906799999995</v>
      </c>
      <c r="H120" s="236">
        <v>0.86</v>
      </c>
      <c r="I120" s="236"/>
      <c r="J120" s="237">
        <v>10</v>
      </c>
      <c r="K120" s="238">
        <v>187</v>
      </c>
      <c r="L120" s="238">
        <v>0</v>
      </c>
      <c r="M120" s="237">
        <v>0.55000000000000004</v>
      </c>
      <c r="N120" s="237">
        <v>31.536000000000001</v>
      </c>
      <c r="O120" s="237">
        <f t="shared" si="4"/>
        <v>4.3791546308565091E-3</v>
      </c>
      <c r="P120" s="237">
        <f t="shared" si="5"/>
        <v>0.32184559847999994</v>
      </c>
      <c r="Q120" s="237">
        <v>0.76400000000000001</v>
      </c>
      <c r="R120" s="244">
        <f t="shared" si="3"/>
        <v>7.5955561241279987E-2</v>
      </c>
    </row>
    <row r="121" spans="3:18">
      <c r="C121" s="233" t="s">
        <v>824</v>
      </c>
      <c r="D121" s="234" t="s">
        <v>678</v>
      </c>
      <c r="E121" s="235" t="s">
        <v>249</v>
      </c>
      <c r="F121" s="235" t="s">
        <v>825</v>
      </c>
      <c r="G121" s="266">
        <v>0.37788849299999999</v>
      </c>
      <c r="H121" s="236">
        <v>3.5</v>
      </c>
      <c r="I121" s="236"/>
      <c r="J121" s="237">
        <v>10</v>
      </c>
      <c r="K121" s="238">
        <v>1718</v>
      </c>
      <c r="L121" s="238">
        <v>0</v>
      </c>
      <c r="M121" s="237">
        <v>0.27</v>
      </c>
      <c r="N121" s="237">
        <v>31.536000000000001</v>
      </c>
      <c r="O121" s="237">
        <f t="shared" si="4"/>
        <v>3.6658386326033028E-2</v>
      </c>
      <c r="P121" s="237">
        <f t="shared" si="5"/>
        <v>1.3226097255</v>
      </c>
      <c r="Q121" s="237">
        <v>0.76400000000000001</v>
      </c>
      <c r="R121" s="244">
        <f t="shared" si="3"/>
        <v>0.312135895218</v>
      </c>
    </row>
    <row r="130" spans="3:4">
      <c r="C130" s="173" t="s">
        <v>13</v>
      </c>
      <c r="D130" s="174"/>
    </row>
    <row r="131" spans="3:4">
      <c r="C131" s="177" t="s">
        <v>0</v>
      </c>
      <c r="D131" s="179" t="s">
        <v>361</v>
      </c>
    </row>
    <row r="132" spans="3:4">
      <c r="C132" t="s">
        <v>681</v>
      </c>
      <c r="D132" s="195">
        <f>ROUNDDOWN(SUMIF($F$6:$F$121,C132,$R$6:$R$121),3)</f>
        <v>2.1999999999999999E-2</v>
      </c>
    </row>
    <row r="133" spans="3:4">
      <c r="C133" s="230" t="s">
        <v>682</v>
      </c>
      <c r="D133" s="195">
        <f t="shared" ref="D133:D171" si="6">ROUNDDOWN(SUMIF($F$6:$F$121,C133,$R$6:$R$121),3)</f>
        <v>0.02</v>
      </c>
    </row>
    <row r="134" spans="3:4">
      <c r="C134" s="230" t="s">
        <v>687</v>
      </c>
      <c r="D134" s="195">
        <f t="shared" si="6"/>
        <v>0.33200000000000002</v>
      </c>
    </row>
    <row r="135" spans="3:4">
      <c r="C135" s="230" t="s">
        <v>695</v>
      </c>
      <c r="D135" s="195">
        <f t="shared" si="6"/>
        <v>2.5999999999999999E-2</v>
      </c>
    </row>
    <row r="136" spans="3:4">
      <c r="C136" s="230" t="s">
        <v>699</v>
      </c>
      <c r="D136" s="195">
        <f t="shared" si="6"/>
        <v>0.02</v>
      </c>
    </row>
    <row r="137" spans="3:4">
      <c r="C137" s="230" t="s">
        <v>702</v>
      </c>
      <c r="D137" s="195">
        <f t="shared" si="6"/>
        <v>2E-3</v>
      </c>
    </row>
    <row r="138" spans="3:4">
      <c r="C138" s="230" t="s">
        <v>705</v>
      </c>
      <c r="D138" s="195">
        <f t="shared" si="6"/>
        <v>0</v>
      </c>
    </row>
    <row r="139" spans="3:4">
      <c r="C139" s="230" t="s">
        <v>707</v>
      </c>
      <c r="D139" s="195">
        <f t="shared" si="6"/>
        <v>9.8000000000000004E-2</v>
      </c>
    </row>
    <row r="140" spans="3:4">
      <c r="C140" s="230" t="s">
        <v>709</v>
      </c>
      <c r="D140" s="195">
        <f t="shared" si="6"/>
        <v>5.7000000000000002E-2</v>
      </c>
    </row>
    <row r="141" spans="3:4">
      <c r="C141" s="230" t="s">
        <v>710</v>
      </c>
      <c r="D141" s="195">
        <f t="shared" si="6"/>
        <v>1.7999999999999999E-2</v>
      </c>
    </row>
    <row r="142" spans="3:4">
      <c r="C142" s="230" t="s">
        <v>715</v>
      </c>
      <c r="D142" s="195">
        <f t="shared" si="6"/>
        <v>0.25</v>
      </c>
    </row>
    <row r="143" spans="3:4">
      <c r="C143" s="230" t="s">
        <v>721</v>
      </c>
      <c r="D143" s="195">
        <f t="shared" si="6"/>
        <v>0.151</v>
      </c>
    </row>
    <row r="144" spans="3:4">
      <c r="C144" s="230" t="s">
        <v>726</v>
      </c>
      <c r="D144" s="195">
        <f t="shared" si="6"/>
        <v>7.6999999999999999E-2</v>
      </c>
    </row>
    <row r="145" spans="3:4">
      <c r="C145" s="230" t="s">
        <v>729</v>
      </c>
      <c r="D145" s="195">
        <f t="shared" si="6"/>
        <v>3.0000000000000001E-3</v>
      </c>
    </row>
    <row r="146" spans="3:4">
      <c r="C146" s="230" t="s">
        <v>732</v>
      </c>
      <c r="D146" s="195">
        <f t="shared" si="6"/>
        <v>1.6E-2</v>
      </c>
    </row>
    <row r="147" spans="3:4">
      <c r="C147" s="230" t="s">
        <v>734</v>
      </c>
      <c r="D147" s="195">
        <f t="shared" si="6"/>
        <v>3.2000000000000001E-2</v>
      </c>
    </row>
    <row r="148" spans="3:4">
      <c r="C148" s="230" t="s">
        <v>736</v>
      </c>
      <c r="D148" s="195">
        <f t="shared" si="6"/>
        <v>0.19700000000000001</v>
      </c>
    </row>
    <row r="149" spans="3:4">
      <c r="C149" s="230" t="s">
        <v>738</v>
      </c>
      <c r="D149" s="195">
        <f t="shared" si="6"/>
        <v>0.48499999999999999</v>
      </c>
    </row>
    <row r="150" spans="3:4">
      <c r="C150" s="230" t="s">
        <v>739</v>
      </c>
      <c r="D150" s="195">
        <f t="shared" si="6"/>
        <v>0.122</v>
      </c>
    </row>
    <row r="151" spans="3:4">
      <c r="C151" s="230" t="s">
        <v>744</v>
      </c>
      <c r="D151" s="195">
        <f t="shared" si="6"/>
        <v>1.4910000000000001</v>
      </c>
    </row>
    <row r="152" spans="3:4">
      <c r="C152" s="230" t="s">
        <v>752</v>
      </c>
      <c r="D152" s="195">
        <f t="shared" si="6"/>
        <v>0.17499999999999999</v>
      </c>
    </row>
    <row r="153" spans="3:4">
      <c r="C153" s="230" t="s">
        <v>758</v>
      </c>
      <c r="D153" s="195">
        <f t="shared" si="6"/>
        <v>6.7000000000000004E-2</v>
      </c>
    </row>
    <row r="154" spans="3:4">
      <c r="C154" s="230" t="s">
        <v>762</v>
      </c>
      <c r="D154" s="195">
        <f t="shared" si="6"/>
        <v>0.14199999999999999</v>
      </c>
    </row>
    <row r="155" spans="3:4">
      <c r="C155" s="230" t="s">
        <v>764</v>
      </c>
      <c r="D155" s="195">
        <f t="shared" si="6"/>
        <v>1.351</v>
      </c>
    </row>
    <row r="156" spans="3:4">
      <c r="C156" s="230" t="s">
        <v>766</v>
      </c>
      <c r="D156" s="195">
        <f t="shared" si="6"/>
        <v>0.155</v>
      </c>
    </row>
    <row r="157" spans="3:4">
      <c r="C157" s="230" t="s">
        <v>768</v>
      </c>
      <c r="D157" s="195">
        <f t="shared" si="6"/>
        <v>0.252</v>
      </c>
    </row>
    <row r="158" spans="3:4">
      <c r="C158" s="230" t="s">
        <v>772</v>
      </c>
      <c r="D158" s="195">
        <f t="shared" si="6"/>
        <v>9.4E-2</v>
      </c>
    </row>
    <row r="159" spans="3:4">
      <c r="C159" s="230" t="s">
        <v>777</v>
      </c>
      <c r="D159" s="195">
        <f>ROUNDDOWN(SUMIF($F$6:$F$121,C159,$R$6:$R$121),3)</f>
        <v>0.86399999999999999</v>
      </c>
    </row>
    <row r="160" spans="3:4">
      <c r="C160" s="270" t="s">
        <v>829</v>
      </c>
      <c r="D160" s="195">
        <f t="shared" si="6"/>
        <v>0.46899999999999997</v>
      </c>
    </row>
    <row r="161" spans="3:4">
      <c r="C161" s="230" t="s">
        <v>789</v>
      </c>
      <c r="D161" s="195">
        <f t="shared" si="6"/>
        <v>1.2999999999999999E-2</v>
      </c>
    </row>
    <row r="162" spans="3:4">
      <c r="C162" s="230" t="s">
        <v>793</v>
      </c>
      <c r="D162" s="195">
        <f t="shared" si="6"/>
        <v>0.29299999999999998</v>
      </c>
    </row>
    <row r="163" spans="3:4">
      <c r="C163" s="230" t="s">
        <v>795</v>
      </c>
      <c r="D163" s="195">
        <f t="shared" si="6"/>
        <v>2.2160000000000002</v>
      </c>
    </row>
    <row r="164" spans="3:4">
      <c r="C164" s="230" t="s">
        <v>797</v>
      </c>
      <c r="D164" s="195">
        <f t="shared" si="6"/>
        <v>0.29199999999999998</v>
      </c>
    </row>
    <row r="165" spans="3:4">
      <c r="C165" s="230" t="s">
        <v>799</v>
      </c>
      <c r="D165" s="195">
        <f t="shared" si="6"/>
        <v>7.2999999999999995E-2</v>
      </c>
    </row>
    <row r="166" spans="3:4">
      <c r="C166" s="230" t="s">
        <v>800</v>
      </c>
      <c r="D166" s="195">
        <f t="shared" si="6"/>
        <v>3.1E-2</v>
      </c>
    </row>
    <row r="167" spans="3:4">
      <c r="C167" s="230" t="s">
        <v>805</v>
      </c>
      <c r="D167" s="195">
        <f t="shared" si="6"/>
        <v>0.34200000000000003</v>
      </c>
    </row>
    <row r="168" spans="3:4">
      <c r="C168" s="230" t="s">
        <v>813</v>
      </c>
      <c r="D168" s="195">
        <f t="shared" si="6"/>
        <v>2.5000000000000001E-2</v>
      </c>
    </row>
    <row r="169" spans="3:4">
      <c r="C169" s="230" t="s">
        <v>819</v>
      </c>
      <c r="D169" s="195">
        <f t="shared" si="6"/>
        <v>3.6999999999999998E-2</v>
      </c>
    </row>
    <row r="170" spans="3:4">
      <c r="C170" s="230" t="s">
        <v>823</v>
      </c>
      <c r="D170" s="195">
        <f t="shared" si="6"/>
        <v>7.4999999999999997E-2</v>
      </c>
    </row>
    <row r="171" spans="3:4">
      <c r="C171" s="230" t="s">
        <v>825</v>
      </c>
      <c r="D171" s="195">
        <f t="shared" si="6"/>
        <v>0.312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22"/>
  <sheetViews>
    <sheetView workbookViewId="0">
      <selection activeCell="I17" sqref="I17"/>
    </sheetView>
  </sheetViews>
  <sheetFormatPr defaultColWidth="9.1328125" defaultRowHeight="13.15"/>
  <cols>
    <col min="1" max="1" width="9.1328125" style="1"/>
    <col min="2" max="2" width="14.3984375" style="1" customWidth="1"/>
    <col min="3" max="16384" width="9.1328125" style="1"/>
  </cols>
  <sheetData>
    <row r="2" spans="2:12" ht="18">
      <c r="B2" s="163" t="s">
        <v>72</v>
      </c>
      <c r="C2" s="164"/>
    </row>
    <row r="3" spans="2:12" ht="13.5" thickBot="1">
      <c r="B3" s="166" t="s">
        <v>0</v>
      </c>
      <c r="C3" s="171" t="s">
        <v>275</v>
      </c>
      <c r="D3" s="171" t="s">
        <v>522</v>
      </c>
      <c r="E3" s="171" t="s">
        <v>523</v>
      </c>
      <c r="F3" s="171" t="s">
        <v>524</v>
      </c>
      <c r="G3" s="171" t="s">
        <v>525</v>
      </c>
      <c r="H3" s="171" t="s">
        <v>278</v>
      </c>
      <c r="I3" s="171" t="s">
        <v>280</v>
      </c>
      <c r="J3" s="171" t="s">
        <v>285</v>
      </c>
      <c r="K3" s="171" t="s">
        <v>530</v>
      </c>
    </row>
    <row r="4" spans="2:12" ht="13.5" thickBot="1">
      <c r="B4" s="167" t="s">
        <v>59</v>
      </c>
      <c r="C4" s="167" t="s">
        <v>75</v>
      </c>
      <c r="D4" s="167" t="s">
        <v>75</v>
      </c>
      <c r="E4" s="167" t="s">
        <v>75</v>
      </c>
      <c r="F4" s="167" t="s">
        <v>75</v>
      </c>
      <c r="G4" s="167" t="s">
        <v>75</v>
      </c>
      <c r="H4" s="167" t="s">
        <v>75</v>
      </c>
      <c r="I4" s="167" t="s">
        <v>75</v>
      </c>
      <c r="J4" s="167" t="s">
        <v>75</v>
      </c>
      <c r="K4" s="167" t="s">
        <v>75</v>
      </c>
      <c r="L4" s="171"/>
    </row>
    <row r="5" spans="2:12">
      <c r="B5" s="168" t="s">
        <v>340</v>
      </c>
      <c r="C5" s="169">
        <v>92</v>
      </c>
      <c r="D5" s="169">
        <v>69.69</v>
      </c>
      <c r="E5" s="169">
        <v>66.58</v>
      </c>
      <c r="F5" s="165">
        <v>72.91</v>
      </c>
      <c r="G5" s="165">
        <v>60.43</v>
      </c>
      <c r="H5" s="1">
        <v>53.96</v>
      </c>
    </row>
    <row r="8" spans="2:12">
      <c r="B8" s="163" t="s">
        <v>72</v>
      </c>
    </row>
    <row r="9" spans="2:12" ht="13.5" thickBot="1">
      <c r="B9" s="166" t="s">
        <v>0</v>
      </c>
      <c r="C9" s="114" t="s">
        <v>223</v>
      </c>
      <c r="D9" s="114" t="s">
        <v>226</v>
      </c>
      <c r="E9" s="114" t="s">
        <v>301</v>
      </c>
      <c r="F9" s="114" t="s">
        <v>302</v>
      </c>
      <c r="G9" s="114" t="s">
        <v>233</v>
      </c>
      <c r="H9" s="114"/>
      <c r="I9" s="114"/>
    </row>
    <row r="10" spans="2:12" ht="13.5" thickBot="1">
      <c r="B10" s="167" t="s">
        <v>59</v>
      </c>
      <c r="C10" s="167" t="s">
        <v>75</v>
      </c>
      <c r="D10" s="167" t="s">
        <v>75</v>
      </c>
      <c r="E10" s="167" t="s">
        <v>75</v>
      </c>
      <c r="F10" s="167" t="s">
        <v>75</v>
      </c>
      <c r="G10" s="167" t="s">
        <v>75</v>
      </c>
      <c r="H10" s="167"/>
      <c r="I10" s="167"/>
    </row>
    <row r="11" spans="2:12">
      <c r="B11" s="1" t="s">
        <v>341</v>
      </c>
      <c r="C11" s="1">
        <v>92</v>
      </c>
      <c r="D11" s="1">
        <v>53.96</v>
      </c>
      <c r="E11" s="1">
        <v>60.43</v>
      </c>
      <c r="F11" s="1">
        <v>69.69</v>
      </c>
    </row>
    <row r="14" spans="2:12">
      <c r="B14" s="163" t="s">
        <v>72</v>
      </c>
    </row>
    <row r="15" spans="2:12" ht="13.5" thickBot="1">
      <c r="B15" s="166" t="s">
        <v>0</v>
      </c>
      <c r="C15" s="186" t="s">
        <v>237</v>
      </c>
      <c r="D15" s="186" t="s">
        <v>240</v>
      </c>
      <c r="E15" s="186" t="s">
        <v>321</v>
      </c>
      <c r="F15" s="186" t="s">
        <v>322</v>
      </c>
      <c r="G15" s="186" t="s">
        <v>246</v>
      </c>
      <c r="H15" s="186" t="s">
        <v>242</v>
      </c>
      <c r="I15" s="186" t="s">
        <v>334</v>
      </c>
      <c r="J15" s="186" t="s">
        <v>323</v>
      </c>
      <c r="K15" s="186" t="s">
        <v>247</v>
      </c>
      <c r="L15" s="186" t="s">
        <v>826</v>
      </c>
    </row>
    <row r="16" spans="2:12" ht="13.5" thickBot="1">
      <c r="B16" s="167" t="s">
        <v>59</v>
      </c>
      <c r="C16" s="167" t="s">
        <v>75</v>
      </c>
      <c r="D16" s="167" t="s">
        <v>75</v>
      </c>
      <c r="E16" s="167" t="s">
        <v>75</v>
      </c>
      <c r="F16" s="167" t="s">
        <v>75</v>
      </c>
      <c r="G16" s="167" t="s">
        <v>75</v>
      </c>
      <c r="H16" s="167" t="s">
        <v>75</v>
      </c>
      <c r="I16" s="167" t="s">
        <v>75</v>
      </c>
      <c r="J16" s="167" t="s">
        <v>75</v>
      </c>
      <c r="K16" s="167" t="s">
        <v>75</v>
      </c>
      <c r="L16" s="167" t="s">
        <v>75</v>
      </c>
    </row>
    <row r="17" spans="2:10">
      <c r="B17" s="1" t="s">
        <v>331</v>
      </c>
      <c r="C17" s="1">
        <v>92</v>
      </c>
      <c r="D17" s="1">
        <v>53.96</v>
      </c>
      <c r="E17" s="1">
        <v>60.43</v>
      </c>
      <c r="F17" s="1">
        <v>69.69</v>
      </c>
      <c r="I17" s="1">
        <v>72.91</v>
      </c>
      <c r="J17" s="1">
        <v>66.58</v>
      </c>
    </row>
    <row r="18" spans="2:10" ht="13.5" thickBot="1">
      <c r="B18" s="166"/>
      <c r="C18" s="166"/>
      <c r="D18" s="166"/>
      <c r="E18" s="166"/>
      <c r="F18" s="166"/>
      <c r="G18" s="166"/>
      <c r="H18" s="166"/>
      <c r="I18" s="166"/>
    </row>
    <row r="22" spans="2:10">
      <c r="C22" s="1" t="s">
        <v>356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3:AR23558"/>
  <sheetViews>
    <sheetView zoomScale="70" zoomScaleNormal="70" workbookViewId="0"/>
  </sheetViews>
  <sheetFormatPr defaultColWidth="9.1328125" defaultRowHeight="12" customHeight="1"/>
  <cols>
    <col min="1" max="4" width="15.1328125" style="101" customWidth="1"/>
    <col min="5" max="6" width="28.265625" style="101" customWidth="1"/>
    <col min="7" max="8" width="20.59765625" style="101" customWidth="1"/>
    <col min="9" max="9" width="56.3984375" style="101" customWidth="1"/>
    <col min="10" max="10" width="15.1328125" style="101" customWidth="1"/>
    <col min="11" max="11" width="18.73046875" style="101" customWidth="1"/>
    <col min="12" max="12" width="23.59765625" style="101" hidden="1" customWidth="1"/>
    <col min="13" max="18" width="15.1328125" style="101" customWidth="1"/>
    <col min="19" max="20" width="15.1328125" style="159" customWidth="1"/>
    <col min="21" max="30" width="21.73046875" style="159" customWidth="1"/>
    <col min="31" max="32" width="15.1328125" style="101" customWidth="1"/>
    <col min="33" max="44" width="21.265625" style="101" customWidth="1"/>
    <col min="45" max="253" width="15.1328125" style="101" customWidth="1"/>
    <col min="254" max="16384" width="9.1328125" style="101"/>
  </cols>
  <sheetData>
    <row r="3" spans="2:44" ht="12" customHeight="1" thickBot="1"/>
    <row r="4" spans="2:44" ht="12" customHeight="1">
      <c r="B4" s="109" t="s">
        <v>62</v>
      </c>
      <c r="C4" s="109" t="s">
        <v>64</v>
      </c>
      <c r="D4" s="109" t="s">
        <v>201</v>
      </c>
      <c r="E4" s="109" t="s">
        <v>194</v>
      </c>
      <c r="F4" s="109" t="s">
        <v>199</v>
      </c>
      <c r="G4" s="109" t="s">
        <v>197</v>
      </c>
      <c r="H4" s="109" t="s">
        <v>200</v>
      </c>
      <c r="I4" s="109" t="s">
        <v>196</v>
      </c>
      <c r="J4" s="109" t="s">
        <v>195</v>
      </c>
      <c r="K4" s="109" t="s">
        <v>203</v>
      </c>
      <c r="L4" s="109" t="s">
        <v>204</v>
      </c>
      <c r="P4" s="120" t="s">
        <v>1</v>
      </c>
      <c r="Q4" s="121" t="s">
        <v>5</v>
      </c>
      <c r="R4" s="121" t="s">
        <v>6</v>
      </c>
      <c r="S4" s="160" t="s">
        <v>56</v>
      </c>
      <c r="T4" s="160" t="s">
        <v>188</v>
      </c>
      <c r="U4" s="160" t="s">
        <v>189</v>
      </c>
      <c r="V4" s="160" t="s">
        <v>190</v>
      </c>
      <c r="W4" s="160" t="s">
        <v>209</v>
      </c>
      <c r="X4" s="160" t="s">
        <v>191</v>
      </c>
      <c r="Y4" s="160" t="s">
        <v>192</v>
      </c>
      <c r="Z4" s="160" t="s">
        <v>210</v>
      </c>
      <c r="AA4" s="160" t="s">
        <v>211</v>
      </c>
      <c r="AB4" s="160" t="s">
        <v>193</v>
      </c>
      <c r="AC4" s="161" t="s">
        <v>359</v>
      </c>
      <c r="AD4" s="161" t="s">
        <v>212</v>
      </c>
      <c r="AG4" s="133" t="s">
        <v>56</v>
      </c>
      <c r="AH4" s="134" t="s">
        <v>188</v>
      </c>
      <c r="AI4" s="134" t="s">
        <v>189</v>
      </c>
      <c r="AJ4" s="134" t="s">
        <v>190</v>
      </c>
      <c r="AK4" s="134" t="s">
        <v>209</v>
      </c>
      <c r="AL4" s="134" t="s">
        <v>191</v>
      </c>
      <c r="AM4" s="134" t="s">
        <v>192</v>
      </c>
      <c r="AN4" s="134" t="s">
        <v>210</v>
      </c>
      <c r="AO4" s="134" t="s">
        <v>211</v>
      </c>
      <c r="AP4" s="134" t="s">
        <v>193</v>
      </c>
      <c r="AQ4" s="134" t="s">
        <v>359</v>
      </c>
      <c r="AR4" s="135" t="s">
        <v>212</v>
      </c>
    </row>
    <row r="5" spans="2:44" ht="12" customHeight="1">
      <c r="B5" s="116" t="s">
        <v>202</v>
      </c>
      <c r="C5" s="108" t="s">
        <v>46</v>
      </c>
      <c r="D5" s="116" t="s">
        <v>208</v>
      </c>
      <c r="E5" s="106" t="s">
        <v>216</v>
      </c>
      <c r="F5" s="110" t="s">
        <v>171</v>
      </c>
      <c r="G5" s="107" t="str">
        <f>C5&amp;" Coal"</f>
        <v>Industry Coal</v>
      </c>
      <c r="H5" s="113" t="s">
        <v>155</v>
      </c>
      <c r="I5" s="140" t="str">
        <f t="shared" ref="I5:I17" si="0">$C$5&amp;" "&amp;$E$5&amp;" "&amp;RIGHT(G5,LEN(G5)-FIND(" ",G5))</f>
        <v>Industry Space heating  Coal</v>
      </c>
      <c r="J5" s="147" t="s">
        <v>207</v>
      </c>
      <c r="K5" s="150" t="str">
        <f t="shared" ref="K5:K17" si="1">$D$5&amp;$F$5&amp;RIGHT(H5,3)&amp;$B$5</f>
        <v>IND-SHCOAExt</v>
      </c>
      <c r="L5" s="101" t="str">
        <f t="shared" ref="L5:L26" si="2">IF(J5="Yes",K5,"")</f>
        <v/>
      </c>
      <c r="O5" s="122" t="str">
        <f>IF(J5="Yes",I5,"")</f>
        <v/>
      </c>
      <c r="P5" s="122" t="str">
        <f>L5</f>
        <v/>
      </c>
      <c r="Q5" s="114" t="str">
        <f>IF(J5="yes",LEFT(P5,3)&amp;"-"&amp;MID(P5,7,3),"")</f>
        <v/>
      </c>
      <c r="R5" s="112" t="str">
        <f>LEFT(P5,6)</f>
        <v/>
      </c>
      <c r="S5" s="119" t="str">
        <f>IF(P5&lt;&gt;"",AG5,"")</f>
        <v/>
      </c>
      <c r="T5" s="119" t="str">
        <f t="shared" ref="T5:AD5" si="3">IF(Q5&lt;&gt;"",AH5,"")</f>
        <v/>
      </c>
      <c r="U5" s="119" t="str">
        <f t="shared" si="3"/>
        <v/>
      </c>
      <c r="V5" s="119" t="str">
        <f t="shared" si="3"/>
        <v/>
      </c>
      <c r="W5" s="119" t="str">
        <f t="shared" si="3"/>
        <v/>
      </c>
      <c r="X5" s="119" t="str">
        <f t="shared" si="3"/>
        <v/>
      </c>
      <c r="Y5" s="119" t="str">
        <f t="shared" si="3"/>
        <v/>
      </c>
      <c r="Z5" s="119" t="str">
        <f t="shared" si="3"/>
        <v/>
      </c>
      <c r="AA5" s="119" t="str">
        <f t="shared" si="3"/>
        <v/>
      </c>
      <c r="AB5" s="119" t="str">
        <f t="shared" si="3"/>
        <v/>
      </c>
      <c r="AC5" s="119" t="str">
        <f t="shared" si="3"/>
        <v/>
      </c>
      <c r="AD5" s="119" t="str">
        <f t="shared" si="3"/>
        <v/>
      </c>
      <c r="AG5" s="130">
        <v>0.6</v>
      </c>
      <c r="AH5" s="131">
        <v>2</v>
      </c>
      <c r="AI5" s="131">
        <v>1</v>
      </c>
      <c r="AJ5" s="131">
        <v>1</v>
      </c>
      <c r="AK5" s="131">
        <f>0.8*AJ5</f>
        <v>0.8</v>
      </c>
      <c r="AL5" s="131">
        <f>AJ5*0</f>
        <v>0</v>
      </c>
      <c r="AM5" s="131">
        <v>0.5</v>
      </c>
      <c r="AN5" s="131">
        <v>0.4</v>
      </c>
      <c r="AO5" s="131">
        <v>0</v>
      </c>
      <c r="AP5" s="131">
        <v>1</v>
      </c>
      <c r="AQ5" s="131"/>
      <c r="AR5" s="132"/>
    </row>
    <row r="6" spans="2:44" ht="12" customHeight="1">
      <c r="B6" s="116"/>
      <c r="C6" s="108"/>
      <c r="D6" s="116"/>
      <c r="E6" s="106" t="s">
        <v>173</v>
      </c>
      <c r="F6" s="110" t="s">
        <v>172</v>
      </c>
      <c r="G6" s="107" t="str">
        <f>C5&amp;" Lignite"</f>
        <v>Industry Lignite</v>
      </c>
      <c r="H6" s="113" t="s">
        <v>156</v>
      </c>
      <c r="I6" s="141" t="str">
        <f t="shared" si="0"/>
        <v>Industry Space heating  Lignite</v>
      </c>
      <c r="J6" s="148" t="s">
        <v>207</v>
      </c>
      <c r="K6" s="151" t="str">
        <f t="shared" si="1"/>
        <v>IND-SHCOLExt</v>
      </c>
      <c r="L6" s="101" t="str">
        <f t="shared" si="2"/>
        <v/>
      </c>
      <c r="O6" s="122" t="str">
        <f t="shared" ref="O6:O69" si="4">IF(J6="Yes",I6,"")</f>
        <v/>
      </c>
      <c r="P6" s="122" t="str">
        <f t="shared" ref="P6:P7" si="5">L6</f>
        <v/>
      </c>
      <c r="Q6" s="114" t="str">
        <f t="shared" ref="Q6:Q69" si="6">IF(J6="yes",LEFT(P6,3)&amp;"-"&amp;MID(P6,7,3),"")</f>
        <v/>
      </c>
      <c r="R6" s="112" t="str">
        <f t="shared" ref="R6:R7" si="7">LEFT(P6,6)</f>
        <v/>
      </c>
      <c r="S6" s="119" t="str">
        <f t="shared" ref="S6:S69" si="8">IF(P6&lt;&gt;"",AG6,"")</f>
        <v/>
      </c>
      <c r="T6" s="119" t="str">
        <f t="shared" ref="T6:T69" si="9">IF(Q6&lt;&gt;"",AH6,"")</f>
        <v/>
      </c>
      <c r="U6" s="119" t="str">
        <f t="shared" ref="U6:U69" si="10">IF(R6&lt;&gt;"",AI6,"")</f>
        <v/>
      </c>
      <c r="V6" s="119" t="str">
        <f t="shared" ref="V6:V69" si="11">IF(S6&lt;&gt;"",AJ6,"")</f>
        <v/>
      </c>
      <c r="W6" s="119" t="str">
        <f t="shared" ref="W6:W69" si="12">IF(T6&lt;&gt;"",AK6,"")</f>
        <v/>
      </c>
      <c r="X6" s="119" t="str">
        <f t="shared" ref="X6:X69" si="13">IF(U6&lt;&gt;"",AL6,"")</f>
        <v/>
      </c>
      <c r="Y6" s="119" t="str">
        <f t="shared" ref="Y6:Y69" si="14">IF(V6&lt;&gt;"",AM6,"")</f>
        <v/>
      </c>
      <c r="Z6" s="119" t="str">
        <f t="shared" ref="Z6:Z69" si="15">IF(W6&lt;&gt;"",AN6,"")</f>
        <v/>
      </c>
      <c r="AA6" s="119" t="str">
        <f t="shared" ref="AA6:AA69" si="16">IF(X6&lt;&gt;"",AO6,"")</f>
        <v/>
      </c>
      <c r="AB6" s="119" t="str">
        <f t="shared" ref="AB6:AB69" si="17">IF(Y6&lt;&gt;"",AP6,"")</f>
        <v/>
      </c>
      <c r="AC6" s="119" t="str">
        <f t="shared" ref="AC6:AC69" si="18">IF(Z6&lt;&gt;"",AQ6,"")</f>
        <v/>
      </c>
      <c r="AD6" s="119" t="str">
        <f t="shared" ref="AD6:AD69" si="19">IF(AA6&lt;&gt;"",AR6,"")</f>
        <v/>
      </c>
      <c r="AG6" s="124">
        <v>0.6</v>
      </c>
      <c r="AH6" s="123">
        <v>2</v>
      </c>
      <c r="AI6" s="123">
        <v>1</v>
      </c>
      <c r="AJ6" s="131">
        <v>1</v>
      </c>
      <c r="AK6" s="131">
        <f t="shared" ref="AK6:AK69" si="20">0.8*AJ6</f>
        <v>0.8</v>
      </c>
      <c r="AL6" s="131">
        <f t="shared" ref="AL6:AL69" si="21">AJ6*0</f>
        <v>0</v>
      </c>
      <c r="AM6" s="131">
        <v>0.5</v>
      </c>
      <c r="AN6" s="131">
        <v>0.4</v>
      </c>
      <c r="AO6" s="131">
        <v>0</v>
      </c>
      <c r="AP6" s="131">
        <v>1</v>
      </c>
      <c r="AQ6" s="123"/>
      <c r="AR6" s="125"/>
    </row>
    <row r="7" spans="2:44" ht="12" customHeight="1">
      <c r="B7" s="116"/>
      <c r="C7" s="108"/>
      <c r="D7" s="116"/>
      <c r="E7" s="106" t="s">
        <v>175</v>
      </c>
      <c r="F7" s="110" t="s">
        <v>174</v>
      </c>
      <c r="G7" s="107" t="str">
        <f>C5&amp;" Crude oil"</f>
        <v>Industry Crude oil</v>
      </c>
      <c r="H7" s="113" t="s">
        <v>157</v>
      </c>
      <c r="I7" s="141" t="str">
        <f t="shared" si="0"/>
        <v>Industry Space heating  Crude oil</v>
      </c>
      <c r="J7" s="148" t="s">
        <v>206</v>
      </c>
      <c r="K7" s="151" t="str">
        <f t="shared" si="1"/>
        <v>IND-SHOILExt</v>
      </c>
      <c r="L7" s="101" t="str">
        <f t="shared" si="2"/>
        <v>IND-SHOILExt</v>
      </c>
      <c r="O7" s="122" t="str">
        <f t="shared" si="4"/>
        <v>Industry Space heating  Crude oil</v>
      </c>
      <c r="P7" s="122" t="str">
        <f t="shared" si="5"/>
        <v>IND-SHOILExt</v>
      </c>
      <c r="Q7" s="114" t="str">
        <f t="shared" si="6"/>
        <v>IND-OIL</v>
      </c>
      <c r="R7" s="112" t="str">
        <f t="shared" si="7"/>
        <v>IND-SH</v>
      </c>
      <c r="S7" s="119">
        <f t="shared" si="8"/>
        <v>0.6</v>
      </c>
      <c r="T7" s="119">
        <f t="shared" si="9"/>
        <v>2</v>
      </c>
      <c r="U7" s="119">
        <f t="shared" si="10"/>
        <v>1</v>
      </c>
      <c r="V7" s="119">
        <f t="shared" si="11"/>
        <v>1</v>
      </c>
      <c r="W7" s="119">
        <f t="shared" si="12"/>
        <v>0.8</v>
      </c>
      <c r="X7" s="119">
        <f t="shared" si="13"/>
        <v>0</v>
      </c>
      <c r="Y7" s="119">
        <f t="shared" si="14"/>
        <v>0.5</v>
      </c>
      <c r="Z7" s="119">
        <f t="shared" si="15"/>
        <v>0.4</v>
      </c>
      <c r="AA7" s="119">
        <f t="shared" si="16"/>
        <v>0</v>
      </c>
      <c r="AB7" s="119">
        <f t="shared" si="17"/>
        <v>1</v>
      </c>
      <c r="AC7" s="119">
        <f t="shared" si="18"/>
        <v>0</v>
      </c>
      <c r="AD7" s="119">
        <f t="shared" si="19"/>
        <v>0</v>
      </c>
      <c r="AG7" s="124">
        <v>0.6</v>
      </c>
      <c r="AH7" s="123">
        <v>2</v>
      </c>
      <c r="AI7" s="123">
        <v>1</v>
      </c>
      <c r="AJ7" s="131">
        <v>1</v>
      </c>
      <c r="AK7" s="131">
        <f t="shared" si="20"/>
        <v>0.8</v>
      </c>
      <c r="AL7" s="131">
        <f t="shared" si="21"/>
        <v>0</v>
      </c>
      <c r="AM7" s="131">
        <v>0.5</v>
      </c>
      <c r="AN7" s="131">
        <v>0.4</v>
      </c>
      <c r="AO7" s="131">
        <v>0</v>
      </c>
      <c r="AP7" s="131">
        <v>1</v>
      </c>
      <c r="AQ7" s="123"/>
      <c r="AR7" s="125"/>
    </row>
    <row r="8" spans="2:44" ht="12" customHeight="1">
      <c r="B8" s="116"/>
      <c r="C8" s="108"/>
      <c r="D8" s="116"/>
      <c r="E8" s="106" t="s">
        <v>177</v>
      </c>
      <c r="F8" s="110" t="s">
        <v>176</v>
      </c>
      <c r="G8" s="107" t="str">
        <f>C5&amp;" Natural Gas"</f>
        <v>Industry Natural Gas</v>
      </c>
      <c r="H8" s="113" t="s">
        <v>158</v>
      </c>
      <c r="I8" s="141" t="str">
        <f t="shared" si="0"/>
        <v>Industry Space heating  Natural Gas</v>
      </c>
      <c r="J8" s="148" t="s">
        <v>206</v>
      </c>
      <c r="K8" s="151" t="str">
        <f t="shared" si="1"/>
        <v>IND-SHNGAExt</v>
      </c>
      <c r="L8" s="101" t="str">
        <f t="shared" si="2"/>
        <v>IND-SHNGAExt</v>
      </c>
      <c r="O8" s="122" t="str">
        <f t="shared" si="4"/>
        <v>Industry Space heating  Natural Gas</v>
      </c>
      <c r="P8" s="122" t="str">
        <f t="shared" ref="P8:P71" si="22">L8</f>
        <v>IND-SHNGAExt</v>
      </c>
      <c r="Q8" s="114" t="str">
        <f t="shared" si="6"/>
        <v>IND-NGA</v>
      </c>
      <c r="R8" s="112" t="str">
        <f t="shared" ref="R8:R71" si="23">LEFT(P8,6)</f>
        <v>IND-SH</v>
      </c>
      <c r="S8" s="119">
        <f t="shared" si="8"/>
        <v>0.6</v>
      </c>
      <c r="T8" s="119">
        <f t="shared" si="9"/>
        <v>2</v>
      </c>
      <c r="U8" s="119">
        <f t="shared" si="10"/>
        <v>1</v>
      </c>
      <c r="V8" s="119">
        <f t="shared" si="11"/>
        <v>1</v>
      </c>
      <c r="W8" s="119">
        <f t="shared" si="12"/>
        <v>0.8</v>
      </c>
      <c r="X8" s="119">
        <f t="shared" si="13"/>
        <v>0</v>
      </c>
      <c r="Y8" s="119">
        <f t="shared" si="14"/>
        <v>0.5</v>
      </c>
      <c r="Z8" s="119">
        <f t="shared" si="15"/>
        <v>0.4</v>
      </c>
      <c r="AA8" s="119">
        <f t="shared" si="16"/>
        <v>0</v>
      </c>
      <c r="AB8" s="119">
        <f t="shared" si="17"/>
        <v>1</v>
      </c>
      <c r="AC8" s="119">
        <f t="shared" si="18"/>
        <v>0</v>
      </c>
      <c r="AD8" s="119">
        <f t="shared" si="19"/>
        <v>0</v>
      </c>
      <c r="AG8" s="124">
        <v>0.6</v>
      </c>
      <c r="AH8" s="123">
        <v>2</v>
      </c>
      <c r="AI8" s="123">
        <v>1</v>
      </c>
      <c r="AJ8" s="131">
        <v>1</v>
      </c>
      <c r="AK8" s="131">
        <f t="shared" si="20"/>
        <v>0.8</v>
      </c>
      <c r="AL8" s="131">
        <f t="shared" si="21"/>
        <v>0</v>
      </c>
      <c r="AM8" s="131">
        <v>0.5</v>
      </c>
      <c r="AN8" s="131">
        <v>0.4</v>
      </c>
      <c r="AO8" s="131">
        <v>0</v>
      </c>
      <c r="AP8" s="131">
        <v>1</v>
      </c>
      <c r="AQ8" s="123"/>
      <c r="AR8" s="125"/>
    </row>
    <row r="9" spans="2:44" ht="12" customHeight="1">
      <c r="B9" s="116"/>
      <c r="C9" s="108"/>
      <c r="D9" s="116"/>
      <c r="E9" s="106" t="s">
        <v>179</v>
      </c>
      <c r="F9" s="110" t="s">
        <v>178</v>
      </c>
      <c r="G9" s="107" t="str">
        <f>C5&amp;" Hydro"</f>
        <v>Industry Hydro</v>
      </c>
      <c r="H9" s="113" t="s">
        <v>159</v>
      </c>
      <c r="I9" s="141" t="str">
        <f t="shared" si="0"/>
        <v>Industry Space heating  Hydro</v>
      </c>
      <c r="J9" s="148" t="s">
        <v>207</v>
      </c>
      <c r="K9" s="151" t="str">
        <f t="shared" si="1"/>
        <v>IND-SHHYDExt</v>
      </c>
      <c r="L9" s="101" t="str">
        <f t="shared" si="2"/>
        <v/>
      </c>
      <c r="O9" s="122" t="str">
        <f t="shared" si="4"/>
        <v/>
      </c>
      <c r="P9" s="122" t="str">
        <f t="shared" si="22"/>
        <v/>
      </c>
      <c r="Q9" s="114" t="str">
        <f t="shared" si="6"/>
        <v/>
      </c>
      <c r="R9" s="112" t="str">
        <f t="shared" si="23"/>
        <v/>
      </c>
      <c r="S9" s="119" t="str">
        <f t="shared" si="8"/>
        <v/>
      </c>
      <c r="T9" s="119" t="str">
        <f t="shared" si="9"/>
        <v/>
      </c>
      <c r="U9" s="119" t="str">
        <f t="shared" si="10"/>
        <v/>
      </c>
      <c r="V9" s="119" t="str">
        <f t="shared" si="11"/>
        <v/>
      </c>
      <c r="W9" s="119" t="str">
        <f t="shared" si="12"/>
        <v/>
      </c>
      <c r="X9" s="119" t="str">
        <f t="shared" si="13"/>
        <v/>
      </c>
      <c r="Y9" s="119" t="str">
        <f t="shared" si="14"/>
        <v/>
      </c>
      <c r="Z9" s="119" t="str">
        <f t="shared" si="15"/>
        <v/>
      </c>
      <c r="AA9" s="119" t="str">
        <f t="shared" si="16"/>
        <v/>
      </c>
      <c r="AB9" s="119" t="str">
        <f t="shared" si="17"/>
        <v/>
      </c>
      <c r="AC9" s="119" t="str">
        <f t="shared" si="18"/>
        <v/>
      </c>
      <c r="AD9" s="119" t="str">
        <f t="shared" si="19"/>
        <v/>
      </c>
      <c r="AG9" s="124">
        <v>0.6</v>
      </c>
      <c r="AH9" s="123">
        <v>2</v>
      </c>
      <c r="AI9" s="123">
        <v>1</v>
      </c>
      <c r="AJ9" s="131">
        <v>1</v>
      </c>
      <c r="AK9" s="131">
        <f t="shared" si="20"/>
        <v>0.8</v>
      </c>
      <c r="AL9" s="131">
        <f t="shared" si="21"/>
        <v>0</v>
      </c>
      <c r="AM9" s="131">
        <v>0.5</v>
      </c>
      <c r="AN9" s="131">
        <v>0.4</v>
      </c>
      <c r="AO9" s="131">
        <v>0</v>
      </c>
      <c r="AP9" s="131">
        <v>1</v>
      </c>
      <c r="AQ9" s="123"/>
      <c r="AR9" s="125"/>
    </row>
    <row r="10" spans="2:44" ht="12" customHeight="1">
      <c r="B10" s="116"/>
      <c r="C10" s="108"/>
      <c r="D10" s="116"/>
      <c r="E10" s="106" t="s">
        <v>181</v>
      </c>
      <c r="F10" s="110" t="s">
        <v>180</v>
      </c>
      <c r="G10" s="107" t="str">
        <f>C5&amp;" Geothermal"</f>
        <v>Industry Geothermal</v>
      </c>
      <c r="H10" s="113" t="s">
        <v>160</v>
      </c>
      <c r="I10" s="141" t="str">
        <f t="shared" si="0"/>
        <v>Industry Space heating  Geothermal</v>
      </c>
      <c r="J10" s="148" t="s">
        <v>206</v>
      </c>
      <c r="K10" s="151" t="str">
        <f t="shared" si="1"/>
        <v>IND-SHGEOExt</v>
      </c>
      <c r="L10" s="101" t="str">
        <f t="shared" si="2"/>
        <v>IND-SHGEOExt</v>
      </c>
      <c r="O10" s="122" t="str">
        <f t="shared" si="4"/>
        <v>Industry Space heating  Geothermal</v>
      </c>
      <c r="P10" s="122" t="str">
        <f t="shared" si="22"/>
        <v>IND-SHGEOExt</v>
      </c>
      <c r="Q10" s="114" t="str">
        <f t="shared" si="6"/>
        <v>IND-GEO</v>
      </c>
      <c r="R10" s="112" t="str">
        <f t="shared" si="23"/>
        <v>IND-SH</v>
      </c>
      <c r="S10" s="119">
        <f t="shared" si="8"/>
        <v>0.6</v>
      </c>
      <c r="T10" s="119">
        <f t="shared" si="9"/>
        <v>2</v>
      </c>
      <c r="U10" s="119">
        <f t="shared" si="10"/>
        <v>1</v>
      </c>
      <c r="V10" s="119">
        <f t="shared" si="11"/>
        <v>1</v>
      </c>
      <c r="W10" s="119">
        <f t="shared" si="12"/>
        <v>0.8</v>
      </c>
      <c r="X10" s="119">
        <f t="shared" si="13"/>
        <v>0</v>
      </c>
      <c r="Y10" s="119">
        <f t="shared" si="14"/>
        <v>0.5</v>
      </c>
      <c r="Z10" s="119">
        <f t="shared" si="15"/>
        <v>0.4</v>
      </c>
      <c r="AA10" s="119">
        <f t="shared" si="16"/>
        <v>0</v>
      </c>
      <c r="AB10" s="119">
        <f t="shared" si="17"/>
        <v>1</v>
      </c>
      <c r="AC10" s="119">
        <f t="shared" si="18"/>
        <v>0</v>
      </c>
      <c r="AD10" s="119">
        <f t="shared" si="19"/>
        <v>0</v>
      </c>
      <c r="AG10" s="124">
        <v>0.6</v>
      </c>
      <c r="AH10" s="123">
        <v>2</v>
      </c>
      <c r="AI10" s="123">
        <v>1</v>
      </c>
      <c r="AJ10" s="131">
        <v>1</v>
      </c>
      <c r="AK10" s="131">
        <f t="shared" si="20"/>
        <v>0.8</v>
      </c>
      <c r="AL10" s="131">
        <f t="shared" si="21"/>
        <v>0</v>
      </c>
      <c r="AM10" s="131">
        <v>0.5</v>
      </c>
      <c r="AN10" s="131">
        <v>0.4</v>
      </c>
      <c r="AO10" s="131">
        <v>0</v>
      </c>
      <c r="AP10" s="131">
        <v>1</v>
      </c>
      <c r="AQ10" s="123"/>
      <c r="AR10" s="125"/>
    </row>
    <row r="11" spans="2:44" ht="12" customHeight="1">
      <c r="B11" s="116"/>
      <c r="C11" s="108"/>
      <c r="D11" s="116"/>
      <c r="E11" s="106" t="s">
        <v>183</v>
      </c>
      <c r="F11" s="110" t="s">
        <v>182</v>
      </c>
      <c r="G11" s="107" t="str">
        <f>C5&amp;" Solar"</f>
        <v>Industry Solar</v>
      </c>
      <c r="H11" s="116" t="s">
        <v>161</v>
      </c>
      <c r="I11" s="141" t="str">
        <f t="shared" si="0"/>
        <v>Industry Space heating  Solar</v>
      </c>
      <c r="J11" s="148" t="s">
        <v>206</v>
      </c>
      <c r="K11" s="151" t="str">
        <f t="shared" si="1"/>
        <v>IND-SHSOLExt</v>
      </c>
      <c r="L11" s="101" t="str">
        <f t="shared" si="2"/>
        <v>IND-SHSOLExt</v>
      </c>
      <c r="O11" s="122" t="str">
        <f t="shared" si="4"/>
        <v>Industry Space heating  Solar</v>
      </c>
      <c r="P11" s="122" t="str">
        <f t="shared" si="22"/>
        <v>IND-SHSOLExt</v>
      </c>
      <c r="Q11" s="114" t="str">
        <f t="shared" si="6"/>
        <v>IND-SOL</v>
      </c>
      <c r="R11" s="112" t="str">
        <f t="shared" si="23"/>
        <v>IND-SH</v>
      </c>
      <c r="S11" s="119">
        <f t="shared" si="8"/>
        <v>0.6</v>
      </c>
      <c r="T11" s="119">
        <f t="shared" si="9"/>
        <v>2</v>
      </c>
      <c r="U11" s="119">
        <f t="shared" si="10"/>
        <v>1</v>
      </c>
      <c r="V11" s="119">
        <f t="shared" si="11"/>
        <v>1</v>
      </c>
      <c r="W11" s="119">
        <f t="shared" si="12"/>
        <v>0.8</v>
      </c>
      <c r="X11" s="119">
        <f t="shared" si="13"/>
        <v>0</v>
      </c>
      <c r="Y11" s="119">
        <f t="shared" si="14"/>
        <v>0.5</v>
      </c>
      <c r="Z11" s="119">
        <f t="shared" si="15"/>
        <v>0.4</v>
      </c>
      <c r="AA11" s="119">
        <f t="shared" si="16"/>
        <v>0</v>
      </c>
      <c r="AB11" s="119">
        <f t="shared" si="17"/>
        <v>1</v>
      </c>
      <c r="AC11" s="119">
        <f t="shared" si="18"/>
        <v>0</v>
      </c>
      <c r="AD11" s="119">
        <f t="shared" si="19"/>
        <v>0</v>
      </c>
      <c r="AG11" s="124">
        <v>0.6</v>
      </c>
      <c r="AH11" s="123">
        <v>2</v>
      </c>
      <c r="AI11" s="123">
        <v>1</v>
      </c>
      <c r="AJ11" s="131">
        <v>1</v>
      </c>
      <c r="AK11" s="131">
        <f t="shared" si="20"/>
        <v>0.8</v>
      </c>
      <c r="AL11" s="131">
        <f t="shared" si="21"/>
        <v>0</v>
      </c>
      <c r="AM11" s="131">
        <v>0.5</v>
      </c>
      <c r="AN11" s="131">
        <v>0.4</v>
      </c>
      <c r="AO11" s="131">
        <v>0</v>
      </c>
      <c r="AP11" s="131">
        <v>1</v>
      </c>
      <c r="AQ11" s="123"/>
      <c r="AR11" s="125"/>
    </row>
    <row r="12" spans="2:44" ht="12" customHeight="1">
      <c r="B12" s="116"/>
      <c r="C12" s="108"/>
      <c r="D12" s="116"/>
      <c r="E12" s="106" t="s">
        <v>185</v>
      </c>
      <c r="F12" s="110" t="s">
        <v>184</v>
      </c>
      <c r="G12" s="107" t="str">
        <f>C5&amp;" Wind"</f>
        <v>Industry Wind</v>
      </c>
      <c r="H12" s="116" t="s">
        <v>162</v>
      </c>
      <c r="I12" s="141" t="str">
        <f t="shared" si="0"/>
        <v>Industry Space heating  Wind</v>
      </c>
      <c r="J12" s="148" t="s">
        <v>207</v>
      </c>
      <c r="K12" s="151" t="str">
        <f t="shared" si="1"/>
        <v>IND-SHWINExt</v>
      </c>
      <c r="L12" s="101" t="str">
        <f t="shared" si="2"/>
        <v/>
      </c>
      <c r="O12" s="122" t="str">
        <f t="shared" si="4"/>
        <v/>
      </c>
      <c r="P12" s="122" t="str">
        <f t="shared" si="22"/>
        <v/>
      </c>
      <c r="Q12" s="114" t="str">
        <f t="shared" si="6"/>
        <v/>
      </c>
      <c r="R12" s="112" t="str">
        <f t="shared" si="23"/>
        <v/>
      </c>
      <c r="S12" s="119" t="str">
        <f t="shared" si="8"/>
        <v/>
      </c>
      <c r="T12" s="119" t="str">
        <f t="shared" si="9"/>
        <v/>
      </c>
      <c r="U12" s="119" t="str">
        <f t="shared" si="10"/>
        <v/>
      </c>
      <c r="V12" s="119" t="str">
        <f t="shared" si="11"/>
        <v/>
      </c>
      <c r="W12" s="119" t="str">
        <f t="shared" si="12"/>
        <v/>
      </c>
      <c r="X12" s="119" t="str">
        <f t="shared" si="13"/>
        <v/>
      </c>
      <c r="Y12" s="119" t="str">
        <f t="shared" si="14"/>
        <v/>
      </c>
      <c r="Z12" s="119" t="str">
        <f t="shared" si="15"/>
        <v/>
      </c>
      <c r="AA12" s="119" t="str">
        <f t="shared" si="16"/>
        <v/>
      </c>
      <c r="AB12" s="119" t="str">
        <f t="shared" si="17"/>
        <v/>
      </c>
      <c r="AC12" s="119" t="str">
        <f t="shared" si="18"/>
        <v/>
      </c>
      <c r="AD12" s="119" t="str">
        <f t="shared" si="19"/>
        <v/>
      </c>
      <c r="AG12" s="124">
        <v>0.6</v>
      </c>
      <c r="AH12" s="123">
        <v>2</v>
      </c>
      <c r="AI12" s="123">
        <v>1</v>
      </c>
      <c r="AJ12" s="131">
        <v>1</v>
      </c>
      <c r="AK12" s="131">
        <f t="shared" si="20"/>
        <v>0.8</v>
      </c>
      <c r="AL12" s="131">
        <f t="shared" si="21"/>
        <v>0</v>
      </c>
      <c r="AM12" s="131">
        <v>0.5</v>
      </c>
      <c r="AN12" s="131">
        <v>0.4</v>
      </c>
      <c r="AO12" s="131">
        <v>0</v>
      </c>
      <c r="AP12" s="131">
        <v>1</v>
      </c>
      <c r="AQ12" s="123"/>
      <c r="AR12" s="125"/>
    </row>
    <row r="13" spans="2:44" ht="12" customHeight="1">
      <c r="B13" s="116"/>
      <c r="C13" s="108"/>
      <c r="D13" s="116"/>
      <c r="E13" s="106" t="s">
        <v>187</v>
      </c>
      <c r="F13" s="110" t="s">
        <v>186</v>
      </c>
      <c r="G13" s="107" t="str">
        <f>C5&amp;" Bio Liquids"</f>
        <v>Industry Bio Liquids</v>
      </c>
      <c r="H13" s="116" t="s">
        <v>163</v>
      </c>
      <c r="I13" s="141" t="str">
        <f t="shared" si="0"/>
        <v>Industry Space heating  Bio Liquids</v>
      </c>
      <c r="J13" s="148" t="s">
        <v>207</v>
      </c>
      <c r="K13" s="151" t="str">
        <f t="shared" si="1"/>
        <v>IND-SHBILExt</v>
      </c>
      <c r="L13" s="101" t="str">
        <f t="shared" si="2"/>
        <v/>
      </c>
      <c r="O13" s="122" t="str">
        <f t="shared" si="4"/>
        <v/>
      </c>
      <c r="P13" s="122" t="str">
        <f t="shared" si="22"/>
        <v/>
      </c>
      <c r="Q13" s="114" t="str">
        <f t="shared" si="6"/>
        <v/>
      </c>
      <c r="R13" s="112" t="str">
        <f t="shared" si="23"/>
        <v/>
      </c>
      <c r="S13" s="119" t="str">
        <f t="shared" si="8"/>
        <v/>
      </c>
      <c r="T13" s="119" t="str">
        <f t="shared" si="9"/>
        <v/>
      </c>
      <c r="U13" s="119" t="str">
        <f t="shared" si="10"/>
        <v/>
      </c>
      <c r="V13" s="119" t="str">
        <f t="shared" si="11"/>
        <v/>
      </c>
      <c r="W13" s="119" t="str">
        <f t="shared" si="12"/>
        <v/>
      </c>
      <c r="X13" s="119" t="str">
        <f t="shared" si="13"/>
        <v/>
      </c>
      <c r="Y13" s="119" t="str">
        <f t="shared" si="14"/>
        <v/>
      </c>
      <c r="Z13" s="119" t="str">
        <f t="shared" si="15"/>
        <v/>
      </c>
      <c r="AA13" s="119" t="str">
        <f t="shared" si="16"/>
        <v/>
      </c>
      <c r="AB13" s="119" t="str">
        <f t="shared" si="17"/>
        <v/>
      </c>
      <c r="AC13" s="119" t="str">
        <f t="shared" si="18"/>
        <v/>
      </c>
      <c r="AD13" s="119" t="str">
        <f t="shared" si="19"/>
        <v/>
      </c>
      <c r="AG13" s="124">
        <v>0.6</v>
      </c>
      <c r="AH13" s="123">
        <v>2</v>
      </c>
      <c r="AI13" s="123">
        <v>1</v>
      </c>
      <c r="AJ13" s="131">
        <v>1</v>
      </c>
      <c r="AK13" s="131">
        <f t="shared" si="20"/>
        <v>0.8</v>
      </c>
      <c r="AL13" s="131">
        <f t="shared" si="21"/>
        <v>0</v>
      </c>
      <c r="AM13" s="131">
        <v>0.5</v>
      </c>
      <c r="AN13" s="131">
        <v>0.4</v>
      </c>
      <c r="AO13" s="131">
        <v>0</v>
      </c>
      <c r="AP13" s="131">
        <v>1</v>
      </c>
      <c r="AQ13" s="123"/>
      <c r="AR13" s="125"/>
    </row>
    <row r="14" spans="2:44" ht="12" customHeight="1">
      <c r="B14" s="116"/>
      <c r="C14" s="108"/>
      <c r="D14" s="116"/>
      <c r="E14" s="108"/>
      <c r="F14" s="116"/>
      <c r="G14" s="107" t="str">
        <f>C5&amp;" Biogas"</f>
        <v>Industry Biogas</v>
      </c>
      <c r="H14" s="116" t="s">
        <v>164</v>
      </c>
      <c r="I14" s="141" t="str">
        <f t="shared" si="0"/>
        <v>Industry Space heating  Biogas</v>
      </c>
      <c r="J14" s="148" t="s">
        <v>206</v>
      </c>
      <c r="K14" s="151" t="str">
        <f t="shared" si="1"/>
        <v>IND-SHBIGExt</v>
      </c>
      <c r="L14" s="101" t="str">
        <f t="shared" si="2"/>
        <v>IND-SHBIGExt</v>
      </c>
      <c r="O14" s="122" t="str">
        <f t="shared" si="4"/>
        <v>Industry Space heating  Biogas</v>
      </c>
      <c r="P14" s="122" t="str">
        <f t="shared" si="22"/>
        <v>IND-SHBIGExt</v>
      </c>
      <c r="Q14" s="114" t="str">
        <f t="shared" si="6"/>
        <v>IND-BIG</v>
      </c>
      <c r="R14" s="112" t="str">
        <f t="shared" si="23"/>
        <v>IND-SH</v>
      </c>
      <c r="S14" s="119">
        <f t="shared" si="8"/>
        <v>0.6</v>
      </c>
      <c r="T14" s="119">
        <f t="shared" si="9"/>
        <v>2</v>
      </c>
      <c r="U14" s="119">
        <f t="shared" si="10"/>
        <v>1</v>
      </c>
      <c r="V14" s="119">
        <f t="shared" si="11"/>
        <v>1</v>
      </c>
      <c r="W14" s="119">
        <f t="shared" si="12"/>
        <v>0.8</v>
      </c>
      <c r="X14" s="119">
        <f t="shared" si="13"/>
        <v>0</v>
      </c>
      <c r="Y14" s="119">
        <f t="shared" si="14"/>
        <v>0.5</v>
      </c>
      <c r="Z14" s="119">
        <f t="shared" si="15"/>
        <v>0.4</v>
      </c>
      <c r="AA14" s="119">
        <f t="shared" si="16"/>
        <v>0</v>
      </c>
      <c r="AB14" s="119">
        <f t="shared" si="17"/>
        <v>1</v>
      </c>
      <c r="AC14" s="119">
        <f t="shared" si="18"/>
        <v>0</v>
      </c>
      <c r="AD14" s="119">
        <f t="shared" si="19"/>
        <v>0</v>
      </c>
      <c r="AG14" s="124">
        <v>0.6</v>
      </c>
      <c r="AH14" s="123">
        <v>2</v>
      </c>
      <c r="AI14" s="123">
        <v>1</v>
      </c>
      <c r="AJ14" s="131">
        <v>1</v>
      </c>
      <c r="AK14" s="131">
        <f t="shared" si="20"/>
        <v>0.8</v>
      </c>
      <c r="AL14" s="131">
        <f t="shared" si="21"/>
        <v>0</v>
      </c>
      <c r="AM14" s="131">
        <v>0.5</v>
      </c>
      <c r="AN14" s="131">
        <v>0.4</v>
      </c>
      <c r="AO14" s="131">
        <v>0</v>
      </c>
      <c r="AP14" s="131">
        <v>1</v>
      </c>
      <c r="AQ14" s="123"/>
      <c r="AR14" s="125"/>
    </row>
    <row r="15" spans="2:44" ht="12" customHeight="1">
      <c r="B15" s="116"/>
      <c r="C15" s="108"/>
      <c r="D15" s="116"/>
      <c r="E15" s="108"/>
      <c r="F15" s="116"/>
      <c r="G15" s="107" t="str">
        <f>C5&amp;" Wood"</f>
        <v>Industry Wood</v>
      </c>
      <c r="H15" s="116" t="s">
        <v>165</v>
      </c>
      <c r="I15" s="141" t="str">
        <f t="shared" si="0"/>
        <v>Industry Space heating  Wood</v>
      </c>
      <c r="J15" s="148" t="s">
        <v>206</v>
      </c>
      <c r="K15" s="151" t="str">
        <f t="shared" si="1"/>
        <v>IND-SHWODExt</v>
      </c>
      <c r="L15" s="101" t="str">
        <f t="shared" si="2"/>
        <v>IND-SHWODExt</v>
      </c>
      <c r="O15" s="122" t="str">
        <f t="shared" si="4"/>
        <v>Industry Space heating  Wood</v>
      </c>
      <c r="P15" s="122" t="str">
        <f t="shared" si="22"/>
        <v>IND-SHWODExt</v>
      </c>
      <c r="Q15" s="114" t="str">
        <f t="shared" si="6"/>
        <v>IND-WOD</v>
      </c>
      <c r="R15" s="112" t="str">
        <f t="shared" si="23"/>
        <v>IND-SH</v>
      </c>
      <c r="S15" s="119">
        <f t="shared" si="8"/>
        <v>0.6</v>
      </c>
      <c r="T15" s="119">
        <f t="shared" si="9"/>
        <v>2</v>
      </c>
      <c r="U15" s="119">
        <f t="shared" si="10"/>
        <v>1</v>
      </c>
      <c r="V15" s="119">
        <f t="shared" si="11"/>
        <v>1</v>
      </c>
      <c r="W15" s="119">
        <f t="shared" si="12"/>
        <v>0.8</v>
      </c>
      <c r="X15" s="119">
        <f t="shared" si="13"/>
        <v>0</v>
      </c>
      <c r="Y15" s="119">
        <f t="shared" si="14"/>
        <v>0.5</v>
      </c>
      <c r="Z15" s="119">
        <f t="shared" si="15"/>
        <v>0.4</v>
      </c>
      <c r="AA15" s="119">
        <f t="shared" si="16"/>
        <v>0</v>
      </c>
      <c r="AB15" s="119">
        <f t="shared" si="17"/>
        <v>1</v>
      </c>
      <c r="AC15" s="119">
        <f t="shared" si="18"/>
        <v>0</v>
      </c>
      <c r="AD15" s="119">
        <f t="shared" si="19"/>
        <v>0</v>
      </c>
      <c r="AG15" s="124">
        <v>0.6</v>
      </c>
      <c r="AH15" s="123">
        <v>2</v>
      </c>
      <c r="AI15" s="123">
        <v>1</v>
      </c>
      <c r="AJ15" s="131">
        <v>1</v>
      </c>
      <c r="AK15" s="131">
        <f t="shared" si="20"/>
        <v>0.8</v>
      </c>
      <c r="AL15" s="131">
        <f t="shared" si="21"/>
        <v>0</v>
      </c>
      <c r="AM15" s="131">
        <v>0.5</v>
      </c>
      <c r="AN15" s="131">
        <v>0.4</v>
      </c>
      <c r="AO15" s="131">
        <v>0</v>
      </c>
      <c r="AP15" s="131">
        <v>1</v>
      </c>
      <c r="AQ15" s="123"/>
      <c r="AR15" s="125"/>
    </row>
    <row r="16" spans="2:44" ht="12" customHeight="1">
      <c r="B16" s="116"/>
      <c r="C16" s="108"/>
      <c r="D16" s="116"/>
      <c r="E16" s="108"/>
      <c r="F16" s="116"/>
      <c r="G16" s="107" t="str">
        <f>C5&amp;" Tidal"</f>
        <v>Industry Tidal</v>
      </c>
      <c r="H16" s="116" t="s">
        <v>166</v>
      </c>
      <c r="I16" s="141" t="str">
        <f t="shared" si="0"/>
        <v>Industry Space heating  Tidal</v>
      </c>
      <c r="J16" s="148" t="s">
        <v>207</v>
      </c>
      <c r="K16" s="151" t="str">
        <f t="shared" si="1"/>
        <v>IND-SHTIDExt</v>
      </c>
      <c r="L16" s="101" t="str">
        <f t="shared" si="2"/>
        <v/>
      </c>
      <c r="O16" s="122" t="str">
        <f t="shared" si="4"/>
        <v/>
      </c>
      <c r="P16" s="122" t="str">
        <f t="shared" si="22"/>
        <v/>
      </c>
      <c r="Q16" s="114" t="str">
        <f t="shared" si="6"/>
        <v/>
      </c>
      <c r="R16" s="112" t="str">
        <f t="shared" si="23"/>
        <v/>
      </c>
      <c r="S16" s="119" t="str">
        <f t="shared" si="8"/>
        <v/>
      </c>
      <c r="T16" s="119" t="str">
        <f t="shared" si="9"/>
        <v/>
      </c>
      <c r="U16" s="119" t="str">
        <f t="shared" si="10"/>
        <v/>
      </c>
      <c r="V16" s="119" t="str">
        <f t="shared" si="11"/>
        <v/>
      </c>
      <c r="W16" s="119" t="str">
        <f t="shared" si="12"/>
        <v/>
      </c>
      <c r="X16" s="119" t="str">
        <f t="shared" si="13"/>
        <v/>
      </c>
      <c r="Y16" s="119" t="str">
        <f t="shared" si="14"/>
        <v/>
      </c>
      <c r="Z16" s="119" t="str">
        <f t="shared" si="15"/>
        <v/>
      </c>
      <c r="AA16" s="119" t="str">
        <f t="shared" si="16"/>
        <v/>
      </c>
      <c r="AB16" s="119" t="str">
        <f t="shared" si="17"/>
        <v/>
      </c>
      <c r="AC16" s="119" t="str">
        <f t="shared" si="18"/>
        <v/>
      </c>
      <c r="AD16" s="119" t="str">
        <f t="shared" si="19"/>
        <v/>
      </c>
      <c r="AG16" s="124">
        <v>0.6</v>
      </c>
      <c r="AH16" s="123">
        <v>2</v>
      </c>
      <c r="AI16" s="123">
        <v>1</v>
      </c>
      <c r="AJ16" s="131">
        <v>1</v>
      </c>
      <c r="AK16" s="131">
        <f t="shared" si="20"/>
        <v>0.8</v>
      </c>
      <c r="AL16" s="131">
        <f t="shared" si="21"/>
        <v>0</v>
      </c>
      <c r="AM16" s="131">
        <v>0.5</v>
      </c>
      <c r="AN16" s="131">
        <v>0.4</v>
      </c>
      <c r="AO16" s="131">
        <v>0</v>
      </c>
      <c r="AP16" s="131">
        <v>1</v>
      </c>
      <c r="AQ16" s="123"/>
      <c r="AR16" s="125"/>
    </row>
    <row r="17" spans="2:44" ht="12" customHeight="1">
      <c r="B17" s="116"/>
      <c r="C17" s="108"/>
      <c r="D17" s="116"/>
      <c r="E17" s="108"/>
      <c r="F17" s="116"/>
      <c r="G17" s="107" t="str">
        <f>C5&amp;" Electricity"</f>
        <v>Industry Electricity</v>
      </c>
      <c r="H17" s="162" t="s">
        <v>215</v>
      </c>
      <c r="I17" s="141" t="str">
        <f t="shared" si="0"/>
        <v>Industry Space heating  Electricity</v>
      </c>
      <c r="J17" s="149" t="s">
        <v>206</v>
      </c>
      <c r="K17" s="151" t="str">
        <f t="shared" si="1"/>
        <v>IND-SHELCExt</v>
      </c>
      <c r="L17" s="101" t="str">
        <f t="shared" si="2"/>
        <v>IND-SHELCExt</v>
      </c>
      <c r="O17" s="122" t="str">
        <f t="shared" si="4"/>
        <v>Industry Space heating  Electricity</v>
      </c>
      <c r="P17" s="122" t="str">
        <f t="shared" si="22"/>
        <v>IND-SHELCExt</v>
      </c>
      <c r="Q17" s="114" t="str">
        <f t="shared" si="6"/>
        <v>IND-ELC</v>
      </c>
      <c r="R17" s="112" t="str">
        <f t="shared" si="23"/>
        <v>IND-SH</v>
      </c>
      <c r="S17" s="119">
        <f t="shared" si="8"/>
        <v>0.6</v>
      </c>
      <c r="T17" s="119">
        <f t="shared" si="9"/>
        <v>2</v>
      </c>
      <c r="U17" s="119">
        <f t="shared" si="10"/>
        <v>1</v>
      </c>
      <c r="V17" s="119">
        <f t="shared" si="11"/>
        <v>1</v>
      </c>
      <c r="W17" s="119">
        <f t="shared" si="12"/>
        <v>0.8</v>
      </c>
      <c r="X17" s="119">
        <f t="shared" si="13"/>
        <v>0</v>
      </c>
      <c r="Y17" s="119">
        <f t="shared" si="14"/>
        <v>0.5</v>
      </c>
      <c r="Z17" s="119">
        <f t="shared" si="15"/>
        <v>0.4</v>
      </c>
      <c r="AA17" s="119">
        <f t="shared" si="16"/>
        <v>0</v>
      </c>
      <c r="AB17" s="119">
        <f t="shared" si="17"/>
        <v>1</v>
      </c>
      <c r="AC17" s="119">
        <f t="shared" si="18"/>
        <v>0</v>
      </c>
      <c r="AD17" s="119">
        <f t="shared" si="19"/>
        <v>0</v>
      </c>
      <c r="AG17" s="124">
        <v>0.6</v>
      </c>
      <c r="AH17" s="123">
        <v>2</v>
      </c>
      <c r="AI17" s="123">
        <v>1</v>
      </c>
      <c r="AJ17" s="131">
        <v>1</v>
      </c>
      <c r="AK17" s="131">
        <f t="shared" si="20"/>
        <v>0.8</v>
      </c>
      <c r="AL17" s="131">
        <f t="shared" si="21"/>
        <v>0</v>
      </c>
      <c r="AM17" s="131">
        <v>0.5</v>
      </c>
      <c r="AN17" s="131">
        <v>0.4</v>
      </c>
      <c r="AO17" s="131">
        <v>0</v>
      </c>
      <c r="AP17" s="131">
        <v>1</v>
      </c>
      <c r="AQ17" s="123"/>
      <c r="AR17" s="125"/>
    </row>
    <row r="18" spans="2:44" ht="12" customHeight="1">
      <c r="I18" s="142" t="str">
        <f t="shared" ref="I18:I28" si="24">$C$5&amp;" "&amp;$E$6&amp;" "&amp;RIGHT(G5,LEN(G5)-FIND(" ",G5))</f>
        <v>Industry Water heating  Coal</v>
      </c>
      <c r="J18" s="152" t="s">
        <v>206</v>
      </c>
      <c r="K18" s="150" t="str">
        <f t="shared" ref="K18:K27" si="25">$D$5&amp;$F$6&amp;RIGHT(H5,3)&amp;$B$5</f>
        <v>IND-WHCOAExt</v>
      </c>
      <c r="L18" s="101" t="str">
        <f t="shared" si="2"/>
        <v>IND-WHCOAExt</v>
      </c>
      <c r="O18" s="122" t="str">
        <f t="shared" si="4"/>
        <v>Industry Water heating  Coal</v>
      </c>
      <c r="P18" s="122" t="str">
        <f t="shared" si="22"/>
        <v>IND-WHCOAExt</v>
      </c>
      <c r="Q18" s="114" t="str">
        <f t="shared" si="6"/>
        <v>IND-COA</v>
      </c>
      <c r="R18" s="112" t="str">
        <f t="shared" si="23"/>
        <v>IND-WH</v>
      </c>
      <c r="S18" s="119">
        <f t="shared" si="8"/>
        <v>0.6</v>
      </c>
      <c r="T18" s="119">
        <f t="shared" si="9"/>
        <v>2</v>
      </c>
      <c r="U18" s="119">
        <f t="shared" si="10"/>
        <v>1</v>
      </c>
      <c r="V18" s="119">
        <f t="shared" si="11"/>
        <v>1</v>
      </c>
      <c r="W18" s="119">
        <f t="shared" si="12"/>
        <v>0.8</v>
      </c>
      <c r="X18" s="119">
        <f t="shared" si="13"/>
        <v>0</v>
      </c>
      <c r="Y18" s="119">
        <f t="shared" si="14"/>
        <v>0.5</v>
      </c>
      <c r="Z18" s="119">
        <f t="shared" si="15"/>
        <v>0.4</v>
      </c>
      <c r="AA18" s="119">
        <f t="shared" si="16"/>
        <v>0</v>
      </c>
      <c r="AB18" s="119">
        <f t="shared" si="17"/>
        <v>1</v>
      </c>
      <c r="AC18" s="119">
        <f t="shared" si="18"/>
        <v>0</v>
      </c>
      <c r="AD18" s="119">
        <f t="shared" si="19"/>
        <v>0</v>
      </c>
      <c r="AG18" s="124">
        <v>0.6</v>
      </c>
      <c r="AH18" s="123">
        <v>2</v>
      </c>
      <c r="AI18" s="123">
        <v>1</v>
      </c>
      <c r="AJ18" s="131">
        <v>1</v>
      </c>
      <c r="AK18" s="131">
        <f t="shared" si="20"/>
        <v>0.8</v>
      </c>
      <c r="AL18" s="131">
        <f t="shared" si="21"/>
        <v>0</v>
      </c>
      <c r="AM18" s="131">
        <v>0.5</v>
      </c>
      <c r="AN18" s="131">
        <v>0.4</v>
      </c>
      <c r="AO18" s="131">
        <v>0</v>
      </c>
      <c r="AP18" s="131">
        <v>1</v>
      </c>
      <c r="AQ18" s="123"/>
      <c r="AR18" s="125"/>
    </row>
    <row r="19" spans="2:44" ht="12" customHeight="1">
      <c r="I19" s="143" t="str">
        <f t="shared" si="24"/>
        <v>Industry Water heating  Lignite</v>
      </c>
      <c r="J19" s="152" t="s">
        <v>206</v>
      </c>
      <c r="K19" s="151" t="str">
        <f t="shared" si="25"/>
        <v>IND-WHCOLExt</v>
      </c>
      <c r="L19" s="101" t="str">
        <f t="shared" si="2"/>
        <v>IND-WHCOLExt</v>
      </c>
      <c r="O19" s="122" t="str">
        <f t="shared" si="4"/>
        <v>Industry Water heating  Lignite</v>
      </c>
      <c r="P19" s="122" t="str">
        <f t="shared" si="22"/>
        <v>IND-WHCOLExt</v>
      </c>
      <c r="Q19" s="114" t="str">
        <f t="shared" si="6"/>
        <v>IND-COL</v>
      </c>
      <c r="R19" s="112" t="str">
        <f t="shared" si="23"/>
        <v>IND-WH</v>
      </c>
      <c r="S19" s="119">
        <f t="shared" si="8"/>
        <v>0.6</v>
      </c>
      <c r="T19" s="119">
        <f t="shared" si="9"/>
        <v>2</v>
      </c>
      <c r="U19" s="119">
        <f t="shared" si="10"/>
        <v>1</v>
      </c>
      <c r="V19" s="119">
        <f t="shared" si="11"/>
        <v>1</v>
      </c>
      <c r="W19" s="119">
        <f t="shared" si="12"/>
        <v>0.8</v>
      </c>
      <c r="X19" s="119">
        <f t="shared" si="13"/>
        <v>0</v>
      </c>
      <c r="Y19" s="119">
        <f t="shared" si="14"/>
        <v>0.5</v>
      </c>
      <c r="Z19" s="119">
        <f t="shared" si="15"/>
        <v>0.4</v>
      </c>
      <c r="AA19" s="119">
        <f t="shared" si="16"/>
        <v>0</v>
      </c>
      <c r="AB19" s="119">
        <f t="shared" si="17"/>
        <v>1</v>
      </c>
      <c r="AC19" s="119">
        <f t="shared" si="18"/>
        <v>0</v>
      </c>
      <c r="AD19" s="119">
        <f t="shared" si="19"/>
        <v>0</v>
      </c>
      <c r="AG19" s="124">
        <v>0.6</v>
      </c>
      <c r="AH19" s="123">
        <v>2</v>
      </c>
      <c r="AI19" s="123">
        <v>1</v>
      </c>
      <c r="AJ19" s="131">
        <v>1</v>
      </c>
      <c r="AK19" s="131">
        <f t="shared" si="20"/>
        <v>0.8</v>
      </c>
      <c r="AL19" s="131">
        <f t="shared" si="21"/>
        <v>0</v>
      </c>
      <c r="AM19" s="131">
        <v>0.5</v>
      </c>
      <c r="AN19" s="131">
        <v>0.4</v>
      </c>
      <c r="AO19" s="131">
        <v>0</v>
      </c>
      <c r="AP19" s="131">
        <v>1</v>
      </c>
      <c r="AQ19" s="123"/>
      <c r="AR19" s="125"/>
    </row>
    <row r="20" spans="2:44" ht="12" customHeight="1">
      <c r="I20" s="143" t="str">
        <f t="shared" si="24"/>
        <v>Industry Water heating  Crude oil</v>
      </c>
      <c r="J20" s="152" t="s">
        <v>206</v>
      </c>
      <c r="K20" s="151" t="str">
        <f t="shared" si="25"/>
        <v>IND-WHOILExt</v>
      </c>
      <c r="L20" s="101" t="str">
        <f t="shared" si="2"/>
        <v>IND-WHOILExt</v>
      </c>
      <c r="O20" s="122" t="str">
        <f t="shared" si="4"/>
        <v>Industry Water heating  Crude oil</v>
      </c>
      <c r="P20" s="122" t="str">
        <f t="shared" si="22"/>
        <v>IND-WHOILExt</v>
      </c>
      <c r="Q20" s="114" t="str">
        <f t="shared" si="6"/>
        <v>IND-OIL</v>
      </c>
      <c r="R20" s="112" t="str">
        <f t="shared" si="23"/>
        <v>IND-WH</v>
      </c>
      <c r="S20" s="119">
        <f t="shared" si="8"/>
        <v>0.6</v>
      </c>
      <c r="T20" s="119">
        <f t="shared" si="9"/>
        <v>2</v>
      </c>
      <c r="U20" s="119">
        <f t="shared" si="10"/>
        <v>1</v>
      </c>
      <c r="V20" s="119">
        <f t="shared" si="11"/>
        <v>1</v>
      </c>
      <c r="W20" s="119">
        <f t="shared" si="12"/>
        <v>0.8</v>
      </c>
      <c r="X20" s="119">
        <f t="shared" si="13"/>
        <v>0</v>
      </c>
      <c r="Y20" s="119">
        <f t="shared" si="14"/>
        <v>0.5</v>
      </c>
      <c r="Z20" s="119">
        <f t="shared" si="15"/>
        <v>0.4</v>
      </c>
      <c r="AA20" s="119">
        <f t="shared" si="16"/>
        <v>0</v>
      </c>
      <c r="AB20" s="119">
        <f t="shared" si="17"/>
        <v>1</v>
      </c>
      <c r="AC20" s="119">
        <f t="shared" si="18"/>
        <v>0</v>
      </c>
      <c r="AD20" s="119">
        <f t="shared" si="19"/>
        <v>0</v>
      </c>
      <c r="AG20" s="124">
        <v>0.6</v>
      </c>
      <c r="AH20" s="123">
        <v>2</v>
      </c>
      <c r="AI20" s="123">
        <v>1</v>
      </c>
      <c r="AJ20" s="131">
        <v>1</v>
      </c>
      <c r="AK20" s="131">
        <f t="shared" si="20"/>
        <v>0.8</v>
      </c>
      <c r="AL20" s="131">
        <f t="shared" si="21"/>
        <v>0</v>
      </c>
      <c r="AM20" s="131">
        <v>0.5</v>
      </c>
      <c r="AN20" s="131">
        <v>0.4</v>
      </c>
      <c r="AO20" s="131">
        <v>0</v>
      </c>
      <c r="AP20" s="131">
        <v>1</v>
      </c>
      <c r="AQ20" s="123"/>
      <c r="AR20" s="125"/>
    </row>
    <row r="21" spans="2:44" ht="12" customHeight="1">
      <c r="I21" s="143" t="str">
        <f t="shared" si="24"/>
        <v>Industry Water heating  Natural Gas</v>
      </c>
      <c r="J21" s="152" t="s">
        <v>207</v>
      </c>
      <c r="K21" s="151" t="str">
        <f t="shared" si="25"/>
        <v>IND-WHNGAExt</v>
      </c>
      <c r="L21" s="101" t="str">
        <f t="shared" si="2"/>
        <v/>
      </c>
      <c r="O21" s="122" t="str">
        <f t="shared" si="4"/>
        <v/>
      </c>
      <c r="P21" s="122" t="str">
        <f t="shared" si="22"/>
        <v/>
      </c>
      <c r="Q21" s="114" t="str">
        <f t="shared" si="6"/>
        <v/>
      </c>
      <c r="R21" s="112" t="str">
        <f t="shared" si="23"/>
        <v/>
      </c>
      <c r="S21" s="119" t="str">
        <f t="shared" si="8"/>
        <v/>
      </c>
      <c r="T21" s="119" t="str">
        <f t="shared" si="9"/>
        <v/>
      </c>
      <c r="U21" s="119" t="str">
        <f t="shared" si="10"/>
        <v/>
      </c>
      <c r="V21" s="119" t="str">
        <f t="shared" si="11"/>
        <v/>
      </c>
      <c r="W21" s="119" t="str">
        <f t="shared" si="12"/>
        <v/>
      </c>
      <c r="X21" s="119" t="str">
        <f t="shared" si="13"/>
        <v/>
      </c>
      <c r="Y21" s="119" t="str">
        <f t="shared" si="14"/>
        <v/>
      </c>
      <c r="Z21" s="119" t="str">
        <f t="shared" si="15"/>
        <v/>
      </c>
      <c r="AA21" s="119" t="str">
        <f t="shared" si="16"/>
        <v/>
      </c>
      <c r="AB21" s="119" t="str">
        <f t="shared" si="17"/>
        <v/>
      </c>
      <c r="AC21" s="119" t="str">
        <f t="shared" si="18"/>
        <v/>
      </c>
      <c r="AD21" s="119" t="str">
        <f t="shared" si="19"/>
        <v/>
      </c>
      <c r="AG21" s="124">
        <v>0.6</v>
      </c>
      <c r="AH21" s="123">
        <v>2</v>
      </c>
      <c r="AI21" s="123">
        <v>1</v>
      </c>
      <c r="AJ21" s="131">
        <v>1</v>
      </c>
      <c r="AK21" s="131">
        <f t="shared" si="20"/>
        <v>0.8</v>
      </c>
      <c r="AL21" s="131">
        <f t="shared" si="21"/>
        <v>0</v>
      </c>
      <c r="AM21" s="131">
        <v>0.5</v>
      </c>
      <c r="AN21" s="131">
        <v>0.4</v>
      </c>
      <c r="AO21" s="131">
        <v>0</v>
      </c>
      <c r="AP21" s="131">
        <v>1</v>
      </c>
      <c r="AQ21" s="123"/>
      <c r="AR21" s="125"/>
    </row>
    <row r="22" spans="2:44" ht="12" customHeight="1">
      <c r="I22" s="143" t="str">
        <f t="shared" si="24"/>
        <v>Industry Water heating  Hydro</v>
      </c>
      <c r="J22" s="152" t="s">
        <v>207</v>
      </c>
      <c r="K22" s="151" t="str">
        <f t="shared" si="25"/>
        <v>IND-WHHYDExt</v>
      </c>
      <c r="L22" s="101" t="str">
        <f t="shared" si="2"/>
        <v/>
      </c>
      <c r="O22" s="122" t="str">
        <f t="shared" si="4"/>
        <v/>
      </c>
      <c r="P22" s="122" t="str">
        <f t="shared" si="22"/>
        <v/>
      </c>
      <c r="Q22" s="114" t="str">
        <f t="shared" si="6"/>
        <v/>
      </c>
      <c r="R22" s="112" t="str">
        <f t="shared" si="23"/>
        <v/>
      </c>
      <c r="S22" s="119" t="str">
        <f t="shared" si="8"/>
        <v/>
      </c>
      <c r="T22" s="119" t="str">
        <f t="shared" si="9"/>
        <v/>
      </c>
      <c r="U22" s="119" t="str">
        <f t="shared" si="10"/>
        <v/>
      </c>
      <c r="V22" s="119" t="str">
        <f t="shared" si="11"/>
        <v/>
      </c>
      <c r="W22" s="119" t="str">
        <f t="shared" si="12"/>
        <v/>
      </c>
      <c r="X22" s="119" t="str">
        <f t="shared" si="13"/>
        <v/>
      </c>
      <c r="Y22" s="119" t="str">
        <f t="shared" si="14"/>
        <v/>
      </c>
      <c r="Z22" s="119" t="str">
        <f t="shared" si="15"/>
        <v/>
      </c>
      <c r="AA22" s="119" t="str">
        <f t="shared" si="16"/>
        <v/>
      </c>
      <c r="AB22" s="119" t="str">
        <f t="shared" si="17"/>
        <v/>
      </c>
      <c r="AC22" s="119" t="str">
        <f t="shared" si="18"/>
        <v/>
      </c>
      <c r="AD22" s="119" t="str">
        <f t="shared" si="19"/>
        <v/>
      </c>
      <c r="AG22" s="124">
        <v>0.6</v>
      </c>
      <c r="AH22" s="123">
        <v>2</v>
      </c>
      <c r="AI22" s="123">
        <v>1</v>
      </c>
      <c r="AJ22" s="131">
        <v>1</v>
      </c>
      <c r="AK22" s="131">
        <f t="shared" si="20"/>
        <v>0.8</v>
      </c>
      <c r="AL22" s="131">
        <f t="shared" si="21"/>
        <v>0</v>
      </c>
      <c r="AM22" s="131">
        <v>0.5</v>
      </c>
      <c r="AN22" s="131">
        <v>0.4</v>
      </c>
      <c r="AO22" s="131">
        <v>0</v>
      </c>
      <c r="AP22" s="131">
        <v>1</v>
      </c>
      <c r="AQ22" s="123"/>
      <c r="AR22" s="125"/>
    </row>
    <row r="23" spans="2:44" ht="12" customHeight="1">
      <c r="I23" s="143" t="str">
        <f t="shared" si="24"/>
        <v>Industry Water heating  Geothermal</v>
      </c>
      <c r="J23" s="152" t="s">
        <v>206</v>
      </c>
      <c r="K23" s="151" t="str">
        <f t="shared" si="25"/>
        <v>IND-WHGEOExt</v>
      </c>
      <c r="L23" s="101" t="str">
        <f t="shared" si="2"/>
        <v>IND-WHGEOExt</v>
      </c>
      <c r="O23" s="122" t="str">
        <f t="shared" si="4"/>
        <v>Industry Water heating  Geothermal</v>
      </c>
      <c r="P23" s="122" t="str">
        <f t="shared" si="22"/>
        <v>IND-WHGEOExt</v>
      </c>
      <c r="Q23" s="114" t="str">
        <f t="shared" si="6"/>
        <v>IND-GEO</v>
      </c>
      <c r="R23" s="112" t="str">
        <f t="shared" si="23"/>
        <v>IND-WH</v>
      </c>
      <c r="S23" s="119">
        <f t="shared" si="8"/>
        <v>0.6</v>
      </c>
      <c r="T23" s="119">
        <f t="shared" si="9"/>
        <v>2</v>
      </c>
      <c r="U23" s="119">
        <f t="shared" si="10"/>
        <v>1</v>
      </c>
      <c r="V23" s="119">
        <f t="shared" si="11"/>
        <v>1</v>
      </c>
      <c r="W23" s="119">
        <f t="shared" si="12"/>
        <v>0.8</v>
      </c>
      <c r="X23" s="119">
        <f t="shared" si="13"/>
        <v>0</v>
      </c>
      <c r="Y23" s="119">
        <f t="shared" si="14"/>
        <v>0.5</v>
      </c>
      <c r="Z23" s="119">
        <f t="shared" si="15"/>
        <v>0.4</v>
      </c>
      <c r="AA23" s="119">
        <f t="shared" si="16"/>
        <v>0</v>
      </c>
      <c r="AB23" s="119">
        <f t="shared" si="17"/>
        <v>1</v>
      </c>
      <c r="AC23" s="119">
        <f t="shared" si="18"/>
        <v>0</v>
      </c>
      <c r="AD23" s="119">
        <f t="shared" si="19"/>
        <v>0</v>
      </c>
      <c r="AG23" s="124">
        <v>0.6</v>
      </c>
      <c r="AH23" s="123">
        <v>2</v>
      </c>
      <c r="AI23" s="123">
        <v>1</v>
      </c>
      <c r="AJ23" s="131">
        <v>1</v>
      </c>
      <c r="AK23" s="131">
        <f t="shared" si="20"/>
        <v>0.8</v>
      </c>
      <c r="AL23" s="131">
        <f t="shared" si="21"/>
        <v>0</v>
      </c>
      <c r="AM23" s="131">
        <v>0.5</v>
      </c>
      <c r="AN23" s="131">
        <v>0.4</v>
      </c>
      <c r="AO23" s="131">
        <v>0</v>
      </c>
      <c r="AP23" s="131">
        <v>1</v>
      </c>
      <c r="AQ23" s="123"/>
      <c r="AR23" s="125"/>
    </row>
    <row r="24" spans="2:44" ht="12" customHeight="1">
      <c r="I24" s="143" t="str">
        <f t="shared" si="24"/>
        <v>Industry Water heating  Solar</v>
      </c>
      <c r="J24" s="152" t="s">
        <v>206</v>
      </c>
      <c r="K24" s="151" t="str">
        <f t="shared" si="25"/>
        <v>IND-WHSOLExt</v>
      </c>
      <c r="L24" s="101" t="str">
        <f t="shared" si="2"/>
        <v>IND-WHSOLExt</v>
      </c>
      <c r="O24" s="122" t="str">
        <f t="shared" si="4"/>
        <v>Industry Water heating  Solar</v>
      </c>
      <c r="P24" s="122" t="str">
        <f t="shared" si="22"/>
        <v>IND-WHSOLExt</v>
      </c>
      <c r="Q24" s="114" t="str">
        <f t="shared" si="6"/>
        <v>IND-SOL</v>
      </c>
      <c r="R24" s="112" t="str">
        <f t="shared" si="23"/>
        <v>IND-WH</v>
      </c>
      <c r="S24" s="119">
        <f t="shared" si="8"/>
        <v>0.6</v>
      </c>
      <c r="T24" s="119">
        <f t="shared" si="9"/>
        <v>2</v>
      </c>
      <c r="U24" s="119">
        <f t="shared" si="10"/>
        <v>1</v>
      </c>
      <c r="V24" s="119">
        <f t="shared" si="11"/>
        <v>1</v>
      </c>
      <c r="W24" s="119">
        <f t="shared" si="12"/>
        <v>0.8</v>
      </c>
      <c r="X24" s="119">
        <f t="shared" si="13"/>
        <v>0</v>
      </c>
      <c r="Y24" s="119">
        <f t="shared" si="14"/>
        <v>0.5</v>
      </c>
      <c r="Z24" s="119">
        <f t="shared" si="15"/>
        <v>0.4</v>
      </c>
      <c r="AA24" s="119">
        <f t="shared" si="16"/>
        <v>0</v>
      </c>
      <c r="AB24" s="119">
        <f t="shared" si="17"/>
        <v>1</v>
      </c>
      <c r="AC24" s="119">
        <f t="shared" si="18"/>
        <v>0</v>
      </c>
      <c r="AD24" s="119">
        <f t="shared" si="19"/>
        <v>0</v>
      </c>
      <c r="AG24" s="124">
        <v>0.6</v>
      </c>
      <c r="AH24" s="123">
        <v>2</v>
      </c>
      <c r="AI24" s="123">
        <v>1</v>
      </c>
      <c r="AJ24" s="131">
        <v>1</v>
      </c>
      <c r="AK24" s="131">
        <f t="shared" si="20"/>
        <v>0.8</v>
      </c>
      <c r="AL24" s="131">
        <f t="shared" si="21"/>
        <v>0</v>
      </c>
      <c r="AM24" s="131">
        <v>0.5</v>
      </c>
      <c r="AN24" s="131">
        <v>0.4</v>
      </c>
      <c r="AO24" s="131">
        <v>0</v>
      </c>
      <c r="AP24" s="131">
        <v>1</v>
      </c>
      <c r="AQ24" s="123"/>
      <c r="AR24" s="125"/>
    </row>
    <row r="25" spans="2:44" ht="12" customHeight="1">
      <c r="I25" s="143" t="str">
        <f t="shared" si="24"/>
        <v>Industry Water heating  Wind</v>
      </c>
      <c r="J25" s="152" t="s">
        <v>207</v>
      </c>
      <c r="K25" s="151" t="str">
        <f t="shared" si="25"/>
        <v>IND-WHWINExt</v>
      </c>
      <c r="L25" s="101" t="str">
        <f t="shared" si="2"/>
        <v/>
      </c>
      <c r="O25" s="122" t="str">
        <f t="shared" si="4"/>
        <v/>
      </c>
      <c r="P25" s="122" t="str">
        <f t="shared" si="22"/>
        <v/>
      </c>
      <c r="Q25" s="114" t="str">
        <f t="shared" si="6"/>
        <v/>
      </c>
      <c r="R25" s="112" t="str">
        <f t="shared" si="23"/>
        <v/>
      </c>
      <c r="S25" s="119" t="str">
        <f t="shared" si="8"/>
        <v/>
      </c>
      <c r="T25" s="119" t="str">
        <f t="shared" si="9"/>
        <v/>
      </c>
      <c r="U25" s="119" t="str">
        <f t="shared" si="10"/>
        <v/>
      </c>
      <c r="V25" s="119" t="str">
        <f t="shared" si="11"/>
        <v/>
      </c>
      <c r="W25" s="119" t="str">
        <f t="shared" si="12"/>
        <v/>
      </c>
      <c r="X25" s="119" t="str">
        <f t="shared" si="13"/>
        <v/>
      </c>
      <c r="Y25" s="119" t="str">
        <f t="shared" si="14"/>
        <v/>
      </c>
      <c r="Z25" s="119" t="str">
        <f t="shared" si="15"/>
        <v/>
      </c>
      <c r="AA25" s="119" t="str">
        <f t="shared" si="16"/>
        <v/>
      </c>
      <c r="AB25" s="119" t="str">
        <f t="shared" si="17"/>
        <v/>
      </c>
      <c r="AC25" s="119" t="str">
        <f t="shared" si="18"/>
        <v/>
      </c>
      <c r="AD25" s="119" t="str">
        <f t="shared" si="19"/>
        <v/>
      </c>
      <c r="AG25" s="124">
        <v>0.6</v>
      </c>
      <c r="AH25" s="123">
        <v>2</v>
      </c>
      <c r="AI25" s="123">
        <v>1</v>
      </c>
      <c r="AJ25" s="131">
        <v>1</v>
      </c>
      <c r="AK25" s="131">
        <f t="shared" si="20"/>
        <v>0.8</v>
      </c>
      <c r="AL25" s="131">
        <f t="shared" si="21"/>
        <v>0</v>
      </c>
      <c r="AM25" s="131">
        <v>0.5</v>
      </c>
      <c r="AN25" s="131">
        <v>0.4</v>
      </c>
      <c r="AO25" s="131">
        <v>0</v>
      </c>
      <c r="AP25" s="131">
        <v>1</v>
      </c>
      <c r="AQ25" s="123"/>
      <c r="AR25" s="125"/>
    </row>
    <row r="26" spans="2:44" ht="12" customHeight="1">
      <c r="I26" s="143" t="str">
        <f t="shared" si="24"/>
        <v>Industry Water heating  Bio Liquids</v>
      </c>
      <c r="J26" s="152" t="s">
        <v>207</v>
      </c>
      <c r="K26" s="151" t="str">
        <f t="shared" si="25"/>
        <v>IND-WHBILExt</v>
      </c>
      <c r="L26" s="101" t="str">
        <f t="shared" si="2"/>
        <v/>
      </c>
      <c r="O26" s="122" t="str">
        <f t="shared" si="4"/>
        <v/>
      </c>
      <c r="P26" s="122" t="str">
        <f t="shared" si="22"/>
        <v/>
      </c>
      <c r="Q26" s="114" t="str">
        <f t="shared" si="6"/>
        <v/>
      </c>
      <c r="R26" s="112" t="str">
        <f t="shared" si="23"/>
        <v/>
      </c>
      <c r="S26" s="119" t="str">
        <f t="shared" si="8"/>
        <v/>
      </c>
      <c r="T26" s="119" t="str">
        <f t="shared" si="9"/>
        <v/>
      </c>
      <c r="U26" s="119" t="str">
        <f t="shared" si="10"/>
        <v/>
      </c>
      <c r="V26" s="119" t="str">
        <f t="shared" si="11"/>
        <v/>
      </c>
      <c r="W26" s="119" t="str">
        <f t="shared" si="12"/>
        <v/>
      </c>
      <c r="X26" s="119" t="str">
        <f t="shared" si="13"/>
        <v/>
      </c>
      <c r="Y26" s="119" t="str">
        <f t="shared" si="14"/>
        <v/>
      </c>
      <c r="Z26" s="119" t="str">
        <f t="shared" si="15"/>
        <v/>
      </c>
      <c r="AA26" s="119" t="str">
        <f t="shared" si="16"/>
        <v/>
      </c>
      <c r="AB26" s="119" t="str">
        <f t="shared" si="17"/>
        <v/>
      </c>
      <c r="AC26" s="119" t="str">
        <f t="shared" si="18"/>
        <v/>
      </c>
      <c r="AD26" s="119" t="str">
        <f t="shared" si="19"/>
        <v/>
      </c>
      <c r="AG26" s="124">
        <v>0.6</v>
      </c>
      <c r="AH26" s="123">
        <v>2</v>
      </c>
      <c r="AI26" s="123">
        <v>1</v>
      </c>
      <c r="AJ26" s="131">
        <v>1</v>
      </c>
      <c r="AK26" s="131">
        <f t="shared" si="20"/>
        <v>0.8</v>
      </c>
      <c r="AL26" s="131">
        <f t="shared" si="21"/>
        <v>0</v>
      </c>
      <c r="AM26" s="131">
        <v>0.5</v>
      </c>
      <c r="AN26" s="131">
        <v>0.4</v>
      </c>
      <c r="AO26" s="131">
        <v>0</v>
      </c>
      <c r="AP26" s="131">
        <v>1</v>
      </c>
      <c r="AQ26" s="123"/>
      <c r="AR26" s="125"/>
    </row>
    <row r="27" spans="2:44" ht="12" customHeight="1">
      <c r="I27" s="143" t="str">
        <f t="shared" si="24"/>
        <v>Industry Water heating  Biogas</v>
      </c>
      <c r="J27" s="152" t="s">
        <v>207</v>
      </c>
      <c r="K27" s="151" t="str">
        <f t="shared" si="25"/>
        <v>IND-WHBIGExt</v>
      </c>
      <c r="L27" s="101" t="str">
        <f t="shared" ref="L27:L30" si="26">IF(J27="Yes",K27,"")</f>
        <v/>
      </c>
      <c r="O27" s="122" t="str">
        <f t="shared" si="4"/>
        <v/>
      </c>
      <c r="P27" s="122" t="str">
        <f t="shared" si="22"/>
        <v/>
      </c>
      <c r="Q27" s="114" t="str">
        <f t="shared" si="6"/>
        <v/>
      </c>
      <c r="R27" s="112" t="str">
        <f t="shared" si="23"/>
        <v/>
      </c>
      <c r="S27" s="119" t="str">
        <f t="shared" si="8"/>
        <v/>
      </c>
      <c r="T27" s="119" t="str">
        <f t="shared" si="9"/>
        <v/>
      </c>
      <c r="U27" s="119" t="str">
        <f t="shared" si="10"/>
        <v/>
      </c>
      <c r="V27" s="119" t="str">
        <f t="shared" si="11"/>
        <v/>
      </c>
      <c r="W27" s="119" t="str">
        <f t="shared" si="12"/>
        <v/>
      </c>
      <c r="X27" s="119" t="str">
        <f t="shared" si="13"/>
        <v/>
      </c>
      <c r="Y27" s="119" t="str">
        <f t="shared" si="14"/>
        <v/>
      </c>
      <c r="Z27" s="119" t="str">
        <f t="shared" si="15"/>
        <v/>
      </c>
      <c r="AA27" s="119" t="str">
        <f t="shared" si="16"/>
        <v/>
      </c>
      <c r="AB27" s="119" t="str">
        <f t="shared" si="17"/>
        <v/>
      </c>
      <c r="AC27" s="119" t="str">
        <f t="shared" si="18"/>
        <v/>
      </c>
      <c r="AD27" s="119" t="str">
        <f t="shared" si="19"/>
        <v/>
      </c>
      <c r="AG27" s="124">
        <v>0.6</v>
      </c>
      <c r="AH27" s="123">
        <v>2</v>
      </c>
      <c r="AI27" s="123">
        <v>1</v>
      </c>
      <c r="AJ27" s="131">
        <v>1</v>
      </c>
      <c r="AK27" s="131">
        <f t="shared" si="20"/>
        <v>0.8</v>
      </c>
      <c r="AL27" s="131">
        <f t="shared" si="21"/>
        <v>0</v>
      </c>
      <c r="AM27" s="131">
        <v>0.5</v>
      </c>
      <c r="AN27" s="131">
        <v>0.4</v>
      </c>
      <c r="AO27" s="131">
        <v>0</v>
      </c>
      <c r="AP27" s="131">
        <v>1</v>
      </c>
      <c r="AQ27" s="123"/>
      <c r="AR27" s="125"/>
    </row>
    <row r="28" spans="2:44" ht="12" customHeight="1">
      <c r="I28" s="143" t="str">
        <f t="shared" si="24"/>
        <v>Industry Water heating  Wood</v>
      </c>
      <c r="J28" s="152" t="s">
        <v>206</v>
      </c>
      <c r="K28" s="151" t="str">
        <f t="shared" ref="K28:K30" si="27">$D$5&amp;$F$6&amp;RIGHT(H15,3)&amp;$B$5</f>
        <v>IND-WHWODExt</v>
      </c>
      <c r="L28" s="101" t="str">
        <f t="shared" si="26"/>
        <v>IND-WHWODExt</v>
      </c>
      <c r="O28" s="122" t="str">
        <f t="shared" si="4"/>
        <v>Industry Water heating  Wood</v>
      </c>
      <c r="P28" s="122" t="str">
        <f t="shared" si="22"/>
        <v>IND-WHWODExt</v>
      </c>
      <c r="Q28" s="114" t="str">
        <f t="shared" si="6"/>
        <v>IND-WOD</v>
      </c>
      <c r="R28" s="112" t="str">
        <f t="shared" si="23"/>
        <v>IND-WH</v>
      </c>
      <c r="S28" s="119">
        <f t="shared" si="8"/>
        <v>0.6</v>
      </c>
      <c r="T28" s="119">
        <f t="shared" si="9"/>
        <v>2</v>
      </c>
      <c r="U28" s="119">
        <f t="shared" si="10"/>
        <v>1</v>
      </c>
      <c r="V28" s="119">
        <f t="shared" si="11"/>
        <v>1</v>
      </c>
      <c r="W28" s="119">
        <f t="shared" si="12"/>
        <v>0.8</v>
      </c>
      <c r="X28" s="119">
        <f t="shared" si="13"/>
        <v>0</v>
      </c>
      <c r="Y28" s="119">
        <f t="shared" si="14"/>
        <v>0.5</v>
      </c>
      <c r="Z28" s="119">
        <f t="shared" si="15"/>
        <v>0.4</v>
      </c>
      <c r="AA28" s="119">
        <f t="shared" si="16"/>
        <v>0</v>
      </c>
      <c r="AB28" s="119">
        <f t="shared" si="17"/>
        <v>1</v>
      </c>
      <c r="AC28" s="119">
        <f t="shared" si="18"/>
        <v>0</v>
      </c>
      <c r="AD28" s="119">
        <f t="shared" si="19"/>
        <v>0</v>
      </c>
      <c r="AG28" s="124">
        <v>0.6</v>
      </c>
      <c r="AH28" s="123">
        <v>2</v>
      </c>
      <c r="AI28" s="123">
        <v>1</v>
      </c>
      <c r="AJ28" s="131">
        <v>1</v>
      </c>
      <c r="AK28" s="131">
        <f t="shared" si="20"/>
        <v>0.8</v>
      </c>
      <c r="AL28" s="131">
        <f t="shared" si="21"/>
        <v>0</v>
      </c>
      <c r="AM28" s="131">
        <v>0.5</v>
      </c>
      <c r="AN28" s="131">
        <v>0.4</v>
      </c>
      <c r="AO28" s="131">
        <v>0</v>
      </c>
      <c r="AP28" s="131">
        <v>1</v>
      </c>
      <c r="AQ28" s="123"/>
      <c r="AR28" s="125"/>
    </row>
    <row r="29" spans="2:44" ht="12" customHeight="1">
      <c r="I29" s="143" t="str">
        <f t="shared" ref="I29:I30" si="28">$C$5&amp;" "&amp;$E$6&amp;" "&amp;RIGHT(G16,LEN(G16)-FIND(" ",G16))</f>
        <v>Industry Water heating  Tidal</v>
      </c>
      <c r="J29" s="152" t="s">
        <v>207</v>
      </c>
      <c r="K29" s="151" t="str">
        <f t="shared" si="27"/>
        <v>IND-WHTIDExt</v>
      </c>
      <c r="L29" s="101" t="str">
        <f t="shared" si="26"/>
        <v/>
      </c>
      <c r="O29" s="122" t="str">
        <f t="shared" si="4"/>
        <v/>
      </c>
      <c r="P29" s="122" t="str">
        <f t="shared" si="22"/>
        <v/>
      </c>
      <c r="Q29" s="114" t="str">
        <f t="shared" si="6"/>
        <v/>
      </c>
      <c r="R29" s="112" t="str">
        <f t="shared" si="23"/>
        <v/>
      </c>
      <c r="S29" s="119" t="str">
        <f t="shared" si="8"/>
        <v/>
      </c>
      <c r="T29" s="119" t="str">
        <f t="shared" si="9"/>
        <v/>
      </c>
      <c r="U29" s="119" t="str">
        <f t="shared" si="10"/>
        <v/>
      </c>
      <c r="V29" s="119" t="str">
        <f t="shared" si="11"/>
        <v/>
      </c>
      <c r="W29" s="119" t="str">
        <f t="shared" si="12"/>
        <v/>
      </c>
      <c r="X29" s="119" t="str">
        <f t="shared" si="13"/>
        <v/>
      </c>
      <c r="Y29" s="119" t="str">
        <f t="shared" si="14"/>
        <v/>
      </c>
      <c r="Z29" s="119" t="str">
        <f t="shared" si="15"/>
        <v/>
      </c>
      <c r="AA29" s="119" t="str">
        <f t="shared" si="16"/>
        <v/>
      </c>
      <c r="AB29" s="119" t="str">
        <f t="shared" si="17"/>
        <v/>
      </c>
      <c r="AC29" s="119" t="str">
        <f t="shared" si="18"/>
        <v/>
      </c>
      <c r="AD29" s="119" t="str">
        <f t="shared" si="19"/>
        <v/>
      </c>
      <c r="AG29" s="124">
        <v>0.6</v>
      </c>
      <c r="AH29" s="123">
        <v>2</v>
      </c>
      <c r="AI29" s="123">
        <v>1</v>
      </c>
      <c r="AJ29" s="131">
        <v>1</v>
      </c>
      <c r="AK29" s="131">
        <f t="shared" si="20"/>
        <v>0.8</v>
      </c>
      <c r="AL29" s="131">
        <f t="shared" si="21"/>
        <v>0</v>
      </c>
      <c r="AM29" s="131">
        <v>0.5</v>
      </c>
      <c r="AN29" s="131">
        <v>0.4</v>
      </c>
      <c r="AO29" s="131">
        <v>0</v>
      </c>
      <c r="AP29" s="131">
        <v>1</v>
      </c>
      <c r="AQ29" s="123"/>
      <c r="AR29" s="125"/>
    </row>
    <row r="30" spans="2:44" ht="12" customHeight="1">
      <c r="I30" s="143" t="str">
        <f t="shared" si="28"/>
        <v>Industry Water heating  Electricity</v>
      </c>
      <c r="J30" s="153" t="s">
        <v>206</v>
      </c>
      <c r="K30" s="151" t="str">
        <f t="shared" si="27"/>
        <v>IND-WHELCExt</v>
      </c>
      <c r="L30" s="101" t="str">
        <f t="shared" si="26"/>
        <v>IND-WHELCExt</v>
      </c>
      <c r="O30" s="122" t="str">
        <f t="shared" si="4"/>
        <v>Industry Water heating  Electricity</v>
      </c>
      <c r="P30" s="122" t="str">
        <f t="shared" si="22"/>
        <v>IND-WHELCExt</v>
      </c>
      <c r="Q30" s="114" t="str">
        <f t="shared" si="6"/>
        <v>IND-ELC</v>
      </c>
      <c r="R30" s="112" t="str">
        <f t="shared" si="23"/>
        <v>IND-WH</v>
      </c>
      <c r="S30" s="119">
        <f t="shared" si="8"/>
        <v>0.6</v>
      </c>
      <c r="T30" s="119">
        <f t="shared" si="9"/>
        <v>2</v>
      </c>
      <c r="U30" s="119">
        <f t="shared" si="10"/>
        <v>1</v>
      </c>
      <c r="V30" s="119">
        <f t="shared" si="11"/>
        <v>1</v>
      </c>
      <c r="W30" s="119">
        <f t="shared" si="12"/>
        <v>0.8</v>
      </c>
      <c r="X30" s="119">
        <f t="shared" si="13"/>
        <v>0</v>
      </c>
      <c r="Y30" s="119">
        <f t="shared" si="14"/>
        <v>0.5</v>
      </c>
      <c r="Z30" s="119">
        <f t="shared" si="15"/>
        <v>0.4</v>
      </c>
      <c r="AA30" s="119">
        <f t="shared" si="16"/>
        <v>0</v>
      </c>
      <c r="AB30" s="119">
        <f t="shared" si="17"/>
        <v>1</v>
      </c>
      <c r="AC30" s="119">
        <f t="shared" si="18"/>
        <v>0</v>
      </c>
      <c r="AD30" s="119">
        <f t="shared" si="19"/>
        <v>0</v>
      </c>
      <c r="AG30" s="124">
        <v>0.6</v>
      </c>
      <c r="AH30" s="123">
        <v>2</v>
      </c>
      <c r="AI30" s="123">
        <v>1</v>
      </c>
      <c r="AJ30" s="131">
        <v>1</v>
      </c>
      <c r="AK30" s="131">
        <f t="shared" si="20"/>
        <v>0.8</v>
      </c>
      <c r="AL30" s="131">
        <f t="shared" si="21"/>
        <v>0</v>
      </c>
      <c r="AM30" s="131">
        <v>0.5</v>
      </c>
      <c r="AN30" s="131">
        <v>0.4</v>
      </c>
      <c r="AO30" s="131">
        <v>0</v>
      </c>
      <c r="AP30" s="131">
        <v>1</v>
      </c>
      <c r="AQ30" s="123"/>
      <c r="AR30" s="125"/>
    </row>
    <row r="31" spans="2:44" ht="12" customHeight="1">
      <c r="I31" s="142" t="str">
        <f t="shared" ref="I31:I38" si="29">$C$5&amp;" "&amp;$E$7&amp;" "&amp;RIGHT(G5,LEN(G5)-FIND(" ",G5))</f>
        <v>Industry High temperature process heat  Coal</v>
      </c>
      <c r="J31" s="152" t="s">
        <v>206</v>
      </c>
      <c r="K31" s="150" t="str">
        <f t="shared" ref="K31:K38" si="30">$D$5&amp;$F$7&amp;RIGHT(H5,3)&amp;$B$5</f>
        <v>IND-PHCOAExt</v>
      </c>
      <c r="L31" s="101" t="str">
        <f t="shared" ref="L31:L37" si="31">IF(J31="Yes",K31,"")</f>
        <v>IND-PHCOAExt</v>
      </c>
      <c r="O31" s="122" t="str">
        <f t="shared" si="4"/>
        <v>Industry High temperature process heat  Coal</v>
      </c>
      <c r="P31" s="122" t="str">
        <f t="shared" si="22"/>
        <v>IND-PHCOAExt</v>
      </c>
      <c r="Q31" s="114" t="str">
        <f t="shared" si="6"/>
        <v>IND-COA</v>
      </c>
      <c r="R31" s="112" t="str">
        <f t="shared" si="23"/>
        <v>IND-PH</v>
      </c>
      <c r="S31" s="119">
        <f t="shared" si="8"/>
        <v>0.6</v>
      </c>
      <c r="T31" s="119">
        <f t="shared" si="9"/>
        <v>2</v>
      </c>
      <c r="U31" s="119">
        <f t="shared" si="10"/>
        <v>1</v>
      </c>
      <c r="V31" s="119">
        <f t="shared" si="11"/>
        <v>1</v>
      </c>
      <c r="W31" s="119">
        <f t="shared" si="12"/>
        <v>0.8</v>
      </c>
      <c r="X31" s="119">
        <f t="shared" si="13"/>
        <v>0</v>
      </c>
      <c r="Y31" s="119">
        <f t="shared" si="14"/>
        <v>0.5</v>
      </c>
      <c r="Z31" s="119">
        <f t="shared" si="15"/>
        <v>0.4</v>
      </c>
      <c r="AA31" s="119">
        <f t="shared" si="16"/>
        <v>0</v>
      </c>
      <c r="AB31" s="119">
        <f t="shared" si="17"/>
        <v>1</v>
      </c>
      <c r="AC31" s="119">
        <f t="shared" si="18"/>
        <v>0</v>
      </c>
      <c r="AD31" s="119">
        <f t="shared" si="19"/>
        <v>0</v>
      </c>
      <c r="AG31" s="124">
        <v>0.6</v>
      </c>
      <c r="AH31" s="123">
        <v>2</v>
      </c>
      <c r="AI31" s="123">
        <v>1</v>
      </c>
      <c r="AJ31" s="131">
        <v>1</v>
      </c>
      <c r="AK31" s="131">
        <f t="shared" si="20"/>
        <v>0.8</v>
      </c>
      <c r="AL31" s="131">
        <f t="shared" si="21"/>
        <v>0</v>
      </c>
      <c r="AM31" s="131">
        <v>0.5</v>
      </c>
      <c r="AN31" s="131">
        <v>0.4</v>
      </c>
      <c r="AO31" s="131">
        <v>0</v>
      </c>
      <c r="AP31" s="131">
        <v>1</v>
      </c>
      <c r="AQ31" s="123"/>
      <c r="AR31" s="125"/>
    </row>
    <row r="32" spans="2:44" ht="12" customHeight="1">
      <c r="I32" s="143" t="str">
        <f t="shared" si="29"/>
        <v>Industry High temperature process heat  Lignite</v>
      </c>
      <c r="J32" s="152" t="s">
        <v>206</v>
      </c>
      <c r="K32" s="151" t="str">
        <f t="shared" si="30"/>
        <v>IND-PHCOLExt</v>
      </c>
      <c r="L32" s="101" t="str">
        <f t="shared" si="31"/>
        <v>IND-PHCOLExt</v>
      </c>
      <c r="O32" s="122" t="str">
        <f t="shared" si="4"/>
        <v>Industry High temperature process heat  Lignite</v>
      </c>
      <c r="P32" s="122" t="str">
        <f t="shared" si="22"/>
        <v>IND-PHCOLExt</v>
      </c>
      <c r="Q32" s="114" t="str">
        <f t="shared" si="6"/>
        <v>IND-COL</v>
      </c>
      <c r="R32" s="112" t="str">
        <f t="shared" si="23"/>
        <v>IND-PH</v>
      </c>
      <c r="S32" s="119">
        <f t="shared" si="8"/>
        <v>0.6</v>
      </c>
      <c r="T32" s="119">
        <f t="shared" si="9"/>
        <v>2</v>
      </c>
      <c r="U32" s="119">
        <f t="shared" si="10"/>
        <v>1</v>
      </c>
      <c r="V32" s="119">
        <f t="shared" si="11"/>
        <v>1</v>
      </c>
      <c r="W32" s="119">
        <f t="shared" si="12"/>
        <v>0.8</v>
      </c>
      <c r="X32" s="119">
        <f t="shared" si="13"/>
        <v>0</v>
      </c>
      <c r="Y32" s="119">
        <f t="shared" si="14"/>
        <v>0.5</v>
      </c>
      <c r="Z32" s="119">
        <f t="shared" si="15"/>
        <v>0.4</v>
      </c>
      <c r="AA32" s="119">
        <f t="shared" si="16"/>
        <v>0</v>
      </c>
      <c r="AB32" s="119">
        <f t="shared" si="17"/>
        <v>1</v>
      </c>
      <c r="AC32" s="119">
        <f t="shared" si="18"/>
        <v>0</v>
      </c>
      <c r="AD32" s="119">
        <f t="shared" si="19"/>
        <v>0</v>
      </c>
      <c r="AG32" s="124">
        <v>0.6</v>
      </c>
      <c r="AH32" s="123">
        <v>2</v>
      </c>
      <c r="AI32" s="123">
        <v>1</v>
      </c>
      <c r="AJ32" s="131">
        <v>1</v>
      </c>
      <c r="AK32" s="131">
        <f t="shared" si="20"/>
        <v>0.8</v>
      </c>
      <c r="AL32" s="131">
        <f t="shared" si="21"/>
        <v>0</v>
      </c>
      <c r="AM32" s="131">
        <v>0.5</v>
      </c>
      <c r="AN32" s="131">
        <v>0.4</v>
      </c>
      <c r="AO32" s="131">
        <v>0</v>
      </c>
      <c r="AP32" s="131">
        <v>1</v>
      </c>
      <c r="AQ32" s="123"/>
      <c r="AR32" s="125"/>
    </row>
    <row r="33" spans="9:44" ht="12" customHeight="1">
      <c r="I33" s="143" t="str">
        <f t="shared" si="29"/>
        <v>Industry High temperature process heat  Crude oil</v>
      </c>
      <c r="J33" s="152" t="s">
        <v>206</v>
      </c>
      <c r="K33" s="151" t="str">
        <f t="shared" si="30"/>
        <v>IND-PHOILExt</v>
      </c>
      <c r="L33" s="101" t="str">
        <f t="shared" si="31"/>
        <v>IND-PHOILExt</v>
      </c>
      <c r="O33" s="122" t="str">
        <f t="shared" si="4"/>
        <v>Industry High temperature process heat  Crude oil</v>
      </c>
      <c r="P33" s="122" t="str">
        <f t="shared" si="22"/>
        <v>IND-PHOILExt</v>
      </c>
      <c r="Q33" s="114" t="str">
        <f t="shared" si="6"/>
        <v>IND-OIL</v>
      </c>
      <c r="R33" s="112" t="str">
        <f t="shared" si="23"/>
        <v>IND-PH</v>
      </c>
      <c r="S33" s="119">
        <f t="shared" si="8"/>
        <v>0.6</v>
      </c>
      <c r="T33" s="119">
        <f t="shared" si="9"/>
        <v>2</v>
      </c>
      <c r="U33" s="119">
        <f t="shared" si="10"/>
        <v>1</v>
      </c>
      <c r="V33" s="119">
        <f t="shared" si="11"/>
        <v>1</v>
      </c>
      <c r="W33" s="119">
        <f t="shared" si="12"/>
        <v>0.8</v>
      </c>
      <c r="X33" s="119">
        <f t="shared" si="13"/>
        <v>0</v>
      </c>
      <c r="Y33" s="119">
        <f t="shared" si="14"/>
        <v>0.5</v>
      </c>
      <c r="Z33" s="119">
        <f t="shared" si="15"/>
        <v>0.4</v>
      </c>
      <c r="AA33" s="119">
        <f t="shared" si="16"/>
        <v>0</v>
      </c>
      <c r="AB33" s="119">
        <f t="shared" si="17"/>
        <v>1</v>
      </c>
      <c r="AC33" s="119">
        <f t="shared" si="18"/>
        <v>0</v>
      </c>
      <c r="AD33" s="119">
        <f t="shared" si="19"/>
        <v>0</v>
      </c>
      <c r="AG33" s="124">
        <v>0.6</v>
      </c>
      <c r="AH33" s="123">
        <v>2</v>
      </c>
      <c r="AI33" s="123">
        <v>1</v>
      </c>
      <c r="AJ33" s="131">
        <v>1</v>
      </c>
      <c r="AK33" s="131">
        <f t="shared" si="20"/>
        <v>0.8</v>
      </c>
      <c r="AL33" s="131">
        <f t="shared" si="21"/>
        <v>0</v>
      </c>
      <c r="AM33" s="131">
        <v>0.5</v>
      </c>
      <c r="AN33" s="131">
        <v>0.4</v>
      </c>
      <c r="AO33" s="131">
        <v>0</v>
      </c>
      <c r="AP33" s="131">
        <v>1</v>
      </c>
      <c r="AQ33" s="123"/>
      <c r="AR33" s="125"/>
    </row>
    <row r="34" spans="9:44" ht="12" customHeight="1">
      <c r="I34" s="143" t="str">
        <f t="shared" si="29"/>
        <v>Industry High temperature process heat  Natural Gas</v>
      </c>
      <c r="J34" s="152" t="s">
        <v>207</v>
      </c>
      <c r="K34" s="151" t="str">
        <f t="shared" si="30"/>
        <v>IND-PHNGAExt</v>
      </c>
      <c r="L34" s="101" t="str">
        <f t="shared" si="31"/>
        <v/>
      </c>
      <c r="O34" s="122" t="str">
        <f t="shared" si="4"/>
        <v/>
      </c>
      <c r="P34" s="122" t="str">
        <f t="shared" si="22"/>
        <v/>
      </c>
      <c r="Q34" s="114" t="str">
        <f t="shared" si="6"/>
        <v/>
      </c>
      <c r="R34" s="112" t="str">
        <f t="shared" si="23"/>
        <v/>
      </c>
      <c r="S34" s="119" t="str">
        <f t="shared" si="8"/>
        <v/>
      </c>
      <c r="T34" s="119" t="str">
        <f t="shared" si="9"/>
        <v/>
      </c>
      <c r="U34" s="119" t="str">
        <f t="shared" si="10"/>
        <v/>
      </c>
      <c r="V34" s="119" t="str">
        <f t="shared" si="11"/>
        <v/>
      </c>
      <c r="W34" s="119" t="str">
        <f t="shared" si="12"/>
        <v/>
      </c>
      <c r="X34" s="119" t="str">
        <f t="shared" si="13"/>
        <v/>
      </c>
      <c r="Y34" s="119" t="str">
        <f t="shared" si="14"/>
        <v/>
      </c>
      <c r="Z34" s="119" t="str">
        <f t="shared" si="15"/>
        <v/>
      </c>
      <c r="AA34" s="119" t="str">
        <f t="shared" si="16"/>
        <v/>
      </c>
      <c r="AB34" s="119" t="str">
        <f t="shared" si="17"/>
        <v/>
      </c>
      <c r="AC34" s="119" t="str">
        <f t="shared" si="18"/>
        <v/>
      </c>
      <c r="AD34" s="119" t="str">
        <f t="shared" si="19"/>
        <v/>
      </c>
      <c r="AG34" s="124">
        <v>0.6</v>
      </c>
      <c r="AH34" s="123">
        <v>2</v>
      </c>
      <c r="AI34" s="123">
        <v>1</v>
      </c>
      <c r="AJ34" s="131">
        <v>1</v>
      </c>
      <c r="AK34" s="131">
        <f t="shared" si="20"/>
        <v>0.8</v>
      </c>
      <c r="AL34" s="131">
        <f t="shared" si="21"/>
        <v>0</v>
      </c>
      <c r="AM34" s="131">
        <v>0.5</v>
      </c>
      <c r="AN34" s="131">
        <v>0.4</v>
      </c>
      <c r="AO34" s="131">
        <v>0</v>
      </c>
      <c r="AP34" s="131">
        <v>1</v>
      </c>
      <c r="AQ34" s="123"/>
      <c r="AR34" s="125"/>
    </row>
    <row r="35" spans="9:44" ht="12" customHeight="1">
      <c r="I35" s="143" t="str">
        <f t="shared" si="29"/>
        <v>Industry High temperature process heat  Hydro</v>
      </c>
      <c r="J35" s="152" t="s">
        <v>207</v>
      </c>
      <c r="K35" s="151" t="str">
        <f t="shared" si="30"/>
        <v>IND-PHHYDExt</v>
      </c>
      <c r="L35" s="101" t="str">
        <f t="shared" si="31"/>
        <v/>
      </c>
      <c r="O35" s="122" t="str">
        <f t="shared" si="4"/>
        <v/>
      </c>
      <c r="P35" s="122" t="str">
        <f t="shared" si="22"/>
        <v/>
      </c>
      <c r="Q35" s="114" t="str">
        <f t="shared" si="6"/>
        <v/>
      </c>
      <c r="R35" s="112" t="str">
        <f t="shared" si="23"/>
        <v/>
      </c>
      <c r="S35" s="119" t="str">
        <f t="shared" si="8"/>
        <v/>
      </c>
      <c r="T35" s="119" t="str">
        <f t="shared" si="9"/>
        <v/>
      </c>
      <c r="U35" s="119" t="str">
        <f t="shared" si="10"/>
        <v/>
      </c>
      <c r="V35" s="119" t="str">
        <f t="shared" si="11"/>
        <v/>
      </c>
      <c r="W35" s="119" t="str">
        <f t="shared" si="12"/>
        <v/>
      </c>
      <c r="X35" s="119" t="str">
        <f t="shared" si="13"/>
        <v/>
      </c>
      <c r="Y35" s="119" t="str">
        <f t="shared" si="14"/>
        <v/>
      </c>
      <c r="Z35" s="119" t="str">
        <f t="shared" si="15"/>
        <v/>
      </c>
      <c r="AA35" s="119" t="str">
        <f t="shared" si="16"/>
        <v/>
      </c>
      <c r="AB35" s="119" t="str">
        <f t="shared" si="17"/>
        <v/>
      </c>
      <c r="AC35" s="119" t="str">
        <f t="shared" si="18"/>
        <v/>
      </c>
      <c r="AD35" s="119" t="str">
        <f t="shared" si="19"/>
        <v/>
      </c>
      <c r="AG35" s="124">
        <v>0.6</v>
      </c>
      <c r="AH35" s="123">
        <v>2</v>
      </c>
      <c r="AI35" s="123">
        <v>1</v>
      </c>
      <c r="AJ35" s="131">
        <v>1</v>
      </c>
      <c r="AK35" s="131">
        <f t="shared" si="20"/>
        <v>0.8</v>
      </c>
      <c r="AL35" s="131">
        <f t="shared" si="21"/>
        <v>0</v>
      </c>
      <c r="AM35" s="131">
        <v>0.5</v>
      </c>
      <c r="AN35" s="131">
        <v>0.4</v>
      </c>
      <c r="AO35" s="131">
        <v>0</v>
      </c>
      <c r="AP35" s="131">
        <v>1</v>
      </c>
      <c r="AQ35" s="123"/>
      <c r="AR35" s="125"/>
    </row>
    <row r="36" spans="9:44" ht="12" customHeight="1">
      <c r="I36" s="143" t="str">
        <f t="shared" si="29"/>
        <v>Industry High temperature process heat  Geothermal</v>
      </c>
      <c r="J36" s="152" t="s">
        <v>207</v>
      </c>
      <c r="K36" s="151" t="str">
        <f t="shared" si="30"/>
        <v>IND-PHGEOExt</v>
      </c>
      <c r="L36" s="101" t="str">
        <f t="shared" si="31"/>
        <v/>
      </c>
      <c r="O36" s="122" t="str">
        <f t="shared" si="4"/>
        <v/>
      </c>
      <c r="P36" s="122" t="str">
        <f t="shared" si="22"/>
        <v/>
      </c>
      <c r="Q36" s="114" t="str">
        <f t="shared" si="6"/>
        <v/>
      </c>
      <c r="R36" s="112" t="str">
        <f t="shared" si="23"/>
        <v/>
      </c>
      <c r="S36" s="119" t="str">
        <f t="shared" si="8"/>
        <v/>
      </c>
      <c r="T36" s="119" t="str">
        <f t="shared" si="9"/>
        <v/>
      </c>
      <c r="U36" s="119" t="str">
        <f t="shared" si="10"/>
        <v/>
      </c>
      <c r="V36" s="119" t="str">
        <f t="shared" si="11"/>
        <v/>
      </c>
      <c r="W36" s="119" t="str">
        <f t="shared" si="12"/>
        <v/>
      </c>
      <c r="X36" s="119" t="str">
        <f t="shared" si="13"/>
        <v/>
      </c>
      <c r="Y36" s="119" t="str">
        <f t="shared" si="14"/>
        <v/>
      </c>
      <c r="Z36" s="119" t="str">
        <f t="shared" si="15"/>
        <v/>
      </c>
      <c r="AA36" s="119" t="str">
        <f t="shared" si="16"/>
        <v/>
      </c>
      <c r="AB36" s="119" t="str">
        <f t="shared" si="17"/>
        <v/>
      </c>
      <c r="AC36" s="119" t="str">
        <f t="shared" si="18"/>
        <v/>
      </c>
      <c r="AD36" s="119" t="str">
        <f t="shared" si="19"/>
        <v/>
      </c>
      <c r="AG36" s="124">
        <v>0.6</v>
      </c>
      <c r="AH36" s="123">
        <v>2</v>
      </c>
      <c r="AI36" s="123">
        <v>1</v>
      </c>
      <c r="AJ36" s="131">
        <v>1</v>
      </c>
      <c r="AK36" s="131">
        <f t="shared" si="20"/>
        <v>0.8</v>
      </c>
      <c r="AL36" s="131">
        <f t="shared" si="21"/>
        <v>0</v>
      </c>
      <c r="AM36" s="131">
        <v>0.5</v>
      </c>
      <c r="AN36" s="131">
        <v>0.4</v>
      </c>
      <c r="AO36" s="131">
        <v>0</v>
      </c>
      <c r="AP36" s="131">
        <v>1</v>
      </c>
      <c r="AQ36" s="123"/>
      <c r="AR36" s="125"/>
    </row>
    <row r="37" spans="9:44" ht="12" customHeight="1">
      <c r="I37" s="143" t="str">
        <f t="shared" si="29"/>
        <v>Industry High temperature process heat  Solar</v>
      </c>
      <c r="J37" s="152" t="s">
        <v>207</v>
      </c>
      <c r="K37" s="151" t="str">
        <f t="shared" si="30"/>
        <v>IND-PHSOLExt</v>
      </c>
      <c r="L37" s="101" t="str">
        <f t="shared" si="31"/>
        <v/>
      </c>
      <c r="O37" s="122" t="str">
        <f t="shared" si="4"/>
        <v/>
      </c>
      <c r="P37" s="122" t="str">
        <f t="shared" si="22"/>
        <v/>
      </c>
      <c r="Q37" s="114" t="str">
        <f t="shared" si="6"/>
        <v/>
      </c>
      <c r="R37" s="112" t="str">
        <f t="shared" si="23"/>
        <v/>
      </c>
      <c r="S37" s="119" t="str">
        <f t="shared" si="8"/>
        <v/>
      </c>
      <c r="T37" s="119" t="str">
        <f t="shared" si="9"/>
        <v/>
      </c>
      <c r="U37" s="119" t="str">
        <f t="shared" si="10"/>
        <v/>
      </c>
      <c r="V37" s="119" t="str">
        <f t="shared" si="11"/>
        <v/>
      </c>
      <c r="W37" s="119" t="str">
        <f t="shared" si="12"/>
        <v/>
      </c>
      <c r="X37" s="119" t="str">
        <f t="shared" si="13"/>
        <v/>
      </c>
      <c r="Y37" s="119" t="str">
        <f t="shared" si="14"/>
        <v/>
      </c>
      <c r="Z37" s="119" t="str">
        <f t="shared" si="15"/>
        <v/>
      </c>
      <c r="AA37" s="119" t="str">
        <f t="shared" si="16"/>
        <v/>
      </c>
      <c r="AB37" s="119" t="str">
        <f t="shared" si="17"/>
        <v/>
      </c>
      <c r="AC37" s="119" t="str">
        <f t="shared" si="18"/>
        <v/>
      </c>
      <c r="AD37" s="119" t="str">
        <f t="shared" si="19"/>
        <v/>
      </c>
      <c r="AG37" s="124">
        <v>0.6</v>
      </c>
      <c r="AH37" s="123">
        <v>2</v>
      </c>
      <c r="AI37" s="123">
        <v>1</v>
      </c>
      <c r="AJ37" s="131">
        <v>1</v>
      </c>
      <c r="AK37" s="131">
        <f t="shared" si="20"/>
        <v>0.8</v>
      </c>
      <c r="AL37" s="131">
        <f t="shared" si="21"/>
        <v>0</v>
      </c>
      <c r="AM37" s="131">
        <v>0.5</v>
      </c>
      <c r="AN37" s="131">
        <v>0.4</v>
      </c>
      <c r="AO37" s="131">
        <v>0</v>
      </c>
      <c r="AP37" s="131">
        <v>1</v>
      </c>
      <c r="AQ37" s="123"/>
      <c r="AR37" s="125"/>
    </row>
    <row r="38" spans="9:44" ht="12" customHeight="1">
      <c r="I38" s="143" t="str">
        <f t="shared" si="29"/>
        <v>Industry High temperature process heat  Wind</v>
      </c>
      <c r="J38" s="152" t="s">
        <v>207</v>
      </c>
      <c r="K38" s="151" t="str">
        <f t="shared" si="30"/>
        <v>IND-PHWINExt</v>
      </c>
      <c r="L38" s="101" t="str">
        <f t="shared" ref="L38:L44" si="32">IF(J38="Yes",K38,"")</f>
        <v/>
      </c>
      <c r="O38" s="122" t="str">
        <f t="shared" si="4"/>
        <v/>
      </c>
      <c r="P38" s="122" t="str">
        <f t="shared" si="22"/>
        <v/>
      </c>
      <c r="Q38" s="114" t="str">
        <f t="shared" si="6"/>
        <v/>
      </c>
      <c r="R38" s="112" t="str">
        <f t="shared" si="23"/>
        <v/>
      </c>
      <c r="S38" s="119" t="str">
        <f t="shared" si="8"/>
        <v/>
      </c>
      <c r="T38" s="119" t="str">
        <f t="shared" si="9"/>
        <v/>
      </c>
      <c r="U38" s="119" t="str">
        <f t="shared" si="10"/>
        <v/>
      </c>
      <c r="V38" s="119" t="str">
        <f t="shared" si="11"/>
        <v/>
      </c>
      <c r="W38" s="119" t="str">
        <f t="shared" si="12"/>
        <v/>
      </c>
      <c r="X38" s="119" t="str">
        <f t="shared" si="13"/>
        <v/>
      </c>
      <c r="Y38" s="119" t="str">
        <f t="shared" si="14"/>
        <v/>
      </c>
      <c r="Z38" s="119" t="str">
        <f t="shared" si="15"/>
        <v/>
      </c>
      <c r="AA38" s="119" t="str">
        <f t="shared" si="16"/>
        <v/>
      </c>
      <c r="AB38" s="119" t="str">
        <f t="shared" si="17"/>
        <v/>
      </c>
      <c r="AC38" s="119" t="str">
        <f t="shared" si="18"/>
        <v/>
      </c>
      <c r="AD38" s="119" t="str">
        <f t="shared" si="19"/>
        <v/>
      </c>
      <c r="AG38" s="124">
        <v>0.6</v>
      </c>
      <c r="AH38" s="123">
        <v>2</v>
      </c>
      <c r="AI38" s="123">
        <v>1</v>
      </c>
      <c r="AJ38" s="131">
        <v>1</v>
      </c>
      <c r="AK38" s="131">
        <f t="shared" si="20"/>
        <v>0.8</v>
      </c>
      <c r="AL38" s="131">
        <f t="shared" si="21"/>
        <v>0</v>
      </c>
      <c r="AM38" s="131">
        <v>0.5</v>
      </c>
      <c r="AN38" s="131">
        <v>0.4</v>
      </c>
      <c r="AO38" s="131">
        <v>0</v>
      </c>
      <c r="AP38" s="131">
        <v>1</v>
      </c>
      <c r="AQ38" s="123"/>
      <c r="AR38" s="125"/>
    </row>
    <row r="39" spans="9:44" ht="12" customHeight="1">
      <c r="I39" s="143" t="str">
        <f t="shared" ref="I39:I43" si="33">$C$5&amp;" "&amp;$E$7&amp;" "&amp;RIGHT(G13,LEN(G13)-FIND(" ",G13))</f>
        <v>Industry High temperature process heat  Bio Liquids</v>
      </c>
      <c r="J39" s="152" t="s">
        <v>207</v>
      </c>
      <c r="K39" s="151" t="str">
        <f t="shared" ref="K39:K43" si="34">$D$5&amp;$F$7&amp;RIGHT(H13,3)&amp;$B$5</f>
        <v>IND-PHBILExt</v>
      </c>
      <c r="L39" s="101" t="str">
        <f t="shared" si="32"/>
        <v/>
      </c>
      <c r="O39" s="122" t="str">
        <f t="shared" si="4"/>
        <v/>
      </c>
      <c r="P39" s="122" t="str">
        <f t="shared" si="22"/>
        <v/>
      </c>
      <c r="Q39" s="114" t="str">
        <f t="shared" si="6"/>
        <v/>
      </c>
      <c r="R39" s="112" t="str">
        <f t="shared" si="23"/>
        <v/>
      </c>
      <c r="S39" s="119" t="str">
        <f t="shared" si="8"/>
        <v/>
      </c>
      <c r="T39" s="119" t="str">
        <f t="shared" si="9"/>
        <v/>
      </c>
      <c r="U39" s="119" t="str">
        <f t="shared" si="10"/>
        <v/>
      </c>
      <c r="V39" s="119" t="str">
        <f t="shared" si="11"/>
        <v/>
      </c>
      <c r="W39" s="119" t="str">
        <f t="shared" si="12"/>
        <v/>
      </c>
      <c r="X39" s="119" t="str">
        <f t="shared" si="13"/>
        <v/>
      </c>
      <c r="Y39" s="119" t="str">
        <f t="shared" si="14"/>
        <v/>
      </c>
      <c r="Z39" s="119" t="str">
        <f t="shared" si="15"/>
        <v/>
      </c>
      <c r="AA39" s="119" t="str">
        <f t="shared" si="16"/>
        <v/>
      </c>
      <c r="AB39" s="119" t="str">
        <f t="shared" si="17"/>
        <v/>
      </c>
      <c r="AC39" s="119" t="str">
        <f t="shared" si="18"/>
        <v/>
      </c>
      <c r="AD39" s="119" t="str">
        <f t="shared" si="19"/>
        <v/>
      </c>
      <c r="AG39" s="124">
        <v>0.6</v>
      </c>
      <c r="AH39" s="123">
        <v>2</v>
      </c>
      <c r="AI39" s="123">
        <v>1</v>
      </c>
      <c r="AJ39" s="131">
        <v>1</v>
      </c>
      <c r="AK39" s="131">
        <f t="shared" si="20"/>
        <v>0.8</v>
      </c>
      <c r="AL39" s="131">
        <f t="shared" si="21"/>
        <v>0</v>
      </c>
      <c r="AM39" s="131">
        <v>0.5</v>
      </c>
      <c r="AN39" s="131">
        <v>0.4</v>
      </c>
      <c r="AO39" s="131">
        <v>0</v>
      </c>
      <c r="AP39" s="131">
        <v>1</v>
      </c>
      <c r="AQ39" s="123"/>
      <c r="AR39" s="125"/>
    </row>
    <row r="40" spans="9:44" ht="12" customHeight="1">
      <c r="I40" s="143" t="str">
        <f t="shared" si="33"/>
        <v>Industry High temperature process heat  Biogas</v>
      </c>
      <c r="J40" s="152" t="s">
        <v>207</v>
      </c>
      <c r="K40" s="151" t="str">
        <f t="shared" si="34"/>
        <v>IND-PHBIGExt</v>
      </c>
      <c r="L40" s="101" t="str">
        <f t="shared" si="32"/>
        <v/>
      </c>
      <c r="O40" s="122" t="str">
        <f t="shared" si="4"/>
        <v/>
      </c>
      <c r="P40" s="122" t="str">
        <f t="shared" si="22"/>
        <v/>
      </c>
      <c r="Q40" s="114" t="str">
        <f t="shared" si="6"/>
        <v/>
      </c>
      <c r="R40" s="112" t="str">
        <f t="shared" si="23"/>
        <v/>
      </c>
      <c r="S40" s="119" t="str">
        <f t="shared" si="8"/>
        <v/>
      </c>
      <c r="T40" s="119" t="str">
        <f t="shared" si="9"/>
        <v/>
      </c>
      <c r="U40" s="119" t="str">
        <f t="shared" si="10"/>
        <v/>
      </c>
      <c r="V40" s="119" t="str">
        <f t="shared" si="11"/>
        <v/>
      </c>
      <c r="W40" s="119" t="str">
        <f t="shared" si="12"/>
        <v/>
      </c>
      <c r="X40" s="119" t="str">
        <f t="shared" si="13"/>
        <v/>
      </c>
      <c r="Y40" s="119" t="str">
        <f t="shared" si="14"/>
        <v/>
      </c>
      <c r="Z40" s="119" t="str">
        <f t="shared" si="15"/>
        <v/>
      </c>
      <c r="AA40" s="119" t="str">
        <f t="shared" si="16"/>
        <v/>
      </c>
      <c r="AB40" s="119" t="str">
        <f t="shared" si="17"/>
        <v/>
      </c>
      <c r="AC40" s="119" t="str">
        <f t="shared" si="18"/>
        <v/>
      </c>
      <c r="AD40" s="119" t="str">
        <f t="shared" si="19"/>
        <v/>
      </c>
      <c r="AG40" s="124">
        <v>0.6</v>
      </c>
      <c r="AH40" s="123">
        <v>2</v>
      </c>
      <c r="AI40" s="123">
        <v>1</v>
      </c>
      <c r="AJ40" s="131">
        <v>1</v>
      </c>
      <c r="AK40" s="131">
        <f t="shared" si="20"/>
        <v>0.8</v>
      </c>
      <c r="AL40" s="131">
        <f t="shared" si="21"/>
        <v>0</v>
      </c>
      <c r="AM40" s="131">
        <v>0.5</v>
      </c>
      <c r="AN40" s="131">
        <v>0.4</v>
      </c>
      <c r="AO40" s="131">
        <v>0</v>
      </c>
      <c r="AP40" s="131">
        <v>1</v>
      </c>
      <c r="AQ40" s="123"/>
      <c r="AR40" s="125"/>
    </row>
    <row r="41" spans="9:44" ht="12" customHeight="1">
      <c r="I41" s="143" t="str">
        <f t="shared" si="33"/>
        <v>Industry High temperature process heat  Wood</v>
      </c>
      <c r="J41" s="152" t="s">
        <v>207</v>
      </c>
      <c r="K41" s="151" t="str">
        <f t="shared" si="34"/>
        <v>IND-PHWODExt</v>
      </c>
      <c r="L41" s="101" t="str">
        <f t="shared" si="32"/>
        <v/>
      </c>
      <c r="O41" s="122" t="str">
        <f t="shared" si="4"/>
        <v/>
      </c>
      <c r="P41" s="122" t="str">
        <f t="shared" si="22"/>
        <v/>
      </c>
      <c r="Q41" s="114" t="str">
        <f t="shared" si="6"/>
        <v/>
      </c>
      <c r="R41" s="112" t="str">
        <f t="shared" si="23"/>
        <v/>
      </c>
      <c r="S41" s="119" t="str">
        <f t="shared" si="8"/>
        <v/>
      </c>
      <c r="T41" s="119" t="str">
        <f t="shared" si="9"/>
        <v/>
      </c>
      <c r="U41" s="119" t="str">
        <f t="shared" si="10"/>
        <v/>
      </c>
      <c r="V41" s="119" t="str">
        <f t="shared" si="11"/>
        <v/>
      </c>
      <c r="W41" s="119" t="str">
        <f t="shared" si="12"/>
        <v/>
      </c>
      <c r="X41" s="119" t="str">
        <f t="shared" si="13"/>
        <v/>
      </c>
      <c r="Y41" s="119" t="str">
        <f t="shared" si="14"/>
        <v/>
      </c>
      <c r="Z41" s="119" t="str">
        <f t="shared" si="15"/>
        <v/>
      </c>
      <c r="AA41" s="119" t="str">
        <f t="shared" si="16"/>
        <v/>
      </c>
      <c r="AB41" s="119" t="str">
        <f t="shared" si="17"/>
        <v/>
      </c>
      <c r="AC41" s="119" t="str">
        <f t="shared" si="18"/>
        <v/>
      </c>
      <c r="AD41" s="119" t="str">
        <f t="shared" si="19"/>
        <v/>
      </c>
      <c r="AG41" s="124">
        <v>0.6</v>
      </c>
      <c r="AH41" s="123">
        <v>2</v>
      </c>
      <c r="AI41" s="123">
        <v>1</v>
      </c>
      <c r="AJ41" s="131">
        <v>1</v>
      </c>
      <c r="AK41" s="131">
        <f t="shared" si="20"/>
        <v>0.8</v>
      </c>
      <c r="AL41" s="131">
        <f t="shared" si="21"/>
        <v>0</v>
      </c>
      <c r="AM41" s="131">
        <v>0.5</v>
      </c>
      <c r="AN41" s="131">
        <v>0.4</v>
      </c>
      <c r="AO41" s="131">
        <v>0</v>
      </c>
      <c r="AP41" s="131">
        <v>1</v>
      </c>
      <c r="AQ41" s="123"/>
      <c r="AR41" s="125"/>
    </row>
    <row r="42" spans="9:44" ht="12" customHeight="1">
      <c r="I42" s="143" t="str">
        <f t="shared" si="33"/>
        <v>Industry High temperature process heat  Tidal</v>
      </c>
      <c r="J42" s="152" t="s">
        <v>207</v>
      </c>
      <c r="K42" s="151" t="str">
        <f t="shared" si="34"/>
        <v>IND-PHTIDExt</v>
      </c>
      <c r="L42" s="101" t="str">
        <f t="shared" si="32"/>
        <v/>
      </c>
      <c r="O42" s="122" t="str">
        <f t="shared" si="4"/>
        <v/>
      </c>
      <c r="P42" s="122" t="str">
        <f t="shared" si="22"/>
        <v/>
      </c>
      <c r="Q42" s="114" t="str">
        <f t="shared" si="6"/>
        <v/>
      </c>
      <c r="R42" s="112" t="str">
        <f t="shared" si="23"/>
        <v/>
      </c>
      <c r="S42" s="119" t="str">
        <f t="shared" si="8"/>
        <v/>
      </c>
      <c r="T42" s="119" t="str">
        <f t="shared" si="9"/>
        <v/>
      </c>
      <c r="U42" s="119" t="str">
        <f t="shared" si="10"/>
        <v/>
      </c>
      <c r="V42" s="119" t="str">
        <f t="shared" si="11"/>
        <v/>
      </c>
      <c r="W42" s="119" t="str">
        <f t="shared" si="12"/>
        <v/>
      </c>
      <c r="X42" s="119" t="str">
        <f t="shared" si="13"/>
        <v/>
      </c>
      <c r="Y42" s="119" t="str">
        <f t="shared" si="14"/>
        <v/>
      </c>
      <c r="Z42" s="119" t="str">
        <f t="shared" si="15"/>
        <v/>
      </c>
      <c r="AA42" s="119" t="str">
        <f t="shared" si="16"/>
        <v/>
      </c>
      <c r="AB42" s="119" t="str">
        <f t="shared" si="17"/>
        <v/>
      </c>
      <c r="AC42" s="119" t="str">
        <f t="shared" si="18"/>
        <v/>
      </c>
      <c r="AD42" s="119" t="str">
        <f t="shared" si="19"/>
        <v/>
      </c>
      <c r="AG42" s="124">
        <v>0.6</v>
      </c>
      <c r="AH42" s="123">
        <v>2</v>
      </c>
      <c r="AI42" s="123">
        <v>1</v>
      </c>
      <c r="AJ42" s="131">
        <v>1</v>
      </c>
      <c r="AK42" s="131">
        <f t="shared" si="20"/>
        <v>0.8</v>
      </c>
      <c r="AL42" s="131">
        <f t="shared" si="21"/>
        <v>0</v>
      </c>
      <c r="AM42" s="131">
        <v>0.5</v>
      </c>
      <c r="AN42" s="131">
        <v>0.4</v>
      </c>
      <c r="AO42" s="131">
        <v>0</v>
      </c>
      <c r="AP42" s="131">
        <v>1</v>
      </c>
      <c r="AQ42" s="123"/>
      <c r="AR42" s="125"/>
    </row>
    <row r="43" spans="9:44" ht="12" customHeight="1">
      <c r="I43" s="143" t="str">
        <f t="shared" si="33"/>
        <v>Industry High temperature process heat  Electricity</v>
      </c>
      <c r="J43" s="153" t="s">
        <v>206</v>
      </c>
      <c r="K43" s="151" t="str">
        <f t="shared" si="34"/>
        <v>IND-PHELCExt</v>
      </c>
      <c r="L43" s="101" t="str">
        <f t="shared" si="32"/>
        <v>IND-PHELCExt</v>
      </c>
      <c r="O43" s="122" t="str">
        <f t="shared" si="4"/>
        <v>Industry High temperature process heat  Electricity</v>
      </c>
      <c r="P43" s="122" t="str">
        <f t="shared" si="22"/>
        <v>IND-PHELCExt</v>
      </c>
      <c r="Q43" s="114" t="str">
        <f t="shared" si="6"/>
        <v>IND-ELC</v>
      </c>
      <c r="R43" s="112" t="str">
        <f t="shared" si="23"/>
        <v>IND-PH</v>
      </c>
      <c r="S43" s="119">
        <f t="shared" si="8"/>
        <v>0.6</v>
      </c>
      <c r="T43" s="119">
        <f t="shared" si="9"/>
        <v>2</v>
      </c>
      <c r="U43" s="119">
        <f t="shared" si="10"/>
        <v>1</v>
      </c>
      <c r="V43" s="119">
        <f t="shared" si="11"/>
        <v>1</v>
      </c>
      <c r="W43" s="119">
        <f t="shared" si="12"/>
        <v>0.8</v>
      </c>
      <c r="X43" s="119">
        <f t="shared" si="13"/>
        <v>0</v>
      </c>
      <c r="Y43" s="119">
        <f t="shared" si="14"/>
        <v>0.5</v>
      </c>
      <c r="Z43" s="119">
        <f t="shared" si="15"/>
        <v>0.4</v>
      </c>
      <c r="AA43" s="119">
        <f t="shared" si="16"/>
        <v>0</v>
      </c>
      <c r="AB43" s="119">
        <f t="shared" si="17"/>
        <v>1</v>
      </c>
      <c r="AC43" s="119">
        <f t="shared" si="18"/>
        <v>0</v>
      </c>
      <c r="AD43" s="119">
        <f t="shared" si="19"/>
        <v>0</v>
      </c>
      <c r="AG43" s="124">
        <v>0.6</v>
      </c>
      <c r="AH43" s="123">
        <v>2</v>
      </c>
      <c r="AI43" s="123">
        <v>1</v>
      </c>
      <c r="AJ43" s="131">
        <v>1</v>
      </c>
      <c r="AK43" s="131">
        <f t="shared" si="20"/>
        <v>0.8</v>
      </c>
      <c r="AL43" s="131">
        <f t="shared" si="21"/>
        <v>0</v>
      </c>
      <c r="AM43" s="131">
        <v>0.5</v>
      </c>
      <c r="AN43" s="131">
        <v>0.4</v>
      </c>
      <c r="AO43" s="131">
        <v>0</v>
      </c>
      <c r="AP43" s="131">
        <v>1</v>
      </c>
      <c r="AQ43" s="123"/>
      <c r="AR43" s="125"/>
    </row>
    <row r="44" spans="9:44" ht="12" customHeight="1">
      <c r="I44" s="142" t="str">
        <f t="shared" ref="I44:I56" si="35">$C$5&amp;" "&amp;$E$8&amp;" "&amp;RIGHT(G5,LEN(G5)-FIND(" ",G5))</f>
        <v>Industry Lighting  Coal</v>
      </c>
      <c r="J44" s="152" t="s">
        <v>207</v>
      </c>
      <c r="K44" s="150" t="str">
        <f t="shared" ref="K44:K52" si="36">$D$5&amp;$F$8&amp;RIGHT(H5,3)&amp;$B$5</f>
        <v>IND-LTCOAExt</v>
      </c>
      <c r="L44" s="101" t="str">
        <f t="shared" si="32"/>
        <v/>
      </c>
      <c r="O44" s="122" t="str">
        <f t="shared" si="4"/>
        <v/>
      </c>
      <c r="P44" s="122" t="str">
        <f t="shared" si="22"/>
        <v/>
      </c>
      <c r="Q44" s="114" t="str">
        <f t="shared" si="6"/>
        <v/>
      </c>
      <c r="R44" s="112" t="str">
        <f t="shared" si="23"/>
        <v/>
      </c>
      <c r="S44" s="119" t="str">
        <f t="shared" si="8"/>
        <v/>
      </c>
      <c r="T44" s="119" t="str">
        <f t="shared" si="9"/>
        <v/>
      </c>
      <c r="U44" s="119" t="str">
        <f t="shared" si="10"/>
        <v/>
      </c>
      <c r="V44" s="119" t="str">
        <f t="shared" si="11"/>
        <v/>
      </c>
      <c r="W44" s="119" t="str">
        <f t="shared" si="12"/>
        <v/>
      </c>
      <c r="X44" s="119" t="str">
        <f t="shared" si="13"/>
        <v/>
      </c>
      <c r="Y44" s="119" t="str">
        <f t="shared" si="14"/>
        <v/>
      </c>
      <c r="Z44" s="119" t="str">
        <f t="shared" si="15"/>
        <v/>
      </c>
      <c r="AA44" s="119" t="str">
        <f t="shared" si="16"/>
        <v/>
      </c>
      <c r="AB44" s="119" t="str">
        <f t="shared" si="17"/>
        <v/>
      </c>
      <c r="AC44" s="119" t="str">
        <f t="shared" si="18"/>
        <v/>
      </c>
      <c r="AD44" s="119" t="str">
        <f t="shared" si="19"/>
        <v/>
      </c>
      <c r="AG44" s="124">
        <v>0.6</v>
      </c>
      <c r="AH44" s="123">
        <v>2</v>
      </c>
      <c r="AI44" s="123">
        <v>1</v>
      </c>
      <c r="AJ44" s="131">
        <v>1</v>
      </c>
      <c r="AK44" s="131">
        <f t="shared" si="20"/>
        <v>0.8</v>
      </c>
      <c r="AL44" s="131">
        <f t="shared" si="21"/>
        <v>0</v>
      </c>
      <c r="AM44" s="131">
        <v>0.5</v>
      </c>
      <c r="AN44" s="131">
        <v>0.4</v>
      </c>
      <c r="AO44" s="131">
        <v>0</v>
      </c>
      <c r="AP44" s="131">
        <v>1</v>
      </c>
      <c r="AQ44" s="123"/>
      <c r="AR44" s="125"/>
    </row>
    <row r="45" spans="9:44" ht="12" customHeight="1">
      <c r="I45" s="143" t="str">
        <f t="shared" si="35"/>
        <v>Industry Lighting  Lignite</v>
      </c>
      <c r="J45" s="152" t="s">
        <v>207</v>
      </c>
      <c r="K45" s="151" t="str">
        <f t="shared" si="36"/>
        <v>IND-LTCOLExt</v>
      </c>
      <c r="L45" s="101" t="str">
        <f t="shared" ref="L45:L52" si="37">IF(J45="Yes",K45,"")</f>
        <v/>
      </c>
      <c r="O45" s="122" t="str">
        <f t="shared" si="4"/>
        <v/>
      </c>
      <c r="P45" s="122" t="str">
        <f t="shared" si="22"/>
        <v/>
      </c>
      <c r="Q45" s="114" t="str">
        <f t="shared" si="6"/>
        <v/>
      </c>
      <c r="R45" s="112" t="str">
        <f t="shared" si="23"/>
        <v/>
      </c>
      <c r="S45" s="119" t="str">
        <f t="shared" si="8"/>
        <v/>
      </c>
      <c r="T45" s="119" t="str">
        <f t="shared" si="9"/>
        <v/>
      </c>
      <c r="U45" s="119" t="str">
        <f t="shared" si="10"/>
        <v/>
      </c>
      <c r="V45" s="119" t="str">
        <f t="shared" si="11"/>
        <v/>
      </c>
      <c r="W45" s="119" t="str">
        <f t="shared" si="12"/>
        <v/>
      </c>
      <c r="X45" s="119" t="str">
        <f t="shared" si="13"/>
        <v/>
      </c>
      <c r="Y45" s="119" t="str">
        <f t="shared" si="14"/>
        <v/>
      </c>
      <c r="Z45" s="119" t="str">
        <f t="shared" si="15"/>
        <v/>
      </c>
      <c r="AA45" s="119" t="str">
        <f t="shared" si="16"/>
        <v/>
      </c>
      <c r="AB45" s="119" t="str">
        <f t="shared" si="17"/>
        <v/>
      </c>
      <c r="AC45" s="119" t="str">
        <f t="shared" si="18"/>
        <v/>
      </c>
      <c r="AD45" s="119" t="str">
        <f t="shared" si="19"/>
        <v/>
      </c>
      <c r="AG45" s="124">
        <v>0.6</v>
      </c>
      <c r="AH45" s="123">
        <v>2</v>
      </c>
      <c r="AI45" s="123">
        <v>1</v>
      </c>
      <c r="AJ45" s="131">
        <v>1</v>
      </c>
      <c r="AK45" s="131">
        <f t="shared" si="20"/>
        <v>0.8</v>
      </c>
      <c r="AL45" s="131">
        <f t="shared" si="21"/>
        <v>0</v>
      </c>
      <c r="AM45" s="131">
        <v>0.5</v>
      </c>
      <c r="AN45" s="131">
        <v>0.4</v>
      </c>
      <c r="AO45" s="131">
        <v>0</v>
      </c>
      <c r="AP45" s="131">
        <v>1</v>
      </c>
      <c r="AQ45" s="123"/>
      <c r="AR45" s="125"/>
    </row>
    <row r="46" spans="9:44" ht="12" customHeight="1">
      <c r="I46" s="143" t="str">
        <f t="shared" si="35"/>
        <v>Industry Lighting  Crude oil</v>
      </c>
      <c r="J46" s="152" t="s">
        <v>207</v>
      </c>
      <c r="K46" s="151" t="str">
        <f t="shared" si="36"/>
        <v>IND-LTOILExt</v>
      </c>
      <c r="L46" s="101" t="str">
        <f t="shared" si="37"/>
        <v/>
      </c>
      <c r="O46" s="122" t="str">
        <f t="shared" si="4"/>
        <v/>
      </c>
      <c r="P46" s="122" t="str">
        <f t="shared" si="22"/>
        <v/>
      </c>
      <c r="Q46" s="114" t="str">
        <f t="shared" si="6"/>
        <v/>
      </c>
      <c r="R46" s="112" t="str">
        <f t="shared" si="23"/>
        <v/>
      </c>
      <c r="S46" s="119" t="str">
        <f t="shared" si="8"/>
        <v/>
      </c>
      <c r="T46" s="119" t="str">
        <f t="shared" si="9"/>
        <v/>
      </c>
      <c r="U46" s="119" t="str">
        <f t="shared" si="10"/>
        <v/>
      </c>
      <c r="V46" s="119" t="str">
        <f t="shared" si="11"/>
        <v/>
      </c>
      <c r="W46" s="119" t="str">
        <f t="shared" si="12"/>
        <v/>
      </c>
      <c r="X46" s="119" t="str">
        <f t="shared" si="13"/>
        <v/>
      </c>
      <c r="Y46" s="119" t="str">
        <f t="shared" si="14"/>
        <v/>
      </c>
      <c r="Z46" s="119" t="str">
        <f t="shared" si="15"/>
        <v/>
      </c>
      <c r="AA46" s="119" t="str">
        <f t="shared" si="16"/>
        <v/>
      </c>
      <c r="AB46" s="119" t="str">
        <f t="shared" si="17"/>
        <v/>
      </c>
      <c r="AC46" s="119" t="str">
        <f t="shared" si="18"/>
        <v/>
      </c>
      <c r="AD46" s="119" t="str">
        <f t="shared" si="19"/>
        <v/>
      </c>
      <c r="AG46" s="124">
        <v>0.6</v>
      </c>
      <c r="AH46" s="123">
        <v>2</v>
      </c>
      <c r="AI46" s="123">
        <v>1</v>
      </c>
      <c r="AJ46" s="131">
        <v>1</v>
      </c>
      <c r="AK46" s="131">
        <f t="shared" si="20"/>
        <v>0.8</v>
      </c>
      <c r="AL46" s="131">
        <f t="shared" si="21"/>
        <v>0</v>
      </c>
      <c r="AM46" s="131">
        <v>0.5</v>
      </c>
      <c r="AN46" s="131">
        <v>0.4</v>
      </c>
      <c r="AO46" s="131">
        <v>0</v>
      </c>
      <c r="AP46" s="131">
        <v>1</v>
      </c>
      <c r="AQ46" s="123"/>
      <c r="AR46" s="125"/>
    </row>
    <row r="47" spans="9:44" ht="12" customHeight="1">
      <c r="I47" s="143" t="str">
        <f t="shared" si="35"/>
        <v>Industry Lighting  Natural Gas</v>
      </c>
      <c r="J47" s="152" t="s">
        <v>207</v>
      </c>
      <c r="K47" s="151" t="str">
        <f t="shared" si="36"/>
        <v>IND-LTNGAExt</v>
      </c>
      <c r="L47" s="101" t="str">
        <f t="shared" si="37"/>
        <v/>
      </c>
      <c r="O47" s="122" t="str">
        <f t="shared" si="4"/>
        <v/>
      </c>
      <c r="P47" s="122" t="str">
        <f t="shared" si="22"/>
        <v/>
      </c>
      <c r="Q47" s="114" t="str">
        <f t="shared" si="6"/>
        <v/>
      </c>
      <c r="R47" s="112" t="str">
        <f t="shared" si="23"/>
        <v/>
      </c>
      <c r="S47" s="119" t="str">
        <f t="shared" si="8"/>
        <v/>
      </c>
      <c r="T47" s="119" t="str">
        <f t="shared" si="9"/>
        <v/>
      </c>
      <c r="U47" s="119" t="str">
        <f t="shared" si="10"/>
        <v/>
      </c>
      <c r="V47" s="119" t="str">
        <f t="shared" si="11"/>
        <v/>
      </c>
      <c r="W47" s="119" t="str">
        <f t="shared" si="12"/>
        <v/>
      </c>
      <c r="X47" s="119" t="str">
        <f t="shared" si="13"/>
        <v/>
      </c>
      <c r="Y47" s="119" t="str">
        <f t="shared" si="14"/>
        <v/>
      </c>
      <c r="Z47" s="119" t="str">
        <f t="shared" si="15"/>
        <v/>
      </c>
      <c r="AA47" s="119" t="str">
        <f t="shared" si="16"/>
        <v/>
      </c>
      <c r="AB47" s="119" t="str">
        <f t="shared" si="17"/>
        <v/>
      </c>
      <c r="AC47" s="119" t="str">
        <f t="shared" si="18"/>
        <v/>
      </c>
      <c r="AD47" s="119" t="str">
        <f t="shared" si="19"/>
        <v/>
      </c>
      <c r="AG47" s="124">
        <v>0.6</v>
      </c>
      <c r="AH47" s="123">
        <v>2</v>
      </c>
      <c r="AI47" s="123">
        <v>1</v>
      </c>
      <c r="AJ47" s="131">
        <v>1</v>
      </c>
      <c r="AK47" s="131">
        <f t="shared" si="20"/>
        <v>0.8</v>
      </c>
      <c r="AL47" s="131">
        <f t="shared" si="21"/>
        <v>0</v>
      </c>
      <c r="AM47" s="131">
        <v>0.5</v>
      </c>
      <c r="AN47" s="131">
        <v>0.4</v>
      </c>
      <c r="AO47" s="131">
        <v>0</v>
      </c>
      <c r="AP47" s="131">
        <v>1</v>
      </c>
      <c r="AQ47" s="123"/>
      <c r="AR47" s="125"/>
    </row>
    <row r="48" spans="9:44" ht="12" customHeight="1">
      <c r="I48" s="143" t="str">
        <f t="shared" si="35"/>
        <v>Industry Lighting  Hydro</v>
      </c>
      <c r="J48" s="152" t="s">
        <v>207</v>
      </c>
      <c r="K48" s="151" t="str">
        <f t="shared" si="36"/>
        <v>IND-LTHYDExt</v>
      </c>
      <c r="L48" s="101" t="str">
        <f t="shared" si="37"/>
        <v/>
      </c>
      <c r="O48" s="122" t="str">
        <f t="shared" si="4"/>
        <v/>
      </c>
      <c r="P48" s="122" t="str">
        <f t="shared" si="22"/>
        <v/>
      </c>
      <c r="Q48" s="114" t="str">
        <f t="shared" si="6"/>
        <v/>
      </c>
      <c r="R48" s="112" t="str">
        <f t="shared" si="23"/>
        <v/>
      </c>
      <c r="S48" s="119" t="str">
        <f t="shared" si="8"/>
        <v/>
      </c>
      <c r="T48" s="119" t="str">
        <f t="shared" si="9"/>
        <v/>
      </c>
      <c r="U48" s="119" t="str">
        <f t="shared" si="10"/>
        <v/>
      </c>
      <c r="V48" s="119" t="str">
        <f t="shared" si="11"/>
        <v/>
      </c>
      <c r="W48" s="119" t="str">
        <f t="shared" si="12"/>
        <v/>
      </c>
      <c r="X48" s="119" t="str">
        <f t="shared" si="13"/>
        <v/>
      </c>
      <c r="Y48" s="119" t="str">
        <f t="shared" si="14"/>
        <v/>
      </c>
      <c r="Z48" s="119" t="str">
        <f t="shared" si="15"/>
        <v/>
      </c>
      <c r="AA48" s="119" t="str">
        <f t="shared" si="16"/>
        <v/>
      </c>
      <c r="AB48" s="119" t="str">
        <f t="shared" si="17"/>
        <v/>
      </c>
      <c r="AC48" s="119" t="str">
        <f t="shared" si="18"/>
        <v/>
      </c>
      <c r="AD48" s="119" t="str">
        <f t="shared" si="19"/>
        <v/>
      </c>
      <c r="AG48" s="124">
        <v>0.6</v>
      </c>
      <c r="AH48" s="123">
        <v>2</v>
      </c>
      <c r="AI48" s="123">
        <v>1</v>
      </c>
      <c r="AJ48" s="131">
        <v>1</v>
      </c>
      <c r="AK48" s="131">
        <f t="shared" si="20"/>
        <v>0.8</v>
      </c>
      <c r="AL48" s="131">
        <f t="shared" si="21"/>
        <v>0</v>
      </c>
      <c r="AM48" s="131">
        <v>0.5</v>
      </c>
      <c r="AN48" s="131">
        <v>0.4</v>
      </c>
      <c r="AO48" s="131">
        <v>0</v>
      </c>
      <c r="AP48" s="131">
        <v>1</v>
      </c>
      <c r="AQ48" s="123"/>
      <c r="AR48" s="125"/>
    </row>
    <row r="49" spans="9:44" ht="12" customHeight="1">
      <c r="I49" s="143" t="str">
        <f t="shared" si="35"/>
        <v>Industry Lighting  Geothermal</v>
      </c>
      <c r="J49" s="152" t="s">
        <v>207</v>
      </c>
      <c r="K49" s="151" t="str">
        <f t="shared" si="36"/>
        <v>IND-LTGEOExt</v>
      </c>
      <c r="L49" s="101" t="str">
        <f t="shared" si="37"/>
        <v/>
      </c>
      <c r="O49" s="122" t="str">
        <f t="shared" si="4"/>
        <v/>
      </c>
      <c r="P49" s="122" t="str">
        <f t="shared" si="22"/>
        <v/>
      </c>
      <c r="Q49" s="114" t="str">
        <f t="shared" si="6"/>
        <v/>
      </c>
      <c r="R49" s="112" t="str">
        <f t="shared" si="23"/>
        <v/>
      </c>
      <c r="S49" s="119" t="str">
        <f t="shared" si="8"/>
        <v/>
      </c>
      <c r="T49" s="119" t="str">
        <f t="shared" si="9"/>
        <v/>
      </c>
      <c r="U49" s="119" t="str">
        <f t="shared" si="10"/>
        <v/>
      </c>
      <c r="V49" s="119" t="str">
        <f t="shared" si="11"/>
        <v/>
      </c>
      <c r="W49" s="119" t="str">
        <f t="shared" si="12"/>
        <v/>
      </c>
      <c r="X49" s="119" t="str">
        <f t="shared" si="13"/>
        <v/>
      </c>
      <c r="Y49" s="119" t="str">
        <f t="shared" si="14"/>
        <v/>
      </c>
      <c r="Z49" s="119" t="str">
        <f t="shared" si="15"/>
        <v/>
      </c>
      <c r="AA49" s="119" t="str">
        <f t="shared" si="16"/>
        <v/>
      </c>
      <c r="AB49" s="119" t="str">
        <f t="shared" si="17"/>
        <v/>
      </c>
      <c r="AC49" s="119" t="str">
        <f t="shared" si="18"/>
        <v/>
      </c>
      <c r="AD49" s="119" t="str">
        <f t="shared" si="19"/>
        <v/>
      </c>
      <c r="AG49" s="124">
        <v>0.6</v>
      </c>
      <c r="AH49" s="123">
        <v>2</v>
      </c>
      <c r="AI49" s="123">
        <v>1</v>
      </c>
      <c r="AJ49" s="131">
        <v>1</v>
      </c>
      <c r="AK49" s="131">
        <f t="shared" si="20"/>
        <v>0.8</v>
      </c>
      <c r="AL49" s="131">
        <f t="shared" si="21"/>
        <v>0</v>
      </c>
      <c r="AM49" s="131">
        <v>0.5</v>
      </c>
      <c r="AN49" s="131">
        <v>0.4</v>
      </c>
      <c r="AO49" s="131">
        <v>0</v>
      </c>
      <c r="AP49" s="131">
        <v>1</v>
      </c>
      <c r="AQ49" s="123"/>
      <c r="AR49" s="125"/>
    </row>
    <row r="50" spans="9:44" ht="12" customHeight="1">
      <c r="I50" s="143" t="str">
        <f t="shared" si="35"/>
        <v>Industry Lighting  Solar</v>
      </c>
      <c r="J50" s="152" t="s">
        <v>207</v>
      </c>
      <c r="K50" s="151" t="str">
        <f t="shared" si="36"/>
        <v>IND-LTSOLExt</v>
      </c>
      <c r="L50" s="101" t="str">
        <f t="shared" si="37"/>
        <v/>
      </c>
      <c r="O50" s="122" t="str">
        <f t="shared" si="4"/>
        <v/>
      </c>
      <c r="P50" s="122" t="str">
        <f t="shared" si="22"/>
        <v/>
      </c>
      <c r="Q50" s="114" t="str">
        <f t="shared" si="6"/>
        <v/>
      </c>
      <c r="R50" s="112" t="str">
        <f t="shared" si="23"/>
        <v/>
      </c>
      <c r="S50" s="119" t="str">
        <f t="shared" si="8"/>
        <v/>
      </c>
      <c r="T50" s="119" t="str">
        <f t="shared" si="9"/>
        <v/>
      </c>
      <c r="U50" s="119" t="str">
        <f t="shared" si="10"/>
        <v/>
      </c>
      <c r="V50" s="119" t="str">
        <f t="shared" si="11"/>
        <v/>
      </c>
      <c r="W50" s="119" t="str">
        <f t="shared" si="12"/>
        <v/>
      </c>
      <c r="X50" s="119" t="str">
        <f t="shared" si="13"/>
        <v/>
      </c>
      <c r="Y50" s="119" t="str">
        <f t="shared" si="14"/>
        <v/>
      </c>
      <c r="Z50" s="119" t="str">
        <f t="shared" si="15"/>
        <v/>
      </c>
      <c r="AA50" s="119" t="str">
        <f t="shared" si="16"/>
        <v/>
      </c>
      <c r="AB50" s="119" t="str">
        <f t="shared" si="17"/>
        <v/>
      </c>
      <c r="AC50" s="119" t="str">
        <f t="shared" si="18"/>
        <v/>
      </c>
      <c r="AD50" s="119" t="str">
        <f t="shared" si="19"/>
        <v/>
      </c>
      <c r="AG50" s="124">
        <v>0.6</v>
      </c>
      <c r="AH50" s="123">
        <v>2</v>
      </c>
      <c r="AI50" s="123">
        <v>1</v>
      </c>
      <c r="AJ50" s="131">
        <v>1</v>
      </c>
      <c r="AK50" s="131">
        <f t="shared" si="20"/>
        <v>0.8</v>
      </c>
      <c r="AL50" s="131">
        <f t="shared" si="21"/>
        <v>0</v>
      </c>
      <c r="AM50" s="131">
        <v>0.5</v>
      </c>
      <c r="AN50" s="131">
        <v>0.4</v>
      </c>
      <c r="AO50" s="131">
        <v>0</v>
      </c>
      <c r="AP50" s="131">
        <v>1</v>
      </c>
      <c r="AQ50" s="123"/>
      <c r="AR50" s="125"/>
    </row>
    <row r="51" spans="9:44" ht="12" customHeight="1">
      <c r="I51" s="143" t="str">
        <f t="shared" si="35"/>
        <v>Industry Lighting  Wind</v>
      </c>
      <c r="J51" s="152" t="s">
        <v>207</v>
      </c>
      <c r="K51" s="151" t="str">
        <f t="shared" si="36"/>
        <v>IND-LTWINExt</v>
      </c>
      <c r="L51" s="101" t="str">
        <f t="shared" si="37"/>
        <v/>
      </c>
      <c r="O51" s="122" t="str">
        <f t="shared" si="4"/>
        <v/>
      </c>
      <c r="P51" s="122" t="str">
        <f t="shared" si="22"/>
        <v/>
      </c>
      <c r="Q51" s="114" t="str">
        <f t="shared" si="6"/>
        <v/>
      </c>
      <c r="R51" s="112" t="str">
        <f t="shared" si="23"/>
        <v/>
      </c>
      <c r="S51" s="119" t="str">
        <f t="shared" si="8"/>
        <v/>
      </c>
      <c r="T51" s="119" t="str">
        <f t="shared" si="9"/>
        <v/>
      </c>
      <c r="U51" s="119" t="str">
        <f t="shared" si="10"/>
        <v/>
      </c>
      <c r="V51" s="119" t="str">
        <f t="shared" si="11"/>
        <v/>
      </c>
      <c r="W51" s="119" t="str">
        <f t="shared" si="12"/>
        <v/>
      </c>
      <c r="X51" s="119" t="str">
        <f t="shared" si="13"/>
        <v/>
      </c>
      <c r="Y51" s="119" t="str">
        <f t="shared" si="14"/>
        <v/>
      </c>
      <c r="Z51" s="119" t="str">
        <f t="shared" si="15"/>
        <v/>
      </c>
      <c r="AA51" s="119" t="str">
        <f t="shared" si="16"/>
        <v/>
      </c>
      <c r="AB51" s="119" t="str">
        <f t="shared" si="17"/>
        <v/>
      </c>
      <c r="AC51" s="119" t="str">
        <f t="shared" si="18"/>
        <v/>
      </c>
      <c r="AD51" s="119" t="str">
        <f t="shared" si="19"/>
        <v/>
      </c>
      <c r="AG51" s="124">
        <v>0.6</v>
      </c>
      <c r="AH51" s="123">
        <v>2</v>
      </c>
      <c r="AI51" s="123">
        <v>1</v>
      </c>
      <c r="AJ51" s="131">
        <v>1</v>
      </c>
      <c r="AK51" s="131">
        <f t="shared" si="20"/>
        <v>0.8</v>
      </c>
      <c r="AL51" s="131">
        <f t="shared" si="21"/>
        <v>0</v>
      </c>
      <c r="AM51" s="131">
        <v>0.5</v>
      </c>
      <c r="AN51" s="131">
        <v>0.4</v>
      </c>
      <c r="AO51" s="131">
        <v>0</v>
      </c>
      <c r="AP51" s="131">
        <v>1</v>
      </c>
      <c r="AQ51" s="123"/>
      <c r="AR51" s="125"/>
    </row>
    <row r="52" spans="9:44" ht="12" customHeight="1">
      <c r="I52" s="143" t="str">
        <f t="shared" si="35"/>
        <v>Industry Lighting  Bio Liquids</v>
      </c>
      <c r="J52" s="152" t="s">
        <v>207</v>
      </c>
      <c r="K52" s="151" t="str">
        <f t="shared" si="36"/>
        <v>IND-LTBILExt</v>
      </c>
      <c r="L52" s="101" t="str">
        <f t="shared" si="37"/>
        <v/>
      </c>
      <c r="O52" s="122" t="str">
        <f t="shared" si="4"/>
        <v/>
      </c>
      <c r="P52" s="122" t="str">
        <f t="shared" si="22"/>
        <v/>
      </c>
      <c r="Q52" s="114" t="str">
        <f t="shared" si="6"/>
        <v/>
      </c>
      <c r="R52" s="112" t="str">
        <f t="shared" si="23"/>
        <v/>
      </c>
      <c r="S52" s="119" t="str">
        <f t="shared" si="8"/>
        <v/>
      </c>
      <c r="T52" s="119" t="str">
        <f t="shared" si="9"/>
        <v/>
      </c>
      <c r="U52" s="119" t="str">
        <f t="shared" si="10"/>
        <v/>
      </c>
      <c r="V52" s="119" t="str">
        <f t="shared" si="11"/>
        <v/>
      </c>
      <c r="W52" s="119" t="str">
        <f t="shared" si="12"/>
        <v/>
      </c>
      <c r="X52" s="119" t="str">
        <f t="shared" si="13"/>
        <v/>
      </c>
      <c r="Y52" s="119" t="str">
        <f t="shared" si="14"/>
        <v/>
      </c>
      <c r="Z52" s="119" t="str">
        <f t="shared" si="15"/>
        <v/>
      </c>
      <c r="AA52" s="119" t="str">
        <f t="shared" si="16"/>
        <v/>
      </c>
      <c r="AB52" s="119" t="str">
        <f t="shared" si="17"/>
        <v/>
      </c>
      <c r="AC52" s="119" t="str">
        <f t="shared" si="18"/>
        <v/>
      </c>
      <c r="AD52" s="119" t="str">
        <f t="shared" si="19"/>
        <v/>
      </c>
      <c r="AG52" s="124">
        <v>0.6</v>
      </c>
      <c r="AH52" s="123">
        <v>2</v>
      </c>
      <c r="AI52" s="123">
        <v>1</v>
      </c>
      <c r="AJ52" s="131">
        <v>1</v>
      </c>
      <c r="AK52" s="131">
        <f t="shared" si="20"/>
        <v>0.8</v>
      </c>
      <c r="AL52" s="131">
        <f t="shared" si="21"/>
        <v>0</v>
      </c>
      <c r="AM52" s="131">
        <v>0.5</v>
      </c>
      <c r="AN52" s="131">
        <v>0.4</v>
      </c>
      <c r="AO52" s="131">
        <v>0</v>
      </c>
      <c r="AP52" s="131">
        <v>1</v>
      </c>
      <c r="AQ52" s="123"/>
      <c r="AR52" s="125"/>
    </row>
    <row r="53" spans="9:44" ht="12" customHeight="1">
      <c r="I53" s="143" t="str">
        <f t="shared" si="35"/>
        <v>Industry Lighting  Biogas</v>
      </c>
      <c r="J53" s="152" t="s">
        <v>207</v>
      </c>
      <c r="K53" s="151" t="str">
        <f t="shared" ref="K53:K56" si="38">$D$5&amp;$F$8&amp;RIGHT(H14,3)&amp;$B$5</f>
        <v>IND-LTBIGExt</v>
      </c>
      <c r="L53" s="101" t="str">
        <f t="shared" ref="L53:L57" si="39">IF(J53="Yes",K53,"")</f>
        <v/>
      </c>
      <c r="O53" s="122" t="str">
        <f t="shared" si="4"/>
        <v/>
      </c>
      <c r="P53" s="122" t="str">
        <f t="shared" si="22"/>
        <v/>
      </c>
      <c r="Q53" s="114" t="str">
        <f t="shared" si="6"/>
        <v/>
      </c>
      <c r="R53" s="112" t="str">
        <f t="shared" si="23"/>
        <v/>
      </c>
      <c r="S53" s="119" t="str">
        <f t="shared" si="8"/>
        <v/>
      </c>
      <c r="T53" s="119" t="str">
        <f t="shared" si="9"/>
        <v/>
      </c>
      <c r="U53" s="119" t="str">
        <f t="shared" si="10"/>
        <v/>
      </c>
      <c r="V53" s="119" t="str">
        <f t="shared" si="11"/>
        <v/>
      </c>
      <c r="W53" s="119" t="str">
        <f t="shared" si="12"/>
        <v/>
      </c>
      <c r="X53" s="119" t="str">
        <f t="shared" si="13"/>
        <v/>
      </c>
      <c r="Y53" s="119" t="str">
        <f t="shared" si="14"/>
        <v/>
      </c>
      <c r="Z53" s="119" t="str">
        <f t="shared" si="15"/>
        <v/>
      </c>
      <c r="AA53" s="119" t="str">
        <f t="shared" si="16"/>
        <v/>
      </c>
      <c r="AB53" s="119" t="str">
        <f t="shared" si="17"/>
        <v/>
      </c>
      <c r="AC53" s="119" t="str">
        <f t="shared" si="18"/>
        <v/>
      </c>
      <c r="AD53" s="119" t="str">
        <f t="shared" si="19"/>
        <v/>
      </c>
      <c r="AG53" s="124">
        <v>0.6</v>
      </c>
      <c r="AH53" s="123">
        <v>2</v>
      </c>
      <c r="AI53" s="123">
        <v>1</v>
      </c>
      <c r="AJ53" s="131">
        <v>1</v>
      </c>
      <c r="AK53" s="131">
        <f t="shared" si="20"/>
        <v>0.8</v>
      </c>
      <c r="AL53" s="131">
        <f t="shared" si="21"/>
        <v>0</v>
      </c>
      <c r="AM53" s="131">
        <v>0.5</v>
      </c>
      <c r="AN53" s="131">
        <v>0.4</v>
      </c>
      <c r="AO53" s="131">
        <v>0</v>
      </c>
      <c r="AP53" s="131">
        <v>1</v>
      </c>
      <c r="AQ53" s="123"/>
      <c r="AR53" s="125"/>
    </row>
    <row r="54" spans="9:44" ht="12" customHeight="1">
      <c r="I54" s="143" t="str">
        <f t="shared" si="35"/>
        <v>Industry Lighting  Wood</v>
      </c>
      <c r="J54" s="152" t="s">
        <v>207</v>
      </c>
      <c r="K54" s="151" t="str">
        <f t="shared" si="38"/>
        <v>IND-LTWODExt</v>
      </c>
      <c r="L54" s="101" t="str">
        <f t="shared" si="39"/>
        <v/>
      </c>
      <c r="O54" s="122" t="str">
        <f t="shared" si="4"/>
        <v/>
      </c>
      <c r="P54" s="122" t="str">
        <f t="shared" si="22"/>
        <v/>
      </c>
      <c r="Q54" s="114" t="str">
        <f t="shared" si="6"/>
        <v/>
      </c>
      <c r="R54" s="112" t="str">
        <f t="shared" si="23"/>
        <v/>
      </c>
      <c r="S54" s="119" t="str">
        <f t="shared" si="8"/>
        <v/>
      </c>
      <c r="T54" s="119" t="str">
        <f t="shared" si="9"/>
        <v/>
      </c>
      <c r="U54" s="119" t="str">
        <f t="shared" si="10"/>
        <v/>
      </c>
      <c r="V54" s="119" t="str">
        <f t="shared" si="11"/>
        <v/>
      </c>
      <c r="W54" s="119" t="str">
        <f t="shared" si="12"/>
        <v/>
      </c>
      <c r="X54" s="119" t="str">
        <f t="shared" si="13"/>
        <v/>
      </c>
      <c r="Y54" s="119" t="str">
        <f t="shared" si="14"/>
        <v/>
      </c>
      <c r="Z54" s="119" t="str">
        <f t="shared" si="15"/>
        <v/>
      </c>
      <c r="AA54" s="119" t="str">
        <f t="shared" si="16"/>
        <v/>
      </c>
      <c r="AB54" s="119" t="str">
        <f t="shared" si="17"/>
        <v/>
      </c>
      <c r="AC54" s="119" t="str">
        <f t="shared" si="18"/>
        <v/>
      </c>
      <c r="AD54" s="119" t="str">
        <f t="shared" si="19"/>
        <v/>
      </c>
      <c r="AG54" s="124">
        <v>0.6</v>
      </c>
      <c r="AH54" s="123">
        <v>2</v>
      </c>
      <c r="AI54" s="123">
        <v>1</v>
      </c>
      <c r="AJ54" s="131">
        <v>1</v>
      </c>
      <c r="AK54" s="131">
        <f t="shared" si="20"/>
        <v>0.8</v>
      </c>
      <c r="AL54" s="131">
        <f t="shared" si="21"/>
        <v>0</v>
      </c>
      <c r="AM54" s="131">
        <v>0.5</v>
      </c>
      <c r="AN54" s="131">
        <v>0.4</v>
      </c>
      <c r="AO54" s="131">
        <v>0</v>
      </c>
      <c r="AP54" s="131">
        <v>1</v>
      </c>
      <c r="AQ54" s="123"/>
      <c r="AR54" s="125"/>
    </row>
    <row r="55" spans="9:44" ht="12" customHeight="1">
      <c r="I55" s="143" t="str">
        <f t="shared" si="35"/>
        <v>Industry Lighting  Tidal</v>
      </c>
      <c r="J55" s="152" t="s">
        <v>207</v>
      </c>
      <c r="K55" s="151" t="str">
        <f t="shared" si="38"/>
        <v>IND-LTTIDExt</v>
      </c>
      <c r="L55" s="101" t="str">
        <f t="shared" si="39"/>
        <v/>
      </c>
      <c r="O55" s="122" t="str">
        <f t="shared" si="4"/>
        <v/>
      </c>
      <c r="P55" s="122" t="str">
        <f t="shared" si="22"/>
        <v/>
      </c>
      <c r="Q55" s="114" t="str">
        <f t="shared" si="6"/>
        <v/>
      </c>
      <c r="R55" s="112" t="str">
        <f t="shared" si="23"/>
        <v/>
      </c>
      <c r="S55" s="119" t="str">
        <f t="shared" si="8"/>
        <v/>
      </c>
      <c r="T55" s="119" t="str">
        <f t="shared" si="9"/>
        <v/>
      </c>
      <c r="U55" s="119" t="str">
        <f t="shared" si="10"/>
        <v/>
      </c>
      <c r="V55" s="119" t="str">
        <f t="shared" si="11"/>
        <v/>
      </c>
      <c r="W55" s="119" t="str">
        <f t="shared" si="12"/>
        <v/>
      </c>
      <c r="X55" s="119" t="str">
        <f t="shared" si="13"/>
        <v/>
      </c>
      <c r="Y55" s="119" t="str">
        <f t="shared" si="14"/>
        <v/>
      </c>
      <c r="Z55" s="119" t="str">
        <f t="shared" si="15"/>
        <v/>
      </c>
      <c r="AA55" s="119" t="str">
        <f t="shared" si="16"/>
        <v/>
      </c>
      <c r="AB55" s="119" t="str">
        <f t="shared" si="17"/>
        <v/>
      </c>
      <c r="AC55" s="119" t="str">
        <f t="shared" si="18"/>
        <v/>
      </c>
      <c r="AD55" s="119" t="str">
        <f t="shared" si="19"/>
        <v/>
      </c>
      <c r="AG55" s="124">
        <v>0.6</v>
      </c>
      <c r="AH55" s="123">
        <v>2</v>
      </c>
      <c r="AI55" s="123">
        <v>1</v>
      </c>
      <c r="AJ55" s="131">
        <v>1</v>
      </c>
      <c r="AK55" s="131">
        <f t="shared" si="20"/>
        <v>0.8</v>
      </c>
      <c r="AL55" s="131">
        <f t="shared" si="21"/>
        <v>0</v>
      </c>
      <c r="AM55" s="131">
        <v>0.5</v>
      </c>
      <c r="AN55" s="131">
        <v>0.4</v>
      </c>
      <c r="AO55" s="131">
        <v>0</v>
      </c>
      <c r="AP55" s="131">
        <v>1</v>
      </c>
      <c r="AQ55" s="123"/>
      <c r="AR55" s="125"/>
    </row>
    <row r="56" spans="9:44" ht="12" customHeight="1">
      <c r="I56" s="143" t="str">
        <f t="shared" si="35"/>
        <v>Industry Lighting  Electricity</v>
      </c>
      <c r="J56" s="152" t="s">
        <v>206</v>
      </c>
      <c r="K56" s="151" t="str">
        <f t="shared" si="38"/>
        <v>IND-LTELCExt</v>
      </c>
      <c r="L56" s="101" t="str">
        <f t="shared" si="39"/>
        <v>IND-LTELCExt</v>
      </c>
      <c r="O56" s="122" t="str">
        <f t="shared" si="4"/>
        <v>Industry Lighting  Electricity</v>
      </c>
      <c r="P56" s="122" t="str">
        <f t="shared" si="22"/>
        <v>IND-LTELCExt</v>
      </c>
      <c r="Q56" s="114" t="str">
        <f t="shared" si="6"/>
        <v>IND-ELC</v>
      </c>
      <c r="R56" s="112" t="str">
        <f t="shared" si="23"/>
        <v>IND-LT</v>
      </c>
      <c r="S56" s="119">
        <f t="shared" si="8"/>
        <v>0.6</v>
      </c>
      <c r="T56" s="119">
        <f t="shared" si="9"/>
        <v>2</v>
      </c>
      <c r="U56" s="119">
        <f t="shared" si="10"/>
        <v>1</v>
      </c>
      <c r="V56" s="119">
        <f t="shared" si="11"/>
        <v>1</v>
      </c>
      <c r="W56" s="119">
        <f t="shared" si="12"/>
        <v>0.8</v>
      </c>
      <c r="X56" s="119">
        <f t="shared" si="13"/>
        <v>0</v>
      </c>
      <c r="Y56" s="119">
        <f t="shared" si="14"/>
        <v>0.5</v>
      </c>
      <c r="Z56" s="119">
        <f t="shared" si="15"/>
        <v>0.4</v>
      </c>
      <c r="AA56" s="119">
        <f t="shared" si="16"/>
        <v>0</v>
      </c>
      <c r="AB56" s="119">
        <f t="shared" si="17"/>
        <v>1</v>
      </c>
      <c r="AC56" s="119">
        <f t="shared" si="18"/>
        <v>0</v>
      </c>
      <c r="AD56" s="119">
        <f t="shared" si="19"/>
        <v>0</v>
      </c>
      <c r="AG56" s="124">
        <v>0.6</v>
      </c>
      <c r="AH56" s="123">
        <v>2</v>
      </c>
      <c r="AI56" s="123">
        <v>1</v>
      </c>
      <c r="AJ56" s="131">
        <v>1</v>
      </c>
      <c r="AK56" s="131">
        <f t="shared" si="20"/>
        <v>0.8</v>
      </c>
      <c r="AL56" s="131">
        <f t="shared" si="21"/>
        <v>0</v>
      </c>
      <c r="AM56" s="131">
        <v>0.5</v>
      </c>
      <c r="AN56" s="131">
        <v>0.4</v>
      </c>
      <c r="AO56" s="131">
        <v>0</v>
      </c>
      <c r="AP56" s="131">
        <v>1</v>
      </c>
      <c r="AQ56" s="123"/>
      <c r="AR56" s="125"/>
    </row>
    <row r="57" spans="9:44" ht="12" customHeight="1">
      <c r="I57" s="142" t="str">
        <f t="shared" ref="I57:I65" si="40">$C$5&amp;" "&amp;$E$9&amp;" "&amp;RIGHT(G5,LEN(G5)-FIND(" ",G5))</f>
        <v>Industry Air conditioning Coal</v>
      </c>
      <c r="J57" s="147" t="s">
        <v>207</v>
      </c>
      <c r="K57" s="150" t="str">
        <f t="shared" ref="K57:K66" si="41">$D$5&amp;$F$9&amp;RIGHT(H5,3)&amp;$B$5</f>
        <v>IND-ACCOAExt</v>
      </c>
      <c r="L57" s="101" t="str">
        <f t="shared" si="39"/>
        <v/>
      </c>
      <c r="O57" s="122" t="str">
        <f t="shared" si="4"/>
        <v/>
      </c>
      <c r="P57" s="122" t="str">
        <f t="shared" si="22"/>
        <v/>
      </c>
      <c r="Q57" s="114" t="str">
        <f t="shared" si="6"/>
        <v/>
      </c>
      <c r="R57" s="112" t="str">
        <f t="shared" si="23"/>
        <v/>
      </c>
      <c r="S57" s="119" t="str">
        <f t="shared" si="8"/>
        <v/>
      </c>
      <c r="T57" s="119" t="str">
        <f t="shared" si="9"/>
        <v/>
      </c>
      <c r="U57" s="119" t="str">
        <f t="shared" si="10"/>
        <v/>
      </c>
      <c r="V57" s="119" t="str">
        <f t="shared" si="11"/>
        <v/>
      </c>
      <c r="W57" s="119" t="str">
        <f t="shared" si="12"/>
        <v/>
      </c>
      <c r="X57" s="119" t="str">
        <f t="shared" si="13"/>
        <v/>
      </c>
      <c r="Y57" s="119" t="str">
        <f t="shared" si="14"/>
        <v/>
      </c>
      <c r="Z57" s="119" t="str">
        <f t="shared" si="15"/>
        <v/>
      </c>
      <c r="AA57" s="119" t="str">
        <f t="shared" si="16"/>
        <v/>
      </c>
      <c r="AB57" s="119" t="str">
        <f t="shared" si="17"/>
        <v/>
      </c>
      <c r="AC57" s="119" t="str">
        <f t="shared" si="18"/>
        <v/>
      </c>
      <c r="AD57" s="119" t="str">
        <f t="shared" si="19"/>
        <v/>
      </c>
      <c r="AG57" s="124">
        <v>0.6</v>
      </c>
      <c r="AH57" s="123">
        <v>2</v>
      </c>
      <c r="AI57" s="123">
        <v>1</v>
      </c>
      <c r="AJ57" s="131">
        <v>1</v>
      </c>
      <c r="AK57" s="131">
        <f t="shared" si="20"/>
        <v>0.8</v>
      </c>
      <c r="AL57" s="131">
        <f t="shared" si="21"/>
        <v>0</v>
      </c>
      <c r="AM57" s="131">
        <v>0.5</v>
      </c>
      <c r="AN57" s="131">
        <v>0.4</v>
      </c>
      <c r="AO57" s="131">
        <v>0</v>
      </c>
      <c r="AP57" s="131">
        <v>1</v>
      </c>
      <c r="AQ57" s="123"/>
      <c r="AR57" s="125"/>
    </row>
    <row r="58" spans="9:44" ht="12" customHeight="1">
      <c r="I58" s="143" t="str">
        <f t="shared" si="40"/>
        <v>Industry Air conditioning Lignite</v>
      </c>
      <c r="J58" s="148" t="s">
        <v>207</v>
      </c>
      <c r="K58" s="151" t="str">
        <f t="shared" si="41"/>
        <v>IND-ACCOLExt</v>
      </c>
      <c r="L58" s="101" t="str">
        <f t="shared" ref="L58:L66" si="42">IF(J58="Yes",K58,"")</f>
        <v/>
      </c>
      <c r="O58" s="122" t="str">
        <f t="shared" si="4"/>
        <v/>
      </c>
      <c r="P58" s="122" t="str">
        <f t="shared" si="22"/>
        <v/>
      </c>
      <c r="Q58" s="114" t="str">
        <f t="shared" si="6"/>
        <v/>
      </c>
      <c r="R58" s="112" t="str">
        <f t="shared" si="23"/>
        <v/>
      </c>
      <c r="S58" s="119" t="str">
        <f t="shared" si="8"/>
        <v/>
      </c>
      <c r="T58" s="119" t="str">
        <f t="shared" si="9"/>
        <v/>
      </c>
      <c r="U58" s="119" t="str">
        <f t="shared" si="10"/>
        <v/>
      </c>
      <c r="V58" s="119" t="str">
        <f t="shared" si="11"/>
        <v/>
      </c>
      <c r="W58" s="119" t="str">
        <f t="shared" si="12"/>
        <v/>
      </c>
      <c r="X58" s="119" t="str">
        <f t="shared" si="13"/>
        <v/>
      </c>
      <c r="Y58" s="119" t="str">
        <f t="shared" si="14"/>
        <v/>
      </c>
      <c r="Z58" s="119" t="str">
        <f t="shared" si="15"/>
        <v/>
      </c>
      <c r="AA58" s="119" t="str">
        <f t="shared" si="16"/>
        <v/>
      </c>
      <c r="AB58" s="119" t="str">
        <f t="shared" si="17"/>
        <v/>
      </c>
      <c r="AC58" s="119" t="str">
        <f t="shared" si="18"/>
        <v/>
      </c>
      <c r="AD58" s="119" t="str">
        <f t="shared" si="19"/>
        <v/>
      </c>
      <c r="AG58" s="124">
        <v>0.6</v>
      </c>
      <c r="AH58" s="123">
        <v>2</v>
      </c>
      <c r="AI58" s="123">
        <v>1</v>
      </c>
      <c r="AJ58" s="131">
        <v>1</v>
      </c>
      <c r="AK58" s="131">
        <f t="shared" si="20"/>
        <v>0.8</v>
      </c>
      <c r="AL58" s="131">
        <f t="shared" si="21"/>
        <v>0</v>
      </c>
      <c r="AM58" s="131">
        <v>0.5</v>
      </c>
      <c r="AN58" s="131">
        <v>0.4</v>
      </c>
      <c r="AO58" s="131">
        <v>0</v>
      </c>
      <c r="AP58" s="131">
        <v>1</v>
      </c>
      <c r="AQ58" s="123"/>
      <c r="AR58" s="125"/>
    </row>
    <row r="59" spans="9:44" ht="12" customHeight="1">
      <c r="I59" s="143" t="str">
        <f t="shared" si="40"/>
        <v>Industry Air conditioning Crude oil</v>
      </c>
      <c r="J59" s="148" t="s">
        <v>207</v>
      </c>
      <c r="K59" s="151" t="str">
        <f t="shared" si="41"/>
        <v>IND-ACOILExt</v>
      </c>
      <c r="L59" s="101" t="str">
        <f t="shared" si="42"/>
        <v/>
      </c>
      <c r="O59" s="122" t="str">
        <f t="shared" si="4"/>
        <v/>
      </c>
      <c r="P59" s="122" t="str">
        <f t="shared" si="22"/>
        <v/>
      </c>
      <c r="Q59" s="114" t="str">
        <f t="shared" si="6"/>
        <v/>
      </c>
      <c r="R59" s="112" t="str">
        <f t="shared" si="23"/>
        <v/>
      </c>
      <c r="S59" s="119" t="str">
        <f t="shared" si="8"/>
        <v/>
      </c>
      <c r="T59" s="119" t="str">
        <f t="shared" si="9"/>
        <v/>
      </c>
      <c r="U59" s="119" t="str">
        <f t="shared" si="10"/>
        <v/>
      </c>
      <c r="V59" s="119" t="str">
        <f t="shared" si="11"/>
        <v/>
      </c>
      <c r="W59" s="119" t="str">
        <f t="shared" si="12"/>
        <v/>
      </c>
      <c r="X59" s="119" t="str">
        <f t="shared" si="13"/>
        <v/>
      </c>
      <c r="Y59" s="119" t="str">
        <f t="shared" si="14"/>
        <v/>
      </c>
      <c r="Z59" s="119" t="str">
        <f t="shared" si="15"/>
        <v/>
      </c>
      <c r="AA59" s="119" t="str">
        <f t="shared" si="16"/>
        <v/>
      </c>
      <c r="AB59" s="119" t="str">
        <f t="shared" si="17"/>
        <v/>
      </c>
      <c r="AC59" s="119" t="str">
        <f t="shared" si="18"/>
        <v/>
      </c>
      <c r="AD59" s="119" t="str">
        <f t="shared" si="19"/>
        <v/>
      </c>
      <c r="AG59" s="124">
        <v>0.6</v>
      </c>
      <c r="AH59" s="123">
        <v>2</v>
      </c>
      <c r="AI59" s="123">
        <v>1</v>
      </c>
      <c r="AJ59" s="131">
        <v>1</v>
      </c>
      <c r="AK59" s="131">
        <f t="shared" si="20"/>
        <v>0.8</v>
      </c>
      <c r="AL59" s="131">
        <f t="shared" si="21"/>
        <v>0</v>
      </c>
      <c r="AM59" s="131">
        <v>0.5</v>
      </c>
      <c r="AN59" s="131">
        <v>0.4</v>
      </c>
      <c r="AO59" s="131">
        <v>0</v>
      </c>
      <c r="AP59" s="131">
        <v>1</v>
      </c>
      <c r="AQ59" s="123"/>
      <c r="AR59" s="125"/>
    </row>
    <row r="60" spans="9:44" ht="12" customHeight="1">
      <c r="I60" s="143" t="str">
        <f t="shared" si="40"/>
        <v>Industry Air conditioning Natural Gas</v>
      </c>
      <c r="J60" s="148" t="s">
        <v>207</v>
      </c>
      <c r="K60" s="151" t="str">
        <f t="shared" si="41"/>
        <v>IND-ACNGAExt</v>
      </c>
      <c r="L60" s="101" t="str">
        <f t="shared" si="42"/>
        <v/>
      </c>
      <c r="O60" s="122" t="str">
        <f t="shared" si="4"/>
        <v/>
      </c>
      <c r="P60" s="122" t="str">
        <f t="shared" si="22"/>
        <v/>
      </c>
      <c r="Q60" s="114" t="str">
        <f t="shared" si="6"/>
        <v/>
      </c>
      <c r="R60" s="112" t="str">
        <f t="shared" si="23"/>
        <v/>
      </c>
      <c r="S60" s="119" t="str">
        <f t="shared" si="8"/>
        <v/>
      </c>
      <c r="T60" s="119" t="str">
        <f t="shared" si="9"/>
        <v/>
      </c>
      <c r="U60" s="119" t="str">
        <f t="shared" si="10"/>
        <v/>
      </c>
      <c r="V60" s="119" t="str">
        <f t="shared" si="11"/>
        <v/>
      </c>
      <c r="W60" s="119" t="str">
        <f t="shared" si="12"/>
        <v/>
      </c>
      <c r="X60" s="119" t="str">
        <f t="shared" si="13"/>
        <v/>
      </c>
      <c r="Y60" s="119" t="str">
        <f t="shared" si="14"/>
        <v/>
      </c>
      <c r="Z60" s="119" t="str">
        <f t="shared" si="15"/>
        <v/>
      </c>
      <c r="AA60" s="119" t="str">
        <f t="shared" si="16"/>
        <v/>
      </c>
      <c r="AB60" s="119" t="str">
        <f t="shared" si="17"/>
        <v/>
      </c>
      <c r="AC60" s="119" t="str">
        <f t="shared" si="18"/>
        <v/>
      </c>
      <c r="AD60" s="119" t="str">
        <f t="shared" si="19"/>
        <v/>
      </c>
      <c r="AG60" s="124">
        <v>0.6</v>
      </c>
      <c r="AH60" s="123">
        <v>2</v>
      </c>
      <c r="AI60" s="123">
        <v>1</v>
      </c>
      <c r="AJ60" s="131">
        <v>1</v>
      </c>
      <c r="AK60" s="131">
        <f t="shared" si="20"/>
        <v>0.8</v>
      </c>
      <c r="AL60" s="131">
        <f t="shared" si="21"/>
        <v>0</v>
      </c>
      <c r="AM60" s="131">
        <v>0.5</v>
      </c>
      <c r="AN60" s="131">
        <v>0.4</v>
      </c>
      <c r="AO60" s="131">
        <v>0</v>
      </c>
      <c r="AP60" s="131">
        <v>1</v>
      </c>
      <c r="AQ60" s="123"/>
      <c r="AR60" s="125"/>
    </row>
    <row r="61" spans="9:44" ht="12" customHeight="1">
      <c r="I61" s="143" t="str">
        <f t="shared" si="40"/>
        <v>Industry Air conditioning Hydro</v>
      </c>
      <c r="J61" s="148" t="s">
        <v>207</v>
      </c>
      <c r="K61" s="151" t="str">
        <f t="shared" si="41"/>
        <v>IND-ACHYDExt</v>
      </c>
      <c r="L61" s="101" t="str">
        <f t="shared" si="42"/>
        <v/>
      </c>
      <c r="O61" s="122" t="str">
        <f t="shared" si="4"/>
        <v/>
      </c>
      <c r="P61" s="122" t="str">
        <f t="shared" si="22"/>
        <v/>
      </c>
      <c r="Q61" s="114" t="str">
        <f t="shared" si="6"/>
        <v/>
      </c>
      <c r="R61" s="112" t="str">
        <f t="shared" si="23"/>
        <v/>
      </c>
      <c r="S61" s="119" t="str">
        <f t="shared" si="8"/>
        <v/>
      </c>
      <c r="T61" s="119" t="str">
        <f t="shared" si="9"/>
        <v/>
      </c>
      <c r="U61" s="119" t="str">
        <f t="shared" si="10"/>
        <v/>
      </c>
      <c r="V61" s="119" t="str">
        <f t="shared" si="11"/>
        <v/>
      </c>
      <c r="W61" s="119" t="str">
        <f t="shared" si="12"/>
        <v/>
      </c>
      <c r="X61" s="119" t="str">
        <f t="shared" si="13"/>
        <v/>
      </c>
      <c r="Y61" s="119" t="str">
        <f t="shared" si="14"/>
        <v/>
      </c>
      <c r="Z61" s="119" t="str">
        <f t="shared" si="15"/>
        <v/>
      </c>
      <c r="AA61" s="119" t="str">
        <f t="shared" si="16"/>
        <v/>
      </c>
      <c r="AB61" s="119" t="str">
        <f t="shared" si="17"/>
        <v/>
      </c>
      <c r="AC61" s="119" t="str">
        <f t="shared" si="18"/>
        <v/>
      </c>
      <c r="AD61" s="119" t="str">
        <f t="shared" si="19"/>
        <v/>
      </c>
      <c r="AG61" s="124">
        <v>0.6</v>
      </c>
      <c r="AH61" s="123">
        <v>2</v>
      </c>
      <c r="AI61" s="123">
        <v>1</v>
      </c>
      <c r="AJ61" s="131">
        <v>1</v>
      </c>
      <c r="AK61" s="131">
        <f t="shared" si="20"/>
        <v>0.8</v>
      </c>
      <c r="AL61" s="131">
        <f t="shared" si="21"/>
        <v>0</v>
      </c>
      <c r="AM61" s="131">
        <v>0.5</v>
      </c>
      <c r="AN61" s="131">
        <v>0.4</v>
      </c>
      <c r="AO61" s="131">
        <v>0</v>
      </c>
      <c r="AP61" s="131">
        <v>1</v>
      </c>
      <c r="AQ61" s="123"/>
      <c r="AR61" s="125"/>
    </row>
    <row r="62" spans="9:44" ht="12" customHeight="1">
      <c r="I62" s="143" t="str">
        <f t="shared" si="40"/>
        <v>Industry Air conditioning Geothermal</v>
      </c>
      <c r="J62" s="148" t="s">
        <v>207</v>
      </c>
      <c r="K62" s="151" t="str">
        <f t="shared" si="41"/>
        <v>IND-ACGEOExt</v>
      </c>
      <c r="L62" s="101" t="str">
        <f t="shared" si="42"/>
        <v/>
      </c>
      <c r="O62" s="122" t="str">
        <f t="shared" si="4"/>
        <v/>
      </c>
      <c r="P62" s="122" t="str">
        <f t="shared" si="22"/>
        <v/>
      </c>
      <c r="Q62" s="114" t="str">
        <f t="shared" si="6"/>
        <v/>
      </c>
      <c r="R62" s="112" t="str">
        <f t="shared" si="23"/>
        <v/>
      </c>
      <c r="S62" s="119" t="str">
        <f t="shared" si="8"/>
        <v/>
      </c>
      <c r="T62" s="119" t="str">
        <f t="shared" si="9"/>
        <v/>
      </c>
      <c r="U62" s="119" t="str">
        <f t="shared" si="10"/>
        <v/>
      </c>
      <c r="V62" s="119" t="str">
        <f t="shared" si="11"/>
        <v/>
      </c>
      <c r="W62" s="119" t="str">
        <f t="shared" si="12"/>
        <v/>
      </c>
      <c r="X62" s="119" t="str">
        <f t="shared" si="13"/>
        <v/>
      </c>
      <c r="Y62" s="119" t="str">
        <f t="shared" si="14"/>
        <v/>
      </c>
      <c r="Z62" s="119" t="str">
        <f t="shared" si="15"/>
        <v/>
      </c>
      <c r="AA62" s="119" t="str">
        <f t="shared" si="16"/>
        <v/>
      </c>
      <c r="AB62" s="119" t="str">
        <f t="shared" si="17"/>
        <v/>
      </c>
      <c r="AC62" s="119" t="str">
        <f t="shared" si="18"/>
        <v/>
      </c>
      <c r="AD62" s="119" t="str">
        <f t="shared" si="19"/>
        <v/>
      </c>
      <c r="AG62" s="124">
        <v>0.6</v>
      </c>
      <c r="AH62" s="123">
        <v>2</v>
      </c>
      <c r="AI62" s="123">
        <v>1</v>
      </c>
      <c r="AJ62" s="131">
        <v>1</v>
      </c>
      <c r="AK62" s="131">
        <f t="shared" si="20"/>
        <v>0.8</v>
      </c>
      <c r="AL62" s="131">
        <f t="shared" si="21"/>
        <v>0</v>
      </c>
      <c r="AM62" s="131">
        <v>0.5</v>
      </c>
      <c r="AN62" s="131">
        <v>0.4</v>
      </c>
      <c r="AO62" s="131">
        <v>0</v>
      </c>
      <c r="AP62" s="131">
        <v>1</v>
      </c>
      <c r="AQ62" s="123"/>
      <c r="AR62" s="125"/>
    </row>
    <row r="63" spans="9:44" ht="12" customHeight="1">
      <c r="I63" s="143" t="str">
        <f t="shared" si="40"/>
        <v>Industry Air conditioning Solar</v>
      </c>
      <c r="J63" s="148" t="s">
        <v>207</v>
      </c>
      <c r="K63" s="151" t="str">
        <f t="shared" si="41"/>
        <v>IND-ACSOLExt</v>
      </c>
      <c r="L63" s="101" t="str">
        <f t="shared" si="42"/>
        <v/>
      </c>
      <c r="O63" s="122" t="str">
        <f t="shared" si="4"/>
        <v/>
      </c>
      <c r="P63" s="122" t="str">
        <f t="shared" si="22"/>
        <v/>
      </c>
      <c r="Q63" s="114" t="str">
        <f t="shared" si="6"/>
        <v/>
      </c>
      <c r="R63" s="112" t="str">
        <f t="shared" si="23"/>
        <v/>
      </c>
      <c r="S63" s="119" t="str">
        <f t="shared" si="8"/>
        <v/>
      </c>
      <c r="T63" s="119" t="str">
        <f t="shared" si="9"/>
        <v/>
      </c>
      <c r="U63" s="119" t="str">
        <f t="shared" si="10"/>
        <v/>
      </c>
      <c r="V63" s="119" t="str">
        <f t="shared" si="11"/>
        <v/>
      </c>
      <c r="W63" s="119" t="str">
        <f t="shared" si="12"/>
        <v/>
      </c>
      <c r="X63" s="119" t="str">
        <f t="shared" si="13"/>
        <v/>
      </c>
      <c r="Y63" s="119" t="str">
        <f t="shared" si="14"/>
        <v/>
      </c>
      <c r="Z63" s="119" t="str">
        <f t="shared" si="15"/>
        <v/>
      </c>
      <c r="AA63" s="119" t="str">
        <f t="shared" si="16"/>
        <v/>
      </c>
      <c r="AB63" s="119" t="str">
        <f t="shared" si="17"/>
        <v/>
      </c>
      <c r="AC63" s="119" t="str">
        <f t="shared" si="18"/>
        <v/>
      </c>
      <c r="AD63" s="119" t="str">
        <f t="shared" si="19"/>
        <v/>
      </c>
      <c r="AG63" s="124">
        <v>0.6</v>
      </c>
      <c r="AH63" s="123">
        <v>2</v>
      </c>
      <c r="AI63" s="123">
        <v>1</v>
      </c>
      <c r="AJ63" s="131">
        <v>1</v>
      </c>
      <c r="AK63" s="131">
        <f t="shared" si="20"/>
        <v>0.8</v>
      </c>
      <c r="AL63" s="131">
        <f t="shared" si="21"/>
        <v>0</v>
      </c>
      <c r="AM63" s="131">
        <v>0.5</v>
      </c>
      <c r="AN63" s="131">
        <v>0.4</v>
      </c>
      <c r="AO63" s="131">
        <v>0</v>
      </c>
      <c r="AP63" s="131">
        <v>1</v>
      </c>
      <c r="AQ63" s="123"/>
      <c r="AR63" s="125"/>
    </row>
    <row r="64" spans="9:44" ht="12" customHeight="1">
      <c r="I64" s="143" t="str">
        <f t="shared" si="40"/>
        <v>Industry Air conditioning Wind</v>
      </c>
      <c r="J64" s="148" t="s">
        <v>207</v>
      </c>
      <c r="K64" s="151" t="str">
        <f t="shared" si="41"/>
        <v>IND-ACWINExt</v>
      </c>
      <c r="L64" s="101" t="str">
        <f t="shared" si="42"/>
        <v/>
      </c>
      <c r="O64" s="122" t="str">
        <f t="shared" si="4"/>
        <v/>
      </c>
      <c r="P64" s="122" t="str">
        <f t="shared" si="22"/>
        <v/>
      </c>
      <c r="Q64" s="114" t="str">
        <f t="shared" si="6"/>
        <v/>
      </c>
      <c r="R64" s="112" t="str">
        <f t="shared" si="23"/>
        <v/>
      </c>
      <c r="S64" s="119" t="str">
        <f t="shared" si="8"/>
        <v/>
      </c>
      <c r="T64" s="119" t="str">
        <f t="shared" si="9"/>
        <v/>
      </c>
      <c r="U64" s="119" t="str">
        <f t="shared" si="10"/>
        <v/>
      </c>
      <c r="V64" s="119" t="str">
        <f t="shared" si="11"/>
        <v/>
      </c>
      <c r="W64" s="119" t="str">
        <f t="shared" si="12"/>
        <v/>
      </c>
      <c r="X64" s="119" t="str">
        <f t="shared" si="13"/>
        <v/>
      </c>
      <c r="Y64" s="119" t="str">
        <f t="shared" si="14"/>
        <v/>
      </c>
      <c r="Z64" s="119" t="str">
        <f t="shared" si="15"/>
        <v/>
      </c>
      <c r="AA64" s="119" t="str">
        <f t="shared" si="16"/>
        <v/>
      </c>
      <c r="AB64" s="119" t="str">
        <f t="shared" si="17"/>
        <v/>
      </c>
      <c r="AC64" s="119" t="str">
        <f t="shared" si="18"/>
        <v/>
      </c>
      <c r="AD64" s="119" t="str">
        <f t="shared" si="19"/>
        <v/>
      </c>
      <c r="AG64" s="124">
        <v>0.6</v>
      </c>
      <c r="AH64" s="123">
        <v>2</v>
      </c>
      <c r="AI64" s="123">
        <v>1</v>
      </c>
      <c r="AJ64" s="131">
        <v>1</v>
      </c>
      <c r="AK64" s="131">
        <f t="shared" si="20"/>
        <v>0.8</v>
      </c>
      <c r="AL64" s="131">
        <f t="shared" si="21"/>
        <v>0</v>
      </c>
      <c r="AM64" s="131">
        <v>0.5</v>
      </c>
      <c r="AN64" s="131">
        <v>0.4</v>
      </c>
      <c r="AO64" s="131">
        <v>0</v>
      </c>
      <c r="AP64" s="131">
        <v>1</v>
      </c>
      <c r="AQ64" s="123"/>
      <c r="AR64" s="125"/>
    </row>
    <row r="65" spans="9:44" ht="12" customHeight="1">
      <c r="I65" s="143" t="str">
        <f t="shared" si="40"/>
        <v>Industry Air conditioning Bio Liquids</v>
      </c>
      <c r="J65" s="148" t="s">
        <v>207</v>
      </c>
      <c r="K65" s="151" t="str">
        <f t="shared" si="41"/>
        <v>IND-ACBILExt</v>
      </c>
      <c r="L65" s="101" t="str">
        <f t="shared" si="42"/>
        <v/>
      </c>
      <c r="O65" s="122" t="str">
        <f t="shared" si="4"/>
        <v/>
      </c>
      <c r="P65" s="122" t="str">
        <f t="shared" si="22"/>
        <v/>
      </c>
      <c r="Q65" s="114" t="str">
        <f t="shared" si="6"/>
        <v/>
      </c>
      <c r="R65" s="112" t="str">
        <f t="shared" si="23"/>
        <v/>
      </c>
      <c r="S65" s="119" t="str">
        <f t="shared" si="8"/>
        <v/>
      </c>
      <c r="T65" s="119" t="str">
        <f t="shared" si="9"/>
        <v/>
      </c>
      <c r="U65" s="119" t="str">
        <f t="shared" si="10"/>
        <v/>
      </c>
      <c r="V65" s="119" t="str">
        <f t="shared" si="11"/>
        <v/>
      </c>
      <c r="W65" s="119" t="str">
        <f t="shared" si="12"/>
        <v/>
      </c>
      <c r="X65" s="119" t="str">
        <f t="shared" si="13"/>
        <v/>
      </c>
      <c r="Y65" s="119" t="str">
        <f t="shared" si="14"/>
        <v/>
      </c>
      <c r="Z65" s="119" t="str">
        <f t="shared" si="15"/>
        <v/>
      </c>
      <c r="AA65" s="119" t="str">
        <f t="shared" si="16"/>
        <v/>
      </c>
      <c r="AB65" s="119" t="str">
        <f t="shared" si="17"/>
        <v/>
      </c>
      <c r="AC65" s="119" t="str">
        <f t="shared" si="18"/>
        <v/>
      </c>
      <c r="AD65" s="119" t="str">
        <f t="shared" si="19"/>
        <v/>
      </c>
      <c r="AG65" s="124">
        <v>0.6</v>
      </c>
      <c r="AH65" s="123">
        <v>2</v>
      </c>
      <c r="AI65" s="123">
        <v>1</v>
      </c>
      <c r="AJ65" s="131">
        <v>1</v>
      </c>
      <c r="AK65" s="131">
        <f t="shared" si="20"/>
        <v>0.8</v>
      </c>
      <c r="AL65" s="131">
        <f t="shared" si="21"/>
        <v>0</v>
      </c>
      <c r="AM65" s="131">
        <v>0.5</v>
      </c>
      <c r="AN65" s="131">
        <v>0.4</v>
      </c>
      <c r="AO65" s="131">
        <v>0</v>
      </c>
      <c r="AP65" s="131">
        <v>1</v>
      </c>
      <c r="AQ65" s="123"/>
      <c r="AR65" s="125"/>
    </row>
    <row r="66" spans="9:44" ht="12" customHeight="1">
      <c r="I66" s="143" t="str">
        <f t="shared" ref="I66:I69" si="43">$C$5&amp;" "&amp;$E$9&amp;" "&amp;RIGHT(G14,LEN(G14)-FIND(" ",G14))</f>
        <v>Industry Air conditioning Biogas</v>
      </c>
      <c r="J66" s="148" t="s">
        <v>207</v>
      </c>
      <c r="K66" s="151" t="str">
        <f t="shared" si="41"/>
        <v>IND-ACBIGExt</v>
      </c>
      <c r="L66" s="101" t="str">
        <f t="shared" si="42"/>
        <v/>
      </c>
      <c r="O66" s="122" t="str">
        <f t="shared" si="4"/>
        <v/>
      </c>
      <c r="P66" s="122" t="str">
        <f t="shared" si="22"/>
        <v/>
      </c>
      <c r="Q66" s="114" t="str">
        <f t="shared" si="6"/>
        <v/>
      </c>
      <c r="R66" s="112" t="str">
        <f t="shared" si="23"/>
        <v/>
      </c>
      <c r="S66" s="119" t="str">
        <f t="shared" si="8"/>
        <v/>
      </c>
      <c r="T66" s="119" t="str">
        <f t="shared" si="9"/>
        <v/>
      </c>
      <c r="U66" s="119" t="str">
        <f t="shared" si="10"/>
        <v/>
      </c>
      <c r="V66" s="119" t="str">
        <f t="shared" si="11"/>
        <v/>
      </c>
      <c r="W66" s="119" t="str">
        <f t="shared" si="12"/>
        <v/>
      </c>
      <c r="X66" s="119" t="str">
        <f t="shared" si="13"/>
        <v/>
      </c>
      <c r="Y66" s="119" t="str">
        <f t="shared" si="14"/>
        <v/>
      </c>
      <c r="Z66" s="119" t="str">
        <f t="shared" si="15"/>
        <v/>
      </c>
      <c r="AA66" s="119" t="str">
        <f t="shared" si="16"/>
        <v/>
      </c>
      <c r="AB66" s="119" t="str">
        <f t="shared" si="17"/>
        <v/>
      </c>
      <c r="AC66" s="119" t="str">
        <f t="shared" si="18"/>
        <v/>
      </c>
      <c r="AD66" s="119" t="str">
        <f t="shared" si="19"/>
        <v/>
      </c>
      <c r="AG66" s="124">
        <v>0.6</v>
      </c>
      <c r="AH66" s="123">
        <v>2</v>
      </c>
      <c r="AI66" s="123">
        <v>1</v>
      </c>
      <c r="AJ66" s="131">
        <v>1</v>
      </c>
      <c r="AK66" s="131">
        <f t="shared" si="20"/>
        <v>0.8</v>
      </c>
      <c r="AL66" s="131">
        <f t="shared" si="21"/>
        <v>0</v>
      </c>
      <c r="AM66" s="131">
        <v>0.5</v>
      </c>
      <c r="AN66" s="131">
        <v>0.4</v>
      </c>
      <c r="AO66" s="131">
        <v>0</v>
      </c>
      <c r="AP66" s="131">
        <v>1</v>
      </c>
      <c r="AQ66" s="123"/>
      <c r="AR66" s="125"/>
    </row>
    <row r="67" spans="9:44" ht="12" customHeight="1">
      <c r="I67" s="143" t="str">
        <f t="shared" si="43"/>
        <v>Industry Air conditioning Wood</v>
      </c>
      <c r="J67" s="148" t="s">
        <v>207</v>
      </c>
      <c r="K67" s="151" t="str">
        <f t="shared" ref="K67:K69" si="44">$D$5&amp;$F$9&amp;RIGHT(H15,3)&amp;$B$5</f>
        <v>IND-ACWODExt</v>
      </c>
      <c r="L67" s="101" t="str">
        <f t="shared" ref="L67:L73" si="45">IF(J67="Yes",K67,"")</f>
        <v/>
      </c>
      <c r="O67" s="122" t="str">
        <f t="shared" si="4"/>
        <v/>
      </c>
      <c r="P67" s="122" t="str">
        <f t="shared" si="22"/>
        <v/>
      </c>
      <c r="Q67" s="114" t="str">
        <f t="shared" si="6"/>
        <v/>
      </c>
      <c r="R67" s="112" t="str">
        <f t="shared" si="23"/>
        <v/>
      </c>
      <c r="S67" s="119" t="str">
        <f t="shared" si="8"/>
        <v/>
      </c>
      <c r="T67" s="119" t="str">
        <f t="shared" si="9"/>
        <v/>
      </c>
      <c r="U67" s="119" t="str">
        <f t="shared" si="10"/>
        <v/>
      </c>
      <c r="V67" s="119" t="str">
        <f t="shared" si="11"/>
        <v/>
      </c>
      <c r="W67" s="119" t="str">
        <f t="shared" si="12"/>
        <v/>
      </c>
      <c r="X67" s="119" t="str">
        <f t="shared" si="13"/>
        <v/>
      </c>
      <c r="Y67" s="119" t="str">
        <f t="shared" si="14"/>
        <v/>
      </c>
      <c r="Z67" s="119" t="str">
        <f t="shared" si="15"/>
        <v/>
      </c>
      <c r="AA67" s="119" t="str">
        <f t="shared" si="16"/>
        <v/>
      </c>
      <c r="AB67" s="119" t="str">
        <f t="shared" si="17"/>
        <v/>
      </c>
      <c r="AC67" s="119" t="str">
        <f t="shared" si="18"/>
        <v/>
      </c>
      <c r="AD67" s="119" t="str">
        <f t="shared" si="19"/>
        <v/>
      </c>
      <c r="AG67" s="124">
        <v>0.6</v>
      </c>
      <c r="AH67" s="123">
        <v>2</v>
      </c>
      <c r="AI67" s="123">
        <v>1</v>
      </c>
      <c r="AJ67" s="131">
        <v>1</v>
      </c>
      <c r="AK67" s="131">
        <f t="shared" si="20"/>
        <v>0.8</v>
      </c>
      <c r="AL67" s="131">
        <f t="shared" si="21"/>
        <v>0</v>
      </c>
      <c r="AM67" s="131">
        <v>0.5</v>
      </c>
      <c r="AN67" s="131">
        <v>0.4</v>
      </c>
      <c r="AO67" s="131">
        <v>0</v>
      </c>
      <c r="AP67" s="131">
        <v>1</v>
      </c>
      <c r="AQ67" s="123"/>
      <c r="AR67" s="125"/>
    </row>
    <row r="68" spans="9:44" ht="12" customHeight="1">
      <c r="I68" s="143" t="str">
        <f t="shared" si="43"/>
        <v>Industry Air conditioning Tidal</v>
      </c>
      <c r="J68" s="148" t="s">
        <v>207</v>
      </c>
      <c r="K68" s="151" t="str">
        <f t="shared" si="44"/>
        <v>IND-ACTIDExt</v>
      </c>
      <c r="L68" s="101" t="str">
        <f t="shared" si="45"/>
        <v/>
      </c>
      <c r="O68" s="122" t="str">
        <f t="shared" si="4"/>
        <v/>
      </c>
      <c r="P68" s="122" t="str">
        <f t="shared" si="22"/>
        <v/>
      </c>
      <c r="Q68" s="114" t="str">
        <f t="shared" si="6"/>
        <v/>
      </c>
      <c r="R68" s="112" t="str">
        <f t="shared" si="23"/>
        <v/>
      </c>
      <c r="S68" s="119" t="str">
        <f t="shared" si="8"/>
        <v/>
      </c>
      <c r="T68" s="119" t="str">
        <f t="shared" si="9"/>
        <v/>
      </c>
      <c r="U68" s="119" t="str">
        <f t="shared" si="10"/>
        <v/>
      </c>
      <c r="V68" s="119" t="str">
        <f t="shared" si="11"/>
        <v/>
      </c>
      <c r="W68" s="119" t="str">
        <f t="shared" si="12"/>
        <v/>
      </c>
      <c r="X68" s="119" t="str">
        <f t="shared" si="13"/>
        <v/>
      </c>
      <c r="Y68" s="119" t="str">
        <f t="shared" si="14"/>
        <v/>
      </c>
      <c r="Z68" s="119" t="str">
        <f t="shared" si="15"/>
        <v/>
      </c>
      <c r="AA68" s="119" t="str">
        <f t="shared" si="16"/>
        <v/>
      </c>
      <c r="AB68" s="119" t="str">
        <f t="shared" si="17"/>
        <v/>
      </c>
      <c r="AC68" s="119" t="str">
        <f t="shared" si="18"/>
        <v/>
      </c>
      <c r="AD68" s="119" t="str">
        <f t="shared" si="19"/>
        <v/>
      </c>
      <c r="AG68" s="124">
        <v>0.6</v>
      </c>
      <c r="AH68" s="123">
        <v>2</v>
      </c>
      <c r="AI68" s="123">
        <v>1</v>
      </c>
      <c r="AJ68" s="131">
        <v>1</v>
      </c>
      <c r="AK68" s="131">
        <f t="shared" si="20"/>
        <v>0.8</v>
      </c>
      <c r="AL68" s="131">
        <f t="shared" si="21"/>
        <v>0</v>
      </c>
      <c r="AM68" s="131">
        <v>0.5</v>
      </c>
      <c r="AN68" s="131">
        <v>0.4</v>
      </c>
      <c r="AO68" s="131">
        <v>0</v>
      </c>
      <c r="AP68" s="131">
        <v>1</v>
      </c>
      <c r="AQ68" s="123"/>
      <c r="AR68" s="125"/>
    </row>
    <row r="69" spans="9:44" ht="12" customHeight="1">
      <c r="I69" s="143" t="str">
        <f t="shared" si="43"/>
        <v>Industry Air conditioning Electricity</v>
      </c>
      <c r="J69" s="149" t="s">
        <v>206</v>
      </c>
      <c r="K69" s="151" t="str">
        <f t="shared" si="44"/>
        <v>IND-ACELCExt</v>
      </c>
      <c r="L69" s="101" t="str">
        <f t="shared" si="45"/>
        <v>IND-ACELCExt</v>
      </c>
      <c r="O69" s="122" t="str">
        <f t="shared" si="4"/>
        <v>Industry Air conditioning Electricity</v>
      </c>
      <c r="P69" s="122" t="str">
        <f t="shared" si="22"/>
        <v>IND-ACELCExt</v>
      </c>
      <c r="Q69" s="114" t="str">
        <f t="shared" si="6"/>
        <v>IND-ELC</v>
      </c>
      <c r="R69" s="112" t="str">
        <f t="shared" si="23"/>
        <v>IND-AC</v>
      </c>
      <c r="S69" s="119">
        <f t="shared" si="8"/>
        <v>0.6</v>
      </c>
      <c r="T69" s="119">
        <f t="shared" si="9"/>
        <v>2</v>
      </c>
      <c r="U69" s="119">
        <f t="shared" si="10"/>
        <v>1</v>
      </c>
      <c r="V69" s="119">
        <f t="shared" si="11"/>
        <v>1</v>
      </c>
      <c r="W69" s="119">
        <f t="shared" si="12"/>
        <v>0.8</v>
      </c>
      <c r="X69" s="119">
        <f t="shared" si="13"/>
        <v>0</v>
      </c>
      <c r="Y69" s="119">
        <f t="shared" si="14"/>
        <v>0.5</v>
      </c>
      <c r="Z69" s="119">
        <f t="shared" si="15"/>
        <v>0.4</v>
      </c>
      <c r="AA69" s="119">
        <f t="shared" si="16"/>
        <v>0</v>
      </c>
      <c r="AB69" s="119">
        <f t="shared" si="17"/>
        <v>1</v>
      </c>
      <c r="AC69" s="119">
        <f t="shared" si="18"/>
        <v>0</v>
      </c>
      <c r="AD69" s="119">
        <f t="shared" si="19"/>
        <v>0</v>
      </c>
      <c r="AG69" s="124">
        <v>0.6</v>
      </c>
      <c r="AH69" s="123">
        <v>2</v>
      </c>
      <c r="AI69" s="123">
        <v>1</v>
      </c>
      <c r="AJ69" s="131">
        <v>1</v>
      </c>
      <c r="AK69" s="131">
        <f t="shared" si="20"/>
        <v>0.8</v>
      </c>
      <c r="AL69" s="131">
        <f t="shared" si="21"/>
        <v>0</v>
      </c>
      <c r="AM69" s="131">
        <v>0.5</v>
      </c>
      <c r="AN69" s="131">
        <v>0.4</v>
      </c>
      <c r="AO69" s="131">
        <v>0</v>
      </c>
      <c r="AP69" s="131">
        <v>1</v>
      </c>
      <c r="AQ69" s="123"/>
      <c r="AR69" s="125"/>
    </row>
    <row r="70" spans="9:44" ht="12" customHeight="1">
      <c r="I70" s="142" t="str">
        <f t="shared" ref="I70:I78" si="46">$C$5&amp;" "&amp;$E$10&amp;" "&amp;RIGHT(G5,LEN(G5)-FIND(" ",G5))</f>
        <v>Industry Electrical and ICT equipments Coal</v>
      </c>
      <c r="J70" s="154" t="s">
        <v>207</v>
      </c>
      <c r="K70" s="150" t="str">
        <f t="shared" ref="K70:K80" si="47">$D$5&amp;$F$10&amp;RIGHT(H5,3)&amp;$B$5</f>
        <v>IND-EQCOAExt</v>
      </c>
      <c r="L70" s="101" t="str">
        <f t="shared" si="45"/>
        <v/>
      </c>
      <c r="O70" s="122" t="str">
        <f t="shared" ref="O70:O121" si="48">IF(J70="Yes",I70,"")</f>
        <v/>
      </c>
      <c r="P70" s="122" t="str">
        <f t="shared" si="22"/>
        <v/>
      </c>
      <c r="Q70" s="114" t="str">
        <f t="shared" ref="Q70:Q121" si="49">IF(J70="yes",LEFT(P70,3)&amp;"-"&amp;MID(P70,7,3),"")</f>
        <v/>
      </c>
      <c r="R70" s="112" t="str">
        <f t="shared" si="23"/>
        <v/>
      </c>
      <c r="S70" s="119" t="str">
        <f t="shared" ref="S70:S121" si="50">IF(P70&lt;&gt;"",AG70,"")</f>
        <v/>
      </c>
      <c r="T70" s="119" t="str">
        <f t="shared" ref="T70:T121" si="51">IF(Q70&lt;&gt;"",AH70,"")</f>
        <v/>
      </c>
      <c r="U70" s="119" t="str">
        <f t="shared" ref="U70:U121" si="52">IF(R70&lt;&gt;"",AI70,"")</f>
        <v/>
      </c>
      <c r="V70" s="119" t="str">
        <f t="shared" ref="V70:V121" si="53">IF(S70&lt;&gt;"",AJ70,"")</f>
        <v/>
      </c>
      <c r="W70" s="119" t="str">
        <f t="shared" ref="W70:W121" si="54">IF(T70&lt;&gt;"",AK70,"")</f>
        <v/>
      </c>
      <c r="X70" s="119" t="str">
        <f t="shared" ref="X70:X121" si="55">IF(U70&lt;&gt;"",AL70,"")</f>
        <v/>
      </c>
      <c r="Y70" s="119" t="str">
        <f t="shared" ref="Y70:Y121" si="56">IF(V70&lt;&gt;"",AM70,"")</f>
        <v/>
      </c>
      <c r="Z70" s="119" t="str">
        <f t="shared" ref="Z70:Z121" si="57">IF(W70&lt;&gt;"",AN70,"")</f>
        <v/>
      </c>
      <c r="AA70" s="119" t="str">
        <f t="shared" ref="AA70:AA121" si="58">IF(X70&lt;&gt;"",AO70,"")</f>
        <v/>
      </c>
      <c r="AB70" s="119" t="str">
        <f t="shared" ref="AB70:AB121" si="59">IF(Y70&lt;&gt;"",AP70,"")</f>
        <v/>
      </c>
      <c r="AC70" s="119" t="str">
        <f t="shared" ref="AC70:AC121" si="60">IF(Z70&lt;&gt;"",AQ70,"")</f>
        <v/>
      </c>
      <c r="AD70" s="119" t="str">
        <f t="shared" ref="AD70:AD121" si="61">IF(AA70&lt;&gt;"",AR70,"")</f>
        <v/>
      </c>
      <c r="AG70" s="124">
        <v>0.6</v>
      </c>
      <c r="AH70" s="123">
        <v>2</v>
      </c>
      <c r="AI70" s="123">
        <v>1</v>
      </c>
      <c r="AJ70" s="131">
        <v>1</v>
      </c>
      <c r="AK70" s="131">
        <f t="shared" ref="AK70:AK121" si="62">0.8*AJ70</f>
        <v>0.8</v>
      </c>
      <c r="AL70" s="131">
        <f t="shared" ref="AL70:AL121" si="63">AJ70*0</f>
        <v>0</v>
      </c>
      <c r="AM70" s="131">
        <v>0.5</v>
      </c>
      <c r="AN70" s="131">
        <v>0.4</v>
      </c>
      <c r="AO70" s="131">
        <v>0</v>
      </c>
      <c r="AP70" s="131">
        <v>1</v>
      </c>
      <c r="AQ70" s="123"/>
      <c r="AR70" s="125"/>
    </row>
    <row r="71" spans="9:44" ht="12" customHeight="1">
      <c r="I71" s="143" t="str">
        <f t="shared" si="46"/>
        <v>Industry Electrical and ICT equipments Lignite</v>
      </c>
      <c r="J71" s="152" t="s">
        <v>207</v>
      </c>
      <c r="K71" s="151" t="str">
        <f t="shared" si="47"/>
        <v>IND-EQCOLExt</v>
      </c>
      <c r="L71" s="101" t="str">
        <f t="shared" si="45"/>
        <v/>
      </c>
      <c r="O71" s="122" t="str">
        <f t="shared" si="48"/>
        <v/>
      </c>
      <c r="P71" s="122" t="str">
        <f t="shared" si="22"/>
        <v/>
      </c>
      <c r="Q71" s="114" t="str">
        <f t="shared" si="49"/>
        <v/>
      </c>
      <c r="R71" s="112" t="str">
        <f t="shared" si="23"/>
        <v/>
      </c>
      <c r="S71" s="119" t="str">
        <f t="shared" si="50"/>
        <v/>
      </c>
      <c r="T71" s="119" t="str">
        <f t="shared" si="51"/>
        <v/>
      </c>
      <c r="U71" s="119" t="str">
        <f t="shared" si="52"/>
        <v/>
      </c>
      <c r="V71" s="119" t="str">
        <f t="shared" si="53"/>
        <v/>
      </c>
      <c r="W71" s="119" t="str">
        <f t="shared" si="54"/>
        <v/>
      </c>
      <c r="X71" s="119" t="str">
        <f t="shared" si="55"/>
        <v/>
      </c>
      <c r="Y71" s="119" t="str">
        <f t="shared" si="56"/>
        <v/>
      </c>
      <c r="Z71" s="119" t="str">
        <f t="shared" si="57"/>
        <v/>
      </c>
      <c r="AA71" s="119" t="str">
        <f t="shared" si="58"/>
        <v/>
      </c>
      <c r="AB71" s="119" t="str">
        <f t="shared" si="59"/>
        <v/>
      </c>
      <c r="AC71" s="119" t="str">
        <f t="shared" si="60"/>
        <v/>
      </c>
      <c r="AD71" s="119" t="str">
        <f t="shared" si="61"/>
        <v/>
      </c>
      <c r="AG71" s="124">
        <v>0.6</v>
      </c>
      <c r="AH71" s="123">
        <v>2</v>
      </c>
      <c r="AI71" s="123">
        <v>1</v>
      </c>
      <c r="AJ71" s="131">
        <v>1</v>
      </c>
      <c r="AK71" s="131">
        <f t="shared" si="62"/>
        <v>0.8</v>
      </c>
      <c r="AL71" s="131">
        <f t="shared" si="63"/>
        <v>0</v>
      </c>
      <c r="AM71" s="131">
        <v>0.5</v>
      </c>
      <c r="AN71" s="131">
        <v>0.4</v>
      </c>
      <c r="AO71" s="131">
        <v>0</v>
      </c>
      <c r="AP71" s="131">
        <v>1</v>
      </c>
      <c r="AQ71" s="123"/>
      <c r="AR71" s="125"/>
    </row>
    <row r="72" spans="9:44" ht="12" customHeight="1">
      <c r="I72" s="143" t="str">
        <f t="shared" si="46"/>
        <v>Industry Electrical and ICT equipments Crude oil</v>
      </c>
      <c r="J72" s="152" t="s">
        <v>207</v>
      </c>
      <c r="K72" s="151" t="str">
        <f t="shared" si="47"/>
        <v>IND-EQOILExt</v>
      </c>
      <c r="L72" s="101" t="str">
        <f t="shared" si="45"/>
        <v/>
      </c>
      <c r="O72" s="122" t="str">
        <f t="shared" si="48"/>
        <v/>
      </c>
      <c r="P72" s="122" t="str">
        <f t="shared" ref="P72:P121" si="64">L72</f>
        <v/>
      </c>
      <c r="Q72" s="114" t="str">
        <f t="shared" si="49"/>
        <v/>
      </c>
      <c r="R72" s="112" t="str">
        <f t="shared" ref="R72:R121" si="65">LEFT(P72,6)</f>
        <v/>
      </c>
      <c r="S72" s="119" t="str">
        <f t="shared" si="50"/>
        <v/>
      </c>
      <c r="T72" s="119" t="str">
        <f t="shared" si="51"/>
        <v/>
      </c>
      <c r="U72" s="119" t="str">
        <f t="shared" si="52"/>
        <v/>
      </c>
      <c r="V72" s="119" t="str">
        <f t="shared" si="53"/>
        <v/>
      </c>
      <c r="W72" s="119" t="str">
        <f t="shared" si="54"/>
        <v/>
      </c>
      <c r="X72" s="119" t="str">
        <f t="shared" si="55"/>
        <v/>
      </c>
      <c r="Y72" s="119" t="str">
        <f t="shared" si="56"/>
        <v/>
      </c>
      <c r="Z72" s="119" t="str">
        <f t="shared" si="57"/>
        <v/>
      </c>
      <c r="AA72" s="119" t="str">
        <f t="shared" si="58"/>
        <v/>
      </c>
      <c r="AB72" s="119" t="str">
        <f t="shared" si="59"/>
        <v/>
      </c>
      <c r="AC72" s="119" t="str">
        <f t="shared" si="60"/>
        <v/>
      </c>
      <c r="AD72" s="119" t="str">
        <f t="shared" si="61"/>
        <v/>
      </c>
      <c r="AG72" s="124">
        <v>0.6</v>
      </c>
      <c r="AH72" s="123">
        <v>2</v>
      </c>
      <c r="AI72" s="123">
        <v>1</v>
      </c>
      <c r="AJ72" s="131">
        <v>1</v>
      </c>
      <c r="AK72" s="131">
        <f t="shared" si="62"/>
        <v>0.8</v>
      </c>
      <c r="AL72" s="131">
        <f t="shared" si="63"/>
        <v>0</v>
      </c>
      <c r="AM72" s="131">
        <v>0.5</v>
      </c>
      <c r="AN72" s="131">
        <v>0.4</v>
      </c>
      <c r="AO72" s="131">
        <v>0</v>
      </c>
      <c r="AP72" s="131">
        <v>1</v>
      </c>
      <c r="AQ72" s="123"/>
      <c r="AR72" s="125"/>
    </row>
    <row r="73" spans="9:44" ht="12" customHeight="1">
      <c r="I73" s="143" t="str">
        <f t="shared" si="46"/>
        <v>Industry Electrical and ICT equipments Natural Gas</v>
      </c>
      <c r="J73" s="152" t="s">
        <v>207</v>
      </c>
      <c r="K73" s="151" t="str">
        <f t="shared" si="47"/>
        <v>IND-EQNGAExt</v>
      </c>
      <c r="L73" s="101" t="str">
        <f t="shared" si="45"/>
        <v/>
      </c>
      <c r="O73" s="122" t="str">
        <f t="shared" si="48"/>
        <v/>
      </c>
      <c r="P73" s="122" t="str">
        <f t="shared" si="64"/>
        <v/>
      </c>
      <c r="Q73" s="114" t="str">
        <f t="shared" si="49"/>
        <v/>
      </c>
      <c r="R73" s="112" t="str">
        <f t="shared" si="65"/>
        <v/>
      </c>
      <c r="S73" s="119" t="str">
        <f t="shared" si="50"/>
        <v/>
      </c>
      <c r="T73" s="119" t="str">
        <f t="shared" si="51"/>
        <v/>
      </c>
      <c r="U73" s="119" t="str">
        <f t="shared" si="52"/>
        <v/>
      </c>
      <c r="V73" s="119" t="str">
        <f t="shared" si="53"/>
        <v/>
      </c>
      <c r="W73" s="119" t="str">
        <f t="shared" si="54"/>
        <v/>
      </c>
      <c r="X73" s="119" t="str">
        <f t="shared" si="55"/>
        <v/>
      </c>
      <c r="Y73" s="119" t="str">
        <f t="shared" si="56"/>
        <v/>
      </c>
      <c r="Z73" s="119" t="str">
        <f t="shared" si="57"/>
        <v/>
      </c>
      <c r="AA73" s="119" t="str">
        <f t="shared" si="58"/>
        <v/>
      </c>
      <c r="AB73" s="119" t="str">
        <f t="shared" si="59"/>
        <v/>
      </c>
      <c r="AC73" s="119" t="str">
        <f t="shared" si="60"/>
        <v/>
      </c>
      <c r="AD73" s="119" t="str">
        <f t="shared" si="61"/>
        <v/>
      </c>
      <c r="AG73" s="124">
        <v>0.6</v>
      </c>
      <c r="AH73" s="123">
        <v>2</v>
      </c>
      <c r="AI73" s="123">
        <v>1</v>
      </c>
      <c r="AJ73" s="131">
        <v>1</v>
      </c>
      <c r="AK73" s="131">
        <f t="shared" si="62"/>
        <v>0.8</v>
      </c>
      <c r="AL73" s="131">
        <f t="shared" si="63"/>
        <v>0</v>
      </c>
      <c r="AM73" s="131">
        <v>0.5</v>
      </c>
      <c r="AN73" s="131">
        <v>0.4</v>
      </c>
      <c r="AO73" s="131">
        <v>0</v>
      </c>
      <c r="AP73" s="131">
        <v>1</v>
      </c>
      <c r="AQ73" s="123"/>
      <c r="AR73" s="125"/>
    </row>
    <row r="74" spans="9:44" ht="12" customHeight="1">
      <c r="I74" s="143" t="str">
        <f t="shared" si="46"/>
        <v>Industry Electrical and ICT equipments Hydro</v>
      </c>
      <c r="J74" s="152" t="s">
        <v>207</v>
      </c>
      <c r="K74" s="151" t="str">
        <f t="shared" si="47"/>
        <v>IND-EQHYDExt</v>
      </c>
      <c r="L74" s="101" t="str">
        <f t="shared" ref="L74:L79" si="66">IF(J74="Yes",K74,"")</f>
        <v/>
      </c>
      <c r="O74" s="122" t="str">
        <f t="shared" si="48"/>
        <v/>
      </c>
      <c r="P74" s="122" t="str">
        <f t="shared" si="64"/>
        <v/>
      </c>
      <c r="Q74" s="114" t="str">
        <f t="shared" si="49"/>
        <v/>
      </c>
      <c r="R74" s="112" t="str">
        <f t="shared" si="65"/>
        <v/>
      </c>
      <c r="S74" s="119" t="str">
        <f t="shared" si="50"/>
        <v/>
      </c>
      <c r="T74" s="119" t="str">
        <f t="shared" si="51"/>
        <v/>
      </c>
      <c r="U74" s="119" t="str">
        <f t="shared" si="52"/>
        <v/>
      </c>
      <c r="V74" s="119" t="str">
        <f t="shared" si="53"/>
        <v/>
      </c>
      <c r="W74" s="119" t="str">
        <f t="shared" si="54"/>
        <v/>
      </c>
      <c r="X74" s="119" t="str">
        <f t="shared" si="55"/>
        <v/>
      </c>
      <c r="Y74" s="119" t="str">
        <f t="shared" si="56"/>
        <v/>
      </c>
      <c r="Z74" s="119" t="str">
        <f t="shared" si="57"/>
        <v/>
      </c>
      <c r="AA74" s="119" t="str">
        <f t="shared" si="58"/>
        <v/>
      </c>
      <c r="AB74" s="119" t="str">
        <f t="shared" si="59"/>
        <v/>
      </c>
      <c r="AC74" s="119" t="str">
        <f t="shared" si="60"/>
        <v/>
      </c>
      <c r="AD74" s="119" t="str">
        <f t="shared" si="61"/>
        <v/>
      </c>
      <c r="AG74" s="124">
        <v>0.6</v>
      </c>
      <c r="AH74" s="123">
        <v>2</v>
      </c>
      <c r="AI74" s="123">
        <v>1</v>
      </c>
      <c r="AJ74" s="131">
        <v>1</v>
      </c>
      <c r="AK74" s="131">
        <f t="shared" si="62"/>
        <v>0.8</v>
      </c>
      <c r="AL74" s="131">
        <f t="shared" si="63"/>
        <v>0</v>
      </c>
      <c r="AM74" s="131">
        <v>0.5</v>
      </c>
      <c r="AN74" s="131">
        <v>0.4</v>
      </c>
      <c r="AO74" s="131">
        <v>0</v>
      </c>
      <c r="AP74" s="131">
        <v>1</v>
      </c>
      <c r="AQ74" s="123"/>
      <c r="AR74" s="125"/>
    </row>
    <row r="75" spans="9:44" ht="12" customHeight="1">
      <c r="I75" s="143" t="str">
        <f t="shared" si="46"/>
        <v>Industry Electrical and ICT equipments Geothermal</v>
      </c>
      <c r="J75" s="152" t="s">
        <v>207</v>
      </c>
      <c r="K75" s="151" t="str">
        <f t="shared" si="47"/>
        <v>IND-EQGEOExt</v>
      </c>
      <c r="L75" s="101" t="str">
        <f t="shared" si="66"/>
        <v/>
      </c>
      <c r="O75" s="122" t="str">
        <f t="shared" si="48"/>
        <v/>
      </c>
      <c r="P75" s="122" t="str">
        <f t="shared" si="64"/>
        <v/>
      </c>
      <c r="Q75" s="114" t="str">
        <f t="shared" si="49"/>
        <v/>
      </c>
      <c r="R75" s="112" t="str">
        <f t="shared" si="65"/>
        <v/>
      </c>
      <c r="S75" s="119" t="str">
        <f t="shared" si="50"/>
        <v/>
      </c>
      <c r="T75" s="119" t="str">
        <f t="shared" si="51"/>
        <v/>
      </c>
      <c r="U75" s="119" t="str">
        <f t="shared" si="52"/>
        <v/>
      </c>
      <c r="V75" s="119" t="str">
        <f t="shared" si="53"/>
        <v/>
      </c>
      <c r="W75" s="119" t="str">
        <f t="shared" si="54"/>
        <v/>
      </c>
      <c r="X75" s="119" t="str">
        <f t="shared" si="55"/>
        <v/>
      </c>
      <c r="Y75" s="119" t="str">
        <f t="shared" si="56"/>
        <v/>
      </c>
      <c r="Z75" s="119" t="str">
        <f t="shared" si="57"/>
        <v/>
      </c>
      <c r="AA75" s="119" t="str">
        <f t="shared" si="58"/>
        <v/>
      </c>
      <c r="AB75" s="119" t="str">
        <f t="shared" si="59"/>
        <v/>
      </c>
      <c r="AC75" s="119" t="str">
        <f t="shared" si="60"/>
        <v/>
      </c>
      <c r="AD75" s="119" t="str">
        <f t="shared" si="61"/>
        <v/>
      </c>
      <c r="AG75" s="124">
        <v>0.6</v>
      </c>
      <c r="AH75" s="123">
        <v>2</v>
      </c>
      <c r="AI75" s="123">
        <v>1</v>
      </c>
      <c r="AJ75" s="131">
        <v>1</v>
      </c>
      <c r="AK75" s="131">
        <f t="shared" si="62"/>
        <v>0.8</v>
      </c>
      <c r="AL75" s="131">
        <f t="shared" si="63"/>
        <v>0</v>
      </c>
      <c r="AM75" s="131">
        <v>0.5</v>
      </c>
      <c r="AN75" s="131">
        <v>0.4</v>
      </c>
      <c r="AO75" s="131">
        <v>0</v>
      </c>
      <c r="AP75" s="131">
        <v>1</v>
      </c>
      <c r="AQ75" s="123"/>
      <c r="AR75" s="125"/>
    </row>
    <row r="76" spans="9:44" ht="12" customHeight="1">
      <c r="I76" s="143" t="str">
        <f t="shared" si="46"/>
        <v>Industry Electrical and ICT equipments Solar</v>
      </c>
      <c r="J76" s="152" t="s">
        <v>207</v>
      </c>
      <c r="K76" s="151" t="str">
        <f t="shared" si="47"/>
        <v>IND-EQSOLExt</v>
      </c>
      <c r="L76" s="101" t="str">
        <f t="shared" si="66"/>
        <v/>
      </c>
      <c r="O76" s="122" t="str">
        <f t="shared" si="48"/>
        <v/>
      </c>
      <c r="P76" s="122" t="str">
        <f t="shared" si="64"/>
        <v/>
      </c>
      <c r="Q76" s="114" t="str">
        <f t="shared" si="49"/>
        <v/>
      </c>
      <c r="R76" s="112" t="str">
        <f t="shared" si="65"/>
        <v/>
      </c>
      <c r="S76" s="119" t="str">
        <f t="shared" si="50"/>
        <v/>
      </c>
      <c r="T76" s="119" t="str">
        <f t="shared" si="51"/>
        <v/>
      </c>
      <c r="U76" s="119" t="str">
        <f t="shared" si="52"/>
        <v/>
      </c>
      <c r="V76" s="119" t="str">
        <f t="shared" si="53"/>
        <v/>
      </c>
      <c r="W76" s="119" t="str">
        <f t="shared" si="54"/>
        <v/>
      </c>
      <c r="X76" s="119" t="str">
        <f t="shared" si="55"/>
        <v/>
      </c>
      <c r="Y76" s="119" t="str">
        <f t="shared" si="56"/>
        <v/>
      </c>
      <c r="Z76" s="119" t="str">
        <f t="shared" si="57"/>
        <v/>
      </c>
      <c r="AA76" s="119" t="str">
        <f t="shared" si="58"/>
        <v/>
      </c>
      <c r="AB76" s="119" t="str">
        <f t="shared" si="59"/>
        <v/>
      </c>
      <c r="AC76" s="119" t="str">
        <f t="shared" si="60"/>
        <v/>
      </c>
      <c r="AD76" s="119" t="str">
        <f t="shared" si="61"/>
        <v/>
      </c>
      <c r="AG76" s="124">
        <v>0.6</v>
      </c>
      <c r="AH76" s="123">
        <v>2</v>
      </c>
      <c r="AI76" s="123">
        <v>1</v>
      </c>
      <c r="AJ76" s="131">
        <v>1</v>
      </c>
      <c r="AK76" s="131">
        <f t="shared" si="62"/>
        <v>0.8</v>
      </c>
      <c r="AL76" s="131">
        <f t="shared" si="63"/>
        <v>0</v>
      </c>
      <c r="AM76" s="131">
        <v>0.5</v>
      </c>
      <c r="AN76" s="131">
        <v>0.4</v>
      </c>
      <c r="AO76" s="131">
        <v>0</v>
      </c>
      <c r="AP76" s="131">
        <v>1</v>
      </c>
      <c r="AQ76" s="123"/>
      <c r="AR76" s="125"/>
    </row>
    <row r="77" spans="9:44" ht="12" customHeight="1">
      <c r="I77" s="143" t="str">
        <f t="shared" si="46"/>
        <v>Industry Electrical and ICT equipments Wind</v>
      </c>
      <c r="J77" s="152" t="s">
        <v>207</v>
      </c>
      <c r="K77" s="151" t="str">
        <f t="shared" si="47"/>
        <v>IND-EQWINExt</v>
      </c>
      <c r="L77" s="101" t="str">
        <f t="shared" si="66"/>
        <v/>
      </c>
      <c r="O77" s="122" t="str">
        <f t="shared" si="48"/>
        <v/>
      </c>
      <c r="P77" s="122" t="str">
        <f t="shared" si="64"/>
        <v/>
      </c>
      <c r="Q77" s="114" t="str">
        <f t="shared" si="49"/>
        <v/>
      </c>
      <c r="R77" s="112" t="str">
        <f t="shared" si="65"/>
        <v/>
      </c>
      <c r="S77" s="119" t="str">
        <f t="shared" si="50"/>
        <v/>
      </c>
      <c r="T77" s="119" t="str">
        <f t="shared" si="51"/>
        <v/>
      </c>
      <c r="U77" s="119" t="str">
        <f t="shared" si="52"/>
        <v/>
      </c>
      <c r="V77" s="119" t="str">
        <f t="shared" si="53"/>
        <v/>
      </c>
      <c r="W77" s="119" t="str">
        <f t="shared" si="54"/>
        <v/>
      </c>
      <c r="X77" s="119" t="str">
        <f t="shared" si="55"/>
        <v/>
      </c>
      <c r="Y77" s="119" t="str">
        <f t="shared" si="56"/>
        <v/>
      </c>
      <c r="Z77" s="119" t="str">
        <f t="shared" si="57"/>
        <v/>
      </c>
      <c r="AA77" s="119" t="str">
        <f t="shared" si="58"/>
        <v/>
      </c>
      <c r="AB77" s="119" t="str">
        <f t="shared" si="59"/>
        <v/>
      </c>
      <c r="AC77" s="119" t="str">
        <f t="shared" si="60"/>
        <v/>
      </c>
      <c r="AD77" s="119" t="str">
        <f t="shared" si="61"/>
        <v/>
      </c>
      <c r="AG77" s="124">
        <v>0.6</v>
      </c>
      <c r="AH77" s="123">
        <v>2</v>
      </c>
      <c r="AI77" s="123">
        <v>1</v>
      </c>
      <c r="AJ77" s="131">
        <v>1</v>
      </c>
      <c r="AK77" s="131">
        <f t="shared" si="62"/>
        <v>0.8</v>
      </c>
      <c r="AL77" s="131">
        <f t="shared" si="63"/>
        <v>0</v>
      </c>
      <c r="AM77" s="131">
        <v>0.5</v>
      </c>
      <c r="AN77" s="131">
        <v>0.4</v>
      </c>
      <c r="AO77" s="131">
        <v>0</v>
      </c>
      <c r="AP77" s="131">
        <v>1</v>
      </c>
      <c r="AQ77" s="123"/>
      <c r="AR77" s="125"/>
    </row>
    <row r="78" spans="9:44" ht="12" customHeight="1">
      <c r="I78" s="143" t="str">
        <f t="shared" si="46"/>
        <v>Industry Electrical and ICT equipments Bio Liquids</v>
      </c>
      <c r="J78" s="152" t="s">
        <v>207</v>
      </c>
      <c r="K78" s="151" t="str">
        <f t="shared" si="47"/>
        <v>IND-EQBILExt</v>
      </c>
      <c r="L78" s="101" t="str">
        <f t="shared" si="66"/>
        <v/>
      </c>
      <c r="O78" s="122" t="str">
        <f t="shared" si="48"/>
        <v/>
      </c>
      <c r="P78" s="122" t="str">
        <f t="shared" si="64"/>
        <v/>
      </c>
      <c r="Q78" s="114" t="str">
        <f t="shared" si="49"/>
        <v/>
      </c>
      <c r="R78" s="112" t="str">
        <f t="shared" si="65"/>
        <v/>
      </c>
      <c r="S78" s="119" t="str">
        <f t="shared" si="50"/>
        <v/>
      </c>
      <c r="T78" s="119" t="str">
        <f t="shared" si="51"/>
        <v/>
      </c>
      <c r="U78" s="119" t="str">
        <f t="shared" si="52"/>
        <v/>
      </c>
      <c r="V78" s="119" t="str">
        <f t="shared" si="53"/>
        <v/>
      </c>
      <c r="W78" s="119" t="str">
        <f t="shared" si="54"/>
        <v/>
      </c>
      <c r="X78" s="119" t="str">
        <f t="shared" si="55"/>
        <v/>
      </c>
      <c r="Y78" s="119" t="str">
        <f t="shared" si="56"/>
        <v/>
      </c>
      <c r="Z78" s="119" t="str">
        <f t="shared" si="57"/>
        <v/>
      </c>
      <c r="AA78" s="119" t="str">
        <f t="shared" si="58"/>
        <v/>
      </c>
      <c r="AB78" s="119" t="str">
        <f t="shared" si="59"/>
        <v/>
      </c>
      <c r="AC78" s="119" t="str">
        <f t="shared" si="60"/>
        <v/>
      </c>
      <c r="AD78" s="119" t="str">
        <f t="shared" si="61"/>
        <v/>
      </c>
      <c r="AG78" s="124">
        <v>0.6</v>
      </c>
      <c r="AH78" s="123">
        <v>2</v>
      </c>
      <c r="AI78" s="123">
        <v>1</v>
      </c>
      <c r="AJ78" s="131">
        <v>1</v>
      </c>
      <c r="AK78" s="131">
        <f t="shared" si="62"/>
        <v>0.8</v>
      </c>
      <c r="AL78" s="131">
        <f t="shared" si="63"/>
        <v>0</v>
      </c>
      <c r="AM78" s="131">
        <v>0.5</v>
      </c>
      <c r="AN78" s="131">
        <v>0.4</v>
      </c>
      <c r="AO78" s="131">
        <v>0</v>
      </c>
      <c r="AP78" s="131">
        <v>1</v>
      </c>
      <c r="AQ78" s="123"/>
      <c r="AR78" s="125"/>
    </row>
    <row r="79" spans="9:44" ht="12" customHeight="1">
      <c r="I79" s="143" t="str">
        <f t="shared" ref="I79:I82" si="67">$C$5&amp;" "&amp;$E$10&amp;" "&amp;RIGHT(G14,LEN(G14)-FIND(" ",G14))</f>
        <v>Industry Electrical and ICT equipments Biogas</v>
      </c>
      <c r="J79" s="152" t="s">
        <v>207</v>
      </c>
      <c r="K79" s="151" t="str">
        <f t="shared" si="47"/>
        <v>IND-EQBIGExt</v>
      </c>
      <c r="L79" s="101" t="str">
        <f t="shared" si="66"/>
        <v/>
      </c>
      <c r="O79" s="122" t="str">
        <f t="shared" si="48"/>
        <v/>
      </c>
      <c r="P79" s="122" t="str">
        <f t="shared" si="64"/>
        <v/>
      </c>
      <c r="Q79" s="114" t="str">
        <f t="shared" si="49"/>
        <v/>
      </c>
      <c r="R79" s="112" t="str">
        <f t="shared" si="65"/>
        <v/>
      </c>
      <c r="S79" s="119" t="str">
        <f t="shared" si="50"/>
        <v/>
      </c>
      <c r="T79" s="119" t="str">
        <f t="shared" si="51"/>
        <v/>
      </c>
      <c r="U79" s="119" t="str">
        <f t="shared" si="52"/>
        <v/>
      </c>
      <c r="V79" s="119" t="str">
        <f t="shared" si="53"/>
        <v/>
      </c>
      <c r="W79" s="119" t="str">
        <f t="shared" si="54"/>
        <v/>
      </c>
      <c r="X79" s="119" t="str">
        <f t="shared" si="55"/>
        <v/>
      </c>
      <c r="Y79" s="119" t="str">
        <f t="shared" si="56"/>
        <v/>
      </c>
      <c r="Z79" s="119" t="str">
        <f t="shared" si="57"/>
        <v/>
      </c>
      <c r="AA79" s="119" t="str">
        <f t="shared" si="58"/>
        <v/>
      </c>
      <c r="AB79" s="119" t="str">
        <f t="shared" si="59"/>
        <v/>
      </c>
      <c r="AC79" s="119" t="str">
        <f t="shared" si="60"/>
        <v/>
      </c>
      <c r="AD79" s="119" t="str">
        <f t="shared" si="61"/>
        <v/>
      </c>
      <c r="AG79" s="124">
        <v>0.6</v>
      </c>
      <c r="AH79" s="123">
        <v>2</v>
      </c>
      <c r="AI79" s="123">
        <v>1</v>
      </c>
      <c r="AJ79" s="131">
        <v>1</v>
      </c>
      <c r="AK79" s="131">
        <f t="shared" si="62"/>
        <v>0.8</v>
      </c>
      <c r="AL79" s="131">
        <f t="shared" si="63"/>
        <v>0</v>
      </c>
      <c r="AM79" s="131">
        <v>0.5</v>
      </c>
      <c r="AN79" s="131">
        <v>0.4</v>
      </c>
      <c r="AO79" s="131">
        <v>0</v>
      </c>
      <c r="AP79" s="131">
        <v>1</v>
      </c>
      <c r="AQ79" s="123"/>
      <c r="AR79" s="125"/>
    </row>
    <row r="80" spans="9:44" ht="12" customHeight="1">
      <c r="I80" s="143" t="str">
        <f t="shared" si="67"/>
        <v>Industry Electrical and ICT equipments Wood</v>
      </c>
      <c r="J80" s="152" t="s">
        <v>207</v>
      </c>
      <c r="K80" s="151" t="str">
        <f t="shared" si="47"/>
        <v>IND-EQWODExt</v>
      </c>
      <c r="L80" s="101" t="str">
        <f t="shared" ref="L80:L85" si="68">IF(J80="Yes",K80,"")</f>
        <v/>
      </c>
      <c r="O80" s="122" t="str">
        <f t="shared" si="48"/>
        <v/>
      </c>
      <c r="P80" s="122" t="str">
        <f t="shared" si="64"/>
        <v/>
      </c>
      <c r="Q80" s="114" t="str">
        <f t="shared" si="49"/>
        <v/>
      </c>
      <c r="R80" s="112" t="str">
        <f t="shared" si="65"/>
        <v/>
      </c>
      <c r="S80" s="119" t="str">
        <f t="shared" si="50"/>
        <v/>
      </c>
      <c r="T80" s="119" t="str">
        <f t="shared" si="51"/>
        <v/>
      </c>
      <c r="U80" s="119" t="str">
        <f t="shared" si="52"/>
        <v/>
      </c>
      <c r="V80" s="119" t="str">
        <f t="shared" si="53"/>
        <v/>
      </c>
      <c r="W80" s="119" t="str">
        <f t="shared" si="54"/>
        <v/>
      </c>
      <c r="X80" s="119" t="str">
        <f t="shared" si="55"/>
        <v/>
      </c>
      <c r="Y80" s="119" t="str">
        <f t="shared" si="56"/>
        <v/>
      </c>
      <c r="Z80" s="119" t="str">
        <f t="shared" si="57"/>
        <v/>
      </c>
      <c r="AA80" s="119" t="str">
        <f t="shared" si="58"/>
        <v/>
      </c>
      <c r="AB80" s="119" t="str">
        <f t="shared" si="59"/>
        <v/>
      </c>
      <c r="AC80" s="119" t="str">
        <f t="shared" si="60"/>
        <v/>
      </c>
      <c r="AD80" s="119" t="str">
        <f t="shared" si="61"/>
        <v/>
      </c>
      <c r="AG80" s="124">
        <v>0.6</v>
      </c>
      <c r="AH80" s="123">
        <v>2</v>
      </c>
      <c r="AI80" s="123">
        <v>1</v>
      </c>
      <c r="AJ80" s="131">
        <v>1</v>
      </c>
      <c r="AK80" s="131">
        <f t="shared" si="62"/>
        <v>0.8</v>
      </c>
      <c r="AL80" s="131">
        <f t="shared" si="63"/>
        <v>0</v>
      </c>
      <c r="AM80" s="131">
        <v>0.5</v>
      </c>
      <c r="AN80" s="131">
        <v>0.4</v>
      </c>
      <c r="AO80" s="131">
        <v>0</v>
      </c>
      <c r="AP80" s="131">
        <v>1</v>
      </c>
      <c r="AQ80" s="123"/>
      <c r="AR80" s="125"/>
    </row>
    <row r="81" spans="9:44" ht="12" customHeight="1">
      <c r="I81" s="143" t="str">
        <f t="shared" si="67"/>
        <v>Industry Electrical and ICT equipments Tidal</v>
      </c>
      <c r="J81" s="152" t="s">
        <v>207</v>
      </c>
      <c r="K81" s="151" t="str">
        <f t="shared" ref="K81:K82" si="69">$D$5&amp;$F$10&amp;RIGHT(H16,3)&amp;$B$5</f>
        <v>IND-EQTIDExt</v>
      </c>
      <c r="L81" s="101" t="str">
        <f t="shared" si="68"/>
        <v/>
      </c>
      <c r="O81" s="122" t="str">
        <f t="shared" si="48"/>
        <v/>
      </c>
      <c r="P81" s="122" t="str">
        <f t="shared" si="64"/>
        <v/>
      </c>
      <c r="Q81" s="114" t="str">
        <f t="shared" si="49"/>
        <v/>
      </c>
      <c r="R81" s="112" t="str">
        <f t="shared" si="65"/>
        <v/>
      </c>
      <c r="S81" s="119" t="str">
        <f t="shared" si="50"/>
        <v/>
      </c>
      <c r="T81" s="119" t="str">
        <f t="shared" si="51"/>
        <v/>
      </c>
      <c r="U81" s="119" t="str">
        <f t="shared" si="52"/>
        <v/>
      </c>
      <c r="V81" s="119" t="str">
        <f t="shared" si="53"/>
        <v/>
      </c>
      <c r="W81" s="119" t="str">
        <f t="shared" si="54"/>
        <v/>
      </c>
      <c r="X81" s="119" t="str">
        <f t="shared" si="55"/>
        <v/>
      </c>
      <c r="Y81" s="119" t="str">
        <f t="shared" si="56"/>
        <v/>
      </c>
      <c r="Z81" s="119" t="str">
        <f t="shared" si="57"/>
        <v/>
      </c>
      <c r="AA81" s="119" t="str">
        <f t="shared" si="58"/>
        <v/>
      </c>
      <c r="AB81" s="119" t="str">
        <f t="shared" si="59"/>
        <v/>
      </c>
      <c r="AC81" s="119" t="str">
        <f t="shared" si="60"/>
        <v/>
      </c>
      <c r="AD81" s="119" t="str">
        <f t="shared" si="61"/>
        <v/>
      </c>
      <c r="AG81" s="124">
        <v>0.6</v>
      </c>
      <c r="AH81" s="123">
        <v>2</v>
      </c>
      <c r="AI81" s="123">
        <v>1</v>
      </c>
      <c r="AJ81" s="131">
        <v>1</v>
      </c>
      <c r="AK81" s="131">
        <f t="shared" si="62"/>
        <v>0.8</v>
      </c>
      <c r="AL81" s="131">
        <f t="shared" si="63"/>
        <v>0</v>
      </c>
      <c r="AM81" s="131">
        <v>0.5</v>
      </c>
      <c r="AN81" s="131">
        <v>0.4</v>
      </c>
      <c r="AO81" s="131">
        <v>0</v>
      </c>
      <c r="AP81" s="131">
        <v>1</v>
      </c>
      <c r="AQ81" s="123"/>
      <c r="AR81" s="125"/>
    </row>
    <row r="82" spans="9:44" ht="12" customHeight="1">
      <c r="I82" s="143" t="str">
        <f t="shared" si="67"/>
        <v>Industry Electrical and ICT equipments Electricity</v>
      </c>
      <c r="J82" s="153" t="s">
        <v>206</v>
      </c>
      <c r="K82" s="151" t="str">
        <f t="shared" si="69"/>
        <v>IND-EQELCExt</v>
      </c>
      <c r="L82" s="101" t="str">
        <f t="shared" si="68"/>
        <v>IND-EQELCExt</v>
      </c>
      <c r="O82" s="122" t="str">
        <f t="shared" si="48"/>
        <v>Industry Electrical and ICT equipments Electricity</v>
      </c>
      <c r="P82" s="122" t="str">
        <f t="shared" si="64"/>
        <v>IND-EQELCExt</v>
      </c>
      <c r="Q82" s="114" t="str">
        <f t="shared" si="49"/>
        <v>IND-ELC</v>
      </c>
      <c r="R82" s="112" t="str">
        <f t="shared" si="65"/>
        <v>IND-EQ</v>
      </c>
      <c r="S82" s="119">
        <f t="shared" si="50"/>
        <v>0.6</v>
      </c>
      <c r="T82" s="119">
        <f t="shared" si="51"/>
        <v>2</v>
      </c>
      <c r="U82" s="119">
        <f t="shared" si="52"/>
        <v>1</v>
      </c>
      <c r="V82" s="119">
        <f t="shared" si="53"/>
        <v>1</v>
      </c>
      <c r="W82" s="119">
        <f t="shared" si="54"/>
        <v>0.8</v>
      </c>
      <c r="X82" s="119">
        <f t="shared" si="55"/>
        <v>0</v>
      </c>
      <c r="Y82" s="119">
        <f t="shared" si="56"/>
        <v>0.5</v>
      </c>
      <c r="Z82" s="119">
        <f t="shared" si="57"/>
        <v>0.4</v>
      </c>
      <c r="AA82" s="119">
        <f t="shared" si="58"/>
        <v>0</v>
      </c>
      <c r="AB82" s="119">
        <f t="shared" si="59"/>
        <v>1</v>
      </c>
      <c r="AC82" s="119">
        <f t="shared" si="60"/>
        <v>0</v>
      </c>
      <c r="AD82" s="119">
        <f t="shared" si="61"/>
        <v>0</v>
      </c>
      <c r="AG82" s="124">
        <v>0.6</v>
      </c>
      <c r="AH82" s="123">
        <v>2</v>
      </c>
      <c r="AI82" s="123">
        <v>1</v>
      </c>
      <c r="AJ82" s="131">
        <v>1</v>
      </c>
      <c r="AK82" s="131">
        <f t="shared" si="62"/>
        <v>0.8</v>
      </c>
      <c r="AL82" s="131">
        <f t="shared" si="63"/>
        <v>0</v>
      </c>
      <c r="AM82" s="131">
        <v>0.5</v>
      </c>
      <c r="AN82" s="131">
        <v>0.4</v>
      </c>
      <c r="AO82" s="131">
        <v>0</v>
      </c>
      <c r="AP82" s="131">
        <v>1</v>
      </c>
      <c r="AQ82" s="123"/>
      <c r="AR82" s="125"/>
    </row>
    <row r="83" spans="9:44" ht="12" customHeight="1">
      <c r="I83" s="142" t="str">
        <f t="shared" ref="I83:I92" si="70">$C$5&amp;" "&amp;$E$11&amp;" "&amp;RIGHT(G5,LEN(G5)-FIND(" ",G5))</f>
        <v>Industry Mechanical drive Coal</v>
      </c>
      <c r="J83" s="152" t="s">
        <v>206</v>
      </c>
      <c r="K83" s="150" t="str">
        <f t="shared" ref="K83:K92" si="71">$D$5&amp;$F$11&amp;RIGHT(H5,3)&amp;$B$5</f>
        <v>IND-MDCOAExt</v>
      </c>
      <c r="L83" s="101" t="str">
        <f t="shared" si="68"/>
        <v>IND-MDCOAExt</v>
      </c>
      <c r="O83" s="122" t="str">
        <f t="shared" si="48"/>
        <v>Industry Mechanical drive Coal</v>
      </c>
      <c r="P83" s="122" t="str">
        <f t="shared" si="64"/>
        <v>IND-MDCOAExt</v>
      </c>
      <c r="Q83" s="114" t="str">
        <f t="shared" si="49"/>
        <v>IND-COA</v>
      </c>
      <c r="R83" s="112" t="str">
        <f t="shared" si="65"/>
        <v>IND-MD</v>
      </c>
      <c r="S83" s="119">
        <f t="shared" si="50"/>
        <v>0.6</v>
      </c>
      <c r="T83" s="119">
        <f t="shared" si="51"/>
        <v>2</v>
      </c>
      <c r="U83" s="119">
        <f t="shared" si="52"/>
        <v>1</v>
      </c>
      <c r="V83" s="119">
        <f t="shared" si="53"/>
        <v>1</v>
      </c>
      <c r="W83" s="119">
        <f t="shared" si="54"/>
        <v>0.8</v>
      </c>
      <c r="X83" s="119">
        <f t="shared" si="55"/>
        <v>0</v>
      </c>
      <c r="Y83" s="119">
        <f t="shared" si="56"/>
        <v>0.5</v>
      </c>
      <c r="Z83" s="119">
        <f t="shared" si="57"/>
        <v>0.4</v>
      </c>
      <c r="AA83" s="119">
        <f t="shared" si="58"/>
        <v>0</v>
      </c>
      <c r="AB83" s="119">
        <f t="shared" si="59"/>
        <v>1</v>
      </c>
      <c r="AC83" s="119">
        <f t="shared" si="60"/>
        <v>0</v>
      </c>
      <c r="AD83" s="119">
        <f t="shared" si="61"/>
        <v>0</v>
      </c>
      <c r="AG83" s="124">
        <v>0.6</v>
      </c>
      <c r="AH83" s="123">
        <v>2</v>
      </c>
      <c r="AI83" s="123">
        <v>1</v>
      </c>
      <c r="AJ83" s="131">
        <v>1</v>
      </c>
      <c r="AK83" s="131">
        <f t="shared" si="62"/>
        <v>0.8</v>
      </c>
      <c r="AL83" s="131">
        <f t="shared" si="63"/>
        <v>0</v>
      </c>
      <c r="AM83" s="131">
        <v>0.5</v>
      </c>
      <c r="AN83" s="131">
        <v>0.4</v>
      </c>
      <c r="AO83" s="131">
        <v>0</v>
      </c>
      <c r="AP83" s="131">
        <v>1</v>
      </c>
      <c r="AQ83" s="123"/>
      <c r="AR83" s="125"/>
    </row>
    <row r="84" spans="9:44" ht="12" customHeight="1">
      <c r="I84" s="143" t="str">
        <f t="shared" si="70"/>
        <v>Industry Mechanical drive Lignite</v>
      </c>
      <c r="J84" s="152" t="s">
        <v>206</v>
      </c>
      <c r="K84" s="151" t="str">
        <f t="shared" si="71"/>
        <v>IND-MDCOLExt</v>
      </c>
      <c r="L84" s="101" t="str">
        <f t="shared" si="68"/>
        <v>IND-MDCOLExt</v>
      </c>
      <c r="O84" s="122" t="str">
        <f t="shared" si="48"/>
        <v>Industry Mechanical drive Lignite</v>
      </c>
      <c r="P84" s="122" t="str">
        <f t="shared" si="64"/>
        <v>IND-MDCOLExt</v>
      </c>
      <c r="Q84" s="114" t="str">
        <f t="shared" si="49"/>
        <v>IND-COL</v>
      </c>
      <c r="R84" s="112" t="str">
        <f t="shared" si="65"/>
        <v>IND-MD</v>
      </c>
      <c r="S84" s="119">
        <f t="shared" si="50"/>
        <v>0.6</v>
      </c>
      <c r="T84" s="119">
        <f t="shared" si="51"/>
        <v>2</v>
      </c>
      <c r="U84" s="119">
        <f t="shared" si="52"/>
        <v>1</v>
      </c>
      <c r="V84" s="119">
        <f t="shared" si="53"/>
        <v>1</v>
      </c>
      <c r="W84" s="119">
        <f t="shared" si="54"/>
        <v>0.8</v>
      </c>
      <c r="X84" s="119">
        <f t="shared" si="55"/>
        <v>0</v>
      </c>
      <c r="Y84" s="119">
        <f t="shared" si="56"/>
        <v>0.5</v>
      </c>
      <c r="Z84" s="119">
        <f t="shared" si="57"/>
        <v>0.4</v>
      </c>
      <c r="AA84" s="119">
        <f t="shared" si="58"/>
        <v>0</v>
      </c>
      <c r="AB84" s="119">
        <f t="shared" si="59"/>
        <v>1</v>
      </c>
      <c r="AC84" s="119">
        <f t="shared" si="60"/>
        <v>0</v>
      </c>
      <c r="AD84" s="119">
        <f t="shared" si="61"/>
        <v>0</v>
      </c>
      <c r="AG84" s="124">
        <v>0.6</v>
      </c>
      <c r="AH84" s="123">
        <v>2</v>
      </c>
      <c r="AI84" s="123">
        <v>1</v>
      </c>
      <c r="AJ84" s="131">
        <v>1</v>
      </c>
      <c r="AK84" s="131">
        <f t="shared" si="62"/>
        <v>0.8</v>
      </c>
      <c r="AL84" s="131">
        <f t="shared" si="63"/>
        <v>0</v>
      </c>
      <c r="AM84" s="131">
        <v>0.5</v>
      </c>
      <c r="AN84" s="131">
        <v>0.4</v>
      </c>
      <c r="AO84" s="131">
        <v>0</v>
      </c>
      <c r="AP84" s="131">
        <v>1</v>
      </c>
      <c r="AQ84" s="123"/>
      <c r="AR84" s="125"/>
    </row>
    <row r="85" spans="9:44" ht="12" customHeight="1">
      <c r="I85" s="143" t="str">
        <f t="shared" si="70"/>
        <v>Industry Mechanical drive Crude oil</v>
      </c>
      <c r="J85" s="152" t="s">
        <v>206</v>
      </c>
      <c r="K85" s="151" t="str">
        <f t="shared" si="71"/>
        <v>IND-MDOILExt</v>
      </c>
      <c r="L85" s="101" t="str">
        <f t="shared" si="68"/>
        <v>IND-MDOILExt</v>
      </c>
      <c r="O85" s="122" t="str">
        <f t="shared" si="48"/>
        <v>Industry Mechanical drive Crude oil</v>
      </c>
      <c r="P85" s="122" t="str">
        <f t="shared" si="64"/>
        <v>IND-MDOILExt</v>
      </c>
      <c r="Q85" s="114" t="str">
        <f t="shared" si="49"/>
        <v>IND-OIL</v>
      </c>
      <c r="R85" s="112" t="str">
        <f t="shared" si="65"/>
        <v>IND-MD</v>
      </c>
      <c r="S85" s="119">
        <f t="shared" si="50"/>
        <v>0.6</v>
      </c>
      <c r="T85" s="119">
        <f t="shared" si="51"/>
        <v>2</v>
      </c>
      <c r="U85" s="119">
        <f t="shared" si="52"/>
        <v>1</v>
      </c>
      <c r="V85" s="119">
        <f t="shared" si="53"/>
        <v>1</v>
      </c>
      <c r="W85" s="119">
        <f t="shared" si="54"/>
        <v>0.8</v>
      </c>
      <c r="X85" s="119">
        <f t="shared" si="55"/>
        <v>0</v>
      </c>
      <c r="Y85" s="119">
        <f t="shared" si="56"/>
        <v>0.5</v>
      </c>
      <c r="Z85" s="119">
        <f t="shared" si="57"/>
        <v>0.4</v>
      </c>
      <c r="AA85" s="119">
        <f t="shared" si="58"/>
        <v>0</v>
      </c>
      <c r="AB85" s="119">
        <f t="shared" si="59"/>
        <v>1</v>
      </c>
      <c r="AC85" s="119">
        <f t="shared" si="60"/>
        <v>0</v>
      </c>
      <c r="AD85" s="119">
        <f t="shared" si="61"/>
        <v>0</v>
      </c>
      <c r="AG85" s="124">
        <v>0.6</v>
      </c>
      <c r="AH85" s="123">
        <v>2</v>
      </c>
      <c r="AI85" s="123">
        <v>1</v>
      </c>
      <c r="AJ85" s="131">
        <v>1</v>
      </c>
      <c r="AK85" s="131">
        <f t="shared" si="62"/>
        <v>0.8</v>
      </c>
      <c r="AL85" s="131">
        <f t="shared" si="63"/>
        <v>0</v>
      </c>
      <c r="AM85" s="131">
        <v>0.5</v>
      </c>
      <c r="AN85" s="131">
        <v>0.4</v>
      </c>
      <c r="AO85" s="131">
        <v>0</v>
      </c>
      <c r="AP85" s="131">
        <v>1</v>
      </c>
      <c r="AQ85" s="123"/>
      <c r="AR85" s="125"/>
    </row>
    <row r="86" spans="9:44" ht="12" customHeight="1">
      <c r="I86" s="143" t="str">
        <f t="shared" si="70"/>
        <v>Industry Mechanical drive Natural Gas</v>
      </c>
      <c r="J86" s="152" t="s">
        <v>206</v>
      </c>
      <c r="K86" s="151" t="str">
        <f t="shared" si="71"/>
        <v>IND-MDNGAExt</v>
      </c>
      <c r="L86" s="101" t="str">
        <f>IF(J86="Yes",K86,"")</f>
        <v>IND-MDNGAExt</v>
      </c>
      <c r="O86" s="122" t="str">
        <f t="shared" si="48"/>
        <v>Industry Mechanical drive Natural Gas</v>
      </c>
      <c r="P86" s="122" t="str">
        <f t="shared" si="64"/>
        <v>IND-MDNGAExt</v>
      </c>
      <c r="Q86" s="114" t="str">
        <f t="shared" si="49"/>
        <v>IND-NGA</v>
      </c>
      <c r="R86" s="112" t="str">
        <f t="shared" si="65"/>
        <v>IND-MD</v>
      </c>
      <c r="S86" s="119">
        <f t="shared" si="50"/>
        <v>0.6</v>
      </c>
      <c r="T86" s="119">
        <f t="shared" si="51"/>
        <v>2</v>
      </c>
      <c r="U86" s="119">
        <f t="shared" si="52"/>
        <v>1</v>
      </c>
      <c r="V86" s="119">
        <f t="shared" si="53"/>
        <v>1</v>
      </c>
      <c r="W86" s="119">
        <f t="shared" si="54"/>
        <v>0.8</v>
      </c>
      <c r="X86" s="119">
        <f t="shared" si="55"/>
        <v>0</v>
      </c>
      <c r="Y86" s="119">
        <f t="shared" si="56"/>
        <v>0.5</v>
      </c>
      <c r="Z86" s="119">
        <f t="shared" si="57"/>
        <v>0.4</v>
      </c>
      <c r="AA86" s="119">
        <f t="shared" si="58"/>
        <v>0</v>
      </c>
      <c r="AB86" s="119">
        <f t="shared" si="59"/>
        <v>1</v>
      </c>
      <c r="AC86" s="119">
        <f t="shared" si="60"/>
        <v>0</v>
      </c>
      <c r="AD86" s="119">
        <f t="shared" si="61"/>
        <v>0</v>
      </c>
      <c r="AG86" s="124">
        <v>0.6</v>
      </c>
      <c r="AH86" s="123">
        <v>2</v>
      </c>
      <c r="AI86" s="123">
        <v>1</v>
      </c>
      <c r="AJ86" s="131">
        <v>1</v>
      </c>
      <c r="AK86" s="131">
        <f t="shared" si="62"/>
        <v>0.8</v>
      </c>
      <c r="AL86" s="131">
        <f t="shared" si="63"/>
        <v>0</v>
      </c>
      <c r="AM86" s="131">
        <v>0.5</v>
      </c>
      <c r="AN86" s="131">
        <v>0.4</v>
      </c>
      <c r="AO86" s="131">
        <v>0</v>
      </c>
      <c r="AP86" s="131">
        <v>1</v>
      </c>
      <c r="AQ86" s="123"/>
      <c r="AR86" s="125"/>
    </row>
    <row r="87" spans="9:44" ht="12" customHeight="1">
      <c r="I87" s="143" t="str">
        <f t="shared" si="70"/>
        <v>Industry Mechanical drive Hydro</v>
      </c>
      <c r="J87" s="152" t="s">
        <v>206</v>
      </c>
      <c r="K87" s="151" t="str">
        <f t="shared" si="71"/>
        <v>IND-MDHYDExt</v>
      </c>
      <c r="L87" s="101" t="str">
        <f>IF(J87="Yes",K87,"")</f>
        <v>IND-MDHYDExt</v>
      </c>
      <c r="O87" s="122" t="str">
        <f t="shared" si="48"/>
        <v>Industry Mechanical drive Hydro</v>
      </c>
      <c r="P87" s="122" t="str">
        <f t="shared" si="64"/>
        <v>IND-MDHYDExt</v>
      </c>
      <c r="Q87" s="114" t="str">
        <f t="shared" si="49"/>
        <v>IND-HYD</v>
      </c>
      <c r="R87" s="112" t="str">
        <f t="shared" si="65"/>
        <v>IND-MD</v>
      </c>
      <c r="S87" s="119">
        <f t="shared" si="50"/>
        <v>0.6</v>
      </c>
      <c r="T87" s="119">
        <f t="shared" si="51"/>
        <v>2</v>
      </c>
      <c r="U87" s="119">
        <f t="shared" si="52"/>
        <v>1</v>
      </c>
      <c r="V87" s="119">
        <f t="shared" si="53"/>
        <v>1</v>
      </c>
      <c r="W87" s="119">
        <f t="shared" si="54"/>
        <v>0.8</v>
      </c>
      <c r="X87" s="119">
        <f t="shared" si="55"/>
        <v>0</v>
      </c>
      <c r="Y87" s="119">
        <f t="shared" si="56"/>
        <v>0.5</v>
      </c>
      <c r="Z87" s="119">
        <f t="shared" si="57"/>
        <v>0.4</v>
      </c>
      <c r="AA87" s="119">
        <f t="shared" si="58"/>
        <v>0</v>
      </c>
      <c r="AB87" s="119">
        <f t="shared" si="59"/>
        <v>1</v>
      </c>
      <c r="AC87" s="119">
        <f t="shared" si="60"/>
        <v>0</v>
      </c>
      <c r="AD87" s="119">
        <f t="shared" si="61"/>
        <v>0</v>
      </c>
      <c r="AG87" s="124">
        <v>0.6</v>
      </c>
      <c r="AH87" s="123">
        <v>2</v>
      </c>
      <c r="AI87" s="123">
        <v>1</v>
      </c>
      <c r="AJ87" s="131">
        <v>1</v>
      </c>
      <c r="AK87" s="131">
        <f t="shared" si="62"/>
        <v>0.8</v>
      </c>
      <c r="AL87" s="131">
        <f t="shared" si="63"/>
        <v>0</v>
      </c>
      <c r="AM87" s="131">
        <v>0.5</v>
      </c>
      <c r="AN87" s="131">
        <v>0.4</v>
      </c>
      <c r="AO87" s="131">
        <v>0</v>
      </c>
      <c r="AP87" s="131">
        <v>1</v>
      </c>
      <c r="AQ87" s="123"/>
      <c r="AR87" s="125"/>
    </row>
    <row r="88" spans="9:44" ht="12" customHeight="1">
      <c r="I88" s="143" t="str">
        <f t="shared" si="70"/>
        <v>Industry Mechanical drive Geothermal</v>
      </c>
      <c r="J88" s="152" t="s">
        <v>206</v>
      </c>
      <c r="K88" s="151" t="str">
        <f t="shared" si="71"/>
        <v>IND-MDGEOExt</v>
      </c>
      <c r="L88" s="101" t="str">
        <f>IF(J88="Yes",K88,"")</f>
        <v>IND-MDGEOExt</v>
      </c>
      <c r="O88" s="122" t="str">
        <f t="shared" si="48"/>
        <v>Industry Mechanical drive Geothermal</v>
      </c>
      <c r="P88" s="122" t="str">
        <f t="shared" si="64"/>
        <v>IND-MDGEOExt</v>
      </c>
      <c r="Q88" s="114" t="str">
        <f t="shared" si="49"/>
        <v>IND-GEO</v>
      </c>
      <c r="R88" s="112" t="str">
        <f t="shared" si="65"/>
        <v>IND-MD</v>
      </c>
      <c r="S88" s="119">
        <f t="shared" si="50"/>
        <v>0.6</v>
      </c>
      <c r="T88" s="119">
        <f t="shared" si="51"/>
        <v>2</v>
      </c>
      <c r="U88" s="119">
        <f t="shared" si="52"/>
        <v>1</v>
      </c>
      <c r="V88" s="119">
        <f t="shared" si="53"/>
        <v>1</v>
      </c>
      <c r="W88" s="119">
        <f t="shared" si="54"/>
        <v>0.8</v>
      </c>
      <c r="X88" s="119">
        <f t="shared" si="55"/>
        <v>0</v>
      </c>
      <c r="Y88" s="119">
        <f t="shared" si="56"/>
        <v>0.5</v>
      </c>
      <c r="Z88" s="119">
        <f t="shared" si="57"/>
        <v>0.4</v>
      </c>
      <c r="AA88" s="119">
        <f t="shared" si="58"/>
        <v>0</v>
      </c>
      <c r="AB88" s="119">
        <f t="shared" si="59"/>
        <v>1</v>
      </c>
      <c r="AC88" s="119">
        <f t="shared" si="60"/>
        <v>0</v>
      </c>
      <c r="AD88" s="119">
        <f t="shared" si="61"/>
        <v>0</v>
      </c>
      <c r="AG88" s="124">
        <v>0.6</v>
      </c>
      <c r="AH88" s="123">
        <v>2</v>
      </c>
      <c r="AI88" s="123">
        <v>1</v>
      </c>
      <c r="AJ88" s="131">
        <v>1</v>
      </c>
      <c r="AK88" s="131">
        <f t="shared" si="62"/>
        <v>0.8</v>
      </c>
      <c r="AL88" s="131">
        <f t="shared" si="63"/>
        <v>0</v>
      </c>
      <c r="AM88" s="131">
        <v>0.5</v>
      </c>
      <c r="AN88" s="131">
        <v>0.4</v>
      </c>
      <c r="AO88" s="131">
        <v>0</v>
      </c>
      <c r="AP88" s="131">
        <v>1</v>
      </c>
      <c r="AQ88" s="123"/>
      <c r="AR88" s="125"/>
    </row>
    <row r="89" spans="9:44" ht="12" customHeight="1">
      <c r="I89" s="143" t="str">
        <f t="shared" si="70"/>
        <v>Industry Mechanical drive Solar</v>
      </c>
      <c r="J89" s="152" t="s">
        <v>207</v>
      </c>
      <c r="K89" s="151" t="str">
        <f t="shared" si="71"/>
        <v>IND-MDSOLExt</v>
      </c>
      <c r="L89" s="101" t="str">
        <f>IF(J89="Yes",K89,"")</f>
        <v/>
      </c>
      <c r="O89" s="122" t="str">
        <f t="shared" si="48"/>
        <v/>
      </c>
      <c r="P89" s="122" t="str">
        <f t="shared" si="64"/>
        <v/>
      </c>
      <c r="Q89" s="114" t="str">
        <f t="shared" si="49"/>
        <v/>
      </c>
      <c r="R89" s="112" t="str">
        <f t="shared" si="65"/>
        <v/>
      </c>
      <c r="S89" s="119" t="str">
        <f t="shared" si="50"/>
        <v/>
      </c>
      <c r="T89" s="119" t="str">
        <f t="shared" si="51"/>
        <v/>
      </c>
      <c r="U89" s="119" t="str">
        <f t="shared" si="52"/>
        <v/>
      </c>
      <c r="V89" s="119" t="str">
        <f t="shared" si="53"/>
        <v/>
      </c>
      <c r="W89" s="119" t="str">
        <f t="shared" si="54"/>
        <v/>
      </c>
      <c r="X89" s="119" t="str">
        <f t="shared" si="55"/>
        <v/>
      </c>
      <c r="Y89" s="119" t="str">
        <f t="shared" si="56"/>
        <v/>
      </c>
      <c r="Z89" s="119" t="str">
        <f t="shared" si="57"/>
        <v/>
      </c>
      <c r="AA89" s="119" t="str">
        <f t="shared" si="58"/>
        <v/>
      </c>
      <c r="AB89" s="119" t="str">
        <f t="shared" si="59"/>
        <v/>
      </c>
      <c r="AC89" s="119" t="str">
        <f t="shared" si="60"/>
        <v/>
      </c>
      <c r="AD89" s="119" t="str">
        <f t="shared" si="61"/>
        <v/>
      </c>
      <c r="AG89" s="124">
        <v>0.6</v>
      </c>
      <c r="AH89" s="123">
        <v>2</v>
      </c>
      <c r="AI89" s="123">
        <v>1</v>
      </c>
      <c r="AJ89" s="131">
        <v>1</v>
      </c>
      <c r="AK89" s="131">
        <f t="shared" si="62"/>
        <v>0.8</v>
      </c>
      <c r="AL89" s="131">
        <f t="shared" si="63"/>
        <v>0</v>
      </c>
      <c r="AM89" s="131">
        <v>0.5</v>
      </c>
      <c r="AN89" s="131">
        <v>0.4</v>
      </c>
      <c r="AO89" s="131">
        <v>0</v>
      </c>
      <c r="AP89" s="131">
        <v>1</v>
      </c>
      <c r="AQ89" s="123"/>
      <c r="AR89" s="125"/>
    </row>
    <row r="90" spans="9:44" ht="12" customHeight="1">
      <c r="I90" s="143" t="str">
        <f t="shared" si="70"/>
        <v>Industry Mechanical drive Wind</v>
      </c>
      <c r="J90" s="152" t="s">
        <v>207</v>
      </c>
      <c r="K90" s="151" t="str">
        <f t="shared" si="71"/>
        <v>IND-MDWINExt</v>
      </c>
      <c r="L90" s="101" t="str">
        <f>IF(J90="Yes",K90,"")</f>
        <v/>
      </c>
      <c r="O90" s="122" t="str">
        <f t="shared" si="48"/>
        <v/>
      </c>
      <c r="P90" s="122" t="str">
        <f t="shared" si="64"/>
        <v/>
      </c>
      <c r="Q90" s="114" t="str">
        <f t="shared" si="49"/>
        <v/>
      </c>
      <c r="R90" s="112" t="str">
        <f t="shared" si="65"/>
        <v/>
      </c>
      <c r="S90" s="119" t="str">
        <f t="shared" si="50"/>
        <v/>
      </c>
      <c r="T90" s="119" t="str">
        <f t="shared" si="51"/>
        <v/>
      </c>
      <c r="U90" s="119" t="str">
        <f t="shared" si="52"/>
        <v/>
      </c>
      <c r="V90" s="119" t="str">
        <f t="shared" si="53"/>
        <v/>
      </c>
      <c r="W90" s="119" t="str">
        <f t="shared" si="54"/>
        <v/>
      </c>
      <c r="X90" s="119" t="str">
        <f t="shared" si="55"/>
        <v/>
      </c>
      <c r="Y90" s="119" t="str">
        <f t="shared" si="56"/>
        <v/>
      </c>
      <c r="Z90" s="119" t="str">
        <f t="shared" si="57"/>
        <v/>
      </c>
      <c r="AA90" s="119" t="str">
        <f t="shared" si="58"/>
        <v/>
      </c>
      <c r="AB90" s="119" t="str">
        <f t="shared" si="59"/>
        <v/>
      </c>
      <c r="AC90" s="119" t="str">
        <f t="shared" si="60"/>
        <v/>
      </c>
      <c r="AD90" s="119" t="str">
        <f t="shared" si="61"/>
        <v/>
      </c>
      <c r="AG90" s="124">
        <v>0.6</v>
      </c>
      <c r="AH90" s="123">
        <v>2</v>
      </c>
      <c r="AI90" s="123">
        <v>1</v>
      </c>
      <c r="AJ90" s="131">
        <v>1</v>
      </c>
      <c r="AK90" s="131">
        <f t="shared" si="62"/>
        <v>0.8</v>
      </c>
      <c r="AL90" s="131">
        <f t="shared" si="63"/>
        <v>0</v>
      </c>
      <c r="AM90" s="131">
        <v>0.5</v>
      </c>
      <c r="AN90" s="131">
        <v>0.4</v>
      </c>
      <c r="AO90" s="131">
        <v>0</v>
      </c>
      <c r="AP90" s="131">
        <v>1</v>
      </c>
      <c r="AQ90" s="123"/>
      <c r="AR90" s="125"/>
    </row>
    <row r="91" spans="9:44" ht="12" customHeight="1">
      <c r="I91" s="143" t="str">
        <f t="shared" si="70"/>
        <v>Industry Mechanical drive Bio Liquids</v>
      </c>
      <c r="J91" s="152" t="s">
        <v>207</v>
      </c>
      <c r="K91" s="151" t="str">
        <f t="shared" si="71"/>
        <v>IND-MDBILExt</v>
      </c>
      <c r="L91" s="101" t="str">
        <f t="shared" ref="L91:L94" si="72">IF(J91="Yes",K91,"")</f>
        <v/>
      </c>
      <c r="O91" s="122" t="str">
        <f t="shared" si="48"/>
        <v/>
      </c>
      <c r="P91" s="122" t="str">
        <f t="shared" si="64"/>
        <v/>
      </c>
      <c r="Q91" s="114" t="str">
        <f t="shared" si="49"/>
        <v/>
      </c>
      <c r="R91" s="112" t="str">
        <f t="shared" si="65"/>
        <v/>
      </c>
      <c r="S91" s="119" t="str">
        <f t="shared" si="50"/>
        <v/>
      </c>
      <c r="T91" s="119" t="str">
        <f t="shared" si="51"/>
        <v/>
      </c>
      <c r="U91" s="119" t="str">
        <f t="shared" si="52"/>
        <v/>
      </c>
      <c r="V91" s="119" t="str">
        <f t="shared" si="53"/>
        <v/>
      </c>
      <c r="W91" s="119" t="str">
        <f t="shared" si="54"/>
        <v/>
      </c>
      <c r="X91" s="119" t="str">
        <f t="shared" si="55"/>
        <v/>
      </c>
      <c r="Y91" s="119" t="str">
        <f t="shared" si="56"/>
        <v/>
      </c>
      <c r="Z91" s="119" t="str">
        <f t="shared" si="57"/>
        <v/>
      </c>
      <c r="AA91" s="119" t="str">
        <f t="shared" si="58"/>
        <v/>
      </c>
      <c r="AB91" s="119" t="str">
        <f t="shared" si="59"/>
        <v/>
      </c>
      <c r="AC91" s="119" t="str">
        <f t="shared" si="60"/>
        <v/>
      </c>
      <c r="AD91" s="119" t="str">
        <f t="shared" si="61"/>
        <v/>
      </c>
      <c r="AG91" s="124">
        <v>0.6</v>
      </c>
      <c r="AH91" s="123">
        <v>2</v>
      </c>
      <c r="AI91" s="123">
        <v>1</v>
      </c>
      <c r="AJ91" s="131">
        <v>1</v>
      </c>
      <c r="AK91" s="131">
        <f t="shared" si="62"/>
        <v>0.8</v>
      </c>
      <c r="AL91" s="131">
        <f t="shared" si="63"/>
        <v>0</v>
      </c>
      <c r="AM91" s="131">
        <v>0.5</v>
      </c>
      <c r="AN91" s="131">
        <v>0.4</v>
      </c>
      <c r="AO91" s="131">
        <v>0</v>
      </c>
      <c r="AP91" s="131">
        <v>1</v>
      </c>
      <c r="AQ91" s="123"/>
      <c r="AR91" s="125"/>
    </row>
    <row r="92" spans="9:44" ht="12" customHeight="1">
      <c r="I92" s="143" t="str">
        <f t="shared" si="70"/>
        <v>Industry Mechanical drive Biogas</v>
      </c>
      <c r="J92" s="152" t="s">
        <v>206</v>
      </c>
      <c r="K92" s="151" t="str">
        <f t="shared" si="71"/>
        <v>IND-MDBIGExt</v>
      </c>
      <c r="L92" s="101" t="str">
        <f t="shared" si="72"/>
        <v>IND-MDBIGExt</v>
      </c>
      <c r="O92" s="122" t="str">
        <f t="shared" si="48"/>
        <v>Industry Mechanical drive Biogas</v>
      </c>
      <c r="P92" s="122" t="str">
        <f t="shared" si="64"/>
        <v>IND-MDBIGExt</v>
      </c>
      <c r="Q92" s="114" t="str">
        <f t="shared" si="49"/>
        <v>IND-BIG</v>
      </c>
      <c r="R92" s="112" t="str">
        <f t="shared" si="65"/>
        <v>IND-MD</v>
      </c>
      <c r="S92" s="119">
        <f t="shared" si="50"/>
        <v>0.6</v>
      </c>
      <c r="T92" s="119">
        <f t="shared" si="51"/>
        <v>2</v>
      </c>
      <c r="U92" s="119">
        <f t="shared" si="52"/>
        <v>1</v>
      </c>
      <c r="V92" s="119">
        <f t="shared" si="53"/>
        <v>1</v>
      </c>
      <c r="W92" s="119">
        <f t="shared" si="54"/>
        <v>0.8</v>
      </c>
      <c r="X92" s="119">
        <f t="shared" si="55"/>
        <v>0</v>
      </c>
      <c r="Y92" s="119">
        <f t="shared" si="56"/>
        <v>0.5</v>
      </c>
      <c r="Z92" s="119">
        <f t="shared" si="57"/>
        <v>0.4</v>
      </c>
      <c r="AA92" s="119">
        <f t="shared" si="58"/>
        <v>0</v>
      </c>
      <c r="AB92" s="119">
        <f t="shared" si="59"/>
        <v>1</v>
      </c>
      <c r="AC92" s="119">
        <f t="shared" si="60"/>
        <v>0</v>
      </c>
      <c r="AD92" s="119">
        <f t="shared" si="61"/>
        <v>0</v>
      </c>
      <c r="AG92" s="124">
        <v>0.6</v>
      </c>
      <c r="AH92" s="123">
        <v>2</v>
      </c>
      <c r="AI92" s="123">
        <v>1</v>
      </c>
      <c r="AJ92" s="131">
        <v>1</v>
      </c>
      <c r="AK92" s="131">
        <f t="shared" si="62"/>
        <v>0.8</v>
      </c>
      <c r="AL92" s="131">
        <f t="shared" si="63"/>
        <v>0</v>
      </c>
      <c r="AM92" s="131">
        <v>0.5</v>
      </c>
      <c r="AN92" s="131">
        <v>0.4</v>
      </c>
      <c r="AO92" s="131">
        <v>0</v>
      </c>
      <c r="AP92" s="131">
        <v>1</v>
      </c>
      <c r="AQ92" s="123"/>
      <c r="AR92" s="125"/>
    </row>
    <row r="93" spans="9:44" ht="12" customHeight="1">
      <c r="I93" s="143" t="str">
        <f t="shared" ref="I93:I95" si="73">$C$5&amp;" "&amp;$E$11&amp;" "&amp;RIGHT(G15,LEN(G15)-FIND(" ",G15))</f>
        <v>Industry Mechanical drive Wood</v>
      </c>
      <c r="J93" s="152" t="s">
        <v>207</v>
      </c>
      <c r="K93" s="151" t="str">
        <f t="shared" ref="K93:K95" si="74">$D$5&amp;$F$11&amp;RIGHT(H15,3)&amp;$B$5</f>
        <v>IND-MDWODExt</v>
      </c>
      <c r="L93" s="101" t="str">
        <f t="shared" si="72"/>
        <v/>
      </c>
      <c r="O93" s="122" t="str">
        <f t="shared" si="48"/>
        <v/>
      </c>
      <c r="P93" s="122" t="str">
        <f t="shared" si="64"/>
        <v/>
      </c>
      <c r="Q93" s="114" t="str">
        <f t="shared" si="49"/>
        <v/>
      </c>
      <c r="R93" s="112" t="str">
        <f t="shared" si="65"/>
        <v/>
      </c>
      <c r="S93" s="119" t="str">
        <f t="shared" si="50"/>
        <v/>
      </c>
      <c r="T93" s="119" t="str">
        <f t="shared" si="51"/>
        <v/>
      </c>
      <c r="U93" s="119" t="str">
        <f t="shared" si="52"/>
        <v/>
      </c>
      <c r="V93" s="119" t="str">
        <f t="shared" si="53"/>
        <v/>
      </c>
      <c r="W93" s="119" t="str">
        <f t="shared" si="54"/>
        <v/>
      </c>
      <c r="X93" s="119" t="str">
        <f t="shared" si="55"/>
        <v/>
      </c>
      <c r="Y93" s="119" t="str">
        <f t="shared" si="56"/>
        <v/>
      </c>
      <c r="Z93" s="119" t="str">
        <f t="shared" si="57"/>
        <v/>
      </c>
      <c r="AA93" s="119" t="str">
        <f t="shared" si="58"/>
        <v/>
      </c>
      <c r="AB93" s="119" t="str">
        <f t="shared" si="59"/>
        <v/>
      </c>
      <c r="AC93" s="119" t="str">
        <f t="shared" si="60"/>
        <v/>
      </c>
      <c r="AD93" s="119" t="str">
        <f t="shared" si="61"/>
        <v/>
      </c>
      <c r="AG93" s="124">
        <v>0.6</v>
      </c>
      <c r="AH93" s="123">
        <v>2</v>
      </c>
      <c r="AI93" s="123">
        <v>1</v>
      </c>
      <c r="AJ93" s="131">
        <v>1</v>
      </c>
      <c r="AK93" s="131">
        <f t="shared" si="62"/>
        <v>0.8</v>
      </c>
      <c r="AL93" s="131">
        <f t="shared" si="63"/>
        <v>0</v>
      </c>
      <c r="AM93" s="131">
        <v>0.5</v>
      </c>
      <c r="AN93" s="131">
        <v>0.4</v>
      </c>
      <c r="AO93" s="131">
        <v>0</v>
      </c>
      <c r="AP93" s="131">
        <v>1</v>
      </c>
      <c r="AQ93" s="123"/>
      <c r="AR93" s="125"/>
    </row>
    <row r="94" spans="9:44" ht="12" customHeight="1">
      <c r="I94" s="143" t="str">
        <f t="shared" si="73"/>
        <v>Industry Mechanical drive Tidal</v>
      </c>
      <c r="J94" s="152" t="s">
        <v>207</v>
      </c>
      <c r="K94" s="151" t="str">
        <f t="shared" si="74"/>
        <v>IND-MDTIDExt</v>
      </c>
      <c r="L94" s="101" t="str">
        <f t="shared" si="72"/>
        <v/>
      </c>
      <c r="O94" s="122" t="str">
        <f t="shared" si="48"/>
        <v/>
      </c>
      <c r="P94" s="122" t="str">
        <f t="shared" si="64"/>
        <v/>
      </c>
      <c r="Q94" s="114" t="str">
        <f t="shared" si="49"/>
        <v/>
      </c>
      <c r="R94" s="112" t="str">
        <f t="shared" si="65"/>
        <v/>
      </c>
      <c r="S94" s="119" t="str">
        <f t="shared" si="50"/>
        <v/>
      </c>
      <c r="T94" s="119" t="str">
        <f t="shared" si="51"/>
        <v/>
      </c>
      <c r="U94" s="119" t="str">
        <f t="shared" si="52"/>
        <v/>
      </c>
      <c r="V94" s="119" t="str">
        <f t="shared" si="53"/>
        <v/>
      </c>
      <c r="W94" s="119" t="str">
        <f t="shared" si="54"/>
        <v/>
      </c>
      <c r="X94" s="119" t="str">
        <f t="shared" si="55"/>
        <v/>
      </c>
      <c r="Y94" s="119" t="str">
        <f t="shared" si="56"/>
        <v/>
      </c>
      <c r="Z94" s="119" t="str">
        <f t="shared" si="57"/>
        <v/>
      </c>
      <c r="AA94" s="119" t="str">
        <f t="shared" si="58"/>
        <v/>
      </c>
      <c r="AB94" s="119" t="str">
        <f t="shared" si="59"/>
        <v/>
      </c>
      <c r="AC94" s="119" t="str">
        <f t="shared" si="60"/>
        <v/>
      </c>
      <c r="AD94" s="119" t="str">
        <f t="shared" si="61"/>
        <v/>
      </c>
      <c r="AG94" s="124">
        <v>0.6</v>
      </c>
      <c r="AH94" s="123">
        <v>2</v>
      </c>
      <c r="AI94" s="123">
        <v>1</v>
      </c>
      <c r="AJ94" s="131">
        <v>1</v>
      </c>
      <c r="AK94" s="131">
        <f t="shared" si="62"/>
        <v>0.8</v>
      </c>
      <c r="AL94" s="131">
        <f t="shared" si="63"/>
        <v>0</v>
      </c>
      <c r="AM94" s="131">
        <v>0.5</v>
      </c>
      <c r="AN94" s="131">
        <v>0.4</v>
      </c>
      <c r="AO94" s="131">
        <v>0</v>
      </c>
      <c r="AP94" s="131">
        <v>1</v>
      </c>
      <c r="AQ94" s="123"/>
      <c r="AR94" s="125"/>
    </row>
    <row r="95" spans="9:44" ht="12" customHeight="1">
      <c r="I95" s="143" t="str">
        <f t="shared" si="73"/>
        <v>Industry Mechanical drive Electricity</v>
      </c>
      <c r="J95" s="152" t="s">
        <v>206</v>
      </c>
      <c r="K95" s="151" t="str">
        <f t="shared" si="74"/>
        <v>IND-MDELCExt</v>
      </c>
      <c r="L95" s="101" t="str">
        <f>IF(J95="Yes",K95,"")</f>
        <v>IND-MDELCExt</v>
      </c>
      <c r="O95" s="122" t="str">
        <f t="shared" si="48"/>
        <v>Industry Mechanical drive Electricity</v>
      </c>
      <c r="P95" s="122" t="str">
        <f t="shared" si="64"/>
        <v>IND-MDELCExt</v>
      </c>
      <c r="Q95" s="114" t="str">
        <f t="shared" si="49"/>
        <v>IND-ELC</v>
      </c>
      <c r="R95" s="112" t="str">
        <f t="shared" si="65"/>
        <v>IND-MD</v>
      </c>
      <c r="S95" s="119">
        <f t="shared" si="50"/>
        <v>0.6</v>
      </c>
      <c r="T95" s="119">
        <f t="shared" si="51"/>
        <v>2</v>
      </c>
      <c r="U95" s="119">
        <f t="shared" si="52"/>
        <v>1</v>
      </c>
      <c r="V95" s="119">
        <f t="shared" si="53"/>
        <v>1</v>
      </c>
      <c r="W95" s="119">
        <f t="shared" si="54"/>
        <v>0.8</v>
      </c>
      <c r="X95" s="119">
        <f t="shared" si="55"/>
        <v>0</v>
      </c>
      <c r="Y95" s="119">
        <f t="shared" si="56"/>
        <v>0.5</v>
      </c>
      <c r="Z95" s="119">
        <f t="shared" si="57"/>
        <v>0.4</v>
      </c>
      <c r="AA95" s="119">
        <f t="shared" si="58"/>
        <v>0</v>
      </c>
      <c r="AB95" s="119">
        <f t="shared" si="59"/>
        <v>1</v>
      </c>
      <c r="AC95" s="119">
        <f t="shared" si="60"/>
        <v>0</v>
      </c>
      <c r="AD95" s="119">
        <f t="shared" si="61"/>
        <v>0</v>
      </c>
      <c r="AG95" s="124">
        <v>0.6</v>
      </c>
      <c r="AH95" s="123">
        <v>2</v>
      </c>
      <c r="AI95" s="123">
        <v>1</v>
      </c>
      <c r="AJ95" s="131">
        <v>1</v>
      </c>
      <c r="AK95" s="131">
        <f t="shared" si="62"/>
        <v>0.8</v>
      </c>
      <c r="AL95" s="131">
        <f t="shared" si="63"/>
        <v>0</v>
      </c>
      <c r="AM95" s="131">
        <v>0.5</v>
      </c>
      <c r="AN95" s="131">
        <v>0.4</v>
      </c>
      <c r="AO95" s="131">
        <v>0</v>
      </c>
      <c r="AP95" s="131">
        <v>1</v>
      </c>
      <c r="AQ95" s="123"/>
      <c r="AR95" s="125"/>
    </row>
    <row r="96" spans="9:44" ht="12" customHeight="1">
      <c r="I96" s="142" t="str">
        <f t="shared" ref="I96:I104" si="75">$C$5&amp;" "&amp;$E$12&amp;" "&amp;RIGHT(G5,LEN(G5)-FIND(" ",G5))</f>
        <v>Industry Internal transport and others Coal</v>
      </c>
      <c r="J96" s="154" t="s">
        <v>207</v>
      </c>
      <c r="K96" s="150" t="str">
        <f t="shared" ref="K96:K106" si="76">$D$5&amp;$F$12&amp;RIGHT(H5,3)&amp;$B$5</f>
        <v>IND-OTCOAExt</v>
      </c>
      <c r="L96" s="101" t="str">
        <f t="shared" ref="L96:L120" si="77">IF(J96="Yes",K96,"")</f>
        <v/>
      </c>
      <c r="O96" s="122" t="str">
        <f t="shared" si="48"/>
        <v/>
      </c>
      <c r="P96" s="122" t="str">
        <f t="shared" si="64"/>
        <v/>
      </c>
      <c r="Q96" s="114" t="str">
        <f t="shared" si="49"/>
        <v/>
      </c>
      <c r="R96" s="112" t="str">
        <f t="shared" si="65"/>
        <v/>
      </c>
      <c r="S96" s="119" t="str">
        <f t="shared" si="50"/>
        <v/>
      </c>
      <c r="T96" s="119" t="str">
        <f t="shared" si="51"/>
        <v/>
      </c>
      <c r="U96" s="119" t="str">
        <f t="shared" si="52"/>
        <v/>
      </c>
      <c r="V96" s="119" t="str">
        <f t="shared" si="53"/>
        <v/>
      </c>
      <c r="W96" s="119" t="str">
        <f t="shared" si="54"/>
        <v/>
      </c>
      <c r="X96" s="119" t="str">
        <f t="shared" si="55"/>
        <v/>
      </c>
      <c r="Y96" s="119" t="str">
        <f t="shared" si="56"/>
        <v/>
      </c>
      <c r="Z96" s="119" t="str">
        <f t="shared" si="57"/>
        <v/>
      </c>
      <c r="AA96" s="119" t="str">
        <f t="shared" si="58"/>
        <v/>
      </c>
      <c r="AB96" s="119" t="str">
        <f t="shared" si="59"/>
        <v/>
      </c>
      <c r="AC96" s="119" t="str">
        <f t="shared" si="60"/>
        <v/>
      </c>
      <c r="AD96" s="119" t="str">
        <f t="shared" si="61"/>
        <v/>
      </c>
      <c r="AG96" s="124">
        <v>0.6</v>
      </c>
      <c r="AH96" s="123">
        <v>2</v>
      </c>
      <c r="AI96" s="123">
        <v>1</v>
      </c>
      <c r="AJ96" s="131">
        <v>1</v>
      </c>
      <c r="AK96" s="131">
        <f t="shared" si="62"/>
        <v>0.8</v>
      </c>
      <c r="AL96" s="131">
        <f t="shared" si="63"/>
        <v>0</v>
      </c>
      <c r="AM96" s="131">
        <v>0.5</v>
      </c>
      <c r="AN96" s="131">
        <v>0.4</v>
      </c>
      <c r="AO96" s="131">
        <v>0</v>
      </c>
      <c r="AP96" s="131">
        <v>1</v>
      </c>
      <c r="AQ96" s="123"/>
      <c r="AR96" s="125"/>
    </row>
    <row r="97" spans="9:44" ht="12" customHeight="1">
      <c r="I97" s="143" t="str">
        <f t="shared" si="75"/>
        <v>Industry Internal transport and others Lignite</v>
      </c>
      <c r="J97" s="152" t="s">
        <v>207</v>
      </c>
      <c r="K97" s="151" t="str">
        <f t="shared" si="76"/>
        <v>IND-OTCOLExt</v>
      </c>
      <c r="L97" s="101" t="str">
        <f t="shared" si="77"/>
        <v/>
      </c>
      <c r="O97" s="122" t="str">
        <f t="shared" si="48"/>
        <v/>
      </c>
      <c r="P97" s="122" t="str">
        <f t="shared" si="64"/>
        <v/>
      </c>
      <c r="Q97" s="114" t="str">
        <f t="shared" si="49"/>
        <v/>
      </c>
      <c r="R97" s="112" t="str">
        <f t="shared" si="65"/>
        <v/>
      </c>
      <c r="S97" s="119" t="str">
        <f t="shared" si="50"/>
        <v/>
      </c>
      <c r="T97" s="119" t="str">
        <f t="shared" si="51"/>
        <v/>
      </c>
      <c r="U97" s="119" t="str">
        <f t="shared" si="52"/>
        <v/>
      </c>
      <c r="V97" s="119" t="str">
        <f t="shared" si="53"/>
        <v/>
      </c>
      <c r="W97" s="119" t="str">
        <f t="shared" si="54"/>
        <v/>
      </c>
      <c r="X97" s="119" t="str">
        <f t="shared" si="55"/>
        <v/>
      </c>
      <c r="Y97" s="119" t="str">
        <f t="shared" si="56"/>
        <v/>
      </c>
      <c r="Z97" s="119" t="str">
        <f t="shared" si="57"/>
        <v/>
      </c>
      <c r="AA97" s="119" t="str">
        <f t="shared" si="58"/>
        <v/>
      </c>
      <c r="AB97" s="119" t="str">
        <f t="shared" si="59"/>
        <v/>
      </c>
      <c r="AC97" s="119" t="str">
        <f t="shared" si="60"/>
        <v/>
      </c>
      <c r="AD97" s="119" t="str">
        <f t="shared" si="61"/>
        <v/>
      </c>
      <c r="AG97" s="124">
        <v>0.6</v>
      </c>
      <c r="AH97" s="123">
        <v>2</v>
      </c>
      <c r="AI97" s="123">
        <v>1</v>
      </c>
      <c r="AJ97" s="131">
        <v>1</v>
      </c>
      <c r="AK97" s="131">
        <f t="shared" si="62"/>
        <v>0.8</v>
      </c>
      <c r="AL97" s="131">
        <f t="shared" si="63"/>
        <v>0</v>
      </c>
      <c r="AM97" s="131">
        <v>0.5</v>
      </c>
      <c r="AN97" s="131">
        <v>0.4</v>
      </c>
      <c r="AO97" s="131">
        <v>0</v>
      </c>
      <c r="AP97" s="131">
        <v>1</v>
      </c>
      <c r="AQ97" s="123"/>
      <c r="AR97" s="125"/>
    </row>
    <row r="98" spans="9:44" ht="12" customHeight="1">
      <c r="I98" s="143" t="str">
        <f t="shared" si="75"/>
        <v>Industry Internal transport and others Crude oil</v>
      </c>
      <c r="J98" s="152" t="s">
        <v>207</v>
      </c>
      <c r="K98" s="151" t="str">
        <f t="shared" si="76"/>
        <v>IND-OTOILExt</v>
      </c>
      <c r="L98" s="101" t="str">
        <f t="shared" si="77"/>
        <v/>
      </c>
      <c r="O98" s="122" t="str">
        <f t="shared" si="48"/>
        <v/>
      </c>
      <c r="P98" s="122" t="str">
        <f t="shared" si="64"/>
        <v/>
      </c>
      <c r="Q98" s="114" t="str">
        <f t="shared" si="49"/>
        <v/>
      </c>
      <c r="R98" s="112" t="str">
        <f t="shared" si="65"/>
        <v/>
      </c>
      <c r="S98" s="119" t="str">
        <f t="shared" si="50"/>
        <v/>
      </c>
      <c r="T98" s="119" t="str">
        <f t="shared" si="51"/>
        <v/>
      </c>
      <c r="U98" s="119" t="str">
        <f t="shared" si="52"/>
        <v/>
      </c>
      <c r="V98" s="119" t="str">
        <f t="shared" si="53"/>
        <v/>
      </c>
      <c r="W98" s="119" t="str">
        <f t="shared" si="54"/>
        <v/>
      </c>
      <c r="X98" s="119" t="str">
        <f t="shared" si="55"/>
        <v/>
      </c>
      <c r="Y98" s="119" t="str">
        <f t="shared" si="56"/>
        <v/>
      </c>
      <c r="Z98" s="119" t="str">
        <f t="shared" si="57"/>
        <v/>
      </c>
      <c r="AA98" s="119" t="str">
        <f t="shared" si="58"/>
        <v/>
      </c>
      <c r="AB98" s="119" t="str">
        <f t="shared" si="59"/>
        <v/>
      </c>
      <c r="AC98" s="119" t="str">
        <f t="shared" si="60"/>
        <v/>
      </c>
      <c r="AD98" s="119" t="str">
        <f t="shared" si="61"/>
        <v/>
      </c>
      <c r="AG98" s="124">
        <v>0.6</v>
      </c>
      <c r="AH98" s="123">
        <v>2</v>
      </c>
      <c r="AI98" s="123">
        <v>1</v>
      </c>
      <c r="AJ98" s="131">
        <v>1</v>
      </c>
      <c r="AK98" s="131">
        <f t="shared" si="62"/>
        <v>0.8</v>
      </c>
      <c r="AL98" s="131">
        <f t="shared" si="63"/>
        <v>0</v>
      </c>
      <c r="AM98" s="131">
        <v>0.5</v>
      </c>
      <c r="AN98" s="131">
        <v>0.4</v>
      </c>
      <c r="AO98" s="131">
        <v>0</v>
      </c>
      <c r="AP98" s="131">
        <v>1</v>
      </c>
      <c r="AQ98" s="123"/>
      <c r="AR98" s="125"/>
    </row>
    <row r="99" spans="9:44" ht="12" customHeight="1">
      <c r="I99" s="143" t="str">
        <f t="shared" si="75"/>
        <v>Industry Internal transport and others Natural Gas</v>
      </c>
      <c r="J99" s="152" t="s">
        <v>206</v>
      </c>
      <c r="K99" s="151" t="str">
        <f t="shared" si="76"/>
        <v>IND-OTNGAExt</v>
      </c>
      <c r="L99" s="101" t="str">
        <f t="shared" si="77"/>
        <v>IND-OTNGAExt</v>
      </c>
      <c r="O99" s="122" t="str">
        <f t="shared" si="48"/>
        <v>Industry Internal transport and others Natural Gas</v>
      </c>
      <c r="P99" s="122" t="str">
        <f t="shared" si="64"/>
        <v>IND-OTNGAExt</v>
      </c>
      <c r="Q99" s="114" t="str">
        <f t="shared" si="49"/>
        <v>IND-NGA</v>
      </c>
      <c r="R99" s="112" t="str">
        <f t="shared" si="65"/>
        <v>IND-OT</v>
      </c>
      <c r="S99" s="119">
        <f t="shared" si="50"/>
        <v>0.6</v>
      </c>
      <c r="T99" s="119">
        <f t="shared" si="51"/>
        <v>2</v>
      </c>
      <c r="U99" s="119">
        <f t="shared" si="52"/>
        <v>1</v>
      </c>
      <c r="V99" s="119">
        <f t="shared" si="53"/>
        <v>1</v>
      </c>
      <c r="W99" s="119">
        <f t="shared" si="54"/>
        <v>0.8</v>
      </c>
      <c r="X99" s="119">
        <f t="shared" si="55"/>
        <v>0</v>
      </c>
      <c r="Y99" s="119">
        <f t="shared" si="56"/>
        <v>0.5</v>
      </c>
      <c r="Z99" s="119">
        <f t="shared" si="57"/>
        <v>0.4</v>
      </c>
      <c r="AA99" s="119">
        <f t="shared" si="58"/>
        <v>0</v>
      </c>
      <c r="AB99" s="119">
        <f t="shared" si="59"/>
        <v>1</v>
      </c>
      <c r="AC99" s="119">
        <f t="shared" si="60"/>
        <v>0</v>
      </c>
      <c r="AD99" s="119">
        <f t="shared" si="61"/>
        <v>0</v>
      </c>
      <c r="AG99" s="124">
        <v>0.6</v>
      </c>
      <c r="AH99" s="123">
        <v>2</v>
      </c>
      <c r="AI99" s="123">
        <v>1</v>
      </c>
      <c r="AJ99" s="131">
        <v>1</v>
      </c>
      <c r="AK99" s="131">
        <f t="shared" si="62"/>
        <v>0.8</v>
      </c>
      <c r="AL99" s="131">
        <f t="shared" si="63"/>
        <v>0</v>
      </c>
      <c r="AM99" s="131">
        <v>0.5</v>
      </c>
      <c r="AN99" s="131">
        <v>0.4</v>
      </c>
      <c r="AO99" s="131">
        <v>0</v>
      </c>
      <c r="AP99" s="131">
        <v>1</v>
      </c>
      <c r="AQ99" s="123"/>
      <c r="AR99" s="125"/>
    </row>
    <row r="100" spans="9:44" ht="12" customHeight="1">
      <c r="I100" s="143" t="str">
        <f t="shared" si="75"/>
        <v>Industry Internal transport and others Hydro</v>
      </c>
      <c r="J100" s="152" t="s">
        <v>207</v>
      </c>
      <c r="K100" s="151" t="str">
        <f t="shared" si="76"/>
        <v>IND-OTHYDExt</v>
      </c>
      <c r="L100" s="101" t="str">
        <f t="shared" si="77"/>
        <v/>
      </c>
      <c r="O100" s="122" t="str">
        <f t="shared" si="48"/>
        <v/>
      </c>
      <c r="P100" s="122" t="str">
        <f t="shared" si="64"/>
        <v/>
      </c>
      <c r="Q100" s="114" t="str">
        <f t="shared" si="49"/>
        <v/>
      </c>
      <c r="R100" s="112" t="str">
        <f t="shared" si="65"/>
        <v/>
      </c>
      <c r="S100" s="119" t="str">
        <f t="shared" si="50"/>
        <v/>
      </c>
      <c r="T100" s="119" t="str">
        <f t="shared" si="51"/>
        <v/>
      </c>
      <c r="U100" s="119" t="str">
        <f t="shared" si="52"/>
        <v/>
      </c>
      <c r="V100" s="119" t="str">
        <f t="shared" si="53"/>
        <v/>
      </c>
      <c r="W100" s="119" t="str">
        <f t="shared" si="54"/>
        <v/>
      </c>
      <c r="X100" s="119" t="str">
        <f t="shared" si="55"/>
        <v/>
      </c>
      <c r="Y100" s="119" t="str">
        <f t="shared" si="56"/>
        <v/>
      </c>
      <c r="Z100" s="119" t="str">
        <f t="shared" si="57"/>
        <v/>
      </c>
      <c r="AA100" s="119" t="str">
        <f t="shared" si="58"/>
        <v/>
      </c>
      <c r="AB100" s="119" t="str">
        <f t="shared" si="59"/>
        <v/>
      </c>
      <c r="AC100" s="119" t="str">
        <f t="shared" si="60"/>
        <v/>
      </c>
      <c r="AD100" s="119" t="str">
        <f t="shared" si="61"/>
        <v/>
      </c>
      <c r="AG100" s="124">
        <v>0.6</v>
      </c>
      <c r="AH100" s="123">
        <v>2</v>
      </c>
      <c r="AI100" s="123">
        <v>1</v>
      </c>
      <c r="AJ100" s="131">
        <v>1</v>
      </c>
      <c r="AK100" s="131">
        <f t="shared" si="62"/>
        <v>0.8</v>
      </c>
      <c r="AL100" s="131">
        <f t="shared" si="63"/>
        <v>0</v>
      </c>
      <c r="AM100" s="131">
        <v>0.5</v>
      </c>
      <c r="AN100" s="131">
        <v>0.4</v>
      </c>
      <c r="AO100" s="131">
        <v>0</v>
      </c>
      <c r="AP100" s="131">
        <v>1</v>
      </c>
      <c r="AQ100" s="123"/>
      <c r="AR100" s="125"/>
    </row>
    <row r="101" spans="9:44" ht="12" customHeight="1">
      <c r="I101" s="143" t="str">
        <f t="shared" si="75"/>
        <v>Industry Internal transport and others Geothermal</v>
      </c>
      <c r="J101" s="152" t="s">
        <v>207</v>
      </c>
      <c r="K101" s="151" t="str">
        <f t="shared" si="76"/>
        <v>IND-OTGEOExt</v>
      </c>
      <c r="L101" s="101" t="str">
        <f t="shared" si="77"/>
        <v/>
      </c>
      <c r="O101" s="122" t="str">
        <f t="shared" si="48"/>
        <v/>
      </c>
      <c r="P101" s="122" t="str">
        <f t="shared" si="64"/>
        <v/>
      </c>
      <c r="Q101" s="114" t="str">
        <f t="shared" si="49"/>
        <v/>
      </c>
      <c r="R101" s="112" t="str">
        <f t="shared" si="65"/>
        <v/>
      </c>
      <c r="S101" s="119" t="str">
        <f t="shared" si="50"/>
        <v/>
      </c>
      <c r="T101" s="119" t="str">
        <f t="shared" si="51"/>
        <v/>
      </c>
      <c r="U101" s="119" t="str">
        <f t="shared" si="52"/>
        <v/>
      </c>
      <c r="V101" s="119" t="str">
        <f t="shared" si="53"/>
        <v/>
      </c>
      <c r="W101" s="119" t="str">
        <f t="shared" si="54"/>
        <v/>
      </c>
      <c r="X101" s="119" t="str">
        <f t="shared" si="55"/>
        <v/>
      </c>
      <c r="Y101" s="119" t="str">
        <f t="shared" si="56"/>
        <v/>
      </c>
      <c r="Z101" s="119" t="str">
        <f t="shared" si="57"/>
        <v/>
      </c>
      <c r="AA101" s="119" t="str">
        <f t="shared" si="58"/>
        <v/>
      </c>
      <c r="AB101" s="119" t="str">
        <f t="shared" si="59"/>
        <v/>
      </c>
      <c r="AC101" s="119" t="str">
        <f t="shared" si="60"/>
        <v/>
      </c>
      <c r="AD101" s="119" t="str">
        <f t="shared" si="61"/>
        <v/>
      </c>
      <c r="AG101" s="124">
        <v>0.6</v>
      </c>
      <c r="AH101" s="123">
        <v>2</v>
      </c>
      <c r="AI101" s="123">
        <v>1</v>
      </c>
      <c r="AJ101" s="131">
        <v>1</v>
      </c>
      <c r="AK101" s="131">
        <f t="shared" si="62"/>
        <v>0.8</v>
      </c>
      <c r="AL101" s="131">
        <f t="shared" si="63"/>
        <v>0</v>
      </c>
      <c r="AM101" s="131">
        <v>0.5</v>
      </c>
      <c r="AN101" s="131">
        <v>0.4</v>
      </c>
      <c r="AO101" s="131">
        <v>0</v>
      </c>
      <c r="AP101" s="131">
        <v>1</v>
      </c>
      <c r="AQ101" s="123"/>
      <c r="AR101" s="125"/>
    </row>
    <row r="102" spans="9:44" ht="12" customHeight="1">
      <c r="I102" s="143" t="str">
        <f t="shared" si="75"/>
        <v>Industry Internal transport and others Solar</v>
      </c>
      <c r="J102" s="152" t="s">
        <v>207</v>
      </c>
      <c r="K102" s="151" t="str">
        <f t="shared" si="76"/>
        <v>IND-OTSOLExt</v>
      </c>
      <c r="L102" s="101" t="str">
        <f t="shared" si="77"/>
        <v/>
      </c>
      <c r="O102" s="122" t="str">
        <f t="shared" si="48"/>
        <v/>
      </c>
      <c r="P102" s="122" t="str">
        <f t="shared" si="64"/>
        <v/>
      </c>
      <c r="Q102" s="114" t="str">
        <f t="shared" si="49"/>
        <v/>
      </c>
      <c r="R102" s="112" t="str">
        <f t="shared" si="65"/>
        <v/>
      </c>
      <c r="S102" s="119" t="str">
        <f t="shared" si="50"/>
        <v/>
      </c>
      <c r="T102" s="119" t="str">
        <f t="shared" si="51"/>
        <v/>
      </c>
      <c r="U102" s="119" t="str">
        <f t="shared" si="52"/>
        <v/>
      </c>
      <c r="V102" s="119" t="str">
        <f t="shared" si="53"/>
        <v/>
      </c>
      <c r="W102" s="119" t="str">
        <f t="shared" si="54"/>
        <v/>
      </c>
      <c r="X102" s="119" t="str">
        <f t="shared" si="55"/>
        <v/>
      </c>
      <c r="Y102" s="119" t="str">
        <f t="shared" si="56"/>
        <v/>
      </c>
      <c r="Z102" s="119" t="str">
        <f t="shared" si="57"/>
        <v/>
      </c>
      <c r="AA102" s="119" t="str">
        <f t="shared" si="58"/>
        <v/>
      </c>
      <c r="AB102" s="119" t="str">
        <f t="shared" si="59"/>
        <v/>
      </c>
      <c r="AC102" s="119" t="str">
        <f t="shared" si="60"/>
        <v/>
      </c>
      <c r="AD102" s="119" t="str">
        <f t="shared" si="61"/>
        <v/>
      </c>
      <c r="AG102" s="124">
        <v>0.6</v>
      </c>
      <c r="AH102" s="123">
        <v>2</v>
      </c>
      <c r="AI102" s="123">
        <v>1</v>
      </c>
      <c r="AJ102" s="131">
        <v>1</v>
      </c>
      <c r="AK102" s="131">
        <f t="shared" si="62"/>
        <v>0.8</v>
      </c>
      <c r="AL102" s="131">
        <f t="shared" si="63"/>
        <v>0</v>
      </c>
      <c r="AM102" s="131">
        <v>0.5</v>
      </c>
      <c r="AN102" s="131">
        <v>0.4</v>
      </c>
      <c r="AO102" s="131">
        <v>0</v>
      </c>
      <c r="AP102" s="131">
        <v>1</v>
      </c>
      <c r="AQ102" s="123"/>
      <c r="AR102" s="125"/>
    </row>
    <row r="103" spans="9:44" ht="12" customHeight="1">
      <c r="I103" s="143" t="str">
        <f t="shared" si="75"/>
        <v>Industry Internal transport and others Wind</v>
      </c>
      <c r="J103" s="152" t="s">
        <v>207</v>
      </c>
      <c r="K103" s="151" t="str">
        <f t="shared" si="76"/>
        <v>IND-OTWINExt</v>
      </c>
      <c r="L103" s="101" t="str">
        <f t="shared" si="77"/>
        <v/>
      </c>
      <c r="O103" s="122" t="str">
        <f t="shared" si="48"/>
        <v/>
      </c>
      <c r="P103" s="122" t="str">
        <f t="shared" si="64"/>
        <v/>
      </c>
      <c r="Q103" s="114" t="str">
        <f t="shared" si="49"/>
        <v/>
      </c>
      <c r="R103" s="112" t="str">
        <f t="shared" si="65"/>
        <v/>
      </c>
      <c r="S103" s="119" t="str">
        <f t="shared" si="50"/>
        <v/>
      </c>
      <c r="T103" s="119" t="str">
        <f t="shared" si="51"/>
        <v/>
      </c>
      <c r="U103" s="119" t="str">
        <f t="shared" si="52"/>
        <v/>
      </c>
      <c r="V103" s="119" t="str">
        <f t="shared" si="53"/>
        <v/>
      </c>
      <c r="W103" s="119" t="str">
        <f t="shared" si="54"/>
        <v/>
      </c>
      <c r="X103" s="119" t="str">
        <f t="shared" si="55"/>
        <v/>
      </c>
      <c r="Y103" s="119" t="str">
        <f t="shared" si="56"/>
        <v/>
      </c>
      <c r="Z103" s="119" t="str">
        <f t="shared" si="57"/>
        <v/>
      </c>
      <c r="AA103" s="119" t="str">
        <f t="shared" si="58"/>
        <v/>
      </c>
      <c r="AB103" s="119" t="str">
        <f t="shared" si="59"/>
        <v/>
      </c>
      <c r="AC103" s="119" t="str">
        <f t="shared" si="60"/>
        <v/>
      </c>
      <c r="AD103" s="119" t="str">
        <f t="shared" si="61"/>
        <v/>
      </c>
      <c r="AG103" s="124">
        <v>0.6</v>
      </c>
      <c r="AH103" s="123">
        <v>2</v>
      </c>
      <c r="AI103" s="123">
        <v>1</v>
      </c>
      <c r="AJ103" s="131">
        <v>1</v>
      </c>
      <c r="AK103" s="131">
        <f t="shared" si="62"/>
        <v>0.8</v>
      </c>
      <c r="AL103" s="131">
        <f t="shared" si="63"/>
        <v>0</v>
      </c>
      <c r="AM103" s="131">
        <v>0.5</v>
      </c>
      <c r="AN103" s="131">
        <v>0.4</v>
      </c>
      <c r="AO103" s="131">
        <v>0</v>
      </c>
      <c r="AP103" s="131">
        <v>1</v>
      </c>
      <c r="AQ103" s="123"/>
      <c r="AR103" s="125"/>
    </row>
    <row r="104" spans="9:44" ht="12" customHeight="1">
      <c r="I104" s="143" t="str">
        <f t="shared" si="75"/>
        <v>Industry Internal transport and others Bio Liquids</v>
      </c>
      <c r="J104" s="152" t="s">
        <v>207</v>
      </c>
      <c r="K104" s="151" t="str">
        <f t="shared" si="76"/>
        <v>IND-OTBILExt</v>
      </c>
      <c r="L104" s="101" t="str">
        <f t="shared" si="77"/>
        <v/>
      </c>
      <c r="O104" s="122" t="str">
        <f t="shared" si="48"/>
        <v/>
      </c>
      <c r="P104" s="122" t="str">
        <f t="shared" si="64"/>
        <v/>
      </c>
      <c r="Q104" s="114" t="str">
        <f t="shared" si="49"/>
        <v/>
      </c>
      <c r="R104" s="112" t="str">
        <f t="shared" si="65"/>
        <v/>
      </c>
      <c r="S104" s="119" t="str">
        <f t="shared" si="50"/>
        <v/>
      </c>
      <c r="T104" s="119" t="str">
        <f t="shared" si="51"/>
        <v/>
      </c>
      <c r="U104" s="119" t="str">
        <f t="shared" si="52"/>
        <v/>
      </c>
      <c r="V104" s="119" t="str">
        <f t="shared" si="53"/>
        <v/>
      </c>
      <c r="W104" s="119" t="str">
        <f t="shared" si="54"/>
        <v/>
      </c>
      <c r="X104" s="119" t="str">
        <f t="shared" si="55"/>
        <v/>
      </c>
      <c r="Y104" s="119" t="str">
        <f t="shared" si="56"/>
        <v/>
      </c>
      <c r="Z104" s="119" t="str">
        <f t="shared" si="57"/>
        <v/>
      </c>
      <c r="AA104" s="119" t="str">
        <f t="shared" si="58"/>
        <v/>
      </c>
      <c r="AB104" s="119" t="str">
        <f t="shared" si="59"/>
        <v/>
      </c>
      <c r="AC104" s="119" t="str">
        <f t="shared" si="60"/>
        <v/>
      </c>
      <c r="AD104" s="119" t="str">
        <f t="shared" si="61"/>
        <v/>
      </c>
      <c r="AG104" s="124">
        <v>0.6</v>
      </c>
      <c r="AH104" s="123">
        <v>2</v>
      </c>
      <c r="AI104" s="123">
        <v>1</v>
      </c>
      <c r="AJ104" s="131">
        <v>1</v>
      </c>
      <c r="AK104" s="131">
        <f t="shared" si="62"/>
        <v>0.8</v>
      </c>
      <c r="AL104" s="131">
        <f t="shared" si="63"/>
        <v>0</v>
      </c>
      <c r="AM104" s="131">
        <v>0.5</v>
      </c>
      <c r="AN104" s="131">
        <v>0.4</v>
      </c>
      <c r="AO104" s="131">
        <v>0</v>
      </c>
      <c r="AP104" s="131">
        <v>1</v>
      </c>
      <c r="AQ104" s="123"/>
      <c r="AR104" s="125"/>
    </row>
    <row r="105" spans="9:44" ht="12" customHeight="1">
      <c r="I105" s="143" t="str">
        <f t="shared" ref="I105:I108" si="78">$C$5&amp;" "&amp;$E$12&amp;" "&amp;RIGHT(G14,LEN(G14)-FIND(" ",G14))</f>
        <v>Industry Internal transport and others Biogas</v>
      </c>
      <c r="J105" s="152" t="s">
        <v>206</v>
      </c>
      <c r="K105" s="151" t="str">
        <f t="shared" si="76"/>
        <v>IND-OTBIGExt</v>
      </c>
      <c r="L105" s="101" t="str">
        <f t="shared" si="77"/>
        <v>IND-OTBIGExt</v>
      </c>
      <c r="O105" s="122" t="str">
        <f t="shared" si="48"/>
        <v>Industry Internal transport and others Biogas</v>
      </c>
      <c r="P105" s="122" t="str">
        <f t="shared" si="64"/>
        <v>IND-OTBIGExt</v>
      </c>
      <c r="Q105" s="114" t="str">
        <f t="shared" si="49"/>
        <v>IND-BIG</v>
      </c>
      <c r="R105" s="112" t="str">
        <f t="shared" si="65"/>
        <v>IND-OT</v>
      </c>
      <c r="S105" s="119">
        <f t="shared" si="50"/>
        <v>0.6</v>
      </c>
      <c r="T105" s="119">
        <f t="shared" si="51"/>
        <v>2</v>
      </c>
      <c r="U105" s="119">
        <f t="shared" si="52"/>
        <v>1</v>
      </c>
      <c r="V105" s="119">
        <f t="shared" si="53"/>
        <v>1</v>
      </c>
      <c r="W105" s="119">
        <f t="shared" si="54"/>
        <v>0.8</v>
      </c>
      <c r="X105" s="119">
        <f t="shared" si="55"/>
        <v>0</v>
      </c>
      <c r="Y105" s="119">
        <f t="shared" si="56"/>
        <v>0.5</v>
      </c>
      <c r="Z105" s="119">
        <f t="shared" si="57"/>
        <v>0.4</v>
      </c>
      <c r="AA105" s="119">
        <f t="shared" si="58"/>
        <v>0</v>
      </c>
      <c r="AB105" s="119">
        <f t="shared" si="59"/>
        <v>1</v>
      </c>
      <c r="AC105" s="119">
        <f t="shared" si="60"/>
        <v>0</v>
      </c>
      <c r="AD105" s="119">
        <f t="shared" si="61"/>
        <v>0</v>
      </c>
      <c r="AG105" s="124">
        <v>0.6</v>
      </c>
      <c r="AH105" s="123">
        <v>2</v>
      </c>
      <c r="AI105" s="123">
        <v>1</v>
      </c>
      <c r="AJ105" s="131">
        <v>1</v>
      </c>
      <c r="AK105" s="131">
        <f t="shared" si="62"/>
        <v>0.8</v>
      </c>
      <c r="AL105" s="131">
        <f t="shared" si="63"/>
        <v>0</v>
      </c>
      <c r="AM105" s="131">
        <v>0.5</v>
      </c>
      <c r="AN105" s="131">
        <v>0.4</v>
      </c>
      <c r="AO105" s="131">
        <v>0</v>
      </c>
      <c r="AP105" s="131">
        <v>1</v>
      </c>
      <c r="AQ105" s="123"/>
      <c r="AR105" s="125"/>
    </row>
    <row r="106" spans="9:44" ht="12" customHeight="1">
      <c r="I106" s="143" t="str">
        <f t="shared" si="78"/>
        <v>Industry Internal transport and others Wood</v>
      </c>
      <c r="J106" s="152" t="s">
        <v>207</v>
      </c>
      <c r="K106" s="151" t="str">
        <f t="shared" si="76"/>
        <v>IND-OTWODExt</v>
      </c>
      <c r="L106" s="101" t="str">
        <f t="shared" si="77"/>
        <v/>
      </c>
      <c r="O106" s="122" t="str">
        <f t="shared" si="48"/>
        <v/>
      </c>
      <c r="P106" s="122" t="str">
        <f t="shared" si="64"/>
        <v/>
      </c>
      <c r="Q106" s="114" t="str">
        <f t="shared" si="49"/>
        <v/>
      </c>
      <c r="R106" s="112" t="str">
        <f t="shared" si="65"/>
        <v/>
      </c>
      <c r="S106" s="119" t="str">
        <f t="shared" si="50"/>
        <v/>
      </c>
      <c r="T106" s="119" t="str">
        <f t="shared" si="51"/>
        <v/>
      </c>
      <c r="U106" s="119" t="str">
        <f t="shared" si="52"/>
        <v/>
      </c>
      <c r="V106" s="119" t="str">
        <f t="shared" si="53"/>
        <v/>
      </c>
      <c r="W106" s="119" t="str">
        <f t="shared" si="54"/>
        <v/>
      </c>
      <c r="X106" s="119" t="str">
        <f t="shared" si="55"/>
        <v/>
      </c>
      <c r="Y106" s="119" t="str">
        <f t="shared" si="56"/>
        <v/>
      </c>
      <c r="Z106" s="119" t="str">
        <f t="shared" si="57"/>
        <v/>
      </c>
      <c r="AA106" s="119" t="str">
        <f t="shared" si="58"/>
        <v/>
      </c>
      <c r="AB106" s="119" t="str">
        <f t="shared" si="59"/>
        <v/>
      </c>
      <c r="AC106" s="119" t="str">
        <f t="shared" si="60"/>
        <v/>
      </c>
      <c r="AD106" s="119" t="str">
        <f t="shared" si="61"/>
        <v/>
      </c>
      <c r="AG106" s="124">
        <v>0.6</v>
      </c>
      <c r="AH106" s="123">
        <v>2</v>
      </c>
      <c r="AI106" s="123">
        <v>1</v>
      </c>
      <c r="AJ106" s="131">
        <v>1</v>
      </c>
      <c r="AK106" s="131">
        <f t="shared" si="62"/>
        <v>0.8</v>
      </c>
      <c r="AL106" s="131">
        <f t="shared" si="63"/>
        <v>0</v>
      </c>
      <c r="AM106" s="131">
        <v>0.5</v>
      </c>
      <c r="AN106" s="131">
        <v>0.4</v>
      </c>
      <c r="AO106" s="131">
        <v>0</v>
      </c>
      <c r="AP106" s="131">
        <v>1</v>
      </c>
      <c r="AQ106" s="123"/>
      <c r="AR106" s="125"/>
    </row>
    <row r="107" spans="9:44" ht="12" customHeight="1">
      <c r="I107" s="143" t="str">
        <f t="shared" si="78"/>
        <v>Industry Internal transport and others Tidal</v>
      </c>
      <c r="J107" s="152" t="s">
        <v>207</v>
      </c>
      <c r="K107" s="151" t="str">
        <f t="shared" ref="K107:K108" si="79">$D$5&amp;$F$12&amp;RIGHT(H16,3)&amp;$B$5</f>
        <v>IND-OTTIDExt</v>
      </c>
      <c r="L107" s="101" t="str">
        <f t="shared" si="77"/>
        <v/>
      </c>
      <c r="O107" s="122" t="str">
        <f t="shared" si="48"/>
        <v/>
      </c>
      <c r="P107" s="122" t="str">
        <f t="shared" si="64"/>
        <v/>
      </c>
      <c r="Q107" s="114" t="str">
        <f t="shared" si="49"/>
        <v/>
      </c>
      <c r="R107" s="112" t="str">
        <f t="shared" si="65"/>
        <v/>
      </c>
      <c r="S107" s="119" t="str">
        <f t="shared" si="50"/>
        <v/>
      </c>
      <c r="T107" s="119" t="str">
        <f t="shared" si="51"/>
        <v/>
      </c>
      <c r="U107" s="119" t="str">
        <f t="shared" si="52"/>
        <v/>
      </c>
      <c r="V107" s="119" t="str">
        <f t="shared" si="53"/>
        <v/>
      </c>
      <c r="W107" s="119" t="str">
        <f t="shared" si="54"/>
        <v/>
      </c>
      <c r="X107" s="119" t="str">
        <f t="shared" si="55"/>
        <v/>
      </c>
      <c r="Y107" s="119" t="str">
        <f t="shared" si="56"/>
        <v/>
      </c>
      <c r="Z107" s="119" t="str">
        <f t="shared" si="57"/>
        <v/>
      </c>
      <c r="AA107" s="119" t="str">
        <f t="shared" si="58"/>
        <v/>
      </c>
      <c r="AB107" s="119" t="str">
        <f t="shared" si="59"/>
        <v/>
      </c>
      <c r="AC107" s="119" t="str">
        <f t="shared" si="60"/>
        <v/>
      </c>
      <c r="AD107" s="119" t="str">
        <f t="shared" si="61"/>
        <v/>
      </c>
      <c r="AG107" s="124">
        <v>0.6</v>
      </c>
      <c r="AH107" s="123">
        <v>2</v>
      </c>
      <c r="AI107" s="123">
        <v>1</v>
      </c>
      <c r="AJ107" s="131">
        <v>1</v>
      </c>
      <c r="AK107" s="131">
        <f t="shared" si="62"/>
        <v>0.8</v>
      </c>
      <c r="AL107" s="131">
        <f t="shared" si="63"/>
        <v>0</v>
      </c>
      <c r="AM107" s="131">
        <v>0.5</v>
      </c>
      <c r="AN107" s="131">
        <v>0.4</v>
      </c>
      <c r="AO107" s="131">
        <v>0</v>
      </c>
      <c r="AP107" s="131">
        <v>1</v>
      </c>
      <c r="AQ107" s="123"/>
      <c r="AR107" s="125"/>
    </row>
    <row r="108" spans="9:44" ht="12" customHeight="1">
      <c r="I108" s="143" t="str">
        <f t="shared" si="78"/>
        <v>Industry Internal transport and others Electricity</v>
      </c>
      <c r="J108" s="152" t="s">
        <v>206</v>
      </c>
      <c r="K108" s="151" t="str">
        <f t="shared" si="79"/>
        <v>IND-OTELCExt</v>
      </c>
      <c r="L108" s="101" t="str">
        <f t="shared" si="77"/>
        <v>IND-OTELCExt</v>
      </c>
      <c r="O108" s="122" t="str">
        <f t="shared" si="48"/>
        <v>Industry Internal transport and others Electricity</v>
      </c>
      <c r="P108" s="122" t="str">
        <f t="shared" si="64"/>
        <v>IND-OTELCExt</v>
      </c>
      <c r="Q108" s="114" t="str">
        <f t="shared" si="49"/>
        <v>IND-ELC</v>
      </c>
      <c r="R108" s="112" t="str">
        <f t="shared" si="65"/>
        <v>IND-OT</v>
      </c>
      <c r="S108" s="119">
        <f t="shared" si="50"/>
        <v>0.6</v>
      </c>
      <c r="T108" s="119">
        <f t="shared" si="51"/>
        <v>2</v>
      </c>
      <c r="U108" s="119">
        <f t="shared" si="52"/>
        <v>1</v>
      </c>
      <c r="V108" s="119">
        <f t="shared" si="53"/>
        <v>1</v>
      </c>
      <c r="W108" s="119">
        <f t="shared" si="54"/>
        <v>0.8</v>
      </c>
      <c r="X108" s="119">
        <f t="shared" si="55"/>
        <v>0</v>
      </c>
      <c r="Y108" s="119">
        <f t="shared" si="56"/>
        <v>0.5</v>
      </c>
      <c r="Z108" s="119">
        <f t="shared" si="57"/>
        <v>0.4</v>
      </c>
      <c r="AA108" s="119">
        <f t="shared" si="58"/>
        <v>0</v>
      </c>
      <c r="AB108" s="119">
        <f t="shared" si="59"/>
        <v>1</v>
      </c>
      <c r="AC108" s="119">
        <f t="shared" si="60"/>
        <v>0</v>
      </c>
      <c r="AD108" s="119">
        <f t="shared" si="61"/>
        <v>0</v>
      </c>
      <c r="AG108" s="124">
        <v>0.6</v>
      </c>
      <c r="AH108" s="123">
        <v>2</v>
      </c>
      <c r="AI108" s="123">
        <v>1</v>
      </c>
      <c r="AJ108" s="131">
        <v>1</v>
      </c>
      <c r="AK108" s="131">
        <f t="shared" si="62"/>
        <v>0.8</v>
      </c>
      <c r="AL108" s="131">
        <f t="shared" si="63"/>
        <v>0</v>
      </c>
      <c r="AM108" s="131">
        <v>0.5</v>
      </c>
      <c r="AN108" s="131">
        <v>0.4</v>
      </c>
      <c r="AO108" s="131">
        <v>0</v>
      </c>
      <c r="AP108" s="131">
        <v>1</v>
      </c>
      <c r="AQ108" s="123"/>
      <c r="AR108" s="125"/>
    </row>
    <row r="109" spans="9:44" ht="12" customHeight="1">
      <c r="I109" s="142" t="str">
        <f t="shared" ref="I109:I116" si="80">$C$5&amp;" "&amp;$E$13&amp;" "&amp;RIGHT(G5,LEN(G5)-FIND(" ",G5))</f>
        <v>Industry Process cooling  Coal</v>
      </c>
      <c r="J109" s="154" t="s">
        <v>207</v>
      </c>
      <c r="K109" s="142" t="str">
        <f t="shared" ref="K109:K119" si="81">$D$5&amp;$F$13&amp;RIGHT(H5,3)&amp;$B$5</f>
        <v>IND-PCCOAExt</v>
      </c>
      <c r="L109" s="101" t="str">
        <f t="shared" si="77"/>
        <v/>
      </c>
      <c r="O109" s="122" t="str">
        <f t="shared" si="48"/>
        <v/>
      </c>
      <c r="P109" s="122" t="str">
        <f t="shared" si="64"/>
        <v/>
      </c>
      <c r="Q109" s="114" t="str">
        <f t="shared" si="49"/>
        <v/>
      </c>
      <c r="R109" s="112" t="str">
        <f t="shared" si="65"/>
        <v/>
      </c>
      <c r="S109" s="119" t="str">
        <f t="shared" si="50"/>
        <v/>
      </c>
      <c r="T109" s="119" t="str">
        <f t="shared" si="51"/>
        <v/>
      </c>
      <c r="U109" s="119" t="str">
        <f t="shared" si="52"/>
        <v/>
      </c>
      <c r="V109" s="119" t="str">
        <f t="shared" si="53"/>
        <v/>
      </c>
      <c r="W109" s="119" t="str">
        <f t="shared" si="54"/>
        <v/>
      </c>
      <c r="X109" s="119" t="str">
        <f t="shared" si="55"/>
        <v/>
      </c>
      <c r="Y109" s="119" t="str">
        <f t="shared" si="56"/>
        <v/>
      </c>
      <c r="Z109" s="119" t="str">
        <f t="shared" si="57"/>
        <v/>
      </c>
      <c r="AA109" s="119" t="str">
        <f t="shared" si="58"/>
        <v/>
      </c>
      <c r="AB109" s="119" t="str">
        <f t="shared" si="59"/>
        <v/>
      </c>
      <c r="AC109" s="119" t="str">
        <f t="shared" si="60"/>
        <v/>
      </c>
      <c r="AD109" s="119" t="str">
        <f t="shared" si="61"/>
        <v/>
      </c>
      <c r="AG109" s="124">
        <v>0.6</v>
      </c>
      <c r="AH109" s="123">
        <v>2</v>
      </c>
      <c r="AI109" s="123">
        <v>1</v>
      </c>
      <c r="AJ109" s="131">
        <v>1</v>
      </c>
      <c r="AK109" s="131">
        <f t="shared" si="62"/>
        <v>0.8</v>
      </c>
      <c r="AL109" s="131">
        <f t="shared" si="63"/>
        <v>0</v>
      </c>
      <c r="AM109" s="131">
        <v>0.5</v>
      </c>
      <c r="AN109" s="131">
        <v>0.4</v>
      </c>
      <c r="AO109" s="131">
        <v>0</v>
      </c>
      <c r="AP109" s="131">
        <v>1</v>
      </c>
      <c r="AQ109" s="123"/>
      <c r="AR109" s="125"/>
    </row>
    <row r="110" spans="9:44" ht="12" customHeight="1">
      <c r="I110" s="143" t="str">
        <f t="shared" si="80"/>
        <v>Industry Process cooling  Lignite</v>
      </c>
      <c r="J110" s="152" t="s">
        <v>207</v>
      </c>
      <c r="K110" s="143" t="str">
        <f t="shared" si="81"/>
        <v>IND-PCCOLExt</v>
      </c>
      <c r="L110" s="101" t="str">
        <f t="shared" si="77"/>
        <v/>
      </c>
      <c r="O110" s="122" t="str">
        <f t="shared" si="48"/>
        <v/>
      </c>
      <c r="P110" s="122" t="str">
        <f t="shared" si="64"/>
        <v/>
      </c>
      <c r="Q110" s="114" t="str">
        <f t="shared" si="49"/>
        <v/>
      </c>
      <c r="R110" s="112" t="str">
        <f t="shared" si="65"/>
        <v/>
      </c>
      <c r="S110" s="119" t="str">
        <f t="shared" si="50"/>
        <v/>
      </c>
      <c r="T110" s="119" t="str">
        <f t="shared" si="51"/>
        <v/>
      </c>
      <c r="U110" s="119" t="str">
        <f t="shared" si="52"/>
        <v/>
      </c>
      <c r="V110" s="119" t="str">
        <f t="shared" si="53"/>
        <v/>
      </c>
      <c r="W110" s="119" t="str">
        <f t="shared" si="54"/>
        <v/>
      </c>
      <c r="X110" s="119" t="str">
        <f t="shared" si="55"/>
        <v/>
      </c>
      <c r="Y110" s="119" t="str">
        <f t="shared" si="56"/>
        <v/>
      </c>
      <c r="Z110" s="119" t="str">
        <f t="shared" si="57"/>
        <v/>
      </c>
      <c r="AA110" s="119" t="str">
        <f t="shared" si="58"/>
        <v/>
      </c>
      <c r="AB110" s="119" t="str">
        <f t="shared" si="59"/>
        <v/>
      </c>
      <c r="AC110" s="119" t="str">
        <f t="shared" si="60"/>
        <v/>
      </c>
      <c r="AD110" s="119" t="str">
        <f t="shared" si="61"/>
        <v/>
      </c>
      <c r="AG110" s="124">
        <v>0.6</v>
      </c>
      <c r="AH110" s="123">
        <v>2</v>
      </c>
      <c r="AI110" s="123">
        <v>1</v>
      </c>
      <c r="AJ110" s="131">
        <v>1</v>
      </c>
      <c r="AK110" s="131">
        <f t="shared" si="62"/>
        <v>0.8</v>
      </c>
      <c r="AL110" s="131">
        <f t="shared" si="63"/>
        <v>0</v>
      </c>
      <c r="AM110" s="131">
        <v>0.5</v>
      </c>
      <c r="AN110" s="131">
        <v>0.4</v>
      </c>
      <c r="AO110" s="131">
        <v>0</v>
      </c>
      <c r="AP110" s="131">
        <v>1</v>
      </c>
      <c r="AQ110" s="123"/>
      <c r="AR110" s="125"/>
    </row>
    <row r="111" spans="9:44" ht="12" customHeight="1">
      <c r="I111" s="143" t="str">
        <f t="shared" si="80"/>
        <v>Industry Process cooling  Crude oil</v>
      </c>
      <c r="J111" s="152" t="s">
        <v>207</v>
      </c>
      <c r="K111" s="143" t="str">
        <f t="shared" si="81"/>
        <v>IND-PCOILExt</v>
      </c>
      <c r="L111" s="101" t="str">
        <f t="shared" si="77"/>
        <v/>
      </c>
      <c r="O111" s="122" t="str">
        <f t="shared" si="48"/>
        <v/>
      </c>
      <c r="P111" s="122" t="str">
        <f t="shared" si="64"/>
        <v/>
      </c>
      <c r="Q111" s="114" t="str">
        <f t="shared" si="49"/>
        <v/>
      </c>
      <c r="R111" s="112" t="str">
        <f t="shared" si="65"/>
        <v/>
      </c>
      <c r="S111" s="119" t="str">
        <f t="shared" si="50"/>
        <v/>
      </c>
      <c r="T111" s="119" t="str">
        <f t="shared" si="51"/>
        <v/>
      </c>
      <c r="U111" s="119" t="str">
        <f t="shared" si="52"/>
        <v/>
      </c>
      <c r="V111" s="119" t="str">
        <f t="shared" si="53"/>
        <v/>
      </c>
      <c r="W111" s="119" t="str">
        <f t="shared" si="54"/>
        <v/>
      </c>
      <c r="X111" s="119" t="str">
        <f t="shared" si="55"/>
        <v/>
      </c>
      <c r="Y111" s="119" t="str">
        <f t="shared" si="56"/>
        <v/>
      </c>
      <c r="Z111" s="119" t="str">
        <f t="shared" si="57"/>
        <v/>
      </c>
      <c r="AA111" s="119" t="str">
        <f t="shared" si="58"/>
        <v/>
      </c>
      <c r="AB111" s="119" t="str">
        <f t="shared" si="59"/>
        <v/>
      </c>
      <c r="AC111" s="119" t="str">
        <f t="shared" si="60"/>
        <v/>
      </c>
      <c r="AD111" s="119" t="str">
        <f t="shared" si="61"/>
        <v/>
      </c>
      <c r="AG111" s="124">
        <v>0.6</v>
      </c>
      <c r="AH111" s="123">
        <v>2</v>
      </c>
      <c r="AI111" s="123">
        <v>1</v>
      </c>
      <c r="AJ111" s="131">
        <v>1</v>
      </c>
      <c r="AK111" s="131">
        <f t="shared" si="62"/>
        <v>0.8</v>
      </c>
      <c r="AL111" s="131">
        <f t="shared" si="63"/>
        <v>0</v>
      </c>
      <c r="AM111" s="131">
        <v>0.5</v>
      </c>
      <c r="AN111" s="131">
        <v>0.4</v>
      </c>
      <c r="AO111" s="131">
        <v>0</v>
      </c>
      <c r="AP111" s="131">
        <v>1</v>
      </c>
      <c r="AQ111" s="123"/>
      <c r="AR111" s="125"/>
    </row>
    <row r="112" spans="9:44" ht="12" customHeight="1">
      <c r="I112" s="143" t="str">
        <f t="shared" si="80"/>
        <v>Industry Process cooling  Natural Gas</v>
      </c>
      <c r="J112" s="152" t="s">
        <v>207</v>
      </c>
      <c r="K112" s="143" t="str">
        <f t="shared" si="81"/>
        <v>IND-PCNGAExt</v>
      </c>
      <c r="L112" s="101" t="str">
        <f t="shared" si="77"/>
        <v/>
      </c>
      <c r="O112" s="122" t="str">
        <f t="shared" si="48"/>
        <v/>
      </c>
      <c r="P112" s="122" t="str">
        <f t="shared" si="64"/>
        <v/>
      </c>
      <c r="Q112" s="114" t="str">
        <f t="shared" si="49"/>
        <v/>
      </c>
      <c r="R112" s="112" t="str">
        <f t="shared" si="65"/>
        <v/>
      </c>
      <c r="S112" s="119" t="str">
        <f t="shared" si="50"/>
        <v/>
      </c>
      <c r="T112" s="119" t="str">
        <f t="shared" si="51"/>
        <v/>
      </c>
      <c r="U112" s="119" t="str">
        <f t="shared" si="52"/>
        <v/>
      </c>
      <c r="V112" s="119" t="str">
        <f t="shared" si="53"/>
        <v/>
      </c>
      <c r="W112" s="119" t="str">
        <f t="shared" si="54"/>
        <v/>
      </c>
      <c r="X112" s="119" t="str">
        <f t="shared" si="55"/>
        <v/>
      </c>
      <c r="Y112" s="119" t="str">
        <f t="shared" si="56"/>
        <v/>
      </c>
      <c r="Z112" s="119" t="str">
        <f t="shared" si="57"/>
        <v/>
      </c>
      <c r="AA112" s="119" t="str">
        <f t="shared" si="58"/>
        <v/>
      </c>
      <c r="AB112" s="119" t="str">
        <f t="shared" si="59"/>
        <v/>
      </c>
      <c r="AC112" s="119" t="str">
        <f t="shared" si="60"/>
        <v/>
      </c>
      <c r="AD112" s="119" t="str">
        <f t="shared" si="61"/>
        <v/>
      </c>
      <c r="AG112" s="124">
        <v>0.6</v>
      </c>
      <c r="AH112" s="123">
        <v>2</v>
      </c>
      <c r="AI112" s="123">
        <v>1</v>
      </c>
      <c r="AJ112" s="131">
        <v>1</v>
      </c>
      <c r="AK112" s="131">
        <f t="shared" si="62"/>
        <v>0.8</v>
      </c>
      <c r="AL112" s="131">
        <f t="shared" si="63"/>
        <v>0</v>
      </c>
      <c r="AM112" s="131">
        <v>0.5</v>
      </c>
      <c r="AN112" s="131">
        <v>0.4</v>
      </c>
      <c r="AO112" s="131">
        <v>0</v>
      </c>
      <c r="AP112" s="131">
        <v>1</v>
      </c>
      <c r="AQ112" s="123"/>
      <c r="AR112" s="125"/>
    </row>
    <row r="113" spans="2:44" ht="12" customHeight="1">
      <c r="I113" s="143" t="str">
        <f t="shared" si="80"/>
        <v>Industry Process cooling  Hydro</v>
      </c>
      <c r="J113" s="152" t="s">
        <v>207</v>
      </c>
      <c r="K113" s="143" t="str">
        <f t="shared" si="81"/>
        <v>IND-PCHYDExt</v>
      </c>
      <c r="L113" s="101" t="str">
        <f t="shared" si="77"/>
        <v/>
      </c>
      <c r="O113" s="122" t="str">
        <f t="shared" si="48"/>
        <v/>
      </c>
      <c r="P113" s="122" t="str">
        <f t="shared" si="64"/>
        <v/>
      </c>
      <c r="Q113" s="114" t="str">
        <f t="shared" si="49"/>
        <v/>
      </c>
      <c r="R113" s="112" t="str">
        <f t="shared" si="65"/>
        <v/>
      </c>
      <c r="S113" s="119" t="str">
        <f t="shared" si="50"/>
        <v/>
      </c>
      <c r="T113" s="119" t="str">
        <f t="shared" si="51"/>
        <v/>
      </c>
      <c r="U113" s="119" t="str">
        <f t="shared" si="52"/>
        <v/>
      </c>
      <c r="V113" s="119" t="str">
        <f t="shared" si="53"/>
        <v/>
      </c>
      <c r="W113" s="119" t="str">
        <f t="shared" si="54"/>
        <v/>
      </c>
      <c r="X113" s="119" t="str">
        <f t="shared" si="55"/>
        <v/>
      </c>
      <c r="Y113" s="119" t="str">
        <f t="shared" si="56"/>
        <v/>
      </c>
      <c r="Z113" s="119" t="str">
        <f t="shared" si="57"/>
        <v/>
      </c>
      <c r="AA113" s="119" t="str">
        <f t="shared" si="58"/>
        <v/>
      </c>
      <c r="AB113" s="119" t="str">
        <f t="shared" si="59"/>
        <v/>
      </c>
      <c r="AC113" s="119" t="str">
        <f t="shared" si="60"/>
        <v/>
      </c>
      <c r="AD113" s="119" t="str">
        <f t="shared" si="61"/>
        <v/>
      </c>
      <c r="AG113" s="124">
        <v>0.6</v>
      </c>
      <c r="AH113" s="123">
        <v>2</v>
      </c>
      <c r="AI113" s="123">
        <v>1</v>
      </c>
      <c r="AJ113" s="131">
        <v>1</v>
      </c>
      <c r="AK113" s="131">
        <f t="shared" si="62"/>
        <v>0.8</v>
      </c>
      <c r="AL113" s="131">
        <f t="shared" si="63"/>
        <v>0</v>
      </c>
      <c r="AM113" s="131">
        <v>0.5</v>
      </c>
      <c r="AN113" s="131">
        <v>0.4</v>
      </c>
      <c r="AO113" s="131">
        <v>0</v>
      </c>
      <c r="AP113" s="131">
        <v>1</v>
      </c>
      <c r="AQ113" s="123"/>
      <c r="AR113" s="125"/>
    </row>
    <row r="114" spans="2:44" ht="12" customHeight="1">
      <c r="I114" s="143" t="str">
        <f t="shared" si="80"/>
        <v>Industry Process cooling  Geothermal</v>
      </c>
      <c r="J114" s="152" t="s">
        <v>207</v>
      </c>
      <c r="K114" s="143" t="str">
        <f t="shared" si="81"/>
        <v>IND-PCGEOExt</v>
      </c>
      <c r="L114" s="101" t="str">
        <f t="shared" si="77"/>
        <v/>
      </c>
      <c r="O114" s="122" t="str">
        <f t="shared" si="48"/>
        <v/>
      </c>
      <c r="P114" s="122" t="str">
        <f t="shared" si="64"/>
        <v/>
      </c>
      <c r="Q114" s="114" t="str">
        <f t="shared" si="49"/>
        <v/>
      </c>
      <c r="R114" s="112" t="str">
        <f t="shared" si="65"/>
        <v/>
      </c>
      <c r="S114" s="119" t="str">
        <f t="shared" si="50"/>
        <v/>
      </c>
      <c r="T114" s="119" t="str">
        <f t="shared" si="51"/>
        <v/>
      </c>
      <c r="U114" s="119" t="str">
        <f t="shared" si="52"/>
        <v/>
      </c>
      <c r="V114" s="119" t="str">
        <f t="shared" si="53"/>
        <v/>
      </c>
      <c r="W114" s="119" t="str">
        <f t="shared" si="54"/>
        <v/>
      </c>
      <c r="X114" s="119" t="str">
        <f t="shared" si="55"/>
        <v/>
      </c>
      <c r="Y114" s="119" t="str">
        <f t="shared" si="56"/>
        <v/>
      </c>
      <c r="Z114" s="119" t="str">
        <f t="shared" si="57"/>
        <v/>
      </c>
      <c r="AA114" s="119" t="str">
        <f t="shared" si="58"/>
        <v/>
      </c>
      <c r="AB114" s="119" t="str">
        <f t="shared" si="59"/>
        <v/>
      </c>
      <c r="AC114" s="119" t="str">
        <f t="shared" si="60"/>
        <v/>
      </c>
      <c r="AD114" s="119" t="str">
        <f t="shared" si="61"/>
        <v/>
      </c>
      <c r="AG114" s="124">
        <v>0.6</v>
      </c>
      <c r="AH114" s="123">
        <v>2</v>
      </c>
      <c r="AI114" s="123">
        <v>1</v>
      </c>
      <c r="AJ114" s="131">
        <v>1</v>
      </c>
      <c r="AK114" s="131">
        <f t="shared" si="62"/>
        <v>0.8</v>
      </c>
      <c r="AL114" s="131">
        <f t="shared" si="63"/>
        <v>0</v>
      </c>
      <c r="AM114" s="131">
        <v>0.5</v>
      </c>
      <c r="AN114" s="131">
        <v>0.4</v>
      </c>
      <c r="AO114" s="131">
        <v>0</v>
      </c>
      <c r="AP114" s="131">
        <v>1</v>
      </c>
      <c r="AQ114" s="123"/>
      <c r="AR114" s="125"/>
    </row>
    <row r="115" spans="2:44" ht="12" customHeight="1">
      <c r="I115" s="143" t="str">
        <f t="shared" si="80"/>
        <v>Industry Process cooling  Solar</v>
      </c>
      <c r="J115" s="152" t="s">
        <v>207</v>
      </c>
      <c r="K115" s="143" t="str">
        <f t="shared" si="81"/>
        <v>IND-PCSOLExt</v>
      </c>
      <c r="L115" s="101" t="str">
        <f t="shared" si="77"/>
        <v/>
      </c>
      <c r="O115" s="122" t="str">
        <f t="shared" si="48"/>
        <v/>
      </c>
      <c r="P115" s="122" t="str">
        <f t="shared" si="64"/>
        <v/>
      </c>
      <c r="Q115" s="114" t="str">
        <f t="shared" si="49"/>
        <v/>
      </c>
      <c r="R115" s="112" t="str">
        <f t="shared" si="65"/>
        <v/>
      </c>
      <c r="S115" s="119" t="str">
        <f t="shared" si="50"/>
        <v/>
      </c>
      <c r="T115" s="119" t="str">
        <f t="shared" si="51"/>
        <v/>
      </c>
      <c r="U115" s="119" t="str">
        <f t="shared" si="52"/>
        <v/>
      </c>
      <c r="V115" s="119" t="str">
        <f t="shared" si="53"/>
        <v/>
      </c>
      <c r="W115" s="119" t="str">
        <f t="shared" si="54"/>
        <v/>
      </c>
      <c r="X115" s="119" t="str">
        <f t="shared" si="55"/>
        <v/>
      </c>
      <c r="Y115" s="119" t="str">
        <f t="shared" si="56"/>
        <v/>
      </c>
      <c r="Z115" s="119" t="str">
        <f t="shared" si="57"/>
        <v/>
      </c>
      <c r="AA115" s="119" t="str">
        <f t="shared" si="58"/>
        <v/>
      </c>
      <c r="AB115" s="119" t="str">
        <f t="shared" si="59"/>
        <v/>
      </c>
      <c r="AC115" s="119" t="str">
        <f t="shared" si="60"/>
        <v/>
      </c>
      <c r="AD115" s="119" t="str">
        <f t="shared" si="61"/>
        <v/>
      </c>
      <c r="AG115" s="124">
        <v>0.6</v>
      </c>
      <c r="AH115" s="123">
        <v>2</v>
      </c>
      <c r="AI115" s="123">
        <v>1</v>
      </c>
      <c r="AJ115" s="131">
        <v>1</v>
      </c>
      <c r="AK115" s="131">
        <f t="shared" si="62"/>
        <v>0.8</v>
      </c>
      <c r="AL115" s="131">
        <f t="shared" si="63"/>
        <v>0</v>
      </c>
      <c r="AM115" s="131">
        <v>0.5</v>
      </c>
      <c r="AN115" s="131">
        <v>0.4</v>
      </c>
      <c r="AO115" s="131">
        <v>0</v>
      </c>
      <c r="AP115" s="131">
        <v>1</v>
      </c>
      <c r="AQ115" s="123"/>
      <c r="AR115" s="125"/>
    </row>
    <row r="116" spans="2:44" ht="12" customHeight="1">
      <c r="I116" s="143" t="str">
        <f t="shared" si="80"/>
        <v>Industry Process cooling  Wind</v>
      </c>
      <c r="J116" s="152" t="s">
        <v>207</v>
      </c>
      <c r="K116" s="143" t="str">
        <f t="shared" si="81"/>
        <v>IND-PCWINExt</v>
      </c>
      <c r="L116" s="101" t="str">
        <f t="shared" si="77"/>
        <v/>
      </c>
      <c r="O116" s="122" t="str">
        <f t="shared" si="48"/>
        <v/>
      </c>
      <c r="P116" s="122" t="str">
        <f t="shared" si="64"/>
        <v/>
      </c>
      <c r="Q116" s="114" t="str">
        <f t="shared" si="49"/>
        <v/>
      </c>
      <c r="R116" s="112" t="str">
        <f t="shared" si="65"/>
        <v/>
      </c>
      <c r="S116" s="119" t="str">
        <f t="shared" si="50"/>
        <v/>
      </c>
      <c r="T116" s="119" t="str">
        <f t="shared" si="51"/>
        <v/>
      </c>
      <c r="U116" s="119" t="str">
        <f t="shared" si="52"/>
        <v/>
      </c>
      <c r="V116" s="119" t="str">
        <f t="shared" si="53"/>
        <v/>
      </c>
      <c r="W116" s="119" t="str">
        <f t="shared" si="54"/>
        <v/>
      </c>
      <c r="X116" s="119" t="str">
        <f t="shared" si="55"/>
        <v/>
      </c>
      <c r="Y116" s="119" t="str">
        <f t="shared" si="56"/>
        <v/>
      </c>
      <c r="Z116" s="119" t="str">
        <f t="shared" si="57"/>
        <v/>
      </c>
      <c r="AA116" s="119" t="str">
        <f t="shared" si="58"/>
        <v/>
      </c>
      <c r="AB116" s="119" t="str">
        <f t="shared" si="59"/>
        <v/>
      </c>
      <c r="AC116" s="119" t="str">
        <f t="shared" si="60"/>
        <v/>
      </c>
      <c r="AD116" s="119" t="str">
        <f t="shared" si="61"/>
        <v/>
      </c>
      <c r="AG116" s="124">
        <v>0.6</v>
      </c>
      <c r="AH116" s="123">
        <v>2</v>
      </c>
      <c r="AI116" s="123">
        <v>1</v>
      </c>
      <c r="AJ116" s="131">
        <v>1</v>
      </c>
      <c r="AK116" s="131">
        <f t="shared" si="62"/>
        <v>0.8</v>
      </c>
      <c r="AL116" s="131">
        <f t="shared" si="63"/>
        <v>0</v>
      </c>
      <c r="AM116" s="131">
        <v>0.5</v>
      </c>
      <c r="AN116" s="131">
        <v>0.4</v>
      </c>
      <c r="AO116" s="131">
        <v>0</v>
      </c>
      <c r="AP116" s="131">
        <v>1</v>
      </c>
      <c r="AQ116" s="123"/>
      <c r="AR116" s="125"/>
    </row>
    <row r="117" spans="2:44" ht="12" customHeight="1">
      <c r="I117" s="143" t="str">
        <f t="shared" ref="I117:I121" si="82">$C$5&amp;" "&amp;$E$13&amp;" "&amp;RIGHT(G13,LEN(G13)-FIND(" ",G13))</f>
        <v>Industry Process cooling  Bio Liquids</v>
      </c>
      <c r="J117" s="152" t="s">
        <v>207</v>
      </c>
      <c r="K117" s="143" t="str">
        <f t="shared" si="81"/>
        <v>IND-PCBILExt</v>
      </c>
      <c r="L117" s="101" t="str">
        <f t="shared" si="77"/>
        <v/>
      </c>
      <c r="O117" s="122" t="str">
        <f t="shared" si="48"/>
        <v/>
      </c>
      <c r="P117" s="122" t="str">
        <f t="shared" si="64"/>
        <v/>
      </c>
      <c r="Q117" s="114" t="str">
        <f t="shared" si="49"/>
        <v/>
      </c>
      <c r="R117" s="112" t="str">
        <f t="shared" si="65"/>
        <v/>
      </c>
      <c r="S117" s="119" t="str">
        <f t="shared" si="50"/>
        <v/>
      </c>
      <c r="T117" s="119" t="str">
        <f t="shared" si="51"/>
        <v/>
      </c>
      <c r="U117" s="119" t="str">
        <f t="shared" si="52"/>
        <v/>
      </c>
      <c r="V117" s="119" t="str">
        <f t="shared" si="53"/>
        <v/>
      </c>
      <c r="W117" s="119" t="str">
        <f t="shared" si="54"/>
        <v/>
      </c>
      <c r="X117" s="119" t="str">
        <f t="shared" si="55"/>
        <v/>
      </c>
      <c r="Y117" s="119" t="str">
        <f t="shared" si="56"/>
        <v/>
      </c>
      <c r="Z117" s="119" t="str">
        <f t="shared" si="57"/>
        <v/>
      </c>
      <c r="AA117" s="119" t="str">
        <f t="shared" si="58"/>
        <v/>
      </c>
      <c r="AB117" s="119" t="str">
        <f t="shared" si="59"/>
        <v/>
      </c>
      <c r="AC117" s="119" t="str">
        <f t="shared" si="60"/>
        <v/>
      </c>
      <c r="AD117" s="119" t="str">
        <f t="shared" si="61"/>
        <v/>
      </c>
      <c r="AG117" s="124">
        <v>0.6</v>
      </c>
      <c r="AH117" s="123">
        <v>2</v>
      </c>
      <c r="AI117" s="123">
        <v>1</v>
      </c>
      <c r="AJ117" s="131">
        <v>1</v>
      </c>
      <c r="AK117" s="131">
        <f t="shared" si="62"/>
        <v>0.8</v>
      </c>
      <c r="AL117" s="131">
        <f t="shared" si="63"/>
        <v>0</v>
      </c>
      <c r="AM117" s="131">
        <v>0.5</v>
      </c>
      <c r="AN117" s="131">
        <v>0.4</v>
      </c>
      <c r="AO117" s="131">
        <v>0</v>
      </c>
      <c r="AP117" s="131">
        <v>1</v>
      </c>
      <c r="AQ117" s="123"/>
      <c r="AR117" s="125"/>
    </row>
    <row r="118" spans="2:44" ht="12" customHeight="1">
      <c r="I118" s="143" t="str">
        <f t="shared" si="82"/>
        <v>Industry Process cooling  Biogas</v>
      </c>
      <c r="J118" s="152" t="s">
        <v>207</v>
      </c>
      <c r="K118" s="143" t="str">
        <f t="shared" si="81"/>
        <v>IND-PCBIGExt</v>
      </c>
      <c r="L118" s="101" t="str">
        <f t="shared" si="77"/>
        <v/>
      </c>
      <c r="O118" s="122" t="str">
        <f t="shared" si="48"/>
        <v/>
      </c>
      <c r="P118" s="122" t="str">
        <f t="shared" si="64"/>
        <v/>
      </c>
      <c r="Q118" s="114" t="str">
        <f t="shared" si="49"/>
        <v/>
      </c>
      <c r="R118" s="112" t="str">
        <f t="shared" si="65"/>
        <v/>
      </c>
      <c r="S118" s="119" t="str">
        <f t="shared" si="50"/>
        <v/>
      </c>
      <c r="T118" s="119" t="str">
        <f t="shared" si="51"/>
        <v/>
      </c>
      <c r="U118" s="119" t="str">
        <f t="shared" si="52"/>
        <v/>
      </c>
      <c r="V118" s="119" t="str">
        <f t="shared" si="53"/>
        <v/>
      </c>
      <c r="W118" s="119" t="str">
        <f t="shared" si="54"/>
        <v/>
      </c>
      <c r="X118" s="119" t="str">
        <f t="shared" si="55"/>
        <v/>
      </c>
      <c r="Y118" s="119" t="str">
        <f t="shared" si="56"/>
        <v/>
      </c>
      <c r="Z118" s="119" t="str">
        <f t="shared" si="57"/>
        <v/>
      </c>
      <c r="AA118" s="119" t="str">
        <f t="shared" si="58"/>
        <v/>
      </c>
      <c r="AB118" s="119" t="str">
        <f t="shared" si="59"/>
        <v/>
      </c>
      <c r="AC118" s="119" t="str">
        <f t="shared" si="60"/>
        <v/>
      </c>
      <c r="AD118" s="119" t="str">
        <f t="shared" si="61"/>
        <v/>
      </c>
      <c r="AG118" s="124">
        <v>0.6</v>
      </c>
      <c r="AH118" s="123">
        <v>2</v>
      </c>
      <c r="AI118" s="123">
        <v>1</v>
      </c>
      <c r="AJ118" s="131">
        <v>1</v>
      </c>
      <c r="AK118" s="131">
        <f t="shared" si="62"/>
        <v>0.8</v>
      </c>
      <c r="AL118" s="131">
        <f t="shared" si="63"/>
        <v>0</v>
      </c>
      <c r="AM118" s="131">
        <v>0.5</v>
      </c>
      <c r="AN118" s="131">
        <v>0.4</v>
      </c>
      <c r="AO118" s="131">
        <v>0</v>
      </c>
      <c r="AP118" s="131">
        <v>1</v>
      </c>
      <c r="AQ118" s="123"/>
      <c r="AR118" s="125"/>
    </row>
    <row r="119" spans="2:44" ht="12" customHeight="1">
      <c r="I119" s="143" t="str">
        <f t="shared" si="82"/>
        <v>Industry Process cooling  Wood</v>
      </c>
      <c r="J119" s="152" t="s">
        <v>207</v>
      </c>
      <c r="K119" s="143" t="str">
        <f t="shared" si="81"/>
        <v>IND-PCWODExt</v>
      </c>
      <c r="L119" s="101" t="str">
        <f t="shared" si="77"/>
        <v/>
      </c>
      <c r="O119" s="122" t="str">
        <f t="shared" si="48"/>
        <v/>
      </c>
      <c r="P119" s="122" t="str">
        <f t="shared" si="64"/>
        <v/>
      </c>
      <c r="Q119" s="114" t="str">
        <f t="shared" si="49"/>
        <v/>
      </c>
      <c r="R119" s="112" t="str">
        <f t="shared" si="65"/>
        <v/>
      </c>
      <c r="S119" s="119" t="str">
        <f t="shared" si="50"/>
        <v/>
      </c>
      <c r="T119" s="119" t="str">
        <f t="shared" si="51"/>
        <v/>
      </c>
      <c r="U119" s="119" t="str">
        <f t="shared" si="52"/>
        <v/>
      </c>
      <c r="V119" s="119" t="str">
        <f t="shared" si="53"/>
        <v/>
      </c>
      <c r="W119" s="119" t="str">
        <f t="shared" si="54"/>
        <v/>
      </c>
      <c r="X119" s="119" t="str">
        <f t="shared" si="55"/>
        <v/>
      </c>
      <c r="Y119" s="119" t="str">
        <f t="shared" si="56"/>
        <v/>
      </c>
      <c r="Z119" s="119" t="str">
        <f t="shared" si="57"/>
        <v/>
      </c>
      <c r="AA119" s="119" t="str">
        <f t="shared" si="58"/>
        <v/>
      </c>
      <c r="AB119" s="119" t="str">
        <f t="shared" si="59"/>
        <v/>
      </c>
      <c r="AC119" s="119" t="str">
        <f t="shared" si="60"/>
        <v/>
      </c>
      <c r="AD119" s="119" t="str">
        <f t="shared" si="61"/>
        <v/>
      </c>
      <c r="AG119" s="124">
        <v>0.6</v>
      </c>
      <c r="AH119" s="123">
        <v>2</v>
      </c>
      <c r="AI119" s="123">
        <v>1</v>
      </c>
      <c r="AJ119" s="131">
        <v>1</v>
      </c>
      <c r="AK119" s="131">
        <f t="shared" si="62"/>
        <v>0.8</v>
      </c>
      <c r="AL119" s="131">
        <f t="shared" si="63"/>
        <v>0</v>
      </c>
      <c r="AM119" s="131">
        <v>0.5</v>
      </c>
      <c r="AN119" s="131">
        <v>0.4</v>
      </c>
      <c r="AO119" s="131">
        <v>0</v>
      </c>
      <c r="AP119" s="131">
        <v>1</v>
      </c>
      <c r="AQ119" s="123"/>
      <c r="AR119" s="125"/>
    </row>
    <row r="120" spans="2:44" ht="12" customHeight="1">
      <c r="I120" s="143" t="str">
        <f t="shared" si="82"/>
        <v>Industry Process cooling  Tidal</v>
      </c>
      <c r="J120" s="152" t="s">
        <v>207</v>
      </c>
      <c r="K120" s="143" t="str">
        <f t="shared" ref="K120:K121" si="83">$D$5&amp;$F$13&amp;RIGHT(H16,3)&amp;$B$5</f>
        <v>IND-PCTIDExt</v>
      </c>
      <c r="L120" s="101" t="str">
        <f t="shared" si="77"/>
        <v/>
      </c>
      <c r="O120" s="122" t="str">
        <f t="shared" si="48"/>
        <v/>
      </c>
      <c r="P120" s="122" t="str">
        <f t="shared" si="64"/>
        <v/>
      </c>
      <c r="Q120" s="114" t="str">
        <f t="shared" si="49"/>
        <v/>
      </c>
      <c r="R120" s="112" t="str">
        <f t="shared" si="65"/>
        <v/>
      </c>
      <c r="S120" s="119" t="str">
        <f t="shared" si="50"/>
        <v/>
      </c>
      <c r="T120" s="119" t="str">
        <f t="shared" si="51"/>
        <v/>
      </c>
      <c r="U120" s="119" t="str">
        <f t="shared" si="52"/>
        <v/>
      </c>
      <c r="V120" s="119" t="str">
        <f t="shared" si="53"/>
        <v/>
      </c>
      <c r="W120" s="119" t="str">
        <f t="shared" si="54"/>
        <v/>
      </c>
      <c r="X120" s="119" t="str">
        <f t="shared" si="55"/>
        <v/>
      </c>
      <c r="Y120" s="119" t="str">
        <f t="shared" si="56"/>
        <v/>
      </c>
      <c r="Z120" s="119" t="str">
        <f t="shared" si="57"/>
        <v/>
      </c>
      <c r="AA120" s="119" t="str">
        <f t="shared" si="58"/>
        <v/>
      </c>
      <c r="AB120" s="119" t="str">
        <f t="shared" si="59"/>
        <v/>
      </c>
      <c r="AC120" s="119" t="str">
        <f t="shared" si="60"/>
        <v/>
      </c>
      <c r="AD120" s="119" t="str">
        <f t="shared" si="61"/>
        <v/>
      </c>
      <c r="AG120" s="124">
        <v>0.6</v>
      </c>
      <c r="AH120" s="123">
        <v>2</v>
      </c>
      <c r="AI120" s="123">
        <v>1</v>
      </c>
      <c r="AJ120" s="131">
        <v>1</v>
      </c>
      <c r="AK120" s="131">
        <f t="shared" si="62"/>
        <v>0.8</v>
      </c>
      <c r="AL120" s="131">
        <f t="shared" si="63"/>
        <v>0</v>
      </c>
      <c r="AM120" s="131">
        <v>0.5</v>
      </c>
      <c r="AN120" s="131">
        <v>0.4</v>
      </c>
      <c r="AO120" s="131">
        <v>0</v>
      </c>
      <c r="AP120" s="131">
        <v>1</v>
      </c>
      <c r="AQ120" s="123"/>
      <c r="AR120" s="125"/>
    </row>
    <row r="121" spans="2:44" ht="12" customHeight="1" thickBot="1">
      <c r="I121" s="144" t="str">
        <f t="shared" si="82"/>
        <v>Industry Process cooling  Electricity</v>
      </c>
      <c r="J121" s="153" t="s">
        <v>206</v>
      </c>
      <c r="K121" s="144" t="str">
        <f t="shared" si="83"/>
        <v>IND-PCELCExt</v>
      </c>
      <c r="L121" s="101" t="str">
        <f>IF(J121="Yes",K121,"")</f>
        <v>IND-PCELCExt</v>
      </c>
      <c r="O121" s="122" t="str">
        <f t="shared" si="48"/>
        <v>Industry Process cooling  Electricity</v>
      </c>
      <c r="P121" s="122" t="str">
        <f t="shared" si="64"/>
        <v>IND-PCELCExt</v>
      </c>
      <c r="Q121" s="114" t="str">
        <f t="shared" si="49"/>
        <v>IND-ELC</v>
      </c>
      <c r="R121" s="112" t="str">
        <f t="shared" si="65"/>
        <v>IND-PC</v>
      </c>
      <c r="S121" s="119">
        <f t="shared" si="50"/>
        <v>0.6</v>
      </c>
      <c r="T121" s="119">
        <f t="shared" si="51"/>
        <v>2</v>
      </c>
      <c r="U121" s="119">
        <f t="shared" si="52"/>
        <v>1</v>
      </c>
      <c r="V121" s="119">
        <f t="shared" si="53"/>
        <v>1</v>
      </c>
      <c r="W121" s="119">
        <f t="shared" si="54"/>
        <v>0.8</v>
      </c>
      <c r="X121" s="119">
        <f t="shared" si="55"/>
        <v>0</v>
      </c>
      <c r="Y121" s="119">
        <f t="shared" si="56"/>
        <v>0.5</v>
      </c>
      <c r="Z121" s="119">
        <f t="shared" si="57"/>
        <v>0.4</v>
      </c>
      <c r="AA121" s="119">
        <f t="shared" si="58"/>
        <v>0</v>
      </c>
      <c r="AB121" s="119">
        <f t="shared" si="59"/>
        <v>1</v>
      </c>
      <c r="AC121" s="119">
        <f t="shared" si="60"/>
        <v>0</v>
      </c>
      <c r="AD121" s="119">
        <f t="shared" si="61"/>
        <v>0</v>
      </c>
      <c r="AG121" s="126">
        <v>0.6</v>
      </c>
      <c r="AH121" s="127">
        <v>2</v>
      </c>
      <c r="AI121" s="127">
        <v>1</v>
      </c>
      <c r="AJ121" s="131">
        <v>1</v>
      </c>
      <c r="AK121" s="131">
        <f t="shared" si="62"/>
        <v>0.8</v>
      </c>
      <c r="AL121" s="131">
        <f t="shared" si="63"/>
        <v>0</v>
      </c>
      <c r="AM121" s="131">
        <v>0.5</v>
      </c>
      <c r="AN121" s="131">
        <v>0.4</v>
      </c>
      <c r="AO121" s="131">
        <v>0</v>
      </c>
      <c r="AP121" s="131">
        <v>1</v>
      </c>
      <c r="AQ121" s="128"/>
      <c r="AR121" s="129"/>
    </row>
    <row r="127" spans="2:44" ht="12" customHeight="1" thickBot="1"/>
    <row r="128" spans="2:44" ht="12" customHeight="1">
      <c r="B128" s="109" t="s">
        <v>62</v>
      </c>
      <c r="C128" s="109" t="s">
        <v>64</v>
      </c>
      <c r="D128" s="109" t="s">
        <v>201</v>
      </c>
      <c r="E128" s="109" t="s">
        <v>194</v>
      </c>
      <c r="F128" s="109" t="s">
        <v>199</v>
      </c>
      <c r="G128" s="109" t="s">
        <v>197</v>
      </c>
      <c r="H128" s="109" t="s">
        <v>200</v>
      </c>
      <c r="I128" s="109" t="s">
        <v>196</v>
      </c>
      <c r="J128" s="109" t="s">
        <v>195</v>
      </c>
      <c r="K128" s="109" t="s">
        <v>203</v>
      </c>
      <c r="L128" s="109" t="s">
        <v>204</v>
      </c>
      <c r="P128" s="120" t="s">
        <v>1</v>
      </c>
      <c r="Q128" s="121" t="s">
        <v>5</v>
      </c>
      <c r="R128" s="121" t="s">
        <v>6</v>
      </c>
      <c r="S128" s="160" t="s">
        <v>56</v>
      </c>
      <c r="T128" s="160" t="s">
        <v>188</v>
      </c>
      <c r="U128" s="160" t="s">
        <v>189</v>
      </c>
      <c r="V128" s="160" t="s">
        <v>190</v>
      </c>
      <c r="W128" s="160" t="s">
        <v>209</v>
      </c>
      <c r="X128" s="160" t="s">
        <v>191</v>
      </c>
      <c r="Y128" s="160" t="s">
        <v>192</v>
      </c>
      <c r="Z128" s="160" t="s">
        <v>210</v>
      </c>
      <c r="AA128" s="160" t="s">
        <v>211</v>
      </c>
      <c r="AB128" s="160" t="s">
        <v>193</v>
      </c>
      <c r="AC128" s="161" t="s">
        <v>359</v>
      </c>
      <c r="AD128" s="161" t="s">
        <v>212</v>
      </c>
      <c r="AG128" s="133" t="s">
        <v>56</v>
      </c>
      <c r="AH128" s="134" t="s">
        <v>188</v>
      </c>
      <c r="AI128" s="134" t="s">
        <v>189</v>
      </c>
      <c r="AJ128" s="134" t="s">
        <v>190</v>
      </c>
      <c r="AK128" s="134" t="s">
        <v>209</v>
      </c>
      <c r="AL128" s="134" t="s">
        <v>191</v>
      </c>
      <c r="AM128" s="134" t="s">
        <v>192</v>
      </c>
      <c r="AN128" s="134" t="s">
        <v>210</v>
      </c>
      <c r="AO128" s="134" t="s">
        <v>211</v>
      </c>
      <c r="AP128" s="134" t="s">
        <v>193</v>
      </c>
      <c r="AQ128" s="134" t="s">
        <v>359</v>
      </c>
      <c r="AR128" s="135" t="s">
        <v>212</v>
      </c>
    </row>
    <row r="129" spans="2:44" ht="12" customHeight="1">
      <c r="B129" s="116" t="s">
        <v>202</v>
      </c>
      <c r="C129" s="108" t="s">
        <v>44</v>
      </c>
      <c r="D129" s="116" t="s">
        <v>222</v>
      </c>
      <c r="E129" s="106" t="s">
        <v>216</v>
      </c>
      <c r="F129" s="110" t="s">
        <v>171</v>
      </c>
      <c r="G129" s="107" t="str">
        <f>C129&amp;" Coal"</f>
        <v>Residential Coal</v>
      </c>
      <c r="H129" s="113" t="s">
        <v>223</v>
      </c>
      <c r="I129" s="142" t="str">
        <f>$C$129&amp;" "&amp;$E$129&amp;" "&amp;RIGHT(G129,LEN(G129)-FIND(" ",G129))</f>
        <v>Residential Space heating  Coal</v>
      </c>
      <c r="J129" s="145" t="s">
        <v>198</v>
      </c>
      <c r="K129" s="142" t="str">
        <f>$D$129&amp;$F$129&amp;RIGHT(H129,3)&amp;$B$129</f>
        <v>RES-SHCOAExt</v>
      </c>
      <c r="L129" s="101" t="str">
        <f t="shared" ref="L129:L150" si="84">IF(J129="Yes",K129,"")</f>
        <v>RES-SHCOAExt</v>
      </c>
      <c r="P129" s="122" t="str">
        <f>L129</f>
        <v>RES-SHCOAExt</v>
      </c>
      <c r="Q129" s="114" t="str">
        <f t="shared" ref="Q129:Q192" si="85">IF(J129="yes",LEFT(P129,3)&amp;"-"&amp;MID(P129,7,3),"")</f>
        <v>RES-COA</v>
      </c>
      <c r="R129" s="112" t="str">
        <f>LEFT(P129,6)</f>
        <v>RES-SH</v>
      </c>
      <c r="S129" s="119">
        <f>IF(P129&lt;&gt;"",AG129,"")</f>
        <v>0.6</v>
      </c>
      <c r="T129" s="119">
        <f t="shared" ref="T129:AD129" si="86">IF(Q129&lt;&gt;"",AH129,"")</f>
        <v>2</v>
      </c>
      <c r="U129" s="119">
        <f t="shared" si="86"/>
        <v>1</v>
      </c>
      <c r="V129" s="119">
        <f t="shared" si="86"/>
        <v>0</v>
      </c>
      <c r="W129" s="119">
        <f t="shared" si="86"/>
        <v>0</v>
      </c>
      <c r="X129" s="119">
        <f t="shared" si="86"/>
        <v>0</v>
      </c>
      <c r="Y129" s="119">
        <f t="shared" si="86"/>
        <v>0</v>
      </c>
      <c r="Z129" s="119">
        <f t="shared" si="86"/>
        <v>0</v>
      </c>
      <c r="AA129" s="119">
        <f t="shared" si="86"/>
        <v>0</v>
      </c>
      <c r="AB129" s="119">
        <f t="shared" si="86"/>
        <v>0</v>
      </c>
      <c r="AC129" s="119">
        <f t="shared" si="86"/>
        <v>0</v>
      </c>
      <c r="AD129" s="119">
        <f t="shared" si="86"/>
        <v>0</v>
      </c>
      <c r="AG129" s="130">
        <v>0.6</v>
      </c>
      <c r="AH129" s="131">
        <v>2</v>
      </c>
      <c r="AI129" s="131">
        <v>1</v>
      </c>
      <c r="AJ129" s="131"/>
      <c r="AK129" s="131"/>
      <c r="AL129" s="131"/>
      <c r="AM129" s="131"/>
      <c r="AN129" s="131"/>
      <c r="AO129" s="131"/>
      <c r="AP129" s="131"/>
      <c r="AQ129" s="131"/>
      <c r="AR129" s="132"/>
    </row>
    <row r="130" spans="2:44" ht="12" customHeight="1">
      <c r="B130" s="116"/>
      <c r="C130" s="108"/>
      <c r="D130" s="116"/>
      <c r="E130" s="106" t="s">
        <v>173</v>
      </c>
      <c r="F130" s="110" t="s">
        <v>172</v>
      </c>
      <c r="G130" s="107" t="str">
        <f>C129&amp;" Lignite"</f>
        <v>Residential Lignite</v>
      </c>
      <c r="H130" s="113" t="s">
        <v>224</v>
      </c>
      <c r="I130" s="143" t="str">
        <f t="shared" ref="I130:I141" si="87">$C$129&amp;" "&amp;$E$129&amp;" "&amp;RIGHT(G130,LEN(G130)-FIND(" ",G130))</f>
        <v>Residential Space heating  Lignite</v>
      </c>
      <c r="J130" s="146" t="s">
        <v>205</v>
      </c>
      <c r="K130" s="143" t="str">
        <f t="shared" ref="K130:K141" si="88">$D$129&amp;$F$129&amp;RIGHT(H130,3)&amp;$B$129</f>
        <v>RES-SHCOLExt</v>
      </c>
      <c r="L130" s="101" t="str">
        <f t="shared" si="84"/>
        <v/>
      </c>
      <c r="P130" s="122" t="str">
        <f t="shared" ref="P130:P193" si="89">L130</f>
        <v/>
      </c>
      <c r="Q130" s="114" t="str">
        <f t="shared" si="85"/>
        <v/>
      </c>
      <c r="R130" s="112" t="str">
        <f t="shared" ref="R130:R193" si="90">LEFT(P130,6)</f>
        <v/>
      </c>
      <c r="S130" s="119" t="str">
        <f t="shared" ref="S130:S193" si="91">IF(P130&lt;&gt;"",AG130,"")</f>
        <v/>
      </c>
      <c r="T130" s="119" t="str">
        <f t="shared" ref="T130:T193" si="92">IF(Q130&lt;&gt;"",AH130,"")</f>
        <v/>
      </c>
      <c r="U130" s="119" t="str">
        <f t="shared" ref="U130:U193" si="93">IF(R130&lt;&gt;"",AI130,"")</f>
        <v/>
      </c>
      <c r="V130" s="119" t="str">
        <f t="shared" ref="V130:V193" si="94">IF(S130&lt;&gt;"",AJ130,"")</f>
        <v/>
      </c>
      <c r="W130" s="119" t="str">
        <f t="shared" ref="W130:W193" si="95">IF(T130&lt;&gt;"",AK130,"")</f>
        <v/>
      </c>
      <c r="X130" s="119" t="str">
        <f t="shared" ref="X130:X193" si="96">IF(U130&lt;&gt;"",AL130,"")</f>
        <v/>
      </c>
      <c r="Y130" s="119" t="str">
        <f t="shared" ref="Y130:Y193" si="97">IF(V130&lt;&gt;"",AM130,"")</f>
        <v/>
      </c>
      <c r="Z130" s="119" t="str">
        <f t="shared" ref="Z130:Z193" si="98">IF(W130&lt;&gt;"",AN130,"")</f>
        <v/>
      </c>
      <c r="AA130" s="119" t="str">
        <f t="shared" ref="AA130:AA193" si="99">IF(X130&lt;&gt;"",AO130,"")</f>
        <v/>
      </c>
      <c r="AB130" s="119" t="str">
        <f t="shared" ref="AB130:AB193" si="100">IF(Y130&lt;&gt;"",AP130,"")</f>
        <v/>
      </c>
      <c r="AC130" s="119" t="str">
        <f t="shared" ref="AC130:AC193" si="101">IF(Z130&lt;&gt;"",AQ130,"")</f>
        <v/>
      </c>
      <c r="AD130" s="119" t="str">
        <f t="shared" ref="AD130:AD193" si="102">IF(AA130&lt;&gt;"",AR130,"")</f>
        <v/>
      </c>
      <c r="AG130" s="124">
        <v>0.6</v>
      </c>
      <c r="AH130" s="123">
        <v>2</v>
      </c>
      <c r="AI130" s="123">
        <v>1</v>
      </c>
      <c r="AJ130" s="123"/>
      <c r="AK130" s="123"/>
      <c r="AL130" s="123"/>
      <c r="AM130" s="123"/>
      <c r="AN130" s="123"/>
      <c r="AO130" s="123"/>
      <c r="AP130" s="123"/>
      <c r="AQ130" s="123"/>
      <c r="AR130" s="125"/>
    </row>
    <row r="131" spans="2:44" ht="12" customHeight="1">
      <c r="B131" s="116"/>
      <c r="C131" s="108"/>
      <c r="D131" s="116"/>
      <c r="E131" s="106" t="s">
        <v>219</v>
      </c>
      <c r="F131" s="110" t="s">
        <v>220</v>
      </c>
      <c r="G131" s="107" t="str">
        <f>C129&amp;" Crude oil"</f>
        <v>Residential Crude oil</v>
      </c>
      <c r="H131" s="113" t="s">
        <v>225</v>
      </c>
      <c r="I131" s="143" t="str">
        <f t="shared" si="87"/>
        <v>Residential Space heating  Crude oil</v>
      </c>
      <c r="J131" s="146" t="s">
        <v>198</v>
      </c>
      <c r="K131" s="143" t="str">
        <f t="shared" si="88"/>
        <v>RES-SHOILExt</v>
      </c>
      <c r="L131" s="101" t="str">
        <f t="shared" si="84"/>
        <v>RES-SHOILExt</v>
      </c>
      <c r="P131" s="122" t="str">
        <f t="shared" si="89"/>
        <v>RES-SHOILExt</v>
      </c>
      <c r="Q131" s="114" t="str">
        <f t="shared" si="85"/>
        <v>RES-OIL</v>
      </c>
      <c r="R131" s="112" t="str">
        <f t="shared" si="90"/>
        <v>RES-SH</v>
      </c>
      <c r="S131" s="119">
        <f t="shared" si="91"/>
        <v>0.6</v>
      </c>
      <c r="T131" s="119">
        <f t="shared" si="92"/>
        <v>2</v>
      </c>
      <c r="U131" s="119">
        <f t="shared" si="93"/>
        <v>1</v>
      </c>
      <c r="V131" s="119">
        <f t="shared" si="94"/>
        <v>0</v>
      </c>
      <c r="W131" s="119">
        <f t="shared" si="95"/>
        <v>0</v>
      </c>
      <c r="X131" s="119">
        <f t="shared" si="96"/>
        <v>0</v>
      </c>
      <c r="Y131" s="119">
        <f t="shared" si="97"/>
        <v>0</v>
      </c>
      <c r="Z131" s="119">
        <f t="shared" si="98"/>
        <v>0</v>
      </c>
      <c r="AA131" s="119">
        <f t="shared" si="99"/>
        <v>0</v>
      </c>
      <c r="AB131" s="119">
        <f t="shared" si="100"/>
        <v>0</v>
      </c>
      <c r="AC131" s="119">
        <f t="shared" si="101"/>
        <v>0</v>
      </c>
      <c r="AD131" s="119">
        <f t="shared" si="102"/>
        <v>0</v>
      </c>
      <c r="AG131" s="124">
        <v>0.6</v>
      </c>
      <c r="AH131" s="123">
        <v>2</v>
      </c>
      <c r="AI131" s="123">
        <v>1</v>
      </c>
      <c r="AJ131" s="123"/>
      <c r="AK131" s="123"/>
      <c r="AL131" s="123"/>
      <c r="AM131" s="123"/>
      <c r="AN131" s="123"/>
      <c r="AO131" s="123"/>
      <c r="AP131" s="123"/>
      <c r="AQ131" s="123"/>
      <c r="AR131" s="125"/>
    </row>
    <row r="132" spans="2:44" ht="12" customHeight="1">
      <c r="B132" s="116"/>
      <c r="C132" s="108"/>
      <c r="D132" s="116"/>
      <c r="E132" s="106" t="s">
        <v>177</v>
      </c>
      <c r="F132" s="110" t="s">
        <v>176</v>
      </c>
      <c r="G132" s="107" t="str">
        <f>C129&amp;" Natural Gas"</f>
        <v>Residential Natural Gas</v>
      </c>
      <c r="H132" s="113" t="s">
        <v>226</v>
      </c>
      <c r="I132" s="143" t="str">
        <f t="shared" si="87"/>
        <v>Residential Space heating  Natural Gas</v>
      </c>
      <c r="J132" s="146" t="s">
        <v>198</v>
      </c>
      <c r="K132" s="143" t="str">
        <f t="shared" si="88"/>
        <v>RES-SHNGAExt</v>
      </c>
      <c r="L132" s="101" t="str">
        <f t="shared" si="84"/>
        <v>RES-SHNGAExt</v>
      </c>
      <c r="P132" s="122" t="str">
        <f t="shared" si="89"/>
        <v>RES-SHNGAExt</v>
      </c>
      <c r="Q132" s="114" t="str">
        <f t="shared" si="85"/>
        <v>RES-NGA</v>
      </c>
      <c r="R132" s="112" t="str">
        <f t="shared" si="90"/>
        <v>RES-SH</v>
      </c>
      <c r="S132" s="119">
        <f t="shared" si="91"/>
        <v>0.6</v>
      </c>
      <c r="T132" s="119">
        <f t="shared" si="92"/>
        <v>2</v>
      </c>
      <c r="U132" s="119">
        <f t="shared" si="93"/>
        <v>1</v>
      </c>
      <c r="V132" s="119">
        <f t="shared" si="94"/>
        <v>0</v>
      </c>
      <c r="W132" s="119">
        <f t="shared" si="95"/>
        <v>0</v>
      </c>
      <c r="X132" s="119">
        <f t="shared" si="96"/>
        <v>0</v>
      </c>
      <c r="Y132" s="119">
        <f t="shared" si="97"/>
        <v>0</v>
      </c>
      <c r="Z132" s="119">
        <f t="shared" si="98"/>
        <v>0</v>
      </c>
      <c r="AA132" s="119">
        <f t="shared" si="99"/>
        <v>0</v>
      </c>
      <c r="AB132" s="119">
        <f t="shared" si="100"/>
        <v>0</v>
      </c>
      <c r="AC132" s="119">
        <f t="shared" si="101"/>
        <v>0</v>
      </c>
      <c r="AD132" s="119">
        <f t="shared" si="102"/>
        <v>0</v>
      </c>
      <c r="AG132" s="124">
        <v>0.6</v>
      </c>
      <c r="AH132" s="123">
        <v>2</v>
      </c>
      <c r="AI132" s="123">
        <v>1</v>
      </c>
      <c r="AJ132" s="123"/>
      <c r="AK132" s="123"/>
      <c r="AL132" s="123"/>
      <c r="AM132" s="123"/>
      <c r="AN132" s="123"/>
      <c r="AO132" s="123"/>
      <c r="AP132" s="123"/>
      <c r="AQ132" s="123"/>
      <c r="AR132" s="125"/>
    </row>
    <row r="133" spans="2:44" ht="12" customHeight="1">
      <c r="B133" s="116"/>
      <c r="C133" s="108"/>
      <c r="D133" s="116"/>
      <c r="E133" s="106" t="s">
        <v>179</v>
      </c>
      <c r="F133" s="110" t="s">
        <v>178</v>
      </c>
      <c r="G133" s="107" t="str">
        <f>C129&amp;" Hydro"</f>
        <v>Residential Hydro</v>
      </c>
      <c r="H133" s="113" t="s">
        <v>227</v>
      </c>
      <c r="I133" s="143" t="str">
        <f t="shared" si="87"/>
        <v>Residential Space heating  Hydro</v>
      </c>
      <c r="J133" s="146" t="s">
        <v>205</v>
      </c>
      <c r="K133" s="143" t="str">
        <f t="shared" si="88"/>
        <v>RES-SHHYDExt</v>
      </c>
      <c r="L133" s="101" t="str">
        <f t="shared" si="84"/>
        <v/>
      </c>
      <c r="P133" s="122" t="str">
        <f t="shared" si="89"/>
        <v/>
      </c>
      <c r="Q133" s="114" t="str">
        <f t="shared" si="85"/>
        <v/>
      </c>
      <c r="R133" s="112" t="str">
        <f t="shared" si="90"/>
        <v/>
      </c>
      <c r="S133" s="119" t="str">
        <f t="shared" si="91"/>
        <v/>
      </c>
      <c r="T133" s="119" t="str">
        <f t="shared" si="92"/>
        <v/>
      </c>
      <c r="U133" s="119" t="str">
        <f t="shared" si="93"/>
        <v/>
      </c>
      <c r="V133" s="119" t="str">
        <f t="shared" si="94"/>
        <v/>
      </c>
      <c r="W133" s="119" t="str">
        <f t="shared" si="95"/>
        <v/>
      </c>
      <c r="X133" s="119" t="str">
        <f t="shared" si="96"/>
        <v/>
      </c>
      <c r="Y133" s="119" t="str">
        <f t="shared" si="97"/>
        <v/>
      </c>
      <c r="Z133" s="119" t="str">
        <f t="shared" si="98"/>
        <v/>
      </c>
      <c r="AA133" s="119" t="str">
        <f t="shared" si="99"/>
        <v/>
      </c>
      <c r="AB133" s="119" t="str">
        <f t="shared" si="100"/>
        <v/>
      </c>
      <c r="AC133" s="119" t="str">
        <f t="shared" si="101"/>
        <v/>
      </c>
      <c r="AD133" s="119" t="str">
        <f t="shared" si="102"/>
        <v/>
      </c>
      <c r="AG133" s="124">
        <v>0.6</v>
      </c>
      <c r="AH133" s="123">
        <v>2</v>
      </c>
      <c r="AI133" s="123">
        <v>1</v>
      </c>
      <c r="AJ133" s="123"/>
      <c r="AK133" s="123"/>
      <c r="AL133" s="123"/>
      <c r="AM133" s="123"/>
      <c r="AN133" s="123"/>
      <c r="AO133" s="123"/>
      <c r="AP133" s="123"/>
      <c r="AQ133" s="123"/>
      <c r="AR133" s="125"/>
    </row>
    <row r="134" spans="2:44" ht="12" customHeight="1">
      <c r="B134" s="116"/>
      <c r="C134" s="108"/>
      <c r="D134" s="116"/>
      <c r="E134" s="106" t="s">
        <v>181</v>
      </c>
      <c r="F134" s="110" t="s">
        <v>180</v>
      </c>
      <c r="G134" s="107" t="str">
        <f>C129&amp;" Geothermal"</f>
        <v>Residential Geothermal</v>
      </c>
      <c r="H134" s="113" t="s">
        <v>228</v>
      </c>
      <c r="I134" s="143" t="str">
        <f t="shared" si="87"/>
        <v>Residential Space heating  Geothermal</v>
      </c>
      <c r="J134" s="146" t="s">
        <v>205</v>
      </c>
      <c r="K134" s="143" t="str">
        <f t="shared" si="88"/>
        <v>RES-SHGEOExt</v>
      </c>
      <c r="L134" s="101" t="str">
        <f t="shared" si="84"/>
        <v/>
      </c>
      <c r="P134" s="122" t="str">
        <f t="shared" si="89"/>
        <v/>
      </c>
      <c r="Q134" s="114" t="str">
        <f t="shared" si="85"/>
        <v/>
      </c>
      <c r="R134" s="112" t="str">
        <f t="shared" si="90"/>
        <v/>
      </c>
      <c r="S134" s="119" t="str">
        <f t="shared" si="91"/>
        <v/>
      </c>
      <c r="T134" s="119" t="str">
        <f t="shared" si="92"/>
        <v/>
      </c>
      <c r="U134" s="119" t="str">
        <f t="shared" si="93"/>
        <v/>
      </c>
      <c r="V134" s="119" t="str">
        <f t="shared" si="94"/>
        <v/>
      </c>
      <c r="W134" s="119" t="str">
        <f t="shared" si="95"/>
        <v/>
      </c>
      <c r="X134" s="119" t="str">
        <f t="shared" si="96"/>
        <v/>
      </c>
      <c r="Y134" s="119" t="str">
        <f t="shared" si="97"/>
        <v/>
      </c>
      <c r="Z134" s="119" t="str">
        <f t="shared" si="98"/>
        <v/>
      </c>
      <c r="AA134" s="119" t="str">
        <f t="shared" si="99"/>
        <v/>
      </c>
      <c r="AB134" s="119" t="str">
        <f t="shared" si="100"/>
        <v/>
      </c>
      <c r="AC134" s="119" t="str">
        <f t="shared" si="101"/>
        <v/>
      </c>
      <c r="AD134" s="119" t="str">
        <f t="shared" si="102"/>
        <v/>
      </c>
      <c r="AG134" s="124">
        <v>0.6</v>
      </c>
      <c r="AH134" s="123">
        <v>2</v>
      </c>
      <c r="AI134" s="123">
        <v>1</v>
      </c>
      <c r="AJ134" s="123"/>
      <c r="AK134" s="123"/>
      <c r="AL134" s="123"/>
      <c r="AM134" s="123"/>
      <c r="AN134" s="123"/>
      <c r="AO134" s="123"/>
      <c r="AP134" s="123"/>
      <c r="AQ134" s="123"/>
      <c r="AR134" s="125"/>
    </row>
    <row r="135" spans="2:44" ht="12" customHeight="1">
      <c r="B135" s="116"/>
      <c r="C135" s="108"/>
      <c r="D135" s="116"/>
      <c r="E135" s="106" t="s">
        <v>217</v>
      </c>
      <c r="F135" s="110" t="s">
        <v>218</v>
      </c>
      <c r="G135" s="107" t="str">
        <f>C129&amp;" Solar"</f>
        <v>Residential Solar</v>
      </c>
      <c r="H135" s="116" t="s">
        <v>229</v>
      </c>
      <c r="I135" s="143" t="str">
        <f t="shared" si="87"/>
        <v>Residential Space heating  Solar</v>
      </c>
      <c r="J135" s="146" t="s">
        <v>198</v>
      </c>
      <c r="K135" s="143" t="str">
        <f t="shared" si="88"/>
        <v>RES-SHSOLExt</v>
      </c>
      <c r="L135" s="101" t="str">
        <f t="shared" si="84"/>
        <v>RES-SHSOLExt</v>
      </c>
      <c r="P135" s="122" t="str">
        <f t="shared" si="89"/>
        <v>RES-SHSOLExt</v>
      </c>
      <c r="Q135" s="114" t="str">
        <f t="shared" si="85"/>
        <v>RES-SOL</v>
      </c>
      <c r="R135" s="112" t="str">
        <f t="shared" si="90"/>
        <v>RES-SH</v>
      </c>
      <c r="S135" s="119">
        <f t="shared" si="91"/>
        <v>0.6</v>
      </c>
      <c r="T135" s="119">
        <f t="shared" si="92"/>
        <v>2</v>
      </c>
      <c r="U135" s="119">
        <f t="shared" si="93"/>
        <v>1</v>
      </c>
      <c r="V135" s="119">
        <f t="shared" si="94"/>
        <v>0</v>
      </c>
      <c r="W135" s="119">
        <f t="shared" si="95"/>
        <v>0</v>
      </c>
      <c r="X135" s="119">
        <f t="shared" si="96"/>
        <v>0</v>
      </c>
      <c r="Y135" s="119">
        <f t="shared" si="97"/>
        <v>0</v>
      </c>
      <c r="Z135" s="119">
        <f t="shared" si="98"/>
        <v>0</v>
      </c>
      <c r="AA135" s="119">
        <f t="shared" si="99"/>
        <v>0</v>
      </c>
      <c r="AB135" s="119">
        <f t="shared" si="100"/>
        <v>0</v>
      </c>
      <c r="AC135" s="119">
        <f t="shared" si="101"/>
        <v>0</v>
      </c>
      <c r="AD135" s="119">
        <f t="shared" si="102"/>
        <v>0</v>
      </c>
      <c r="AG135" s="124">
        <v>0.6</v>
      </c>
      <c r="AH135" s="123">
        <v>2</v>
      </c>
      <c r="AI135" s="123">
        <v>1</v>
      </c>
      <c r="AJ135" s="123"/>
      <c r="AK135" s="123"/>
      <c r="AL135" s="123"/>
      <c r="AM135" s="123"/>
      <c r="AN135" s="123"/>
      <c r="AO135" s="123"/>
      <c r="AP135" s="123"/>
      <c r="AQ135" s="123"/>
      <c r="AR135" s="125"/>
    </row>
    <row r="136" spans="2:44" ht="12" customHeight="1">
      <c r="B136" s="116"/>
      <c r="C136" s="108"/>
      <c r="D136" s="116"/>
      <c r="E136" s="106" t="s">
        <v>185</v>
      </c>
      <c r="F136" s="110" t="s">
        <v>184</v>
      </c>
      <c r="G136" s="107" t="str">
        <f>C129&amp;" Wind"</f>
        <v>Residential Wind</v>
      </c>
      <c r="H136" s="116" t="s">
        <v>230</v>
      </c>
      <c r="I136" s="143" t="str">
        <f t="shared" si="87"/>
        <v>Residential Space heating  Wind</v>
      </c>
      <c r="J136" s="146" t="s">
        <v>205</v>
      </c>
      <c r="K136" s="143" t="str">
        <f t="shared" si="88"/>
        <v>RES-SHWINExt</v>
      </c>
      <c r="L136" s="101" t="str">
        <f t="shared" si="84"/>
        <v/>
      </c>
      <c r="P136" s="122" t="str">
        <f t="shared" si="89"/>
        <v/>
      </c>
      <c r="Q136" s="114" t="str">
        <f t="shared" si="85"/>
        <v/>
      </c>
      <c r="R136" s="112" t="str">
        <f t="shared" si="90"/>
        <v/>
      </c>
      <c r="S136" s="119" t="str">
        <f t="shared" si="91"/>
        <v/>
      </c>
      <c r="T136" s="119" t="str">
        <f t="shared" si="92"/>
        <v/>
      </c>
      <c r="U136" s="119" t="str">
        <f t="shared" si="93"/>
        <v/>
      </c>
      <c r="V136" s="119" t="str">
        <f t="shared" si="94"/>
        <v/>
      </c>
      <c r="W136" s="119" t="str">
        <f t="shared" si="95"/>
        <v/>
      </c>
      <c r="X136" s="119" t="str">
        <f t="shared" si="96"/>
        <v/>
      </c>
      <c r="Y136" s="119" t="str">
        <f t="shared" si="97"/>
        <v/>
      </c>
      <c r="Z136" s="119" t="str">
        <f t="shared" si="98"/>
        <v/>
      </c>
      <c r="AA136" s="119" t="str">
        <f t="shared" si="99"/>
        <v/>
      </c>
      <c r="AB136" s="119" t="str">
        <f t="shared" si="100"/>
        <v/>
      </c>
      <c r="AC136" s="119" t="str">
        <f t="shared" si="101"/>
        <v/>
      </c>
      <c r="AD136" s="119" t="str">
        <f t="shared" si="102"/>
        <v/>
      </c>
      <c r="AG136" s="124">
        <v>0.6</v>
      </c>
      <c r="AH136" s="123">
        <v>2</v>
      </c>
      <c r="AI136" s="123">
        <v>1</v>
      </c>
      <c r="AJ136" s="123"/>
      <c r="AK136" s="123"/>
      <c r="AL136" s="123"/>
      <c r="AM136" s="123"/>
      <c r="AN136" s="123"/>
      <c r="AO136" s="123"/>
      <c r="AP136" s="123"/>
      <c r="AQ136" s="123"/>
      <c r="AR136" s="125"/>
    </row>
    <row r="137" spans="2:44" ht="12" customHeight="1">
      <c r="B137" s="116"/>
      <c r="C137" s="108"/>
      <c r="D137" s="116"/>
      <c r="E137" s="106" t="s">
        <v>213</v>
      </c>
      <c r="F137" s="110" t="s">
        <v>214</v>
      </c>
      <c r="G137" s="107" t="str">
        <f>C129&amp;" Bio Liquids"</f>
        <v>Residential Bio Liquids</v>
      </c>
      <c r="H137" s="116" t="s">
        <v>231</v>
      </c>
      <c r="I137" s="143" t="str">
        <f t="shared" si="87"/>
        <v>Residential Space heating  Bio Liquids</v>
      </c>
      <c r="J137" s="146" t="s">
        <v>205</v>
      </c>
      <c r="K137" s="143" t="str">
        <f t="shared" si="88"/>
        <v>RES-SHBILExt</v>
      </c>
      <c r="L137" s="101" t="str">
        <f t="shared" si="84"/>
        <v/>
      </c>
      <c r="P137" s="122" t="str">
        <f t="shared" si="89"/>
        <v/>
      </c>
      <c r="Q137" s="114" t="str">
        <f t="shared" si="85"/>
        <v/>
      </c>
      <c r="R137" s="112" t="str">
        <f t="shared" si="90"/>
        <v/>
      </c>
      <c r="S137" s="119" t="str">
        <f t="shared" si="91"/>
        <v/>
      </c>
      <c r="T137" s="119" t="str">
        <f t="shared" si="92"/>
        <v/>
      </c>
      <c r="U137" s="119" t="str">
        <f t="shared" si="93"/>
        <v/>
      </c>
      <c r="V137" s="119" t="str">
        <f t="shared" si="94"/>
        <v/>
      </c>
      <c r="W137" s="119" t="str">
        <f t="shared" si="95"/>
        <v/>
      </c>
      <c r="X137" s="119" t="str">
        <f t="shared" si="96"/>
        <v/>
      </c>
      <c r="Y137" s="119" t="str">
        <f t="shared" si="97"/>
        <v/>
      </c>
      <c r="Z137" s="119" t="str">
        <f t="shared" si="98"/>
        <v/>
      </c>
      <c r="AA137" s="119" t="str">
        <f t="shared" si="99"/>
        <v/>
      </c>
      <c r="AB137" s="119" t="str">
        <f t="shared" si="100"/>
        <v/>
      </c>
      <c r="AC137" s="119" t="str">
        <f t="shared" si="101"/>
        <v/>
      </c>
      <c r="AD137" s="119" t="str">
        <f t="shared" si="102"/>
        <v/>
      </c>
      <c r="AG137" s="124">
        <v>0.6</v>
      </c>
      <c r="AH137" s="123">
        <v>2</v>
      </c>
      <c r="AI137" s="123">
        <v>1</v>
      </c>
      <c r="AJ137" s="123"/>
      <c r="AK137" s="123"/>
      <c r="AL137" s="123"/>
      <c r="AM137" s="123"/>
      <c r="AN137" s="123"/>
      <c r="AO137" s="123"/>
      <c r="AP137" s="123"/>
      <c r="AQ137" s="123"/>
      <c r="AR137" s="125"/>
    </row>
    <row r="138" spans="2:44" ht="12" customHeight="1">
      <c r="B138" s="116"/>
      <c r="C138" s="108"/>
      <c r="D138" s="116"/>
      <c r="E138" s="108"/>
      <c r="F138" s="116"/>
      <c r="G138" s="107" t="str">
        <f>C129&amp;" Biogas"</f>
        <v>Residential Biogas</v>
      </c>
      <c r="H138" s="116" t="s">
        <v>232</v>
      </c>
      <c r="I138" s="143" t="str">
        <f t="shared" si="87"/>
        <v>Residential Space heating  Biogas</v>
      </c>
      <c r="J138" s="146" t="s">
        <v>205</v>
      </c>
      <c r="K138" s="143" t="str">
        <f t="shared" si="88"/>
        <v>RES-SHBIGExt</v>
      </c>
      <c r="L138" s="101" t="str">
        <f t="shared" si="84"/>
        <v/>
      </c>
      <c r="P138" s="122" t="str">
        <f t="shared" si="89"/>
        <v/>
      </c>
      <c r="Q138" s="114" t="str">
        <f t="shared" si="85"/>
        <v/>
      </c>
      <c r="R138" s="112" t="str">
        <f t="shared" si="90"/>
        <v/>
      </c>
      <c r="S138" s="119" t="str">
        <f t="shared" si="91"/>
        <v/>
      </c>
      <c r="T138" s="119" t="str">
        <f t="shared" si="92"/>
        <v/>
      </c>
      <c r="U138" s="119" t="str">
        <f t="shared" si="93"/>
        <v/>
      </c>
      <c r="V138" s="119" t="str">
        <f t="shared" si="94"/>
        <v/>
      </c>
      <c r="W138" s="119" t="str">
        <f t="shared" si="95"/>
        <v/>
      </c>
      <c r="X138" s="119" t="str">
        <f t="shared" si="96"/>
        <v/>
      </c>
      <c r="Y138" s="119" t="str">
        <f t="shared" si="97"/>
        <v/>
      </c>
      <c r="Z138" s="119" t="str">
        <f t="shared" si="98"/>
        <v/>
      </c>
      <c r="AA138" s="119" t="str">
        <f t="shared" si="99"/>
        <v/>
      </c>
      <c r="AB138" s="119" t="str">
        <f t="shared" si="100"/>
        <v/>
      </c>
      <c r="AC138" s="119" t="str">
        <f t="shared" si="101"/>
        <v/>
      </c>
      <c r="AD138" s="119" t="str">
        <f t="shared" si="102"/>
        <v/>
      </c>
      <c r="AG138" s="124">
        <v>0.6</v>
      </c>
      <c r="AH138" s="123">
        <v>2</v>
      </c>
      <c r="AI138" s="123">
        <v>1</v>
      </c>
      <c r="AJ138" s="123"/>
      <c r="AK138" s="123"/>
      <c r="AL138" s="123"/>
      <c r="AM138" s="123"/>
      <c r="AN138" s="123"/>
      <c r="AO138" s="123"/>
      <c r="AP138" s="123"/>
      <c r="AQ138" s="123"/>
      <c r="AR138" s="125"/>
    </row>
    <row r="139" spans="2:44" ht="12" customHeight="1">
      <c r="B139" s="116"/>
      <c r="C139" s="108"/>
      <c r="D139" s="116"/>
      <c r="E139" s="108"/>
      <c r="F139" s="116"/>
      <c r="G139" s="107" t="str">
        <f>C129&amp;" Wood"</f>
        <v>Residential Wood</v>
      </c>
      <c r="H139" s="116" t="s">
        <v>233</v>
      </c>
      <c r="I139" s="143" t="str">
        <f t="shared" si="87"/>
        <v>Residential Space heating  Wood</v>
      </c>
      <c r="J139" s="146" t="s">
        <v>205</v>
      </c>
      <c r="K139" s="143" t="str">
        <f t="shared" si="88"/>
        <v>RES-SHWODExt</v>
      </c>
      <c r="L139" s="101" t="str">
        <f t="shared" si="84"/>
        <v/>
      </c>
      <c r="P139" s="122" t="str">
        <f t="shared" si="89"/>
        <v/>
      </c>
      <c r="Q139" s="114" t="str">
        <f t="shared" si="85"/>
        <v/>
      </c>
      <c r="R139" s="112" t="str">
        <f t="shared" si="90"/>
        <v/>
      </c>
      <c r="S139" s="119" t="str">
        <f t="shared" si="91"/>
        <v/>
      </c>
      <c r="T139" s="119" t="str">
        <f t="shared" si="92"/>
        <v/>
      </c>
      <c r="U139" s="119" t="str">
        <f t="shared" si="93"/>
        <v/>
      </c>
      <c r="V139" s="119" t="str">
        <f t="shared" si="94"/>
        <v/>
      </c>
      <c r="W139" s="119" t="str">
        <f t="shared" si="95"/>
        <v/>
      </c>
      <c r="X139" s="119" t="str">
        <f t="shared" si="96"/>
        <v/>
      </c>
      <c r="Y139" s="119" t="str">
        <f t="shared" si="97"/>
        <v/>
      </c>
      <c r="Z139" s="119" t="str">
        <f t="shared" si="98"/>
        <v/>
      </c>
      <c r="AA139" s="119" t="str">
        <f t="shared" si="99"/>
        <v/>
      </c>
      <c r="AB139" s="119" t="str">
        <f t="shared" si="100"/>
        <v/>
      </c>
      <c r="AC139" s="119" t="str">
        <f t="shared" si="101"/>
        <v/>
      </c>
      <c r="AD139" s="119" t="str">
        <f t="shared" si="102"/>
        <v/>
      </c>
      <c r="AG139" s="124">
        <v>0.6</v>
      </c>
      <c r="AH139" s="123">
        <v>2</v>
      </c>
      <c r="AI139" s="123">
        <v>1</v>
      </c>
      <c r="AJ139" s="123"/>
      <c r="AK139" s="123"/>
      <c r="AL139" s="123"/>
      <c r="AM139" s="123"/>
      <c r="AN139" s="123"/>
      <c r="AO139" s="123"/>
      <c r="AP139" s="123"/>
      <c r="AQ139" s="123"/>
      <c r="AR139" s="125"/>
    </row>
    <row r="140" spans="2:44" ht="12" customHeight="1">
      <c r="B140" s="116"/>
      <c r="C140" s="108"/>
      <c r="D140" s="116"/>
      <c r="E140" s="108"/>
      <c r="F140" s="116"/>
      <c r="G140" s="107" t="str">
        <f>C129&amp;" Tidal"</f>
        <v>Residential Tidal</v>
      </c>
      <c r="H140" s="116" t="s">
        <v>234</v>
      </c>
      <c r="I140" s="143" t="str">
        <f t="shared" si="87"/>
        <v>Residential Space heating  Tidal</v>
      </c>
      <c r="J140" s="146" t="s">
        <v>205</v>
      </c>
      <c r="K140" s="143" t="str">
        <f t="shared" si="88"/>
        <v>RES-SHTIDExt</v>
      </c>
      <c r="L140" s="101" t="str">
        <f t="shared" si="84"/>
        <v/>
      </c>
      <c r="P140" s="122" t="str">
        <f t="shared" si="89"/>
        <v/>
      </c>
      <c r="Q140" s="114" t="str">
        <f t="shared" si="85"/>
        <v/>
      </c>
      <c r="R140" s="112" t="str">
        <f t="shared" si="90"/>
        <v/>
      </c>
      <c r="S140" s="119" t="str">
        <f t="shared" si="91"/>
        <v/>
      </c>
      <c r="T140" s="119" t="str">
        <f t="shared" si="92"/>
        <v/>
      </c>
      <c r="U140" s="119" t="str">
        <f t="shared" si="93"/>
        <v/>
      </c>
      <c r="V140" s="119" t="str">
        <f t="shared" si="94"/>
        <v/>
      </c>
      <c r="W140" s="119" t="str">
        <f t="shared" si="95"/>
        <v/>
      </c>
      <c r="X140" s="119" t="str">
        <f t="shared" si="96"/>
        <v/>
      </c>
      <c r="Y140" s="119" t="str">
        <f t="shared" si="97"/>
        <v/>
      </c>
      <c r="Z140" s="119" t="str">
        <f t="shared" si="98"/>
        <v/>
      </c>
      <c r="AA140" s="119" t="str">
        <f t="shared" si="99"/>
        <v/>
      </c>
      <c r="AB140" s="119" t="str">
        <f t="shared" si="100"/>
        <v/>
      </c>
      <c r="AC140" s="119" t="str">
        <f t="shared" si="101"/>
        <v/>
      </c>
      <c r="AD140" s="119" t="str">
        <f t="shared" si="102"/>
        <v/>
      </c>
      <c r="AG140" s="124">
        <v>0.6</v>
      </c>
      <c r="AH140" s="123">
        <v>2</v>
      </c>
      <c r="AI140" s="123">
        <v>1</v>
      </c>
      <c r="AJ140" s="123"/>
      <c r="AK140" s="123"/>
      <c r="AL140" s="123"/>
      <c r="AM140" s="123"/>
      <c r="AN140" s="123"/>
      <c r="AO140" s="123"/>
      <c r="AP140" s="123"/>
      <c r="AQ140" s="123"/>
      <c r="AR140" s="125"/>
    </row>
    <row r="141" spans="2:44" ht="12" customHeight="1">
      <c r="B141" s="116"/>
      <c r="C141" s="108"/>
      <c r="D141" s="116"/>
      <c r="E141" s="108"/>
      <c r="F141" s="116"/>
      <c r="G141" s="107" t="str">
        <f>C129&amp;" Electricity"</f>
        <v>Residential Electricity</v>
      </c>
      <c r="H141" s="116" t="s">
        <v>235</v>
      </c>
      <c r="I141" s="144" t="str">
        <f t="shared" si="87"/>
        <v>Residential Space heating  Electricity</v>
      </c>
      <c r="J141" s="155" t="s">
        <v>198</v>
      </c>
      <c r="K141" s="144" t="str">
        <f t="shared" si="88"/>
        <v>RES-SHELCExt</v>
      </c>
      <c r="L141" s="101" t="str">
        <f t="shared" si="84"/>
        <v>RES-SHELCExt</v>
      </c>
      <c r="P141" s="122" t="str">
        <f t="shared" si="89"/>
        <v>RES-SHELCExt</v>
      </c>
      <c r="Q141" s="114" t="str">
        <f t="shared" si="85"/>
        <v>RES-ELC</v>
      </c>
      <c r="R141" s="112" t="str">
        <f t="shared" si="90"/>
        <v>RES-SH</v>
      </c>
      <c r="S141" s="119">
        <f t="shared" si="91"/>
        <v>0.6</v>
      </c>
      <c r="T141" s="119">
        <f t="shared" si="92"/>
        <v>2</v>
      </c>
      <c r="U141" s="119">
        <f t="shared" si="93"/>
        <v>1</v>
      </c>
      <c r="V141" s="119">
        <f t="shared" si="94"/>
        <v>0</v>
      </c>
      <c r="W141" s="119">
        <f t="shared" si="95"/>
        <v>0</v>
      </c>
      <c r="X141" s="119">
        <f t="shared" si="96"/>
        <v>0</v>
      </c>
      <c r="Y141" s="119">
        <f t="shared" si="97"/>
        <v>0</v>
      </c>
      <c r="Z141" s="119">
        <f t="shared" si="98"/>
        <v>0</v>
      </c>
      <c r="AA141" s="119">
        <f t="shared" si="99"/>
        <v>0</v>
      </c>
      <c r="AB141" s="119">
        <f t="shared" si="100"/>
        <v>0</v>
      </c>
      <c r="AC141" s="119">
        <f t="shared" si="101"/>
        <v>0</v>
      </c>
      <c r="AD141" s="119">
        <f t="shared" si="102"/>
        <v>0</v>
      </c>
      <c r="AG141" s="124">
        <v>0.6</v>
      </c>
      <c r="AH141" s="123">
        <v>2</v>
      </c>
      <c r="AI141" s="123">
        <v>1</v>
      </c>
      <c r="AJ141" s="123"/>
      <c r="AK141" s="123"/>
      <c r="AL141" s="123"/>
      <c r="AM141" s="123"/>
      <c r="AN141" s="123"/>
      <c r="AO141" s="123"/>
      <c r="AP141" s="123"/>
      <c r="AQ141" s="123"/>
      <c r="AR141" s="125"/>
    </row>
    <row r="142" spans="2:44" ht="12" customHeight="1">
      <c r="I142" s="143" t="str">
        <f>$C$129&amp;" "&amp;$E$130&amp;" "&amp;RIGHT(G129,LEN(G129)-FIND(" ",G129))</f>
        <v>Residential Water heating  Coal</v>
      </c>
      <c r="J142" s="146" t="s">
        <v>198</v>
      </c>
      <c r="K142" s="142" t="str">
        <f>$D$129&amp;$F$130&amp;RIGHT(H129,3)&amp;$B$129</f>
        <v>RES-WHCOAExt</v>
      </c>
      <c r="L142" s="101" t="str">
        <f t="shared" si="84"/>
        <v>RES-WHCOAExt</v>
      </c>
      <c r="P142" s="122" t="str">
        <f t="shared" si="89"/>
        <v>RES-WHCOAExt</v>
      </c>
      <c r="Q142" s="114" t="str">
        <f t="shared" si="85"/>
        <v>RES-COA</v>
      </c>
      <c r="R142" s="112" t="str">
        <f t="shared" si="90"/>
        <v>RES-WH</v>
      </c>
      <c r="S142" s="119">
        <f t="shared" si="91"/>
        <v>0.6</v>
      </c>
      <c r="T142" s="119">
        <f t="shared" si="92"/>
        <v>2</v>
      </c>
      <c r="U142" s="119">
        <f t="shared" si="93"/>
        <v>1</v>
      </c>
      <c r="V142" s="119">
        <f t="shared" si="94"/>
        <v>0</v>
      </c>
      <c r="W142" s="119">
        <f t="shared" si="95"/>
        <v>0</v>
      </c>
      <c r="X142" s="119">
        <f t="shared" si="96"/>
        <v>0</v>
      </c>
      <c r="Y142" s="119">
        <f t="shared" si="97"/>
        <v>0</v>
      </c>
      <c r="Z142" s="119">
        <f t="shared" si="98"/>
        <v>0</v>
      </c>
      <c r="AA142" s="119">
        <f t="shared" si="99"/>
        <v>0</v>
      </c>
      <c r="AB142" s="119">
        <f t="shared" si="100"/>
        <v>0</v>
      </c>
      <c r="AC142" s="119">
        <f t="shared" si="101"/>
        <v>0</v>
      </c>
      <c r="AD142" s="119">
        <f t="shared" si="102"/>
        <v>0</v>
      </c>
      <c r="AG142" s="124">
        <v>0.6</v>
      </c>
      <c r="AH142" s="123">
        <v>2</v>
      </c>
      <c r="AI142" s="123">
        <v>1</v>
      </c>
      <c r="AJ142" s="123"/>
      <c r="AK142" s="123"/>
      <c r="AL142" s="123"/>
      <c r="AM142" s="123"/>
      <c r="AN142" s="123"/>
      <c r="AO142" s="123"/>
      <c r="AP142" s="123"/>
      <c r="AQ142" s="123"/>
      <c r="AR142" s="125"/>
    </row>
    <row r="143" spans="2:44" ht="12" customHeight="1">
      <c r="I143" s="143" t="str">
        <f t="shared" ref="I143:I154" si="103">$C$129&amp;" "&amp;$E$130&amp;" "&amp;RIGHT(G130,LEN(G130)-FIND(" ",G130))</f>
        <v>Residential Water heating  Lignite</v>
      </c>
      <c r="J143" s="146" t="s">
        <v>198</v>
      </c>
      <c r="K143" s="143" t="str">
        <f t="shared" ref="K143:K154" si="104">$D$129&amp;$F$130&amp;RIGHT(H130,3)&amp;$B$129</f>
        <v>RES-WHCOLExt</v>
      </c>
      <c r="L143" s="101" t="str">
        <f t="shared" si="84"/>
        <v>RES-WHCOLExt</v>
      </c>
      <c r="P143" s="122" t="str">
        <f t="shared" si="89"/>
        <v>RES-WHCOLExt</v>
      </c>
      <c r="Q143" s="114" t="str">
        <f t="shared" si="85"/>
        <v>RES-COL</v>
      </c>
      <c r="R143" s="112" t="str">
        <f t="shared" si="90"/>
        <v>RES-WH</v>
      </c>
      <c r="S143" s="119">
        <f t="shared" si="91"/>
        <v>0.6</v>
      </c>
      <c r="T143" s="119">
        <f t="shared" si="92"/>
        <v>2</v>
      </c>
      <c r="U143" s="119">
        <f t="shared" si="93"/>
        <v>1</v>
      </c>
      <c r="V143" s="119">
        <f t="shared" si="94"/>
        <v>0</v>
      </c>
      <c r="W143" s="119">
        <f t="shared" si="95"/>
        <v>0</v>
      </c>
      <c r="X143" s="119">
        <f t="shared" si="96"/>
        <v>0</v>
      </c>
      <c r="Y143" s="119">
        <f t="shared" si="97"/>
        <v>0</v>
      </c>
      <c r="Z143" s="119">
        <f t="shared" si="98"/>
        <v>0</v>
      </c>
      <c r="AA143" s="119">
        <f t="shared" si="99"/>
        <v>0</v>
      </c>
      <c r="AB143" s="119">
        <f t="shared" si="100"/>
        <v>0</v>
      </c>
      <c r="AC143" s="119">
        <f t="shared" si="101"/>
        <v>0</v>
      </c>
      <c r="AD143" s="119">
        <f t="shared" si="102"/>
        <v>0</v>
      </c>
      <c r="AG143" s="124">
        <v>0.6</v>
      </c>
      <c r="AH143" s="123">
        <v>2</v>
      </c>
      <c r="AI143" s="123">
        <v>1</v>
      </c>
      <c r="AJ143" s="123"/>
      <c r="AK143" s="123"/>
      <c r="AL143" s="123"/>
      <c r="AM143" s="123"/>
      <c r="AN143" s="123"/>
      <c r="AO143" s="123"/>
      <c r="AP143" s="123"/>
      <c r="AQ143" s="123"/>
      <c r="AR143" s="125"/>
    </row>
    <row r="144" spans="2:44" ht="12" customHeight="1">
      <c r="I144" s="143" t="str">
        <f t="shared" si="103"/>
        <v>Residential Water heating  Crude oil</v>
      </c>
      <c r="J144" s="146" t="s">
        <v>198</v>
      </c>
      <c r="K144" s="143" t="str">
        <f t="shared" si="104"/>
        <v>RES-WHOILExt</v>
      </c>
      <c r="L144" s="101" t="str">
        <f t="shared" si="84"/>
        <v>RES-WHOILExt</v>
      </c>
      <c r="P144" s="122" t="str">
        <f t="shared" si="89"/>
        <v>RES-WHOILExt</v>
      </c>
      <c r="Q144" s="114" t="str">
        <f t="shared" si="85"/>
        <v>RES-OIL</v>
      </c>
      <c r="R144" s="112" t="str">
        <f t="shared" si="90"/>
        <v>RES-WH</v>
      </c>
      <c r="S144" s="119">
        <f t="shared" si="91"/>
        <v>0.6</v>
      </c>
      <c r="T144" s="119">
        <f t="shared" si="92"/>
        <v>2</v>
      </c>
      <c r="U144" s="119">
        <f t="shared" si="93"/>
        <v>1</v>
      </c>
      <c r="V144" s="119">
        <f t="shared" si="94"/>
        <v>0</v>
      </c>
      <c r="W144" s="119">
        <f t="shared" si="95"/>
        <v>0</v>
      </c>
      <c r="X144" s="119">
        <f t="shared" si="96"/>
        <v>0</v>
      </c>
      <c r="Y144" s="119">
        <f t="shared" si="97"/>
        <v>0</v>
      </c>
      <c r="Z144" s="119">
        <f t="shared" si="98"/>
        <v>0</v>
      </c>
      <c r="AA144" s="119">
        <f t="shared" si="99"/>
        <v>0</v>
      </c>
      <c r="AB144" s="119">
        <f t="shared" si="100"/>
        <v>0</v>
      </c>
      <c r="AC144" s="119">
        <f t="shared" si="101"/>
        <v>0</v>
      </c>
      <c r="AD144" s="119">
        <f t="shared" si="102"/>
        <v>0</v>
      </c>
      <c r="AG144" s="124">
        <v>0.6</v>
      </c>
      <c r="AH144" s="123">
        <v>2</v>
      </c>
      <c r="AI144" s="123">
        <v>1</v>
      </c>
      <c r="AJ144" s="123"/>
      <c r="AK144" s="123"/>
      <c r="AL144" s="123"/>
      <c r="AM144" s="123"/>
      <c r="AN144" s="123"/>
      <c r="AO144" s="123"/>
      <c r="AP144" s="123"/>
      <c r="AQ144" s="123"/>
      <c r="AR144" s="125"/>
    </row>
    <row r="145" spans="9:44" ht="12" customHeight="1">
      <c r="I145" s="143" t="str">
        <f t="shared" si="103"/>
        <v>Residential Water heating  Natural Gas</v>
      </c>
      <c r="J145" s="146" t="s">
        <v>198</v>
      </c>
      <c r="K145" s="143" t="str">
        <f t="shared" si="104"/>
        <v>RES-WHNGAExt</v>
      </c>
      <c r="L145" s="101" t="str">
        <f t="shared" si="84"/>
        <v>RES-WHNGAExt</v>
      </c>
      <c r="P145" s="122" t="str">
        <f t="shared" si="89"/>
        <v>RES-WHNGAExt</v>
      </c>
      <c r="Q145" s="114" t="str">
        <f t="shared" si="85"/>
        <v>RES-NGA</v>
      </c>
      <c r="R145" s="112" t="str">
        <f t="shared" si="90"/>
        <v>RES-WH</v>
      </c>
      <c r="S145" s="119">
        <f t="shared" si="91"/>
        <v>0.6</v>
      </c>
      <c r="T145" s="119">
        <f t="shared" si="92"/>
        <v>2</v>
      </c>
      <c r="U145" s="119">
        <f t="shared" si="93"/>
        <v>1</v>
      </c>
      <c r="V145" s="119">
        <f t="shared" si="94"/>
        <v>0</v>
      </c>
      <c r="W145" s="119">
        <f t="shared" si="95"/>
        <v>0</v>
      </c>
      <c r="X145" s="119">
        <f t="shared" si="96"/>
        <v>0</v>
      </c>
      <c r="Y145" s="119">
        <f t="shared" si="97"/>
        <v>0</v>
      </c>
      <c r="Z145" s="119">
        <f t="shared" si="98"/>
        <v>0</v>
      </c>
      <c r="AA145" s="119">
        <f t="shared" si="99"/>
        <v>0</v>
      </c>
      <c r="AB145" s="119">
        <f t="shared" si="100"/>
        <v>0</v>
      </c>
      <c r="AC145" s="119">
        <f t="shared" si="101"/>
        <v>0</v>
      </c>
      <c r="AD145" s="119">
        <f t="shared" si="102"/>
        <v>0</v>
      </c>
      <c r="AG145" s="124">
        <v>0.6</v>
      </c>
      <c r="AH145" s="123">
        <v>2</v>
      </c>
      <c r="AI145" s="123">
        <v>1</v>
      </c>
      <c r="AJ145" s="123"/>
      <c r="AK145" s="123"/>
      <c r="AL145" s="123"/>
      <c r="AM145" s="123"/>
      <c r="AN145" s="123"/>
      <c r="AO145" s="123"/>
      <c r="AP145" s="123"/>
      <c r="AQ145" s="123"/>
      <c r="AR145" s="125"/>
    </row>
    <row r="146" spans="9:44" ht="12" customHeight="1">
      <c r="I146" s="143" t="str">
        <f t="shared" si="103"/>
        <v>Residential Water heating  Hydro</v>
      </c>
      <c r="J146" s="146" t="s">
        <v>205</v>
      </c>
      <c r="K146" s="143" t="str">
        <f t="shared" si="104"/>
        <v>RES-WHHYDExt</v>
      </c>
      <c r="L146" s="101" t="str">
        <f t="shared" si="84"/>
        <v/>
      </c>
      <c r="P146" s="122" t="str">
        <f t="shared" si="89"/>
        <v/>
      </c>
      <c r="Q146" s="114" t="str">
        <f t="shared" si="85"/>
        <v/>
      </c>
      <c r="R146" s="112" t="str">
        <f t="shared" si="90"/>
        <v/>
      </c>
      <c r="S146" s="119" t="str">
        <f t="shared" si="91"/>
        <v/>
      </c>
      <c r="T146" s="119" t="str">
        <f t="shared" si="92"/>
        <v/>
      </c>
      <c r="U146" s="119" t="str">
        <f t="shared" si="93"/>
        <v/>
      </c>
      <c r="V146" s="119" t="str">
        <f t="shared" si="94"/>
        <v/>
      </c>
      <c r="W146" s="119" t="str">
        <f t="shared" si="95"/>
        <v/>
      </c>
      <c r="X146" s="119" t="str">
        <f t="shared" si="96"/>
        <v/>
      </c>
      <c r="Y146" s="119" t="str">
        <f t="shared" si="97"/>
        <v/>
      </c>
      <c r="Z146" s="119" t="str">
        <f t="shared" si="98"/>
        <v/>
      </c>
      <c r="AA146" s="119" t="str">
        <f t="shared" si="99"/>
        <v/>
      </c>
      <c r="AB146" s="119" t="str">
        <f t="shared" si="100"/>
        <v/>
      </c>
      <c r="AC146" s="119" t="str">
        <f t="shared" si="101"/>
        <v/>
      </c>
      <c r="AD146" s="119" t="str">
        <f t="shared" si="102"/>
        <v/>
      </c>
      <c r="AG146" s="124">
        <v>0.6</v>
      </c>
      <c r="AH146" s="123">
        <v>2</v>
      </c>
      <c r="AI146" s="123">
        <v>1</v>
      </c>
      <c r="AJ146" s="123"/>
      <c r="AK146" s="123"/>
      <c r="AL146" s="123"/>
      <c r="AM146" s="123"/>
      <c r="AN146" s="123"/>
      <c r="AO146" s="123"/>
      <c r="AP146" s="123"/>
      <c r="AQ146" s="123"/>
      <c r="AR146" s="125"/>
    </row>
    <row r="147" spans="9:44" ht="12" customHeight="1">
      <c r="I147" s="143" t="str">
        <f t="shared" si="103"/>
        <v>Residential Water heating  Geothermal</v>
      </c>
      <c r="J147" s="146" t="s">
        <v>205</v>
      </c>
      <c r="K147" s="143" t="str">
        <f t="shared" si="104"/>
        <v>RES-WHGEOExt</v>
      </c>
      <c r="L147" s="101" t="str">
        <f t="shared" si="84"/>
        <v/>
      </c>
      <c r="P147" s="122" t="str">
        <f t="shared" si="89"/>
        <v/>
      </c>
      <c r="Q147" s="114" t="str">
        <f t="shared" si="85"/>
        <v/>
      </c>
      <c r="R147" s="112" t="str">
        <f t="shared" si="90"/>
        <v/>
      </c>
      <c r="S147" s="119" t="str">
        <f t="shared" si="91"/>
        <v/>
      </c>
      <c r="T147" s="119" t="str">
        <f t="shared" si="92"/>
        <v/>
      </c>
      <c r="U147" s="119" t="str">
        <f t="shared" si="93"/>
        <v/>
      </c>
      <c r="V147" s="119" t="str">
        <f t="shared" si="94"/>
        <v/>
      </c>
      <c r="W147" s="119" t="str">
        <f t="shared" si="95"/>
        <v/>
      </c>
      <c r="X147" s="119" t="str">
        <f t="shared" si="96"/>
        <v/>
      </c>
      <c r="Y147" s="119" t="str">
        <f t="shared" si="97"/>
        <v/>
      </c>
      <c r="Z147" s="119" t="str">
        <f t="shared" si="98"/>
        <v/>
      </c>
      <c r="AA147" s="119" t="str">
        <f t="shared" si="99"/>
        <v/>
      </c>
      <c r="AB147" s="119" t="str">
        <f t="shared" si="100"/>
        <v/>
      </c>
      <c r="AC147" s="119" t="str">
        <f t="shared" si="101"/>
        <v/>
      </c>
      <c r="AD147" s="119" t="str">
        <f t="shared" si="102"/>
        <v/>
      </c>
      <c r="AG147" s="124">
        <v>0.6</v>
      </c>
      <c r="AH147" s="123">
        <v>2</v>
      </c>
      <c r="AI147" s="123">
        <v>1</v>
      </c>
      <c r="AJ147" s="123"/>
      <c r="AK147" s="123"/>
      <c r="AL147" s="123"/>
      <c r="AM147" s="123"/>
      <c r="AN147" s="123"/>
      <c r="AO147" s="123"/>
      <c r="AP147" s="123"/>
      <c r="AQ147" s="123"/>
      <c r="AR147" s="125"/>
    </row>
    <row r="148" spans="9:44" ht="12" customHeight="1">
      <c r="I148" s="143" t="str">
        <f t="shared" si="103"/>
        <v>Residential Water heating  Solar</v>
      </c>
      <c r="J148" s="146" t="s">
        <v>205</v>
      </c>
      <c r="K148" s="143" t="str">
        <f t="shared" si="104"/>
        <v>RES-WHSOLExt</v>
      </c>
      <c r="L148" s="101" t="str">
        <f t="shared" si="84"/>
        <v/>
      </c>
      <c r="P148" s="122" t="str">
        <f t="shared" si="89"/>
        <v/>
      </c>
      <c r="Q148" s="114" t="str">
        <f t="shared" si="85"/>
        <v/>
      </c>
      <c r="R148" s="112" t="str">
        <f t="shared" si="90"/>
        <v/>
      </c>
      <c r="S148" s="119" t="str">
        <f t="shared" si="91"/>
        <v/>
      </c>
      <c r="T148" s="119" t="str">
        <f t="shared" si="92"/>
        <v/>
      </c>
      <c r="U148" s="119" t="str">
        <f t="shared" si="93"/>
        <v/>
      </c>
      <c r="V148" s="119" t="str">
        <f t="shared" si="94"/>
        <v/>
      </c>
      <c r="W148" s="119" t="str">
        <f t="shared" si="95"/>
        <v/>
      </c>
      <c r="X148" s="119" t="str">
        <f t="shared" si="96"/>
        <v/>
      </c>
      <c r="Y148" s="119" t="str">
        <f t="shared" si="97"/>
        <v/>
      </c>
      <c r="Z148" s="119" t="str">
        <f t="shared" si="98"/>
        <v/>
      </c>
      <c r="AA148" s="119" t="str">
        <f t="shared" si="99"/>
        <v/>
      </c>
      <c r="AB148" s="119" t="str">
        <f t="shared" si="100"/>
        <v/>
      </c>
      <c r="AC148" s="119" t="str">
        <f t="shared" si="101"/>
        <v/>
      </c>
      <c r="AD148" s="119" t="str">
        <f t="shared" si="102"/>
        <v/>
      </c>
      <c r="AG148" s="124">
        <v>0.6</v>
      </c>
      <c r="AH148" s="123">
        <v>2</v>
      </c>
      <c r="AI148" s="123">
        <v>1</v>
      </c>
      <c r="AJ148" s="123"/>
      <c r="AK148" s="123"/>
      <c r="AL148" s="123"/>
      <c r="AM148" s="123"/>
      <c r="AN148" s="123"/>
      <c r="AO148" s="123"/>
      <c r="AP148" s="123"/>
      <c r="AQ148" s="123"/>
      <c r="AR148" s="125"/>
    </row>
    <row r="149" spans="9:44" ht="12" customHeight="1">
      <c r="I149" s="143" t="str">
        <f t="shared" si="103"/>
        <v>Residential Water heating  Wind</v>
      </c>
      <c r="J149" s="146" t="s">
        <v>205</v>
      </c>
      <c r="K149" s="143" t="str">
        <f t="shared" si="104"/>
        <v>RES-WHWINExt</v>
      </c>
      <c r="L149" s="101" t="str">
        <f t="shared" si="84"/>
        <v/>
      </c>
      <c r="P149" s="122" t="str">
        <f t="shared" si="89"/>
        <v/>
      </c>
      <c r="Q149" s="114" t="str">
        <f t="shared" si="85"/>
        <v/>
      </c>
      <c r="R149" s="112" t="str">
        <f t="shared" si="90"/>
        <v/>
      </c>
      <c r="S149" s="119" t="str">
        <f t="shared" si="91"/>
        <v/>
      </c>
      <c r="T149" s="119" t="str">
        <f t="shared" si="92"/>
        <v/>
      </c>
      <c r="U149" s="119" t="str">
        <f t="shared" si="93"/>
        <v/>
      </c>
      <c r="V149" s="119" t="str">
        <f t="shared" si="94"/>
        <v/>
      </c>
      <c r="W149" s="119" t="str">
        <f t="shared" si="95"/>
        <v/>
      </c>
      <c r="X149" s="119" t="str">
        <f t="shared" si="96"/>
        <v/>
      </c>
      <c r="Y149" s="119" t="str">
        <f t="shared" si="97"/>
        <v/>
      </c>
      <c r="Z149" s="119" t="str">
        <f t="shared" si="98"/>
        <v/>
      </c>
      <c r="AA149" s="119" t="str">
        <f t="shared" si="99"/>
        <v/>
      </c>
      <c r="AB149" s="119" t="str">
        <f t="shared" si="100"/>
        <v/>
      </c>
      <c r="AC149" s="119" t="str">
        <f t="shared" si="101"/>
        <v/>
      </c>
      <c r="AD149" s="119" t="str">
        <f t="shared" si="102"/>
        <v/>
      </c>
      <c r="AG149" s="124">
        <v>0.6</v>
      </c>
      <c r="AH149" s="123">
        <v>2</v>
      </c>
      <c r="AI149" s="123">
        <v>1</v>
      </c>
      <c r="AJ149" s="123"/>
      <c r="AK149" s="123"/>
      <c r="AL149" s="123"/>
      <c r="AM149" s="123"/>
      <c r="AN149" s="123"/>
      <c r="AO149" s="123"/>
      <c r="AP149" s="123"/>
      <c r="AQ149" s="123"/>
      <c r="AR149" s="125"/>
    </row>
    <row r="150" spans="9:44" ht="12" customHeight="1">
      <c r="I150" s="143" t="str">
        <f t="shared" si="103"/>
        <v>Residential Water heating  Bio Liquids</v>
      </c>
      <c r="J150" s="146" t="s">
        <v>205</v>
      </c>
      <c r="K150" s="143" t="str">
        <f t="shared" si="104"/>
        <v>RES-WHBILExt</v>
      </c>
      <c r="L150" s="101" t="str">
        <f t="shared" si="84"/>
        <v/>
      </c>
      <c r="P150" s="122" t="str">
        <f t="shared" si="89"/>
        <v/>
      </c>
      <c r="Q150" s="114" t="str">
        <f t="shared" si="85"/>
        <v/>
      </c>
      <c r="R150" s="112" t="str">
        <f t="shared" si="90"/>
        <v/>
      </c>
      <c r="S150" s="119" t="str">
        <f t="shared" si="91"/>
        <v/>
      </c>
      <c r="T150" s="119" t="str">
        <f t="shared" si="92"/>
        <v/>
      </c>
      <c r="U150" s="119" t="str">
        <f t="shared" si="93"/>
        <v/>
      </c>
      <c r="V150" s="119" t="str">
        <f t="shared" si="94"/>
        <v/>
      </c>
      <c r="W150" s="119" t="str">
        <f t="shared" si="95"/>
        <v/>
      </c>
      <c r="X150" s="119" t="str">
        <f t="shared" si="96"/>
        <v/>
      </c>
      <c r="Y150" s="119" t="str">
        <f t="shared" si="97"/>
        <v/>
      </c>
      <c r="Z150" s="119" t="str">
        <f t="shared" si="98"/>
        <v/>
      </c>
      <c r="AA150" s="119" t="str">
        <f t="shared" si="99"/>
        <v/>
      </c>
      <c r="AB150" s="119" t="str">
        <f t="shared" si="100"/>
        <v/>
      </c>
      <c r="AC150" s="119" t="str">
        <f t="shared" si="101"/>
        <v/>
      </c>
      <c r="AD150" s="119" t="str">
        <f t="shared" si="102"/>
        <v/>
      </c>
      <c r="AG150" s="124">
        <v>0.6</v>
      </c>
      <c r="AH150" s="123">
        <v>2</v>
      </c>
      <c r="AI150" s="123">
        <v>1</v>
      </c>
      <c r="AJ150" s="123"/>
      <c r="AK150" s="123"/>
      <c r="AL150" s="123"/>
      <c r="AM150" s="123"/>
      <c r="AN150" s="123"/>
      <c r="AO150" s="123"/>
      <c r="AP150" s="123"/>
      <c r="AQ150" s="123"/>
      <c r="AR150" s="125"/>
    </row>
    <row r="151" spans="9:44" ht="12" customHeight="1">
      <c r="I151" s="143" t="str">
        <f t="shared" si="103"/>
        <v>Residential Water heating  Biogas</v>
      </c>
      <c r="J151" s="146" t="s">
        <v>205</v>
      </c>
      <c r="K151" s="143" t="str">
        <f t="shared" si="104"/>
        <v>RES-WHBIGExt</v>
      </c>
      <c r="L151" s="101" t="str">
        <f t="shared" ref="L151:L154" si="105">IF(J151="Yes",K151,"")</f>
        <v/>
      </c>
      <c r="P151" s="122" t="str">
        <f t="shared" si="89"/>
        <v/>
      </c>
      <c r="Q151" s="114" t="str">
        <f t="shared" si="85"/>
        <v/>
      </c>
      <c r="R151" s="112" t="str">
        <f t="shared" si="90"/>
        <v/>
      </c>
      <c r="S151" s="119" t="str">
        <f t="shared" si="91"/>
        <v/>
      </c>
      <c r="T151" s="119" t="str">
        <f t="shared" si="92"/>
        <v/>
      </c>
      <c r="U151" s="119" t="str">
        <f t="shared" si="93"/>
        <v/>
      </c>
      <c r="V151" s="119" t="str">
        <f t="shared" si="94"/>
        <v/>
      </c>
      <c r="W151" s="119" t="str">
        <f t="shared" si="95"/>
        <v/>
      </c>
      <c r="X151" s="119" t="str">
        <f t="shared" si="96"/>
        <v/>
      </c>
      <c r="Y151" s="119" t="str">
        <f t="shared" si="97"/>
        <v/>
      </c>
      <c r="Z151" s="119" t="str">
        <f t="shared" si="98"/>
        <v/>
      </c>
      <c r="AA151" s="119" t="str">
        <f t="shared" si="99"/>
        <v/>
      </c>
      <c r="AB151" s="119" t="str">
        <f t="shared" si="100"/>
        <v/>
      </c>
      <c r="AC151" s="119" t="str">
        <f t="shared" si="101"/>
        <v/>
      </c>
      <c r="AD151" s="119" t="str">
        <f t="shared" si="102"/>
        <v/>
      </c>
      <c r="AG151" s="124">
        <v>0.6</v>
      </c>
      <c r="AH151" s="123">
        <v>2</v>
      </c>
      <c r="AI151" s="123">
        <v>1</v>
      </c>
      <c r="AJ151" s="123"/>
      <c r="AK151" s="123"/>
      <c r="AL151" s="123"/>
      <c r="AM151" s="123"/>
      <c r="AN151" s="123"/>
      <c r="AO151" s="123"/>
      <c r="AP151" s="123"/>
      <c r="AQ151" s="123"/>
      <c r="AR151" s="125"/>
    </row>
    <row r="152" spans="9:44" ht="12" customHeight="1">
      <c r="I152" s="143" t="str">
        <f t="shared" si="103"/>
        <v>Residential Water heating  Wood</v>
      </c>
      <c r="J152" s="146" t="s">
        <v>198</v>
      </c>
      <c r="K152" s="143" t="str">
        <f t="shared" si="104"/>
        <v>RES-WHWODExt</v>
      </c>
      <c r="L152" s="101" t="str">
        <f t="shared" si="105"/>
        <v>RES-WHWODExt</v>
      </c>
      <c r="P152" s="122" t="str">
        <f t="shared" si="89"/>
        <v>RES-WHWODExt</v>
      </c>
      <c r="Q152" s="114" t="str">
        <f t="shared" si="85"/>
        <v>RES-WOD</v>
      </c>
      <c r="R152" s="112" t="str">
        <f t="shared" si="90"/>
        <v>RES-WH</v>
      </c>
      <c r="S152" s="119">
        <f t="shared" si="91"/>
        <v>0.6</v>
      </c>
      <c r="T152" s="119">
        <f t="shared" si="92"/>
        <v>2</v>
      </c>
      <c r="U152" s="119">
        <f t="shared" si="93"/>
        <v>1</v>
      </c>
      <c r="V152" s="119">
        <f t="shared" si="94"/>
        <v>0</v>
      </c>
      <c r="W152" s="119">
        <f t="shared" si="95"/>
        <v>0</v>
      </c>
      <c r="X152" s="119">
        <f t="shared" si="96"/>
        <v>0</v>
      </c>
      <c r="Y152" s="119">
        <f t="shared" si="97"/>
        <v>0</v>
      </c>
      <c r="Z152" s="119">
        <f t="shared" si="98"/>
        <v>0</v>
      </c>
      <c r="AA152" s="119">
        <f t="shared" si="99"/>
        <v>0</v>
      </c>
      <c r="AB152" s="119">
        <f t="shared" si="100"/>
        <v>0</v>
      </c>
      <c r="AC152" s="119">
        <f t="shared" si="101"/>
        <v>0</v>
      </c>
      <c r="AD152" s="119">
        <f t="shared" si="102"/>
        <v>0</v>
      </c>
      <c r="AG152" s="124">
        <v>0.6</v>
      </c>
      <c r="AH152" s="123">
        <v>2</v>
      </c>
      <c r="AI152" s="123">
        <v>1</v>
      </c>
      <c r="AJ152" s="123"/>
      <c r="AK152" s="123"/>
      <c r="AL152" s="123"/>
      <c r="AM152" s="123"/>
      <c r="AN152" s="123"/>
      <c r="AO152" s="123"/>
      <c r="AP152" s="123"/>
      <c r="AQ152" s="123"/>
      <c r="AR152" s="125"/>
    </row>
    <row r="153" spans="9:44" ht="12" customHeight="1">
      <c r="I153" s="143" t="str">
        <f t="shared" si="103"/>
        <v>Residential Water heating  Tidal</v>
      </c>
      <c r="J153" s="146" t="s">
        <v>205</v>
      </c>
      <c r="K153" s="143" t="str">
        <f t="shared" si="104"/>
        <v>RES-WHTIDExt</v>
      </c>
      <c r="L153" s="101" t="str">
        <f t="shared" si="105"/>
        <v/>
      </c>
      <c r="P153" s="122" t="str">
        <f t="shared" si="89"/>
        <v/>
      </c>
      <c r="Q153" s="114" t="str">
        <f t="shared" si="85"/>
        <v/>
      </c>
      <c r="R153" s="112" t="str">
        <f t="shared" si="90"/>
        <v/>
      </c>
      <c r="S153" s="119" t="str">
        <f t="shared" si="91"/>
        <v/>
      </c>
      <c r="T153" s="119" t="str">
        <f t="shared" si="92"/>
        <v/>
      </c>
      <c r="U153" s="119" t="str">
        <f t="shared" si="93"/>
        <v/>
      </c>
      <c r="V153" s="119" t="str">
        <f t="shared" si="94"/>
        <v/>
      </c>
      <c r="W153" s="119" t="str">
        <f t="shared" si="95"/>
        <v/>
      </c>
      <c r="X153" s="119" t="str">
        <f t="shared" si="96"/>
        <v/>
      </c>
      <c r="Y153" s="119" t="str">
        <f t="shared" si="97"/>
        <v/>
      </c>
      <c r="Z153" s="119" t="str">
        <f t="shared" si="98"/>
        <v/>
      </c>
      <c r="AA153" s="119" t="str">
        <f t="shared" si="99"/>
        <v/>
      </c>
      <c r="AB153" s="119" t="str">
        <f t="shared" si="100"/>
        <v/>
      </c>
      <c r="AC153" s="119" t="str">
        <f t="shared" si="101"/>
        <v/>
      </c>
      <c r="AD153" s="119" t="str">
        <f t="shared" si="102"/>
        <v/>
      </c>
      <c r="AG153" s="124">
        <v>0.6</v>
      </c>
      <c r="AH153" s="123">
        <v>2</v>
      </c>
      <c r="AI153" s="123">
        <v>1</v>
      </c>
      <c r="AJ153" s="123"/>
      <c r="AK153" s="123"/>
      <c r="AL153" s="123"/>
      <c r="AM153" s="123"/>
      <c r="AN153" s="123"/>
      <c r="AO153" s="123"/>
      <c r="AP153" s="123"/>
      <c r="AQ153" s="123"/>
      <c r="AR153" s="125"/>
    </row>
    <row r="154" spans="9:44" ht="12" customHeight="1">
      <c r="I154" s="143" t="str">
        <f t="shared" si="103"/>
        <v>Residential Water heating  Electricity</v>
      </c>
      <c r="J154" s="155" t="s">
        <v>198</v>
      </c>
      <c r="K154" s="144" t="str">
        <f t="shared" si="104"/>
        <v>RES-WHELCExt</v>
      </c>
      <c r="L154" s="101" t="str">
        <f t="shared" si="105"/>
        <v>RES-WHELCExt</v>
      </c>
      <c r="P154" s="122" t="str">
        <f t="shared" si="89"/>
        <v>RES-WHELCExt</v>
      </c>
      <c r="Q154" s="114" t="str">
        <f t="shared" si="85"/>
        <v>RES-ELC</v>
      </c>
      <c r="R154" s="112" t="str">
        <f t="shared" si="90"/>
        <v>RES-WH</v>
      </c>
      <c r="S154" s="119">
        <f t="shared" si="91"/>
        <v>0.6</v>
      </c>
      <c r="T154" s="119">
        <f t="shared" si="92"/>
        <v>2</v>
      </c>
      <c r="U154" s="119">
        <f t="shared" si="93"/>
        <v>1</v>
      </c>
      <c r="V154" s="119">
        <f t="shared" si="94"/>
        <v>0</v>
      </c>
      <c r="W154" s="119">
        <f t="shared" si="95"/>
        <v>0</v>
      </c>
      <c r="X154" s="119">
        <f t="shared" si="96"/>
        <v>0</v>
      </c>
      <c r="Y154" s="119">
        <f t="shared" si="97"/>
        <v>0</v>
      </c>
      <c r="Z154" s="119">
        <f t="shared" si="98"/>
        <v>0</v>
      </c>
      <c r="AA154" s="119">
        <f t="shared" si="99"/>
        <v>0</v>
      </c>
      <c r="AB154" s="119">
        <f t="shared" si="100"/>
        <v>0</v>
      </c>
      <c r="AC154" s="119">
        <f t="shared" si="101"/>
        <v>0</v>
      </c>
      <c r="AD154" s="119">
        <f t="shared" si="102"/>
        <v>0</v>
      </c>
      <c r="AG154" s="124">
        <v>0.6</v>
      </c>
      <c r="AH154" s="123">
        <v>2</v>
      </c>
      <c r="AI154" s="123">
        <v>1</v>
      </c>
      <c r="AJ154" s="123"/>
      <c r="AK154" s="123"/>
      <c r="AL154" s="123"/>
      <c r="AM154" s="123"/>
      <c r="AN154" s="123"/>
      <c r="AO154" s="123"/>
      <c r="AP154" s="123"/>
      <c r="AQ154" s="123"/>
      <c r="AR154" s="125"/>
    </row>
    <row r="155" spans="9:44" ht="12" customHeight="1">
      <c r="I155" s="142" t="str">
        <f>$C$129&amp;" "&amp;$E$131&amp;" "&amp;RIGHT(G129,LEN(G129)-FIND(" ",G129))</f>
        <v>Residential Cooking Coal</v>
      </c>
      <c r="J155" s="146" t="s">
        <v>198</v>
      </c>
      <c r="K155" s="142" t="str">
        <f>$D$129&amp;$F$131&amp;RIGHT(H129,3)&amp;$B$129</f>
        <v>RES-COCOAExt</v>
      </c>
      <c r="L155" s="101" t="str">
        <f t="shared" ref="L155:L161" si="106">IF(J155="Yes",K155,"")</f>
        <v>RES-COCOAExt</v>
      </c>
      <c r="P155" s="122" t="str">
        <f t="shared" si="89"/>
        <v>RES-COCOAExt</v>
      </c>
      <c r="Q155" s="114" t="str">
        <f t="shared" si="85"/>
        <v>RES-COA</v>
      </c>
      <c r="R155" s="112" t="str">
        <f t="shared" si="90"/>
        <v>RES-CO</v>
      </c>
      <c r="S155" s="119">
        <f t="shared" si="91"/>
        <v>0.6</v>
      </c>
      <c r="T155" s="119">
        <f t="shared" si="92"/>
        <v>2</v>
      </c>
      <c r="U155" s="119">
        <f t="shared" si="93"/>
        <v>1</v>
      </c>
      <c r="V155" s="119">
        <f t="shared" si="94"/>
        <v>0</v>
      </c>
      <c r="W155" s="119">
        <f t="shared" si="95"/>
        <v>0</v>
      </c>
      <c r="X155" s="119">
        <f t="shared" si="96"/>
        <v>0</v>
      </c>
      <c r="Y155" s="119">
        <f t="shared" si="97"/>
        <v>0</v>
      </c>
      <c r="Z155" s="119">
        <f t="shared" si="98"/>
        <v>0</v>
      </c>
      <c r="AA155" s="119">
        <f t="shared" si="99"/>
        <v>0</v>
      </c>
      <c r="AB155" s="119">
        <f t="shared" si="100"/>
        <v>0</v>
      </c>
      <c r="AC155" s="119">
        <f t="shared" si="101"/>
        <v>0</v>
      </c>
      <c r="AD155" s="119">
        <f t="shared" si="102"/>
        <v>0</v>
      </c>
      <c r="AG155" s="124">
        <v>0.6</v>
      </c>
      <c r="AH155" s="123">
        <v>2</v>
      </c>
      <c r="AI155" s="123">
        <v>1</v>
      </c>
      <c r="AJ155" s="123"/>
      <c r="AK155" s="123"/>
      <c r="AL155" s="123"/>
      <c r="AM155" s="123"/>
      <c r="AN155" s="123"/>
      <c r="AO155" s="123"/>
      <c r="AP155" s="123"/>
      <c r="AQ155" s="123"/>
      <c r="AR155" s="125"/>
    </row>
    <row r="156" spans="9:44" ht="12" customHeight="1">
      <c r="I156" s="143" t="str">
        <f t="shared" ref="I156:I167" si="107">$C$129&amp;" "&amp;$E$131&amp;" "&amp;RIGHT(G130,LEN(G130)-FIND(" ",G130))</f>
        <v>Residential Cooking Lignite</v>
      </c>
      <c r="J156" s="146" t="s">
        <v>205</v>
      </c>
      <c r="K156" s="143" t="str">
        <f t="shared" ref="K156:K167" si="108">$D$129&amp;$F$131&amp;RIGHT(H130,3)&amp;$B$129</f>
        <v>RES-COCOLExt</v>
      </c>
      <c r="L156" s="101" t="str">
        <f t="shared" si="106"/>
        <v/>
      </c>
      <c r="P156" s="122" t="str">
        <f t="shared" si="89"/>
        <v/>
      </c>
      <c r="Q156" s="114" t="str">
        <f t="shared" si="85"/>
        <v/>
      </c>
      <c r="R156" s="112" t="str">
        <f t="shared" si="90"/>
        <v/>
      </c>
      <c r="S156" s="119" t="str">
        <f t="shared" si="91"/>
        <v/>
      </c>
      <c r="T156" s="119" t="str">
        <f t="shared" si="92"/>
        <v/>
      </c>
      <c r="U156" s="119" t="str">
        <f t="shared" si="93"/>
        <v/>
      </c>
      <c r="V156" s="119" t="str">
        <f t="shared" si="94"/>
        <v/>
      </c>
      <c r="W156" s="119" t="str">
        <f t="shared" si="95"/>
        <v/>
      </c>
      <c r="X156" s="119" t="str">
        <f t="shared" si="96"/>
        <v/>
      </c>
      <c r="Y156" s="119" t="str">
        <f t="shared" si="97"/>
        <v/>
      </c>
      <c r="Z156" s="119" t="str">
        <f t="shared" si="98"/>
        <v/>
      </c>
      <c r="AA156" s="119" t="str">
        <f t="shared" si="99"/>
        <v/>
      </c>
      <c r="AB156" s="119" t="str">
        <f t="shared" si="100"/>
        <v/>
      </c>
      <c r="AC156" s="119" t="str">
        <f t="shared" si="101"/>
        <v/>
      </c>
      <c r="AD156" s="119" t="str">
        <f t="shared" si="102"/>
        <v/>
      </c>
      <c r="AG156" s="124">
        <v>0.6</v>
      </c>
      <c r="AH156" s="123">
        <v>2</v>
      </c>
      <c r="AI156" s="123">
        <v>1</v>
      </c>
      <c r="AJ156" s="123"/>
      <c r="AK156" s="123"/>
      <c r="AL156" s="123"/>
      <c r="AM156" s="123"/>
      <c r="AN156" s="123"/>
      <c r="AO156" s="123"/>
      <c r="AP156" s="123"/>
      <c r="AQ156" s="123"/>
      <c r="AR156" s="125"/>
    </row>
    <row r="157" spans="9:44" ht="12" customHeight="1">
      <c r="I157" s="143" t="str">
        <f t="shared" si="107"/>
        <v>Residential Cooking Crude oil</v>
      </c>
      <c r="J157" s="146" t="s">
        <v>205</v>
      </c>
      <c r="K157" s="143" t="str">
        <f t="shared" si="108"/>
        <v>RES-COOILExt</v>
      </c>
      <c r="L157" s="101" t="str">
        <f t="shared" si="106"/>
        <v/>
      </c>
      <c r="P157" s="122" t="str">
        <f t="shared" si="89"/>
        <v/>
      </c>
      <c r="Q157" s="114" t="str">
        <f t="shared" si="85"/>
        <v/>
      </c>
      <c r="R157" s="112" t="str">
        <f t="shared" si="90"/>
        <v/>
      </c>
      <c r="S157" s="119" t="str">
        <f t="shared" si="91"/>
        <v/>
      </c>
      <c r="T157" s="119" t="str">
        <f t="shared" si="92"/>
        <v/>
      </c>
      <c r="U157" s="119" t="str">
        <f t="shared" si="93"/>
        <v/>
      </c>
      <c r="V157" s="119" t="str">
        <f t="shared" si="94"/>
        <v/>
      </c>
      <c r="W157" s="119" t="str">
        <f t="shared" si="95"/>
        <v/>
      </c>
      <c r="X157" s="119" t="str">
        <f t="shared" si="96"/>
        <v/>
      </c>
      <c r="Y157" s="119" t="str">
        <f t="shared" si="97"/>
        <v/>
      </c>
      <c r="Z157" s="119" t="str">
        <f t="shared" si="98"/>
        <v/>
      </c>
      <c r="AA157" s="119" t="str">
        <f t="shared" si="99"/>
        <v/>
      </c>
      <c r="AB157" s="119" t="str">
        <f t="shared" si="100"/>
        <v/>
      </c>
      <c r="AC157" s="119" t="str">
        <f t="shared" si="101"/>
        <v/>
      </c>
      <c r="AD157" s="119" t="str">
        <f t="shared" si="102"/>
        <v/>
      </c>
      <c r="AG157" s="124">
        <v>0.6</v>
      </c>
      <c r="AH157" s="123">
        <v>2</v>
      </c>
      <c r="AI157" s="123">
        <v>1</v>
      </c>
      <c r="AJ157" s="123"/>
      <c r="AK157" s="123"/>
      <c r="AL157" s="123"/>
      <c r="AM157" s="123"/>
      <c r="AN157" s="123"/>
      <c r="AO157" s="123"/>
      <c r="AP157" s="123"/>
      <c r="AQ157" s="123"/>
      <c r="AR157" s="125"/>
    </row>
    <row r="158" spans="9:44" ht="12" customHeight="1">
      <c r="I158" s="143" t="str">
        <f t="shared" si="107"/>
        <v>Residential Cooking Natural Gas</v>
      </c>
      <c r="J158" s="146" t="s">
        <v>198</v>
      </c>
      <c r="K158" s="143" t="str">
        <f t="shared" si="108"/>
        <v>RES-CONGAExt</v>
      </c>
      <c r="L158" s="101" t="str">
        <f t="shared" si="106"/>
        <v>RES-CONGAExt</v>
      </c>
      <c r="P158" s="122" t="str">
        <f t="shared" si="89"/>
        <v>RES-CONGAExt</v>
      </c>
      <c r="Q158" s="114" t="str">
        <f t="shared" si="85"/>
        <v>RES-NGA</v>
      </c>
      <c r="R158" s="112" t="str">
        <f t="shared" si="90"/>
        <v>RES-CO</v>
      </c>
      <c r="S158" s="119">
        <f t="shared" si="91"/>
        <v>0.6</v>
      </c>
      <c r="T158" s="119">
        <f t="shared" si="92"/>
        <v>2</v>
      </c>
      <c r="U158" s="119">
        <f t="shared" si="93"/>
        <v>1</v>
      </c>
      <c r="V158" s="119">
        <f t="shared" si="94"/>
        <v>0</v>
      </c>
      <c r="W158" s="119">
        <f t="shared" si="95"/>
        <v>0</v>
      </c>
      <c r="X158" s="119">
        <f t="shared" si="96"/>
        <v>0</v>
      </c>
      <c r="Y158" s="119">
        <f t="shared" si="97"/>
        <v>0</v>
      </c>
      <c r="Z158" s="119">
        <f t="shared" si="98"/>
        <v>0</v>
      </c>
      <c r="AA158" s="119">
        <f t="shared" si="99"/>
        <v>0</v>
      </c>
      <c r="AB158" s="119">
        <f t="shared" si="100"/>
        <v>0</v>
      </c>
      <c r="AC158" s="119">
        <f t="shared" si="101"/>
        <v>0</v>
      </c>
      <c r="AD158" s="119">
        <f t="shared" si="102"/>
        <v>0</v>
      </c>
      <c r="AG158" s="124">
        <v>0.6</v>
      </c>
      <c r="AH158" s="123">
        <v>2</v>
      </c>
      <c r="AI158" s="123">
        <v>1</v>
      </c>
      <c r="AJ158" s="123"/>
      <c r="AK158" s="123"/>
      <c r="AL158" s="123"/>
      <c r="AM158" s="123"/>
      <c r="AN158" s="123"/>
      <c r="AO158" s="123"/>
      <c r="AP158" s="123"/>
      <c r="AQ158" s="123"/>
      <c r="AR158" s="125"/>
    </row>
    <row r="159" spans="9:44" ht="12" customHeight="1">
      <c r="I159" s="143" t="str">
        <f t="shared" si="107"/>
        <v>Residential Cooking Hydro</v>
      </c>
      <c r="J159" s="146" t="s">
        <v>205</v>
      </c>
      <c r="K159" s="143" t="str">
        <f t="shared" si="108"/>
        <v>RES-COHYDExt</v>
      </c>
      <c r="L159" s="101" t="str">
        <f t="shared" si="106"/>
        <v/>
      </c>
      <c r="P159" s="122" t="str">
        <f t="shared" si="89"/>
        <v/>
      </c>
      <c r="Q159" s="114" t="str">
        <f t="shared" si="85"/>
        <v/>
      </c>
      <c r="R159" s="112" t="str">
        <f t="shared" si="90"/>
        <v/>
      </c>
      <c r="S159" s="119" t="str">
        <f t="shared" si="91"/>
        <v/>
      </c>
      <c r="T159" s="119" t="str">
        <f t="shared" si="92"/>
        <v/>
      </c>
      <c r="U159" s="119" t="str">
        <f t="shared" si="93"/>
        <v/>
      </c>
      <c r="V159" s="119" t="str">
        <f t="shared" si="94"/>
        <v/>
      </c>
      <c r="W159" s="119" t="str">
        <f t="shared" si="95"/>
        <v/>
      </c>
      <c r="X159" s="119" t="str">
        <f t="shared" si="96"/>
        <v/>
      </c>
      <c r="Y159" s="119" t="str">
        <f t="shared" si="97"/>
        <v/>
      </c>
      <c r="Z159" s="119" t="str">
        <f t="shared" si="98"/>
        <v/>
      </c>
      <c r="AA159" s="119" t="str">
        <f t="shared" si="99"/>
        <v/>
      </c>
      <c r="AB159" s="119" t="str">
        <f t="shared" si="100"/>
        <v/>
      </c>
      <c r="AC159" s="119" t="str">
        <f t="shared" si="101"/>
        <v/>
      </c>
      <c r="AD159" s="119" t="str">
        <f t="shared" si="102"/>
        <v/>
      </c>
      <c r="AG159" s="124">
        <v>0.6</v>
      </c>
      <c r="AH159" s="123">
        <v>2</v>
      </c>
      <c r="AI159" s="123">
        <v>1</v>
      </c>
      <c r="AJ159" s="123"/>
      <c r="AK159" s="123"/>
      <c r="AL159" s="123"/>
      <c r="AM159" s="123"/>
      <c r="AN159" s="123"/>
      <c r="AO159" s="123"/>
      <c r="AP159" s="123"/>
      <c r="AQ159" s="123"/>
      <c r="AR159" s="125"/>
    </row>
    <row r="160" spans="9:44" ht="12" customHeight="1">
      <c r="I160" s="143" t="str">
        <f t="shared" si="107"/>
        <v>Residential Cooking Geothermal</v>
      </c>
      <c r="J160" s="146" t="s">
        <v>205</v>
      </c>
      <c r="K160" s="143" t="str">
        <f t="shared" si="108"/>
        <v>RES-COGEOExt</v>
      </c>
      <c r="L160" s="101" t="str">
        <f t="shared" si="106"/>
        <v/>
      </c>
      <c r="P160" s="122" t="str">
        <f t="shared" si="89"/>
        <v/>
      </c>
      <c r="Q160" s="114" t="str">
        <f t="shared" si="85"/>
        <v/>
      </c>
      <c r="R160" s="112" t="str">
        <f t="shared" si="90"/>
        <v/>
      </c>
      <c r="S160" s="119" t="str">
        <f t="shared" si="91"/>
        <v/>
      </c>
      <c r="T160" s="119" t="str">
        <f t="shared" si="92"/>
        <v/>
      </c>
      <c r="U160" s="119" t="str">
        <f t="shared" si="93"/>
        <v/>
      </c>
      <c r="V160" s="119" t="str">
        <f t="shared" si="94"/>
        <v/>
      </c>
      <c r="W160" s="119" t="str">
        <f t="shared" si="95"/>
        <v/>
      </c>
      <c r="X160" s="119" t="str">
        <f t="shared" si="96"/>
        <v/>
      </c>
      <c r="Y160" s="119" t="str">
        <f t="shared" si="97"/>
        <v/>
      </c>
      <c r="Z160" s="119" t="str">
        <f t="shared" si="98"/>
        <v/>
      </c>
      <c r="AA160" s="119" t="str">
        <f t="shared" si="99"/>
        <v/>
      </c>
      <c r="AB160" s="119" t="str">
        <f t="shared" si="100"/>
        <v/>
      </c>
      <c r="AC160" s="119" t="str">
        <f t="shared" si="101"/>
        <v/>
      </c>
      <c r="AD160" s="119" t="str">
        <f t="shared" si="102"/>
        <v/>
      </c>
      <c r="AG160" s="124">
        <v>0.6</v>
      </c>
      <c r="AH160" s="123">
        <v>2</v>
      </c>
      <c r="AI160" s="123">
        <v>1</v>
      </c>
      <c r="AJ160" s="123"/>
      <c r="AK160" s="123"/>
      <c r="AL160" s="123"/>
      <c r="AM160" s="123"/>
      <c r="AN160" s="123"/>
      <c r="AO160" s="123"/>
      <c r="AP160" s="123"/>
      <c r="AQ160" s="123"/>
      <c r="AR160" s="125"/>
    </row>
    <row r="161" spans="9:44" ht="12" customHeight="1">
      <c r="I161" s="143" t="str">
        <f t="shared" si="107"/>
        <v>Residential Cooking Solar</v>
      </c>
      <c r="J161" s="146" t="s">
        <v>205</v>
      </c>
      <c r="K161" s="143" t="str">
        <f t="shared" si="108"/>
        <v>RES-COSOLExt</v>
      </c>
      <c r="L161" s="101" t="str">
        <f t="shared" si="106"/>
        <v/>
      </c>
      <c r="P161" s="122" t="str">
        <f t="shared" si="89"/>
        <v/>
      </c>
      <c r="Q161" s="114" t="str">
        <f t="shared" si="85"/>
        <v/>
      </c>
      <c r="R161" s="112" t="str">
        <f t="shared" si="90"/>
        <v/>
      </c>
      <c r="S161" s="119" t="str">
        <f t="shared" si="91"/>
        <v/>
      </c>
      <c r="T161" s="119" t="str">
        <f t="shared" si="92"/>
        <v/>
      </c>
      <c r="U161" s="119" t="str">
        <f t="shared" si="93"/>
        <v/>
      </c>
      <c r="V161" s="119" t="str">
        <f t="shared" si="94"/>
        <v/>
      </c>
      <c r="W161" s="119" t="str">
        <f t="shared" si="95"/>
        <v/>
      </c>
      <c r="X161" s="119" t="str">
        <f t="shared" si="96"/>
        <v/>
      </c>
      <c r="Y161" s="119" t="str">
        <f t="shared" si="97"/>
        <v/>
      </c>
      <c r="Z161" s="119" t="str">
        <f t="shared" si="98"/>
        <v/>
      </c>
      <c r="AA161" s="119" t="str">
        <f t="shared" si="99"/>
        <v/>
      </c>
      <c r="AB161" s="119" t="str">
        <f t="shared" si="100"/>
        <v/>
      </c>
      <c r="AC161" s="119" t="str">
        <f t="shared" si="101"/>
        <v/>
      </c>
      <c r="AD161" s="119" t="str">
        <f t="shared" si="102"/>
        <v/>
      </c>
      <c r="AG161" s="124">
        <v>0.6</v>
      </c>
      <c r="AH161" s="123">
        <v>2</v>
      </c>
      <c r="AI161" s="123">
        <v>1</v>
      </c>
      <c r="AJ161" s="123"/>
      <c r="AK161" s="123"/>
      <c r="AL161" s="123"/>
      <c r="AM161" s="123"/>
      <c r="AN161" s="123"/>
      <c r="AO161" s="123"/>
      <c r="AP161" s="123"/>
      <c r="AQ161" s="123"/>
      <c r="AR161" s="125"/>
    </row>
    <row r="162" spans="9:44" ht="12" customHeight="1">
      <c r="I162" s="143" t="str">
        <f t="shared" si="107"/>
        <v>Residential Cooking Wind</v>
      </c>
      <c r="J162" s="146" t="s">
        <v>205</v>
      </c>
      <c r="K162" s="143" t="str">
        <f t="shared" si="108"/>
        <v>RES-COWINExt</v>
      </c>
      <c r="L162" s="101" t="str">
        <f t="shared" ref="L162:L168" si="109">IF(J162="Yes",K162,"")</f>
        <v/>
      </c>
      <c r="P162" s="122" t="str">
        <f t="shared" si="89"/>
        <v/>
      </c>
      <c r="Q162" s="114" t="str">
        <f t="shared" si="85"/>
        <v/>
      </c>
      <c r="R162" s="112" t="str">
        <f t="shared" si="90"/>
        <v/>
      </c>
      <c r="S162" s="119" t="str">
        <f t="shared" si="91"/>
        <v/>
      </c>
      <c r="T162" s="119" t="str">
        <f t="shared" si="92"/>
        <v/>
      </c>
      <c r="U162" s="119" t="str">
        <f t="shared" si="93"/>
        <v/>
      </c>
      <c r="V162" s="119" t="str">
        <f t="shared" si="94"/>
        <v/>
      </c>
      <c r="W162" s="119" t="str">
        <f t="shared" si="95"/>
        <v/>
      </c>
      <c r="X162" s="119" t="str">
        <f t="shared" si="96"/>
        <v/>
      </c>
      <c r="Y162" s="119" t="str">
        <f t="shared" si="97"/>
        <v/>
      </c>
      <c r="Z162" s="119" t="str">
        <f t="shared" si="98"/>
        <v/>
      </c>
      <c r="AA162" s="119" t="str">
        <f t="shared" si="99"/>
        <v/>
      </c>
      <c r="AB162" s="119" t="str">
        <f t="shared" si="100"/>
        <v/>
      </c>
      <c r="AC162" s="119" t="str">
        <f t="shared" si="101"/>
        <v/>
      </c>
      <c r="AD162" s="119" t="str">
        <f t="shared" si="102"/>
        <v/>
      </c>
      <c r="AG162" s="124">
        <v>0.6</v>
      </c>
      <c r="AH162" s="123">
        <v>2</v>
      </c>
      <c r="AI162" s="123">
        <v>1</v>
      </c>
      <c r="AJ162" s="123"/>
      <c r="AK162" s="123"/>
      <c r="AL162" s="123"/>
      <c r="AM162" s="123"/>
      <c r="AN162" s="123"/>
      <c r="AO162" s="123"/>
      <c r="AP162" s="123"/>
      <c r="AQ162" s="123"/>
      <c r="AR162" s="125"/>
    </row>
    <row r="163" spans="9:44" ht="12" customHeight="1">
      <c r="I163" s="143" t="str">
        <f t="shared" si="107"/>
        <v>Residential Cooking Bio Liquids</v>
      </c>
      <c r="J163" s="146" t="s">
        <v>205</v>
      </c>
      <c r="K163" s="143" t="str">
        <f t="shared" si="108"/>
        <v>RES-COBILExt</v>
      </c>
      <c r="L163" s="101" t="str">
        <f t="shared" si="109"/>
        <v/>
      </c>
      <c r="P163" s="122" t="str">
        <f t="shared" si="89"/>
        <v/>
      </c>
      <c r="Q163" s="114" t="str">
        <f t="shared" si="85"/>
        <v/>
      </c>
      <c r="R163" s="112" t="str">
        <f t="shared" si="90"/>
        <v/>
      </c>
      <c r="S163" s="119" t="str">
        <f t="shared" si="91"/>
        <v/>
      </c>
      <c r="T163" s="119" t="str">
        <f t="shared" si="92"/>
        <v/>
      </c>
      <c r="U163" s="119" t="str">
        <f t="shared" si="93"/>
        <v/>
      </c>
      <c r="V163" s="119" t="str">
        <f t="shared" si="94"/>
        <v/>
      </c>
      <c r="W163" s="119" t="str">
        <f t="shared" si="95"/>
        <v/>
      </c>
      <c r="X163" s="119" t="str">
        <f t="shared" si="96"/>
        <v/>
      </c>
      <c r="Y163" s="119" t="str">
        <f t="shared" si="97"/>
        <v/>
      </c>
      <c r="Z163" s="119" t="str">
        <f t="shared" si="98"/>
        <v/>
      </c>
      <c r="AA163" s="119" t="str">
        <f t="shared" si="99"/>
        <v/>
      </c>
      <c r="AB163" s="119" t="str">
        <f t="shared" si="100"/>
        <v/>
      </c>
      <c r="AC163" s="119" t="str">
        <f t="shared" si="101"/>
        <v/>
      </c>
      <c r="AD163" s="119" t="str">
        <f t="shared" si="102"/>
        <v/>
      </c>
      <c r="AG163" s="124">
        <v>0.6</v>
      </c>
      <c r="AH163" s="123">
        <v>2</v>
      </c>
      <c r="AI163" s="123">
        <v>1</v>
      </c>
      <c r="AJ163" s="123"/>
      <c r="AK163" s="123"/>
      <c r="AL163" s="123"/>
      <c r="AM163" s="123"/>
      <c r="AN163" s="123"/>
      <c r="AO163" s="123"/>
      <c r="AP163" s="123"/>
      <c r="AQ163" s="123"/>
      <c r="AR163" s="125"/>
    </row>
    <row r="164" spans="9:44" ht="12" customHeight="1">
      <c r="I164" s="143" t="str">
        <f t="shared" si="107"/>
        <v>Residential Cooking Biogas</v>
      </c>
      <c r="J164" s="146" t="s">
        <v>198</v>
      </c>
      <c r="K164" s="143" t="str">
        <f t="shared" si="108"/>
        <v>RES-COBIGExt</v>
      </c>
      <c r="L164" s="101" t="str">
        <f t="shared" si="109"/>
        <v>RES-COBIGExt</v>
      </c>
      <c r="P164" s="122" t="str">
        <f t="shared" si="89"/>
        <v>RES-COBIGExt</v>
      </c>
      <c r="Q164" s="114" t="str">
        <f t="shared" si="85"/>
        <v>RES-BIG</v>
      </c>
      <c r="R164" s="112" t="str">
        <f t="shared" si="90"/>
        <v>RES-CO</v>
      </c>
      <c r="S164" s="119">
        <f t="shared" si="91"/>
        <v>0.6</v>
      </c>
      <c r="T164" s="119">
        <f t="shared" si="92"/>
        <v>2</v>
      </c>
      <c r="U164" s="119">
        <f t="shared" si="93"/>
        <v>1</v>
      </c>
      <c r="V164" s="119">
        <f t="shared" si="94"/>
        <v>0</v>
      </c>
      <c r="W164" s="119">
        <f t="shared" si="95"/>
        <v>0</v>
      </c>
      <c r="X164" s="119">
        <f t="shared" si="96"/>
        <v>0</v>
      </c>
      <c r="Y164" s="119">
        <f t="shared" si="97"/>
        <v>0</v>
      </c>
      <c r="Z164" s="119">
        <f t="shared" si="98"/>
        <v>0</v>
      </c>
      <c r="AA164" s="119">
        <f t="shared" si="99"/>
        <v>0</v>
      </c>
      <c r="AB164" s="119">
        <f t="shared" si="100"/>
        <v>0</v>
      </c>
      <c r="AC164" s="119">
        <f t="shared" si="101"/>
        <v>0</v>
      </c>
      <c r="AD164" s="119">
        <f t="shared" si="102"/>
        <v>0</v>
      </c>
      <c r="AG164" s="124">
        <v>0.6</v>
      </c>
      <c r="AH164" s="123">
        <v>2</v>
      </c>
      <c r="AI164" s="123">
        <v>1</v>
      </c>
      <c r="AJ164" s="123"/>
      <c r="AK164" s="123"/>
      <c r="AL164" s="123"/>
      <c r="AM164" s="123"/>
      <c r="AN164" s="123"/>
      <c r="AO164" s="123"/>
      <c r="AP164" s="123"/>
      <c r="AQ164" s="123"/>
      <c r="AR164" s="125"/>
    </row>
    <row r="165" spans="9:44" ht="12" customHeight="1">
      <c r="I165" s="143" t="str">
        <f t="shared" si="107"/>
        <v>Residential Cooking Wood</v>
      </c>
      <c r="J165" s="146" t="s">
        <v>198</v>
      </c>
      <c r="K165" s="143" t="str">
        <f t="shared" si="108"/>
        <v>RES-COWODExt</v>
      </c>
      <c r="L165" s="101" t="str">
        <f t="shared" si="109"/>
        <v>RES-COWODExt</v>
      </c>
      <c r="P165" s="122" t="str">
        <f t="shared" si="89"/>
        <v>RES-COWODExt</v>
      </c>
      <c r="Q165" s="114" t="str">
        <f t="shared" si="85"/>
        <v>RES-WOD</v>
      </c>
      <c r="R165" s="112" t="str">
        <f t="shared" si="90"/>
        <v>RES-CO</v>
      </c>
      <c r="S165" s="119">
        <f t="shared" si="91"/>
        <v>0.6</v>
      </c>
      <c r="T165" s="119">
        <f t="shared" si="92"/>
        <v>2</v>
      </c>
      <c r="U165" s="119">
        <f t="shared" si="93"/>
        <v>1</v>
      </c>
      <c r="V165" s="119">
        <f t="shared" si="94"/>
        <v>0</v>
      </c>
      <c r="W165" s="119">
        <f t="shared" si="95"/>
        <v>0</v>
      </c>
      <c r="X165" s="119">
        <f t="shared" si="96"/>
        <v>0</v>
      </c>
      <c r="Y165" s="119">
        <f t="shared" si="97"/>
        <v>0</v>
      </c>
      <c r="Z165" s="119">
        <f t="shared" si="98"/>
        <v>0</v>
      </c>
      <c r="AA165" s="119">
        <f t="shared" si="99"/>
        <v>0</v>
      </c>
      <c r="AB165" s="119">
        <f t="shared" si="100"/>
        <v>0</v>
      </c>
      <c r="AC165" s="119">
        <f t="shared" si="101"/>
        <v>0</v>
      </c>
      <c r="AD165" s="119">
        <f t="shared" si="102"/>
        <v>0</v>
      </c>
      <c r="AG165" s="124">
        <v>0.6</v>
      </c>
      <c r="AH165" s="123">
        <v>2</v>
      </c>
      <c r="AI165" s="123">
        <v>1</v>
      </c>
      <c r="AJ165" s="123"/>
      <c r="AK165" s="123"/>
      <c r="AL165" s="123"/>
      <c r="AM165" s="123"/>
      <c r="AN165" s="123"/>
      <c r="AO165" s="123"/>
      <c r="AP165" s="123"/>
      <c r="AQ165" s="123"/>
      <c r="AR165" s="125"/>
    </row>
    <row r="166" spans="9:44" ht="12" customHeight="1">
      <c r="I166" s="143" t="str">
        <f t="shared" si="107"/>
        <v>Residential Cooking Tidal</v>
      </c>
      <c r="J166" s="146" t="s">
        <v>205</v>
      </c>
      <c r="K166" s="143" t="str">
        <f t="shared" si="108"/>
        <v>RES-COTIDExt</v>
      </c>
      <c r="L166" s="101" t="str">
        <f t="shared" si="109"/>
        <v/>
      </c>
      <c r="P166" s="122" t="str">
        <f t="shared" si="89"/>
        <v/>
      </c>
      <c r="Q166" s="114" t="str">
        <f t="shared" si="85"/>
        <v/>
      </c>
      <c r="R166" s="112" t="str">
        <f t="shared" si="90"/>
        <v/>
      </c>
      <c r="S166" s="119" t="str">
        <f t="shared" si="91"/>
        <v/>
      </c>
      <c r="T166" s="119" t="str">
        <f t="shared" si="92"/>
        <v/>
      </c>
      <c r="U166" s="119" t="str">
        <f t="shared" si="93"/>
        <v/>
      </c>
      <c r="V166" s="119" t="str">
        <f t="shared" si="94"/>
        <v/>
      </c>
      <c r="W166" s="119" t="str">
        <f t="shared" si="95"/>
        <v/>
      </c>
      <c r="X166" s="119" t="str">
        <f t="shared" si="96"/>
        <v/>
      </c>
      <c r="Y166" s="119" t="str">
        <f t="shared" si="97"/>
        <v/>
      </c>
      <c r="Z166" s="119" t="str">
        <f t="shared" si="98"/>
        <v/>
      </c>
      <c r="AA166" s="119" t="str">
        <f t="shared" si="99"/>
        <v/>
      </c>
      <c r="AB166" s="119" t="str">
        <f t="shared" si="100"/>
        <v/>
      </c>
      <c r="AC166" s="119" t="str">
        <f t="shared" si="101"/>
        <v/>
      </c>
      <c r="AD166" s="119" t="str">
        <f t="shared" si="102"/>
        <v/>
      </c>
      <c r="AG166" s="124">
        <v>0.6</v>
      </c>
      <c r="AH166" s="123">
        <v>2</v>
      </c>
      <c r="AI166" s="123">
        <v>1</v>
      </c>
      <c r="AJ166" s="123"/>
      <c r="AK166" s="123"/>
      <c r="AL166" s="123"/>
      <c r="AM166" s="123"/>
      <c r="AN166" s="123"/>
      <c r="AO166" s="123"/>
      <c r="AP166" s="123"/>
      <c r="AQ166" s="123"/>
      <c r="AR166" s="125"/>
    </row>
    <row r="167" spans="9:44" ht="12" customHeight="1">
      <c r="I167" s="143" t="str">
        <f t="shared" si="107"/>
        <v>Residential Cooking Electricity</v>
      </c>
      <c r="J167" s="155" t="s">
        <v>198</v>
      </c>
      <c r="K167" s="144" t="str">
        <f t="shared" si="108"/>
        <v>RES-COELCExt</v>
      </c>
      <c r="L167" s="101" t="str">
        <f t="shared" si="109"/>
        <v>RES-COELCExt</v>
      </c>
      <c r="P167" s="122" t="str">
        <f t="shared" si="89"/>
        <v>RES-COELCExt</v>
      </c>
      <c r="Q167" s="114" t="str">
        <f t="shared" si="85"/>
        <v>RES-ELC</v>
      </c>
      <c r="R167" s="112" t="str">
        <f t="shared" si="90"/>
        <v>RES-CO</v>
      </c>
      <c r="S167" s="119">
        <f t="shared" si="91"/>
        <v>0.6</v>
      </c>
      <c r="T167" s="119">
        <f t="shared" si="92"/>
        <v>2</v>
      </c>
      <c r="U167" s="119">
        <f t="shared" si="93"/>
        <v>1</v>
      </c>
      <c r="V167" s="119">
        <f t="shared" si="94"/>
        <v>0</v>
      </c>
      <c r="W167" s="119">
        <f t="shared" si="95"/>
        <v>0</v>
      </c>
      <c r="X167" s="119">
        <f t="shared" si="96"/>
        <v>0</v>
      </c>
      <c r="Y167" s="119">
        <f t="shared" si="97"/>
        <v>0</v>
      </c>
      <c r="Z167" s="119">
        <f t="shared" si="98"/>
        <v>0</v>
      </c>
      <c r="AA167" s="119">
        <f t="shared" si="99"/>
        <v>0</v>
      </c>
      <c r="AB167" s="119">
        <f t="shared" si="100"/>
        <v>0</v>
      </c>
      <c r="AC167" s="119">
        <f t="shared" si="101"/>
        <v>0</v>
      </c>
      <c r="AD167" s="119">
        <f t="shared" si="102"/>
        <v>0</v>
      </c>
      <c r="AG167" s="124">
        <v>0.6</v>
      </c>
      <c r="AH167" s="123">
        <v>2</v>
      </c>
      <c r="AI167" s="123">
        <v>1</v>
      </c>
      <c r="AJ167" s="123"/>
      <c r="AK167" s="123"/>
      <c r="AL167" s="123"/>
      <c r="AM167" s="123"/>
      <c r="AN167" s="123"/>
      <c r="AO167" s="123"/>
      <c r="AP167" s="123"/>
      <c r="AQ167" s="123"/>
      <c r="AR167" s="125"/>
    </row>
    <row r="168" spans="9:44" ht="12" customHeight="1">
      <c r="I168" s="142" t="str">
        <f>$C$129&amp;" "&amp;$E$8&amp;" "&amp;RIGHT(G129,LEN(G129)-FIND(" ",G129))</f>
        <v>Residential Lighting  Coal</v>
      </c>
      <c r="J168" s="146" t="s">
        <v>205</v>
      </c>
      <c r="K168" s="142" t="str">
        <f>$D$129&amp;$F$132&amp;RIGHT(H129,3)&amp;$B$129</f>
        <v>RES-LTCOAExt</v>
      </c>
      <c r="L168" s="101" t="str">
        <f t="shared" si="109"/>
        <v/>
      </c>
      <c r="P168" s="122" t="str">
        <f t="shared" si="89"/>
        <v/>
      </c>
      <c r="Q168" s="114" t="str">
        <f t="shared" si="85"/>
        <v/>
      </c>
      <c r="R168" s="112" t="str">
        <f t="shared" si="90"/>
        <v/>
      </c>
      <c r="S168" s="119" t="str">
        <f t="shared" si="91"/>
        <v/>
      </c>
      <c r="T168" s="119" t="str">
        <f t="shared" si="92"/>
        <v/>
      </c>
      <c r="U168" s="119" t="str">
        <f t="shared" si="93"/>
        <v/>
      </c>
      <c r="V168" s="119" t="str">
        <f t="shared" si="94"/>
        <v/>
      </c>
      <c r="W168" s="119" t="str">
        <f t="shared" si="95"/>
        <v/>
      </c>
      <c r="X168" s="119" t="str">
        <f t="shared" si="96"/>
        <v/>
      </c>
      <c r="Y168" s="119" t="str">
        <f t="shared" si="97"/>
        <v/>
      </c>
      <c r="Z168" s="119" t="str">
        <f t="shared" si="98"/>
        <v/>
      </c>
      <c r="AA168" s="119" t="str">
        <f t="shared" si="99"/>
        <v/>
      </c>
      <c r="AB168" s="119" t="str">
        <f t="shared" si="100"/>
        <v/>
      </c>
      <c r="AC168" s="119" t="str">
        <f t="shared" si="101"/>
        <v/>
      </c>
      <c r="AD168" s="119" t="str">
        <f t="shared" si="102"/>
        <v/>
      </c>
      <c r="AG168" s="124">
        <v>0.6</v>
      </c>
      <c r="AH168" s="123">
        <v>2</v>
      </c>
      <c r="AI168" s="123">
        <v>1</v>
      </c>
      <c r="AJ168" s="123"/>
      <c r="AK168" s="123"/>
      <c r="AL168" s="123"/>
      <c r="AM168" s="123"/>
      <c r="AN168" s="123"/>
      <c r="AO168" s="123"/>
      <c r="AP168" s="123"/>
      <c r="AQ168" s="123"/>
      <c r="AR168" s="125"/>
    </row>
    <row r="169" spans="9:44" ht="12" customHeight="1">
      <c r="I169" s="143" t="str">
        <f t="shared" ref="I169:I180" si="110">$C$129&amp;" "&amp;$E$8&amp;" "&amp;RIGHT(G130,LEN(G130)-FIND(" ",G130))</f>
        <v>Residential Lighting  Lignite</v>
      </c>
      <c r="J169" s="146" t="s">
        <v>205</v>
      </c>
      <c r="K169" s="143" t="str">
        <f t="shared" ref="K169:K180" si="111">$D$129&amp;$F$132&amp;RIGHT(H130,3)&amp;$B$129</f>
        <v>RES-LTCOLExt</v>
      </c>
      <c r="L169" s="101" t="str">
        <f t="shared" ref="L169:L176" si="112">IF(J169="Yes",K169,"")</f>
        <v/>
      </c>
      <c r="P169" s="122" t="str">
        <f t="shared" si="89"/>
        <v/>
      </c>
      <c r="Q169" s="114" t="str">
        <f t="shared" si="85"/>
        <v/>
      </c>
      <c r="R169" s="112" t="str">
        <f t="shared" si="90"/>
        <v/>
      </c>
      <c r="S169" s="119" t="str">
        <f t="shared" si="91"/>
        <v/>
      </c>
      <c r="T169" s="119" t="str">
        <f t="shared" si="92"/>
        <v/>
      </c>
      <c r="U169" s="119" t="str">
        <f t="shared" si="93"/>
        <v/>
      </c>
      <c r="V169" s="119" t="str">
        <f t="shared" si="94"/>
        <v/>
      </c>
      <c r="W169" s="119" t="str">
        <f t="shared" si="95"/>
        <v/>
      </c>
      <c r="X169" s="119" t="str">
        <f t="shared" si="96"/>
        <v/>
      </c>
      <c r="Y169" s="119" t="str">
        <f t="shared" si="97"/>
        <v/>
      </c>
      <c r="Z169" s="119" t="str">
        <f t="shared" si="98"/>
        <v/>
      </c>
      <c r="AA169" s="119" t="str">
        <f t="shared" si="99"/>
        <v/>
      </c>
      <c r="AB169" s="119" t="str">
        <f t="shared" si="100"/>
        <v/>
      </c>
      <c r="AC169" s="119" t="str">
        <f t="shared" si="101"/>
        <v/>
      </c>
      <c r="AD169" s="119" t="str">
        <f t="shared" si="102"/>
        <v/>
      </c>
      <c r="AG169" s="124">
        <v>0.6</v>
      </c>
      <c r="AH169" s="123">
        <v>2</v>
      </c>
      <c r="AI169" s="123">
        <v>1</v>
      </c>
      <c r="AJ169" s="123"/>
      <c r="AK169" s="123"/>
      <c r="AL169" s="123"/>
      <c r="AM169" s="123"/>
      <c r="AN169" s="123"/>
      <c r="AO169" s="123"/>
      <c r="AP169" s="123"/>
      <c r="AQ169" s="123"/>
      <c r="AR169" s="125"/>
    </row>
    <row r="170" spans="9:44" ht="12" customHeight="1">
      <c r="I170" s="143" t="str">
        <f t="shared" si="110"/>
        <v>Residential Lighting  Crude oil</v>
      </c>
      <c r="J170" s="146" t="s">
        <v>205</v>
      </c>
      <c r="K170" s="143" t="str">
        <f t="shared" si="111"/>
        <v>RES-LTOILExt</v>
      </c>
      <c r="L170" s="101" t="str">
        <f t="shared" si="112"/>
        <v/>
      </c>
      <c r="P170" s="122" t="str">
        <f t="shared" si="89"/>
        <v/>
      </c>
      <c r="Q170" s="114" t="str">
        <f t="shared" si="85"/>
        <v/>
      </c>
      <c r="R170" s="112" t="str">
        <f t="shared" si="90"/>
        <v/>
      </c>
      <c r="S170" s="119" t="str">
        <f t="shared" si="91"/>
        <v/>
      </c>
      <c r="T170" s="119" t="str">
        <f t="shared" si="92"/>
        <v/>
      </c>
      <c r="U170" s="119" t="str">
        <f t="shared" si="93"/>
        <v/>
      </c>
      <c r="V170" s="119" t="str">
        <f t="shared" si="94"/>
        <v/>
      </c>
      <c r="W170" s="119" t="str">
        <f t="shared" si="95"/>
        <v/>
      </c>
      <c r="X170" s="119" t="str">
        <f t="shared" si="96"/>
        <v/>
      </c>
      <c r="Y170" s="119" t="str">
        <f t="shared" si="97"/>
        <v/>
      </c>
      <c r="Z170" s="119" t="str">
        <f t="shared" si="98"/>
        <v/>
      </c>
      <c r="AA170" s="119" t="str">
        <f t="shared" si="99"/>
        <v/>
      </c>
      <c r="AB170" s="119" t="str">
        <f t="shared" si="100"/>
        <v/>
      </c>
      <c r="AC170" s="119" t="str">
        <f t="shared" si="101"/>
        <v/>
      </c>
      <c r="AD170" s="119" t="str">
        <f t="shared" si="102"/>
        <v/>
      </c>
      <c r="AG170" s="124">
        <v>0.6</v>
      </c>
      <c r="AH170" s="123">
        <v>2</v>
      </c>
      <c r="AI170" s="123">
        <v>1</v>
      </c>
      <c r="AJ170" s="123"/>
      <c r="AK170" s="123"/>
      <c r="AL170" s="123"/>
      <c r="AM170" s="123"/>
      <c r="AN170" s="123"/>
      <c r="AO170" s="123"/>
      <c r="AP170" s="123"/>
      <c r="AQ170" s="123"/>
      <c r="AR170" s="125"/>
    </row>
    <row r="171" spans="9:44" ht="12" customHeight="1">
      <c r="I171" s="143" t="str">
        <f t="shared" si="110"/>
        <v>Residential Lighting  Natural Gas</v>
      </c>
      <c r="J171" s="146" t="s">
        <v>205</v>
      </c>
      <c r="K171" s="143" t="str">
        <f t="shared" si="111"/>
        <v>RES-LTNGAExt</v>
      </c>
      <c r="L171" s="101" t="str">
        <f t="shared" si="112"/>
        <v/>
      </c>
      <c r="P171" s="122" t="str">
        <f t="shared" si="89"/>
        <v/>
      </c>
      <c r="Q171" s="114" t="str">
        <f t="shared" si="85"/>
        <v/>
      </c>
      <c r="R171" s="112" t="str">
        <f t="shared" si="90"/>
        <v/>
      </c>
      <c r="S171" s="119" t="str">
        <f t="shared" si="91"/>
        <v/>
      </c>
      <c r="T171" s="119" t="str">
        <f t="shared" si="92"/>
        <v/>
      </c>
      <c r="U171" s="119" t="str">
        <f t="shared" si="93"/>
        <v/>
      </c>
      <c r="V171" s="119" t="str">
        <f t="shared" si="94"/>
        <v/>
      </c>
      <c r="W171" s="119" t="str">
        <f t="shared" si="95"/>
        <v/>
      </c>
      <c r="X171" s="119" t="str">
        <f t="shared" si="96"/>
        <v/>
      </c>
      <c r="Y171" s="119" t="str">
        <f t="shared" si="97"/>
        <v/>
      </c>
      <c r="Z171" s="119" t="str">
        <f t="shared" si="98"/>
        <v/>
      </c>
      <c r="AA171" s="119" t="str">
        <f t="shared" si="99"/>
        <v/>
      </c>
      <c r="AB171" s="119" t="str">
        <f t="shared" si="100"/>
        <v/>
      </c>
      <c r="AC171" s="119" t="str">
        <f t="shared" si="101"/>
        <v/>
      </c>
      <c r="AD171" s="119" t="str">
        <f t="shared" si="102"/>
        <v/>
      </c>
      <c r="AG171" s="124">
        <v>0.6</v>
      </c>
      <c r="AH171" s="123">
        <v>2</v>
      </c>
      <c r="AI171" s="123">
        <v>1</v>
      </c>
      <c r="AJ171" s="123"/>
      <c r="AK171" s="123"/>
      <c r="AL171" s="123"/>
      <c r="AM171" s="123"/>
      <c r="AN171" s="123"/>
      <c r="AO171" s="123"/>
      <c r="AP171" s="123"/>
      <c r="AQ171" s="123"/>
      <c r="AR171" s="125"/>
    </row>
    <row r="172" spans="9:44" ht="12" customHeight="1">
      <c r="I172" s="143" t="str">
        <f t="shared" si="110"/>
        <v>Residential Lighting  Hydro</v>
      </c>
      <c r="J172" s="146" t="s">
        <v>205</v>
      </c>
      <c r="K172" s="143" t="str">
        <f t="shared" si="111"/>
        <v>RES-LTHYDExt</v>
      </c>
      <c r="L172" s="101" t="str">
        <f t="shared" si="112"/>
        <v/>
      </c>
      <c r="P172" s="122" t="str">
        <f t="shared" si="89"/>
        <v/>
      </c>
      <c r="Q172" s="114" t="str">
        <f t="shared" si="85"/>
        <v/>
      </c>
      <c r="R172" s="112" t="str">
        <f t="shared" si="90"/>
        <v/>
      </c>
      <c r="S172" s="119" t="str">
        <f t="shared" si="91"/>
        <v/>
      </c>
      <c r="T172" s="119" t="str">
        <f t="shared" si="92"/>
        <v/>
      </c>
      <c r="U172" s="119" t="str">
        <f t="shared" si="93"/>
        <v/>
      </c>
      <c r="V172" s="119" t="str">
        <f t="shared" si="94"/>
        <v/>
      </c>
      <c r="W172" s="119" t="str">
        <f t="shared" si="95"/>
        <v/>
      </c>
      <c r="X172" s="119" t="str">
        <f t="shared" si="96"/>
        <v/>
      </c>
      <c r="Y172" s="119" t="str">
        <f t="shared" si="97"/>
        <v/>
      </c>
      <c r="Z172" s="119" t="str">
        <f t="shared" si="98"/>
        <v/>
      </c>
      <c r="AA172" s="119" t="str">
        <f t="shared" si="99"/>
        <v/>
      </c>
      <c r="AB172" s="119" t="str">
        <f t="shared" si="100"/>
        <v/>
      </c>
      <c r="AC172" s="119" t="str">
        <f t="shared" si="101"/>
        <v/>
      </c>
      <c r="AD172" s="119" t="str">
        <f t="shared" si="102"/>
        <v/>
      </c>
      <c r="AG172" s="124">
        <v>0.6</v>
      </c>
      <c r="AH172" s="123">
        <v>2</v>
      </c>
      <c r="AI172" s="123">
        <v>1</v>
      </c>
      <c r="AJ172" s="123"/>
      <c r="AK172" s="123"/>
      <c r="AL172" s="123"/>
      <c r="AM172" s="123"/>
      <c r="AN172" s="123"/>
      <c r="AO172" s="123"/>
      <c r="AP172" s="123"/>
      <c r="AQ172" s="123"/>
      <c r="AR172" s="125"/>
    </row>
    <row r="173" spans="9:44" ht="12" customHeight="1">
      <c r="I173" s="143" t="str">
        <f t="shared" si="110"/>
        <v>Residential Lighting  Geothermal</v>
      </c>
      <c r="J173" s="146" t="s">
        <v>205</v>
      </c>
      <c r="K173" s="143" t="str">
        <f t="shared" si="111"/>
        <v>RES-LTGEOExt</v>
      </c>
      <c r="L173" s="101" t="str">
        <f t="shared" si="112"/>
        <v/>
      </c>
      <c r="P173" s="122" t="str">
        <f t="shared" si="89"/>
        <v/>
      </c>
      <c r="Q173" s="114" t="str">
        <f t="shared" si="85"/>
        <v/>
      </c>
      <c r="R173" s="112" t="str">
        <f t="shared" si="90"/>
        <v/>
      </c>
      <c r="S173" s="119" t="str">
        <f t="shared" si="91"/>
        <v/>
      </c>
      <c r="T173" s="119" t="str">
        <f t="shared" si="92"/>
        <v/>
      </c>
      <c r="U173" s="119" t="str">
        <f t="shared" si="93"/>
        <v/>
      </c>
      <c r="V173" s="119" t="str">
        <f t="shared" si="94"/>
        <v/>
      </c>
      <c r="W173" s="119" t="str">
        <f t="shared" si="95"/>
        <v/>
      </c>
      <c r="X173" s="119" t="str">
        <f t="shared" si="96"/>
        <v/>
      </c>
      <c r="Y173" s="119" t="str">
        <f t="shared" si="97"/>
        <v/>
      </c>
      <c r="Z173" s="119" t="str">
        <f t="shared" si="98"/>
        <v/>
      </c>
      <c r="AA173" s="119" t="str">
        <f t="shared" si="99"/>
        <v/>
      </c>
      <c r="AB173" s="119" t="str">
        <f t="shared" si="100"/>
        <v/>
      </c>
      <c r="AC173" s="119" t="str">
        <f t="shared" si="101"/>
        <v/>
      </c>
      <c r="AD173" s="119" t="str">
        <f t="shared" si="102"/>
        <v/>
      </c>
      <c r="AG173" s="124">
        <v>0.6</v>
      </c>
      <c r="AH173" s="123">
        <v>2</v>
      </c>
      <c r="AI173" s="123">
        <v>1</v>
      </c>
      <c r="AJ173" s="123"/>
      <c r="AK173" s="123"/>
      <c r="AL173" s="123"/>
      <c r="AM173" s="123"/>
      <c r="AN173" s="123"/>
      <c r="AO173" s="123"/>
      <c r="AP173" s="123"/>
      <c r="AQ173" s="123"/>
      <c r="AR173" s="125"/>
    </row>
    <row r="174" spans="9:44" ht="12" customHeight="1">
      <c r="I174" s="143" t="str">
        <f t="shared" si="110"/>
        <v>Residential Lighting  Solar</v>
      </c>
      <c r="J174" s="146" t="s">
        <v>205</v>
      </c>
      <c r="K174" s="143" t="str">
        <f t="shared" si="111"/>
        <v>RES-LTSOLExt</v>
      </c>
      <c r="L174" s="101" t="str">
        <f t="shared" si="112"/>
        <v/>
      </c>
      <c r="P174" s="122" t="str">
        <f t="shared" si="89"/>
        <v/>
      </c>
      <c r="Q174" s="114" t="str">
        <f t="shared" si="85"/>
        <v/>
      </c>
      <c r="R174" s="112" t="str">
        <f t="shared" si="90"/>
        <v/>
      </c>
      <c r="S174" s="119" t="str">
        <f t="shared" si="91"/>
        <v/>
      </c>
      <c r="T174" s="119" t="str">
        <f t="shared" si="92"/>
        <v/>
      </c>
      <c r="U174" s="119" t="str">
        <f t="shared" si="93"/>
        <v/>
      </c>
      <c r="V174" s="119" t="str">
        <f t="shared" si="94"/>
        <v/>
      </c>
      <c r="W174" s="119" t="str">
        <f t="shared" si="95"/>
        <v/>
      </c>
      <c r="X174" s="119" t="str">
        <f t="shared" si="96"/>
        <v/>
      </c>
      <c r="Y174" s="119" t="str">
        <f t="shared" si="97"/>
        <v/>
      </c>
      <c r="Z174" s="119" t="str">
        <f t="shared" si="98"/>
        <v/>
      </c>
      <c r="AA174" s="119" t="str">
        <f t="shared" si="99"/>
        <v/>
      </c>
      <c r="AB174" s="119" t="str">
        <f t="shared" si="100"/>
        <v/>
      </c>
      <c r="AC174" s="119" t="str">
        <f t="shared" si="101"/>
        <v/>
      </c>
      <c r="AD174" s="119" t="str">
        <f t="shared" si="102"/>
        <v/>
      </c>
      <c r="AG174" s="124">
        <v>0.6</v>
      </c>
      <c r="AH174" s="123">
        <v>2</v>
      </c>
      <c r="AI174" s="123">
        <v>1</v>
      </c>
      <c r="AJ174" s="123"/>
      <c r="AK174" s="123"/>
      <c r="AL174" s="123"/>
      <c r="AM174" s="123"/>
      <c r="AN174" s="123"/>
      <c r="AO174" s="123"/>
      <c r="AP174" s="123"/>
      <c r="AQ174" s="123"/>
      <c r="AR174" s="125"/>
    </row>
    <row r="175" spans="9:44" ht="12" customHeight="1">
      <c r="I175" s="143" t="str">
        <f t="shared" si="110"/>
        <v>Residential Lighting  Wind</v>
      </c>
      <c r="J175" s="146" t="s">
        <v>205</v>
      </c>
      <c r="K175" s="143" t="str">
        <f t="shared" si="111"/>
        <v>RES-LTWINExt</v>
      </c>
      <c r="L175" s="101" t="str">
        <f t="shared" si="112"/>
        <v/>
      </c>
      <c r="P175" s="122" t="str">
        <f t="shared" si="89"/>
        <v/>
      </c>
      <c r="Q175" s="114" t="str">
        <f t="shared" si="85"/>
        <v/>
      </c>
      <c r="R175" s="112" t="str">
        <f t="shared" si="90"/>
        <v/>
      </c>
      <c r="S175" s="119" t="str">
        <f t="shared" si="91"/>
        <v/>
      </c>
      <c r="T175" s="119" t="str">
        <f t="shared" si="92"/>
        <v/>
      </c>
      <c r="U175" s="119" t="str">
        <f t="shared" si="93"/>
        <v/>
      </c>
      <c r="V175" s="119" t="str">
        <f t="shared" si="94"/>
        <v/>
      </c>
      <c r="W175" s="119" t="str">
        <f t="shared" si="95"/>
        <v/>
      </c>
      <c r="X175" s="119" t="str">
        <f t="shared" si="96"/>
        <v/>
      </c>
      <c r="Y175" s="119" t="str">
        <f t="shared" si="97"/>
        <v/>
      </c>
      <c r="Z175" s="119" t="str">
        <f t="shared" si="98"/>
        <v/>
      </c>
      <c r="AA175" s="119" t="str">
        <f t="shared" si="99"/>
        <v/>
      </c>
      <c r="AB175" s="119" t="str">
        <f t="shared" si="100"/>
        <v/>
      </c>
      <c r="AC175" s="119" t="str">
        <f t="shared" si="101"/>
        <v/>
      </c>
      <c r="AD175" s="119" t="str">
        <f t="shared" si="102"/>
        <v/>
      </c>
      <c r="AG175" s="124">
        <v>0.6</v>
      </c>
      <c r="AH175" s="123">
        <v>2</v>
      </c>
      <c r="AI175" s="123">
        <v>1</v>
      </c>
      <c r="AJ175" s="123"/>
      <c r="AK175" s="123"/>
      <c r="AL175" s="123"/>
      <c r="AM175" s="123"/>
      <c r="AN175" s="123"/>
      <c r="AO175" s="123"/>
      <c r="AP175" s="123"/>
      <c r="AQ175" s="123"/>
      <c r="AR175" s="125"/>
    </row>
    <row r="176" spans="9:44" ht="12" customHeight="1">
      <c r="I176" s="143" t="str">
        <f t="shared" si="110"/>
        <v>Residential Lighting  Bio Liquids</v>
      </c>
      <c r="J176" s="146" t="s">
        <v>205</v>
      </c>
      <c r="K176" s="143" t="str">
        <f t="shared" si="111"/>
        <v>RES-LTBILExt</v>
      </c>
      <c r="L176" s="101" t="str">
        <f t="shared" si="112"/>
        <v/>
      </c>
      <c r="P176" s="122" t="str">
        <f t="shared" si="89"/>
        <v/>
      </c>
      <c r="Q176" s="114" t="str">
        <f t="shared" si="85"/>
        <v/>
      </c>
      <c r="R176" s="112" t="str">
        <f t="shared" si="90"/>
        <v/>
      </c>
      <c r="S176" s="119" t="str">
        <f t="shared" si="91"/>
        <v/>
      </c>
      <c r="T176" s="119" t="str">
        <f t="shared" si="92"/>
        <v/>
      </c>
      <c r="U176" s="119" t="str">
        <f t="shared" si="93"/>
        <v/>
      </c>
      <c r="V176" s="119" t="str">
        <f t="shared" si="94"/>
        <v/>
      </c>
      <c r="W176" s="119" t="str">
        <f t="shared" si="95"/>
        <v/>
      </c>
      <c r="X176" s="119" t="str">
        <f t="shared" si="96"/>
        <v/>
      </c>
      <c r="Y176" s="119" t="str">
        <f t="shared" si="97"/>
        <v/>
      </c>
      <c r="Z176" s="119" t="str">
        <f t="shared" si="98"/>
        <v/>
      </c>
      <c r="AA176" s="119" t="str">
        <f t="shared" si="99"/>
        <v/>
      </c>
      <c r="AB176" s="119" t="str">
        <f t="shared" si="100"/>
        <v/>
      </c>
      <c r="AC176" s="119" t="str">
        <f t="shared" si="101"/>
        <v/>
      </c>
      <c r="AD176" s="119" t="str">
        <f t="shared" si="102"/>
        <v/>
      </c>
      <c r="AG176" s="124">
        <v>0.6</v>
      </c>
      <c r="AH176" s="123">
        <v>2</v>
      </c>
      <c r="AI176" s="123">
        <v>1</v>
      </c>
      <c r="AJ176" s="123"/>
      <c r="AK176" s="123"/>
      <c r="AL176" s="123"/>
      <c r="AM176" s="123"/>
      <c r="AN176" s="123"/>
      <c r="AO176" s="123"/>
      <c r="AP176" s="123"/>
      <c r="AQ176" s="123"/>
      <c r="AR176" s="125"/>
    </row>
    <row r="177" spans="9:44" ht="12" customHeight="1">
      <c r="I177" s="143" t="str">
        <f t="shared" si="110"/>
        <v>Residential Lighting  Biogas</v>
      </c>
      <c r="J177" s="146" t="s">
        <v>205</v>
      </c>
      <c r="K177" s="143" t="str">
        <f t="shared" si="111"/>
        <v>RES-LTBIGExt</v>
      </c>
      <c r="L177" s="101" t="str">
        <f t="shared" ref="L177:L181" si="113">IF(J177="Yes",K177,"")</f>
        <v/>
      </c>
      <c r="P177" s="122" t="str">
        <f t="shared" si="89"/>
        <v/>
      </c>
      <c r="Q177" s="114" t="str">
        <f t="shared" si="85"/>
        <v/>
      </c>
      <c r="R177" s="112" t="str">
        <f t="shared" si="90"/>
        <v/>
      </c>
      <c r="S177" s="119" t="str">
        <f t="shared" si="91"/>
        <v/>
      </c>
      <c r="T177" s="119" t="str">
        <f t="shared" si="92"/>
        <v/>
      </c>
      <c r="U177" s="119" t="str">
        <f t="shared" si="93"/>
        <v/>
      </c>
      <c r="V177" s="119" t="str">
        <f t="shared" si="94"/>
        <v/>
      </c>
      <c r="W177" s="119" t="str">
        <f t="shared" si="95"/>
        <v/>
      </c>
      <c r="X177" s="119" t="str">
        <f t="shared" si="96"/>
        <v/>
      </c>
      <c r="Y177" s="119" t="str">
        <f t="shared" si="97"/>
        <v/>
      </c>
      <c r="Z177" s="119" t="str">
        <f t="shared" si="98"/>
        <v/>
      </c>
      <c r="AA177" s="119" t="str">
        <f t="shared" si="99"/>
        <v/>
      </c>
      <c r="AB177" s="119" t="str">
        <f t="shared" si="100"/>
        <v/>
      </c>
      <c r="AC177" s="119" t="str">
        <f t="shared" si="101"/>
        <v/>
      </c>
      <c r="AD177" s="119" t="str">
        <f t="shared" si="102"/>
        <v/>
      </c>
      <c r="AG177" s="124">
        <v>0.6</v>
      </c>
      <c r="AH177" s="123">
        <v>2</v>
      </c>
      <c r="AI177" s="123">
        <v>1</v>
      </c>
      <c r="AJ177" s="123"/>
      <c r="AK177" s="123"/>
      <c r="AL177" s="123"/>
      <c r="AM177" s="123"/>
      <c r="AN177" s="123"/>
      <c r="AO177" s="123"/>
      <c r="AP177" s="123"/>
      <c r="AQ177" s="123"/>
      <c r="AR177" s="125"/>
    </row>
    <row r="178" spans="9:44" ht="12" customHeight="1">
      <c r="I178" s="143" t="str">
        <f t="shared" si="110"/>
        <v>Residential Lighting  Wood</v>
      </c>
      <c r="J178" s="146" t="s">
        <v>205</v>
      </c>
      <c r="K178" s="143" t="str">
        <f t="shared" si="111"/>
        <v>RES-LTWODExt</v>
      </c>
      <c r="L178" s="101" t="str">
        <f t="shared" si="113"/>
        <v/>
      </c>
      <c r="P178" s="122" t="str">
        <f t="shared" si="89"/>
        <v/>
      </c>
      <c r="Q178" s="114" t="str">
        <f t="shared" si="85"/>
        <v/>
      </c>
      <c r="R178" s="112" t="str">
        <f t="shared" si="90"/>
        <v/>
      </c>
      <c r="S178" s="119" t="str">
        <f t="shared" si="91"/>
        <v/>
      </c>
      <c r="T178" s="119" t="str">
        <f t="shared" si="92"/>
        <v/>
      </c>
      <c r="U178" s="119" t="str">
        <f t="shared" si="93"/>
        <v/>
      </c>
      <c r="V178" s="119" t="str">
        <f t="shared" si="94"/>
        <v/>
      </c>
      <c r="W178" s="119" t="str">
        <f t="shared" si="95"/>
        <v/>
      </c>
      <c r="X178" s="119" t="str">
        <f t="shared" si="96"/>
        <v/>
      </c>
      <c r="Y178" s="119" t="str">
        <f t="shared" si="97"/>
        <v/>
      </c>
      <c r="Z178" s="119" t="str">
        <f t="shared" si="98"/>
        <v/>
      </c>
      <c r="AA178" s="119" t="str">
        <f t="shared" si="99"/>
        <v/>
      </c>
      <c r="AB178" s="119" t="str">
        <f t="shared" si="100"/>
        <v/>
      </c>
      <c r="AC178" s="119" t="str">
        <f t="shared" si="101"/>
        <v/>
      </c>
      <c r="AD178" s="119" t="str">
        <f t="shared" si="102"/>
        <v/>
      </c>
      <c r="AG178" s="124">
        <v>0.6</v>
      </c>
      <c r="AH178" s="123">
        <v>2</v>
      </c>
      <c r="AI178" s="123">
        <v>1</v>
      </c>
      <c r="AJ178" s="123"/>
      <c r="AK178" s="123"/>
      <c r="AL178" s="123"/>
      <c r="AM178" s="123"/>
      <c r="AN178" s="123"/>
      <c r="AO178" s="123"/>
      <c r="AP178" s="123"/>
      <c r="AQ178" s="123"/>
      <c r="AR178" s="125"/>
    </row>
    <row r="179" spans="9:44" ht="12" customHeight="1">
      <c r="I179" s="143" t="str">
        <f t="shared" si="110"/>
        <v>Residential Lighting  Tidal</v>
      </c>
      <c r="J179" s="146" t="s">
        <v>205</v>
      </c>
      <c r="K179" s="143" t="str">
        <f t="shared" si="111"/>
        <v>RES-LTTIDExt</v>
      </c>
      <c r="L179" s="101" t="str">
        <f t="shared" si="113"/>
        <v/>
      </c>
      <c r="P179" s="122" t="str">
        <f t="shared" si="89"/>
        <v/>
      </c>
      <c r="Q179" s="114" t="str">
        <f t="shared" si="85"/>
        <v/>
      </c>
      <c r="R179" s="112" t="str">
        <f t="shared" si="90"/>
        <v/>
      </c>
      <c r="S179" s="119" t="str">
        <f t="shared" si="91"/>
        <v/>
      </c>
      <c r="T179" s="119" t="str">
        <f t="shared" si="92"/>
        <v/>
      </c>
      <c r="U179" s="119" t="str">
        <f t="shared" si="93"/>
        <v/>
      </c>
      <c r="V179" s="119" t="str">
        <f t="shared" si="94"/>
        <v/>
      </c>
      <c r="W179" s="119" t="str">
        <f t="shared" si="95"/>
        <v/>
      </c>
      <c r="X179" s="119" t="str">
        <f t="shared" si="96"/>
        <v/>
      </c>
      <c r="Y179" s="119" t="str">
        <f t="shared" si="97"/>
        <v/>
      </c>
      <c r="Z179" s="119" t="str">
        <f t="shared" si="98"/>
        <v/>
      </c>
      <c r="AA179" s="119" t="str">
        <f t="shared" si="99"/>
        <v/>
      </c>
      <c r="AB179" s="119" t="str">
        <f t="shared" si="100"/>
        <v/>
      </c>
      <c r="AC179" s="119" t="str">
        <f t="shared" si="101"/>
        <v/>
      </c>
      <c r="AD179" s="119" t="str">
        <f t="shared" si="102"/>
        <v/>
      </c>
      <c r="AG179" s="124">
        <v>0.6</v>
      </c>
      <c r="AH179" s="123">
        <v>2</v>
      </c>
      <c r="AI179" s="123">
        <v>1</v>
      </c>
      <c r="AJ179" s="123"/>
      <c r="AK179" s="123"/>
      <c r="AL179" s="123"/>
      <c r="AM179" s="123"/>
      <c r="AN179" s="123"/>
      <c r="AO179" s="123"/>
      <c r="AP179" s="123"/>
      <c r="AQ179" s="123"/>
      <c r="AR179" s="125"/>
    </row>
    <row r="180" spans="9:44" ht="12" customHeight="1">
      <c r="I180" s="143" t="str">
        <f t="shared" si="110"/>
        <v>Residential Lighting  Electricity</v>
      </c>
      <c r="J180" s="155" t="s">
        <v>198</v>
      </c>
      <c r="K180" s="144" t="str">
        <f t="shared" si="111"/>
        <v>RES-LTELCExt</v>
      </c>
      <c r="L180" s="101" t="str">
        <f t="shared" si="113"/>
        <v>RES-LTELCExt</v>
      </c>
      <c r="P180" s="122" t="str">
        <f t="shared" si="89"/>
        <v>RES-LTELCExt</v>
      </c>
      <c r="Q180" s="114" t="str">
        <f t="shared" si="85"/>
        <v>RES-ELC</v>
      </c>
      <c r="R180" s="112" t="str">
        <f t="shared" si="90"/>
        <v>RES-LT</v>
      </c>
      <c r="S180" s="119">
        <f t="shared" si="91"/>
        <v>0.6</v>
      </c>
      <c r="T180" s="119">
        <f t="shared" si="92"/>
        <v>2</v>
      </c>
      <c r="U180" s="119">
        <f t="shared" si="93"/>
        <v>1</v>
      </c>
      <c r="V180" s="119">
        <f t="shared" si="94"/>
        <v>0</v>
      </c>
      <c r="W180" s="119">
        <f t="shared" si="95"/>
        <v>0</v>
      </c>
      <c r="X180" s="119">
        <f t="shared" si="96"/>
        <v>0</v>
      </c>
      <c r="Y180" s="119">
        <f t="shared" si="97"/>
        <v>0</v>
      </c>
      <c r="Z180" s="119">
        <f t="shared" si="98"/>
        <v>0</v>
      </c>
      <c r="AA180" s="119">
        <f t="shared" si="99"/>
        <v>0</v>
      </c>
      <c r="AB180" s="119">
        <f t="shared" si="100"/>
        <v>0</v>
      </c>
      <c r="AC180" s="119">
        <f t="shared" si="101"/>
        <v>0</v>
      </c>
      <c r="AD180" s="119">
        <f t="shared" si="102"/>
        <v>0</v>
      </c>
      <c r="AG180" s="124">
        <v>0.6</v>
      </c>
      <c r="AH180" s="123">
        <v>2</v>
      </c>
      <c r="AI180" s="123">
        <v>1</v>
      </c>
      <c r="AJ180" s="123"/>
      <c r="AK180" s="123"/>
      <c r="AL180" s="123"/>
      <c r="AM180" s="123"/>
      <c r="AN180" s="123"/>
      <c r="AO180" s="123"/>
      <c r="AP180" s="123"/>
      <c r="AQ180" s="123"/>
      <c r="AR180" s="125"/>
    </row>
    <row r="181" spans="9:44" ht="12" customHeight="1">
      <c r="I181" s="142" t="str">
        <f>$C$129&amp;" "&amp;$E$9&amp;" "&amp;RIGHT(G129,LEN(G129)-FIND(" ",G129))</f>
        <v>Residential Air conditioning Coal</v>
      </c>
      <c r="J181" s="146" t="s">
        <v>205</v>
      </c>
      <c r="K181" s="142" t="str">
        <f>$D$129&amp;$F$133&amp;RIGHT(H129,3)&amp;$B$129</f>
        <v>RES-ACCOAExt</v>
      </c>
      <c r="L181" s="101" t="str">
        <f t="shared" si="113"/>
        <v/>
      </c>
      <c r="P181" s="122" t="str">
        <f t="shared" si="89"/>
        <v/>
      </c>
      <c r="Q181" s="114" t="str">
        <f t="shared" si="85"/>
        <v/>
      </c>
      <c r="R181" s="112" t="str">
        <f t="shared" si="90"/>
        <v/>
      </c>
      <c r="S181" s="119" t="str">
        <f t="shared" si="91"/>
        <v/>
      </c>
      <c r="T181" s="119" t="str">
        <f t="shared" si="92"/>
        <v/>
      </c>
      <c r="U181" s="119" t="str">
        <f t="shared" si="93"/>
        <v/>
      </c>
      <c r="V181" s="119" t="str">
        <f t="shared" si="94"/>
        <v/>
      </c>
      <c r="W181" s="119" t="str">
        <f t="shared" si="95"/>
        <v/>
      </c>
      <c r="X181" s="119" t="str">
        <f t="shared" si="96"/>
        <v/>
      </c>
      <c r="Y181" s="119" t="str">
        <f t="shared" si="97"/>
        <v/>
      </c>
      <c r="Z181" s="119" t="str">
        <f t="shared" si="98"/>
        <v/>
      </c>
      <c r="AA181" s="119" t="str">
        <f t="shared" si="99"/>
        <v/>
      </c>
      <c r="AB181" s="119" t="str">
        <f t="shared" si="100"/>
        <v/>
      </c>
      <c r="AC181" s="119" t="str">
        <f t="shared" si="101"/>
        <v/>
      </c>
      <c r="AD181" s="119" t="str">
        <f t="shared" si="102"/>
        <v/>
      </c>
      <c r="AG181" s="124">
        <v>0.6</v>
      </c>
      <c r="AH181" s="123">
        <v>2</v>
      </c>
      <c r="AI181" s="123">
        <v>1</v>
      </c>
      <c r="AJ181" s="123"/>
      <c r="AK181" s="123"/>
      <c r="AL181" s="123"/>
      <c r="AM181" s="123"/>
      <c r="AN181" s="123"/>
      <c r="AO181" s="123"/>
      <c r="AP181" s="123"/>
      <c r="AQ181" s="123"/>
      <c r="AR181" s="125"/>
    </row>
    <row r="182" spans="9:44" ht="12" customHeight="1">
      <c r="I182" s="143" t="str">
        <f t="shared" ref="I182:I193" si="114">$C$129&amp;" "&amp;$E$9&amp;" "&amp;RIGHT(G130,LEN(G130)-FIND(" ",G130))</f>
        <v>Residential Air conditioning Lignite</v>
      </c>
      <c r="J182" s="146" t="s">
        <v>205</v>
      </c>
      <c r="K182" s="143" t="str">
        <f t="shared" ref="K182:K193" si="115">$D$129&amp;$F$133&amp;RIGHT(H130,3)&amp;$B$129</f>
        <v>RES-ACCOLExt</v>
      </c>
      <c r="L182" s="101" t="str">
        <f t="shared" ref="L182:L190" si="116">IF(J182="Yes",K182,"")</f>
        <v/>
      </c>
      <c r="P182" s="122" t="str">
        <f t="shared" si="89"/>
        <v/>
      </c>
      <c r="Q182" s="114" t="str">
        <f t="shared" si="85"/>
        <v/>
      </c>
      <c r="R182" s="112" t="str">
        <f t="shared" si="90"/>
        <v/>
      </c>
      <c r="S182" s="119" t="str">
        <f t="shared" si="91"/>
        <v/>
      </c>
      <c r="T182" s="119" t="str">
        <f t="shared" si="92"/>
        <v/>
      </c>
      <c r="U182" s="119" t="str">
        <f t="shared" si="93"/>
        <v/>
      </c>
      <c r="V182" s="119" t="str">
        <f t="shared" si="94"/>
        <v/>
      </c>
      <c r="W182" s="119" t="str">
        <f t="shared" si="95"/>
        <v/>
      </c>
      <c r="X182" s="119" t="str">
        <f t="shared" si="96"/>
        <v/>
      </c>
      <c r="Y182" s="119" t="str">
        <f t="shared" si="97"/>
        <v/>
      </c>
      <c r="Z182" s="119" t="str">
        <f t="shared" si="98"/>
        <v/>
      </c>
      <c r="AA182" s="119" t="str">
        <f t="shared" si="99"/>
        <v/>
      </c>
      <c r="AB182" s="119" t="str">
        <f t="shared" si="100"/>
        <v/>
      </c>
      <c r="AC182" s="119" t="str">
        <f t="shared" si="101"/>
        <v/>
      </c>
      <c r="AD182" s="119" t="str">
        <f t="shared" si="102"/>
        <v/>
      </c>
      <c r="AG182" s="124">
        <v>0.6</v>
      </c>
      <c r="AH182" s="123">
        <v>2</v>
      </c>
      <c r="AI182" s="123">
        <v>1</v>
      </c>
      <c r="AJ182" s="123"/>
      <c r="AK182" s="123"/>
      <c r="AL182" s="123"/>
      <c r="AM182" s="123"/>
      <c r="AN182" s="123"/>
      <c r="AO182" s="123"/>
      <c r="AP182" s="123"/>
      <c r="AQ182" s="123"/>
      <c r="AR182" s="125"/>
    </row>
    <row r="183" spans="9:44" ht="12" customHeight="1">
      <c r="I183" s="143" t="str">
        <f t="shared" si="114"/>
        <v>Residential Air conditioning Crude oil</v>
      </c>
      <c r="J183" s="146" t="s">
        <v>205</v>
      </c>
      <c r="K183" s="143" t="str">
        <f t="shared" si="115"/>
        <v>RES-ACOILExt</v>
      </c>
      <c r="L183" s="101" t="str">
        <f t="shared" si="116"/>
        <v/>
      </c>
      <c r="P183" s="122" t="str">
        <f t="shared" si="89"/>
        <v/>
      </c>
      <c r="Q183" s="114" t="str">
        <f t="shared" si="85"/>
        <v/>
      </c>
      <c r="R183" s="112" t="str">
        <f t="shared" si="90"/>
        <v/>
      </c>
      <c r="S183" s="119" t="str">
        <f t="shared" si="91"/>
        <v/>
      </c>
      <c r="T183" s="119" t="str">
        <f t="shared" si="92"/>
        <v/>
      </c>
      <c r="U183" s="119" t="str">
        <f t="shared" si="93"/>
        <v/>
      </c>
      <c r="V183" s="119" t="str">
        <f t="shared" si="94"/>
        <v/>
      </c>
      <c r="W183" s="119" t="str">
        <f t="shared" si="95"/>
        <v/>
      </c>
      <c r="X183" s="119" t="str">
        <f t="shared" si="96"/>
        <v/>
      </c>
      <c r="Y183" s="119" t="str">
        <f t="shared" si="97"/>
        <v/>
      </c>
      <c r="Z183" s="119" t="str">
        <f t="shared" si="98"/>
        <v/>
      </c>
      <c r="AA183" s="119" t="str">
        <f t="shared" si="99"/>
        <v/>
      </c>
      <c r="AB183" s="119" t="str">
        <f t="shared" si="100"/>
        <v/>
      </c>
      <c r="AC183" s="119" t="str">
        <f t="shared" si="101"/>
        <v/>
      </c>
      <c r="AD183" s="119" t="str">
        <f t="shared" si="102"/>
        <v/>
      </c>
      <c r="AG183" s="124">
        <v>0.6</v>
      </c>
      <c r="AH183" s="123">
        <v>2</v>
      </c>
      <c r="AI183" s="123">
        <v>1</v>
      </c>
      <c r="AJ183" s="123"/>
      <c r="AK183" s="123"/>
      <c r="AL183" s="123"/>
      <c r="AM183" s="123"/>
      <c r="AN183" s="123"/>
      <c r="AO183" s="123"/>
      <c r="AP183" s="123"/>
      <c r="AQ183" s="123"/>
      <c r="AR183" s="125"/>
    </row>
    <row r="184" spans="9:44" ht="12" customHeight="1">
      <c r="I184" s="143" t="str">
        <f t="shared" si="114"/>
        <v>Residential Air conditioning Natural Gas</v>
      </c>
      <c r="J184" s="146" t="s">
        <v>205</v>
      </c>
      <c r="K184" s="143" t="str">
        <f t="shared" si="115"/>
        <v>RES-ACNGAExt</v>
      </c>
      <c r="L184" s="101" t="str">
        <f t="shared" si="116"/>
        <v/>
      </c>
      <c r="P184" s="122" t="str">
        <f t="shared" si="89"/>
        <v/>
      </c>
      <c r="Q184" s="114" t="str">
        <f t="shared" si="85"/>
        <v/>
      </c>
      <c r="R184" s="112" t="str">
        <f t="shared" si="90"/>
        <v/>
      </c>
      <c r="S184" s="119" t="str">
        <f t="shared" si="91"/>
        <v/>
      </c>
      <c r="T184" s="119" t="str">
        <f t="shared" si="92"/>
        <v/>
      </c>
      <c r="U184" s="119" t="str">
        <f t="shared" si="93"/>
        <v/>
      </c>
      <c r="V184" s="119" t="str">
        <f t="shared" si="94"/>
        <v/>
      </c>
      <c r="W184" s="119" t="str">
        <f t="shared" si="95"/>
        <v/>
      </c>
      <c r="X184" s="119" t="str">
        <f t="shared" si="96"/>
        <v/>
      </c>
      <c r="Y184" s="119" t="str">
        <f t="shared" si="97"/>
        <v/>
      </c>
      <c r="Z184" s="119" t="str">
        <f t="shared" si="98"/>
        <v/>
      </c>
      <c r="AA184" s="119" t="str">
        <f t="shared" si="99"/>
        <v/>
      </c>
      <c r="AB184" s="119" t="str">
        <f t="shared" si="100"/>
        <v/>
      </c>
      <c r="AC184" s="119" t="str">
        <f t="shared" si="101"/>
        <v/>
      </c>
      <c r="AD184" s="119" t="str">
        <f t="shared" si="102"/>
        <v/>
      </c>
      <c r="AG184" s="124">
        <v>0.6</v>
      </c>
      <c r="AH184" s="123">
        <v>2</v>
      </c>
      <c r="AI184" s="123">
        <v>1</v>
      </c>
      <c r="AJ184" s="123"/>
      <c r="AK184" s="123"/>
      <c r="AL184" s="123"/>
      <c r="AM184" s="123"/>
      <c r="AN184" s="123"/>
      <c r="AO184" s="123"/>
      <c r="AP184" s="123"/>
      <c r="AQ184" s="123"/>
      <c r="AR184" s="125"/>
    </row>
    <row r="185" spans="9:44" ht="12" customHeight="1">
      <c r="I185" s="143" t="str">
        <f t="shared" si="114"/>
        <v>Residential Air conditioning Hydro</v>
      </c>
      <c r="J185" s="146" t="s">
        <v>205</v>
      </c>
      <c r="K185" s="143" t="str">
        <f t="shared" si="115"/>
        <v>RES-ACHYDExt</v>
      </c>
      <c r="L185" s="101" t="str">
        <f t="shared" si="116"/>
        <v/>
      </c>
      <c r="P185" s="122" t="str">
        <f t="shared" si="89"/>
        <v/>
      </c>
      <c r="Q185" s="114" t="str">
        <f t="shared" si="85"/>
        <v/>
      </c>
      <c r="R185" s="112" t="str">
        <f t="shared" si="90"/>
        <v/>
      </c>
      <c r="S185" s="119" t="str">
        <f t="shared" si="91"/>
        <v/>
      </c>
      <c r="T185" s="119" t="str">
        <f t="shared" si="92"/>
        <v/>
      </c>
      <c r="U185" s="119" t="str">
        <f t="shared" si="93"/>
        <v/>
      </c>
      <c r="V185" s="119" t="str">
        <f t="shared" si="94"/>
        <v/>
      </c>
      <c r="W185" s="119" t="str">
        <f t="shared" si="95"/>
        <v/>
      </c>
      <c r="X185" s="119" t="str">
        <f t="shared" si="96"/>
        <v/>
      </c>
      <c r="Y185" s="119" t="str">
        <f t="shared" si="97"/>
        <v/>
      </c>
      <c r="Z185" s="119" t="str">
        <f t="shared" si="98"/>
        <v/>
      </c>
      <c r="AA185" s="119" t="str">
        <f t="shared" si="99"/>
        <v/>
      </c>
      <c r="AB185" s="119" t="str">
        <f t="shared" si="100"/>
        <v/>
      </c>
      <c r="AC185" s="119" t="str">
        <f t="shared" si="101"/>
        <v/>
      </c>
      <c r="AD185" s="119" t="str">
        <f t="shared" si="102"/>
        <v/>
      </c>
      <c r="AG185" s="124">
        <v>0.6</v>
      </c>
      <c r="AH185" s="123">
        <v>2</v>
      </c>
      <c r="AI185" s="123">
        <v>1</v>
      </c>
      <c r="AJ185" s="123"/>
      <c r="AK185" s="123"/>
      <c r="AL185" s="123"/>
      <c r="AM185" s="123"/>
      <c r="AN185" s="123"/>
      <c r="AO185" s="123"/>
      <c r="AP185" s="123"/>
      <c r="AQ185" s="123"/>
      <c r="AR185" s="125"/>
    </row>
    <row r="186" spans="9:44" ht="12" customHeight="1">
      <c r="I186" s="143" t="str">
        <f t="shared" si="114"/>
        <v>Residential Air conditioning Geothermal</v>
      </c>
      <c r="J186" s="146" t="s">
        <v>205</v>
      </c>
      <c r="K186" s="143" t="str">
        <f t="shared" si="115"/>
        <v>RES-ACGEOExt</v>
      </c>
      <c r="L186" s="101" t="str">
        <f t="shared" si="116"/>
        <v/>
      </c>
      <c r="P186" s="122" t="str">
        <f t="shared" si="89"/>
        <v/>
      </c>
      <c r="Q186" s="114" t="str">
        <f t="shared" si="85"/>
        <v/>
      </c>
      <c r="R186" s="112" t="str">
        <f t="shared" si="90"/>
        <v/>
      </c>
      <c r="S186" s="119" t="str">
        <f t="shared" si="91"/>
        <v/>
      </c>
      <c r="T186" s="119" t="str">
        <f t="shared" si="92"/>
        <v/>
      </c>
      <c r="U186" s="119" t="str">
        <f t="shared" si="93"/>
        <v/>
      </c>
      <c r="V186" s="119" t="str">
        <f t="shared" si="94"/>
        <v/>
      </c>
      <c r="W186" s="119" t="str">
        <f t="shared" si="95"/>
        <v/>
      </c>
      <c r="X186" s="119" t="str">
        <f t="shared" si="96"/>
        <v/>
      </c>
      <c r="Y186" s="119" t="str">
        <f t="shared" si="97"/>
        <v/>
      </c>
      <c r="Z186" s="119" t="str">
        <f t="shared" si="98"/>
        <v/>
      </c>
      <c r="AA186" s="119" t="str">
        <f t="shared" si="99"/>
        <v/>
      </c>
      <c r="AB186" s="119" t="str">
        <f t="shared" si="100"/>
        <v/>
      </c>
      <c r="AC186" s="119" t="str">
        <f t="shared" si="101"/>
        <v/>
      </c>
      <c r="AD186" s="119" t="str">
        <f t="shared" si="102"/>
        <v/>
      </c>
      <c r="AG186" s="124">
        <v>0.6</v>
      </c>
      <c r="AH186" s="123">
        <v>2</v>
      </c>
      <c r="AI186" s="123">
        <v>1</v>
      </c>
      <c r="AJ186" s="123"/>
      <c r="AK186" s="123"/>
      <c r="AL186" s="123"/>
      <c r="AM186" s="123"/>
      <c r="AN186" s="123"/>
      <c r="AO186" s="123"/>
      <c r="AP186" s="123"/>
      <c r="AQ186" s="123"/>
      <c r="AR186" s="125"/>
    </row>
    <row r="187" spans="9:44" ht="12" customHeight="1">
      <c r="I187" s="143" t="str">
        <f t="shared" si="114"/>
        <v>Residential Air conditioning Solar</v>
      </c>
      <c r="J187" s="146" t="s">
        <v>205</v>
      </c>
      <c r="K187" s="143" t="str">
        <f t="shared" si="115"/>
        <v>RES-ACSOLExt</v>
      </c>
      <c r="L187" s="101" t="str">
        <f t="shared" si="116"/>
        <v/>
      </c>
      <c r="P187" s="122" t="str">
        <f t="shared" si="89"/>
        <v/>
      </c>
      <c r="Q187" s="114" t="str">
        <f t="shared" si="85"/>
        <v/>
      </c>
      <c r="R187" s="112" t="str">
        <f t="shared" si="90"/>
        <v/>
      </c>
      <c r="S187" s="119" t="str">
        <f t="shared" si="91"/>
        <v/>
      </c>
      <c r="T187" s="119" t="str">
        <f t="shared" si="92"/>
        <v/>
      </c>
      <c r="U187" s="119" t="str">
        <f t="shared" si="93"/>
        <v/>
      </c>
      <c r="V187" s="119" t="str">
        <f t="shared" si="94"/>
        <v/>
      </c>
      <c r="W187" s="119" t="str">
        <f t="shared" si="95"/>
        <v/>
      </c>
      <c r="X187" s="119" t="str">
        <f t="shared" si="96"/>
        <v/>
      </c>
      <c r="Y187" s="119" t="str">
        <f t="shared" si="97"/>
        <v/>
      </c>
      <c r="Z187" s="119" t="str">
        <f t="shared" si="98"/>
        <v/>
      </c>
      <c r="AA187" s="119" t="str">
        <f t="shared" si="99"/>
        <v/>
      </c>
      <c r="AB187" s="119" t="str">
        <f t="shared" si="100"/>
        <v/>
      </c>
      <c r="AC187" s="119" t="str">
        <f t="shared" si="101"/>
        <v/>
      </c>
      <c r="AD187" s="119" t="str">
        <f t="shared" si="102"/>
        <v/>
      </c>
      <c r="AG187" s="124">
        <v>0.6</v>
      </c>
      <c r="AH187" s="123">
        <v>2</v>
      </c>
      <c r="AI187" s="123">
        <v>1</v>
      </c>
      <c r="AJ187" s="123"/>
      <c r="AK187" s="123"/>
      <c r="AL187" s="123"/>
      <c r="AM187" s="123"/>
      <c r="AN187" s="123"/>
      <c r="AO187" s="123"/>
      <c r="AP187" s="123"/>
      <c r="AQ187" s="123"/>
      <c r="AR187" s="125"/>
    </row>
    <row r="188" spans="9:44" ht="12" customHeight="1">
      <c r="I188" s="143" t="str">
        <f t="shared" si="114"/>
        <v>Residential Air conditioning Wind</v>
      </c>
      <c r="J188" s="146" t="s">
        <v>205</v>
      </c>
      <c r="K188" s="143" t="str">
        <f t="shared" si="115"/>
        <v>RES-ACWINExt</v>
      </c>
      <c r="L188" s="101" t="str">
        <f t="shared" si="116"/>
        <v/>
      </c>
      <c r="P188" s="122" t="str">
        <f t="shared" si="89"/>
        <v/>
      </c>
      <c r="Q188" s="114" t="str">
        <f t="shared" si="85"/>
        <v/>
      </c>
      <c r="R188" s="112" t="str">
        <f t="shared" si="90"/>
        <v/>
      </c>
      <c r="S188" s="119" t="str">
        <f t="shared" si="91"/>
        <v/>
      </c>
      <c r="T188" s="119" t="str">
        <f t="shared" si="92"/>
        <v/>
      </c>
      <c r="U188" s="119" t="str">
        <f t="shared" si="93"/>
        <v/>
      </c>
      <c r="V188" s="119" t="str">
        <f t="shared" si="94"/>
        <v/>
      </c>
      <c r="W188" s="119" t="str">
        <f t="shared" si="95"/>
        <v/>
      </c>
      <c r="X188" s="119" t="str">
        <f t="shared" si="96"/>
        <v/>
      </c>
      <c r="Y188" s="119" t="str">
        <f t="shared" si="97"/>
        <v/>
      </c>
      <c r="Z188" s="119" t="str">
        <f t="shared" si="98"/>
        <v/>
      </c>
      <c r="AA188" s="119" t="str">
        <f t="shared" si="99"/>
        <v/>
      </c>
      <c r="AB188" s="119" t="str">
        <f t="shared" si="100"/>
        <v/>
      </c>
      <c r="AC188" s="119" t="str">
        <f t="shared" si="101"/>
        <v/>
      </c>
      <c r="AD188" s="119" t="str">
        <f t="shared" si="102"/>
        <v/>
      </c>
      <c r="AG188" s="124">
        <v>0.6</v>
      </c>
      <c r="AH188" s="123">
        <v>2</v>
      </c>
      <c r="AI188" s="123">
        <v>1</v>
      </c>
      <c r="AJ188" s="123"/>
      <c r="AK188" s="123"/>
      <c r="AL188" s="123"/>
      <c r="AM188" s="123"/>
      <c r="AN188" s="123"/>
      <c r="AO188" s="123"/>
      <c r="AP188" s="123"/>
      <c r="AQ188" s="123"/>
      <c r="AR188" s="125"/>
    </row>
    <row r="189" spans="9:44" ht="12" customHeight="1">
      <c r="I189" s="143" t="str">
        <f t="shared" si="114"/>
        <v>Residential Air conditioning Bio Liquids</v>
      </c>
      <c r="J189" s="146" t="s">
        <v>205</v>
      </c>
      <c r="K189" s="143" t="str">
        <f t="shared" si="115"/>
        <v>RES-ACBILExt</v>
      </c>
      <c r="L189" s="101" t="str">
        <f t="shared" si="116"/>
        <v/>
      </c>
      <c r="P189" s="122" t="str">
        <f t="shared" si="89"/>
        <v/>
      </c>
      <c r="Q189" s="114" t="str">
        <f t="shared" si="85"/>
        <v/>
      </c>
      <c r="R189" s="112" t="str">
        <f t="shared" si="90"/>
        <v/>
      </c>
      <c r="S189" s="119" t="str">
        <f t="shared" si="91"/>
        <v/>
      </c>
      <c r="T189" s="119" t="str">
        <f t="shared" si="92"/>
        <v/>
      </c>
      <c r="U189" s="119" t="str">
        <f t="shared" si="93"/>
        <v/>
      </c>
      <c r="V189" s="119" t="str">
        <f t="shared" si="94"/>
        <v/>
      </c>
      <c r="W189" s="119" t="str">
        <f t="shared" si="95"/>
        <v/>
      </c>
      <c r="X189" s="119" t="str">
        <f t="shared" si="96"/>
        <v/>
      </c>
      <c r="Y189" s="119" t="str">
        <f t="shared" si="97"/>
        <v/>
      </c>
      <c r="Z189" s="119" t="str">
        <f t="shared" si="98"/>
        <v/>
      </c>
      <c r="AA189" s="119" t="str">
        <f t="shared" si="99"/>
        <v/>
      </c>
      <c r="AB189" s="119" t="str">
        <f t="shared" si="100"/>
        <v/>
      </c>
      <c r="AC189" s="119" t="str">
        <f t="shared" si="101"/>
        <v/>
      </c>
      <c r="AD189" s="119" t="str">
        <f t="shared" si="102"/>
        <v/>
      </c>
      <c r="AG189" s="124">
        <v>0.6</v>
      </c>
      <c r="AH189" s="123">
        <v>2</v>
      </c>
      <c r="AI189" s="123">
        <v>1</v>
      </c>
      <c r="AJ189" s="123"/>
      <c r="AK189" s="123"/>
      <c r="AL189" s="123"/>
      <c r="AM189" s="123"/>
      <c r="AN189" s="123"/>
      <c r="AO189" s="123"/>
      <c r="AP189" s="123"/>
      <c r="AQ189" s="123"/>
      <c r="AR189" s="125"/>
    </row>
    <row r="190" spans="9:44" ht="12" customHeight="1">
      <c r="I190" s="143" t="str">
        <f t="shared" si="114"/>
        <v>Residential Air conditioning Biogas</v>
      </c>
      <c r="J190" s="146" t="s">
        <v>205</v>
      </c>
      <c r="K190" s="143" t="str">
        <f t="shared" si="115"/>
        <v>RES-ACBIGExt</v>
      </c>
      <c r="L190" s="101" t="str">
        <f t="shared" si="116"/>
        <v/>
      </c>
      <c r="P190" s="122" t="str">
        <f t="shared" si="89"/>
        <v/>
      </c>
      <c r="Q190" s="114" t="str">
        <f t="shared" si="85"/>
        <v/>
      </c>
      <c r="R190" s="112" t="str">
        <f t="shared" si="90"/>
        <v/>
      </c>
      <c r="S190" s="119" t="str">
        <f t="shared" si="91"/>
        <v/>
      </c>
      <c r="T190" s="119" t="str">
        <f t="shared" si="92"/>
        <v/>
      </c>
      <c r="U190" s="119" t="str">
        <f t="shared" si="93"/>
        <v/>
      </c>
      <c r="V190" s="119" t="str">
        <f t="shared" si="94"/>
        <v/>
      </c>
      <c r="W190" s="119" t="str">
        <f t="shared" si="95"/>
        <v/>
      </c>
      <c r="X190" s="119" t="str">
        <f t="shared" si="96"/>
        <v/>
      </c>
      <c r="Y190" s="119" t="str">
        <f t="shared" si="97"/>
        <v/>
      </c>
      <c r="Z190" s="119" t="str">
        <f t="shared" si="98"/>
        <v/>
      </c>
      <c r="AA190" s="119" t="str">
        <f t="shared" si="99"/>
        <v/>
      </c>
      <c r="AB190" s="119" t="str">
        <f t="shared" si="100"/>
        <v/>
      </c>
      <c r="AC190" s="119" t="str">
        <f t="shared" si="101"/>
        <v/>
      </c>
      <c r="AD190" s="119" t="str">
        <f t="shared" si="102"/>
        <v/>
      </c>
      <c r="AG190" s="124">
        <v>0.6</v>
      </c>
      <c r="AH190" s="123">
        <v>2</v>
      </c>
      <c r="AI190" s="123">
        <v>1</v>
      </c>
      <c r="AJ190" s="123"/>
      <c r="AK190" s="123"/>
      <c r="AL190" s="123"/>
      <c r="AM190" s="123"/>
      <c r="AN190" s="123"/>
      <c r="AO190" s="123"/>
      <c r="AP190" s="123"/>
      <c r="AQ190" s="123"/>
      <c r="AR190" s="125"/>
    </row>
    <row r="191" spans="9:44" ht="12" customHeight="1">
      <c r="I191" s="143" t="str">
        <f t="shared" si="114"/>
        <v>Residential Air conditioning Wood</v>
      </c>
      <c r="J191" s="146" t="s">
        <v>205</v>
      </c>
      <c r="K191" s="143" t="str">
        <f t="shared" si="115"/>
        <v>RES-ACWODExt</v>
      </c>
      <c r="L191" s="101" t="str">
        <f t="shared" ref="L191:L197" si="117">IF(J191="Yes",K191,"")</f>
        <v/>
      </c>
      <c r="P191" s="122" t="str">
        <f t="shared" si="89"/>
        <v/>
      </c>
      <c r="Q191" s="114" t="str">
        <f t="shared" si="85"/>
        <v/>
      </c>
      <c r="R191" s="112" t="str">
        <f t="shared" si="90"/>
        <v/>
      </c>
      <c r="S191" s="119" t="str">
        <f t="shared" si="91"/>
        <v/>
      </c>
      <c r="T191" s="119" t="str">
        <f t="shared" si="92"/>
        <v/>
      </c>
      <c r="U191" s="119" t="str">
        <f t="shared" si="93"/>
        <v/>
      </c>
      <c r="V191" s="119" t="str">
        <f t="shared" si="94"/>
        <v/>
      </c>
      <c r="W191" s="119" t="str">
        <f t="shared" si="95"/>
        <v/>
      </c>
      <c r="X191" s="119" t="str">
        <f t="shared" si="96"/>
        <v/>
      </c>
      <c r="Y191" s="119" t="str">
        <f t="shared" si="97"/>
        <v/>
      </c>
      <c r="Z191" s="119" t="str">
        <f t="shared" si="98"/>
        <v/>
      </c>
      <c r="AA191" s="119" t="str">
        <f t="shared" si="99"/>
        <v/>
      </c>
      <c r="AB191" s="119" t="str">
        <f t="shared" si="100"/>
        <v/>
      </c>
      <c r="AC191" s="119" t="str">
        <f t="shared" si="101"/>
        <v/>
      </c>
      <c r="AD191" s="119" t="str">
        <f t="shared" si="102"/>
        <v/>
      </c>
      <c r="AG191" s="124">
        <v>0.6</v>
      </c>
      <c r="AH191" s="123">
        <v>2</v>
      </c>
      <c r="AI191" s="123">
        <v>1</v>
      </c>
      <c r="AJ191" s="123"/>
      <c r="AK191" s="123"/>
      <c r="AL191" s="123"/>
      <c r="AM191" s="123"/>
      <c r="AN191" s="123"/>
      <c r="AO191" s="123"/>
      <c r="AP191" s="123"/>
      <c r="AQ191" s="123"/>
      <c r="AR191" s="125"/>
    </row>
    <row r="192" spans="9:44" ht="12" customHeight="1">
      <c r="I192" s="143" t="str">
        <f t="shared" si="114"/>
        <v>Residential Air conditioning Tidal</v>
      </c>
      <c r="J192" s="146" t="s">
        <v>205</v>
      </c>
      <c r="K192" s="143" t="str">
        <f t="shared" si="115"/>
        <v>RES-ACTIDExt</v>
      </c>
      <c r="L192" s="101" t="str">
        <f t="shared" si="117"/>
        <v/>
      </c>
      <c r="P192" s="122" t="str">
        <f t="shared" si="89"/>
        <v/>
      </c>
      <c r="Q192" s="114" t="str">
        <f t="shared" si="85"/>
        <v/>
      </c>
      <c r="R192" s="112" t="str">
        <f t="shared" si="90"/>
        <v/>
      </c>
      <c r="S192" s="119" t="str">
        <f t="shared" si="91"/>
        <v/>
      </c>
      <c r="T192" s="119" t="str">
        <f t="shared" si="92"/>
        <v/>
      </c>
      <c r="U192" s="119" t="str">
        <f t="shared" si="93"/>
        <v/>
      </c>
      <c r="V192" s="119" t="str">
        <f t="shared" si="94"/>
        <v/>
      </c>
      <c r="W192" s="119" t="str">
        <f t="shared" si="95"/>
        <v/>
      </c>
      <c r="X192" s="119" t="str">
        <f t="shared" si="96"/>
        <v/>
      </c>
      <c r="Y192" s="119" t="str">
        <f t="shared" si="97"/>
        <v/>
      </c>
      <c r="Z192" s="119" t="str">
        <f t="shared" si="98"/>
        <v/>
      </c>
      <c r="AA192" s="119" t="str">
        <f t="shared" si="99"/>
        <v/>
      </c>
      <c r="AB192" s="119" t="str">
        <f t="shared" si="100"/>
        <v/>
      </c>
      <c r="AC192" s="119" t="str">
        <f t="shared" si="101"/>
        <v/>
      </c>
      <c r="AD192" s="119" t="str">
        <f t="shared" si="102"/>
        <v/>
      </c>
      <c r="AG192" s="124">
        <v>0.6</v>
      </c>
      <c r="AH192" s="123">
        <v>2</v>
      </c>
      <c r="AI192" s="123">
        <v>1</v>
      </c>
      <c r="AJ192" s="123"/>
      <c r="AK192" s="123"/>
      <c r="AL192" s="123"/>
      <c r="AM192" s="123"/>
      <c r="AN192" s="123"/>
      <c r="AO192" s="123"/>
      <c r="AP192" s="123"/>
      <c r="AQ192" s="123"/>
      <c r="AR192" s="125"/>
    </row>
    <row r="193" spans="9:44" ht="12" customHeight="1">
      <c r="I193" s="143" t="str">
        <f t="shared" si="114"/>
        <v>Residential Air conditioning Electricity</v>
      </c>
      <c r="J193" s="146" t="s">
        <v>198</v>
      </c>
      <c r="K193" s="144" t="str">
        <f t="shared" si="115"/>
        <v>RES-ACELCExt</v>
      </c>
      <c r="L193" s="101" t="str">
        <f t="shared" si="117"/>
        <v>RES-ACELCExt</v>
      </c>
      <c r="P193" s="122" t="str">
        <f t="shared" si="89"/>
        <v>RES-ACELCExt</v>
      </c>
      <c r="Q193" s="114" t="str">
        <f t="shared" ref="Q193:Q245" si="118">IF(J193="yes",LEFT(P193,3)&amp;"-"&amp;MID(P193,7,3),"")</f>
        <v>RES-ELC</v>
      </c>
      <c r="R193" s="112" t="str">
        <f t="shared" si="90"/>
        <v>RES-AC</v>
      </c>
      <c r="S193" s="119">
        <f t="shared" si="91"/>
        <v>0.6</v>
      </c>
      <c r="T193" s="119">
        <f t="shared" si="92"/>
        <v>2</v>
      </c>
      <c r="U193" s="119">
        <f t="shared" si="93"/>
        <v>1</v>
      </c>
      <c r="V193" s="119">
        <f t="shared" si="94"/>
        <v>0</v>
      </c>
      <c r="W193" s="119">
        <f t="shared" si="95"/>
        <v>0</v>
      </c>
      <c r="X193" s="119">
        <f t="shared" si="96"/>
        <v>0</v>
      </c>
      <c r="Y193" s="119">
        <f t="shared" si="97"/>
        <v>0</v>
      </c>
      <c r="Z193" s="119">
        <f t="shared" si="98"/>
        <v>0</v>
      </c>
      <c r="AA193" s="119">
        <f t="shared" si="99"/>
        <v>0</v>
      </c>
      <c r="AB193" s="119">
        <f t="shared" si="100"/>
        <v>0</v>
      </c>
      <c r="AC193" s="119">
        <f t="shared" si="101"/>
        <v>0</v>
      </c>
      <c r="AD193" s="119">
        <f t="shared" si="102"/>
        <v>0</v>
      </c>
      <c r="AG193" s="124">
        <v>0.6</v>
      </c>
      <c r="AH193" s="123">
        <v>2</v>
      </c>
      <c r="AI193" s="123">
        <v>1</v>
      </c>
      <c r="AJ193" s="123"/>
      <c r="AK193" s="123"/>
      <c r="AL193" s="123"/>
      <c r="AM193" s="123"/>
      <c r="AN193" s="123"/>
      <c r="AO193" s="123"/>
      <c r="AP193" s="123"/>
      <c r="AQ193" s="123"/>
      <c r="AR193" s="125"/>
    </row>
    <row r="194" spans="9:44" ht="12" customHeight="1">
      <c r="I194" s="142" t="str">
        <f>$C$129&amp;" "&amp;$E$10&amp;" "&amp;RIGHT(G129,LEN(G129)-FIND(" ",G129))</f>
        <v>Residential Electrical and ICT equipments Coal</v>
      </c>
      <c r="J194" s="145" t="s">
        <v>205</v>
      </c>
      <c r="K194" s="142" t="str">
        <f>$D$129&amp;$F$134&amp;RIGHT(H129,3)&amp;$B$129</f>
        <v>RES-EQCOAExt</v>
      </c>
      <c r="L194" s="101" t="str">
        <f t="shared" si="117"/>
        <v/>
      </c>
      <c r="P194" s="122" t="str">
        <f t="shared" ref="P194:P245" si="119">L194</f>
        <v/>
      </c>
      <c r="Q194" s="114" t="str">
        <f t="shared" si="118"/>
        <v/>
      </c>
      <c r="R194" s="112" t="str">
        <f t="shared" ref="R194:R245" si="120">LEFT(P194,6)</f>
        <v/>
      </c>
      <c r="S194" s="119" t="str">
        <f t="shared" ref="S194:S245" si="121">IF(P194&lt;&gt;"",AG194,"")</f>
        <v/>
      </c>
      <c r="T194" s="119" t="str">
        <f t="shared" ref="T194:T245" si="122">IF(Q194&lt;&gt;"",AH194,"")</f>
        <v/>
      </c>
      <c r="U194" s="119" t="str">
        <f t="shared" ref="U194:U245" si="123">IF(R194&lt;&gt;"",AI194,"")</f>
        <v/>
      </c>
      <c r="V194" s="119" t="str">
        <f t="shared" ref="V194:V245" si="124">IF(S194&lt;&gt;"",AJ194,"")</f>
        <v/>
      </c>
      <c r="W194" s="119" t="str">
        <f t="shared" ref="W194:W245" si="125">IF(T194&lt;&gt;"",AK194,"")</f>
        <v/>
      </c>
      <c r="X194" s="119" t="str">
        <f t="shared" ref="X194:X245" si="126">IF(U194&lt;&gt;"",AL194,"")</f>
        <v/>
      </c>
      <c r="Y194" s="119" t="str">
        <f t="shared" ref="Y194:Y245" si="127">IF(V194&lt;&gt;"",AM194,"")</f>
        <v/>
      </c>
      <c r="Z194" s="119" t="str">
        <f t="shared" ref="Z194:Z245" si="128">IF(W194&lt;&gt;"",AN194,"")</f>
        <v/>
      </c>
      <c r="AA194" s="119" t="str">
        <f t="shared" ref="AA194:AA245" si="129">IF(X194&lt;&gt;"",AO194,"")</f>
        <v/>
      </c>
      <c r="AB194" s="119" t="str">
        <f t="shared" ref="AB194:AB245" si="130">IF(Y194&lt;&gt;"",AP194,"")</f>
        <v/>
      </c>
      <c r="AC194" s="119" t="str">
        <f t="shared" ref="AC194:AC245" si="131">IF(Z194&lt;&gt;"",AQ194,"")</f>
        <v/>
      </c>
      <c r="AD194" s="119" t="str">
        <f t="shared" ref="AD194:AD245" si="132">IF(AA194&lt;&gt;"",AR194,"")</f>
        <v/>
      </c>
      <c r="AG194" s="124">
        <v>0.6</v>
      </c>
      <c r="AH194" s="123">
        <v>2</v>
      </c>
      <c r="AI194" s="123">
        <v>1</v>
      </c>
      <c r="AJ194" s="123"/>
      <c r="AK194" s="123"/>
      <c r="AL194" s="123"/>
      <c r="AM194" s="123"/>
      <c r="AN194" s="123"/>
      <c r="AO194" s="123"/>
      <c r="AP194" s="123"/>
      <c r="AQ194" s="123"/>
      <c r="AR194" s="125"/>
    </row>
    <row r="195" spans="9:44" ht="12" customHeight="1">
      <c r="I195" s="143" t="str">
        <f t="shared" ref="I195:I206" si="133">$C$129&amp;" "&amp;$E$10&amp;" "&amp;RIGHT(G130,LEN(G130)-FIND(" ",G130))</f>
        <v>Residential Electrical and ICT equipments Lignite</v>
      </c>
      <c r="J195" s="146" t="s">
        <v>205</v>
      </c>
      <c r="K195" s="143" t="str">
        <f t="shared" ref="K195:K206" si="134">$D$129&amp;$F$134&amp;RIGHT(H130,3)&amp;$B$129</f>
        <v>RES-EQCOLExt</v>
      </c>
      <c r="L195" s="101" t="str">
        <f t="shared" si="117"/>
        <v/>
      </c>
      <c r="P195" s="122" t="str">
        <f t="shared" si="119"/>
        <v/>
      </c>
      <c r="Q195" s="114" t="str">
        <f t="shared" si="118"/>
        <v/>
      </c>
      <c r="R195" s="112" t="str">
        <f t="shared" si="120"/>
        <v/>
      </c>
      <c r="S195" s="119" t="str">
        <f t="shared" si="121"/>
        <v/>
      </c>
      <c r="T195" s="119" t="str">
        <f t="shared" si="122"/>
        <v/>
      </c>
      <c r="U195" s="119" t="str">
        <f t="shared" si="123"/>
        <v/>
      </c>
      <c r="V195" s="119" t="str">
        <f t="shared" si="124"/>
        <v/>
      </c>
      <c r="W195" s="119" t="str">
        <f t="shared" si="125"/>
        <v/>
      </c>
      <c r="X195" s="119" t="str">
        <f t="shared" si="126"/>
        <v/>
      </c>
      <c r="Y195" s="119" t="str">
        <f t="shared" si="127"/>
        <v/>
      </c>
      <c r="Z195" s="119" t="str">
        <f t="shared" si="128"/>
        <v/>
      </c>
      <c r="AA195" s="119" t="str">
        <f t="shared" si="129"/>
        <v/>
      </c>
      <c r="AB195" s="119" t="str">
        <f t="shared" si="130"/>
        <v/>
      </c>
      <c r="AC195" s="119" t="str">
        <f t="shared" si="131"/>
        <v/>
      </c>
      <c r="AD195" s="119" t="str">
        <f t="shared" si="132"/>
        <v/>
      </c>
      <c r="AG195" s="124">
        <v>0.6</v>
      </c>
      <c r="AH195" s="123">
        <v>2</v>
      </c>
      <c r="AI195" s="123">
        <v>1</v>
      </c>
      <c r="AJ195" s="123"/>
      <c r="AK195" s="123"/>
      <c r="AL195" s="123"/>
      <c r="AM195" s="123"/>
      <c r="AN195" s="123"/>
      <c r="AO195" s="123"/>
      <c r="AP195" s="123"/>
      <c r="AQ195" s="123"/>
      <c r="AR195" s="125"/>
    </row>
    <row r="196" spans="9:44" ht="12" customHeight="1">
      <c r="I196" s="143" t="str">
        <f t="shared" si="133"/>
        <v>Residential Electrical and ICT equipments Crude oil</v>
      </c>
      <c r="J196" s="146" t="s">
        <v>205</v>
      </c>
      <c r="K196" s="143" t="str">
        <f t="shared" si="134"/>
        <v>RES-EQOILExt</v>
      </c>
      <c r="L196" s="101" t="str">
        <f t="shared" si="117"/>
        <v/>
      </c>
      <c r="P196" s="122" t="str">
        <f t="shared" si="119"/>
        <v/>
      </c>
      <c r="Q196" s="114" t="str">
        <f t="shared" si="118"/>
        <v/>
      </c>
      <c r="R196" s="112" t="str">
        <f t="shared" si="120"/>
        <v/>
      </c>
      <c r="S196" s="119" t="str">
        <f t="shared" si="121"/>
        <v/>
      </c>
      <c r="T196" s="119" t="str">
        <f t="shared" si="122"/>
        <v/>
      </c>
      <c r="U196" s="119" t="str">
        <f t="shared" si="123"/>
        <v/>
      </c>
      <c r="V196" s="119" t="str">
        <f t="shared" si="124"/>
        <v/>
      </c>
      <c r="W196" s="119" t="str">
        <f t="shared" si="125"/>
        <v/>
      </c>
      <c r="X196" s="119" t="str">
        <f t="shared" si="126"/>
        <v/>
      </c>
      <c r="Y196" s="119" t="str">
        <f t="shared" si="127"/>
        <v/>
      </c>
      <c r="Z196" s="119" t="str">
        <f t="shared" si="128"/>
        <v/>
      </c>
      <c r="AA196" s="119" t="str">
        <f t="shared" si="129"/>
        <v/>
      </c>
      <c r="AB196" s="119" t="str">
        <f t="shared" si="130"/>
        <v/>
      </c>
      <c r="AC196" s="119" t="str">
        <f t="shared" si="131"/>
        <v/>
      </c>
      <c r="AD196" s="119" t="str">
        <f t="shared" si="132"/>
        <v/>
      </c>
      <c r="AG196" s="124">
        <v>0.6</v>
      </c>
      <c r="AH196" s="123">
        <v>2</v>
      </c>
      <c r="AI196" s="123">
        <v>1</v>
      </c>
      <c r="AJ196" s="123"/>
      <c r="AK196" s="123"/>
      <c r="AL196" s="123"/>
      <c r="AM196" s="123"/>
      <c r="AN196" s="123"/>
      <c r="AO196" s="123"/>
      <c r="AP196" s="123"/>
      <c r="AQ196" s="123"/>
      <c r="AR196" s="125"/>
    </row>
    <row r="197" spans="9:44" ht="12" customHeight="1">
      <c r="I197" s="143" t="str">
        <f t="shared" si="133"/>
        <v>Residential Electrical and ICT equipments Natural Gas</v>
      </c>
      <c r="J197" s="146" t="s">
        <v>205</v>
      </c>
      <c r="K197" s="143" t="str">
        <f t="shared" si="134"/>
        <v>RES-EQNGAExt</v>
      </c>
      <c r="L197" s="101" t="str">
        <f t="shared" si="117"/>
        <v/>
      </c>
      <c r="P197" s="122" t="str">
        <f t="shared" si="119"/>
        <v/>
      </c>
      <c r="Q197" s="114" t="str">
        <f t="shared" si="118"/>
        <v/>
      </c>
      <c r="R197" s="112" t="str">
        <f t="shared" si="120"/>
        <v/>
      </c>
      <c r="S197" s="119" t="str">
        <f t="shared" si="121"/>
        <v/>
      </c>
      <c r="T197" s="119" t="str">
        <f t="shared" si="122"/>
        <v/>
      </c>
      <c r="U197" s="119" t="str">
        <f t="shared" si="123"/>
        <v/>
      </c>
      <c r="V197" s="119" t="str">
        <f t="shared" si="124"/>
        <v/>
      </c>
      <c r="W197" s="119" t="str">
        <f t="shared" si="125"/>
        <v/>
      </c>
      <c r="X197" s="119" t="str">
        <f t="shared" si="126"/>
        <v/>
      </c>
      <c r="Y197" s="119" t="str">
        <f t="shared" si="127"/>
        <v/>
      </c>
      <c r="Z197" s="119" t="str">
        <f t="shared" si="128"/>
        <v/>
      </c>
      <c r="AA197" s="119" t="str">
        <f t="shared" si="129"/>
        <v/>
      </c>
      <c r="AB197" s="119" t="str">
        <f t="shared" si="130"/>
        <v/>
      </c>
      <c r="AC197" s="119" t="str">
        <f t="shared" si="131"/>
        <v/>
      </c>
      <c r="AD197" s="119" t="str">
        <f t="shared" si="132"/>
        <v/>
      </c>
      <c r="AG197" s="124">
        <v>0.6</v>
      </c>
      <c r="AH197" s="123">
        <v>2</v>
      </c>
      <c r="AI197" s="123">
        <v>1</v>
      </c>
      <c r="AJ197" s="123"/>
      <c r="AK197" s="123"/>
      <c r="AL197" s="123"/>
      <c r="AM197" s="123"/>
      <c r="AN197" s="123"/>
      <c r="AO197" s="123"/>
      <c r="AP197" s="123"/>
      <c r="AQ197" s="123"/>
      <c r="AR197" s="125"/>
    </row>
    <row r="198" spans="9:44" ht="12" customHeight="1">
      <c r="I198" s="143" t="str">
        <f t="shared" si="133"/>
        <v>Residential Electrical and ICT equipments Hydro</v>
      </c>
      <c r="J198" s="146" t="s">
        <v>205</v>
      </c>
      <c r="K198" s="143" t="str">
        <f t="shared" si="134"/>
        <v>RES-EQHYDExt</v>
      </c>
      <c r="L198" s="101" t="str">
        <f t="shared" ref="L198:L203" si="135">IF(J198="Yes",K198,"")</f>
        <v/>
      </c>
      <c r="P198" s="122" t="str">
        <f t="shared" si="119"/>
        <v/>
      </c>
      <c r="Q198" s="114" t="str">
        <f t="shared" si="118"/>
        <v/>
      </c>
      <c r="R198" s="112" t="str">
        <f t="shared" si="120"/>
        <v/>
      </c>
      <c r="S198" s="119" t="str">
        <f t="shared" si="121"/>
        <v/>
      </c>
      <c r="T198" s="119" t="str">
        <f t="shared" si="122"/>
        <v/>
      </c>
      <c r="U198" s="119" t="str">
        <f t="shared" si="123"/>
        <v/>
      </c>
      <c r="V198" s="119" t="str">
        <f t="shared" si="124"/>
        <v/>
      </c>
      <c r="W198" s="119" t="str">
        <f t="shared" si="125"/>
        <v/>
      </c>
      <c r="X198" s="119" t="str">
        <f t="shared" si="126"/>
        <v/>
      </c>
      <c r="Y198" s="119" t="str">
        <f t="shared" si="127"/>
        <v/>
      </c>
      <c r="Z198" s="119" t="str">
        <f t="shared" si="128"/>
        <v/>
      </c>
      <c r="AA198" s="119" t="str">
        <f t="shared" si="129"/>
        <v/>
      </c>
      <c r="AB198" s="119" t="str">
        <f t="shared" si="130"/>
        <v/>
      </c>
      <c r="AC198" s="119" t="str">
        <f t="shared" si="131"/>
        <v/>
      </c>
      <c r="AD198" s="119" t="str">
        <f t="shared" si="132"/>
        <v/>
      </c>
      <c r="AG198" s="124">
        <v>0.6</v>
      </c>
      <c r="AH198" s="123">
        <v>2</v>
      </c>
      <c r="AI198" s="123">
        <v>1</v>
      </c>
      <c r="AJ198" s="123"/>
      <c r="AK198" s="123"/>
      <c r="AL198" s="123"/>
      <c r="AM198" s="123"/>
      <c r="AN198" s="123"/>
      <c r="AO198" s="123"/>
      <c r="AP198" s="123"/>
      <c r="AQ198" s="123"/>
      <c r="AR198" s="125"/>
    </row>
    <row r="199" spans="9:44" ht="12" customHeight="1">
      <c r="I199" s="143" t="str">
        <f t="shared" si="133"/>
        <v>Residential Electrical and ICT equipments Geothermal</v>
      </c>
      <c r="J199" s="146" t="s">
        <v>205</v>
      </c>
      <c r="K199" s="143" t="str">
        <f t="shared" si="134"/>
        <v>RES-EQGEOExt</v>
      </c>
      <c r="L199" s="101" t="str">
        <f t="shared" si="135"/>
        <v/>
      </c>
      <c r="P199" s="122" t="str">
        <f t="shared" si="119"/>
        <v/>
      </c>
      <c r="Q199" s="114" t="str">
        <f t="shared" si="118"/>
        <v/>
      </c>
      <c r="R199" s="112" t="str">
        <f t="shared" si="120"/>
        <v/>
      </c>
      <c r="S199" s="119" t="str">
        <f t="shared" si="121"/>
        <v/>
      </c>
      <c r="T199" s="119" t="str">
        <f t="shared" si="122"/>
        <v/>
      </c>
      <c r="U199" s="119" t="str">
        <f t="shared" si="123"/>
        <v/>
      </c>
      <c r="V199" s="119" t="str">
        <f t="shared" si="124"/>
        <v/>
      </c>
      <c r="W199" s="119" t="str">
        <f t="shared" si="125"/>
        <v/>
      </c>
      <c r="X199" s="119" t="str">
        <f t="shared" si="126"/>
        <v/>
      </c>
      <c r="Y199" s="119" t="str">
        <f t="shared" si="127"/>
        <v/>
      </c>
      <c r="Z199" s="119" t="str">
        <f t="shared" si="128"/>
        <v/>
      </c>
      <c r="AA199" s="119" t="str">
        <f t="shared" si="129"/>
        <v/>
      </c>
      <c r="AB199" s="119" t="str">
        <f t="shared" si="130"/>
        <v/>
      </c>
      <c r="AC199" s="119" t="str">
        <f t="shared" si="131"/>
        <v/>
      </c>
      <c r="AD199" s="119" t="str">
        <f t="shared" si="132"/>
        <v/>
      </c>
      <c r="AG199" s="124">
        <v>0.6</v>
      </c>
      <c r="AH199" s="123">
        <v>2</v>
      </c>
      <c r="AI199" s="123">
        <v>1</v>
      </c>
      <c r="AJ199" s="123"/>
      <c r="AK199" s="123"/>
      <c r="AL199" s="123"/>
      <c r="AM199" s="123"/>
      <c r="AN199" s="123"/>
      <c r="AO199" s="123"/>
      <c r="AP199" s="123"/>
      <c r="AQ199" s="123"/>
      <c r="AR199" s="125"/>
    </row>
    <row r="200" spans="9:44" ht="12" customHeight="1">
      <c r="I200" s="143" t="str">
        <f t="shared" si="133"/>
        <v>Residential Electrical and ICT equipments Solar</v>
      </c>
      <c r="J200" s="146" t="s">
        <v>205</v>
      </c>
      <c r="K200" s="143" t="str">
        <f t="shared" si="134"/>
        <v>RES-EQSOLExt</v>
      </c>
      <c r="L200" s="101" t="str">
        <f t="shared" si="135"/>
        <v/>
      </c>
      <c r="P200" s="122" t="str">
        <f t="shared" si="119"/>
        <v/>
      </c>
      <c r="Q200" s="114" t="str">
        <f t="shared" si="118"/>
        <v/>
      </c>
      <c r="R200" s="112" t="str">
        <f t="shared" si="120"/>
        <v/>
      </c>
      <c r="S200" s="119" t="str">
        <f t="shared" si="121"/>
        <v/>
      </c>
      <c r="T200" s="119" t="str">
        <f t="shared" si="122"/>
        <v/>
      </c>
      <c r="U200" s="119" t="str">
        <f t="shared" si="123"/>
        <v/>
      </c>
      <c r="V200" s="119" t="str">
        <f t="shared" si="124"/>
        <v/>
      </c>
      <c r="W200" s="119" t="str">
        <f t="shared" si="125"/>
        <v/>
      </c>
      <c r="X200" s="119" t="str">
        <f t="shared" si="126"/>
        <v/>
      </c>
      <c r="Y200" s="119" t="str">
        <f t="shared" si="127"/>
        <v/>
      </c>
      <c r="Z200" s="119" t="str">
        <f t="shared" si="128"/>
        <v/>
      </c>
      <c r="AA200" s="119" t="str">
        <f t="shared" si="129"/>
        <v/>
      </c>
      <c r="AB200" s="119" t="str">
        <f t="shared" si="130"/>
        <v/>
      </c>
      <c r="AC200" s="119" t="str">
        <f t="shared" si="131"/>
        <v/>
      </c>
      <c r="AD200" s="119" t="str">
        <f t="shared" si="132"/>
        <v/>
      </c>
      <c r="AG200" s="124">
        <v>0.6</v>
      </c>
      <c r="AH200" s="123">
        <v>2</v>
      </c>
      <c r="AI200" s="123">
        <v>1</v>
      </c>
      <c r="AJ200" s="123"/>
      <c r="AK200" s="123"/>
      <c r="AL200" s="123"/>
      <c r="AM200" s="123"/>
      <c r="AN200" s="123"/>
      <c r="AO200" s="123"/>
      <c r="AP200" s="123"/>
      <c r="AQ200" s="123"/>
      <c r="AR200" s="125"/>
    </row>
    <row r="201" spans="9:44" ht="12" customHeight="1">
      <c r="I201" s="143" t="str">
        <f t="shared" si="133"/>
        <v>Residential Electrical and ICT equipments Wind</v>
      </c>
      <c r="J201" s="146" t="s">
        <v>205</v>
      </c>
      <c r="K201" s="143" t="str">
        <f t="shared" si="134"/>
        <v>RES-EQWINExt</v>
      </c>
      <c r="L201" s="101" t="str">
        <f t="shared" si="135"/>
        <v/>
      </c>
      <c r="P201" s="122" t="str">
        <f t="shared" si="119"/>
        <v/>
      </c>
      <c r="Q201" s="114" t="str">
        <f t="shared" si="118"/>
        <v/>
      </c>
      <c r="R201" s="112" t="str">
        <f t="shared" si="120"/>
        <v/>
      </c>
      <c r="S201" s="119" t="str">
        <f t="shared" si="121"/>
        <v/>
      </c>
      <c r="T201" s="119" t="str">
        <f t="shared" si="122"/>
        <v/>
      </c>
      <c r="U201" s="119" t="str">
        <f t="shared" si="123"/>
        <v/>
      </c>
      <c r="V201" s="119" t="str">
        <f t="shared" si="124"/>
        <v/>
      </c>
      <c r="W201" s="119" t="str">
        <f t="shared" si="125"/>
        <v/>
      </c>
      <c r="X201" s="119" t="str">
        <f t="shared" si="126"/>
        <v/>
      </c>
      <c r="Y201" s="119" t="str">
        <f t="shared" si="127"/>
        <v/>
      </c>
      <c r="Z201" s="119" t="str">
        <f t="shared" si="128"/>
        <v/>
      </c>
      <c r="AA201" s="119" t="str">
        <f t="shared" si="129"/>
        <v/>
      </c>
      <c r="AB201" s="119" t="str">
        <f t="shared" si="130"/>
        <v/>
      </c>
      <c r="AC201" s="119" t="str">
        <f t="shared" si="131"/>
        <v/>
      </c>
      <c r="AD201" s="119" t="str">
        <f t="shared" si="132"/>
        <v/>
      </c>
      <c r="AG201" s="124">
        <v>0.6</v>
      </c>
      <c r="AH201" s="123">
        <v>2</v>
      </c>
      <c r="AI201" s="123">
        <v>1</v>
      </c>
      <c r="AJ201" s="123"/>
      <c r="AK201" s="123"/>
      <c r="AL201" s="123"/>
      <c r="AM201" s="123"/>
      <c r="AN201" s="123"/>
      <c r="AO201" s="123"/>
      <c r="AP201" s="123"/>
      <c r="AQ201" s="123"/>
      <c r="AR201" s="125"/>
    </row>
    <row r="202" spans="9:44" ht="12" customHeight="1">
      <c r="I202" s="143" t="str">
        <f t="shared" si="133"/>
        <v>Residential Electrical and ICT equipments Bio Liquids</v>
      </c>
      <c r="J202" s="146" t="s">
        <v>205</v>
      </c>
      <c r="K202" s="143" t="str">
        <f t="shared" si="134"/>
        <v>RES-EQBILExt</v>
      </c>
      <c r="L202" s="101" t="str">
        <f t="shared" si="135"/>
        <v/>
      </c>
      <c r="P202" s="122" t="str">
        <f t="shared" si="119"/>
        <v/>
      </c>
      <c r="Q202" s="114" t="str">
        <f t="shared" si="118"/>
        <v/>
      </c>
      <c r="R202" s="112" t="str">
        <f t="shared" si="120"/>
        <v/>
      </c>
      <c r="S202" s="119" t="str">
        <f t="shared" si="121"/>
        <v/>
      </c>
      <c r="T202" s="119" t="str">
        <f t="shared" si="122"/>
        <v/>
      </c>
      <c r="U202" s="119" t="str">
        <f t="shared" si="123"/>
        <v/>
      </c>
      <c r="V202" s="119" t="str">
        <f t="shared" si="124"/>
        <v/>
      </c>
      <c r="W202" s="119" t="str">
        <f t="shared" si="125"/>
        <v/>
      </c>
      <c r="X202" s="119" t="str">
        <f t="shared" si="126"/>
        <v/>
      </c>
      <c r="Y202" s="119" t="str">
        <f t="shared" si="127"/>
        <v/>
      </c>
      <c r="Z202" s="119" t="str">
        <f t="shared" si="128"/>
        <v/>
      </c>
      <c r="AA202" s="119" t="str">
        <f t="shared" si="129"/>
        <v/>
      </c>
      <c r="AB202" s="119" t="str">
        <f t="shared" si="130"/>
        <v/>
      </c>
      <c r="AC202" s="119" t="str">
        <f t="shared" si="131"/>
        <v/>
      </c>
      <c r="AD202" s="119" t="str">
        <f t="shared" si="132"/>
        <v/>
      </c>
      <c r="AG202" s="124">
        <v>0.6</v>
      </c>
      <c r="AH202" s="123">
        <v>2</v>
      </c>
      <c r="AI202" s="123">
        <v>1</v>
      </c>
      <c r="AJ202" s="123"/>
      <c r="AK202" s="123"/>
      <c r="AL202" s="123"/>
      <c r="AM202" s="123"/>
      <c r="AN202" s="123"/>
      <c r="AO202" s="123"/>
      <c r="AP202" s="123"/>
      <c r="AQ202" s="123"/>
      <c r="AR202" s="125"/>
    </row>
    <row r="203" spans="9:44" ht="12" customHeight="1">
      <c r="I203" s="143" t="str">
        <f t="shared" si="133"/>
        <v>Residential Electrical and ICT equipments Biogas</v>
      </c>
      <c r="J203" s="146" t="s">
        <v>205</v>
      </c>
      <c r="K203" s="143" t="str">
        <f t="shared" si="134"/>
        <v>RES-EQBIGExt</v>
      </c>
      <c r="L203" s="101" t="str">
        <f t="shared" si="135"/>
        <v/>
      </c>
      <c r="P203" s="122" t="str">
        <f t="shared" si="119"/>
        <v/>
      </c>
      <c r="Q203" s="114" t="str">
        <f t="shared" si="118"/>
        <v/>
      </c>
      <c r="R203" s="112" t="str">
        <f t="shared" si="120"/>
        <v/>
      </c>
      <c r="S203" s="119" t="str">
        <f t="shared" si="121"/>
        <v/>
      </c>
      <c r="T203" s="119" t="str">
        <f t="shared" si="122"/>
        <v/>
      </c>
      <c r="U203" s="119" t="str">
        <f t="shared" si="123"/>
        <v/>
      </c>
      <c r="V203" s="119" t="str">
        <f t="shared" si="124"/>
        <v/>
      </c>
      <c r="W203" s="119" t="str">
        <f t="shared" si="125"/>
        <v/>
      </c>
      <c r="X203" s="119" t="str">
        <f t="shared" si="126"/>
        <v/>
      </c>
      <c r="Y203" s="119" t="str">
        <f t="shared" si="127"/>
        <v/>
      </c>
      <c r="Z203" s="119" t="str">
        <f t="shared" si="128"/>
        <v/>
      </c>
      <c r="AA203" s="119" t="str">
        <f t="shared" si="129"/>
        <v/>
      </c>
      <c r="AB203" s="119" t="str">
        <f t="shared" si="130"/>
        <v/>
      </c>
      <c r="AC203" s="119" t="str">
        <f t="shared" si="131"/>
        <v/>
      </c>
      <c r="AD203" s="119" t="str">
        <f t="shared" si="132"/>
        <v/>
      </c>
      <c r="AG203" s="124">
        <v>0.6</v>
      </c>
      <c r="AH203" s="123">
        <v>2</v>
      </c>
      <c r="AI203" s="123">
        <v>1</v>
      </c>
      <c r="AJ203" s="123"/>
      <c r="AK203" s="123"/>
      <c r="AL203" s="123"/>
      <c r="AM203" s="123"/>
      <c r="AN203" s="123"/>
      <c r="AO203" s="123"/>
      <c r="AP203" s="123"/>
      <c r="AQ203" s="123"/>
      <c r="AR203" s="125"/>
    </row>
    <row r="204" spans="9:44" ht="12" customHeight="1">
      <c r="I204" s="143" t="str">
        <f t="shared" si="133"/>
        <v>Residential Electrical and ICT equipments Wood</v>
      </c>
      <c r="J204" s="146" t="s">
        <v>205</v>
      </c>
      <c r="K204" s="143" t="str">
        <f t="shared" si="134"/>
        <v>RES-EQWODExt</v>
      </c>
      <c r="L204" s="101" t="str">
        <f t="shared" ref="L204:L209" si="136">IF(J204="Yes",K204,"")</f>
        <v/>
      </c>
      <c r="P204" s="122" t="str">
        <f t="shared" si="119"/>
        <v/>
      </c>
      <c r="Q204" s="114" t="str">
        <f t="shared" si="118"/>
        <v/>
      </c>
      <c r="R204" s="112" t="str">
        <f t="shared" si="120"/>
        <v/>
      </c>
      <c r="S204" s="119" t="str">
        <f t="shared" si="121"/>
        <v/>
      </c>
      <c r="T204" s="119" t="str">
        <f t="shared" si="122"/>
        <v/>
      </c>
      <c r="U204" s="119" t="str">
        <f t="shared" si="123"/>
        <v/>
      </c>
      <c r="V204" s="119" t="str">
        <f t="shared" si="124"/>
        <v/>
      </c>
      <c r="W204" s="119" t="str">
        <f t="shared" si="125"/>
        <v/>
      </c>
      <c r="X204" s="119" t="str">
        <f t="shared" si="126"/>
        <v/>
      </c>
      <c r="Y204" s="119" t="str">
        <f t="shared" si="127"/>
        <v/>
      </c>
      <c r="Z204" s="119" t="str">
        <f t="shared" si="128"/>
        <v/>
      </c>
      <c r="AA204" s="119" t="str">
        <f t="shared" si="129"/>
        <v/>
      </c>
      <c r="AB204" s="119" t="str">
        <f t="shared" si="130"/>
        <v/>
      </c>
      <c r="AC204" s="119" t="str">
        <f t="shared" si="131"/>
        <v/>
      </c>
      <c r="AD204" s="119" t="str">
        <f t="shared" si="132"/>
        <v/>
      </c>
      <c r="AG204" s="124">
        <v>0.6</v>
      </c>
      <c r="AH204" s="123">
        <v>2</v>
      </c>
      <c r="AI204" s="123">
        <v>1</v>
      </c>
      <c r="AJ204" s="123"/>
      <c r="AK204" s="123"/>
      <c r="AL204" s="123"/>
      <c r="AM204" s="123"/>
      <c r="AN204" s="123"/>
      <c r="AO204" s="123"/>
      <c r="AP204" s="123"/>
      <c r="AQ204" s="123"/>
      <c r="AR204" s="125"/>
    </row>
    <row r="205" spans="9:44" ht="12" customHeight="1">
      <c r="I205" s="143" t="str">
        <f t="shared" si="133"/>
        <v>Residential Electrical and ICT equipments Tidal</v>
      </c>
      <c r="J205" s="146" t="s">
        <v>205</v>
      </c>
      <c r="K205" s="143" t="str">
        <f t="shared" si="134"/>
        <v>RES-EQTIDExt</v>
      </c>
      <c r="L205" s="101" t="str">
        <f t="shared" si="136"/>
        <v/>
      </c>
      <c r="P205" s="122" t="str">
        <f t="shared" si="119"/>
        <v/>
      </c>
      <c r="Q205" s="114" t="str">
        <f t="shared" si="118"/>
        <v/>
      </c>
      <c r="R205" s="112" t="str">
        <f t="shared" si="120"/>
        <v/>
      </c>
      <c r="S205" s="119" t="str">
        <f t="shared" si="121"/>
        <v/>
      </c>
      <c r="T205" s="119" t="str">
        <f t="shared" si="122"/>
        <v/>
      </c>
      <c r="U205" s="119" t="str">
        <f t="shared" si="123"/>
        <v/>
      </c>
      <c r="V205" s="119" t="str">
        <f t="shared" si="124"/>
        <v/>
      </c>
      <c r="W205" s="119" t="str">
        <f t="shared" si="125"/>
        <v/>
      </c>
      <c r="X205" s="119" t="str">
        <f t="shared" si="126"/>
        <v/>
      </c>
      <c r="Y205" s="119" t="str">
        <f t="shared" si="127"/>
        <v/>
      </c>
      <c r="Z205" s="119" t="str">
        <f t="shared" si="128"/>
        <v/>
      </c>
      <c r="AA205" s="119" t="str">
        <f t="shared" si="129"/>
        <v/>
      </c>
      <c r="AB205" s="119" t="str">
        <f t="shared" si="130"/>
        <v/>
      </c>
      <c r="AC205" s="119" t="str">
        <f t="shared" si="131"/>
        <v/>
      </c>
      <c r="AD205" s="119" t="str">
        <f t="shared" si="132"/>
        <v/>
      </c>
      <c r="AG205" s="124">
        <v>0.6</v>
      </c>
      <c r="AH205" s="123">
        <v>2</v>
      </c>
      <c r="AI205" s="123">
        <v>1</v>
      </c>
      <c r="AJ205" s="123"/>
      <c r="AK205" s="123"/>
      <c r="AL205" s="123"/>
      <c r="AM205" s="123"/>
      <c r="AN205" s="123"/>
      <c r="AO205" s="123"/>
      <c r="AP205" s="123"/>
      <c r="AQ205" s="123"/>
      <c r="AR205" s="125"/>
    </row>
    <row r="206" spans="9:44" ht="12" customHeight="1">
      <c r="I206" s="143" t="str">
        <f t="shared" si="133"/>
        <v>Residential Electrical and ICT equipments Electricity</v>
      </c>
      <c r="J206" s="155" t="s">
        <v>206</v>
      </c>
      <c r="K206" s="144" t="str">
        <f t="shared" si="134"/>
        <v>RES-EQELCExt</v>
      </c>
      <c r="L206" s="101" t="str">
        <f t="shared" si="136"/>
        <v>RES-EQELCExt</v>
      </c>
      <c r="P206" s="122" t="str">
        <f t="shared" si="119"/>
        <v>RES-EQELCExt</v>
      </c>
      <c r="Q206" s="114" t="str">
        <f t="shared" si="118"/>
        <v>RES-ELC</v>
      </c>
      <c r="R206" s="112" t="str">
        <f t="shared" si="120"/>
        <v>RES-EQ</v>
      </c>
      <c r="S206" s="119">
        <f t="shared" si="121"/>
        <v>0.6</v>
      </c>
      <c r="T206" s="119">
        <f t="shared" si="122"/>
        <v>2</v>
      </c>
      <c r="U206" s="119">
        <f t="shared" si="123"/>
        <v>1</v>
      </c>
      <c r="V206" s="119">
        <f t="shared" si="124"/>
        <v>0</v>
      </c>
      <c r="W206" s="119">
        <f t="shared" si="125"/>
        <v>0</v>
      </c>
      <c r="X206" s="119">
        <f t="shared" si="126"/>
        <v>0</v>
      </c>
      <c r="Y206" s="119">
        <f t="shared" si="127"/>
        <v>0</v>
      </c>
      <c r="Z206" s="119">
        <f t="shared" si="128"/>
        <v>0</v>
      </c>
      <c r="AA206" s="119">
        <f t="shared" si="129"/>
        <v>0</v>
      </c>
      <c r="AB206" s="119">
        <f t="shared" si="130"/>
        <v>0</v>
      </c>
      <c r="AC206" s="119">
        <f t="shared" si="131"/>
        <v>0</v>
      </c>
      <c r="AD206" s="119">
        <f t="shared" si="132"/>
        <v>0</v>
      </c>
      <c r="AG206" s="124">
        <v>0.6</v>
      </c>
      <c r="AH206" s="123">
        <v>2</v>
      </c>
      <c r="AI206" s="123">
        <v>1</v>
      </c>
      <c r="AJ206" s="123"/>
      <c r="AK206" s="123"/>
      <c r="AL206" s="123"/>
      <c r="AM206" s="123"/>
      <c r="AN206" s="123"/>
      <c r="AO206" s="123"/>
      <c r="AP206" s="123"/>
      <c r="AQ206" s="123"/>
      <c r="AR206" s="125"/>
    </row>
    <row r="207" spans="9:44" ht="12" customHeight="1">
      <c r="I207" s="142" t="str">
        <f>$C$129&amp;" "&amp;$E$11&amp;" "&amp;RIGHT(G129,LEN(G129)-FIND(" ",G129))</f>
        <v>Residential Mechanical drive Coal</v>
      </c>
      <c r="J207" s="146" t="s">
        <v>206</v>
      </c>
      <c r="K207" s="142" t="str">
        <f>$D$129&amp;$F$135&amp;RIGHT(H129,3)&amp;$B$129</f>
        <v>RES-WSCOAExt</v>
      </c>
      <c r="L207" s="101" t="str">
        <f t="shared" si="136"/>
        <v>RES-WSCOAExt</v>
      </c>
      <c r="P207" s="122" t="str">
        <f t="shared" si="119"/>
        <v>RES-WSCOAExt</v>
      </c>
      <c r="Q207" s="114" t="str">
        <f t="shared" si="118"/>
        <v>RES-COA</v>
      </c>
      <c r="R207" s="112" t="str">
        <f t="shared" si="120"/>
        <v>RES-WS</v>
      </c>
      <c r="S207" s="119">
        <f t="shared" si="121"/>
        <v>0.6</v>
      </c>
      <c r="T207" s="119">
        <f t="shared" si="122"/>
        <v>2</v>
      </c>
      <c r="U207" s="119">
        <f t="shared" si="123"/>
        <v>1</v>
      </c>
      <c r="V207" s="119">
        <f t="shared" si="124"/>
        <v>0</v>
      </c>
      <c r="W207" s="119">
        <f t="shared" si="125"/>
        <v>0</v>
      </c>
      <c r="X207" s="119">
        <f t="shared" si="126"/>
        <v>0</v>
      </c>
      <c r="Y207" s="119">
        <f t="shared" si="127"/>
        <v>0</v>
      </c>
      <c r="Z207" s="119">
        <f t="shared" si="128"/>
        <v>0</v>
      </c>
      <c r="AA207" s="119">
        <f t="shared" si="129"/>
        <v>0</v>
      </c>
      <c r="AB207" s="119">
        <f t="shared" si="130"/>
        <v>0</v>
      </c>
      <c r="AC207" s="119">
        <f t="shared" si="131"/>
        <v>0</v>
      </c>
      <c r="AD207" s="119">
        <f t="shared" si="132"/>
        <v>0</v>
      </c>
      <c r="AG207" s="124">
        <v>0.6</v>
      </c>
      <c r="AH207" s="123">
        <v>2</v>
      </c>
      <c r="AI207" s="123">
        <v>1</v>
      </c>
      <c r="AJ207" s="123"/>
      <c r="AK207" s="123"/>
      <c r="AL207" s="123"/>
      <c r="AM207" s="123"/>
      <c r="AN207" s="123"/>
      <c r="AO207" s="123"/>
      <c r="AP207" s="123"/>
      <c r="AQ207" s="123"/>
      <c r="AR207" s="125"/>
    </row>
    <row r="208" spans="9:44" ht="12" customHeight="1">
      <c r="I208" s="143" t="str">
        <f t="shared" ref="I208:I219" si="137">$C$129&amp;" "&amp;$E$11&amp;" "&amp;RIGHT(G130,LEN(G130)-FIND(" ",G130))</f>
        <v>Residential Mechanical drive Lignite</v>
      </c>
      <c r="J208" s="146" t="s">
        <v>206</v>
      </c>
      <c r="K208" s="143" t="str">
        <f t="shared" ref="K208:K219" si="138">$D$129&amp;$F$135&amp;RIGHT(H130,3)&amp;$B$129</f>
        <v>RES-WSCOLExt</v>
      </c>
      <c r="L208" s="101" t="str">
        <f t="shared" si="136"/>
        <v>RES-WSCOLExt</v>
      </c>
      <c r="P208" s="122" t="str">
        <f t="shared" si="119"/>
        <v>RES-WSCOLExt</v>
      </c>
      <c r="Q208" s="114" t="str">
        <f t="shared" si="118"/>
        <v>RES-COL</v>
      </c>
      <c r="R208" s="112" t="str">
        <f t="shared" si="120"/>
        <v>RES-WS</v>
      </c>
      <c r="S208" s="119">
        <f t="shared" si="121"/>
        <v>0.6</v>
      </c>
      <c r="T208" s="119">
        <f t="shared" si="122"/>
        <v>2</v>
      </c>
      <c r="U208" s="119">
        <f t="shared" si="123"/>
        <v>1</v>
      </c>
      <c r="V208" s="119">
        <f t="shared" si="124"/>
        <v>0</v>
      </c>
      <c r="W208" s="119">
        <f t="shared" si="125"/>
        <v>0</v>
      </c>
      <c r="X208" s="119">
        <f t="shared" si="126"/>
        <v>0</v>
      </c>
      <c r="Y208" s="119">
        <f t="shared" si="127"/>
        <v>0</v>
      </c>
      <c r="Z208" s="119">
        <f t="shared" si="128"/>
        <v>0</v>
      </c>
      <c r="AA208" s="119">
        <f t="shared" si="129"/>
        <v>0</v>
      </c>
      <c r="AB208" s="119">
        <f t="shared" si="130"/>
        <v>0</v>
      </c>
      <c r="AC208" s="119">
        <f t="shared" si="131"/>
        <v>0</v>
      </c>
      <c r="AD208" s="119">
        <f t="shared" si="132"/>
        <v>0</v>
      </c>
      <c r="AG208" s="124">
        <v>0.6</v>
      </c>
      <c r="AH208" s="123">
        <v>2</v>
      </c>
      <c r="AI208" s="123">
        <v>1</v>
      </c>
      <c r="AJ208" s="123"/>
      <c r="AK208" s="123"/>
      <c r="AL208" s="123"/>
      <c r="AM208" s="123"/>
      <c r="AN208" s="123"/>
      <c r="AO208" s="123"/>
      <c r="AP208" s="123"/>
      <c r="AQ208" s="123"/>
      <c r="AR208" s="125"/>
    </row>
    <row r="209" spans="9:44" ht="12" customHeight="1">
      <c r="I209" s="143" t="str">
        <f t="shared" si="137"/>
        <v>Residential Mechanical drive Crude oil</v>
      </c>
      <c r="J209" s="146" t="s">
        <v>205</v>
      </c>
      <c r="K209" s="143" t="str">
        <f t="shared" si="138"/>
        <v>RES-WSOILExt</v>
      </c>
      <c r="L209" s="101" t="str">
        <f t="shared" si="136"/>
        <v/>
      </c>
      <c r="P209" s="122" t="str">
        <f t="shared" si="119"/>
        <v/>
      </c>
      <c r="Q209" s="114" t="str">
        <f t="shared" si="118"/>
        <v/>
      </c>
      <c r="R209" s="112" t="str">
        <f t="shared" si="120"/>
        <v/>
      </c>
      <c r="S209" s="119" t="str">
        <f t="shared" si="121"/>
        <v/>
      </c>
      <c r="T209" s="119" t="str">
        <f t="shared" si="122"/>
        <v/>
      </c>
      <c r="U209" s="119" t="str">
        <f t="shared" si="123"/>
        <v/>
      </c>
      <c r="V209" s="119" t="str">
        <f t="shared" si="124"/>
        <v/>
      </c>
      <c r="W209" s="119" t="str">
        <f t="shared" si="125"/>
        <v/>
      </c>
      <c r="X209" s="119" t="str">
        <f t="shared" si="126"/>
        <v/>
      </c>
      <c r="Y209" s="119" t="str">
        <f t="shared" si="127"/>
        <v/>
      </c>
      <c r="Z209" s="119" t="str">
        <f t="shared" si="128"/>
        <v/>
      </c>
      <c r="AA209" s="119" t="str">
        <f t="shared" si="129"/>
        <v/>
      </c>
      <c r="AB209" s="119" t="str">
        <f t="shared" si="130"/>
        <v/>
      </c>
      <c r="AC209" s="119" t="str">
        <f t="shared" si="131"/>
        <v/>
      </c>
      <c r="AD209" s="119" t="str">
        <f t="shared" si="132"/>
        <v/>
      </c>
      <c r="AG209" s="124">
        <v>0.6</v>
      </c>
      <c r="AH209" s="123">
        <v>2</v>
      </c>
      <c r="AI209" s="123">
        <v>1</v>
      </c>
      <c r="AJ209" s="123"/>
      <c r="AK209" s="123"/>
      <c r="AL209" s="123"/>
      <c r="AM209" s="123"/>
      <c r="AN209" s="123"/>
      <c r="AO209" s="123"/>
      <c r="AP209" s="123"/>
      <c r="AQ209" s="123"/>
      <c r="AR209" s="125"/>
    </row>
    <row r="210" spans="9:44" ht="12" customHeight="1">
      <c r="I210" s="143" t="str">
        <f t="shared" si="137"/>
        <v>Residential Mechanical drive Natural Gas</v>
      </c>
      <c r="J210" s="146" t="s">
        <v>206</v>
      </c>
      <c r="K210" s="143" t="str">
        <f t="shared" si="138"/>
        <v>RES-WSNGAExt</v>
      </c>
      <c r="L210" s="101" t="str">
        <f>IF(J210="Yes",K210,"")</f>
        <v>RES-WSNGAExt</v>
      </c>
      <c r="P210" s="122" t="str">
        <f t="shared" si="119"/>
        <v>RES-WSNGAExt</v>
      </c>
      <c r="Q210" s="114" t="str">
        <f t="shared" si="118"/>
        <v>RES-NGA</v>
      </c>
      <c r="R210" s="112" t="str">
        <f t="shared" si="120"/>
        <v>RES-WS</v>
      </c>
      <c r="S210" s="119">
        <f t="shared" si="121"/>
        <v>0.6</v>
      </c>
      <c r="T210" s="119">
        <f t="shared" si="122"/>
        <v>2</v>
      </c>
      <c r="U210" s="119">
        <f t="shared" si="123"/>
        <v>1</v>
      </c>
      <c r="V210" s="119">
        <f t="shared" si="124"/>
        <v>0</v>
      </c>
      <c r="W210" s="119">
        <f t="shared" si="125"/>
        <v>0</v>
      </c>
      <c r="X210" s="119">
        <f t="shared" si="126"/>
        <v>0</v>
      </c>
      <c r="Y210" s="119">
        <f t="shared" si="127"/>
        <v>0</v>
      </c>
      <c r="Z210" s="119">
        <f t="shared" si="128"/>
        <v>0</v>
      </c>
      <c r="AA210" s="119">
        <f t="shared" si="129"/>
        <v>0</v>
      </c>
      <c r="AB210" s="119">
        <f t="shared" si="130"/>
        <v>0</v>
      </c>
      <c r="AC210" s="119">
        <f t="shared" si="131"/>
        <v>0</v>
      </c>
      <c r="AD210" s="119">
        <f t="shared" si="132"/>
        <v>0</v>
      </c>
      <c r="AG210" s="124">
        <v>0.6</v>
      </c>
      <c r="AH210" s="123">
        <v>2</v>
      </c>
      <c r="AI210" s="123">
        <v>1</v>
      </c>
      <c r="AJ210" s="123"/>
      <c r="AK210" s="123"/>
      <c r="AL210" s="123"/>
      <c r="AM210" s="123"/>
      <c r="AN210" s="123"/>
      <c r="AO210" s="123"/>
      <c r="AP210" s="123"/>
      <c r="AQ210" s="123"/>
      <c r="AR210" s="125"/>
    </row>
    <row r="211" spans="9:44" ht="12" customHeight="1">
      <c r="I211" s="143" t="str">
        <f t="shared" si="137"/>
        <v>Residential Mechanical drive Hydro</v>
      </c>
      <c r="J211" s="146" t="s">
        <v>206</v>
      </c>
      <c r="K211" s="143" t="str">
        <f t="shared" si="138"/>
        <v>RES-WSHYDExt</v>
      </c>
      <c r="L211" s="101" t="str">
        <f>IF(J211="Yes",K211,"")</f>
        <v>RES-WSHYDExt</v>
      </c>
      <c r="P211" s="122" t="str">
        <f t="shared" si="119"/>
        <v>RES-WSHYDExt</v>
      </c>
      <c r="Q211" s="114" t="str">
        <f t="shared" si="118"/>
        <v>RES-HYD</v>
      </c>
      <c r="R211" s="112" t="str">
        <f t="shared" si="120"/>
        <v>RES-WS</v>
      </c>
      <c r="S211" s="119">
        <f t="shared" si="121"/>
        <v>0.6</v>
      </c>
      <c r="T211" s="119">
        <f t="shared" si="122"/>
        <v>2</v>
      </c>
      <c r="U211" s="119">
        <f t="shared" si="123"/>
        <v>1</v>
      </c>
      <c r="V211" s="119">
        <f t="shared" si="124"/>
        <v>0</v>
      </c>
      <c r="W211" s="119">
        <f t="shared" si="125"/>
        <v>0</v>
      </c>
      <c r="X211" s="119">
        <f t="shared" si="126"/>
        <v>0</v>
      </c>
      <c r="Y211" s="119">
        <f t="shared" si="127"/>
        <v>0</v>
      </c>
      <c r="Z211" s="119">
        <f t="shared" si="128"/>
        <v>0</v>
      </c>
      <c r="AA211" s="119">
        <f t="shared" si="129"/>
        <v>0</v>
      </c>
      <c r="AB211" s="119">
        <f t="shared" si="130"/>
        <v>0</v>
      </c>
      <c r="AC211" s="119">
        <f t="shared" si="131"/>
        <v>0</v>
      </c>
      <c r="AD211" s="119">
        <f t="shared" si="132"/>
        <v>0</v>
      </c>
      <c r="AG211" s="124">
        <v>0.6</v>
      </c>
      <c r="AH211" s="123">
        <v>2</v>
      </c>
      <c r="AI211" s="123">
        <v>1</v>
      </c>
      <c r="AJ211" s="123"/>
      <c r="AK211" s="123"/>
      <c r="AL211" s="123"/>
      <c r="AM211" s="123"/>
      <c r="AN211" s="123"/>
      <c r="AO211" s="123"/>
      <c r="AP211" s="123"/>
      <c r="AQ211" s="123"/>
      <c r="AR211" s="125"/>
    </row>
    <row r="212" spans="9:44" ht="12" customHeight="1">
      <c r="I212" s="143" t="str">
        <f t="shared" si="137"/>
        <v>Residential Mechanical drive Geothermal</v>
      </c>
      <c r="J212" s="146" t="s">
        <v>206</v>
      </c>
      <c r="K212" s="143" t="str">
        <f t="shared" si="138"/>
        <v>RES-WSGEOExt</v>
      </c>
      <c r="L212" s="101" t="str">
        <f>IF(J212="Yes",K212,"")</f>
        <v>RES-WSGEOExt</v>
      </c>
      <c r="P212" s="122" t="str">
        <f t="shared" si="119"/>
        <v>RES-WSGEOExt</v>
      </c>
      <c r="Q212" s="114" t="str">
        <f t="shared" si="118"/>
        <v>RES-GEO</v>
      </c>
      <c r="R212" s="112" t="str">
        <f t="shared" si="120"/>
        <v>RES-WS</v>
      </c>
      <c r="S212" s="119">
        <f t="shared" si="121"/>
        <v>0.6</v>
      </c>
      <c r="T212" s="119">
        <f t="shared" si="122"/>
        <v>2</v>
      </c>
      <c r="U212" s="119">
        <f t="shared" si="123"/>
        <v>1</v>
      </c>
      <c r="V212" s="119">
        <f t="shared" si="124"/>
        <v>0</v>
      </c>
      <c r="W212" s="119">
        <f t="shared" si="125"/>
        <v>0</v>
      </c>
      <c r="X212" s="119">
        <f t="shared" si="126"/>
        <v>0</v>
      </c>
      <c r="Y212" s="119">
        <f t="shared" si="127"/>
        <v>0</v>
      </c>
      <c r="Z212" s="119">
        <f t="shared" si="128"/>
        <v>0</v>
      </c>
      <c r="AA212" s="119">
        <f t="shared" si="129"/>
        <v>0</v>
      </c>
      <c r="AB212" s="119">
        <f t="shared" si="130"/>
        <v>0</v>
      </c>
      <c r="AC212" s="119">
        <f t="shared" si="131"/>
        <v>0</v>
      </c>
      <c r="AD212" s="119">
        <f t="shared" si="132"/>
        <v>0</v>
      </c>
      <c r="AG212" s="124">
        <v>0.6</v>
      </c>
      <c r="AH212" s="123">
        <v>2</v>
      </c>
      <c r="AI212" s="123">
        <v>1</v>
      </c>
      <c r="AJ212" s="123"/>
      <c r="AK212" s="123"/>
      <c r="AL212" s="123"/>
      <c r="AM212" s="123"/>
      <c r="AN212" s="123"/>
      <c r="AO212" s="123"/>
      <c r="AP212" s="123"/>
      <c r="AQ212" s="123"/>
      <c r="AR212" s="125"/>
    </row>
    <row r="213" spans="9:44" ht="12" customHeight="1">
      <c r="I213" s="143" t="str">
        <f t="shared" si="137"/>
        <v>Residential Mechanical drive Solar</v>
      </c>
      <c r="J213" s="146" t="s">
        <v>205</v>
      </c>
      <c r="K213" s="143" t="str">
        <f t="shared" si="138"/>
        <v>RES-WSSOLExt</v>
      </c>
      <c r="L213" s="101" t="str">
        <f>IF(J213="Yes",K213,"")</f>
        <v/>
      </c>
      <c r="P213" s="122" t="str">
        <f t="shared" si="119"/>
        <v/>
      </c>
      <c r="Q213" s="114" t="str">
        <f t="shared" si="118"/>
        <v/>
      </c>
      <c r="R213" s="112" t="str">
        <f t="shared" si="120"/>
        <v/>
      </c>
      <c r="S213" s="119" t="str">
        <f t="shared" si="121"/>
        <v/>
      </c>
      <c r="T213" s="119" t="str">
        <f t="shared" si="122"/>
        <v/>
      </c>
      <c r="U213" s="119" t="str">
        <f t="shared" si="123"/>
        <v/>
      </c>
      <c r="V213" s="119" t="str">
        <f t="shared" si="124"/>
        <v/>
      </c>
      <c r="W213" s="119" t="str">
        <f t="shared" si="125"/>
        <v/>
      </c>
      <c r="X213" s="119" t="str">
        <f t="shared" si="126"/>
        <v/>
      </c>
      <c r="Y213" s="119" t="str">
        <f t="shared" si="127"/>
        <v/>
      </c>
      <c r="Z213" s="119" t="str">
        <f t="shared" si="128"/>
        <v/>
      </c>
      <c r="AA213" s="119" t="str">
        <f t="shared" si="129"/>
        <v/>
      </c>
      <c r="AB213" s="119" t="str">
        <f t="shared" si="130"/>
        <v/>
      </c>
      <c r="AC213" s="119" t="str">
        <f t="shared" si="131"/>
        <v/>
      </c>
      <c r="AD213" s="119" t="str">
        <f t="shared" si="132"/>
        <v/>
      </c>
      <c r="AG213" s="124">
        <v>0.6</v>
      </c>
      <c r="AH213" s="123">
        <v>2</v>
      </c>
      <c r="AI213" s="123">
        <v>1</v>
      </c>
      <c r="AJ213" s="123"/>
      <c r="AK213" s="123"/>
      <c r="AL213" s="123"/>
      <c r="AM213" s="123"/>
      <c r="AN213" s="123"/>
      <c r="AO213" s="123"/>
      <c r="AP213" s="123"/>
      <c r="AQ213" s="123"/>
      <c r="AR213" s="125"/>
    </row>
    <row r="214" spans="9:44" ht="12" customHeight="1">
      <c r="I214" s="143" t="str">
        <f t="shared" si="137"/>
        <v>Residential Mechanical drive Wind</v>
      </c>
      <c r="J214" s="146" t="s">
        <v>205</v>
      </c>
      <c r="K214" s="143" t="str">
        <f t="shared" si="138"/>
        <v>RES-WSWINExt</v>
      </c>
      <c r="L214" s="101" t="str">
        <f>IF(J214="Yes",K214,"")</f>
        <v/>
      </c>
      <c r="P214" s="122" t="str">
        <f t="shared" si="119"/>
        <v/>
      </c>
      <c r="Q214" s="114" t="str">
        <f t="shared" si="118"/>
        <v/>
      </c>
      <c r="R214" s="112" t="str">
        <f t="shared" si="120"/>
        <v/>
      </c>
      <c r="S214" s="119" t="str">
        <f t="shared" si="121"/>
        <v/>
      </c>
      <c r="T214" s="119" t="str">
        <f t="shared" si="122"/>
        <v/>
      </c>
      <c r="U214" s="119" t="str">
        <f t="shared" si="123"/>
        <v/>
      </c>
      <c r="V214" s="119" t="str">
        <f t="shared" si="124"/>
        <v/>
      </c>
      <c r="W214" s="119" t="str">
        <f t="shared" si="125"/>
        <v/>
      </c>
      <c r="X214" s="119" t="str">
        <f t="shared" si="126"/>
        <v/>
      </c>
      <c r="Y214" s="119" t="str">
        <f t="shared" si="127"/>
        <v/>
      </c>
      <c r="Z214" s="119" t="str">
        <f t="shared" si="128"/>
        <v/>
      </c>
      <c r="AA214" s="119" t="str">
        <f t="shared" si="129"/>
        <v/>
      </c>
      <c r="AB214" s="119" t="str">
        <f t="shared" si="130"/>
        <v/>
      </c>
      <c r="AC214" s="119" t="str">
        <f t="shared" si="131"/>
        <v/>
      </c>
      <c r="AD214" s="119" t="str">
        <f t="shared" si="132"/>
        <v/>
      </c>
      <c r="AG214" s="124">
        <v>0.6</v>
      </c>
      <c r="AH214" s="123">
        <v>2</v>
      </c>
      <c r="AI214" s="123">
        <v>1</v>
      </c>
      <c r="AJ214" s="123"/>
      <c r="AK214" s="123"/>
      <c r="AL214" s="123"/>
      <c r="AM214" s="123"/>
      <c r="AN214" s="123"/>
      <c r="AO214" s="123"/>
      <c r="AP214" s="123"/>
      <c r="AQ214" s="123"/>
      <c r="AR214" s="125"/>
    </row>
    <row r="215" spans="9:44" ht="12" customHeight="1">
      <c r="I215" s="143" t="str">
        <f t="shared" si="137"/>
        <v>Residential Mechanical drive Bio Liquids</v>
      </c>
      <c r="J215" s="146" t="s">
        <v>205</v>
      </c>
      <c r="K215" s="143" t="str">
        <f t="shared" si="138"/>
        <v>RES-WSBILExt</v>
      </c>
      <c r="L215" s="101" t="str">
        <f t="shared" ref="L215:L218" si="139">IF(J215="Yes",K215,"")</f>
        <v/>
      </c>
      <c r="P215" s="122" t="str">
        <f t="shared" si="119"/>
        <v/>
      </c>
      <c r="Q215" s="114" t="str">
        <f t="shared" si="118"/>
        <v/>
      </c>
      <c r="R215" s="112" t="str">
        <f t="shared" si="120"/>
        <v/>
      </c>
      <c r="S215" s="119" t="str">
        <f t="shared" si="121"/>
        <v/>
      </c>
      <c r="T215" s="119" t="str">
        <f t="shared" si="122"/>
        <v/>
      </c>
      <c r="U215" s="119" t="str">
        <f t="shared" si="123"/>
        <v/>
      </c>
      <c r="V215" s="119" t="str">
        <f t="shared" si="124"/>
        <v/>
      </c>
      <c r="W215" s="119" t="str">
        <f t="shared" si="125"/>
        <v/>
      </c>
      <c r="X215" s="119" t="str">
        <f t="shared" si="126"/>
        <v/>
      </c>
      <c r="Y215" s="119" t="str">
        <f t="shared" si="127"/>
        <v/>
      </c>
      <c r="Z215" s="119" t="str">
        <f t="shared" si="128"/>
        <v/>
      </c>
      <c r="AA215" s="119" t="str">
        <f t="shared" si="129"/>
        <v/>
      </c>
      <c r="AB215" s="119" t="str">
        <f t="shared" si="130"/>
        <v/>
      </c>
      <c r="AC215" s="119" t="str">
        <f t="shared" si="131"/>
        <v/>
      </c>
      <c r="AD215" s="119" t="str">
        <f t="shared" si="132"/>
        <v/>
      </c>
      <c r="AG215" s="124">
        <v>0.6</v>
      </c>
      <c r="AH215" s="123">
        <v>2</v>
      </c>
      <c r="AI215" s="123">
        <v>1</v>
      </c>
      <c r="AJ215" s="123"/>
      <c r="AK215" s="123"/>
      <c r="AL215" s="123"/>
      <c r="AM215" s="123"/>
      <c r="AN215" s="123"/>
      <c r="AO215" s="123"/>
      <c r="AP215" s="123"/>
      <c r="AQ215" s="123"/>
      <c r="AR215" s="125"/>
    </row>
    <row r="216" spans="9:44" ht="12" customHeight="1">
      <c r="I216" s="143" t="str">
        <f t="shared" si="137"/>
        <v>Residential Mechanical drive Biogas</v>
      </c>
      <c r="J216" s="146" t="s">
        <v>205</v>
      </c>
      <c r="K216" s="143" t="str">
        <f t="shared" si="138"/>
        <v>RES-WSBIGExt</v>
      </c>
      <c r="L216" s="101" t="str">
        <f t="shared" si="139"/>
        <v/>
      </c>
      <c r="P216" s="122" t="str">
        <f t="shared" si="119"/>
        <v/>
      </c>
      <c r="Q216" s="114" t="str">
        <f t="shared" si="118"/>
        <v/>
      </c>
      <c r="R216" s="112" t="str">
        <f t="shared" si="120"/>
        <v/>
      </c>
      <c r="S216" s="119" t="str">
        <f t="shared" si="121"/>
        <v/>
      </c>
      <c r="T216" s="119" t="str">
        <f t="shared" si="122"/>
        <v/>
      </c>
      <c r="U216" s="119" t="str">
        <f t="shared" si="123"/>
        <v/>
      </c>
      <c r="V216" s="119" t="str">
        <f t="shared" si="124"/>
        <v/>
      </c>
      <c r="W216" s="119" t="str">
        <f t="shared" si="125"/>
        <v/>
      </c>
      <c r="X216" s="119" t="str">
        <f t="shared" si="126"/>
        <v/>
      </c>
      <c r="Y216" s="119" t="str">
        <f t="shared" si="127"/>
        <v/>
      </c>
      <c r="Z216" s="119" t="str">
        <f t="shared" si="128"/>
        <v/>
      </c>
      <c r="AA216" s="119" t="str">
        <f t="shared" si="129"/>
        <v/>
      </c>
      <c r="AB216" s="119" t="str">
        <f t="shared" si="130"/>
        <v/>
      </c>
      <c r="AC216" s="119" t="str">
        <f t="shared" si="131"/>
        <v/>
      </c>
      <c r="AD216" s="119" t="str">
        <f t="shared" si="132"/>
        <v/>
      </c>
      <c r="AG216" s="124">
        <v>0.6</v>
      </c>
      <c r="AH216" s="123">
        <v>2</v>
      </c>
      <c r="AI216" s="123">
        <v>1</v>
      </c>
      <c r="AJ216" s="123"/>
      <c r="AK216" s="123"/>
      <c r="AL216" s="123"/>
      <c r="AM216" s="123"/>
      <c r="AN216" s="123"/>
      <c r="AO216" s="123"/>
      <c r="AP216" s="123"/>
      <c r="AQ216" s="123"/>
      <c r="AR216" s="125"/>
    </row>
    <row r="217" spans="9:44" ht="12" customHeight="1">
      <c r="I217" s="143" t="str">
        <f t="shared" si="137"/>
        <v>Residential Mechanical drive Wood</v>
      </c>
      <c r="J217" s="146" t="s">
        <v>205</v>
      </c>
      <c r="K217" s="143" t="str">
        <f t="shared" si="138"/>
        <v>RES-WSWODExt</v>
      </c>
      <c r="L217" s="101" t="str">
        <f t="shared" si="139"/>
        <v/>
      </c>
      <c r="P217" s="122" t="str">
        <f t="shared" si="119"/>
        <v/>
      </c>
      <c r="Q217" s="114" t="str">
        <f t="shared" si="118"/>
        <v/>
      </c>
      <c r="R217" s="112" t="str">
        <f t="shared" si="120"/>
        <v/>
      </c>
      <c r="S217" s="119" t="str">
        <f t="shared" si="121"/>
        <v/>
      </c>
      <c r="T217" s="119" t="str">
        <f t="shared" si="122"/>
        <v/>
      </c>
      <c r="U217" s="119" t="str">
        <f t="shared" si="123"/>
        <v/>
      </c>
      <c r="V217" s="119" t="str">
        <f t="shared" si="124"/>
        <v/>
      </c>
      <c r="W217" s="119" t="str">
        <f t="shared" si="125"/>
        <v/>
      </c>
      <c r="X217" s="119" t="str">
        <f t="shared" si="126"/>
        <v/>
      </c>
      <c r="Y217" s="119" t="str">
        <f t="shared" si="127"/>
        <v/>
      </c>
      <c r="Z217" s="119" t="str">
        <f t="shared" si="128"/>
        <v/>
      </c>
      <c r="AA217" s="119" t="str">
        <f t="shared" si="129"/>
        <v/>
      </c>
      <c r="AB217" s="119" t="str">
        <f t="shared" si="130"/>
        <v/>
      </c>
      <c r="AC217" s="119" t="str">
        <f t="shared" si="131"/>
        <v/>
      </c>
      <c r="AD217" s="119" t="str">
        <f t="shared" si="132"/>
        <v/>
      </c>
      <c r="AG217" s="124">
        <v>0.6</v>
      </c>
      <c r="AH217" s="123">
        <v>2</v>
      </c>
      <c r="AI217" s="123">
        <v>1</v>
      </c>
      <c r="AJ217" s="123"/>
      <c r="AK217" s="123"/>
      <c r="AL217" s="123"/>
      <c r="AM217" s="123"/>
      <c r="AN217" s="123"/>
      <c r="AO217" s="123"/>
      <c r="AP217" s="123"/>
      <c r="AQ217" s="123"/>
      <c r="AR217" s="125"/>
    </row>
    <row r="218" spans="9:44" ht="12" customHeight="1">
      <c r="I218" s="143" t="str">
        <f t="shared" si="137"/>
        <v>Residential Mechanical drive Tidal</v>
      </c>
      <c r="J218" s="146" t="s">
        <v>205</v>
      </c>
      <c r="K218" s="143" t="str">
        <f t="shared" si="138"/>
        <v>RES-WSTIDExt</v>
      </c>
      <c r="L218" s="101" t="str">
        <f t="shared" si="139"/>
        <v/>
      </c>
      <c r="P218" s="122" t="str">
        <f t="shared" si="119"/>
        <v/>
      </c>
      <c r="Q218" s="114" t="str">
        <f t="shared" si="118"/>
        <v/>
      </c>
      <c r="R218" s="112" t="str">
        <f t="shared" si="120"/>
        <v/>
      </c>
      <c r="S218" s="119" t="str">
        <f t="shared" si="121"/>
        <v/>
      </c>
      <c r="T218" s="119" t="str">
        <f t="shared" si="122"/>
        <v/>
      </c>
      <c r="U218" s="119" t="str">
        <f t="shared" si="123"/>
        <v/>
      </c>
      <c r="V218" s="119" t="str">
        <f t="shared" si="124"/>
        <v/>
      </c>
      <c r="W218" s="119" t="str">
        <f t="shared" si="125"/>
        <v/>
      </c>
      <c r="X218" s="119" t="str">
        <f t="shared" si="126"/>
        <v/>
      </c>
      <c r="Y218" s="119" t="str">
        <f t="shared" si="127"/>
        <v/>
      </c>
      <c r="Z218" s="119" t="str">
        <f t="shared" si="128"/>
        <v/>
      </c>
      <c r="AA218" s="119" t="str">
        <f t="shared" si="129"/>
        <v/>
      </c>
      <c r="AB218" s="119" t="str">
        <f t="shared" si="130"/>
        <v/>
      </c>
      <c r="AC218" s="119" t="str">
        <f t="shared" si="131"/>
        <v/>
      </c>
      <c r="AD218" s="119" t="str">
        <f t="shared" si="132"/>
        <v/>
      </c>
      <c r="AG218" s="124">
        <v>0.6</v>
      </c>
      <c r="AH218" s="123">
        <v>2</v>
      </c>
      <c r="AI218" s="123">
        <v>1</v>
      </c>
      <c r="AJ218" s="123"/>
      <c r="AK218" s="123"/>
      <c r="AL218" s="123"/>
      <c r="AM218" s="123"/>
      <c r="AN218" s="123"/>
      <c r="AO218" s="123"/>
      <c r="AP218" s="123"/>
      <c r="AQ218" s="123"/>
      <c r="AR218" s="125"/>
    </row>
    <row r="219" spans="9:44" ht="12" customHeight="1">
      <c r="I219" s="143" t="str">
        <f t="shared" si="137"/>
        <v>Residential Mechanical drive Electricity</v>
      </c>
      <c r="J219" s="146" t="s">
        <v>206</v>
      </c>
      <c r="K219" s="144" t="str">
        <f t="shared" si="138"/>
        <v>RES-WSELCExt</v>
      </c>
      <c r="L219" s="101" t="str">
        <f>IF(J219="Yes",K219,"")</f>
        <v>RES-WSELCExt</v>
      </c>
      <c r="P219" s="122" t="str">
        <f t="shared" si="119"/>
        <v>RES-WSELCExt</v>
      </c>
      <c r="Q219" s="114" t="str">
        <f t="shared" si="118"/>
        <v>RES-ELC</v>
      </c>
      <c r="R219" s="112" t="str">
        <f t="shared" si="120"/>
        <v>RES-WS</v>
      </c>
      <c r="S219" s="119">
        <f t="shared" si="121"/>
        <v>0.6</v>
      </c>
      <c r="T219" s="119">
        <f t="shared" si="122"/>
        <v>2</v>
      </c>
      <c r="U219" s="119">
        <f t="shared" si="123"/>
        <v>1</v>
      </c>
      <c r="V219" s="119">
        <f t="shared" si="124"/>
        <v>0</v>
      </c>
      <c r="W219" s="119">
        <f t="shared" si="125"/>
        <v>0</v>
      </c>
      <c r="X219" s="119">
        <f t="shared" si="126"/>
        <v>0</v>
      </c>
      <c r="Y219" s="119">
        <f t="shared" si="127"/>
        <v>0</v>
      </c>
      <c r="Z219" s="119">
        <f t="shared" si="128"/>
        <v>0</v>
      </c>
      <c r="AA219" s="119">
        <f t="shared" si="129"/>
        <v>0</v>
      </c>
      <c r="AB219" s="119">
        <f t="shared" si="130"/>
        <v>0</v>
      </c>
      <c r="AC219" s="119">
        <f t="shared" si="131"/>
        <v>0</v>
      </c>
      <c r="AD219" s="119">
        <f t="shared" si="132"/>
        <v>0</v>
      </c>
      <c r="AG219" s="124">
        <v>0.6</v>
      </c>
      <c r="AH219" s="123">
        <v>2</v>
      </c>
      <c r="AI219" s="123">
        <v>1</v>
      </c>
      <c r="AJ219" s="123"/>
      <c r="AK219" s="123"/>
      <c r="AL219" s="123"/>
      <c r="AM219" s="123"/>
      <c r="AN219" s="123"/>
      <c r="AO219" s="123"/>
      <c r="AP219" s="123"/>
      <c r="AQ219" s="123"/>
      <c r="AR219" s="125"/>
    </row>
    <row r="220" spans="9:44" ht="12" customHeight="1">
      <c r="I220" s="142" t="str">
        <f>$C$129&amp;" "&amp;$E$12&amp;" "&amp;RIGHT(G129,LEN(G129)-FIND(" ",G129))</f>
        <v>Residential Internal transport and others Coal</v>
      </c>
      <c r="J220" s="145" t="s">
        <v>205</v>
      </c>
      <c r="K220" s="142" t="str">
        <f>$D$129&amp;$F$136&amp;RIGHT(H129,3)&amp;$B$129</f>
        <v>RES-OTCOAExt</v>
      </c>
      <c r="L220" s="101" t="str">
        <f t="shared" ref="L220:L244" si="140">IF(J220="Yes",K220,"")</f>
        <v/>
      </c>
      <c r="P220" s="122" t="str">
        <f t="shared" si="119"/>
        <v/>
      </c>
      <c r="Q220" s="114" t="str">
        <f t="shared" si="118"/>
        <v/>
      </c>
      <c r="R220" s="112" t="str">
        <f t="shared" si="120"/>
        <v/>
      </c>
      <c r="S220" s="119" t="str">
        <f t="shared" si="121"/>
        <v/>
      </c>
      <c r="T220" s="119" t="str">
        <f t="shared" si="122"/>
        <v/>
      </c>
      <c r="U220" s="119" t="str">
        <f t="shared" si="123"/>
        <v/>
      </c>
      <c r="V220" s="119" t="str">
        <f t="shared" si="124"/>
        <v/>
      </c>
      <c r="W220" s="119" t="str">
        <f t="shared" si="125"/>
        <v/>
      </c>
      <c r="X220" s="119" t="str">
        <f t="shared" si="126"/>
        <v/>
      </c>
      <c r="Y220" s="119" t="str">
        <f t="shared" si="127"/>
        <v/>
      </c>
      <c r="Z220" s="119" t="str">
        <f t="shared" si="128"/>
        <v/>
      </c>
      <c r="AA220" s="119" t="str">
        <f t="shared" si="129"/>
        <v/>
      </c>
      <c r="AB220" s="119" t="str">
        <f t="shared" si="130"/>
        <v/>
      </c>
      <c r="AC220" s="119" t="str">
        <f t="shared" si="131"/>
        <v/>
      </c>
      <c r="AD220" s="119" t="str">
        <f t="shared" si="132"/>
        <v/>
      </c>
      <c r="AG220" s="124">
        <v>0.6</v>
      </c>
      <c r="AH220" s="123">
        <v>2</v>
      </c>
      <c r="AI220" s="123">
        <v>1</v>
      </c>
      <c r="AJ220" s="123"/>
      <c r="AK220" s="123"/>
      <c r="AL220" s="123"/>
      <c r="AM220" s="123"/>
      <c r="AN220" s="123"/>
      <c r="AO220" s="123"/>
      <c r="AP220" s="123"/>
      <c r="AQ220" s="123"/>
      <c r="AR220" s="125"/>
    </row>
    <row r="221" spans="9:44" ht="12" customHeight="1">
      <c r="I221" s="143" t="str">
        <f t="shared" ref="I221:I232" si="141">$C$129&amp;" "&amp;$E$12&amp;" "&amp;RIGHT(G130,LEN(G130)-FIND(" ",G130))</f>
        <v>Residential Internal transport and others Lignite</v>
      </c>
      <c r="J221" s="146" t="s">
        <v>205</v>
      </c>
      <c r="K221" s="143" t="str">
        <f t="shared" ref="K221:K232" si="142">$D$129&amp;$F$136&amp;RIGHT(H130,3)&amp;$B$129</f>
        <v>RES-OTCOLExt</v>
      </c>
      <c r="L221" s="101" t="str">
        <f t="shared" si="140"/>
        <v/>
      </c>
      <c r="P221" s="122" t="str">
        <f t="shared" si="119"/>
        <v/>
      </c>
      <c r="Q221" s="114" t="str">
        <f t="shared" si="118"/>
        <v/>
      </c>
      <c r="R221" s="112" t="str">
        <f t="shared" si="120"/>
        <v/>
      </c>
      <c r="S221" s="119" t="str">
        <f t="shared" si="121"/>
        <v/>
      </c>
      <c r="T221" s="119" t="str">
        <f t="shared" si="122"/>
        <v/>
      </c>
      <c r="U221" s="119" t="str">
        <f t="shared" si="123"/>
        <v/>
      </c>
      <c r="V221" s="119" t="str">
        <f t="shared" si="124"/>
        <v/>
      </c>
      <c r="W221" s="119" t="str">
        <f t="shared" si="125"/>
        <v/>
      </c>
      <c r="X221" s="119" t="str">
        <f t="shared" si="126"/>
        <v/>
      </c>
      <c r="Y221" s="119" t="str">
        <f t="shared" si="127"/>
        <v/>
      </c>
      <c r="Z221" s="119" t="str">
        <f t="shared" si="128"/>
        <v/>
      </c>
      <c r="AA221" s="119" t="str">
        <f t="shared" si="129"/>
        <v/>
      </c>
      <c r="AB221" s="119" t="str">
        <f t="shared" si="130"/>
        <v/>
      </c>
      <c r="AC221" s="119" t="str">
        <f t="shared" si="131"/>
        <v/>
      </c>
      <c r="AD221" s="119" t="str">
        <f t="shared" si="132"/>
        <v/>
      </c>
      <c r="AG221" s="124">
        <v>0.6</v>
      </c>
      <c r="AH221" s="123">
        <v>2</v>
      </c>
      <c r="AI221" s="123">
        <v>1</v>
      </c>
      <c r="AJ221" s="123"/>
      <c r="AK221" s="123"/>
      <c r="AL221" s="123"/>
      <c r="AM221" s="123"/>
      <c r="AN221" s="123"/>
      <c r="AO221" s="123"/>
      <c r="AP221" s="123"/>
      <c r="AQ221" s="123"/>
      <c r="AR221" s="125"/>
    </row>
    <row r="222" spans="9:44" ht="12" customHeight="1">
      <c r="I222" s="143" t="str">
        <f t="shared" si="141"/>
        <v>Residential Internal transport and others Crude oil</v>
      </c>
      <c r="J222" s="146" t="s">
        <v>198</v>
      </c>
      <c r="K222" s="143" t="str">
        <f t="shared" si="142"/>
        <v>RES-OTOILExt</v>
      </c>
      <c r="L222" s="101" t="str">
        <f t="shared" si="140"/>
        <v>RES-OTOILExt</v>
      </c>
      <c r="P222" s="122" t="str">
        <f t="shared" si="119"/>
        <v>RES-OTOILExt</v>
      </c>
      <c r="Q222" s="114" t="str">
        <f t="shared" si="118"/>
        <v>RES-OIL</v>
      </c>
      <c r="R222" s="112" t="str">
        <f t="shared" si="120"/>
        <v>RES-OT</v>
      </c>
      <c r="S222" s="119">
        <f t="shared" si="121"/>
        <v>0.6</v>
      </c>
      <c r="T222" s="119">
        <f t="shared" si="122"/>
        <v>2</v>
      </c>
      <c r="U222" s="119">
        <f t="shared" si="123"/>
        <v>1</v>
      </c>
      <c r="V222" s="119">
        <f t="shared" si="124"/>
        <v>0</v>
      </c>
      <c r="W222" s="119">
        <f t="shared" si="125"/>
        <v>0</v>
      </c>
      <c r="X222" s="119">
        <f t="shared" si="126"/>
        <v>0</v>
      </c>
      <c r="Y222" s="119">
        <f t="shared" si="127"/>
        <v>0</v>
      </c>
      <c r="Z222" s="119">
        <f t="shared" si="128"/>
        <v>0</v>
      </c>
      <c r="AA222" s="119">
        <f t="shared" si="129"/>
        <v>0</v>
      </c>
      <c r="AB222" s="119">
        <f t="shared" si="130"/>
        <v>0</v>
      </c>
      <c r="AC222" s="119">
        <f t="shared" si="131"/>
        <v>0</v>
      </c>
      <c r="AD222" s="119">
        <f t="shared" si="132"/>
        <v>0</v>
      </c>
      <c r="AG222" s="124">
        <v>0.6</v>
      </c>
      <c r="AH222" s="123">
        <v>2</v>
      </c>
      <c r="AI222" s="123">
        <v>1</v>
      </c>
      <c r="AJ222" s="123"/>
      <c r="AK222" s="123"/>
      <c r="AL222" s="123"/>
      <c r="AM222" s="123"/>
      <c r="AN222" s="123"/>
      <c r="AO222" s="123"/>
      <c r="AP222" s="123"/>
      <c r="AQ222" s="123"/>
      <c r="AR222" s="125"/>
    </row>
    <row r="223" spans="9:44" ht="12" customHeight="1">
      <c r="I223" s="143" t="str">
        <f t="shared" si="141"/>
        <v>Residential Internal transport and others Natural Gas</v>
      </c>
      <c r="J223" s="146" t="s">
        <v>198</v>
      </c>
      <c r="K223" s="143" t="str">
        <f t="shared" si="142"/>
        <v>RES-OTNGAExt</v>
      </c>
      <c r="L223" s="101" t="str">
        <f t="shared" si="140"/>
        <v>RES-OTNGAExt</v>
      </c>
      <c r="P223" s="122" t="str">
        <f t="shared" si="119"/>
        <v>RES-OTNGAExt</v>
      </c>
      <c r="Q223" s="114" t="str">
        <f t="shared" si="118"/>
        <v>RES-NGA</v>
      </c>
      <c r="R223" s="112" t="str">
        <f t="shared" si="120"/>
        <v>RES-OT</v>
      </c>
      <c r="S223" s="119">
        <f t="shared" si="121"/>
        <v>0.6</v>
      </c>
      <c r="T223" s="119">
        <f t="shared" si="122"/>
        <v>2</v>
      </c>
      <c r="U223" s="119">
        <f t="shared" si="123"/>
        <v>1</v>
      </c>
      <c r="V223" s="119">
        <f t="shared" si="124"/>
        <v>0</v>
      </c>
      <c r="W223" s="119">
        <f t="shared" si="125"/>
        <v>0</v>
      </c>
      <c r="X223" s="119">
        <f t="shared" si="126"/>
        <v>0</v>
      </c>
      <c r="Y223" s="119">
        <f t="shared" si="127"/>
        <v>0</v>
      </c>
      <c r="Z223" s="119">
        <f t="shared" si="128"/>
        <v>0</v>
      </c>
      <c r="AA223" s="119">
        <f t="shared" si="129"/>
        <v>0</v>
      </c>
      <c r="AB223" s="119">
        <f t="shared" si="130"/>
        <v>0</v>
      </c>
      <c r="AC223" s="119">
        <f t="shared" si="131"/>
        <v>0</v>
      </c>
      <c r="AD223" s="119">
        <f t="shared" si="132"/>
        <v>0</v>
      </c>
      <c r="AG223" s="124">
        <v>0.6</v>
      </c>
      <c r="AH223" s="123">
        <v>2</v>
      </c>
      <c r="AI223" s="123">
        <v>1</v>
      </c>
      <c r="AJ223" s="123"/>
      <c r="AK223" s="123"/>
      <c r="AL223" s="123"/>
      <c r="AM223" s="123"/>
      <c r="AN223" s="123"/>
      <c r="AO223" s="123"/>
      <c r="AP223" s="123"/>
      <c r="AQ223" s="123"/>
      <c r="AR223" s="125"/>
    </row>
    <row r="224" spans="9:44" ht="12" customHeight="1">
      <c r="I224" s="143" t="str">
        <f t="shared" si="141"/>
        <v>Residential Internal transport and others Hydro</v>
      </c>
      <c r="J224" s="146" t="s">
        <v>205</v>
      </c>
      <c r="K224" s="143" t="str">
        <f t="shared" si="142"/>
        <v>RES-OTHYDExt</v>
      </c>
      <c r="L224" s="101" t="str">
        <f>IF(J224="Yes",K224,"")</f>
        <v/>
      </c>
      <c r="P224" s="122" t="str">
        <f t="shared" si="119"/>
        <v/>
      </c>
      <c r="Q224" s="114" t="str">
        <f t="shared" si="118"/>
        <v/>
      </c>
      <c r="R224" s="112" t="str">
        <f t="shared" si="120"/>
        <v/>
      </c>
      <c r="S224" s="119" t="str">
        <f t="shared" si="121"/>
        <v/>
      </c>
      <c r="T224" s="119" t="str">
        <f t="shared" si="122"/>
        <v/>
      </c>
      <c r="U224" s="119" t="str">
        <f t="shared" si="123"/>
        <v/>
      </c>
      <c r="V224" s="119" t="str">
        <f t="shared" si="124"/>
        <v/>
      </c>
      <c r="W224" s="119" t="str">
        <f t="shared" si="125"/>
        <v/>
      </c>
      <c r="X224" s="119" t="str">
        <f t="shared" si="126"/>
        <v/>
      </c>
      <c r="Y224" s="119" t="str">
        <f t="shared" si="127"/>
        <v/>
      </c>
      <c r="Z224" s="119" t="str">
        <f t="shared" si="128"/>
        <v/>
      </c>
      <c r="AA224" s="119" t="str">
        <f t="shared" si="129"/>
        <v/>
      </c>
      <c r="AB224" s="119" t="str">
        <f t="shared" si="130"/>
        <v/>
      </c>
      <c r="AC224" s="119" t="str">
        <f t="shared" si="131"/>
        <v/>
      </c>
      <c r="AD224" s="119" t="str">
        <f t="shared" si="132"/>
        <v/>
      </c>
      <c r="AG224" s="124">
        <v>0.6</v>
      </c>
      <c r="AH224" s="123">
        <v>2</v>
      </c>
      <c r="AI224" s="123">
        <v>1</v>
      </c>
      <c r="AJ224" s="123"/>
      <c r="AK224" s="123"/>
      <c r="AL224" s="123"/>
      <c r="AM224" s="123"/>
      <c r="AN224" s="123"/>
      <c r="AO224" s="123"/>
      <c r="AP224" s="123"/>
      <c r="AQ224" s="123"/>
      <c r="AR224" s="125"/>
    </row>
    <row r="225" spans="9:44" ht="12" customHeight="1">
      <c r="I225" s="143" t="str">
        <f t="shared" si="141"/>
        <v>Residential Internal transport and others Geothermal</v>
      </c>
      <c r="J225" s="146" t="s">
        <v>205</v>
      </c>
      <c r="K225" s="143" t="str">
        <f t="shared" si="142"/>
        <v>RES-OTGEOExt</v>
      </c>
      <c r="L225" s="101" t="str">
        <f t="shared" si="140"/>
        <v/>
      </c>
      <c r="P225" s="122" t="str">
        <f t="shared" si="119"/>
        <v/>
      </c>
      <c r="Q225" s="114" t="str">
        <f t="shared" si="118"/>
        <v/>
      </c>
      <c r="R225" s="112" t="str">
        <f t="shared" si="120"/>
        <v/>
      </c>
      <c r="S225" s="119" t="str">
        <f t="shared" si="121"/>
        <v/>
      </c>
      <c r="T225" s="119" t="str">
        <f t="shared" si="122"/>
        <v/>
      </c>
      <c r="U225" s="119" t="str">
        <f t="shared" si="123"/>
        <v/>
      </c>
      <c r="V225" s="119" t="str">
        <f t="shared" si="124"/>
        <v/>
      </c>
      <c r="W225" s="119" t="str">
        <f t="shared" si="125"/>
        <v/>
      </c>
      <c r="X225" s="119" t="str">
        <f t="shared" si="126"/>
        <v/>
      </c>
      <c r="Y225" s="119" t="str">
        <f t="shared" si="127"/>
        <v/>
      </c>
      <c r="Z225" s="119" t="str">
        <f t="shared" si="128"/>
        <v/>
      </c>
      <c r="AA225" s="119" t="str">
        <f t="shared" si="129"/>
        <v/>
      </c>
      <c r="AB225" s="119" t="str">
        <f t="shared" si="130"/>
        <v/>
      </c>
      <c r="AC225" s="119" t="str">
        <f t="shared" si="131"/>
        <v/>
      </c>
      <c r="AD225" s="119" t="str">
        <f t="shared" si="132"/>
        <v/>
      </c>
      <c r="AG225" s="124">
        <v>0.6</v>
      </c>
      <c r="AH225" s="123">
        <v>2</v>
      </c>
      <c r="AI225" s="123">
        <v>1</v>
      </c>
      <c r="AJ225" s="123"/>
      <c r="AK225" s="123"/>
      <c r="AL225" s="123"/>
      <c r="AM225" s="123"/>
      <c r="AN225" s="123"/>
      <c r="AO225" s="123"/>
      <c r="AP225" s="123"/>
      <c r="AQ225" s="123"/>
      <c r="AR225" s="125"/>
    </row>
    <row r="226" spans="9:44" ht="12" customHeight="1">
      <c r="I226" s="143" t="str">
        <f t="shared" si="141"/>
        <v>Residential Internal transport and others Solar</v>
      </c>
      <c r="J226" s="146" t="s">
        <v>205</v>
      </c>
      <c r="K226" s="143" t="str">
        <f t="shared" si="142"/>
        <v>RES-OTSOLExt</v>
      </c>
      <c r="L226" s="101" t="str">
        <f t="shared" si="140"/>
        <v/>
      </c>
      <c r="P226" s="122" t="str">
        <f t="shared" si="119"/>
        <v/>
      </c>
      <c r="Q226" s="114" t="str">
        <f t="shared" si="118"/>
        <v/>
      </c>
      <c r="R226" s="112" t="str">
        <f t="shared" si="120"/>
        <v/>
      </c>
      <c r="S226" s="119" t="str">
        <f t="shared" si="121"/>
        <v/>
      </c>
      <c r="T226" s="119" t="str">
        <f t="shared" si="122"/>
        <v/>
      </c>
      <c r="U226" s="119" t="str">
        <f t="shared" si="123"/>
        <v/>
      </c>
      <c r="V226" s="119" t="str">
        <f t="shared" si="124"/>
        <v/>
      </c>
      <c r="W226" s="119" t="str">
        <f t="shared" si="125"/>
        <v/>
      </c>
      <c r="X226" s="119" t="str">
        <f t="shared" si="126"/>
        <v/>
      </c>
      <c r="Y226" s="119" t="str">
        <f t="shared" si="127"/>
        <v/>
      </c>
      <c r="Z226" s="119" t="str">
        <f t="shared" si="128"/>
        <v/>
      </c>
      <c r="AA226" s="119" t="str">
        <f t="shared" si="129"/>
        <v/>
      </c>
      <c r="AB226" s="119" t="str">
        <f t="shared" si="130"/>
        <v/>
      </c>
      <c r="AC226" s="119" t="str">
        <f t="shared" si="131"/>
        <v/>
      </c>
      <c r="AD226" s="119" t="str">
        <f t="shared" si="132"/>
        <v/>
      </c>
      <c r="AG226" s="124">
        <v>0.6</v>
      </c>
      <c r="AH226" s="123">
        <v>2</v>
      </c>
      <c r="AI226" s="123">
        <v>1</v>
      </c>
      <c r="AJ226" s="123"/>
      <c r="AK226" s="123"/>
      <c r="AL226" s="123"/>
      <c r="AM226" s="123"/>
      <c r="AN226" s="123"/>
      <c r="AO226" s="123"/>
      <c r="AP226" s="123"/>
      <c r="AQ226" s="123"/>
      <c r="AR226" s="125"/>
    </row>
    <row r="227" spans="9:44" ht="12" customHeight="1">
      <c r="I227" s="143" t="str">
        <f t="shared" si="141"/>
        <v>Residential Internal transport and others Wind</v>
      </c>
      <c r="J227" s="146" t="s">
        <v>205</v>
      </c>
      <c r="K227" s="143" t="str">
        <f t="shared" si="142"/>
        <v>RES-OTWINExt</v>
      </c>
      <c r="L227" s="101" t="str">
        <f t="shared" si="140"/>
        <v/>
      </c>
      <c r="P227" s="122" t="str">
        <f t="shared" si="119"/>
        <v/>
      </c>
      <c r="Q227" s="114" t="str">
        <f t="shared" si="118"/>
        <v/>
      </c>
      <c r="R227" s="112" t="str">
        <f t="shared" si="120"/>
        <v/>
      </c>
      <c r="S227" s="119" t="str">
        <f t="shared" si="121"/>
        <v/>
      </c>
      <c r="T227" s="119" t="str">
        <f t="shared" si="122"/>
        <v/>
      </c>
      <c r="U227" s="119" t="str">
        <f t="shared" si="123"/>
        <v/>
      </c>
      <c r="V227" s="119" t="str">
        <f t="shared" si="124"/>
        <v/>
      </c>
      <c r="W227" s="119" t="str">
        <f t="shared" si="125"/>
        <v/>
      </c>
      <c r="X227" s="119" t="str">
        <f t="shared" si="126"/>
        <v/>
      </c>
      <c r="Y227" s="119" t="str">
        <f t="shared" si="127"/>
        <v/>
      </c>
      <c r="Z227" s="119" t="str">
        <f t="shared" si="128"/>
        <v/>
      </c>
      <c r="AA227" s="119" t="str">
        <f t="shared" si="129"/>
        <v/>
      </c>
      <c r="AB227" s="119" t="str">
        <f t="shared" si="130"/>
        <v/>
      </c>
      <c r="AC227" s="119" t="str">
        <f t="shared" si="131"/>
        <v/>
      </c>
      <c r="AD227" s="119" t="str">
        <f t="shared" si="132"/>
        <v/>
      </c>
      <c r="AG227" s="124">
        <v>0.6</v>
      </c>
      <c r="AH227" s="123">
        <v>2</v>
      </c>
      <c r="AI227" s="123">
        <v>1</v>
      </c>
      <c r="AJ227" s="123"/>
      <c r="AK227" s="123"/>
      <c r="AL227" s="123"/>
      <c r="AM227" s="123"/>
      <c r="AN227" s="123"/>
      <c r="AO227" s="123"/>
      <c r="AP227" s="123"/>
      <c r="AQ227" s="123"/>
      <c r="AR227" s="125"/>
    </row>
    <row r="228" spans="9:44" ht="12" customHeight="1">
      <c r="I228" s="143" t="str">
        <f t="shared" si="141"/>
        <v>Residential Internal transport and others Bio Liquids</v>
      </c>
      <c r="J228" s="146" t="s">
        <v>205</v>
      </c>
      <c r="K228" s="143" t="str">
        <f t="shared" si="142"/>
        <v>RES-OTBILExt</v>
      </c>
      <c r="L228" s="101" t="str">
        <f t="shared" si="140"/>
        <v/>
      </c>
      <c r="P228" s="122" t="str">
        <f t="shared" si="119"/>
        <v/>
      </c>
      <c r="Q228" s="114" t="str">
        <f t="shared" si="118"/>
        <v/>
      </c>
      <c r="R228" s="112" t="str">
        <f t="shared" si="120"/>
        <v/>
      </c>
      <c r="S228" s="119" t="str">
        <f t="shared" si="121"/>
        <v/>
      </c>
      <c r="T228" s="119" t="str">
        <f t="shared" si="122"/>
        <v/>
      </c>
      <c r="U228" s="119" t="str">
        <f t="shared" si="123"/>
        <v/>
      </c>
      <c r="V228" s="119" t="str">
        <f t="shared" si="124"/>
        <v/>
      </c>
      <c r="W228" s="119" t="str">
        <f t="shared" si="125"/>
        <v/>
      </c>
      <c r="X228" s="119" t="str">
        <f t="shared" si="126"/>
        <v/>
      </c>
      <c r="Y228" s="119" t="str">
        <f t="shared" si="127"/>
        <v/>
      </c>
      <c r="Z228" s="119" t="str">
        <f t="shared" si="128"/>
        <v/>
      </c>
      <c r="AA228" s="119" t="str">
        <f t="shared" si="129"/>
        <v/>
      </c>
      <c r="AB228" s="119" t="str">
        <f t="shared" si="130"/>
        <v/>
      </c>
      <c r="AC228" s="119" t="str">
        <f t="shared" si="131"/>
        <v/>
      </c>
      <c r="AD228" s="119" t="str">
        <f t="shared" si="132"/>
        <v/>
      </c>
      <c r="AG228" s="124">
        <v>0.6</v>
      </c>
      <c r="AH228" s="123">
        <v>2</v>
      </c>
      <c r="AI228" s="123">
        <v>1</v>
      </c>
      <c r="AJ228" s="123"/>
      <c r="AK228" s="123"/>
      <c r="AL228" s="123"/>
      <c r="AM228" s="123"/>
      <c r="AN228" s="123"/>
      <c r="AO228" s="123"/>
      <c r="AP228" s="123"/>
      <c r="AQ228" s="123"/>
      <c r="AR228" s="125"/>
    </row>
    <row r="229" spans="9:44" ht="12" customHeight="1">
      <c r="I229" s="143" t="str">
        <f t="shared" si="141"/>
        <v>Residential Internal transport and others Biogas</v>
      </c>
      <c r="J229" s="146" t="s">
        <v>205</v>
      </c>
      <c r="K229" s="143" t="str">
        <f t="shared" si="142"/>
        <v>RES-OTBIGExt</v>
      </c>
      <c r="L229" s="101" t="str">
        <f t="shared" si="140"/>
        <v/>
      </c>
      <c r="P229" s="122" t="str">
        <f t="shared" si="119"/>
        <v/>
      </c>
      <c r="Q229" s="114" t="str">
        <f t="shared" si="118"/>
        <v/>
      </c>
      <c r="R229" s="112" t="str">
        <f t="shared" si="120"/>
        <v/>
      </c>
      <c r="S229" s="119" t="str">
        <f t="shared" si="121"/>
        <v/>
      </c>
      <c r="T229" s="119" t="str">
        <f t="shared" si="122"/>
        <v/>
      </c>
      <c r="U229" s="119" t="str">
        <f t="shared" si="123"/>
        <v/>
      </c>
      <c r="V229" s="119" t="str">
        <f t="shared" si="124"/>
        <v/>
      </c>
      <c r="W229" s="119" t="str">
        <f t="shared" si="125"/>
        <v/>
      </c>
      <c r="X229" s="119" t="str">
        <f t="shared" si="126"/>
        <v/>
      </c>
      <c r="Y229" s="119" t="str">
        <f t="shared" si="127"/>
        <v/>
      </c>
      <c r="Z229" s="119" t="str">
        <f t="shared" si="128"/>
        <v/>
      </c>
      <c r="AA229" s="119" t="str">
        <f t="shared" si="129"/>
        <v/>
      </c>
      <c r="AB229" s="119" t="str">
        <f t="shared" si="130"/>
        <v/>
      </c>
      <c r="AC229" s="119" t="str">
        <f t="shared" si="131"/>
        <v/>
      </c>
      <c r="AD229" s="119" t="str">
        <f t="shared" si="132"/>
        <v/>
      </c>
      <c r="AG229" s="124">
        <v>0.6</v>
      </c>
      <c r="AH229" s="123">
        <v>2</v>
      </c>
      <c r="AI229" s="123">
        <v>1</v>
      </c>
      <c r="AJ229" s="123"/>
      <c r="AK229" s="123"/>
      <c r="AL229" s="123"/>
      <c r="AM229" s="123"/>
      <c r="AN229" s="123"/>
      <c r="AO229" s="123"/>
      <c r="AP229" s="123"/>
      <c r="AQ229" s="123"/>
      <c r="AR229" s="125"/>
    </row>
    <row r="230" spans="9:44" ht="12" customHeight="1">
      <c r="I230" s="143" t="str">
        <f t="shared" si="141"/>
        <v>Residential Internal transport and others Wood</v>
      </c>
      <c r="J230" s="146" t="s">
        <v>205</v>
      </c>
      <c r="K230" s="143" t="str">
        <f t="shared" si="142"/>
        <v>RES-OTWODExt</v>
      </c>
      <c r="L230" s="101" t="str">
        <f t="shared" si="140"/>
        <v/>
      </c>
      <c r="P230" s="122" t="str">
        <f t="shared" si="119"/>
        <v/>
      </c>
      <c r="Q230" s="114" t="str">
        <f t="shared" si="118"/>
        <v/>
      </c>
      <c r="R230" s="112" t="str">
        <f t="shared" si="120"/>
        <v/>
      </c>
      <c r="S230" s="119" t="str">
        <f t="shared" si="121"/>
        <v/>
      </c>
      <c r="T230" s="119" t="str">
        <f t="shared" si="122"/>
        <v/>
      </c>
      <c r="U230" s="119" t="str">
        <f t="shared" si="123"/>
        <v/>
      </c>
      <c r="V230" s="119" t="str">
        <f t="shared" si="124"/>
        <v/>
      </c>
      <c r="W230" s="119" t="str">
        <f t="shared" si="125"/>
        <v/>
      </c>
      <c r="X230" s="119" t="str">
        <f t="shared" si="126"/>
        <v/>
      </c>
      <c r="Y230" s="119" t="str">
        <f t="shared" si="127"/>
        <v/>
      </c>
      <c r="Z230" s="119" t="str">
        <f t="shared" si="128"/>
        <v/>
      </c>
      <c r="AA230" s="119" t="str">
        <f t="shared" si="129"/>
        <v/>
      </c>
      <c r="AB230" s="119" t="str">
        <f t="shared" si="130"/>
        <v/>
      </c>
      <c r="AC230" s="119" t="str">
        <f t="shared" si="131"/>
        <v/>
      </c>
      <c r="AD230" s="119" t="str">
        <f t="shared" si="132"/>
        <v/>
      </c>
      <c r="AG230" s="124">
        <v>0.6</v>
      </c>
      <c r="AH230" s="123">
        <v>2</v>
      </c>
      <c r="AI230" s="123">
        <v>1</v>
      </c>
      <c r="AJ230" s="123"/>
      <c r="AK230" s="123"/>
      <c r="AL230" s="123"/>
      <c r="AM230" s="123"/>
      <c r="AN230" s="123"/>
      <c r="AO230" s="123"/>
      <c r="AP230" s="123"/>
      <c r="AQ230" s="123"/>
      <c r="AR230" s="125"/>
    </row>
    <row r="231" spans="9:44" ht="12" customHeight="1">
      <c r="I231" s="143" t="str">
        <f t="shared" si="141"/>
        <v>Residential Internal transport and others Tidal</v>
      </c>
      <c r="J231" s="146" t="s">
        <v>205</v>
      </c>
      <c r="K231" s="143" t="str">
        <f t="shared" si="142"/>
        <v>RES-OTTIDExt</v>
      </c>
      <c r="L231" s="101" t="str">
        <f t="shared" si="140"/>
        <v/>
      </c>
      <c r="P231" s="122" t="str">
        <f t="shared" si="119"/>
        <v/>
      </c>
      <c r="Q231" s="114" t="str">
        <f t="shared" si="118"/>
        <v/>
      </c>
      <c r="R231" s="112" t="str">
        <f t="shared" si="120"/>
        <v/>
      </c>
      <c r="S231" s="119" t="str">
        <f t="shared" si="121"/>
        <v/>
      </c>
      <c r="T231" s="119" t="str">
        <f t="shared" si="122"/>
        <v/>
      </c>
      <c r="U231" s="119" t="str">
        <f t="shared" si="123"/>
        <v/>
      </c>
      <c r="V231" s="119" t="str">
        <f t="shared" si="124"/>
        <v/>
      </c>
      <c r="W231" s="119" t="str">
        <f t="shared" si="125"/>
        <v/>
      </c>
      <c r="X231" s="119" t="str">
        <f t="shared" si="126"/>
        <v/>
      </c>
      <c r="Y231" s="119" t="str">
        <f t="shared" si="127"/>
        <v/>
      </c>
      <c r="Z231" s="119" t="str">
        <f t="shared" si="128"/>
        <v/>
      </c>
      <c r="AA231" s="119" t="str">
        <f t="shared" si="129"/>
        <v/>
      </c>
      <c r="AB231" s="119" t="str">
        <f t="shared" si="130"/>
        <v/>
      </c>
      <c r="AC231" s="119" t="str">
        <f t="shared" si="131"/>
        <v/>
      </c>
      <c r="AD231" s="119" t="str">
        <f t="shared" si="132"/>
        <v/>
      </c>
      <c r="AG231" s="124">
        <v>0.6</v>
      </c>
      <c r="AH231" s="123">
        <v>2</v>
      </c>
      <c r="AI231" s="123">
        <v>1</v>
      </c>
      <c r="AJ231" s="123"/>
      <c r="AK231" s="123"/>
      <c r="AL231" s="123"/>
      <c r="AM231" s="123"/>
      <c r="AN231" s="123"/>
      <c r="AO231" s="123"/>
      <c r="AP231" s="123"/>
      <c r="AQ231" s="123"/>
      <c r="AR231" s="125"/>
    </row>
    <row r="232" spans="9:44" ht="12" customHeight="1">
      <c r="I232" s="143" t="str">
        <f t="shared" si="141"/>
        <v>Residential Internal transport and others Electricity</v>
      </c>
      <c r="J232" s="146" t="s">
        <v>205</v>
      </c>
      <c r="K232" s="144" t="str">
        <f t="shared" si="142"/>
        <v>RES-OTELCExt</v>
      </c>
      <c r="L232" s="101" t="str">
        <f t="shared" si="140"/>
        <v/>
      </c>
      <c r="P232" s="122" t="str">
        <f t="shared" si="119"/>
        <v/>
      </c>
      <c r="Q232" s="114" t="str">
        <f t="shared" si="118"/>
        <v/>
      </c>
      <c r="R232" s="112" t="str">
        <f t="shared" si="120"/>
        <v/>
      </c>
      <c r="S232" s="119" t="str">
        <f t="shared" si="121"/>
        <v/>
      </c>
      <c r="T232" s="119" t="str">
        <f t="shared" si="122"/>
        <v/>
      </c>
      <c r="U232" s="119" t="str">
        <f t="shared" si="123"/>
        <v/>
      </c>
      <c r="V232" s="119" t="str">
        <f t="shared" si="124"/>
        <v/>
      </c>
      <c r="W232" s="119" t="str">
        <f t="shared" si="125"/>
        <v/>
      </c>
      <c r="X232" s="119" t="str">
        <f t="shared" si="126"/>
        <v/>
      </c>
      <c r="Y232" s="119" t="str">
        <f t="shared" si="127"/>
        <v/>
      </c>
      <c r="Z232" s="119" t="str">
        <f t="shared" si="128"/>
        <v/>
      </c>
      <c r="AA232" s="119" t="str">
        <f t="shared" si="129"/>
        <v/>
      </c>
      <c r="AB232" s="119" t="str">
        <f t="shared" si="130"/>
        <v/>
      </c>
      <c r="AC232" s="119" t="str">
        <f t="shared" si="131"/>
        <v/>
      </c>
      <c r="AD232" s="119" t="str">
        <f t="shared" si="132"/>
        <v/>
      </c>
      <c r="AG232" s="124">
        <v>0.6</v>
      </c>
      <c r="AH232" s="123">
        <v>2</v>
      </c>
      <c r="AI232" s="123">
        <v>1</v>
      </c>
      <c r="AJ232" s="123"/>
      <c r="AK232" s="123"/>
      <c r="AL232" s="123"/>
      <c r="AM232" s="123"/>
      <c r="AN232" s="123"/>
      <c r="AO232" s="123"/>
      <c r="AP232" s="123"/>
      <c r="AQ232" s="123"/>
      <c r="AR232" s="125"/>
    </row>
    <row r="233" spans="9:44" ht="12" customHeight="1">
      <c r="I233" s="142" t="str">
        <f>$C$129&amp;" "&amp;$E$13&amp;" "&amp;RIGHT(G129,LEN(G129)-FIND(" ",G129))</f>
        <v>Residential Process cooling  Coal</v>
      </c>
      <c r="J233" s="145" t="s">
        <v>205</v>
      </c>
      <c r="K233" s="142" t="str">
        <f>$D$129&amp;$F$137&amp;RIGHT(H129,3)&amp;$B$129</f>
        <v>RES-APCOAExt</v>
      </c>
      <c r="L233" s="101" t="str">
        <f t="shared" si="140"/>
        <v/>
      </c>
      <c r="P233" s="122" t="str">
        <f t="shared" si="119"/>
        <v/>
      </c>
      <c r="Q233" s="114" t="str">
        <f t="shared" si="118"/>
        <v/>
      </c>
      <c r="R233" s="112" t="str">
        <f t="shared" si="120"/>
        <v/>
      </c>
      <c r="S233" s="119" t="str">
        <f t="shared" si="121"/>
        <v/>
      </c>
      <c r="T233" s="119" t="str">
        <f t="shared" si="122"/>
        <v/>
      </c>
      <c r="U233" s="119" t="str">
        <f t="shared" si="123"/>
        <v/>
      </c>
      <c r="V233" s="119" t="str">
        <f t="shared" si="124"/>
        <v/>
      </c>
      <c r="W233" s="119" t="str">
        <f t="shared" si="125"/>
        <v/>
      </c>
      <c r="X233" s="119" t="str">
        <f t="shared" si="126"/>
        <v/>
      </c>
      <c r="Y233" s="119" t="str">
        <f t="shared" si="127"/>
        <v/>
      </c>
      <c r="Z233" s="119" t="str">
        <f t="shared" si="128"/>
        <v/>
      </c>
      <c r="AA233" s="119" t="str">
        <f t="shared" si="129"/>
        <v/>
      </c>
      <c r="AB233" s="119" t="str">
        <f t="shared" si="130"/>
        <v/>
      </c>
      <c r="AC233" s="119" t="str">
        <f t="shared" si="131"/>
        <v/>
      </c>
      <c r="AD233" s="119" t="str">
        <f t="shared" si="132"/>
        <v/>
      </c>
      <c r="AG233" s="124">
        <v>0.6</v>
      </c>
      <c r="AH233" s="123">
        <v>2</v>
      </c>
      <c r="AI233" s="123">
        <v>1</v>
      </c>
      <c r="AJ233" s="123"/>
      <c r="AK233" s="123"/>
      <c r="AL233" s="123"/>
      <c r="AM233" s="123"/>
      <c r="AN233" s="123"/>
      <c r="AO233" s="123"/>
      <c r="AP233" s="123"/>
      <c r="AQ233" s="123"/>
      <c r="AR233" s="125"/>
    </row>
    <row r="234" spans="9:44" ht="12" customHeight="1">
      <c r="I234" s="143" t="str">
        <f t="shared" ref="I234:I245" si="143">$C$129&amp;" "&amp;$E$13&amp;" "&amp;RIGHT(G130,LEN(G130)-FIND(" ",G130))</f>
        <v>Residential Process cooling  Lignite</v>
      </c>
      <c r="J234" s="146" t="s">
        <v>205</v>
      </c>
      <c r="K234" s="143" t="str">
        <f t="shared" ref="K234:K245" si="144">$D$129&amp;$F$137&amp;RIGHT(H130,3)&amp;$B$129</f>
        <v>RES-APCOLExt</v>
      </c>
      <c r="L234" s="101" t="str">
        <f t="shared" si="140"/>
        <v/>
      </c>
      <c r="P234" s="122" t="str">
        <f t="shared" si="119"/>
        <v/>
      </c>
      <c r="Q234" s="114" t="str">
        <f t="shared" si="118"/>
        <v/>
      </c>
      <c r="R234" s="112" t="str">
        <f t="shared" si="120"/>
        <v/>
      </c>
      <c r="S234" s="119" t="str">
        <f t="shared" si="121"/>
        <v/>
      </c>
      <c r="T234" s="119" t="str">
        <f t="shared" si="122"/>
        <v/>
      </c>
      <c r="U234" s="119" t="str">
        <f t="shared" si="123"/>
        <v/>
      </c>
      <c r="V234" s="119" t="str">
        <f t="shared" si="124"/>
        <v/>
      </c>
      <c r="W234" s="119" t="str">
        <f t="shared" si="125"/>
        <v/>
      </c>
      <c r="X234" s="119" t="str">
        <f t="shared" si="126"/>
        <v/>
      </c>
      <c r="Y234" s="119" t="str">
        <f t="shared" si="127"/>
        <v/>
      </c>
      <c r="Z234" s="119" t="str">
        <f t="shared" si="128"/>
        <v/>
      </c>
      <c r="AA234" s="119" t="str">
        <f t="shared" si="129"/>
        <v/>
      </c>
      <c r="AB234" s="119" t="str">
        <f t="shared" si="130"/>
        <v/>
      </c>
      <c r="AC234" s="119" t="str">
        <f t="shared" si="131"/>
        <v/>
      </c>
      <c r="AD234" s="119" t="str">
        <f t="shared" si="132"/>
        <v/>
      </c>
      <c r="AG234" s="124">
        <v>0.6</v>
      </c>
      <c r="AH234" s="123">
        <v>2</v>
      </c>
      <c r="AI234" s="123">
        <v>1</v>
      </c>
      <c r="AJ234" s="123"/>
      <c r="AK234" s="123"/>
      <c r="AL234" s="123"/>
      <c r="AM234" s="123"/>
      <c r="AN234" s="123"/>
      <c r="AO234" s="123"/>
      <c r="AP234" s="123"/>
      <c r="AQ234" s="123"/>
      <c r="AR234" s="125"/>
    </row>
    <row r="235" spans="9:44" ht="12" customHeight="1">
      <c r="I235" s="143" t="str">
        <f t="shared" si="143"/>
        <v>Residential Process cooling  Crude oil</v>
      </c>
      <c r="J235" s="146" t="s">
        <v>205</v>
      </c>
      <c r="K235" s="143" t="str">
        <f t="shared" si="144"/>
        <v>RES-APOILExt</v>
      </c>
      <c r="L235" s="101" t="str">
        <f t="shared" si="140"/>
        <v/>
      </c>
      <c r="P235" s="122" t="str">
        <f t="shared" si="119"/>
        <v/>
      </c>
      <c r="Q235" s="114" t="str">
        <f t="shared" si="118"/>
        <v/>
      </c>
      <c r="R235" s="112" t="str">
        <f t="shared" si="120"/>
        <v/>
      </c>
      <c r="S235" s="119" t="str">
        <f t="shared" si="121"/>
        <v/>
      </c>
      <c r="T235" s="119" t="str">
        <f t="shared" si="122"/>
        <v/>
      </c>
      <c r="U235" s="119" t="str">
        <f t="shared" si="123"/>
        <v/>
      </c>
      <c r="V235" s="119" t="str">
        <f t="shared" si="124"/>
        <v/>
      </c>
      <c r="W235" s="119" t="str">
        <f t="shared" si="125"/>
        <v/>
      </c>
      <c r="X235" s="119" t="str">
        <f t="shared" si="126"/>
        <v/>
      </c>
      <c r="Y235" s="119" t="str">
        <f t="shared" si="127"/>
        <v/>
      </c>
      <c r="Z235" s="119" t="str">
        <f t="shared" si="128"/>
        <v/>
      </c>
      <c r="AA235" s="119" t="str">
        <f t="shared" si="129"/>
        <v/>
      </c>
      <c r="AB235" s="119" t="str">
        <f t="shared" si="130"/>
        <v/>
      </c>
      <c r="AC235" s="119" t="str">
        <f t="shared" si="131"/>
        <v/>
      </c>
      <c r="AD235" s="119" t="str">
        <f t="shared" si="132"/>
        <v/>
      </c>
      <c r="AG235" s="124">
        <v>0.6</v>
      </c>
      <c r="AH235" s="123">
        <v>2</v>
      </c>
      <c r="AI235" s="123">
        <v>1</v>
      </c>
      <c r="AJ235" s="123"/>
      <c r="AK235" s="123"/>
      <c r="AL235" s="123"/>
      <c r="AM235" s="123"/>
      <c r="AN235" s="123"/>
      <c r="AO235" s="123"/>
      <c r="AP235" s="123"/>
      <c r="AQ235" s="123"/>
      <c r="AR235" s="125"/>
    </row>
    <row r="236" spans="9:44" ht="12" customHeight="1">
      <c r="I236" s="143" t="str">
        <f t="shared" si="143"/>
        <v>Residential Process cooling  Natural Gas</v>
      </c>
      <c r="J236" s="146" t="s">
        <v>205</v>
      </c>
      <c r="K236" s="143" t="str">
        <f t="shared" si="144"/>
        <v>RES-APNGAExt</v>
      </c>
      <c r="L236" s="101" t="str">
        <f t="shared" si="140"/>
        <v/>
      </c>
      <c r="P236" s="122" t="str">
        <f t="shared" si="119"/>
        <v/>
      </c>
      <c r="Q236" s="114" t="str">
        <f t="shared" si="118"/>
        <v/>
      </c>
      <c r="R236" s="112" t="str">
        <f t="shared" si="120"/>
        <v/>
      </c>
      <c r="S236" s="119" t="str">
        <f t="shared" si="121"/>
        <v/>
      </c>
      <c r="T236" s="119" t="str">
        <f t="shared" si="122"/>
        <v/>
      </c>
      <c r="U236" s="119" t="str">
        <f t="shared" si="123"/>
        <v/>
      </c>
      <c r="V236" s="119" t="str">
        <f t="shared" si="124"/>
        <v/>
      </c>
      <c r="W236" s="119" t="str">
        <f t="shared" si="125"/>
        <v/>
      </c>
      <c r="X236" s="119" t="str">
        <f t="shared" si="126"/>
        <v/>
      </c>
      <c r="Y236" s="119" t="str">
        <f t="shared" si="127"/>
        <v/>
      </c>
      <c r="Z236" s="119" t="str">
        <f t="shared" si="128"/>
        <v/>
      </c>
      <c r="AA236" s="119" t="str">
        <f t="shared" si="129"/>
        <v/>
      </c>
      <c r="AB236" s="119" t="str">
        <f t="shared" si="130"/>
        <v/>
      </c>
      <c r="AC236" s="119" t="str">
        <f t="shared" si="131"/>
        <v/>
      </c>
      <c r="AD236" s="119" t="str">
        <f t="shared" si="132"/>
        <v/>
      </c>
      <c r="AG236" s="124">
        <v>0.6</v>
      </c>
      <c r="AH236" s="123">
        <v>2</v>
      </c>
      <c r="AI236" s="123">
        <v>1</v>
      </c>
      <c r="AJ236" s="123"/>
      <c r="AK236" s="123"/>
      <c r="AL236" s="123"/>
      <c r="AM236" s="123"/>
      <c r="AN236" s="123"/>
      <c r="AO236" s="123"/>
      <c r="AP236" s="123"/>
      <c r="AQ236" s="123"/>
      <c r="AR236" s="125"/>
    </row>
    <row r="237" spans="9:44" ht="12" customHeight="1">
      <c r="I237" s="143" t="str">
        <f t="shared" si="143"/>
        <v>Residential Process cooling  Hydro</v>
      </c>
      <c r="J237" s="146" t="s">
        <v>205</v>
      </c>
      <c r="K237" s="143" t="str">
        <f t="shared" si="144"/>
        <v>RES-APHYDExt</v>
      </c>
      <c r="L237" s="101" t="str">
        <f t="shared" si="140"/>
        <v/>
      </c>
      <c r="P237" s="122" t="str">
        <f t="shared" si="119"/>
        <v/>
      </c>
      <c r="Q237" s="114" t="str">
        <f t="shared" si="118"/>
        <v/>
      </c>
      <c r="R237" s="112" t="str">
        <f t="shared" si="120"/>
        <v/>
      </c>
      <c r="S237" s="119" t="str">
        <f t="shared" si="121"/>
        <v/>
      </c>
      <c r="T237" s="119" t="str">
        <f t="shared" si="122"/>
        <v/>
      </c>
      <c r="U237" s="119" t="str">
        <f t="shared" si="123"/>
        <v/>
      </c>
      <c r="V237" s="119" t="str">
        <f t="shared" si="124"/>
        <v/>
      </c>
      <c r="W237" s="119" t="str">
        <f t="shared" si="125"/>
        <v/>
      </c>
      <c r="X237" s="119" t="str">
        <f t="shared" si="126"/>
        <v/>
      </c>
      <c r="Y237" s="119" t="str">
        <f t="shared" si="127"/>
        <v/>
      </c>
      <c r="Z237" s="119" t="str">
        <f t="shared" si="128"/>
        <v/>
      </c>
      <c r="AA237" s="119" t="str">
        <f t="shared" si="129"/>
        <v/>
      </c>
      <c r="AB237" s="119" t="str">
        <f t="shared" si="130"/>
        <v/>
      </c>
      <c r="AC237" s="119" t="str">
        <f t="shared" si="131"/>
        <v/>
      </c>
      <c r="AD237" s="119" t="str">
        <f t="shared" si="132"/>
        <v/>
      </c>
      <c r="AG237" s="124">
        <v>0.6</v>
      </c>
      <c r="AH237" s="123">
        <v>2</v>
      </c>
      <c r="AI237" s="123">
        <v>1</v>
      </c>
      <c r="AJ237" s="123"/>
      <c r="AK237" s="123"/>
      <c r="AL237" s="123"/>
      <c r="AM237" s="123"/>
      <c r="AN237" s="123"/>
      <c r="AO237" s="123"/>
      <c r="AP237" s="123"/>
      <c r="AQ237" s="123"/>
      <c r="AR237" s="125"/>
    </row>
    <row r="238" spans="9:44" ht="12" customHeight="1">
      <c r="I238" s="143" t="str">
        <f t="shared" si="143"/>
        <v>Residential Process cooling  Geothermal</v>
      </c>
      <c r="J238" s="146" t="s">
        <v>205</v>
      </c>
      <c r="K238" s="143" t="str">
        <f t="shared" si="144"/>
        <v>RES-APGEOExt</v>
      </c>
      <c r="L238" s="101" t="str">
        <f t="shared" si="140"/>
        <v/>
      </c>
      <c r="P238" s="122" t="str">
        <f t="shared" si="119"/>
        <v/>
      </c>
      <c r="Q238" s="114" t="str">
        <f t="shared" si="118"/>
        <v/>
      </c>
      <c r="R238" s="112" t="str">
        <f t="shared" si="120"/>
        <v/>
      </c>
      <c r="S238" s="119" t="str">
        <f t="shared" si="121"/>
        <v/>
      </c>
      <c r="T238" s="119" t="str">
        <f t="shared" si="122"/>
        <v/>
      </c>
      <c r="U238" s="119" t="str">
        <f t="shared" si="123"/>
        <v/>
      </c>
      <c r="V238" s="119" t="str">
        <f t="shared" si="124"/>
        <v/>
      </c>
      <c r="W238" s="119" t="str">
        <f t="shared" si="125"/>
        <v/>
      </c>
      <c r="X238" s="119" t="str">
        <f t="shared" si="126"/>
        <v/>
      </c>
      <c r="Y238" s="119" t="str">
        <f t="shared" si="127"/>
        <v/>
      </c>
      <c r="Z238" s="119" t="str">
        <f t="shared" si="128"/>
        <v/>
      </c>
      <c r="AA238" s="119" t="str">
        <f t="shared" si="129"/>
        <v/>
      </c>
      <c r="AB238" s="119" t="str">
        <f t="shared" si="130"/>
        <v/>
      </c>
      <c r="AC238" s="119" t="str">
        <f t="shared" si="131"/>
        <v/>
      </c>
      <c r="AD238" s="119" t="str">
        <f t="shared" si="132"/>
        <v/>
      </c>
      <c r="AG238" s="124">
        <v>0.6</v>
      </c>
      <c r="AH238" s="123">
        <v>2</v>
      </c>
      <c r="AI238" s="123">
        <v>1</v>
      </c>
      <c r="AJ238" s="123"/>
      <c r="AK238" s="123"/>
      <c r="AL238" s="123"/>
      <c r="AM238" s="123"/>
      <c r="AN238" s="123"/>
      <c r="AO238" s="123"/>
      <c r="AP238" s="123"/>
      <c r="AQ238" s="123"/>
      <c r="AR238" s="125"/>
    </row>
    <row r="239" spans="9:44" ht="12" customHeight="1">
      <c r="I239" s="143" t="str">
        <f t="shared" si="143"/>
        <v>Residential Process cooling  Solar</v>
      </c>
      <c r="J239" s="146" t="s">
        <v>205</v>
      </c>
      <c r="K239" s="143" t="str">
        <f t="shared" si="144"/>
        <v>RES-APSOLExt</v>
      </c>
      <c r="L239" s="101" t="str">
        <f t="shared" si="140"/>
        <v/>
      </c>
      <c r="P239" s="122" t="str">
        <f t="shared" si="119"/>
        <v/>
      </c>
      <c r="Q239" s="114" t="str">
        <f t="shared" si="118"/>
        <v/>
      </c>
      <c r="R239" s="112" t="str">
        <f t="shared" si="120"/>
        <v/>
      </c>
      <c r="S239" s="119" t="str">
        <f t="shared" si="121"/>
        <v/>
      </c>
      <c r="T239" s="119" t="str">
        <f t="shared" si="122"/>
        <v/>
      </c>
      <c r="U239" s="119" t="str">
        <f t="shared" si="123"/>
        <v/>
      </c>
      <c r="V239" s="119" t="str">
        <f t="shared" si="124"/>
        <v/>
      </c>
      <c r="W239" s="119" t="str">
        <f t="shared" si="125"/>
        <v/>
      </c>
      <c r="X239" s="119" t="str">
        <f t="shared" si="126"/>
        <v/>
      </c>
      <c r="Y239" s="119" t="str">
        <f t="shared" si="127"/>
        <v/>
      </c>
      <c r="Z239" s="119" t="str">
        <f t="shared" si="128"/>
        <v/>
      </c>
      <c r="AA239" s="119" t="str">
        <f t="shared" si="129"/>
        <v/>
      </c>
      <c r="AB239" s="119" t="str">
        <f t="shared" si="130"/>
        <v/>
      </c>
      <c r="AC239" s="119" t="str">
        <f t="shared" si="131"/>
        <v/>
      </c>
      <c r="AD239" s="119" t="str">
        <f t="shared" si="132"/>
        <v/>
      </c>
      <c r="AG239" s="124">
        <v>0.6</v>
      </c>
      <c r="AH239" s="123">
        <v>2</v>
      </c>
      <c r="AI239" s="123">
        <v>1</v>
      </c>
      <c r="AJ239" s="123"/>
      <c r="AK239" s="123"/>
      <c r="AL239" s="123"/>
      <c r="AM239" s="123"/>
      <c r="AN239" s="123"/>
      <c r="AO239" s="123"/>
      <c r="AP239" s="123"/>
      <c r="AQ239" s="123"/>
      <c r="AR239" s="125"/>
    </row>
    <row r="240" spans="9:44" ht="12" customHeight="1">
      <c r="I240" s="143" t="str">
        <f t="shared" si="143"/>
        <v>Residential Process cooling  Wind</v>
      </c>
      <c r="J240" s="146" t="s">
        <v>205</v>
      </c>
      <c r="K240" s="143" t="str">
        <f t="shared" si="144"/>
        <v>RES-APWINExt</v>
      </c>
      <c r="L240" s="101" t="str">
        <f t="shared" si="140"/>
        <v/>
      </c>
      <c r="P240" s="122" t="str">
        <f t="shared" si="119"/>
        <v/>
      </c>
      <c r="Q240" s="114" t="str">
        <f t="shared" si="118"/>
        <v/>
      </c>
      <c r="R240" s="112" t="str">
        <f t="shared" si="120"/>
        <v/>
      </c>
      <c r="S240" s="119" t="str">
        <f t="shared" si="121"/>
        <v/>
      </c>
      <c r="T240" s="119" t="str">
        <f t="shared" si="122"/>
        <v/>
      </c>
      <c r="U240" s="119" t="str">
        <f t="shared" si="123"/>
        <v/>
      </c>
      <c r="V240" s="119" t="str">
        <f t="shared" si="124"/>
        <v/>
      </c>
      <c r="W240" s="119" t="str">
        <f t="shared" si="125"/>
        <v/>
      </c>
      <c r="X240" s="119" t="str">
        <f t="shared" si="126"/>
        <v/>
      </c>
      <c r="Y240" s="119" t="str">
        <f t="shared" si="127"/>
        <v/>
      </c>
      <c r="Z240" s="119" t="str">
        <f t="shared" si="128"/>
        <v/>
      </c>
      <c r="AA240" s="119" t="str">
        <f t="shared" si="129"/>
        <v/>
      </c>
      <c r="AB240" s="119" t="str">
        <f t="shared" si="130"/>
        <v/>
      </c>
      <c r="AC240" s="119" t="str">
        <f t="shared" si="131"/>
        <v/>
      </c>
      <c r="AD240" s="119" t="str">
        <f t="shared" si="132"/>
        <v/>
      </c>
      <c r="AG240" s="124">
        <v>0.6</v>
      </c>
      <c r="AH240" s="123">
        <v>2</v>
      </c>
      <c r="AI240" s="123">
        <v>1</v>
      </c>
      <c r="AJ240" s="123"/>
      <c r="AK240" s="123"/>
      <c r="AL240" s="123"/>
      <c r="AM240" s="123"/>
      <c r="AN240" s="123"/>
      <c r="AO240" s="123"/>
      <c r="AP240" s="123"/>
      <c r="AQ240" s="123"/>
      <c r="AR240" s="125"/>
    </row>
    <row r="241" spans="2:44" ht="12" customHeight="1">
      <c r="I241" s="143" t="str">
        <f t="shared" si="143"/>
        <v>Residential Process cooling  Bio Liquids</v>
      </c>
      <c r="J241" s="146" t="s">
        <v>205</v>
      </c>
      <c r="K241" s="143" t="str">
        <f t="shared" si="144"/>
        <v>RES-APBILExt</v>
      </c>
      <c r="L241" s="101" t="str">
        <f t="shared" si="140"/>
        <v/>
      </c>
      <c r="P241" s="122" t="str">
        <f t="shared" si="119"/>
        <v/>
      </c>
      <c r="Q241" s="114" t="str">
        <f t="shared" si="118"/>
        <v/>
      </c>
      <c r="R241" s="112" t="str">
        <f t="shared" si="120"/>
        <v/>
      </c>
      <c r="S241" s="119" t="str">
        <f t="shared" si="121"/>
        <v/>
      </c>
      <c r="T241" s="119" t="str">
        <f t="shared" si="122"/>
        <v/>
      </c>
      <c r="U241" s="119" t="str">
        <f t="shared" si="123"/>
        <v/>
      </c>
      <c r="V241" s="119" t="str">
        <f t="shared" si="124"/>
        <v/>
      </c>
      <c r="W241" s="119" t="str">
        <f t="shared" si="125"/>
        <v/>
      </c>
      <c r="X241" s="119" t="str">
        <f t="shared" si="126"/>
        <v/>
      </c>
      <c r="Y241" s="119" t="str">
        <f t="shared" si="127"/>
        <v/>
      </c>
      <c r="Z241" s="119" t="str">
        <f t="shared" si="128"/>
        <v/>
      </c>
      <c r="AA241" s="119" t="str">
        <f t="shared" si="129"/>
        <v/>
      </c>
      <c r="AB241" s="119" t="str">
        <f t="shared" si="130"/>
        <v/>
      </c>
      <c r="AC241" s="119" t="str">
        <f t="shared" si="131"/>
        <v/>
      </c>
      <c r="AD241" s="119" t="str">
        <f t="shared" si="132"/>
        <v/>
      </c>
      <c r="AG241" s="124">
        <v>0.6</v>
      </c>
      <c r="AH241" s="123">
        <v>2</v>
      </c>
      <c r="AI241" s="123">
        <v>1</v>
      </c>
      <c r="AJ241" s="123"/>
      <c r="AK241" s="123"/>
      <c r="AL241" s="123"/>
      <c r="AM241" s="123"/>
      <c r="AN241" s="123"/>
      <c r="AO241" s="123"/>
      <c r="AP241" s="123"/>
      <c r="AQ241" s="123"/>
      <c r="AR241" s="125"/>
    </row>
    <row r="242" spans="2:44" ht="12" customHeight="1">
      <c r="I242" s="143" t="str">
        <f t="shared" si="143"/>
        <v>Residential Process cooling  Biogas</v>
      </c>
      <c r="J242" s="146" t="s">
        <v>205</v>
      </c>
      <c r="K242" s="143" t="str">
        <f t="shared" si="144"/>
        <v>RES-APBIGExt</v>
      </c>
      <c r="L242" s="101" t="str">
        <f t="shared" si="140"/>
        <v/>
      </c>
      <c r="P242" s="122" t="str">
        <f t="shared" si="119"/>
        <v/>
      </c>
      <c r="Q242" s="114" t="str">
        <f t="shared" si="118"/>
        <v/>
      </c>
      <c r="R242" s="112" t="str">
        <f t="shared" si="120"/>
        <v/>
      </c>
      <c r="S242" s="119" t="str">
        <f t="shared" si="121"/>
        <v/>
      </c>
      <c r="T242" s="119" t="str">
        <f t="shared" si="122"/>
        <v/>
      </c>
      <c r="U242" s="119" t="str">
        <f t="shared" si="123"/>
        <v/>
      </c>
      <c r="V242" s="119" t="str">
        <f t="shared" si="124"/>
        <v/>
      </c>
      <c r="W242" s="119" t="str">
        <f t="shared" si="125"/>
        <v/>
      </c>
      <c r="X242" s="119" t="str">
        <f t="shared" si="126"/>
        <v/>
      </c>
      <c r="Y242" s="119" t="str">
        <f t="shared" si="127"/>
        <v/>
      </c>
      <c r="Z242" s="119" t="str">
        <f t="shared" si="128"/>
        <v/>
      </c>
      <c r="AA242" s="119" t="str">
        <f t="shared" si="129"/>
        <v/>
      </c>
      <c r="AB242" s="119" t="str">
        <f t="shared" si="130"/>
        <v/>
      </c>
      <c r="AC242" s="119" t="str">
        <f t="shared" si="131"/>
        <v/>
      </c>
      <c r="AD242" s="119" t="str">
        <f t="shared" si="132"/>
        <v/>
      </c>
      <c r="AG242" s="124">
        <v>0.6</v>
      </c>
      <c r="AH242" s="123">
        <v>2</v>
      </c>
      <c r="AI242" s="123">
        <v>1</v>
      </c>
      <c r="AJ242" s="123"/>
      <c r="AK242" s="123"/>
      <c r="AL242" s="123"/>
      <c r="AM242" s="123"/>
      <c r="AN242" s="123"/>
      <c r="AO242" s="123"/>
      <c r="AP242" s="123"/>
      <c r="AQ242" s="123"/>
      <c r="AR242" s="125"/>
    </row>
    <row r="243" spans="2:44" ht="12" customHeight="1">
      <c r="I243" s="143" t="str">
        <f t="shared" si="143"/>
        <v>Residential Process cooling  Wood</v>
      </c>
      <c r="J243" s="146" t="s">
        <v>205</v>
      </c>
      <c r="K243" s="143" t="str">
        <f t="shared" si="144"/>
        <v>RES-APWODExt</v>
      </c>
      <c r="L243" s="101" t="str">
        <f t="shared" si="140"/>
        <v/>
      </c>
      <c r="P243" s="122" t="str">
        <f t="shared" si="119"/>
        <v/>
      </c>
      <c r="Q243" s="114" t="str">
        <f t="shared" si="118"/>
        <v/>
      </c>
      <c r="R243" s="112" t="str">
        <f t="shared" si="120"/>
        <v/>
      </c>
      <c r="S243" s="119" t="str">
        <f t="shared" si="121"/>
        <v/>
      </c>
      <c r="T243" s="119" t="str">
        <f t="shared" si="122"/>
        <v/>
      </c>
      <c r="U243" s="119" t="str">
        <f t="shared" si="123"/>
        <v/>
      </c>
      <c r="V243" s="119" t="str">
        <f t="shared" si="124"/>
        <v/>
      </c>
      <c r="W243" s="119" t="str">
        <f t="shared" si="125"/>
        <v/>
      </c>
      <c r="X243" s="119" t="str">
        <f t="shared" si="126"/>
        <v/>
      </c>
      <c r="Y243" s="119" t="str">
        <f t="shared" si="127"/>
        <v/>
      </c>
      <c r="Z243" s="119" t="str">
        <f t="shared" si="128"/>
        <v/>
      </c>
      <c r="AA243" s="119" t="str">
        <f t="shared" si="129"/>
        <v/>
      </c>
      <c r="AB243" s="119" t="str">
        <f t="shared" si="130"/>
        <v/>
      </c>
      <c r="AC243" s="119" t="str">
        <f t="shared" si="131"/>
        <v/>
      </c>
      <c r="AD243" s="119" t="str">
        <f t="shared" si="132"/>
        <v/>
      </c>
      <c r="AG243" s="124">
        <v>0.6</v>
      </c>
      <c r="AH243" s="123">
        <v>2</v>
      </c>
      <c r="AI243" s="123">
        <v>1</v>
      </c>
      <c r="AJ243" s="123"/>
      <c r="AK243" s="123"/>
      <c r="AL243" s="123"/>
      <c r="AM243" s="123"/>
      <c r="AN243" s="123"/>
      <c r="AO243" s="123"/>
      <c r="AP243" s="123"/>
      <c r="AQ243" s="123"/>
      <c r="AR243" s="125"/>
    </row>
    <row r="244" spans="2:44" ht="12" customHeight="1">
      <c r="I244" s="143" t="str">
        <f t="shared" si="143"/>
        <v>Residential Process cooling  Tidal</v>
      </c>
      <c r="J244" s="146" t="s">
        <v>205</v>
      </c>
      <c r="K244" s="143" t="str">
        <f t="shared" si="144"/>
        <v>RES-APTIDExt</v>
      </c>
      <c r="L244" s="101" t="str">
        <f t="shared" si="140"/>
        <v/>
      </c>
      <c r="P244" s="122" t="str">
        <f t="shared" si="119"/>
        <v/>
      </c>
      <c r="Q244" s="114" t="str">
        <f t="shared" si="118"/>
        <v/>
      </c>
      <c r="R244" s="112" t="str">
        <f t="shared" si="120"/>
        <v/>
      </c>
      <c r="S244" s="119" t="str">
        <f t="shared" si="121"/>
        <v/>
      </c>
      <c r="T244" s="119" t="str">
        <f t="shared" si="122"/>
        <v/>
      </c>
      <c r="U244" s="119" t="str">
        <f t="shared" si="123"/>
        <v/>
      </c>
      <c r="V244" s="119" t="str">
        <f t="shared" si="124"/>
        <v/>
      </c>
      <c r="W244" s="119" t="str">
        <f t="shared" si="125"/>
        <v/>
      </c>
      <c r="X244" s="119" t="str">
        <f t="shared" si="126"/>
        <v/>
      </c>
      <c r="Y244" s="119" t="str">
        <f t="shared" si="127"/>
        <v/>
      </c>
      <c r="Z244" s="119" t="str">
        <f t="shared" si="128"/>
        <v/>
      </c>
      <c r="AA244" s="119" t="str">
        <f t="shared" si="129"/>
        <v/>
      </c>
      <c r="AB244" s="119" t="str">
        <f t="shared" si="130"/>
        <v/>
      </c>
      <c r="AC244" s="119" t="str">
        <f t="shared" si="131"/>
        <v/>
      </c>
      <c r="AD244" s="119" t="str">
        <f t="shared" si="132"/>
        <v/>
      </c>
      <c r="AG244" s="124">
        <v>0.6</v>
      </c>
      <c r="AH244" s="123">
        <v>2</v>
      </c>
      <c r="AI244" s="123">
        <v>1</v>
      </c>
      <c r="AJ244" s="123"/>
      <c r="AK244" s="123"/>
      <c r="AL244" s="123"/>
      <c r="AM244" s="123"/>
      <c r="AN244" s="123"/>
      <c r="AO244" s="123"/>
      <c r="AP244" s="123"/>
      <c r="AQ244" s="123"/>
      <c r="AR244" s="125"/>
    </row>
    <row r="245" spans="2:44" ht="12" customHeight="1" thickBot="1">
      <c r="I245" s="144" t="str">
        <f t="shared" si="143"/>
        <v>Residential Process cooling  Electricity</v>
      </c>
      <c r="J245" s="155" t="s">
        <v>198</v>
      </c>
      <c r="K245" s="144" t="str">
        <f t="shared" si="144"/>
        <v>RES-APELCExt</v>
      </c>
      <c r="L245" s="101" t="str">
        <f>IF(J245="Yes",K245,"")</f>
        <v>RES-APELCExt</v>
      </c>
      <c r="P245" s="122" t="str">
        <f t="shared" si="119"/>
        <v>RES-APELCExt</v>
      </c>
      <c r="Q245" s="114" t="str">
        <f t="shared" si="118"/>
        <v>RES-ELC</v>
      </c>
      <c r="R245" s="112" t="str">
        <f t="shared" si="120"/>
        <v>RES-AP</v>
      </c>
      <c r="S245" s="119">
        <f t="shared" si="121"/>
        <v>0.6</v>
      </c>
      <c r="T245" s="119">
        <f t="shared" si="122"/>
        <v>2</v>
      </c>
      <c r="U245" s="119">
        <f t="shared" si="123"/>
        <v>1</v>
      </c>
      <c r="V245" s="119">
        <f t="shared" si="124"/>
        <v>0</v>
      </c>
      <c r="W245" s="119">
        <f t="shared" si="125"/>
        <v>0</v>
      </c>
      <c r="X245" s="119">
        <f t="shared" si="126"/>
        <v>0</v>
      </c>
      <c r="Y245" s="119">
        <f t="shared" si="127"/>
        <v>0</v>
      </c>
      <c r="Z245" s="119">
        <f t="shared" si="128"/>
        <v>0</v>
      </c>
      <c r="AA245" s="119">
        <f t="shared" si="129"/>
        <v>0</v>
      </c>
      <c r="AB245" s="119">
        <f t="shared" si="130"/>
        <v>0</v>
      </c>
      <c r="AC245" s="119">
        <f t="shared" si="131"/>
        <v>0</v>
      </c>
      <c r="AD245" s="119">
        <f t="shared" si="132"/>
        <v>0</v>
      </c>
      <c r="AG245" s="126">
        <v>0.6</v>
      </c>
      <c r="AH245" s="127">
        <v>2</v>
      </c>
      <c r="AI245" s="127">
        <v>1</v>
      </c>
      <c r="AJ245" s="128"/>
      <c r="AK245" s="128"/>
      <c r="AL245" s="128"/>
      <c r="AM245" s="128"/>
      <c r="AN245" s="128"/>
      <c r="AO245" s="128"/>
      <c r="AP245" s="128"/>
      <c r="AQ245" s="128"/>
      <c r="AR245" s="129"/>
    </row>
    <row r="251" spans="2:44" ht="12" customHeight="1" thickBot="1"/>
    <row r="252" spans="2:44" ht="12" customHeight="1">
      <c r="B252" s="109" t="s">
        <v>62</v>
      </c>
      <c r="C252" s="109" t="s">
        <v>64</v>
      </c>
      <c r="D252" s="109" t="s">
        <v>201</v>
      </c>
      <c r="E252" s="109" t="s">
        <v>194</v>
      </c>
      <c r="F252" s="109" t="s">
        <v>199</v>
      </c>
      <c r="G252" s="109" t="s">
        <v>197</v>
      </c>
      <c r="H252" s="109" t="s">
        <v>200</v>
      </c>
      <c r="I252" s="109" t="s">
        <v>196</v>
      </c>
      <c r="J252" s="109" t="s">
        <v>195</v>
      </c>
      <c r="K252" s="109" t="s">
        <v>203</v>
      </c>
      <c r="L252" s="109" t="s">
        <v>204</v>
      </c>
      <c r="P252" s="120" t="s">
        <v>1</v>
      </c>
      <c r="Q252" s="121" t="s">
        <v>5</v>
      </c>
      <c r="R252" s="121" t="s">
        <v>6</v>
      </c>
      <c r="S252" s="160" t="s">
        <v>56</v>
      </c>
      <c r="T252" s="160" t="s">
        <v>188</v>
      </c>
      <c r="U252" s="160" t="s">
        <v>189</v>
      </c>
      <c r="V252" s="160" t="s">
        <v>190</v>
      </c>
      <c r="W252" s="160" t="s">
        <v>209</v>
      </c>
      <c r="X252" s="160" t="s">
        <v>191</v>
      </c>
      <c r="Y252" s="160" t="s">
        <v>192</v>
      </c>
      <c r="Z252" s="160" t="s">
        <v>210</v>
      </c>
      <c r="AA252" s="160" t="s">
        <v>211</v>
      </c>
      <c r="AB252" s="160" t="s">
        <v>193</v>
      </c>
      <c r="AC252" s="161" t="s">
        <v>359</v>
      </c>
      <c r="AD252" s="161" t="s">
        <v>212</v>
      </c>
      <c r="AG252" s="133" t="s">
        <v>56</v>
      </c>
      <c r="AH252" s="134" t="s">
        <v>188</v>
      </c>
      <c r="AI252" s="134" t="s">
        <v>189</v>
      </c>
      <c r="AJ252" s="134" t="s">
        <v>190</v>
      </c>
      <c r="AK252" s="134" t="s">
        <v>209</v>
      </c>
      <c r="AL252" s="134" t="s">
        <v>191</v>
      </c>
      <c r="AM252" s="134" t="s">
        <v>192</v>
      </c>
      <c r="AN252" s="134" t="s">
        <v>210</v>
      </c>
      <c r="AO252" s="134" t="s">
        <v>211</v>
      </c>
      <c r="AP252" s="134" t="s">
        <v>193</v>
      </c>
      <c r="AQ252" s="134" t="s">
        <v>359</v>
      </c>
      <c r="AR252" s="135" t="s">
        <v>212</v>
      </c>
    </row>
    <row r="253" spans="2:44" ht="12" customHeight="1">
      <c r="B253" s="116" t="s">
        <v>202</v>
      </c>
      <c r="C253" s="108" t="s">
        <v>45</v>
      </c>
      <c r="D253" s="116" t="s">
        <v>236</v>
      </c>
      <c r="E253" s="106" t="s">
        <v>216</v>
      </c>
      <c r="F253" s="110" t="s">
        <v>171</v>
      </c>
      <c r="G253" s="107" t="str">
        <f>C253&amp;" Coal"</f>
        <v>Commercial Coal</v>
      </c>
      <c r="H253" s="113" t="s">
        <v>237</v>
      </c>
      <c r="I253" s="140" t="str">
        <f>$C$253&amp;" "&amp;$E$253&amp;" "&amp;RIGHT(G253,LEN(G253)-FIND(" ",G253))</f>
        <v>Commercial Space heating  Coal</v>
      </c>
      <c r="J253" s="145" t="s">
        <v>198</v>
      </c>
      <c r="K253" s="142" t="str">
        <f>$D$253&amp;$F$253&amp;RIGHT(H253,3)&amp;$B$253</f>
        <v>COM-SHCOAExt</v>
      </c>
      <c r="L253" s="101" t="str">
        <f t="shared" ref="L253:L274" si="145">IF(J253="Yes",K253,"")</f>
        <v>COM-SHCOAExt</v>
      </c>
      <c r="P253" s="122" t="str">
        <f>L253</f>
        <v>COM-SHCOAExt</v>
      </c>
      <c r="Q253" s="114" t="str">
        <f t="shared" ref="Q253:Q316" si="146">IF(J253="yes",LEFT(P253,3)&amp;"-"&amp;MID(P253,7,3),"")</f>
        <v>COM-COA</v>
      </c>
      <c r="R253" s="112" t="str">
        <f>LEFT(P253,6)</f>
        <v>COM-SH</v>
      </c>
      <c r="S253" s="119">
        <f>IF(P253&lt;&gt;"",AG253,"")</f>
        <v>0.6</v>
      </c>
      <c r="T253" s="119">
        <f t="shared" ref="T253:AD253" si="147">IF(Q253&lt;&gt;"",AH253,"")</f>
        <v>2</v>
      </c>
      <c r="U253" s="119">
        <f t="shared" si="147"/>
        <v>1</v>
      </c>
      <c r="V253" s="119">
        <f t="shared" si="147"/>
        <v>0</v>
      </c>
      <c r="W253" s="119">
        <f t="shared" si="147"/>
        <v>0</v>
      </c>
      <c r="X253" s="119">
        <f t="shared" si="147"/>
        <v>0</v>
      </c>
      <c r="Y253" s="119">
        <f t="shared" si="147"/>
        <v>0</v>
      </c>
      <c r="Z253" s="119">
        <f t="shared" si="147"/>
        <v>0</v>
      </c>
      <c r="AA253" s="119">
        <f t="shared" si="147"/>
        <v>0</v>
      </c>
      <c r="AB253" s="119">
        <f t="shared" si="147"/>
        <v>0</v>
      </c>
      <c r="AC253" s="119">
        <f t="shared" si="147"/>
        <v>0</v>
      </c>
      <c r="AD253" s="119">
        <f t="shared" si="147"/>
        <v>0</v>
      </c>
      <c r="AG253" s="130">
        <v>0.6</v>
      </c>
      <c r="AH253" s="131">
        <v>2</v>
      </c>
      <c r="AI253" s="131">
        <v>1</v>
      </c>
      <c r="AJ253" s="131"/>
      <c r="AK253" s="131"/>
      <c r="AL253" s="131"/>
      <c r="AM253" s="131"/>
      <c r="AN253" s="131"/>
      <c r="AO253" s="131"/>
      <c r="AP253" s="131"/>
      <c r="AQ253" s="131"/>
      <c r="AR253" s="132"/>
    </row>
    <row r="254" spans="2:44" ht="12" customHeight="1">
      <c r="B254" s="116"/>
      <c r="C254" s="108"/>
      <c r="D254" s="116"/>
      <c r="E254" s="106" t="s">
        <v>173</v>
      </c>
      <c r="F254" s="110" t="s">
        <v>172</v>
      </c>
      <c r="G254" s="107" t="str">
        <f>C253&amp;" Lignite"</f>
        <v>Commercial Lignite</v>
      </c>
      <c r="H254" s="113" t="s">
        <v>238</v>
      </c>
      <c r="I254" s="141" t="str">
        <f t="shared" ref="I254:I265" si="148">$C$253&amp;" "&amp;$E$253&amp;" "&amp;RIGHT(G254,LEN(G254)-FIND(" ",G254))</f>
        <v>Commercial Space heating  Lignite</v>
      </c>
      <c r="J254" s="146" t="s">
        <v>205</v>
      </c>
      <c r="K254" s="143" t="str">
        <f t="shared" ref="K254:K265" si="149">$D$253&amp;$F$253&amp;RIGHT(H254,3)&amp;$B$253</f>
        <v>COM-SHCOLExt</v>
      </c>
      <c r="L254" s="101" t="str">
        <f t="shared" si="145"/>
        <v/>
      </c>
      <c r="P254" s="122" t="str">
        <f t="shared" ref="P254:P317" si="150">L254</f>
        <v/>
      </c>
      <c r="Q254" s="114" t="str">
        <f t="shared" si="146"/>
        <v/>
      </c>
      <c r="R254" s="112" t="str">
        <f t="shared" ref="R254:R317" si="151">LEFT(P254,6)</f>
        <v/>
      </c>
      <c r="S254" s="119" t="str">
        <f t="shared" ref="S254:S317" si="152">IF(P254&lt;&gt;"",AG254,"")</f>
        <v/>
      </c>
      <c r="T254" s="119" t="str">
        <f t="shared" ref="T254:T317" si="153">IF(Q254&lt;&gt;"",AH254,"")</f>
        <v/>
      </c>
      <c r="U254" s="119" t="str">
        <f t="shared" ref="U254:U317" si="154">IF(R254&lt;&gt;"",AI254,"")</f>
        <v/>
      </c>
      <c r="V254" s="119" t="str">
        <f t="shared" ref="V254:V317" si="155">IF(S254&lt;&gt;"",AJ254,"")</f>
        <v/>
      </c>
      <c r="W254" s="119" t="str">
        <f t="shared" ref="W254:W317" si="156">IF(T254&lt;&gt;"",AK254,"")</f>
        <v/>
      </c>
      <c r="X254" s="119" t="str">
        <f t="shared" ref="X254:X317" si="157">IF(U254&lt;&gt;"",AL254,"")</f>
        <v/>
      </c>
      <c r="Y254" s="119" t="str">
        <f t="shared" ref="Y254:Y317" si="158">IF(V254&lt;&gt;"",AM254,"")</f>
        <v/>
      </c>
      <c r="Z254" s="119" t="str">
        <f t="shared" ref="Z254:Z317" si="159">IF(W254&lt;&gt;"",AN254,"")</f>
        <v/>
      </c>
      <c r="AA254" s="119" t="str">
        <f t="shared" ref="AA254:AA317" si="160">IF(X254&lt;&gt;"",AO254,"")</f>
        <v/>
      </c>
      <c r="AB254" s="119" t="str">
        <f t="shared" ref="AB254:AB317" si="161">IF(Y254&lt;&gt;"",AP254,"")</f>
        <v/>
      </c>
      <c r="AC254" s="119" t="str">
        <f t="shared" ref="AC254:AC317" si="162">IF(Z254&lt;&gt;"",AQ254,"")</f>
        <v/>
      </c>
      <c r="AD254" s="119" t="str">
        <f t="shared" ref="AD254:AD317" si="163">IF(AA254&lt;&gt;"",AR254,"")</f>
        <v/>
      </c>
      <c r="AG254" s="124">
        <v>0.6</v>
      </c>
      <c r="AH254" s="123">
        <v>2</v>
      </c>
      <c r="AI254" s="123">
        <v>1</v>
      </c>
      <c r="AJ254" s="123"/>
      <c r="AK254" s="123"/>
      <c r="AL254" s="123"/>
      <c r="AM254" s="123"/>
      <c r="AN254" s="123"/>
      <c r="AO254" s="123"/>
      <c r="AP254" s="123"/>
      <c r="AQ254" s="123"/>
      <c r="AR254" s="125"/>
    </row>
    <row r="255" spans="2:44" ht="12" customHeight="1">
      <c r="B255" s="116"/>
      <c r="C255" s="108"/>
      <c r="D255" s="116"/>
      <c r="E255" s="106" t="s">
        <v>213</v>
      </c>
      <c r="F255" s="110" t="s">
        <v>214</v>
      </c>
      <c r="G255" s="107" t="str">
        <f>C253&amp;" Crude oil"</f>
        <v>Commercial Crude oil</v>
      </c>
      <c r="H255" s="113" t="s">
        <v>239</v>
      </c>
      <c r="I255" s="141" t="str">
        <f t="shared" si="148"/>
        <v>Commercial Space heating  Crude oil</v>
      </c>
      <c r="J255" s="146" t="s">
        <v>198</v>
      </c>
      <c r="K255" s="143" t="str">
        <f t="shared" si="149"/>
        <v>COM-SHOILExt</v>
      </c>
      <c r="L255" s="101" t="str">
        <f t="shared" si="145"/>
        <v>COM-SHOILExt</v>
      </c>
      <c r="P255" s="122" t="str">
        <f t="shared" si="150"/>
        <v>COM-SHOILExt</v>
      </c>
      <c r="Q255" s="114" t="str">
        <f t="shared" si="146"/>
        <v>COM-OIL</v>
      </c>
      <c r="R255" s="112" t="str">
        <f t="shared" si="151"/>
        <v>COM-SH</v>
      </c>
      <c r="S255" s="119">
        <f t="shared" si="152"/>
        <v>0.6</v>
      </c>
      <c r="T255" s="119">
        <f t="shared" si="153"/>
        <v>2</v>
      </c>
      <c r="U255" s="119">
        <f t="shared" si="154"/>
        <v>1</v>
      </c>
      <c r="V255" s="119">
        <f t="shared" si="155"/>
        <v>0</v>
      </c>
      <c r="W255" s="119">
        <f t="shared" si="156"/>
        <v>0</v>
      </c>
      <c r="X255" s="119">
        <f t="shared" si="157"/>
        <v>0</v>
      </c>
      <c r="Y255" s="119">
        <f t="shared" si="158"/>
        <v>0</v>
      </c>
      <c r="Z255" s="119">
        <f t="shared" si="159"/>
        <v>0</v>
      </c>
      <c r="AA255" s="119">
        <f t="shared" si="160"/>
        <v>0</v>
      </c>
      <c r="AB255" s="119">
        <f t="shared" si="161"/>
        <v>0</v>
      </c>
      <c r="AC255" s="119">
        <f t="shared" si="162"/>
        <v>0</v>
      </c>
      <c r="AD255" s="119">
        <f t="shared" si="163"/>
        <v>0</v>
      </c>
      <c r="AG255" s="124">
        <v>0.6</v>
      </c>
      <c r="AH255" s="123">
        <v>2</v>
      </c>
      <c r="AI255" s="123">
        <v>1</v>
      </c>
      <c r="AJ255" s="123"/>
      <c r="AK255" s="123"/>
      <c r="AL255" s="123"/>
      <c r="AM255" s="123"/>
      <c r="AN255" s="123"/>
      <c r="AO255" s="123"/>
      <c r="AP255" s="123"/>
      <c r="AQ255" s="123"/>
      <c r="AR255" s="125"/>
    </row>
    <row r="256" spans="2:44" ht="12" customHeight="1">
      <c r="B256" s="116"/>
      <c r="C256" s="108"/>
      <c r="D256" s="116"/>
      <c r="E256" s="106" t="s">
        <v>177</v>
      </c>
      <c r="F256" s="110" t="s">
        <v>176</v>
      </c>
      <c r="G256" s="107" t="str">
        <f>C253&amp;" Natural Gas"</f>
        <v>Commercial Natural Gas</v>
      </c>
      <c r="H256" s="113" t="s">
        <v>240</v>
      </c>
      <c r="I256" s="141" t="str">
        <f t="shared" si="148"/>
        <v>Commercial Space heating  Natural Gas</v>
      </c>
      <c r="J256" s="146" t="s">
        <v>198</v>
      </c>
      <c r="K256" s="143" t="str">
        <f t="shared" si="149"/>
        <v>COM-SHNGAExt</v>
      </c>
      <c r="L256" s="101" t="str">
        <f t="shared" si="145"/>
        <v>COM-SHNGAExt</v>
      </c>
      <c r="P256" s="122" t="str">
        <f t="shared" si="150"/>
        <v>COM-SHNGAExt</v>
      </c>
      <c r="Q256" s="114" t="str">
        <f t="shared" si="146"/>
        <v>COM-NGA</v>
      </c>
      <c r="R256" s="112" t="str">
        <f t="shared" si="151"/>
        <v>COM-SH</v>
      </c>
      <c r="S256" s="119">
        <f t="shared" si="152"/>
        <v>0.6</v>
      </c>
      <c r="T256" s="119">
        <f t="shared" si="153"/>
        <v>2</v>
      </c>
      <c r="U256" s="119">
        <f t="shared" si="154"/>
        <v>1</v>
      </c>
      <c r="V256" s="119">
        <f t="shared" si="155"/>
        <v>0</v>
      </c>
      <c r="W256" s="119">
        <f t="shared" si="156"/>
        <v>0</v>
      </c>
      <c r="X256" s="119">
        <f t="shared" si="157"/>
        <v>0</v>
      </c>
      <c r="Y256" s="119">
        <f t="shared" si="158"/>
        <v>0</v>
      </c>
      <c r="Z256" s="119">
        <f t="shared" si="159"/>
        <v>0</v>
      </c>
      <c r="AA256" s="119">
        <f t="shared" si="160"/>
        <v>0</v>
      </c>
      <c r="AB256" s="119">
        <f t="shared" si="161"/>
        <v>0</v>
      </c>
      <c r="AC256" s="119">
        <f t="shared" si="162"/>
        <v>0</v>
      </c>
      <c r="AD256" s="119">
        <f t="shared" si="163"/>
        <v>0</v>
      </c>
      <c r="AG256" s="124">
        <v>0.6</v>
      </c>
      <c r="AH256" s="123">
        <v>2</v>
      </c>
      <c r="AI256" s="123">
        <v>1</v>
      </c>
      <c r="AJ256" s="123"/>
      <c r="AK256" s="123"/>
      <c r="AL256" s="123"/>
      <c r="AM256" s="123"/>
      <c r="AN256" s="123"/>
      <c r="AO256" s="123"/>
      <c r="AP256" s="123"/>
      <c r="AQ256" s="123"/>
      <c r="AR256" s="125"/>
    </row>
    <row r="257" spans="2:44" ht="12" customHeight="1">
      <c r="B257" s="116"/>
      <c r="C257" s="108"/>
      <c r="D257" s="116"/>
      <c r="E257" s="106" t="s">
        <v>179</v>
      </c>
      <c r="F257" s="110" t="s">
        <v>178</v>
      </c>
      <c r="G257" s="107" t="str">
        <f>C253&amp;" Hydro"</f>
        <v>Commercial Hydro</v>
      </c>
      <c r="H257" s="113" t="s">
        <v>241</v>
      </c>
      <c r="I257" s="141" t="str">
        <f t="shared" si="148"/>
        <v>Commercial Space heating  Hydro</v>
      </c>
      <c r="J257" s="146" t="s">
        <v>205</v>
      </c>
      <c r="K257" s="143" t="str">
        <f t="shared" si="149"/>
        <v>COM-SHHYDExt</v>
      </c>
      <c r="L257" s="101" t="str">
        <f t="shared" si="145"/>
        <v/>
      </c>
      <c r="P257" s="122" t="str">
        <f t="shared" si="150"/>
        <v/>
      </c>
      <c r="Q257" s="114" t="str">
        <f t="shared" si="146"/>
        <v/>
      </c>
      <c r="R257" s="112" t="str">
        <f t="shared" si="151"/>
        <v/>
      </c>
      <c r="S257" s="119" t="str">
        <f t="shared" si="152"/>
        <v/>
      </c>
      <c r="T257" s="119" t="str">
        <f t="shared" si="153"/>
        <v/>
      </c>
      <c r="U257" s="119" t="str">
        <f t="shared" si="154"/>
        <v/>
      </c>
      <c r="V257" s="119" t="str">
        <f t="shared" si="155"/>
        <v/>
      </c>
      <c r="W257" s="119" t="str">
        <f t="shared" si="156"/>
        <v/>
      </c>
      <c r="X257" s="119" t="str">
        <f t="shared" si="157"/>
        <v/>
      </c>
      <c r="Y257" s="119" t="str">
        <f t="shared" si="158"/>
        <v/>
      </c>
      <c r="Z257" s="119" t="str">
        <f t="shared" si="159"/>
        <v/>
      </c>
      <c r="AA257" s="119" t="str">
        <f t="shared" si="160"/>
        <v/>
      </c>
      <c r="AB257" s="119" t="str">
        <f t="shared" si="161"/>
        <v/>
      </c>
      <c r="AC257" s="119" t="str">
        <f t="shared" si="162"/>
        <v/>
      </c>
      <c r="AD257" s="119" t="str">
        <f t="shared" si="163"/>
        <v/>
      </c>
      <c r="AG257" s="124">
        <v>0.6</v>
      </c>
      <c r="AH257" s="123">
        <v>2</v>
      </c>
      <c r="AI257" s="123">
        <v>1</v>
      </c>
      <c r="AJ257" s="123"/>
      <c r="AK257" s="123"/>
      <c r="AL257" s="123"/>
      <c r="AM257" s="123"/>
      <c r="AN257" s="123"/>
      <c r="AO257" s="123"/>
      <c r="AP257" s="123"/>
      <c r="AQ257" s="123"/>
      <c r="AR257" s="125"/>
    </row>
    <row r="258" spans="2:44" ht="12" customHeight="1">
      <c r="B258" s="116"/>
      <c r="C258" s="108"/>
      <c r="D258" s="116"/>
      <c r="E258" s="106" t="s">
        <v>181</v>
      </c>
      <c r="F258" s="110" t="s">
        <v>180</v>
      </c>
      <c r="G258" s="107" t="str">
        <f>C253&amp;" Geothermal"</f>
        <v>Commercial Geothermal</v>
      </c>
      <c r="H258" s="113" t="s">
        <v>242</v>
      </c>
      <c r="I258" s="141" t="str">
        <f t="shared" si="148"/>
        <v>Commercial Space heating  Geothermal</v>
      </c>
      <c r="J258" s="146" t="s">
        <v>205</v>
      </c>
      <c r="K258" s="143" t="str">
        <f t="shared" si="149"/>
        <v>COM-SHGEOExt</v>
      </c>
      <c r="L258" s="101" t="str">
        <f t="shared" si="145"/>
        <v/>
      </c>
      <c r="P258" s="122" t="str">
        <f t="shared" si="150"/>
        <v/>
      </c>
      <c r="Q258" s="114" t="str">
        <f t="shared" si="146"/>
        <v/>
      </c>
      <c r="R258" s="112" t="str">
        <f t="shared" si="151"/>
        <v/>
      </c>
      <c r="S258" s="119" t="str">
        <f t="shared" si="152"/>
        <v/>
      </c>
      <c r="T258" s="119" t="str">
        <f t="shared" si="153"/>
        <v/>
      </c>
      <c r="U258" s="119" t="str">
        <f t="shared" si="154"/>
        <v/>
      </c>
      <c r="V258" s="119" t="str">
        <f t="shared" si="155"/>
        <v/>
      </c>
      <c r="W258" s="119" t="str">
        <f t="shared" si="156"/>
        <v/>
      </c>
      <c r="X258" s="119" t="str">
        <f t="shared" si="157"/>
        <v/>
      </c>
      <c r="Y258" s="119" t="str">
        <f t="shared" si="158"/>
        <v/>
      </c>
      <c r="Z258" s="119" t="str">
        <f t="shared" si="159"/>
        <v/>
      </c>
      <c r="AA258" s="119" t="str">
        <f t="shared" si="160"/>
        <v/>
      </c>
      <c r="AB258" s="119" t="str">
        <f t="shared" si="161"/>
        <v/>
      </c>
      <c r="AC258" s="119" t="str">
        <f t="shared" si="162"/>
        <v/>
      </c>
      <c r="AD258" s="119" t="str">
        <f t="shared" si="163"/>
        <v/>
      </c>
      <c r="AG258" s="124">
        <v>0.6</v>
      </c>
      <c r="AH258" s="123">
        <v>2</v>
      </c>
      <c r="AI258" s="123">
        <v>1</v>
      </c>
      <c r="AJ258" s="123"/>
      <c r="AK258" s="123"/>
      <c r="AL258" s="123"/>
      <c r="AM258" s="123"/>
      <c r="AN258" s="123"/>
      <c r="AO258" s="123"/>
      <c r="AP258" s="123"/>
      <c r="AQ258" s="123"/>
      <c r="AR258" s="125"/>
    </row>
    <row r="259" spans="2:44" ht="12" customHeight="1">
      <c r="B259" s="116"/>
      <c r="C259" s="108"/>
      <c r="D259" s="116"/>
      <c r="E259" s="106" t="s">
        <v>251</v>
      </c>
      <c r="F259" s="110" t="s">
        <v>252</v>
      </c>
      <c r="G259" s="107" t="str">
        <f>C253&amp;" Solar"</f>
        <v>Commercial Solar</v>
      </c>
      <c r="H259" s="116" t="s">
        <v>243</v>
      </c>
      <c r="I259" s="141" t="str">
        <f t="shared" si="148"/>
        <v>Commercial Space heating  Solar</v>
      </c>
      <c r="J259" s="146" t="s">
        <v>198</v>
      </c>
      <c r="K259" s="143" t="str">
        <f t="shared" si="149"/>
        <v>COM-SHSOLExt</v>
      </c>
      <c r="L259" s="101" t="str">
        <f t="shared" si="145"/>
        <v>COM-SHSOLExt</v>
      </c>
      <c r="P259" s="122" t="str">
        <f t="shared" si="150"/>
        <v>COM-SHSOLExt</v>
      </c>
      <c r="Q259" s="114" t="str">
        <f t="shared" si="146"/>
        <v>COM-SOL</v>
      </c>
      <c r="R259" s="112" t="str">
        <f t="shared" si="151"/>
        <v>COM-SH</v>
      </c>
      <c r="S259" s="119">
        <f t="shared" si="152"/>
        <v>0.6</v>
      </c>
      <c r="T259" s="119">
        <f t="shared" si="153"/>
        <v>2</v>
      </c>
      <c r="U259" s="119">
        <f t="shared" si="154"/>
        <v>1</v>
      </c>
      <c r="V259" s="119">
        <f t="shared" si="155"/>
        <v>0</v>
      </c>
      <c r="W259" s="119">
        <f t="shared" si="156"/>
        <v>0</v>
      </c>
      <c r="X259" s="119">
        <f t="shared" si="157"/>
        <v>0</v>
      </c>
      <c r="Y259" s="119">
        <f t="shared" si="158"/>
        <v>0</v>
      </c>
      <c r="Z259" s="119">
        <f t="shared" si="159"/>
        <v>0</v>
      </c>
      <c r="AA259" s="119">
        <f t="shared" si="160"/>
        <v>0</v>
      </c>
      <c r="AB259" s="119">
        <f t="shared" si="161"/>
        <v>0</v>
      </c>
      <c r="AC259" s="119">
        <f t="shared" si="162"/>
        <v>0</v>
      </c>
      <c r="AD259" s="119">
        <f t="shared" si="163"/>
        <v>0</v>
      </c>
      <c r="AG259" s="124">
        <v>0.6</v>
      </c>
      <c r="AH259" s="123">
        <v>2</v>
      </c>
      <c r="AI259" s="123">
        <v>1</v>
      </c>
      <c r="AJ259" s="123"/>
      <c r="AK259" s="123"/>
      <c r="AL259" s="123"/>
      <c r="AM259" s="123"/>
      <c r="AN259" s="123"/>
      <c r="AO259" s="123"/>
      <c r="AP259" s="123"/>
      <c r="AQ259" s="123"/>
      <c r="AR259" s="125"/>
    </row>
    <row r="260" spans="2:44" ht="12" customHeight="1">
      <c r="B260" s="116"/>
      <c r="C260" s="108"/>
      <c r="D260" s="116"/>
      <c r="E260" s="106" t="s">
        <v>250</v>
      </c>
      <c r="F260" s="110" t="s">
        <v>220</v>
      </c>
      <c r="G260" s="107" t="str">
        <f>C253&amp;" Wind"</f>
        <v>Commercial Wind</v>
      </c>
      <c r="H260" s="116" t="s">
        <v>244</v>
      </c>
      <c r="I260" s="141" t="str">
        <f t="shared" si="148"/>
        <v>Commercial Space heating  Wind</v>
      </c>
      <c r="J260" s="146" t="s">
        <v>205</v>
      </c>
      <c r="K260" s="143" t="str">
        <f t="shared" si="149"/>
        <v>COM-SHWINExt</v>
      </c>
      <c r="L260" s="101" t="str">
        <f t="shared" si="145"/>
        <v/>
      </c>
      <c r="P260" s="122" t="str">
        <f t="shared" si="150"/>
        <v/>
      </c>
      <c r="Q260" s="114" t="str">
        <f t="shared" si="146"/>
        <v/>
      </c>
      <c r="R260" s="112" t="str">
        <f t="shared" si="151"/>
        <v/>
      </c>
      <c r="S260" s="119" t="str">
        <f t="shared" si="152"/>
        <v/>
      </c>
      <c r="T260" s="119" t="str">
        <f t="shared" si="153"/>
        <v/>
      </c>
      <c r="U260" s="119" t="str">
        <f t="shared" si="154"/>
        <v/>
      </c>
      <c r="V260" s="119" t="str">
        <f t="shared" si="155"/>
        <v/>
      </c>
      <c r="W260" s="119" t="str">
        <f t="shared" si="156"/>
        <v/>
      </c>
      <c r="X260" s="119" t="str">
        <f t="shared" si="157"/>
        <v/>
      </c>
      <c r="Y260" s="119" t="str">
        <f t="shared" si="158"/>
        <v/>
      </c>
      <c r="Z260" s="119" t="str">
        <f t="shared" si="159"/>
        <v/>
      </c>
      <c r="AA260" s="119" t="str">
        <f t="shared" si="160"/>
        <v/>
      </c>
      <c r="AB260" s="119" t="str">
        <f t="shared" si="161"/>
        <v/>
      </c>
      <c r="AC260" s="119" t="str">
        <f t="shared" si="162"/>
        <v/>
      </c>
      <c r="AD260" s="119" t="str">
        <f t="shared" si="163"/>
        <v/>
      </c>
      <c r="AG260" s="124">
        <v>0.6</v>
      </c>
      <c r="AH260" s="123">
        <v>2</v>
      </c>
      <c r="AI260" s="123">
        <v>1</v>
      </c>
      <c r="AJ260" s="123"/>
      <c r="AK260" s="123"/>
      <c r="AL260" s="123"/>
      <c r="AM260" s="123"/>
      <c r="AN260" s="123"/>
      <c r="AO260" s="123"/>
      <c r="AP260" s="123"/>
      <c r="AQ260" s="123"/>
      <c r="AR260" s="125"/>
    </row>
    <row r="261" spans="2:44" ht="12" customHeight="1">
      <c r="B261" s="116"/>
      <c r="C261" s="108"/>
      <c r="D261" s="116"/>
      <c r="E261" s="106" t="s">
        <v>253</v>
      </c>
      <c r="F261" s="110" t="s">
        <v>184</v>
      </c>
      <c r="G261" s="107" t="str">
        <f>C253&amp;" Bio Liquids"</f>
        <v>Commercial Bio Liquids</v>
      </c>
      <c r="H261" s="116" t="s">
        <v>245</v>
      </c>
      <c r="I261" s="141" t="str">
        <f t="shared" si="148"/>
        <v>Commercial Space heating  Bio Liquids</v>
      </c>
      <c r="J261" s="146" t="s">
        <v>205</v>
      </c>
      <c r="K261" s="143" t="str">
        <f t="shared" si="149"/>
        <v>COM-SHBILExt</v>
      </c>
      <c r="L261" s="101" t="str">
        <f t="shared" si="145"/>
        <v/>
      </c>
      <c r="P261" s="122" t="str">
        <f t="shared" si="150"/>
        <v/>
      </c>
      <c r="Q261" s="114" t="str">
        <f t="shared" si="146"/>
        <v/>
      </c>
      <c r="R261" s="112" t="str">
        <f t="shared" si="151"/>
        <v/>
      </c>
      <c r="S261" s="119" t="str">
        <f t="shared" si="152"/>
        <v/>
      </c>
      <c r="T261" s="119" t="str">
        <f t="shared" si="153"/>
        <v/>
      </c>
      <c r="U261" s="119" t="str">
        <f t="shared" si="154"/>
        <v/>
      </c>
      <c r="V261" s="119" t="str">
        <f t="shared" si="155"/>
        <v/>
      </c>
      <c r="W261" s="119" t="str">
        <f t="shared" si="156"/>
        <v/>
      </c>
      <c r="X261" s="119" t="str">
        <f t="shared" si="157"/>
        <v/>
      </c>
      <c r="Y261" s="119" t="str">
        <f t="shared" si="158"/>
        <v/>
      </c>
      <c r="Z261" s="119" t="str">
        <f t="shared" si="159"/>
        <v/>
      </c>
      <c r="AA261" s="119" t="str">
        <f t="shared" si="160"/>
        <v/>
      </c>
      <c r="AB261" s="119" t="str">
        <f t="shared" si="161"/>
        <v/>
      </c>
      <c r="AC261" s="119" t="str">
        <f t="shared" si="162"/>
        <v/>
      </c>
      <c r="AD261" s="119" t="str">
        <f t="shared" si="163"/>
        <v/>
      </c>
      <c r="AG261" s="124">
        <v>0.6</v>
      </c>
      <c r="AH261" s="123">
        <v>2</v>
      </c>
      <c r="AI261" s="123">
        <v>1</v>
      </c>
      <c r="AJ261" s="123"/>
      <c r="AK261" s="123"/>
      <c r="AL261" s="123"/>
      <c r="AM261" s="123"/>
      <c r="AN261" s="123"/>
      <c r="AO261" s="123"/>
      <c r="AP261" s="123"/>
      <c r="AQ261" s="123"/>
      <c r="AR261" s="125"/>
    </row>
    <row r="262" spans="2:44" ht="12" customHeight="1">
      <c r="B262" s="116"/>
      <c r="C262" s="108"/>
      <c r="D262" s="116"/>
      <c r="E262" s="108"/>
      <c r="F262" s="116"/>
      <c r="G262" s="107" t="str">
        <f>C253&amp;" Biogas"</f>
        <v>Commercial Biogas</v>
      </c>
      <c r="H262" s="116" t="s">
        <v>246</v>
      </c>
      <c r="I262" s="141" t="str">
        <f t="shared" si="148"/>
        <v>Commercial Space heating  Biogas</v>
      </c>
      <c r="J262" s="146" t="s">
        <v>205</v>
      </c>
      <c r="K262" s="143" t="str">
        <f t="shared" si="149"/>
        <v>COM-SHBIGExt</v>
      </c>
      <c r="L262" s="101" t="str">
        <f t="shared" si="145"/>
        <v/>
      </c>
      <c r="P262" s="122" t="str">
        <f t="shared" si="150"/>
        <v/>
      </c>
      <c r="Q262" s="114" t="str">
        <f t="shared" si="146"/>
        <v/>
      </c>
      <c r="R262" s="112" t="str">
        <f t="shared" si="151"/>
        <v/>
      </c>
      <c r="S262" s="119" t="str">
        <f t="shared" si="152"/>
        <v/>
      </c>
      <c r="T262" s="119" t="str">
        <f t="shared" si="153"/>
        <v/>
      </c>
      <c r="U262" s="119" t="str">
        <f t="shared" si="154"/>
        <v/>
      </c>
      <c r="V262" s="119" t="str">
        <f t="shared" si="155"/>
        <v/>
      </c>
      <c r="W262" s="119" t="str">
        <f t="shared" si="156"/>
        <v/>
      </c>
      <c r="X262" s="119" t="str">
        <f t="shared" si="157"/>
        <v/>
      </c>
      <c r="Y262" s="119" t="str">
        <f t="shared" si="158"/>
        <v/>
      </c>
      <c r="Z262" s="119" t="str">
        <f t="shared" si="159"/>
        <v/>
      </c>
      <c r="AA262" s="119" t="str">
        <f t="shared" si="160"/>
        <v/>
      </c>
      <c r="AB262" s="119" t="str">
        <f t="shared" si="161"/>
        <v/>
      </c>
      <c r="AC262" s="119" t="str">
        <f t="shared" si="162"/>
        <v/>
      </c>
      <c r="AD262" s="119" t="str">
        <f t="shared" si="163"/>
        <v/>
      </c>
      <c r="AG262" s="124">
        <v>0.6</v>
      </c>
      <c r="AH262" s="123">
        <v>2</v>
      </c>
      <c r="AI262" s="123">
        <v>1</v>
      </c>
      <c r="AJ262" s="123"/>
      <c r="AK262" s="123"/>
      <c r="AL262" s="123"/>
      <c r="AM262" s="123"/>
      <c r="AN262" s="123"/>
      <c r="AO262" s="123"/>
      <c r="AP262" s="123"/>
      <c r="AQ262" s="123"/>
      <c r="AR262" s="125"/>
    </row>
    <row r="263" spans="2:44" ht="12" customHeight="1">
      <c r="B263" s="116"/>
      <c r="C263" s="108"/>
      <c r="D263" s="116"/>
      <c r="E263" s="108"/>
      <c r="F263" s="116"/>
      <c r="G263" s="107" t="str">
        <f>C253&amp;" Wood"</f>
        <v>Commercial Wood</v>
      </c>
      <c r="H263" s="116" t="s">
        <v>247</v>
      </c>
      <c r="I263" s="141" t="str">
        <f t="shared" si="148"/>
        <v>Commercial Space heating  Wood</v>
      </c>
      <c r="J263" s="146" t="s">
        <v>205</v>
      </c>
      <c r="K263" s="143" t="str">
        <f t="shared" si="149"/>
        <v>COM-SHWODExt</v>
      </c>
      <c r="L263" s="101" t="str">
        <f t="shared" si="145"/>
        <v/>
      </c>
      <c r="P263" s="122" t="str">
        <f t="shared" si="150"/>
        <v/>
      </c>
      <c r="Q263" s="114" t="str">
        <f t="shared" si="146"/>
        <v/>
      </c>
      <c r="R263" s="112" t="str">
        <f t="shared" si="151"/>
        <v/>
      </c>
      <c r="S263" s="119" t="str">
        <f t="shared" si="152"/>
        <v/>
      </c>
      <c r="T263" s="119" t="str">
        <f t="shared" si="153"/>
        <v/>
      </c>
      <c r="U263" s="119" t="str">
        <f t="shared" si="154"/>
        <v/>
      </c>
      <c r="V263" s="119" t="str">
        <f t="shared" si="155"/>
        <v/>
      </c>
      <c r="W263" s="119" t="str">
        <f t="shared" si="156"/>
        <v/>
      </c>
      <c r="X263" s="119" t="str">
        <f t="shared" si="157"/>
        <v/>
      </c>
      <c r="Y263" s="119" t="str">
        <f t="shared" si="158"/>
        <v/>
      </c>
      <c r="Z263" s="119" t="str">
        <f t="shared" si="159"/>
        <v/>
      </c>
      <c r="AA263" s="119" t="str">
        <f t="shared" si="160"/>
        <v/>
      </c>
      <c r="AB263" s="119" t="str">
        <f t="shared" si="161"/>
        <v/>
      </c>
      <c r="AC263" s="119" t="str">
        <f t="shared" si="162"/>
        <v/>
      </c>
      <c r="AD263" s="119" t="str">
        <f t="shared" si="163"/>
        <v/>
      </c>
      <c r="AG263" s="124">
        <v>0.6</v>
      </c>
      <c r="AH263" s="123">
        <v>2</v>
      </c>
      <c r="AI263" s="123">
        <v>1</v>
      </c>
      <c r="AJ263" s="123"/>
      <c r="AK263" s="123"/>
      <c r="AL263" s="123"/>
      <c r="AM263" s="123"/>
      <c r="AN263" s="123"/>
      <c r="AO263" s="123"/>
      <c r="AP263" s="123"/>
      <c r="AQ263" s="123"/>
      <c r="AR263" s="125"/>
    </row>
    <row r="264" spans="2:44" ht="12" customHeight="1">
      <c r="B264" s="116"/>
      <c r="C264" s="108"/>
      <c r="D264" s="116"/>
      <c r="E264" s="108"/>
      <c r="F264" s="116"/>
      <c r="G264" s="107" t="str">
        <f>C253&amp;" Tidal"</f>
        <v>Commercial Tidal</v>
      </c>
      <c r="H264" s="116" t="s">
        <v>248</v>
      </c>
      <c r="I264" s="141" t="str">
        <f t="shared" si="148"/>
        <v>Commercial Space heating  Tidal</v>
      </c>
      <c r="J264" s="146" t="s">
        <v>205</v>
      </c>
      <c r="K264" s="143" t="str">
        <f t="shared" si="149"/>
        <v>COM-SHTIDExt</v>
      </c>
      <c r="L264" s="101" t="str">
        <f t="shared" si="145"/>
        <v/>
      </c>
      <c r="P264" s="122" t="str">
        <f t="shared" si="150"/>
        <v/>
      </c>
      <c r="Q264" s="114" t="str">
        <f t="shared" si="146"/>
        <v/>
      </c>
      <c r="R264" s="112" t="str">
        <f t="shared" si="151"/>
        <v/>
      </c>
      <c r="S264" s="119" t="str">
        <f t="shared" si="152"/>
        <v/>
      </c>
      <c r="T264" s="119" t="str">
        <f t="shared" si="153"/>
        <v/>
      </c>
      <c r="U264" s="119" t="str">
        <f t="shared" si="154"/>
        <v/>
      </c>
      <c r="V264" s="119" t="str">
        <f t="shared" si="155"/>
        <v/>
      </c>
      <c r="W264" s="119" t="str">
        <f t="shared" si="156"/>
        <v/>
      </c>
      <c r="X264" s="119" t="str">
        <f t="shared" si="157"/>
        <v/>
      </c>
      <c r="Y264" s="119" t="str">
        <f t="shared" si="158"/>
        <v/>
      </c>
      <c r="Z264" s="119" t="str">
        <f t="shared" si="159"/>
        <v/>
      </c>
      <c r="AA264" s="119" t="str">
        <f t="shared" si="160"/>
        <v/>
      </c>
      <c r="AB264" s="119" t="str">
        <f t="shared" si="161"/>
        <v/>
      </c>
      <c r="AC264" s="119" t="str">
        <f t="shared" si="162"/>
        <v/>
      </c>
      <c r="AD264" s="119" t="str">
        <f t="shared" si="163"/>
        <v/>
      </c>
      <c r="AG264" s="124">
        <v>0.6</v>
      </c>
      <c r="AH264" s="123">
        <v>2</v>
      </c>
      <c r="AI264" s="123">
        <v>1</v>
      </c>
      <c r="AJ264" s="123"/>
      <c r="AK264" s="123"/>
      <c r="AL264" s="123"/>
      <c r="AM264" s="123"/>
      <c r="AN264" s="123"/>
      <c r="AO264" s="123"/>
      <c r="AP264" s="123"/>
      <c r="AQ264" s="123"/>
      <c r="AR264" s="125"/>
    </row>
    <row r="265" spans="2:44" ht="12" customHeight="1">
      <c r="B265" s="116"/>
      <c r="C265" s="108"/>
      <c r="D265" s="116"/>
      <c r="E265" s="108"/>
      <c r="F265" s="116"/>
      <c r="G265" s="107" t="str">
        <f>C253&amp;" Electricity"</f>
        <v>Commercial Electricity</v>
      </c>
      <c r="H265" s="116" t="s">
        <v>249</v>
      </c>
      <c r="I265" s="156" t="str">
        <f t="shared" si="148"/>
        <v>Commercial Space heating  Electricity</v>
      </c>
      <c r="J265" s="155" t="s">
        <v>198</v>
      </c>
      <c r="K265" s="144" t="str">
        <f t="shared" si="149"/>
        <v>COM-SHELCExt</v>
      </c>
      <c r="L265" s="101" t="str">
        <f t="shared" si="145"/>
        <v>COM-SHELCExt</v>
      </c>
      <c r="P265" s="122" t="str">
        <f t="shared" si="150"/>
        <v>COM-SHELCExt</v>
      </c>
      <c r="Q265" s="114" t="str">
        <f t="shared" si="146"/>
        <v>COM-ELC</v>
      </c>
      <c r="R265" s="112" t="str">
        <f t="shared" si="151"/>
        <v>COM-SH</v>
      </c>
      <c r="S265" s="119">
        <f t="shared" si="152"/>
        <v>0.6</v>
      </c>
      <c r="T265" s="119">
        <f t="shared" si="153"/>
        <v>2</v>
      </c>
      <c r="U265" s="119">
        <f t="shared" si="154"/>
        <v>1</v>
      </c>
      <c r="V265" s="119">
        <f t="shared" si="155"/>
        <v>0</v>
      </c>
      <c r="W265" s="119">
        <f t="shared" si="156"/>
        <v>0</v>
      </c>
      <c r="X265" s="119">
        <f t="shared" si="157"/>
        <v>0</v>
      </c>
      <c r="Y265" s="119">
        <f t="shared" si="158"/>
        <v>0</v>
      </c>
      <c r="Z265" s="119">
        <f t="shared" si="159"/>
        <v>0</v>
      </c>
      <c r="AA265" s="119">
        <f t="shared" si="160"/>
        <v>0</v>
      </c>
      <c r="AB265" s="119">
        <f t="shared" si="161"/>
        <v>0</v>
      </c>
      <c r="AC265" s="119">
        <f t="shared" si="162"/>
        <v>0</v>
      </c>
      <c r="AD265" s="119">
        <f t="shared" si="163"/>
        <v>0</v>
      </c>
      <c r="AG265" s="124">
        <v>0.6</v>
      </c>
      <c r="AH265" s="123">
        <v>2</v>
      </c>
      <c r="AI265" s="123">
        <v>1</v>
      </c>
      <c r="AJ265" s="123"/>
      <c r="AK265" s="123"/>
      <c r="AL265" s="123"/>
      <c r="AM265" s="123"/>
      <c r="AN265" s="123"/>
      <c r="AO265" s="123"/>
      <c r="AP265" s="123"/>
      <c r="AQ265" s="123"/>
      <c r="AR265" s="125"/>
    </row>
    <row r="266" spans="2:44" ht="12" customHeight="1">
      <c r="I266" s="141" t="str">
        <f>$C$253&amp;" "&amp;$E$254&amp;" "&amp;RIGHT(G253,LEN(G253)-FIND(" ",G253))</f>
        <v>Commercial Water heating  Coal</v>
      </c>
      <c r="J266" s="146" t="s">
        <v>198</v>
      </c>
      <c r="K266" s="142" t="str">
        <f>$D$253&amp;$F$254&amp;RIGHT(H253,3)&amp;$B$253</f>
        <v>COM-WHCOAExt</v>
      </c>
      <c r="L266" s="101" t="str">
        <f t="shared" si="145"/>
        <v>COM-WHCOAExt</v>
      </c>
      <c r="P266" s="122" t="str">
        <f t="shared" si="150"/>
        <v>COM-WHCOAExt</v>
      </c>
      <c r="Q266" s="114" t="str">
        <f t="shared" si="146"/>
        <v>COM-COA</v>
      </c>
      <c r="R266" s="112" t="str">
        <f t="shared" si="151"/>
        <v>COM-WH</v>
      </c>
      <c r="S266" s="119">
        <f t="shared" si="152"/>
        <v>0.6</v>
      </c>
      <c r="T266" s="119">
        <f t="shared" si="153"/>
        <v>2</v>
      </c>
      <c r="U266" s="119">
        <f t="shared" si="154"/>
        <v>1</v>
      </c>
      <c r="V266" s="119">
        <f t="shared" si="155"/>
        <v>0</v>
      </c>
      <c r="W266" s="119">
        <f t="shared" si="156"/>
        <v>0</v>
      </c>
      <c r="X266" s="119">
        <f t="shared" si="157"/>
        <v>0</v>
      </c>
      <c r="Y266" s="119">
        <f t="shared" si="158"/>
        <v>0</v>
      </c>
      <c r="Z266" s="119">
        <f t="shared" si="159"/>
        <v>0</v>
      </c>
      <c r="AA266" s="119">
        <f t="shared" si="160"/>
        <v>0</v>
      </c>
      <c r="AB266" s="119">
        <f t="shared" si="161"/>
        <v>0</v>
      </c>
      <c r="AC266" s="119">
        <f t="shared" si="162"/>
        <v>0</v>
      </c>
      <c r="AD266" s="119">
        <f t="shared" si="163"/>
        <v>0</v>
      </c>
      <c r="AG266" s="124">
        <v>0.6</v>
      </c>
      <c r="AH266" s="123">
        <v>2</v>
      </c>
      <c r="AI266" s="123">
        <v>1</v>
      </c>
      <c r="AJ266" s="123"/>
      <c r="AK266" s="123"/>
      <c r="AL266" s="123"/>
      <c r="AM266" s="123"/>
      <c r="AN266" s="123"/>
      <c r="AO266" s="123"/>
      <c r="AP266" s="123"/>
      <c r="AQ266" s="123"/>
      <c r="AR266" s="125"/>
    </row>
    <row r="267" spans="2:44" ht="12" customHeight="1">
      <c r="I267" s="141" t="str">
        <f t="shared" ref="I267:I278" si="164">$C$253&amp;" "&amp;$E$254&amp;" "&amp;RIGHT(G254,LEN(G254)-FIND(" ",G254))</f>
        <v>Commercial Water heating  Lignite</v>
      </c>
      <c r="J267" s="146" t="s">
        <v>198</v>
      </c>
      <c r="K267" s="143" t="str">
        <f t="shared" ref="K267:K278" si="165">$D$253&amp;$F$254&amp;RIGHT(H254,3)&amp;$B$253</f>
        <v>COM-WHCOLExt</v>
      </c>
      <c r="L267" s="101" t="str">
        <f t="shared" si="145"/>
        <v>COM-WHCOLExt</v>
      </c>
      <c r="P267" s="122" t="str">
        <f t="shared" si="150"/>
        <v>COM-WHCOLExt</v>
      </c>
      <c r="Q267" s="114" t="str">
        <f t="shared" si="146"/>
        <v>COM-COL</v>
      </c>
      <c r="R267" s="112" t="str">
        <f t="shared" si="151"/>
        <v>COM-WH</v>
      </c>
      <c r="S267" s="119">
        <f t="shared" si="152"/>
        <v>0.6</v>
      </c>
      <c r="T267" s="119">
        <f t="shared" si="153"/>
        <v>2</v>
      </c>
      <c r="U267" s="119">
        <f t="shared" si="154"/>
        <v>1</v>
      </c>
      <c r="V267" s="119">
        <f t="shared" si="155"/>
        <v>0</v>
      </c>
      <c r="W267" s="119">
        <f t="shared" si="156"/>
        <v>0</v>
      </c>
      <c r="X267" s="119">
        <f t="shared" si="157"/>
        <v>0</v>
      </c>
      <c r="Y267" s="119">
        <f t="shared" si="158"/>
        <v>0</v>
      </c>
      <c r="Z267" s="119">
        <f t="shared" si="159"/>
        <v>0</v>
      </c>
      <c r="AA267" s="119">
        <f t="shared" si="160"/>
        <v>0</v>
      </c>
      <c r="AB267" s="119">
        <f t="shared" si="161"/>
        <v>0</v>
      </c>
      <c r="AC267" s="119">
        <f t="shared" si="162"/>
        <v>0</v>
      </c>
      <c r="AD267" s="119">
        <f t="shared" si="163"/>
        <v>0</v>
      </c>
      <c r="AG267" s="124">
        <v>0.6</v>
      </c>
      <c r="AH267" s="123">
        <v>2</v>
      </c>
      <c r="AI267" s="123">
        <v>1</v>
      </c>
      <c r="AJ267" s="123"/>
      <c r="AK267" s="123"/>
      <c r="AL267" s="123"/>
      <c r="AM267" s="123"/>
      <c r="AN267" s="123"/>
      <c r="AO267" s="123"/>
      <c r="AP267" s="123"/>
      <c r="AQ267" s="123"/>
      <c r="AR267" s="125"/>
    </row>
    <row r="268" spans="2:44" ht="12" customHeight="1">
      <c r="I268" s="141" t="str">
        <f t="shared" si="164"/>
        <v>Commercial Water heating  Crude oil</v>
      </c>
      <c r="J268" s="146" t="s">
        <v>198</v>
      </c>
      <c r="K268" s="143" t="str">
        <f t="shared" si="165"/>
        <v>COM-WHOILExt</v>
      </c>
      <c r="L268" s="101" t="str">
        <f t="shared" si="145"/>
        <v>COM-WHOILExt</v>
      </c>
      <c r="P268" s="122" t="str">
        <f t="shared" si="150"/>
        <v>COM-WHOILExt</v>
      </c>
      <c r="Q268" s="114" t="str">
        <f t="shared" si="146"/>
        <v>COM-OIL</v>
      </c>
      <c r="R268" s="112" t="str">
        <f t="shared" si="151"/>
        <v>COM-WH</v>
      </c>
      <c r="S268" s="119">
        <f t="shared" si="152"/>
        <v>0.6</v>
      </c>
      <c r="T268" s="119">
        <f t="shared" si="153"/>
        <v>2</v>
      </c>
      <c r="U268" s="119">
        <f t="shared" si="154"/>
        <v>1</v>
      </c>
      <c r="V268" s="119">
        <f t="shared" si="155"/>
        <v>0</v>
      </c>
      <c r="W268" s="119">
        <f t="shared" si="156"/>
        <v>0</v>
      </c>
      <c r="X268" s="119">
        <f t="shared" si="157"/>
        <v>0</v>
      </c>
      <c r="Y268" s="119">
        <f t="shared" si="158"/>
        <v>0</v>
      </c>
      <c r="Z268" s="119">
        <f t="shared" si="159"/>
        <v>0</v>
      </c>
      <c r="AA268" s="119">
        <f t="shared" si="160"/>
        <v>0</v>
      </c>
      <c r="AB268" s="119">
        <f t="shared" si="161"/>
        <v>0</v>
      </c>
      <c r="AC268" s="119">
        <f t="shared" si="162"/>
        <v>0</v>
      </c>
      <c r="AD268" s="119">
        <f t="shared" si="163"/>
        <v>0</v>
      </c>
      <c r="AG268" s="124">
        <v>0.6</v>
      </c>
      <c r="AH268" s="123">
        <v>2</v>
      </c>
      <c r="AI268" s="123">
        <v>1</v>
      </c>
      <c r="AJ268" s="123"/>
      <c r="AK268" s="123"/>
      <c r="AL268" s="123"/>
      <c r="AM268" s="123"/>
      <c r="AN268" s="123"/>
      <c r="AO268" s="123"/>
      <c r="AP268" s="123"/>
      <c r="AQ268" s="123"/>
      <c r="AR268" s="125"/>
    </row>
    <row r="269" spans="2:44" ht="12" customHeight="1">
      <c r="I269" s="141" t="str">
        <f t="shared" si="164"/>
        <v>Commercial Water heating  Natural Gas</v>
      </c>
      <c r="J269" s="146" t="s">
        <v>198</v>
      </c>
      <c r="K269" s="143" t="str">
        <f t="shared" si="165"/>
        <v>COM-WHNGAExt</v>
      </c>
      <c r="L269" s="101" t="str">
        <f t="shared" si="145"/>
        <v>COM-WHNGAExt</v>
      </c>
      <c r="P269" s="122" t="str">
        <f t="shared" si="150"/>
        <v>COM-WHNGAExt</v>
      </c>
      <c r="Q269" s="114" t="str">
        <f t="shared" si="146"/>
        <v>COM-NGA</v>
      </c>
      <c r="R269" s="112" t="str">
        <f t="shared" si="151"/>
        <v>COM-WH</v>
      </c>
      <c r="S269" s="119">
        <f t="shared" si="152"/>
        <v>0.6</v>
      </c>
      <c r="T269" s="119">
        <f t="shared" si="153"/>
        <v>2</v>
      </c>
      <c r="U269" s="119">
        <f t="shared" si="154"/>
        <v>1</v>
      </c>
      <c r="V269" s="119">
        <f t="shared" si="155"/>
        <v>0</v>
      </c>
      <c r="W269" s="119">
        <f t="shared" si="156"/>
        <v>0</v>
      </c>
      <c r="X269" s="119">
        <f t="shared" si="157"/>
        <v>0</v>
      </c>
      <c r="Y269" s="119">
        <f t="shared" si="158"/>
        <v>0</v>
      </c>
      <c r="Z269" s="119">
        <f t="shared" si="159"/>
        <v>0</v>
      </c>
      <c r="AA269" s="119">
        <f t="shared" si="160"/>
        <v>0</v>
      </c>
      <c r="AB269" s="119">
        <f t="shared" si="161"/>
        <v>0</v>
      </c>
      <c r="AC269" s="119">
        <f t="shared" si="162"/>
        <v>0</v>
      </c>
      <c r="AD269" s="119">
        <f t="shared" si="163"/>
        <v>0</v>
      </c>
      <c r="AG269" s="124">
        <v>0.6</v>
      </c>
      <c r="AH269" s="123">
        <v>2</v>
      </c>
      <c r="AI269" s="123">
        <v>1</v>
      </c>
      <c r="AJ269" s="123"/>
      <c r="AK269" s="123"/>
      <c r="AL269" s="123"/>
      <c r="AM269" s="123"/>
      <c r="AN269" s="123"/>
      <c r="AO269" s="123"/>
      <c r="AP269" s="123"/>
      <c r="AQ269" s="123"/>
      <c r="AR269" s="125"/>
    </row>
    <row r="270" spans="2:44" ht="12" customHeight="1">
      <c r="I270" s="141" t="str">
        <f t="shared" si="164"/>
        <v>Commercial Water heating  Hydro</v>
      </c>
      <c r="J270" s="146" t="s">
        <v>205</v>
      </c>
      <c r="K270" s="143" t="str">
        <f t="shared" si="165"/>
        <v>COM-WHHYDExt</v>
      </c>
      <c r="L270" s="101" t="str">
        <f t="shared" si="145"/>
        <v/>
      </c>
      <c r="P270" s="122" t="str">
        <f t="shared" si="150"/>
        <v/>
      </c>
      <c r="Q270" s="114" t="str">
        <f t="shared" si="146"/>
        <v/>
      </c>
      <c r="R270" s="112" t="str">
        <f t="shared" si="151"/>
        <v/>
      </c>
      <c r="S270" s="119" t="str">
        <f t="shared" si="152"/>
        <v/>
      </c>
      <c r="T270" s="119" t="str">
        <f t="shared" si="153"/>
        <v/>
      </c>
      <c r="U270" s="119" t="str">
        <f t="shared" si="154"/>
        <v/>
      </c>
      <c r="V270" s="119" t="str">
        <f t="shared" si="155"/>
        <v/>
      </c>
      <c r="W270" s="119" t="str">
        <f t="shared" si="156"/>
        <v/>
      </c>
      <c r="X270" s="119" t="str">
        <f t="shared" si="157"/>
        <v/>
      </c>
      <c r="Y270" s="119" t="str">
        <f t="shared" si="158"/>
        <v/>
      </c>
      <c r="Z270" s="119" t="str">
        <f t="shared" si="159"/>
        <v/>
      </c>
      <c r="AA270" s="119" t="str">
        <f t="shared" si="160"/>
        <v/>
      </c>
      <c r="AB270" s="119" t="str">
        <f t="shared" si="161"/>
        <v/>
      </c>
      <c r="AC270" s="119" t="str">
        <f t="shared" si="162"/>
        <v/>
      </c>
      <c r="AD270" s="119" t="str">
        <f t="shared" si="163"/>
        <v/>
      </c>
      <c r="AG270" s="124">
        <v>0.6</v>
      </c>
      <c r="AH270" s="123">
        <v>2</v>
      </c>
      <c r="AI270" s="123">
        <v>1</v>
      </c>
      <c r="AJ270" s="123"/>
      <c r="AK270" s="123"/>
      <c r="AL270" s="123"/>
      <c r="AM270" s="123"/>
      <c r="AN270" s="123"/>
      <c r="AO270" s="123"/>
      <c r="AP270" s="123"/>
      <c r="AQ270" s="123"/>
      <c r="AR270" s="125"/>
    </row>
    <row r="271" spans="2:44" ht="12" customHeight="1">
      <c r="I271" s="141" t="str">
        <f t="shared" si="164"/>
        <v>Commercial Water heating  Geothermal</v>
      </c>
      <c r="J271" s="146" t="s">
        <v>205</v>
      </c>
      <c r="K271" s="143" t="str">
        <f t="shared" si="165"/>
        <v>COM-WHGEOExt</v>
      </c>
      <c r="L271" s="101" t="str">
        <f t="shared" si="145"/>
        <v/>
      </c>
      <c r="P271" s="122" t="str">
        <f t="shared" si="150"/>
        <v/>
      </c>
      <c r="Q271" s="114" t="str">
        <f t="shared" si="146"/>
        <v/>
      </c>
      <c r="R271" s="112" t="str">
        <f t="shared" si="151"/>
        <v/>
      </c>
      <c r="S271" s="119" t="str">
        <f t="shared" si="152"/>
        <v/>
      </c>
      <c r="T271" s="119" t="str">
        <f t="shared" si="153"/>
        <v/>
      </c>
      <c r="U271" s="119" t="str">
        <f t="shared" si="154"/>
        <v/>
      </c>
      <c r="V271" s="119" t="str">
        <f t="shared" si="155"/>
        <v/>
      </c>
      <c r="W271" s="119" t="str">
        <f t="shared" si="156"/>
        <v/>
      </c>
      <c r="X271" s="119" t="str">
        <f t="shared" si="157"/>
        <v/>
      </c>
      <c r="Y271" s="119" t="str">
        <f t="shared" si="158"/>
        <v/>
      </c>
      <c r="Z271" s="119" t="str">
        <f t="shared" si="159"/>
        <v/>
      </c>
      <c r="AA271" s="119" t="str">
        <f t="shared" si="160"/>
        <v/>
      </c>
      <c r="AB271" s="119" t="str">
        <f t="shared" si="161"/>
        <v/>
      </c>
      <c r="AC271" s="119" t="str">
        <f t="shared" si="162"/>
        <v/>
      </c>
      <c r="AD271" s="119" t="str">
        <f t="shared" si="163"/>
        <v/>
      </c>
      <c r="AG271" s="124">
        <v>0.6</v>
      </c>
      <c r="AH271" s="123">
        <v>2</v>
      </c>
      <c r="AI271" s="123">
        <v>1</v>
      </c>
      <c r="AJ271" s="123"/>
      <c r="AK271" s="123"/>
      <c r="AL271" s="123"/>
      <c r="AM271" s="123"/>
      <c r="AN271" s="123"/>
      <c r="AO271" s="123"/>
      <c r="AP271" s="123"/>
      <c r="AQ271" s="123"/>
      <c r="AR271" s="125"/>
    </row>
    <row r="272" spans="2:44" ht="12" customHeight="1">
      <c r="I272" s="141" t="str">
        <f t="shared" si="164"/>
        <v>Commercial Water heating  Solar</v>
      </c>
      <c r="J272" s="146" t="s">
        <v>205</v>
      </c>
      <c r="K272" s="143" t="str">
        <f t="shared" si="165"/>
        <v>COM-WHSOLExt</v>
      </c>
      <c r="L272" s="101" t="str">
        <f t="shared" si="145"/>
        <v/>
      </c>
      <c r="P272" s="122" t="str">
        <f t="shared" si="150"/>
        <v/>
      </c>
      <c r="Q272" s="114" t="str">
        <f t="shared" si="146"/>
        <v/>
      </c>
      <c r="R272" s="112" t="str">
        <f t="shared" si="151"/>
        <v/>
      </c>
      <c r="S272" s="119" t="str">
        <f t="shared" si="152"/>
        <v/>
      </c>
      <c r="T272" s="119" t="str">
        <f t="shared" si="153"/>
        <v/>
      </c>
      <c r="U272" s="119" t="str">
        <f t="shared" si="154"/>
        <v/>
      </c>
      <c r="V272" s="119" t="str">
        <f t="shared" si="155"/>
        <v/>
      </c>
      <c r="W272" s="119" t="str">
        <f t="shared" si="156"/>
        <v/>
      </c>
      <c r="X272" s="119" t="str">
        <f t="shared" si="157"/>
        <v/>
      </c>
      <c r="Y272" s="119" t="str">
        <f t="shared" si="158"/>
        <v/>
      </c>
      <c r="Z272" s="119" t="str">
        <f t="shared" si="159"/>
        <v/>
      </c>
      <c r="AA272" s="119" t="str">
        <f t="shared" si="160"/>
        <v/>
      </c>
      <c r="AB272" s="119" t="str">
        <f t="shared" si="161"/>
        <v/>
      </c>
      <c r="AC272" s="119" t="str">
        <f t="shared" si="162"/>
        <v/>
      </c>
      <c r="AD272" s="119" t="str">
        <f t="shared" si="163"/>
        <v/>
      </c>
      <c r="AG272" s="124">
        <v>0.6</v>
      </c>
      <c r="AH272" s="123">
        <v>2</v>
      </c>
      <c r="AI272" s="123">
        <v>1</v>
      </c>
      <c r="AJ272" s="123"/>
      <c r="AK272" s="123"/>
      <c r="AL272" s="123"/>
      <c r="AM272" s="123"/>
      <c r="AN272" s="123"/>
      <c r="AO272" s="123"/>
      <c r="AP272" s="123"/>
      <c r="AQ272" s="123"/>
      <c r="AR272" s="125"/>
    </row>
    <row r="273" spans="9:44" ht="12" customHeight="1">
      <c r="I273" s="141" t="str">
        <f t="shared" si="164"/>
        <v>Commercial Water heating  Wind</v>
      </c>
      <c r="J273" s="146" t="s">
        <v>205</v>
      </c>
      <c r="K273" s="143" t="str">
        <f t="shared" si="165"/>
        <v>COM-WHWINExt</v>
      </c>
      <c r="L273" s="101" t="str">
        <f t="shared" si="145"/>
        <v/>
      </c>
      <c r="P273" s="122" t="str">
        <f t="shared" si="150"/>
        <v/>
      </c>
      <c r="Q273" s="114" t="str">
        <f t="shared" si="146"/>
        <v/>
      </c>
      <c r="R273" s="112" t="str">
        <f t="shared" si="151"/>
        <v/>
      </c>
      <c r="S273" s="119" t="str">
        <f t="shared" si="152"/>
        <v/>
      </c>
      <c r="T273" s="119" t="str">
        <f t="shared" si="153"/>
        <v/>
      </c>
      <c r="U273" s="119" t="str">
        <f t="shared" si="154"/>
        <v/>
      </c>
      <c r="V273" s="119" t="str">
        <f t="shared" si="155"/>
        <v/>
      </c>
      <c r="W273" s="119" t="str">
        <f t="shared" si="156"/>
        <v/>
      </c>
      <c r="X273" s="119" t="str">
        <f t="shared" si="157"/>
        <v/>
      </c>
      <c r="Y273" s="119" t="str">
        <f t="shared" si="158"/>
        <v/>
      </c>
      <c r="Z273" s="119" t="str">
        <f t="shared" si="159"/>
        <v/>
      </c>
      <c r="AA273" s="119" t="str">
        <f t="shared" si="160"/>
        <v/>
      </c>
      <c r="AB273" s="119" t="str">
        <f t="shared" si="161"/>
        <v/>
      </c>
      <c r="AC273" s="119" t="str">
        <f t="shared" si="162"/>
        <v/>
      </c>
      <c r="AD273" s="119" t="str">
        <f t="shared" si="163"/>
        <v/>
      </c>
      <c r="AG273" s="124">
        <v>0.6</v>
      </c>
      <c r="AH273" s="123">
        <v>2</v>
      </c>
      <c r="AI273" s="123">
        <v>1</v>
      </c>
      <c r="AJ273" s="123"/>
      <c r="AK273" s="123"/>
      <c r="AL273" s="123"/>
      <c r="AM273" s="123"/>
      <c r="AN273" s="123"/>
      <c r="AO273" s="123"/>
      <c r="AP273" s="123"/>
      <c r="AQ273" s="123"/>
      <c r="AR273" s="125"/>
    </row>
    <row r="274" spans="9:44" ht="12" customHeight="1">
      <c r="I274" s="141" t="str">
        <f t="shared" si="164"/>
        <v>Commercial Water heating  Bio Liquids</v>
      </c>
      <c r="J274" s="146" t="s">
        <v>205</v>
      </c>
      <c r="K274" s="143" t="str">
        <f t="shared" si="165"/>
        <v>COM-WHBILExt</v>
      </c>
      <c r="L274" s="101" t="str">
        <f t="shared" si="145"/>
        <v/>
      </c>
      <c r="P274" s="122" t="str">
        <f t="shared" si="150"/>
        <v/>
      </c>
      <c r="Q274" s="114" t="str">
        <f t="shared" si="146"/>
        <v/>
      </c>
      <c r="R274" s="112" t="str">
        <f t="shared" si="151"/>
        <v/>
      </c>
      <c r="S274" s="119" t="str">
        <f t="shared" si="152"/>
        <v/>
      </c>
      <c r="T274" s="119" t="str">
        <f t="shared" si="153"/>
        <v/>
      </c>
      <c r="U274" s="119" t="str">
        <f t="shared" si="154"/>
        <v/>
      </c>
      <c r="V274" s="119" t="str">
        <f t="shared" si="155"/>
        <v/>
      </c>
      <c r="W274" s="119" t="str">
        <f t="shared" si="156"/>
        <v/>
      </c>
      <c r="X274" s="119" t="str">
        <f t="shared" si="157"/>
        <v/>
      </c>
      <c r="Y274" s="119" t="str">
        <f t="shared" si="158"/>
        <v/>
      </c>
      <c r="Z274" s="119" t="str">
        <f t="shared" si="159"/>
        <v/>
      </c>
      <c r="AA274" s="119" t="str">
        <f t="shared" si="160"/>
        <v/>
      </c>
      <c r="AB274" s="119" t="str">
        <f t="shared" si="161"/>
        <v/>
      </c>
      <c r="AC274" s="119" t="str">
        <f t="shared" si="162"/>
        <v/>
      </c>
      <c r="AD274" s="119" t="str">
        <f t="shared" si="163"/>
        <v/>
      </c>
      <c r="AG274" s="124">
        <v>0.6</v>
      </c>
      <c r="AH274" s="123">
        <v>2</v>
      </c>
      <c r="AI274" s="123">
        <v>1</v>
      </c>
      <c r="AJ274" s="123"/>
      <c r="AK274" s="123"/>
      <c r="AL274" s="123"/>
      <c r="AM274" s="123"/>
      <c r="AN274" s="123"/>
      <c r="AO274" s="123"/>
      <c r="AP274" s="123"/>
      <c r="AQ274" s="123"/>
      <c r="AR274" s="125"/>
    </row>
    <row r="275" spans="9:44" ht="12" customHeight="1">
      <c r="I275" s="141" t="str">
        <f t="shared" si="164"/>
        <v>Commercial Water heating  Biogas</v>
      </c>
      <c r="J275" s="146" t="s">
        <v>205</v>
      </c>
      <c r="K275" s="143" t="str">
        <f t="shared" si="165"/>
        <v>COM-WHBIGExt</v>
      </c>
      <c r="L275" s="101" t="str">
        <f t="shared" ref="L275:L278" si="166">IF(J275="Yes",K275,"")</f>
        <v/>
      </c>
      <c r="P275" s="122" t="str">
        <f t="shared" si="150"/>
        <v/>
      </c>
      <c r="Q275" s="114" t="str">
        <f t="shared" si="146"/>
        <v/>
      </c>
      <c r="R275" s="112" t="str">
        <f t="shared" si="151"/>
        <v/>
      </c>
      <c r="S275" s="119" t="str">
        <f t="shared" si="152"/>
        <v/>
      </c>
      <c r="T275" s="119" t="str">
        <f t="shared" si="153"/>
        <v/>
      </c>
      <c r="U275" s="119" t="str">
        <f t="shared" si="154"/>
        <v/>
      </c>
      <c r="V275" s="119" t="str">
        <f t="shared" si="155"/>
        <v/>
      </c>
      <c r="W275" s="119" t="str">
        <f t="shared" si="156"/>
        <v/>
      </c>
      <c r="X275" s="119" t="str">
        <f t="shared" si="157"/>
        <v/>
      </c>
      <c r="Y275" s="119" t="str">
        <f t="shared" si="158"/>
        <v/>
      </c>
      <c r="Z275" s="119" t="str">
        <f t="shared" si="159"/>
        <v/>
      </c>
      <c r="AA275" s="119" t="str">
        <f t="shared" si="160"/>
        <v/>
      </c>
      <c r="AB275" s="119" t="str">
        <f t="shared" si="161"/>
        <v/>
      </c>
      <c r="AC275" s="119" t="str">
        <f t="shared" si="162"/>
        <v/>
      </c>
      <c r="AD275" s="119" t="str">
        <f t="shared" si="163"/>
        <v/>
      </c>
      <c r="AG275" s="124">
        <v>0.6</v>
      </c>
      <c r="AH275" s="123">
        <v>2</v>
      </c>
      <c r="AI275" s="123">
        <v>1</v>
      </c>
      <c r="AJ275" s="123"/>
      <c r="AK275" s="123"/>
      <c r="AL275" s="123"/>
      <c r="AM275" s="123"/>
      <c r="AN275" s="123"/>
      <c r="AO275" s="123"/>
      <c r="AP275" s="123"/>
      <c r="AQ275" s="123"/>
      <c r="AR275" s="125"/>
    </row>
    <row r="276" spans="9:44" ht="12" customHeight="1">
      <c r="I276" s="141" t="str">
        <f t="shared" si="164"/>
        <v>Commercial Water heating  Wood</v>
      </c>
      <c r="J276" s="146" t="s">
        <v>198</v>
      </c>
      <c r="K276" s="143" t="str">
        <f t="shared" si="165"/>
        <v>COM-WHWODExt</v>
      </c>
      <c r="L276" s="101" t="str">
        <f t="shared" si="166"/>
        <v>COM-WHWODExt</v>
      </c>
      <c r="P276" s="122" t="str">
        <f t="shared" si="150"/>
        <v>COM-WHWODExt</v>
      </c>
      <c r="Q276" s="114" t="str">
        <f t="shared" si="146"/>
        <v>COM-WOD</v>
      </c>
      <c r="R276" s="112" t="str">
        <f t="shared" si="151"/>
        <v>COM-WH</v>
      </c>
      <c r="S276" s="119">
        <f t="shared" si="152"/>
        <v>0.6</v>
      </c>
      <c r="T276" s="119">
        <f t="shared" si="153"/>
        <v>2</v>
      </c>
      <c r="U276" s="119">
        <f t="shared" si="154"/>
        <v>1</v>
      </c>
      <c r="V276" s="119">
        <f t="shared" si="155"/>
        <v>0</v>
      </c>
      <c r="W276" s="119">
        <f t="shared" si="156"/>
        <v>0</v>
      </c>
      <c r="X276" s="119">
        <f t="shared" si="157"/>
        <v>0</v>
      </c>
      <c r="Y276" s="119">
        <f t="shared" si="158"/>
        <v>0</v>
      </c>
      <c r="Z276" s="119">
        <f t="shared" si="159"/>
        <v>0</v>
      </c>
      <c r="AA276" s="119">
        <f t="shared" si="160"/>
        <v>0</v>
      </c>
      <c r="AB276" s="119">
        <f t="shared" si="161"/>
        <v>0</v>
      </c>
      <c r="AC276" s="119">
        <f t="shared" si="162"/>
        <v>0</v>
      </c>
      <c r="AD276" s="119">
        <f t="shared" si="163"/>
        <v>0</v>
      </c>
      <c r="AG276" s="124">
        <v>0.6</v>
      </c>
      <c r="AH276" s="123">
        <v>2</v>
      </c>
      <c r="AI276" s="123">
        <v>1</v>
      </c>
      <c r="AJ276" s="123"/>
      <c r="AK276" s="123"/>
      <c r="AL276" s="123"/>
      <c r="AM276" s="123"/>
      <c r="AN276" s="123"/>
      <c r="AO276" s="123"/>
      <c r="AP276" s="123"/>
      <c r="AQ276" s="123"/>
      <c r="AR276" s="125"/>
    </row>
    <row r="277" spans="9:44" ht="12" customHeight="1">
      <c r="I277" s="141" t="str">
        <f t="shared" si="164"/>
        <v>Commercial Water heating  Tidal</v>
      </c>
      <c r="J277" s="146" t="s">
        <v>205</v>
      </c>
      <c r="K277" s="143" t="str">
        <f t="shared" si="165"/>
        <v>COM-WHTIDExt</v>
      </c>
      <c r="L277" s="101" t="str">
        <f t="shared" si="166"/>
        <v/>
      </c>
      <c r="P277" s="122" t="str">
        <f t="shared" si="150"/>
        <v/>
      </c>
      <c r="Q277" s="114" t="str">
        <f t="shared" si="146"/>
        <v/>
      </c>
      <c r="R277" s="112" t="str">
        <f t="shared" si="151"/>
        <v/>
      </c>
      <c r="S277" s="119" t="str">
        <f t="shared" si="152"/>
        <v/>
      </c>
      <c r="T277" s="119" t="str">
        <f t="shared" si="153"/>
        <v/>
      </c>
      <c r="U277" s="119" t="str">
        <f t="shared" si="154"/>
        <v/>
      </c>
      <c r="V277" s="119" t="str">
        <f t="shared" si="155"/>
        <v/>
      </c>
      <c r="W277" s="119" t="str">
        <f t="shared" si="156"/>
        <v/>
      </c>
      <c r="X277" s="119" t="str">
        <f t="shared" si="157"/>
        <v/>
      </c>
      <c r="Y277" s="119" t="str">
        <f t="shared" si="158"/>
        <v/>
      </c>
      <c r="Z277" s="119" t="str">
        <f t="shared" si="159"/>
        <v/>
      </c>
      <c r="AA277" s="119" t="str">
        <f t="shared" si="160"/>
        <v/>
      </c>
      <c r="AB277" s="119" t="str">
        <f t="shared" si="161"/>
        <v/>
      </c>
      <c r="AC277" s="119" t="str">
        <f t="shared" si="162"/>
        <v/>
      </c>
      <c r="AD277" s="119" t="str">
        <f t="shared" si="163"/>
        <v/>
      </c>
      <c r="AG277" s="124">
        <v>0.6</v>
      </c>
      <c r="AH277" s="123">
        <v>2</v>
      </c>
      <c r="AI277" s="123">
        <v>1</v>
      </c>
      <c r="AJ277" s="123"/>
      <c r="AK277" s="123"/>
      <c r="AL277" s="123"/>
      <c r="AM277" s="123"/>
      <c r="AN277" s="123"/>
      <c r="AO277" s="123"/>
      <c r="AP277" s="123"/>
      <c r="AQ277" s="123"/>
      <c r="AR277" s="125"/>
    </row>
    <row r="278" spans="9:44" ht="12" customHeight="1">
      <c r="I278" s="141" t="str">
        <f t="shared" si="164"/>
        <v>Commercial Water heating  Electricity</v>
      </c>
      <c r="J278" s="155" t="s">
        <v>198</v>
      </c>
      <c r="K278" s="144" t="str">
        <f t="shared" si="165"/>
        <v>COM-WHELCExt</v>
      </c>
      <c r="L278" s="101" t="str">
        <f t="shared" si="166"/>
        <v>COM-WHELCExt</v>
      </c>
      <c r="P278" s="122" t="str">
        <f t="shared" si="150"/>
        <v>COM-WHELCExt</v>
      </c>
      <c r="Q278" s="114" t="str">
        <f t="shared" si="146"/>
        <v>COM-ELC</v>
      </c>
      <c r="R278" s="112" t="str">
        <f t="shared" si="151"/>
        <v>COM-WH</v>
      </c>
      <c r="S278" s="119">
        <f t="shared" si="152"/>
        <v>0.6</v>
      </c>
      <c r="T278" s="119">
        <f t="shared" si="153"/>
        <v>2</v>
      </c>
      <c r="U278" s="119">
        <f t="shared" si="154"/>
        <v>1</v>
      </c>
      <c r="V278" s="119">
        <f t="shared" si="155"/>
        <v>0</v>
      </c>
      <c r="W278" s="119">
        <f t="shared" si="156"/>
        <v>0</v>
      </c>
      <c r="X278" s="119">
        <f t="shared" si="157"/>
        <v>0</v>
      </c>
      <c r="Y278" s="119">
        <f t="shared" si="158"/>
        <v>0</v>
      </c>
      <c r="Z278" s="119">
        <f t="shared" si="159"/>
        <v>0</v>
      </c>
      <c r="AA278" s="119">
        <f t="shared" si="160"/>
        <v>0</v>
      </c>
      <c r="AB278" s="119">
        <f t="shared" si="161"/>
        <v>0</v>
      </c>
      <c r="AC278" s="119">
        <f t="shared" si="162"/>
        <v>0</v>
      </c>
      <c r="AD278" s="119">
        <f t="shared" si="163"/>
        <v>0</v>
      </c>
      <c r="AG278" s="124">
        <v>0.6</v>
      </c>
      <c r="AH278" s="123">
        <v>2</v>
      </c>
      <c r="AI278" s="123">
        <v>1</v>
      </c>
      <c r="AJ278" s="123"/>
      <c r="AK278" s="123"/>
      <c r="AL278" s="123"/>
      <c r="AM278" s="123"/>
      <c r="AN278" s="123"/>
      <c r="AO278" s="123"/>
      <c r="AP278" s="123"/>
      <c r="AQ278" s="123"/>
      <c r="AR278" s="125"/>
    </row>
    <row r="279" spans="9:44" ht="12" customHeight="1">
      <c r="I279" s="140" t="str">
        <f>$C$253&amp;" "&amp;$E$255&amp;" "&amp;RIGHT(G253,LEN(G253)-FIND(" ",G253))</f>
        <v>Commercial Appliances Coal</v>
      </c>
      <c r="J279" s="146" t="s">
        <v>205</v>
      </c>
      <c r="K279" s="142" t="str">
        <f>$D$253&amp;$F$255&amp;RIGHT(H253,3)&amp;$B$253</f>
        <v>COM-APCOAExt</v>
      </c>
      <c r="L279" s="101" t="str">
        <f t="shared" ref="L279:L285" si="167">IF(J279="Yes",K279,"")</f>
        <v/>
      </c>
      <c r="P279" s="122" t="str">
        <f t="shared" si="150"/>
        <v/>
      </c>
      <c r="Q279" s="114" t="str">
        <f t="shared" si="146"/>
        <v/>
      </c>
      <c r="R279" s="112" t="str">
        <f t="shared" si="151"/>
        <v/>
      </c>
      <c r="S279" s="119" t="str">
        <f t="shared" si="152"/>
        <v/>
      </c>
      <c r="T279" s="119" t="str">
        <f t="shared" si="153"/>
        <v/>
      </c>
      <c r="U279" s="119" t="str">
        <f t="shared" si="154"/>
        <v/>
      </c>
      <c r="V279" s="119" t="str">
        <f t="shared" si="155"/>
        <v/>
      </c>
      <c r="W279" s="119" t="str">
        <f t="shared" si="156"/>
        <v/>
      </c>
      <c r="X279" s="119" t="str">
        <f t="shared" si="157"/>
        <v/>
      </c>
      <c r="Y279" s="119" t="str">
        <f t="shared" si="158"/>
        <v/>
      </c>
      <c r="Z279" s="119" t="str">
        <f t="shared" si="159"/>
        <v/>
      </c>
      <c r="AA279" s="119" t="str">
        <f t="shared" si="160"/>
        <v/>
      </c>
      <c r="AB279" s="119" t="str">
        <f t="shared" si="161"/>
        <v/>
      </c>
      <c r="AC279" s="119" t="str">
        <f t="shared" si="162"/>
        <v/>
      </c>
      <c r="AD279" s="119" t="str">
        <f t="shared" si="163"/>
        <v/>
      </c>
      <c r="AG279" s="124">
        <v>0.6</v>
      </c>
      <c r="AH279" s="123">
        <v>2</v>
      </c>
      <c r="AI279" s="123">
        <v>1</v>
      </c>
      <c r="AJ279" s="123"/>
      <c r="AK279" s="123"/>
      <c r="AL279" s="123"/>
      <c r="AM279" s="123"/>
      <c r="AN279" s="123"/>
      <c r="AO279" s="123"/>
      <c r="AP279" s="123"/>
      <c r="AQ279" s="123"/>
      <c r="AR279" s="125"/>
    </row>
    <row r="280" spans="9:44" ht="12" customHeight="1">
      <c r="I280" s="141" t="str">
        <f t="shared" ref="I280:I291" si="168">$C$253&amp;" "&amp;$E$255&amp;" "&amp;RIGHT(G254,LEN(G254)-FIND(" ",G254))</f>
        <v>Commercial Appliances Lignite</v>
      </c>
      <c r="J280" s="146" t="s">
        <v>205</v>
      </c>
      <c r="K280" s="143" t="str">
        <f t="shared" ref="K280:K291" si="169">$D$253&amp;$F$255&amp;RIGHT(H254,3)&amp;$B$253</f>
        <v>COM-APCOLExt</v>
      </c>
      <c r="L280" s="101" t="str">
        <f t="shared" si="167"/>
        <v/>
      </c>
      <c r="P280" s="122" t="str">
        <f t="shared" si="150"/>
        <v/>
      </c>
      <c r="Q280" s="114" t="str">
        <f t="shared" si="146"/>
        <v/>
      </c>
      <c r="R280" s="112" t="str">
        <f t="shared" si="151"/>
        <v/>
      </c>
      <c r="S280" s="119" t="str">
        <f t="shared" si="152"/>
        <v/>
      </c>
      <c r="T280" s="119" t="str">
        <f t="shared" si="153"/>
        <v/>
      </c>
      <c r="U280" s="119" t="str">
        <f t="shared" si="154"/>
        <v/>
      </c>
      <c r="V280" s="119" t="str">
        <f t="shared" si="155"/>
        <v/>
      </c>
      <c r="W280" s="119" t="str">
        <f t="shared" si="156"/>
        <v/>
      </c>
      <c r="X280" s="119" t="str">
        <f t="shared" si="157"/>
        <v/>
      </c>
      <c r="Y280" s="119" t="str">
        <f t="shared" si="158"/>
        <v/>
      </c>
      <c r="Z280" s="119" t="str">
        <f t="shared" si="159"/>
        <v/>
      </c>
      <c r="AA280" s="119" t="str">
        <f t="shared" si="160"/>
        <v/>
      </c>
      <c r="AB280" s="119" t="str">
        <f t="shared" si="161"/>
        <v/>
      </c>
      <c r="AC280" s="119" t="str">
        <f t="shared" si="162"/>
        <v/>
      </c>
      <c r="AD280" s="119" t="str">
        <f t="shared" si="163"/>
        <v/>
      </c>
      <c r="AG280" s="124">
        <v>0.6</v>
      </c>
      <c r="AH280" s="123">
        <v>2</v>
      </c>
      <c r="AI280" s="123">
        <v>1</v>
      </c>
      <c r="AJ280" s="123"/>
      <c r="AK280" s="123"/>
      <c r="AL280" s="123"/>
      <c r="AM280" s="123"/>
      <c r="AN280" s="123"/>
      <c r="AO280" s="123"/>
      <c r="AP280" s="123"/>
      <c r="AQ280" s="123"/>
      <c r="AR280" s="125"/>
    </row>
    <row r="281" spans="9:44" ht="12" customHeight="1">
      <c r="I281" s="141" t="str">
        <f t="shared" si="168"/>
        <v>Commercial Appliances Crude oil</v>
      </c>
      <c r="J281" s="146" t="s">
        <v>205</v>
      </c>
      <c r="K281" s="143" t="str">
        <f t="shared" si="169"/>
        <v>COM-APOILExt</v>
      </c>
      <c r="L281" s="101" t="str">
        <f t="shared" si="167"/>
        <v/>
      </c>
      <c r="P281" s="122" t="str">
        <f t="shared" si="150"/>
        <v/>
      </c>
      <c r="Q281" s="114" t="str">
        <f t="shared" si="146"/>
        <v/>
      </c>
      <c r="R281" s="112" t="str">
        <f t="shared" si="151"/>
        <v/>
      </c>
      <c r="S281" s="119" t="str">
        <f t="shared" si="152"/>
        <v/>
      </c>
      <c r="T281" s="119" t="str">
        <f t="shared" si="153"/>
        <v/>
      </c>
      <c r="U281" s="119" t="str">
        <f t="shared" si="154"/>
        <v/>
      </c>
      <c r="V281" s="119" t="str">
        <f t="shared" si="155"/>
        <v/>
      </c>
      <c r="W281" s="119" t="str">
        <f t="shared" si="156"/>
        <v/>
      </c>
      <c r="X281" s="119" t="str">
        <f t="shared" si="157"/>
        <v/>
      </c>
      <c r="Y281" s="119" t="str">
        <f t="shared" si="158"/>
        <v/>
      </c>
      <c r="Z281" s="119" t="str">
        <f t="shared" si="159"/>
        <v/>
      </c>
      <c r="AA281" s="119" t="str">
        <f t="shared" si="160"/>
        <v/>
      </c>
      <c r="AB281" s="119" t="str">
        <f t="shared" si="161"/>
        <v/>
      </c>
      <c r="AC281" s="119" t="str">
        <f t="shared" si="162"/>
        <v/>
      </c>
      <c r="AD281" s="119" t="str">
        <f t="shared" si="163"/>
        <v/>
      </c>
      <c r="AG281" s="124">
        <v>0.6</v>
      </c>
      <c r="AH281" s="123">
        <v>2</v>
      </c>
      <c r="AI281" s="123">
        <v>1</v>
      </c>
      <c r="AJ281" s="123"/>
      <c r="AK281" s="123"/>
      <c r="AL281" s="123"/>
      <c r="AM281" s="123"/>
      <c r="AN281" s="123"/>
      <c r="AO281" s="123"/>
      <c r="AP281" s="123"/>
      <c r="AQ281" s="123"/>
      <c r="AR281" s="125"/>
    </row>
    <row r="282" spans="9:44" ht="12" customHeight="1">
      <c r="I282" s="141" t="str">
        <f t="shared" si="168"/>
        <v>Commercial Appliances Natural Gas</v>
      </c>
      <c r="J282" s="146" t="s">
        <v>198</v>
      </c>
      <c r="K282" s="143" t="str">
        <f t="shared" si="169"/>
        <v>COM-APNGAExt</v>
      </c>
      <c r="L282" s="101" t="str">
        <f t="shared" si="167"/>
        <v>COM-APNGAExt</v>
      </c>
      <c r="P282" s="122" t="str">
        <f t="shared" si="150"/>
        <v>COM-APNGAExt</v>
      </c>
      <c r="Q282" s="114" t="str">
        <f t="shared" si="146"/>
        <v>COM-NGA</v>
      </c>
      <c r="R282" s="112" t="str">
        <f t="shared" si="151"/>
        <v>COM-AP</v>
      </c>
      <c r="S282" s="119">
        <f t="shared" si="152"/>
        <v>0.6</v>
      </c>
      <c r="T282" s="119">
        <f t="shared" si="153"/>
        <v>2</v>
      </c>
      <c r="U282" s="119">
        <f t="shared" si="154"/>
        <v>1</v>
      </c>
      <c r="V282" s="119">
        <f t="shared" si="155"/>
        <v>0</v>
      </c>
      <c r="W282" s="119">
        <f t="shared" si="156"/>
        <v>0</v>
      </c>
      <c r="X282" s="119">
        <f t="shared" si="157"/>
        <v>0</v>
      </c>
      <c r="Y282" s="119">
        <f t="shared" si="158"/>
        <v>0</v>
      </c>
      <c r="Z282" s="119">
        <f t="shared" si="159"/>
        <v>0</v>
      </c>
      <c r="AA282" s="119">
        <f t="shared" si="160"/>
        <v>0</v>
      </c>
      <c r="AB282" s="119">
        <f t="shared" si="161"/>
        <v>0</v>
      </c>
      <c r="AC282" s="119">
        <f t="shared" si="162"/>
        <v>0</v>
      </c>
      <c r="AD282" s="119">
        <f t="shared" si="163"/>
        <v>0</v>
      </c>
      <c r="AG282" s="124">
        <v>0.6</v>
      </c>
      <c r="AH282" s="123">
        <v>2</v>
      </c>
      <c r="AI282" s="123">
        <v>1</v>
      </c>
      <c r="AJ282" s="123"/>
      <c r="AK282" s="123"/>
      <c r="AL282" s="123"/>
      <c r="AM282" s="123"/>
      <c r="AN282" s="123"/>
      <c r="AO282" s="123"/>
      <c r="AP282" s="123"/>
      <c r="AQ282" s="123"/>
      <c r="AR282" s="125"/>
    </row>
    <row r="283" spans="9:44" ht="12" customHeight="1">
      <c r="I283" s="141" t="str">
        <f t="shared" si="168"/>
        <v>Commercial Appliances Hydro</v>
      </c>
      <c r="J283" s="146" t="s">
        <v>205</v>
      </c>
      <c r="K283" s="143" t="str">
        <f t="shared" si="169"/>
        <v>COM-APHYDExt</v>
      </c>
      <c r="L283" s="101" t="str">
        <f t="shared" si="167"/>
        <v/>
      </c>
      <c r="P283" s="122" t="str">
        <f t="shared" si="150"/>
        <v/>
      </c>
      <c r="Q283" s="114" t="str">
        <f t="shared" si="146"/>
        <v/>
      </c>
      <c r="R283" s="112" t="str">
        <f t="shared" si="151"/>
        <v/>
      </c>
      <c r="S283" s="119" t="str">
        <f t="shared" si="152"/>
        <v/>
      </c>
      <c r="T283" s="119" t="str">
        <f t="shared" si="153"/>
        <v/>
      </c>
      <c r="U283" s="119" t="str">
        <f t="shared" si="154"/>
        <v/>
      </c>
      <c r="V283" s="119" t="str">
        <f t="shared" si="155"/>
        <v/>
      </c>
      <c r="W283" s="119" t="str">
        <f t="shared" si="156"/>
        <v/>
      </c>
      <c r="X283" s="119" t="str">
        <f t="shared" si="157"/>
        <v/>
      </c>
      <c r="Y283" s="119" t="str">
        <f t="shared" si="158"/>
        <v/>
      </c>
      <c r="Z283" s="119" t="str">
        <f t="shared" si="159"/>
        <v/>
      </c>
      <c r="AA283" s="119" t="str">
        <f t="shared" si="160"/>
        <v/>
      </c>
      <c r="AB283" s="119" t="str">
        <f t="shared" si="161"/>
        <v/>
      </c>
      <c r="AC283" s="119" t="str">
        <f t="shared" si="162"/>
        <v/>
      </c>
      <c r="AD283" s="119" t="str">
        <f t="shared" si="163"/>
        <v/>
      </c>
      <c r="AG283" s="124">
        <v>0.6</v>
      </c>
      <c r="AH283" s="123">
        <v>2</v>
      </c>
      <c r="AI283" s="123">
        <v>1</v>
      </c>
      <c r="AJ283" s="123"/>
      <c r="AK283" s="123"/>
      <c r="AL283" s="123"/>
      <c r="AM283" s="123"/>
      <c r="AN283" s="123"/>
      <c r="AO283" s="123"/>
      <c r="AP283" s="123"/>
      <c r="AQ283" s="123"/>
      <c r="AR283" s="125"/>
    </row>
    <row r="284" spans="9:44" ht="12" customHeight="1">
      <c r="I284" s="141" t="str">
        <f t="shared" si="168"/>
        <v>Commercial Appliances Geothermal</v>
      </c>
      <c r="J284" s="146" t="s">
        <v>205</v>
      </c>
      <c r="K284" s="143" t="str">
        <f t="shared" si="169"/>
        <v>COM-APGEOExt</v>
      </c>
      <c r="L284" s="101" t="str">
        <f t="shared" si="167"/>
        <v/>
      </c>
      <c r="P284" s="122" t="str">
        <f t="shared" si="150"/>
        <v/>
      </c>
      <c r="Q284" s="114" t="str">
        <f t="shared" si="146"/>
        <v/>
      </c>
      <c r="R284" s="112" t="str">
        <f t="shared" si="151"/>
        <v/>
      </c>
      <c r="S284" s="119" t="str">
        <f t="shared" si="152"/>
        <v/>
      </c>
      <c r="T284" s="119" t="str">
        <f t="shared" si="153"/>
        <v/>
      </c>
      <c r="U284" s="119" t="str">
        <f t="shared" si="154"/>
        <v/>
      </c>
      <c r="V284" s="119" t="str">
        <f t="shared" si="155"/>
        <v/>
      </c>
      <c r="W284" s="119" t="str">
        <f t="shared" si="156"/>
        <v/>
      </c>
      <c r="X284" s="119" t="str">
        <f t="shared" si="157"/>
        <v/>
      </c>
      <c r="Y284" s="119" t="str">
        <f t="shared" si="158"/>
        <v/>
      </c>
      <c r="Z284" s="119" t="str">
        <f t="shared" si="159"/>
        <v/>
      </c>
      <c r="AA284" s="119" t="str">
        <f t="shared" si="160"/>
        <v/>
      </c>
      <c r="AB284" s="119" t="str">
        <f t="shared" si="161"/>
        <v/>
      </c>
      <c r="AC284" s="119" t="str">
        <f t="shared" si="162"/>
        <v/>
      </c>
      <c r="AD284" s="119" t="str">
        <f t="shared" si="163"/>
        <v/>
      </c>
      <c r="AG284" s="124">
        <v>0.6</v>
      </c>
      <c r="AH284" s="123">
        <v>2</v>
      </c>
      <c r="AI284" s="123">
        <v>1</v>
      </c>
      <c r="AJ284" s="123"/>
      <c r="AK284" s="123"/>
      <c r="AL284" s="123"/>
      <c r="AM284" s="123"/>
      <c r="AN284" s="123"/>
      <c r="AO284" s="123"/>
      <c r="AP284" s="123"/>
      <c r="AQ284" s="123"/>
      <c r="AR284" s="125"/>
    </row>
    <row r="285" spans="9:44" ht="12" customHeight="1">
      <c r="I285" s="141" t="str">
        <f t="shared" si="168"/>
        <v>Commercial Appliances Solar</v>
      </c>
      <c r="J285" s="146" t="s">
        <v>205</v>
      </c>
      <c r="K285" s="143" t="str">
        <f t="shared" si="169"/>
        <v>COM-APSOLExt</v>
      </c>
      <c r="L285" s="101" t="str">
        <f t="shared" si="167"/>
        <v/>
      </c>
      <c r="P285" s="122" t="str">
        <f t="shared" si="150"/>
        <v/>
      </c>
      <c r="Q285" s="114" t="str">
        <f t="shared" si="146"/>
        <v/>
      </c>
      <c r="R285" s="112" t="str">
        <f t="shared" si="151"/>
        <v/>
      </c>
      <c r="S285" s="119" t="str">
        <f t="shared" si="152"/>
        <v/>
      </c>
      <c r="T285" s="119" t="str">
        <f t="shared" si="153"/>
        <v/>
      </c>
      <c r="U285" s="119" t="str">
        <f t="shared" si="154"/>
        <v/>
      </c>
      <c r="V285" s="119" t="str">
        <f t="shared" si="155"/>
        <v/>
      </c>
      <c r="W285" s="119" t="str">
        <f t="shared" si="156"/>
        <v/>
      </c>
      <c r="X285" s="119" t="str">
        <f t="shared" si="157"/>
        <v/>
      </c>
      <c r="Y285" s="119" t="str">
        <f t="shared" si="158"/>
        <v/>
      </c>
      <c r="Z285" s="119" t="str">
        <f t="shared" si="159"/>
        <v/>
      </c>
      <c r="AA285" s="119" t="str">
        <f t="shared" si="160"/>
        <v/>
      </c>
      <c r="AB285" s="119" t="str">
        <f t="shared" si="161"/>
        <v/>
      </c>
      <c r="AC285" s="119" t="str">
        <f t="shared" si="162"/>
        <v/>
      </c>
      <c r="AD285" s="119" t="str">
        <f t="shared" si="163"/>
        <v/>
      </c>
      <c r="AG285" s="124">
        <v>0.6</v>
      </c>
      <c r="AH285" s="123">
        <v>2</v>
      </c>
      <c r="AI285" s="123">
        <v>1</v>
      </c>
      <c r="AJ285" s="123"/>
      <c r="AK285" s="123"/>
      <c r="AL285" s="123"/>
      <c r="AM285" s="123"/>
      <c r="AN285" s="123"/>
      <c r="AO285" s="123"/>
      <c r="AP285" s="123"/>
      <c r="AQ285" s="123"/>
      <c r="AR285" s="125"/>
    </row>
    <row r="286" spans="9:44" ht="12" customHeight="1">
      <c r="I286" s="141" t="str">
        <f t="shared" si="168"/>
        <v>Commercial Appliances Wind</v>
      </c>
      <c r="J286" s="146" t="s">
        <v>205</v>
      </c>
      <c r="K286" s="143" t="str">
        <f t="shared" si="169"/>
        <v>COM-APWINExt</v>
      </c>
      <c r="L286" s="101" t="str">
        <f t="shared" ref="L286:L292" si="170">IF(J286="Yes",K286,"")</f>
        <v/>
      </c>
      <c r="P286" s="122" t="str">
        <f t="shared" si="150"/>
        <v/>
      </c>
      <c r="Q286" s="114" t="str">
        <f t="shared" si="146"/>
        <v/>
      </c>
      <c r="R286" s="112" t="str">
        <f t="shared" si="151"/>
        <v/>
      </c>
      <c r="S286" s="119" t="str">
        <f t="shared" si="152"/>
        <v/>
      </c>
      <c r="T286" s="119" t="str">
        <f t="shared" si="153"/>
        <v/>
      </c>
      <c r="U286" s="119" t="str">
        <f t="shared" si="154"/>
        <v/>
      </c>
      <c r="V286" s="119" t="str">
        <f t="shared" si="155"/>
        <v/>
      </c>
      <c r="W286" s="119" t="str">
        <f t="shared" si="156"/>
        <v/>
      </c>
      <c r="X286" s="119" t="str">
        <f t="shared" si="157"/>
        <v/>
      </c>
      <c r="Y286" s="119" t="str">
        <f t="shared" si="158"/>
        <v/>
      </c>
      <c r="Z286" s="119" t="str">
        <f t="shared" si="159"/>
        <v/>
      </c>
      <c r="AA286" s="119" t="str">
        <f t="shared" si="160"/>
        <v/>
      </c>
      <c r="AB286" s="119" t="str">
        <f t="shared" si="161"/>
        <v/>
      </c>
      <c r="AC286" s="119" t="str">
        <f t="shared" si="162"/>
        <v/>
      </c>
      <c r="AD286" s="119" t="str">
        <f t="shared" si="163"/>
        <v/>
      </c>
      <c r="AG286" s="124">
        <v>0.6</v>
      </c>
      <c r="AH286" s="123">
        <v>2</v>
      </c>
      <c r="AI286" s="123">
        <v>1</v>
      </c>
      <c r="AJ286" s="123"/>
      <c r="AK286" s="123"/>
      <c r="AL286" s="123"/>
      <c r="AM286" s="123"/>
      <c r="AN286" s="123"/>
      <c r="AO286" s="123"/>
      <c r="AP286" s="123"/>
      <c r="AQ286" s="123"/>
      <c r="AR286" s="125"/>
    </row>
    <row r="287" spans="9:44" ht="12" customHeight="1">
      <c r="I287" s="141" t="str">
        <f t="shared" si="168"/>
        <v>Commercial Appliances Bio Liquids</v>
      </c>
      <c r="J287" s="146" t="s">
        <v>205</v>
      </c>
      <c r="K287" s="143" t="str">
        <f t="shared" si="169"/>
        <v>COM-APBILExt</v>
      </c>
      <c r="L287" s="101" t="str">
        <f t="shared" si="170"/>
        <v/>
      </c>
      <c r="P287" s="122" t="str">
        <f t="shared" si="150"/>
        <v/>
      </c>
      <c r="Q287" s="114" t="str">
        <f t="shared" si="146"/>
        <v/>
      </c>
      <c r="R287" s="112" t="str">
        <f t="shared" si="151"/>
        <v/>
      </c>
      <c r="S287" s="119" t="str">
        <f t="shared" si="152"/>
        <v/>
      </c>
      <c r="T287" s="119" t="str">
        <f t="shared" si="153"/>
        <v/>
      </c>
      <c r="U287" s="119" t="str">
        <f t="shared" si="154"/>
        <v/>
      </c>
      <c r="V287" s="119" t="str">
        <f t="shared" si="155"/>
        <v/>
      </c>
      <c r="W287" s="119" t="str">
        <f t="shared" si="156"/>
        <v/>
      </c>
      <c r="X287" s="119" t="str">
        <f t="shared" si="157"/>
        <v/>
      </c>
      <c r="Y287" s="119" t="str">
        <f t="shared" si="158"/>
        <v/>
      </c>
      <c r="Z287" s="119" t="str">
        <f t="shared" si="159"/>
        <v/>
      </c>
      <c r="AA287" s="119" t="str">
        <f t="shared" si="160"/>
        <v/>
      </c>
      <c r="AB287" s="119" t="str">
        <f t="shared" si="161"/>
        <v/>
      </c>
      <c r="AC287" s="119" t="str">
        <f t="shared" si="162"/>
        <v/>
      </c>
      <c r="AD287" s="119" t="str">
        <f t="shared" si="163"/>
        <v/>
      </c>
      <c r="AG287" s="124">
        <v>0.6</v>
      </c>
      <c r="AH287" s="123">
        <v>2</v>
      </c>
      <c r="AI287" s="123">
        <v>1</v>
      </c>
      <c r="AJ287" s="123"/>
      <c r="AK287" s="123"/>
      <c r="AL287" s="123"/>
      <c r="AM287" s="123"/>
      <c r="AN287" s="123"/>
      <c r="AO287" s="123"/>
      <c r="AP287" s="123"/>
      <c r="AQ287" s="123"/>
      <c r="AR287" s="125"/>
    </row>
    <row r="288" spans="9:44" ht="12" customHeight="1">
      <c r="I288" s="141" t="str">
        <f t="shared" si="168"/>
        <v>Commercial Appliances Biogas</v>
      </c>
      <c r="J288" s="146" t="s">
        <v>205</v>
      </c>
      <c r="K288" s="143" t="str">
        <f t="shared" si="169"/>
        <v>COM-APBIGExt</v>
      </c>
      <c r="L288" s="101" t="str">
        <f t="shared" si="170"/>
        <v/>
      </c>
      <c r="P288" s="122" t="str">
        <f t="shared" si="150"/>
        <v/>
      </c>
      <c r="Q288" s="114" t="str">
        <f t="shared" si="146"/>
        <v/>
      </c>
      <c r="R288" s="112" t="str">
        <f t="shared" si="151"/>
        <v/>
      </c>
      <c r="S288" s="119" t="str">
        <f t="shared" si="152"/>
        <v/>
      </c>
      <c r="T288" s="119" t="str">
        <f t="shared" si="153"/>
        <v/>
      </c>
      <c r="U288" s="119" t="str">
        <f t="shared" si="154"/>
        <v/>
      </c>
      <c r="V288" s="119" t="str">
        <f t="shared" si="155"/>
        <v/>
      </c>
      <c r="W288" s="119" t="str">
        <f t="shared" si="156"/>
        <v/>
      </c>
      <c r="X288" s="119" t="str">
        <f t="shared" si="157"/>
        <v/>
      </c>
      <c r="Y288" s="119" t="str">
        <f t="shared" si="158"/>
        <v/>
      </c>
      <c r="Z288" s="119" t="str">
        <f t="shared" si="159"/>
        <v/>
      </c>
      <c r="AA288" s="119" t="str">
        <f t="shared" si="160"/>
        <v/>
      </c>
      <c r="AB288" s="119" t="str">
        <f t="shared" si="161"/>
        <v/>
      </c>
      <c r="AC288" s="119" t="str">
        <f t="shared" si="162"/>
        <v/>
      </c>
      <c r="AD288" s="119" t="str">
        <f t="shared" si="163"/>
        <v/>
      </c>
      <c r="AG288" s="124">
        <v>0.6</v>
      </c>
      <c r="AH288" s="123">
        <v>2</v>
      </c>
      <c r="AI288" s="123">
        <v>1</v>
      </c>
      <c r="AJ288" s="123"/>
      <c r="AK288" s="123"/>
      <c r="AL288" s="123"/>
      <c r="AM288" s="123"/>
      <c r="AN288" s="123"/>
      <c r="AO288" s="123"/>
      <c r="AP288" s="123"/>
      <c r="AQ288" s="123"/>
      <c r="AR288" s="125"/>
    </row>
    <row r="289" spans="9:44" ht="12" customHeight="1">
      <c r="I289" s="141" t="str">
        <f t="shared" si="168"/>
        <v>Commercial Appliances Wood</v>
      </c>
      <c r="J289" s="146" t="s">
        <v>205</v>
      </c>
      <c r="K289" s="143" t="str">
        <f t="shared" si="169"/>
        <v>COM-APWODExt</v>
      </c>
      <c r="L289" s="101" t="str">
        <f t="shared" si="170"/>
        <v/>
      </c>
      <c r="P289" s="122" t="str">
        <f t="shared" si="150"/>
        <v/>
      </c>
      <c r="Q289" s="114" t="str">
        <f t="shared" si="146"/>
        <v/>
      </c>
      <c r="R289" s="112" t="str">
        <f t="shared" si="151"/>
        <v/>
      </c>
      <c r="S289" s="119" t="str">
        <f t="shared" si="152"/>
        <v/>
      </c>
      <c r="T289" s="119" t="str">
        <f t="shared" si="153"/>
        <v/>
      </c>
      <c r="U289" s="119" t="str">
        <f t="shared" si="154"/>
        <v/>
      </c>
      <c r="V289" s="119" t="str">
        <f t="shared" si="155"/>
        <v/>
      </c>
      <c r="W289" s="119" t="str">
        <f t="shared" si="156"/>
        <v/>
      </c>
      <c r="X289" s="119" t="str">
        <f t="shared" si="157"/>
        <v/>
      </c>
      <c r="Y289" s="119" t="str">
        <f t="shared" si="158"/>
        <v/>
      </c>
      <c r="Z289" s="119" t="str">
        <f t="shared" si="159"/>
        <v/>
      </c>
      <c r="AA289" s="119" t="str">
        <f t="shared" si="160"/>
        <v/>
      </c>
      <c r="AB289" s="119" t="str">
        <f t="shared" si="161"/>
        <v/>
      </c>
      <c r="AC289" s="119" t="str">
        <f t="shared" si="162"/>
        <v/>
      </c>
      <c r="AD289" s="119" t="str">
        <f t="shared" si="163"/>
        <v/>
      </c>
      <c r="AG289" s="124">
        <v>0.6</v>
      </c>
      <c r="AH289" s="123">
        <v>2</v>
      </c>
      <c r="AI289" s="123">
        <v>1</v>
      </c>
      <c r="AJ289" s="123"/>
      <c r="AK289" s="123"/>
      <c r="AL289" s="123"/>
      <c r="AM289" s="123"/>
      <c r="AN289" s="123"/>
      <c r="AO289" s="123"/>
      <c r="AP289" s="123"/>
      <c r="AQ289" s="123"/>
      <c r="AR289" s="125"/>
    </row>
    <row r="290" spans="9:44" ht="12" customHeight="1">
      <c r="I290" s="141" t="str">
        <f t="shared" si="168"/>
        <v>Commercial Appliances Tidal</v>
      </c>
      <c r="J290" s="146" t="s">
        <v>205</v>
      </c>
      <c r="K290" s="143" t="str">
        <f t="shared" si="169"/>
        <v>COM-APTIDExt</v>
      </c>
      <c r="L290" s="101" t="str">
        <f t="shared" si="170"/>
        <v/>
      </c>
      <c r="P290" s="122" t="str">
        <f t="shared" si="150"/>
        <v/>
      </c>
      <c r="Q290" s="114" t="str">
        <f t="shared" si="146"/>
        <v/>
      </c>
      <c r="R290" s="112" t="str">
        <f t="shared" si="151"/>
        <v/>
      </c>
      <c r="S290" s="119" t="str">
        <f t="shared" si="152"/>
        <v/>
      </c>
      <c r="T290" s="119" t="str">
        <f t="shared" si="153"/>
        <v/>
      </c>
      <c r="U290" s="119" t="str">
        <f t="shared" si="154"/>
        <v/>
      </c>
      <c r="V290" s="119" t="str">
        <f t="shared" si="155"/>
        <v/>
      </c>
      <c r="W290" s="119" t="str">
        <f t="shared" si="156"/>
        <v/>
      </c>
      <c r="X290" s="119" t="str">
        <f t="shared" si="157"/>
        <v/>
      </c>
      <c r="Y290" s="119" t="str">
        <f t="shared" si="158"/>
        <v/>
      </c>
      <c r="Z290" s="119" t="str">
        <f t="shared" si="159"/>
        <v/>
      </c>
      <c r="AA290" s="119" t="str">
        <f t="shared" si="160"/>
        <v/>
      </c>
      <c r="AB290" s="119" t="str">
        <f t="shared" si="161"/>
        <v/>
      </c>
      <c r="AC290" s="119" t="str">
        <f t="shared" si="162"/>
        <v/>
      </c>
      <c r="AD290" s="119" t="str">
        <f t="shared" si="163"/>
        <v/>
      </c>
      <c r="AG290" s="124">
        <v>0.6</v>
      </c>
      <c r="AH290" s="123">
        <v>2</v>
      </c>
      <c r="AI290" s="123">
        <v>1</v>
      </c>
      <c r="AJ290" s="123"/>
      <c r="AK290" s="123"/>
      <c r="AL290" s="123"/>
      <c r="AM290" s="123"/>
      <c r="AN290" s="123"/>
      <c r="AO290" s="123"/>
      <c r="AP290" s="123"/>
      <c r="AQ290" s="123"/>
      <c r="AR290" s="125"/>
    </row>
    <row r="291" spans="9:44" ht="12" customHeight="1">
      <c r="I291" s="141" t="str">
        <f t="shared" si="168"/>
        <v>Commercial Appliances Electricity</v>
      </c>
      <c r="J291" s="155" t="s">
        <v>198</v>
      </c>
      <c r="K291" s="144" t="str">
        <f t="shared" si="169"/>
        <v>COM-APELCExt</v>
      </c>
      <c r="L291" s="101" t="str">
        <f t="shared" si="170"/>
        <v>COM-APELCExt</v>
      </c>
      <c r="P291" s="122" t="str">
        <f t="shared" si="150"/>
        <v>COM-APELCExt</v>
      </c>
      <c r="Q291" s="114" t="str">
        <f t="shared" si="146"/>
        <v>COM-ELC</v>
      </c>
      <c r="R291" s="112" t="str">
        <f t="shared" si="151"/>
        <v>COM-AP</v>
      </c>
      <c r="S291" s="119">
        <f t="shared" si="152"/>
        <v>0.6</v>
      </c>
      <c r="T291" s="119">
        <f t="shared" si="153"/>
        <v>2</v>
      </c>
      <c r="U291" s="119">
        <f t="shared" si="154"/>
        <v>1</v>
      </c>
      <c r="V291" s="119">
        <f t="shared" si="155"/>
        <v>0</v>
      </c>
      <c r="W291" s="119">
        <f t="shared" si="156"/>
        <v>0</v>
      </c>
      <c r="X291" s="119">
        <f t="shared" si="157"/>
        <v>0</v>
      </c>
      <c r="Y291" s="119">
        <f t="shared" si="158"/>
        <v>0</v>
      </c>
      <c r="Z291" s="119">
        <f t="shared" si="159"/>
        <v>0</v>
      </c>
      <c r="AA291" s="119">
        <f t="shared" si="160"/>
        <v>0</v>
      </c>
      <c r="AB291" s="119">
        <f t="shared" si="161"/>
        <v>0</v>
      </c>
      <c r="AC291" s="119">
        <f t="shared" si="162"/>
        <v>0</v>
      </c>
      <c r="AD291" s="119">
        <f t="shared" si="163"/>
        <v>0</v>
      </c>
      <c r="AG291" s="124">
        <v>0.6</v>
      </c>
      <c r="AH291" s="123">
        <v>2</v>
      </c>
      <c r="AI291" s="123">
        <v>1</v>
      </c>
      <c r="AJ291" s="123"/>
      <c r="AK291" s="123"/>
      <c r="AL291" s="123"/>
      <c r="AM291" s="123"/>
      <c r="AN291" s="123"/>
      <c r="AO291" s="123"/>
      <c r="AP291" s="123"/>
      <c r="AQ291" s="123"/>
      <c r="AR291" s="125"/>
    </row>
    <row r="292" spans="9:44" ht="12" customHeight="1">
      <c r="I292" s="140" t="str">
        <f>$C$253&amp;" "&amp;$E$256&amp;" "&amp;RIGHT(G253,LEN(G253)-FIND(" ",G253))</f>
        <v>Commercial Lighting  Coal</v>
      </c>
      <c r="J292" s="146" t="s">
        <v>205</v>
      </c>
      <c r="K292" s="142" t="str">
        <f>$D$253&amp;$F$256&amp;RIGHT(H253,3)&amp;$B$253</f>
        <v>COM-LTCOAExt</v>
      </c>
      <c r="L292" s="101" t="str">
        <f t="shared" si="170"/>
        <v/>
      </c>
      <c r="P292" s="122" t="str">
        <f t="shared" si="150"/>
        <v/>
      </c>
      <c r="Q292" s="114" t="str">
        <f t="shared" si="146"/>
        <v/>
      </c>
      <c r="R292" s="112" t="str">
        <f t="shared" si="151"/>
        <v/>
      </c>
      <c r="S292" s="119" t="str">
        <f t="shared" si="152"/>
        <v/>
      </c>
      <c r="T292" s="119" t="str">
        <f t="shared" si="153"/>
        <v/>
      </c>
      <c r="U292" s="119" t="str">
        <f t="shared" si="154"/>
        <v/>
      </c>
      <c r="V292" s="119" t="str">
        <f t="shared" si="155"/>
        <v/>
      </c>
      <c r="W292" s="119" t="str">
        <f t="shared" si="156"/>
        <v/>
      </c>
      <c r="X292" s="119" t="str">
        <f t="shared" si="157"/>
        <v/>
      </c>
      <c r="Y292" s="119" t="str">
        <f t="shared" si="158"/>
        <v/>
      </c>
      <c r="Z292" s="119" t="str">
        <f t="shared" si="159"/>
        <v/>
      </c>
      <c r="AA292" s="119" t="str">
        <f t="shared" si="160"/>
        <v/>
      </c>
      <c r="AB292" s="119" t="str">
        <f t="shared" si="161"/>
        <v/>
      </c>
      <c r="AC292" s="119" t="str">
        <f t="shared" si="162"/>
        <v/>
      </c>
      <c r="AD292" s="119" t="str">
        <f t="shared" si="163"/>
        <v/>
      </c>
      <c r="AG292" s="124">
        <v>0.6</v>
      </c>
      <c r="AH292" s="123">
        <v>2</v>
      </c>
      <c r="AI292" s="123">
        <v>1</v>
      </c>
      <c r="AJ292" s="123"/>
      <c r="AK292" s="123"/>
      <c r="AL292" s="123"/>
      <c r="AM292" s="123"/>
      <c r="AN292" s="123"/>
      <c r="AO292" s="123"/>
      <c r="AP292" s="123"/>
      <c r="AQ292" s="123"/>
      <c r="AR292" s="125"/>
    </row>
    <row r="293" spans="9:44" ht="12" customHeight="1">
      <c r="I293" s="141" t="str">
        <f t="shared" ref="I293:I304" si="171">$C$253&amp;" "&amp;$E$256&amp;" "&amp;RIGHT(G254,LEN(G254)-FIND(" ",G254))</f>
        <v>Commercial Lighting  Lignite</v>
      </c>
      <c r="J293" s="146" t="s">
        <v>205</v>
      </c>
      <c r="K293" s="143" t="str">
        <f t="shared" ref="K293:K304" si="172">$D$253&amp;$F$256&amp;RIGHT(H254,3)&amp;$B$253</f>
        <v>COM-LTCOLExt</v>
      </c>
      <c r="L293" s="101" t="str">
        <f t="shared" ref="L293:L300" si="173">IF(J293="Yes",K293,"")</f>
        <v/>
      </c>
      <c r="P293" s="122" t="str">
        <f t="shared" si="150"/>
        <v/>
      </c>
      <c r="Q293" s="114" t="str">
        <f t="shared" si="146"/>
        <v/>
      </c>
      <c r="R293" s="112" t="str">
        <f t="shared" si="151"/>
        <v/>
      </c>
      <c r="S293" s="119" t="str">
        <f t="shared" si="152"/>
        <v/>
      </c>
      <c r="T293" s="119" t="str">
        <f t="shared" si="153"/>
        <v/>
      </c>
      <c r="U293" s="119" t="str">
        <f t="shared" si="154"/>
        <v/>
      </c>
      <c r="V293" s="119" t="str">
        <f t="shared" si="155"/>
        <v/>
      </c>
      <c r="W293" s="119" t="str">
        <f t="shared" si="156"/>
        <v/>
      </c>
      <c r="X293" s="119" t="str">
        <f t="shared" si="157"/>
        <v/>
      </c>
      <c r="Y293" s="119" t="str">
        <f t="shared" si="158"/>
        <v/>
      </c>
      <c r="Z293" s="119" t="str">
        <f t="shared" si="159"/>
        <v/>
      </c>
      <c r="AA293" s="119" t="str">
        <f t="shared" si="160"/>
        <v/>
      </c>
      <c r="AB293" s="119" t="str">
        <f t="shared" si="161"/>
        <v/>
      </c>
      <c r="AC293" s="119" t="str">
        <f t="shared" si="162"/>
        <v/>
      </c>
      <c r="AD293" s="119" t="str">
        <f t="shared" si="163"/>
        <v/>
      </c>
      <c r="AG293" s="124">
        <v>0.6</v>
      </c>
      <c r="AH293" s="123">
        <v>2</v>
      </c>
      <c r="AI293" s="123">
        <v>1</v>
      </c>
      <c r="AJ293" s="123"/>
      <c r="AK293" s="123"/>
      <c r="AL293" s="123"/>
      <c r="AM293" s="123"/>
      <c r="AN293" s="123"/>
      <c r="AO293" s="123"/>
      <c r="AP293" s="123"/>
      <c r="AQ293" s="123"/>
      <c r="AR293" s="125"/>
    </row>
    <row r="294" spans="9:44" ht="12" customHeight="1">
      <c r="I294" s="141" t="str">
        <f t="shared" si="171"/>
        <v>Commercial Lighting  Crude oil</v>
      </c>
      <c r="J294" s="146" t="s">
        <v>205</v>
      </c>
      <c r="K294" s="143" t="str">
        <f t="shared" si="172"/>
        <v>COM-LTOILExt</v>
      </c>
      <c r="L294" s="101" t="str">
        <f t="shared" si="173"/>
        <v/>
      </c>
      <c r="P294" s="122" t="str">
        <f t="shared" si="150"/>
        <v/>
      </c>
      <c r="Q294" s="114" t="str">
        <f t="shared" si="146"/>
        <v/>
      </c>
      <c r="R294" s="112" t="str">
        <f t="shared" si="151"/>
        <v/>
      </c>
      <c r="S294" s="119" t="str">
        <f t="shared" si="152"/>
        <v/>
      </c>
      <c r="T294" s="119" t="str">
        <f t="shared" si="153"/>
        <v/>
      </c>
      <c r="U294" s="119" t="str">
        <f t="shared" si="154"/>
        <v/>
      </c>
      <c r="V294" s="119" t="str">
        <f t="shared" si="155"/>
        <v/>
      </c>
      <c r="W294" s="119" t="str">
        <f t="shared" si="156"/>
        <v/>
      </c>
      <c r="X294" s="119" t="str">
        <f t="shared" si="157"/>
        <v/>
      </c>
      <c r="Y294" s="119" t="str">
        <f t="shared" si="158"/>
        <v/>
      </c>
      <c r="Z294" s="119" t="str">
        <f t="shared" si="159"/>
        <v/>
      </c>
      <c r="AA294" s="119" t="str">
        <f t="shared" si="160"/>
        <v/>
      </c>
      <c r="AB294" s="119" t="str">
        <f t="shared" si="161"/>
        <v/>
      </c>
      <c r="AC294" s="119" t="str">
        <f t="shared" si="162"/>
        <v/>
      </c>
      <c r="AD294" s="119" t="str">
        <f t="shared" si="163"/>
        <v/>
      </c>
      <c r="AG294" s="124">
        <v>0.6</v>
      </c>
      <c r="AH294" s="123">
        <v>2</v>
      </c>
      <c r="AI294" s="123">
        <v>1</v>
      </c>
      <c r="AJ294" s="123"/>
      <c r="AK294" s="123"/>
      <c r="AL294" s="123"/>
      <c r="AM294" s="123"/>
      <c r="AN294" s="123"/>
      <c r="AO294" s="123"/>
      <c r="AP294" s="123"/>
      <c r="AQ294" s="123"/>
      <c r="AR294" s="125"/>
    </row>
    <row r="295" spans="9:44" ht="12" customHeight="1">
      <c r="I295" s="141" t="str">
        <f t="shared" si="171"/>
        <v>Commercial Lighting  Natural Gas</v>
      </c>
      <c r="J295" s="146" t="s">
        <v>205</v>
      </c>
      <c r="K295" s="143" t="str">
        <f t="shared" si="172"/>
        <v>COM-LTNGAExt</v>
      </c>
      <c r="L295" s="101" t="str">
        <f t="shared" si="173"/>
        <v/>
      </c>
      <c r="P295" s="122" t="str">
        <f t="shared" si="150"/>
        <v/>
      </c>
      <c r="Q295" s="114" t="str">
        <f t="shared" si="146"/>
        <v/>
      </c>
      <c r="R295" s="112" t="str">
        <f t="shared" si="151"/>
        <v/>
      </c>
      <c r="S295" s="119" t="str">
        <f t="shared" si="152"/>
        <v/>
      </c>
      <c r="T295" s="119" t="str">
        <f t="shared" si="153"/>
        <v/>
      </c>
      <c r="U295" s="119" t="str">
        <f t="shared" si="154"/>
        <v/>
      </c>
      <c r="V295" s="119" t="str">
        <f t="shared" si="155"/>
        <v/>
      </c>
      <c r="W295" s="119" t="str">
        <f t="shared" si="156"/>
        <v/>
      </c>
      <c r="X295" s="119" t="str">
        <f t="shared" si="157"/>
        <v/>
      </c>
      <c r="Y295" s="119" t="str">
        <f t="shared" si="158"/>
        <v/>
      </c>
      <c r="Z295" s="119" t="str">
        <f t="shared" si="159"/>
        <v/>
      </c>
      <c r="AA295" s="119" t="str">
        <f t="shared" si="160"/>
        <v/>
      </c>
      <c r="AB295" s="119" t="str">
        <f t="shared" si="161"/>
        <v/>
      </c>
      <c r="AC295" s="119" t="str">
        <f t="shared" si="162"/>
        <v/>
      </c>
      <c r="AD295" s="119" t="str">
        <f t="shared" si="163"/>
        <v/>
      </c>
      <c r="AG295" s="124">
        <v>0.6</v>
      </c>
      <c r="AH295" s="123">
        <v>2</v>
      </c>
      <c r="AI295" s="123">
        <v>1</v>
      </c>
      <c r="AJ295" s="123"/>
      <c r="AK295" s="123"/>
      <c r="AL295" s="123"/>
      <c r="AM295" s="123"/>
      <c r="AN295" s="123"/>
      <c r="AO295" s="123"/>
      <c r="AP295" s="123"/>
      <c r="AQ295" s="123"/>
      <c r="AR295" s="125"/>
    </row>
    <row r="296" spans="9:44" ht="12" customHeight="1">
      <c r="I296" s="141" t="str">
        <f t="shared" si="171"/>
        <v>Commercial Lighting  Hydro</v>
      </c>
      <c r="J296" s="146" t="s">
        <v>205</v>
      </c>
      <c r="K296" s="143" t="str">
        <f t="shared" si="172"/>
        <v>COM-LTHYDExt</v>
      </c>
      <c r="L296" s="101" t="str">
        <f t="shared" si="173"/>
        <v/>
      </c>
      <c r="P296" s="122" t="str">
        <f t="shared" si="150"/>
        <v/>
      </c>
      <c r="Q296" s="114" t="str">
        <f t="shared" si="146"/>
        <v/>
      </c>
      <c r="R296" s="112" t="str">
        <f t="shared" si="151"/>
        <v/>
      </c>
      <c r="S296" s="119" t="str">
        <f t="shared" si="152"/>
        <v/>
      </c>
      <c r="T296" s="119" t="str">
        <f t="shared" si="153"/>
        <v/>
      </c>
      <c r="U296" s="119" t="str">
        <f t="shared" si="154"/>
        <v/>
      </c>
      <c r="V296" s="119" t="str">
        <f t="shared" si="155"/>
        <v/>
      </c>
      <c r="W296" s="119" t="str">
        <f t="shared" si="156"/>
        <v/>
      </c>
      <c r="X296" s="119" t="str">
        <f t="shared" si="157"/>
        <v/>
      </c>
      <c r="Y296" s="119" t="str">
        <f t="shared" si="158"/>
        <v/>
      </c>
      <c r="Z296" s="119" t="str">
        <f t="shared" si="159"/>
        <v/>
      </c>
      <c r="AA296" s="119" t="str">
        <f t="shared" si="160"/>
        <v/>
      </c>
      <c r="AB296" s="119" t="str">
        <f t="shared" si="161"/>
        <v/>
      </c>
      <c r="AC296" s="119" t="str">
        <f t="shared" si="162"/>
        <v/>
      </c>
      <c r="AD296" s="119" t="str">
        <f t="shared" si="163"/>
        <v/>
      </c>
      <c r="AG296" s="124">
        <v>0.6</v>
      </c>
      <c r="AH296" s="123">
        <v>2</v>
      </c>
      <c r="AI296" s="123">
        <v>1</v>
      </c>
      <c r="AJ296" s="123"/>
      <c r="AK296" s="123"/>
      <c r="AL296" s="123"/>
      <c r="AM296" s="123"/>
      <c r="AN296" s="123"/>
      <c r="AO296" s="123"/>
      <c r="AP296" s="123"/>
      <c r="AQ296" s="123"/>
      <c r="AR296" s="125"/>
    </row>
    <row r="297" spans="9:44" ht="12" customHeight="1">
      <c r="I297" s="141" t="str">
        <f t="shared" si="171"/>
        <v>Commercial Lighting  Geothermal</v>
      </c>
      <c r="J297" s="146" t="s">
        <v>205</v>
      </c>
      <c r="K297" s="143" t="str">
        <f t="shared" si="172"/>
        <v>COM-LTGEOExt</v>
      </c>
      <c r="L297" s="101" t="str">
        <f t="shared" si="173"/>
        <v/>
      </c>
      <c r="P297" s="122" t="str">
        <f t="shared" si="150"/>
        <v/>
      </c>
      <c r="Q297" s="114" t="str">
        <f t="shared" si="146"/>
        <v/>
      </c>
      <c r="R297" s="112" t="str">
        <f t="shared" si="151"/>
        <v/>
      </c>
      <c r="S297" s="119" t="str">
        <f t="shared" si="152"/>
        <v/>
      </c>
      <c r="T297" s="119" t="str">
        <f t="shared" si="153"/>
        <v/>
      </c>
      <c r="U297" s="119" t="str">
        <f t="shared" si="154"/>
        <v/>
      </c>
      <c r="V297" s="119" t="str">
        <f t="shared" si="155"/>
        <v/>
      </c>
      <c r="W297" s="119" t="str">
        <f t="shared" si="156"/>
        <v/>
      </c>
      <c r="X297" s="119" t="str">
        <f t="shared" si="157"/>
        <v/>
      </c>
      <c r="Y297" s="119" t="str">
        <f t="shared" si="158"/>
        <v/>
      </c>
      <c r="Z297" s="119" t="str">
        <f t="shared" si="159"/>
        <v/>
      </c>
      <c r="AA297" s="119" t="str">
        <f t="shared" si="160"/>
        <v/>
      </c>
      <c r="AB297" s="119" t="str">
        <f t="shared" si="161"/>
        <v/>
      </c>
      <c r="AC297" s="119" t="str">
        <f t="shared" si="162"/>
        <v/>
      </c>
      <c r="AD297" s="119" t="str">
        <f t="shared" si="163"/>
        <v/>
      </c>
      <c r="AG297" s="124">
        <v>0.6</v>
      </c>
      <c r="AH297" s="123">
        <v>2</v>
      </c>
      <c r="AI297" s="123">
        <v>1</v>
      </c>
      <c r="AJ297" s="123"/>
      <c r="AK297" s="123"/>
      <c r="AL297" s="123"/>
      <c r="AM297" s="123"/>
      <c r="AN297" s="123"/>
      <c r="AO297" s="123"/>
      <c r="AP297" s="123"/>
      <c r="AQ297" s="123"/>
      <c r="AR297" s="125"/>
    </row>
    <row r="298" spans="9:44" ht="12" customHeight="1">
      <c r="I298" s="141" t="str">
        <f t="shared" si="171"/>
        <v>Commercial Lighting  Solar</v>
      </c>
      <c r="J298" s="146" t="s">
        <v>205</v>
      </c>
      <c r="K298" s="143" t="str">
        <f t="shared" si="172"/>
        <v>COM-LTSOLExt</v>
      </c>
      <c r="L298" s="101" t="str">
        <f t="shared" si="173"/>
        <v/>
      </c>
      <c r="P298" s="122" t="str">
        <f t="shared" si="150"/>
        <v/>
      </c>
      <c r="Q298" s="114" t="str">
        <f t="shared" si="146"/>
        <v/>
      </c>
      <c r="R298" s="112" t="str">
        <f t="shared" si="151"/>
        <v/>
      </c>
      <c r="S298" s="119" t="str">
        <f t="shared" si="152"/>
        <v/>
      </c>
      <c r="T298" s="119" t="str">
        <f t="shared" si="153"/>
        <v/>
      </c>
      <c r="U298" s="119" t="str">
        <f t="shared" si="154"/>
        <v/>
      </c>
      <c r="V298" s="119" t="str">
        <f t="shared" si="155"/>
        <v/>
      </c>
      <c r="W298" s="119" t="str">
        <f t="shared" si="156"/>
        <v/>
      </c>
      <c r="X298" s="119" t="str">
        <f t="shared" si="157"/>
        <v/>
      </c>
      <c r="Y298" s="119" t="str">
        <f t="shared" si="158"/>
        <v/>
      </c>
      <c r="Z298" s="119" t="str">
        <f t="shared" si="159"/>
        <v/>
      </c>
      <c r="AA298" s="119" t="str">
        <f t="shared" si="160"/>
        <v/>
      </c>
      <c r="AB298" s="119" t="str">
        <f t="shared" si="161"/>
        <v/>
      </c>
      <c r="AC298" s="119" t="str">
        <f t="shared" si="162"/>
        <v/>
      </c>
      <c r="AD298" s="119" t="str">
        <f t="shared" si="163"/>
        <v/>
      </c>
      <c r="AG298" s="124">
        <v>0.6</v>
      </c>
      <c r="AH298" s="123">
        <v>2</v>
      </c>
      <c r="AI298" s="123">
        <v>1</v>
      </c>
      <c r="AJ298" s="123"/>
      <c r="AK298" s="123"/>
      <c r="AL298" s="123"/>
      <c r="AM298" s="123"/>
      <c r="AN298" s="123"/>
      <c r="AO298" s="123"/>
      <c r="AP298" s="123"/>
      <c r="AQ298" s="123"/>
      <c r="AR298" s="125"/>
    </row>
    <row r="299" spans="9:44" ht="12" customHeight="1">
      <c r="I299" s="141" t="str">
        <f t="shared" si="171"/>
        <v>Commercial Lighting  Wind</v>
      </c>
      <c r="J299" s="146" t="s">
        <v>205</v>
      </c>
      <c r="K299" s="143" t="str">
        <f t="shared" si="172"/>
        <v>COM-LTWINExt</v>
      </c>
      <c r="L299" s="101" t="str">
        <f t="shared" si="173"/>
        <v/>
      </c>
      <c r="P299" s="122" t="str">
        <f t="shared" si="150"/>
        <v/>
      </c>
      <c r="Q299" s="114" t="str">
        <f t="shared" si="146"/>
        <v/>
      </c>
      <c r="R299" s="112" t="str">
        <f t="shared" si="151"/>
        <v/>
      </c>
      <c r="S299" s="119" t="str">
        <f t="shared" si="152"/>
        <v/>
      </c>
      <c r="T299" s="119" t="str">
        <f t="shared" si="153"/>
        <v/>
      </c>
      <c r="U299" s="119" t="str">
        <f t="shared" si="154"/>
        <v/>
      </c>
      <c r="V299" s="119" t="str">
        <f t="shared" si="155"/>
        <v/>
      </c>
      <c r="W299" s="119" t="str">
        <f t="shared" si="156"/>
        <v/>
      </c>
      <c r="X299" s="119" t="str">
        <f t="shared" si="157"/>
        <v/>
      </c>
      <c r="Y299" s="119" t="str">
        <f t="shared" si="158"/>
        <v/>
      </c>
      <c r="Z299" s="119" t="str">
        <f t="shared" si="159"/>
        <v/>
      </c>
      <c r="AA299" s="119" t="str">
        <f t="shared" si="160"/>
        <v/>
      </c>
      <c r="AB299" s="119" t="str">
        <f t="shared" si="161"/>
        <v/>
      </c>
      <c r="AC299" s="119" t="str">
        <f t="shared" si="162"/>
        <v/>
      </c>
      <c r="AD299" s="119" t="str">
        <f t="shared" si="163"/>
        <v/>
      </c>
      <c r="AG299" s="124">
        <v>0.6</v>
      </c>
      <c r="AH299" s="123">
        <v>2</v>
      </c>
      <c r="AI299" s="123">
        <v>1</v>
      </c>
      <c r="AJ299" s="123"/>
      <c r="AK299" s="123"/>
      <c r="AL299" s="123"/>
      <c r="AM299" s="123"/>
      <c r="AN299" s="123"/>
      <c r="AO299" s="123"/>
      <c r="AP299" s="123"/>
      <c r="AQ299" s="123"/>
      <c r="AR299" s="125"/>
    </row>
    <row r="300" spans="9:44" ht="12" customHeight="1">
      <c r="I300" s="141" t="str">
        <f t="shared" si="171"/>
        <v>Commercial Lighting  Bio Liquids</v>
      </c>
      <c r="J300" s="146" t="s">
        <v>205</v>
      </c>
      <c r="K300" s="143" t="str">
        <f t="shared" si="172"/>
        <v>COM-LTBILExt</v>
      </c>
      <c r="L300" s="101" t="str">
        <f t="shared" si="173"/>
        <v/>
      </c>
      <c r="P300" s="122" t="str">
        <f t="shared" si="150"/>
        <v/>
      </c>
      <c r="Q300" s="114" t="str">
        <f t="shared" si="146"/>
        <v/>
      </c>
      <c r="R300" s="112" t="str">
        <f t="shared" si="151"/>
        <v/>
      </c>
      <c r="S300" s="119" t="str">
        <f t="shared" si="152"/>
        <v/>
      </c>
      <c r="T300" s="119" t="str">
        <f t="shared" si="153"/>
        <v/>
      </c>
      <c r="U300" s="119" t="str">
        <f t="shared" si="154"/>
        <v/>
      </c>
      <c r="V300" s="119" t="str">
        <f t="shared" si="155"/>
        <v/>
      </c>
      <c r="W300" s="119" t="str">
        <f t="shared" si="156"/>
        <v/>
      </c>
      <c r="X300" s="119" t="str">
        <f t="shared" si="157"/>
        <v/>
      </c>
      <c r="Y300" s="119" t="str">
        <f t="shared" si="158"/>
        <v/>
      </c>
      <c r="Z300" s="119" t="str">
        <f t="shared" si="159"/>
        <v/>
      </c>
      <c r="AA300" s="119" t="str">
        <f t="shared" si="160"/>
        <v/>
      </c>
      <c r="AB300" s="119" t="str">
        <f t="shared" si="161"/>
        <v/>
      </c>
      <c r="AC300" s="119" t="str">
        <f t="shared" si="162"/>
        <v/>
      </c>
      <c r="AD300" s="119" t="str">
        <f t="shared" si="163"/>
        <v/>
      </c>
      <c r="AG300" s="124">
        <v>0.6</v>
      </c>
      <c r="AH300" s="123">
        <v>2</v>
      </c>
      <c r="AI300" s="123">
        <v>1</v>
      </c>
      <c r="AJ300" s="123"/>
      <c r="AK300" s="123"/>
      <c r="AL300" s="123"/>
      <c r="AM300" s="123"/>
      <c r="AN300" s="123"/>
      <c r="AO300" s="123"/>
      <c r="AP300" s="123"/>
      <c r="AQ300" s="123"/>
      <c r="AR300" s="125"/>
    </row>
    <row r="301" spans="9:44" ht="12" customHeight="1">
      <c r="I301" s="141" t="str">
        <f t="shared" si="171"/>
        <v>Commercial Lighting  Biogas</v>
      </c>
      <c r="J301" s="146" t="s">
        <v>205</v>
      </c>
      <c r="K301" s="143" t="str">
        <f t="shared" si="172"/>
        <v>COM-LTBIGExt</v>
      </c>
      <c r="L301" s="101" t="str">
        <f t="shared" ref="L301:L305" si="174">IF(J301="Yes",K301,"")</f>
        <v/>
      </c>
      <c r="P301" s="122" t="str">
        <f t="shared" si="150"/>
        <v/>
      </c>
      <c r="Q301" s="114" t="str">
        <f t="shared" si="146"/>
        <v/>
      </c>
      <c r="R301" s="112" t="str">
        <f t="shared" si="151"/>
        <v/>
      </c>
      <c r="S301" s="119" t="str">
        <f t="shared" si="152"/>
        <v/>
      </c>
      <c r="T301" s="119" t="str">
        <f t="shared" si="153"/>
        <v/>
      </c>
      <c r="U301" s="119" t="str">
        <f t="shared" si="154"/>
        <v/>
      </c>
      <c r="V301" s="119" t="str">
        <f t="shared" si="155"/>
        <v/>
      </c>
      <c r="W301" s="119" t="str">
        <f t="shared" si="156"/>
        <v/>
      </c>
      <c r="X301" s="119" t="str">
        <f t="shared" si="157"/>
        <v/>
      </c>
      <c r="Y301" s="119" t="str">
        <f t="shared" si="158"/>
        <v/>
      </c>
      <c r="Z301" s="119" t="str">
        <f t="shared" si="159"/>
        <v/>
      </c>
      <c r="AA301" s="119" t="str">
        <f t="shared" si="160"/>
        <v/>
      </c>
      <c r="AB301" s="119" t="str">
        <f t="shared" si="161"/>
        <v/>
      </c>
      <c r="AC301" s="119" t="str">
        <f t="shared" si="162"/>
        <v/>
      </c>
      <c r="AD301" s="119" t="str">
        <f t="shared" si="163"/>
        <v/>
      </c>
      <c r="AG301" s="124">
        <v>0.6</v>
      </c>
      <c r="AH301" s="123">
        <v>2</v>
      </c>
      <c r="AI301" s="123">
        <v>1</v>
      </c>
      <c r="AJ301" s="123"/>
      <c r="AK301" s="123"/>
      <c r="AL301" s="123"/>
      <c r="AM301" s="123"/>
      <c r="AN301" s="123"/>
      <c r="AO301" s="123"/>
      <c r="AP301" s="123"/>
      <c r="AQ301" s="123"/>
      <c r="AR301" s="125"/>
    </row>
    <row r="302" spans="9:44" ht="12" customHeight="1">
      <c r="I302" s="141" t="str">
        <f t="shared" si="171"/>
        <v>Commercial Lighting  Wood</v>
      </c>
      <c r="J302" s="146" t="s">
        <v>205</v>
      </c>
      <c r="K302" s="143" t="str">
        <f t="shared" si="172"/>
        <v>COM-LTWODExt</v>
      </c>
      <c r="L302" s="101" t="str">
        <f t="shared" si="174"/>
        <v/>
      </c>
      <c r="P302" s="122" t="str">
        <f t="shared" si="150"/>
        <v/>
      </c>
      <c r="Q302" s="114" t="str">
        <f t="shared" si="146"/>
        <v/>
      </c>
      <c r="R302" s="112" t="str">
        <f t="shared" si="151"/>
        <v/>
      </c>
      <c r="S302" s="119" t="str">
        <f t="shared" si="152"/>
        <v/>
      </c>
      <c r="T302" s="119" t="str">
        <f t="shared" si="153"/>
        <v/>
      </c>
      <c r="U302" s="119" t="str">
        <f t="shared" si="154"/>
        <v/>
      </c>
      <c r="V302" s="119" t="str">
        <f t="shared" si="155"/>
        <v/>
      </c>
      <c r="W302" s="119" t="str">
        <f t="shared" si="156"/>
        <v/>
      </c>
      <c r="X302" s="119" t="str">
        <f t="shared" si="157"/>
        <v/>
      </c>
      <c r="Y302" s="119" t="str">
        <f t="shared" si="158"/>
        <v/>
      </c>
      <c r="Z302" s="119" t="str">
        <f t="shared" si="159"/>
        <v/>
      </c>
      <c r="AA302" s="119" t="str">
        <f t="shared" si="160"/>
        <v/>
      </c>
      <c r="AB302" s="119" t="str">
        <f t="shared" si="161"/>
        <v/>
      </c>
      <c r="AC302" s="119" t="str">
        <f t="shared" si="162"/>
        <v/>
      </c>
      <c r="AD302" s="119" t="str">
        <f t="shared" si="163"/>
        <v/>
      </c>
      <c r="AG302" s="124">
        <v>0.6</v>
      </c>
      <c r="AH302" s="123">
        <v>2</v>
      </c>
      <c r="AI302" s="123">
        <v>1</v>
      </c>
      <c r="AJ302" s="123"/>
      <c r="AK302" s="123"/>
      <c r="AL302" s="123"/>
      <c r="AM302" s="123"/>
      <c r="AN302" s="123"/>
      <c r="AO302" s="123"/>
      <c r="AP302" s="123"/>
      <c r="AQ302" s="123"/>
      <c r="AR302" s="125"/>
    </row>
    <row r="303" spans="9:44" ht="12" customHeight="1">
      <c r="I303" s="141" t="str">
        <f t="shared" si="171"/>
        <v>Commercial Lighting  Tidal</v>
      </c>
      <c r="J303" s="146" t="s">
        <v>205</v>
      </c>
      <c r="K303" s="143" t="str">
        <f t="shared" si="172"/>
        <v>COM-LTTIDExt</v>
      </c>
      <c r="L303" s="101" t="str">
        <f t="shared" si="174"/>
        <v/>
      </c>
      <c r="P303" s="122" t="str">
        <f t="shared" si="150"/>
        <v/>
      </c>
      <c r="Q303" s="114" t="str">
        <f t="shared" si="146"/>
        <v/>
      </c>
      <c r="R303" s="112" t="str">
        <f t="shared" si="151"/>
        <v/>
      </c>
      <c r="S303" s="119" t="str">
        <f t="shared" si="152"/>
        <v/>
      </c>
      <c r="T303" s="119" t="str">
        <f t="shared" si="153"/>
        <v/>
      </c>
      <c r="U303" s="119" t="str">
        <f t="shared" si="154"/>
        <v/>
      </c>
      <c r="V303" s="119" t="str">
        <f t="shared" si="155"/>
        <v/>
      </c>
      <c r="W303" s="119" t="str">
        <f t="shared" si="156"/>
        <v/>
      </c>
      <c r="X303" s="119" t="str">
        <f t="shared" si="157"/>
        <v/>
      </c>
      <c r="Y303" s="119" t="str">
        <f t="shared" si="158"/>
        <v/>
      </c>
      <c r="Z303" s="119" t="str">
        <f t="shared" si="159"/>
        <v/>
      </c>
      <c r="AA303" s="119" t="str">
        <f t="shared" si="160"/>
        <v/>
      </c>
      <c r="AB303" s="119" t="str">
        <f t="shared" si="161"/>
        <v/>
      </c>
      <c r="AC303" s="119" t="str">
        <f t="shared" si="162"/>
        <v/>
      </c>
      <c r="AD303" s="119" t="str">
        <f t="shared" si="163"/>
        <v/>
      </c>
      <c r="AG303" s="124">
        <v>0.6</v>
      </c>
      <c r="AH303" s="123">
        <v>2</v>
      </c>
      <c r="AI303" s="123">
        <v>1</v>
      </c>
      <c r="AJ303" s="123"/>
      <c r="AK303" s="123"/>
      <c r="AL303" s="123"/>
      <c r="AM303" s="123"/>
      <c r="AN303" s="123"/>
      <c r="AO303" s="123"/>
      <c r="AP303" s="123"/>
      <c r="AQ303" s="123"/>
      <c r="AR303" s="125"/>
    </row>
    <row r="304" spans="9:44" ht="12" customHeight="1">
      <c r="I304" s="141" t="str">
        <f t="shared" si="171"/>
        <v>Commercial Lighting  Electricity</v>
      </c>
      <c r="J304" s="155" t="s">
        <v>198</v>
      </c>
      <c r="K304" s="144" t="str">
        <f t="shared" si="172"/>
        <v>COM-LTELCExt</v>
      </c>
      <c r="L304" s="101" t="str">
        <f t="shared" si="174"/>
        <v>COM-LTELCExt</v>
      </c>
      <c r="P304" s="122" t="str">
        <f t="shared" si="150"/>
        <v>COM-LTELCExt</v>
      </c>
      <c r="Q304" s="114" t="str">
        <f t="shared" si="146"/>
        <v>COM-ELC</v>
      </c>
      <c r="R304" s="112" t="str">
        <f t="shared" si="151"/>
        <v>COM-LT</v>
      </c>
      <c r="S304" s="119">
        <f t="shared" si="152"/>
        <v>0.6</v>
      </c>
      <c r="T304" s="119">
        <f t="shared" si="153"/>
        <v>2</v>
      </c>
      <c r="U304" s="119">
        <f t="shared" si="154"/>
        <v>1</v>
      </c>
      <c r="V304" s="119">
        <f t="shared" si="155"/>
        <v>0</v>
      </c>
      <c r="W304" s="119">
        <f t="shared" si="156"/>
        <v>0</v>
      </c>
      <c r="X304" s="119">
        <f t="shared" si="157"/>
        <v>0</v>
      </c>
      <c r="Y304" s="119">
        <f t="shared" si="158"/>
        <v>0</v>
      </c>
      <c r="Z304" s="119">
        <f t="shared" si="159"/>
        <v>0</v>
      </c>
      <c r="AA304" s="119">
        <f t="shared" si="160"/>
        <v>0</v>
      </c>
      <c r="AB304" s="119">
        <f t="shared" si="161"/>
        <v>0</v>
      </c>
      <c r="AC304" s="119">
        <f t="shared" si="162"/>
        <v>0</v>
      </c>
      <c r="AD304" s="119">
        <f t="shared" si="163"/>
        <v>0</v>
      </c>
      <c r="AG304" s="124">
        <v>0.6</v>
      </c>
      <c r="AH304" s="123">
        <v>2</v>
      </c>
      <c r="AI304" s="123">
        <v>1</v>
      </c>
      <c r="AJ304" s="123"/>
      <c r="AK304" s="123"/>
      <c r="AL304" s="123"/>
      <c r="AM304" s="123"/>
      <c r="AN304" s="123"/>
      <c r="AO304" s="123"/>
      <c r="AP304" s="123"/>
      <c r="AQ304" s="123"/>
      <c r="AR304" s="125"/>
    </row>
    <row r="305" spans="9:44" ht="12" customHeight="1">
      <c r="I305" s="140" t="str">
        <f>$C$253&amp;" "&amp;$E$257&amp;" "&amp;RIGHT(G253,LEN(G253)-FIND(" ",G253))</f>
        <v>Commercial Air conditioning Coal</v>
      </c>
      <c r="J305" s="146" t="s">
        <v>205</v>
      </c>
      <c r="K305" s="142" t="str">
        <f>$D$253&amp;$F$257&amp;RIGHT(H253,3)&amp;$B$253</f>
        <v>COM-ACCOAExt</v>
      </c>
      <c r="L305" s="101" t="str">
        <f t="shared" si="174"/>
        <v/>
      </c>
      <c r="P305" s="122" t="str">
        <f t="shared" si="150"/>
        <v/>
      </c>
      <c r="Q305" s="114" t="str">
        <f t="shared" si="146"/>
        <v/>
      </c>
      <c r="R305" s="112" t="str">
        <f t="shared" si="151"/>
        <v/>
      </c>
      <c r="S305" s="119" t="str">
        <f t="shared" si="152"/>
        <v/>
      </c>
      <c r="T305" s="119" t="str">
        <f t="shared" si="153"/>
        <v/>
      </c>
      <c r="U305" s="119" t="str">
        <f t="shared" si="154"/>
        <v/>
      </c>
      <c r="V305" s="119" t="str">
        <f t="shared" si="155"/>
        <v/>
      </c>
      <c r="W305" s="119" t="str">
        <f t="shared" si="156"/>
        <v/>
      </c>
      <c r="X305" s="119" t="str">
        <f t="shared" si="157"/>
        <v/>
      </c>
      <c r="Y305" s="119" t="str">
        <f t="shared" si="158"/>
        <v/>
      </c>
      <c r="Z305" s="119" t="str">
        <f t="shared" si="159"/>
        <v/>
      </c>
      <c r="AA305" s="119" t="str">
        <f t="shared" si="160"/>
        <v/>
      </c>
      <c r="AB305" s="119" t="str">
        <f t="shared" si="161"/>
        <v/>
      </c>
      <c r="AC305" s="119" t="str">
        <f t="shared" si="162"/>
        <v/>
      </c>
      <c r="AD305" s="119" t="str">
        <f t="shared" si="163"/>
        <v/>
      </c>
      <c r="AG305" s="124">
        <v>0.6</v>
      </c>
      <c r="AH305" s="123">
        <v>2</v>
      </c>
      <c r="AI305" s="123">
        <v>1</v>
      </c>
      <c r="AJ305" s="123"/>
      <c r="AK305" s="123"/>
      <c r="AL305" s="123"/>
      <c r="AM305" s="123"/>
      <c r="AN305" s="123"/>
      <c r="AO305" s="123"/>
      <c r="AP305" s="123"/>
      <c r="AQ305" s="123"/>
      <c r="AR305" s="125"/>
    </row>
    <row r="306" spans="9:44" ht="12" customHeight="1">
      <c r="I306" s="141" t="str">
        <f t="shared" ref="I306:I317" si="175">$C$253&amp;" "&amp;$E$257&amp;" "&amp;RIGHT(G254,LEN(G254)-FIND(" ",G254))</f>
        <v>Commercial Air conditioning Lignite</v>
      </c>
      <c r="J306" s="146" t="s">
        <v>205</v>
      </c>
      <c r="K306" s="143" t="str">
        <f t="shared" ref="K306:K317" si="176">$D$253&amp;$F$257&amp;RIGHT(H254,3)&amp;$B$253</f>
        <v>COM-ACCOLExt</v>
      </c>
      <c r="L306" s="101" t="str">
        <f t="shared" ref="L306:L314" si="177">IF(J306="Yes",K306,"")</f>
        <v/>
      </c>
      <c r="P306" s="122" t="str">
        <f t="shared" si="150"/>
        <v/>
      </c>
      <c r="Q306" s="114" t="str">
        <f t="shared" si="146"/>
        <v/>
      </c>
      <c r="R306" s="112" t="str">
        <f t="shared" si="151"/>
        <v/>
      </c>
      <c r="S306" s="119" t="str">
        <f t="shared" si="152"/>
        <v/>
      </c>
      <c r="T306" s="119" t="str">
        <f t="shared" si="153"/>
        <v/>
      </c>
      <c r="U306" s="119" t="str">
        <f t="shared" si="154"/>
        <v/>
      </c>
      <c r="V306" s="119" t="str">
        <f t="shared" si="155"/>
        <v/>
      </c>
      <c r="W306" s="119" t="str">
        <f t="shared" si="156"/>
        <v/>
      </c>
      <c r="X306" s="119" t="str">
        <f t="shared" si="157"/>
        <v/>
      </c>
      <c r="Y306" s="119" t="str">
        <f t="shared" si="158"/>
        <v/>
      </c>
      <c r="Z306" s="119" t="str">
        <f t="shared" si="159"/>
        <v/>
      </c>
      <c r="AA306" s="119" t="str">
        <f t="shared" si="160"/>
        <v/>
      </c>
      <c r="AB306" s="119" t="str">
        <f t="shared" si="161"/>
        <v/>
      </c>
      <c r="AC306" s="119" t="str">
        <f t="shared" si="162"/>
        <v/>
      </c>
      <c r="AD306" s="119" t="str">
        <f t="shared" si="163"/>
        <v/>
      </c>
      <c r="AG306" s="124">
        <v>0.6</v>
      </c>
      <c r="AH306" s="123">
        <v>2</v>
      </c>
      <c r="AI306" s="123">
        <v>1</v>
      </c>
      <c r="AJ306" s="123"/>
      <c r="AK306" s="123"/>
      <c r="AL306" s="123"/>
      <c r="AM306" s="123"/>
      <c r="AN306" s="123"/>
      <c r="AO306" s="123"/>
      <c r="AP306" s="123"/>
      <c r="AQ306" s="123"/>
      <c r="AR306" s="125"/>
    </row>
    <row r="307" spans="9:44" ht="12" customHeight="1">
      <c r="I307" s="141" t="str">
        <f t="shared" si="175"/>
        <v>Commercial Air conditioning Crude oil</v>
      </c>
      <c r="J307" s="146" t="s">
        <v>205</v>
      </c>
      <c r="K307" s="143" t="str">
        <f t="shared" si="176"/>
        <v>COM-ACOILExt</v>
      </c>
      <c r="L307" s="101" t="str">
        <f t="shared" si="177"/>
        <v/>
      </c>
      <c r="P307" s="122" t="str">
        <f t="shared" si="150"/>
        <v/>
      </c>
      <c r="Q307" s="114" t="str">
        <f t="shared" si="146"/>
        <v/>
      </c>
      <c r="R307" s="112" t="str">
        <f t="shared" si="151"/>
        <v/>
      </c>
      <c r="S307" s="119" t="str">
        <f t="shared" si="152"/>
        <v/>
      </c>
      <c r="T307" s="119" t="str">
        <f t="shared" si="153"/>
        <v/>
      </c>
      <c r="U307" s="119" t="str">
        <f t="shared" si="154"/>
        <v/>
      </c>
      <c r="V307" s="119" t="str">
        <f t="shared" si="155"/>
        <v/>
      </c>
      <c r="W307" s="119" t="str">
        <f t="shared" si="156"/>
        <v/>
      </c>
      <c r="X307" s="119" t="str">
        <f t="shared" si="157"/>
        <v/>
      </c>
      <c r="Y307" s="119" t="str">
        <f t="shared" si="158"/>
        <v/>
      </c>
      <c r="Z307" s="119" t="str">
        <f t="shared" si="159"/>
        <v/>
      </c>
      <c r="AA307" s="119" t="str">
        <f t="shared" si="160"/>
        <v/>
      </c>
      <c r="AB307" s="119" t="str">
        <f t="shared" si="161"/>
        <v/>
      </c>
      <c r="AC307" s="119" t="str">
        <f t="shared" si="162"/>
        <v/>
      </c>
      <c r="AD307" s="119" t="str">
        <f t="shared" si="163"/>
        <v/>
      </c>
      <c r="AG307" s="124">
        <v>0.6</v>
      </c>
      <c r="AH307" s="123">
        <v>2</v>
      </c>
      <c r="AI307" s="123">
        <v>1</v>
      </c>
      <c r="AJ307" s="123"/>
      <c r="AK307" s="123"/>
      <c r="AL307" s="123"/>
      <c r="AM307" s="123"/>
      <c r="AN307" s="123"/>
      <c r="AO307" s="123"/>
      <c r="AP307" s="123"/>
      <c r="AQ307" s="123"/>
      <c r="AR307" s="125"/>
    </row>
    <row r="308" spans="9:44" ht="12" customHeight="1">
      <c r="I308" s="141" t="str">
        <f t="shared" si="175"/>
        <v>Commercial Air conditioning Natural Gas</v>
      </c>
      <c r="J308" s="146" t="s">
        <v>205</v>
      </c>
      <c r="K308" s="143" t="str">
        <f t="shared" si="176"/>
        <v>COM-ACNGAExt</v>
      </c>
      <c r="L308" s="101" t="str">
        <f t="shared" si="177"/>
        <v/>
      </c>
      <c r="P308" s="122" t="str">
        <f t="shared" si="150"/>
        <v/>
      </c>
      <c r="Q308" s="114" t="str">
        <f t="shared" si="146"/>
        <v/>
      </c>
      <c r="R308" s="112" t="str">
        <f t="shared" si="151"/>
        <v/>
      </c>
      <c r="S308" s="119" t="str">
        <f t="shared" si="152"/>
        <v/>
      </c>
      <c r="T308" s="119" t="str">
        <f t="shared" si="153"/>
        <v/>
      </c>
      <c r="U308" s="119" t="str">
        <f t="shared" si="154"/>
        <v/>
      </c>
      <c r="V308" s="119" t="str">
        <f t="shared" si="155"/>
        <v/>
      </c>
      <c r="W308" s="119" t="str">
        <f t="shared" si="156"/>
        <v/>
      </c>
      <c r="X308" s="119" t="str">
        <f t="shared" si="157"/>
        <v/>
      </c>
      <c r="Y308" s="119" t="str">
        <f t="shared" si="158"/>
        <v/>
      </c>
      <c r="Z308" s="119" t="str">
        <f t="shared" si="159"/>
        <v/>
      </c>
      <c r="AA308" s="119" t="str">
        <f t="shared" si="160"/>
        <v/>
      </c>
      <c r="AB308" s="119" t="str">
        <f t="shared" si="161"/>
        <v/>
      </c>
      <c r="AC308" s="119" t="str">
        <f t="shared" si="162"/>
        <v/>
      </c>
      <c r="AD308" s="119" t="str">
        <f t="shared" si="163"/>
        <v/>
      </c>
      <c r="AG308" s="124">
        <v>0.6</v>
      </c>
      <c r="AH308" s="123">
        <v>2</v>
      </c>
      <c r="AI308" s="123">
        <v>1</v>
      </c>
      <c r="AJ308" s="123"/>
      <c r="AK308" s="123"/>
      <c r="AL308" s="123"/>
      <c r="AM308" s="123"/>
      <c r="AN308" s="123"/>
      <c r="AO308" s="123"/>
      <c r="AP308" s="123"/>
      <c r="AQ308" s="123"/>
      <c r="AR308" s="125"/>
    </row>
    <row r="309" spans="9:44" ht="12" customHeight="1">
      <c r="I309" s="141" t="str">
        <f t="shared" si="175"/>
        <v>Commercial Air conditioning Hydro</v>
      </c>
      <c r="J309" s="146" t="s">
        <v>205</v>
      </c>
      <c r="K309" s="143" t="str">
        <f t="shared" si="176"/>
        <v>COM-ACHYDExt</v>
      </c>
      <c r="L309" s="101" t="str">
        <f t="shared" si="177"/>
        <v/>
      </c>
      <c r="P309" s="122" t="str">
        <f t="shared" si="150"/>
        <v/>
      </c>
      <c r="Q309" s="114" t="str">
        <f t="shared" si="146"/>
        <v/>
      </c>
      <c r="R309" s="112" t="str">
        <f t="shared" si="151"/>
        <v/>
      </c>
      <c r="S309" s="119" t="str">
        <f t="shared" si="152"/>
        <v/>
      </c>
      <c r="T309" s="119" t="str">
        <f t="shared" si="153"/>
        <v/>
      </c>
      <c r="U309" s="119" t="str">
        <f t="shared" si="154"/>
        <v/>
      </c>
      <c r="V309" s="119" t="str">
        <f t="shared" si="155"/>
        <v/>
      </c>
      <c r="W309" s="119" t="str">
        <f t="shared" si="156"/>
        <v/>
      </c>
      <c r="X309" s="119" t="str">
        <f t="shared" si="157"/>
        <v/>
      </c>
      <c r="Y309" s="119" t="str">
        <f t="shared" si="158"/>
        <v/>
      </c>
      <c r="Z309" s="119" t="str">
        <f t="shared" si="159"/>
        <v/>
      </c>
      <c r="AA309" s="119" t="str">
        <f t="shared" si="160"/>
        <v/>
      </c>
      <c r="AB309" s="119" t="str">
        <f t="shared" si="161"/>
        <v/>
      </c>
      <c r="AC309" s="119" t="str">
        <f t="shared" si="162"/>
        <v/>
      </c>
      <c r="AD309" s="119" t="str">
        <f t="shared" si="163"/>
        <v/>
      </c>
      <c r="AG309" s="124">
        <v>0.6</v>
      </c>
      <c r="AH309" s="123">
        <v>2</v>
      </c>
      <c r="AI309" s="123">
        <v>1</v>
      </c>
      <c r="AJ309" s="123"/>
      <c r="AK309" s="123"/>
      <c r="AL309" s="123"/>
      <c r="AM309" s="123"/>
      <c r="AN309" s="123"/>
      <c r="AO309" s="123"/>
      <c r="AP309" s="123"/>
      <c r="AQ309" s="123"/>
      <c r="AR309" s="125"/>
    </row>
    <row r="310" spans="9:44" ht="12" customHeight="1">
      <c r="I310" s="141" t="str">
        <f t="shared" si="175"/>
        <v>Commercial Air conditioning Geothermal</v>
      </c>
      <c r="J310" s="146" t="s">
        <v>205</v>
      </c>
      <c r="K310" s="143" t="str">
        <f t="shared" si="176"/>
        <v>COM-ACGEOExt</v>
      </c>
      <c r="L310" s="101" t="str">
        <f t="shared" si="177"/>
        <v/>
      </c>
      <c r="P310" s="122" t="str">
        <f t="shared" si="150"/>
        <v/>
      </c>
      <c r="Q310" s="114" t="str">
        <f t="shared" si="146"/>
        <v/>
      </c>
      <c r="R310" s="112" t="str">
        <f t="shared" si="151"/>
        <v/>
      </c>
      <c r="S310" s="119" t="str">
        <f t="shared" si="152"/>
        <v/>
      </c>
      <c r="T310" s="119" t="str">
        <f t="shared" si="153"/>
        <v/>
      </c>
      <c r="U310" s="119" t="str">
        <f t="shared" si="154"/>
        <v/>
      </c>
      <c r="V310" s="119" t="str">
        <f t="shared" si="155"/>
        <v/>
      </c>
      <c r="W310" s="119" t="str">
        <f t="shared" si="156"/>
        <v/>
      </c>
      <c r="X310" s="119" t="str">
        <f t="shared" si="157"/>
        <v/>
      </c>
      <c r="Y310" s="119" t="str">
        <f t="shared" si="158"/>
        <v/>
      </c>
      <c r="Z310" s="119" t="str">
        <f t="shared" si="159"/>
        <v/>
      </c>
      <c r="AA310" s="119" t="str">
        <f t="shared" si="160"/>
        <v/>
      </c>
      <c r="AB310" s="119" t="str">
        <f t="shared" si="161"/>
        <v/>
      </c>
      <c r="AC310" s="119" t="str">
        <f t="shared" si="162"/>
        <v/>
      </c>
      <c r="AD310" s="119" t="str">
        <f t="shared" si="163"/>
        <v/>
      </c>
      <c r="AG310" s="124">
        <v>0.6</v>
      </c>
      <c r="AH310" s="123">
        <v>2</v>
      </c>
      <c r="AI310" s="123">
        <v>1</v>
      </c>
      <c r="AJ310" s="123"/>
      <c r="AK310" s="123"/>
      <c r="AL310" s="123"/>
      <c r="AM310" s="123"/>
      <c r="AN310" s="123"/>
      <c r="AO310" s="123"/>
      <c r="AP310" s="123"/>
      <c r="AQ310" s="123"/>
      <c r="AR310" s="125"/>
    </row>
    <row r="311" spans="9:44" ht="12" customHeight="1">
      <c r="I311" s="141" t="str">
        <f t="shared" si="175"/>
        <v>Commercial Air conditioning Solar</v>
      </c>
      <c r="J311" s="146" t="s">
        <v>205</v>
      </c>
      <c r="K311" s="143" t="str">
        <f t="shared" si="176"/>
        <v>COM-ACSOLExt</v>
      </c>
      <c r="L311" s="101" t="str">
        <f t="shared" si="177"/>
        <v/>
      </c>
      <c r="P311" s="122" t="str">
        <f t="shared" si="150"/>
        <v/>
      </c>
      <c r="Q311" s="114" t="str">
        <f t="shared" si="146"/>
        <v/>
      </c>
      <c r="R311" s="112" t="str">
        <f t="shared" si="151"/>
        <v/>
      </c>
      <c r="S311" s="119" t="str">
        <f t="shared" si="152"/>
        <v/>
      </c>
      <c r="T311" s="119" t="str">
        <f t="shared" si="153"/>
        <v/>
      </c>
      <c r="U311" s="119" t="str">
        <f t="shared" si="154"/>
        <v/>
      </c>
      <c r="V311" s="119" t="str">
        <f t="shared" si="155"/>
        <v/>
      </c>
      <c r="W311" s="119" t="str">
        <f t="shared" si="156"/>
        <v/>
      </c>
      <c r="X311" s="119" t="str">
        <f t="shared" si="157"/>
        <v/>
      </c>
      <c r="Y311" s="119" t="str">
        <f t="shared" si="158"/>
        <v/>
      </c>
      <c r="Z311" s="119" t="str">
        <f t="shared" si="159"/>
        <v/>
      </c>
      <c r="AA311" s="119" t="str">
        <f t="shared" si="160"/>
        <v/>
      </c>
      <c r="AB311" s="119" t="str">
        <f t="shared" si="161"/>
        <v/>
      </c>
      <c r="AC311" s="119" t="str">
        <f t="shared" si="162"/>
        <v/>
      </c>
      <c r="AD311" s="119" t="str">
        <f t="shared" si="163"/>
        <v/>
      </c>
      <c r="AG311" s="124">
        <v>0.6</v>
      </c>
      <c r="AH311" s="123">
        <v>2</v>
      </c>
      <c r="AI311" s="123">
        <v>1</v>
      </c>
      <c r="AJ311" s="123"/>
      <c r="AK311" s="123"/>
      <c r="AL311" s="123"/>
      <c r="AM311" s="123"/>
      <c r="AN311" s="123"/>
      <c r="AO311" s="123"/>
      <c r="AP311" s="123"/>
      <c r="AQ311" s="123"/>
      <c r="AR311" s="125"/>
    </row>
    <row r="312" spans="9:44" ht="12" customHeight="1">
      <c r="I312" s="141" t="str">
        <f t="shared" si="175"/>
        <v>Commercial Air conditioning Wind</v>
      </c>
      <c r="J312" s="146" t="s">
        <v>205</v>
      </c>
      <c r="K312" s="143" t="str">
        <f t="shared" si="176"/>
        <v>COM-ACWINExt</v>
      </c>
      <c r="L312" s="101" t="str">
        <f t="shared" si="177"/>
        <v/>
      </c>
      <c r="P312" s="122" t="str">
        <f t="shared" si="150"/>
        <v/>
      </c>
      <c r="Q312" s="114" t="str">
        <f t="shared" si="146"/>
        <v/>
      </c>
      <c r="R312" s="112" t="str">
        <f t="shared" si="151"/>
        <v/>
      </c>
      <c r="S312" s="119" t="str">
        <f t="shared" si="152"/>
        <v/>
      </c>
      <c r="T312" s="119" t="str">
        <f t="shared" si="153"/>
        <v/>
      </c>
      <c r="U312" s="119" t="str">
        <f t="shared" si="154"/>
        <v/>
      </c>
      <c r="V312" s="119" t="str">
        <f t="shared" si="155"/>
        <v/>
      </c>
      <c r="W312" s="119" t="str">
        <f t="shared" si="156"/>
        <v/>
      </c>
      <c r="X312" s="119" t="str">
        <f t="shared" si="157"/>
        <v/>
      </c>
      <c r="Y312" s="119" t="str">
        <f t="shared" si="158"/>
        <v/>
      </c>
      <c r="Z312" s="119" t="str">
        <f t="shared" si="159"/>
        <v/>
      </c>
      <c r="AA312" s="119" t="str">
        <f t="shared" si="160"/>
        <v/>
      </c>
      <c r="AB312" s="119" t="str">
        <f t="shared" si="161"/>
        <v/>
      </c>
      <c r="AC312" s="119" t="str">
        <f t="shared" si="162"/>
        <v/>
      </c>
      <c r="AD312" s="119" t="str">
        <f t="shared" si="163"/>
        <v/>
      </c>
      <c r="AG312" s="124">
        <v>0.6</v>
      </c>
      <c r="AH312" s="123">
        <v>2</v>
      </c>
      <c r="AI312" s="123">
        <v>1</v>
      </c>
      <c r="AJ312" s="123"/>
      <c r="AK312" s="123"/>
      <c r="AL312" s="123"/>
      <c r="AM312" s="123"/>
      <c r="AN312" s="123"/>
      <c r="AO312" s="123"/>
      <c r="AP312" s="123"/>
      <c r="AQ312" s="123"/>
      <c r="AR312" s="125"/>
    </row>
    <row r="313" spans="9:44" ht="12" customHeight="1">
      <c r="I313" s="141" t="str">
        <f t="shared" si="175"/>
        <v>Commercial Air conditioning Bio Liquids</v>
      </c>
      <c r="J313" s="146" t="s">
        <v>205</v>
      </c>
      <c r="K313" s="143" t="str">
        <f t="shared" si="176"/>
        <v>COM-ACBILExt</v>
      </c>
      <c r="L313" s="101" t="str">
        <f t="shared" si="177"/>
        <v/>
      </c>
      <c r="P313" s="122" t="str">
        <f t="shared" si="150"/>
        <v/>
      </c>
      <c r="Q313" s="114" t="str">
        <f t="shared" si="146"/>
        <v/>
      </c>
      <c r="R313" s="112" t="str">
        <f t="shared" si="151"/>
        <v/>
      </c>
      <c r="S313" s="119" t="str">
        <f t="shared" si="152"/>
        <v/>
      </c>
      <c r="T313" s="119" t="str">
        <f t="shared" si="153"/>
        <v/>
      </c>
      <c r="U313" s="119" t="str">
        <f t="shared" si="154"/>
        <v/>
      </c>
      <c r="V313" s="119" t="str">
        <f t="shared" si="155"/>
        <v/>
      </c>
      <c r="W313" s="119" t="str">
        <f t="shared" si="156"/>
        <v/>
      </c>
      <c r="X313" s="119" t="str">
        <f t="shared" si="157"/>
        <v/>
      </c>
      <c r="Y313" s="119" t="str">
        <f t="shared" si="158"/>
        <v/>
      </c>
      <c r="Z313" s="119" t="str">
        <f t="shared" si="159"/>
        <v/>
      </c>
      <c r="AA313" s="119" t="str">
        <f t="shared" si="160"/>
        <v/>
      </c>
      <c r="AB313" s="119" t="str">
        <f t="shared" si="161"/>
        <v/>
      </c>
      <c r="AC313" s="119" t="str">
        <f t="shared" si="162"/>
        <v/>
      </c>
      <c r="AD313" s="119" t="str">
        <f t="shared" si="163"/>
        <v/>
      </c>
      <c r="AG313" s="124">
        <v>0.6</v>
      </c>
      <c r="AH313" s="123">
        <v>2</v>
      </c>
      <c r="AI313" s="123">
        <v>1</v>
      </c>
      <c r="AJ313" s="123"/>
      <c r="AK313" s="123"/>
      <c r="AL313" s="123"/>
      <c r="AM313" s="123"/>
      <c r="AN313" s="123"/>
      <c r="AO313" s="123"/>
      <c r="AP313" s="123"/>
      <c r="AQ313" s="123"/>
      <c r="AR313" s="125"/>
    </row>
    <row r="314" spans="9:44" ht="12" customHeight="1">
      <c r="I314" s="141" t="str">
        <f t="shared" si="175"/>
        <v>Commercial Air conditioning Biogas</v>
      </c>
      <c r="J314" s="146" t="s">
        <v>205</v>
      </c>
      <c r="K314" s="143" t="str">
        <f t="shared" si="176"/>
        <v>COM-ACBIGExt</v>
      </c>
      <c r="L314" s="101" t="str">
        <f t="shared" si="177"/>
        <v/>
      </c>
      <c r="P314" s="122" t="str">
        <f t="shared" si="150"/>
        <v/>
      </c>
      <c r="Q314" s="114" t="str">
        <f t="shared" si="146"/>
        <v/>
      </c>
      <c r="R314" s="112" t="str">
        <f t="shared" si="151"/>
        <v/>
      </c>
      <c r="S314" s="119" t="str">
        <f t="shared" si="152"/>
        <v/>
      </c>
      <c r="T314" s="119" t="str">
        <f t="shared" si="153"/>
        <v/>
      </c>
      <c r="U314" s="119" t="str">
        <f t="shared" si="154"/>
        <v/>
      </c>
      <c r="V314" s="119" t="str">
        <f t="shared" si="155"/>
        <v/>
      </c>
      <c r="W314" s="119" t="str">
        <f t="shared" si="156"/>
        <v/>
      </c>
      <c r="X314" s="119" t="str">
        <f t="shared" si="157"/>
        <v/>
      </c>
      <c r="Y314" s="119" t="str">
        <f t="shared" si="158"/>
        <v/>
      </c>
      <c r="Z314" s="119" t="str">
        <f t="shared" si="159"/>
        <v/>
      </c>
      <c r="AA314" s="119" t="str">
        <f t="shared" si="160"/>
        <v/>
      </c>
      <c r="AB314" s="119" t="str">
        <f t="shared" si="161"/>
        <v/>
      </c>
      <c r="AC314" s="119" t="str">
        <f t="shared" si="162"/>
        <v/>
      </c>
      <c r="AD314" s="119" t="str">
        <f t="shared" si="163"/>
        <v/>
      </c>
      <c r="AG314" s="124">
        <v>0.6</v>
      </c>
      <c r="AH314" s="123">
        <v>2</v>
      </c>
      <c r="AI314" s="123">
        <v>1</v>
      </c>
      <c r="AJ314" s="123"/>
      <c r="AK314" s="123"/>
      <c r="AL314" s="123"/>
      <c r="AM314" s="123"/>
      <c r="AN314" s="123"/>
      <c r="AO314" s="123"/>
      <c r="AP314" s="123"/>
      <c r="AQ314" s="123"/>
      <c r="AR314" s="125"/>
    </row>
    <row r="315" spans="9:44" ht="12" customHeight="1">
      <c r="I315" s="141" t="str">
        <f t="shared" si="175"/>
        <v>Commercial Air conditioning Wood</v>
      </c>
      <c r="J315" s="146" t="s">
        <v>205</v>
      </c>
      <c r="K315" s="143" t="str">
        <f t="shared" si="176"/>
        <v>COM-ACWODExt</v>
      </c>
      <c r="L315" s="101" t="str">
        <f t="shared" ref="L315:L321" si="178">IF(J315="Yes",K315,"")</f>
        <v/>
      </c>
      <c r="P315" s="122" t="str">
        <f t="shared" si="150"/>
        <v/>
      </c>
      <c r="Q315" s="114" t="str">
        <f t="shared" si="146"/>
        <v/>
      </c>
      <c r="R315" s="112" t="str">
        <f t="shared" si="151"/>
        <v/>
      </c>
      <c r="S315" s="119" t="str">
        <f t="shared" si="152"/>
        <v/>
      </c>
      <c r="T315" s="119" t="str">
        <f t="shared" si="153"/>
        <v/>
      </c>
      <c r="U315" s="119" t="str">
        <f t="shared" si="154"/>
        <v/>
      </c>
      <c r="V315" s="119" t="str">
        <f t="shared" si="155"/>
        <v/>
      </c>
      <c r="W315" s="119" t="str">
        <f t="shared" si="156"/>
        <v/>
      </c>
      <c r="X315" s="119" t="str">
        <f t="shared" si="157"/>
        <v/>
      </c>
      <c r="Y315" s="119" t="str">
        <f t="shared" si="158"/>
        <v/>
      </c>
      <c r="Z315" s="119" t="str">
        <f t="shared" si="159"/>
        <v/>
      </c>
      <c r="AA315" s="119" t="str">
        <f t="shared" si="160"/>
        <v/>
      </c>
      <c r="AB315" s="119" t="str">
        <f t="shared" si="161"/>
        <v/>
      </c>
      <c r="AC315" s="119" t="str">
        <f t="shared" si="162"/>
        <v/>
      </c>
      <c r="AD315" s="119" t="str">
        <f t="shared" si="163"/>
        <v/>
      </c>
      <c r="AG315" s="124">
        <v>0.6</v>
      </c>
      <c r="AH315" s="123">
        <v>2</v>
      </c>
      <c r="AI315" s="123">
        <v>1</v>
      </c>
      <c r="AJ315" s="123"/>
      <c r="AK315" s="123"/>
      <c r="AL315" s="123"/>
      <c r="AM315" s="123"/>
      <c r="AN315" s="123"/>
      <c r="AO315" s="123"/>
      <c r="AP315" s="123"/>
      <c r="AQ315" s="123"/>
      <c r="AR315" s="125"/>
    </row>
    <row r="316" spans="9:44" ht="12" customHeight="1">
      <c r="I316" s="141" t="str">
        <f t="shared" si="175"/>
        <v>Commercial Air conditioning Tidal</v>
      </c>
      <c r="J316" s="146" t="s">
        <v>205</v>
      </c>
      <c r="K316" s="143" t="str">
        <f t="shared" si="176"/>
        <v>COM-ACTIDExt</v>
      </c>
      <c r="L316" s="101" t="str">
        <f t="shared" si="178"/>
        <v/>
      </c>
      <c r="P316" s="122" t="str">
        <f t="shared" si="150"/>
        <v/>
      </c>
      <c r="Q316" s="114" t="str">
        <f t="shared" si="146"/>
        <v/>
      </c>
      <c r="R316" s="112" t="str">
        <f t="shared" si="151"/>
        <v/>
      </c>
      <c r="S316" s="119" t="str">
        <f t="shared" si="152"/>
        <v/>
      </c>
      <c r="T316" s="119" t="str">
        <f t="shared" si="153"/>
        <v/>
      </c>
      <c r="U316" s="119" t="str">
        <f t="shared" si="154"/>
        <v/>
      </c>
      <c r="V316" s="119" t="str">
        <f t="shared" si="155"/>
        <v/>
      </c>
      <c r="W316" s="119" t="str">
        <f t="shared" si="156"/>
        <v/>
      </c>
      <c r="X316" s="119" t="str">
        <f t="shared" si="157"/>
        <v/>
      </c>
      <c r="Y316" s="119" t="str">
        <f t="shared" si="158"/>
        <v/>
      </c>
      <c r="Z316" s="119" t="str">
        <f t="shared" si="159"/>
        <v/>
      </c>
      <c r="AA316" s="119" t="str">
        <f t="shared" si="160"/>
        <v/>
      </c>
      <c r="AB316" s="119" t="str">
        <f t="shared" si="161"/>
        <v/>
      </c>
      <c r="AC316" s="119" t="str">
        <f t="shared" si="162"/>
        <v/>
      </c>
      <c r="AD316" s="119" t="str">
        <f t="shared" si="163"/>
        <v/>
      </c>
      <c r="AG316" s="124">
        <v>0.6</v>
      </c>
      <c r="AH316" s="123">
        <v>2</v>
      </c>
      <c r="AI316" s="123">
        <v>1</v>
      </c>
      <c r="AJ316" s="123"/>
      <c r="AK316" s="123"/>
      <c r="AL316" s="123"/>
      <c r="AM316" s="123"/>
      <c r="AN316" s="123"/>
      <c r="AO316" s="123"/>
      <c r="AP316" s="123"/>
      <c r="AQ316" s="123"/>
      <c r="AR316" s="125"/>
    </row>
    <row r="317" spans="9:44" ht="12" customHeight="1">
      <c r="I317" s="141" t="str">
        <f t="shared" si="175"/>
        <v>Commercial Air conditioning Electricity</v>
      </c>
      <c r="J317" s="146" t="s">
        <v>198</v>
      </c>
      <c r="K317" s="144" t="str">
        <f t="shared" si="176"/>
        <v>COM-ACELCExt</v>
      </c>
      <c r="L317" s="101" t="str">
        <f t="shared" si="178"/>
        <v>COM-ACELCExt</v>
      </c>
      <c r="P317" s="122" t="str">
        <f t="shared" si="150"/>
        <v>COM-ACELCExt</v>
      </c>
      <c r="Q317" s="114" t="str">
        <f t="shared" ref="Q317:Q369" si="179">IF(J317="yes",LEFT(P317,3)&amp;"-"&amp;MID(P317,7,3),"")</f>
        <v>COM-ELC</v>
      </c>
      <c r="R317" s="112" t="str">
        <f t="shared" si="151"/>
        <v>COM-AC</v>
      </c>
      <c r="S317" s="119">
        <f t="shared" si="152"/>
        <v>0.6</v>
      </c>
      <c r="T317" s="119">
        <f t="shared" si="153"/>
        <v>2</v>
      </c>
      <c r="U317" s="119">
        <f t="shared" si="154"/>
        <v>1</v>
      </c>
      <c r="V317" s="119">
        <f t="shared" si="155"/>
        <v>0</v>
      </c>
      <c r="W317" s="119">
        <f t="shared" si="156"/>
        <v>0</v>
      </c>
      <c r="X317" s="119">
        <f t="shared" si="157"/>
        <v>0</v>
      </c>
      <c r="Y317" s="119">
        <f t="shared" si="158"/>
        <v>0</v>
      </c>
      <c r="Z317" s="119">
        <f t="shared" si="159"/>
        <v>0</v>
      </c>
      <c r="AA317" s="119">
        <f t="shared" si="160"/>
        <v>0</v>
      </c>
      <c r="AB317" s="119">
        <f t="shared" si="161"/>
        <v>0</v>
      </c>
      <c r="AC317" s="119">
        <f t="shared" si="162"/>
        <v>0</v>
      </c>
      <c r="AD317" s="119">
        <f t="shared" si="163"/>
        <v>0</v>
      </c>
      <c r="AG317" s="124">
        <v>0.6</v>
      </c>
      <c r="AH317" s="123">
        <v>2</v>
      </c>
      <c r="AI317" s="123">
        <v>1</v>
      </c>
      <c r="AJ317" s="123"/>
      <c r="AK317" s="123"/>
      <c r="AL317" s="123"/>
      <c r="AM317" s="123"/>
      <c r="AN317" s="123"/>
      <c r="AO317" s="123"/>
      <c r="AP317" s="123"/>
      <c r="AQ317" s="123"/>
      <c r="AR317" s="125"/>
    </row>
    <row r="318" spans="9:44" ht="12" customHeight="1">
      <c r="I318" s="140" t="str">
        <f>$C$253&amp;" "&amp;$E$258&amp;" "&amp;RIGHT(G253,LEN(G253)-FIND(" ",G253))</f>
        <v>Commercial Electrical and ICT equipments Coal</v>
      </c>
      <c r="J318" s="145" t="s">
        <v>205</v>
      </c>
      <c r="K318" s="142" t="str">
        <f>$D$253&amp;$F$258&amp;RIGHT(H253,3)&amp;$B$253</f>
        <v>COM-EQCOAExt</v>
      </c>
      <c r="L318" s="101" t="str">
        <f t="shared" si="178"/>
        <v/>
      </c>
      <c r="P318" s="122" t="str">
        <f t="shared" ref="P318:P369" si="180">L318</f>
        <v/>
      </c>
      <c r="Q318" s="114" t="str">
        <f t="shared" si="179"/>
        <v/>
      </c>
      <c r="R318" s="112" t="str">
        <f t="shared" ref="R318:R369" si="181">LEFT(P318,6)</f>
        <v/>
      </c>
      <c r="S318" s="119" t="str">
        <f t="shared" ref="S318:S369" si="182">IF(P318&lt;&gt;"",AG318,"")</f>
        <v/>
      </c>
      <c r="T318" s="119" t="str">
        <f t="shared" ref="T318:T369" si="183">IF(Q318&lt;&gt;"",AH318,"")</f>
        <v/>
      </c>
      <c r="U318" s="119" t="str">
        <f t="shared" ref="U318:U369" si="184">IF(R318&lt;&gt;"",AI318,"")</f>
        <v/>
      </c>
      <c r="V318" s="119" t="str">
        <f t="shared" ref="V318:V369" si="185">IF(S318&lt;&gt;"",AJ318,"")</f>
        <v/>
      </c>
      <c r="W318" s="119" t="str">
        <f t="shared" ref="W318:W369" si="186">IF(T318&lt;&gt;"",AK318,"")</f>
        <v/>
      </c>
      <c r="X318" s="119" t="str">
        <f t="shared" ref="X318:X369" si="187">IF(U318&lt;&gt;"",AL318,"")</f>
        <v/>
      </c>
      <c r="Y318" s="119" t="str">
        <f t="shared" ref="Y318:Y369" si="188">IF(V318&lt;&gt;"",AM318,"")</f>
        <v/>
      </c>
      <c r="Z318" s="119" t="str">
        <f t="shared" ref="Z318:Z369" si="189">IF(W318&lt;&gt;"",AN318,"")</f>
        <v/>
      </c>
      <c r="AA318" s="119" t="str">
        <f t="shared" ref="AA318:AA369" si="190">IF(X318&lt;&gt;"",AO318,"")</f>
        <v/>
      </c>
      <c r="AB318" s="119" t="str">
        <f t="shared" ref="AB318:AB369" si="191">IF(Y318&lt;&gt;"",AP318,"")</f>
        <v/>
      </c>
      <c r="AC318" s="119" t="str">
        <f t="shared" ref="AC318:AC369" si="192">IF(Z318&lt;&gt;"",AQ318,"")</f>
        <v/>
      </c>
      <c r="AD318" s="119" t="str">
        <f t="shared" ref="AD318:AD369" si="193">IF(AA318&lt;&gt;"",AR318,"")</f>
        <v/>
      </c>
      <c r="AG318" s="124">
        <v>0.6</v>
      </c>
      <c r="AH318" s="123">
        <v>2</v>
      </c>
      <c r="AI318" s="123">
        <v>1</v>
      </c>
      <c r="AJ318" s="123"/>
      <c r="AK318" s="123"/>
      <c r="AL318" s="123"/>
      <c r="AM318" s="123"/>
      <c r="AN318" s="123"/>
      <c r="AO318" s="123"/>
      <c r="AP318" s="123"/>
      <c r="AQ318" s="123"/>
      <c r="AR318" s="125"/>
    </row>
    <row r="319" spans="9:44" ht="12" customHeight="1">
      <c r="I319" s="141" t="str">
        <f t="shared" ref="I319:I330" si="194">$C$253&amp;" "&amp;$E$258&amp;" "&amp;RIGHT(G254,LEN(G254)-FIND(" ",G254))</f>
        <v>Commercial Electrical and ICT equipments Lignite</v>
      </c>
      <c r="J319" s="146" t="s">
        <v>205</v>
      </c>
      <c r="K319" s="143" t="str">
        <f t="shared" ref="K319:K330" si="195">$D$253&amp;$F$258&amp;RIGHT(H254,3)&amp;$B$253</f>
        <v>COM-EQCOLExt</v>
      </c>
      <c r="L319" s="101" t="str">
        <f t="shared" si="178"/>
        <v/>
      </c>
      <c r="P319" s="122" t="str">
        <f t="shared" si="180"/>
        <v/>
      </c>
      <c r="Q319" s="114" t="str">
        <f t="shared" si="179"/>
        <v/>
      </c>
      <c r="R319" s="112" t="str">
        <f t="shared" si="181"/>
        <v/>
      </c>
      <c r="S319" s="119" t="str">
        <f t="shared" si="182"/>
        <v/>
      </c>
      <c r="T319" s="119" t="str">
        <f t="shared" si="183"/>
        <v/>
      </c>
      <c r="U319" s="119" t="str">
        <f t="shared" si="184"/>
        <v/>
      </c>
      <c r="V319" s="119" t="str">
        <f t="shared" si="185"/>
        <v/>
      </c>
      <c r="W319" s="119" t="str">
        <f t="shared" si="186"/>
        <v/>
      </c>
      <c r="X319" s="119" t="str">
        <f t="shared" si="187"/>
        <v/>
      </c>
      <c r="Y319" s="119" t="str">
        <f t="shared" si="188"/>
        <v/>
      </c>
      <c r="Z319" s="119" t="str">
        <f t="shared" si="189"/>
        <v/>
      </c>
      <c r="AA319" s="119" t="str">
        <f t="shared" si="190"/>
        <v/>
      </c>
      <c r="AB319" s="119" t="str">
        <f t="shared" si="191"/>
        <v/>
      </c>
      <c r="AC319" s="119" t="str">
        <f t="shared" si="192"/>
        <v/>
      </c>
      <c r="AD319" s="119" t="str">
        <f t="shared" si="193"/>
        <v/>
      </c>
      <c r="AG319" s="124">
        <v>0.6</v>
      </c>
      <c r="AH319" s="123">
        <v>2</v>
      </c>
      <c r="AI319" s="123">
        <v>1</v>
      </c>
      <c r="AJ319" s="123"/>
      <c r="AK319" s="123"/>
      <c r="AL319" s="123"/>
      <c r="AM319" s="123"/>
      <c r="AN319" s="123"/>
      <c r="AO319" s="123"/>
      <c r="AP319" s="123"/>
      <c r="AQ319" s="123"/>
      <c r="AR319" s="125"/>
    </row>
    <row r="320" spans="9:44" ht="12" customHeight="1">
      <c r="I320" s="141" t="str">
        <f t="shared" si="194"/>
        <v>Commercial Electrical and ICT equipments Crude oil</v>
      </c>
      <c r="J320" s="146" t="s">
        <v>205</v>
      </c>
      <c r="K320" s="143" t="str">
        <f t="shared" si="195"/>
        <v>COM-EQOILExt</v>
      </c>
      <c r="L320" s="101" t="str">
        <f t="shared" si="178"/>
        <v/>
      </c>
      <c r="P320" s="122" t="str">
        <f t="shared" si="180"/>
        <v/>
      </c>
      <c r="Q320" s="114" t="str">
        <f t="shared" si="179"/>
        <v/>
      </c>
      <c r="R320" s="112" t="str">
        <f t="shared" si="181"/>
        <v/>
      </c>
      <c r="S320" s="119" t="str">
        <f t="shared" si="182"/>
        <v/>
      </c>
      <c r="T320" s="119" t="str">
        <f t="shared" si="183"/>
        <v/>
      </c>
      <c r="U320" s="119" t="str">
        <f t="shared" si="184"/>
        <v/>
      </c>
      <c r="V320" s="119" t="str">
        <f t="shared" si="185"/>
        <v/>
      </c>
      <c r="W320" s="119" t="str">
        <f t="shared" si="186"/>
        <v/>
      </c>
      <c r="X320" s="119" t="str">
        <f t="shared" si="187"/>
        <v/>
      </c>
      <c r="Y320" s="119" t="str">
        <f t="shared" si="188"/>
        <v/>
      </c>
      <c r="Z320" s="119" t="str">
        <f t="shared" si="189"/>
        <v/>
      </c>
      <c r="AA320" s="119" t="str">
        <f t="shared" si="190"/>
        <v/>
      </c>
      <c r="AB320" s="119" t="str">
        <f t="shared" si="191"/>
        <v/>
      </c>
      <c r="AC320" s="119" t="str">
        <f t="shared" si="192"/>
        <v/>
      </c>
      <c r="AD320" s="119" t="str">
        <f t="shared" si="193"/>
        <v/>
      </c>
      <c r="AG320" s="124">
        <v>0.6</v>
      </c>
      <c r="AH320" s="123">
        <v>2</v>
      </c>
      <c r="AI320" s="123">
        <v>1</v>
      </c>
      <c r="AJ320" s="123"/>
      <c r="AK320" s="123"/>
      <c r="AL320" s="123"/>
      <c r="AM320" s="123"/>
      <c r="AN320" s="123"/>
      <c r="AO320" s="123"/>
      <c r="AP320" s="123"/>
      <c r="AQ320" s="123"/>
      <c r="AR320" s="125"/>
    </row>
    <row r="321" spans="9:44" ht="12" customHeight="1">
      <c r="I321" s="141" t="str">
        <f t="shared" si="194"/>
        <v>Commercial Electrical and ICT equipments Natural Gas</v>
      </c>
      <c r="J321" s="146" t="s">
        <v>205</v>
      </c>
      <c r="K321" s="143" t="str">
        <f t="shared" si="195"/>
        <v>COM-EQNGAExt</v>
      </c>
      <c r="L321" s="101" t="str">
        <f t="shared" si="178"/>
        <v/>
      </c>
      <c r="P321" s="122" t="str">
        <f t="shared" si="180"/>
        <v/>
      </c>
      <c r="Q321" s="114" t="str">
        <f t="shared" si="179"/>
        <v/>
      </c>
      <c r="R321" s="112" t="str">
        <f t="shared" si="181"/>
        <v/>
      </c>
      <c r="S321" s="119" t="str">
        <f t="shared" si="182"/>
        <v/>
      </c>
      <c r="T321" s="119" t="str">
        <f t="shared" si="183"/>
        <v/>
      </c>
      <c r="U321" s="119" t="str">
        <f t="shared" si="184"/>
        <v/>
      </c>
      <c r="V321" s="119" t="str">
        <f t="shared" si="185"/>
        <v/>
      </c>
      <c r="W321" s="119" t="str">
        <f t="shared" si="186"/>
        <v/>
      </c>
      <c r="X321" s="119" t="str">
        <f t="shared" si="187"/>
        <v/>
      </c>
      <c r="Y321" s="119" t="str">
        <f t="shared" si="188"/>
        <v/>
      </c>
      <c r="Z321" s="119" t="str">
        <f t="shared" si="189"/>
        <v/>
      </c>
      <c r="AA321" s="119" t="str">
        <f t="shared" si="190"/>
        <v/>
      </c>
      <c r="AB321" s="119" t="str">
        <f t="shared" si="191"/>
        <v/>
      </c>
      <c r="AC321" s="119" t="str">
        <f t="shared" si="192"/>
        <v/>
      </c>
      <c r="AD321" s="119" t="str">
        <f t="shared" si="193"/>
        <v/>
      </c>
      <c r="AG321" s="124">
        <v>0.6</v>
      </c>
      <c r="AH321" s="123">
        <v>2</v>
      </c>
      <c r="AI321" s="123">
        <v>1</v>
      </c>
      <c r="AJ321" s="123"/>
      <c r="AK321" s="123"/>
      <c r="AL321" s="123"/>
      <c r="AM321" s="123"/>
      <c r="AN321" s="123"/>
      <c r="AO321" s="123"/>
      <c r="AP321" s="123"/>
      <c r="AQ321" s="123"/>
      <c r="AR321" s="125"/>
    </row>
    <row r="322" spans="9:44" ht="12" customHeight="1">
      <c r="I322" s="141" t="str">
        <f t="shared" si="194"/>
        <v>Commercial Electrical and ICT equipments Hydro</v>
      </c>
      <c r="J322" s="146" t="s">
        <v>205</v>
      </c>
      <c r="K322" s="143" t="str">
        <f t="shared" si="195"/>
        <v>COM-EQHYDExt</v>
      </c>
      <c r="L322" s="101" t="str">
        <f t="shared" ref="L322:L327" si="196">IF(J322="Yes",K322,"")</f>
        <v/>
      </c>
      <c r="P322" s="122" t="str">
        <f t="shared" si="180"/>
        <v/>
      </c>
      <c r="Q322" s="114" t="str">
        <f t="shared" si="179"/>
        <v/>
      </c>
      <c r="R322" s="112" t="str">
        <f t="shared" si="181"/>
        <v/>
      </c>
      <c r="S322" s="119" t="str">
        <f t="shared" si="182"/>
        <v/>
      </c>
      <c r="T322" s="119" t="str">
        <f t="shared" si="183"/>
        <v/>
      </c>
      <c r="U322" s="119" t="str">
        <f t="shared" si="184"/>
        <v/>
      </c>
      <c r="V322" s="119" t="str">
        <f t="shared" si="185"/>
        <v/>
      </c>
      <c r="W322" s="119" t="str">
        <f t="shared" si="186"/>
        <v/>
      </c>
      <c r="X322" s="119" t="str">
        <f t="shared" si="187"/>
        <v/>
      </c>
      <c r="Y322" s="119" t="str">
        <f t="shared" si="188"/>
        <v/>
      </c>
      <c r="Z322" s="119" t="str">
        <f t="shared" si="189"/>
        <v/>
      </c>
      <c r="AA322" s="119" t="str">
        <f t="shared" si="190"/>
        <v/>
      </c>
      <c r="AB322" s="119" t="str">
        <f t="shared" si="191"/>
        <v/>
      </c>
      <c r="AC322" s="119" t="str">
        <f t="shared" si="192"/>
        <v/>
      </c>
      <c r="AD322" s="119" t="str">
        <f t="shared" si="193"/>
        <v/>
      </c>
      <c r="AG322" s="124">
        <v>0.6</v>
      </c>
      <c r="AH322" s="123">
        <v>2</v>
      </c>
      <c r="AI322" s="123">
        <v>1</v>
      </c>
      <c r="AJ322" s="123"/>
      <c r="AK322" s="123"/>
      <c r="AL322" s="123"/>
      <c r="AM322" s="123"/>
      <c r="AN322" s="123"/>
      <c r="AO322" s="123"/>
      <c r="AP322" s="123"/>
      <c r="AQ322" s="123"/>
      <c r="AR322" s="125"/>
    </row>
    <row r="323" spans="9:44" ht="12" customHeight="1">
      <c r="I323" s="141" t="str">
        <f t="shared" si="194"/>
        <v>Commercial Electrical and ICT equipments Geothermal</v>
      </c>
      <c r="J323" s="146" t="s">
        <v>205</v>
      </c>
      <c r="K323" s="143" t="str">
        <f t="shared" si="195"/>
        <v>COM-EQGEOExt</v>
      </c>
      <c r="L323" s="101" t="str">
        <f t="shared" si="196"/>
        <v/>
      </c>
      <c r="P323" s="122" t="str">
        <f t="shared" si="180"/>
        <v/>
      </c>
      <c r="Q323" s="114" t="str">
        <f t="shared" si="179"/>
        <v/>
      </c>
      <c r="R323" s="112" t="str">
        <f t="shared" si="181"/>
        <v/>
      </c>
      <c r="S323" s="119" t="str">
        <f t="shared" si="182"/>
        <v/>
      </c>
      <c r="T323" s="119" t="str">
        <f t="shared" si="183"/>
        <v/>
      </c>
      <c r="U323" s="119" t="str">
        <f t="shared" si="184"/>
        <v/>
      </c>
      <c r="V323" s="119" t="str">
        <f t="shared" si="185"/>
        <v/>
      </c>
      <c r="W323" s="119" t="str">
        <f t="shared" si="186"/>
        <v/>
      </c>
      <c r="X323" s="119" t="str">
        <f t="shared" si="187"/>
        <v/>
      </c>
      <c r="Y323" s="119" t="str">
        <f t="shared" si="188"/>
        <v/>
      </c>
      <c r="Z323" s="119" t="str">
        <f t="shared" si="189"/>
        <v/>
      </c>
      <c r="AA323" s="119" t="str">
        <f t="shared" si="190"/>
        <v/>
      </c>
      <c r="AB323" s="119" t="str">
        <f t="shared" si="191"/>
        <v/>
      </c>
      <c r="AC323" s="119" t="str">
        <f t="shared" si="192"/>
        <v/>
      </c>
      <c r="AD323" s="119" t="str">
        <f t="shared" si="193"/>
        <v/>
      </c>
      <c r="AG323" s="124">
        <v>0.6</v>
      </c>
      <c r="AH323" s="123">
        <v>2</v>
      </c>
      <c r="AI323" s="123">
        <v>1</v>
      </c>
      <c r="AJ323" s="123"/>
      <c r="AK323" s="123"/>
      <c r="AL323" s="123"/>
      <c r="AM323" s="123"/>
      <c r="AN323" s="123"/>
      <c r="AO323" s="123"/>
      <c r="AP323" s="123"/>
      <c r="AQ323" s="123"/>
      <c r="AR323" s="125"/>
    </row>
    <row r="324" spans="9:44" ht="12" customHeight="1">
      <c r="I324" s="141" t="str">
        <f t="shared" si="194"/>
        <v>Commercial Electrical and ICT equipments Solar</v>
      </c>
      <c r="J324" s="146" t="s">
        <v>205</v>
      </c>
      <c r="K324" s="143" t="str">
        <f t="shared" si="195"/>
        <v>COM-EQSOLExt</v>
      </c>
      <c r="L324" s="101" t="str">
        <f t="shared" si="196"/>
        <v/>
      </c>
      <c r="P324" s="122" t="str">
        <f t="shared" si="180"/>
        <v/>
      </c>
      <c r="Q324" s="114" t="str">
        <f t="shared" si="179"/>
        <v/>
      </c>
      <c r="R324" s="112" t="str">
        <f t="shared" si="181"/>
        <v/>
      </c>
      <c r="S324" s="119" t="str">
        <f t="shared" si="182"/>
        <v/>
      </c>
      <c r="T324" s="119" t="str">
        <f t="shared" si="183"/>
        <v/>
      </c>
      <c r="U324" s="119" t="str">
        <f t="shared" si="184"/>
        <v/>
      </c>
      <c r="V324" s="119" t="str">
        <f t="shared" si="185"/>
        <v/>
      </c>
      <c r="W324" s="119" t="str">
        <f t="shared" si="186"/>
        <v/>
      </c>
      <c r="X324" s="119" t="str">
        <f t="shared" si="187"/>
        <v/>
      </c>
      <c r="Y324" s="119" t="str">
        <f t="shared" si="188"/>
        <v/>
      </c>
      <c r="Z324" s="119" t="str">
        <f t="shared" si="189"/>
        <v/>
      </c>
      <c r="AA324" s="119" t="str">
        <f t="shared" si="190"/>
        <v/>
      </c>
      <c r="AB324" s="119" t="str">
        <f t="shared" si="191"/>
        <v/>
      </c>
      <c r="AC324" s="119" t="str">
        <f t="shared" si="192"/>
        <v/>
      </c>
      <c r="AD324" s="119" t="str">
        <f t="shared" si="193"/>
        <v/>
      </c>
      <c r="AG324" s="124">
        <v>0.6</v>
      </c>
      <c r="AH324" s="123">
        <v>2</v>
      </c>
      <c r="AI324" s="123">
        <v>1</v>
      </c>
      <c r="AJ324" s="123"/>
      <c r="AK324" s="123"/>
      <c r="AL324" s="123"/>
      <c r="AM324" s="123"/>
      <c r="AN324" s="123"/>
      <c r="AO324" s="123"/>
      <c r="AP324" s="123"/>
      <c r="AQ324" s="123"/>
      <c r="AR324" s="125"/>
    </row>
    <row r="325" spans="9:44" ht="12" customHeight="1">
      <c r="I325" s="141" t="str">
        <f t="shared" si="194"/>
        <v>Commercial Electrical and ICT equipments Wind</v>
      </c>
      <c r="J325" s="146" t="s">
        <v>205</v>
      </c>
      <c r="K325" s="143" t="str">
        <f t="shared" si="195"/>
        <v>COM-EQWINExt</v>
      </c>
      <c r="L325" s="101" t="str">
        <f t="shared" si="196"/>
        <v/>
      </c>
      <c r="P325" s="122" t="str">
        <f t="shared" si="180"/>
        <v/>
      </c>
      <c r="Q325" s="114" t="str">
        <f t="shared" si="179"/>
        <v/>
      </c>
      <c r="R325" s="112" t="str">
        <f t="shared" si="181"/>
        <v/>
      </c>
      <c r="S325" s="119" t="str">
        <f t="shared" si="182"/>
        <v/>
      </c>
      <c r="T325" s="119" t="str">
        <f t="shared" si="183"/>
        <v/>
      </c>
      <c r="U325" s="119" t="str">
        <f t="shared" si="184"/>
        <v/>
      </c>
      <c r="V325" s="119" t="str">
        <f t="shared" si="185"/>
        <v/>
      </c>
      <c r="W325" s="119" t="str">
        <f t="shared" si="186"/>
        <v/>
      </c>
      <c r="X325" s="119" t="str">
        <f t="shared" si="187"/>
        <v/>
      </c>
      <c r="Y325" s="119" t="str">
        <f t="shared" si="188"/>
        <v/>
      </c>
      <c r="Z325" s="119" t="str">
        <f t="shared" si="189"/>
        <v/>
      </c>
      <c r="AA325" s="119" t="str">
        <f t="shared" si="190"/>
        <v/>
      </c>
      <c r="AB325" s="119" t="str">
        <f t="shared" si="191"/>
        <v/>
      </c>
      <c r="AC325" s="119" t="str">
        <f t="shared" si="192"/>
        <v/>
      </c>
      <c r="AD325" s="119" t="str">
        <f t="shared" si="193"/>
        <v/>
      </c>
      <c r="AG325" s="124">
        <v>0.6</v>
      </c>
      <c r="AH325" s="123">
        <v>2</v>
      </c>
      <c r="AI325" s="123">
        <v>1</v>
      </c>
      <c r="AJ325" s="123"/>
      <c r="AK325" s="123"/>
      <c r="AL325" s="123"/>
      <c r="AM325" s="123"/>
      <c r="AN325" s="123"/>
      <c r="AO325" s="123"/>
      <c r="AP325" s="123"/>
      <c r="AQ325" s="123"/>
      <c r="AR325" s="125"/>
    </row>
    <row r="326" spans="9:44" ht="12" customHeight="1">
      <c r="I326" s="141" t="str">
        <f t="shared" si="194"/>
        <v>Commercial Electrical and ICT equipments Bio Liquids</v>
      </c>
      <c r="J326" s="146" t="s">
        <v>205</v>
      </c>
      <c r="K326" s="143" t="str">
        <f t="shared" si="195"/>
        <v>COM-EQBILExt</v>
      </c>
      <c r="L326" s="101" t="str">
        <f t="shared" si="196"/>
        <v/>
      </c>
      <c r="P326" s="122" t="str">
        <f t="shared" si="180"/>
        <v/>
      </c>
      <c r="Q326" s="114" t="str">
        <f t="shared" si="179"/>
        <v/>
      </c>
      <c r="R326" s="112" t="str">
        <f t="shared" si="181"/>
        <v/>
      </c>
      <c r="S326" s="119" t="str">
        <f t="shared" si="182"/>
        <v/>
      </c>
      <c r="T326" s="119" t="str">
        <f t="shared" si="183"/>
        <v/>
      </c>
      <c r="U326" s="119" t="str">
        <f t="shared" si="184"/>
        <v/>
      </c>
      <c r="V326" s="119" t="str">
        <f t="shared" si="185"/>
        <v/>
      </c>
      <c r="W326" s="119" t="str">
        <f t="shared" si="186"/>
        <v/>
      </c>
      <c r="X326" s="119" t="str">
        <f t="shared" si="187"/>
        <v/>
      </c>
      <c r="Y326" s="119" t="str">
        <f t="shared" si="188"/>
        <v/>
      </c>
      <c r="Z326" s="119" t="str">
        <f t="shared" si="189"/>
        <v/>
      </c>
      <c r="AA326" s="119" t="str">
        <f t="shared" si="190"/>
        <v/>
      </c>
      <c r="AB326" s="119" t="str">
        <f t="shared" si="191"/>
        <v/>
      </c>
      <c r="AC326" s="119" t="str">
        <f t="shared" si="192"/>
        <v/>
      </c>
      <c r="AD326" s="119" t="str">
        <f t="shared" si="193"/>
        <v/>
      </c>
      <c r="AG326" s="124">
        <v>0.6</v>
      </c>
      <c r="AH326" s="123">
        <v>2</v>
      </c>
      <c r="AI326" s="123">
        <v>1</v>
      </c>
      <c r="AJ326" s="123"/>
      <c r="AK326" s="123"/>
      <c r="AL326" s="123"/>
      <c r="AM326" s="123"/>
      <c r="AN326" s="123"/>
      <c r="AO326" s="123"/>
      <c r="AP326" s="123"/>
      <c r="AQ326" s="123"/>
      <c r="AR326" s="125"/>
    </row>
    <row r="327" spans="9:44" ht="12" customHeight="1">
      <c r="I327" s="141" t="str">
        <f t="shared" si="194"/>
        <v>Commercial Electrical and ICT equipments Biogas</v>
      </c>
      <c r="J327" s="146" t="s">
        <v>205</v>
      </c>
      <c r="K327" s="143" t="str">
        <f t="shared" si="195"/>
        <v>COM-EQBIGExt</v>
      </c>
      <c r="L327" s="101" t="str">
        <f t="shared" si="196"/>
        <v/>
      </c>
      <c r="P327" s="122" t="str">
        <f t="shared" si="180"/>
        <v/>
      </c>
      <c r="Q327" s="114" t="str">
        <f t="shared" si="179"/>
        <v/>
      </c>
      <c r="R327" s="112" t="str">
        <f t="shared" si="181"/>
        <v/>
      </c>
      <c r="S327" s="119" t="str">
        <f t="shared" si="182"/>
        <v/>
      </c>
      <c r="T327" s="119" t="str">
        <f t="shared" si="183"/>
        <v/>
      </c>
      <c r="U327" s="119" t="str">
        <f t="shared" si="184"/>
        <v/>
      </c>
      <c r="V327" s="119" t="str">
        <f t="shared" si="185"/>
        <v/>
      </c>
      <c r="W327" s="119" t="str">
        <f t="shared" si="186"/>
        <v/>
      </c>
      <c r="X327" s="119" t="str">
        <f t="shared" si="187"/>
        <v/>
      </c>
      <c r="Y327" s="119" t="str">
        <f t="shared" si="188"/>
        <v/>
      </c>
      <c r="Z327" s="119" t="str">
        <f t="shared" si="189"/>
        <v/>
      </c>
      <c r="AA327" s="119" t="str">
        <f t="shared" si="190"/>
        <v/>
      </c>
      <c r="AB327" s="119" t="str">
        <f t="shared" si="191"/>
        <v/>
      </c>
      <c r="AC327" s="119" t="str">
        <f t="shared" si="192"/>
        <v/>
      </c>
      <c r="AD327" s="119" t="str">
        <f t="shared" si="193"/>
        <v/>
      </c>
      <c r="AG327" s="124">
        <v>0.6</v>
      </c>
      <c r="AH327" s="123">
        <v>2</v>
      </c>
      <c r="AI327" s="123">
        <v>1</v>
      </c>
      <c r="AJ327" s="123"/>
      <c r="AK327" s="123"/>
      <c r="AL327" s="123"/>
      <c r="AM327" s="123"/>
      <c r="AN327" s="123"/>
      <c r="AO327" s="123"/>
      <c r="AP327" s="123"/>
      <c r="AQ327" s="123"/>
      <c r="AR327" s="125"/>
    </row>
    <row r="328" spans="9:44" ht="12" customHeight="1">
      <c r="I328" s="141" t="str">
        <f t="shared" si="194"/>
        <v>Commercial Electrical and ICT equipments Wood</v>
      </c>
      <c r="J328" s="146" t="s">
        <v>205</v>
      </c>
      <c r="K328" s="143" t="str">
        <f t="shared" si="195"/>
        <v>COM-EQWODExt</v>
      </c>
      <c r="L328" s="101" t="str">
        <f t="shared" ref="L328:L333" si="197">IF(J328="Yes",K328,"")</f>
        <v/>
      </c>
      <c r="P328" s="122" t="str">
        <f t="shared" si="180"/>
        <v/>
      </c>
      <c r="Q328" s="114" t="str">
        <f t="shared" si="179"/>
        <v/>
      </c>
      <c r="R328" s="112" t="str">
        <f t="shared" si="181"/>
        <v/>
      </c>
      <c r="S328" s="119" t="str">
        <f t="shared" si="182"/>
        <v/>
      </c>
      <c r="T328" s="119" t="str">
        <f t="shared" si="183"/>
        <v/>
      </c>
      <c r="U328" s="119" t="str">
        <f t="shared" si="184"/>
        <v/>
      </c>
      <c r="V328" s="119" t="str">
        <f t="shared" si="185"/>
        <v/>
      </c>
      <c r="W328" s="119" t="str">
        <f t="shared" si="186"/>
        <v/>
      </c>
      <c r="X328" s="119" t="str">
        <f t="shared" si="187"/>
        <v/>
      </c>
      <c r="Y328" s="119" t="str">
        <f t="shared" si="188"/>
        <v/>
      </c>
      <c r="Z328" s="119" t="str">
        <f t="shared" si="189"/>
        <v/>
      </c>
      <c r="AA328" s="119" t="str">
        <f t="shared" si="190"/>
        <v/>
      </c>
      <c r="AB328" s="119" t="str">
        <f t="shared" si="191"/>
        <v/>
      </c>
      <c r="AC328" s="119" t="str">
        <f t="shared" si="192"/>
        <v/>
      </c>
      <c r="AD328" s="119" t="str">
        <f t="shared" si="193"/>
        <v/>
      </c>
      <c r="AG328" s="124">
        <v>0.6</v>
      </c>
      <c r="AH328" s="123">
        <v>2</v>
      </c>
      <c r="AI328" s="123">
        <v>1</v>
      </c>
      <c r="AJ328" s="123"/>
      <c r="AK328" s="123"/>
      <c r="AL328" s="123"/>
      <c r="AM328" s="123"/>
      <c r="AN328" s="123"/>
      <c r="AO328" s="123"/>
      <c r="AP328" s="123"/>
      <c r="AQ328" s="123"/>
      <c r="AR328" s="125"/>
    </row>
    <row r="329" spans="9:44" ht="12" customHeight="1">
      <c r="I329" s="141" t="str">
        <f t="shared" si="194"/>
        <v>Commercial Electrical and ICT equipments Tidal</v>
      </c>
      <c r="J329" s="146" t="s">
        <v>205</v>
      </c>
      <c r="K329" s="143" t="str">
        <f t="shared" si="195"/>
        <v>COM-EQTIDExt</v>
      </c>
      <c r="L329" s="101" t="str">
        <f t="shared" si="197"/>
        <v/>
      </c>
      <c r="P329" s="122" t="str">
        <f t="shared" si="180"/>
        <v/>
      </c>
      <c r="Q329" s="114" t="str">
        <f t="shared" si="179"/>
        <v/>
      </c>
      <c r="R329" s="112" t="str">
        <f t="shared" si="181"/>
        <v/>
      </c>
      <c r="S329" s="119" t="str">
        <f t="shared" si="182"/>
        <v/>
      </c>
      <c r="T329" s="119" t="str">
        <f t="shared" si="183"/>
        <v/>
      </c>
      <c r="U329" s="119" t="str">
        <f t="shared" si="184"/>
        <v/>
      </c>
      <c r="V329" s="119" t="str">
        <f t="shared" si="185"/>
        <v/>
      </c>
      <c r="W329" s="119" t="str">
        <f t="shared" si="186"/>
        <v/>
      </c>
      <c r="X329" s="119" t="str">
        <f t="shared" si="187"/>
        <v/>
      </c>
      <c r="Y329" s="119" t="str">
        <f t="shared" si="188"/>
        <v/>
      </c>
      <c r="Z329" s="119" t="str">
        <f t="shared" si="189"/>
        <v/>
      </c>
      <c r="AA329" s="119" t="str">
        <f t="shared" si="190"/>
        <v/>
      </c>
      <c r="AB329" s="119" t="str">
        <f t="shared" si="191"/>
        <v/>
      </c>
      <c r="AC329" s="119" t="str">
        <f t="shared" si="192"/>
        <v/>
      </c>
      <c r="AD329" s="119" t="str">
        <f t="shared" si="193"/>
        <v/>
      </c>
      <c r="AG329" s="124">
        <v>0.6</v>
      </c>
      <c r="AH329" s="123">
        <v>2</v>
      </c>
      <c r="AI329" s="123">
        <v>1</v>
      </c>
      <c r="AJ329" s="123"/>
      <c r="AK329" s="123"/>
      <c r="AL329" s="123"/>
      <c r="AM329" s="123"/>
      <c r="AN329" s="123"/>
      <c r="AO329" s="123"/>
      <c r="AP329" s="123"/>
      <c r="AQ329" s="123"/>
      <c r="AR329" s="125"/>
    </row>
    <row r="330" spans="9:44" ht="12" customHeight="1">
      <c r="I330" s="141" t="str">
        <f t="shared" si="194"/>
        <v>Commercial Electrical and ICT equipments Electricity</v>
      </c>
      <c r="J330" s="155" t="s">
        <v>206</v>
      </c>
      <c r="K330" s="144" t="str">
        <f t="shared" si="195"/>
        <v>COM-EQELCExt</v>
      </c>
      <c r="L330" s="101" t="str">
        <f t="shared" si="197"/>
        <v>COM-EQELCExt</v>
      </c>
      <c r="P330" s="122" t="str">
        <f t="shared" si="180"/>
        <v>COM-EQELCExt</v>
      </c>
      <c r="Q330" s="114" t="str">
        <f t="shared" si="179"/>
        <v>COM-ELC</v>
      </c>
      <c r="R330" s="112" t="str">
        <f t="shared" si="181"/>
        <v>COM-EQ</v>
      </c>
      <c r="S330" s="119">
        <f t="shared" si="182"/>
        <v>0.6</v>
      </c>
      <c r="T330" s="119">
        <f t="shared" si="183"/>
        <v>2</v>
      </c>
      <c r="U330" s="119">
        <f t="shared" si="184"/>
        <v>1</v>
      </c>
      <c r="V330" s="119">
        <f t="shared" si="185"/>
        <v>0</v>
      </c>
      <c r="W330" s="119">
        <f t="shared" si="186"/>
        <v>0</v>
      </c>
      <c r="X330" s="119">
        <f t="shared" si="187"/>
        <v>0</v>
      </c>
      <c r="Y330" s="119">
        <f t="shared" si="188"/>
        <v>0</v>
      </c>
      <c r="Z330" s="119">
        <f t="shared" si="189"/>
        <v>0</v>
      </c>
      <c r="AA330" s="119">
        <f t="shared" si="190"/>
        <v>0</v>
      </c>
      <c r="AB330" s="119">
        <f t="shared" si="191"/>
        <v>0</v>
      </c>
      <c r="AC330" s="119">
        <f t="shared" si="192"/>
        <v>0</v>
      </c>
      <c r="AD330" s="119">
        <f t="shared" si="193"/>
        <v>0</v>
      </c>
      <c r="AG330" s="124">
        <v>0.6</v>
      </c>
      <c r="AH330" s="123">
        <v>2</v>
      </c>
      <c r="AI330" s="123">
        <v>1</v>
      </c>
      <c r="AJ330" s="123"/>
      <c r="AK330" s="123"/>
      <c r="AL330" s="123"/>
      <c r="AM330" s="123"/>
      <c r="AN330" s="123"/>
      <c r="AO330" s="123"/>
      <c r="AP330" s="123"/>
      <c r="AQ330" s="123"/>
      <c r="AR330" s="125"/>
    </row>
    <row r="331" spans="9:44" ht="12" customHeight="1">
      <c r="I331" s="140" t="str">
        <f>$C$253&amp;" "&amp;$E$259&amp;" "&amp;RIGHT(G253,LEN(G253)-FIND(" ",G253))</f>
        <v>Commercial Internal transport Coal</v>
      </c>
      <c r="J331" s="146" t="s">
        <v>205</v>
      </c>
      <c r="K331" s="142" t="str">
        <f>$D$253&amp;$F$259&amp;RIGHT(H253,3)&amp;$B$253</f>
        <v>COM-ITCOAExt</v>
      </c>
      <c r="L331" s="101" t="str">
        <f t="shared" si="197"/>
        <v/>
      </c>
      <c r="P331" s="122" t="str">
        <f t="shared" si="180"/>
        <v/>
      </c>
      <c r="Q331" s="114" t="str">
        <f t="shared" si="179"/>
        <v/>
      </c>
      <c r="R331" s="112" t="str">
        <f t="shared" si="181"/>
        <v/>
      </c>
      <c r="S331" s="119" t="str">
        <f t="shared" si="182"/>
        <v/>
      </c>
      <c r="T331" s="119" t="str">
        <f t="shared" si="183"/>
        <v/>
      </c>
      <c r="U331" s="119" t="str">
        <f t="shared" si="184"/>
        <v/>
      </c>
      <c r="V331" s="119" t="str">
        <f t="shared" si="185"/>
        <v/>
      </c>
      <c r="W331" s="119" t="str">
        <f t="shared" si="186"/>
        <v/>
      </c>
      <c r="X331" s="119" t="str">
        <f t="shared" si="187"/>
        <v/>
      </c>
      <c r="Y331" s="119" t="str">
        <f t="shared" si="188"/>
        <v/>
      </c>
      <c r="Z331" s="119" t="str">
        <f t="shared" si="189"/>
        <v/>
      </c>
      <c r="AA331" s="119" t="str">
        <f t="shared" si="190"/>
        <v/>
      </c>
      <c r="AB331" s="119" t="str">
        <f t="shared" si="191"/>
        <v/>
      </c>
      <c r="AC331" s="119" t="str">
        <f t="shared" si="192"/>
        <v/>
      </c>
      <c r="AD331" s="119" t="str">
        <f t="shared" si="193"/>
        <v/>
      </c>
      <c r="AG331" s="124">
        <v>0.6</v>
      </c>
      <c r="AH331" s="123">
        <v>2</v>
      </c>
      <c r="AI331" s="123">
        <v>1</v>
      </c>
      <c r="AJ331" s="123"/>
      <c r="AK331" s="123"/>
      <c r="AL331" s="123"/>
      <c r="AM331" s="123"/>
      <c r="AN331" s="123"/>
      <c r="AO331" s="123"/>
      <c r="AP331" s="123"/>
      <c r="AQ331" s="123"/>
      <c r="AR331" s="125"/>
    </row>
    <row r="332" spans="9:44" ht="12" customHeight="1">
      <c r="I332" s="141" t="str">
        <f t="shared" ref="I332:I343" si="198">$C$253&amp;" "&amp;$E$259&amp;" "&amp;RIGHT(G254,LEN(G254)-FIND(" ",G254))</f>
        <v>Commercial Internal transport Lignite</v>
      </c>
      <c r="J332" s="146" t="s">
        <v>205</v>
      </c>
      <c r="K332" s="143" t="str">
        <f t="shared" ref="K332:K343" si="199">$D$253&amp;$F$259&amp;RIGHT(H254,3)&amp;$B$253</f>
        <v>COM-ITCOLExt</v>
      </c>
      <c r="L332" s="101" t="str">
        <f t="shared" si="197"/>
        <v/>
      </c>
      <c r="P332" s="122" t="str">
        <f t="shared" si="180"/>
        <v/>
      </c>
      <c r="Q332" s="114" t="str">
        <f t="shared" si="179"/>
        <v/>
      </c>
      <c r="R332" s="112" t="str">
        <f t="shared" si="181"/>
        <v/>
      </c>
      <c r="S332" s="119" t="str">
        <f t="shared" si="182"/>
        <v/>
      </c>
      <c r="T332" s="119" t="str">
        <f t="shared" si="183"/>
        <v/>
      </c>
      <c r="U332" s="119" t="str">
        <f t="shared" si="184"/>
        <v/>
      </c>
      <c r="V332" s="119" t="str">
        <f t="shared" si="185"/>
        <v/>
      </c>
      <c r="W332" s="119" t="str">
        <f t="shared" si="186"/>
        <v/>
      </c>
      <c r="X332" s="119" t="str">
        <f t="shared" si="187"/>
        <v/>
      </c>
      <c r="Y332" s="119" t="str">
        <f t="shared" si="188"/>
        <v/>
      </c>
      <c r="Z332" s="119" t="str">
        <f t="shared" si="189"/>
        <v/>
      </c>
      <c r="AA332" s="119" t="str">
        <f t="shared" si="190"/>
        <v/>
      </c>
      <c r="AB332" s="119" t="str">
        <f t="shared" si="191"/>
        <v/>
      </c>
      <c r="AC332" s="119" t="str">
        <f t="shared" si="192"/>
        <v/>
      </c>
      <c r="AD332" s="119" t="str">
        <f t="shared" si="193"/>
        <v/>
      </c>
      <c r="AG332" s="124">
        <v>0.6</v>
      </c>
      <c r="AH332" s="123">
        <v>2</v>
      </c>
      <c r="AI332" s="123">
        <v>1</v>
      </c>
      <c r="AJ332" s="123"/>
      <c r="AK332" s="123"/>
      <c r="AL332" s="123"/>
      <c r="AM332" s="123"/>
      <c r="AN332" s="123"/>
      <c r="AO332" s="123"/>
      <c r="AP332" s="123"/>
      <c r="AQ332" s="123"/>
      <c r="AR332" s="125"/>
    </row>
    <row r="333" spans="9:44" ht="12" customHeight="1">
      <c r="I333" s="141" t="str">
        <f t="shared" si="198"/>
        <v>Commercial Internal transport Crude oil</v>
      </c>
      <c r="J333" s="146" t="s">
        <v>205</v>
      </c>
      <c r="K333" s="143" t="str">
        <f t="shared" si="199"/>
        <v>COM-ITOILExt</v>
      </c>
      <c r="L333" s="101" t="str">
        <f t="shared" si="197"/>
        <v/>
      </c>
      <c r="P333" s="122" t="str">
        <f t="shared" si="180"/>
        <v/>
      </c>
      <c r="Q333" s="114" t="str">
        <f t="shared" si="179"/>
        <v/>
      </c>
      <c r="R333" s="112" t="str">
        <f t="shared" si="181"/>
        <v/>
      </c>
      <c r="S333" s="119" t="str">
        <f t="shared" si="182"/>
        <v/>
      </c>
      <c r="T333" s="119" t="str">
        <f t="shared" si="183"/>
        <v/>
      </c>
      <c r="U333" s="119" t="str">
        <f t="shared" si="184"/>
        <v/>
      </c>
      <c r="V333" s="119" t="str">
        <f t="shared" si="185"/>
        <v/>
      </c>
      <c r="W333" s="119" t="str">
        <f t="shared" si="186"/>
        <v/>
      </c>
      <c r="X333" s="119" t="str">
        <f t="shared" si="187"/>
        <v/>
      </c>
      <c r="Y333" s="119" t="str">
        <f t="shared" si="188"/>
        <v/>
      </c>
      <c r="Z333" s="119" t="str">
        <f t="shared" si="189"/>
        <v/>
      </c>
      <c r="AA333" s="119" t="str">
        <f t="shared" si="190"/>
        <v/>
      </c>
      <c r="AB333" s="119" t="str">
        <f t="shared" si="191"/>
        <v/>
      </c>
      <c r="AC333" s="119" t="str">
        <f t="shared" si="192"/>
        <v/>
      </c>
      <c r="AD333" s="119" t="str">
        <f t="shared" si="193"/>
        <v/>
      </c>
      <c r="AG333" s="124">
        <v>0.6</v>
      </c>
      <c r="AH333" s="123">
        <v>2</v>
      </c>
      <c r="AI333" s="123">
        <v>1</v>
      </c>
      <c r="AJ333" s="123"/>
      <c r="AK333" s="123"/>
      <c r="AL333" s="123"/>
      <c r="AM333" s="123"/>
      <c r="AN333" s="123"/>
      <c r="AO333" s="123"/>
      <c r="AP333" s="123"/>
      <c r="AQ333" s="123"/>
      <c r="AR333" s="125"/>
    </row>
    <row r="334" spans="9:44" ht="12" customHeight="1">
      <c r="I334" s="141" t="str">
        <f t="shared" si="198"/>
        <v>Commercial Internal transport Natural Gas</v>
      </c>
      <c r="J334" s="146" t="s">
        <v>206</v>
      </c>
      <c r="K334" s="143" t="str">
        <f t="shared" si="199"/>
        <v>COM-ITNGAExt</v>
      </c>
      <c r="L334" s="101" t="str">
        <f>IF(J334="Yes",K334,"")</f>
        <v>COM-ITNGAExt</v>
      </c>
      <c r="P334" s="122" t="str">
        <f t="shared" si="180"/>
        <v>COM-ITNGAExt</v>
      </c>
      <c r="Q334" s="114" t="str">
        <f t="shared" si="179"/>
        <v>COM-NGA</v>
      </c>
      <c r="R334" s="112" t="str">
        <f t="shared" si="181"/>
        <v>COM-IT</v>
      </c>
      <c r="S334" s="119">
        <f t="shared" si="182"/>
        <v>0.6</v>
      </c>
      <c r="T334" s="119">
        <f t="shared" si="183"/>
        <v>2</v>
      </c>
      <c r="U334" s="119">
        <f t="shared" si="184"/>
        <v>1</v>
      </c>
      <c r="V334" s="119">
        <f t="shared" si="185"/>
        <v>0</v>
      </c>
      <c r="W334" s="119">
        <f t="shared" si="186"/>
        <v>0</v>
      </c>
      <c r="X334" s="119">
        <f t="shared" si="187"/>
        <v>0</v>
      </c>
      <c r="Y334" s="119">
        <f t="shared" si="188"/>
        <v>0</v>
      </c>
      <c r="Z334" s="119">
        <f t="shared" si="189"/>
        <v>0</v>
      </c>
      <c r="AA334" s="119">
        <f t="shared" si="190"/>
        <v>0</v>
      </c>
      <c r="AB334" s="119">
        <f t="shared" si="191"/>
        <v>0</v>
      </c>
      <c r="AC334" s="119">
        <f t="shared" si="192"/>
        <v>0</v>
      </c>
      <c r="AD334" s="119">
        <f t="shared" si="193"/>
        <v>0</v>
      </c>
      <c r="AG334" s="124">
        <v>0.6</v>
      </c>
      <c r="AH334" s="123">
        <v>2</v>
      </c>
      <c r="AI334" s="123">
        <v>1</v>
      </c>
      <c r="AJ334" s="123"/>
      <c r="AK334" s="123"/>
      <c r="AL334" s="123"/>
      <c r="AM334" s="123"/>
      <c r="AN334" s="123"/>
      <c r="AO334" s="123"/>
      <c r="AP334" s="123"/>
      <c r="AQ334" s="123"/>
      <c r="AR334" s="125"/>
    </row>
    <row r="335" spans="9:44" ht="12" customHeight="1">
      <c r="I335" s="141" t="str">
        <f t="shared" si="198"/>
        <v>Commercial Internal transport Hydro</v>
      </c>
      <c r="J335" s="146" t="s">
        <v>205</v>
      </c>
      <c r="K335" s="143" t="str">
        <f t="shared" si="199"/>
        <v>COM-ITHYDExt</v>
      </c>
      <c r="L335" s="101" t="str">
        <f>IF(J335="Yes",K335,"")</f>
        <v/>
      </c>
      <c r="P335" s="122" t="str">
        <f t="shared" si="180"/>
        <v/>
      </c>
      <c r="Q335" s="114" t="str">
        <f t="shared" si="179"/>
        <v/>
      </c>
      <c r="R335" s="112" t="str">
        <f t="shared" si="181"/>
        <v/>
      </c>
      <c r="S335" s="119" t="str">
        <f t="shared" si="182"/>
        <v/>
      </c>
      <c r="T335" s="119" t="str">
        <f t="shared" si="183"/>
        <v/>
      </c>
      <c r="U335" s="119" t="str">
        <f t="shared" si="184"/>
        <v/>
      </c>
      <c r="V335" s="119" t="str">
        <f t="shared" si="185"/>
        <v/>
      </c>
      <c r="W335" s="119" t="str">
        <f t="shared" si="186"/>
        <v/>
      </c>
      <c r="X335" s="119" t="str">
        <f t="shared" si="187"/>
        <v/>
      </c>
      <c r="Y335" s="119" t="str">
        <f t="shared" si="188"/>
        <v/>
      </c>
      <c r="Z335" s="119" t="str">
        <f t="shared" si="189"/>
        <v/>
      </c>
      <c r="AA335" s="119" t="str">
        <f t="shared" si="190"/>
        <v/>
      </c>
      <c r="AB335" s="119" t="str">
        <f t="shared" si="191"/>
        <v/>
      </c>
      <c r="AC335" s="119" t="str">
        <f t="shared" si="192"/>
        <v/>
      </c>
      <c r="AD335" s="119" t="str">
        <f t="shared" si="193"/>
        <v/>
      </c>
      <c r="AG335" s="124">
        <v>0.6</v>
      </c>
      <c r="AH335" s="123">
        <v>2</v>
      </c>
      <c r="AI335" s="123">
        <v>1</v>
      </c>
      <c r="AJ335" s="123"/>
      <c r="AK335" s="123"/>
      <c r="AL335" s="123"/>
      <c r="AM335" s="123"/>
      <c r="AN335" s="123"/>
      <c r="AO335" s="123"/>
      <c r="AP335" s="123"/>
      <c r="AQ335" s="123"/>
      <c r="AR335" s="125"/>
    </row>
    <row r="336" spans="9:44" ht="12" customHeight="1">
      <c r="I336" s="141" t="str">
        <f t="shared" si="198"/>
        <v>Commercial Internal transport Geothermal</v>
      </c>
      <c r="J336" s="146" t="s">
        <v>205</v>
      </c>
      <c r="K336" s="143" t="str">
        <f t="shared" si="199"/>
        <v>COM-ITGEOExt</v>
      </c>
      <c r="L336" s="101" t="str">
        <f>IF(J336="Yes",K336,"")</f>
        <v/>
      </c>
      <c r="P336" s="122" t="str">
        <f t="shared" si="180"/>
        <v/>
      </c>
      <c r="Q336" s="114" t="str">
        <f t="shared" si="179"/>
        <v/>
      </c>
      <c r="R336" s="112" t="str">
        <f t="shared" si="181"/>
        <v/>
      </c>
      <c r="S336" s="119" t="str">
        <f t="shared" si="182"/>
        <v/>
      </c>
      <c r="T336" s="119" t="str">
        <f t="shared" si="183"/>
        <v/>
      </c>
      <c r="U336" s="119" t="str">
        <f t="shared" si="184"/>
        <v/>
      </c>
      <c r="V336" s="119" t="str">
        <f t="shared" si="185"/>
        <v/>
      </c>
      <c r="W336" s="119" t="str">
        <f t="shared" si="186"/>
        <v/>
      </c>
      <c r="X336" s="119" t="str">
        <f t="shared" si="187"/>
        <v/>
      </c>
      <c r="Y336" s="119" t="str">
        <f t="shared" si="188"/>
        <v/>
      </c>
      <c r="Z336" s="119" t="str">
        <f t="shared" si="189"/>
        <v/>
      </c>
      <c r="AA336" s="119" t="str">
        <f t="shared" si="190"/>
        <v/>
      </c>
      <c r="AB336" s="119" t="str">
        <f t="shared" si="191"/>
        <v/>
      </c>
      <c r="AC336" s="119" t="str">
        <f t="shared" si="192"/>
        <v/>
      </c>
      <c r="AD336" s="119" t="str">
        <f t="shared" si="193"/>
        <v/>
      </c>
      <c r="AG336" s="124">
        <v>0.6</v>
      </c>
      <c r="AH336" s="123">
        <v>2</v>
      </c>
      <c r="AI336" s="123">
        <v>1</v>
      </c>
      <c r="AJ336" s="123"/>
      <c r="AK336" s="123"/>
      <c r="AL336" s="123"/>
      <c r="AM336" s="123"/>
      <c r="AN336" s="123"/>
      <c r="AO336" s="123"/>
      <c r="AP336" s="123"/>
      <c r="AQ336" s="123"/>
      <c r="AR336" s="125"/>
    </row>
    <row r="337" spans="9:44" ht="12" customHeight="1">
      <c r="I337" s="141" t="str">
        <f t="shared" si="198"/>
        <v>Commercial Internal transport Solar</v>
      </c>
      <c r="J337" s="146" t="s">
        <v>205</v>
      </c>
      <c r="K337" s="143" t="str">
        <f t="shared" si="199"/>
        <v>COM-ITSOLExt</v>
      </c>
      <c r="L337" s="101" t="str">
        <f>IF(J337="Yes",K337,"")</f>
        <v/>
      </c>
      <c r="P337" s="122" t="str">
        <f t="shared" si="180"/>
        <v/>
      </c>
      <c r="Q337" s="114" t="str">
        <f t="shared" si="179"/>
        <v/>
      </c>
      <c r="R337" s="112" t="str">
        <f t="shared" si="181"/>
        <v/>
      </c>
      <c r="S337" s="119" t="str">
        <f t="shared" si="182"/>
        <v/>
      </c>
      <c r="T337" s="119" t="str">
        <f t="shared" si="183"/>
        <v/>
      </c>
      <c r="U337" s="119" t="str">
        <f t="shared" si="184"/>
        <v/>
      </c>
      <c r="V337" s="119" t="str">
        <f t="shared" si="185"/>
        <v/>
      </c>
      <c r="W337" s="119" t="str">
        <f t="shared" si="186"/>
        <v/>
      </c>
      <c r="X337" s="119" t="str">
        <f t="shared" si="187"/>
        <v/>
      </c>
      <c r="Y337" s="119" t="str">
        <f t="shared" si="188"/>
        <v/>
      </c>
      <c r="Z337" s="119" t="str">
        <f t="shared" si="189"/>
        <v/>
      </c>
      <c r="AA337" s="119" t="str">
        <f t="shared" si="190"/>
        <v/>
      </c>
      <c r="AB337" s="119" t="str">
        <f t="shared" si="191"/>
        <v/>
      </c>
      <c r="AC337" s="119" t="str">
        <f t="shared" si="192"/>
        <v/>
      </c>
      <c r="AD337" s="119" t="str">
        <f t="shared" si="193"/>
        <v/>
      </c>
      <c r="AG337" s="124">
        <v>0.6</v>
      </c>
      <c r="AH337" s="123">
        <v>2</v>
      </c>
      <c r="AI337" s="123">
        <v>1</v>
      </c>
      <c r="AJ337" s="123"/>
      <c r="AK337" s="123"/>
      <c r="AL337" s="123"/>
      <c r="AM337" s="123"/>
      <c r="AN337" s="123"/>
      <c r="AO337" s="123"/>
      <c r="AP337" s="123"/>
      <c r="AQ337" s="123"/>
      <c r="AR337" s="125"/>
    </row>
    <row r="338" spans="9:44" ht="12" customHeight="1">
      <c r="I338" s="141" t="str">
        <f t="shared" si="198"/>
        <v>Commercial Internal transport Wind</v>
      </c>
      <c r="J338" s="146" t="s">
        <v>205</v>
      </c>
      <c r="K338" s="143" t="str">
        <f t="shared" si="199"/>
        <v>COM-ITWINExt</v>
      </c>
      <c r="L338" s="101" t="str">
        <f>IF(J338="Yes",K338,"")</f>
        <v/>
      </c>
      <c r="P338" s="122" t="str">
        <f t="shared" si="180"/>
        <v/>
      </c>
      <c r="Q338" s="114" t="str">
        <f t="shared" si="179"/>
        <v/>
      </c>
      <c r="R338" s="112" t="str">
        <f t="shared" si="181"/>
        <v/>
      </c>
      <c r="S338" s="119" t="str">
        <f t="shared" si="182"/>
        <v/>
      </c>
      <c r="T338" s="119" t="str">
        <f t="shared" si="183"/>
        <v/>
      </c>
      <c r="U338" s="119" t="str">
        <f t="shared" si="184"/>
        <v/>
      </c>
      <c r="V338" s="119" t="str">
        <f t="shared" si="185"/>
        <v/>
      </c>
      <c r="W338" s="119" t="str">
        <f t="shared" si="186"/>
        <v/>
      </c>
      <c r="X338" s="119" t="str">
        <f t="shared" si="187"/>
        <v/>
      </c>
      <c r="Y338" s="119" t="str">
        <f t="shared" si="188"/>
        <v/>
      </c>
      <c r="Z338" s="119" t="str">
        <f t="shared" si="189"/>
        <v/>
      </c>
      <c r="AA338" s="119" t="str">
        <f t="shared" si="190"/>
        <v/>
      </c>
      <c r="AB338" s="119" t="str">
        <f t="shared" si="191"/>
        <v/>
      </c>
      <c r="AC338" s="119" t="str">
        <f t="shared" si="192"/>
        <v/>
      </c>
      <c r="AD338" s="119" t="str">
        <f t="shared" si="193"/>
        <v/>
      </c>
      <c r="AG338" s="124">
        <v>0.6</v>
      </c>
      <c r="AH338" s="123">
        <v>2</v>
      </c>
      <c r="AI338" s="123">
        <v>1</v>
      </c>
      <c r="AJ338" s="123"/>
      <c r="AK338" s="123"/>
      <c r="AL338" s="123"/>
      <c r="AM338" s="123"/>
      <c r="AN338" s="123"/>
      <c r="AO338" s="123"/>
      <c r="AP338" s="123"/>
      <c r="AQ338" s="123"/>
      <c r="AR338" s="125"/>
    </row>
    <row r="339" spans="9:44" ht="12" customHeight="1">
      <c r="I339" s="141" t="str">
        <f t="shared" si="198"/>
        <v>Commercial Internal transport Bio Liquids</v>
      </c>
      <c r="J339" s="146" t="s">
        <v>205</v>
      </c>
      <c r="K339" s="143" t="str">
        <f t="shared" si="199"/>
        <v>COM-ITBILExt</v>
      </c>
      <c r="L339" s="101" t="str">
        <f t="shared" ref="L339:L342" si="200">IF(J339="Yes",K339,"")</f>
        <v/>
      </c>
      <c r="P339" s="122" t="str">
        <f t="shared" si="180"/>
        <v/>
      </c>
      <c r="Q339" s="114" t="str">
        <f t="shared" si="179"/>
        <v/>
      </c>
      <c r="R339" s="112" t="str">
        <f t="shared" si="181"/>
        <v/>
      </c>
      <c r="S339" s="119" t="str">
        <f t="shared" si="182"/>
        <v/>
      </c>
      <c r="T339" s="119" t="str">
        <f t="shared" si="183"/>
        <v/>
      </c>
      <c r="U339" s="119" t="str">
        <f t="shared" si="184"/>
        <v/>
      </c>
      <c r="V339" s="119" t="str">
        <f t="shared" si="185"/>
        <v/>
      </c>
      <c r="W339" s="119" t="str">
        <f t="shared" si="186"/>
        <v/>
      </c>
      <c r="X339" s="119" t="str">
        <f t="shared" si="187"/>
        <v/>
      </c>
      <c r="Y339" s="119" t="str">
        <f t="shared" si="188"/>
        <v/>
      </c>
      <c r="Z339" s="119" t="str">
        <f t="shared" si="189"/>
        <v/>
      </c>
      <c r="AA339" s="119" t="str">
        <f t="shared" si="190"/>
        <v/>
      </c>
      <c r="AB339" s="119" t="str">
        <f t="shared" si="191"/>
        <v/>
      </c>
      <c r="AC339" s="119" t="str">
        <f t="shared" si="192"/>
        <v/>
      </c>
      <c r="AD339" s="119" t="str">
        <f t="shared" si="193"/>
        <v/>
      </c>
      <c r="AG339" s="124">
        <v>0.6</v>
      </c>
      <c r="AH339" s="123">
        <v>2</v>
      </c>
      <c r="AI339" s="123">
        <v>1</v>
      </c>
      <c r="AJ339" s="123"/>
      <c r="AK339" s="123"/>
      <c r="AL339" s="123"/>
      <c r="AM339" s="123"/>
      <c r="AN339" s="123"/>
      <c r="AO339" s="123"/>
      <c r="AP339" s="123"/>
      <c r="AQ339" s="123"/>
      <c r="AR339" s="125"/>
    </row>
    <row r="340" spans="9:44" ht="12" customHeight="1">
      <c r="I340" s="141" t="str">
        <f t="shared" si="198"/>
        <v>Commercial Internal transport Biogas</v>
      </c>
      <c r="J340" s="146" t="s">
        <v>205</v>
      </c>
      <c r="K340" s="143" t="str">
        <f t="shared" si="199"/>
        <v>COM-ITBIGExt</v>
      </c>
      <c r="L340" s="101" t="str">
        <f t="shared" si="200"/>
        <v/>
      </c>
      <c r="P340" s="122" t="str">
        <f t="shared" si="180"/>
        <v/>
      </c>
      <c r="Q340" s="114" t="str">
        <f t="shared" si="179"/>
        <v/>
      </c>
      <c r="R340" s="112" t="str">
        <f t="shared" si="181"/>
        <v/>
      </c>
      <c r="S340" s="119" t="str">
        <f t="shared" si="182"/>
        <v/>
      </c>
      <c r="T340" s="119" t="str">
        <f t="shared" si="183"/>
        <v/>
      </c>
      <c r="U340" s="119" t="str">
        <f t="shared" si="184"/>
        <v/>
      </c>
      <c r="V340" s="119" t="str">
        <f t="shared" si="185"/>
        <v/>
      </c>
      <c r="W340" s="119" t="str">
        <f t="shared" si="186"/>
        <v/>
      </c>
      <c r="X340" s="119" t="str">
        <f t="shared" si="187"/>
        <v/>
      </c>
      <c r="Y340" s="119" t="str">
        <f t="shared" si="188"/>
        <v/>
      </c>
      <c r="Z340" s="119" t="str">
        <f t="shared" si="189"/>
        <v/>
      </c>
      <c r="AA340" s="119" t="str">
        <f t="shared" si="190"/>
        <v/>
      </c>
      <c r="AB340" s="119" t="str">
        <f t="shared" si="191"/>
        <v/>
      </c>
      <c r="AC340" s="119" t="str">
        <f t="shared" si="192"/>
        <v/>
      </c>
      <c r="AD340" s="119" t="str">
        <f t="shared" si="193"/>
        <v/>
      </c>
      <c r="AG340" s="124">
        <v>0.6</v>
      </c>
      <c r="AH340" s="123">
        <v>2</v>
      </c>
      <c r="AI340" s="123">
        <v>1</v>
      </c>
      <c r="AJ340" s="123"/>
      <c r="AK340" s="123"/>
      <c r="AL340" s="123"/>
      <c r="AM340" s="123"/>
      <c r="AN340" s="123"/>
      <c r="AO340" s="123"/>
      <c r="AP340" s="123"/>
      <c r="AQ340" s="123"/>
      <c r="AR340" s="125"/>
    </row>
    <row r="341" spans="9:44" ht="12" customHeight="1">
      <c r="I341" s="141" t="str">
        <f t="shared" si="198"/>
        <v>Commercial Internal transport Wood</v>
      </c>
      <c r="J341" s="146" t="s">
        <v>205</v>
      </c>
      <c r="K341" s="143" t="str">
        <f t="shared" si="199"/>
        <v>COM-ITWODExt</v>
      </c>
      <c r="L341" s="101" t="str">
        <f t="shared" si="200"/>
        <v/>
      </c>
      <c r="P341" s="122" t="str">
        <f t="shared" si="180"/>
        <v/>
      </c>
      <c r="Q341" s="114" t="str">
        <f t="shared" si="179"/>
        <v/>
      </c>
      <c r="R341" s="112" t="str">
        <f t="shared" si="181"/>
        <v/>
      </c>
      <c r="S341" s="119" t="str">
        <f t="shared" si="182"/>
        <v/>
      </c>
      <c r="T341" s="119" t="str">
        <f t="shared" si="183"/>
        <v/>
      </c>
      <c r="U341" s="119" t="str">
        <f t="shared" si="184"/>
        <v/>
      </c>
      <c r="V341" s="119" t="str">
        <f t="shared" si="185"/>
        <v/>
      </c>
      <c r="W341" s="119" t="str">
        <f t="shared" si="186"/>
        <v/>
      </c>
      <c r="X341" s="119" t="str">
        <f t="shared" si="187"/>
        <v/>
      </c>
      <c r="Y341" s="119" t="str">
        <f t="shared" si="188"/>
        <v/>
      </c>
      <c r="Z341" s="119" t="str">
        <f t="shared" si="189"/>
        <v/>
      </c>
      <c r="AA341" s="119" t="str">
        <f t="shared" si="190"/>
        <v/>
      </c>
      <c r="AB341" s="119" t="str">
        <f t="shared" si="191"/>
        <v/>
      </c>
      <c r="AC341" s="119" t="str">
        <f t="shared" si="192"/>
        <v/>
      </c>
      <c r="AD341" s="119" t="str">
        <f t="shared" si="193"/>
        <v/>
      </c>
      <c r="AG341" s="124">
        <v>0.6</v>
      </c>
      <c r="AH341" s="123">
        <v>2</v>
      </c>
      <c r="AI341" s="123">
        <v>1</v>
      </c>
      <c r="AJ341" s="123"/>
      <c r="AK341" s="123"/>
      <c r="AL341" s="123"/>
      <c r="AM341" s="123"/>
      <c r="AN341" s="123"/>
      <c r="AO341" s="123"/>
      <c r="AP341" s="123"/>
      <c r="AQ341" s="123"/>
      <c r="AR341" s="125"/>
    </row>
    <row r="342" spans="9:44" ht="12" customHeight="1">
      <c r="I342" s="141" t="str">
        <f t="shared" si="198"/>
        <v>Commercial Internal transport Tidal</v>
      </c>
      <c r="J342" s="146" t="s">
        <v>205</v>
      </c>
      <c r="K342" s="143" t="str">
        <f t="shared" si="199"/>
        <v>COM-ITTIDExt</v>
      </c>
      <c r="L342" s="101" t="str">
        <f t="shared" si="200"/>
        <v/>
      </c>
      <c r="P342" s="122" t="str">
        <f t="shared" si="180"/>
        <v/>
      </c>
      <c r="Q342" s="114" t="str">
        <f t="shared" si="179"/>
        <v/>
      </c>
      <c r="R342" s="112" t="str">
        <f t="shared" si="181"/>
        <v/>
      </c>
      <c r="S342" s="119" t="str">
        <f t="shared" si="182"/>
        <v/>
      </c>
      <c r="T342" s="119" t="str">
        <f t="shared" si="183"/>
        <v/>
      </c>
      <c r="U342" s="119" t="str">
        <f t="shared" si="184"/>
        <v/>
      </c>
      <c r="V342" s="119" t="str">
        <f t="shared" si="185"/>
        <v/>
      </c>
      <c r="W342" s="119" t="str">
        <f t="shared" si="186"/>
        <v/>
      </c>
      <c r="X342" s="119" t="str">
        <f t="shared" si="187"/>
        <v/>
      </c>
      <c r="Y342" s="119" t="str">
        <f t="shared" si="188"/>
        <v/>
      </c>
      <c r="Z342" s="119" t="str">
        <f t="shared" si="189"/>
        <v/>
      </c>
      <c r="AA342" s="119" t="str">
        <f t="shared" si="190"/>
        <v/>
      </c>
      <c r="AB342" s="119" t="str">
        <f t="shared" si="191"/>
        <v/>
      </c>
      <c r="AC342" s="119" t="str">
        <f t="shared" si="192"/>
        <v/>
      </c>
      <c r="AD342" s="119" t="str">
        <f t="shared" si="193"/>
        <v/>
      </c>
      <c r="AG342" s="124">
        <v>0.6</v>
      </c>
      <c r="AH342" s="123">
        <v>2</v>
      </c>
      <c r="AI342" s="123">
        <v>1</v>
      </c>
      <c r="AJ342" s="123"/>
      <c r="AK342" s="123"/>
      <c r="AL342" s="123"/>
      <c r="AM342" s="123"/>
      <c r="AN342" s="123"/>
      <c r="AO342" s="123"/>
      <c r="AP342" s="123"/>
      <c r="AQ342" s="123"/>
      <c r="AR342" s="125"/>
    </row>
    <row r="343" spans="9:44" ht="12" customHeight="1">
      <c r="I343" s="141" t="str">
        <f t="shared" si="198"/>
        <v>Commercial Internal transport Electricity</v>
      </c>
      <c r="J343" s="146" t="s">
        <v>206</v>
      </c>
      <c r="K343" s="144" t="str">
        <f t="shared" si="199"/>
        <v>COM-ITELCExt</v>
      </c>
      <c r="L343" s="101" t="str">
        <f>IF(J343="Yes",K343,"")</f>
        <v>COM-ITELCExt</v>
      </c>
      <c r="P343" s="122" t="str">
        <f t="shared" si="180"/>
        <v>COM-ITELCExt</v>
      </c>
      <c r="Q343" s="114" t="str">
        <f t="shared" si="179"/>
        <v>COM-ELC</v>
      </c>
      <c r="R343" s="112" t="str">
        <f t="shared" si="181"/>
        <v>COM-IT</v>
      </c>
      <c r="S343" s="119">
        <f t="shared" si="182"/>
        <v>0.6</v>
      </c>
      <c r="T343" s="119">
        <f t="shared" si="183"/>
        <v>2</v>
      </c>
      <c r="U343" s="119">
        <f t="shared" si="184"/>
        <v>1</v>
      </c>
      <c r="V343" s="119">
        <f t="shared" si="185"/>
        <v>0</v>
      </c>
      <c r="W343" s="119">
        <f t="shared" si="186"/>
        <v>0</v>
      </c>
      <c r="X343" s="119">
        <f t="shared" si="187"/>
        <v>0</v>
      </c>
      <c r="Y343" s="119">
        <f t="shared" si="188"/>
        <v>0</v>
      </c>
      <c r="Z343" s="119">
        <f t="shared" si="189"/>
        <v>0</v>
      </c>
      <c r="AA343" s="119">
        <f t="shared" si="190"/>
        <v>0</v>
      </c>
      <c r="AB343" s="119">
        <f t="shared" si="191"/>
        <v>0</v>
      </c>
      <c r="AC343" s="119">
        <f t="shared" si="192"/>
        <v>0</v>
      </c>
      <c r="AD343" s="119">
        <f t="shared" si="193"/>
        <v>0</v>
      </c>
      <c r="AG343" s="124">
        <v>0.6</v>
      </c>
      <c r="AH343" s="123">
        <v>2</v>
      </c>
      <c r="AI343" s="123">
        <v>1</v>
      </c>
      <c r="AJ343" s="123"/>
      <c r="AK343" s="123"/>
      <c r="AL343" s="123"/>
      <c r="AM343" s="123"/>
      <c r="AN343" s="123"/>
      <c r="AO343" s="123"/>
      <c r="AP343" s="123"/>
      <c r="AQ343" s="123"/>
      <c r="AR343" s="125"/>
    </row>
    <row r="344" spans="9:44" ht="12" customHeight="1">
      <c r="I344" s="140" t="str">
        <f>$C$253&amp;" "&amp;$E$260&amp;" "&amp;RIGHT(G253,LEN(G253)-FIND(" ",G253))</f>
        <v>Commercial Communications Coal</v>
      </c>
      <c r="J344" s="145" t="s">
        <v>205</v>
      </c>
      <c r="K344" s="142" t="str">
        <f>$D$253&amp;$F$260&amp;RIGHT(H253,3)&amp;$B$253</f>
        <v>COM-COCOAExt</v>
      </c>
      <c r="L344" s="101" t="str">
        <f t="shared" ref="L344:L368" si="201">IF(J344="Yes",K344,"")</f>
        <v/>
      </c>
      <c r="P344" s="122" t="str">
        <f t="shared" si="180"/>
        <v/>
      </c>
      <c r="Q344" s="114" t="str">
        <f t="shared" si="179"/>
        <v/>
      </c>
      <c r="R344" s="112" t="str">
        <f t="shared" si="181"/>
        <v/>
      </c>
      <c r="S344" s="119" t="str">
        <f t="shared" si="182"/>
        <v/>
      </c>
      <c r="T344" s="119" t="str">
        <f t="shared" si="183"/>
        <v/>
      </c>
      <c r="U344" s="119" t="str">
        <f t="shared" si="184"/>
        <v/>
      </c>
      <c r="V344" s="119" t="str">
        <f t="shared" si="185"/>
        <v/>
      </c>
      <c r="W344" s="119" t="str">
        <f t="shared" si="186"/>
        <v/>
      </c>
      <c r="X344" s="119" t="str">
        <f t="shared" si="187"/>
        <v/>
      </c>
      <c r="Y344" s="119" t="str">
        <f t="shared" si="188"/>
        <v/>
      </c>
      <c r="Z344" s="119" t="str">
        <f t="shared" si="189"/>
        <v/>
      </c>
      <c r="AA344" s="119" t="str">
        <f t="shared" si="190"/>
        <v/>
      </c>
      <c r="AB344" s="119" t="str">
        <f t="shared" si="191"/>
        <v/>
      </c>
      <c r="AC344" s="119" t="str">
        <f t="shared" si="192"/>
        <v/>
      </c>
      <c r="AD344" s="119" t="str">
        <f t="shared" si="193"/>
        <v/>
      </c>
      <c r="AG344" s="124">
        <v>0.6</v>
      </c>
      <c r="AH344" s="123">
        <v>2</v>
      </c>
      <c r="AI344" s="123">
        <v>1</v>
      </c>
      <c r="AJ344" s="123"/>
      <c r="AK344" s="123"/>
      <c r="AL344" s="123"/>
      <c r="AM344" s="123"/>
      <c r="AN344" s="123"/>
      <c r="AO344" s="123"/>
      <c r="AP344" s="123"/>
      <c r="AQ344" s="123"/>
      <c r="AR344" s="125"/>
    </row>
    <row r="345" spans="9:44" ht="12" customHeight="1">
      <c r="I345" s="141" t="str">
        <f t="shared" ref="I345:I356" si="202">$C$253&amp;" "&amp;$E$260&amp;" "&amp;RIGHT(G254,LEN(G254)-FIND(" ",G254))</f>
        <v>Commercial Communications Lignite</v>
      </c>
      <c r="J345" s="146" t="s">
        <v>205</v>
      </c>
      <c r="K345" s="143" t="str">
        <f t="shared" ref="K345:K356" si="203">$D$253&amp;$F$260&amp;RIGHT(H254,3)&amp;$B$253</f>
        <v>COM-COCOLExt</v>
      </c>
      <c r="L345" s="101" t="str">
        <f t="shared" si="201"/>
        <v/>
      </c>
      <c r="P345" s="122" t="str">
        <f t="shared" si="180"/>
        <v/>
      </c>
      <c r="Q345" s="114" t="str">
        <f t="shared" si="179"/>
        <v/>
      </c>
      <c r="R345" s="112" t="str">
        <f t="shared" si="181"/>
        <v/>
      </c>
      <c r="S345" s="119" t="str">
        <f t="shared" si="182"/>
        <v/>
      </c>
      <c r="T345" s="119" t="str">
        <f t="shared" si="183"/>
        <v/>
      </c>
      <c r="U345" s="119" t="str">
        <f t="shared" si="184"/>
        <v/>
      </c>
      <c r="V345" s="119" t="str">
        <f t="shared" si="185"/>
        <v/>
      </c>
      <c r="W345" s="119" t="str">
        <f t="shared" si="186"/>
        <v/>
      </c>
      <c r="X345" s="119" t="str">
        <f t="shared" si="187"/>
        <v/>
      </c>
      <c r="Y345" s="119" t="str">
        <f t="shared" si="188"/>
        <v/>
      </c>
      <c r="Z345" s="119" t="str">
        <f t="shared" si="189"/>
        <v/>
      </c>
      <c r="AA345" s="119" t="str">
        <f t="shared" si="190"/>
        <v/>
      </c>
      <c r="AB345" s="119" t="str">
        <f t="shared" si="191"/>
        <v/>
      </c>
      <c r="AC345" s="119" t="str">
        <f t="shared" si="192"/>
        <v/>
      </c>
      <c r="AD345" s="119" t="str">
        <f t="shared" si="193"/>
        <v/>
      </c>
      <c r="AG345" s="124">
        <v>0.6</v>
      </c>
      <c r="AH345" s="123">
        <v>2</v>
      </c>
      <c r="AI345" s="123">
        <v>1</v>
      </c>
      <c r="AJ345" s="123"/>
      <c r="AK345" s="123"/>
      <c r="AL345" s="123"/>
      <c r="AM345" s="123"/>
      <c r="AN345" s="123"/>
      <c r="AO345" s="123"/>
      <c r="AP345" s="123"/>
      <c r="AQ345" s="123"/>
      <c r="AR345" s="125"/>
    </row>
    <row r="346" spans="9:44" ht="12" customHeight="1">
      <c r="I346" s="141" t="str">
        <f t="shared" si="202"/>
        <v>Commercial Communications Crude oil</v>
      </c>
      <c r="J346" s="146" t="s">
        <v>205</v>
      </c>
      <c r="K346" s="143" t="str">
        <f t="shared" si="203"/>
        <v>COM-COOILExt</v>
      </c>
      <c r="L346" s="101" t="str">
        <f t="shared" si="201"/>
        <v/>
      </c>
      <c r="P346" s="122" t="str">
        <f t="shared" si="180"/>
        <v/>
      </c>
      <c r="Q346" s="114" t="str">
        <f t="shared" si="179"/>
        <v/>
      </c>
      <c r="R346" s="112" t="str">
        <f t="shared" si="181"/>
        <v/>
      </c>
      <c r="S346" s="119" t="str">
        <f t="shared" si="182"/>
        <v/>
      </c>
      <c r="T346" s="119" t="str">
        <f t="shared" si="183"/>
        <v/>
      </c>
      <c r="U346" s="119" t="str">
        <f t="shared" si="184"/>
        <v/>
      </c>
      <c r="V346" s="119" t="str">
        <f t="shared" si="185"/>
        <v/>
      </c>
      <c r="W346" s="119" t="str">
        <f t="shared" si="186"/>
        <v/>
      </c>
      <c r="X346" s="119" t="str">
        <f t="shared" si="187"/>
        <v/>
      </c>
      <c r="Y346" s="119" t="str">
        <f t="shared" si="188"/>
        <v/>
      </c>
      <c r="Z346" s="119" t="str">
        <f t="shared" si="189"/>
        <v/>
      </c>
      <c r="AA346" s="119" t="str">
        <f t="shared" si="190"/>
        <v/>
      </c>
      <c r="AB346" s="119" t="str">
        <f t="shared" si="191"/>
        <v/>
      </c>
      <c r="AC346" s="119" t="str">
        <f t="shared" si="192"/>
        <v/>
      </c>
      <c r="AD346" s="119" t="str">
        <f t="shared" si="193"/>
        <v/>
      </c>
      <c r="AG346" s="124">
        <v>0.6</v>
      </c>
      <c r="AH346" s="123">
        <v>2</v>
      </c>
      <c r="AI346" s="123">
        <v>1</v>
      </c>
      <c r="AJ346" s="123"/>
      <c r="AK346" s="123"/>
      <c r="AL346" s="123"/>
      <c r="AM346" s="123"/>
      <c r="AN346" s="123"/>
      <c r="AO346" s="123"/>
      <c r="AP346" s="123"/>
      <c r="AQ346" s="123"/>
      <c r="AR346" s="125"/>
    </row>
    <row r="347" spans="9:44" ht="12" customHeight="1">
      <c r="I347" s="141" t="str">
        <f t="shared" si="202"/>
        <v>Commercial Communications Natural Gas</v>
      </c>
      <c r="J347" s="146" t="s">
        <v>205</v>
      </c>
      <c r="K347" s="143" t="str">
        <f t="shared" si="203"/>
        <v>COM-CONGAExt</v>
      </c>
      <c r="L347" s="101" t="str">
        <f t="shared" si="201"/>
        <v/>
      </c>
      <c r="P347" s="122" t="str">
        <f t="shared" si="180"/>
        <v/>
      </c>
      <c r="Q347" s="114" t="str">
        <f t="shared" si="179"/>
        <v/>
      </c>
      <c r="R347" s="112" t="str">
        <f t="shared" si="181"/>
        <v/>
      </c>
      <c r="S347" s="119" t="str">
        <f t="shared" si="182"/>
        <v/>
      </c>
      <c r="T347" s="119" t="str">
        <f t="shared" si="183"/>
        <v/>
      </c>
      <c r="U347" s="119" t="str">
        <f t="shared" si="184"/>
        <v/>
      </c>
      <c r="V347" s="119" t="str">
        <f t="shared" si="185"/>
        <v/>
      </c>
      <c r="W347" s="119" t="str">
        <f t="shared" si="186"/>
        <v/>
      </c>
      <c r="X347" s="119" t="str">
        <f t="shared" si="187"/>
        <v/>
      </c>
      <c r="Y347" s="119" t="str">
        <f t="shared" si="188"/>
        <v/>
      </c>
      <c r="Z347" s="119" t="str">
        <f t="shared" si="189"/>
        <v/>
      </c>
      <c r="AA347" s="119" t="str">
        <f t="shared" si="190"/>
        <v/>
      </c>
      <c r="AB347" s="119" t="str">
        <f t="shared" si="191"/>
        <v/>
      </c>
      <c r="AC347" s="119" t="str">
        <f t="shared" si="192"/>
        <v/>
      </c>
      <c r="AD347" s="119" t="str">
        <f t="shared" si="193"/>
        <v/>
      </c>
      <c r="AG347" s="124">
        <v>0.6</v>
      </c>
      <c r="AH347" s="123">
        <v>2</v>
      </c>
      <c r="AI347" s="123">
        <v>1</v>
      </c>
      <c r="AJ347" s="123"/>
      <c r="AK347" s="123"/>
      <c r="AL347" s="123"/>
      <c r="AM347" s="123"/>
      <c r="AN347" s="123"/>
      <c r="AO347" s="123"/>
      <c r="AP347" s="123"/>
      <c r="AQ347" s="123"/>
      <c r="AR347" s="125"/>
    </row>
    <row r="348" spans="9:44" ht="12" customHeight="1">
      <c r="I348" s="141" t="str">
        <f t="shared" si="202"/>
        <v>Commercial Communications Hydro</v>
      </c>
      <c r="J348" s="146" t="s">
        <v>205</v>
      </c>
      <c r="K348" s="143" t="str">
        <f t="shared" si="203"/>
        <v>COM-COHYDExt</v>
      </c>
      <c r="L348" s="101" t="str">
        <f t="shared" si="201"/>
        <v/>
      </c>
      <c r="P348" s="122" t="str">
        <f t="shared" si="180"/>
        <v/>
      </c>
      <c r="Q348" s="114" t="str">
        <f t="shared" si="179"/>
        <v/>
      </c>
      <c r="R348" s="112" t="str">
        <f t="shared" si="181"/>
        <v/>
      </c>
      <c r="S348" s="119" t="str">
        <f t="shared" si="182"/>
        <v/>
      </c>
      <c r="T348" s="119" t="str">
        <f t="shared" si="183"/>
        <v/>
      </c>
      <c r="U348" s="119" t="str">
        <f t="shared" si="184"/>
        <v/>
      </c>
      <c r="V348" s="119" t="str">
        <f t="shared" si="185"/>
        <v/>
      </c>
      <c r="W348" s="119" t="str">
        <f t="shared" si="186"/>
        <v/>
      </c>
      <c r="X348" s="119" t="str">
        <f t="shared" si="187"/>
        <v/>
      </c>
      <c r="Y348" s="119" t="str">
        <f t="shared" si="188"/>
        <v/>
      </c>
      <c r="Z348" s="119" t="str">
        <f t="shared" si="189"/>
        <v/>
      </c>
      <c r="AA348" s="119" t="str">
        <f t="shared" si="190"/>
        <v/>
      </c>
      <c r="AB348" s="119" t="str">
        <f t="shared" si="191"/>
        <v/>
      </c>
      <c r="AC348" s="119" t="str">
        <f t="shared" si="192"/>
        <v/>
      </c>
      <c r="AD348" s="119" t="str">
        <f t="shared" si="193"/>
        <v/>
      </c>
      <c r="AG348" s="124">
        <v>0.6</v>
      </c>
      <c r="AH348" s="123">
        <v>2</v>
      </c>
      <c r="AI348" s="123">
        <v>1</v>
      </c>
      <c r="AJ348" s="123"/>
      <c r="AK348" s="123"/>
      <c r="AL348" s="123"/>
      <c r="AM348" s="123"/>
      <c r="AN348" s="123"/>
      <c r="AO348" s="123"/>
      <c r="AP348" s="123"/>
      <c r="AQ348" s="123"/>
      <c r="AR348" s="125"/>
    </row>
    <row r="349" spans="9:44" ht="12" customHeight="1">
      <c r="I349" s="141" t="str">
        <f t="shared" si="202"/>
        <v>Commercial Communications Geothermal</v>
      </c>
      <c r="J349" s="146" t="s">
        <v>205</v>
      </c>
      <c r="K349" s="143" t="str">
        <f t="shared" si="203"/>
        <v>COM-COGEOExt</v>
      </c>
      <c r="L349" s="101" t="str">
        <f t="shared" si="201"/>
        <v/>
      </c>
      <c r="P349" s="122" t="str">
        <f t="shared" si="180"/>
        <v/>
      </c>
      <c r="Q349" s="114" t="str">
        <f t="shared" si="179"/>
        <v/>
      </c>
      <c r="R349" s="112" t="str">
        <f t="shared" si="181"/>
        <v/>
      </c>
      <c r="S349" s="119" t="str">
        <f t="shared" si="182"/>
        <v/>
      </c>
      <c r="T349" s="119" t="str">
        <f t="shared" si="183"/>
        <v/>
      </c>
      <c r="U349" s="119" t="str">
        <f t="shared" si="184"/>
        <v/>
      </c>
      <c r="V349" s="119" t="str">
        <f t="shared" si="185"/>
        <v/>
      </c>
      <c r="W349" s="119" t="str">
        <f t="shared" si="186"/>
        <v/>
      </c>
      <c r="X349" s="119" t="str">
        <f t="shared" si="187"/>
        <v/>
      </c>
      <c r="Y349" s="119" t="str">
        <f t="shared" si="188"/>
        <v/>
      </c>
      <c r="Z349" s="119" t="str">
        <f t="shared" si="189"/>
        <v/>
      </c>
      <c r="AA349" s="119" t="str">
        <f t="shared" si="190"/>
        <v/>
      </c>
      <c r="AB349" s="119" t="str">
        <f t="shared" si="191"/>
        <v/>
      </c>
      <c r="AC349" s="119" t="str">
        <f t="shared" si="192"/>
        <v/>
      </c>
      <c r="AD349" s="119" t="str">
        <f t="shared" si="193"/>
        <v/>
      </c>
      <c r="AG349" s="124">
        <v>0.6</v>
      </c>
      <c r="AH349" s="123">
        <v>2</v>
      </c>
      <c r="AI349" s="123">
        <v>1</v>
      </c>
      <c r="AJ349" s="123"/>
      <c r="AK349" s="123"/>
      <c r="AL349" s="123"/>
      <c r="AM349" s="123"/>
      <c r="AN349" s="123"/>
      <c r="AO349" s="123"/>
      <c r="AP349" s="123"/>
      <c r="AQ349" s="123"/>
      <c r="AR349" s="125"/>
    </row>
    <row r="350" spans="9:44" ht="12" customHeight="1">
      <c r="I350" s="141" t="str">
        <f t="shared" si="202"/>
        <v>Commercial Communications Solar</v>
      </c>
      <c r="J350" s="146" t="s">
        <v>205</v>
      </c>
      <c r="K350" s="143" t="str">
        <f t="shared" si="203"/>
        <v>COM-COSOLExt</v>
      </c>
      <c r="L350" s="101" t="str">
        <f t="shared" si="201"/>
        <v/>
      </c>
      <c r="P350" s="122" t="str">
        <f t="shared" si="180"/>
        <v/>
      </c>
      <c r="Q350" s="114" t="str">
        <f t="shared" si="179"/>
        <v/>
      </c>
      <c r="R350" s="112" t="str">
        <f t="shared" si="181"/>
        <v/>
      </c>
      <c r="S350" s="119" t="str">
        <f t="shared" si="182"/>
        <v/>
      </c>
      <c r="T350" s="119" t="str">
        <f t="shared" si="183"/>
        <v/>
      </c>
      <c r="U350" s="119" t="str">
        <f t="shared" si="184"/>
        <v/>
      </c>
      <c r="V350" s="119" t="str">
        <f t="shared" si="185"/>
        <v/>
      </c>
      <c r="W350" s="119" t="str">
        <f t="shared" si="186"/>
        <v/>
      </c>
      <c r="X350" s="119" t="str">
        <f t="shared" si="187"/>
        <v/>
      </c>
      <c r="Y350" s="119" t="str">
        <f t="shared" si="188"/>
        <v/>
      </c>
      <c r="Z350" s="119" t="str">
        <f t="shared" si="189"/>
        <v/>
      </c>
      <c r="AA350" s="119" t="str">
        <f t="shared" si="190"/>
        <v/>
      </c>
      <c r="AB350" s="119" t="str">
        <f t="shared" si="191"/>
        <v/>
      </c>
      <c r="AC350" s="119" t="str">
        <f t="shared" si="192"/>
        <v/>
      </c>
      <c r="AD350" s="119" t="str">
        <f t="shared" si="193"/>
        <v/>
      </c>
      <c r="AG350" s="124">
        <v>0.6</v>
      </c>
      <c r="AH350" s="123">
        <v>2</v>
      </c>
      <c r="AI350" s="123">
        <v>1</v>
      </c>
      <c r="AJ350" s="123"/>
      <c r="AK350" s="123"/>
      <c r="AL350" s="123"/>
      <c r="AM350" s="123"/>
      <c r="AN350" s="123"/>
      <c r="AO350" s="123"/>
      <c r="AP350" s="123"/>
      <c r="AQ350" s="123"/>
      <c r="AR350" s="125"/>
    </row>
    <row r="351" spans="9:44" ht="12" customHeight="1">
      <c r="I351" s="141" t="str">
        <f t="shared" si="202"/>
        <v>Commercial Communications Wind</v>
      </c>
      <c r="J351" s="146" t="s">
        <v>205</v>
      </c>
      <c r="K351" s="143" t="str">
        <f t="shared" si="203"/>
        <v>COM-COWINExt</v>
      </c>
      <c r="L351" s="101" t="str">
        <f t="shared" si="201"/>
        <v/>
      </c>
      <c r="P351" s="122" t="str">
        <f t="shared" si="180"/>
        <v/>
      </c>
      <c r="Q351" s="114" t="str">
        <f t="shared" si="179"/>
        <v/>
      </c>
      <c r="R351" s="112" t="str">
        <f t="shared" si="181"/>
        <v/>
      </c>
      <c r="S351" s="119" t="str">
        <f t="shared" si="182"/>
        <v/>
      </c>
      <c r="T351" s="119" t="str">
        <f t="shared" si="183"/>
        <v/>
      </c>
      <c r="U351" s="119" t="str">
        <f t="shared" si="184"/>
        <v/>
      </c>
      <c r="V351" s="119" t="str">
        <f t="shared" si="185"/>
        <v/>
      </c>
      <c r="W351" s="119" t="str">
        <f t="shared" si="186"/>
        <v/>
      </c>
      <c r="X351" s="119" t="str">
        <f t="shared" si="187"/>
        <v/>
      </c>
      <c r="Y351" s="119" t="str">
        <f t="shared" si="188"/>
        <v/>
      </c>
      <c r="Z351" s="119" t="str">
        <f t="shared" si="189"/>
        <v/>
      </c>
      <c r="AA351" s="119" t="str">
        <f t="shared" si="190"/>
        <v/>
      </c>
      <c r="AB351" s="119" t="str">
        <f t="shared" si="191"/>
        <v/>
      </c>
      <c r="AC351" s="119" t="str">
        <f t="shared" si="192"/>
        <v/>
      </c>
      <c r="AD351" s="119" t="str">
        <f t="shared" si="193"/>
        <v/>
      </c>
      <c r="AG351" s="124">
        <v>0.6</v>
      </c>
      <c r="AH351" s="123">
        <v>2</v>
      </c>
      <c r="AI351" s="123">
        <v>1</v>
      </c>
      <c r="AJ351" s="123"/>
      <c r="AK351" s="123"/>
      <c r="AL351" s="123"/>
      <c r="AM351" s="123"/>
      <c r="AN351" s="123"/>
      <c r="AO351" s="123"/>
      <c r="AP351" s="123"/>
      <c r="AQ351" s="123"/>
      <c r="AR351" s="125"/>
    </row>
    <row r="352" spans="9:44" ht="12" customHeight="1">
      <c r="I352" s="141" t="str">
        <f t="shared" si="202"/>
        <v>Commercial Communications Bio Liquids</v>
      </c>
      <c r="J352" s="146" t="s">
        <v>205</v>
      </c>
      <c r="K352" s="143" t="str">
        <f t="shared" si="203"/>
        <v>COM-COBILExt</v>
      </c>
      <c r="L352" s="101" t="str">
        <f t="shared" si="201"/>
        <v/>
      </c>
      <c r="P352" s="122" t="str">
        <f t="shared" si="180"/>
        <v/>
      </c>
      <c r="Q352" s="114" t="str">
        <f t="shared" si="179"/>
        <v/>
      </c>
      <c r="R352" s="112" t="str">
        <f t="shared" si="181"/>
        <v/>
      </c>
      <c r="S352" s="119" t="str">
        <f t="shared" si="182"/>
        <v/>
      </c>
      <c r="T352" s="119" t="str">
        <f t="shared" si="183"/>
        <v/>
      </c>
      <c r="U352" s="119" t="str">
        <f t="shared" si="184"/>
        <v/>
      </c>
      <c r="V352" s="119" t="str">
        <f t="shared" si="185"/>
        <v/>
      </c>
      <c r="W352" s="119" t="str">
        <f t="shared" si="186"/>
        <v/>
      </c>
      <c r="X352" s="119" t="str">
        <f t="shared" si="187"/>
        <v/>
      </c>
      <c r="Y352" s="119" t="str">
        <f t="shared" si="188"/>
        <v/>
      </c>
      <c r="Z352" s="119" t="str">
        <f t="shared" si="189"/>
        <v/>
      </c>
      <c r="AA352" s="119" t="str">
        <f t="shared" si="190"/>
        <v/>
      </c>
      <c r="AB352" s="119" t="str">
        <f t="shared" si="191"/>
        <v/>
      </c>
      <c r="AC352" s="119" t="str">
        <f t="shared" si="192"/>
        <v/>
      </c>
      <c r="AD352" s="119" t="str">
        <f t="shared" si="193"/>
        <v/>
      </c>
      <c r="AG352" s="124">
        <v>0.6</v>
      </c>
      <c r="AH352" s="123">
        <v>2</v>
      </c>
      <c r="AI352" s="123">
        <v>1</v>
      </c>
      <c r="AJ352" s="123"/>
      <c r="AK352" s="123"/>
      <c r="AL352" s="123"/>
      <c r="AM352" s="123"/>
      <c r="AN352" s="123"/>
      <c r="AO352" s="123"/>
      <c r="AP352" s="123"/>
      <c r="AQ352" s="123"/>
      <c r="AR352" s="125"/>
    </row>
    <row r="353" spans="9:44" ht="12" customHeight="1">
      <c r="I353" s="141" t="str">
        <f t="shared" si="202"/>
        <v>Commercial Communications Biogas</v>
      </c>
      <c r="J353" s="146" t="s">
        <v>205</v>
      </c>
      <c r="K353" s="143" t="str">
        <f t="shared" si="203"/>
        <v>COM-COBIGExt</v>
      </c>
      <c r="L353" s="101" t="str">
        <f t="shared" si="201"/>
        <v/>
      </c>
      <c r="P353" s="122" t="str">
        <f t="shared" si="180"/>
        <v/>
      </c>
      <c r="Q353" s="114" t="str">
        <f t="shared" si="179"/>
        <v/>
      </c>
      <c r="R353" s="112" t="str">
        <f t="shared" si="181"/>
        <v/>
      </c>
      <c r="S353" s="119" t="str">
        <f t="shared" si="182"/>
        <v/>
      </c>
      <c r="T353" s="119" t="str">
        <f t="shared" si="183"/>
        <v/>
      </c>
      <c r="U353" s="119" t="str">
        <f t="shared" si="184"/>
        <v/>
      </c>
      <c r="V353" s="119" t="str">
        <f t="shared" si="185"/>
        <v/>
      </c>
      <c r="W353" s="119" t="str">
        <f t="shared" si="186"/>
        <v/>
      </c>
      <c r="X353" s="119" t="str">
        <f t="shared" si="187"/>
        <v/>
      </c>
      <c r="Y353" s="119" t="str">
        <f t="shared" si="188"/>
        <v/>
      </c>
      <c r="Z353" s="119" t="str">
        <f t="shared" si="189"/>
        <v/>
      </c>
      <c r="AA353" s="119" t="str">
        <f t="shared" si="190"/>
        <v/>
      </c>
      <c r="AB353" s="119" t="str">
        <f t="shared" si="191"/>
        <v/>
      </c>
      <c r="AC353" s="119" t="str">
        <f t="shared" si="192"/>
        <v/>
      </c>
      <c r="AD353" s="119" t="str">
        <f t="shared" si="193"/>
        <v/>
      </c>
      <c r="AG353" s="124">
        <v>0.6</v>
      </c>
      <c r="AH353" s="123">
        <v>2</v>
      </c>
      <c r="AI353" s="123">
        <v>1</v>
      </c>
      <c r="AJ353" s="123"/>
      <c r="AK353" s="123"/>
      <c r="AL353" s="123"/>
      <c r="AM353" s="123"/>
      <c r="AN353" s="123"/>
      <c r="AO353" s="123"/>
      <c r="AP353" s="123"/>
      <c r="AQ353" s="123"/>
      <c r="AR353" s="125"/>
    </row>
    <row r="354" spans="9:44" ht="12" customHeight="1">
      <c r="I354" s="141" t="str">
        <f t="shared" si="202"/>
        <v>Commercial Communications Wood</v>
      </c>
      <c r="J354" s="146" t="s">
        <v>205</v>
      </c>
      <c r="K354" s="143" t="str">
        <f t="shared" si="203"/>
        <v>COM-COWODExt</v>
      </c>
      <c r="L354" s="101" t="str">
        <f t="shared" si="201"/>
        <v/>
      </c>
      <c r="P354" s="122" t="str">
        <f t="shared" si="180"/>
        <v/>
      </c>
      <c r="Q354" s="114" t="str">
        <f t="shared" si="179"/>
        <v/>
      </c>
      <c r="R354" s="112" t="str">
        <f t="shared" si="181"/>
        <v/>
      </c>
      <c r="S354" s="119" t="str">
        <f t="shared" si="182"/>
        <v/>
      </c>
      <c r="T354" s="119" t="str">
        <f t="shared" si="183"/>
        <v/>
      </c>
      <c r="U354" s="119" t="str">
        <f t="shared" si="184"/>
        <v/>
      </c>
      <c r="V354" s="119" t="str">
        <f t="shared" si="185"/>
        <v/>
      </c>
      <c r="W354" s="119" t="str">
        <f t="shared" si="186"/>
        <v/>
      </c>
      <c r="X354" s="119" t="str">
        <f t="shared" si="187"/>
        <v/>
      </c>
      <c r="Y354" s="119" t="str">
        <f t="shared" si="188"/>
        <v/>
      </c>
      <c r="Z354" s="119" t="str">
        <f t="shared" si="189"/>
        <v/>
      </c>
      <c r="AA354" s="119" t="str">
        <f t="shared" si="190"/>
        <v/>
      </c>
      <c r="AB354" s="119" t="str">
        <f t="shared" si="191"/>
        <v/>
      </c>
      <c r="AC354" s="119" t="str">
        <f t="shared" si="192"/>
        <v/>
      </c>
      <c r="AD354" s="119" t="str">
        <f t="shared" si="193"/>
        <v/>
      </c>
      <c r="AG354" s="124">
        <v>0.6</v>
      </c>
      <c r="AH354" s="123">
        <v>2</v>
      </c>
      <c r="AI354" s="123">
        <v>1</v>
      </c>
      <c r="AJ354" s="123"/>
      <c r="AK354" s="123"/>
      <c r="AL354" s="123"/>
      <c r="AM354" s="123"/>
      <c r="AN354" s="123"/>
      <c r="AO354" s="123"/>
      <c r="AP354" s="123"/>
      <c r="AQ354" s="123"/>
      <c r="AR354" s="125"/>
    </row>
    <row r="355" spans="9:44" ht="12" customHeight="1">
      <c r="I355" s="141" t="str">
        <f t="shared" si="202"/>
        <v>Commercial Communications Tidal</v>
      </c>
      <c r="J355" s="146" t="s">
        <v>205</v>
      </c>
      <c r="K355" s="143" t="str">
        <f t="shared" si="203"/>
        <v>COM-COTIDExt</v>
      </c>
      <c r="L355" s="101" t="str">
        <f t="shared" si="201"/>
        <v/>
      </c>
      <c r="P355" s="122" t="str">
        <f t="shared" si="180"/>
        <v/>
      </c>
      <c r="Q355" s="114" t="str">
        <f t="shared" si="179"/>
        <v/>
      </c>
      <c r="R355" s="112" t="str">
        <f t="shared" si="181"/>
        <v/>
      </c>
      <c r="S355" s="119" t="str">
        <f t="shared" si="182"/>
        <v/>
      </c>
      <c r="T355" s="119" t="str">
        <f t="shared" si="183"/>
        <v/>
      </c>
      <c r="U355" s="119" t="str">
        <f t="shared" si="184"/>
        <v/>
      </c>
      <c r="V355" s="119" t="str">
        <f t="shared" si="185"/>
        <v/>
      </c>
      <c r="W355" s="119" t="str">
        <f t="shared" si="186"/>
        <v/>
      </c>
      <c r="X355" s="119" t="str">
        <f t="shared" si="187"/>
        <v/>
      </c>
      <c r="Y355" s="119" t="str">
        <f t="shared" si="188"/>
        <v/>
      </c>
      <c r="Z355" s="119" t="str">
        <f t="shared" si="189"/>
        <v/>
      </c>
      <c r="AA355" s="119" t="str">
        <f t="shared" si="190"/>
        <v/>
      </c>
      <c r="AB355" s="119" t="str">
        <f t="shared" si="191"/>
        <v/>
      </c>
      <c r="AC355" s="119" t="str">
        <f t="shared" si="192"/>
        <v/>
      </c>
      <c r="AD355" s="119" t="str">
        <f t="shared" si="193"/>
        <v/>
      </c>
      <c r="AG355" s="124">
        <v>0.6</v>
      </c>
      <c r="AH355" s="123">
        <v>2</v>
      </c>
      <c r="AI355" s="123">
        <v>1</v>
      </c>
      <c r="AJ355" s="123"/>
      <c r="AK355" s="123"/>
      <c r="AL355" s="123"/>
      <c r="AM355" s="123"/>
      <c r="AN355" s="123"/>
      <c r="AO355" s="123"/>
      <c r="AP355" s="123"/>
      <c r="AQ355" s="123"/>
      <c r="AR355" s="125"/>
    </row>
    <row r="356" spans="9:44" ht="12" customHeight="1">
      <c r="I356" s="141" t="str">
        <f t="shared" si="202"/>
        <v>Commercial Communications Electricity</v>
      </c>
      <c r="J356" s="146" t="s">
        <v>198</v>
      </c>
      <c r="K356" s="144" t="str">
        <f t="shared" si="203"/>
        <v>COM-COELCExt</v>
      </c>
      <c r="L356" s="101" t="str">
        <f t="shared" si="201"/>
        <v>COM-COELCExt</v>
      </c>
      <c r="P356" s="122" t="str">
        <f t="shared" si="180"/>
        <v>COM-COELCExt</v>
      </c>
      <c r="Q356" s="114" t="str">
        <f t="shared" si="179"/>
        <v>COM-ELC</v>
      </c>
      <c r="R356" s="112" t="str">
        <f t="shared" si="181"/>
        <v>COM-CO</v>
      </c>
      <c r="S356" s="119">
        <f t="shared" si="182"/>
        <v>0.6</v>
      </c>
      <c r="T356" s="119">
        <f t="shared" si="183"/>
        <v>2</v>
      </c>
      <c r="U356" s="119">
        <f t="shared" si="184"/>
        <v>1</v>
      </c>
      <c r="V356" s="119">
        <f t="shared" si="185"/>
        <v>0</v>
      </c>
      <c r="W356" s="119">
        <f t="shared" si="186"/>
        <v>0</v>
      </c>
      <c r="X356" s="119">
        <f t="shared" si="187"/>
        <v>0</v>
      </c>
      <c r="Y356" s="119">
        <f t="shared" si="188"/>
        <v>0</v>
      </c>
      <c r="Z356" s="119">
        <f t="shared" si="189"/>
        <v>0</v>
      </c>
      <c r="AA356" s="119">
        <f t="shared" si="190"/>
        <v>0</v>
      </c>
      <c r="AB356" s="119">
        <f t="shared" si="191"/>
        <v>0</v>
      </c>
      <c r="AC356" s="119">
        <f t="shared" si="192"/>
        <v>0</v>
      </c>
      <c r="AD356" s="119">
        <f t="shared" si="193"/>
        <v>0</v>
      </c>
      <c r="AG356" s="124">
        <v>0.6</v>
      </c>
      <c r="AH356" s="123">
        <v>2</v>
      </c>
      <c r="AI356" s="123">
        <v>1</v>
      </c>
      <c r="AJ356" s="123"/>
      <c r="AK356" s="123"/>
      <c r="AL356" s="123"/>
      <c r="AM356" s="123"/>
      <c r="AN356" s="123"/>
      <c r="AO356" s="123"/>
      <c r="AP356" s="123"/>
      <c r="AQ356" s="123"/>
      <c r="AR356" s="125"/>
    </row>
    <row r="357" spans="9:44" ht="12" customHeight="1">
      <c r="I357" s="140" t="str">
        <f>$C$253&amp;" "&amp;$E$261&amp;" "&amp;RIGHT(G253,LEN(G253)-FIND(" ",G253))</f>
        <v>Commercial Others Coal</v>
      </c>
      <c r="J357" s="145" t="s">
        <v>205</v>
      </c>
      <c r="K357" s="142" t="str">
        <f>$D$253&amp;$F$261&amp;RIGHT(H253,3)&amp;$B$253</f>
        <v>COM-OTCOAExt</v>
      </c>
      <c r="L357" s="101" t="str">
        <f t="shared" si="201"/>
        <v/>
      </c>
      <c r="P357" s="122" t="str">
        <f t="shared" si="180"/>
        <v/>
      </c>
      <c r="Q357" s="114" t="str">
        <f t="shared" si="179"/>
        <v/>
      </c>
      <c r="R357" s="112" t="str">
        <f t="shared" si="181"/>
        <v/>
      </c>
      <c r="S357" s="119" t="str">
        <f t="shared" si="182"/>
        <v/>
      </c>
      <c r="T357" s="119" t="str">
        <f t="shared" si="183"/>
        <v/>
      </c>
      <c r="U357" s="119" t="str">
        <f t="shared" si="184"/>
        <v/>
      </c>
      <c r="V357" s="119" t="str">
        <f t="shared" si="185"/>
        <v/>
      </c>
      <c r="W357" s="119" t="str">
        <f t="shared" si="186"/>
        <v/>
      </c>
      <c r="X357" s="119" t="str">
        <f t="shared" si="187"/>
        <v/>
      </c>
      <c r="Y357" s="119" t="str">
        <f t="shared" si="188"/>
        <v/>
      </c>
      <c r="Z357" s="119" t="str">
        <f t="shared" si="189"/>
        <v/>
      </c>
      <c r="AA357" s="119" t="str">
        <f t="shared" si="190"/>
        <v/>
      </c>
      <c r="AB357" s="119" t="str">
        <f t="shared" si="191"/>
        <v/>
      </c>
      <c r="AC357" s="119" t="str">
        <f t="shared" si="192"/>
        <v/>
      </c>
      <c r="AD357" s="119" t="str">
        <f t="shared" si="193"/>
        <v/>
      </c>
      <c r="AG357" s="124">
        <v>0.6</v>
      </c>
      <c r="AH357" s="123">
        <v>2</v>
      </c>
      <c r="AI357" s="123">
        <v>1</v>
      </c>
      <c r="AJ357" s="123"/>
      <c r="AK357" s="123"/>
      <c r="AL357" s="123"/>
      <c r="AM357" s="123"/>
      <c r="AN357" s="123"/>
      <c r="AO357" s="123"/>
      <c r="AP357" s="123"/>
      <c r="AQ357" s="123"/>
      <c r="AR357" s="125"/>
    </row>
    <row r="358" spans="9:44" ht="12" customHeight="1">
      <c r="I358" s="141" t="str">
        <f t="shared" ref="I358:I369" si="204">$C$253&amp;" "&amp;$E$261&amp;" "&amp;RIGHT(G254,LEN(G254)-FIND(" ",G254))</f>
        <v>Commercial Others Lignite</v>
      </c>
      <c r="J358" s="146" t="s">
        <v>205</v>
      </c>
      <c r="K358" s="143" t="str">
        <f t="shared" ref="K358:K369" si="205">$D$253&amp;$F$261&amp;RIGHT(H254,3)&amp;$B$253</f>
        <v>COM-OTCOLExt</v>
      </c>
      <c r="L358" s="101" t="str">
        <f t="shared" si="201"/>
        <v/>
      </c>
      <c r="P358" s="122" t="str">
        <f t="shared" si="180"/>
        <v/>
      </c>
      <c r="Q358" s="114" t="str">
        <f t="shared" si="179"/>
        <v/>
      </c>
      <c r="R358" s="112" t="str">
        <f t="shared" si="181"/>
        <v/>
      </c>
      <c r="S358" s="119" t="str">
        <f t="shared" si="182"/>
        <v/>
      </c>
      <c r="T358" s="119" t="str">
        <f t="shared" si="183"/>
        <v/>
      </c>
      <c r="U358" s="119" t="str">
        <f t="shared" si="184"/>
        <v/>
      </c>
      <c r="V358" s="119" t="str">
        <f t="shared" si="185"/>
        <v/>
      </c>
      <c r="W358" s="119" t="str">
        <f t="shared" si="186"/>
        <v/>
      </c>
      <c r="X358" s="119" t="str">
        <f t="shared" si="187"/>
        <v/>
      </c>
      <c r="Y358" s="119" t="str">
        <f t="shared" si="188"/>
        <v/>
      </c>
      <c r="Z358" s="119" t="str">
        <f t="shared" si="189"/>
        <v/>
      </c>
      <c r="AA358" s="119" t="str">
        <f t="shared" si="190"/>
        <v/>
      </c>
      <c r="AB358" s="119" t="str">
        <f t="shared" si="191"/>
        <v/>
      </c>
      <c r="AC358" s="119" t="str">
        <f t="shared" si="192"/>
        <v/>
      </c>
      <c r="AD358" s="119" t="str">
        <f t="shared" si="193"/>
        <v/>
      </c>
      <c r="AG358" s="124">
        <v>0.6</v>
      </c>
      <c r="AH358" s="123">
        <v>2</v>
      </c>
      <c r="AI358" s="123">
        <v>1</v>
      </c>
      <c r="AJ358" s="123"/>
      <c r="AK358" s="123"/>
      <c r="AL358" s="123"/>
      <c r="AM358" s="123"/>
      <c r="AN358" s="123"/>
      <c r="AO358" s="123"/>
      <c r="AP358" s="123"/>
      <c r="AQ358" s="123"/>
      <c r="AR358" s="125"/>
    </row>
    <row r="359" spans="9:44" ht="12" customHeight="1">
      <c r="I359" s="141" t="str">
        <f t="shared" si="204"/>
        <v>Commercial Others Crude oil</v>
      </c>
      <c r="J359" s="146" t="s">
        <v>205</v>
      </c>
      <c r="K359" s="143" t="str">
        <f t="shared" si="205"/>
        <v>COM-OTOILExt</v>
      </c>
      <c r="L359" s="101" t="str">
        <f t="shared" si="201"/>
        <v/>
      </c>
      <c r="P359" s="122" t="str">
        <f t="shared" si="180"/>
        <v/>
      </c>
      <c r="Q359" s="114" t="str">
        <f t="shared" si="179"/>
        <v/>
      </c>
      <c r="R359" s="112" t="str">
        <f t="shared" si="181"/>
        <v/>
      </c>
      <c r="S359" s="119" t="str">
        <f t="shared" si="182"/>
        <v/>
      </c>
      <c r="T359" s="119" t="str">
        <f t="shared" si="183"/>
        <v/>
      </c>
      <c r="U359" s="119" t="str">
        <f t="shared" si="184"/>
        <v/>
      </c>
      <c r="V359" s="119" t="str">
        <f t="shared" si="185"/>
        <v/>
      </c>
      <c r="W359" s="119" t="str">
        <f t="shared" si="186"/>
        <v/>
      </c>
      <c r="X359" s="119" t="str">
        <f t="shared" si="187"/>
        <v/>
      </c>
      <c r="Y359" s="119" t="str">
        <f t="shared" si="188"/>
        <v/>
      </c>
      <c r="Z359" s="119" t="str">
        <f t="shared" si="189"/>
        <v/>
      </c>
      <c r="AA359" s="119" t="str">
        <f t="shared" si="190"/>
        <v/>
      </c>
      <c r="AB359" s="119" t="str">
        <f t="shared" si="191"/>
        <v/>
      </c>
      <c r="AC359" s="119" t="str">
        <f t="shared" si="192"/>
        <v/>
      </c>
      <c r="AD359" s="119" t="str">
        <f t="shared" si="193"/>
        <v/>
      </c>
      <c r="AG359" s="124">
        <v>0.6</v>
      </c>
      <c r="AH359" s="123">
        <v>2</v>
      </c>
      <c r="AI359" s="123">
        <v>1</v>
      </c>
      <c r="AJ359" s="123"/>
      <c r="AK359" s="123"/>
      <c r="AL359" s="123"/>
      <c r="AM359" s="123"/>
      <c r="AN359" s="123"/>
      <c r="AO359" s="123"/>
      <c r="AP359" s="123"/>
      <c r="AQ359" s="123"/>
      <c r="AR359" s="125"/>
    </row>
    <row r="360" spans="9:44" ht="12" customHeight="1">
      <c r="I360" s="141" t="str">
        <f t="shared" si="204"/>
        <v>Commercial Others Natural Gas</v>
      </c>
      <c r="J360" s="146" t="s">
        <v>205</v>
      </c>
      <c r="K360" s="143" t="str">
        <f t="shared" si="205"/>
        <v>COM-OTNGAExt</v>
      </c>
      <c r="L360" s="101" t="str">
        <f t="shared" si="201"/>
        <v/>
      </c>
      <c r="P360" s="122" t="str">
        <f t="shared" si="180"/>
        <v/>
      </c>
      <c r="Q360" s="114" t="str">
        <f t="shared" si="179"/>
        <v/>
      </c>
      <c r="R360" s="112" t="str">
        <f t="shared" si="181"/>
        <v/>
      </c>
      <c r="S360" s="119" t="str">
        <f t="shared" si="182"/>
        <v/>
      </c>
      <c r="T360" s="119" t="str">
        <f t="shared" si="183"/>
        <v/>
      </c>
      <c r="U360" s="119" t="str">
        <f t="shared" si="184"/>
        <v/>
      </c>
      <c r="V360" s="119" t="str">
        <f t="shared" si="185"/>
        <v/>
      </c>
      <c r="W360" s="119" t="str">
        <f t="shared" si="186"/>
        <v/>
      </c>
      <c r="X360" s="119" t="str">
        <f t="shared" si="187"/>
        <v/>
      </c>
      <c r="Y360" s="119" t="str">
        <f t="shared" si="188"/>
        <v/>
      </c>
      <c r="Z360" s="119" t="str">
        <f t="shared" si="189"/>
        <v/>
      </c>
      <c r="AA360" s="119" t="str">
        <f t="shared" si="190"/>
        <v/>
      </c>
      <c r="AB360" s="119" t="str">
        <f t="shared" si="191"/>
        <v/>
      </c>
      <c r="AC360" s="119" t="str">
        <f t="shared" si="192"/>
        <v/>
      </c>
      <c r="AD360" s="119" t="str">
        <f t="shared" si="193"/>
        <v/>
      </c>
      <c r="AG360" s="124">
        <v>0.6</v>
      </c>
      <c r="AH360" s="123">
        <v>2</v>
      </c>
      <c r="AI360" s="123">
        <v>1</v>
      </c>
      <c r="AJ360" s="123"/>
      <c r="AK360" s="123"/>
      <c r="AL360" s="123"/>
      <c r="AM360" s="123"/>
      <c r="AN360" s="123"/>
      <c r="AO360" s="123"/>
      <c r="AP360" s="123"/>
      <c r="AQ360" s="123"/>
      <c r="AR360" s="125"/>
    </row>
    <row r="361" spans="9:44" ht="12" customHeight="1">
      <c r="I361" s="141" t="str">
        <f t="shared" si="204"/>
        <v>Commercial Others Hydro</v>
      </c>
      <c r="J361" s="146" t="s">
        <v>205</v>
      </c>
      <c r="K361" s="143" t="str">
        <f t="shared" si="205"/>
        <v>COM-OTHYDExt</v>
      </c>
      <c r="L361" s="101" t="str">
        <f t="shared" si="201"/>
        <v/>
      </c>
      <c r="P361" s="122" t="str">
        <f t="shared" si="180"/>
        <v/>
      </c>
      <c r="Q361" s="114" t="str">
        <f t="shared" si="179"/>
        <v/>
      </c>
      <c r="R361" s="112" t="str">
        <f t="shared" si="181"/>
        <v/>
      </c>
      <c r="S361" s="119" t="str">
        <f t="shared" si="182"/>
        <v/>
      </c>
      <c r="T361" s="119" t="str">
        <f t="shared" si="183"/>
        <v/>
      </c>
      <c r="U361" s="119" t="str">
        <f t="shared" si="184"/>
        <v/>
      </c>
      <c r="V361" s="119" t="str">
        <f t="shared" si="185"/>
        <v/>
      </c>
      <c r="W361" s="119" t="str">
        <f t="shared" si="186"/>
        <v/>
      </c>
      <c r="X361" s="119" t="str">
        <f t="shared" si="187"/>
        <v/>
      </c>
      <c r="Y361" s="119" t="str">
        <f t="shared" si="188"/>
        <v/>
      </c>
      <c r="Z361" s="119" t="str">
        <f t="shared" si="189"/>
        <v/>
      </c>
      <c r="AA361" s="119" t="str">
        <f t="shared" si="190"/>
        <v/>
      </c>
      <c r="AB361" s="119" t="str">
        <f t="shared" si="191"/>
        <v/>
      </c>
      <c r="AC361" s="119" t="str">
        <f t="shared" si="192"/>
        <v/>
      </c>
      <c r="AD361" s="119" t="str">
        <f t="shared" si="193"/>
        <v/>
      </c>
      <c r="AG361" s="124">
        <v>0.6</v>
      </c>
      <c r="AH361" s="123">
        <v>2</v>
      </c>
      <c r="AI361" s="123">
        <v>1</v>
      </c>
      <c r="AJ361" s="123"/>
      <c r="AK361" s="123"/>
      <c r="AL361" s="123"/>
      <c r="AM361" s="123"/>
      <c r="AN361" s="123"/>
      <c r="AO361" s="123"/>
      <c r="AP361" s="123"/>
      <c r="AQ361" s="123"/>
      <c r="AR361" s="125"/>
    </row>
    <row r="362" spans="9:44" ht="12" customHeight="1">
      <c r="I362" s="141" t="str">
        <f t="shared" si="204"/>
        <v>Commercial Others Geothermal</v>
      </c>
      <c r="J362" s="146" t="s">
        <v>205</v>
      </c>
      <c r="K362" s="143" t="str">
        <f t="shared" si="205"/>
        <v>COM-OTGEOExt</v>
      </c>
      <c r="L362" s="101" t="str">
        <f t="shared" si="201"/>
        <v/>
      </c>
      <c r="P362" s="122" t="str">
        <f t="shared" si="180"/>
        <v/>
      </c>
      <c r="Q362" s="114" t="str">
        <f t="shared" si="179"/>
        <v/>
      </c>
      <c r="R362" s="112" t="str">
        <f t="shared" si="181"/>
        <v/>
      </c>
      <c r="S362" s="119" t="str">
        <f t="shared" si="182"/>
        <v/>
      </c>
      <c r="T362" s="119" t="str">
        <f t="shared" si="183"/>
        <v/>
      </c>
      <c r="U362" s="119" t="str">
        <f t="shared" si="184"/>
        <v/>
      </c>
      <c r="V362" s="119" t="str">
        <f t="shared" si="185"/>
        <v/>
      </c>
      <c r="W362" s="119" t="str">
        <f t="shared" si="186"/>
        <v/>
      </c>
      <c r="X362" s="119" t="str">
        <f t="shared" si="187"/>
        <v/>
      </c>
      <c r="Y362" s="119" t="str">
        <f t="shared" si="188"/>
        <v/>
      </c>
      <c r="Z362" s="119" t="str">
        <f t="shared" si="189"/>
        <v/>
      </c>
      <c r="AA362" s="119" t="str">
        <f t="shared" si="190"/>
        <v/>
      </c>
      <c r="AB362" s="119" t="str">
        <f t="shared" si="191"/>
        <v/>
      </c>
      <c r="AC362" s="119" t="str">
        <f t="shared" si="192"/>
        <v/>
      </c>
      <c r="AD362" s="119" t="str">
        <f t="shared" si="193"/>
        <v/>
      </c>
      <c r="AG362" s="124">
        <v>0.6</v>
      </c>
      <c r="AH362" s="123">
        <v>2</v>
      </c>
      <c r="AI362" s="123">
        <v>1</v>
      </c>
      <c r="AJ362" s="123"/>
      <c r="AK362" s="123"/>
      <c r="AL362" s="123"/>
      <c r="AM362" s="123"/>
      <c r="AN362" s="123"/>
      <c r="AO362" s="123"/>
      <c r="AP362" s="123"/>
      <c r="AQ362" s="123"/>
      <c r="AR362" s="125"/>
    </row>
    <row r="363" spans="9:44" ht="12" customHeight="1">
      <c r="I363" s="141" t="str">
        <f t="shared" si="204"/>
        <v>Commercial Others Solar</v>
      </c>
      <c r="J363" s="146" t="s">
        <v>205</v>
      </c>
      <c r="K363" s="143" t="str">
        <f t="shared" si="205"/>
        <v>COM-OTSOLExt</v>
      </c>
      <c r="L363" s="101" t="str">
        <f t="shared" si="201"/>
        <v/>
      </c>
      <c r="P363" s="122" t="str">
        <f t="shared" si="180"/>
        <v/>
      </c>
      <c r="Q363" s="114" t="str">
        <f t="shared" si="179"/>
        <v/>
      </c>
      <c r="R363" s="112" t="str">
        <f t="shared" si="181"/>
        <v/>
      </c>
      <c r="S363" s="119" t="str">
        <f t="shared" si="182"/>
        <v/>
      </c>
      <c r="T363" s="119" t="str">
        <f t="shared" si="183"/>
        <v/>
      </c>
      <c r="U363" s="119" t="str">
        <f t="shared" si="184"/>
        <v/>
      </c>
      <c r="V363" s="119" t="str">
        <f t="shared" si="185"/>
        <v/>
      </c>
      <c r="W363" s="119" t="str">
        <f t="shared" si="186"/>
        <v/>
      </c>
      <c r="X363" s="119" t="str">
        <f t="shared" si="187"/>
        <v/>
      </c>
      <c r="Y363" s="119" t="str">
        <f t="shared" si="188"/>
        <v/>
      </c>
      <c r="Z363" s="119" t="str">
        <f t="shared" si="189"/>
        <v/>
      </c>
      <c r="AA363" s="119" t="str">
        <f t="shared" si="190"/>
        <v/>
      </c>
      <c r="AB363" s="119" t="str">
        <f t="shared" si="191"/>
        <v/>
      </c>
      <c r="AC363" s="119" t="str">
        <f t="shared" si="192"/>
        <v/>
      </c>
      <c r="AD363" s="119" t="str">
        <f t="shared" si="193"/>
        <v/>
      </c>
      <c r="AG363" s="124">
        <v>0.6</v>
      </c>
      <c r="AH363" s="123">
        <v>2</v>
      </c>
      <c r="AI363" s="123">
        <v>1</v>
      </c>
      <c r="AJ363" s="123"/>
      <c r="AK363" s="123"/>
      <c r="AL363" s="123"/>
      <c r="AM363" s="123"/>
      <c r="AN363" s="123"/>
      <c r="AO363" s="123"/>
      <c r="AP363" s="123"/>
      <c r="AQ363" s="123"/>
      <c r="AR363" s="125"/>
    </row>
    <row r="364" spans="9:44" ht="12" customHeight="1">
      <c r="I364" s="141" t="str">
        <f t="shared" si="204"/>
        <v>Commercial Others Wind</v>
      </c>
      <c r="J364" s="146" t="s">
        <v>205</v>
      </c>
      <c r="K364" s="143" t="str">
        <f t="shared" si="205"/>
        <v>COM-OTWINExt</v>
      </c>
      <c r="L364" s="101" t="str">
        <f t="shared" si="201"/>
        <v/>
      </c>
      <c r="P364" s="122" t="str">
        <f t="shared" si="180"/>
        <v/>
      </c>
      <c r="Q364" s="114" t="str">
        <f t="shared" si="179"/>
        <v/>
      </c>
      <c r="R364" s="112" t="str">
        <f t="shared" si="181"/>
        <v/>
      </c>
      <c r="S364" s="119" t="str">
        <f t="shared" si="182"/>
        <v/>
      </c>
      <c r="T364" s="119" t="str">
        <f t="shared" si="183"/>
        <v/>
      </c>
      <c r="U364" s="119" t="str">
        <f t="shared" si="184"/>
        <v/>
      </c>
      <c r="V364" s="119" t="str">
        <f t="shared" si="185"/>
        <v/>
      </c>
      <c r="W364" s="119" t="str">
        <f t="shared" si="186"/>
        <v/>
      </c>
      <c r="X364" s="119" t="str">
        <f t="shared" si="187"/>
        <v/>
      </c>
      <c r="Y364" s="119" t="str">
        <f t="shared" si="188"/>
        <v/>
      </c>
      <c r="Z364" s="119" t="str">
        <f t="shared" si="189"/>
        <v/>
      </c>
      <c r="AA364" s="119" t="str">
        <f t="shared" si="190"/>
        <v/>
      </c>
      <c r="AB364" s="119" t="str">
        <f t="shared" si="191"/>
        <v/>
      </c>
      <c r="AC364" s="119" t="str">
        <f t="shared" si="192"/>
        <v/>
      </c>
      <c r="AD364" s="119" t="str">
        <f t="shared" si="193"/>
        <v/>
      </c>
      <c r="AG364" s="124">
        <v>0.6</v>
      </c>
      <c r="AH364" s="123">
        <v>2</v>
      </c>
      <c r="AI364" s="123">
        <v>1</v>
      </c>
      <c r="AJ364" s="123"/>
      <c r="AK364" s="123"/>
      <c r="AL364" s="123"/>
      <c r="AM364" s="123"/>
      <c r="AN364" s="123"/>
      <c r="AO364" s="123"/>
      <c r="AP364" s="123"/>
      <c r="AQ364" s="123"/>
      <c r="AR364" s="125"/>
    </row>
    <row r="365" spans="9:44" ht="12" customHeight="1">
      <c r="I365" s="141" t="str">
        <f t="shared" si="204"/>
        <v>Commercial Others Bio Liquids</v>
      </c>
      <c r="J365" s="146" t="s">
        <v>205</v>
      </c>
      <c r="K365" s="143" t="str">
        <f t="shared" si="205"/>
        <v>COM-OTBILExt</v>
      </c>
      <c r="L365" s="101" t="str">
        <f t="shared" si="201"/>
        <v/>
      </c>
      <c r="P365" s="122" t="str">
        <f t="shared" si="180"/>
        <v/>
      </c>
      <c r="Q365" s="114" t="str">
        <f t="shared" si="179"/>
        <v/>
      </c>
      <c r="R365" s="112" t="str">
        <f t="shared" si="181"/>
        <v/>
      </c>
      <c r="S365" s="119" t="str">
        <f t="shared" si="182"/>
        <v/>
      </c>
      <c r="T365" s="119" t="str">
        <f t="shared" si="183"/>
        <v/>
      </c>
      <c r="U365" s="119" t="str">
        <f t="shared" si="184"/>
        <v/>
      </c>
      <c r="V365" s="119" t="str">
        <f t="shared" si="185"/>
        <v/>
      </c>
      <c r="W365" s="119" t="str">
        <f t="shared" si="186"/>
        <v/>
      </c>
      <c r="X365" s="119" t="str">
        <f t="shared" si="187"/>
        <v/>
      </c>
      <c r="Y365" s="119" t="str">
        <f t="shared" si="188"/>
        <v/>
      </c>
      <c r="Z365" s="119" t="str">
        <f t="shared" si="189"/>
        <v/>
      </c>
      <c r="AA365" s="119" t="str">
        <f t="shared" si="190"/>
        <v/>
      </c>
      <c r="AB365" s="119" t="str">
        <f t="shared" si="191"/>
        <v/>
      </c>
      <c r="AC365" s="119" t="str">
        <f t="shared" si="192"/>
        <v/>
      </c>
      <c r="AD365" s="119" t="str">
        <f t="shared" si="193"/>
        <v/>
      </c>
      <c r="AG365" s="124">
        <v>0.6</v>
      </c>
      <c r="AH365" s="123">
        <v>2</v>
      </c>
      <c r="AI365" s="123">
        <v>1</v>
      </c>
      <c r="AJ365" s="123"/>
      <c r="AK365" s="123"/>
      <c r="AL365" s="123"/>
      <c r="AM365" s="123"/>
      <c r="AN365" s="123"/>
      <c r="AO365" s="123"/>
      <c r="AP365" s="123"/>
      <c r="AQ365" s="123"/>
      <c r="AR365" s="125"/>
    </row>
    <row r="366" spans="9:44" ht="12" customHeight="1">
      <c r="I366" s="141" t="str">
        <f t="shared" si="204"/>
        <v>Commercial Others Biogas</v>
      </c>
      <c r="J366" s="146" t="s">
        <v>205</v>
      </c>
      <c r="K366" s="143" t="str">
        <f t="shared" si="205"/>
        <v>COM-OTBIGExt</v>
      </c>
      <c r="L366" s="101" t="str">
        <f t="shared" si="201"/>
        <v/>
      </c>
      <c r="P366" s="122" t="str">
        <f t="shared" si="180"/>
        <v/>
      </c>
      <c r="Q366" s="114" t="str">
        <f t="shared" si="179"/>
        <v/>
      </c>
      <c r="R366" s="112" t="str">
        <f t="shared" si="181"/>
        <v/>
      </c>
      <c r="S366" s="119" t="str">
        <f t="shared" si="182"/>
        <v/>
      </c>
      <c r="T366" s="119" t="str">
        <f t="shared" si="183"/>
        <v/>
      </c>
      <c r="U366" s="119" t="str">
        <f t="shared" si="184"/>
        <v/>
      </c>
      <c r="V366" s="119" t="str">
        <f t="shared" si="185"/>
        <v/>
      </c>
      <c r="W366" s="119" t="str">
        <f t="shared" si="186"/>
        <v/>
      </c>
      <c r="X366" s="119" t="str">
        <f t="shared" si="187"/>
        <v/>
      </c>
      <c r="Y366" s="119" t="str">
        <f t="shared" si="188"/>
        <v/>
      </c>
      <c r="Z366" s="119" t="str">
        <f t="shared" si="189"/>
        <v/>
      </c>
      <c r="AA366" s="119" t="str">
        <f t="shared" si="190"/>
        <v/>
      </c>
      <c r="AB366" s="119" t="str">
        <f t="shared" si="191"/>
        <v/>
      </c>
      <c r="AC366" s="119" t="str">
        <f t="shared" si="192"/>
        <v/>
      </c>
      <c r="AD366" s="119" t="str">
        <f t="shared" si="193"/>
        <v/>
      </c>
      <c r="AG366" s="124">
        <v>0.6</v>
      </c>
      <c r="AH366" s="123">
        <v>2</v>
      </c>
      <c r="AI366" s="123">
        <v>1</v>
      </c>
      <c r="AJ366" s="123"/>
      <c r="AK366" s="123"/>
      <c r="AL366" s="123"/>
      <c r="AM366" s="123"/>
      <c r="AN366" s="123"/>
      <c r="AO366" s="123"/>
      <c r="AP366" s="123"/>
      <c r="AQ366" s="123"/>
      <c r="AR366" s="125"/>
    </row>
    <row r="367" spans="9:44" ht="12" customHeight="1">
      <c r="I367" s="141" t="str">
        <f t="shared" si="204"/>
        <v>Commercial Others Wood</v>
      </c>
      <c r="J367" s="146" t="s">
        <v>205</v>
      </c>
      <c r="K367" s="143" t="str">
        <f t="shared" si="205"/>
        <v>COM-OTWODExt</v>
      </c>
      <c r="L367" s="101" t="str">
        <f t="shared" si="201"/>
        <v/>
      </c>
      <c r="P367" s="122" t="str">
        <f t="shared" si="180"/>
        <v/>
      </c>
      <c r="Q367" s="114" t="str">
        <f t="shared" si="179"/>
        <v/>
      </c>
      <c r="R367" s="112" t="str">
        <f t="shared" si="181"/>
        <v/>
      </c>
      <c r="S367" s="119" t="str">
        <f t="shared" si="182"/>
        <v/>
      </c>
      <c r="T367" s="119" t="str">
        <f t="shared" si="183"/>
        <v/>
      </c>
      <c r="U367" s="119" t="str">
        <f t="shared" si="184"/>
        <v/>
      </c>
      <c r="V367" s="119" t="str">
        <f t="shared" si="185"/>
        <v/>
      </c>
      <c r="W367" s="119" t="str">
        <f t="shared" si="186"/>
        <v/>
      </c>
      <c r="X367" s="119" t="str">
        <f t="shared" si="187"/>
        <v/>
      </c>
      <c r="Y367" s="119" t="str">
        <f t="shared" si="188"/>
        <v/>
      </c>
      <c r="Z367" s="119" t="str">
        <f t="shared" si="189"/>
        <v/>
      </c>
      <c r="AA367" s="119" t="str">
        <f t="shared" si="190"/>
        <v/>
      </c>
      <c r="AB367" s="119" t="str">
        <f t="shared" si="191"/>
        <v/>
      </c>
      <c r="AC367" s="119" t="str">
        <f t="shared" si="192"/>
        <v/>
      </c>
      <c r="AD367" s="119" t="str">
        <f t="shared" si="193"/>
        <v/>
      </c>
      <c r="AG367" s="124">
        <v>0.6</v>
      </c>
      <c r="AH367" s="123">
        <v>2</v>
      </c>
      <c r="AI367" s="123">
        <v>1</v>
      </c>
      <c r="AJ367" s="123"/>
      <c r="AK367" s="123"/>
      <c r="AL367" s="123"/>
      <c r="AM367" s="123"/>
      <c r="AN367" s="123"/>
      <c r="AO367" s="123"/>
      <c r="AP367" s="123"/>
      <c r="AQ367" s="123"/>
      <c r="AR367" s="125"/>
    </row>
    <row r="368" spans="9:44" ht="12" customHeight="1">
      <c r="I368" s="141" t="str">
        <f t="shared" si="204"/>
        <v>Commercial Others Tidal</v>
      </c>
      <c r="J368" s="146" t="s">
        <v>205</v>
      </c>
      <c r="K368" s="143" t="str">
        <f t="shared" si="205"/>
        <v>COM-OTTIDExt</v>
      </c>
      <c r="L368" s="101" t="str">
        <f t="shared" si="201"/>
        <v/>
      </c>
      <c r="P368" s="122" t="str">
        <f t="shared" si="180"/>
        <v/>
      </c>
      <c r="Q368" s="114" t="str">
        <f t="shared" si="179"/>
        <v/>
      </c>
      <c r="R368" s="112" t="str">
        <f t="shared" si="181"/>
        <v/>
      </c>
      <c r="S368" s="119" t="str">
        <f t="shared" si="182"/>
        <v/>
      </c>
      <c r="T368" s="119" t="str">
        <f t="shared" si="183"/>
        <v/>
      </c>
      <c r="U368" s="119" t="str">
        <f t="shared" si="184"/>
        <v/>
      </c>
      <c r="V368" s="119" t="str">
        <f t="shared" si="185"/>
        <v/>
      </c>
      <c r="W368" s="119" t="str">
        <f t="shared" si="186"/>
        <v/>
      </c>
      <c r="X368" s="119" t="str">
        <f t="shared" si="187"/>
        <v/>
      </c>
      <c r="Y368" s="119" t="str">
        <f t="shared" si="188"/>
        <v/>
      </c>
      <c r="Z368" s="119" t="str">
        <f t="shared" si="189"/>
        <v/>
      </c>
      <c r="AA368" s="119" t="str">
        <f t="shared" si="190"/>
        <v/>
      </c>
      <c r="AB368" s="119" t="str">
        <f t="shared" si="191"/>
        <v/>
      </c>
      <c r="AC368" s="119" t="str">
        <f t="shared" si="192"/>
        <v/>
      </c>
      <c r="AD368" s="119" t="str">
        <f t="shared" si="193"/>
        <v/>
      </c>
      <c r="AG368" s="124">
        <v>0.6</v>
      </c>
      <c r="AH368" s="123">
        <v>2</v>
      </c>
      <c r="AI368" s="123">
        <v>1</v>
      </c>
      <c r="AJ368" s="123"/>
      <c r="AK368" s="123"/>
      <c r="AL368" s="123"/>
      <c r="AM368" s="123"/>
      <c r="AN368" s="123"/>
      <c r="AO368" s="123"/>
      <c r="AP368" s="123"/>
      <c r="AQ368" s="123"/>
      <c r="AR368" s="125"/>
    </row>
    <row r="369" spans="2:44" ht="12" customHeight="1" thickBot="1">
      <c r="I369" s="156" t="str">
        <f t="shared" si="204"/>
        <v>Commercial Others Electricity</v>
      </c>
      <c r="J369" s="155" t="s">
        <v>198</v>
      </c>
      <c r="K369" s="144" t="str">
        <f t="shared" si="205"/>
        <v>COM-OTELCExt</v>
      </c>
      <c r="L369" s="101" t="str">
        <f>IF(J369="Yes",K369,"")</f>
        <v>COM-OTELCExt</v>
      </c>
      <c r="P369" s="122" t="str">
        <f t="shared" si="180"/>
        <v>COM-OTELCExt</v>
      </c>
      <c r="Q369" s="114" t="str">
        <f t="shared" si="179"/>
        <v>COM-ELC</v>
      </c>
      <c r="R369" s="112" t="str">
        <f t="shared" si="181"/>
        <v>COM-OT</v>
      </c>
      <c r="S369" s="119">
        <f t="shared" si="182"/>
        <v>0.6</v>
      </c>
      <c r="T369" s="119">
        <f t="shared" si="183"/>
        <v>2</v>
      </c>
      <c r="U369" s="119">
        <f t="shared" si="184"/>
        <v>1</v>
      </c>
      <c r="V369" s="119">
        <f t="shared" si="185"/>
        <v>0</v>
      </c>
      <c r="W369" s="119">
        <f t="shared" si="186"/>
        <v>0</v>
      </c>
      <c r="X369" s="119">
        <f t="shared" si="187"/>
        <v>0</v>
      </c>
      <c r="Y369" s="119">
        <f t="shared" si="188"/>
        <v>0</v>
      </c>
      <c r="Z369" s="119">
        <f t="shared" si="189"/>
        <v>0</v>
      </c>
      <c r="AA369" s="119">
        <f t="shared" si="190"/>
        <v>0</v>
      </c>
      <c r="AB369" s="119">
        <f t="shared" si="191"/>
        <v>0</v>
      </c>
      <c r="AC369" s="119">
        <f t="shared" si="192"/>
        <v>0</v>
      </c>
      <c r="AD369" s="119">
        <f t="shared" si="193"/>
        <v>0</v>
      </c>
      <c r="AG369" s="126">
        <v>0.6</v>
      </c>
      <c r="AH369" s="127">
        <v>2</v>
      </c>
      <c r="AI369" s="127">
        <v>1</v>
      </c>
      <c r="AJ369" s="128"/>
      <c r="AK369" s="128"/>
      <c r="AL369" s="128"/>
      <c r="AM369" s="128"/>
      <c r="AN369" s="128"/>
      <c r="AO369" s="128"/>
      <c r="AP369" s="128"/>
      <c r="AQ369" s="128"/>
      <c r="AR369" s="129"/>
    </row>
    <row r="375" spans="2:44" ht="12" customHeight="1" thickBot="1"/>
    <row r="376" spans="2:44" ht="12" customHeight="1">
      <c r="B376" s="109" t="s">
        <v>62</v>
      </c>
      <c r="C376" s="109" t="s">
        <v>64</v>
      </c>
      <c r="D376" s="109" t="s">
        <v>201</v>
      </c>
      <c r="E376" s="109" t="s">
        <v>194</v>
      </c>
      <c r="F376" s="109" t="s">
        <v>199</v>
      </c>
      <c r="G376" s="109" t="s">
        <v>197</v>
      </c>
      <c r="H376" s="109" t="s">
        <v>200</v>
      </c>
      <c r="I376" s="109" t="s">
        <v>196</v>
      </c>
      <c r="J376" s="109" t="s">
        <v>195</v>
      </c>
      <c r="K376" s="109" t="s">
        <v>203</v>
      </c>
      <c r="L376" s="109" t="s">
        <v>204</v>
      </c>
      <c r="P376" s="120" t="s">
        <v>1</v>
      </c>
      <c r="Q376" s="121" t="s">
        <v>5</v>
      </c>
      <c r="R376" s="121" t="s">
        <v>6</v>
      </c>
      <c r="S376" s="160" t="s">
        <v>56</v>
      </c>
      <c r="T376" s="160" t="s">
        <v>188</v>
      </c>
      <c r="U376" s="160" t="s">
        <v>189</v>
      </c>
      <c r="V376" s="160" t="s">
        <v>190</v>
      </c>
      <c r="W376" s="160" t="s">
        <v>209</v>
      </c>
      <c r="X376" s="160" t="s">
        <v>191</v>
      </c>
      <c r="Y376" s="160" t="s">
        <v>192</v>
      </c>
      <c r="Z376" s="160" t="s">
        <v>210</v>
      </c>
      <c r="AA376" s="160" t="s">
        <v>211</v>
      </c>
      <c r="AB376" s="160" t="s">
        <v>193</v>
      </c>
      <c r="AC376" s="161" t="s">
        <v>359</v>
      </c>
      <c r="AD376" s="161" t="s">
        <v>212</v>
      </c>
      <c r="AG376" s="136" t="s">
        <v>56</v>
      </c>
      <c r="AH376" s="137" t="s">
        <v>188</v>
      </c>
      <c r="AI376" s="137" t="s">
        <v>189</v>
      </c>
      <c r="AJ376" s="137" t="s">
        <v>190</v>
      </c>
      <c r="AK376" s="137" t="s">
        <v>209</v>
      </c>
      <c r="AL376" s="137" t="s">
        <v>191</v>
      </c>
      <c r="AM376" s="137" t="s">
        <v>192</v>
      </c>
      <c r="AN376" s="137" t="s">
        <v>210</v>
      </c>
      <c r="AO376" s="137" t="s">
        <v>211</v>
      </c>
      <c r="AP376" s="137" t="s">
        <v>193</v>
      </c>
      <c r="AQ376" s="137" t="s">
        <v>359</v>
      </c>
      <c r="AR376" s="138" t="s">
        <v>212</v>
      </c>
    </row>
    <row r="377" spans="2:44" ht="12" customHeight="1">
      <c r="B377" s="116" t="s">
        <v>202</v>
      </c>
      <c r="C377" s="108" t="s">
        <v>48</v>
      </c>
      <c r="D377" s="116" t="s">
        <v>221</v>
      </c>
      <c r="E377" s="106" t="s">
        <v>254</v>
      </c>
      <c r="F377" s="110" t="s">
        <v>258</v>
      </c>
      <c r="G377" s="107" t="str">
        <f>C377&amp;" Coal"</f>
        <v>Transport Coal</v>
      </c>
      <c r="H377" s="113" t="s">
        <v>261</v>
      </c>
      <c r="I377" s="142" t="str">
        <f>$C$377&amp;" "&amp;$E$377&amp;" "&amp;RIGHT(G377,LEN(G377)-FIND(" ",G377))</f>
        <v>Transport Land-Road Coal</v>
      </c>
      <c r="J377" s="145" t="s">
        <v>198</v>
      </c>
      <c r="K377" s="142" t="str">
        <f>$D$377&amp;$F$377&amp;RIGHT(H377,3)&amp;$B$253</f>
        <v>TRA-LRCOAExt</v>
      </c>
      <c r="L377" s="101" t="str">
        <f t="shared" ref="L377:L398" si="206">IF(J377="Yes",K377,"")</f>
        <v>TRA-LRCOAExt</v>
      </c>
      <c r="P377" s="122" t="str">
        <f>L377</f>
        <v>TRA-LRCOAExt</v>
      </c>
      <c r="Q377" s="114" t="str">
        <f t="shared" ref="Q377:Q428" si="207">IF(J377="yes",LEFT(P377,3)&amp;"-"&amp;MID(P377,7,3),"")</f>
        <v>TRA-COA</v>
      </c>
      <c r="R377" s="112" t="str">
        <f>LEFT(P377,6)</f>
        <v>TRA-LR</v>
      </c>
      <c r="S377" s="119">
        <f>IF(P377&lt;&gt;"",AG377,"")</f>
        <v>0.6</v>
      </c>
      <c r="T377" s="119">
        <f t="shared" ref="T377:AD377" si="208">IF(Q377&lt;&gt;"",AH377,"")</f>
        <v>2</v>
      </c>
      <c r="U377" s="119">
        <f t="shared" si="208"/>
        <v>1</v>
      </c>
      <c r="V377" s="119">
        <f t="shared" si="208"/>
        <v>0</v>
      </c>
      <c r="W377" s="119">
        <f t="shared" si="208"/>
        <v>0</v>
      </c>
      <c r="X377" s="119">
        <f t="shared" si="208"/>
        <v>0</v>
      </c>
      <c r="Y377" s="119">
        <f t="shared" si="208"/>
        <v>0</v>
      </c>
      <c r="Z377" s="119">
        <f t="shared" si="208"/>
        <v>0</v>
      </c>
      <c r="AA377" s="119">
        <f t="shared" si="208"/>
        <v>0</v>
      </c>
      <c r="AB377" s="119">
        <f t="shared" si="208"/>
        <v>0</v>
      </c>
      <c r="AC377" s="119">
        <f t="shared" si="208"/>
        <v>0</v>
      </c>
      <c r="AD377" s="119">
        <f t="shared" si="208"/>
        <v>0</v>
      </c>
      <c r="AG377" s="124">
        <v>0.6</v>
      </c>
      <c r="AH377" s="123">
        <v>2</v>
      </c>
      <c r="AI377" s="123">
        <v>1</v>
      </c>
      <c r="AJ377" s="123"/>
      <c r="AK377" s="123"/>
      <c r="AL377" s="123"/>
      <c r="AM377" s="123"/>
      <c r="AN377" s="123"/>
      <c r="AO377" s="123"/>
      <c r="AP377" s="123"/>
      <c r="AQ377" s="123"/>
      <c r="AR377" s="125"/>
    </row>
    <row r="378" spans="2:44" ht="12" customHeight="1">
      <c r="B378" s="116"/>
      <c r="C378" s="108"/>
      <c r="D378" s="116"/>
      <c r="E378" s="106" t="s">
        <v>255</v>
      </c>
      <c r="F378" s="110" t="s">
        <v>259</v>
      </c>
      <c r="G378" s="107" t="str">
        <f>C377&amp;" Lignite"</f>
        <v>Transport Lignite</v>
      </c>
      <c r="H378" s="113" t="s">
        <v>262</v>
      </c>
      <c r="I378" s="143" t="str">
        <f t="shared" ref="I378:I389" si="209">$C$377&amp;" "&amp;$E$377&amp;" "&amp;RIGHT(G378,LEN(G378)-FIND(" ",G378))</f>
        <v>Transport Land-Road Lignite</v>
      </c>
      <c r="J378" s="146" t="s">
        <v>198</v>
      </c>
      <c r="K378" s="143" t="str">
        <f t="shared" ref="K378:K389" si="210">$D$377&amp;$F$377&amp;RIGHT(H378,3)&amp;$B$253</f>
        <v>TRA-LRCOLExt</v>
      </c>
      <c r="L378" s="101" t="str">
        <f t="shared" si="206"/>
        <v>TRA-LRCOLExt</v>
      </c>
      <c r="P378" s="122" t="str">
        <f t="shared" ref="P378:P428" si="211">L378</f>
        <v>TRA-LRCOLExt</v>
      </c>
      <c r="Q378" s="114" t="str">
        <f t="shared" si="207"/>
        <v>TRA-COL</v>
      </c>
      <c r="R378" s="112" t="str">
        <f t="shared" ref="R378:R428" si="212">LEFT(P378,6)</f>
        <v>TRA-LR</v>
      </c>
      <c r="S378" s="119">
        <f t="shared" ref="S378:S428" si="213">IF(P378&lt;&gt;"",AG378,"")</f>
        <v>0.6</v>
      </c>
      <c r="T378" s="119">
        <f t="shared" ref="T378:T428" si="214">IF(Q378&lt;&gt;"",AH378,"")</f>
        <v>2</v>
      </c>
      <c r="U378" s="119">
        <f t="shared" ref="U378:U428" si="215">IF(R378&lt;&gt;"",AI378,"")</f>
        <v>1</v>
      </c>
      <c r="V378" s="119">
        <f t="shared" ref="V378:V428" si="216">IF(S378&lt;&gt;"",AJ378,"")</f>
        <v>0</v>
      </c>
      <c r="W378" s="119">
        <f t="shared" ref="W378:W428" si="217">IF(T378&lt;&gt;"",AK378,"")</f>
        <v>0</v>
      </c>
      <c r="X378" s="119">
        <f t="shared" ref="X378:X428" si="218">IF(U378&lt;&gt;"",AL378,"")</f>
        <v>0</v>
      </c>
      <c r="Y378" s="119">
        <f t="shared" ref="Y378:Y428" si="219">IF(V378&lt;&gt;"",AM378,"")</f>
        <v>0</v>
      </c>
      <c r="Z378" s="119">
        <f t="shared" ref="Z378:Z428" si="220">IF(W378&lt;&gt;"",AN378,"")</f>
        <v>0</v>
      </c>
      <c r="AA378" s="119">
        <f t="shared" ref="AA378:AA428" si="221">IF(X378&lt;&gt;"",AO378,"")</f>
        <v>0</v>
      </c>
      <c r="AB378" s="119">
        <f t="shared" ref="AB378:AB428" si="222">IF(Y378&lt;&gt;"",AP378,"")</f>
        <v>0</v>
      </c>
      <c r="AC378" s="119">
        <f t="shared" ref="AC378:AC428" si="223">IF(Z378&lt;&gt;"",AQ378,"")</f>
        <v>0</v>
      </c>
      <c r="AD378" s="119">
        <f t="shared" ref="AD378:AD428" si="224">IF(AA378&lt;&gt;"",AR378,"")</f>
        <v>0</v>
      </c>
      <c r="AG378" s="124">
        <v>0.6</v>
      </c>
      <c r="AH378" s="123">
        <v>2</v>
      </c>
      <c r="AI378" s="123">
        <v>1</v>
      </c>
      <c r="AJ378" s="123"/>
      <c r="AK378" s="123"/>
      <c r="AL378" s="123"/>
      <c r="AM378" s="123"/>
      <c r="AN378" s="123"/>
      <c r="AO378" s="123"/>
      <c r="AP378" s="123"/>
      <c r="AQ378" s="123"/>
      <c r="AR378" s="125"/>
    </row>
    <row r="379" spans="2:44" ht="12" customHeight="1">
      <c r="B379" s="116"/>
      <c r="C379" s="108"/>
      <c r="D379" s="116"/>
      <c r="E379" s="106" t="s">
        <v>256</v>
      </c>
      <c r="F379" s="110" t="s">
        <v>260</v>
      </c>
      <c r="G379" s="107" t="str">
        <f>C377&amp;" Crude oil"</f>
        <v>Transport Crude oil</v>
      </c>
      <c r="H379" s="113" t="s">
        <v>263</v>
      </c>
      <c r="I379" s="143" t="str">
        <f t="shared" si="209"/>
        <v>Transport Land-Road Crude oil</v>
      </c>
      <c r="J379" s="146" t="s">
        <v>198</v>
      </c>
      <c r="K379" s="143" t="str">
        <f t="shared" si="210"/>
        <v>TRA-LROILExt</v>
      </c>
      <c r="L379" s="101" t="str">
        <f t="shared" si="206"/>
        <v>TRA-LROILExt</v>
      </c>
      <c r="P379" s="122" t="str">
        <f t="shared" si="211"/>
        <v>TRA-LROILExt</v>
      </c>
      <c r="Q379" s="114" t="str">
        <f t="shared" si="207"/>
        <v>TRA-OIL</v>
      </c>
      <c r="R379" s="112" t="str">
        <f t="shared" si="212"/>
        <v>TRA-LR</v>
      </c>
      <c r="S379" s="119">
        <f t="shared" si="213"/>
        <v>0.6</v>
      </c>
      <c r="T379" s="119">
        <f t="shared" si="214"/>
        <v>2</v>
      </c>
      <c r="U379" s="119">
        <f t="shared" si="215"/>
        <v>1</v>
      </c>
      <c r="V379" s="119">
        <f t="shared" si="216"/>
        <v>0</v>
      </c>
      <c r="W379" s="119">
        <f t="shared" si="217"/>
        <v>0</v>
      </c>
      <c r="X379" s="119">
        <f t="shared" si="218"/>
        <v>0</v>
      </c>
      <c r="Y379" s="119">
        <f t="shared" si="219"/>
        <v>0</v>
      </c>
      <c r="Z379" s="119">
        <f t="shared" si="220"/>
        <v>0</v>
      </c>
      <c r="AA379" s="119">
        <f t="shared" si="221"/>
        <v>0</v>
      </c>
      <c r="AB379" s="119">
        <f t="shared" si="222"/>
        <v>0</v>
      </c>
      <c r="AC379" s="119">
        <f t="shared" si="223"/>
        <v>0</v>
      </c>
      <c r="AD379" s="119">
        <f t="shared" si="224"/>
        <v>0</v>
      </c>
      <c r="AG379" s="124">
        <v>0.6</v>
      </c>
      <c r="AH379" s="123">
        <v>2</v>
      </c>
      <c r="AI379" s="123">
        <v>1</v>
      </c>
      <c r="AJ379" s="123"/>
      <c r="AK379" s="123"/>
      <c r="AL379" s="123"/>
      <c r="AM379" s="123"/>
      <c r="AN379" s="123"/>
      <c r="AO379" s="123"/>
      <c r="AP379" s="123"/>
      <c r="AQ379" s="123"/>
      <c r="AR379" s="125"/>
    </row>
    <row r="380" spans="2:44" ht="12" customHeight="1">
      <c r="B380" s="116"/>
      <c r="C380" s="108"/>
      <c r="D380" s="116"/>
      <c r="E380" s="106" t="s">
        <v>257</v>
      </c>
      <c r="F380" s="110" t="s">
        <v>171</v>
      </c>
      <c r="G380" s="107" t="str">
        <f>C377&amp;" Natural Gas"</f>
        <v>Transport Natural Gas</v>
      </c>
      <c r="H380" s="113" t="s">
        <v>264</v>
      </c>
      <c r="I380" s="143" t="str">
        <f t="shared" si="209"/>
        <v>Transport Land-Road Natural Gas</v>
      </c>
      <c r="J380" s="146" t="s">
        <v>198</v>
      </c>
      <c r="K380" s="143" t="str">
        <f t="shared" si="210"/>
        <v>TRA-LRNGAExt</v>
      </c>
      <c r="L380" s="101" t="str">
        <f t="shared" si="206"/>
        <v>TRA-LRNGAExt</v>
      </c>
      <c r="P380" s="122" t="str">
        <f t="shared" si="211"/>
        <v>TRA-LRNGAExt</v>
      </c>
      <c r="Q380" s="114" t="str">
        <f t="shared" si="207"/>
        <v>TRA-NGA</v>
      </c>
      <c r="R380" s="112" t="str">
        <f t="shared" si="212"/>
        <v>TRA-LR</v>
      </c>
      <c r="S380" s="119">
        <f t="shared" si="213"/>
        <v>0.6</v>
      </c>
      <c r="T380" s="119">
        <f t="shared" si="214"/>
        <v>2</v>
      </c>
      <c r="U380" s="119">
        <f t="shared" si="215"/>
        <v>1</v>
      </c>
      <c r="V380" s="119">
        <f t="shared" si="216"/>
        <v>0</v>
      </c>
      <c r="W380" s="119">
        <f t="shared" si="217"/>
        <v>0</v>
      </c>
      <c r="X380" s="119">
        <f t="shared" si="218"/>
        <v>0</v>
      </c>
      <c r="Y380" s="119">
        <f t="shared" si="219"/>
        <v>0</v>
      </c>
      <c r="Z380" s="119">
        <f t="shared" si="220"/>
        <v>0</v>
      </c>
      <c r="AA380" s="119">
        <f t="shared" si="221"/>
        <v>0</v>
      </c>
      <c r="AB380" s="119">
        <f t="shared" si="222"/>
        <v>0</v>
      </c>
      <c r="AC380" s="119">
        <f t="shared" si="223"/>
        <v>0</v>
      </c>
      <c r="AD380" s="119">
        <f t="shared" si="224"/>
        <v>0</v>
      </c>
      <c r="AG380" s="124">
        <v>0.6</v>
      </c>
      <c r="AH380" s="123">
        <v>2</v>
      </c>
      <c r="AI380" s="123">
        <v>1</v>
      </c>
      <c r="AJ380" s="123"/>
      <c r="AK380" s="123"/>
      <c r="AL380" s="123"/>
      <c r="AM380" s="123"/>
      <c r="AN380" s="123"/>
      <c r="AO380" s="123"/>
      <c r="AP380" s="123"/>
      <c r="AQ380" s="123"/>
      <c r="AR380" s="125"/>
    </row>
    <row r="381" spans="2:44" ht="12" customHeight="1">
      <c r="B381" s="116"/>
      <c r="C381" s="108"/>
      <c r="D381" s="116"/>
      <c r="E381" s="106"/>
      <c r="F381" s="110"/>
      <c r="G381" s="107" t="str">
        <f>C377&amp;" Hydro"</f>
        <v>Transport Hydro</v>
      </c>
      <c r="H381" s="113" t="s">
        <v>265</v>
      </c>
      <c r="I381" s="143" t="str">
        <f t="shared" si="209"/>
        <v>Transport Land-Road Hydro</v>
      </c>
      <c r="J381" s="146" t="s">
        <v>205</v>
      </c>
      <c r="K381" s="143" t="str">
        <f t="shared" si="210"/>
        <v>TRA-LRHYDExt</v>
      </c>
      <c r="L381" s="101" t="str">
        <f t="shared" si="206"/>
        <v/>
      </c>
      <c r="P381" s="122" t="str">
        <f t="shared" si="211"/>
        <v/>
      </c>
      <c r="Q381" s="114" t="str">
        <f t="shared" si="207"/>
        <v/>
      </c>
      <c r="R381" s="112" t="str">
        <f t="shared" si="212"/>
        <v/>
      </c>
      <c r="S381" s="119" t="str">
        <f t="shared" si="213"/>
        <v/>
      </c>
      <c r="T381" s="119" t="str">
        <f t="shared" si="214"/>
        <v/>
      </c>
      <c r="U381" s="119" t="str">
        <f t="shared" si="215"/>
        <v/>
      </c>
      <c r="V381" s="119" t="str">
        <f t="shared" si="216"/>
        <v/>
      </c>
      <c r="W381" s="119" t="str">
        <f t="shared" si="217"/>
        <v/>
      </c>
      <c r="X381" s="119" t="str">
        <f t="shared" si="218"/>
        <v/>
      </c>
      <c r="Y381" s="119" t="str">
        <f t="shared" si="219"/>
        <v/>
      </c>
      <c r="Z381" s="119" t="str">
        <f t="shared" si="220"/>
        <v/>
      </c>
      <c r="AA381" s="119" t="str">
        <f t="shared" si="221"/>
        <v/>
      </c>
      <c r="AB381" s="119" t="str">
        <f t="shared" si="222"/>
        <v/>
      </c>
      <c r="AC381" s="119" t="str">
        <f t="shared" si="223"/>
        <v/>
      </c>
      <c r="AD381" s="119" t="str">
        <f t="shared" si="224"/>
        <v/>
      </c>
      <c r="AG381" s="124">
        <v>0.6</v>
      </c>
      <c r="AH381" s="123">
        <v>2</v>
      </c>
      <c r="AI381" s="123">
        <v>1</v>
      </c>
      <c r="AJ381" s="123"/>
      <c r="AK381" s="123"/>
      <c r="AL381" s="123"/>
      <c r="AM381" s="123"/>
      <c r="AN381" s="123"/>
      <c r="AO381" s="123"/>
      <c r="AP381" s="123"/>
      <c r="AQ381" s="123"/>
      <c r="AR381" s="125"/>
    </row>
    <row r="382" spans="2:44" ht="12" customHeight="1">
      <c r="B382" s="116"/>
      <c r="C382" s="108"/>
      <c r="D382" s="116"/>
      <c r="E382" s="106"/>
      <c r="F382" s="110"/>
      <c r="G382" s="107" t="str">
        <f>C377&amp;" Geothermal"</f>
        <v>Transport Geothermal</v>
      </c>
      <c r="H382" s="113" t="s">
        <v>266</v>
      </c>
      <c r="I382" s="143" t="str">
        <f t="shared" si="209"/>
        <v>Transport Land-Road Geothermal</v>
      </c>
      <c r="J382" s="146" t="s">
        <v>205</v>
      </c>
      <c r="K382" s="143" t="str">
        <f t="shared" si="210"/>
        <v>TRA-LRGEOExt</v>
      </c>
      <c r="L382" s="101" t="str">
        <f t="shared" si="206"/>
        <v/>
      </c>
      <c r="P382" s="122" t="str">
        <f t="shared" si="211"/>
        <v/>
      </c>
      <c r="Q382" s="114" t="str">
        <f t="shared" si="207"/>
        <v/>
      </c>
      <c r="R382" s="112" t="str">
        <f t="shared" si="212"/>
        <v/>
      </c>
      <c r="S382" s="119" t="str">
        <f t="shared" si="213"/>
        <v/>
      </c>
      <c r="T382" s="119" t="str">
        <f t="shared" si="214"/>
        <v/>
      </c>
      <c r="U382" s="119" t="str">
        <f t="shared" si="215"/>
        <v/>
      </c>
      <c r="V382" s="119" t="str">
        <f t="shared" si="216"/>
        <v/>
      </c>
      <c r="W382" s="119" t="str">
        <f t="shared" si="217"/>
        <v/>
      </c>
      <c r="X382" s="119" t="str">
        <f t="shared" si="218"/>
        <v/>
      </c>
      <c r="Y382" s="119" t="str">
        <f t="shared" si="219"/>
        <v/>
      </c>
      <c r="Z382" s="119" t="str">
        <f t="shared" si="220"/>
        <v/>
      </c>
      <c r="AA382" s="119" t="str">
        <f t="shared" si="221"/>
        <v/>
      </c>
      <c r="AB382" s="119" t="str">
        <f t="shared" si="222"/>
        <v/>
      </c>
      <c r="AC382" s="119" t="str">
        <f t="shared" si="223"/>
        <v/>
      </c>
      <c r="AD382" s="119" t="str">
        <f t="shared" si="224"/>
        <v/>
      </c>
      <c r="AG382" s="124">
        <v>0.6</v>
      </c>
      <c r="AH382" s="123">
        <v>2</v>
      </c>
      <c r="AI382" s="123">
        <v>1</v>
      </c>
      <c r="AJ382" s="123"/>
      <c r="AK382" s="123"/>
      <c r="AL382" s="123"/>
      <c r="AM382" s="123"/>
      <c r="AN382" s="123"/>
      <c r="AO382" s="123"/>
      <c r="AP382" s="123"/>
      <c r="AQ382" s="123"/>
      <c r="AR382" s="125"/>
    </row>
    <row r="383" spans="2:44" ht="12" customHeight="1">
      <c r="B383" s="116"/>
      <c r="C383" s="108"/>
      <c r="D383" s="116"/>
      <c r="E383" s="106"/>
      <c r="F383" s="110"/>
      <c r="G383" s="107" t="str">
        <f>C377&amp;" Solar"</f>
        <v>Transport Solar</v>
      </c>
      <c r="H383" s="116" t="s">
        <v>267</v>
      </c>
      <c r="I383" s="143" t="str">
        <f t="shared" si="209"/>
        <v>Transport Land-Road Solar</v>
      </c>
      <c r="J383" s="146" t="s">
        <v>205</v>
      </c>
      <c r="K383" s="143" t="str">
        <f t="shared" si="210"/>
        <v>TRA-LRSOLExt</v>
      </c>
      <c r="L383" s="101" t="str">
        <f t="shared" si="206"/>
        <v/>
      </c>
      <c r="P383" s="122" t="str">
        <f t="shared" si="211"/>
        <v/>
      </c>
      <c r="Q383" s="114" t="str">
        <f t="shared" si="207"/>
        <v/>
      </c>
      <c r="R383" s="112" t="str">
        <f t="shared" si="212"/>
        <v/>
      </c>
      <c r="S383" s="119" t="str">
        <f t="shared" si="213"/>
        <v/>
      </c>
      <c r="T383" s="119" t="str">
        <f t="shared" si="214"/>
        <v/>
      </c>
      <c r="U383" s="119" t="str">
        <f t="shared" si="215"/>
        <v/>
      </c>
      <c r="V383" s="119" t="str">
        <f t="shared" si="216"/>
        <v/>
      </c>
      <c r="W383" s="119" t="str">
        <f t="shared" si="217"/>
        <v/>
      </c>
      <c r="X383" s="119" t="str">
        <f t="shared" si="218"/>
        <v/>
      </c>
      <c r="Y383" s="119" t="str">
        <f t="shared" si="219"/>
        <v/>
      </c>
      <c r="Z383" s="119" t="str">
        <f t="shared" si="220"/>
        <v/>
      </c>
      <c r="AA383" s="119" t="str">
        <f t="shared" si="221"/>
        <v/>
      </c>
      <c r="AB383" s="119" t="str">
        <f t="shared" si="222"/>
        <v/>
      </c>
      <c r="AC383" s="119" t="str">
        <f t="shared" si="223"/>
        <v/>
      </c>
      <c r="AD383" s="119" t="str">
        <f t="shared" si="224"/>
        <v/>
      </c>
      <c r="AG383" s="124">
        <v>0.6</v>
      </c>
      <c r="AH383" s="123">
        <v>2</v>
      </c>
      <c r="AI383" s="123">
        <v>1</v>
      </c>
      <c r="AJ383" s="123"/>
      <c r="AK383" s="123"/>
      <c r="AL383" s="123"/>
      <c r="AM383" s="123"/>
      <c r="AN383" s="123"/>
      <c r="AO383" s="123"/>
      <c r="AP383" s="123"/>
      <c r="AQ383" s="123"/>
      <c r="AR383" s="125"/>
    </row>
    <row r="384" spans="2:44" ht="12" customHeight="1">
      <c r="B384" s="116"/>
      <c r="C384" s="108"/>
      <c r="D384" s="116"/>
      <c r="E384" s="106"/>
      <c r="F384" s="110"/>
      <c r="G384" s="107" t="str">
        <f>C377&amp;" Wind"</f>
        <v>Transport Wind</v>
      </c>
      <c r="H384" s="116" t="s">
        <v>268</v>
      </c>
      <c r="I384" s="143" t="str">
        <f t="shared" si="209"/>
        <v>Transport Land-Road Wind</v>
      </c>
      <c r="J384" s="146" t="s">
        <v>205</v>
      </c>
      <c r="K384" s="143" t="str">
        <f t="shared" si="210"/>
        <v>TRA-LRWINExt</v>
      </c>
      <c r="L384" s="101" t="str">
        <f t="shared" si="206"/>
        <v/>
      </c>
      <c r="P384" s="122" t="str">
        <f t="shared" si="211"/>
        <v/>
      </c>
      <c r="Q384" s="114" t="str">
        <f t="shared" si="207"/>
        <v/>
      </c>
      <c r="R384" s="112" t="str">
        <f t="shared" si="212"/>
        <v/>
      </c>
      <c r="S384" s="119" t="str">
        <f t="shared" si="213"/>
        <v/>
      </c>
      <c r="T384" s="119" t="str">
        <f t="shared" si="214"/>
        <v/>
      </c>
      <c r="U384" s="119" t="str">
        <f t="shared" si="215"/>
        <v/>
      </c>
      <c r="V384" s="119" t="str">
        <f t="shared" si="216"/>
        <v/>
      </c>
      <c r="W384" s="119" t="str">
        <f t="shared" si="217"/>
        <v/>
      </c>
      <c r="X384" s="119" t="str">
        <f t="shared" si="218"/>
        <v/>
      </c>
      <c r="Y384" s="119" t="str">
        <f t="shared" si="219"/>
        <v/>
      </c>
      <c r="Z384" s="119" t="str">
        <f t="shared" si="220"/>
        <v/>
      </c>
      <c r="AA384" s="119" t="str">
        <f t="shared" si="221"/>
        <v/>
      </c>
      <c r="AB384" s="119" t="str">
        <f t="shared" si="222"/>
        <v/>
      </c>
      <c r="AC384" s="119" t="str">
        <f t="shared" si="223"/>
        <v/>
      </c>
      <c r="AD384" s="119" t="str">
        <f t="shared" si="224"/>
        <v/>
      </c>
      <c r="AG384" s="124">
        <v>0.6</v>
      </c>
      <c r="AH384" s="123">
        <v>2</v>
      </c>
      <c r="AI384" s="123">
        <v>1</v>
      </c>
      <c r="AJ384" s="123"/>
      <c r="AK384" s="123"/>
      <c r="AL384" s="123"/>
      <c r="AM384" s="123"/>
      <c r="AN384" s="123"/>
      <c r="AO384" s="123"/>
      <c r="AP384" s="123"/>
      <c r="AQ384" s="123"/>
      <c r="AR384" s="125"/>
    </row>
    <row r="385" spans="2:44" ht="12" customHeight="1">
      <c r="B385" s="116"/>
      <c r="C385" s="108"/>
      <c r="D385" s="116"/>
      <c r="E385" s="106"/>
      <c r="F385" s="110"/>
      <c r="G385" s="107" t="str">
        <f>C377&amp;" Bio Liquids"</f>
        <v>Transport Bio Liquids</v>
      </c>
      <c r="H385" s="116" t="s">
        <v>269</v>
      </c>
      <c r="I385" s="143" t="str">
        <f t="shared" si="209"/>
        <v>Transport Land-Road Bio Liquids</v>
      </c>
      <c r="J385" s="146" t="s">
        <v>205</v>
      </c>
      <c r="K385" s="143" t="str">
        <f t="shared" si="210"/>
        <v>TRA-LRBILExt</v>
      </c>
      <c r="L385" s="101" t="str">
        <f t="shared" si="206"/>
        <v/>
      </c>
      <c r="P385" s="122" t="str">
        <f t="shared" si="211"/>
        <v/>
      </c>
      <c r="Q385" s="114" t="str">
        <f t="shared" si="207"/>
        <v/>
      </c>
      <c r="R385" s="112" t="str">
        <f t="shared" si="212"/>
        <v/>
      </c>
      <c r="S385" s="119" t="str">
        <f t="shared" si="213"/>
        <v/>
      </c>
      <c r="T385" s="119" t="str">
        <f t="shared" si="214"/>
        <v/>
      </c>
      <c r="U385" s="119" t="str">
        <f t="shared" si="215"/>
        <v/>
      </c>
      <c r="V385" s="119" t="str">
        <f t="shared" si="216"/>
        <v/>
      </c>
      <c r="W385" s="119" t="str">
        <f t="shared" si="217"/>
        <v/>
      </c>
      <c r="X385" s="119" t="str">
        <f t="shared" si="218"/>
        <v/>
      </c>
      <c r="Y385" s="119" t="str">
        <f t="shared" si="219"/>
        <v/>
      </c>
      <c r="Z385" s="119" t="str">
        <f t="shared" si="220"/>
        <v/>
      </c>
      <c r="AA385" s="119" t="str">
        <f t="shared" si="221"/>
        <v/>
      </c>
      <c r="AB385" s="119" t="str">
        <f t="shared" si="222"/>
        <v/>
      </c>
      <c r="AC385" s="119" t="str">
        <f t="shared" si="223"/>
        <v/>
      </c>
      <c r="AD385" s="119" t="str">
        <f t="shared" si="224"/>
        <v/>
      </c>
      <c r="AG385" s="124">
        <v>0.6</v>
      </c>
      <c r="AH385" s="123">
        <v>2</v>
      </c>
      <c r="AI385" s="123">
        <v>1</v>
      </c>
      <c r="AJ385" s="123"/>
      <c r="AK385" s="123"/>
      <c r="AL385" s="123"/>
      <c r="AM385" s="123"/>
      <c r="AN385" s="123"/>
      <c r="AO385" s="123"/>
      <c r="AP385" s="123"/>
      <c r="AQ385" s="123"/>
      <c r="AR385" s="125"/>
    </row>
    <row r="386" spans="2:44" ht="12" customHeight="1">
      <c r="B386" s="116"/>
      <c r="C386" s="108"/>
      <c r="D386" s="116"/>
      <c r="E386" s="108"/>
      <c r="F386" s="116"/>
      <c r="G386" s="107" t="str">
        <f>C377&amp;" Biogas"</f>
        <v>Transport Biogas</v>
      </c>
      <c r="H386" s="116" t="s">
        <v>270</v>
      </c>
      <c r="I386" s="143" t="str">
        <f t="shared" si="209"/>
        <v>Transport Land-Road Biogas</v>
      </c>
      <c r="J386" s="146" t="s">
        <v>198</v>
      </c>
      <c r="K386" s="143" t="str">
        <f t="shared" si="210"/>
        <v>TRA-LRBIGExt</v>
      </c>
      <c r="L386" s="101" t="str">
        <f t="shared" si="206"/>
        <v>TRA-LRBIGExt</v>
      </c>
      <c r="P386" s="122" t="str">
        <f t="shared" si="211"/>
        <v>TRA-LRBIGExt</v>
      </c>
      <c r="Q386" s="114" t="str">
        <f t="shared" si="207"/>
        <v>TRA-BIG</v>
      </c>
      <c r="R386" s="112" t="str">
        <f t="shared" si="212"/>
        <v>TRA-LR</v>
      </c>
      <c r="S386" s="119">
        <f t="shared" si="213"/>
        <v>0.6</v>
      </c>
      <c r="T386" s="119">
        <f t="shared" si="214"/>
        <v>2</v>
      </c>
      <c r="U386" s="119">
        <f t="shared" si="215"/>
        <v>1</v>
      </c>
      <c r="V386" s="119">
        <f t="shared" si="216"/>
        <v>0</v>
      </c>
      <c r="W386" s="119">
        <f t="shared" si="217"/>
        <v>0</v>
      </c>
      <c r="X386" s="119">
        <f t="shared" si="218"/>
        <v>0</v>
      </c>
      <c r="Y386" s="119">
        <f t="shared" si="219"/>
        <v>0</v>
      </c>
      <c r="Z386" s="119">
        <f t="shared" si="220"/>
        <v>0</v>
      </c>
      <c r="AA386" s="119">
        <f t="shared" si="221"/>
        <v>0</v>
      </c>
      <c r="AB386" s="119">
        <f t="shared" si="222"/>
        <v>0</v>
      </c>
      <c r="AC386" s="119">
        <f t="shared" si="223"/>
        <v>0</v>
      </c>
      <c r="AD386" s="119">
        <f t="shared" si="224"/>
        <v>0</v>
      </c>
      <c r="AG386" s="124">
        <v>0.6</v>
      </c>
      <c r="AH386" s="123">
        <v>2</v>
      </c>
      <c r="AI386" s="123">
        <v>1</v>
      </c>
      <c r="AJ386" s="123"/>
      <c r="AK386" s="123"/>
      <c r="AL386" s="123"/>
      <c r="AM386" s="123"/>
      <c r="AN386" s="123"/>
      <c r="AO386" s="123"/>
      <c r="AP386" s="123"/>
      <c r="AQ386" s="123"/>
      <c r="AR386" s="125"/>
    </row>
    <row r="387" spans="2:44" ht="12" customHeight="1">
      <c r="B387" s="116"/>
      <c r="C387" s="108"/>
      <c r="D387" s="116"/>
      <c r="E387" s="108"/>
      <c r="F387" s="116"/>
      <c r="G387" s="107" t="str">
        <f>C377&amp;" Wood"</f>
        <v>Transport Wood</v>
      </c>
      <c r="H387" s="116" t="s">
        <v>271</v>
      </c>
      <c r="I387" s="143" t="str">
        <f t="shared" si="209"/>
        <v>Transport Land-Road Wood</v>
      </c>
      <c r="J387" s="146" t="s">
        <v>205</v>
      </c>
      <c r="K387" s="143" t="str">
        <f t="shared" si="210"/>
        <v>TRA-LRWODExt</v>
      </c>
      <c r="L387" s="101" t="str">
        <f t="shared" si="206"/>
        <v/>
      </c>
      <c r="P387" s="122" t="str">
        <f t="shared" si="211"/>
        <v/>
      </c>
      <c r="Q387" s="114" t="str">
        <f t="shared" si="207"/>
        <v/>
      </c>
      <c r="R387" s="112" t="str">
        <f t="shared" si="212"/>
        <v/>
      </c>
      <c r="S387" s="119" t="str">
        <f t="shared" si="213"/>
        <v/>
      </c>
      <c r="T387" s="119" t="str">
        <f t="shared" si="214"/>
        <v/>
      </c>
      <c r="U387" s="119" t="str">
        <f t="shared" si="215"/>
        <v/>
      </c>
      <c r="V387" s="119" t="str">
        <f t="shared" si="216"/>
        <v/>
      </c>
      <c r="W387" s="119" t="str">
        <f t="shared" si="217"/>
        <v/>
      </c>
      <c r="X387" s="119" t="str">
        <f t="shared" si="218"/>
        <v/>
      </c>
      <c r="Y387" s="119" t="str">
        <f t="shared" si="219"/>
        <v/>
      </c>
      <c r="Z387" s="119" t="str">
        <f t="shared" si="220"/>
        <v/>
      </c>
      <c r="AA387" s="119" t="str">
        <f t="shared" si="221"/>
        <v/>
      </c>
      <c r="AB387" s="119" t="str">
        <f t="shared" si="222"/>
        <v/>
      </c>
      <c r="AC387" s="119" t="str">
        <f t="shared" si="223"/>
        <v/>
      </c>
      <c r="AD387" s="119" t="str">
        <f t="shared" si="224"/>
        <v/>
      </c>
      <c r="AG387" s="124">
        <v>0.6</v>
      </c>
      <c r="AH387" s="123">
        <v>2</v>
      </c>
      <c r="AI387" s="123">
        <v>1</v>
      </c>
      <c r="AJ387" s="123"/>
      <c r="AK387" s="123"/>
      <c r="AL387" s="123"/>
      <c r="AM387" s="123"/>
      <c r="AN387" s="123"/>
      <c r="AO387" s="123"/>
      <c r="AP387" s="123"/>
      <c r="AQ387" s="123"/>
      <c r="AR387" s="125"/>
    </row>
    <row r="388" spans="2:44" ht="12" customHeight="1">
      <c r="B388" s="116"/>
      <c r="C388" s="108"/>
      <c r="D388" s="116"/>
      <c r="E388" s="108"/>
      <c r="F388" s="116"/>
      <c r="G388" s="107" t="str">
        <f>C377&amp;" Tidal"</f>
        <v>Transport Tidal</v>
      </c>
      <c r="H388" s="116" t="s">
        <v>272</v>
      </c>
      <c r="I388" s="143" t="str">
        <f t="shared" si="209"/>
        <v>Transport Land-Road Tidal</v>
      </c>
      <c r="J388" s="146" t="s">
        <v>205</v>
      </c>
      <c r="K388" s="143" t="str">
        <f t="shared" si="210"/>
        <v>TRA-LRTIDExt</v>
      </c>
      <c r="L388" s="101" t="str">
        <f t="shared" si="206"/>
        <v/>
      </c>
      <c r="P388" s="122" t="str">
        <f t="shared" si="211"/>
        <v/>
      </c>
      <c r="Q388" s="114" t="str">
        <f t="shared" si="207"/>
        <v/>
      </c>
      <c r="R388" s="112" t="str">
        <f t="shared" si="212"/>
        <v/>
      </c>
      <c r="S388" s="119" t="str">
        <f t="shared" si="213"/>
        <v/>
      </c>
      <c r="T388" s="119" t="str">
        <f t="shared" si="214"/>
        <v/>
      </c>
      <c r="U388" s="119" t="str">
        <f t="shared" si="215"/>
        <v/>
      </c>
      <c r="V388" s="119" t="str">
        <f t="shared" si="216"/>
        <v/>
      </c>
      <c r="W388" s="119" t="str">
        <f t="shared" si="217"/>
        <v/>
      </c>
      <c r="X388" s="119" t="str">
        <f t="shared" si="218"/>
        <v/>
      </c>
      <c r="Y388" s="119" t="str">
        <f t="shared" si="219"/>
        <v/>
      </c>
      <c r="Z388" s="119" t="str">
        <f t="shared" si="220"/>
        <v/>
      </c>
      <c r="AA388" s="119" t="str">
        <f t="shared" si="221"/>
        <v/>
      </c>
      <c r="AB388" s="119" t="str">
        <f t="shared" si="222"/>
        <v/>
      </c>
      <c r="AC388" s="119" t="str">
        <f t="shared" si="223"/>
        <v/>
      </c>
      <c r="AD388" s="119" t="str">
        <f t="shared" si="224"/>
        <v/>
      </c>
      <c r="AG388" s="124">
        <v>0.6</v>
      </c>
      <c r="AH388" s="123">
        <v>2</v>
      </c>
      <c r="AI388" s="123">
        <v>1</v>
      </c>
      <c r="AJ388" s="123"/>
      <c r="AK388" s="123"/>
      <c r="AL388" s="123"/>
      <c r="AM388" s="123"/>
      <c r="AN388" s="123"/>
      <c r="AO388" s="123"/>
      <c r="AP388" s="123"/>
      <c r="AQ388" s="123"/>
      <c r="AR388" s="125"/>
    </row>
    <row r="389" spans="2:44" ht="12" customHeight="1">
      <c r="B389" s="116"/>
      <c r="C389" s="108"/>
      <c r="D389" s="116"/>
      <c r="E389" s="108"/>
      <c r="F389" s="116"/>
      <c r="G389" s="107" t="str">
        <f>C377&amp;" Electricity"</f>
        <v>Transport Electricity</v>
      </c>
      <c r="H389" s="116" t="s">
        <v>273</v>
      </c>
      <c r="I389" s="144" t="str">
        <f t="shared" si="209"/>
        <v>Transport Land-Road Electricity</v>
      </c>
      <c r="J389" s="155" t="s">
        <v>198</v>
      </c>
      <c r="K389" s="144" t="str">
        <f t="shared" si="210"/>
        <v>TRA-LRELCExt</v>
      </c>
      <c r="L389" s="101" t="str">
        <f t="shared" si="206"/>
        <v>TRA-LRELCExt</v>
      </c>
      <c r="P389" s="122" t="str">
        <f t="shared" si="211"/>
        <v>TRA-LRELCExt</v>
      </c>
      <c r="Q389" s="114" t="str">
        <f t="shared" si="207"/>
        <v>TRA-ELC</v>
      </c>
      <c r="R389" s="112" t="str">
        <f t="shared" si="212"/>
        <v>TRA-LR</v>
      </c>
      <c r="S389" s="119">
        <f t="shared" si="213"/>
        <v>0.6</v>
      </c>
      <c r="T389" s="119">
        <f t="shared" si="214"/>
        <v>2</v>
      </c>
      <c r="U389" s="119">
        <f t="shared" si="215"/>
        <v>1</v>
      </c>
      <c r="V389" s="119">
        <f t="shared" si="216"/>
        <v>0</v>
      </c>
      <c r="W389" s="119">
        <f t="shared" si="217"/>
        <v>0</v>
      </c>
      <c r="X389" s="119">
        <f t="shared" si="218"/>
        <v>0</v>
      </c>
      <c r="Y389" s="119">
        <f t="shared" si="219"/>
        <v>0</v>
      </c>
      <c r="Z389" s="119">
        <f t="shared" si="220"/>
        <v>0</v>
      </c>
      <c r="AA389" s="119">
        <f t="shared" si="221"/>
        <v>0</v>
      </c>
      <c r="AB389" s="119">
        <f t="shared" si="222"/>
        <v>0</v>
      </c>
      <c r="AC389" s="119">
        <f t="shared" si="223"/>
        <v>0</v>
      </c>
      <c r="AD389" s="119">
        <f t="shared" si="224"/>
        <v>0</v>
      </c>
      <c r="AG389" s="124">
        <v>0.6</v>
      </c>
      <c r="AH389" s="123">
        <v>2</v>
      </c>
      <c r="AI389" s="123">
        <v>1</v>
      </c>
      <c r="AJ389" s="123"/>
      <c r="AK389" s="123"/>
      <c r="AL389" s="123"/>
      <c r="AM389" s="123"/>
      <c r="AN389" s="123"/>
      <c r="AO389" s="123"/>
      <c r="AP389" s="123"/>
      <c r="AQ389" s="123"/>
      <c r="AR389" s="125"/>
    </row>
    <row r="390" spans="2:44" ht="12" customHeight="1">
      <c r="I390" s="143" t="str">
        <f>$C$377&amp;" "&amp;$E$378&amp;" "&amp;RIGHT(G377,LEN(G377)-FIND(" ",G377))</f>
        <v>Transport Land-Other Coal</v>
      </c>
      <c r="J390" s="145" t="s">
        <v>198</v>
      </c>
      <c r="K390" s="142" t="str">
        <f>$D$377&amp;$F$378&amp;RIGHT(H377,3)&amp;$B$253</f>
        <v>TRA-LOCOAExt</v>
      </c>
      <c r="L390" s="101" t="str">
        <f t="shared" si="206"/>
        <v>TRA-LOCOAExt</v>
      </c>
      <c r="P390" s="122" t="str">
        <f t="shared" si="211"/>
        <v>TRA-LOCOAExt</v>
      </c>
      <c r="Q390" s="114" t="str">
        <f t="shared" si="207"/>
        <v>TRA-COA</v>
      </c>
      <c r="R390" s="112" t="str">
        <f t="shared" si="212"/>
        <v>TRA-LO</v>
      </c>
      <c r="S390" s="119">
        <f t="shared" si="213"/>
        <v>0.6</v>
      </c>
      <c r="T390" s="119">
        <f t="shared" si="214"/>
        <v>2</v>
      </c>
      <c r="U390" s="119">
        <f t="shared" si="215"/>
        <v>1</v>
      </c>
      <c r="V390" s="119">
        <f t="shared" si="216"/>
        <v>0</v>
      </c>
      <c r="W390" s="119">
        <f t="shared" si="217"/>
        <v>0</v>
      </c>
      <c r="X390" s="119">
        <f t="shared" si="218"/>
        <v>0</v>
      </c>
      <c r="Y390" s="119">
        <f t="shared" si="219"/>
        <v>0</v>
      </c>
      <c r="Z390" s="119">
        <f t="shared" si="220"/>
        <v>0</v>
      </c>
      <c r="AA390" s="119">
        <f t="shared" si="221"/>
        <v>0</v>
      </c>
      <c r="AB390" s="119">
        <f t="shared" si="222"/>
        <v>0</v>
      </c>
      <c r="AC390" s="119">
        <f t="shared" si="223"/>
        <v>0</v>
      </c>
      <c r="AD390" s="119">
        <f t="shared" si="224"/>
        <v>0</v>
      </c>
      <c r="AG390" s="124">
        <v>0.6</v>
      </c>
      <c r="AH390" s="123">
        <v>2</v>
      </c>
      <c r="AI390" s="123">
        <v>1</v>
      </c>
      <c r="AJ390" s="123"/>
      <c r="AK390" s="123"/>
      <c r="AL390" s="123"/>
      <c r="AM390" s="123"/>
      <c r="AN390" s="123"/>
      <c r="AO390" s="123"/>
      <c r="AP390" s="123"/>
      <c r="AQ390" s="123"/>
      <c r="AR390" s="125"/>
    </row>
    <row r="391" spans="2:44" ht="12" customHeight="1">
      <c r="I391" s="143" t="str">
        <f t="shared" ref="I391:I402" si="225">$C$377&amp;" "&amp;$E$378&amp;" "&amp;RIGHT(G378,LEN(G378)-FIND(" ",G378))</f>
        <v>Transport Land-Other Lignite</v>
      </c>
      <c r="J391" s="146" t="s">
        <v>198</v>
      </c>
      <c r="K391" s="143" t="str">
        <f t="shared" ref="K391:K402" si="226">$D$377&amp;$F$378&amp;RIGHT(H378,3)&amp;$B$253</f>
        <v>TRA-LOCOLExt</v>
      </c>
      <c r="L391" s="101" t="str">
        <f t="shared" si="206"/>
        <v>TRA-LOCOLExt</v>
      </c>
      <c r="P391" s="122" t="str">
        <f t="shared" si="211"/>
        <v>TRA-LOCOLExt</v>
      </c>
      <c r="Q391" s="114" t="str">
        <f t="shared" si="207"/>
        <v>TRA-COL</v>
      </c>
      <c r="R391" s="112" t="str">
        <f t="shared" si="212"/>
        <v>TRA-LO</v>
      </c>
      <c r="S391" s="119">
        <f t="shared" si="213"/>
        <v>0.6</v>
      </c>
      <c r="T391" s="119">
        <f t="shared" si="214"/>
        <v>2</v>
      </c>
      <c r="U391" s="119">
        <f t="shared" si="215"/>
        <v>1</v>
      </c>
      <c r="V391" s="119">
        <f t="shared" si="216"/>
        <v>0</v>
      </c>
      <c r="W391" s="119">
        <f t="shared" si="217"/>
        <v>0</v>
      </c>
      <c r="X391" s="119">
        <f t="shared" si="218"/>
        <v>0</v>
      </c>
      <c r="Y391" s="119">
        <f t="shared" si="219"/>
        <v>0</v>
      </c>
      <c r="Z391" s="119">
        <f t="shared" si="220"/>
        <v>0</v>
      </c>
      <c r="AA391" s="119">
        <f t="shared" si="221"/>
        <v>0</v>
      </c>
      <c r="AB391" s="119">
        <f t="shared" si="222"/>
        <v>0</v>
      </c>
      <c r="AC391" s="119">
        <f t="shared" si="223"/>
        <v>0</v>
      </c>
      <c r="AD391" s="119">
        <f t="shared" si="224"/>
        <v>0</v>
      </c>
      <c r="AG391" s="124">
        <v>0.6</v>
      </c>
      <c r="AH391" s="123">
        <v>2</v>
      </c>
      <c r="AI391" s="123">
        <v>1</v>
      </c>
      <c r="AJ391" s="123"/>
      <c r="AK391" s="123"/>
      <c r="AL391" s="123"/>
      <c r="AM391" s="123"/>
      <c r="AN391" s="123"/>
      <c r="AO391" s="123"/>
      <c r="AP391" s="123"/>
      <c r="AQ391" s="123"/>
      <c r="AR391" s="125"/>
    </row>
    <row r="392" spans="2:44" ht="12" customHeight="1">
      <c r="I392" s="143" t="str">
        <f t="shared" si="225"/>
        <v>Transport Land-Other Crude oil</v>
      </c>
      <c r="J392" s="146" t="s">
        <v>198</v>
      </c>
      <c r="K392" s="143" t="str">
        <f t="shared" si="226"/>
        <v>TRA-LOOILExt</v>
      </c>
      <c r="L392" s="101" t="str">
        <f t="shared" si="206"/>
        <v>TRA-LOOILExt</v>
      </c>
      <c r="P392" s="122" t="str">
        <f t="shared" si="211"/>
        <v>TRA-LOOILExt</v>
      </c>
      <c r="Q392" s="114" t="str">
        <f t="shared" si="207"/>
        <v>TRA-OIL</v>
      </c>
      <c r="R392" s="112" t="str">
        <f t="shared" si="212"/>
        <v>TRA-LO</v>
      </c>
      <c r="S392" s="119">
        <f t="shared" si="213"/>
        <v>0.6</v>
      </c>
      <c r="T392" s="119">
        <f t="shared" si="214"/>
        <v>2</v>
      </c>
      <c r="U392" s="119">
        <f t="shared" si="215"/>
        <v>1</v>
      </c>
      <c r="V392" s="119">
        <f t="shared" si="216"/>
        <v>0</v>
      </c>
      <c r="W392" s="119">
        <f t="shared" si="217"/>
        <v>0</v>
      </c>
      <c r="X392" s="119">
        <f t="shared" si="218"/>
        <v>0</v>
      </c>
      <c r="Y392" s="119">
        <f t="shared" si="219"/>
        <v>0</v>
      </c>
      <c r="Z392" s="119">
        <f t="shared" si="220"/>
        <v>0</v>
      </c>
      <c r="AA392" s="119">
        <f t="shared" si="221"/>
        <v>0</v>
      </c>
      <c r="AB392" s="119">
        <f t="shared" si="222"/>
        <v>0</v>
      </c>
      <c r="AC392" s="119">
        <f t="shared" si="223"/>
        <v>0</v>
      </c>
      <c r="AD392" s="119">
        <f t="shared" si="224"/>
        <v>0</v>
      </c>
      <c r="AG392" s="124">
        <v>0.6</v>
      </c>
      <c r="AH392" s="123">
        <v>2</v>
      </c>
      <c r="AI392" s="123">
        <v>1</v>
      </c>
      <c r="AJ392" s="123"/>
      <c r="AK392" s="123"/>
      <c r="AL392" s="123"/>
      <c r="AM392" s="123"/>
      <c r="AN392" s="123"/>
      <c r="AO392" s="123"/>
      <c r="AP392" s="123"/>
      <c r="AQ392" s="123"/>
      <c r="AR392" s="125"/>
    </row>
    <row r="393" spans="2:44" ht="12" customHeight="1">
      <c r="I393" s="143" t="str">
        <f t="shared" si="225"/>
        <v>Transport Land-Other Natural Gas</v>
      </c>
      <c r="J393" s="146" t="s">
        <v>198</v>
      </c>
      <c r="K393" s="143" t="str">
        <f t="shared" si="226"/>
        <v>TRA-LONGAExt</v>
      </c>
      <c r="L393" s="101" t="str">
        <f t="shared" si="206"/>
        <v>TRA-LONGAExt</v>
      </c>
      <c r="P393" s="122" t="str">
        <f t="shared" si="211"/>
        <v>TRA-LONGAExt</v>
      </c>
      <c r="Q393" s="114" t="str">
        <f t="shared" si="207"/>
        <v>TRA-NGA</v>
      </c>
      <c r="R393" s="112" t="str">
        <f t="shared" si="212"/>
        <v>TRA-LO</v>
      </c>
      <c r="S393" s="119">
        <f t="shared" si="213"/>
        <v>0.6</v>
      </c>
      <c r="T393" s="119">
        <f t="shared" si="214"/>
        <v>2</v>
      </c>
      <c r="U393" s="119">
        <f t="shared" si="215"/>
        <v>1</v>
      </c>
      <c r="V393" s="119">
        <f t="shared" si="216"/>
        <v>0</v>
      </c>
      <c r="W393" s="119">
        <f t="shared" si="217"/>
        <v>0</v>
      </c>
      <c r="X393" s="119">
        <f t="shared" si="218"/>
        <v>0</v>
      </c>
      <c r="Y393" s="119">
        <f t="shared" si="219"/>
        <v>0</v>
      </c>
      <c r="Z393" s="119">
        <f t="shared" si="220"/>
        <v>0</v>
      </c>
      <c r="AA393" s="119">
        <f t="shared" si="221"/>
        <v>0</v>
      </c>
      <c r="AB393" s="119">
        <f t="shared" si="222"/>
        <v>0</v>
      </c>
      <c r="AC393" s="119">
        <f t="shared" si="223"/>
        <v>0</v>
      </c>
      <c r="AD393" s="119">
        <f t="shared" si="224"/>
        <v>0</v>
      </c>
      <c r="AG393" s="124">
        <v>0.6</v>
      </c>
      <c r="AH393" s="123">
        <v>2</v>
      </c>
      <c r="AI393" s="123">
        <v>1</v>
      </c>
      <c r="AJ393" s="123"/>
      <c r="AK393" s="123"/>
      <c r="AL393" s="123"/>
      <c r="AM393" s="123"/>
      <c r="AN393" s="123"/>
      <c r="AO393" s="123"/>
      <c r="AP393" s="123"/>
      <c r="AQ393" s="123"/>
      <c r="AR393" s="125"/>
    </row>
    <row r="394" spans="2:44" ht="12" customHeight="1">
      <c r="I394" s="143" t="str">
        <f t="shared" si="225"/>
        <v>Transport Land-Other Hydro</v>
      </c>
      <c r="J394" s="146" t="s">
        <v>205</v>
      </c>
      <c r="K394" s="143" t="str">
        <f t="shared" si="226"/>
        <v>TRA-LOHYDExt</v>
      </c>
      <c r="L394" s="101" t="str">
        <f t="shared" si="206"/>
        <v/>
      </c>
      <c r="P394" s="122" t="str">
        <f t="shared" si="211"/>
        <v/>
      </c>
      <c r="Q394" s="114" t="str">
        <f t="shared" si="207"/>
        <v/>
      </c>
      <c r="R394" s="112" t="str">
        <f t="shared" si="212"/>
        <v/>
      </c>
      <c r="S394" s="119" t="str">
        <f t="shared" si="213"/>
        <v/>
      </c>
      <c r="T394" s="119" t="str">
        <f t="shared" si="214"/>
        <v/>
      </c>
      <c r="U394" s="119" t="str">
        <f t="shared" si="215"/>
        <v/>
      </c>
      <c r="V394" s="119" t="str">
        <f t="shared" si="216"/>
        <v/>
      </c>
      <c r="W394" s="119" t="str">
        <f t="shared" si="217"/>
        <v/>
      </c>
      <c r="X394" s="119" t="str">
        <f t="shared" si="218"/>
        <v/>
      </c>
      <c r="Y394" s="119" t="str">
        <f t="shared" si="219"/>
        <v/>
      </c>
      <c r="Z394" s="119" t="str">
        <f t="shared" si="220"/>
        <v/>
      </c>
      <c r="AA394" s="119" t="str">
        <f t="shared" si="221"/>
        <v/>
      </c>
      <c r="AB394" s="119" t="str">
        <f t="shared" si="222"/>
        <v/>
      </c>
      <c r="AC394" s="119" t="str">
        <f t="shared" si="223"/>
        <v/>
      </c>
      <c r="AD394" s="119" t="str">
        <f t="shared" si="224"/>
        <v/>
      </c>
      <c r="AG394" s="124">
        <v>0.6</v>
      </c>
      <c r="AH394" s="123">
        <v>2</v>
      </c>
      <c r="AI394" s="123">
        <v>1</v>
      </c>
      <c r="AJ394" s="123"/>
      <c r="AK394" s="123"/>
      <c r="AL394" s="123"/>
      <c r="AM394" s="123"/>
      <c r="AN394" s="123"/>
      <c r="AO394" s="123"/>
      <c r="AP394" s="123"/>
      <c r="AQ394" s="123"/>
      <c r="AR394" s="125"/>
    </row>
    <row r="395" spans="2:44" ht="12" customHeight="1">
      <c r="I395" s="143" t="str">
        <f t="shared" si="225"/>
        <v>Transport Land-Other Geothermal</v>
      </c>
      <c r="J395" s="146" t="s">
        <v>205</v>
      </c>
      <c r="K395" s="143" t="str">
        <f t="shared" si="226"/>
        <v>TRA-LOGEOExt</v>
      </c>
      <c r="L395" s="101" t="str">
        <f t="shared" si="206"/>
        <v/>
      </c>
      <c r="P395" s="122" t="str">
        <f t="shared" si="211"/>
        <v/>
      </c>
      <c r="Q395" s="114" t="str">
        <f t="shared" si="207"/>
        <v/>
      </c>
      <c r="R395" s="112" t="str">
        <f t="shared" si="212"/>
        <v/>
      </c>
      <c r="S395" s="119" t="str">
        <f t="shared" si="213"/>
        <v/>
      </c>
      <c r="T395" s="119" t="str">
        <f t="shared" si="214"/>
        <v/>
      </c>
      <c r="U395" s="119" t="str">
        <f t="shared" si="215"/>
        <v/>
      </c>
      <c r="V395" s="119" t="str">
        <f t="shared" si="216"/>
        <v/>
      </c>
      <c r="W395" s="119" t="str">
        <f t="shared" si="217"/>
        <v/>
      </c>
      <c r="X395" s="119" t="str">
        <f t="shared" si="218"/>
        <v/>
      </c>
      <c r="Y395" s="119" t="str">
        <f t="shared" si="219"/>
        <v/>
      </c>
      <c r="Z395" s="119" t="str">
        <f t="shared" si="220"/>
        <v/>
      </c>
      <c r="AA395" s="119" t="str">
        <f t="shared" si="221"/>
        <v/>
      </c>
      <c r="AB395" s="119" t="str">
        <f t="shared" si="222"/>
        <v/>
      </c>
      <c r="AC395" s="119" t="str">
        <f t="shared" si="223"/>
        <v/>
      </c>
      <c r="AD395" s="119" t="str">
        <f t="shared" si="224"/>
        <v/>
      </c>
      <c r="AG395" s="124">
        <v>0.6</v>
      </c>
      <c r="AH395" s="123">
        <v>2</v>
      </c>
      <c r="AI395" s="123">
        <v>1</v>
      </c>
      <c r="AJ395" s="123"/>
      <c r="AK395" s="123"/>
      <c r="AL395" s="123"/>
      <c r="AM395" s="123"/>
      <c r="AN395" s="123"/>
      <c r="AO395" s="123"/>
      <c r="AP395" s="123"/>
      <c r="AQ395" s="123"/>
      <c r="AR395" s="125"/>
    </row>
    <row r="396" spans="2:44" ht="12" customHeight="1">
      <c r="I396" s="143" t="str">
        <f t="shared" si="225"/>
        <v>Transport Land-Other Solar</v>
      </c>
      <c r="J396" s="146" t="s">
        <v>205</v>
      </c>
      <c r="K396" s="143" t="str">
        <f t="shared" si="226"/>
        <v>TRA-LOSOLExt</v>
      </c>
      <c r="L396" s="101" t="str">
        <f t="shared" si="206"/>
        <v/>
      </c>
      <c r="P396" s="122" t="str">
        <f t="shared" si="211"/>
        <v/>
      </c>
      <c r="Q396" s="114" t="str">
        <f t="shared" si="207"/>
        <v/>
      </c>
      <c r="R396" s="112" t="str">
        <f t="shared" si="212"/>
        <v/>
      </c>
      <c r="S396" s="119" t="str">
        <f t="shared" si="213"/>
        <v/>
      </c>
      <c r="T396" s="119" t="str">
        <f t="shared" si="214"/>
        <v/>
      </c>
      <c r="U396" s="119" t="str">
        <f t="shared" si="215"/>
        <v/>
      </c>
      <c r="V396" s="119" t="str">
        <f t="shared" si="216"/>
        <v/>
      </c>
      <c r="W396" s="119" t="str">
        <f t="shared" si="217"/>
        <v/>
      </c>
      <c r="X396" s="119" t="str">
        <f t="shared" si="218"/>
        <v/>
      </c>
      <c r="Y396" s="119" t="str">
        <f t="shared" si="219"/>
        <v/>
      </c>
      <c r="Z396" s="119" t="str">
        <f t="shared" si="220"/>
        <v/>
      </c>
      <c r="AA396" s="119" t="str">
        <f t="shared" si="221"/>
        <v/>
      </c>
      <c r="AB396" s="119" t="str">
        <f t="shared" si="222"/>
        <v/>
      </c>
      <c r="AC396" s="119" t="str">
        <f t="shared" si="223"/>
        <v/>
      </c>
      <c r="AD396" s="119" t="str">
        <f t="shared" si="224"/>
        <v/>
      </c>
      <c r="AG396" s="124">
        <v>0.6</v>
      </c>
      <c r="AH396" s="123">
        <v>2</v>
      </c>
      <c r="AI396" s="123">
        <v>1</v>
      </c>
      <c r="AJ396" s="123"/>
      <c r="AK396" s="123"/>
      <c r="AL396" s="123"/>
      <c r="AM396" s="123"/>
      <c r="AN396" s="123"/>
      <c r="AO396" s="123"/>
      <c r="AP396" s="123"/>
      <c r="AQ396" s="123"/>
      <c r="AR396" s="125"/>
    </row>
    <row r="397" spans="2:44" ht="12" customHeight="1">
      <c r="I397" s="143" t="str">
        <f t="shared" si="225"/>
        <v>Transport Land-Other Wind</v>
      </c>
      <c r="J397" s="146" t="s">
        <v>205</v>
      </c>
      <c r="K397" s="143" t="str">
        <f t="shared" si="226"/>
        <v>TRA-LOWINExt</v>
      </c>
      <c r="L397" s="101" t="str">
        <f t="shared" si="206"/>
        <v/>
      </c>
      <c r="P397" s="122" t="str">
        <f t="shared" si="211"/>
        <v/>
      </c>
      <c r="Q397" s="114" t="str">
        <f t="shared" si="207"/>
        <v/>
      </c>
      <c r="R397" s="112" t="str">
        <f t="shared" si="212"/>
        <v/>
      </c>
      <c r="S397" s="119" t="str">
        <f t="shared" si="213"/>
        <v/>
      </c>
      <c r="T397" s="119" t="str">
        <f t="shared" si="214"/>
        <v/>
      </c>
      <c r="U397" s="119" t="str">
        <f t="shared" si="215"/>
        <v/>
      </c>
      <c r="V397" s="119" t="str">
        <f t="shared" si="216"/>
        <v/>
      </c>
      <c r="W397" s="119" t="str">
        <f t="shared" si="217"/>
        <v/>
      </c>
      <c r="X397" s="119" t="str">
        <f t="shared" si="218"/>
        <v/>
      </c>
      <c r="Y397" s="119" t="str">
        <f t="shared" si="219"/>
        <v/>
      </c>
      <c r="Z397" s="119" t="str">
        <f t="shared" si="220"/>
        <v/>
      </c>
      <c r="AA397" s="119" t="str">
        <f t="shared" si="221"/>
        <v/>
      </c>
      <c r="AB397" s="119" t="str">
        <f t="shared" si="222"/>
        <v/>
      </c>
      <c r="AC397" s="119" t="str">
        <f t="shared" si="223"/>
        <v/>
      </c>
      <c r="AD397" s="119" t="str">
        <f t="shared" si="224"/>
        <v/>
      </c>
      <c r="AG397" s="124">
        <v>0.6</v>
      </c>
      <c r="AH397" s="123">
        <v>2</v>
      </c>
      <c r="AI397" s="123">
        <v>1</v>
      </c>
      <c r="AJ397" s="123"/>
      <c r="AK397" s="123"/>
      <c r="AL397" s="123"/>
      <c r="AM397" s="123"/>
      <c r="AN397" s="123"/>
      <c r="AO397" s="123"/>
      <c r="AP397" s="123"/>
      <c r="AQ397" s="123"/>
      <c r="AR397" s="125"/>
    </row>
    <row r="398" spans="2:44" ht="12" customHeight="1">
      <c r="I398" s="143" t="str">
        <f t="shared" si="225"/>
        <v>Transport Land-Other Bio Liquids</v>
      </c>
      <c r="J398" s="146" t="s">
        <v>205</v>
      </c>
      <c r="K398" s="143" t="str">
        <f t="shared" si="226"/>
        <v>TRA-LOBILExt</v>
      </c>
      <c r="L398" s="101" t="str">
        <f t="shared" si="206"/>
        <v/>
      </c>
      <c r="P398" s="122" t="str">
        <f t="shared" si="211"/>
        <v/>
      </c>
      <c r="Q398" s="114" t="str">
        <f t="shared" si="207"/>
        <v/>
      </c>
      <c r="R398" s="112" t="str">
        <f t="shared" si="212"/>
        <v/>
      </c>
      <c r="S398" s="119" t="str">
        <f t="shared" si="213"/>
        <v/>
      </c>
      <c r="T398" s="119" t="str">
        <f t="shared" si="214"/>
        <v/>
      </c>
      <c r="U398" s="119" t="str">
        <f t="shared" si="215"/>
        <v/>
      </c>
      <c r="V398" s="119" t="str">
        <f t="shared" si="216"/>
        <v/>
      </c>
      <c r="W398" s="119" t="str">
        <f t="shared" si="217"/>
        <v/>
      </c>
      <c r="X398" s="119" t="str">
        <f t="shared" si="218"/>
        <v/>
      </c>
      <c r="Y398" s="119" t="str">
        <f t="shared" si="219"/>
        <v/>
      </c>
      <c r="Z398" s="119" t="str">
        <f t="shared" si="220"/>
        <v/>
      </c>
      <c r="AA398" s="119" t="str">
        <f t="shared" si="221"/>
        <v/>
      </c>
      <c r="AB398" s="119" t="str">
        <f t="shared" si="222"/>
        <v/>
      </c>
      <c r="AC398" s="119" t="str">
        <f t="shared" si="223"/>
        <v/>
      </c>
      <c r="AD398" s="119" t="str">
        <f t="shared" si="224"/>
        <v/>
      </c>
      <c r="AG398" s="124">
        <v>0.6</v>
      </c>
      <c r="AH398" s="123">
        <v>2</v>
      </c>
      <c r="AI398" s="123">
        <v>1</v>
      </c>
      <c r="AJ398" s="123"/>
      <c r="AK398" s="123"/>
      <c r="AL398" s="123"/>
      <c r="AM398" s="123"/>
      <c r="AN398" s="123"/>
      <c r="AO398" s="123"/>
      <c r="AP398" s="123"/>
      <c r="AQ398" s="123"/>
      <c r="AR398" s="125"/>
    </row>
    <row r="399" spans="2:44" ht="12" customHeight="1">
      <c r="I399" s="143" t="str">
        <f t="shared" si="225"/>
        <v>Transport Land-Other Biogas</v>
      </c>
      <c r="J399" s="146" t="s">
        <v>198</v>
      </c>
      <c r="K399" s="143" t="str">
        <f t="shared" si="226"/>
        <v>TRA-LOBIGExt</v>
      </c>
      <c r="L399" s="101" t="str">
        <f t="shared" ref="L399:L402" si="227">IF(J399="Yes",K399,"")</f>
        <v>TRA-LOBIGExt</v>
      </c>
      <c r="P399" s="122" t="str">
        <f t="shared" si="211"/>
        <v>TRA-LOBIGExt</v>
      </c>
      <c r="Q399" s="114" t="str">
        <f t="shared" si="207"/>
        <v>TRA-BIG</v>
      </c>
      <c r="R399" s="112" t="str">
        <f t="shared" si="212"/>
        <v>TRA-LO</v>
      </c>
      <c r="S399" s="119">
        <f t="shared" si="213"/>
        <v>0.6</v>
      </c>
      <c r="T399" s="119">
        <f t="shared" si="214"/>
        <v>2</v>
      </c>
      <c r="U399" s="119">
        <f t="shared" si="215"/>
        <v>1</v>
      </c>
      <c r="V399" s="119">
        <f t="shared" si="216"/>
        <v>0</v>
      </c>
      <c r="W399" s="119">
        <f t="shared" si="217"/>
        <v>0</v>
      </c>
      <c r="X399" s="119">
        <f t="shared" si="218"/>
        <v>0</v>
      </c>
      <c r="Y399" s="119">
        <f t="shared" si="219"/>
        <v>0</v>
      </c>
      <c r="Z399" s="119">
        <f t="shared" si="220"/>
        <v>0</v>
      </c>
      <c r="AA399" s="119">
        <f t="shared" si="221"/>
        <v>0</v>
      </c>
      <c r="AB399" s="119">
        <f t="shared" si="222"/>
        <v>0</v>
      </c>
      <c r="AC399" s="119">
        <f t="shared" si="223"/>
        <v>0</v>
      </c>
      <c r="AD399" s="119">
        <f t="shared" si="224"/>
        <v>0</v>
      </c>
      <c r="AG399" s="124">
        <v>0.6</v>
      </c>
      <c r="AH399" s="123">
        <v>2</v>
      </c>
      <c r="AI399" s="123">
        <v>1</v>
      </c>
      <c r="AJ399" s="123"/>
      <c r="AK399" s="123"/>
      <c r="AL399" s="123"/>
      <c r="AM399" s="123"/>
      <c r="AN399" s="123"/>
      <c r="AO399" s="123"/>
      <c r="AP399" s="123"/>
      <c r="AQ399" s="123"/>
      <c r="AR399" s="125"/>
    </row>
    <row r="400" spans="2:44" ht="12" customHeight="1">
      <c r="I400" s="143" t="str">
        <f t="shared" si="225"/>
        <v>Transport Land-Other Wood</v>
      </c>
      <c r="J400" s="146" t="s">
        <v>205</v>
      </c>
      <c r="K400" s="143" t="str">
        <f t="shared" si="226"/>
        <v>TRA-LOWODExt</v>
      </c>
      <c r="L400" s="101" t="str">
        <f t="shared" si="227"/>
        <v/>
      </c>
      <c r="P400" s="122" t="str">
        <f t="shared" si="211"/>
        <v/>
      </c>
      <c r="Q400" s="114" t="str">
        <f t="shared" si="207"/>
        <v/>
      </c>
      <c r="R400" s="112" t="str">
        <f t="shared" si="212"/>
        <v/>
      </c>
      <c r="S400" s="119" t="str">
        <f t="shared" si="213"/>
        <v/>
      </c>
      <c r="T400" s="119" t="str">
        <f t="shared" si="214"/>
        <v/>
      </c>
      <c r="U400" s="119" t="str">
        <f t="shared" si="215"/>
        <v/>
      </c>
      <c r="V400" s="119" t="str">
        <f t="shared" si="216"/>
        <v/>
      </c>
      <c r="W400" s="119" t="str">
        <f t="shared" si="217"/>
        <v/>
      </c>
      <c r="X400" s="119" t="str">
        <f t="shared" si="218"/>
        <v/>
      </c>
      <c r="Y400" s="119" t="str">
        <f t="shared" si="219"/>
        <v/>
      </c>
      <c r="Z400" s="119" t="str">
        <f t="shared" si="220"/>
        <v/>
      </c>
      <c r="AA400" s="119" t="str">
        <f t="shared" si="221"/>
        <v/>
      </c>
      <c r="AB400" s="119" t="str">
        <f t="shared" si="222"/>
        <v/>
      </c>
      <c r="AC400" s="119" t="str">
        <f t="shared" si="223"/>
        <v/>
      </c>
      <c r="AD400" s="119" t="str">
        <f t="shared" si="224"/>
        <v/>
      </c>
      <c r="AG400" s="124">
        <v>0.6</v>
      </c>
      <c r="AH400" s="123">
        <v>2</v>
      </c>
      <c r="AI400" s="123">
        <v>1</v>
      </c>
      <c r="AJ400" s="123"/>
      <c r="AK400" s="123"/>
      <c r="AL400" s="123"/>
      <c r="AM400" s="123"/>
      <c r="AN400" s="123"/>
      <c r="AO400" s="123"/>
      <c r="AP400" s="123"/>
      <c r="AQ400" s="123"/>
      <c r="AR400" s="125"/>
    </row>
    <row r="401" spans="9:44" ht="12" customHeight="1">
      <c r="I401" s="143" t="str">
        <f t="shared" si="225"/>
        <v>Transport Land-Other Tidal</v>
      </c>
      <c r="J401" s="146" t="s">
        <v>205</v>
      </c>
      <c r="K401" s="143" t="str">
        <f t="shared" si="226"/>
        <v>TRA-LOTIDExt</v>
      </c>
      <c r="L401" s="101" t="str">
        <f t="shared" si="227"/>
        <v/>
      </c>
      <c r="P401" s="122" t="str">
        <f t="shared" si="211"/>
        <v/>
      </c>
      <c r="Q401" s="114" t="str">
        <f t="shared" si="207"/>
        <v/>
      </c>
      <c r="R401" s="112" t="str">
        <f t="shared" si="212"/>
        <v/>
      </c>
      <c r="S401" s="119" t="str">
        <f t="shared" si="213"/>
        <v/>
      </c>
      <c r="T401" s="119" t="str">
        <f t="shared" si="214"/>
        <v/>
      </c>
      <c r="U401" s="119" t="str">
        <f t="shared" si="215"/>
        <v/>
      </c>
      <c r="V401" s="119" t="str">
        <f t="shared" si="216"/>
        <v/>
      </c>
      <c r="W401" s="119" t="str">
        <f t="shared" si="217"/>
        <v/>
      </c>
      <c r="X401" s="119" t="str">
        <f t="shared" si="218"/>
        <v/>
      </c>
      <c r="Y401" s="119" t="str">
        <f t="shared" si="219"/>
        <v/>
      </c>
      <c r="Z401" s="119" t="str">
        <f t="shared" si="220"/>
        <v/>
      </c>
      <c r="AA401" s="119" t="str">
        <f t="shared" si="221"/>
        <v/>
      </c>
      <c r="AB401" s="119" t="str">
        <f t="shared" si="222"/>
        <v/>
      </c>
      <c r="AC401" s="119" t="str">
        <f t="shared" si="223"/>
        <v/>
      </c>
      <c r="AD401" s="119" t="str">
        <f t="shared" si="224"/>
        <v/>
      </c>
      <c r="AG401" s="124">
        <v>0.6</v>
      </c>
      <c r="AH401" s="123">
        <v>2</v>
      </c>
      <c r="AI401" s="123">
        <v>1</v>
      </c>
      <c r="AJ401" s="123"/>
      <c r="AK401" s="123"/>
      <c r="AL401" s="123"/>
      <c r="AM401" s="123"/>
      <c r="AN401" s="123"/>
      <c r="AO401" s="123"/>
      <c r="AP401" s="123"/>
      <c r="AQ401" s="123"/>
      <c r="AR401" s="125"/>
    </row>
    <row r="402" spans="9:44" ht="12" customHeight="1">
      <c r="I402" s="143" t="str">
        <f t="shared" si="225"/>
        <v>Transport Land-Other Electricity</v>
      </c>
      <c r="J402" s="155" t="s">
        <v>198</v>
      </c>
      <c r="K402" s="144" t="str">
        <f t="shared" si="226"/>
        <v>TRA-LOELCExt</v>
      </c>
      <c r="L402" s="101" t="str">
        <f t="shared" si="227"/>
        <v>TRA-LOELCExt</v>
      </c>
      <c r="P402" s="122" t="str">
        <f t="shared" si="211"/>
        <v>TRA-LOELCExt</v>
      </c>
      <c r="Q402" s="114" t="str">
        <f t="shared" si="207"/>
        <v>TRA-ELC</v>
      </c>
      <c r="R402" s="112" t="str">
        <f t="shared" si="212"/>
        <v>TRA-LO</v>
      </c>
      <c r="S402" s="119">
        <f t="shared" si="213"/>
        <v>0.6</v>
      </c>
      <c r="T402" s="119">
        <f t="shared" si="214"/>
        <v>2</v>
      </c>
      <c r="U402" s="119">
        <f t="shared" si="215"/>
        <v>1</v>
      </c>
      <c r="V402" s="119">
        <f t="shared" si="216"/>
        <v>0</v>
      </c>
      <c r="W402" s="119">
        <f t="shared" si="217"/>
        <v>0</v>
      </c>
      <c r="X402" s="119">
        <f t="shared" si="218"/>
        <v>0</v>
      </c>
      <c r="Y402" s="119">
        <f t="shared" si="219"/>
        <v>0</v>
      </c>
      <c r="Z402" s="119">
        <f t="shared" si="220"/>
        <v>0</v>
      </c>
      <c r="AA402" s="119">
        <f t="shared" si="221"/>
        <v>0</v>
      </c>
      <c r="AB402" s="119">
        <f t="shared" si="222"/>
        <v>0</v>
      </c>
      <c r="AC402" s="119">
        <f t="shared" si="223"/>
        <v>0</v>
      </c>
      <c r="AD402" s="119">
        <f t="shared" si="224"/>
        <v>0</v>
      </c>
      <c r="AG402" s="124">
        <v>0.6</v>
      </c>
      <c r="AH402" s="123">
        <v>2</v>
      </c>
      <c r="AI402" s="123">
        <v>1</v>
      </c>
      <c r="AJ402" s="123"/>
      <c r="AK402" s="123"/>
      <c r="AL402" s="123"/>
      <c r="AM402" s="123"/>
      <c r="AN402" s="123"/>
      <c r="AO402" s="123"/>
      <c r="AP402" s="123"/>
      <c r="AQ402" s="123"/>
      <c r="AR402" s="125"/>
    </row>
    <row r="403" spans="9:44" ht="12" customHeight="1">
      <c r="I403" s="142" t="str">
        <f>$C$377&amp;" "&amp;$E$379&amp;" "&amp;RIGHT(G377,LEN(G377)-FIND(" ",G377))</f>
        <v>Transport Aviation Coal</v>
      </c>
      <c r="J403" s="146" t="s">
        <v>205</v>
      </c>
      <c r="K403" s="142" t="str">
        <f>$D$377&amp;$F$379&amp;RIGHT(H377,3)&amp;$B$253</f>
        <v>TRA-AVCOAExt</v>
      </c>
      <c r="L403" s="101" t="str">
        <f t="shared" ref="L403:L409" si="228">IF(J403="Yes",K403,"")</f>
        <v/>
      </c>
      <c r="P403" s="122" t="str">
        <f t="shared" si="211"/>
        <v/>
      </c>
      <c r="Q403" s="114" t="str">
        <f t="shared" si="207"/>
        <v/>
      </c>
      <c r="R403" s="112" t="str">
        <f t="shared" si="212"/>
        <v/>
      </c>
      <c r="S403" s="119" t="str">
        <f t="shared" si="213"/>
        <v/>
      </c>
      <c r="T403" s="119" t="str">
        <f t="shared" si="214"/>
        <v/>
      </c>
      <c r="U403" s="119" t="str">
        <f t="shared" si="215"/>
        <v/>
      </c>
      <c r="V403" s="119" t="str">
        <f t="shared" si="216"/>
        <v/>
      </c>
      <c r="W403" s="119" t="str">
        <f t="shared" si="217"/>
        <v/>
      </c>
      <c r="X403" s="119" t="str">
        <f t="shared" si="218"/>
        <v/>
      </c>
      <c r="Y403" s="119" t="str">
        <f t="shared" si="219"/>
        <v/>
      </c>
      <c r="Z403" s="119" t="str">
        <f t="shared" si="220"/>
        <v/>
      </c>
      <c r="AA403" s="119" t="str">
        <f t="shared" si="221"/>
        <v/>
      </c>
      <c r="AB403" s="119" t="str">
        <f t="shared" si="222"/>
        <v/>
      </c>
      <c r="AC403" s="119" t="str">
        <f t="shared" si="223"/>
        <v/>
      </c>
      <c r="AD403" s="119" t="str">
        <f t="shared" si="224"/>
        <v/>
      </c>
      <c r="AG403" s="124">
        <v>0.6</v>
      </c>
      <c r="AH403" s="123">
        <v>2</v>
      </c>
      <c r="AI403" s="123">
        <v>1</v>
      </c>
      <c r="AJ403" s="123"/>
      <c r="AK403" s="123"/>
      <c r="AL403" s="123"/>
      <c r="AM403" s="123"/>
      <c r="AN403" s="123"/>
      <c r="AO403" s="123"/>
      <c r="AP403" s="123"/>
      <c r="AQ403" s="123"/>
      <c r="AR403" s="125"/>
    </row>
    <row r="404" spans="9:44" ht="12" customHeight="1">
      <c r="I404" s="143" t="str">
        <f t="shared" ref="I404:I415" si="229">$C$377&amp;" "&amp;$E$379&amp;" "&amp;RIGHT(G378,LEN(G378)-FIND(" ",G378))</f>
        <v>Transport Aviation Lignite</v>
      </c>
      <c r="J404" s="146" t="s">
        <v>205</v>
      </c>
      <c r="K404" s="143" t="str">
        <f t="shared" ref="K404:K415" si="230">$D$377&amp;$F$379&amp;RIGHT(H378,3)&amp;$B$253</f>
        <v>TRA-AVCOLExt</v>
      </c>
      <c r="L404" s="101" t="str">
        <f t="shared" si="228"/>
        <v/>
      </c>
      <c r="P404" s="122" t="str">
        <f t="shared" si="211"/>
        <v/>
      </c>
      <c r="Q404" s="114" t="str">
        <f t="shared" si="207"/>
        <v/>
      </c>
      <c r="R404" s="112" t="str">
        <f t="shared" si="212"/>
        <v/>
      </c>
      <c r="S404" s="119" t="str">
        <f t="shared" si="213"/>
        <v/>
      </c>
      <c r="T404" s="119" t="str">
        <f t="shared" si="214"/>
        <v/>
      </c>
      <c r="U404" s="119" t="str">
        <f t="shared" si="215"/>
        <v/>
      </c>
      <c r="V404" s="119" t="str">
        <f t="shared" si="216"/>
        <v/>
      </c>
      <c r="W404" s="119" t="str">
        <f t="shared" si="217"/>
        <v/>
      </c>
      <c r="X404" s="119" t="str">
        <f t="shared" si="218"/>
        <v/>
      </c>
      <c r="Y404" s="119" t="str">
        <f t="shared" si="219"/>
        <v/>
      </c>
      <c r="Z404" s="119" t="str">
        <f t="shared" si="220"/>
        <v/>
      </c>
      <c r="AA404" s="119" t="str">
        <f t="shared" si="221"/>
        <v/>
      </c>
      <c r="AB404" s="119" t="str">
        <f t="shared" si="222"/>
        <v/>
      </c>
      <c r="AC404" s="119" t="str">
        <f t="shared" si="223"/>
        <v/>
      </c>
      <c r="AD404" s="119" t="str">
        <f t="shared" si="224"/>
        <v/>
      </c>
      <c r="AG404" s="124">
        <v>0.6</v>
      </c>
      <c r="AH404" s="123">
        <v>2</v>
      </c>
      <c r="AI404" s="123">
        <v>1</v>
      </c>
      <c r="AJ404" s="123"/>
      <c r="AK404" s="123"/>
      <c r="AL404" s="123"/>
      <c r="AM404" s="123"/>
      <c r="AN404" s="123"/>
      <c r="AO404" s="123"/>
      <c r="AP404" s="123"/>
      <c r="AQ404" s="123"/>
      <c r="AR404" s="125"/>
    </row>
    <row r="405" spans="9:44" ht="12" customHeight="1">
      <c r="I405" s="143" t="str">
        <f t="shared" si="229"/>
        <v>Transport Aviation Crude oil</v>
      </c>
      <c r="J405" s="146" t="s">
        <v>198</v>
      </c>
      <c r="K405" s="143" t="str">
        <f t="shared" si="230"/>
        <v>TRA-AVOILExt</v>
      </c>
      <c r="L405" s="101" t="str">
        <f t="shared" si="228"/>
        <v>TRA-AVOILExt</v>
      </c>
      <c r="P405" s="122" t="str">
        <f t="shared" si="211"/>
        <v>TRA-AVOILExt</v>
      </c>
      <c r="Q405" s="114" t="str">
        <f t="shared" si="207"/>
        <v>TRA-OIL</v>
      </c>
      <c r="R405" s="112" t="str">
        <f t="shared" si="212"/>
        <v>TRA-AV</v>
      </c>
      <c r="S405" s="119">
        <f t="shared" si="213"/>
        <v>0.6</v>
      </c>
      <c r="T405" s="119">
        <f t="shared" si="214"/>
        <v>2</v>
      </c>
      <c r="U405" s="119">
        <f t="shared" si="215"/>
        <v>1</v>
      </c>
      <c r="V405" s="119">
        <f t="shared" si="216"/>
        <v>0</v>
      </c>
      <c r="W405" s="119">
        <f t="shared" si="217"/>
        <v>0</v>
      </c>
      <c r="X405" s="119">
        <f t="shared" si="218"/>
        <v>0</v>
      </c>
      <c r="Y405" s="119">
        <f t="shared" si="219"/>
        <v>0</v>
      </c>
      <c r="Z405" s="119">
        <f t="shared" si="220"/>
        <v>0</v>
      </c>
      <c r="AA405" s="119">
        <f t="shared" si="221"/>
        <v>0</v>
      </c>
      <c r="AB405" s="119">
        <f t="shared" si="222"/>
        <v>0</v>
      </c>
      <c r="AC405" s="119">
        <f t="shared" si="223"/>
        <v>0</v>
      </c>
      <c r="AD405" s="119">
        <f t="shared" si="224"/>
        <v>0</v>
      </c>
      <c r="AG405" s="124">
        <v>0.6</v>
      </c>
      <c r="AH405" s="123">
        <v>2</v>
      </c>
      <c r="AI405" s="123">
        <v>1</v>
      </c>
      <c r="AJ405" s="123"/>
      <c r="AK405" s="123"/>
      <c r="AL405" s="123"/>
      <c r="AM405" s="123"/>
      <c r="AN405" s="123"/>
      <c r="AO405" s="123"/>
      <c r="AP405" s="123"/>
      <c r="AQ405" s="123"/>
      <c r="AR405" s="125"/>
    </row>
    <row r="406" spans="9:44" ht="12" customHeight="1">
      <c r="I406" s="143" t="str">
        <f t="shared" si="229"/>
        <v>Transport Aviation Natural Gas</v>
      </c>
      <c r="J406" s="146" t="s">
        <v>198</v>
      </c>
      <c r="K406" s="143" t="str">
        <f t="shared" si="230"/>
        <v>TRA-AVNGAExt</v>
      </c>
      <c r="L406" s="101" t="str">
        <f t="shared" si="228"/>
        <v>TRA-AVNGAExt</v>
      </c>
      <c r="P406" s="122" t="str">
        <f t="shared" si="211"/>
        <v>TRA-AVNGAExt</v>
      </c>
      <c r="Q406" s="114" t="str">
        <f t="shared" si="207"/>
        <v>TRA-NGA</v>
      </c>
      <c r="R406" s="112" t="str">
        <f t="shared" si="212"/>
        <v>TRA-AV</v>
      </c>
      <c r="S406" s="119">
        <f t="shared" si="213"/>
        <v>0.6</v>
      </c>
      <c r="T406" s="119">
        <f t="shared" si="214"/>
        <v>2</v>
      </c>
      <c r="U406" s="119">
        <f t="shared" si="215"/>
        <v>1</v>
      </c>
      <c r="V406" s="119">
        <f t="shared" si="216"/>
        <v>0</v>
      </c>
      <c r="W406" s="119">
        <f t="shared" si="217"/>
        <v>0</v>
      </c>
      <c r="X406" s="119">
        <f t="shared" si="218"/>
        <v>0</v>
      </c>
      <c r="Y406" s="119">
        <f t="shared" si="219"/>
        <v>0</v>
      </c>
      <c r="Z406" s="119">
        <f t="shared" si="220"/>
        <v>0</v>
      </c>
      <c r="AA406" s="119">
        <f t="shared" si="221"/>
        <v>0</v>
      </c>
      <c r="AB406" s="119">
        <f t="shared" si="222"/>
        <v>0</v>
      </c>
      <c r="AC406" s="119">
        <f t="shared" si="223"/>
        <v>0</v>
      </c>
      <c r="AD406" s="119">
        <f t="shared" si="224"/>
        <v>0</v>
      </c>
      <c r="AG406" s="124">
        <v>0.6</v>
      </c>
      <c r="AH406" s="123">
        <v>2</v>
      </c>
      <c r="AI406" s="123">
        <v>1</v>
      </c>
      <c r="AJ406" s="123"/>
      <c r="AK406" s="123"/>
      <c r="AL406" s="123"/>
      <c r="AM406" s="123"/>
      <c r="AN406" s="123"/>
      <c r="AO406" s="123"/>
      <c r="AP406" s="123"/>
      <c r="AQ406" s="123"/>
      <c r="AR406" s="125"/>
    </row>
    <row r="407" spans="9:44" ht="12" customHeight="1">
      <c r="I407" s="143" t="str">
        <f t="shared" si="229"/>
        <v>Transport Aviation Hydro</v>
      </c>
      <c r="J407" s="146" t="s">
        <v>205</v>
      </c>
      <c r="K407" s="143" t="str">
        <f t="shared" si="230"/>
        <v>TRA-AVHYDExt</v>
      </c>
      <c r="L407" s="101" t="str">
        <f t="shared" si="228"/>
        <v/>
      </c>
      <c r="P407" s="122" t="str">
        <f t="shared" si="211"/>
        <v/>
      </c>
      <c r="Q407" s="114" t="str">
        <f t="shared" si="207"/>
        <v/>
      </c>
      <c r="R407" s="112" t="str">
        <f t="shared" si="212"/>
        <v/>
      </c>
      <c r="S407" s="119" t="str">
        <f t="shared" si="213"/>
        <v/>
      </c>
      <c r="T407" s="119" t="str">
        <f t="shared" si="214"/>
        <v/>
      </c>
      <c r="U407" s="119" t="str">
        <f t="shared" si="215"/>
        <v/>
      </c>
      <c r="V407" s="119" t="str">
        <f t="shared" si="216"/>
        <v/>
      </c>
      <c r="W407" s="119" t="str">
        <f t="shared" si="217"/>
        <v/>
      </c>
      <c r="X407" s="119" t="str">
        <f t="shared" si="218"/>
        <v/>
      </c>
      <c r="Y407" s="119" t="str">
        <f t="shared" si="219"/>
        <v/>
      </c>
      <c r="Z407" s="119" t="str">
        <f t="shared" si="220"/>
        <v/>
      </c>
      <c r="AA407" s="119" t="str">
        <f t="shared" si="221"/>
        <v/>
      </c>
      <c r="AB407" s="119" t="str">
        <f t="shared" si="222"/>
        <v/>
      </c>
      <c r="AC407" s="119" t="str">
        <f t="shared" si="223"/>
        <v/>
      </c>
      <c r="AD407" s="119" t="str">
        <f t="shared" si="224"/>
        <v/>
      </c>
      <c r="AG407" s="124">
        <v>0.6</v>
      </c>
      <c r="AH407" s="123">
        <v>2</v>
      </c>
      <c r="AI407" s="123">
        <v>1</v>
      </c>
      <c r="AJ407" s="123"/>
      <c r="AK407" s="123"/>
      <c r="AL407" s="123"/>
      <c r="AM407" s="123"/>
      <c r="AN407" s="123"/>
      <c r="AO407" s="123"/>
      <c r="AP407" s="123"/>
      <c r="AQ407" s="123"/>
      <c r="AR407" s="125"/>
    </row>
    <row r="408" spans="9:44" ht="12" customHeight="1">
      <c r="I408" s="143" t="str">
        <f t="shared" si="229"/>
        <v>Transport Aviation Geothermal</v>
      </c>
      <c r="J408" s="146" t="s">
        <v>205</v>
      </c>
      <c r="K408" s="143" t="str">
        <f t="shared" si="230"/>
        <v>TRA-AVGEOExt</v>
      </c>
      <c r="L408" s="101" t="str">
        <f t="shared" si="228"/>
        <v/>
      </c>
      <c r="P408" s="122" t="str">
        <f t="shared" si="211"/>
        <v/>
      </c>
      <c r="Q408" s="114" t="str">
        <f t="shared" si="207"/>
        <v/>
      </c>
      <c r="R408" s="112" t="str">
        <f t="shared" si="212"/>
        <v/>
      </c>
      <c r="S408" s="119" t="str">
        <f t="shared" si="213"/>
        <v/>
      </c>
      <c r="T408" s="119" t="str">
        <f t="shared" si="214"/>
        <v/>
      </c>
      <c r="U408" s="119" t="str">
        <f t="shared" si="215"/>
        <v/>
      </c>
      <c r="V408" s="119" t="str">
        <f t="shared" si="216"/>
        <v/>
      </c>
      <c r="W408" s="119" t="str">
        <f t="shared" si="217"/>
        <v/>
      </c>
      <c r="X408" s="119" t="str">
        <f t="shared" si="218"/>
        <v/>
      </c>
      <c r="Y408" s="119" t="str">
        <f t="shared" si="219"/>
        <v/>
      </c>
      <c r="Z408" s="119" t="str">
        <f t="shared" si="220"/>
        <v/>
      </c>
      <c r="AA408" s="119" t="str">
        <f t="shared" si="221"/>
        <v/>
      </c>
      <c r="AB408" s="119" t="str">
        <f t="shared" si="222"/>
        <v/>
      </c>
      <c r="AC408" s="119" t="str">
        <f t="shared" si="223"/>
        <v/>
      </c>
      <c r="AD408" s="119" t="str">
        <f t="shared" si="224"/>
        <v/>
      </c>
      <c r="AG408" s="124">
        <v>0.6</v>
      </c>
      <c r="AH408" s="123">
        <v>2</v>
      </c>
      <c r="AI408" s="123">
        <v>1</v>
      </c>
      <c r="AJ408" s="123"/>
      <c r="AK408" s="123"/>
      <c r="AL408" s="123"/>
      <c r="AM408" s="123"/>
      <c r="AN408" s="123"/>
      <c r="AO408" s="123"/>
      <c r="AP408" s="123"/>
      <c r="AQ408" s="123"/>
      <c r="AR408" s="125"/>
    </row>
    <row r="409" spans="9:44" ht="12" customHeight="1">
      <c r="I409" s="143" t="str">
        <f t="shared" si="229"/>
        <v>Transport Aviation Solar</v>
      </c>
      <c r="J409" s="146" t="s">
        <v>205</v>
      </c>
      <c r="K409" s="143" t="str">
        <f t="shared" si="230"/>
        <v>TRA-AVSOLExt</v>
      </c>
      <c r="L409" s="101" t="str">
        <f t="shared" si="228"/>
        <v/>
      </c>
      <c r="P409" s="122" t="str">
        <f t="shared" si="211"/>
        <v/>
      </c>
      <c r="Q409" s="114" t="str">
        <f t="shared" si="207"/>
        <v/>
      </c>
      <c r="R409" s="112" t="str">
        <f t="shared" si="212"/>
        <v/>
      </c>
      <c r="S409" s="119" t="str">
        <f t="shared" si="213"/>
        <v/>
      </c>
      <c r="T409" s="119" t="str">
        <f t="shared" si="214"/>
        <v/>
      </c>
      <c r="U409" s="119" t="str">
        <f t="shared" si="215"/>
        <v/>
      </c>
      <c r="V409" s="119" t="str">
        <f t="shared" si="216"/>
        <v/>
      </c>
      <c r="W409" s="119" t="str">
        <f t="shared" si="217"/>
        <v/>
      </c>
      <c r="X409" s="119" t="str">
        <f t="shared" si="218"/>
        <v/>
      </c>
      <c r="Y409" s="119" t="str">
        <f t="shared" si="219"/>
        <v/>
      </c>
      <c r="Z409" s="119" t="str">
        <f t="shared" si="220"/>
        <v/>
      </c>
      <c r="AA409" s="119" t="str">
        <f t="shared" si="221"/>
        <v/>
      </c>
      <c r="AB409" s="119" t="str">
        <f t="shared" si="222"/>
        <v/>
      </c>
      <c r="AC409" s="119" t="str">
        <f t="shared" si="223"/>
        <v/>
      </c>
      <c r="AD409" s="119" t="str">
        <f t="shared" si="224"/>
        <v/>
      </c>
      <c r="AG409" s="124">
        <v>0.6</v>
      </c>
      <c r="AH409" s="123">
        <v>2</v>
      </c>
      <c r="AI409" s="123">
        <v>1</v>
      </c>
      <c r="AJ409" s="123"/>
      <c r="AK409" s="123"/>
      <c r="AL409" s="123"/>
      <c r="AM409" s="123"/>
      <c r="AN409" s="123"/>
      <c r="AO409" s="123"/>
      <c r="AP409" s="123"/>
      <c r="AQ409" s="123"/>
      <c r="AR409" s="125"/>
    </row>
    <row r="410" spans="9:44" ht="12" customHeight="1">
      <c r="I410" s="143" t="str">
        <f t="shared" si="229"/>
        <v>Transport Aviation Wind</v>
      </c>
      <c r="J410" s="146" t="s">
        <v>205</v>
      </c>
      <c r="K410" s="143" t="str">
        <f t="shared" si="230"/>
        <v>TRA-AVWINExt</v>
      </c>
      <c r="L410" s="101" t="str">
        <f t="shared" ref="L410:L416" si="231">IF(J410="Yes",K410,"")</f>
        <v/>
      </c>
      <c r="P410" s="122" t="str">
        <f t="shared" si="211"/>
        <v/>
      </c>
      <c r="Q410" s="114" t="str">
        <f t="shared" si="207"/>
        <v/>
      </c>
      <c r="R410" s="112" t="str">
        <f t="shared" si="212"/>
        <v/>
      </c>
      <c r="S410" s="119" t="str">
        <f t="shared" si="213"/>
        <v/>
      </c>
      <c r="T410" s="119" t="str">
        <f t="shared" si="214"/>
        <v/>
      </c>
      <c r="U410" s="119" t="str">
        <f t="shared" si="215"/>
        <v/>
      </c>
      <c r="V410" s="119" t="str">
        <f t="shared" si="216"/>
        <v/>
      </c>
      <c r="W410" s="119" t="str">
        <f t="shared" si="217"/>
        <v/>
      </c>
      <c r="X410" s="119" t="str">
        <f t="shared" si="218"/>
        <v/>
      </c>
      <c r="Y410" s="119" t="str">
        <f t="shared" si="219"/>
        <v/>
      </c>
      <c r="Z410" s="119" t="str">
        <f t="shared" si="220"/>
        <v/>
      </c>
      <c r="AA410" s="119" t="str">
        <f t="shared" si="221"/>
        <v/>
      </c>
      <c r="AB410" s="119" t="str">
        <f t="shared" si="222"/>
        <v/>
      </c>
      <c r="AC410" s="119" t="str">
        <f t="shared" si="223"/>
        <v/>
      </c>
      <c r="AD410" s="119" t="str">
        <f t="shared" si="224"/>
        <v/>
      </c>
      <c r="AG410" s="124">
        <v>0.6</v>
      </c>
      <c r="AH410" s="123">
        <v>2</v>
      </c>
      <c r="AI410" s="123">
        <v>1</v>
      </c>
      <c r="AJ410" s="123"/>
      <c r="AK410" s="123"/>
      <c r="AL410" s="123"/>
      <c r="AM410" s="123"/>
      <c r="AN410" s="123"/>
      <c r="AO410" s="123"/>
      <c r="AP410" s="123"/>
      <c r="AQ410" s="123"/>
      <c r="AR410" s="125"/>
    </row>
    <row r="411" spans="9:44" ht="12" customHeight="1">
      <c r="I411" s="143" t="str">
        <f t="shared" si="229"/>
        <v>Transport Aviation Bio Liquids</v>
      </c>
      <c r="J411" s="146" t="s">
        <v>205</v>
      </c>
      <c r="K411" s="143" t="str">
        <f t="shared" si="230"/>
        <v>TRA-AVBILExt</v>
      </c>
      <c r="L411" s="101" t="str">
        <f t="shared" si="231"/>
        <v/>
      </c>
      <c r="P411" s="122" t="str">
        <f t="shared" si="211"/>
        <v/>
      </c>
      <c r="Q411" s="114" t="str">
        <f t="shared" si="207"/>
        <v/>
      </c>
      <c r="R411" s="112" t="str">
        <f t="shared" si="212"/>
        <v/>
      </c>
      <c r="S411" s="119" t="str">
        <f t="shared" si="213"/>
        <v/>
      </c>
      <c r="T411" s="119" t="str">
        <f t="shared" si="214"/>
        <v/>
      </c>
      <c r="U411" s="119" t="str">
        <f t="shared" si="215"/>
        <v/>
      </c>
      <c r="V411" s="119" t="str">
        <f t="shared" si="216"/>
        <v/>
      </c>
      <c r="W411" s="119" t="str">
        <f t="shared" si="217"/>
        <v/>
      </c>
      <c r="X411" s="119" t="str">
        <f t="shared" si="218"/>
        <v/>
      </c>
      <c r="Y411" s="119" t="str">
        <f t="shared" si="219"/>
        <v/>
      </c>
      <c r="Z411" s="119" t="str">
        <f t="shared" si="220"/>
        <v/>
      </c>
      <c r="AA411" s="119" t="str">
        <f t="shared" si="221"/>
        <v/>
      </c>
      <c r="AB411" s="119" t="str">
        <f t="shared" si="222"/>
        <v/>
      </c>
      <c r="AC411" s="119" t="str">
        <f t="shared" si="223"/>
        <v/>
      </c>
      <c r="AD411" s="119" t="str">
        <f t="shared" si="224"/>
        <v/>
      </c>
      <c r="AG411" s="124">
        <v>0.6</v>
      </c>
      <c r="AH411" s="123">
        <v>2</v>
      </c>
      <c r="AI411" s="123">
        <v>1</v>
      </c>
      <c r="AJ411" s="123"/>
      <c r="AK411" s="123"/>
      <c r="AL411" s="123"/>
      <c r="AM411" s="123"/>
      <c r="AN411" s="123"/>
      <c r="AO411" s="123"/>
      <c r="AP411" s="123"/>
      <c r="AQ411" s="123"/>
      <c r="AR411" s="125"/>
    </row>
    <row r="412" spans="9:44" ht="12" customHeight="1">
      <c r="I412" s="143" t="str">
        <f t="shared" si="229"/>
        <v>Transport Aviation Biogas</v>
      </c>
      <c r="J412" s="146" t="s">
        <v>205</v>
      </c>
      <c r="K412" s="143" t="str">
        <f t="shared" si="230"/>
        <v>TRA-AVBIGExt</v>
      </c>
      <c r="L412" s="101" t="str">
        <f t="shared" si="231"/>
        <v/>
      </c>
      <c r="P412" s="122" t="str">
        <f t="shared" si="211"/>
        <v/>
      </c>
      <c r="Q412" s="114" t="str">
        <f t="shared" si="207"/>
        <v/>
      </c>
      <c r="R412" s="112" t="str">
        <f t="shared" si="212"/>
        <v/>
      </c>
      <c r="S412" s="119" t="str">
        <f t="shared" si="213"/>
        <v/>
      </c>
      <c r="T412" s="119" t="str">
        <f t="shared" si="214"/>
        <v/>
      </c>
      <c r="U412" s="119" t="str">
        <f t="shared" si="215"/>
        <v/>
      </c>
      <c r="V412" s="119" t="str">
        <f t="shared" si="216"/>
        <v/>
      </c>
      <c r="W412" s="119" t="str">
        <f t="shared" si="217"/>
        <v/>
      </c>
      <c r="X412" s="119" t="str">
        <f t="shared" si="218"/>
        <v/>
      </c>
      <c r="Y412" s="119" t="str">
        <f t="shared" si="219"/>
        <v/>
      </c>
      <c r="Z412" s="119" t="str">
        <f t="shared" si="220"/>
        <v/>
      </c>
      <c r="AA412" s="119" t="str">
        <f t="shared" si="221"/>
        <v/>
      </c>
      <c r="AB412" s="119" t="str">
        <f t="shared" si="222"/>
        <v/>
      </c>
      <c r="AC412" s="119" t="str">
        <f t="shared" si="223"/>
        <v/>
      </c>
      <c r="AD412" s="119" t="str">
        <f t="shared" si="224"/>
        <v/>
      </c>
      <c r="AG412" s="124">
        <v>0.6</v>
      </c>
      <c r="AH412" s="123">
        <v>2</v>
      </c>
      <c r="AI412" s="123">
        <v>1</v>
      </c>
      <c r="AJ412" s="123"/>
      <c r="AK412" s="123"/>
      <c r="AL412" s="123"/>
      <c r="AM412" s="123"/>
      <c r="AN412" s="123"/>
      <c r="AO412" s="123"/>
      <c r="AP412" s="123"/>
      <c r="AQ412" s="123"/>
      <c r="AR412" s="125"/>
    </row>
    <row r="413" spans="9:44" ht="12" customHeight="1">
      <c r="I413" s="143" t="str">
        <f t="shared" si="229"/>
        <v>Transport Aviation Wood</v>
      </c>
      <c r="J413" s="146" t="s">
        <v>205</v>
      </c>
      <c r="K413" s="143" t="str">
        <f t="shared" si="230"/>
        <v>TRA-AVWODExt</v>
      </c>
      <c r="L413" s="101" t="str">
        <f t="shared" si="231"/>
        <v/>
      </c>
      <c r="P413" s="122" t="str">
        <f t="shared" si="211"/>
        <v/>
      </c>
      <c r="Q413" s="114" t="str">
        <f t="shared" si="207"/>
        <v/>
      </c>
      <c r="R413" s="112" t="str">
        <f t="shared" si="212"/>
        <v/>
      </c>
      <c r="S413" s="119" t="str">
        <f t="shared" si="213"/>
        <v/>
      </c>
      <c r="T413" s="119" t="str">
        <f t="shared" si="214"/>
        <v/>
      </c>
      <c r="U413" s="119" t="str">
        <f t="shared" si="215"/>
        <v/>
      </c>
      <c r="V413" s="119" t="str">
        <f t="shared" si="216"/>
        <v/>
      </c>
      <c r="W413" s="119" t="str">
        <f t="shared" si="217"/>
        <v/>
      </c>
      <c r="X413" s="119" t="str">
        <f t="shared" si="218"/>
        <v/>
      </c>
      <c r="Y413" s="119" t="str">
        <f t="shared" si="219"/>
        <v/>
      </c>
      <c r="Z413" s="119" t="str">
        <f t="shared" si="220"/>
        <v/>
      </c>
      <c r="AA413" s="119" t="str">
        <f t="shared" si="221"/>
        <v/>
      </c>
      <c r="AB413" s="119" t="str">
        <f t="shared" si="222"/>
        <v/>
      </c>
      <c r="AC413" s="119" t="str">
        <f t="shared" si="223"/>
        <v/>
      </c>
      <c r="AD413" s="119" t="str">
        <f t="shared" si="224"/>
        <v/>
      </c>
      <c r="AG413" s="124">
        <v>0.6</v>
      </c>
      <c r="AH413" s="123">
        <v>2</v>
      </c>
      <c r="AI413" s="123">
        <v>1</v>
      </c>
      <c r="AJ413" s="123"/>
      <c r="AK413" s="123"/>
      <c r="AL413" s="123"/>
      <c r="AM413" s="123"/>
      <c r="AN413" s="123"/>
      <c r="AO413" s="123"/>
      <c r="AP413" s="123"/>
      <c r="AQ413" s="123"/>
      <c r="AR413" s="125"/>
    </row>
    <row r="414" spans="9:44" ht="12" customHeight="1">
      <c r="I414" s="143" t="str">
        <f t="shared" si="229"/>
        <v>Transport Aviation Tidal</v>
      </c>
      <c r="J414" s="146" t="s">
        <v>205</v>
      </c>
      <c r="K414" s="143" t="str">
        <f t="shared" si="230"/>
        <v>TRA-AVTIDExt</v>
      </c>
      <c r="L414" s="101" t="str">
        <f t="shared" si="231"/>
        <v/>
      </c>
      <c r="P414" s="122" t="str">
        <f t="shared" si="211"/>
        <v/>
      </c>
      <c r="Q414" s="114" t="str">
        <f t="shared" si="207"/>
        <v/>
      </c>
      <c r="R414" s="112" t="str">
        <f t="shared" si="212"/>
        <v/>
      </c>
      <c r="S414" s="119" t="str">
        <f t="shared" si="213"/>
        <v/>
      </c>
      <c r="T414" s="119" t="str">
        <f t="shared" si="214"/>
        <v/>
      </c>
      <c r="U414" s="119" t="str">
        <f t="shared" si="215"/>
        <v/>
      </c>
      <c r="V414" s="119" t="str">
        <f t="shared" si="216"/>
        <v/>
      </c>
      <c r="W414" s="119" t="str">
        <f t="shared" si="217"/>
        <v/>
      </c>
      <c r="X414" s="119" t="str">
        <f t="shared" si="218"/>
        <v/>
      </c>
      <c r="Y414" s="119" t="str">
        <f t="shared" si="219"/>
        <v/>
      </c>
      <c r="Z414" s="119" t="str">
        <f t="shared" si="220"/>
        <v/>
      </c>
      <c r="AA414" s="119" t="str">
        <f t="shared" si="221"/>
        <v/>
      </c>
      <c r="AB414" s="119" t="str">
        <f t="shared" si="222"/>
        <v/>
      </c>
      <c r="AC414" s="119" t="str">
        <f t="shared" si="223"/>
        <v/>
      </c>
      <c r="AD414" s="119" t="str">
        <f t="shared" si="224"/>
        <v/>
      </c>
      <c r="AG414" s="124">
        <v>0.6</v>
      </c>
      <c r="AH414" s="123">
        <v>2</v>
      </c>
      <c r="AI414" s="123">
        <v>1</v>
      </c>
      <c r="AJ414" s="123"/>
      <c r="AK414" s="123"/>
      <c r="AL414" s="123"/>
      <c r="AM414" s="123"/>
      <c r="AN414" s="123"/>
      <c r="AO414" s="123"/>
      <c r="AP414" s="123"/>
      <c r="AQ414" s="123"/>
      <c r="AR414" s="125"/>
    </row>
    <row r="415" spans="9:44" ht="12" customHeight="1">
      <c r="I415" s="144" t="str">
        <f t="shared" si="229"/>
        <v>Transport Aviation Electricity</v>
      </c>
      <c r="J415" s="155" t="s">
        <v>205</v>
      </c>
      <c r="K415" s="144" t="str">
        <f t="shared" si="230"/>
        <v>TRA-AVELCExt</v>
      </c>
      <c r="L415" s="101" t="str">
        <f t="shared" si="231"/>
        <v/>
      </c>
      <c r="P415" s="122" t="str">
        <f t="shared" si="211"/>
        <v/>
      </c>
      <c r="Q415" s="114" t="str">
        <f t="shared" si="207"/>
        <v/>
      </c>
      <c r="R415" s="112" t="str">
        <f t="shared" si="212"/>
        <v/>
      </c>
      <c r="S415" s="119" t="str">
        <f t="shared" si="213"/>
        <v/>
      </c>
      <c r="T415" s="119" t="str">
        <f t="shared" si="214"/>
        <v/>
      </c>
      <c r="U415" s="119" t="str">
        <f t="shared" si="215"/>
        <v/>
      </c>
      <c r="V415" s="119" t="str">
        <f t="shared" si="216"/>
        <v/>
      </c>
      <c r="W415" s="119" t="str">
        <f t="shared" si="217"/>
        <v/>
      </c>
      <c r="X415" s="119" t="str">
        <f t="shared" si="218"/>
        <v/>
      </c>
      <c r="Y415" s="119" t="str">
        <f t="shared" si="219"/>
        <v/>
      </c>
      <c r="Z415" s="119" t="str">
        <f t="shared" si="220"/>
        <v/>
      </c>
      <c r="AA415" s="119" t="str">
        <f t="shared" si="221"/>
        <v/>
      </c>
      <c r="AB415" s="119" t="str">
        <f t="shared" si="222"/>
        <v/>
      </c>
      <c r="AC415" s="119" t="str">
        <f t="shared" si="223"/>
        <v/>
      </c>
      <c r="AD415" s="119" t="str">
        <f t="shared" si="224"/>
        <v/>
      </c>
      <c r="AG415" s="124">
        <v>0.6</v>
      </c>
      <c r="AH415" s="123">
        <v>2</v>
      </c>
      <c r="AI415" s="123">
        <v>1</v>
      </c>
      <c r="AJ415" s="123"/>
      <c r="AK415" s="123"/>
      <c r="AL415" s="123"/>
      <c r="AM415" s="123"/>
      <c r="AN415" s="123"/>
      <c r="AO415" s="123"/>
      <c r="AP415" s="123"/>
      <c r="AQ415" s="123"/>
      <c r="AR415" s="125"/>
    </row>
    <row r="416" spans="9:44" ht="12" customHeight="1">
      <c r="I416" s="142" t="str">
        <f>$C$377&amp;" "&amp;$E$380&amp;" "&amp;RIGHT(G377,LEN(G377)-FIND(" ",G377))</f>
        <v>Transport Shipping Coal</v>
      </c>
      <c r="J416" s="146" t="s">
        <v>198</v>
      </c>
      <c r="K416" s="143" t="str">
        <f>$D$377&amp;$F$380&amp;RIGHT(H377,3)&amp;$B$253</f>
        <v>TRA-SHCOAExt</v>
      </c>
      <c r="L416" s="101" t="str">
        <f t="shared" si="231"/>
        <v>TRA-SHCOAExt</v>
      </c>
      <c r="P416" s="122" t="str">
        <f t="shared" si="211"/>
        <v>TRA-SHCOAExt</v>
      </c>
      <c r="Q416" s="114" t="str">
        <f t="shared" si="207"/>
        <v>TRA-COA</v>
      </c>
      <c r="R416" s="112" t="str">
        <f t="shared" si="212"/>
        <v>TRA-SH</v>
      </c>
      <c r="S416" s="119">
        <f t="shared" si="213"/>
        <v>0.6</v>
      </c>
      <c r="T416" s="119">
        <f t="shared" si="214"/>
        <v>2</v>
      </c>
      <c r="U416" s="119">
        <f t="shared" si="215"/>
        <v>1</v>
      </c>
      <c r="V416" s="119">
        <f t="shared" si="216"/>
        <v>0</v>
      </c>
      <c r="W416" s="119">
        <f t="shared" si="217"/>
        <v>0</v>
      </c>
      <c r="X416" s="119">
        <f t="shared" si="218"/>
        <v>0</v>
      </c>
      <c r="Y416" s="119">
        <f t="shared" si="219"/>
        <v>0</v>
      </c>
      <c r="Z416" s="119">
        <f t="shared" si="220"/>
        <v>0</v>
      </c>
      <c r="AA416" s="119">
        <f t="shared" si="221"/>
        <v>0</v>
      </c>
      <c r="AB416" s="119">
        <f t="shared" si="222"/>
        <v>0</v>
      </c>
      <c r="AC416" s="119">
        <f t="shared" si="223"/>
        <v>0</v>
      </c>
      <c r="AD416" s="119">
        <f t="shared" si="224"/>
        <v>0</v>
      </c>
      <c r="AG416" s="124">
        <v>0.6</v>
      </c>
      <c r="AH416" s="123">
        <v>2</v>
      </c>
      <c r="AI416" s="123">
        <v>1</v>
      </c>
      <c r="AJ416" s="123"/>
      <c r="AK416" s="123"/>
      <c r="AL416" s="123"/>
      <c r="AM416" s="123"/>
      <c r="AN416" s="123"/>
      <c r="AO416" s="123"/>
      <c r="AP416" s="123"/>
      <c r="AQ416" s="123"/>
      <c r="AR416" s="125"/>
    </row>
    <row r="417" spans="9:44" ht="12" customHeight="1">
      <c r="I417" s="143" t="str">
        <f t="shared" ref="I417:I428" si="232">$C$377&amp;" "&amp;$E$380&amp;" "&amp;RIGHT(G378,LEN(G378)-FIND(" ",G378))</f>
        <v>Transport Shipping Lignite</v>
      </c>
      <c r="J417" s="146" t="s">
        <v>198</v>
      </c>
      <c r="K417" s="143" t="str">
        <f t="shared" ref="K417:K428" si="233">$D$377&amp;$F$380&amp;RIGHT(H378,3)&amp;$B$253</f>
        <v>TRA-SHCOLExt</v>
      </c>
      <c r="L417" s="101" t="str">
        <f t="shared" ref="L417:L424" si="234">IF(J417="Yes",K417,"")</f>
        <v>TRA-SHCOLExt</v>
      </c>
      <c r="P417" s="122" t="str">
        <f t="shared" si="211"/>
        <v>TRA-SHCOLExt</v>
      </c>
      <c r="Q417" s="114" t="str">
        <f t="shared" si="207"/>
        <v>TRA-COL</v>
      </c>
      <c r="R417" s="112" t="str">
        <f t="shared" si="212"/>
        <v>TRA-SH</v>
      </c>
      <c r="S417" s="119">
        <f t="shared" si="213"/>
        <v>0.6</v>
      </c>
      <c r="T417" s="119">
        <f t="shared" si="214"/>
        <v>2</v>
      </c>
      <c r="U417" s="119">
        <f t="shared" si="215"/>
        <v>1</v>
      </c>
      <c r="V417" s="119">
        <f t="shared" si="216"/>
        <v>0</v>
      </c>
      <c r="W417" s="119">
        <f t="shared" si="217"/>
        <v>0</v>
      </c>
      <c r="X417" s="119">
        <f t="shared" si="218"/>
        <v>0</v>
      </c>
      <c r="Y417" s="119">
        <f t="shared" si="219"/>
        <v>0</v>
      </c>
      <c r="Z417" s="119">
        <f t="shared" si="220"/>
        <v>0</v>
      </c>
      <c r="AA417" s="119">
        <f t="shared" si="221"/>
        <v>0</v>
      </c>
      <c r="AB417" s="119">
        <f t="shared" si="222"/>
        <v>0</v>
      </c>
      <c r="AC417" s="119">
        <f t="shared" si="223"/>
        <v>0</v>
      </c>
      <c r="AD417" s="119">
        <f t="shared" si="224"/>
        <v>0</v>
      </c>
      <c r="AG417" s="124">
        <v>0.6</v>
      </c>
      <c r="AH417" s="123">
        <v>2</v>
      </c>
      <c r="AI417" s="123">
        <v>1</v>
      </c>
      <c r="AJ417" s="123"/>
      <c r="AK417" s="123"/>
      <c r="AL417" s="123"/>
      <c r="AM417" s="123"/>
      <c r="AN417" s="123"/>
      <c r="AO417" s="123"/>
      <c r="AP417" s="123"/>
      <c r="AQ417" s="123"/>
      <c r="AR417" s="125"/>
    </row>
    <row r="418" spans="9:44" ht="12" customHeight="1">
      <c r="I418" s="143" t="str">
        <f t="shared" si="232"/>
        <v>Transport Shipping Crude oil</v>
      </c>
      <c r="J418" s="146" t="s">
        <v>198</v>
      </c>
      <c r="K418" s="143" t="str">
        <f t="shared" si="233"/>
        <v>TRA-SHOILExt</v>
      </c>
      <c r="L418" s="101" t="str">
        <f t="shared" si="234"/>
        <v>TRA-SHOILExt</v>
      </c>
      <c r="P418" s="122" t="str">
        <f t="shared" si="211"/>
        <v>TRA-SHOILExt</v>
      </c>
      <c r="Q418" s="114" t="str">
        <f t="shared" si="207"/>
        <v>TRA-OIL</v>
      </c>
      <c r="R418" s="112" t="str">
        <f t="shared" si="212"/>
        <v>TRA-SH</v>
      </c>
      <c r="S418" s="119">
        <f t="shared" si="213"/>
        <v>0.6</v>
      </c>
      <c r="T418" s="119">
        <f t="shared" si="214"/>
        <v>2</v>
      </c>
      <c r="U418" s="119">
        <f t="shared" si="215"/>
        <v>1</v>
      </c>
      <c r="V418" s="119">
        <f t="shared" si="216"/>
        <v>0</v>
      </c>
      <c r="W418" s="119">
        <f t="shared" si="217"/>
        <v>0</v>
      </c>
      <c r="X418" s="119">
        <f t="shared" si="218"/>
        <v>0</v>
      </c>
      <c r="Y418" s="119">
        <f t="shared" si="219"/>
        <v>0</v>
      </c>
      <c r="Z418" s="119">
        <f t="shared" si="220"/>
        <v>0</v>
      </c>
      <c r="AA418" s="119">
        <f t="shared" si="221"/>
        <v>0</v>
      </c>
      <c r="AB418" s="119">
        <f t="shared" si="222"/>
        <v>0</v>
      </c>
      <c r="AC418" s="119">
        <f t="shared" si="223"/>
        <v>0</v>
      </c>
      <c r="AD418" s="119">
        <f t="shared" si="224"/>
        <v>0</v>
      </c>
      <c r="AG418" s="124">
        <v>0.6</v>
      </c>
      <c r="AH418" s="123">
        <v>2</v>
      </c>
      <c r="AI418" s="123">
        <v>1</v>
      </c>
      <c r="AJ418" s="123"/>
      <c r="AK418" s="123"/>
      <c r="AL418" s="123"/>
      <c r="AM418" s="123"/>
      <c r="AN418" s="123"/>
      <c r="AO418" s="123"/>
      <c r="AP418" s="123"/>
      <c r="AQ418" s="123"/>
      <c r="AR418" s="125"/>
    </row>
    <row r="419" spans="9:44" ht="12" customHeight="1">
      <c r="I419" s="143" t="str">
        <f t="shared" si="232"/>
        <v>Transport Shipping Natural Gas</v>
      </c>
      <c r="J419" s="146" t="s">
        <v>198</v>
      </c>
      <c r="K419" s="143" t="str">
        <f t="shared" si="233"/>
        <v>TRA-SHNGAExt</v>
      </c>
      <c r="L419" s="101" t="str">
        <f t="shared" si="234"/>
        <v>TRA-SHNGAExt</v>
      </c>
      <c r="P419" s="122" t="str">
        <f t="shared" si="211"/>
        <v>TRA-SHNGAExt</v>
      </c>
      <c r="Q419" s="114" t="str">
        <f t="shared" si="207"/>
        <v>TRA-NGA</v>
      </c>
      <c r="R419" s="112" t="str">
        <f t="shared" si="212"/>
        <v>TRA-SH</v>
      </c>
      <c r="S419" s="119">
        <f t="shared" si="213"/>
        <v>0.6</v>
      </c>
      <c r="T419" s="119">
        <f t="shared" si="214"/>
        <v>2</v>
      </c>
      <c r="U419" s="119">
        <f t="shared" si="215"/>
        <v>1</v>
      </c>
      <c r="V419" s="119">
        <f t="shared" si="216"/>
        <v>0</v>
      </c>
      <c r="W419" s="119">
        <f t="shared" si="217"/>
        <v>0</v>
      </c>
      <c r="X419" s="119">
        <f t="shared" si="218"/>
        <v>0</v>
      </c>
      <c r="Y419" s="119">
        <f t="shared" si="219"/>
        <v>0</v>
      </c>
      <c r="Z419" s="119">
        <f t="shared" si="220"/>
        <v>0</v>
      </c>
      <c r="AA419" s="119">
        <f t="shared" si="221"/>
        <v>0</v>
      </c>
      <c r="AB419" s="119">
        <f t="shared" si="222"/>
        <v>0</v>
      </c>
      <c r="AC419" s="119">
        <f t="shared" si="223"/>
        <v>0</v>
      </c>
      <c r="AD419" s="119">
        <f t="shared" si="224"/>
        <v>0</v>
      </c>
      <c r="AG419" s="124">
        <v>0.6</v>
      </c>
      <c r="AH419" s="123">
        <v>2</v>
      </c>
      <c r="AI419" s="123">
        <v>1</v>
      </c>
      <c r="AJ419" s="123"/>
      <c r="AK419" s="123"/>
      <c r="AL419" s="123"/>
      <c r="AM419" s="123"/>
      <c r="AN419" s="123"/>
      <c r="AO419" s="123"/>
      <c r="AP419" s="123"/>
      <c r="AQ419" s="123"/>
      <c r="AR419" s="125"/>
    </row>
    <row r="420" spans="9:44" ht="12" customHeight="1">
      <c r="I420" s="143" t="str">
        <f t="shared" si="232"/>
        <v>Transport Shipping Hydro</v>
      </c>
      <c r="J420" s="146" t="s">
        <v>205</v>
      </c>
      <c r="K420" s="143" t="str">
        <f t="shared" si="233"/>
        <v>TRA-SHHYDExt</v>
      </c>
      <c r="L420" s="101" t="str">
        <f t="shared" si="234"/>
        <v/>
      </c>
      <c r="P420" s="122" t="str">
        <f t="shared" si="211"/>
        <v/>
      </c>
      <c r="Q420" s="114" t="str">
        <f t="shared" si="207"/>
        <v/>
      </c>
      <c r="R420" s="112" t="str">
        <f t="shared" si="212"/>
        <v/>
      </c>
      <c r="S420" s="119" t="str">
        <f t="shared" si="213"/>
        <v/>
      </c>
      <c r="T420" s="119" t="str">
        <f t="shared" si="214"/>
        <v/>
      </c>
      <c r="U420" s="119" t="str">
        <f t="shared" si="215"/>
        <v/>
      </c>
      <c r="V420" s="119" t="str">
        <f t="shared" si="216"/>
        <v/>
      </c>
      <c r="W420" s="119" t="str">
        <f t="shared" si="217"/>
        <v/>
      </c>
      <c r="X420" s="119" t="str">
        <f t="shared" si="218"/>
        <v/>
      </c>
      <c r="Y420" s="119" t="str">
        <f t="shared" si="219"/>
        <v/>
      </c>
      <c r="Z420" s="119" t="str">
        <f t="shared" si="220"/>
        <v/>
      </c>
      <c r="AA420" s="119" t="str">
        <f t="shared" si="221"/>
        <v/>
      </c>
      <c r="AB420" s="119" t="str">
        <f t="shared" si="222"/>
        <v/>
      </c>
      <c r="AC420" s="119" t="str">
        <f t="shared" si="223"/>
        <v/>
      </c>
      <c r="AD420" s="119" t="str">
        <f t="shared" si="224"/>
        <v/>
      </c>
      <c r="AG420" s="124">
        <v>0.6</v>
      </c>
      <c r="AH420" s="123">
        <v>2</v>
      </c>
      <c r="AI420" s="123">
        <v>1</v>
      </c>
      <c r="AJ420" s="123"/>
      <c r="AK420" s="123"/>
      <c r="AL420" s="123"/>
      <c r="AM420" s="123"/>
      <c r="AN420" s="123"/>
      <c r="AO420" s="123"/>
      <c r="AP420" s="123"/>
      <c r="AQ420" s="123"/>
      <c r="AR420" s="125"/>
    </row>
    <row r="421" spans="9:44" ht="12" customHeight="1">
      <c r="I421" s="143" t="str">
        <f t="shared" si="232"/>
        <v>Transport Shipping Geothermal</v>
      </c>
      <c r="J421" s="146" t="s">
        <v>205</v>
      </c>
      <c r="K421" s="143" t="str">
        <f t="shared" si="233"/>
        <v>TRA-SHGEOExt</v>
      </c>
      <c r="L421" s="101" t="str">
        <f t="shared" si="234"/>
        <v/>
      </c>
      <c r="P421" s="122" t="str">
        <f t="shared" si="211"/>
        <v/>
      </c>
      <c r="Q421" s="114" t="str">
        <f t="shared" si="207"/>
        <v/>
      </c>
      <c r="R421" s="112" t="str">
        <f t="shared" si="212"/>
        <v/>
      </c>
      <c r="S421" s="119" t="str">
        <f t="shared" si="213"/>
        <v/>
      </c>
      <c r="T421" s="119" t="str">
        <f t="shared" si="214"/>
        <v/>
      </c>
      <c r="U421" s="119" t="str">
        <f t="shared" si="215"/>
        <v/>
      </c>
      <c r="V421" s="119" t="str">
        <f t="shared" si="216"/>
        <v/>
      </c>
      <c r="W421" s="119" t="str">
        <f t="shared" si="217"/>
        <v/>
      </c>
      <c r="X421" s="119" t="str">
        <f t="shared" si="218"/>
        <v/>
      </c>
      <c r="Y421" s="119" t="str">
        <f t="shared" si="219"/>
        <v/>
      </c>
      <c r="Z421" s="119" t="str">
        <f t="shared" si="220"/>
        <v/>
      </c>
      <c r="AA421" s="119" t="str">
        <f t="shared" si="221"/>
        <v/>
      </c>
      <c r="AB421" s="119" t="str">
        <f t="shared" si="222"/>
        <v/>
      </c>
      <c r="AC421" s="119" t="str">
        <f t="shared" si="223"/>
        <v/>
      </c>
      <c r="AD421" s="119" t="str">
        <f t="shared" si="224"/>
        <v/>
      </c>
      <c r="AG421" s="124">
        <v>0.6</v>
      </c>
      <c r="AH421" s="123">
        <v>2</v>
      </c>
      <c r="AI421" s="123">
        <v>1</v>
      </c>
      <c r="AJ421" s="123"/>
      <c r="AK421" s="123"/>
      <c r="AL421" s="123"/>
      <c r="AM421" s="123"/>
      <c r="AN421" s="123"/>
      <c r="AO421" s="123"/>
      <c r="AP421" s="123"/>
      <c r="AQ421" s="123"/>
      <c r="AR421" s="125"/>
    </row>
    <row r="422" spans="9:44" ht="12" customHeight="1">
      <c r="I422" s="143" t="str">
        <f t="shared" si="232"/>
        <v>Transport Shipping Solar</v>
      </c>
      <c r="J422" s="146" t="s">
        <v>205</v>
      </c>
      <c r="K422" s="143" t="str">
        <f t="shared" si="233"/>
        <v>TRA-SHSOLExt</v>
      </c>
      <c r="L422" s="101" t="str">
        <f t="shared" si="234"/>
        <v/>
      </c>
      <c r="P422" s="122" t="str">
        <f t="shared" si="211"/>
        <v/>
      </c>
      <c r="Q422" s="114" t="str">
        <f t="shared" si="207"/>
        <v/>
      </c>
      <c r="R422" s="112" t="str">
        <f t="shared" si="212"/>
        <v/>
      </c>
      <c r="S422" s="119" t="str">
        <f t="shared" si="213"/>
        <v/>
      </c>
      <c r="T422" s="119" t="str">
        <f t="shared" si="214"/>
        <v/>
      </c>
      <c r="U422" s="119" t="str">
        <f t="shared" si="215"/>
        <v/>
      </c>
      <c r="V422" s="119" t="str">
        <f t="shared" si="216"/>
        <v/>
      </c>
      <c r="W422" s="119" t="str">
        <f t="shared" si="217"/>
        <v/>
      </c>
      <c r="X422" s="119" t="str">
        <f t="shared" si="218"/>
        <v/>
      </c>
      <c r="Y422" s="119" t="str">
        <f t="shared" si="219"/>
        <v/>
      </c>
      <c r="Z422" s="119" t="str">
        <f t="shared" si="220"/>
        <v/>
      </c>
      <c r="AA422" s="119" t="str">
        <f t="shared" si="221"/>
        <v/>
      </c>
      <c r="AB422" s="119" t="str">
        <f t="shared" si="222"/>
        <v/>
      </c>
      <c r="AC422" s="119" t="str">
        <f t="shared" si="223"/>
        <v/>
      </c>
      <c r="AD422" s="119" t="str">
        <f t="shared" si="224"/>
        <v/>
      </c>
      <c r="AG422" s="124">
        <v>0.6</v>
      </c>
      <c r="AH422" s="123">
        <v>2</v>
      </c>
      <c r="AI422" s="123">
        <v>1</v>
      </c>
      <c r="AJ422" s="123"/>
      <c r="AK422" s="123"/>
      <c r="AL422" s="123"/>
      <c r="AM422" s="123"/>
      <c r="AN422" s="123"/>
      <c r="AO422" s="123"/>
      <c r="AP422" s="123"/>
      <c r="AQ422" s="123"/>
      <c r="AR422" s="125"/>
    </row>
    <row r="423" spans="9:44" ht="12" customHeight="1">
      <c r="I423" s="143" t="str">
        <f t="shared" si="232"/>
        <v>Transport Shipping Wind</v>
      </c>
      <c r="J423" s="146" t="s">
        <v>205</v>
      </c>
      <c r="K423" s="143" t="str">
        <f t="shared" si="233"/>
        <v>TRA-SHWINExt</v>
      </c>
      <c r="L423" s="101" t="str">
        <f t="shared" si="234"/>
        <v/>
      </c>
      <c r="P423" s="122" t="str">
        <f t="shared" si="211"/>
        <v/>
      </c>
      <c r="Q423" s="114" t="str">
        <f t="shared" si="207"/>
        <v/>
      </c>
      <c r="R423" s="112" t="str">
        <f t="shared" si="212"/>
        <v/>
      </c>
      <c r="S423" s="119" t="str">
        <f t="shared" si="213"/>
        <v/>
      </c>
      <c r="T423" s="119" t="str">
        <f t="shared" si="214"/>
        <v/>
      </c>
      <c r="U423" s="119" t="str">
        <f t="shared" si="215"/>
        <v/>
      </c>
      <c r="V423" s="119" t="str">
        <f t="shared" si="216"/>
        <v/>
      </c>
      <c r="W423" s="119" t="str">
        <f t="shared" si="217"/>
        <v/>
      </c>
      <c r="X423" s="119" t="str">
        <f t="shared" si="218"/>
        <v/>
      </c>
      <c r="Y423" s="119" t="str">
        <f t="shared" si="219"/>
        <v/>
      </c>
      <c r="Z423" s="119" t="str">
        <f t="shared" si="220"/>
        <v/>
      </c>
      <c r="AA423" s="119" t="str">
        <f t="shared" si="221"/>
        <v/>
      </c>
      <c r="AB423" s="119" t="str">
        <f t="shared" si="222"/>
        <v/>
      </c>
      <c r="AC423" s="119" t="str">
        <f t="shared" si="223"/>
        <v/>
      </c>
      <c r="AD423" s="119" t="str">
        <f t="shared" si="224"/>
        <v/>
      </c>
      <c r="AG423" s="124">
        <v>0.6</v>
      </c>
      <c r="AH423" s="123">
        <v>2</v>
      </c>
      <c r="AI423" s="123">
        <v>1</v>
      </c>
      <c r="AJ423" s="123"/>
      <c r="AK423" s="123"/>
      <c r="AL423" s="123"/>
      <c r="AM423" s="123"/>
      <c r="AN423" s="123"/>
      <c r="AO423" s="123"/>
      <c r="AP423" s="123"/>
      <c r="AQ423" s="123"/>
      <c r="AR423" s="125"/>
    </row>
    <row r="424" spans="9:44" ht="12" customHeight="1">
      <c r="I424" s="143" t="str">
        <f t="shared" si="232"/>
        <v>Transport Shipping Bio Liquids</v>
      </c>
      <c r="J424" s="146" t="s">
        <v>205</v>
      </c>
      <c r="K424" s="143" t="str">
        <f t="shared" si="233"/>
        <v>TRA-SHBILExt</v>
      </c>
      <c r="L424" s="101" t="str">
        <f t="shared" si="234"/>
        <v/>
      </c>
      <c r="P424" s="122" t="str">
        <f t="shared" si="211"/>
        <v/>
      </c>
      <c r="Q424" s="114" t="str">
        <f t="shared" si="207"/>
        <v/>
      </c>
      <c r="R424" s="112" t="str">
        <f t="shared" si="212"/>
        <v/>
      </c>
      <c r="S424" s="119" t="str">
        <f t="shared" si="213"/>
        <v/>
      </c>
      <c r="T424" s="119" t="str">
        <f t="shared" si="214"/>
        <v/>
      </c>
      <c r="U424" s="119" t="str">
        <f t="shared" si="215"/>
        <v/>
      </c>
      <c r="V424" s="119" t="str">
        <f t="shared" si="216"/>
        <v/>
      </c>
      <c r="W424" s="119" t="str">
        <f t="shared" si="217"/>
        <v/>
      </c>
      <c r="X424" s="119" t="str">
        <f t="shared" si="218"/>
        <v/>
      </c>
      <c r="Y424" s="119" t="str">
        <f t="shared" si="219"/>
        <v/>
      </c>
      <c r="Z424" s="119" t="str">
        <f t="shared" si="220"/>
        <v/>
      </c>
      <c r="AA424" s="119" t="str">
        <f t="shared" si="221"/>
        <v/>
      </c>
      <c r="AB424" s="119" t="str">
        <f t="shared" si="222"/>
        <v/>
      </c>
      <c r="AC424" s="119" t="str">
        <f t="shared" si="223"/>
        <v/>
      </c>
      <c r="AD424" s="119" t="str">
        <f t="shared" si="224"/>
        <v/>
      </c>
      <c r="AG424" s="124">
        <v>0.6</v>
      </c>
      <c r="AH424" s="123">
        <v>2</v>
      </c>
      <c r="AI424" s="123">
        <v>1</v>
      </c>
      <c r="AJ424" s="123"/>
      <c r="AK424" s="123"/>
      <c r="AL424" s="123"/>
      <c r="AM424" s="123"/>
      <c r="AN424" s="123"/>
      <c r="AO424" s="123"/>
      <c r="AP424" s="123"/>
      <c r="AQ424" s="123"/>
      <c r="AR424" s="125"/>
    </row>
    <row r="425" spans="9:44" ht="12" customHeight="1">
      <c r="I425" s="143" t="str">
        <f t="shared" si="232"/>
        <v>Transport Shipping Biogas</v>
      </c>
      <c r="J425" s="146" t="s">
        <v>205</v>
      </c>
      <c r="K425" s="143" t="str">
        <f t="shared" si="233"/>
        <v>TRA-SHBIGExt</v>
      </c>
      <c r="L425" s="101" t="str">
        <f t="shared" ref="L425:L428" si="235">IF(J425="Yes",K425,"")</f>
        <v/>
      </c>
      <c r="P425" s="122" t="str">
        <f t="shared" si="211"/>
        <v/>
      </c>
      <c r="Q425" s="114" t="str">
        <f t="shared" si="207"/>
        <v/>
      </c>
      <c r="R425" s="112" t="str">
        <f t="shared" si="212"/>
        <v/>
      </c>
      <c r="S425" s="119" t="str">
        <f t="shared" si="213"/>
        <v/>
      </c>
      <c r="T425" s="119" t="str">
        <f t="shared" si="214"/>
        <v/>
      </c>
      <c r="U425" s="119" t="str">
        <f t="shared" si="215"/>
        <v/>
      </c>
      <c r="V425" s="119" t="str">
        <f t="shared" si="216"/>
        <v/>
      </c>
      <c r="W425" s="119" t="str">
        <f t="shared" si="217"/>
        <v/>
      </c>
      <c r="X425" s="119" t="str">
        <f t="shared" si="218"/>
        <v/>
      </c>
      <c r="Y425" s="119" t="str">
        <f t="shared" si="219"/>
        <v/>
      </c>
      <c r="Z425" s="119" t="str">
        <f t="shared" si="220"/>
        <v/>
      </c>
      <c r="AA425" s="119" t="str">
        <f t="shared" si="221"/>
        <v/>
      </c>
      <c r="AB425" s="119" t="str">
        <f t="shared" si="222"/>
        <v/>
      </c>
      <c r="AC425" s="119" t="str">
        <f t="shared" si="223"/>
        <v/>
      </c>
      <c r="AD425" s="119" t="str">
        <f t="shared" si="224"/>
        <v/>
      </c>
      <c r="AG425" s="124">
        <v>0.6</v>
      </c>
      <c r="AH425" s="123">
        <v>2</v>
      </c>
      <c r="AI425" s="123">
        <v>1</v>
      </c>
      <c r="AJ425" s="123"/>
      <c r="AK425" s="123"/>
      <c r="AL425" s="123"/>
      <c r="AM425" s="123"/>
      <c r="AN425" s="123"/>
      <c r="AO425" s="123"/>
      <c r="AP425" s="123"/>
      <c r="AQ425" s="123"/>
      <c r="AR425" s="125"/>
    </row>
    <row r="426" spans="9:44" ht="12" customHeight="1">
      <c r="I426" s="143" t="str">
        <f t="shared" si="232"/>
        <v>Transport Shipping Wood</v>
      </c>
      <c r="J426" s="146" t="s">
        <v>205</v>
      </c>
      <c r="K426" s="143" t="str">
        <f t="shared" si="233"/>
        <v>TRA-SHWODExt</v>
      </c>
      <c r="L426" s="101" t="str">
        <f t="shared" si="235"/>
        <v/>
      </c>
      <c r="P426" s="122" t="str">
        <f t="shared" si="211"/>
        <v/>
      </c>
      <c r="Q426" s="114" t="str">
        <f t="shared" si="207"/>
        <v/>
      </c>
      <c r="R426" s="112" t="str">
        <f t="shared" si="212"/>
        <v/>
      </c>
      <c r="S426" s="119" t="str">
        <f t="shared" si="213"/>
        <v/>
      </c>
      <c r="T426" s="119" t="str">
        <f t="shared" si="214"/>
        <v/>
      </c>
      <c r="U426" s="119" t="str">
        <f t="shared" si="215"/>
        <v/>
      </c>
      <c r="V426" s="119" t="str">
        <f t="shared" si="216"/>
        <v/>
      </c>
      <c r="W426" s="119" t="str">
        <f t="shared" si="217"/>
        <v/>
      </c>
      <c r="X426" s="119" t="str">
        <f t="shared" si="218"/>
        <v/>
      </c>
      <c r="Y426" s="119" t="str">
        <f t="shared" si="219"/>
        <v/>
      </c>
      <c r="Z426" s="119" t="str">
        <f t="shared" si="220"/>
        <v/>
      </c>
      <c r="AA426" s="119" t="str">
        <f t="shared" si="221"/>
        <v/>
      </c>
      <c r="AB426" s="119" t="str">
        <f t="shared" si="222"/>
        <v/>
      </c>
      <c r="AC426" s="119" t="str">
        <f t="shared" si="223"/>
        <v/>
      </c>
      <c r="AD426" s="119" t="str">
        <f t="shared" si="224"/>
        <v/>
      </c>
      <c r="AG426" s="124">
        <v>0.6</v>
      </c>
      <c r="AH426" s="123">
        <v>2</v>
      </c>
      <c r="AI426" s="123">
        <v>1</v>
      </c>
      <c r="AJ426" s="123"/>
      <c r="AK426" s="123"/>
      <c r="AL426" s="123"/>
      <c r="AM426" s="123"/>
      <c r="AN426" s="123"/>
      <c r="AO426" s="123"/>
      <c r="AP426" s="123"/>
      <c r="AQ426" s="123"/>
      <c r="AR426" s="125"/>
    </row>
    <row r="427" spans="9:44" ht="12" customHeight="1">
      <c r="I427" s="143" t="str">
        <f t="shared" si="232"/>
        <v>Transport Shipping Tidal</v>
      </c>
      <c r="J427" s="146" t="s">
        <v>205</v>
      </c>
      <c r="K427" s="143" t="str">
        <f t="shared" si="233"/>
        <v>TRA-SHTIDExt</v>
      </c>
      <c r="L427" s="101" t="str">
        <f t="shared" si="235"/>
        <v/>
      </c>
      <c r="P427" s="122" t="str">
        <f t="shared" si="211"/>
        <v/>
      </c>
      <c r="Q427" s="114" t="str">
        <f t="shared" si="207"/>
        <v/>
      </c>
      <c r="R427" s="112" t="str">
        <f t="shared" si="212"/>
        <v/>
      </c>
      <c r="S427" s="119" t="str">
        <f t="shared" si="213"/>
        <v/>
      </c>
      <c r="T427" s="119" t="str">
        <f t="shared" si="214"/>
        <v/>
      </c>
      <c r="U427" s="119" t="str">
        <f t="shared" si="215"/>
        <v/>
      </c>
      <c r="V427" s="119" t="str">
        <f t="shared" si="216"/>
        <v/>
      </c>
      <c r="W427" s="119" t="str">
        <f t="shared" si="217"/>
        <v/>
      </c>
      <c r="X427" s="119" t="str">
        <f t="shared" si="218"/>
        <v/>
      </c>
      <c r="Y427" s="119" t="str">
        <f t="shared" si="219"/>
        <v/>
      </c>
      <c r="Z427" s="119" t="str">
        <f t="shared" si="220"/>
        <v/>
      </c>
      <c r="AA427" s="119" t="str">
        <f t="shared" si="221"/>
        <v/>
      </c>
      <c r="AB427" s="119" t="str">
        <f t="shared" si="222"/>
        <v/>
      </c>
      <c r="AC427" s="119" t="str">
        <f t="shared" si="223"/>
        <v/>
      </c>
      <c r="AD427" s="119" t="str">
        <f t="shared" si="224"/>
        <v/>
      </c>
      <c r="AG427" s="124">
        <v>0.6</v>
      </c>
      <c r="AH427" s="123">
        <v>2</v>
      </c>
      <c r="AI427" s="123">
        <v>1</v>
      </c>
      <c r="AJ427" s="123"/>
      <c r="AK427" s="123"/>
      <c r="AL427" s="123"/>
      <c r="AM427" s="123"/>
      <c r="AN427" s="123"/>
      <c r="AO427" s="123"/>
      <c r="AP427" s="123"/>
      <c r="AQ427" s="123"/>
      <c r="AR427" s="125"/>
    </row>
    <row r="428" spans="9:44" ht="12" customHeight="1" thickBot="1">
      <c r="I428" s="144" t="str">
        <f t="shared" si="232"/>
        <v>Transport Shipping Electricity</v>
      </c>
      <c r="J428" s="155" t="s">
        <v>205</v>
      </c>
      <c r="K428" s="144" t="str">
        <f t="shared" si="233"/>
        <v>TRA-SHELCExt</v>
      </c>
      <c r="L428" s="101" t="str">
        <f t="shared" si="235"/>
        <v/>
      </c>
      <c r="P428" s="122" t="str">
        <f t="shared" si="211"/>
        <v/>
      </c>
      <c r="Q428" s="114" t="str">
        <f t="shared" si="207"/>
        <v/>
      </c>
      <c r="R428" s="112" t="str">
        <f t="shared" si="212"/>
        <v/>
      </c>
      <c r="S428" s="119" t="str">
        <f t="shared" si="213"/>
        <v/>
      </c>
      <c r="T428" s="119" t="str">
        <f t="shared" si="214"/>
        <v/>
      </c>
      <c r="U428" s="119" t="str">
        <f t="shared" si="215"/>
        <v/>
      </c>
      <c r="V428" s="119" t="str">
        <f t="shared" si="216"/>
        <v/>
      </c>
      <c r="W428" s="119" t="str">
        <f t="shared" si="217"/>
        <v/>
      </c>
      <c r="X428" s="119" t="str">
        <f t="shared" si="218"/>
        <v/>
      </c>
      <c r="Y428" s="119" t="str">
        <f t="shared" si="219"/>
        <v/>
      </c>
      <c r="Z428" s="119" t="str">
        <f t="shared" si="220"/>
        <v/>
      </c>
      <c r="AA428" s="119" t="str">
        <f t="shared" si="221"/>
        <v/>
      </c>
      <c r="AB428" s="119" t="str">
        <f t="shared" si="222"/>
        <v/>
      </c>
      <c r="AC428" s="119" t="str">
        <f t="shared" si="223"/>
        <v/>
      </c>
      <c r="AD428" s="119" t="str">
        <f t="shared" si="224"/>
        <v/>
      </c>
      <c r="AG428" s="126">
        <v>0.6</v>
      </c>
      <c r="AH428" s="127">
        <v>2</v>
      </c>
      <c r="AI428" s="127">
        <v>1</v>
      </c>
      <c r="AJ428" s="127"/>
      <c r="AK428" s="127"/>
      <c r="AL428" s="127"/>
      <c r="AM428" s="127"/>
      <c r="AN428" s="127"/>
      <c r="AO428" s="127"/>
      <c r="AP428" s="127"/>
      <c r="AQ428" s="127"/>
      <c r="AR428" s="139"/>
    </row>
    <row r="434" spans="2:44" ht="12" customHeight="1" thickBot="1"/>
    <row r="435" spans="2:44" ht="12" customHeight="1">
      <c r="B435" s="109" t="s">
        <v>62</v>
      </c>
      <c r="C435" s="109" t="s">
        <v>64</v>
      </c>
      <c r="D435" s="109" t="s">
        <v>201</v>
      </c>
      <c r="E435" s="109" t="s">
        <v>194</v>
      </c>
      <c r="F435" s="109" t="s">
        <v>199</v>
      </c>
      <c r="G435" s="109" t="s">
        <v>197</v>
      </c>
      <c r="H435" s="109" t="s">
        <v>200</v>
      </c>
      <c r="I435" s="109" t="s">
        <v>196</v>
      </c>
      <c r="J435" s="109" t="s">
        <v>195</v>
      </c>
      <c r="K435" s="109" t="s">
        <v>203</v>
      </c>
      <c r="L435" s="109" t="s">
        <v>204</v>
      </c>
      <c r="P435" s="120" t="s">
        <v>1</v>
      </c>
      <c r="Q435" s="121" t="s">
        <v>5</v>
      </c>
      <c r="R435" s="121" t="s">
        <v>6</v>
      </c>
      <c r="S435" s="160" t="s">
        <v>56</v>
      </c>
      <c r="T435" s="160" t="s">
        <v>188</v>
      </c>
      <c r="U435" s="160" t="s">
        <v>189</v>
      </c>
      <c r="V435" s="160" t="s">
        <v>190</v>
      </c>
      <c r="W435" s="160" t="s">
        <v>209</v>
      </c>
      <c r="X435" s="160" t="s">
        <v>191</v>
      </c>
      <c r="Y435" s="160" t="s">
        <v>192</v>
      </c>
      <c r="Z435" s="160" t="s">
        <v>210</v>
      </c>
      <c r="AA435" s="160" t="s">
        <v>211</v>
      </c>
      <c r="AB435" s="160" t="s">
        <v>193</v>
      </c>
      <c r="AC435" s="161" t="s">
        <v>359</v>
      </c>
      <c r="AD435" s="161" t="s">
        <v>212</v>
      </c>
      <c r="AG435" s="136" t="s">
        <v>56</v>
      </c>
      <c r="AH435" s="137" t="s">
        <v>188</v>
      </c>
      <c r="AI435" s="137" t="s">
        <v>189</v>
      </c>
      <c r="AJ435" s="137" t="s">
        <v>190</v>
      </c>
      <c r="AK435" s="137" t="s">
        <v>209</v>
      </c>
      <c r="AL435" s="137" t="s">
        <v>191</v>
      </c>
      <c r="AM435" s="137" t="s">
        <v>192</v>
      </c>
      <c r="AN435" s="137" t="s">
        <v>210</v>
      </c>
      <c r="AO435" s="137" t="s">
        <v>211</v>
      </c>
      <c r="AP435" s="137" t="s">
        <v>193</v>
      </c>
      <c r="AQ435" s="137" t="s">
        <v>359</v>
      </c>
      <c r="AR435" s="138" t="s">
        <v>212</v>
      </c>
    </row>
    <row r="436" spans="2:44" ht="12" customHeight="1">
      <c r="B436" s="116" t="s">
        <v>202</v>
      </c>
      <c r="C436" s="108" t="s">
        <v>47</v>
      </c>
      <c r="D436" s="116" t="s">
        <v>274</v>
      </c>
      <c r="E436" s="106"/>
      <c r="F436" s="110"/>
      <c r="G436" s="107" t="str">
        <f>C436&amp;" Coal"</f>
        <v>Agriculture Coal</v>
      </c>
      <c r="H436" s="113" t="s">
        <v>275</v>
      </c>
      <c r="I436" s="142" t="str">
        <f t="shared" ref="I436:I448" si="236">$C$436&amp;" "&amp;$E$436&amp;" "&amp;RIGHT(G436,LEN(G436)-FIND(" ",G436))</f>
        <v>Agriculture  Coal</v>
      </c>
      <c r="J436" s="157" t="s">
        <v>198</v>
      </c>
      <c r="K436" s="142" t="str">
        <f>$D$436&amp;$F$436&amp;RIGHT(H436,3)&amp;$B$436</f>
        <v>AGR-COAExt</v>
      </c>
      <c r="L436" s="101" t="str">
        <f t="shared" ref="L436:L448" si="237">IF(J436="Yes",K436,"")</f>
        <v>AGR-COAExt</v>
      </c>
      <c r="P436" s="122"/>
      <c r="Q436" s="114"/>
      <c r="R436" s="112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G436" s="124">
        <v>0.6</v>
      </c>
      <c r="AH436" s="123">
        <v>2</v>
      </c>
      <c r="AI436" s="123">
        <v>1</v>
      </c>
      <c r="AJ436" s="123"/>
      <c r="AK436" s="123"/>
      <c r="AL436" s="123"/>
      <c r="AM436" s="123"/>
      <c r="AN436" s="123"/>
      <c r="AO436" s="123"/>
      <c r="AP436" s="123"/>
      <c r="AQ436" s="123"/>
      <c r="AR436" s="125"/>
    </row>
    <row r="437" spans="2:44" ht="12" customHeight="1">
      <c r="B437" s="116"/>
      <c r="C437" s="108"/>
      <c r="D437" s="116"/>
      <c r="E437" s="106"/>
      <c r="F437" s="110"/>
      <c r="G437" s="107" t="str">
        <f>C436&amp;" Lignite"</f>
        <v>Agriculture Lignite</v>
      </c>
      <c r="H437" s="113" t="s">
        <v>276</v>
      </c>
      <c r="I437" s="143" t="str">
        <f t="shared" si="236"/>
        <v>Agriculture  Lignite</v>
      </c>
      <c r="J437" s="116" t="s">
        <v>198</v>
      </c>
      <c r="K437" s="143" t="str">
        <f t="shared" ref="K437:K448" si="238">$D$436&amp;$F$436&amp;RIGHT(H437,3)&amp;$B$436</f>
        <v>AGR-COLExt</v>
      </c>
      <c r="L437" s="101" t="str">
        <f t="shared" si="237"/>
        <v>AGR-COLExt</v>
      </c>
      <c r="P437" s="122"/>
      <c r="Q437" s="114"/>
      <c r="R437" s="112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G437" s="124">
        <v>0.6</v>
      </c>
      <c r="AH437" s="123">
        <v>2</v>
      </c>
      <c r="AI437" s="123">
        <v>1</v>
      </c>
      <c r="AJ437" s="123"/>
      <c r="AK437" s="123"/>
      <c r="AL437" s="123"/>
      <c r="AM437" s="123"/>
      <c r="AN437" s="123"/>
      <c r="AO437" s="123"/>
      <c r="AP437" s="123"/>
      <c r="AQ437" s="123"/>
      <c r="AR437" s="125"/>
    </row>
    <row r="438" spans="2:44" ht="12" customHeight="1">
      <c r="B438" s="116"/>
      <c r="C438" s="108"/>
      <c r="D438" s="116"/>
      <c r="E438" s="106"/>
      <c r="F438" s="110"/>
      <c r="G438" s="107" t="str">
        <f>C436&amp;" Crude oil"</f>
        <v>Agriculture Crude oil</v>
      </c>
      <c r="H438" s="113" t="s">
        <v>277</v>
      </c>
      <c r="I438" s="143" t="str">
        <f t="shared" si="236"/>
        <v>Agriculture  Crude oil</v>
      </c>
      <c r="J438" s="116" t="s">
        <v>198</v>
      </c>
      <c r="K438" s="143" t="str">
        <f t="shared" si="238"/>
        <v>AGR-OILExt</v>
      </c>
      <c r="L438" s="101" t="str">
        <f t="shared" si="237"/>
        <v>AGR-OILExt</v>
      </c>
      <c r="P438" s="122"/>
      <c r="Q438" s="114"/>
      <c r="R438" s="112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G438" s="124">
        <v>0.6</v>
      </c>
      <c r="AH438" s="123">
        <v>2</v>
      </c>
      <c r="AI438" s="123">
        <v>1</v>
      </c>
      <c r="AJ438" s="123"/>
      <c r="AK438" s="123"/>
      <c r="AL438" s="123"/>
      <c r="AM438" s="123"/>
      <c r="AN438" s="123"/>
      <c r="AO438" s="123"/>
      <c r="AP438" s="123"/>
      <c r="AQ438" s="123"/>
      <c r="AR438" s="125"/>
    </row>
    <row r="439" spans="2:44" ht="12" customHeight="1">
      <c r="B439" s="116"/>
      <c r="C439" s="108"/>
      <c r="D439" s="116"/>
      <c r="E439" s="106"/>
      <c r="F439" s="110"/>
      <c r="G439" s="107" t="str">
        <f>C436&amp;" Natural Gas"</f>
        <v>Agriculture Natural Gas</v>
      </c>
      <c r="H439" s="113" t="s">
        <v>278</v>
      </c>
      <c r="I439" s="143" t="str">
        <f t="shared" si="236"/>
        <v>Agriculture  Natural Gas</v>
      </c>
      <c r="J439" s="116" t="s">
        <v>198</v>
      </c>
      <c r="K439" s="143" t="str">
        <f t="shared" si="238"/>
        <v>AGR-NGAExt</v>
      </c>
      <c r="L439" s="101" t="str">
        <f t="shared" si="237"/>
        <v>AGR-NGAExt</v>
      </c>
      <c r="P439" s="122"/>
      <c r="Q439" s="114"/>
      <c r="R439" s="112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G439" s="124">
        <v>0.6</v>
      </c>
      <c r="AH439" s="123">
        <v>2</v>
      </c>
      <c r="AI439" s="123">
        <v>1</v>
      </c>
      <c r="AJ439" s="123"/>
      <c r="AK439" s="123"/>
      <c r="AL439" s="123"/>
      <c r="AM439" s="123"/>
      <c r="AN439" s="123"/>
      <c r="AO439" s="123"/>
      <c r="AP439" s="123"/>
      <c r="AQ439" s="123"/>
      <c r="AR439" s="125"/>
    </row>
    <row r="440" spans="2:44" ht="12" customHeight="1">
      <c r="B440" s="116"/>
      <c r="C440" s="108"/>
      <c r="D440" s="116"/>
      <c r="E440" s="106"/>
      <c r="F440" s="110"/>
      <c r="G440" s="107" t="str">
        <f>C436&amp;" Hydro"</f>
        <v>Agriculture Hydro</v>
      </c>
      <c r="H440" s="113" t="s">
        <v>279</v>
      </c>
      <c r="I440" s="143" t="str">
        <f t="shared" si="236"/>
        <v>Agriculture  Hydro</v>
      </c>
      <c r="J440" s="116" t="s">
        <v>198</v>
      </c>
      <c r="K440" s="143" t="str">
        <f t="shared" si="238"/>
        <v>AGR-HYDExt</v>
      </c>
      <c r="L440" s="101" t="str">
        <f t="shared" si="237"/>
        <v>AGR-HYDExt</v>
      </c>
      <c r="P440" s="122"/>
      <c r="Q440" s="114"/>
      <c r="R440" s="112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G440" s="124">
        <v>0.6</v>
      </c>
      <c r="AH440" s="123">
        <v>2</v>
      </c>
      <c r="AI440" s="123">
        <v>1</v>
      </c>
      <c r="AJ440" s="123"/>
      <c r="AK440" s="123"/>
      <c r="AL440" s="123"/>
      <c r="AM440" s="123"/>
      <c r="AN440" s="123"/>
      <c r="AO440" s="123"/>
      <c r="AP440" s="123"/>
      <c r="AQ440" s="123"/>
      <c r="AR440" s="125"/>
    </row>
    <row r="441" spans="2:44" ht="12" customHeight="1">
      <c r="B441" s="116"/>
      <c r="C441" s="108"/>
      <c r="D441" s="116"/>
      <c r="E441" s="106"/>
      <c r="F441" s="110"/>
      <c r="G441" s="107" t="str">
        <f>C436&amp;" Geothermal"</f>
        <v>Agriculture Geothermal</v>
      </c>
      <c r="H441" s="113" t="s">
        <v>280</v>
      </c>
      <c r="I441" s="143" t="str">
        <f t="shared" si="236"/>
        <v>Agriculture  Geothermal</v>
      </c>
      <c r="J441" s="116" t="s">
        <v>205</v>
      </c>
      <c r="K441" s="143" t="str">
        <f t="shared" si="238"/>
        <v>AGR-GEOExt</v>
      </c>
      <c r="L441" s="101" t="str">
        <f t="shared" si="237"/>
        <v/>
      </c>
      <c r="P441" s="122"/>
      <c r="Q441" s="114"/>
      <c r="R441" s="112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G441" s="124">
        <v>0.6</v>
      </c>
      <c r="AH441" s="123">
        <v>2</v>
      </c>
      <c r="AI441" s="123">
        <v>1</v>
      </c>
      <c r="AJ441" s="123"/>
      <c r="AK441" s="123"/>
      <c r="AL441" s="123"/>
      <c r="AM441" s="123"/>
      <c r="AN441" s="123"/>
      <c r="AO441" s="123"/>
      <c r="AP441" s="123"/>
      <c r="AQ441" s="123"/>
      <c r="AR441" s="125"/>
    </row>
    <row r="442" spans="2:44" ht="12" customHeight="1">
      <c r="B442" s="116"/>
      <c r="C442" s="108"/>
      <c r="D442" s="116"/>
      <c r="E442" s="106"/>
      <c r="F442" s="110"/>
      <c r="G442" s="107" t="str">
        <f>C436&amp;" Solar"</f>
        <v>Agriculture Solar</v>
      </c>
      <c r="H442" s="116" t="s">
        <v>281</v>
      </c>
      <c r="I442" s="143" t="str">
        <f t="shared" si="236"/>
        <v>Agriculture  Solar</v>
      </c>
      <c r="J442" s="116" t="s">
        <v>198</v>
      </c>
      <c r="K442" s="143" t="str">
        <f t="shared" si="238"/>
        <v>AGR-SOLExt</v>
      </c>
      <c r="L442" s="101" t="str">
        <f t="shared" si="237"/>
        <v>AGR-SOLExt</v>
      </c>
      <c r="P442" s="122"/>
      <c r="Q442" s="114"/>
      <c r="R442" s="112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G442" s="124">
        <v>0.6</v>
      </c>
      <c r="AH442" s="123">
        <v>2</v>
      </c>
      <c r="AI442" s="123">
        <v>1</v>
      </c>
      <c r="AJ442" s="123"/>
      <c r="AK442" s="123"/>
      <c r="AL442" s="123"/>
      <c r="AM442" s="123"/>
      <c r="AN442" s="123"/>
      <c r="AO442" s="123"/>
      <c r="AP442" s="123"/>
      <c r="AQ442" s="123"/>
      <c r="AR442" s="125"/>
    </row>
    <row r="443" spans="2:44" ht="12" customHeight="1">
      <c r="B443" s="116"/>
      <c r="C443" s="108"/>
      <c r="D443" s="116"/>
      <c r="E443" s="106"/>
      <c r="F443" s="110"/>
      <c r="G443" s="107" t="str">
        <f>C436&amp;" Wind"</f>
        <v>Agriculture Wind</v>
      </c>
      <c r="H443" s="116" t="s">
        <v>282</v>
      </c>
      <c r="I443" s="143" t="str">
        <f t="shared" si="236"/>
        <v>Agriculture  Wind</v>
      </c>
      <c r="J443" s="116" t="s">
        <v>205</v>
      </c>
      <c r="K443" s="143" t="str">
        <f t="shared" si="238"/>
        <v>AGR-WINExt</v>
      </c>
      <c r="L443" s="101" t="str">
        <f t="shared" si="237"/>
        <v/>
      </c>
      <c r="P443" s="122"/>
      <c r="Q443" s="114"/>
      <c r="R443" s="112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G443" s="124">
        <v>0.6</v>
      </c>
      <c r="AH443" s="123">
        <v>2</v>
      </c>
      <c r="AI443" s="123">
        <v>1</v>
      </c>
      <c r="AJ443" s="123"/>
      <c r="AK443" s="123"/>
      <c r="AL443" s="123"/>
      <c r="AM443" s="123"/>
      <c r="AN443" s="123"/>
      <c r="AO443" s="123"/>
      <c r="AP443" s="123"/>
      <c r="AQ443" s="123"/>
      <c r="AR443" s="125"/>
    </row>
    <row r="444" spans="2:44" ht="12" customHeight="1">
      <c r="B444" s="116"/>
      <c r="C444" s="108"/>
      <c r="D444" s="116"/>
      <c r="E444" s="106"/>
      <c r="F444" s="110"/>
      <c r="G444" s="107" t="str">
        <f>C436&amp;" Bio Liquids"</f>
        <v>Agriculture Bio Liquids</v>
      </c>
      <c r="H444" s="116" t="s">
        <v>283</v>
      </c>
      <c r="I444" s="143" t="str">
        <f t="shared" si="236"/>
        <v>Agriculture  Bio Liquids</v>
      </c>
      <c r="J444" s="116" t="s">
        <v>198</v>
      </c>
      <c r="K444" s="143" t="str">
        <f t="shared" si="238"/>
        <v>AGR-BILExt</v>
      </c>
      <c r="L444" s="101" t="str">
        <f t="shared" si="237"/>
        <v>AGR-BILExt</v>
      </c>
      <c r="P444" s="122"/>
      <c r="Q444" s="114"/>
      <c r="R444" s="112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G444" s="124">
        <v>0.6</v>
      </c>
      <c r="AH444" s="123">
        <v>2</v>
      </c>
      <c r="AI444" s="123">
        <v>1</v>
      </c>
      <c r="AJ444" s="123"/>
      <c r="AK444" s="123"/>
      <c r="AL444" s="123"/>
      <c r="AM444" s="123"/>
      <c r="AN444" s="123"/>
      <c r="AO444" s="123"/>
      <c r="AP444" s="123"/>
      <c r="AQ444" s="123"/>
      <c r="AR444" s="125"/>
    </row>
    <row r="445" spans="2:44" ht="12" customHeight="1">
      <c r="B445" s="116"/>
      <c r="C445" s="108"/>
      <c r="D445" s="116"/>
      <c r="E445" s="108"/>
      <c r="F445" s="116"/>
      <c r="G445" s="107" t="str">
        <f>C436&amp;" Biogas"</f>
        <v>Agriculture Biogas</v>
      </c>
      <c r="H445" s="116" t="s">
        <v>284</v>
      </c>
      <c r="I445" s="143" t="str">
        <f t="shared" si="236"/>
        <v>Agriculture  Biogas</v>
      </c>
      <c r="J445" s="116" t="s">
        <v>198</v>
      </c>
      <c r="K445" s="143" t="str">
        <f t="shared" si="238"/>
        <v>AGR-BIGExt</v>
      </c>
      <c r="L445" s="101" t="str">
        <f t="shared" si="237"/>
        <v>AGR-BIGExt</v>
      </c>
      <c r="P445" s="122"/>
      <c r="Q445" s="114"/>
      <c r="R445" s="112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G445" s="124">
        <v>0.6</v>
      </c>
      <c r="AH445" s="123">
        <v>2</v>
      </c>
      <c r="AI445" s="123">
        <v>1</v>
      </c>
      <c r="AJ445" s="123"/>
      <c r="AK445" s="123"/>
      <c r="AL445" s="123"/>
      <c r="AM445" s="123"/>
      <c r="AN445" s="123"/>
      <c r="AO445" s="123"/>
      <c r="AP445" s="123"/>
      <c r="AQ445" s="123"/>
      <c r="AR445" s="125"/>
    </row>
    <row r="446" spans="2:44" ht="12" customHeight="1">
      <c r="B446" s="116"/>
      <c r="C446" s="108"/>
      <c r="D446" s="116"/>
      <c r="E446" s="108"/>
      <c r="F446" s="116"/>
      <c r="G446" s="107" t="str">
        <f>C436&amp;" Wood"</f>
        <v>Agriculture Wood</v>
      </c>
      <c r="H446" s="116" t="s">
        <v>285</v>
      </c>
      <c r="I446" s="143" t="str">
        <f t="shared" si="236"/>
        <v>Agriculture  Wood</v>
      </c>
      <c r="J446" s="116" t="s">
        <v>198</v>
      </c>
      <c r="K446" s="143" t="str">
        <f t="shared" si="238"/>
        <v>AGR-WODExt</v>
      </c>
      <c r="L446" s="101" t="str">
        <f t="shared" si="237"/>
        <v>AGR-WODExt</v>
      </c>
      <c r="P446" s="122"/>
      <c r="Q446" s="114"/>
      <c r="R446" s="112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G446" s="124">
        <v>0.6</v>
      </c>
      <c r="AH446" s="123">
        <v>2</v>
      </c>
      <c r="AI446" s="123">
        <v>1</v>
      </c>
      <c r="AJ446" s="123"/>
      <c r="AK446" s="123"/>
      <c r="AL446" s="123"/>
      <c r="AM446" s="123"/>
      <c r="AN446" s="123"/>
      <c r="AO446" s="123"/>
      <c r="AP446" s="123"/>
      <c r="AQ446" s="123"/>
      <c r="AR446" s="125"/>
    </row>
    <row r="447" spans="2:44" ht="12" customHeight="1">
      <c r="B447" s="116"/>
      <c r="C447" s="108"/>
      <c r="D447" s="116"/>
      <c r="E447" s="108"/>
      <c r="F447" s="116"/>
      <c r="G447" s="107" t="str">
        <f>C436&amp;" Tidal"</f>
        <v>Agriculture Tidal</v>
      </c>
      <c r="H447" s="116" t="s">
        <v>286</v>
      </c>
      <c r="I447" s="143" t="str">
        <f t="shared" si="236"/>
        <v>Agriculture  Tidal</v>
      </c>
      <c r="J447" s="116" t="s">
        <v>205</v>
      </c>
      <c r="K447" s="143" t="str">
        <f t="shared" si="238"/>
        <v>AGR-TIDExt</v>
      </c>
      <c r="L447" s="101" t="str">
        <f t="shared" si="237"/>
        <v/>
      </c>
      <c r="P447" s="122"/>
      <c r="Q447" s="114"/>
      <c r="R447" s="112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G447" s="124">
        <v>0.6</v>
      </c>
      <c r="AH447" s="123">
        <v>2</v>
      </c>
      <c r="AI447" s="123">
        <v>1</v>
      </c>
      <c r="AJ447" s="123"/>
      <c r="AK447" s="123"/>
      <c r="AL447" s="123"/>
      <c r="AM447" s="123"/>
      <c r="AN447" s="123"/>
      <c r="AO447" s="123"/>
      <c r="AP447" s="123"/>
      <c r="AQ447" s="123"/>
      <c r="AR447" s="125"/>
    </row>
    <row r="448" spans="2:44" ht="12" customHeight="1" thickBot="1">
      <c r="B448" s="116"/>
      <c r="C448" s="108"/>
      <c r="D448" s="116"/>
      <c r="E448" s="108"/>
      <c r="F448" s="116"/>
      <c r="G448" s="107" t="str">
        <f>C436&amp;" Electricity"</f>
        <v>Agriculture Electricity</v>
      </c>
      <c r="H448" s="116" t="s">
        <v>287</v>
      </c>
      <c r="I448" s="144" t="str">
        <f t="shared" si="236"/>
        <v>Agriculture  Electricity</v>
      </c>
      <c r="J448" s="158" t="s">
        <v>198</v>
      </c>
      <c r="K448" s="144" t="str">
        <f t="shared" si="238"/>
        <v>AGR-ELCExt</v>
      </c>
      <c r="L448" s="101" t="str">
        <f t="shared" si="237"/>
        <v>AGR-ELCExt</v>
      </c>
      <c r="P448" s="122"/>
      <c r="Q448" s="114"/>
      <c r="R448" s="112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G448" s="126">
        <v>0.6</v>
      </c>
      <c r="AH448" s="127">
        <v>2</v>
      </c>
      <c r="AI448" s="127">
        <v>1</v>
      </c>
      <c r="AJ448" s="127"/>
      <c r="AK448" s="127"/>
      <c r="AL448" s="127"/>
      <c r="AM448" s="127"/>
      <c r="AN448" s="127"/>
      <c r="AO448" s="127"/>
      <c r="AP448" s="127"/>
      <c r="AQ448" s="127"/>
      <c r="AR448" s="139"/>
    </row>
    <row r="23558" spans="8:8" ht="12" customHeight="1">
      <c r="H23558" s="101" t="s">
        <v>293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Documentation</vt:lpstr>
      <vt:lpstr>EB1</vt:lpstr>
      <vt:lpstr>PROC_COM_AGR</vt:lpstr>
      <vt:lpstr>AGR_fuels</vt:lpstr>
      <vt:lpstr>AGR</vt:lpstr>
      <vt:lpstr>RES_techs_coms</vt:lpstr>
      <vt:lpstr>RES_fuel_dem</vt:lpstr>
      <vt:lpstr>RES</vt:lpstr>
      <vt:lpstr>COM_techs</vt:lpstr>
      <vt:lpstr>COM_fuels</vt:lpstr>
      <vt:lpstr>COM</vt:lpstr>
      <vt:lpstr>Emi</vt:lpstr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2004-11-16T14:57:57Z</cp:lastPrinted>
  <dcterms:created xsi:type="dcterms:W3CDTF">2000-12-13T15:53:11Z</dcterms:created>
  <dcterms:modified xsi:type="dcterms:W3CDTF">2026-04-01T06:40:40Z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370123565196990</vt:r8>
  </property>
</Properties>
</file>