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Veda\Veda\Veda_models\NZL_EECA_VerveStacks\SuppXLS\"/>
    </mc:Choice>
  </mc:AlternateContent>
  <xr:revisionPtr revIDLastSave="0" documentId="13_ncr:1_{8D79E196-697B-4F45-B3D3-2C03B50746DB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kea-tui" sheetId="11" r:id="rId2"/>
    <sheet name="car demand" sheetId="14" r:id="rId3"/>
    <sheet name="transport" sheetId="13" r:id="rId4"/>
    <sheet name="co2 budget" sheetId="12" r:id="rId5"/>
    <sheet name="ev_charging_uc" sheetId="6" r:id="rId6"/>
    <sheet name="ts_012" sheetId="7" r:id="rId7"/>
    <sheet name="ts_048" sheetId="8" r:id="rId8"/>
    <sheet name="ts_annual" sheetId="9" r:id="rId9"/>
    <sheet name="ts_12t" sheetId="10" r:id="rId10"/>
  </sheets>
  <definedNames>
    <definedName name="_xlnm._FilterDatabase" localSheetId="1" hidden="1">'kea-tui'!$AR$7:$AX$1490</definedName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3" l="1"/>
  <c r="BS1482" i="11"/>
  <c r="BS1481" i="11"/>
  <c r="BS1480" i="11"/>
  <c r="BS1479" i="11"/>
  <c r="BS746" i="11"/>
  <c r="BS745" i="11"/>
  <c r="BS744" i="11"/>
  <c r="BS743" i="11"/>
  <c r="BH1482" i="11"/>
  <c r="BH1481" i="11"/>
  <c r="BH1480" i="11"/>
  <c r="BH1479" i="11"/>
  <c r="BH746" i="11"/>
  <c r="BH745" i="11"/>
  <c r="BH744" i="11"/>
  <c r="BH743" i="11"/>
  <c r="G6" i="13"/>
  <c r="G12" i="13"/>
  <c r="AM298" i="11"/>
  <c r="AG298" i="11"/>
  <c r="AG77" i="11"/>
  <c r="AG76" i="11"/>
  <c r="AM76" i="11"/>
  <c r="AM77" i="11"/>
  <c r="AM70" i="11"/>
  <c r="AM299" i="11"/>
  <c r="AG299" i="11"/>
  <c r="AG70" i="11"/>
  <c r="AP299" i="11"/>
  <c r="AP298" i="11"/>
  <c r="AP297" i="11"/>
  <c r="AP296" i="11"/>
  <c r="AP295" i="11"/>
  <c r="AP294" i="11"/>
  <c r="AP293" i="11"/>
  <c r="AP292" i="11"/>
  <c r="AP77" i="11"/>
  <c r="AP76" i="11"/>
  <c r="AP75" i="11"/>
  <c r="AP74" i="11"/>
  <c r="AP73" i="11"/>
  <c r="AP72" i="11"/>
  <c r="AP71" i="11"/>
  <c r="AP70" i="11"/>
  <c r="AM297" i="11"/>
  <c r="AM296" i="11"/>
  <c r="AM295" i="11"/>
  <c r="AM294" i="11"/>
  <c r="AM293" i="11"/>
  <c r="AM292" i="11"/>
  <c r="AM75" i="11"/>
  <c r="AM74" i="11"/>
  <c r="AM73" i="11"/>
  <c r="AM72" i="11"/>
  <c r="AM71" i="11"/>
  <c r="AJ299" i="11"/>
  <c r="AJ298" i="11"/>
  <c r="AJ297" i="11"/>
  <c r="AJ296" i="11"/>
  <c r="AJ295" i="11"/>
  <c r="AJ294" i="11"/>
  <c r="AJ293" i="11"/>
  <c r="AJ292" i="11"/>
  <c r="AJ77" i="11"/>
  <c r="AJ76" i="11"/>
  <c r="AJ75" i="11"/>
  <c r="AJ74" i="11"/>
  <c r="AJ73" i="11"/>
  <c r="AJ72" i="11"/>
  <c r="AJ71" i="11"/>
  <c r="AJ70" i="11"/>
  <c r="AG297" i="11"/>
  <c r="AG296" i="11"/>
  <c r="AG295" i="11"/>
  <c r="AG294" i="11"/>
  <c r="AG293" i="11"/>
  <c r="AG292" i="11"/>
  <c r="AG75" i="11"/>
  <c r="AG74" i="11"/>
  <c r="AG73" i="11"/>
  <c r="AG72" i="11"/>
  <c r="AG71" i="11"/>
  <c r="H45" i="14"/>
  <c r="H42" i="14"/>
  <c r="G45" i="14"/>
  <c r="F45" i="14"/>
  <c r="E45" i="14"/>
  <c r="G42" i="14"/>
  <c r="F42" i="14"/>
  <c r="E42" i="14"/>
  <c r="D42" i="14" s="1"/>
  <c r="M35" i="14"/>
  <c r="L35" i="14"/>
  <c r="K35" i="14"/>
  <c r="J35" i="14"/>
  <c r="I35" i="14"/>
  <c r="H35" i="14"/>
  <c r="G35" i="14"/>
  <c r="F35" i="14"/>
  <c r="M34" i="14"/>
  <c r="L34" i="14"/>
  <c r="K34" i="14"/>
  <c r="J34" i="14"/>
  <c r="I34" i="14"/>
  <c r="H34" i="14"/>
  <c r="G34" i="14"/>
  <c r="F34" i="14"/>
  <c r="M29" i="14"/>
  <c r="L29" i="14"/>
  <c r="K29" i="14"/>
  <c r="J29" i="14"/>
  <c r="I29" i="14"/>
  <c r="H29" i="14"/>
  <c r="G29" i="14"/>
  <c r="F29" i="14"/>
  <c r="M28" i="14"/>
  <c r="L28" i="14"/>
  <c r="K28" i="14"/>
  <c r="J28" i="14"/>
  <c r="I28" i="14"/>
  <c r="H28" i="14"/>
  <c r="G28" i="14"/>
  <c r="F28" i="14"/>
  <c r="D45" i="14"/>
  <c r="F44" i="14"/>
  <c r="E44" i="14"/>
  <c r="D44" i="14"/>
  <c r="D43" i="14"/>
  <c r="P45" i="14"/>
  <c r="P44" i="14"/>
  <c r="P43" i="14"/>
  <c r="B45" i="14"/>
  <c r="A45" i="14"/>
  <c r="B44" i="14"/>
  <c r="A44" i="14"/>
  <c r="B43" i="14"/>
  <c r="A43" i="14"/>
  <c r="B42" i="14"/>
  <c r="A42" i="14"/>
  <c r="B41" i="14"/>
  <c r="A41" i="14"/>
  <c r="B40" i="14"/>
  <c r="A40" i="14"/>
  <c r="H41" i="14"/>
  <c r="G41" i="14"/>
  <c r="F41" i="14"/>
  <c r="E41" i="14"/>
  <c r="D41" i="14"/>
  <c r="D40" i="14"/>
  <c r="M23" i="14"/>
  <c r="L23" i="14"/>
  <c r="K23" i="14"/>
  <c r="J23" i="14"/>
  <c r="I23" i="14"/>
  <c r="H23" i="14"/>
  <c r="G23" i="14"/>
  <c r="F23" i="14"/>
  <c r="E23" i="14"/>
  <c r="G1" i="14"/>
  <c r="H1" i="14" s="1"/>
  <c r="F38" i="14"/>
  <c r="E38" i="14"/>
  <c r="D38" i="14" s="1"/>
  <c r="F37" i="14"/>
  <c r="E37" i="14"/>
  <c r="D37" i="14" s="1"/>
  <c r="E35" i="14"/>
  <c r="D35" i="14" s="1"/>
  <c r="E34" i="14"/>
  <c r="D34" i="14" s="1"/>
  <c r="F32" i="14"/>
  <c r="E32" i="14"/>
  <c r="D32" i="14" s="1"/>
  <c r="F31" i="14"/>
  <c r="E31" i="14"/>
  <c r="D31" i="14" s="1"/>
  <c r="E29" i="14"/>
  <c r="D29" i="14" s="1"/>
  <c r="E28" i="14"/>
  <c r="D28" i="14" s="1"/>
  <c r="P31" i="14"/>
  <c r="P34" i="14" s="1"/>
  <c r="P37" i="14" s="1"/>
  <c r="P32" i="14"/>
  <c r="P35" i="14" s="1"/>
  <c r="P38" i="14" s="1"/>
  <c r="P30" i="14"/>
  <c r="D36" i="14"/>
  <c r="D33" i="14"/>
  <c r="D30" i="14"/>
  <c r="D27" i="14"/>
  <c r="AH22" i="12"/>
  <c r="AH22" i="12" a="1"/>
  <c r="AG22" i="12" a="1"/>
  <c r="AG22" i="12" s="1"/>
  <c r="AF22" i="12" a="1"/>
  <c r="AF22" i="12" s="1"/>
  <c r="AE22" i="12" a="1"/>
  <c r="AE22" i="12" s="1"/>
  <c r="AD22" i="12" a="1"/>
  <c r="AD22" i="12" s="1"/>
  <c r="AC22" i="12" a="1"/>
  <c r="AC22" i="12" s="1"/>
  <c r="AB22" i="12" a="1"/>
  <c r="AB22" i="12" s="1"/>
  <c r="AA22" i="12" a="1"/>
  <c r="AA22" i="12" s="1"/>
  <c r="Z22" i="12" a="1"/>
  <c r="Z22" i="12" s="1"/>
  <c r="Y22" i="12" a="1"/>
  <c r="Y22" i="12" s="1"/>
  <c r="X22" i="12" a="1"/>
  <c r="X22" i="12" s="1"/>
  <c r="W22" i="12"/>
  <c r="W22" i="12" a="1"/>
  <c r="V22" i="12" a="1"/>
  <c r="V22" i="12" s="1"/>
  <c r="U22" i="12" a="1"/>
  <c r="U22" i="12" s="1"/>
  <c r="T22" i="12" a="1"/>
  <c r="T22" i="12" s="1"/>
  <c r="S22" i="12" a="1"/>
  <c r="S22" i="12" s="1"/>
  <c r="R22" i="12" a="1"/>
  <c r="R22" i="12" s="1"/>
  <c r="Q22" i="12" a="1"/>
  <c r="Q22" i="12" s="1"/>
  <c r="P22" i="12" a="1"/>
  <c r="P22" i="12" s="1"/>
  <c r="O22" i="12" a="1"/>
  <c r="O22" i="12" s="1"/>
  <c r="N22" i="12" a="1"/>
  <c r="N22" i="12" s="1"/>
  <c r="M22" i="12" a="1"/>
  <c r="M22" i="12" s="1"/>
  <c r="L22" i="12"/>
  <c r="L22" i="12" a="1"/>
  <c r="K22" i="12" a="1"/>
  <c r="K22" i="12" s="1"/>
  <c r="J22" i="12" a="1"/>
  <c r="J22" i="12" s="1"/>
  <c r="I22" i="12" a="1"/>
  <c r="I22" i="12" s="1"/>
  <c r="AH24" i="12" a="1"/>
  <c r="AH24" i="12" s="1"/>
  <c r="AG24" i="12" a="1"/>
  <c r="AG24" i="12" s="1"/>
  <c r="AF24" i="12" a="1"/>
  <c r="AF24" i="12" s="1"/>
  <c r="AE24" i="12" a="1"/>
  <c r="AE24" i="12" s="1"/>
  <c r="AD24" i="12" a="1"/>
  <c r="AD24" i="12" s="1"/>
  <c r="AC24" i="12" a="1"/>
  <c r="AC24" i="12" s="1"/>
  <c r="AB24" i="12" a="1"/>
  <c r="AB24" i="12" s="1"/>
  <c r="AA24" i="12" a="1"/>
  <c r="AA24" i="12" s="1"/>
  <c r="Z24" i="12" a="1"/>
  <c r="Z24" i="12" s="1"/>
  <c r="Y24" i="12" a="1"/>
  <c r="Y24" i="12" s="1"/>
  <c r="X24" i="12" a="1"/>
  <c r="X24" i="12" s="1"/>
  <c r="W24" i="12" a="1"/>
  <c r="W24" i="12" s="1"/>
  <c r="V24" i="12" a="1"/>
  <c r="V24" i="12" s="1"/>
  <c r="U24" i="12" a="1"/>
  <c r="U24" i="12" s="1"/>
  <c r="T24" i="12" a="1"/>
  <c r="T24" i="12" s="1"/>
  <c r="S24" i="12" a="1"/>
  <c r="S24" i="12" s="1"/>
  <c r="R24" i="12" a="1"/>
  <c r="R24" i="12" s="1"/>
  <c r="Q24" i="12" a="1"/>
  <c r="Q24" i="12" s="1"/>
  <c r="P24" i="12" a="1"/>
  <c r="P24" i="12" s="1"/>
  <c r="O24" i="12" a="1"/>
  <c r="O24" i="12" s="1"/>
  <c r="N24" i="12" a="1"/>
  <c r="N24" i="12" s="1"/>
  <c r="M24" i="12" a="1"/>
  <c r="M24" i="12" s="1"/>
  <c r="L24" i="12" a="1"/>
  <c r="L24" i="12" s="1"/>
  <c r="K24" i="12" a="1"/>
  <c r="K24" i="12" s="1"/>
  <c r="J24" i="12" a="1"/>
  <c r="J24" i="12" s="1"/>
  <c r="I24" i="12" a="1"/>
  <c r="I24" i="12" s="1"/>
  <c r="J30" i="13"/>
  <c r="J31" i="13" s="1"/>
  <c r="I37" i="13"/>
  <c r="K36" i="13"/>
  <c r="L36" i="13" s="1"/>
  <c r="J36" i="13"/>
  <c r="J37" i="13" s="1"/>
  <c r="H24" i="12"/>
  <c r="G24" i="12"/>
  <c r="F24" i="12"/>
  <c r="E24" i="12"/>
  <c r="D24" i="12"/>
  <c r="C24" i="12"/>
  <c r="B24" i="12"/>
  <c r="H22" i="12"/>
  <c r="G22" i="12"/>
  <c r="F22" i="12"/>
  <c r="E22" i="12"/>
  <c r="D22" i="12"/>
  <c r="C22" i="12"/>
  <c r="B22" i="12"/>
  <c r="AH28" i="12"/>
  <c r="AG28" i="12"/>
  <c r="AF28" i="12"/>
  <c r="AE28" i="12"/>
  <c r="AD28" i="12"/>
  <c r="AC28" i="12"/>
  <c r="AB28" i="12"/>
  <c r="AA28" i="12"/>
  <c r="Z28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E5" i="1"/>
  <c r="A1" i="11" s="1"/>
  <c r="C1" i="12" s="1"/>
  <c r="G6" i="12" s="1"/>
  <c r="F2" i="11"/>
  <c r="F1" i="11"/>
  <c r="T13" i="13"/>
  <c r="R13" i="13"/>
  <c r="T12" i="13"/>
  <c r="R12" i="13"/>
  <c r="T11" i="13"/>
  <c r="R11" i="13"/>
  <c r="T10" i="13"/>
  <c r="R10" i="13"/>
  <c r="T9" i="13"/>
  <c r="R9" i="13"/>
  <c r="T8" i="13"/>
  <c r="R8" i="13"/>
  <c r="T7" i="13"/>
  <c r="R7" i="13"/>
  <c r="T6" i="13"/>
  <c r="R6" i="13"/>
  <c r="I12" i="13"/>
  <c r="H12" i="13"/>
  <c r="K12" i="13"/>
  <c r="J12" i="13"/>
  <c r="K6" i="13"/>
  <c r="J6" i="13"/>
  <c r="I6" i="13"/>
  <c r="H6" i="13"/>
  <c r="P25" i="14" l="1"/>
  <c r="C28" i="14" s="1"/>
  <c r="K30" i="13"/>
  <c r="L30" i="13" s="1"/>
  <c r="G44" i="14"/>
  <c r="H44" i="14"/>
  <c r="G32" i="14"/>
  <c r="G37" i="14"/>
  <c r="C34" i="14"/>
  <c r="C38" i="14"/>
  <c r="C30" i="14"/>
  <c r="C37" i="14"/>
  <c r="C31" i="14"/>
  <c r="P33" i="14"/>
  <c r="C32" i="14"/>
  <c r="C35" i="14"/>
  <c r="C29" i="14"/>
  <c r="C27" i="14"/>
  <c r="H38" i="14"/>
  <c r="H37" i="14"/>
  <c r="H31" i="14"/>
  <c r="G38" i="14"/>
  <c r="G31" i="14"/>
  <c r="H32" i="14"/>
  <c r="I1" i="14"/>
  <c r="L31" i="13"/>
  <c r="K31" i="13"/>
  <c r="B10" i="1"/>
  <c r="B9" i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67" i="1"/>
  <c r="B11" i="1"/>
  <c r="B12" i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R15" i="1"/>
  <c r="D15" i="1" s="1"/>
  <c r="R16" i="1"/>
  <c r="R21" i="1" s="1"/>
  <c r="R26" i="1" s="1"/>
  <c r="R31" i="1" s="1"/>
  <c r="R36" i="1" s="1"/>
  <c r="R41" i="1" s="1"/>
  <c r="R46" i="1" s="1"/>
  <c r="R51" i="1" s="1"/>
  <c r="R56" i="1" s="1"/>
  <c r="R61" i="1" s="1"/>
  <c r="R66" i="1" s="1"/>
  <c r="R71" i="1" s="1"/>
  <c r="R76" i="1" s="1"/>
  <c r="D76" i="1" s="1"/>
  <c r="R17" i="1"/>
  <c r="R22" i="1" s="1"/>
  <c r="R27" i="1" s="1"/>
  <c r="R32" i="1" s="1"/>
  <c r="R37" i="1" s="1"/>
  <c r="R42" i="1" s="1"/>
  <c r="R47" i="1" s="1"/>
  <c r="R52" i="1" s="1"/>
  <c r="R57" i="1" s="1"/>
  <c r="R62" i="1" s="1"/>
  <c r="R67" i="1" s="1"/>
  <c r="R72" i="1" s="1"/>
  <c r="R77" i="1" s="1"/>
  <c r="D77" i="1" s="1"/>
  <c r="R18" i="1"/>
  <c r="R23" i="1"/>
  <c r="D23" i="1" s="1"/>
  <c r="R28" i="1"/>
  <c r="D28" i="1" s="1"/>
  <c r="R33" i="1"/>
  <c r="R38" i="1" s="1"/>
  <c r="R43" i="1" s="1"/>
  <c r="R48" i="1" s="1"/>
  <c r="R53" i="1" s="1"/>
  <c r="R58" i="1" s="1"/>
  <c r="R63" i="1" s="1"/>
  <c r="R68" i="1" s="1"/>
  <c r="R73" i="1" s="1"/>
  <c r="R78" i="1" s="1"/>
  <c r="D78" i="1" s="1"/>
  <c r="R14" i="1"/>
  <c r="R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21" i="1" s="1"/>
  <c r="E26" i="1" s="1"/>
  <c r="E31" i="1" s="1"/>
  <c r="E36" i="1" s="1"/>
  <c r="E41" i="1" s="1"/>
  <c r="E46" i="1" s="1"/>
  <c r="E51" i="1" s="1"/>
  <c r="E56" i="1" s="1"/>
  <c r="E61" i="1" s="1"/>
  <c r="E66" i="1" s="1"/>
  <c r="E17" i="1"/>
  <c r="B17" i="1" s="1"/>
  <c r="E18" i="1"/>
  <c r="B18" i="1" s="1"/>
  <c r="E22" i="1"/>
  <c r="E27" i="1" s="1"/>
  <c r="E32" i="1" s="1"/>
  <c r="E37" i="1" s="1"/>
  <c r="E42" i="1" s="1"/>
  <c r="E47" i="1" s="1"/>
  <c r="E52" i="1" s="1"/>
  <c r="E57" i="1" s="1"/>
  <c r="E62" i="1" s="1"/>
  <c r="E23" i="1"/>
  <c r="E28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64" i="1" s="1"/>
  <c r="E69" i="1" s="1"/>
  <c r="E74" i="1" s="1"/>
  <c r="C44" i="14" l="1"/>
  <c r="C43" i="14"/>
  <c r="C40" i="14"/>
  <c r="C45" i="14"/>
  <c r="C41" i="14"/>
  <c r="C42" i="14"/>
  <c r="I42" i="14"/>
  <c r="I41" i="14"/>
  <c r="I44" i="14"/>
  <c r="I45" i="14"/>
  <c r="C33" i="14"/>
  <c r="P36" i="14"/>
  <c r="C36" i="14" s="1"/>
  <c r="J1" i="14"/>
  <c r="I32" i="14"/>
  <c r="I38" i="14"/>
  <c r="I31" i="14"/>
  <c r="I37" i="14"/>
  <c r="K37" i="13"/>
  <c r="L37" i="13"/>
  <c r="D72" i="1"/>
  <c r="D73" i="1"/>
  <c r="D63" i="1"/>
  <c r="D62" i="1"/>
  <c r="B62" i="1" s="1"/>
  <c r="D58" i="1"/>
  <c r="E70" i="1"/>
  <c r="E33" i="1"/>
  <c r="B28" i="1"/>
  <c r="R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71" i="1"/>
  <c r="D16" i="1"/>
  <c r="B16" i="1" s="1"/>
  <c r="D31" i="1"/>
  <c r="B31" i="1" s="1"/>
  <c r="B15" i="1"/>
  <c r="B27" i="1"/>
  <c r="D61" i="1"/>
  <c r="B61" i="1" s="1"/>
  <c r="D33" i="1"/>
  <c r="D53" i="1"/>
  <c r="D51" i="1"/>
  <c r="B51" i="1" s="1"/>
  <c r="R20" i="1"/>
  <c r="D48" i="1"/>
  <c r="D46" i="1"/>
  <c r="B46" i="1" s="1"/>
  <c r="E67" i="1"/>
  <c r="D14" i="1"/>
  <c r="B14" i="1" s="1"/>
  <c r="B22" i="1"/>
  <c r="D56" i="1"/>
  <c r="B56" i="1" s="1"/>
  <c r="B42" i="1"/>
  <c r="B37" i="1"/>
  <c r="D66" i="1"/>
  <c r="B66" i="1" s="1"/>
  <c r="D68" i="1"/>
  <c r="B32" i="1"/>
  <c r="E71" i="1"/>
  <c r="B71" i="1" s="1"/>
  <c r="D2" i="1"/>
  <c r="D5" i="1"/>
  <c r="J44" i="14" l="1"/>
  <c r="J45" i="14"/>
  <c r="J42" i="14"/>
  <c r="J41" i="14"/>
  <c r="K1" i="14"/>
  <c r="J32" i="14"/>
  <c r="J38" i="14"/>
  <c r="J31" i="14"/>
  <c r="J37" i="14"/>
  <c r="A11" i="8"/>
  <c r="A10" i="6"/>
  <c r="A11" i="9"/>
  <c r="A11" i="7"/>
  <c r="A11" i="10"/>
  <c r="R25" i="1"/>
  <c r="D20" i="1"/>
  <c r="B20" i="1" s="1"/>
  <c r="R29" i="1"/>
  <c r="D24" i="1"/>
  <c r="B24" i="1" s="1"/>
  <c r="E72" i="1"/>
  <c r="B67" i="1"/>
  <c r="E38" i="1"/>
  <c r="B33" i="1"/>
  <c r="E75" i="1"/>
  <c r="E76" i="1"/>
  <c r="B76" i="1" s="1"/>
  <c r="I24" i="6"/>
  <c r="I23" i="6" s="1"/>
  <c r="K44" i="14" l="1"/>
  <c r="K45" i="14"/>
  <c r="K42" i="14"/>
  <c r="K41" i="14"/>
  <c r="L1" i="14"/>
  <c r="K32" i="14"/>
  <c r="K38" i="14"/>
  <c r="K31" i="14"/>
  <c r="K37" i="14"/>
  <c r="A1" i="13"/>
  <c r="H5" i="13" s="1"/>
  <c r="G5" i="13" s="1"/>
  <c r="A1" i="12"/>
  <c r="AO7" i="11"/>
  <c r="BU7" i="11"/>
  <c r="BM7" i="11"/>
  <c r="BL7" i="11"/>
  <c r="L7" i="11"/>
  <c r="AH7" i="11"/>
  <c r="AP7" i="11"/>
  <c r="N7" i="11"/>
  <c r="BP7" i="11"/>
  <c r="BH7" i="11"/>
  <c r="BQ7" i="11"/>
  <c r="BI7" i="11"/>
  <c r="BR7" i="11"/>
  <c r="BA7" i="11"/>
  <c r="R7" i="11"/>
  <c r="AG7" i="11"/>
  <c r="AK7" i="11"/>
  <c r="J7" i="11"/>
  <c r="BS7" i="11"/>
  <c r="S7" i="11"/>
  <c r="V7" i="11"/>
  <c r="AM7" i="11"/>
  <c r="AE7" i="11"/>
  <c r="BJ7" i="11"/>
  <c r="AF7" i="11"/>
  <c r="BK7" i="11"/>
  <c r="BC7" i="11"/>
  <c r="BE7" i="11"/>
  <c r="U7" i="11"/>
  <c r="AN7" i="11"/>
  <c r="AI7" i="11"/>
  <c r="BN7" i="11"/>
  <c r="Q7" i="11"/>
  <c r="O7" i="11"/>
  <c r="AJ7" i="11"/>
  <c r="K7" i="11"/>
  <c r="P7" i="11"/>
  <c r="BD7" i="11"/>
  <c r="AL7" i="11"/>
  <c r="T7" i="11"/>
  <c r="BO7" i="11"/>
  <c r="X9" i="7"/>
  <c r="AC9" i="7"/>
  <c r="AC9" i="8"/>
  <c r="X9" i="8"/>
  <c r="C9" i="10"/>
  <c r="AK9" i="10"/>
  <c r="AG9" i="10"/>
  <c r="AC9" i="10"/>
  <c r="X9" i="10"/>
  <c r="S9" i="10"/>
  <c r="N9" i="10"/>
  <c r="I9" i="10"/>
  <c r="C9" i="7"/>
  <c r="N9" i="7"/>
  <c r="AK9" i="7"/>
  <c r="AG9" i="7"/>
  <c r="S9" i="7"/>
  <c r="I9" i="7"/>
  <c r="C9" i="9"/>
  <c r="N9" i="9"/>
  <c r="AK9" i="9"/>
  <c r="AG9" i="9"/>
  <c r="X9" i="9"/>
  <c r="AC9" i="9"/>
  <c r="S9" i="9"/>
  <c r="I9" i="9"/>
  <c r="H24" i="6"/>
  <c r="H23" i="6"/>
  <c r="C9" i="8"/>
  <c r="N9" i="8"/>
  <c r="I9" i="8"/>
  <c r="AG9" i="8"/>
  <c r="S9" i="8"/>
  <c r="AK9" i="8"/>
  <c r="E43" i="1"/>
  <c r="B38" i="1"/>
  <c r="B72" i="1"/>
  <c r="E77" i="1"/>
  <c r="B77" i="1" s="1"/>
  <c r="D29" i="1"/>
  <c r="B29" i="1" s="1"/>
  <c r="R34" i="1"/>
  <c r="D25" i="1"/>
  <c r="B25" i="1" s="1"/>
  <c r="R30" i="1"/>
  <c r="L44" i="14" l="1"/>
  <c r="L45" i="14"/>
  <c r="L41" i="14"/>
  <c r="L42" i="14"/>
  <c r="M1" i="14"/>
  <c r="L32" i="14"/>
  <c r="L38" i="14"/>
  <c r="L31" i="14"/>
  <c r="L37" i="14"/>
  <c r="N29" i="12"/>
  <c r="M29" i="12"/>
  <c r="AH29" i="12"/>
  <c r="L29" i="12"/>
  <c r="AG29" i="12"/>
  <c r="K29" i="12"/>
  <c r="S29" i="12"/>
  <c r="Q29" i="12"/>
  <c r="AF29" i="12"/>
  <c r="J29" i="12"/>
  <c r="AE29" i="12"/>
  <c r="I29" i="12"/>
  <c r="AD29" i="12"/>
  <c r="H29" i="12"/>
  <c r="AC29" i="12"/>
  <c r="G29" i="12"/>
  <c r="AB29" i="12"/>
  <c r="F29" i="12"/>
  <c r="AA29" i="12"/>
  <c r="E29" i="12"/>
  <c r="Z29" i="12"/>
  <c r="D29" i="12"/>
  <c r="C29" i="12"/>
  <c r="X29" i="12"/>
  <c r="B29" i="12"/>
  <c r="W29" i="12"/>
  <c r="V29" i="12"/>
  <c r="U29" i="12"/>
  <c r="R29" i="12"/>
  <c r="Y29" i="12"/>
  <c r="T29" i="12"/>
  <c r="P29" i="12"/>
  <c r="O29" i="12"/>
  <c r="BG7" i="11"/>
  <c r="AZ7" i="11"/>
  <c r="M7" i="11"/>
  <c r="BB7" i="11"/>
  <c r="BT7" i="11"/>
  <c r="BF7" i="11"/>
  <c r="H35" i="13"/>
  <c r="I35" i="13" s="1"/>
  <c r="J35" i="13" s="1"/>
  <c r="K35" i="13" s="1"/>
  <c r="L35" i="13" s="1"/>
  <c r="H29" i="13"/>
  <c r="I29" i="13" s="1"/>
  <c r="J29" i="13" s="1"/>
  <c r="K29" i="13" s="1"/>
  <c r="L29" i="13" s="1"/>
  <c r="H23" i="13"/>
  <c r="I23" i="13" s="1"/>
  <c r="J23" i="13" s="1"/>
  <c r="K23" i="13" s="1"/>
  <c r="H17" i="13"/>
  <c r="I17" i="13" s="1"/>
  <c r="J17" i="13" s="1"/>
  <c r="K17" i="13" s="1"/>
  <c r="H11" i="13"/>
  <c r="I5" i="13"/>
  <c r="J5" i="13" s="1"/>
  <c r="H21" i="6"/>
  <c r="R39" i="1"/>
  <c r="D34" i="1"/>
  <c r="B34" i="1" s="1"/>
  <c r="D30" i="1"/>
  <c r="B30" i="1" s="1"/>
  <c r="R35" i="1"/>
  <c r="E48" i="1"/>
  <c r="B43" i="1"/>
  <c r="I11" i="13" l="1"/>
  <c r="J11" i="13" s="1"/>
  <c r="K11" i="13" s="1"/>
  <c r="G11" i="13"/>
  <c r="M41" i="14"/>
  <c r="M44" i="14"/>
  <c r="M42" i="14"/>
  <c r="M45" i="14"/>
  <c r="M38" i="14"/>
  <c r="M31" i="14"/>
  <c r="M37" i="14"/>
  <c r="M32" i="14"/>
  <c r="E53" i="1"/>
  <c r="B48" i="1"/>
  <c r="R40" i="1"/>
  <c r="D35" i="1"/>
  <c r="B35" i="1" s="1"/>
  <c r="R44" i="1"/>
  <c r="D39" i="1"/>
  <c r="B39" i="1" s="1"/>
  <c r="R49" i="1" l="1"/>
  <c r="D44" i="1"/>
  <c r="B44" i="1" s="1"/>
  <c r="R45" i="1"/>
  <c r="D40" i="1"/>
  <c r="B40" i="1" s="1"/>
  <c r="E58" i="1"/>
  <c r="B53" i="1"/>
  <c r="E63" i="1" l="1"/>
  <c r="B58" i="1"/>
  <c r="R50" i="1"/>
  <c r="D45" i="1"/>
  <c r="B45" i="1" s="1"/>
  <c r="R54" i="1"/>
  <c r="D49" i="1"/>
  <c r="B49" i="1" s="1"/>
  <c r="B63" i="1" l="1"/>
  <c r="E68" i="1"/>
  <c r="R59" i="1"/>
  <c r="D54" i="1"/>
  <c r="B54" i="1" s="1"/>
  <c r="R55" i="1"/>
  <c r="D50" i="1"/>
  <c r="B50" i="1" s="1"/>
  <c r="R60" i="1" l="1"/>
  <c r="D55" i="1"/>
  <c r="B55" i="1" s="1"/>
  <c r="E73" i="1"/>
  <c r="B68" i="1"/>
  <c r="R64" i="1"/>
  <c r="D59" i="1"/>
  <c r="B59" i="1" s="1"/>
  <c r="R69" i="1" l="1"/>
  <c r="D64" i="1"/>
  <c r="B64" i="1" s="1"/>
  <c r="B73" i="1"/>
  <c r="E78" i="1"/>
  <c r="B78" i="1" s="1"/>
  <c r="R65" i="1"/>
  <c r="D60" i="1"/>
  <c r="B60" i="1" s="1"/>
  <c r="R70" i="1" l="1"/>
  <c r="D65" i="1"/>
  <c r="B65" i="1" s="1"/>
  <c r="R74" i="1"/>
  <c r="D74" i="1" s="1"/>
  <c r="B74" i="1" s="1"/>
  <c r="D69" i="1"/>
  <c r="B69" i="1" s="1"/>
  <c r="R75" i="1" l="1"/>
  <c r="D75" i="1" s="1"/>
  <c r="B75" i="1" s="1"/>
  <c r="D70" i="1"/>
  <c r="B7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<sst xmlns="http://schemas.openxmlformats.org/spreadsheetml/2006/main" count="25523" uniqueCount="1172">
  <si>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</si>
  <si>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</si>
  <si>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</si>
  <si>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</si>
  <si>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C7</t>
  </si>
  <si>
    <t>Likely above 3°C warming with limited mitigation</t>
  </si>
  <si>
    <t>commodity</t>
  </si>
  <si>
    <t>attribute</t>
  </si>
  <si>
    <t>elc_industry</t>
  </si>
  <si>
    <t>elc_buildings</t>
  </si>
  <si>
    <t>elc_roadtransport</t>
  </si>
  <si>
    <t>process</t>
  </si>
  <si>
    <t>ACT_BND</t>
  </si>
  <si>
    <t>FX</t>
  </si>
  <si>
    <t>Year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</si>
  <si>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</si>
  <si>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</si>
  <si>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</si>
  <si>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</si>
  <si>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</si>
  <si>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</si>
  <si>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</si>
  <si>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</si>
  <si>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</si>
  <si>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</si>
  <si>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</si>
  <si>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</si>
  <si>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</si>
  <si>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</si>
  <si>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</si>
  <si>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</si>
  <si>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</si>
  <si>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</si>
  <si>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</si>
  <si>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</si>
  <si>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</si>
  <si>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</si>
  <si>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</si>
  <si>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e3d</t>
  </si>
  <si>
    <t>d9d</t>
  </si>
  <si>
    <t>b2w</t>
  </si>
  <si>
    <t>a2w2d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</si>
  <si>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</si>
  <si>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</si>
  <si>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</si>
  <si>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</si>
  <si>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</si>
  <si>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</si>
  <si>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</si>
  <si>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</si>
  <si>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</si>
  <si>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</si>
  <si>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</si>
  <si>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</si>
  <si>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</si>
  <si>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</si>
  <si>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</si>
  <si>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</si>
  <si>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</si>
  <si>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</si>
  <si>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g64</t>
  </si>
  <si>
    <t>h48</t>
  </si>
  <si>
    <t>i24</t>
  </si>
  <si>
    <t>j12</t>
  </si>
  <si>
    <t>k12</t>
  </si>
  <si>
    <t>kAnn</t>
  </si>
  <si>
    <t>f96p50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</si>
  <si>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</si>
  <si>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</si>
  <si>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</si>
  <si>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</si>
  <si>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</si>
  <si>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</si>
  <si>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</si>
  <si>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</si>
  <si>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</si>
  <si>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</si>
  <si>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</si>
  <si>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</si>
  <si>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</si>
  <si>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</si>
  <si>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com_fr</t>
  </si>
  <si>
    <t>elc_spv_001</t>
  </si>
  <si>
    <t>S01aH01</t>
  </si>
  <si>
    <t>IMPNRGZ</t>
  </si>
  <si>
    <t>S01aH02</t>
  </si>
  <si>
    <t>S01aH03</t>
  </si>
  <si>
    <t>S02aH01</t>
  </si>
  <si>
    <t>S02aH02</t>
  </si>
  <si>
    <t>S02aH03</t>
  </si>
  <si>
    <t>S03aH01</t>
  </si>
  <si>
    <t>S03aH02</t>
  </si>
  <si>
    <t>S03aH03</t>
  </si>
  <si>
    <t>S04aH01</t>
  </si>
  <si>
    <t>S04aH02</t>
  </si>
  <si>
    <t>S04aH03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</si>
  <si>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</si>
  <si>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</si>
  <si>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</si>
  <si>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</si>
  <si>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</si>
  <si>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</si>
  <si>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</si>
  <si>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</si>
  <si>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</si>
  <si>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</si>
  <si>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</si>
  <si>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</si>
  <si>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</si>
  <si>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</si>
  <si>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</si>
  <si>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</si>
  <si>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</si>
  <si>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</si>
  <si>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</si>
  <si>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</si>
  <si>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</si>
  <si>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</si>
  <si>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</si>
  <si>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</si>
  <si>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</si>
  <si>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</si>
  <si>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</si>
  <si>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</si>
  <si>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</si>
  <si>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</si>
  <si>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</si>
  <si>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</si>
  <si>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</si>
  <si>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</si>
  <si>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</si>
  <si>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</si>
  <si>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</si>
  <si>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</si>
  <si>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</si>
  <si>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</si>
  <si>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</si>
  <si>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</si>
  <si>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</si>
  <si>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</si>
  <si>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</si>
  <si>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</si>
  <si>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</si>
  <si>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elc_wof_018</t>
  </si>
  <si>
    <t>elc_wof_019</t>
  </si>
  <si>
    <t>elc_wof_020</t>
  </si>
  <si>
    <t>elc_wof_021</t>
  </si>
  <si>
    <t>elc_wof_022</t>
  </si>
  <si>
    <t>elc_wof_023</t>
  </si>
  <si>
    <t>elc_wof_024</t>
  </si>
  <si>
    <t>elc_wof_025</t>
  </si>
  <si>
    <t>elc_wof_026</t>
  </si>
  <si>
    <t>elc_wof_027</t>
  </si>
  <si>
    <t>elc_wof_028</t>
  </si>
  <si>
    <t>elc_wof_029</t>
  </si>
  <si>
    <t>elc_wof_030</t>
  </si>
  <si>
    <t>elc_wof_031</t>
  </si>
  <si>
    <t>elc_wof_032</t>
  </si>
  <si>
    <t>elc_wof_033</t>
  </si>
  <si>
    <t>g_yrfr</t>
  </si>
  <si>
    <t>day_night</t>
  </si>
  <si>
    <t>D</t>
  </si>
  <si>
    <t>S02aH02,S03aH02,S01aH02,S04aH02</t>
  </si>
  <si>
    <t>N</t>
  </si>
  <si>
    <t>S03aH01,S03aH03,S01aH01,S04aH01,S04aH03,S01aH03,S02aH01,S02aH03</t>
  </si>
  <si>
    <t>com_pkflx</t>
  </si>
  <si>
    <t>ncap_afs</t>
  </si>
  <si>
    <t>pset_ci</t>
  </si>
  <si>
    <t>hydro</t>
  </si>
  <si>
    <t>S01,S02,S03,S04,S05,S06,S07,S08</t>
  </si>
  <si>
    <t>H04</t>
  </si>
  <si>
    <t>S05</t>
  </si>
  <si>
    <t>H05</t>
  </si>
  <si>
    <t>S06</t>
  </si>
  <si>
    <t>H06</t>
  </si>
  <si>
    <t>S07</t>
  </si>
  <si>
    <t>S08</t>
  </si>
  <si>
    <t>S01aH04</t>
  </si>
  <si>
    <t>S01aH05</t>
  </si>
  <si>
    <t>S01aH06</t>
  </si>
  <si>
    <t>S02aH04</t>
  </si>
  <si>
    <t>S02aH05</t>
  </si>
  <si>
    <t>S02aH06</t>
  </si>
  <si>
    <t>S03aH04</t>
  </si>
  <si>
    <t>S03aH05</t>
  </si>
  <si>
    <t>S03aH06</t>
  </si>
  <si>
    <t>S04aH04</t>
  </si>
  <si>
    <t>S04aH05</t>
  </si>
  <si>
    <t>S04aH06</t>
  </si>
  <si>
    <t>S05aH01</t>
  </si>
  <si>
    <t>S05aH02</t>
  </si>
  <si>
    <t>S05aH03</t>
  </si>
  <si>
    <t>S05aH04</t>
  </si>
  <si>
    <t>S05aH05</t>
  </si>
  <si>
    <t>S05aH06</t>
  </si>
  <si>
    <t>S06aH01</t>
  </si>
  <si>
    <t>S06aH02</t>
  </si>
  <si>
    <t>S06aH03</t>
  </si>
  <si>
    <t>S06aH04</t>
  </si>
  <si>
    <t>S06aH05</t>
  </si>
  <si>
    <t>S06aH06</t>
  </si>
  <si>
    <t>S07aH01</t>
  </si>
  <si>
    <t>S07aH02</t>
  </si>
  <si>
    <t>S07aH03</t>
  </si>
  <si>
    <t>S07aH04</t>
  </si>
  <si>
    <t>S07aH05</t>
  </si>
  <si>
    <t>S07aH06</t>
  </si>
  <si>
    <t>S08aH01</t>
  </si>
  <si>
    <t>S08aH02</t>
  </si>
  <si>
    <t>S08aH03</t>
  </si>
  <si>
    <t>S08aH04</t>
  </si>
  <si>
    <t>S08aH05</t>
  </si>
  <si>
    <t>S08aH06</t>
  </si>
  <si>
    <t>S02aH04,S04aH03,S07aH04,S08aH03,S01aH02,S04aH04,S03aH04,S01aH04,S07aH02,S08aH02,S03aH03,S05aH04,S06aH02,S06aH03,S01aH03,S05aH02,S05aH03,S02aH02,S03aH02,S02aH03,S07aH03,S06aH04,S08aH04,S04aH02</t>
  </si>
  <si>
    <t>S02aH06,S03aH05,S05aH05,S02aH01,S05aH06,S01aH05,S03aH06,S06aH05,S05aH01,S07aH06,S08aH01,S08aH05,S04aH05,S06aH01,S06aH06,S01aH06,S07aH01,S08aH06,S03aH01,S01aH01,S04aH01,S04aH06,S02aH05,S07aH05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</si>
  <si>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</si>
  <si>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</si>
  <si>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</si>
  <si>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</si>
  <si>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</si>
  <si>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</si>
  <si>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</si>
  <si>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</si>
  <si>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</si>
  <si>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</si>
  <si>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</si>
  <si>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</si>
  <si>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</si>
  <si>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</si>
  <si>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</si>
  <si>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</si>
  <si>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</si>
  <si>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</si>
  <si>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</si>
  <si>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</si>
  <si>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</si>
  <si>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SaD,WaD,RaP,WaP,FaD,FaP,SaP,RaD</t>
  </si>
  <si>
    <t>FaP,SaP,FaN,WaP,RaN,RaP,SaN,WaN</t>
  </si>
  <si>
    <t>cset_set</t>
  </si>
  <si>
    <t>dem_transport</t>
  </si>
  <si>
    <t>dem_agriculture,dem_commercial,dem_industry,dem_residential</t>
  </si>
  <si>
    <t>tui</t>
  </si>
  <si>
    <t>kea</t>
  </si>
  <si>
    <t/>
  </si>
  <si>
    <t>region</t>
  </si>
  <si>
    <t>commodity_group</t>
  </si>
  <si>
    <t>lim_type</t>
  </si>
  <si>
    <t>currency</t>
  </si>
  <si>
    <t>2015</t>
  </si>
  <si>
    <t>NI</t>
  </si>
  <si>
    <t>ACT_EFF</t>
  </si>
  <si>
    <t>ADCF-IRG-Irg-ELC</t>
  </si>
  <si>
    <t>ACT</t>
  </si>
  <si>
    <t>ADCF-IRG-IrgVSD-ELC</t>
  </si>
  <si>
    <t>ADCF-LIG--ELC</t>
  </si>
  <si>
    <t>ADCF-MoTP-Mob-Bike--ELC</t>
  </si>
  <si>
    <t>ADCF-MoTP-Mob-Bike--PET</t>
  </si>
  <si>
    <t>ADCF-MoTP-Mob-MTr--DSL</t>
  </si>
  <si>
    <t>ADCF-MoTP-Mob-MTr--ELC</t>
  </si>
  <si>
    <t>ADCF-MoTP-Mob-MTr--H2R</t>
  </si>
  <si>
    <t>ADCF-MoTP-Mob-Trac--DSL</t>
  </si>
  <si>
    <t>ADCF-MoTP-Mob-Trac--ELC</t>
  </si>
  <si>
    <t>ADCF-MoTP-Mob-Trac--H2R</t>
  </si>
  <si>
    <t>ADCF-MoTP-Mob-Uti--DSL</t>
  </si>
  <si>
    <t>ADCF-MoTP-Mob-Uti--ELC</t>
  </si>
  <si>
    <t>ADCF-MoTP-Mob-Uti--H2R</t>
  </si>
  <si>
    <t>ADCF-MoTP-Stat-VacP-ELC</t>
  </si>
  <si>
    <t>ADCF-MoTP-Stat-VPVSD-ELC</t>
  </si>
  <si>
    <t>ADCF-PUMP--ELC</t>
  </si>
  <si>
    <t>ADCF-RFGR--ELC</t>
  </si>
  <si>
    <t>ADCF-RFGR-HRECSys-ELC</t>
  </si>
  <si>
    <t>ADCF-WH-Cylinder-ELC</t>
  </si>
  <si>
    <t>ADCF-WH-Hreco-ELC</t>
  </si>
  <si>
    <t>AFISH-BOAT-Boat-DSL</t>
  </si>
  <si>
    <t>AFISH-BOAT-HYBBOAT-DSL</t>
  </si>
  <si>
    <t>AFISH-LIG--ELC</t>
  </si>
  <si>
    <t>AFISH-RFGR-RF-ELC</t>
  </si>
  <si>
    <t>AFORE-LIG--ELC</t>
  </si>
  <si>
    <t>AFORE-MoTP-Mob-CY--DSL</t>
  </si>
  <si>
    <t>AFORE-MoTP-Mob-CY--ELC</t>
  </si>
  <si>
    <t>AFORE-MoTP-Mob-CY--H2R</t>
  </si>
  <si>
    <t>AFORE-MoTP-Mob-GB--DSL</t>
  </si>
  <si>
    <t>AFORE-MoTP-Mob-GB--ELC</t>
  </si>
  <si>
    <t>AFORE-MoTP-Mob-GB--H2R</t>
  </si>
  <si>
    <t>AFORE-MoTP-Stat--ELC</t>
  </si>
  <si>
    <t>AHORT-IRG-Irg-ELC</t>
  </si>
  <si>
    <t>AHORT-IRG-IrgVSD-ELC</t>
  </si>
  <si>
    <t>AHORT-LIG--ELC</t>
  </si>
  <si>
    <t>AHORT-MoTP-Mob-MTr--DSL</t>
  </si>
  <si>
    <t>AHORT-MoTP-Mob-MTr--ELC</t>
  </si>
  <si>
    <t>AHORT-MoTP-Mob-MTr--H2R</t>
  </si>
  <si>
    <t>AHORT-MoTP-Mob-Trac--DSL</t>
  </si>
  <si>
    <t>AHORT-MoTP-Mob-Trac--ELC</t>
  </si>
  <si>
    <t>AHORT-MoTP-Mob-Trac--H2R</t>
  </si>
  <si>
    <t>AHORT-MoTP-Mob-Uti--DSL</t>
  </si>
  <si>
    <t>AHORT-MoTP-Mob-Uti--ELC</t>
  </si>
  <si>
    <t>AHORT-MoTP-Mob-Uti--H2R</t>
  </si>
  <si>
    <t>AHORT-MoTP-Stat-Motor-ELC</t>
  </si>
  <si>
    <t>AINDC-LIG--ELC</t>
  </si>
  <si>
    <t>AINDC-SH-Boiler-ELC</t>
  </si>
  <si>
    <t>AINDC-SH-Boiler-H2R</t>
  </si>
  <si>
    <t>AINDC-SH-Boiler-NGA</t>
  </si>
  <si>
    <t>AINDC-SH-Boiler-WOD</t>
  </si>
  <si>
    <t>AINDC-SH-HP-ELC</t>
  </si>
  <si>
    <t>ALIVE-IRG-Irg-ELC</t>
  </si>
  <si>
    <t>ALIVE-IRG-IrgVSD-ELC</t>
  </si>
  <si>
    <t>ALIVE-LIG--ELC</t>
  </si>
  <si>
    <t>ALIVE-MoTP-Mob-Bike--ELC</t>
  </si>
  <si>
    <t>ALIVE-MoTP-Mob-Bike--PET</t>
  </si>
  <si>
    <t>ALIVE-MoTP-Mob-MTr--DSL</t>
  </si>
  <si>
    <t>ALIVE-MoTP-Mob-MTr--ELC</t>
  </si>
  <si>
    <t>ALIVE-MoTP-Mob-MTr--H2R</t>
  </si>
  <si>
    <t>ALIVE-MoTP-Mob-Trac--DSL</t>
  </si>
  <si>
    <t>ALIVE-MoTP-Mob-Trac--ELC</t>
  </si>
  <si>
    <t>ALIVE-MoTP-Mob-Trac--H2R</t>
  </si>
  <si>
    <t>ALIVE-MoTP-Mob-Uti--DSL</t>
  </si>
  <si>
    <t>ALIVE-MoTP-Mob-Uti--ELC</t>
  </si>
  <si>
    <t>ALIVE-MoTP-Mob-Uti--H2R</t>
  </si>
  <si>
    <t>FLO_MARK</t>
  </si>
  <si>
    <t>AFISH-BOAT</t>
  </si>
  <si>
    <t>UP</t>
  </si>
  <si>
    <t>NCAP_AFA</t>
  </si>
  <si>
    <t>NCAP_COST</t>
  </si>
  <si>
    <t>MioNZDollar</t>
  </si>
  <si>
    <t>NCAP_FOM</t>
  </si>
  <si>
    <t>NCAP_START</t>
  </si>
  <si>
    <t>NCAP_TLIFE</t>
  </si>
  <si>
    <t>PRC_CAPACT</t>
  </si>
  <si>
    <t>SI</t>
  </si>
  <si>
    <t>~TFM_DINS-TS</t>
  </si>
  <si>
    <t>T_C_CBEVELC</t>
  </si>
  <si>
    <t>T_C_CFCH2R</t>
  </si>
  <si>
    <t>T_C_CHYBDSL</t>
  </si>
  <si>
    <t>T_C_CHYBPET</t>
  </si>
  <si>
    <t>T_C_CICEDSL</t>
  </si>
  <si>
    <t>T_C_CICEPET</t>
  </si>
  <si>
    <t>T_C_CPHEVDSL</t>
  </si>
  <si>
    <t>TRADSL</t>
  </si>
  <si>
    <t>TRAELC</t>
  </si>
  <si>
    <t>T_C_CPHEVPET</t>
  </si>
  <si>
    <t>TRAPET</t>
  </si>
  <si>
    <t>T_F_HTrBEVELC</t>
  </si>
  <si>
    <t>T_F_HTrFCH2R</t>
  </si>
  <si>
    <t>T_F_HTrICEDSL</t>
  </si>
  <si>
    <t>T_F_MTrBEVELC</t>
  </si>
  <si>
    <t>T_F_MTrFCH2R</t>
  </si>
  <si>
    <t>T_F_MTrICEDSL</t>
  </si>
  <si>
    <t>T_F_VHTBEVELC</t>
  </si>
  <si>
    <t>T_F_VHTFCH2R</t>
  </si>
  <si>
    <t>T_F_VHTICEDSL</t>
  </si>
  <si>
    <t>T_P_BusBEVELC</t>
  </si>
  <si>
    <t>T_P_BusFCH2R</t>
  </si>
  <si>
    <t>T_P_BusICEDSL</t>
  </si>
  <si>
    <t>T_P_CBEVELC</t>
  </si>
  <si>
    <t>T_P_CFCH2R</t>
  </si>
  <si>
    <t>T_P_CHYBDSL</t>
  </si>
  <si>
    <t>T_P_CHYBPET</t>
  </si>
  <si>
    <t>T_P_CICEDSL</t>
  </si>
  <si>
    <t>T_P_CICEPET</t>
  </si>
  <si>
    <t>T_P_CPHEVDSL</t>
  </si>
  <si>
    <t>T_P_CPHEVPET</t>
  </si>
  <si>
    <t>T_P_McyBEVELC</t>
  </si>
  <si>
    <t>T_P_McyICEPET</t>
  </si>
  <si>
    <t>FLO_SHAR</t>
  </si>
  <si>
    <t>T_C_CPHEVDSL_NRGI</t>
  </si>
  <si>
    <t>T_C_CPHEVPET_NRGI</t>
  </si>
  <si>
    <t>T_P_CPHEVDSL_NRGI</t>
  </si>
  <si>
    <t>T_P_CPHEVPET_NRGI</t>
  </si>
  <si>
    <t>REFEOIL00</t>
  </si>
  <si>
    <t>COM_PROJ</t>
  </si>
  <si>
    <t>ADCF-IRG</t>
  </si>
  <si>
    <t>ADCF-LIG</t>
  </si>
  <si>
    <t>ADCF-MoTP-Mob-Bike</t>
  </si>
  <si>
    <t>ADCF-MoTP-Mob-MTr</t>
  </si>
  <si>
    <t>ADCF-MoTP-Mob-Trac</t>
  </si>
  <si>
    <t>ADCF-MoTP-Mob-Uti</t>
  </si>
  <si>
    <t>ADCF-MoTP-Stat</t>
  </si>
  <si>
    <t>ADCF-PUMP</t>
  </si>
  <si>
    <t>ADCF-RFGR</t>
  </si>
  <si>
    <t>ADCF-WH</t>
  </si>
  <si>
    <t>AFISH-LIG</t>
  </si>
  <si>
    <t>AFISH-RFGR</t>
  </si>
  <si>
    <t>AFORE-LIG</t>
  </si>
  <si>
    <t>AFORE-MoTP-Mob-CY</t>
  </si>
  <si>
    <t>AFORE-MoTP-Mob-GB</t>
  </si>
  <si>
    <t>AFORE-MoTP-Stat</t>
  </si>
  <si>
    <t>AHORT-IRG</t>
  </si>
  <si>
    <t>AHORT-LIG</t>
  </si>
  <si>
    <t>AHORT-MoTP-Mob-MTr</t>
  </si>
  <si>
    <t>AHORT-MoTP-Mob-Trac</t>
  </si>
  <si>
    <t>AHORT-MoTP-Mob-Uti</t>
  </si>
  <si>
    <t>AHORT-MoTP-Stat</t>
  </si>
  <si>
    <t>AINDC-LIG</t>
  </si>
  <si>
    <t>AINDC-SH</t>
  </si>
  <si>
    <t>ALIVE-IRG</t>
  </si>
  <si>
    <t>ALIVE-LIG</t>
  </si>
  <si>
    <t>ALIVE-MoTP-Mob-Bike</t>
  </si>
  <si>
    <t>ALIVE-MoTP-Mob-MTr</t>
  </si>
  <si>
    <t>ALIVE-MoTP-Mob-Trac</t>
  </si>
  <si>
    <t>ALIVE-MoTP-Mob-Uti</t>
  </si>
  <si>
    <t>ALU-PH-FURN</t>
  </si>
  <si>
    <t>AOTH-ELC</t>
  </si>
  <si>
    <t>AOTH-FOL</t>
  </si>
  <si>
    <t>AOTH-LPG</t>
  </si>
  <si>
    <t>AOTH-NGA</t>
  </si>
  <si>
    <t>AOTH-PET</t>
  </si>
  <si>
    <t>C_EDU-LT</t>
  </si>
  <si>
    <t>C_EDU-MPM</t>
  </si>
  <si>
    <t>C_EDU-MPS</t>
  </si>
  <si>
    <t>C_EDU-OTH</t>
  </si>
  <si>
    <t>C_EDU-RF</t>
  </si>
  <si>
    <t>C_EDU-SC</t>
  </si>
  <si>
    <t>C_EDU-SH</t>
  </si>
  <si>
    <t>C_EDU-WH</t>
  </si>
  <si>
    <t>C_HLTH-LT</t>
  </si>
  <si>
    <t>C_HLTH-MPM</t>
  </si>
  <si>
    <t>C_HLTH-MPS</t>
  </si>
  <si>
    <t>C_HLTH-OTH</t>
  </si>
  <si>
    <t>C_HLTH-PH</t>
  </si>
  <si>
    <t>C_HLTH-RF</t>
  </si>
  <si>
    <t>C_HLTH-SC</t>
  </si>
  <si>
    <t>C_HLTH-SH</t>
  </si>
  <si>
    <t>C_HLTH-WH</t>
  </si>
  <si>
    <t>C_OFFC-LT</t>
  </si>
  <si>
    <t>C_OFFC-MPM</t>
  </si>
  <si>
    <t>C_OFFC-MPS</t>
  </si>
  <si>
    <t>C_OFFC-OTH</t>
  </si>
  <si>
    <t>C_OFFC-SC</t>
  </si>
  <si>
    <t>C_OFFC-SH</t>
  </si>
  <si>
    <t>C_OFFC-WH</t>
  </si>
  <si>
    <t>C_OTH-LT</t>
  </si>
  <si>
    <t>C_OTH-MPM</t>
  </si>
  <si>
    <t>C_OTH-MPS</t>
  </si>
  <si>
    <t>C_OTH-OTH</t>
  </si>
  <si>
    <t>C_OTH-SC</t>
  </si>
  <si>
    <t>C_OTH-SH</t>
  </si>
  <si>
    <t>C_OTH-WH</t>
  </si>
  <si>
    <t>C_WSR-CK</t>
  </si>
  <si>
    <t>C_WSR-LT</t>
  </si>
  <si>
    <t>C_WSR-MPM</t>
  </si>
  <si>
    <t>C_WSR-MPS</t>
  </si>
  <si>
    <t>C_WSR-OTH</t>
  </si>
  <si>
    <t>C_WSR-RF</t>
  </si>
  <si>
    <t>C_WSR-SC</t>
  </si>
  <si>
    <t>C_WSR-SH</t>
  </si>
  <si>
    <t>C_WSR-WH</t>
  </si>
  <si>
    <t>CHMCL-MoTP-Stat</t>
  </si>
  <si>
    <t>CHMCL-PH-DirH</t>
  </si>
  <si>
    <t>CHMCL-PH-FURN</t>
  </si>
  <si>
    <t>CHMCL-PH-REFRM</t>
  </si>
  <si>
    <t>CHMCL-PH-STM_HW</t>
  </si>
  <si>
    <t>CNST-MoTP-Mob</t>
  </si>
  <si>
    <t>CNST-MoTP-Stat</t>
  </si>
  <si>
    <t>DARY-AIR</t>
  </si>
  <si>
    <t>DARY-MoTP-Stat</t>
  </si>
  <si>
    <t>DARY-PH-MVR_DRY</t>
  </si>
  <si>
    <t>DARY-PH-MVR_Fan</t>
  </si>
  <si>
    <t>DARY-PH-MVR_PRE</t>
  </si>
  <si>
    <t>DARY-PH-MVR_TVR</t>
  </si>
  <si>
    <t>DARY-PH-STM_HW</t>
  </si>
  <si>
    <t>DARY-PH-TVR_DRY</t>
  </si>
  <si>
    <t>DARY-PH-TVR_EVP</t>
  </si>
  <si>
    <t>DARY-Pump</t>
  </si>
  <si>
    <t>DARY-RFGR</t>
  </si>
  <si>
    <t>FOOD-MoTP-Stat</t>
  </si>
  <si>
    <t>FOOD-PH-DirH</t>
  </si>
  <si>
    <t>FOOD-PH-OVN</t>
  </si>
  <si>
    <t>FOOD-PH-STM_HW</t>
  </si>
  <si>
    <t>FOOD-Pump</t>
  </si>
  <si>
    <t>FOOD-RFGR</t>
  </si>
  <si>
    <t>IIS-FDSTCK</t>
  </si>
  <si>
    <t>IIS-MoTP-Stat</t>
  </si>
  <si>
    <t>IIS-PH-FURN</t>
  </si>
  <si>
    <t>MEAT-MoTP-Stat</t>
  </si>
  <si>
    <t>MEAT-PH-DirH</t>
  </si>
  <si>
    <t>MEAT-PH-STM_HW</t>
  </si>
  <si>
    <t>MEAT-RFGR</t>
  </si>
  <si>
    <t>METAL-MoTP-Stat</t>
  </si>
  <si>
    <t>METAL-PH-DirH</t>
  </si>
  <si>
    <t>METAL-PH-FURN</t>
  </si>
  <si>
    <t>METAL-RFGR</t>
  </si>
  <si>
    <t>MNNG-MoTP-Mob</t>
  </si>
  <si>
    <t>MNNG-MoTP-Stat</t>
  </si>
  <si>
    <t>MNNG-PH-STM_HW</t>
  </si>
  <si>
    <t>MNRL-MoTP-Stat</t>
  </si>
  <si>
    <t>MNRL-PH-FURN</t>
  </si>
  <si>
    <t>MNRL-PH-STM_HW</t>
  </si>
  <si>
    <t>MTHOL-FDSTCK</t>
  </si>
  <si>
    <t>MTHOL-PH_REFRM</t>
  </si>
  <si>
    <t>OTH-BGS</t>
  </si>
  <si>
    <t>OTH-COA</t>
  </si>
  <si>
    <t>OTH-DSL</t>
  </si>
  <si>
    <t>OTH-ELC</t>
  </si>
  <si>
    <t>OTH-FOL</t>
  </si>
  <si>
    <t>OTH-LPG</t>
  </si>
  <si>
    <t>OTH-NGA</t>
  </si>
  <si>
    <t>OTH-PET</t>
  </si>
  <si>
    <t>PLPPPR-AIR</t>
  </si>
  <si>
    <t>PLPPPR-Fan</t>
  </si>
  <si>
    <t>PLPPPR-MoTP-Stat</t>
  </si>
  <si>
    <t>PLPPPR-PH-DirH</t>
  </si>
  <si>
    <t>PLPPPR-PH-FURN</t>
  </si>
  <si>
    <t>PLPPPR-PH-STM_HW</t>
  </si>
  <si>
    <t>PLPPPR-Pump</t>
  </si>
  <si>
    <t>PLPPPR-Refin</t>
  </si>
  <si>
    <t>R_DDW-CD</t>
  </si>
  <si>
    <t>R_DDW-CK</t>
  </si>
  <si>
    <t>R_DDW-CW</t>
  </si>
  <si>
    <t>R_DDW-DW</t>
  </si>
  <si>
    <t>R_DDW-LT</t>
  </si>
  <si>
    <t>R_DDW-MPM</t>
  </si>
  <si>
    <t>R_DDW-MPS</t>
  </si>
  <si>
    <t>R_DDW-OTH</t>
  </si>
  <si>
    <t>R_DDW-RF</t>
  </si>
  <si>
    <t>R_DDW-SC</t>
  </si>
  <si>
    <t>R_DDW-SH</t>
  </si>
  <si>
    <t>R_DDW-UNAL</t>
  </si>
  <si>
    <t>R_DDW-WH</t>
  </si>
  <si>
    <t>R_JDW-CD</t>
  </si>
  <si>
    <t>R_JDW-CK</t>
  </si>
  <si>
    <t>R_JDW-CW</t>
  </si>
  <si>
    <t>R_JDW-DW</t>
  </si>
  <si>
    <t>R_JDW-LT</t>
  </si>
  <si>
    <t>R_JDW-MPM</t>
  </si>
  <si>
    <t>R_JDW-MPS</t>
  </si>
  <si>
    <t>R_JDW-OTH</t>
  </si>
  <si>
    <t>R_JDW-RF</t>
  </si>
  <si>
    <t>R_JDW-SC</t>
  </si>
  <si>
    <t>R_JDW-SH</t>
  </si>
  <si>
    <t>R_JDW-UNAL</t>
  </si>
  <si>
    <t>R_JDW-WH</t>
  </si>
  <si>
    <t>REFI-MoTP-Stat</t>
  </si>
  <si>
    <t>REFI-PH-FURN</t>
  </si>
  <si>
    <t>REFI-PH-STM_HW</t>
  </si>
  <si>
    <t>T_C_Car</t>
  </si>
  <si>
    <t>T_F_DSHIP</t>
  </si>
  <si>
    <t>T_F_HTrk</t>
  </si>
  <si>
    <t>T_F_ISHIP</t>
  </si>
  <si>
    <t>T_F_MTrk</t>
  </si>
  <si>
    <t>T_F_Rail</t>
  </si>
  <si>
    <t>T_F_VHTrk</t>
  </si>
  <si>
    <t>T_O_JET</t>
  </si>
  <si>
    <t>T_O_JET_Int</t>
  </si>
  <si>
    <t>T_P_Bus</t>
  </si>
  <si>
    <t>T_P_Car</t>
  </si>
  <si>
    <t>T_P_Mcy</t>
  </si>
  <si>
    <t>T_P_Rail</t>
  </si>
  <si>
    <t>UREA-FDSTCK</t>
  </si>
  <si>
    <t>UREA-REFRM</t>
  </si>
  <si>
    <t>WOOD-AIR</t>
  </si>
  <si>
    <t>WOOD-Fan</t>
  </si>
  <si>
    <t>WOOD-MoTP-Stat</t>
  </si>
  <si>
    <t>WOOD-PH-FURN</t>
  </si>
  <si>
    <t>WOOD-PH-STM_HW</t>
  </si>
  <si>
    <t>WOOD-Pump</t>
  </si>
  <si>
    <t>WOOD-Refin</t>
  </si>
  <si>
    <t>TOTCO2</t>
  </si>
  <si>
    <t>FTE_TRADSL</t>
  </si>
  <si>
    <t>FTE_TRADSL_NRGI</t>
  </si>
  <si>
    <t>BDSL</t>
  </si>
  <si>
    <t>IRE_PRICE</t>
  </si>
  <si>
    <t>EXPCOA1</t>
  </si>
  <si>
    <t>COA</t>
  </si>
  <si>
    <t>LO</t>
  </si>
  <si>
    <t>T_F_VHTICEDSL15</t>
  </si>
  <si>
    <t>SUP_ELC-PEMC-H2</t>
  </si>
  <si>
    <t>SUP_ELC-PEMD-H2</t>
  </si>
  <si>
    <t>NCAP_DRATE</t>
  </si>
  <si>
    <t>C_EDU-LT_FLU-ELC</t>
  </si>
  <si>
    <t>C_EDU-LT_FLU-ELC00</t>
  </si>
  <si>
    <t>C_EDU-LT_INC-ELC</t>
  </si>
  <si>
    <t>C_EDU-LT_INC-ELC00</t>
  </si>
  <si>
    <t>C_EDU-LT_LED-ELC</t>
  </si>
  <si>
    <t>C_EDU-LT_LED-ELC00</t>
  </si>
  <si>
    <t>C_EDU-MPM_-DSL</t>
  </si>
  <si>
    <t>C_EDU-MPM_-DSL00</t>
  </si>
  <si>
    <t>C_EDU-MPM_-ELC</t>
  </si>
  <si>
    <t>C_EDU-MPM_-H2R</t>
  </si>
  <si>
    <t>C_EDU-MPM_-LPG</t>
  </si>
  <si>
    <t>C_EDU-MPM_-PET</t>
  </si>
  <si>
    <t>C_EDU-MPM_-PET00</t>
  </si>
  <si>
    <t>C_EDU-MPS_-DSL</t>
  </si>
  <si>
    <t>C_EDU-MPS_-ELC</t>
  </si>
  <si>
    <t>C_EDU-MPS_-ELC00</t>
  </si>
  <si>
    <t>C_EDU-MPS_-H2R</t>
  </si>
  <si>
    <t>C_EDU-MPS_-LPG</t>
  </si>
  <si>
    <t>C_EDU-MPS_-PET</t>
  </si>
  <si>
    <t>C_EDU-MPS_-PET00</t>
  </si>
  <si>
    <t>C_EDU-OTH_ELEC-ELC</t>
  </si>
  <si>
    <t>C_EDU-OTH_ELEC-ELC00</t>
  </si>
  <si>
    <t>C_EDU-RF_Refriger-ELC</t>
  </si>
  <si>
    <t>C_EDU-RF_Refriger-ELC00</t>
  </si>
  <si>
    <t>C_EDU-SC_AirHP-ELC</t>
  </si>
  <si>
    <t>C_EDU-SC_AirHP-ELC00</t>
  </si>
  <si>
    <t>C_EDU-SC_GHP-ELC</t>
  </si>
  <si>
    <t>C_EDU-SH_AIRHP-ELC</t>
  </si>
  <si>
    <t>C_EDU-SH_AIRHP-ELC00</t>
  </si>
  <si>
    <t>C_EDU-SH_Boiler-BIG</t>
  </si>
  <si>
    <t>C_EDU-SH_Boiler-COA</t>
  </si>
  <si>
    <t>C_EDU-SH_Boiler-COA00</t>
  </si>
  <si>
    <t>C_EDU-SH_Boiler-DSL</t>
  </si>
  <si>
    <t>C_EDU-SH_Boiler-DSL00</t>
  </si>
  <si>
    <t>C_EDU-SH_Boiler-ELC</t>
  </si>
  <si>
    <t>C_EDU-SH_Boiler-FOL</t>
  </si>
  <si>
    <t>C_EDU-SH_Boiler-FOL00</t>
  </si>
  <si>
    <t>C_EDU-SH_Boiler-H2R</t>
  </si>
  <si>
    <t>C_EDU-SH_Boiler-LPG</t>
  </si>
  <si>
    <t>C_EDU-SH_Boiler-NGA</t>
  </si>
  <si>
    <t>C_EDU-SH_Boiler-NGA00</t>
  </si>
  <si>
    <t>C_EDU-SH_Boiler-PLT</t>
  </si>
  <si>
    <t>C_EDU-SH_Boiler-WOD</t>
  </si>
  <si>
    <t>C_EDU-SH_Burner-NGA00</t>
  </si>
  <si>
    <t>C_EDU-SH_GHP-ELC</t>
  </si>
  <si>
    <t>C_EDU-SH_RH-ELC</t>
  </si>
  <si>
    <t>C_EDU-SH_RH-ELC00</t>
  </si>
  <si>
    <t>C_EDU-WH_AIRHP-ELC</t>
  </si>
  <si>
    <t>C_EDU-WH_Boiler-BIG</t>
  </si>
  <si>
    <t>C_EDU-WH_Boiler-COA</t>
  </si>
  <si>
    <t>C_EDU-WH_Boiler-COA00</t>
  </si>
  <si>
    <t>C_EDU-WH_Boiler-DSL</t>
  </si>
  <si>
    <t>C_EDU-WH_Boiler-ELC</t>
  </si>
  <si>
    <t>C_EDU-WH_Boiler-FOL</t>
  </si>
  <si>
    <t>C_EDU-WH_Boiler-H2R</t>
  </si>
  <si>
    <t>C_EDU-WH_Boiler-LPG</t>
  </si>
  <si>
    <t>C_EDU-WH_Boiler-NGA</t>
  </si>
  <si>
    <t>C_EDU-WH_Boiler-PLT</t>
  </si>
  <si>
    <t>C_EDU-WH_Boiler-WOD</t>
  </si>
  <si>
    <t>C_EDU-WH_Cylinder-ELC</t>
  </si>
  <si>
    <t>C_EDU-WH_Cylinder-ELC00</t>
  </si>
  <si>
    <t>C_EDU-WH_Cylinder-LPG</t>
  </si>
  <si>
    <t>C_EDU-WH_Cylinder-NGA</t>
  </si>
  <si>
    <t>C_EDU-WH_Cylinder-NGA00</t>
  </si>
  <si>
    <t>C_EDU-WH_GHP-ELC</t>
  </si>
  <si>
    <t>C_EDU-WH_Instant-ELC</t>
  </si>
  <si>
    <t>C_EDU-WH_Instant-LPG</t>
  </si>
  <si>
    <t>C_EDU-WH_Instant-NGA</t>
  </si>
  <si>
    <t>C_HLTH-LT_FLU-ELC</t>
  </si>
  <si>
    <t>C_HLTH-LT_FLU-ELC00</t>
  </si>
  <si>
    <t>C_HLTH-LT_INC-ELC</t>
  </si>
  <si>
    <t>C_HLTH-LT_INC-ELC00</t>
  </si>
  <si>
    <t>C_HLTH-LT_LED-ELC</t>
  </si>
  <si>
    <t>C_HLTH-LT_LED-ELC00</t>
  </si>
  <si>
    <t>C_HLTH-MPM_-DSL</t>
  </si>
  <si>
    <t>C_HLTH-MPM_-DSL00</t>
  </si>
  <si>
    <t>C_HLTH-MPM_-ELC</t>
  </si>
  <si>
    <t>C_HLTH-MPM_-H2R</t>
  </si>
  <si>
    <t>C_HLTH-MPM_-LPG</t>
  </si>
  <si>
    <t>C_HLTH-MPM_-PET</t>
  </si>
  <si>
    <t>C_HLTH-MPM_-PET00</t>
  </si>
  <si>
    <t>C_HLTH-MPS_-DSL</t>
  </si>
  <si>
    <t>C_HLTH-MPS_-ELC</t>
  </si>
  <si>
    <t>C_HLTH-MPS_-ELC00</t>
  </si>
  <si>
    <t>C_HLTH-MPS_-H2R</t>
  </si>
  <si>
    <t>C_HLTH-MPS_-LPG</t>
  </si>
  <si>
    <t>C_HLTH-MPS_-PET</t>
  </si>
  <si>
    <t>C_HLTH-OTH_ELEC-ELC</t>
  </si>
  <si>
    <t>C_HLTH-OTH_ELEC-ELC00</t>
  </si>
  <si>
    <t>C_HLTH-PH_Boiler-BIG</t>
  </si>
  <si>
    <t>C_HLTH-PH_Boiler-COA</t>
  </si>
  <si>
    <t>C_HLTH-PH_Boiler-COA00</t>
  </si>
  <si>
    <t>C_HLTH-PH_Boiler-DSL</t>
  </si>
  <si>
    <t>C_HLTH-PH_Boiler-FOL</t>
  </si>
  <si>
    <t>C_HLTH-PH_Boiler-H2R</t>
  </si>
  <si>
    <t>C_HLTH-PH_Boiler-LPG</t>
  </si>
  <si>
    <t>C_HLTH-PH_Boiler-NGA</t>
  </si>
  <si>
    <t>C_HLTH-PH_Boiler-NGA00</t>
  </si>
  <si>
    <t>C_HLTH-PH_Boiler-PLT</t>
  </si>
  <si>
    <t>C_HLTH-PH_Boiler-WOD</t>
  </si>
  <si>
    <t>C_HLTH-PH_RH-ELC</t>
  </si>
  <si>
    <t>C_HLTH-PH_RH-ELC00</t>
  </si>
  <si>
    <t>C_HLTH-RF_Refriger-ELC</t>
  </si>
  <si>
    <t>C_HLTH-RF_Refriger-ELC00</t>
  </si>
  <si>
    <t>C_HLTH-SC_AIRHP-ELC</t>
  </si>
  <si>
    <t>C_HLTH-SC_AIRHP-ELC00</t>
  </si>
  <si>
    <t>C_HLTH-SC_GHP-ELC</t>
  </si>
  <si>
    <t>C_HLTH-SH_AIRHP-ELC</t>
  </si>
  <si>
    <t>C_HLTH-SH_AIRHP-ELC00</t>
  </si>
  <si>
    <t>C_HLTH-SH_Boiler-BIG</t>
  </si>
  <si>
    <t>C_HLTH-SH_Boiler-COA</t>
  </si>
  <si>
    <t>C_HLTH-SH_Boiler-COA00</t>
  </si>
  <si>
    <t>C_HLTH-SH_Boiler-DSL</t>
  </si>
  <si>
    <t>C_HLTH-SH_Boiler-DSL00</t>
  </si>
  <si>
    <t>C_HLTH-SH_Boiler-ELC</t>
  </si>
  <si>
    <t>C_HLTH-SH_Boiler-FOL</t>
  </si>
  <si>
    <t>C_HLTH-SH_Boiler-H2R</t>
  </si>
  <si>
    <t>C_HLTH-SH_Boiler-LPG</t>
  </si>
  <si>
    <t>C_HLTH-SH_Boiler-NGA</t>
  </si>
  <si>
    <t>C_HLTH-SH_Boiler-NGA00</t>
  </si>
  <si>
    <t>C_HLTH-SH_Boiler-PLT</t>
  </si>
  <si>
    <t>C_HLTH-SH_Boiler-WOD</t>
  </si>
  <si>
    <t>C_HLTH-SH_GHP-ELC</t>
  </si>
  <si>
    <t>C_HLTH-SH_RH-ELC</t>
  </si>
  <si>
    <t>C_HLTH-SH_RH-ELC00</t>
  </si>
  <si>
    <t>C_HLTH-WH_AIRHP-ELC</t>
  </si>
  <si>
    <t>C_HLTH-WH_Boiler-BIG</t>
  </si>
  <si>
    <t>C_HLTH-WH_Boiler-COA</t>
  </si>
  <si>
    <t>C_HLTH-WH_Boiler-COA00</t>
  </si>
  <si>
    <t>C_HLTH-WH_Boiler-DSL</t>
  </si>
  <si>
    <t>C_HLTH-WH_Boiler-ELC</t>
  </si>
  <si>
    <t>C_HLTH-WH_Boiler-FOL</t>
  </si>
  <si>
    <t>C_HLTH-WH_Boiler-FOL00</t>
  </si>
  <si>
    <t>C_HLTH-WH_Boiler-H2R</t>
  </si>
  <si>
    <t>C_HLTH-WH_Boiler-LPG</t>
  </si>
  <si>
    <t>C_HLTH-WH_Boiler-NGA</t>
  </si>
  <si>
    <t>C_HLTH-WH_Boiler-PLT</t>
  </si>
  <si>
    <t>C_HLTH-WH_Boiler-WOD</t>
  </si>
  <si>
    <t>C_HLTH-WH_Cylinder-ELC</t>
  </si>
  <si>
    <t>C_HLTH-WH_Cylinder-ELC00</t>
  </si>
  <si>
    <t>C_HLTH-WH_Cylinder-LPG</t>
  </si>
  <si>
    <t>C_HLTH-WH_Cylinder-NGA</t>
  </si>
  <si>
    <t>C_HLTH-WH_DirectH-GEO</t>
  </si>
  <si>
    <t>C_HLTH-WH_DirectH-GEO00</t>
  </si>
  <si>
    <t>C_HLTH-WH_GHP-ELC</t>
  </si>
  <si>
    <t>C_HLTH-WH_Instant-ELC</t>
  </si>
  <si>
    <t>C_HLTH-WH_Instant-LPG</t>
  </si>
  <si>
    <t>C_HLTH-WH_Instant-NGA</t>
  </si>
  <si>
    <t>C_OFFC-LT_FLU-ELC</t>
  </si>
  <si>
    <t>C_OFFC-LT_FLU-ELC00</t>
  </si>
  <si>
    <t>C_OFFC-LT_INC-ELC</t>
  </si>
  <si>
    <t>C_OFFC-LT_INC-ELC00</t>
  </si>
  <si>
    <t>C_OFFC-LT_LED-ELC</t>
  </si>
  <si>
    <t>C_OFFC-LT_LED-ELC00</t>
  </si>
  <si>
    <t>C_OFFC-MPM_-DSL</t>
  </si>
  <si>
    <t>C_OFFC-MPM_-DSL00</t>
  </si>
  <si>
    <t>C_OFFC-MPM_-ELC</t>
  </si>
  <si>
    <t>C_OFFC-MPM_-H2R</t>
  </si>
  <si>
    <t>C_OFFC-MPM_-LPG</t>
  </si>
  <si>
    <t>C_OFFC-MPM_-LPG00</t>
  </si>
  <si>
    <t>C_OFFC-MPM_-PET</t>
  </si>
  <si>
    <t>C_OFFC-MPM_-PET00</t>
  </si>
  <si>
    <t>C_OFFC-MPS_-DSL</t>
  </si>
  <si>
    <t>C_OFFC-MPS_-ELC</t>
  </si>
  <si>
    <t>C_OFFC-MPS_-ELC00</t>
  </si>
  <si>
    <t>C_OFFC-MPS_-H2R</t>
  </si>
  <si>
    <t>C_OFFC-MPS_-LPG</t>
  </si>
  <si>
    <t>C_OFFC-MPS_-PET</t>
  </si>
  <si>
    <t>C_OFFC-OTH_EELC-ELC</t>
  </si>
  <si>
    <t>C_OFFC-OTH_EELC-ELC00</t>
  </si>
  <si>
    <t>C_OFFC-SC_AIRHP-ELC</t>
  </si>
  <si>
    <t>C_OFFC-SC_AIRHP-ELC00</t>
  </si>
  <si>
    <t>C_OFFC-SC_GHP-ELC</t>
  </si>
  <si>
    <t>C_OFFC-SH_AirHP-ELC</t>
  </si>
  <si>
    <t>C_OFFC-SH_AirHP-ELC00</t>
  </si>
  <si>
    <t>C_OFFC-SH_Boiler-BIG</t>
  </si>
  <si>
    <t>C_OFFC-SH_Boiler-COA</t>
  </si>
  <si>
    <t>C_OFFC-SH_Boiler-COA00</t>
  </si>
  <si>
    <t>C_OFFC-SH_Boiler-DSL</t>
  </si>
  <si>
    <t>C_OFFC-SH_Boiler-DSL00</t>
  </si>
  <si>
    <t>C_OFFC-SH_Boiler-ELC</t>
  </si>
  <si>
    <t>C_OFFC-SH_Boiler-FOL</t>
  </si>
  <si>
    <t>C_OFFC-SH_Boiler-FOL00</t>
  </si>
  <si>
    <t>C_OFFC-SH_Boiler-H2R</t>
  </si>
  <si>
    <t>C_OFFC-SH_Boiler-LPG</t>
  </si>
  <si>
    <t>C_OFFC-SH_Boiler-NGA</t>
  </si>
  <si>
    <t>C_OFFC-SH_Boiler-NGA00</t>
  </si>
  <si>
    <t>C_OFFC-SH_Boiler-PLT</t>
  </si>
  <si>
    <t>C_OFFC-SH_Boiler-WOD</t>
  </si>
  <si>
    <t>C_OFFC-SH_Burner-NGA00</t>
  </si>
  <si>
    <t>C_OFFC-SH_GHP-ELC</t>
  </si>
  <si>
    <t>C_OFFC-SH_RH-ELC</t>
  </si>
  <si>
    <t>C_OFFC-SH_RH-ELC00</t>
  </si>
  <si>
    <t>C_OFFC-WH_AirHP-ELC</t>
  </si>
  <si>
    <t>C_OFFC-WH_AirHP-ELC00</t>
  </si>
  <si>
    <t>C_OFFC-WH_Boiler-BIG</t>
  </si>
  <si>
    <t>C_OFFC-WH_Boiler-COA</t>
  </si>
  <si>
    <t>C_OFFC-WH_Boiler-COA00</t>
  </si>
  <si>
    <t>C_OFFC-WH_Boiler-DSL</t>
  </si>
  <si>
    <t>C_OFFC-WH_Boiler-ELC</t>
  </si>
  <si>
    <t>C_OFFC-WH_Boiler-FOL</t>
  </si>
  <si>
    <t>C_OFFC-WH_Boiler-FOL00</t>
  </si>
  <si>
    <t>C_OFFC-WH_Boiler-H2R</t>
  </si>
  <si>
    <t>C_OFFC-WH_Boiler-LPG</t>
  </si>
  <si>
    <t>C_OFFC-WH_Boiler-NGA</t>
  </si>
  <si>
    <t>C_OFFC-WH_Boiler-PLT</t>
  </si>
  <si>
    <t>C_OFFC-WH_Boiler-WOD</t>
  </si>
  <si>
    <t>C_OFFC-WH_Cylinder-ELC</t>
  </si>
  <si>
    <t>C_OFFC-WH_Cylinder-ELC00</t>
  </si>
  <si>
    <t>C_OFFC-WH_Cylinder-LPG</t>
  </si>
  <si>
    <t>C_OFFC-WH_Cylinder-NGA</t>
  </si>
  <si>
    <t>C_OFFC-WH_Cylinder-NGA00</t>
  </si>
  <si>
    <t>C_OFFC-WH_GHP-ELC</t>
  </si>
  <si>
    <t>C_OFFC-WH_Instant-ELC</t>
  </si>
  <si>
    <t>C_OFFC-WH_Instant-LPG</t>
  </si>
  <si>
    <t>C_OFFC-WH_Instant-NGA</t>
  </si>
  <si>
    <t>C_OTH-LT_FLU-ELC</t>
  </si>
  <si>
    <t>C_OTH-LT_FLU-ELC00</t>
  </si>
  <si>
    <t>C_OTH-LT_INC-ELC</t>
  </si>
  <si>
    <t>C_OTH-LT_INC-ELC00</t>
  </si>
  <si>
    <t>C_OTH-LT_LED-ELC</t>
  </si>
  <si>
    <t>C_OTH-LT_LED-ELC00</t>
  </si>
  <si>
    <t>C_OTH-MPM_-DSL</t>
  </si>
  <si>
    <t>C_OTH-MPM_-DSL00</t>
  </si>
  <si>
    <t>C_OTH-MPM_-ELC</t>
  </si>
  <si>
    <t>C_OTH-MPM_-FOL</t>
  </si>
  <si>
    <t>C_OTH-MPM_-FOL00</t>
  </si>
  <si>
    <t>C_OTH-MPM_-H2R</t>
  </si>
  <si>
    <t>C_OTH-MPM_-LPG</t>
  </si>
  <si>
    <t>C_OTH-MPM_-PET</t>
  </si>
  <si>
    <t>C_OTH-MPM_-PET00</t>
  </si>
  <si>
    <t>C_OTH-MPS_-DSL</t>
  </si>
  <si>
    <t>C_OTH-MPS_-ELC</t>
  </si>
  <si>
    <t>C_OTH-MPS_-ELC00</t>
  </si>
  <si>
    <t>C_OTH-MPS_-H2R</t>
  </si>
  <si>
    <t>C_OTH-MPS_-LPG</t>
  </si>
  <si>
    <t>C_OTH-MPS_-PET</t>
  </si>
  <si>
    <t>C_OTH-OTH_Elec-ELC</t>
  </si>
  <si>
    <t>C_OTH-OTH_ELEC-ELC00</t>
  </si>
  <si>
    <t>C_OTH-SC_AIRHP-ELC</t>
  </si>
  <si>
    <t>C_OTH-SC_AIRHP-ELC00</t>
  </si>
  <si>
    <t>C_OTH-SC_GHP-ELC</t>
  </si>
  <si>
    <t>C_OTH-SH_AirHP-ELC</t>
  </si>
  <si>
    <t>C_OTH-SH_AirHP-ELC00</t>
  </si>
  <si>
    <t>C_OTH-SH_Boiler-BIG</t>
  </si>
  <si>
    <t>C_OTH-SH_Boiler-COA</t>
  </si>
  <si>
    <t>C_OTH-SH_Boiler-COA00</t>
  </si>
  <si>
    <t>C_OTH-SH_Boiler-DSL</t>
  </si>
  <si>
    <t>C_OTH-SH_Boiler-DSL00</t>
  </si>
  <si>
    <t>C_OTH-SH_Boiler-ELC</t>
  </si>
  <si>
    <t>C_OTH-SH_Boiler-FOL</t>
  </si>
  <si>
    <t>C_OTH-SH_Boiler-FOL00</t>
  </si>
  <si>
    <t>C_OTH-SH_Boiler-H2R</t>
  </si>
  <si>
    <t>C_OTH-SH_Boiler-LPG</t>
  </si>
  <si>
    <t>C_OTH-SH_Boiler-NGA</t>
  </si>
  <si>
    <t>C_OTH-SH_Boiler-NGA00</t>
  </si>
  <si>
    <t>C_OTH-SH_Boiler-PLT</t>
  </si>
  <si>
    <t>C_OTH-SH_Boiler-WOD</t>
  </si>
  <si>
    <t>C_OTH-SH_Burner-NGA00</t>
  </si>
  <si>
    <t>C_OTH-SH_GHP-ELC</t>
  </si>
  <si>
    <t>C_OTH-SH_RH-ELC</t>
  </si>
  <si>
    <t>C_OTH-SH_RH-ELC00</t>
  </si>
  <si>
    <t>C_OTH-WH_AirHP-ELC</t>
  </si>
  <si>
    <t>C_OTH-WH_Boiler-BIG</t>
  </si>
  <si>
    <t>C_OTH-WH_Boiler-COA</t>
  </si>
  <si>
    <t>C_OTH-WH_Boiler-COA00</t>
  </si>
  <si>
    <t>C_OTH-WH_Boiler-DSL</t>
  </si>
  <si>
    <t>C_OTH-WH_Boiler-ELC</t>
  </si>
  <si>
    <t>C_OTH-WH_Boiler-FOL</t>
  </si>
  <si>
    <t>C_OTH-WH_Boiler-FOL00</t>
  </si>
  <si>
    <t>C_OTH-WH_Boiler-H2R</t>
  </si>
  <si>
    <t>C_OTH-WH_Boiler-LPG</t>
  </si>
  <si>
    <t>C_OTH-WH_Boiler-NGA</t>
  </si>
  <si>
    <t>C_OTH-WH_Boiler-PLT</t>
  </si>
  <si>
    <t>C_OTH-WH_Boiler-WOD</t>
  </si>
  <si>
    <t>C_OTH-WH_Cylinder-ELC</t>
  </si>
  <si>
    <t>C_OTH-WH_Cylinder-ELC00</t>
  </si>
  <si>
    <t>C_OTH-WH_Cylinder-LPG</t>
  </si>
  <si>
    <t>C_OTH-WH_Cylinder-NGA</t>
  </si>
  <si>
    <t>C_OTH-WH_Cylinder-NGA00</t>
  </si>
  <si>
    <t>C_OTH-WH_DirectH-GEO</t>
  </si>
  <si>
    <t>C_OTH-WH_DirectH-GEO00</t>
  </si>
  <si>
    <t>C_OTH-WH_GHP-ELC</t>
  </si>
  <si>
    <t>C_OTH-WH_Instant-ELC</t>
  </si>
  <si>
    <t>C_OTH-WH_Instant-LPG</t>
  </si>
  <si>
    <t>C_OTH-WH_Instant-NGA</t>
  </si>
  <si>
    <t>C_WSR-CK_Elements-ELC</t>
  </si>
  <si>
    <t>C_WSR-CK_Elements-ELC00</t>
  </si>
  <si>
    <t>C_WSR-CK_Elements-H2R</t>
  </si>
  <si>
    <t>C_WSR-CK_Elements-LPG</t>
  </si>
  <si>
    <t>C_WSR-CK_Elements-NGA</t>
  </si>
  <si>
    <t>C_WSR-CK_Induction-ELC</t>
  </si>
  <si>
    <t>C_WSR-CK_Ovens-ELC</t>
  </si>
  <si>
    <t>C_WSR-CK_Ovens-ELC00</t>
  </si>
  <si>
    <t>C_WSR-CK_Ovens-H2R</t>
  </si>
  <si>
    <t>C_WSR-CK_Ovens-LPG</t>
  </si>
  <si>
    <t>C_WSR-CK_Ovens-LPG00</t>
  </si>
  <si>
    <t>C_WSR-CK_Ovens-NGA</t>
  </si>
  <si>
    <t>C_WSR-CK_Ovens-NGA00</t>
  </si>
  <si>
    <t>C_WSR-LT_FLU-ELC</t>
  </si>
  <si>
    <t>C_WSR-LT_FLU-ELC00</t>
  </si>
  <si>
    <t>C_WSR-LT_INC-ELC</t>
  </si>
  <si>
    <t>C_WSR-LT_INC-ELC00</t>
  </si>
  <si>
    <t>C_WSR-LT_LED-ELC</t>
  </si>
  <si>
    <t>C_WSR-LT_LED-ELC00</t>
  </si>
  <si>
    <t>C_WSR-MPM_-DSL</t>
  </si>
  <si>
    <t>C_WSR-MPM_-DSL00</t>
  </si>
  <si>
    <t>C_WSR-MPM_-ELC</t>
  </si>
  <si>
    <t>C_WSR-MPM_-H2R</t>
  </si>
  <si>
    <t>C_WSR-MPM_-LPG</t>
  </si>
  <si>
    <t>C_WSR-MPM_-LPG00</t>
  </si>
  <si>
    <t>C_WSR-MPM_-PET</t>
  </si>
  <si>
    <t>C_WSR-MPM_-PET00</t>
  </si>
  <si>
    <t>C_WSR-MPS_-DSL</t>
  </si>
  <si>
    <t>C_WSR-MPS_-ELC</t>
  </si>
  <si>
    <t>C_WSR-MPS_-ELC00</t>
  </si>
  <si>
    <t>C_WSR-MPS_-H2R</t>
  </si>
  <si>
    <t>C_WSR-MPS_-LPG</t>
  </si>
  <si>
    <t>C_WSR-MPS_-PET</t>
  </si>
  <si>
    <t>C_WSR-OTH_ELEC-ELC</t>
  </si>
  <si>
    <t>C_WSR-OTH_ELEC-ELC00</t>
  </si>
  <si>
    <t>C_WSR-RF_Refriger-ELC</t>
  </si>
  <si>
    <t>C_WSR-RF_Refriger-ELC00</t>
  </si>
  <si>
    <t>C_WSR-SC_AIRHP-ELC</t>
  </si>
  <si>
    <t>C_WSR-SC_AIRHP-ELC00</t>
  </si>
  <si>
    <t>C_WSR-SC_GHP-ELC</t>
  </si>
  <si>
    <t>C_WSR-SH_AirHP-ELC</t>
  </si>
  <si>
    <t>C_WSR-SH_AirHP-ELC00</t>
  </si>
  <si>
    <t>C_WSR-SH_Boiler-BIG</t>
  </si>
  <si>
    <t>C_WSR-SH_Boiler-COA</t>
  </si>
  <si>
    <t>C_WSR-SH_Boiler-COA00</t>
  </si>
  <si>
    <t>C_WSR-SH_Boiler-DSL</t>
  </si>
  <si>
    <t>C_WSR-SH_Boiler-DSL00</t>
  </si>
  <si>
    <t>C_WSR-SH_Boiler-ELC</t>
  </si>
  <si>
    <t>C_WSR-SH_Boiler-FOL</t>
  </si>
  <si>
    <t>C_WSR-SH_Boiler-FOL00</t>
  </si>
  <si>
    <t>C_WSR-SH_Boiler-H2R</t>
  </si>
  <si>
    <t>C_WSR-SH_Boiler-LPG</t>
  </si>
  <si>
    <t>C_WSR-SH_Boiler-LPG00</t>
  </si>
  <si>
    <t>C_WSR-SH_Boiler-NGA</t>
  </si>
  <si>
    <t>C_WSR-SH_Boiler-NGA00</t>
  </si>
  <si>
    <t>C_WSR-SH_Boiler-PLT</t>
  </si>
  <si>
    <t>C_WSR-SH_Boiler-WOD</t>
  </si>
  <si>
    <t>C_WSR-SH_DirectH-GEO</t>
  </si>
  <si>
    <t>C_WSR-SH_DirectH-GEO00</t>
  </si>
  <si>
    <t>C_WSR-SH_GHP-ELC</t>
  </si>
  <si>
    <t>C_WSR-SH_HeatHD-COA00</t>
  </si>
  <si>
    <t>C_WSR-SH_HeatHD-FOL00</t>
  </si>
  <si>
    <t>C_WSR-SH_HeatHD-LPG00</t>
  </si>
  <si>
    <t>C_WSR-SH_HeatHD-NGA00</t>
  </si>
  <si>
    <t>C_WSR-SH_RH-ELC</t>
  </si>
  <si>
    <t>C_WSR-SH_RH-ELC00</t>
  </si>
  <si>
    <t>C_WSR-WH_AirHP-ELC</t>
  </si>
  <si>
    <t>C_WSR-WH_Boiler-BIG</t>
  </si>
  <si>
    <t>C_WSR-WH_Boiler-COA</t>
  </si>
  <si>
    <t>C_WSR-WH_Boiler-COA00</t>
  </si>
  <si>
    <t>C_WSR-WH_Boiler-DSL</t>
  </si>
  <si>
    <t>C_WSR-WH_Boiler-ELC</t>
  </si>
  <si>
    <t>C_WSR-WH_Boiler-FOL</t>
  </si>
  <si>
    <t>C_WSR-WH_Boiler-H2R</t>
  </si>
  <si>
    <t>C_WSR-WH_Boiler-LPG</t>
  </si>
  <si>
    <t>C_WSR-WH_Boiler-NGA</t>
  </si>
  <si>
    <t>C_WSR-WH_Boiler-PLT</t>
  </si>
  <si>
    <t>C_WSR-WH_Boiler-WOD</t>
  </si>
  <si>
    <t>C_WSR-WH_Cylinder-ELC</t>
  </si>
  <si>
    <t>C_WSR-WH_Cylinder-ELC00</t>
  </si>
  <si>
    <t>C_WSR-WH_Cylinder-LPG</t>
  </si>
  <si>
    <t>C_WSR-WH_Cylinder-NGA</t>
  </si>
  <si>
    <t>C_WSR-WH_Cylinder-NGA00</t>
  </si>
  <si>
    <t>C_WSR-WH_GHP-ELC</t>
  </si>
  <si>
    <t>C_WSR-WH_INSTANT-ELC</t>
  </si>
  <si>
    <t>C_WSR-WH_INSTANT-LPG</t>
  </si>
  <si>
    <t>C_WSR-WH_INSTANT-NGA</t>
  </si>
  <si>
    <t>CHMCL-MoTP-Stat-DSL-st_ngn</t>
  </si>
  <si>
    <t>CHMCL-MoTP-Stat-ELC-Motor</t>
  </si>
  <si>
    <t>CHMCL-MoTP-Stat-ELC-Mtr15</t>
  </si>
  <si>
    <t>CHMCL-MoTP-Stat-ELC-VSD-Mtr</t>
  </si>
  <si>
    <t>CHMCL-MoTP-Stat-NGA-Pump</t>
  </si>
  <si>
    <t>CHMCL-MoTP-Stat-NGA-Pump15</t>
  </si>
  <si>
    <t>CHMCL-MoTP-Stat-PET-st_ngn</t>
  </si>
  <si>
    <t>CHMCL-PH-DirH-ELC-Heater</t>
  </si>
  <si>
    <t>CHMCL-PH-DirH-ELC-Heater15</t>
  </si>
  <si>
    <t>CHMCL-PH-DirH-NGA-Burner</t>
  </si>
  <si>
    <t>CHMCL-PH-DirH-NGA-Burner15</t>
  </si>
  <si>
    <t>CHMCL-PH-FURN-COA-Furn</t>
  </si>
  <si>
    <t>CHMCL-PH-FURN-ELC-Furn</t>
  </si>
  <si>
    <t>CHMCL-PH-FURN-FOL-Furn</t>
  </si>
  <si>
    <t>CHMCL-PH-FURN-FOL-Furn15</t>
  </si>
  <si>
    <t>CHMCL-PH-FURN-LPG-Furn</t>
  </si>
  <si>
    <t>CHMCL-PH-FURN-NGA-Furn</t>
  </si>
  <si>
    <t>CHMCL-PH-FURN-NGA-Furn15</t>
  </si>
  <si>
    <t>CHMCL-PH-FURN-WOD-Furn</t>
  </si>
  <si>
    <t>CHMCL-PH-REFRM-NGA-REFRM</t>
  </si>
  <si>
    <t>CHMCL-PH-REFRM-NGA-REFRM15</t>
  </si>
  <si>
    <t>CHMCL-PH-STM_HW-COA-Boiler</t>
  </si>
  <si>
    <t>CHMCL-PH-STM_HW-DSL-Boiler</t>
  </si>
  <si>
    <t>CHMCL-PH-STM_HW-ELC-Boiler</t>
  </si>
  <si>
    <t>CHMCL-PH-STM_HW-ELC-HPmp</t>
  </si>
  <si>
    <t>CHMCL-PH-STM_HW-FOL-BLR15</t>
  </si>
  <si>
    <t>CHMCL-PH-STM_HW-FOL-Boiler</t>
  </si>
  <si>
    <t>CHMCL-PH-STM_HW-LPG-Boiler</t>
  </si>
  <si>
    <t>CHMCL-PH-STM_HW-NGA-BLR15</t>
  </si>
  <si>
    <t>CHMCL-PH-STM_HW-NGA-Boiler</t>
  </si>
  <si>
    <t>CHMCL-PH-STM_HW-WOD-Boiler</t>
  </si>
  <si>
    <t>CNST-MoTP-Mob-DSL-ICE_Off15</t>
  </si>
  <si>
    <t>CNST-MoTP-Mob-DSL-ICE_ofrd</t>
  </si>
  <si>
    <t>CNST-MoTP-Mob-LPG-ICE_ofrd</t>
  </si>
  <si>
    <t>CNST-MoTP-Mob-NGA-ICE_Off15</t>
  </si>
  <si>
    <t>CNST-MoTP-Mob-NGA-ICE_ofrd</t>
  </si>
  <si>
    <t>CNST-MoTP-Mob-PET-ICE_ofrd</t>
  </si>
  <si>
    <t>CNST-MoTP-Stat-DSL-st_ngn</t>
  </si>
  <si>
    <t>CNST-MoTP-Stat-DSL-St_ngn15</t>
  </si>
  <si>
    <t>CNST-MoTP-Stat-ELC-Motor</t>
  </si>
  <si>
    <t>CNST-MoTP-Stat-ELC-Mtr15</t>
  </si>
  <si>
    <t>CNST-MoTP-Stat-ELC-VSD-Mtr</t>
  </si>
  <si>
    <t>CNST-MoTP-Stat-PET-st_ngn</t>
  </si>
  <si>
    <t>R_DDW-CD_Dryer-ELC00</t>
  </si>
  <si>
    <t>R_DDW-CD_Hpdryer-ELC</t>
  </si>
  <si>
    <t>R_DDW-CK_Appl-ELC00</t>
  </si>
  <si>
    <t>R_DDW-CK_Appl-LPG00</t>
  </si>
  <si>
    <t>R_DDW-CK_Appl-NGA00</t>
  </si>
  <si>
    <t>R_DDW-CK_IndCook-ELC</t>
  </si>
  <si>
    <t>R_DDW-CK_Oven-COA00</t>
  </si>
  <si>
    <t>R_DDW-CW_Washer-ELC</t>
  </si>
  <si>
    <t>R_DDW-CW_Washer-ELC00</t>
  </si>
  <si>
    <t>R_DDW-DW_Dwash-ELC</t>
  </si>
  <si>
    <t>R_DDW-DW_Dwash-ELC00</t>
  </si>
  <si>
    <t>R_DDW-LT_CFL-ELC00</t>
  </si>
  <si>
    <t>R_DDW-LT_Incan-ELC00</t>
  </si>
  <si>
    <t>R_DDW-LT_LED-ELC00</t>
  </si>
  <si>
    <t>R_DDW-MPM_ICE-PET00</t>
  </si>
  <si>
    <t>R_DDW-MPS_Motor-ELC00</t>
  </si>
  <si>
    <t>R_DDW-OTH_Elec-ELC00</t>
  </si>
  <si>
    <t>R_DDW-RF_Refriger-ELC</t>
  </si>
  <si>
    <t>R_DDW-RF_Refriger-ELC00</t>
  </si>
  <si>
    <t>R_DDW-SC_HP-ELC00</t>
  </si>
  <si>
    <t>R_DDW-SH_Burner-COA00</t>
  </si>
  <si>
    <t>R_DDW-SH_Burner-DSL00</t>
  </si>
  <si>
    <t>R_DDW-SH_Burner-LPG</t>
  </si>
  <si>
    <t>R_DDW-SH_Burner-LPG00</t>
  </si>
  <si>
    <t>R_DDW-SH_Burner-NGA</t>
  </si>
  <si>
    <t>R_DDW-SH_Burner-NGA00</t>
  </si>
  <si>
    <t>R_DDW-SH_Burner-WOD</t>
  </si>
  <si>
    <t>R_DDW-SH_Burner-WOD00</t>
  </si>
  <si>
    <t>R_DDW-SH_Centrgasheat-NGA</t>
  </si>
  <si>
    <t>R_DDW-SH_DUCHP-ELC</t>
  </si>
  <si>
    <t>R_DDW-SH_HP-ELC</t>
  </si>
  <si>
    <t>R_DDW-SH_HP-ELC00</t>
  </si>
  <si>
    <t>R_DDW-SH_MSHP-ELC</t>
  </si>
  <si>
    <t>R_DDW-SH_OF-COA00</t>
  </si>
  <si>
    <t>R_DDW-SH_OFWB-COA00</t>
  </si>
  <si>
    <t>R_DDW-SH_OF-WOD00</t>
  </si>
  <si>
    <t>R_DDW-SH_RH-ELC</t>
  </si>
  <si>
    <t>R_DDW-SH_RH-ELC00</t>
  </si>
  <si>
    <t>R_DDW-UNAL_OTH-GEO00</t>
  </si>
  <si>
    <t>R_DDW-WH_BRNWB-WOD00</t>
  </si>
  <si>
    <t>R_DDW-WH_Gasheat-LPG</t>
  </si>
  <si>
    <t>R_DDW-WH_Gasheat-LPG00</t>
  </si>
  <si>
    <t>R_DDW-WH_Gasheat-NGA</t>
  </si>
  <si>
    <t>R_DDW-WH_Gasheat-NGA00</t>
  </si>
  <si>
    <t>R_DDW-WH_HP-ELC</t>
  </si>
  <si>
    <t>R_DDW-WH_HWC-ELC</t>
  </si>
  <si>
    <t>R_DDW-WH_HWC-ELC00</t>
  </si>
  <si>
    <t>R_DDW-WH_HWC-SOL</t>
  </si>
  <si>
    <t>R_DDW-WH_HWC-SOL00</t>
  </si>
  <si>
    <t>R_DDW-WH_OFWB-COA00</t>
  </si>
  <si>
    <t>R_JDW-CD_Dryer-ELC00</t>
  </si>
  <si>
    <t>R_JDW-CD_Hpdryer-ELC</t>
  </si>
  <si>
    <t>R_JDW-CK_Appl-ELC00</t>
  </si>
  <si>
    <t>R_JDW-CK_Appl-LPG00</t>
  </si>
  <si>
    <t>R_JDW-CK_Appl-NGA00</t>
  </si>
  <si>
    <t>R_JDW-CK_IndCook-ELC</t>
  </si>
  <si>
    <t>R_JDW-CW_Washer-ELC</t>
  </si>
  <si>
    <t>R_JDW-CW_Washer-ELC00</t>
  </si>
  <si>
    <t>R_JDW-DW_Dwash-ELC</t>
  </si>
  <si>
    <t>R_JDW-DW_Dwash-ELC00</t>
  </si>
  <si>
    <t>R_JDW-LT_CFL-ELC00</t>
  </si>
  <si>
    <t>R_JDW-LT_Incan-ELC00</t>
  </si>
  <si>
    <t>R_JDW-LT_LED-ELC00</t>
  </si>
  <si>
    <t>R_JDW-MPM_ICE-PET00</t>
  </si>
  <si>
    <t>R_JDW-MPS_Motor-ELC00</t>
  </si>
  <si>
    <t>R_JDW-OTH_Elec-ELC00</t>
  </si>
  <si>
    <t>R_JDW-RF_Refriger-ELC</t>
  </si>
  <si>
    <t>R_JDW-RF_Refriger-ELC00</t>
  </si>
  <si>
    <t>R_JDW-SC_HP-ELC</t>
  </si>
  <si>
    <t>R_JDW-SC_HP-ELC00</t>
  </si>
  <si>
    <t>R_JDW-SH_Burner-DSL00</t>
  </si>
  <si>
    <t>R_JDW-SH_Burner-LPG</t>
  </si>
  <si>
    <t>R_JDW-SH_Burner-LPG00</t>
  </si>
  <si>
    <t>R_JDW-SH_Burner-NGA</t>
  </si>
  <si>
    <t>R_JDW-SH_Burner-NGA00</t>
  </si>
  <si>
    <t>R_JDW-SH_Centrgasheat-NGA</t>
  </si>
  <si>
    <t>R_JDW-SH_DUCHP-ELC</t>
  </si>
  <si>
    <t>R_JDW-SH_HP-ELC</t>
  </si>
  <si>
    <t>R_JDW-SH_HP-ELC00</t>
  </si>
  <si>
    <t>R_JDW-SH_MSHP-ELC</t>
  </si>
  <si>
    <t>R_JDW-SH_RH-ELC</t>
  </si>
  <si>
    <t>R_JDW-SH_RH-ELC00</t>
  </si>
  <si>
    <t>R_JDW-UNAL_OTH-GEO00</t>
  </si>
  <si>
    <t>R_JDW-WH_Gasheat-LPG</t>
  </si>
  <si>
    <t>R_JDW-WH_Gasheat-LPG00</t>
  </si>
  <si>
    <t>R_JDW-WH_Gasheat-NGA</t>
  </si>
  <si>
    <t>R_JDW-WH_Gasheat-NGA00</t>
  </si>
  <si>
    <t>R_JDW-WH_HP-ELC</t>
  </si>
  <si>
    <t>R_JDW-WH_HWC-ELC</t>
  </si>
  <si>
    <t>R_JDW-WH_HWC-ELC00</t>
  </si>
  <si>
    <t>R_JDW-WH_HWC-SOL</t>
  </si>
  <si>
    <t>R_JDW-WH_HWC-SOL00</t>
  </si>
  <si>
    <t>REFI-MoTP-Stat-DSL-st_ngn</t>
  </si>
  <si>
    <t>REFI-MoTP-Stat-ELC-Motor</t>
  </si>
  <si>
    <t>REFI-MoTP-Stat-ELC-Mtr15</t>
  </si>
  <si>
    <t>REFI-MoTP-Stat-ELC-VSD-Mtr</t>
  </si>
  <si>
    <t>REFI-MoTP-Stat-PET-st_ngn</t>
  </si>
  <si>
    <t>REFI-PH-FURN-COA-Furn</t>
  </si>
  <si>
    <t>REFI-PH-FURN-ELC-Furn</t>
  </si>
  <si>
    <t>REFI-PH-FURN-LPG-Furn</t>
  </si>
  <si>
    <t>REFI-PH-FURN-NGA-Furn</t>
  </si>
  <si>
    <t>REFI-PH-FURN-NGA-Furn15</t>
  </si>
  <si>
    <t>REFI-PH-FURN-WOD-Furn</t>
  </si>
  <si>
    <t>REFI-PH-STM_HW-COA-Boiler</t>
  </si>
  <si>
    <t>REFI-PH-STM_HW-DSL-Boiler</t>
  </si>
  <si>
    <t>REFI-PH-STM_HW-ELC-Boiler</t>
  </si>
  <si>
    <t>REFI-PH-STM_HW-ELC-HPmp</t>
  </si>
  <si>
    <t>REFI-PH-STM_HW-LPG-Boiler</t>
  </si>
  <si>
    <t>REFI-PH-STM_HW-NGA-BLR15</t>
  </si>
  <si>
    <t>REFI-PH-STM_HW-NGA-Boiler</t>
  </si>
  <si>
    <t>REFI-PH-STM_HW-WOD-Boiler</t>
  </si>
  <si>
    <t>T_C_CBEVNEW15</t>
  </si>
  <si>
    <t>T_F_MBEVELC15</t>
  </si>
  <si>
    <t>T_P_BBEVELC15</t>
  </si>
  <si>
    <t>T_P_CBEVNEW15</t>
  </si>
  <si>
    <t>T_P_CBEVUSD15</t>
  </si>
  <si>
    <t>ELCRESOL00</t>
  </si>
  <si>
    <t>ESOLPVBCOM20</t>
  </si>
  <si>
    <t>ESOLPVBRES20</t>
  </si>
  <si>
    <t>ESOLPVDISTGR20</t>
  </si>
  <si>
    <t>ESOLPVIND20</t>
  </si>
  <si>
    <t>ESOLPVUTIFIX20</t>
  </si>
  <si>
    <t>ESOLPVUTITRAC20</t>
  </si>
  <si>
    <t>EXP</t>
  </si>
  <si>
    <t>other_indexes</t>
  </si>
  <si>
    <t>~UC_Sets: R_S: AllRegions</t>
  </si>
  <si>
    <t>~UC_Sets: T_S:</t>
  </si>
  <si>
    <t>LimType</t>
  </si>
  <si>
    <t>UC_COMNET</t>
  </si>
  <si>
    <t>UC_RHSTS</t>
  </si>
  <si>
    <t>UC_RHSTS~0</t>
  </si>
  <si>
    <t>UC_Desc</t>
  </si>
  <si>
    <t>UC_TOTCO2CAP</t>
  </si>
  <si>
    <t>co2net</t>
  </si>
  <si>
    <t>CCC Climate Budgets</t>
  </si>
  <si>
    <t>Pset_PN</t>
  </si>
  <si>
    <t>UC_RHST</t>
  </si>
  <si>
    <t>UC_RHST~0</t>
  </si>
  <si>
    <t>MAX_BEV_UPTAKE</t>
  </si>
  <si>
    <t>T_P_C*BEV*,T_P_C*H2R*</t>
  </si>
  <si>
    <t>Max number of BEV cars per year</t>
  </si>
  <si>
    <t>MAX_BEV_UPTAKE_commercial</t>
  </si>
  <si>
    <t>T_C_C*BEV*,T_C_C*H2R*</t>
  </si>
  <si>
    <t>Max number of BEV commercial cars per year</t>
  </si>
  <si>
    <t>MAX_VHTBEV_UPTAKE</t>
  </si>
  <si>
    <t>T_F_V*BEV*,T_F_V*H2R*</t>
  </si>
  <si>
    <t>T_P_C*,-T_P_C*BEV*,-T_P_C*H2R*</t>
  </si>
  <si>
    <t>T_C_C*,-T_C_C*BEV*,-T_c_C*H2R*</t>
  </si>
  <si>
    <t>T_F_V*,-T_F_V*BEV*,-T_F_V*H2R*</t>
  </si>
  <si>
    <t>MAX_PHEV_UPTAKE</t>
  </si>
  <si>
    <t>T_P_C*PHEV*</t>
  </si>
  <si>
    <t>Max number of PHEV cars per year</t>
  </si>
  <si>
    <t>MAX_PHEV_UPTAKE_commercial</t>
  </si>
  <si>
    <t>T_C_C*PHEV*</t>
  </si>
  <si>
    <t>Max number of PHEV commerical cars per year</t>
  </si>
  <si>
    <t>MAX_HTBEV_UPTAKE</t>
  </si>
  <si>
    <t>T_F_H*BEV*</t>
  </si>
  <si>
    <t>T_P_C*,-T_P_C*PHEV*</t>
  </si>
  <si>
    <t>T_C_C*,-T_C_C*PHEV*</t>
  </si>
  <si>
    <t>T_F_H*,-T_F_H*BEV*</t>
  </si>
  <si>
    <t>Source: EV uptake report</t>
  </si>
  <si>
    <t>Table 36 EV Import Limit Assumptions for LPVs</t>
  </si>
  <si>
    <t>LPV+LCV</t>
  </si>
  <si>
    <t>BEVs</t>
  </si>
  <si>
    <t>PHEVs</t>
  </si>
  <si>
    <t>Limit</t>
  </si>
  <si>
    <t>% of LPV imports</t>
  </si>
  <si>
    <t>~UC_T: UC_NCAP</t>
  </si>
  <si>
    <t>Max number of BEV very heavy trucks</t>
  </si>
  <si>
    <t>Max number of BEV heavy trucks</t>
  </si>
  <si>
    <t>*COM_TAXNET</t>
  </si>
  <si>
    <t>bas</t>
  </si>
  <si>
    <t>~TFM_INS-TS: attribute=com_taxnet; curr=MioNZDollar</t>
  </si>
  <si>
    <t>nz</t>
  </si>
  <si>
    <t>0bas</t>
  </si>
  <si>
    <t>1tui</t>
  </si>
  <si>
    <t>2kea</t>
  </si>
  <si>
    <t>3nz</t>
  </si>
  <si>
    <t>Sum of val_field</t>
  </si>
  <si>
    <t>year</t>
  </si>
  <si>
    <t>scenario</t>
  </si>
  <si>
    <t>BASE</t>
  </si>
  <si>
    <t>NZL_0001</t>
  </si>
  <si>
    <t>NZL_0002</t>
  </si>
  <si>
    <t>limtype</t>
  </si>
  <si>
    <t>~TFM_INS-TS</t>
  </si>
  <si>
    <t>*</t>
  </si>
  <si>
    <t>1-3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</si>
</sst>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8.25"/>
      <color rgb="FF000000"/>
      <name val="Microsoft Sans Serif"/>
      <family val="2"/>
    </font>
    <font>
      <sz val="8.25"/>
      <color rgb="FF2B2C3C"/>
      <name val="Microsoft Sans Serif"/>
      <family val="2"/>
    </font>
    <font>
      <sz val="11"/>
      <color indexed="8"/>
      <name val="Calibri"/>
      <family val="2"/>
    </font>
    <font>
      <b/>
      <sz val="10"/>
      <color indexed="8"/>
      <name val="Aptos Narrow"/>
      <family val="2"/>
      <scheme val="minor"/>
    </font>
    <font>
      <b/>
      <sz val="8.25"/>
      <color rgb="FF000000"/>
      <name val="Microsoft Sans Serif"/>
      <family val="2"/>
    </font>
    <font>
      <b/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EAF1FB"/>
        <bgColor rgb="FFEAF1FB"/>
      </patternFill>
    </fill>
    <fill>
      <patternFill patternType="solid">
        <fgColor rgb="FFEFF6FF"/>
        <bgColor rgb="FFEFF6FF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  <border>
      <left style="thin">
        <color rgb="FF696969"/>
      </left>
      <right style="thin">
        <color rgb="FF696969"/>
      </right>
      <top/>
      <bottom/>
      <diagonal/>
    </border>
  </borders>
  <cellStyleXfs count="11">
    <xf numFmtId="0" fontId="0" fillId="0" borderId="0"/>
    <xf numFmtId="0" fontId="1" fillId="2" borderId="0"/>
    <xf numFmtId="0" fontId="2" fillId="0" borderId="1"/>
    <xf numFmtId="0" fontId="5" fillId="0" borderId="3"/>
    <xf numFmtId="0" fontId="6" fillId="3" borderId="0"/>
    <xf numFmtId="0" fontId="7" fillId="4" borderId="4"/>
    <xf numFmtId="0" fontId="7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1" fillId="0" borderId="0"/>
    <xf numFmtId="0" fontId="14" fillId="10" borderId="4" applyNumberFormat="0" applyAlignment="0" applyProtection="0"/>
  </cellStyleXfs>
  <cellXfs count="27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3"/>
    <xf numFmtId="0" fontId="7" fillId="4" borderId="4" xfId="5"/>
    <xf numFmtId="0" fontId="6" fillId="3" borderId="0" xfId="4"/>
    <xf numFmtId="2" fontId="0" fillId="0" borderId="0" xfId="0" applyNumberFormat="1"/>
    <xf numFmtId="0" fontId="7" fillId="4" borderId="4" xfId="6"/>
    <xf numFmtId="0" fontId="4" fillId="0" borderId="2" xfId="7"/>
    <xf numFmtId="0" fontId="5" fillId="0" borderId="3" xfId="8"/>
    <xf numFmtId="0" fontId="0" fillId="5" borderId="0" xfId="0" applyFill="1"/>
    <xf numFmtId="0" fontId="8" fillId="0" borderId="0" xfId="0" applyFont="1"/>
    <xf numFmtId="0" fontId="0" fillId="6" borderId="0" xfId="0" applyFill="1"/>
    <xf numFmtId="49" fontId="0" fillId="0" borderId="0" xfId="0" quotePrefix="1" applyNumberFormat="1"/>
    <xf numFmtId="49" fontId="9" fillId="8" borderId="5" xfId="0" applyNumberFormat="1" applyFont="1" applyFill="1" applyBorder="1" applyAlignment="1">
      <alignment horizontal="left" vertical="center"/>
    </xf>
    <xf numFmtId="49" fontId="10" fillId="9" borderId="5" xfId="0" applyNumberFormat="1" applyFont="1" applyFill="1" applyBorder="1" applyAlignment="1">
      <alignment horizontal="left" vertical="center"/>
    </xf>
    <xf numFmtId="0" fontId="9" fillId="8" borderId="5" xfId="0" applyFont="1" applyFill="1" applyBorder="1" applyAlignment="1">
      <alignment horizontal="right" vertical="center"/>
    </xf>
    <xf numFmtId="0" fontId="9" fillId="7" borderId="5" xfId="0" applyFont="1" applyFill="1" applyBorder="1" applyAlignment="1">
      <alignment horizontal="right" vertical="center"/>
    </xf>
    <xf numFmtId="2" fontId="9" fillId="7" borderId="5" xfId="0" applyNumberFormat="1" applyFont="1" applyFill="1" applyBorder="1" applyAlignment="1">
      <alignment horizontal="right" vertical="center"/>
    </xf>
    <xf numFmtId="1" fontId="0" fillId="0" borderId="0" xfId="0" applyNumberFormat="1"/>
    <xf numFmtId="0" fontId="12" fillId="0" borderId="0" xfId="9" applyFont="1"/>
    <xf numFmtId="49" fontId="13" fillId="8" borderId="5" xfId="0" applyNumberFormat="1" applyFont="1" applyFill="1" applyBorder="1" applyAlignment="1">
      <alignment horizontal="left" vertical="center"/>
    </xf>
    <xf numFmtId="0" fontId="14" fillId="10" borderId="4" xfId="10"/>
    <xf numFmtId="1" fontId="15" fillId="0" borderId="0" xfId="0" applyNumberFormat="1" applyFont="1"/>
    <xf numFmtId="0" fontId="0" fillId="0" borderId="0" xfId="0" applyAlignment="1">
      <alignment vertical="center" wrapText="1"/>
    </xf>
    <xf numFmtId="49" fontId="9" fillId="8" borderId="6" xfId="0" applyNumberFormat="1" applyFont="1" applyFill="1" applyBorder="1" applyAlignment="1">
      <alignment horizontal="left" vertical="center"/>
    </xf>
  </cellXfs>
  <cellStyles count="11">
    <cellStyle name="Calculation" xfId="10" builtinId="22"/>
    <cellStyle name="Good" xfId="1" builtinId="26"/>
    <cellStyle name="Heading 2 2" xfId="7" xr:uid="{A6AB1C46-4E7B-4C21-A104-E4DF3FE4CE4A}"/>
    <cellStyle name="Heading 3" xfId="3" builtinId="18"/>
    <cellStyle name="Heading 3 2" xfId="8" xr:uid="{F2503A68-FC7E-4C35-8B5A-10334C80FC2A}"/>
    <cellStyle name="Input" xfId="5" builtinId="20"/>
    <cellStyle name="Input 2" xfId="6" xr:uid="{08B5D232-691F-4F66-AEAC-8298A30D4B38}"/>
    <cellStyle name="Linked Cell" xfId="2" builtinId="24"/>
    <cellStyle name="Neutral" xfId="4" builtinId="28"/>
    <cellStyle name="Normal" xfId="0" builtinId="0"/>
    <cellStyle name="Normale_Scen_UC_IND-StrucConst" xfId="9" xr:uid="{022510F6-3962-4707-B279-FBE5832E91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8"/>
  <sheetViews>
    <sheetView tabSelected="1" workbookViewId="0">
      <selection activeCell="G2" sqref="G2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3" width="5.265625" bestFit="1" customWidth="1"/>
    <col min="15" max="15" width="2.73046875" bestFit="1" customWidth="1"/>
    <col min="16" max="16" width="9.265625" bestFit="1" customWidth="1"/>
    <col min="17" max="17" width="6.265625" bestFit="1" customWidth="1"/>
    <col min="18" max="18" width="2.73046875" bestFit="1" customWidth="1"/>
    <col min="19" max="19" width="2.9296875" bestFit="1" customWidth="1"/>
    <col min="20" max="20" width="12.59765625" bestFit="1" customWidth="1"/>
  </cols>
  <sheetData>
    <row r="1" spans="1:20" x14ac:dyDescent="0.45">
      <c r="G1" s="14" t="s">
        <v>1171</v>
      </c>
    </row>
    <row r="2" spans="1:20" x14ac:dyDescent="0.45">
      <c r="D2" s="1" t="str">
        <f>"~Inputcell: "&amp;_xlfn.TEXTJOIN(",",TRUE,G1:DM1)</f>
        <v>~Inputcell: 1-3</v>
      </c>
      <c r="G2" s="14"/>
    </row>
    <row r="3" spans="1:20" x14ac:dyDescent="0.45">
      <c r="D3" s="5">
        <v>4</v>
      </c>
    </row>
    <row r="5" spans="1:20" x14ac:dyDescent="0.45">
      <c r="D5" s="1" t="str">
        <f>VLOOKUP(D3,$C$9:$E$999,2,FALSE)</f>
        <v>ts_012</v>
      </c>
      <c r="E5" s="1" t="str">
        <f>VLOOKUP(D3,$C$9:$E$999,3,FALSE)</f>
        <v>nz</v>
      </c>
    </row>
    <row r="7" spans="1:20" x14ac:dyDescent="0.45">
      <c r="B7" s="12" t="s">
        <v>44</v>
      </c>
    </row>
    <row r="8" spans="1:20" ht="14.65" thickBot="1" x14ac:dyDescent="0.5">
      <c r="A8" s="4" t="s">
        <v>49</v>
      </c>
      <c r="B8" s="4" t="s">
        <v>45</v>
      </c>
      <c r="C8" s="4" t="s">
        <v>46</v>
      </c>
      <c r="D8" s="4" t="s">
        <v>47</v>
      </c>
      <c r="E8" s="4" t="s">
        <v>48</v>
      </c>
    </row>
    <row r="9" spans="1:20" x14ac:dyDescent="0.45">
      <c r="A9">
        <v>5</v>
      </c>
      <c r="B9" t="str">
        <f t="shared" ref="B9:B40" si="0">VLOOKUP(E9,$S$9:$T$15,2,FALSE)&amp;"."&amp;VLOOKUP(D9,$P$9:$Q$24,2,FALSE)</f>
        <v>1tui.j12</v>
      </c>
      <c r="C9">
        <v>1</v>
      </c>
      <c r="D9" t="s">
        <v>50</v>
      </c>
      <c r="E9" s="13" t="s">
        <v>241</v>
      </c>
      <c r="G9" t="s">
        <v>0</v>
      </c>
      <c r="O9">
        <v>1</v>
      </c>
      <c r="P9" t="s">
        <v>37</v>
      </c>
      <c r="Q9" t="s">
        <v>65</v>
      </c>
      <c r="R9" s="6">
        <v>1</v>
      </c>
      <c r="S9" t="s">
        <v>242</v>
      </c>
      <c r="T9" t="s">
        <v>1160</v>
      </c>
    </row>
    <row r="10" spans="1:20" x14ac:dyDescent="0.45">
      <c r="A10">
        <v>5</v>
      </c>
      <c r="B10" t="str">
        <f t="shared" si="0"/>
        <v>2kea.j12</v>
      </c>
      <c r="C10">
        <f>C9+1</f>
        <v>2</v>
      </c>
      <c r="D10" t="s">
        <v>50</v>
      </c>
      <c r="E10" s="13" t="s">
        <v>242</v>
      </c>
      <c r="G10" t="s">
        <v>1</v>
      </c>
      <c r="O10">
        <v>2</v>
      </c>
      <c r="P10" t="s">
        <v>57</v>
      </c>
      <c r="Q10" t="s">
        <v>64</v>
      </c>
      <c r="R10" s="6">
        <v>1</v>
      </c>
      <c r="S10" t="s">
        <v>241</v>
      </c>
      <c r="T10" t="s">
        <v>1159</v>
      </c>
    </row>
    <row r="11" spans="1:20" x14ac:dyDescent="0.45">
      <c r="A11">
        <v>5</v>
      </c>
      <c r="B11" t="str">
        <f t="shared" si="0"/>
        <v>0bas.j12</v>
      </c>
      <c r="C11">
        <f t="shared" ref="C11:C74" si="1">C10+1</f>
        <v>3</v>
      </c>
      <c r="D11" t="s">
        <v>50</v>
      </c>
      <c r="E11" s="13" t="s">
        <v>1155</v>
      </c>
      <c r="G11" t="s">
        <v>2</v>
      </c>
      <c r="O11">
        <v>3</v>
      </c>
      <c r="P11" t="s">
        <v>50</v>
      </c>
      <c r="Q11" t="s">
        <v>63</v>
      </c>
      <c r="R11" s="6">
        <v>1</v>
      </c>
      <c r="S11" t="s">
        <v>1155</v>
      </c>
      <c r="T11" t="s">
        <v>1158</v>
      </c>
    </row>
    <row r="12" spans="1:20" ht="14.65" customHeight="1" x14ac:dyDescent="0.45">
      <c r="A12">
        <v>5</v>
      </c>
      <c r="B12" t="str">
        <f t="shared" si="0"/>
        <v>3nz.j12</v>
      </c>
      <c r="C12">
        <f t="shared" si="1"/>
        <v>4</v>
      </c>
      <c r="D12" t="s">
        <v>50</v>
      </c>
      <c r="E12" s="13" t="s">
        <v>1157</v>
      </c>
      <c r="G12" t="s">
        <v>3</v>
      </c>
      <c r="O12">
        <v>4</v>
      </c>
      <c r="P12" t="s">
        <v>51</v>
      </c>
      <c r="Q12" t="s">
        <v>62</v>
      </c>
      <c r="R12" s="6">
        <v>1</v>
      </c>
      <c r="S12" t="s">
        <v>1157</v>
      </c>
      <c r="T12" t="s">
        <v>1161</v>
      </c>
    </row>
    <row r="13" spans="1:20" ht="14.65" customHeight="1" x14ac:dyDescent="0.45">
      <c r="A13">
        <v>5</v>
      </c>
      <c r="B13" t="str">
        <f t="shared" si="0"/>
        <v>a 3 deg.kAnn</v>
      </c>
      <c r="C13">
        <f t="shared" si="1"/>
        <v>5</v>
      </c>
      <c r="D13" t="str">
        <f t="shared" ref="D13:D63" si="2">VLOOKUP(R13,$O$9:$P$22,2,FALSE)</f>
        <v>ts_annual</v>
      </c>
      <c r="E13" s="13" t="s">
        <v>4</v>
      </c>
      <c r="G13" t="s">
        <v>5</v>
      </c>
      <c r="O13">
        <v>5</v>
      </c>
      <c r="P13" t="s">
        <v>52</v>
      </c>
      <c r="Q13" t="s">
        <v>61</v>
      </c>
      <c r="R13" s="6">
        <v>1</v>
      </c>
      <c r="S13" t="s">
        <v>4</v>
      </c>
      <c r="T13" t="s">
        <v>42</v>
      </c>
    </row>
    <row r="14" spans="1:20" x14ac:dyDescent="0.45">
      <c r="A14">
        <v>5</v>
      </c>
      <c r="B14" t="str">
        <f t="shared" si="0"/>
        <v>1tui.k12</v>
      </c>
      <c r="C14">
        <f t="shared" si="1"/>
        <v>6</v>
      </c>
      <c r="D14" t="str">
        <f t="shared" si="2"/>
        <v>ts_12t</v>
      </c>
      <c r="E14" t="str">
        <f>E9</f>
        <v>tui</v>
      </c>
      <c r="O14">
        <v>6</v>
      </c>
      <c r="P14" t="s">
        <v>53</v>
      </c>
      <c r="Q14" t="s">
        <v>60</v>
      </c>
      <c r="R14" s="6">
        <f>R9+1</f>
        <v>2</v>
      </c>
    </row>
    <row r="15" spans="1:20" x14ac:dyDescent="0.45">
      <c r="A15">
        <v>5</v>
      </c>
      <c r="B15" t="str">
        <f t="shared" si="0"/>
        <v>2kea.k12</v>
      </c>
      <c r="C15">
        <f t="shared" si="1"/>
        <v>7</v>
      </c>
      <c r="D15" t="str">
        <f t="shared" si="2"/>
        <v>ts_12t</v>
      </c>
      <c r="E15" t="str">
        <f t="shared" ref="E15:E78" si="3">E10</f>
        <v>kea</v>
      </c>
      <c r="O15">
        <v>7</v>
      </c>
      <c r="P15" t="s">
        <v>54</v>
      </c>
      <c r="Q15" t="s">
        <v>66</v>
      </c>
      <c r="R15" s="6">
        <f t="shared" ref="R15:R78" si="4">R10+1</f>
        <v>2</v>
      </c>
    </row>
    <row r="16" spans="1:20" ht="17.649999999999999" customHeight="1" x14ac:dyDescent="0.45">
      <c r="A16">
        <v>5</v>
      </c>
      <c r="B16" t="str">
        <f t="shared" si="0"/>
        <v>0bas.k12</v>
      </c>
      <c r="C16">
        <f t="shared" si="1"/>
        <v>8</v>
      </c>
      <c r="D16" t="str">
        <f t="shared" si="2"/>
        <v>ts_12t</v>
      </c>
      <c r="E16" t="str">
        <f t="shared" si="3"/>
        <v>bas</v>
      </c>
      <c r="O16">
        <v>8</v>
      </c>
      <c r="P16" t="s">
        <v>55</v>
      </c>
      <c r="Q16" t="s">
        <v>59</v>
      </c>
      <c r="R16" s="6">
        <f t="shared" si="4"/>
        <v>2</v>
      </c>
    </row>
    <row r="17" spans="1:18" ht="15" customHeight="1" x14ac:dyDescent="0.45">
      <c r="A17">
        <v>5</v>
      </c>
      <c r="B17" t="str">
        <f t="shared" si="0"/>
        <v>3nz.k12</v>
      </c>
      <c r="C17">
        <f t="shared" si="1"/>
        <v>9</v>
      </c>
      <c r="D17" t="str">
        <f t="shared" si="2"/>
        <v>ts_12t</v>
      </c>
      <c r="E17" t="str">
        <f t="shared" si="3"/>
        <v>nz</v>
      </c>
      <c r="O17">
        <v>9</v>
      </c>
      <c r="P17" t="s">
        <v>56</v>
      </c>
      <c r="Q17" t="s">
        <v>58</v>
      </c>
      <c r="R17" s="6">
        <f t="shared" si="4"/>
        <v>2</v>
      </c>
    </row>
    <row r="18" spans="1:18" x14ac:dyDescent="0.45">
      <c r="A18">
        <v>5</v>
      </c>
      <c r="B18" t="str">
        <f t="shared" si="0"/>
        <v>a 3 deg.k12</v>
      </c>
      <c r="C18">
        <f t="shared" si="1"/>
        <v>10</v>
      </c>
      <c r="D18" t="str">
        <f t="shared" si="2"/>
        <v>ts_12t</v>
      </c>
      <c r="E18" t="str">
        <f t="shared" si="3"/>
        <v>C7</v>
      </c>
      <c r="O18">
        <v>10</v>
      </c>
      <c r="P18" t="s">
        <v>32</v>
      </c>
      <c r="Q18" t="s">
        <v>38</v>
      </c>
      <c r="R18" s="6">
        <f t="shared" si="4"/>
        <v>2</v>
      </c>
    </row>
    <row r="19" spans="1:18" x14ac:dyDescent="0.45">
      <c r="A19">
        <v>5</v>
      </c>
      <c r="B19" t="str">
        <f t="shared" si="0"/>
        <v>1tui.j12</v>
      </c>
      <c r="C19">
        <f t="shared" si="1"/>
        <v>11</v>
      </c>
      <c r="D19" t="str">
        <f t="shared" si="2"/>
        <v>ts_012</v>
      </c>
      <c r="E19" t="str">
        <f t="shared" si="3"/>
        <v>tui</v>
      </c>
      <c r="O19">
        <v>11</v>
      </c>
      <c r="P19" t="s">
        <v>33</v>
      </c>
      <c r="Q19" t="s">
        <v>39</v>
      </c>
      <c r="R19" s="6">
        <f t="shared" si="4"/>
        <v>3</v>
      </c>
    </row>
    <row r="20" spans="1:18" x14ac:dyDescent="0.45">
      <c r="A20">
        <v>5</v>
      </c>
      <c r="B20" t="str">
        <f t="shared" si="0"/>
        <v>2kea.j12</v>
      </c>
      <c r="C20">
        <f t="shared" si="1"/>
        <v>12</v>
      </c>
      <c r="D20" t="str">
        <f t="shared" si="2"/>
        <v>ts_012</v>
      </c>
      <c r="E20" t="str">
        <f t="shared" si="3"/>
        <v>kea</v>
      </c>
      <c r="O20">
        <v>12</v>
      </c>
      <c r="P20" t="s">
        <v>36</v>
      </c>
      <c r="Q20" t="s">
        <v>43</v>
      </c>
      <c r="R20" s="6">
        <f t="shared" si="4"/>
        <v>3</v>
      </c>
    </row>
    <row r="21" spans="1:18" x14ac:dyDescent="0.45">
      <c r="A21">
        <v>5</v>
      </c>
      <c r="B21" t="str">
        <f t="shared" si="0"/>
        <v>0bas.j12</v>
      </c>
      <c r="C21">
        <f t="shared" si="1"/>
        <v>13</v>
      </c>
      <c r="D21" t="str">
        <f t="shared" si="2"/>
        <v>ts_012</v>
      </c>
      <c r="E21" t="str">
        <f t="shared" si="3"/>
        <v>bas</v>
      </c>
      <c r="O21">
        <v>13</v>
      </c>
      <c r="P21" t="s">
        <v>34</v>
      </c>
      <c r="Q21" t="s">
        <v>40</v>
      </c>
      <c r="R21" s="6">
        <f t="shared" si="4"/>
        <v>3</v>
      </c>
    </row>
    <row r="22" spans="1:18" x14ac:dyDescent="0.45">
      <c r="A22">
        <v>5</v>
      </c>
      <c r="B22" t="str">
        <f t="shared" si="0"/>
        <v>3nz.j12</v>
      </c>
      <c r="C22">
        <f t="shared" si="1"/>
        <v>14</v>
      </c>
      <c r="D22" t="str">
        <f t="shared" si="2"/>
        <v>ts_012</v>
      </c>
      <c r="E22" t="str">
        <f t="shared" si="3"/>
        <v>nz</v>
      </c>
      <c r="O22">
        <v>14</v>
      </c>
      <c r="P22" t="s">
        <v>35</v>
      </c>
      <c r="Q22" t="s">
        <v>41</v>
      </c>
      <c r="R22" s="6">
        <f t="shared" si="4"/>
        <v>3</v>
      </c>
    </row>
    <row r="23" spans="1:18" x14ac:dyDescent="0.45">
      <c r="A23">
        <v>5</v>
      </c>
      <c r="B23" t="str">
        <f t="shared" si="0"/>
        <v>a 3 deg.j12</v>
      </c>
      <c r="C23">
        <f t="shared" si="1"/>
        <v>15</v>
      </c>
      <c r="D23" t="str">
        <f t="shared" si="2"/>
        <v>ts_012</v>
      </c>
      <c r="E23" t="str">
        <f t="shared" si="3"/>
        <v>C7</v>
      </c>
      <c r="R23" s="6">
        <f t="shared" si="4"/>
        <v>3</v>
      </c>
    </row>
    <row r="24" spans="1:18" ht="14.65" customHeight="1" x14ac:dyDescent="0.45">
      <c r="A24">
        <v>5</v>
      </c>
      <c r="B24" t="str">
        <f t="shared" si="0"/>
        <v>1tui.i24</v>
      </c>
      <c r="C24">
        <f t="shared" si="1"/>
        <v>16</v>
      </c>
      <c r="D24" t="str">
        <f t="shared" si="2"/>
        <v>ts_024</v>
      </c>
      <c r="E24" t="str">
        <f t="shared" si="3"/>
        <v>tui</v>
      </c>
      <c r="R24" s="6">
        <f t="shared" si="4"/>
        <v>4</v>
      </c>
    </row>
    <row r="25" spans="1:18" ht="14.65" customHeight="1" x14ac:dyDescent="0.45">
      <c r="A25">
        <v>5</v>
      </c>
      <c r="B25" t="str">
        <f t="shared" si="0"/>
        <v>2kea.i24</v>
      </c>
      <c r="C25">
        <f t="shared" si="1"/>
        <v>17</v>
      </c>
      <c r="D25" t="str">
        <f t="shared" si="2"/>
        <v>ts_024</v>
      </c>
      <c r="E25" t="str">
        <f t="shared" si="3"/>
        <v>kea</v>
      </c>
      <c r="R25" s="6">
        <f t="shared" si="4"/>
        <v>4</v>
      </c>
    </row>
    <row r="26" spans="1:18" ht="17.649999999999999" customHeight="1" x14ac:dyDescent="0.45">
      <c r="A26">
        <v>5</v>
      </c>
      <c r="B26" t="str">
        <f t="shared" si="0"/>
        <v>0bas.i24</v>
      </c>
      <c r="C26">
        <f t="shared" si="1"/>
        <v>18</v>
      </c>
      <c r="D26" t="str">
        <f t="shared" si="2"/>
        <v>ts_024</v>
      </c>
      <c r="E26" t="str">
        <f t="shared" si="3"/>
        <v>bas</v>
      </c>
      <c r="R26" s="6">
        <f t="shared" si="4"/>
        <v>4</v>
      </c>
    </row>
    <row r="27" spans="1:18" ht="15" customHeight="1" x14ac:dyDescent="0.45">
      <c r="A27">
        <v>5</v>
      </c>
      <c r="B27" t="str">
        <f t="shared" si="0"/>
        <v>3nz.i24</v>
      </c>
      <c r="C27">
        <f t="shared" si="1"/>
        <v>19</v>
      </c>
      <c r="D27" t="str">
        <f t="shared" si="2"/>
        <v>ts_024</v>
      </c>
      <c r="E27" t="str">
        <f t="shared" si="3"/>
        <v>nz</v>
      </c>
      <c r="R27" s="6">
        <f t="shared" si="4"/>
        <v>4</v>
      </c>
    </row>
    <row r="28" spans="1:18" ht="14.65" customHeight="1" x14ac:dyDescent="0.45">
      <c r="A28">
        <v>5</v>
      </c>
      <c r="B28" t="str">
        <f t="shared" si="0"/>
        <v>a 3 deg.i24</v>
      </c>
      <c r="C28">
        <f t="shared" si="1"/>
        <v>20</v>
      </c>
      <c r="D28" t="str">
        <f t="shared" si="2"/>
        <v>ts_024</v>
      </c>
      <c r="E28" t="str">
        <f t="shared" si="3"/>
        <v>C7</v>
      </c>
      <c r="R28" s="6">
        <f t="shared" si="4"/>
        <v>4</v>
      </c>
    </row>
    <row r="29" spans="1:18" ht="15" customHeight="1" x14ac:dyDescent="0.45">
      <c r="A29">
        <v>5</v>
      </c>
      <c r="B29" t="str">
        <f t="shared" si="0"/>
        <v>1tui.h48</v>
      </c>
      <c r="C29">
        <f t="shared" si="1"/>
        <v>21</v>
      </c>
      <c r="D29" t="str">
        <f t="shared" si="2"/>
        <v>ts_048</v>
      </c>
      <c r="E29" t="str">
        <f t="shared" si="3"/>
        <v>tui</v>
      </c>
      <c r="R29" s="6">
        <f t="shared" si="4"/>
        <v>5</v>
      </c>
    </row>
    <row r="30" spans="1:18" ht="14.65" customHeight="1" x14ac:dyDescent="0.45">
      <c r="A30">
        <v>5</v>
      </c>
      <c r="B30" t="str">
        <f t="shared" si="0"/>
        <v>2kea.h48</v>
      </c>
      <c r="C30">
        <f t="shared" si="1"/>
        <v>22</v>
      </c>
      <c r="D30" t="str">
        <f t="shared" si="2"/>
        <v>ts_048</v>
      </c>
      <c r="E30" t="str">
        <f t="shared" si="3"/>
        <v>kea</v>
      </c>
      <c r="R30" s="6">
        <f t="shared" si="4"/>
        <v>5</v>
      </c>
    </row>
    <row r="31" spans="1:18" x14ac:dyDescent="0.45">
      <c r="A31">
        <v>5</v>
      </c>
      <c r="B31" t="str">
        <f t="shared" si="0"/>
        <v>0bas.h48</v>
      </c>
      <c r="C31">
        <f t="shared" si="1"/>
        <v>23</v>
      </c>
      <c r="D31" t="str">
        <f t="shared" si="2"/>
        <v>ts_048</v>
      </c>
      <c r="E31" t="str">
        <f t="shared" si="3"/>
        <v>bas</v>
      </c>
      <c r="R31" s="6">
        <f t="shared" si="4"/>
        <v>5</v>
      </c>
    </row>
    <row r="32" spans="1:18" x14ac:dyDescent="0.45">
      <c r="A32">
        <v>5</v>
      </c>
      <c r="B32" t="str">
        <f t="shared" si="0"/>
        <v>3nz.h48</v>
      </c>
      <c r="C32">
        <f t="shared" si="1"/>
        <v>24</v>
      </c>
      <c r="D32" t="str">
        <f t="shared" si="2"/>
        <v>ts_048</v>
      </c>
      <c r="E32" t="str">
        <f t="shared" si="3"/>
        <v>nz</v>
      </c>
      <c r="R32" s="6">
        <f t="shared" si="4"/>
        <v>5</v>
      </c>
    </row>
    <row r="33" spans="1:18" x14ac:dyDescent="0.45">
      <c r="A33">
        <v>5</v>
      </c>
      <c r="B33" t="str">
        <f t="shared" si="0"/>
        <v>a 3 deg.h48</v>
      </c>
      <c r="C33">
        <f t="shared" si="1"/>
        <v>25</v>
      </c>
      <c r="D33" t="str">
        <f t="shared" si="2"/>
        <v>ts_048</v>
      </c>
      <c r="E33" t="str">
        <f t="shared" si="3"/>
        <v>C7</v>
      </c>
      <c r="R33" s="6">
        <f t="shared" si="4"/>
        <v>5</v>
      </c>
    </row>
    <row r="34" spans="1:18" x14ac:dyDescent="0.45">
      <c r="A34">
        <v>5</v>
      </c>
      <c r="B34" t="str">
        <f t="shared" si="0"/>
        <v>1tui.g64</v>
      </c>
      <c r="C34">
        <f t="shared" si="1"/>
        <v>26</v>
      </c>
      <c r="D34" t="str">
        <f t="shared" si="2"/>
        <v>ts_064</v>
      </c>
      <c r="E34" t="str">
        <f t="shared" si="3"/>
        <v>tui</v>
      </c>
      <c r="R34" s="6">
        <f t="shared" si="4"/>
        <v>6</v>
      </c>
    </row>
    <row r="35" spans="1:18" x14ac:dyDescent="0.45">
      <c r="A35">
        <v>5</v>
      </c>
      <c r="B35" t="str">
        <f t="shared" si="0"/>
        <v>2kea.g64</v>
      </c>
      <c r="C35">
        <f t="shared" si="1"/>
        <v>27</v>
      </c>
      <c r="D35" t="str">
        <f t="shared" si="2"/>
        <v>ts_064</v>
      </c>
      <c r="E35" t="str">
        <f t="shared" si="3"/>
        <v>kea</v>
      </c>
      <c r="R35" s="6">
        <f t="shared" si="4"/>
        <v>6</v>
      </c>
    </row>
    <row r="36" spans="1:18" x14ac:dyDescent="0.45">
      <c r="A36">
        <v>5</v>
      </c>
      <c r="B36" t="str">
        <f t="shared" si="0"/>
        <v>0bas.g64</v>
      </c>
      <c r="C36">
        <f t="shared" si="1"/>
        <v>28</v>
      </c>
      <c r="D36" t="str">
        <f t="shared" si="2"/>
        <v>ts_064</v>
      </c>
      <c r="E36" t="str">
        <f t="shared" si="3"/>
        <v>bas</v>
      </c>
      <c r="R36" s="6">
        <f t="shared" si="4"/>
        <v>6</v>
      </c>
    </row>
    <row r="37" spans="1:18" x14ac:dyDescent="0.45">
      <c r="A37">
        <v>5</v>
      </c>
      <c r="B37" t="str">
        <f t="shared" si="0"/>
        <v>3nz.g64</v>
      </c>
      <c r="C37">
        <f t="shared" si="1"/>
        <v>29</v>
      </c>
      <c r="D37" t="str">
        <f t="shared" si="2"/>
        <v>ts_064</v>
      </c>
      <c r="E37" t="str">
        <f t="shared" si="3"/>
        <v>nz</v>
      </c>
      <c r="R37" s="6">
        <f t="shared" si="4"/>
        <v>6</v>
      </c>
    </row>
    <row r="38" spans="1:18" x14ac:dyDescent="0.45">
      <c r="A38">
        <v>5</v>
      </c>
      <c r="B38" t="str">
        <f t="shared" si="0"/>
        <v>a 3 deg.g64</v>
      </c>
      <c r="C38">
        <f t="shared" si="1"/>
        <v>30</v>
      </c>
      <c r="D38" t="str">
        <f t="shared" si="2"/>
        <v>ts_064</v>
      </c>
      <c r="E38" t="str">
        <f t="shared" si="3"/>
        <v>C7</v>
      </c>
      <c r="R38" s="6">
        <f t="shared" si="4"/>
        <v>6</v>
      </c>
    </row>
    <row r="39" spans="1:18" x14ac:dyDescent="0.45">
      <c r="A39">
        <v>5</v>
      </c>
      <c r="B39" t="str">
        <f t="shared" si="0"/>
        <v>1tui.f96p50</v>
      </c>
      <c r="C39">
        <f t="shared" si="1"/>
        <v>31</v>
      </c>
      <c r="D39" t="str">
        <f t="shared" si="2"/>
        <v>ts_096P50</v>
      </c>
      <c r="E39" t="str">
        <f t="shared" si="3"/>
        <v>tui</v>
      </c>
      <c r="R39" s="6">
        <f t="shared" si="4"/>
        <v>7</v>
      </c>
    </row>
    <row r="40" spans="1:18" x14ac:dyDescent="0.45">
      <c r="A40">
        <v>5</v>
      </c>
      <c r="B40" t="str">
        <f t="shared" si="0"/>
        <v>2kea.f96p50</v>
      </c>
      <c r="C40">
        <f t="shared" si="1"/>
        <v>32</v>
      </c>
      <c r="D40" t="str">
        <f t="shared" si="2"/>
        <v>ts_096P50</v>
      </c>
      <c r="E40" t="str">
        <f t="shared" si="3"/>
        <v>kea</v>
      </c>
      <c r="R40" s="6">
        <f t="shared" si="4"/>
        <v>7</v>
      </c>
    </row>
    <row r="41" spans="1:18" x14ac:dyDescent="0.45">
      <c r="A41">
        <v>5</v>
      </c>
      <c r="B41" t="str">
        <f t="shared" ref="B41:B73" si="5">VLOOKUP(E41,$S$9:$T$15,2,FALSE)&amp;"."&amp;VLOOKUP(D41,$P$9:$Q$24,2,FALSE)</f>
        <v>0bas.f96p50</v>
      </c>
      <c r="C41">
        <f t="shared" si="1"/>
        <v>33</v>
      </c>
      <c r="D41" t="str">
        <f t="shared" si="2"/>
        <v>ts_096P50</v>
      </c>
      <c r="E41" t="str">
        <f t="shared" si="3"/>
        <v>bas</v>
      </c>
      <c r="R41" s="6">
        <f t="shared" si="4"/>
        <v>7</v>
      </c>
    </row>
    <row r="42" spans="1:18" x14ac:dyDescent="0.45">
      <c r="A42">
        <v>5</v>
      </c>
      <c r="B42" t="str">
        <f t="shared" si="5"/>
        <v>3nz.f96p50</v>
      </c>
      <c r="C42">
        <f t="shared" si="1"/>
        <v>34</v>
      </c>
      <c r="D42" t="str">
        <f t="shared" si="2"/>
        <v>ts_096P50</v>
      </c>
      <c r="E42" t="str">
        <f t="shared" si="3"/>
        <v>nz</v>
      </c>
      <c r="R42" s="6">
        <f t="shared" si="4"/>
        <v>7</v>
      </c>
    </row>
    <row r="43" spans="1:18" x14ac:dyDescent="0.45">
      <c r="A43">
        <v>5</v>
      </c>
      <c r="B43" t="str">
        <f t="shared" si="5"/>
        <v>a 3 deg.f96p50</v>
      </c>
      <c r="C43">
        <f t="shared" si="1"/>
        <v>35</v>
      </c>
      <c r="D43" t="str">
        <f t="shared" si="2"/>
        <v>ts_096P50</v>
      </c>
      <c r="E43" t="str">
        <f t="shared" si="3"/>
        <v>C7</v>
      </c>
      <c r="R43" s="6">
        <f t="shared" si="4"/>
        <v>7</v>
      </c>
    </row>
    <row r="44" spans="1:18" x14ac:dyDescent="0.45">
      <c r="A44">
        <v>5</v>
      </c>
      <c r="B44" t="str">
        <f t="shared" si="5"/>
        <v>1tui.f96p10</v>
      </c>
      <c r="C44">
        <f t="shared" si="1"/>
        <v>36</v>
      </c>
      <c r="D44" t="str">
        <f t="shared" si="2"/>
        <v>ts_096P10</v>
      </c>
      <c r="E44" t="str">
        <f t="shared" si="3"/>
        <v>tui</v>
      </c>
      <c r="R44" s="6">
        <f t="shared" si="4"/>
        <v>8</v>
      </c>
    </row>
    <row r="45" spans="1:18" x14ac:dyDescent="0.45">
      <c r="A45">
        <v>5</v>
      </c>
      <c r="B45" t="str">
        <f t="shared" si="5"/>
        <v>2kea.f96p10</v>
      </c>
      <c r="C45">
        <f t="shared" si="1"/>
        <v>37</v>
      </c>
      <c r="D45" t="str">
        <f t="shared" si="2"/>
        <v>ts_096P10</v>
      </c>
      <c r="E45" t="str">
        <f t="shared" si="3"/>
        <v>kea</v>
      </c>
      <c r="R45" s="6">
        <f t="shared" si="4"/>
        <v>8</v>
      </c>
    </row>
    <row r="46" spans="1:18" x14ac:dyDescent="0.45">
      <c r="A46">
        <v>5</v>
      </c>
      <c r="B46" t="str">
        <f t="shared" si="5"/>
        <v>0bas.f96p10</v>
      </c>
      <c r="C46">
        <f t="shared" si="1"/>
        <v>38</v>
      </c>
      <c r="D46" t="str">
        <f t="shared" si="2"/>
        <v>ts_096P10</v>
      </c>
      <c r="E46" t="str">
        <f t="shared" si="3"/>
        <v>bas</v>
      </c>
      <c r="R46" s="6">
        <f t="shared" si="4"/>
        <v>8</v>
      </c>
    </row>
    <row r="47" spans="1:18" x14ac:dyDescent="0.45">
      <c r="A47">
        <v>5</v>
      </c>
      <c r="B47" t="str">
        <f t="shared" si="5"/>
        <v>3nz.f96p10</v>
      </c>
      <c r="C47">
        <f t="shared" si="1"/>
        <v>39</v>
      </c>
      <c r="D47" t="str">
        <f t="shared" si="2"/>
        <v>ts_096P10</v>
      </c>
      <c r="E47" t="str">
        <f t="shared" si="3"/>
        <v>nz</v>
      </c>
      <c r="R47" s="6">
        <f t="shared" si="4"/>
        <v>8</v>
      </c>
    </row>
    <row r="48" spans="1:18" x14ac:dyDescent="0.45">
      <c r="A48">
        <v>5</v>
      </c>
      <c r="B48" t="str">
        <f t="shared" si="5"/>
        <v>a 3 deg.f96p10</v>
      </c>
      <c r="C48">
        <f t="shared" si="1"/>
        <v>40</v>
      </c>
      <c r="D48" t="str">
        <f t="shared" si="2"/>
        <v>ts_096P10</v>
      </c>
      <c r="E48" t="str">
        <f t="shared" si="3"/>
        <v>C7</v>
      </c>
      <c r="R48" s="6">
        <f t="shared" si="4"/>
        <v>8</v>
      </c>
    </row>
    <row r="49" spans="1:18" x14ac:dyDescent="0.45">
      <c r="A49">
        <v>5</v>
      </c>
      <c r="B49" t="str">
        <f t="shared" si="5"/>
        <v>1tui.f96p90</v>
      </c>
      <c r="C49">
        <f t="shared" si="1"/>
        <v>41</v>
      </c>
      <c r="D49" t="str">
        <f t="shared" si="2"/>
        <v>ts_096P90</v>
      </c>
      <c r="E49" t="str">
        <f t="shared" si="3"/>
        <v>tui</v>
      </c>
      <c r="R49" s="6">
        <f t="shared" si="4"/>
        <v>9</v>
      </c>
    </row>
    <row r="50" spans="1:18" x14ac:dyDescent="0.45">
      <c r="A50">
        <v>5</v>
      </c>
      <c r="B50" t="str">
        <f t="shared" si="5"/>
        <v>2kea.f96p90</v>
      </c>
      <c r="C50">
        <f t="shared" si="1"/>
        <v>42</v>
      </c>
      <c r="D50" t="str">
        <f t="shared" si="2"/>
        <v>ts_096P90</v>
      </c>
      <c r="E50" t="str">
        <f t="shared" si="3"/>
        <v>kea</v>
      </c>
      <c r="R50" s="6">
        <f t="shared" si="4"/>
        <v>9</v>
      </c>
    </row>
    <row r="51" spans="1:18" x14ac:dyDescent="0.45">
      <c r="A51">
        <v>5</v>
      </c>
      <c r="B51" t="str">
        <f t="shared" si="5"/>
        <v>0bas.f96p90</v>
      </c>
      <c r="C51">
        <f t="shared" si="1"/>
        <v>43</v>
      </c>
      <c r="D51" t="str">
        <f t="shared" si="2"/>
        <v>ts_096P90</v>
      </c>
      <c r="E51" t="str">
        <f t="shared" si="3"/>
        <v>bas</v>
      </c>
      <c r="R51" s="6">
        <f t="shared" si="4"/>
        <v>9</v>
      </c>
    </row>
    <row r="52" spans="1:18" x14ac:dyDescent="0.45">
      <c r="A52">
        <v>5</v>
      </c>
      <c r="B52" t="str">
        <f t="shared" si="5"/>
        <v>3nz.f96p90</v>
      </c>
      <c r="C52">
        <f t="shared" si="1"/>
        <v>44</v>
      </c>
      <c r="D52" t="str">
        <f t="shared" si="2"/>
        <v>ts_096P90</v>
      </c>
      <c r="E52" t="str">
        <f t="shared" si="3"/>
        <v>nz</v>
      </c>
      <c r="R52" s="6">
        <f t="shared" si="4"/>
        <v>9</v>
      </c>
    </row>
    <row r="53" spans="1:18" x14ac:dyDescent="0.45">
      <c r="A53">
        <v>5</v>
      </c>
      <c r="B53" t="str">
        <f t="shared" si="5"/>
        <v>a 3 deg.f96p90</v>
      </c>
      <c r="C53">
        <f t="shared" si="1"/>
        <v>45</v>
      </c>
      <c r="D53" t="str">
        <f t="shared" si="2"/>
        <v>ts_096P90</v>
      </c>
      <c r="E53" t="str">
        <f t="shared" si="3"/>
        <v>C7</v>
      </c>
      <c r="R53" s="6">
        <f t="shared" si="4"/>
        <v>9</v>
      </c>
    </row>
    <row r="54" spans="1:18" x14ac:dyDescent="0.45">
      <c r="A54">
        <v>5</v>
      </c>
      <c r="B54" t="str">
        <f t="shared" si="5"/>
        <v>1tui.e3d</v>
      </c>
      <c r="C54">
        <f t="shared" si="1"/>
        <v>46</v>
      </c>
      <c r="D54" t="str">
        <f t="shared" si="2"/>
        <v>s1p1v1_d</v>
      </c>
      <c r="E54" t="str">
        <f t="shared" si="3"/>
        <v>tui</v>
      </c>
      <c r="R54" s="6">
        <f t="shared" si="4"/>
        <v>10</v>
      </c>
    </row>
    <row r="55" spans="1:18" x14ac:dyDescent="0.45">
      <c r="A55">
        <v>5</v>
      </c>
      <c r="B55" t="str">
        <f t="shared" si="5"/>
        <v>2kea.e3d</v>
      </c>
      <c r="C55">
        <f t="shared" si="1"/>
        <v>47</v>
      </c>
      <c r="D55" t="str">
        <f t="shared" si="2"/>
        <v>s1p1v1_d</v>
      </c>
      <c r="E55" t="str">
        <f t="shared" si="3"/>
        <v>kea</v>
      </c>
      <c r="R55" s="6">
        <f t="shared" si="4"/>
        <v>10</v>
      </c>
    </row>
    <row r="56" spans="1:18" x14ac:dyDescent="0.45">
      <c r="A56">
        <v>5</v>
      </c>
      <c r="B56" t="str">
        <f t="shared" si="5"/>
        <v>0bas.e3d</v>
      </c>
      <c r="C56">
        <f t="shared" si="1"/>
        <v>48</v>
      </c>
      <c r="D56" t="str">
        <f t="shared" si="2"/>
        <v>s1p1v1_d</v>
      </c>
      <c r="E56" t="str">
        <f t="shared" si="3"/>
        <v>bas</v>
      </c>
      <c r="R56" s="6">
        <f t="shared" si="4"/>
        <v>10</v>
      </c>
    </row>
    <row r="57" spans="1:18" x14ac:dyDescent="0.45">
      <c r="A57">
        <v>5</v>
      </c>
      <c r="B57" t="str">
        <f t="shared" si="5"/>
        <v>3nz.e3d</v>
      </c>
      <c r="C57">
        <f t="shared" si="1"/>
        <v>49</v>
      </c>
      <c r="D57" t="str">
        <f t="shared" si="2"/>
        <v>s1p1v1_d</v>
      </c>
      <c r="E57" t="str">
        <f t="shared" si="3"/>
        <v>nz</v>
      </c>
      <c r="R57" s="6">
        <f t="shared" si="4"/>
        <v>10</v>
      </c>
    </row>
    <row r="58" spans="1:18" x14ac:dyDescent="0.45">
      <c r="A58">
        <v>5</v>
      </c>
      <c r="B58" t="str">
        <f t="shared" si="5"/>
        <v>a 3 deg.e3d</v>
      </c>
      <c r="C58">
        <f t="shared" si="1"/>
        <v>50</v>
      </c>
      <c r="D58" t="str">
        <f t="shared" si="2"/>
        <v>s1p1v1_d</v>
      </c>
      <c r="E58" t="str">
        <f t="shared" si="3"/>
        <v>C7</v>
      </c>
      <c r="R58" s="6">
        <f t="shared" si="4"/>
        <v>10</v>
      </c>
    </row>
    <row r="59" spans="1:18" x14ac:dyDescent="0.45">
      <c r="A59">
        <v>5</v>
      </c>
      <c r="B59" t="str">
        <f t="shared" si="5"/>
        <v>1tui.d9d</v>
      </c>
      <c r="C59">
        <f t="shared" si="1"/>
        <v>51</v>
      </c>
      <c r="D59" t="str">
        <f t="shared" si="2"/>
        <v>s3p3v3_d</v>
      </c>
      <c r="E59" t="str">
        <f t="shared" si="3"/>
        <v>tui</v>
      </c>
      <c r="R59" s="6">
        <f t="shared" si="4"/>
        <v>11</v>
      </c>
    </row>
    <row r="60" spans="1:18" x14ac:dyDescent="0.45">
      <c r="A60">
        <v>5</v>
      </c>
      <c r="B60" t="str">
        <f t="shared" si="5"/>
        <v>2kea.d9d</v>
      </c>
      <c r="C60">
        <f t="shared" si="1"/>
        <v>52</v>
      </c>
      <c r="D60" t="str">
        <f t="shared" si="2"/>
        <v>s3p3v3_d</v>
      </c>
      <c r="E60" t="str">
        <f t="shared" si="3"/>
        <v>kea</v>
      </c>
      <c r="R60" s="6">
        <f t="shared" si="4"/>
        <v>11</v>
      </c>
    </row>
    <row r="61" spans="1:18" x14ac:dyDescent="0.45">
      <c r="A61">
        <v>5</v>
      </c>
      <c r="B61" t="str">
        <f t="shared" si="5"/>
        <v>0bas.d9d</v>
      </c>
      <c r="C61">
        <f t="shared" si="1"/>
        <v>53</v>
      </c>
      <c r="D61" t="str">
        <f t="shared" si="2"/>
        <v>s3p3v3_d</v>
      </c>
      <c r="E61" t="str">
        <f t="shared" si="3"/>
        <v>bas</v>
      </c>
      <c r="R61" s="6">
        <f t="shared" si="4"/>
        <v>11</v>
      </c>
    </row>
    <row r="62" spans="1:18" x14ac:dyDescent="0.45">
      <c r="A62">
        <v>5</v>
      </c>
      <c r="B62" t="str">
        <f t="shared" si="5"/>
        <v>3nz.d9d</v>
      </c>
      <c r="C62">
        <f t="shared" si="1"/>
        <v>54</v>
      </c>
      <c r="D62" t="str">
        <f t="shared" si="2"/>
        <v>s3p3v3_d</v>
      </c>
      <c r="E62" t="str">
        <f t="shared" si="3"/>
        <v>nz</v>
      </c>
      <c r="R62" s="6">
        <f t="shared" si="4"/>
        <v>11</v>
      </c>
    </row>
    <row r="63" spans="1:18" x14ac:dyDescent="0.45">
      <c r="A63">
        <v>5</v>
      </c>
      <c r="B63" t="str">
        <f t="shared" si="5"/>
        <v>a 3 deg.d9d</v>
      </c>
      <c r="C63">
        <f t="shared" si="1"/>
        <v>55</v>
      </c>
      <c r="D63" t="str">
        <f t="shared" si="2"/>
        <v>s3p3v3_d</v>
      </c>
      <c r="E63" t="str">
        <f t="shared" si="3"/>
        <v>C7</v>
      </c>
      <c r="R63" s="6">
        <f t="shared" si="4"/>
        <v>11</v>
      </c>
    </row>
    <row r="64" spans="1:18" x14ac:dyDescent="0.45">
      <c r="A64">
        <v>5</v>
      </c>
      <c r="B64" t="str">
        <f t="shared" si="5"/>
        <v>1tui.c15d</v>
      </c>
      <c r="C64">
        <f t="shared" si="1"/>
        <v>56</v>
      </c>
      <c r="D64" t="str">
        <f t="shared" ref="D64:D78" si="6">VLOOKUP(R64,$O$9:$P$22,2,FALSE)</f>
        <v>s5p5v5_d</v>
      </c>
      <c r="E64" t="str">
        <f t="shared" si="3"/>
        <v>tui</v>
      </c>
      <c r="R64" s="6">
        <f t="shared" si="4"/>
        <v>12</v>
      </c>
    </row>
    <row r="65" spans="1:18" x14ac:dyDescent="0.45">
      <c r="A65">
        <v>5</v>
      </c>
      <c r="B65" t="str">
        <f t="shared" si="5"/>
        <v>2kea.c15d</v>
      </c>
      <c r="C65">
        <f t="shared" si="1"/>
        <v>57</v>
      </c>
      <c r="D65" t="str">
        <f t="shared" si="6"/>
        <v>s5p5v5_d</v>
      </c>
      <c r="E65" t="str">
        <f t="shared" si="3"/>
        <v>kea</v>
      </c>
      <c r="R65" s="6">
        <f t="shared" si="4"/>
        <v>12</v>
      </c>
    </row>
    <row r="66" spans="1:18" x14ac:dyDescent="0.45">
      <c r="A66">
        <v>5</v>
      </c>
      <c r="B66" t="str">
        <f t="shared" si="5"/>
        <v>0bas.c15d</v>
      </c>
      <c r="C66">
        <f t="shared" si="1"/>
        <v>58</v>
      </c>
      <c r="D66" t="str">
        <f t="shared" si="6"/>
        <v>s5p5v5_d</v>
      </c>
      <c r="E66" t="str">
        <f t="shared" si="3"/>
        <v>bas</v>
      </c>
      <c r="R66" s="6">
        <f t="shared" si="4"/>
        <v>12</v>
      </c>
    </row>
    <row r="67" spans="1:18" x14ac:dyDescent="0.45">
      <c r="A67">
        <v>5</v>
      </c>
      <c r="B67" t="str">
        <f t="shared" si="5"/>
        <v>3nz.c15d</v>
      </c>
      <c r="C67">
        <f t="shared" si="1"/>
        <v>59</v>
      </c>
      <c r="D67" t="str">
        <f t="shared" si="6"/>
        <v>s5p5v5_d</v>
      </c>
      <c r="E67" t="str">
        <f t="shared" si="3"/>
        <v>nz</v>
      </c>
      <c r="R67" s="6">
        <f t="shared" si="4"/>
        <v>12</v>
      </c>
    </row>
    <row r="68" spans="1:18" x14ac:dyDescent="0.45">
      <c r="A68">
        <v>5</v>
      </c>
      <c r="B68" t="str">
        <f t="shared" si="5"/>
        <v>a 3 deg.c15d</v>
      </c>
      <c r="C68">
        <f t="shared" si="1"/>
        <v>60</v>
      </c>
      <c r="D68" t="str">
        <f t="shared" si="6"/>
        <v>s5p5v5_d</v>
      </c>
      <c r="E68" t="str">
        <f t="shared" si="3"/>
        <v>C7</v>
      </c>
      <c r="R68" s="6">
        <f t="shared" si="4"/>
        <v>12</v>
      </c>
    </row>
    <row r="69" spans="1:18" x14ac:dyDescent="0.45">
      <c r="A69">
        <v>5</v>
      </c>
      <c r="B69" t="str">
        <f t="shared" si="5"/>
        <v>1tui.b2w</v>
      </c>
      <c r="C69">
        <f t="shared" si="1"/>
        <v>61</v>
      </c>
      <c r="D69" t="str">
        <f t="shared" si="6"/>
        <v>s2_w</v>
      </c>
      <c r="E69" t="str">
        <f t="shared" si="3"/>
        <v>tui</v>
      </c>
      <c r="R69" s="6">
        <f t="shared" si="4"/>
        <v>13</v>
      </c>
    </row>
    <row r="70" spans="1:18" x14ac:dyDescent="0.45">
      <c r="A70">
        <v>5</v>
      </c>
      <c r="B70" t="str">
        <f t="shared" si="5"/>
        <v>2kea.b2w</v>
      </c>
      <c r="C70">
        <f t="shared" si="1"/>
        <v>62</v>
      </c>
      <c r="D70" t="str">
        <f t="shared" si="6"/>
        <v>s2_w</v>
      </c>
      <c r="E70" t="str">
        <f t="shared" si="3"/>
        <v>kea</v>
      </c>
      <c r="R70" s="6">
        <f t="shared" si="4"/>
        <v>13</v>
      </c>
    </row>
    <row r="71" spans="1:18" x14ac:dyDescent="0.45">
      <c r="A71">
        <v>5</v>
      </c>
      <c r="B71" t="str">
        <f t="shared" si="5"/>
        <v>0bas.b2w</v>
      </c>
      <c r="C71">
        <f t="shared" si="1"/>
        <v>63</v>
      </c>
      <c r="D71" t="str">
        <f t="shared" si="6"/>
        <v>s2_w</v>
      </c>
      <c r="E71" t="str">
        <f t="shared" si="3"/>
        <v>bas</v>
      </c>
      <c r="R71" s="6">
        <f t="shared" si="4"/>
        <v>13</v>
      </c>
    </row>
    <row r="72" spans="1:18" x14ac:dyDescent="0.45">
      <c r="A72">
        <v>5</v>
      </c>
      <c r="B72" t="str">
        <f t="shared" si="5"/>
        <v>3nz.b2w</v>
      </c>
      <c r="C72">
        <f t="shared" si="1"/>
        <v>64</v>
      </c>
      <c r="D72" t="str">
        <f t="shared" si="6"/>
        <v>s2_w</v>
      </c>
      <c r="E72" t="str">
        <f t="shared" si="3"/>
        <v>nz</v>
      </c>
      <c r="R72" s="6">
        <f t="shared" si="4"/>
        <v>13</v>
      </c>
    </row>
    <row r="73" spans="1:18" x14ac:dyDescent="0.45">
      <c r="A73">
        <v>5</v>
      </c>
      <c r="B73" t="str">
        <f t="shared" si="5"/>
        <v>a 3 deg.b2w</v>
      </c>
      <c r="C73">
        <f t="shared" si="1"/>
        <v>65</v>
      </c>
      <c r="D73" t="str">
        <f t="shared" si="6"/>
        <v>s2_w</v>
      </c>
      <c r="E73" t="str">
        <f t="shared" si="3"/>
        <v>C7</v>
      </c>
      <c r="R73" s="6">
        <f t="shared" si="4"/>
        <v>13</v>
      </c>
    </row>
    <row r="74" spans="1:18" x14ac:dyDescent="0.45">
      <c r="A74">
        <v>5</v>
      </c>
      <c r="B74" t="str">
        <f t="shared" ref="B74:B78" si="7">VLOOKUP(E74,$S$9:$T$15,2,FALSE)&amp;"."&amp;VLOOKUP(D74,$P$9:$Q$24,2,FALSE)</f>
        <v>1tui.a2w2d</v>
      </c>
      <c r="C74">
        <f t="shared" si="1"/>
        <v>66</v>
      </c>
      <c r="D74" t="str">
        <f t="shared" si="6"/>
        <v>s2_w_p2_d</v>
      </c>
      <c r="E74" t="str">
        <f t="shared" si="3"/>
        <v>tui</v>
      </c>
      <c r="R74" s="6">
        <f t="shared" si="4"/>
        <v>14</v>
      </c>
    </row>
    <row r="75" spans="1:18" x14ac:dyDescent="0.45">
      <c r="A75">
        <v>5</v>
      </c>
      <c r="B75" t="str">
        <f t="shared" si="7"/>
        <v>2kea.a2w2d</v>
      </c>
      <c r="C75">
        <f t="shared" ref="C75:C78" si="8">C74+1</f>
        <v>67</v>
      </c>
      <c r="D75" t="str">
        <f t="shared" si="6"/>
        <v>s2_w_p2_d</v>
      </c>
      <c r="E75" t="str">
        <f t="shared" si="3"/>
        <v>kea</v>
      </c>
      <c r="R75" s="6">
        <f t="shared" si="4"/>
        <v>14</v>
      </c>
    </row>
    <row r="76" spans="1:18" x14ac:dyDescent="0.45">
      <c r="A76">
        <v>5</v>
      </c>
      <c r="B76" t="str">
        <f t="shared" si="7"/>
        <v>0bas.a2w2d</v>
      </c>
      <c r="C76">
        <f t="shared" si="8"/>
        <v>68</v>
      </c>
      <c r="D76" t="str">
        <f t="shared" si="6"/>
        <v>s2_w_p2_d</v>
      </c>
      <c r="E76" t="str">
        <f t="shared" si="3"/>
        <v>bas</v>
      </c>
      <c r="R76" s="6">
        <f t="shared" si="4"/>
        <v>14</v>
      </c>
    </row>
    <row r="77" spans="1:18" x14ac:dyDescent="0.45">
      <c r="A77">
        <v>5</v>
      </c>
      <c r="B77" t="str">
        <f t="shared" si="7"/>
        <v>3nz.a2w2d</v>
      </c>
      <c r="C77">
        <f t="shared" si="8"/>
        <v>69</v>
      </c>
      <c r="D77" t="str">
        <f t="shared" si="6"/>
        <v>s2_w_p2_d</v>
      </c>
      <c r="E77" t="str">
        <f t="shared" si="3"/>
        <v>nz</v>
      </c>
      <c r="R77" s="6">
        <f t="shared" si="4"/>
        <v>14</v>
      </c>
    </row>
    <row r="78" spans="1:18" x14ac:dyDescent="0.45">
      <c r="A78">
        <v>5</v>
      </c>
      <c r="B78" t="str">
        <f t="shared" si="7"/>
        <v>a 3 deg.a2w2d</v>
      </c>
      <c r="C78">
        <f t="shared" si="8"/>
        <v>70</v>
      </c>
      <c r="D78" t="str">
        <f t="shared" si="6"/>
        <v>s2_w_p2_d</v>
      </c>
      <c r="E78" t="str">
        <f t="shared" si="3"/>
        <v>C7</v>
      </c>
      <c r="R78" s="6">
        <f t="shared" si="4"/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ACD20-F5EA-4DF1-A223-48312D4C067D}">
  <dimension ref="A1:BU1494"/>
  <sheetViews>
    <sheetView workbookViewId="0"/>
  </sheetViews>
  <sheetFormatPr defaultRowHeight="14.25" x14ac:dyDescent="0.45"/>
  <cols>
    <col min="1" max="1" width="4.53125" bestFit="1" customWidth="1"/>
    <col min="3" max="3" width="12.9296875" bestFit="1" customWidth="1"/>
    <col min="4" max="4" width="11.06640625" bestFit="1" customWidth="1"/>
    <col min="5" max="5" width="23.86328125" bestFit="1" customWidth="1"/>
    <col min="6" max="6" width="14.9296875" bestFit="1" customWidth="1"/>
    <col min="7" max="7" width="10.19921875" bestFit="1" customWidth="1"/>
    <col min="8" max="8" width="7.33203125" bestFit="1" customWidth="1"/>
    <col min="9" max="9" width="10.46484375" bestFit="1" customWidth="1"/>
    <col min="10" max="10" width="7.265625" bestFit="1" customWidth="1"/>
    <col min="11" max="11" width="4.265625" bestFit="1" customWidth="1"/>
    <col min="12" max="12" width="7.265625" bestFit="1" customWidth="1"/>
    <col min="13" max="13" width="8.265625" bestFit="1" customWidth="1"/>
    <col min="14" max="18" width="7.265625" bestFit="1" customWidth="1"/>
    <col min="19" max="20" width="8.265625" bestFit="1" customWidth="1"/>
    <col min="21" max="22" width="7.265625" bestFit="1" customWidth="1"/>
    <col min="24" max="24" width="12.1328125" bestFit="1" customWidth="1"/>
    <col min="25" max="25" width="10.46484375" bestFit="1" customWidth="1"/>
    <col min="26" max="26" width="12.6640625" bestFit="1" customWidth="1"/>
    <col min="27" max="27" width="16.59765625" bestFit="1" customWidth="1"/>
    <col min="28" max="28" width="7.73046875" bestFit="1" customWidth="1"/>
    <col min="29" max="29" width="6.06640625" bestFit="1" customWidth="1"/>
    <col min="30" max="30" width="8.6640625" bestFit="1" customWidth="1"/>
    <col min="31" max="31" width="5.796875" bestFit="1" customWidth="1"/>
    <col min="32" max="32" width="3.3984375" bestFit="1" customWidth="1"/>
    <col min="33" max="36" width="5" bestFit="1" customWidth="1"/>
    <col min="37" max="37" width="5.796875" bestFit="1" customWidth="1"/>
    <col min="38" max="38" width="3.3984375" bestFit="1" customWidth="1"/>
    <col min="39" max="42" width="5" bestFit="1" customWidth="1"/>
    <col min="44" max="44" width="12.1328125" bestFit="1" customWidth="1"/>
    <col min="45" max="45" width="10.46484375" bestFit="1" customWidth="1"/>
    <col min="46" max="46" width="25.19921875" bestFit="1" customWidth="1"/>
    <col min="47" max="47" width="14.33203125" bestFit="1" customWidth="1"/>
    <col min="48" max="48" width="16.53125" bestFit="1" customWidth="1"/>
    <col min="49" max="49" width="6.06640625" bestFit="1" customWidth="1"/>
    <col min="50" max="50" width="9.46484375" bestFit="1" customWidth="1"/>
    <col min="51" max="51" width="8.6640625" bestFit="1" customWidth="1"/>
    <col min="52" max="52" width="3.796875" bestFit="1" customWidth="1"/>
    <col min="53" max="53" width="4.265625" bestFit="1" customWidth="1"/>
    <col min="54" max="56" width="4.19921875" bestFit="1" customWidth="1"/>
    <col min="57" max="62" width="5" bestFit="1" customWidth="1"/>
    <col min="63" max="64" width="3.796875" bestFit="1" customWidth="1"/>
    <col min="65" max="73" width="5" bestFit="1" customWidth="1"/>
  </cols>
  <sheetData>
    <row r="1" spans="1:73" ht="14.65" thickBot="1" x14ac:dyDescent="0.5">
      <c r="A1" s="3" t="str">
        <f>VLOOKUP(Veda!$E$5,$E$1:$F$4,2,FALSE)</f>
        <v>kea</v>
      </c>
      <c r="E1" s="6" t="s">
        <v>242</v>
      </c>
      <c r="F1" s="6" t="str">
        <f>E1</f>
        <v>kea</v>
      </c>
      <c r="J1" s="15" t="s">
        <v>242</v>
      </c>
      <c r="K1" s="15" t="s">
        <v>242</v>
      </c>
      <c r="L1" s="15" t="s">
        <v>242</v>
      </c>
      <c r="M1" s="15" t="s">
        <v>242</v>
      </c>
      <c r="N1" s="15" t="s">
        <v>242</v>
      </c>
      <c r="O1" s="15" t="s">
        <v>242</v>
      </c>
      <c r="P1" s="15" t="s">
        <v>242</v>
      </c>
      <c r="Q1" s="15" t="s">
        <v>241</v>
      </c>
      <c r="R1" s="15" t="s">
        <v>241</v>
      </c>
      <c r="S1" s="15" t="s">
        <v>241</v>
      </c>
      <c r="T1" s="15" t="s">
        <v>241</v>
      </c>
      <c r="U1" s="15" t="s">
        <v>241</v>
      </c>
      <c r="V1" s="15" t="s">
        <v>241</v>
      </c>
      <c r="AE1" s="15" t="s">
        <v>242</v>
      </c>
      <c r="AF1" s="15" t="s">
        <v>242</v>
      </c>
      <c r="AG1" s="15" t="s">
        <v>242</v>
      </c>
      <c r="AH1" s="15" t="s">
        <v>242</v>
      </c>
      <c r="AI1" s="15" t="s">
        <v>242</v>
      </c>
      <c r="AJ1" s="15" t="s">
        <v>242</v>
      </c>
      <c r="AK1" s="15" t="s">
        <v>241</v>
      </c>
      <c r="AL1" s="15" t="s">
        <v>241</v>
      </c>
      <c r="AM1" s="15" t="s">
        <v>241</v>
      </c>
      <c r="AN1" s="15" t="s">
        <v>241</v>
      </c>
      <c r="AO1" s="15" t="s">
        <v>241</v>
      </c>
      <c r="AP1" s="15" t="s">
        <v>241</v>
      </c>
      <c r="AZ1" s="15" t="s">
        <v>242</v>
      </c>
      <c r="BA1" s="15" t="s">
        <v>242</v>
      </c>
      <c r="BB1" s="15" t="s">
        <v>242</v>
      </c>
      <c r="BC1" s="15" t="s">
        <v>242</v>
      </c>
      <c r="BD1" s="15" t="s">
        <v>242</v>
      </c>
      <c r="BE1" s="15" t="s">
        <v>242</v>
      </c>
      <c r="BF1" s="15" t="s">
        <v>242</v>
      </c>
      <c r="BG1" s="15" t="s">
        <v>242</v>
      </c>
      <c r="BH1" s="15" t="s">
        <v>242</v>
      </c>
      <c r="BI1" s="15" t="s">
        <v>242</v>
      </c>
      <c r="BJ1" s="15" t="s">
        <v>242</v>
      </c>
      <c r="BK1" s="15" t="s">
        <v>241</v>
      </c>
      <c r="BL1" s="15" t="s">
        <v>241</v>
      </c>
      <c r="BM1" s="15" t="s">
        <v>241</v>
      </c>
      <c r="BN1" s="15" t="s">
        <v>241</v>
      </c>
      <c r="BO1" s="15" t="s">
        <v>241</v>
      </c>
      <c r="BP1" s="15" t="s">
        <v>241</v>
      </c>
      <c r="BQ1" s="15" t="s">
        <v>241</v>
      </c>
      <c r="BR1" s="15" t="s">
        <v>241</v>
      </c>
      <c r="BS1" s="15" t="s">
        <v>241</v>
      </c>
      <c r="BT1" s="15" t="s">
        <v>241</v>
      </c>
      <c r="BU1" s="15" t="s">
        <v>241</v>
      </c>
    </row>
    <row r="2" spans="1:73" ht="14.65" thickTop="1" x14ac:dyDescent="0.45">
      <c r="E2" s="6" t="s">
        <v>241</v>
      </c>
      <c r="F2" s="6" t="str">
        <f t="shared" ref="F2" si="0">E2</f>
        <v>tui</v>
      </c>
      <c r="J2" s="15" t="s">
        <v>248</v>
      </c>
      <c r="K2" s="17">
        <v>0</v>
      </c>
      <c r="L2" s="17">
        <v>2018</v>
      </c>
      <c r="M2" s="17">
        <v>2020</v>
      </c>
      <c r="N2" s="17">
        <v>2030</v>
      </c>
      <c r="O2" s="17">
        <v>2040</v>
      </c>
      <c r="P2" s="15">
        <v>2050</v>
      </c>
      <c r="Q2" s="17" t="s">
        <v>248</v>
      </c>
      <c r="R2" s="17">
        <v>2018</v>
      </c>
      <c r="S2" s="17">
        <v>2021</v>
      </c>
      <c r="T2" s="17">
        <v>2030</v>
      </c>
      <c r="U2" s="17">
        <v>2040</v>
      </c>
      <c r="V2" s="17">
        <v>2050</v>
      </c>
      <c r="AE2" s="15" t="s">
        <v>248</v>
      </c>
      <c r="AF2" s="17">
        <v>0</v>
      </c>
      <c r="AG2" s="17">
        <v>2018</v>
      </c>
      <c r="AH2" s="17">
        <v>2030</v>
      </c>
      <c r="AI2" s="17">
        <v>2040</v>
      </c>
      <c r="AJ2" s="17">
        <v>2050</v>
      </c>
      <c r="AK2" s="15" t="s">
        <v>248</v>
      </c>
      <c r="AL2" s="17">
        <v>0</v>
      </c>
      <c r="AM2" s="17">
        <v>2018</v>
      </c>
      <c r="AN2" s="17">
        <v>2030</v>
      </c>
      <c r="AO2" s="17">
        <v>2040</v>
      </c>
      <c r="AP2" s="17">
        <v>2050</v>
      </c>
      <c r="AZ2" s="17">
        <v>0</v>
      </c>
      <c r="BA2" s="17">
        <v>2018</v>
      </c>
      <c r="BB2" s="17">
        <v>2020</v>
      </c>
      <c r="BC2" s="17">
        <v>2025</v>
      </c>
      <c r="BD2" s="17">
        <v>2030</v>
      </c>
      <c r="BE2" s="17">
        <v>2035</v>
      </c>
      <c r="BF2" s="17">
        <v>2040</v>
      </c>
      <c r="BG2" s="17">
        <v>2045</v>
      </c>
      <c r="BH2" s="17">
        <v>2050</v>
      </c>
      <c r="BI2" s="17">
        <v>2055</v>
      </c>
      <c r="BJ2" s="17">
        <v>2060</v>
      </c>
      <c r="BK2" s="17">
        <v>0</v>
      </c>
      <c r="BL2" s="17">
        <v>2018</v>
      </c>
      <c r="BM2" s="17">
        <v>2020</v>
      </c>
      <c r="BN2" s="17">
        <v>2025</v>
      </c>
      <c r="BO2" s="17">
        <v>2030</v>
      </c>
      <c r="BP2" s="17">
        <v>2035</v>
      </c>
      <c r="BQ2" s="17">
        <v>2040</v>
      </c>
      <c r="BR2" s="17">
        <v>2045</v>
      </c>
      <c r="BS2" s="17">
        <v>2050</v>
      </c>
      <c r="BT2" s="17">
        <v>2055</v>
      </c>
      <c r="BU2" s="17">
        <v>2060</v>
      </c>
    </row>
    <row r="3" spans="1:73" x14ac:dyDescent="0.45">
      <c r="E3" s="6" t="s">
        <v>1155</v>
      </c>
      <c r="F3" s="6" t="s">
        <v>241</v>
      </c>
    </row>
    <row r="4" spans="1:73" x14ac:dyDescent="0.45">
      <c r="E4" s="6" t="s">
        <v>1157</v>
      </c>
      <c r="F4" s="6" t="s">
        <v>242</v>
      </c>
    </row>
    <row r="6" spans="1:73" x14ac:dyDescent="0.45">
      <c r="C6" t="s">
        <v>329</v>
      </c>
      <c r="D6" t="s">
        <v>243</v>
      </c>
      <c r="E6" t="s">
        <v>243</v>
      </c>
      <c r="F6" t="s">
        <v>243</v>
      </c>
      <c r="G6" t="s">
        <v>243</v>
      </c>
      <c r="H6" t="s">
        <v>243</v>
      </c>
      <c r="I6" t="s">
        <v>243</v>
      </c>
      <c r="X6" t="s">
        <v>329</v>
      </c>
      <c r="Y6" t="s">
        <v>243</v>
      </c>
      <c r="Z6" t="s">
        <v>243</v>
      </c>
      <c r="AA6" t="s">
        <v>243</v>
      </c>
      <c r="AB6" t="s">
        <v>243</v>
      </c>
      <c r="AC6" t="s">
        <v>243</v>
      </c>
      <c r="AD6" t="s">
        <v>243</v>
      </c>
      <c r="AR6" t="s">
        <v>329</v>
      </c>
      <c r="AS6" t="s">
        <v>243</v>
      </c>
      <c r="AT6" t="s">
        <v>243</v>
      </c>
      <c r="AU6" t="s">
        <v>243</v>
      </c>
      <c r="AV6" t="s">
        <v>243</v>
      </c>
      <c r="AW6" t="s">
        <v>243</v>
      </c>
      <c r="AY6" t="s">
        <v>243</v>
      </c>
    </row>
    <row r="7" spans="1:73" x14ac:dyDescent="0.45">
      <c r="C7" s="16" t="s">
        <v>244</v>
      </c>
      <c r="D7" s="16" t="s">
        <v>7</v>
      </c>
      <c r="E7" s="16" t="s">
        <v>11</v>
      </c>
      <c r="F7" s="16" t="s">
        <v>245</v>
      </c>
      <c r="G7" s="16" t="s">
        <v>6</v>
      </c>
      <c r="H7" s="16" t="s">
        <v>246</v>
      </c>
      <c r="I7" s="16" t="s">
        <v>247</v>
      </c>
      <c r="J7" s="15" t="str">
        <f>IF($A$1=J1,J2,"*"&amp;COLUMN())</f>
        <v>2015</v>
      </c>
      <c r="K7" s="17">
        <f t="shared" ref="K7:V7" si="1">IF($A$1=K1,K2,"*"&amp;COLUMN())</f>
        <v>0</v>
      </c>
      <c r="L7" s="17">
        <f t="shared" si="1"/>
        <v>2018</v>
      </c>
      <c r="M7" s="17">
        <f t="shared" si="1"/>
        <v>2020</v>
      </c>
      <c r="N7" s="17">
        <f t="shared" si="1"/>
        <v>2030</v>
      </c>
      <c r="O7" s="17">
        <f t="shared" si="1"/>
        <v>2040</v>
      </c>
      <c r="P7" s="15">
        <f t="shared" si="1"/>
        <v>2050</v>
      </c>
      <c r="Q7" s="17" t="str">
        <f t="shared" si="1"/>
        <v>*17</v>
      </c>
      <c r="R7" s="17" t="str">
        <f t="shared" si="1"/>
        <v>*18</v>
      </c>
      <c r="S7" s="17" t="str">
        <f t="shared" si="1"/>
        <v>*19</v>
      </c>
      <c r="T7" s="17" t="str">
        <f t="shared" si="1"/>
        <v>*20</v>
      </c>
      <c r="U7" s="17" t="str">
        <f t="shared" si="1"/>
        <v>*21</v>
      </c>
      <c r="V7" s="17" t="str">
        <f t="shared" si="1"/>
        <v>*22</v>
      </c>
      <c r="X7" s="16" t="s">
        <v>244</v>
      </c>
      <c r="Y7" s="16" t="s">
        <v>7</v>
      </c>
      <c r="Z7" s="16" t="s">
        <v>11</v>
      </c>
      <c r="AA7" s="16" t="s">
        <v>245</v>
      </c>
      <c r="AB7" s="16" t="s">
        <v>6</v>
      </c>
      <c r="AC7" s="16" t="s">
        <v>246</v>
      </c>
      <c r="AD7" s="16" t="s">
        <v>247</v>
      </c>
      <c r="AE7" s="17" t="str">
        <f t="shared" ref="AE7:AP7" si="2">IF($A$1=AE1,AE2,"*"&amp;COLUMN())</f>
        <v>2015</v>
      </c>
      <c r="AF7" s="17">
        <f t="shared" si="2"/>
        <v>0</v>
      </c>
      <c r="AG7" s="17">
        <f t="shared" si="2"/>
        <v>2018</v>
      </c>
      <c r="AH7" s="17">
        <f t="shared" si="2"/>
        <v>2030</v>
      </c>
      <c r="AI7" s="17">
        <f t="shared" si="2"/>
        <v>2040</v>
      </c>
      <c r="AJ7" s="17">
        <f t="shared" si="2"/>
        <v>2050</v>
      </c>
      <c r="AK7" s="17" t="str">
        <f t="shared" si="2"/>
        <v>*37</v>
      </c>
      <c r="AL7" s="17" t="str">
        <f t="shared" si="2"/>
        <v>*38</v>
      </c>
      <c r="AM7" s="17" t="str">
        <f t="shared" si="2"/>
        <v>*39</v>
      </c>
      <c r="AN7" s="17" t="str">
        <f t="shared" si="2"/>
        <v>*40</v>
      </c>
      <c r="AO7" s="17" t="str">
        <f t="shared" si="2"/>
        <v>*41</v>
      </c>
      <c r="AP7" s="17" t="str">
        <f t="shared" si="2"/>
        <v>*42</v>
      </c>
      <c r="AR7" s="16" t="s">
        <v>244</v>
      </c>
      <c r="AS7" s="16" t="s">
        <v>7</v>
      </c>
      <c r="AT7" s="16" t="s">
        <v>11</v>
      </c>
      <c r="AU7" s="16" t="s">
        <v>245</v>
      </c>
      <c r="AV7" s="16" t="s">
        <v>6</v>
      </c>
      <c r="AW7" s="16" t="s">
        <v>246</v>
      </c>
      <c r="AX7" s="16" t="s">
        <v>1108</v>
      </c>
      <c r="AY7" s="16" t="s">
        <v>247</v>
      </c>
      <c r="AZ7" s="17">
        <f t="shared" ref="AZ7:BU7" si="3">IF($A$1=AZ1,AZ2,"*"&amp;COLUMN())</f>
        <v>0</v>
      </c>
      <c r="BA7" s="17">
        <f t="shared" si="3"/>
        <v>2018</v>
      </c>
      <c r="BB7" s="17">
        <f t="shared" si="3"/>
        <v>2020</v>
      </c>
      <c r="BC7" s="17">
        <f t="shared" si="3"/>
        <v>2025</v>
      </c>
      <c r="BD7" s="17">
        <f t="shared" si="3"/>
        <v>2030</v>
      </c>
      <c r="BE7" s="17">
        <f t="shared" si="3"/>
        <v>2035</v>
      </c>
      <c r="BF7" s="17">
        <f t="shared" si="3"/>
        <v>2040</v>
      </c>
      <c r="BG7" s="17">
        <f t="shared" si="3"/>
        <v>2045</v>
      </c>
      <c r="BH7" s="17">
        <f t="shared" si="3"/>
        <v>2050</v>
      </c>
      <c r="BI7" s="17">
        <f t="shared" si="3"/>
        <v>2055</v>
      </c>
      <c r="BJ7" s="17">
        <f t="shared" si="3"/>
        <v>2060</v>
      </c>
      <c r="BK7" s="17" t="str">
        <f t="shared" si="3"/>
        <v>*63</v>
      </c>
      <c r="BL7" s="17" t="str">
        <f t="shared" si="3"/>
        <v>*64</v>
      </c>
      <c r="BM7" s="17" t="str">
        <f t="shared" si="3"/>
        <v>*65</v>
      </c>
      <c r="BN7" s="17" t="str">
        <f t="shared" si="3"/>
        <v>*66</v>
      </c>
      <c r="BO7" s="17" t="str">
        <f t="shared" si="3"/>
        <v>*67</v>
      </c>
      <c r="BP7" s="17" t="str">
        <f t="shared" si="3"/>
        <v>*68</v>
      </c>
      <c r="BQ7" s="17" t="str">
        <f t="shared" si="3"/>
        <v>*69</v>
      </c>
      <c r="BR7" s="17" t="str">
        <f t="shared" si="3"/>
        <v>*70</v>
      </c>
      <c r="BS7" s="17" t="str">
        <f t="shared" si="3"/>
        <v>*71</v>
      </c>
      <c r="BT7" s="17" t="str">
        <f t="shared" si="3"/>
        <v>*72</v>
      </c>
      <c r="BU7" s="17" t="str">
        <f t="shared" si="3"/>
        <v>*73</v>
      </c>
    </row>
    <row r="8" spans="1:73" x14ac:dyDescent="0.45">
      <c r="C8" s="15" t="s">
        <v>249</v>
      </c>
      <c r="D8" s="15" t="s">
        <v>250</v>
      </c>
      <c r="E8" s="15" t="s">
        <v>251</v>
      </c>
      <c r="F8" s="15" t="s">
        <v>252</v>
      </c>
      <c r="G8" s="15"/>
      <c r="H8" s="15"/>
      <c r="I8" s="15"/>
      <c r="J8" s="18"/>
      <c r="K8" s="18"/>
      <c r="L8" s="19">
        <v>0.7</v>
      </c>
      <c r="M8" s="19"/>
      <c r="N8" s="18"/>
      <c r="O8" s="19"/>
      <c r="P8" s="18"/>
      <c r="Q8" s="18"/>
      <c r="R8" s="19">
        <v>0.7</v>
      </c>
      <c r="S8" s="19"/>
      <c r="T8" s="18"/>
      <c r="U8" s="19"/>
      <c r="V8" s="19"/>
      <c r="X8" s="15" t="s">
        <v>249</v>
      </c>
      <c r="Y8" s="15" t="s">
        <v>250</v>
      </c>
      <c r="Z8" s="15" t="s">
        <v>330</v>
      </c>
      <c r="AA8" s="15" t="s">
        <v>252</v>
      </c>
      <c r="AB8" s="15"/>
      <c r="AC8" s="15"/>
      <c r="AD8" s="15"/>
      <c r="AE8" s="18"/>
      <c r="AF8" s="18"/>
      <c r="AG8" s="19">
        <v>1.3286635932044299</v>
      </c>
      <c r="AH8" s="19">
        <v>1.1547044951380601</v>
      </c>
      <c r="AI8" s="18"/>
      <c r="AJ8" s="19">
        <v>1.2533056480065099</v>
      </c>
      <c r="AK8" s="18"/>
      <c r="AL8" s="18"/>
      <c r="AM8" s="19">
        <v>1.3286635932044299</v>
      </c>
      <c r="AN8" s="19">
        <v>1.15239602964443</v>
      </c>
      <c r="AO8" s="18"/>
      <c r="AP8" s="19">
        <v>1.25227260001938</v>
      </c>
      <c r="AR8" s="15" t="s">
        <v>249</v>
      </c>
      <c r="AS8" s="15" t="s">
        <v>12</v>
      </c>
      <c r="AT8" s="15" t="s">
        <v>368</v>
      </c>
      <c r="AU8" s="15"/>
      <c r="AV8" s="15"/>
      <c r="AW8" s="15" t="s">
        <v>320</v>
      </c>
      <c r="AX8" s="15"/>
      <c r="AY8" s="15"/>
      <c r="AZ8" s="19">
        <v>5</v>
      </c>
      <c r="BA8" s="18"/>
      <c r="BB8" s="18"/>
      <c r="BC8" s="18"/>
      <c r="BD8" s="18"/>
      <c r="BE8" s="18"/>
      <c r="BF8" s="19">
        <v>0</v>
      </c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</row>
    <row r="9" spans="1:73" x14ac:dyDescent="0.45">
      <c r="C9" s="15" t="s">
        <v>249</v>
      </c>
      <c r="D9" s="15" t="s">
        <v>250</v>
      </c>
      <c r="E9" s="15" t="s">
        <v>253</v>
      </c>
      <c r="F9" s="15" t="s">
        <v>252</v>
      </c>
      <c r="G9" s="15"/>
      <c r="H9" s="15"/>
      <c r="I9" s="15"/>
      <c r="J9" s="18"/>
      <c r="K9" s="18"/>
      <c r="L9" s="19">
        <v>0.83</v>
      </c>
      <c r="M9" s="18"/>
      <c r="N9" s="18"/>
      <c r="O9" s="18"/>
      <c r="P9" s="18"/>
      <c r="Q9" s="18"/>
      <c r="R9" s="19">
        <v>0.83</v>
      </c>
      <c r="S9" s="18"/>
      <c r="T9" s="18"/>
      <c r="U9" s="18"/>
      <c r="V9" s="18"/>
      <c r="X9" s="15" t="s">
        <v>249</v>
      </c>
      <c r="Y9" s="15" t="s">
        <v>250</v>
      </c>
      <c r="Z9" s="15" t="s">
        <v>331</v>
      </c>
      <c r="AA9" s="15" t="s">
        <v>252</v>
      </c>
      <c r="AB9" s="15"/>
      <c r="AC9" s="15"/>
      <c r="AD9" s="15"/>
      <c r="AE9" s="18"/>
      <c r="AF9" s="18"/>
      <c r="AG9" s="19">
        <v>0.73529411764705899</v>
      </c>
      <c r="AH9" s="18"/>
      <c r="AI9" s="18"/>
      <c r="AJ9" s="18"/>
      <c r="AK9" s="18"/>
      <c r="AL9" s="18"/>
      <c r="AM9" s="19">
        <v>0.73529411764705899</v>
      </c>
      <c r="AN9" s="18"/>
      <c r="AO9" s="18"/>
      <c r="AP9" s="18"/>
      <c r="AR9" s="15" t="s">
        <v>249</v>
      </c>
      <c r="AS9" s="15" t="s">
        <v>369</v>
      </c>
      <c r="AT9" s="15"/>
      <c r="AU9" s="15"/>
      <c r="AV9" s="15" t="s">
        <v>370</v>
      </c>
      <c r="AW9" s="15"/>
      <c r="AX9" s="15"/>
      <c r="AY9" s="15"/>
      <c r="AZ9" s="18"/>
      <c r="BA9" s="18"/>
      <c r="BB9" s="19">
        <v>0.140099215343676</v>
      </c>
      <c r="BC9" s="19">
        <v>0.13075246024977499</v>
      </c>
      <c r="BD9" s="19">
        <v>0.120353043573523</v>
      </c>
      <c r="BE9" s="19">
        <v>0.110400801852234</v>
      </c>
      <c r="BF9" s="19">
        <v>0.100923962629552</v>
      </c>
      <c r="BG9" s="19">
        <v>9.2260618237937297E-2</v>
      </c>
      <c r="BH9" s="19">
        <v>8.4340938027675005E-2</v>
      </c>
      <c r="BI9" s="19">
        <v>7.7101085633773797E-2</v>
      </c>
      <c r="BJ9" s="19">
        <v>7.0482704424699602E-2</v>
      </c>
      <c r="BK9" s="18"/>
      <c r="BL9" s="18"/>
      <c r="BM9" s="19">
        <v>0.143098</v>
      </c>
      <c r="BN9" s="19">
        <v>0.139567</v>
      </c>
      <c r="BO9" s="19">
        <v>0.13086999999999999</v>
      </c>
      <c r="BP9" s="19">
        <v>0.122715</v>
      </c>
      <c r="BQ9" s="19">
        <v>0.116509</v>
      </c>
      <c r="BR9" s="19">
        <v>0.111998</v>
      </c>
      <c r="BS9" s="19">
        <v>0.10766199999999999</v>
      </c>
      <c r="BT9" s="19">
        <v>0.103493</v>
      </c>
      <c r="BU9" s="19">
        <v>9.9486000000000005E-2</v>
      </c>
    </row>
    <row r="10" spans="1:73" x14ac:dyDescent="0.45">
      <c r="C10" s="15" t="s">
        <v>249</v>
      </c>
      <c r="D10" s="15" t="s">
        <v>250</v>
      </c>
      <c r="E10" s="15" t="s">
        <v>254</v>
      </c>
      <c r="F10" s="15" t="s">
        <v>252</v>
      </c>
      <c r="G10" s="15"/>
      <c r="H10" s="15"/>
      <c r="I10" s="15"/>
      <c r="J10" s="18"/>
      <c r="K10" s="18"/>
      <c r="L10" s="19">
        <v>0.45</v>
      </c>
      <c r="M10" s="19"/>
      <c r="N10" s="18"/>
      <c r="O10" s="19"/>
      <c r="P10" s="18"/>
      <c r="Q10" s="18"/>
      <c r="R10" s="19">
        <v>0.45</v>
      </c>
      <c r="S10" s="19"/>
      <c r="T10" s="18"/>
      <c r="U10" s="19"/>
      <c r="V10" s="19"/>
      <c r="X10" s="15" t="s">
        <v>249</v>
      </c>
      <c r="Y10" s="15" t="s">
        <v>250</v>
      </c>
      <c r="Z10" s="15" t="s">
        <v>332</v>
      </c>
      <c r="AA10" s="15" t="s">
        <v>252</v>
      </c>
      <c r="AB10" s="15"/>
      <c r="AC10" s="15"/>
      <c r="AD10" s="15"/>
      <c r="AE10" s="18"/>
      <c r="AF10" s="18"/>
      <c r="AG10" s="19">
        <v>0.34633084121503799</v>
      </c>
      <c r="AH10" s="19">
        <v>0.37718159491337</v>
      </c>
      <c r="AI10" s="18"/>
      <c r="AJ10" s="19">
        <v>0.402522947533137</v>
      </c>
      <c r="AK10" s="18"/>
      <c r="AL10" s="18"/>
      <c r="AM10" s="19">
        <v>0.34633084121503799</v>
      </c>
      <c r="AN10" s="19">
        <v>0.369526030884607</v>
      </c>
      <c r="AO10" s="18"/>
      <c r="AP10" s="19">
        <v>0.36682984733868601</v>
      </c>
      <c r="AR10" s="15" t="s">
        <v>249</v>
      </c>
      <c r="AS10" s="15" t="s">
        <v>369</v>
      </c>
      <c r="AT10" s="15"/>
      <c r="AU10" s="15"/>
      <c r="AV10" s="15" t="s">
        <v>371</v>
      </c>
      <c r="AW10" s="15"/>
      <c r="AX10" s="15"/>
      <c r="AY10" s="15"/>
      <c r="AZ10" s="18"/>
      <c r="BA10" s="18"/>
      <c r="BB10" s="19">
        <v>6.8884519568155403E-3</v>
      </c>
      <c r="BC10" s="19">
        <v>6.6939613610104403E-3</v>
      </c>
      <c r="BD10" s="19">
        <v>6.4807409280356297E-3</v>
      </c>
      <c r="BE10" s="19">
        <v>6.2527931518733398E-3</v>
      </c>
      <c r="BF10" s="19">
        <v>6.0121579213578396E-3</v>
      </c>
      <c r="BG10" s="19">
        <v>5.7807834024569396E-3</v>
      </c>
      <c r="BH10" s="19">
        <v>5.5583132018884804E-3</v>
      </c>
      <c r="BI10" s="19">
        <v>5.3444046419654501E-3</v>
      </c>
      <c r="BJ10" s="19">
        <v>5.1387282327590902E-3</v>
      </c>
      <c r="BK10" s="18"/>
      <c r="BL10" s="18"/>
      <c r="BM10" s="19">
        <v>6.9300000000000004E-3</v>
      </c>
      <c r="BN10" s="19">
        <v>6.8960000000000002E-3</v>
      </c>
      <c r="BO10" s="19">
        <v>6.6309999999999997E-3</v>
      </c>
      <c r="BP10" s="19">
        <v>6.3759999999999997E-3</v>
      </c>
      <c r="BQ10" s="19">
        <v>6.2069999999999998E-3</v>
      </c>
      <c r="BR10" s="19">
        <v>6.1190000000000003E-3</v>
      </c>
      <c r="BS10" s="19">
        <v>6.0309999999999999E-3</v>
      </c>
      <c r="BT10" s="19">
        <v>5.9449999999999998E-3</v>
      </c>
      <c r="BU10" s="19">
        <v>5.8609999999999999E-3</v>
      </c>
    </row>
    <row r="11" spans="1:73" x14ac:dyDescent="0.45">
      <c r="C11" s="15" t="s">
        <v>249</v>
      </c>
      <c r="D11" s="15" t="s">
        <v>250</v>
      </c>
      <c r="E11" s="15" t="s">
        <v>255</v>
      </c>
      <c r="F11" s="15" t="s">
        <v>252</v>
      </c>
      <c r="G11" s="15"/>
      <c r="H11" s="15"/>
      <c r="I11" s="15"/>
      <c r="J11" s="18"/>
      <c r="K11" s="18"/>
      <c r="L11" s="19">
        <v>0.35</v>
      </c>
      <c r="M11" s="19"/>
      <c r="N11" s="18"/>
      <c r="O11" s="19"/>
      <c r="P11" s="18"/>
      <c r="Q11" s="18"/>
      <c r="R11" s="19">
        <v>0.35</v>
      </c>
      <c r="S11" s="19"/>
      <c r="T11" s="18"/>
      <c r="U11" s="19"/>
      <c r="V11" s="19"/>
      <c r="X11" s="15" t="s">
        <v>249</v>
      </c>
      <c r="Y11" s="15" t="s">
        <v>250</v>
      </c>
      <c r="Z11" s="15" t="s">
        <v>333</v>
      </c>
      <c r="AA11" s="15" t="s">
        <v>252</v>
      </c>
      <c r="AB11" s="15"/>
      <c r="AC11" s="15"/>
      <c r="AD11" s="15"/>
      <c r="AE11" s="18"/>
      <c r="AF11" s="18"/>
      <c r="AG11" s="19">
        <v>0.32080057540766099</v>
      </c>
      <c r="AH11" s="19">
        <v>0.37690023893270203</v>
      </c>
      <c r="AI11" s="18"/>
      <c r="AJ11" s="19">
        <v>0.43089792618613798</v>
      </c>
      <c r="AK11" s="18"/>
      <c r="AL11" s="18"/>
      <c r="AM11" s="19">
        <v>0.32080057540766099</v>
      </c>
      <c r="AN11" s="19">
        <v>0.37015140102341798</v>
      </c>
      <c r="AO11" s="18"/>
      <c r="AP11" s="19">
        <v>0.40522794060224498</v>
      </c>
      <c r="AR11" s="15" t="s">
        <v>249</v>
      </c>
      <c r="AS11" s="15" t="s">
        <v>369</v>
      </c>
      <c r="AT11" s="15"/>
      <c r="AU11" s="15"/>
      <c r="AV11" s="15" t="s">
        <v>372</v>
      </c>
      <c r="AW11" s="15"/>
      <c r="AX11" s="15"/>
      <c r="AY11" s="15"/>
      <c r="AZ11" s="18"/>
      <c r="BA11" s="18"/>
      <c r="BB11" s="19">
        <v>3.8036798997698303E-2</v>
      </c>
      <c r="BC11" s="19">
        <v>3.6225466291223203E-2</v>
      </c>
      <c r="BD11" s="19">
        <v>3.4199205200313498E-2</v>
      </c>
      <c r="BE11" s="19">
        <v>3.2175550327568699E-2</v>
      </c>
      <c r="BF11" s="19">
        <v>3.0167746543062601E-2</v>
      </c>
      <c r="BG11" s="19">
        <v>2.8285232800095299E-2</v>
      </c>
      <c r="BH11" s="19">
        <v>2.6520190807542102E-2</v>
      </c>
      <c r="BI11" s="19">
        <v>2.4865290147658599E-2</v>
      </c>
      <c r="BJ11" s="19">
        <v>2.3313657832032399E-2</v>
      </c>
      <c r="BK11" s="18"/>
      <c r="BL11" s="18"/>
      <c r="BM11" s="19">
        <v>3.8554999999999999E-2</v>
      </c>
      <c r="BN11" s="19">
        <v>3.7983999999999997E-2</v>
      </c>
      <c r="BO11" s="19">
        <v>3.6068000000000003E-2</v>
      </c>
      <c r="BP11" s="19">
        <v>3.4249000000000002E-2</v>
      </c>
      <c r="BQ11" s="19">
        <v>3.2927999999999999E-2</v>
      </c>
      <c r="BR11" s="19">
        <v>3.2053999999999999E-2</v>
      </c>
      <c r="BS11" s="19">
        <v>3.1203000000000002E-2</v>
      </c>
      <c r="BT11" s="19">
        <v>3.0374000000000002E-2</v>
      </c>
      <c r="BU11" s="19">
        <v>2.9568000000000001E-2</v>
      </c>
    </row>
    <row r="12" spans="1:73" x14ac:dyDescent="0.45">
      <c r="C12" s="15" t="s">
        <v>249</v>
      </c>
      <c r="D12" s="15" t="s">
        <v>250</v>
      </c>
      <c r="E12" s="15" t="s">
        <v>256</v>
      </c>
      <c r="F12" s="15" t="s">
        <v>252</v>
      </c>
      <c r="G12" s="15"/>
      <c r="H12" s="15"/>
      <c r="I12" s="15"/>
      <c r="J12" s="18"/>
      <c r="K12" s="18"/>
      <c r="L12" s="19">
        <v>0.1</v>
      </c>
      <c r="M12" s="19"/>
      <c r="N12" s="18"/>
      <c r="O12" s="19"/>
      <c r="P12" s="18"/>
      <c r="Q12" s="18"/>
      <c r="R12" s="19">
        <v>0.1</v>
      </c>
      <c r="S12" s="19"/>
      <c r="T12" s="18"/>
      <c r="U12" s="19"/>
      <c r="V12" s="19"/>
      <c r="X12" s="15" t="s">
        <v>249</v>
      </c>
      <c r="Y12" s="15" t="s">
        <v>250</v>
      </c>
      <c r="Z12" s="15" t="s">
        <v>334</v>
      </c>
      <c r="AA12" s="15" t="s">
        <v>252</v>
      </c>
      <c r="AB12" s="15"/>
      <c r="AC12" s="15"/>
      <c r="AD12" s="15"/>
      <c r="AE12" s="18"/>
      <c r="AF12" s="18"/>
      <c r="AG12" s="19">
        <v>0.24232912878138699</v>
      </c>
      <c r="AH12" s="19">
        <v>0.26016473235779503</v>
      </c>
      <c r="AI12" s="18"/>
      <c r="AJ12" s="19">
        <v>0.30361984702604999</v>
      </c>
      <c r="AK12" s="18"/>
      <c r="AL12" s="18"/>
      <c r="AM12" s="19">
        <v>0.24232912878138699</v>
      </c>
      <c r="AN12" s="19">
        <v>0.26005135217853298</v>
      </c>
      <c r="AO12" s="18"/>
      <c r="AP12" s="19">
        <v>0.28945346962129198</v>
      </c>
      <c r="AR12" s="15" t="s">
        <v>249</v>
      </c>
      <c r="AS12" s="15" t="s">
        <v>369</v>
      </c>
      <c r="AT12" s="15"/>
      <c r="AU12" s="15"/>
      <c r="AV12" s="15" t="s">
        <v>373</v>
      </c>
      <c r="AW12" s="15"/>
      <c r="AX12" s="15"/>
      <c r="AY12" s="15"/>
      <c r="AZ12" s="18"/>
      <c r="BA12" s="18"/>
      <c r="BB12" s="19">
        <v>6.6350685641505799E-2</v>
      </c>
      <c r="BC12" s="19">
        <v>6.3191030513670796E-2</v>
      </c>
      <c r="BD12" s="19">
        <v>5.9656458304303397E-2</v>
      </c>
      <c r="BE12" s="19">
        <v>5.6126432333492397E-2</v>
      </c>
      <c r="BF12" s="19">
        <v>5.26240567065724E-2</v>
      </c>
      <c r="BG12" s="19">
        <v>4.9340234700861699E-2</v>
      </c>
      <c r="BH12" s="19">
        <v>4.6261328234546199E-2</v>
      </c>
      <c r="BI12" s="19">
        <v>4.3374550263074498E-2</v>
      </c>
      <c r="BJ12" s="19">
        <v>4.0667911673125202E-2</v>
      </c>
      <c r="BK12" s="18"/>
      <c r="BL12" s="18"/>
      <c r="BM12" s="19">
        <v>6.7254999999999995E-2</v>
      </c>
      <c r="BN12" s="19">
        <v>6.6258999999999998E-2</v>
      </c>
      <c r="BO12" s="19">
        <v>6.2917000000000001E-2</v>
      </c>
      <c r="BP12" s="19">
        <v>5.9742999999999997E-2</v>
      </c>
      <c r="BQ12" s="19">
        <v>5.7438999999999997E-2</v>
      </c>
      <c r="BR12" s="19">
        <v>5.5913999999999998E-2</v>
      </c>
      <c r="BS12" s="19">
        <v>5.4429999999999999E-2</v>
      </c>
      <c r="BT12" s="19">
        <v>5.2984999999999997E-2</v>
      </c>
      <c r="BU12" s="19">
        <v>5.1577999999999999E-2</v>
      </c>
    </row>
    <row r="13" spans="1:73" x14ac:dyDescent="0.45">
      <c r="C13" s="15" t="s">
        <v>249</v>
      </c>
      <c r="D13" s="15" t="s">
        <v>250</v>
      </c>
      <c r="E13" s="15" t="s">
        <v>257</v>
      </c>
      <c r="F13" s="15" t="s">
        <v>252</v>
      </c>
      <c r="G13" s="15"/>
      <c r="H13" s="15"/>
      <c r="I13" s="15"/>
      <c r="J13" s="18"/>
      <c r="K13" s="18"/>
      <c r="L13" s="19">
        <v>0.13</v>
      </c>
      <c r="M13" s="19"/>
      <c r="N13" s="18"/>
      <c r="O13" s="19"/>
      <c r="P13" s="18"/>
      <c r="Q13" s="18"/>
      <c r="R13" s="19">
        <v>0.13</v>
      </c>
      <c r="S13" s="19"/>
      <c r="T13" s="18"/>
      <c r="U13" s="19"/>
      <c r="V13" s="19"/>
      <c r="X13" s="15" t="s">
        <v>249</v>
      </c>
      <c r="Y13" s="15" t="s">
        <v>250</v>
      </c>
      <c r="Z13" s="15" t="s">
        <v>335</v>
      </c>
      <c r="AA13" s="15" t="s">
        <v>252</v>
      </c>
      <c r="AB13" s="15"/>
      <c r="AC13" s="15"/>
      <c r="AD13" s="15"/>
      <c r="AE13" s="18"/>
      <c r="AF13" s="18"/>
      <c r="AG13" s="19">
        <v>0.22446549570454599</v>
      </c>
      <c r="AH13" s="19">
        <v>0.25997066428980098</v>
      </c>
      <c r="AI13" s="18"/>
      <c r="AJ13" s="19">
        <v>0.32502286698004201</v>
      </c>
      <c r="AK13" s="18"/>
      <c r="AL13" s="18"/>
      <c r="AM13" s="19">
        <v>0.22446549570454599</v>
      </c>
      <c r="AN13" s="19">
        <v>0.260491452027035</v>
      </c>
      <c r="AO13" s="18"/>
      <c r="AP13" s="19">
        <v>0.31975215279174202</v>
      </c>
      <c r="AR13" s="15" t="s">
        <v>249</v>
      </c>
      <c r="AS13" s="15" t="s">
        <v>369</v>
      </c>
      <c r="AT13" s="15"/>
      <c r="AU13" s="15"/>
      <c r="AV13" s="15" t="s">
        <v>374</v>
      </c>
      <c r="AW13" s="15"/>
      <c r="AX13" s="15"/>
      <c r="AY13" s="15"/>
      <c r="AZ13" s="18"/>
      <c r="BA13" s="18"/>
      <c r="BB13" s="19">
        <v>0.206155550914604</v>
      </c>
      <c r="BC13" s="19">
        <v>0.19633831334906601</v>
      </c>
      <c r="BD13" s="19">
        <v>0.18535618597503101</v>
      </c>
      <c r="BE13" s="19">
        <v>0.174388184036251</v>
      </c>
      <c r="BF13" s="19">
        <v>0.163506093370621</v>
      </c>
      <c r="BG13" s="19">
        <v>0.15330306188500101</v>
      </c>
      <c r="BH13" s="19">
        <v>0.14373671524304901</v>
      </c>
      <c r="BI13" s="19">
        <v>0.13476732333212901</v>
      </c>
      <c r="BJ13" s="19">
        <v>0.12635763525968699</v>
      </c>
      <c r="BK13" s="18"/>
      <c r="BL13" s="18"/>
      <c r="BM13" s="19">
        <v>0.20896600000000001</v>
      </c>
      <c r="BN13" s="19">
        <v>0.205871</v>
      </c>
      <c r="BO13" s="19">
        <v>0.19548599999999999</v>
      </c>
      <c r="BP13" s="19">
        <v>0.18562400000000001</v>
      </c>
      <c r="BQ13" s="19">
        <v>0.17846699999999999</v>
      </c>
      <c r="BR13" s="19">
        <v>0.17372899999999999</v>
      </c>
      <c r="BS13" s="19">
        <v>0.16911599999999999</v>
      </c>
      <c r="BT13" s="19">
        <v>0.16462599999999999</v>
      </c>
      <c r="BU13" s="19">
        <v>0.16025500000000001</v>
      </c>
    </row>
    <row r="14" spans="1:73" x14ac:dyDescent="0.45">
      <c r="C14" s="15" t="s">
        <v>249</v>
      </c>
      <c r="D14" s="15" t="s">
        <v>250</v>
      </c>
      <c r="E14" s="15" t="s">
        <v>258</v>
      </c>
      <c r="F14" s="15" t="s">
        <v>252</v>
      </c>
      <c r="G14" s="15"/>
      <c r="H14" s="15"/>
      <c r="I14" s="15"/>
      <c r="J14" s="18"/>
      <c r="K14" s="18"/>
      <c r="L14" s="19">
        <v>0.44</v>
      </c>
      <c r="M14" s="19"/>
      <c r="N14" s="18"/>
      <c r="O14" s="19"/>
      <c r="P14" s="18"/>
      <c r="Q14" s="18"/>
      <c r="R14" s="19">
        <v>0.44</v>
      </c>
      <c r="S14" s="19"/>
      <c r="T14" s="18"/>
      <c r="U14" s="19"/>
      <c r="V14" s="19"/>
      <c r="X14" s="15" t="s">
        <v>249</v>
      </c>
      <c r="Y14" s="15" t="s">
        <v>250</v>
      </c>
      <c r="Z14" s="15" t="s">
        <v>336</v>
      </c>
      <c r="AA14" s="15" t="s">
        <v>337</v>
      </c>
      <c r="AB14" s="15"/>
      <c r="AC14" s="15"/>
      <c r="AD14" s="15"/>
      <c r="AE14" s="18"/>
      <c r="AF14" s="18"/>
      <c r="AG14" s="19">
        <v>0.24232912878138699</v>
      </c>
      <c r="AH14" s="19">
        <v>0.26016473235779503</v>
      </c>
      <c r="AI14" s="18"/>
      <c r="AJ14" s="19">
        <v>0.30361984702604999</v>
      </c>
      <c r="AK14" s="18"/>
      <c r="AL14" s="18"/>
      <c r="AM14" s="19">
        <v>0.24232912878138699</v>
      </c>
      <c r="AN14" s="19">
        <v>0.26005135217853298</v>
      </c>
      <c r="AO14" s="18"/>
      <c r="AP14" s="19">
        <v>0.28945346962129198</v>
      </c>
      <c r="AR14" s="15" t="s">
        <v>249</v>
      </c>
      <c r="AS14" s="15" t="s">
        <v>369</v>
      </c>
      <c r="AT14" s="15"/>
      <c r="AU14" s="15"/>
      <c r="AV14" s="15" t="s">
        <v>375</v>
      </c>
      <c r="AW14" s="15"/>
      <c r="AX14" s="15"/>
      <c r="AY14" s="15"/>
      <c r="AZ14" s="18"/>
      <c r="BA14" s="18"/>
      <c r="BB14" s="19">
        <v>6.0963141484747102E-2</v>
      </c>
      <c r="BC14" s="19">
        <v>5.8060044090366698E-2</v>
      </c>
      <c r="BD14" s="19">
        <v>5.4812472138330501E-2</v>
      </c>
      <c r="BE14" s="19">
        <v>5.1569077279291303E-2</v>
      </c>
      <c r="BF14" s="19">
        <v>4.8351087611026501E-2</v>
      </c>
      <c r="BG14" s="19">
        <v>4.5333905443135897E-2</v>
      </c>
      <c r="BH14" s="19">
        <v>4.2505000079015899E-2</v>
      </c>
      <c r="BI14" s="19">
        <v>3.9852622756786901E-2</v>
      </c>
      <c r="BJ14" s="19">
        <v>3.7365757855364702E-2</v>
      </c>
      <c r="BK14" s="18"/>
      <c r="BL14" s="18"/>
      <c r="BM14" s="19">
        <v>6.1794000000000002E-2</v>
      </c>
      <c r="BN14" s="19">
        <v>6.0879000000000003E-2</v>
      </c>
      <c r="BO14" s="19">
        <v>5.7807999999999998E-2</v>
      </c>
      <c r="BP14" s="19">
        <v>5.4892000000000003E-2</v>
      </c>
      <c r="BQ14" s="19">
        <v>5.2775000000000002E-2</v>
      </c>
      <c r="BR14" s="19">
        <v>5.1374000000000003E-2</v>
      </c>
      <c r="BS14" s="19">
        <v>5.0009999999999999E-2</v>
      </c>
      <c r="BT14" s="19">
        <v>4.8682000000000003E-2</v>
      </c>
      <c r="BU14" s="19">
        <v>4.7390000000000002E-2</v>
      </c>
    </row>
    <row r="15" spans="1:73" x14ac:dyDescent="0.45">
      <c r="C15" s="15" t="s">
        <v>249</v>
      </c>
      <c r="D15" s="15" t="s">
        <v>250</v>
      </c>
      <c r="E15" s="15" t="s">
        <v>259</v>
      </c>
      <c r="F15" s="15" t="s">
        <v>252</v>
      </c>
      <c r="G15" s="15"/>
      <c r="H15" s="15"/>
      <c r="I15" s="15"/>
      <c r="J15" s="18"/>
      <c r="K15" s="18"/>
      <c r="L15" s="19">
        <v>0.27</v>
      </c>
      <c r="M15" s="19"/>
      <c r="N15" s="18"/>
      <c r="O15" s="19"/>
      <c r="P15" s="18"/>
      <c r="Q15" s="18"/>
      <c r="R15" s="19">
        <v>0.27</v>
      </c>
      <c r="S15" s="19"/>
      <c r="T15" s="18"/>
      <c r="U15" s="19"/>
      <c r="V15" s="19"/>
      <c r="X15" s="15" t="s">
        <v>249</v>
      </c>
      <c r="Y15" s="15" t="s">
        <v>250</v>
      </c>
      <c r="Z15" s="15" t="s">
        <v>336</v>
      </c>
      <c r="AA15" s="15" t="s">
        <v>338</v>
      </c>
      <c r="AB15" s="15"/>
      <c r="AC15" s="15"/>
      <c r="AD15" s="15"/>
      <c r="AE15" s="18"/>
      <c r="AF15" s="18"/>
      <c r="AG15" s="19">
        <v>1.3286635932044299</v>
      </c>
      <c r="AH15" s="19">
        <v>1.1547044951380601</v>
      </c>
      <c r="AI15" s="18"/>
      <c r="AJ15" s="19">
        <v>1.2533056480065099</v>
      </c>
      <c r="AK15" s="18"/>
      <c r="AL15" s="18"/>
      <c r="AM15" s="19">
        <v>1.3286635932044299</v>
      </c>
      <c r="AN15" s="19">
        <v>1.15239602964443</v>
      </c>
      <c r="AO15" s="18"/>
      <c r="AP15" s="19">
        <v>1.25227260001938</v>
      </c>
      <c r="AR15" s="15" t="s">
        <v>249</v>
      </c>
      <c r="AS15" s="15" t="s">
        <v>369</v>
      </c>
      <c r="AT15" s="15"/>
      <c r="AU15" s="15"/>
      <c r="AV15" s="15" t="s">
        <v>376</v>
      </c>
      <c r="AW15" s="15"/>
      <c r="AX15" s="15"/>
      <c r="AY15" s="15"/>
      <c r="AZ15" s="18"/>
      <c r="BA15" s="18"/>
      <c r="BB15" s="19">
        <v>0.59296051553192597</v>
      </c>
      <c r="BC15" s="19">
        <v>0.57621869245212598</v>
      </c>
      <c r="BD15" s="19">
        <v>0.55786459799791499</v>
      </c>
      <c r="BE15" s="19">
        <v>0.53824276834520002</v>
      </c>
      <c r="BF15" s="19">
        <v>0.51752879788621498</v>
      </c>
      <c r="BG15" s="19">
        <v>0.497611992939542</v>
      </c>
      <c r="BH15" s="19">
        <v>0.47846167503842801</v>
      </c>
      <c r="BI15" s="19">
        <v>0.46004834635967401</v>
      </c>
      <c r="BJ15" s="19">
        <v>0.44234364428723</v>
      </c>
      <c r="BK15" s="18"/>
      <c r="BL15" s="18"/>
      <c r="BM15" s="19">
        <v>0.59650099999999995</v>
      </c>
      <c r="BN15" s="19">
        <v>0.59359499999999998</v>
      </c>
      <c r="BO15" s="19">
        <v>0.57076800000000005</v>
      </c>
      <c r="BP15" s="19">
        <v>0.54881899999999995</v>
      </c>
      <c r="BQ15" s="19">
        <v>0.53432000000000002</v>
      </c>
      <c r="BR15" s="19">
        <v>0.52670099999999997</v>
      </c>
      <c r="BS15" s="19">
        <v>0.51919099999999996</v>
      </c>
      <c r="BT15" s="19">
        <v>0.51178800000000002</v>
      </c>
      <c r="BU15" s="19">
        <v>0.50448999999999999</v>
      </c>
    </row>
    <row r="16" spans="1:73" x14ac:dyDescent="0.45">
      <c r="C16" s="15" t="s">
        <v>249</v>
      </c>
      <c r="D16" s="15" t="s">
        <v>250</v>
      </c>
      <c r="E16" s="15" t="s">
        <v>260</v>
      </c>
      <c r="F16" s="15" t="s">
        <v>252</v>
      </c>
      <c r="G16" s="15"/>
      <c r="H16" s="15"/>
      <c r="I16" s="15"/>
      <c r="J16" s="18"/>
      <c r="K16" s="18"/>
      <c r="L16" s="19">
        <v>0.11</v>
      </c>
      <c r="M16" s="19"/>
      <c r="N16" s="18"/>
      <c r="O16" s="19"/>
      <c r="P16" s="18"/>
      <c r="Q16" s="18"/>
      <c r="R16" s="19">
        <v>0.11</v>
      </c>
      <c r="S16" s="19"/>
      <c r="T16" s="18"/>
      <c r="U16" s="19"/>
      <c r="V16" s="19"/>
      <c r="X16" s="15" t="s">
        <v>249</v>
      </c>
      <c r="Y16" s="15" t="s">
        <v>250</v>
      </c>
      <c r="Z16" s="15" t="s">
        <v>339</v>
      </c>
      <c r="AA16" s="15" t="s">
        <v>338</v>
      </c>
      <c r="AB16" s="15"/>
      <c r="AC16" s="15"/>
      <c r="AD16" s="15"/>
      <c r="AE16" s="18"/>
      <c r="AF16" s="18"/>
      <c r="AG16" s="19">
        <v>1.3286635932044299</v>
      </c>
      <c r="AH16" s="19">
        <v>1.1547044951380601</v>
      </c>
      <c r="AI16" s="18"/>
      <c r="AJ16" s="19">
        <v>1.2533056480065099</v>
      </c>
      <c r="AK16" s="18"/>
      <c r="AL16" s="18"/>
      <c r="AM16" s="19">
        <v>1.3286635932044299</v>
      </c>
      <c r="AN16" s="19">
        <v>1.15239602964443</v>
      </c>
      <c r="AO16" s="18"/>
      <c r="AP16" s="19">
        <v>1.25227260001938</v>
      </c>
      <c r="AR16" s="15" t="s">
        <v>249</v>
      </c>
      <c r="AS16" s="15" t="s">
        <v>369</v>
      </c>
      <c r="AT16" s="15"/>
      <c r="AU16" s="15"/>
      <c r="AV16" s="15" t="s">
        <v>377</v>
      </c>
      <c r="AW16" s="15"/>
      <c r="AX16" s="15"/>
      <c r="AY16" s="15"/>
      <c r="AZ16" s="18"/>
      <c r="BA16" s="18"/>
      <c r="BB16" s="19">
        <v>0.52133017082635003</v>
      </c>
      <c r="BC16" s="19">
        <v>0.50661078014600003</v>
      </c>
      <c r="BD16" s="19">
        <v>0.49047388241581402</v>
      </c>
      <c r="BE16" s="19">
        <v>0.47322239342653599</v>
      </c>
      <c r="BF16" s="19">
        <v>0.45501069555625401</v>
      </c>
      <c r="BG16" s="19">
        <v>0.43749986464392898</v>
      </c>
      <c r="BH16" s="19">
        <v>0.420662928218557</v>
      </c>
      <c r="BI16" s="19">
        <v>0.404473951829522</v>
      </c>
      <c r="BJ16" s="19">
        <v>0.38890799909896501</v>
      </c>
      <c r="BK16" s="18"/>
      <c r="BL16" s="18"/>
      <c r="BM16" s="19">
        <v>0.52444299999999999</v>
      </c>
      <c r="BN16" s="19">
        <v>0.52188800000000002</v>
      </c>
      <c r="BO16" s="19">
        <v>0.50181900000000002</v>
      </c>
      <c r="BP16" s="19">
        <v>0.48252099999999998</v>
      </c>
      <c r="BQ16" s="19">
        <v>0.46977400000000002</v>
      </c>
      <c r="BR16" s="19">
        <v>0.46307500000000001</v>
      </c>
      <c r="BS16" s="19">
        <v>0.45647199999999999</v>
      </c>
      <c r="BT16" s="19">
        <v>0.449963</v>
      </c>
      <c r="BU16" s="19">
        <v>0.44354700000000002</v>
      </c>
    </row>
    <row r="17" spans="3:73" x14ac:dyDescent="0.45">
      <c r="C17" s="15" t="s">
        <v>249</v>
      </c>
      <c r="D17" s="15" t="s">
        <v>250</v>
      </c>
      <c r="E17" s="15" t="s">
        <v>261</v>
      </c>
      <c r="F17" s="15" t="s">
        <v>252</v>
      </c>
      <c r="G17" s="15"/>
      <c r="H17" s="15"/>
      <c r="I17" s="15"/>
      <c r="J17" s="18"/>
      <c r="K17" s="18"/>
      <c r="L17" s="19">
        <v>0.39</v>
      </c>
      <c r="M17" s="19"/>
      <c r="N17" s="18"/>
      <c r="O17" s="19"/>
      <c r="P17" s="18"/>
      <c r="Q17" s="18"/>
      <c r="R17" s="19">
        <v>0.39</v>
      </c>
      <c r="S17" s="19"/>
      <c r="T17" s="18"/>
      <c r="U17" s="19"/>
      <c r="V17" s="19"/>
      <c r="X17" s="15" t="s">
        <v>249</v>
      </c>
      <c r="Y17" s="15" t="s">
        <v>250</v>
      </c>
      <c r="Z17" s="15" t="s">
        <v>339</v>
      </c>
      <c r="AA17" s="15" t="s">
        <v>340</v>
      </c>
      <c r="AB17" s="15"/>
      <c r="AC17" s="15"/>
      <c r="AD17" s="15"/>
      <c r="AE17" s="18"/>
      <c r="AF17" s="18"/>
      <c r="AG17" s="19">
        <v>0.22446549570454599</v>
      </c>
      <c r="AH17" s="19">
        <v>0.25997066428980098</v>
      </c>
      <c r="AI17" s="18"/>
      <c r="AJ17" s="19">
        <v>0.32502286698004201</v>
      </c>
      <c r="AK17" s="18"/>
      <c r="AL17" s="18"/>
      <c r="AM17" s="19">
        <v>0.22446549570454599</v>
      </c>
      <c r="AN17" s="19">
        <v>0.260491452027035</v>
      </c>
      <c r="AO17" s="18"/>
      <c r="AP17" s="19">
        <v>0.31975215279174202</v>
      </c>
      <c r="AR17" s="15" t="s">
        <v>249</v>
      </c>
      <c r="AS17" s="15" t="s">
        <v>369</v>
      </c>
      <c r="AT17" s="15"/>
      <c r="AU17" s="15"/>
      <c r="AV17" s="15" t="s">
        <v>378</v>
      </c>
      <c r="AW17" s="15"/>
      <c r="AX17" s="15"/>
      <c r="AY17" s="15"/>
      <c r="AZ17" s="18"/>
      <c r="BA17" s="18"/>
      <c r="BB17" s="19">
        <v>1.96747057397636</v>
      </c>
      <c r="BC17" s="19">
        <v>1.9119204261985201</v>
      </c>
      <c r="BD17" s="19">
        <v>1.85102068700046</v>
      </c>
      <c r="BE17" s="19">
        <v>1.78591454344103</v>
      </c>
      <c r="BF17" s="19">
        <v>1.717184625882</v>
      </c>
      <c r="BG17" s="19">
        <v>1.6510997405755099</v>
      </c>
      <c r="BH17" s="19">
        <v>1.58755809494176</v>
      </c>
      <c r="BI17" s="19">
        <v>1.5264618138311901</v>
      </c>
      <c r="BJ17" s="19">
        <v>1.4677167887643801</v>
      </c>
      <c r="BK17" s="18"/>
      <c r="BL17" s="18"/>
      <c r="BM17" s="19">
        <v>1.9792190000000001</v>
      </c>
      <c r="BN17" s="19">
        <v>1.969576</v>
      </c>
      <c r="BO17" s="19">
        <v>1.8938349999999999</v>
      </c>
      <c r="BP17" s="19">
        <v>1.8210059999999999</v>
      </c>
      <c r="BQ17" s="19">
        <v>1.7728999999999999</v>
      </c>
      <c r="BR17" s="19">
        <v>1.747619</v>
      </c>
      <c r="BS17" s="19">
        <v>1.7226999999999999</v>
      </c>
      <c r="BT17" s="19">
        <v>1.698135</v>
      </c>
      <c r="BU17" s="19">
        <v>1.673921</v>
      </c>
    </row>
    <row r="18" spans="3:73" x14ac:dyDescent="0.45">
      <c r="C18" s="15" t="s">
        <v>249</v>
      </c>
      <c r="D18" s="15" t="s">
        <v>250</v>
      </c>
      <c r="E18" s="15" t="s">
        <v>262</v>
      </c>
      <c r="F18" s="15" t="s">
        <v>252</v>
      </c>
      <c r="G18" s="15"/>
      <c r="H18" s="15"/>
      <c r="I18" s="15"/>
      <c r="J18" s="18"/>
      <c r="K18" s="18"/>
      <c r="L18" s="19">
        <v>0.24</v>
      </c>
      <c r="M18" s="18"/>
      <c r="N18" s="18"/>
      <c r="O18" s="18"/>
      <c r="P18" s="18"/>
      <c r="Q18" s="18"/>
      <c r="R18" s="19">
        <v>0.24</v>
      </c>
      <c r="S18" s="18"/>
      <c r="T18" s="18"/>
      <c r="U18" s="18"/>
      <c r="V18" s="18"/>
      <c r="X18" s="15" t="s">
        <v>249</v>
      </c>
      <c r="Y18" s="15" t="s">
        <v>250</v>
      </c>
      <c r="Z18" s="15" t="s">
        <v>341</v>
      </c>
      <c r="AA18" s="15" t="s">
        <v>252</v>
      </c>
      <c r="AB18" s="15"/>
      <c r="AC18" s="15"/>
      <c r="AD18" s="15"/>
      <c r="AE18" s="18"/>
      <c r="AF18" s="18"/>
      <c r="AG18" s="19">
        <v>0.17838799999999999</v>
      </c>
      <c r="AH18" s="18"/>
      <c r="AI18" s="18"/>
      <c r="AJ18" s="18"/>
      <c r="AK18" s="18"/>
      <c r="AL18" s="18"/>
      <c r="AM18" s="19">
        <v>0.17838799999999999</v>
      </c>
      <c r="AN18" s="18"/>
      <c r="AO18" s="18"/>
      <c r="AP18" s="18"/>
      <c r="AR18" s="15" t="s">
        <v>249</v>
      </c>
      <c r="AS18" s="15" t="s">
        <v>369</v>
      </c>
      <c r="AT18" s="15"/>
      <c r="AU18" s="15"/>
      <c r="AV18" s="15" t="s">
        <v>379</v>
      </c>
      <c r="AW18" s="15"/>
      <c r="AX18" s="15"/>
      <c r="AY18" s="15"/>
      <c r="AZ18" s="18"/>
      <c r="BA18" s="18"/>
      <c r="BB18" s="19">
        <v>1.21053364148428</v>
      </c>
      <c r="BC18" s="19">
        <v>1.17635507558147</v>
      </c>
      <c r="BD18" s="19">
        <v>1.1388850447551</v>
      </c>
      <c r="BE18" s="19">
        <v>1.0988269223676801</v>
      </c>
      <c r="BF18" s="19">
        <v>1.0565391857772899</v>
      </c>
      <c r="BG18" s="19">
        <v>1.0158788689648</v>
      </c>
      <c r="BH18" s="19">
        <v>0.976783341594611</v>
      </c>
      <c r="BI18" s="19">
        <v>0.93919238362442803</v>
      </c>
      <c r="BJ18" s="19">
        <v>0.90304809254642304</v>
      </c>
      <c r="BK18" s="18"/>
      <c r="BL18" s="18"/>
      <c r="BM18" s="19">
        <v>1.217762</v>
      </c>
      <c r="BN18" s="19">
        <v>1.211829</v>
      </c>
      <c r="BO18" s="19">
        <v>1.165227</v>
      </c>
      <c r="BP18" s="19">
        <v>1.1204179999999999</v>
      </c>
      <c r="BQ18" s="19">
        <v>1.090819</v>
      </c>
      <c r="BR18" s="19">
        <v>1.0752649999999999</v>
      </c>
      <c r="BS18" s="19">
        <v>1.0599320000000001</v>
      </c>
      <c r="BT18" s="19">
        <v>1.044818</v>
      </c>
      <c r="BU18" s="19">
        <v>1.0299199999999999</v>
      </c>
    </row>
    <row r="19" spans="3:73" x14ac:dyDescent="0.45">
      <c r="C19" s="15" t="s">
        <v>249</v>
      </c>
      <c r="D19" s="15" t="s">
        <v>250</v>
      </c>
      <c r="E19" s="15" t="s">
        <v>263</v>
      </c>
      <c r="F19" s="15" t="s">
        <v>252</v>
      </c>
      <c r="G19" s="15"/>
      <c r="H19" s="15"/>
      <c r="I19" s="15"/>
      <c r="J19" s="18"/>
      <c r="K19" s="18"/>
      <c r="L19" s="19">
        <v>0.23</v>
      </c>
      <c r="M19" s="18"/>
      <c r="N19" s="18"/>
      <c r="O19" s="18"/>
      <c r="P19" s="18"/>
      <c r="Q19" s="18"/>
      <c r="R19" s="19">
        <v>0.23</v>
      </c>
      <c r="S19" s="18"/>
      <c r="T19" s="18"/>
      <c r="U19" s="18"/>
      <c r="V19" s="18"/>
      <c r="X19" s="15" t="s">
        <v>249</v>
      </c>
      <c r="Y19" s="15" t="s">
        <v>250</v>
      </c>
      <c r="Z19" s="15" t="s">
        <v>342</v>
      </c>
      <c r="AA19" s="15" t="s">
        <v>252</v>
      </c>
      <c r="AB19" s="15"/>
      <c r="AC19" s="15"/>
      <c r="AD19" s="15"/>
      <c r="AE19" s="18"/>
      <c r="AF19" s="18"/>
      <c r="AG19" s="19">
        <v>9.5545000000000005E-2</v>
      </c>
      <c r="AH19" s="18"/>
      <c r="AI19" s="18"/>
      <c r="AJ19" s="18"/>
      <c r="AK19" s="18"/>
      <c r="AL19" s="18"/>
      <c r="AM19" s="19">
        <v>9.5545000000000005E-2</v>
      </c>
      <c r="AN19" s="18"/>
      <c r="AO19" s="18"/>
      <c r="AP19" s="18"/>
      <c r="AR19" s="15" t="s">
        <v>249</v>
      </c>
      <c r="AS19" s="15" t="s">
        <v>369</v>
      </c>
      <c r="AT19" s="15"/>
      <c r="AU19" s="15"/>
      <c r="AV19" s="15" t="s">
        <v>319</v>
      </c>
      <c r="AW19" s="15"/>
      <c r="AX19" s="15"/>
      <c r="AY19" s="15"/>
      <c r="AZ19" s="18"/>
      <c r="BA19" s="18"/>
      <c r="BB19" s="19">
        <v>0.14914749470795399</v>
      </c>
      <c r="BC19" s="19">
        <v>0.140538442361377</v>
      </c>
      <c r="BD19" s="19">
        <v>0.13043992467145399</v>
      </c>
      <c r="BE19" s="19">
        <v>0.121097308896287</v>
      </c>
      <c r="BF19" s="19">
        <v>0.112451949420908</v>
      </c>
      <c r="BG19" s="19">
        <v>0.10442379804981899</v>
      </c>
      <c r="BH19" s="19">
        <v>9.6968791161942694E-2</v>
      </c>
      <c r="BI19" s="19">
        <v>9.0046010919105607E-2</v>
      </c>
      <c r="BJ19" s="19">
        <v>8.3617460682813394E-2</v>
      </c>
      <c r="BK19" s="18"/>
      <c r="BL19" s="18"/>
      <c r="BM19" s="19">
        <v>0.15257999999999999</v>
      </c>
      <c r="BN19" s="19">
        <v>0.14835100000000001</v>
      </c>
      <c r="BO19" s="19">
        <v>0.14315600000000001</v>
      </c>
      <c r="BP19" s="19">
        <v>0.13804</v>
      </c>
      <c r="BQ19" s="19">
        <v>0.13300699999999999</v>
      </c>
      <c r="BR19" s="19">
        <v>0.12815799999999999</v>
      </c>
      <c r="BS19" s="19">
        <v>0.123485</v>
      </c>
      <c r="BT19" s="19">
        <v>0.11898300000000001</v>
      </c>
      <c r="BU19" s="19">
        <v>0.114645</v>
      </c>
    </row>
    <row r="20" spans="3:73" x14ac:dyDescent="0.45">
      <c r="C20" s="15" t="s">
        <v>249</v>
      </c>
      <c r="D20" s="15" t="s">
        <v>250</v>
      </c>
      <c r="E20" s="15" t="s">
        <v>264</v>
      </c>
      <c r="F20" s="15" t="s">
        <v>252</v>
      </c>
      <c r="G20" s="15"/>
      <c r="H20" s="15"/>
      <c r="I20" s="15"/>
      <c r="J20" s="18"/>
      <c r="K20" s="18"/>
      <c r="L20" s="19">
        <v>0.8</v>
      </c>
      <c r="M20" s="19"/>
      <c r="N20" s="18"/>
      <c r="O20" s="19"/>
      <c r="P20" s="18"/>
      <c r="Q20" s="18"/>
      <c r="R20" s="19">
        <v>0.8</v>
      </c>
      <c r="S20" s="19"/>
      <c r="T20" s="18"/>
      <c r="U20" s="19"/>
      <c r="V20" s="19"/>
      <c r="X20" s="15" t="s">
        <v>249</v>
      </c>
      <c r="Y20" s="15" t="s">
        <v>250</v>
      </c>
      <c r="Z20" s="15" t="s">
        <v>343</v>
      </c>
      <c r="AA20" s="15" t="s">
        <v>252</v>
      </c>
      <c r="AB20" s="15"/>
      <c r="AC20" s="15"/>
      <c r="AD20" s="15"/>
      <c r="AE20" s="18"/>
      <c r="AF20" s="18"/>
      <c r="AG20" s="19">
        <v>5.6500000000000002E-2</v>
      </c>
      <c r="AH20" s="19">
        <v>5.6500000000000002E-2</v>
      </c>
      <c r="AI20" s="18"/>
      <c r="AJ20" s="19">
        <v>5.6500000000000002E-2</v>
      </c>
      <c r="AK20" s="18"/>
      <c r="AL20" s="18"/>
      <c r="AM20" s="19">
        <v>4.9135097190700798E-2</v>
      </c>
      <c r="AN20" s="19">
        <v>4.9404969955021298E-2</v>
      </c>
      <c r="AO20" s="18"/>
      <c r="AP20" s="19">
        <v>5.0577566564981601E-2</v>
      </c>
      <c r="AR20" s="15" t="s">
        <v>249</v>
      </c>
      <c r="AS20" s="15" t="s">
        <v>369</v>
      </c>
      <c r="AT20" s="15"/>
      <c r="AU20" s="15"/>
      <c r="AV20" s="15" t="s">
        <v>380</v>
      </c>
      <c r="AW20" s="15"/>
      <c r="AX20" s="15"/>
      <c r="AY20" s="15"/>
      <c r="AZ20" s="18"/>
      <c r="BA20" s="18"/>
      <c r="BB20" s="19">
        <v>8.9750348507139095E-4</v>
      </c>
      <c r="BC20" s="19">
        <v>8.8056763224004305E-4</v>
      </c>
      <c r="BD20" s="19">
        <v>8.5963160144466796E-4</v>
      </c>
      <c r="BE20" s="19">
        <v>8.3940311486505395E-4</v>
      </c>
      <c r="BF20" s="19">
        <v>8.1985551838568895E-4</v>
      </c>
      <c r="BG20" s="19">
        <v>8.0076313647647901E-4</v>
      </c>
      <c r="BH20" s="19">
        <v>7.8211536833005103E-4</v>
      </c>
      <c r="BI20" s="19">
        <v>7.6390186000528995E-4</v>
      </c>
      <c r="BJ20" s="19">
        <v>7.4611249867843801E-4</v>
      </c>
      <c r="BK20" s="18"/>
      <c r="BL20" s="18"/>
      <c r="BM20" s="19">
        <v>9.0399999999999996E-4</v>
      </c>
      <c r="BN20" s="19">
        <v>8.9700000000000001E-4</v>
      </c>
      <c r="BO20" s="19">
        <v>8.8800000000000001E-4</v>
      </c>
      <c r="BP20" s="19">
        <v>8.7799999999999998E-4</v>
      </c>
      <c r="BQ20" s="19">
        <v>8.6700000000000004E-4</v>
      </c>
      <c r="BR20" s="19">
        <v>8.5700000000000001E-4</v>
      </c>
      <c r="BS20" s="19">
        <v>8.4699999999999999E-4</v>
      </c>
      <c r="BT20" s="19">
        <v>8.3699999999999996E-4</v>
      </c>
      <c r="BU20" s="19">
        <v>8.2700000000000004E-4</v>
      </c>
    </row>
    <row r="21" spans="3:73" x14ac:dyDescent="0.45">
      <c r="C21" s="15" t="s">
        <v>249</v>
      </c>
      <c r="D21" s="15" t="s">
        <v>250</v>
      </c>
      <c r="E21" s="15" t="s">
        <v>265</v>
      </c>
      <c r="F21" s="15" t="s">
        <v>252</v>
      </c>
      <c r="G21" s="15"/>
      <c r="H21" s="15"/>
      <c r="I21" s="15"/>
      <c r="J21" s="18"/>
      <c r="K21" s="18"/>
      <c r="L21" s="19">
        <v>0.5</v>
      </c>
      <c r="M21" s="18"/>
      <c r="N21" s="18"/>
      <c r="O21" s="18"/>
      <c r="P21" s="18"/>
      <c r="Q21" s="18"/>
      <c r="R21" s="19">
        <v>0.5</v>
      </c>
      <c r="S21" s="18"/>
      <c r="T21" s="18"/>
      <c r="U21" s="18"/>
      <c r="V21" s="18"/>
      <c r="X21" s="15" t="s">
        <v>249</v>
      </c>
      <c r="Y21" s="15" t="s">
        <v>250</v>
      </c>
      <c r="Z21" s="15" t="s">
        <v>344</v>
      </c>
      <c r="AA21" s="15" t="s">
        <v>252</v>
      </c>
      <c r="AB21" s="15"/>
      <c r="AC21" s="15"/>
      <c r="AD21" s="15"/>
      <c r="AE21" s="18"/>
      <c r="AF21" s="18"/>
      <c r="AG21" s="19">
        <v>0.19607843137254899</v>
      </c>
      <c r="AH21" s="18"/>
      <c r="AI21" s="18"/>
      <c r="AJ21" s="18"/>
      <c r="AK21" s="18"/>
      <c r="AL21" s="18"/>
      <c r="AM21" s="19">
        <v>0.19607843137254899</v>
      </c>
      <c r="AN21" s="18"/>
      <c r="AO21" s="18"/>
      <c r="AP21" s="18"/>
      <c r="AR21" s="15" t="s">
        <v>249</v>
      </c>
      <c r="AS21" s="15" t="s">
        <v>369</v>
      </c>
      <c r="AT21" s="15"/>
      <c r="AU21" s="15"/>
      <c r="AV21" s="15" t="s">
        <v>381</v>
      </c>
      <c r="AW21" s="15"/>
      <c r="AX21" s="15"/>
      <c r="AY21" s="15"/>
      <c r="AZ21" s="18"/>
      <c r="BA21" s="18"/>
      <c r="BB21" s="19">
        <v>7.3578343620566602E-2</v>
      </c>
      <c r="BC21" s="19">
        <v>7.2189923386150198E-2</v>
      </c>
      <c r="BD21" s="19">
        <v>7.0473564069962899E-2</v>
      </c>
      <c r="BE21" s="19">
        <v>6.8815210023169995E-2</v>
      </c>
      <c r="BF21" s="19">
        <v>6.7212676111448794E-2</v>
      </c>
      <c r="BG21" s="19">
        <v>6.5647461201403995E-2</v>
      </c>
      <c r="BH21" s="19">
        <v>6.4118696226942204E-2</v>
      </c>
      <c r="BI21" s="19">
        <v>6.26255323603431E-2</v>
      </c>
      <c r="BJ21" s="19">
        <v>6.1167140540958301E-2</v>
      </c>
      <c r="BK21" s="18"/>
      <c r="BL21" s="18"/>
      <c r="BM21" s="19">
        <v>7.4134000000000005E-2</v>
      </c>
      <c r="BN21" s="19">
        <v>7.3542999999999997E-2</v>
      </c>
      <c r="BO21" s="19">
        <v>7.2773000000000004E-2</v>
      </c>
      <c r="BP21" s="19">
        <v>7.1957999999999994E-2</v>
      </c>
      <c r="BQ21" s="19">
        <v>7.1098999999999996E-2</v>
      </c>
      <c r="BR21" s="19">
        <v>7.0249000000000006E-2</v>
      </c>
      <c r="BS21" s="19">
        <v>6.9409999999999999E-2</v>
      </c>
      <c r="BT21" s="19">
        <v>6.8581000000000003E-2</v>
      </c>
      <c r="BU21" s="19">
        <v>6.7762000000000003E-2</v>
      </c>
    </row>
    <row r="22" spans="3:73" x14ac:dyDescent="0.45">
      <c r="C22" s="15" t="s">
        <v>249</v>
      </c>
      <c r="D22" s="15" t="s">
        <v>250</v>
      </c>
      <c r="E22" s="15" t="s">
        <v>266</v>
      </c>
      <c r="F22" s="15" t="s">
        <v>252</v>
      </c>
      <c r="G22" s="15"/>
      <c r="H22" s="15"/>
      <c r="I22" s="15"/>
      <c r="J22" s="18"/>
      <c r="K22" s="18"/>
      <c r="L22" s="19">
        <v>0.84</v>
      </c>
      <c r="M22" s="18"/>
      <c r="N22" s="18"/>
      <c r="O22" s="18"/>
      <c r="P22" s="18"/>
      <c r="Q22" s="18"/>
      <c r="R22" s="19">
        <v>0.84</v>
      </c>
      <c r="S22" s="18"/>
      <c r="T22" s="18"/>
      <c r="U22" s="18"/>
      <c r="V22" s="18"/>
      <c r="X22" s="15" t="s">
        <v>249</v>
      </c>
      <c r="Y22" s="15" t="s">
        <v>250</v>
      </c>
      <c r="Z22" s="15" t="s">
        <v>345</v>
      </c>
      <c r="AA22" s="15" t="s">
        <v>252</v>
      </c>
      <c r="AB22" s="15"/>
      <c r="AC22" s="15"/>
      <c r="AD22" s="15"/>
      <c r="AE22" s="18"/>
      <c r="AF22" s="18"/>
      <c r="AG22" s="19">
        <v>0.128205128205128</v>
      </c>
      <c r="AH22" s="18"/>
      <c r="AI22" s="18"/>
      <c r="AJ22" s="18"/>
      <c r="AK22" s="18"/>
      <c r="AL22" s="18"/>
      <c r="AM22" s="19">
        <v>0.128205128205128</v>
      </c>
      <c r="AN22" s="18"/>
      <c r="AO22" s="18"/>
      <c r="AP22" s="18"/>
      <c r="AR22" s="15" t="s">
        <v>249</v>
      </c>
      <c r="AS22" s="15" t="s">
        <v>369</v>
      </c>
      <c r="AT22" s="15"/>
      <c r="AU22" s="15"/>
      <c r="AV22" s="15" t="s">
        <v>382</v>
      </c>
      <c r="AW22" s="15"/>
      <c r="AX22" s="15"/>
      <c r="AY22" s="15"/>
      <c r="AZ22" s="18"/>
      <c r="BA22" s="18"/>
      <c r="BB22" s="19">
        <v>5.91022632586778E-3</v>
      </c>
      <c r="BC22" s="19">
        <v>6.1260107583488701E-3</v>
      </c>
      <c r="BD22" s="19">
        <v>6.2618269276438999E-3</v>
      </c>
      <c r="BE22" s="19">
        <v>6.46432078596741E-3</v>
      </c>
      <c r="BF22" s="19">
        <v>6.7247354242197296E-3</v>
      </c>
      <c r="BG22" s="19">
        <v>7.0303995067341699E-3</v>
      </c>
      <c r="BH22" s="19">
        <v>7.3681434514102501E-3</v>
      </c>
      <c r="BI22" s="19">
        <v>7.0070311085269898E-3</v>
      </c>
      <c r="BJ22" s="19">
        <v>6.6636168635489396E-3</v>
      </c>
      <c r="BK22" s="18"/>
      <c r="BL22" s="18"/>
      <c r="BM22" s="19">
        <v>6.0000000000000001E-3</v>
      </c>
      <c r="BN22" s="19">
        <v>6.3460000000000001E-3</v>
      </c>
      <c r="BO22" s="19">
        <v>6.6519999999999999E-3</v>
      </c>
      <c r="BP22" s="19">
        <v>7.0419999999999996E-3</v>
      </c>
      <c r="BQ22" s="19">
        <v>7.5129999999999997E-3</v>
      </c>
      <c r="BR22" s="19">
        <v>8.0549999999999997E-3</v>
      </c>
      <c r="BS22" s="19">
        <v>8.6569999999999998E-3</v>
      </c>
      <c r="BT22" s="19">
        <v>8.4430000000000009E-3</v>
      </c>
      <c r="BU22" s="19">
        <v>8.234E-3</v>
      </c>
    </row>
    <row r="23" spans="3:73" x14ac:dyDescent="0.45">
      <c r="C23" s="15" t="s">
        <v>249</v>
      </c>
      <c r="D23" s="15" t="s">
        <v>250</v>
      </c>
      <c r="E23" s="15" t="s">
        <v>267</v>
      </c>
      <c r="F23" s="15" t="s">
        <v>252</v>
      </c>
      <c r="G23" s="15"/>
      <c r="H23" s="15"/>
      <c r="I23" s="15"/>
      <c r="J23" s="18"/>
      <c r="K23" s="18"/>
      <c r="L23" s="19">
        <v>0.95</v>
      </c>
      <c r="M23" s="19"/>
      <c r="N23" s="18"/>
      <c r="O23" s="19"/>
      <c r="P23" s="18"/>
      <c r="Q23" s="18"/>
      <c r="R23" s="19">
        <v>0.95</v>
      </c>
      <c r="S23" s="19"/>
      <c r="T23" s="18"/>
      <c r="U23" s="19"/>
      <c r="V23" s="19"/>
      <c r="X23" s="15" t="s">
        <v>249</v>
      </c>
      <c r="Y23" s="15" t="s">
        <v>250</v>
      </c>
      <c r="Z23" s="15" t="s">
        <v>346</v>
      </c>
      <c r="AA23" s="15" t="s">
        <v>252</v>
      </c>
      <c r="AB23" s="15"/>
      <c r="AC23" s="15"/>
      <c r="AD23" s="15"/>
      <c r="AE23" s="18"/>
      <c r="AF23" s="18"/>
      <c r="AG23" s="19">
        <v>0.13187233674282201</v>
      </c>
      <c r="AH23" s="19">
        <v>0.13722673053484899</v>
      </c>
      <c r="AI23" s="18"/>
      <c r="AJ23" s="19">
        <v>0.144488417272193</v>
      </c>
      <c r="AK23" s="18"/>
      <c r="AL23" s="18"/>
      <c r="AM23" s="19">
        <v>0.13187233674282201</v>
      </c>
      <c r="AN23" s="19">
        <v>0.137057123605487</v>
      </c>
      <c r="AO23" s="18"/>
      <c r="AP23" s="19">
        <v>0.13891373157995199</v>
      </c>
      <c r="AR23" s="15" t="s">
        <v>249</v>
      </c>
      <c r="AS23" s="15" t="s">
        <v>369</v>
      </c>
      <c r="AT23" s="15"/>
      <c r="AU23" s="15"/>
      <c r="AV23" s="15" t="s">
        <v>383</v>
      </c>
      <c r="AW23" s="15"/>
      <c r="AX23" s="15"/>
      <c r="AY23" s="15"/>
      <c r="AZ23" s="18"/>
      <c r="BA23" s="18"/>
      <c r="BB23" s="19">
        <v>5.2075161209867299E-2</v>
      </c>
      <c r="BC23" s="19">
        <v>5.5075165489168999E-2</v>
      </c>
      <c r="BD23" s="19">
        <v>5.7732258325222399E-2</v>
      </c>
      <c r="BE23" s="19">
        <v>6.11195033936879E-2</v>
      </c>
      <c r="BF23" s="19">
        <v>6.5203596335597303E-2</v>
      </c>
      <c r="BG23" s="19">
        <v>6.9906214197385699E-2</v>
      </c>
      <c r="BH23" s="19">
        <v>7.5133441449229399E-2</v>
      </c>
      <c r="BI23" s="19">
        <v>7.3273795091116395E-2</v>
      </c>
      <c r="BJ23" s="19">
        <v>7.1460177299118993E-2</v>
      </c>
      <c r="BK23" s="18"/>
      <c r="BL23" s="18"/>
      <c r="BM23" s="19">
        <v>5.2469000000000002E-2</v>
      </c>
      <c r="BN23" s="19">
        <v>5.6050999999999997E-2</v>
      </c>
      <c r="BO23" s="19">
        <v>5.9497000000000001E-2</v>
      </c>
      <c r="BP23" s="19">
        <v>6.3783000000000006E-2</v>
      </c>
      <c r="BQ23" s="19">
        <v>6.8904999999999994E-2</v>
      </c>
      <c r="BR23" s="19">
        <v>7.4806999999999998E-2</v>
      </c>
      <c r="BS23" s="19">
        <v>8.1416000000000002E-2</v>
      </c>
      <c r="BT23" s="19">
        <v>8.0403000000000002E-2</v>
      </c>
      <c r="BU23" s="19">
        <v>7.9403000000000001E-2</v>
      </c>
    </row>
    <row r="24" spans="3:73" x14ac:dyDescent="0.45">
      <c r="C24" s="15" t="s">
        <v>249</v>
      </c>
      <c r="D24" s="15" t="s">
        <v>250</v>
      </c>
      <c r="E24" s="15" t="s">
        <v>268</v>
      </c>
      <c r="F24" s="15" t="s">
        <v>252</v>
      </c>
      <c r="G24" s="15"/>
      <c r="H24" s="15"/>
      <c r="I24" s="15"/>
      <c r="J24" s="18"/>
      <c r="K24" s="18"/>
      <c r="L24" s="19">
        <v>0.7</v>
      </c>
      <c r="M24" s="18"/>
      <c r="N24" s="18"/>
      <c r="O24" s="18"/>
      <c r="P24" s="18"/>
      <c r="Q24" s="18"/>
      <c r="R24" s="19">
        <v>0.7</v>
      </c>
      <c r="S24" s="18"/>
      <c r="T24" s="18"/>
      <c r="U24" s="18"/>
      <c r="V24" s="18"/>
      <c r="X24" s="15" t="s">
        <v>249</v>
      </c>
      <c r="Y24" s="15" t="s">
        <v>250</v>
      </c>
      <c r="Z24" s="15" t="s">
        <v>347</v>
      </c>
      <c r="AA24" s="15" t="s">
        <v>252</v>
      </c>
      <c r="AB24" s="15"/>
      <c r="AC24" s="15"/>
      <c r="AD24" s="15"/>
      <c r="AE24" s="18"/>
      <c r="AF24" s="18"/>
      <c r="AG24" s="19">
        <v>0.16328799999999999</v>
      </c>
      <c r="AH24" s="18"/>
      <c r="AI24" s="18"/>
      <c r="AJ24" s="18"/>
      <c r="AK24" s="18"/>
      <c r="AL24" s="18"/>
      <c r="AM24" s="19">
        <v>0.16328799999999999</v>
      </c>
      <c r="AN24" s="18"/>
      <c r="AO24" s="18"/>
      <c r="AP24" s="18"/>
      <c r="AR24" s="15" t="s">
        <v>249</v>
      </c>
      <c r="AS24" s="15" t="s">
        <v>369</v>
      </c>
      <c r="AT24" s="15"/>
      <c r="AU24" s="15"/>
      <c r="AV24" s="15" t="s">
        <v>384</v>
      </c>
      <c r="AW24" s="15"/>
      <c r="AX24" s="15"/>
      <c r="AY24" s="15"/>
      <c r="AZ24" s="18"/>
      <c r="BA24" s="18"/>
      <c r="BB24" s="19">
        <v>6.6202681356819906E-2</v>
      </c>
      <c r="BC24" s="19">
        <v>7.0016559658056504E-2</v>
      </c>
      <c r="BD24" s="19">
        <v>7.3394497743582796E-2</v>
      </c>
      <c r="BE24" s="19">
        <v>7.7700671756973899E-2</v>
      </c>
      <c r="BF24" s="19">
        <v>8.2892742167955794E-2</v>
      </c>
      <c r="BG24" s="19">
        <v>8.8871137714197093E-2</v>
      </c>
      <c r="BH24" s="19">
        <v>9.5516464432224099E-2</v>
      </c>
      <c r="BI24" s="19">
        <v>9.3152312840136406E-2</v>
      </c>
      <c r="BJ24" s="19">
        <v>9.0846676947761898E-2</v>
      </c>
      <c r="BK24" s="18"/>
      <c r="BL24" s="18"/>
      <c r="BM24" s="19">
        <v>6.6702999999999998E-2</v>
      </c>
      <c r="BN24" s="19">
        <v>7.1257000000000001E-2</v>
      </c>
      <c r="BO24" s="19">
        <v>7.5637999999999997E-2</v>
      </c>
      <c r="BP24" s="19">
        <v>8.1087000000000006E-2</v>
      </c>
      <c r="BQ24" s="19">
        <v>8.7597999999999995E-2</v>
      </c>
      <c r="BR24" s="19">
        <v>9.5101000000000005E-2</v>
      </c>
      <c r="BS24" s="19">
        <v>0.103503</v>
      </c>
      <c r="BT24" s="19">
        <v>0.102216</v>
      </c>
      <c r="BU24" s="19">
        <v>0.10094400000000001</v>
      </c>
    </row>
    <row r="25" spans="3:73" x14ac:dyDescent="0.45">
      <c r="C25" s="15" t="s">
        <v>249</v>
      </c>
      <c r="D25" s="15" t="s">
        <v>250</v>
      </c>
      <c r="E25" s="15" t="s">
        <v>269</v>
      </c>
      <c r="F25" s="15" t="s">
        <v>252</v>
      </c>
      <c r="G25" s="15"/>
      <c r="H25" s="15"/>
      <c r="I25" s="15"/>
      <c r="J25" s="18"/>
      <c r="K25" s="18"/>
      <c r="L25" s="19">
        <v>2.95</v>
      </c>
      <c r="M25" s="18"/>
      <c r="N25" s="18"/>
      <c r="O25" s="18"/>
      <c r="P25" s="18"/>
      <c r="Q25" s="18"/>
      <c r="R25" s="19">
        <v>2.9515940000000001</v>
      </c>
      <c r="S25" s="18"/>
      <c r="T25" s="18"/>
      <c r="U25" s="18"/>
      <c r="V25" s="18"/>
      <c r="X25" s="15" t="s">
        <v>249</v>
      </c>
      <c r="Y25" s="15" t="s">
        <v>250</v>
      </c>
      <c r="Z25" s="15" t="s">
        <v>348</v>
      </c>
      <c r="AA25" s="15" t="s">
        <v>252</v>
      </c>
      <c r="AB25" s="15"/>
      <c r="AC25" s="15"/>
      <c r="AD25" s="15"/>
      <c r="AE25" s="18"/>
      <c r="AF25" s="18"/>
      <c r="AG25" s="19">
        <v>9.2196E-2</v>
      </c>
      <c r="AH25" s="18"/>
      <c r="AI25" s="18"/>
      <c r="AJ25" s="18"/>
      <c r="AK25" s="18"/>
      <c r="AL25" s="18"/>
      <c r="AM25" s="19">
        <v>9.2196E-2</v>
      </c>
      <c r="AN25" s="18"/>
      <c r="AO25" s="18"/>
      <c r="AP25" s="18"/>
      <c r="AR25" s="15" t="s">
        <v>249</v>
      </c>
      <c r="AS25" s="15" t="s">
        <v>369</v>
      </c>
      <c r="AT25" s="15"/>
      <c r="AU25" s="15"/>
      <c r="AV25" s="15" t="s">
        <v>385</v>
      </c>
      <c r="AW25" s="15"/>
      <c r="AX25" s="15"/>
      <c r="AY25" s="15"/>
      <c r="AZ25" s="18"/>
      <c r="BA25" s="18"/>
      <c r="BB25" s="19">
        <v>0.15379584367151</v>
      </c>
      <c r="BC25" s="19">
        <v>0.16265588708633399</v>
      </c>
      <c r="BD25" s="19">
        <v>0.170503195187551</v>
      </c>
      <c r="BE25" s="19">
        <v>0.18050689370568601</v>
      </c>
      <c r="BF25" s="19">
        <v>0.19256862342559</v>
      </c>
      <c r="BG25" s="19">
        <v>0.20645706975422901</v>
      </c>
      <c r="BH25" s="19">
        <v>0.22189486786339099</v>
      </c>
      <c r="BI25" s="19">
        <v>0.216402693207915</v>
      </c>
      <c r="BJ25" s="19">
        <v>0.21104645672323499</v>
      </c>
      <c r="BK25" s="18"/>
      <c r="BL25" s="18"/>
      <c r="BM25" s="19">
        <v>0.15495800000000001</v>
      </c>
      <c r="BN25" s="19">
        <v>0.16553799999999999</v>
      </c>
      <c r="BO25" s="19">
        <v>0.17571600000000001</v>
      </c>
      <c r="BP25" s="19">
        <v>0.18837400000000001</v>
      </c>
      <c r="BQ25" s="19">
        <v>0.20349900000000001</v>
      </c>
      <c r="BR25" s="19">
        <v>0.22092999999999999</v>
      </c>
      <c r="BS25" s="19">
        <v>0.240448</v>
      </c>
      <c r="BT25" s="19">
        <v>0.237458</v>
      </c>
      <c r="BU25" s="19">
        <v>0.23450399999999999</v>
      </c>
    </row>
    <row r="26" spans="3:73" x14ac:dyDescent="0.45">
      <c r="C26" s="15" t="s">
        <v>249</v>
      </c>
      <c r="D26" s="15" t="s">
        <v>250</v>
      </c>
      <c r="E26" s="15" t="s">
        <v>270</v>
      </c>
      <c r="F26" s="15" t="s">
        <v>252</v>
      </c>
      <c r="G26" s="15"/>
      <c r="H26" s="15"/>
      <c r="I26" s="15"/>
      <c r="J26" s="18"/>
      <c r="K26" s="18"/>
      <c r="L26" s="19">
        <v>3.5</v>
      </c>
      <c r="M26" s="18"/>
      <c r="N26" s="18"/>
      <c r="O26" s="18"/>
      <c r="P26" s="18"/>
      <c r="Q26" s="18"/>
      <c r="R26" s="19">
        <v>3.5</v>
      </c>
      <c r="S26" s="18"/>
      <c r="T26" s="18"/>
      <c r="U26" s="18"/>
      <c r="V26" s="18"/>
      <c r="X26" s="15" t="s">
        <v>249</v>
      </c>
      <c r="Y26" s="15" t="s">
        <v>250</v>
      </c>
      <c r="Z26" s="15" t="s">
        <v>349</v>
      </c>
      <c r="AA26" s="15" t="s">
        <v>252</v>
      </c>
      <c r="AB26" s="15"/>
      <c r="AC26" s="15"/>
      <c r="AD26" s="15"/>
      <c r="AE26" s="18"/>
      <c r="AF26" s="18"/>
      <c r="AG26" s="19">
        <v>0.05</v>
      </c>
      <c r="AH26" s="18"/>
      <c r="AI26" s="18"/>
      <c r="AJ26" s="18"/>
      <c r="AK26" s="18"/>
      <c r="AL26" s="18"/>
      <c r="AM26" s="19">
        <v>0.05</v>
      </c>
      <c r="AN26" s="18"/>
      <c r="AO26" s="18"/>
      <c r="AP26" s="18"/>
      <c r="AR26" s="15" t="s">
        <v>249</v>
      </c>
      <c r="AS26" s="15" t="s">
        <v>369</v>
      </c>
      <c r="AT26" s="15"/>
      <c r="AU26" s="15"/>
      <c r="AV26" s="15" t="s">
        <v>386</v>
      </c>
      <c r="AW26" s="15"/>
      <c r="AX26" s="15"/>
      <c r="AY26" s="15"/>
      <c r="AZ26" s="18"/>
      <c r="BA26" s="18"/>
      <c r="BB26" s="19">
        <v>0.11250123447086501</v>
      </c>
      <c r="BC26" s="19">
        <v>0.107114828085883</v>
      </c>
      <c r="BD26" s="19">
        <v>9.4161955993913596E-2</v>
      </c>
      <c r="BE26" s="19">
        <v>8.8344897768547204E-2</v>
      </c>
      <c r="BF26" s="19">
        <v>8.2900059267922793E-2</v>
      </c>
      <c r="BG26" s="19">
        <v>7.7802875115962705E-2</v>
      </c>
      <c r="BH26" s="19">
        <v>7.3030443177839993E-2</v>
      </c>
      <c r="BI26" s="19">
        <v>6.7715032089568306E-2</v>
      </c>
      <c r="BJ26" s="19">
        <v>6.2786495211665599E-2</v>
      </c>
      <c r="BK26" s="18"/>
      <c r="BL26" s="18"/>
      <c r="BM26" s="19">
        <v>0.115091</v>
      </c>
      <c r="BN26" s="19">
        <v>0.112956</v>
      </c>
      <c r="BO26" s="19">
        <v>0.103135</v>
      </c>
      <c r="BP26" s="19">
        <v>0.100504</v>
      </c>
      <c r="BQ26" s="19">
        <v>9.7956000000000001E-2</v>
      </c>
      <c r="BR26" s="19">
        <v>9.5486000000000001E-2</v>
      </c>
      <c r="BS26" s="19">
        <v>9.3093999999999996E-2</v>
      </c>
      <c r="BT26" s="19">
        <v>8.9654999999999999E-2</v>
      </c>
      <c r="BU26" s="19">
        <v>8.6343000000000003E-2</v>
      </c>
    </row>
    <row r="27" spans="3:73" x14ac:dyDescent="0.45">
      <c r="C27" s="15" t="s">
        <v>249</v>
      </c>
      <c r="D27" s="15" t="s">
        <v>250</v>
      </c>
      <c r="E27" s="15" t="s">
        <v>271</v>
      </c>
      <c r="F27" s="15" t="s">
        <v>252</v>
      </c>
      <c r="G27" s="15"/>
      <c r="H27" s="15"/>
      <c r="I27" s="15"/>
      <c r="J27" s="18"/>
      <c r="K27" s="18"/>
      <c r="L27" s="19">
        <v>0.9</v>
      </c>
      <c r="M27" s="19"/>
      <c r="N27" s="18"/>
      <c r="O27" s="19"/>
      <c r="P27" s="18"/>
      <c r="Q27" s="18"/>
      <c r="R27" s="19">
        <v>0.9</v>
      </c>
      <c r="S27" s="19"/>
      <c r="T27" s="18"/>
      <c r="U27" s="19"/>
      <c r="V27" s="19"/>
      <c r="X27" s="15" t="s">
        <v>249</v>
      </c>
      <c r="Y27" s="15" t="s">
        <v>250</v>
      </c>
      <c r="Z27" s="15" t="s">
        <v>350</v>
      </c>
      <c r="AA27" s="15" t="s">
        <v>252</v>
      </c>
      <c r="AB27" s="15"/>
      <c r="AC27" s="15"/>
      <c r="AD27" s="15"/>
      <c r="AE27" s="18"/>
      <c r="AF27" s="18"/>
      <c r="AG27" s="19">
        <v>0.26548132515092698</v>
      </c>
      <c r="AH27" s="19">
        <v>0.30574531757421303</v>
      </c>
      <c r="AI27" s="18"/>
      <c r="AJ27" s="19">
        <v>0.33634750825931398</v>
      </c>
      <c r="AK27" s="18"/>
      <c r="AL27" s="18"/>
      <c r="AM27" s="19">
        <v>0.26548132515092698</v>
      </c>
      <c r="AN27" s="19">
        <v>0.31138463148104101</v>
      </c>
      <c r="AO27" s="18"/>
      <c r="AP27" s="19">
        <v>0.337359295474851</v>
      </c>
      <c r="AR27" s="15" t="s">
        <v>249</v>
      </c>
      <c r="AS27" s="15" t="s">
        <v>369</v>
      </c>
      <c r="AT27" s="15"/>
      <c r="AU27" s="15"/>
      <c r="AV27" s="15" t="s">
        <v>387</v>
      </c>
      <c r="AW27" s="15"/>
      <c r="AX27" s="15"/>
      <c r="AY27" s="15"/>
      <c r="AZ27" s="18"/>
      <c r="BA27" s="18"/>
      <c r="BB27" s="19">
        <v>1.83847694313352E-3</v>
      </c>
      <c r="BC27" s="19">
        <v>1.8226274038672401E-3</v>
      </c>
      <c r="BD27" s="19">
        <v>1.6852255048052101E-3</v>
      </c>
      <c r="BE27" s="19">
        <v>1.6630230765739399E-3</v>
      </c>
      <c r="BF27" s="19">
        <v>1.6413677476215E-3</v>
      </c>
      <c r="BG27" s="19">
        <v>1.6202459768633801E-3</v>
      </c>
      <c r="BH27" s="19">
        <v>1.5996445583737499E-3</v>
      </c>
      <c r="BI27" s="19">
        <v>1.5600513609921899E-3</v>
      </c>
      <c r="BJ27" s="19">
        <v>1.52143814461372E-3</v>
      </c>
      <c r="BK27" s="18"/>
      <c r="BL27" s="18"/>
      <c r="BM27" s="19">
        <v>1.8519999999999999E-3</v>
      </c>
      <c r="BN27" s="19">
        <v>1.8550000000000001E-3</v>
      </c>
      <c r="BO27" s="19">
        <v>1.737E-3</v>
      </c>
      <c r="BP27" s="19">
        <v>1.7359999999999999E-3</v>
      </c>
      <c r="BQ27" s="19">
        <v>1.735E-3</v>
      </c>
      <c r="BR27" s="19">
        <v>1.7340000000000001E-3</v>
      </c>
      <c r="BS27" s="19">
        <v>1.7329999999999999E-3</v>
      </c>
      <c r="BT27" s="19">
        <v>1.712E-3</v>
      </c>
      <c r="BU27" s="19">
        <v>1.691E-3</v>
      </c>
    </row>
    <row r="28" spans="3:73" x14ac:dyDescent="0.45">
      <c r="C28" s="15" t="s">
        <v>249</v>
      </c>
      <c r="D28" s="15" t="s">
        <v>250</v>
      </c>
      <c r="E28" s="15" t="s">
        <v>272</v>
      </c>
      <c r="F28" s="15" t="s">
        <v>252</v>
      </c>
      <c r="G28" s="15"/>
      <c r="H28" s="15"/>
      <c r="I28" s="15"/>
      <c r="J28" s="18"/>
      <c r="K28" s="18"/>
      <c r="L28" s="19">
        <v>3.5</v>
      </c>
      <c r="M28" s="19"/>
      <c r="N28" s="18"/>
      <c r="O28" s="19"/>
      <c r="P28" s="18"/>
      <c r="Q28" s="18"/>
      <c r="R28" s="19">
        <v>3.5</v>
      </c>
      <c r="S28" s="19"/>
      <c r="T28" s="18"/>
      <c r="U28" s="19"/>
      <c r="V28" s="19"/>
      <c r="X28" s="15" t="s">
        <v>249</v>
      </c>
      <c r="Y28" s="15" t="s">
        <v>250</v>
      </c>
      <c r="Z28" s="15" t="s">
        <v>351</v>
      </c>
      <c r="AA28" s="15" t="s">
        <v>252</v>
      </c>
      <c r="AB28" s="15"/>
      <c r="AC28" s="15"/>
      <c r="AD28" s="15"/>
      <c r="AE28" s="18"/>
      <c r="AF28" s="18"/>
      <c r="AG28" s="19">
        <v>0.16129032258064499</v>
      </c>
      <c r="AH28" s="19">
        <v>0.175746924428822</v>
      </c>
      <c r="AI28" s="18"/>
      <c r="AJ28" s="19">
        <v>0.205338809034908</v>
      </c>
      <c r="AK28" s="18"/>
      <c r="AL28" s="18"/>
      <c r="AM28" s="19">
        <v>0.16129032258064499</v>
      </c>
      <c r="AN28" s="19">
        <v>0.175746924428822</v>
      </c>
      <c r="AO28" s="18"/>
      <c r="AP28" s="19">
        <v>0.205338809034908</v>
      </c>
      <c r="AR28" s="15" t="s">
        <v>249</v>
      </c>
      <c r="AS28" s="15" t="s">
        <v>369</v>
      </c>
      <c r="AT28" s="15"/>
      <c r="AU28" s="15"/>
      <c r="AV28" s="15" t="s">
        <v>388</v>
      </c>
      <c r="AW28" s="15"/>
      <c r="AX28" s="15"/>
      <c r="AY28" s="15"/>
      <c r="AZ28" s="18"/>
      <c r="BA28" s="18"/>
      <c r="BB28" s="19">
        <v>6.5715155392520302E-3</v>
      </c>
      <c r="BC28" s="19">
        <v>6.3848941630030602E-3</v>
      </c>
      <c r="BD28" s="19">
        <v>5.7567106297134497E-3</v>
      </c>
      <c r="BE28" s="19">
        <v>5.5395593683485204E-3</v>
      </c>
      <c r="BF28" s="19">
        <v>5.3314263015512902E-3</v>
      </c>
      <c r="BG28" s="19">
        <v>5.1319100514281403E-3</v>
      </c>
      <c r="BH28" s="19">
        <v>4.9406278966635303E-3</v>
      </c>
      <c r="BI28" s="19">
        <v>4.6984879699853797E-3</v>
      </c>
      <c r="BJ28" s="19">
        <v>4.4682153090309503E-3</v>
      </c>
      <c r="BK28" s="18"/>
      <c r="BL28" s="18"/>
      <c r="BM28" s="19">
        <v>6.672E-3</v>
      </c>
      <c r="BN28" s="19">
        <v>6.6140000000000001E-3</v>
      </c>
      <c r="BO28" s="19">
        <v>6.1149999999999998E-3</v>
      </c>
      <c r="BP28" s="19">
        <v>6.0350000000000004E-3</v>
      </c>
      <c r="BQ28" s="19">
        <v>5.9560000000000004E-3</v>
      </c>
      <c r="BR28" s="19">
        <v>5.8799999999999998E-3</v>
      </c>
      <c r="BS28" s="19">
        <v>5.8050000000000003E-3</v>
      </c>
      <c r="BT28" s="19">
        <v>5.6610000000000002E-3</v>
      </c>
      <c r="BU28" s="19">
        <v>5.5209999999999999E-3</v>
      </c>
    </row>
    <row r="29" spans="3:73" x14ac:dyDescent="0.45">
      <c r="C29" s="15" t="s">
        <v>249</v>
      </c>
      <c r="D29" s="15" t="s">
        <v>250</v>
      </c>
      <c r="E29" s="15" t="s">
        <v>273</v>
      </c>
      <c r="F29" s="15" t="s">
        <v>252</v>
      </c>
      <c r="G29" s="15"/>
      <c r="H29" s="15"/>
      <c r="I29" s="15"/>
      <c r="J29" s="18"/>
      <c r="K29" s="18"/>
      <c r="L29" s="19">
        <v>0.18</v>
      </c>
      <c r="M29" s="19"/>
      <c r="N29" s="18"/>
      <c r="O29" s="19"/>
      <c r="P29" s="18"/>
      <c r="Q29" s="18"/>
      <c r="R29" s="19">
        <v>0.18</v>
      </c>
      <c r="S29" s="19"/>
      <c r="T29" s="18"/>
      <c r="U29" s="19"/>
      <c r="V29" s="19"/>
      <c r="X29" s="15" t="s">
        <v>249</v>
      </c>
      <c r="Y29" s="15" t="s">
        <v>250</v>
      </c>
      <c r="Z29" s="15" t="s">
        <v>352</v>
      </c>
      <c r="AA29" s="15" t="s">
        <v>252</v>
      </c>
      <c r="AB29" s="15"/>
      <c r="AC29" s="15"/>
      <c r="AD29" s="15"/>
      <c r="AE29" s="18"/>
      <c r="AF29" s="18"/>
      <c r="AG29" s="19">
        <v>7.3200547754531498E-2</v>
      </c>
      <c r="AH29" s="19">
        <v>7.76797171473083E-2</v>
      </c>
      <c r="AI29" s="18"/>
      <c r="AJ29" s="19">
        <v>8.2433931151336001E-2</v>
      </c>
      <c r="AK29" s="18"/>
      <c r="AL29" s="18"/>
      <c r="AM29" s="19">
        <v>7.3200547754531498E-2</v>
      </c>
      <c r="AN29" s="19">
        <v>7.7810538730488696E-2</v>
      </c>
      <c r="AO29" s="18"/>
      <c r="AP29" s="19">
        <v>8.0238361195686503E-2</v>
      </c>
      <c r="AR29" s="15" t="s">
        <v>249</v>
      </c>
      <c r="AS29" s="15" t="s">
        <v>369</v>
      </c>
      <c r="AT29" s="15"/>
      <c r="AU29" s="15"/>
      <c r="AV29" s="15" t="s">
        <v>389</v>
      </c>
      <c r="AW29" s="15"/>
      <c r="AX29" s="15"/>
      <c r="AY29" s="15"/>
      <c r="AZ29" s="18"/>
      <c r="BA29" s="18"/>
      <c r="BB29" s="19">
        <v>0.10500733049088699</v>
      </c>
      <c r="BC29" s="19">
        <v>0.102025276744626</v>
      </c>
      <c r="BD29" s="19">
        <v>9.1987428474303704E-2</v>
      </c>
      <c r="BE29" s="19">
        <v>8.8517532659181594E-2</v>
      </c>
      <c r="BF29" s="19">
        <v>8.5191740062220606E-2</v>
      </c>
      <c r="BG29" s="19">
        <v>8.2003636999868401E-2</v>
      </c>
      <c r="BH29" s="19">
        <v>7.8947107905110697E-2</v>
      </c>
      <c r="BI29" s="19">
        <v>7.5077914086141895E-2</v>
      </c>
      <c r="BJ29" s="19">
        <v>7.1398349263168001E-2</v>
      </c>
      <c r="BK29" s="18"/>
      <c r="BL29" s="18"/>
      <c r="BM29" s="19">
        <v>0.10660600000000001</v>
      </c>
      <c r="BN29" s="19">
        <v>0.105687</v>
      </c>
      <c r="BO29" s="19">
        <v>9.7720000000000001E-2</v>
      </c>
      <c r="BP29" s="19">
        <v>9.6432000000000004E-2</v>
      </c>
      <c r="BQ29" s="19">
        <v>9.5176999999999998E-2</v>
      </c>
      <c r="BR29" s="19">
        <v>9.3951999999999994E-2</v>
      </c>
      <c r="BS29" s="19">
        <v>9.2757000000000006E-2</v>
      </c>
      <c r="BT29" s="19">
        <v>9.0462000000000001E-2</v>
      </c>
      <c r="BU29" s="19">
        <v>8.8222999999999996E-2</v>
      </c>
    </row>
    <row r="30" spans="3:73" x14ac:dyDescent="0.45">
      <c r="C30" s="15" t="s">
        <v>249</v>
      </c>
      <c r="D30" s="15" t="s">
        <v>250</v>
      </c>
      <c r="E30" s="15" t="s">
        <v>274</v>
      </c>
      <c r="F30" s="15" t="s">
        <v>252</v>
      </c>
      <c r="G30" s="15"/>
      <c r="H30" s="15"/>
      <c r="I30" s="15"/>
      <c r="J30" s="18"/>
      <c r="K30" s="18"/>
      <c r="L30" s="19">
        <v>0.19</v>
      </c>
      <c r="M30" s="19"/>
      <c r="N30" s="18"/>
      <c r="O30" s="19"/>
      <c r="P30" s="18"/>
      <c r="Q30" s="18"/>
      <c r="R30" s="19">
        <v>0.193823</v>
      </c>
      <c r="S30" s="19"/>
      <c r="T30" s="18"/>
      <c r="U30" s="19"/>
      <c r="V30" s="19"/>
      <c r="X30" s="15" t="s">
        <v>249</v>
      </c>
      <c r="Y30" s="15" t="s">
        <v>250</v>
      </c>
      <c r="Z30" s="15" t="s">
        <v>353</v>
      </c>
      <c r="AA30" s="15" t="s">
        <v>252</v>
      </c>
      <c r="AB30" s="15"/>
      <c r="AC30" s="15"/>
      <c r="AD30" s="15"/>
      <c r="AE30" s="18"/>
      <c r="AF30" s="18"/>
      <c r="AG30" s="19">
        <v>1.40799261532579</v>
      </c>
      <c r="AH30" s="19">
        <v>1.4244365170503801</v>
      </c>
      <c r="AI30" s="18"/>
      <c r="AJ30" s="19">
        <v>1.5685013916117001</v>
      </c>
      <c r="AK30" s="18"/>
      <c r="AL30" s="18"/>
      <c r="AM30" s="19">
        <v>1.40799261532579</v>
      </c>
      <c r="AN30" s="19">
        <v>1.4026374279118099</v>
      </c>
      <c r="AO30" s="18"/>
      <c r="AP30" s="19">
        <v>1.5730133676073199</v>
      </c>
      <c r="AR30" s="15" t="s">
        <v>249</v>
      </c>
      <c r="AS30" s="15" t="s">
        <v>369</v>
      </c>
      <c r="AT30" s="15"/>
      <c r="AU30" s="15"/>
      <c r="AV30" s="15" t="s">
        <v>390</v>
      </c>
      <c r="AW30" s="15"/>
      <c r="AX30" s="15"/>
      <c r="AY30" s="15"/>
      <c r="AZ30" s="18"/>
      <c r="BA30" s="18"/>
      <c r="BB30" s="19">
        <v>1.2075843006452E-2</v>
      </c>
      <c r="BC30" s="19">
        <v>1.1732906825631899E-2</v>
      </c>
      <c r="BD30" s="19">
        <v>1.0578554274544899E-2</v>
      </c>
      <c r="BE30" s="19">
        <v>1.01795162558059E-2</v>
      </c>
      <c r="BF30" s="19">
        <v>9.7970501071553695E-3</v>
      </c>
      <c r="BG30" s="19">
        <v>9.4304182549848695E-3</v>
      </c>
      <c r="BH30" s="19">
        <v>9.0789174090877296E-3</v>
      </c>
      <c r="BI30" s="19">
        <v>8.6339601199063205E-3</v>
      </c>
      <c r="BJ30" s="19">
        <v>8.2108101652643203E-3</v>
      </c>
      <c r="BK30" s="18"/>
      <c r="BL30" s="18"/>
      <c r="BM30" s="19">
        <v>1.226E-2</v>
      </c>
      <c r="BN30" s="19">
        <v>1.2154E-2</v>
      </c>
      <c r="BO30" s="19">
        <v>1.1238E-2</v>
      </c>
      <c r="BP30" s="19">
        <v>1.1089999999999999E-2</v>
      </c>
      <c r="BQ30" s="19">
        <v>1.0945E-2</v>
      </c>
      <c r="BR30" s="19">
        <v>1.0803999999999999E-2</v>
      </c>
      <c r="BS30" s="19">
        <v>1.0666999999999999E-2</v>
      </c>
      <c r="BT30" s="19">
        <v>1.0403000000000001E-2</v>
      </c>
      <c r="BU30" s="19">
        <v>1.0146000000000001E-2</v>
      </c>
    </row>
    <row r="31" spans="3:73" x14ac:dyDescent="0.45">
      <c r="C31" s="15" t="s">
        <v>249</v>
      </c>
      <c r="D31" s="15" t="s">
        <v>250</v>
      </c>
      <c r="E31" s="15" t="s">
        <v>275</v>
      </c>
      <c r="F31" s="15" t="s">
        <v>252</v>
      </c>
      <c r="G31" s="15"/>
      <c r="H31" s="15"/>
      <c r="I31" s="15"/>
      <c r="J31" s="18"/>
      <c r="K31" s="18"/>
      <c r="L31" s="19">
        <v>0.45</v>
      </c>
      <c r="M31" s="18"/>
      <c r="N31" s="18"/>
      <c r="O31" s="18"/>
      <c r="P31" s="18"/>
      <c r="Q31" s="18"/>
      <c r="R31" s="19">
        <v>0.45</v>
      </c>
      <c r="S31" s="18"/>
      <c r="T31" s="18"/>
      <c r="U31" s="18"/>
      <c r="V31" s="18"/>
      <c r="X31" s="15" t="s">
        <v>249</v>
      </c>
      <c r="Y31" s="15" t="s">
        <v>250</v>
      </c>
      <c r="Z31" s="15" t="s">
        <v>354</v>
      </c>
      <c r="AA31" s="15" t="s">
        <v>252</v>
      </c>
      <c r="AB31" s="15"/>
      <c r="AC31" s="15"/>
      <c r="AD31" s="15"/>
      <c r="AE31" s="18"/>
      <c r="AF31" s="18"/>
      <c r="AG31" s="19">
        <v>0.73529411764705899</v>
      </c>
      <c r="AH31" s="18"/>
      <c r="AI31" s="18"/>
      <c r="AJ31" s="18"/>
      <c r="AK31" s="18"/>
      <c r="AL31" s="18"/>
      <c r="AM31" s="19">
        <v>0.73529411764705899</v>
      </c>
      <c r="AN31" s="18"/>
      <c r="AO31" s="18"/>
      <c r="AP31" s="18"/>
      <c r="AR31" s="15" t="s">
        <v>249</v>
      </c>
      <c r="AS31" s="15" t="s">
        <v>369</v>
      </c>
      <c r="AT31" s="15"/>
      <c r="AU31" s="15"/>
      <c r="AV31" s="15" t="s">
        <v>391</v>
      </c>
      <c r="AW31" s="15"/>
      <c r="AX31" s="15"/>
      <c r="AY31" s="15"/>
      <c r="AZ31" s="18"/>
      <c r="BA31" s="18"/>
      <c r="BB31" s="19">
        <v>5.53341013558519E-2</v>
      </c>
      <c r="BC31" s="19">
        <v>5.3762694260053603E-2</v>
      </c>
      <c r="BD31" s="19">
        <v>4.8473203412242198E-2</v>
      </c>
      <c r="BE31" s="19">
        <v>4.6644725668539597E-2</v>
      </c>
      <c r="BF31" s="19">
        <v>4.4892183786096898E-2</v>
      </c>
      <c r="BG31" s="19">
        <v>4.3212198044526098E-2</v>
      </c>
      <c r="BH31" s="19">
        <v>4.1601545817336001E-2</v>
      </c>
      <c r="BI31" s="19">
        <v>3.9562656132745497E-2</v>
      </c>
      <c r="BJ31" s="19">
        <v>3.7623692329856198E-2</v>
      </c>
      <c r="BK31" s="18"/>
      <c r="BL31" s="18"/>
      <c r="BM31" s="19">
        <v>5.6176999999999998E-2</v>
      </c>
      <c r="BN31" s="19">
        <v>5.5691999999999998E-2</v>
      </c>
      <c r="BO31" s="19">
        <v>5.1493999999999998E-2</v>
      </c>
      <c r="BP31" s="19">
        <v>5.0816E-2</v>
      </c>
      <c r="BQ31" s="19">
        <v>5.0153999999999997E-2</v>
      </c>
      <c r="BR31" s="19">
        <v>4.9508000000000003E-2</v>
      </c>
      <c r="BS31" s="19">
        <v>4.8878999999999999E-2</v>
      </c>
      <c r="BT31" s="19">
        <v>4.7669000000000003E-2</v>
      </c>
      <c r="BU31" s="19">
        <v>4.6489000000000003E-2</v>
      </c>
    </row>
    <row r="32" spans="3:73" x14ac:dyDescent="0.45">
      <c r="C32" s="15" t="s">
        <v>249</v>
      </c>
      <c r="D32" s="15" t="s">
        <v>250</v>
      </c>
      <c r="E32" s="15" t="s">
        <v>276</v>
      </c>
      <c r="F32" s="15" t="s">
        <v>252</v>
      </c>
      <c r="G32" s="15"/>
      <c r="H32" s="15"/>
      <c r="I32" s="15"/>
      <c r="J32" s="18"/>
      <c r="K32" s="18"/>
      <c r="L32" s="19">
        <v>2.95</v>
      </c>
      <c r="M32" s="19"/>
      <c r="N32" s="18"/>
      <c r="O32" s="19"/>
      <c r="P32" s="18"/>
      <c r="Q32" s="18"/>
      <c r="R32" s="19">
        <v>2.9515940000000001</v>
      </c>
      <c r="S32" s="19"/>
      <c r="T32" s="18"/>
      <c r="U32" s="19"/>
      <c r="V32" s="19"/>
      <c r="X32" s="15" t="s">
        <v>249</v>
      </c>
      <c r="Y32" s="15" t="s">
        <v>250</v>
      </c>
      <c r="Z32" s="15" t="s">
        <v>355</v>
      </c>
      <c r="AA32" s="15" t="s">
        <v>252</v>
      </c>
      <c r="AB32" s="15"/>
      <c r="AC32" s="15"/>
      <c r="AD32" s="15"/>
      <c r="AE32" s="18"/>
      <c r="AF32" s="18"/>
      <c r="AG32" s="19">
        <v>0.37549179650919701</v>
      </c>
      <c r="AH32" s="19">
        <v>0.42744335605455303</v>
      </c>
      <c r="AI32" s="18"/>
      <c r="AJ32" s="19">
        <v>0.53509347127268303</v>
      </c>
      <c r="AK32" s="18"/>
      <c r="AL32" s="18"/>
      <c r="AM32" s="19">
        <v>0.37549179650919701</v>
      </c>
      <c r="AN32" s="19">
        <v>0.430137812296155</v>
      </c>
      <c r="AO32" s="18"/>
      <c r="AP32" s="19">
        <v>0.49287453900165201</v>
      </c>
      <c r="AR32" s="15" t="s">
        <v>249</v>
      </c>
      <c r="AS32" s="15" t="s">
        <v>369</v>
      </c>
      <c r="AT32" s="15"/>
      <c r="AU32" s="15"/>
      <c r="AV32" s="15" t="s">
        <v>392</v>
      </c>
      <c r="AW32" s="15"/>
      <c r="AX32" s="15"/>
      <c r="AY32" s="15"/>
      <c r="AZ32" s="18"/>
      <c r="BA32" s="18"/>
      <c r="BB32" s="19">
        <v>1.93992174566161E-3</v>
      </c>
      <c r="BC32" s="19">
        <v>1.9505429438028E-3</v>
      </c>
      <c r="BD32" s="19">
        <v>1.94102613332625E-3</v>
      </c>
      <c r="BE32" s="19">
        <v>1.9629873210145702E-3</v>
      </c>
      <c r="BF32" s="19">
        <v>1.9758451236908101E-3</v>
      </c>
      <c r="BG32" s="19">
        <v>1.9802057076845699E-3</v>
      </c>
      <c r="BH32" s="19">
        <v>1.9766466270683602E-3</v>
      </c>
      <c r="BI32" s="19">
        <v>1.9665095516587698E-3</v>
      </c>
      <c r="BJ32" s="19">
        <v>1.9525753976570399E-3</v>
      </c>
      <c r="BK32" s="18"/>
      <c r="BL32" s="18"/>
      <c r="BM32" s="19">
        <v>1.97E-3</v>
      </c>
      <c r="BN32" s="19">
        <v>2.078E-3</v>
      </c>
      <c r="BO32" s="19">
        <v>2.1749999999999999E-3</v>
      </c>
      <c r="BP32" s="19">
        <v>2.2209999999999999E-3</v>
      </c>
      <c r="BQ32" s="19">
        <v>2.2179999999999999E-3</v>
      </c>
      <c r="BR32" s="19">
        <v>2.2070000000000002E-3</v>
      </c>
      <c r="BS32" s="19">
        <v>2.1900000000000001E-3</v>
      </c>
      <c r="BT32" s="19">
        <v>2.166E-3</v>
      </c>
      <c r="BU32" s="19">
        <v>2.1389999999999998E-3</v>
      </c>
    </row>
    <row r="33" spans="3:73" x14ac:dyDescent="0.45">
      <c r="C33" s="15" t="s">
        <v>249</v>
      </c>
      <c r="D33" s="15" t="s">
        <v>250</v>
      </c>
      <c r="E33" s="15" t="s">
        <v>277</v>
      </c>
      <c r="F33" s="15" t="s">
        <v>252</v>
      </c>
      <c r="G33" s="15"/>
      <c r="H33" s="15"/>
      <c r="I33" s="15"/>
      <c r="J33" s="18"/>
      <c r="K33" s="18"/>
      <c r="L33" s="19">
        <v>0.45</v>
      </c>
      <c r="M33" s="19"/>
      <c r="N33" s="18"/>
      <c r="O33" s="19"/>
      <c r="P33" s="18"/>
      <c r="Q33" s="18"/>
      <c r="R33" s="19">
        <v>0.45</v>
      </c>
      <c r="S33" s="19"/>
      <c r="T33" s="18"/>
      <c r="U33" s="19"/>
      <c r="V33" s="19"/>
      <c r="X33" s="15" t="s">
        <v>249</v>
      </c>
      <c r="Y33" s="15" t="s">
        <v>250</v>
      </c>
      <c r="Z33" s="15" t="s">
        <v>356</v>
      </c>
      <c r="AA33" s="15" t="s">
        <v>252</v>
      </c>
      <c r="AB33" s="15"/>
      <c r="AC33" s="15"/>
      <c r="AD33" s="15"/>
      <c r="AE33" s="18"/>
      <c r="AF33" s="18"/>
      <c r="AG33" s="19">
        <v>0.40973965605281198</v>
      </c>
      <c r="AH33" s="19">
        <v>0.47640355877824703</v>
      </c>
      <c r="AI33" s="18"/>
      <c r="AJ33" s="19">
        <v>0.59501402300457495</v>
      </c>
      <c r="AK33" s="18"/>
      <c r="AL33" s="18"/>
      <c r="AM33" s="19">
        <v>0.40973965605281198</v>
      </c>
      <c r="AN33" s="19">
        <v>0.47187398959136101</v>
      </c>
      <c r="AO33" s="18"/>
      <c r="AP33" s="19">
        <v>0.54536333887958999</v>
      </c>
      <c r="AR33" s="15" t="s">
        <v>249</v>
      </c>
      <c r="AS33" s="15" t="s">
        <v>369</v>
      </c>
      <c r="AT33" s="15"/>
      <c r="AU33" s="15"/>
      <c r="AV33" s="15" t="s">
        <v>393</v>
      </c>
      <c r="AW33" s="15"/>
      <c r="AX33" s="15"/>
      <c r="AY33" s="15"/>
      <c r="AZ33" s="18"/>
      <c r="BA33" s="18"/>
      <c r="BB33" s="19">
        <v>2.2191879091583102</v>
      </c>
      <c r="BC33" s="19">
        <v>2.1868240323700201</v>
      </c>
      <c r="BD33" s="19">
        <v>2.12202391249172</v>
      </c>
      <c r="BE33" s="19">
        <v>2.0926517196805698</v>
      </c>
      <c r="BF33" s="19">
        <v>2.0539644800346499</v>
      </c>
      <c r="BG33" s="19">
        <v>2.00729363122367</v>
      </c>
      <c r="BH33" s="19">
        <v>1.9538454310854301</v>
      </c>
      <c r="BI33" s="19">
        <v>1.89547385057076</v>
      </c>
      <c r="BJ33" s="19">
        <v>1.8352283920182599</v>
      </c>
      <c r="BK33" s="18"/>
      <c r="BL33" s="18"/>
      <c r="BM33" s="19">
        <v>2.270397</v>
      </c>
      <c r="BN33" s="19">
        <v>2.371286</v>
      </c>
      <c r="BO33" s="19">
        <v>2.4509789999999998</v>
      </c>
      <c r="BP33" s="19">
        <v>2.4716149999999999</v>
      </c>
      <c r="BQ33" s="19">
        <v>2.437398</v>
      </c>
      <c r="BR33" s="19">
        <v>2.3956270000000002</v>
      </c>
      <c r="BS33" s="19">
        <v>2.3468900000000001</v>
      </c>
      <c r="BT33" s="19">
        <v>2.2926630000000001</v>
      </c>
      <c r="BU33" s="19">
        <v>2.2360959999999999</v>
      </c>
    </row>
    <row r="34" spans="3:73" x14ac:dyDescent="0.45">
      <c r="C34" s="15" t="s">
        <v>249</v>
      </c>
      <c r="D34" s="15" t="s">
        <v>250</v>
      </c>
      <c r="E34" s="15" t="s">
        <v>278</v>
      </c>
      <c r="F34" s="15" t="s">
        <v>252</v>
      </c>
      <c r="G34" s="15"/>
      <c r="H34" s="15"/>
      <c r="I34" s="15"/>
      <c r="J34" s="18"/>
      <c r="K34" s="18"/>
      <c r="L34" s="19">
        <v>0.11</v>
      </c>
      <c r="M34" s="19"/>
      <c r="N34" s="18"/>
      <c r="O34" s="19"/>
      <c r="P34" s="18"/>
      <c r="Q34" s="18"/>
      <c r="R34" s="19">
        <v>0.111111</v>
      </c>
      <c r="S34" s="19"/>
      <c r="T34" s="18"/>
      <c r="U34" s="19"/>
      <c r="V34" s="19"/>
      <c r="X34" s="15" t="s">
        <v>249</v>
      </c>
      <c r="Y34" s="15" t="s">
        <v>250</v>
      </c>
      <c r="Z34" s="15" t="s">
        <v>357</v>
      </c>
      <c r="AA34" s="15" t="s">
        <v>252</v>
      </c>
      <c r="AB34" s="15"/>
      <c r="AC34" s="15"/>
      <c r="AD34" s="15"/>
      <c r="AE34" s="18"/>
      <c r="AF34" s="18"/>
      <c r="AG34" s="19">
        <v>0.27102281432564002</v>
      </c>
      <c r="AH34" s="19">
        <v>0.29744977337954598</v>
      </c>
      <c r="AI34" s="18"/>
      <c r="AJ34" s="19">
        <v>0.35497793512336001</v>
      </c>
      <c r="AK34" s="18"/>
      <c r="AL34" s="18"/>
      <c r="AM34" s="19">
        <v>0.27102281432564002</v>
      </c>
      <c r="AN34" s="19">
        <v>0.29880790859002498</v>
      </c>
      <c r="AO34" s="18"/>
      <c r="AP34" s="19">
        <v>0.35338723343685502</v>
      </c>
      <c r="AR34" s="15" t="s">
        <v>249</v>
      </c>
      <c r="AS34" s="15" t="s">
        <v>369</v>
      </c>
      <c r="AT34" s="15"/>
      <c r="AU34" s="15"/>
      <c r="AV34" s="15" t="s">
        <v>394</v>
      </c>
      <c r="AW34" s="15"/>
      <c r="AX34" s="15"/>
      <c r="AY34" s="15"/>
      <c r="AZ34" s="18"/>
      <c r="BA34" s="18"/>
      <c r="BB34" s="19">
        <v>4.1656914998071198E-2</v>
      </c>
      <c r="BC34" s="19">
        <v>3.9991707703162099E-2</v>
      </c>
      <c r="BD34" s="19">
        <v>3.5922437268378703E-2</v>
      </c>
      <c r="BE34" s="19">
        <v>3.2267226718067102E-2</v>
      </c>
      <c r="BF34" s="19">
        <v>2.8575890435369899E-2</v>
      </c>
      <c r="BG34" s="19">
        <v>2.4949547777764501E-2</v>
      </c>
      <c r="BH34" s="19">
        <v>2.1783395891820601E-2</v>
      </c>
      <c r="BI34" s="19">
        <v>1.90190355675579E-2</v>
      </c>
      <c r="BJ34" s="19">
        <v>1.6605478581778601E-2</v>
      </c>
      <c r="BK34" s="18"/>
      <c r="BL34" s="18"/>
      <c r="BM34" s="19">
        <v>4.2616000000000001E-2</v>
      </c>
      <c r="BN34" s="19">
        <v>4.2173000000000002E-2</v>
      </c>
      <c r="BO34" s="19">
        <v>3.7166999999999999E-2</v>
      </c>
      <c r="BP34" s="19">
        <v>3.2756E-2</v>
      </c>
      <c r="BQ34" s="19">
        <v>3.0130000000000001E-2</v>
      </c>
      <c r="BR34" s="19">
        <v>2.8916000000000001E-2</v>
      </c>
      <c r="BS34" s="19">
        <v>2.775E-2</v>
      </c>
      <c r="BT34" s="19">
        <v>2.6630999999999998E-2</v>
      </c>
      <c r="BU34" s="19">
        <v>2.5558000000000001E-2</v>
      </c>
    </row>
    <row r="35" spans="3:73" x14ac:dyDescent="0.45">
      <c r="C35" s="15" t="s">
        <v>249</v>
      </c>
      <c r="D35" s="15" t="s">
        <v>250</v>
      </c>
      <c r="E35" s="15" t="s">
        <v>279</v>
      </c>
      <c r="F35" s="15" t="s">
        <v>252</v>
      </c>
      <c r="G35" s="15"/>
      <c r="H35" s="15"/>
      <c r="I35" s="15"/>
      <c r="J35" s="18"/>
      <c r="K35" s="18"/>
      <c r="L35" s="19">
        <v>0.39</v>
      </c>
      <c r="M35" s="19"/>
      <c r="N35" s="18"/>
      <c r="O35" s="19"/>
      <c r="P35" s="18"/>
      <c r="Q35" s="18"/>
      <c r="R35" s="19">
        <v>0.38647300000000001</v>
      </c>
      <c r="S35" s="19"/>
      <c r="T35" s="18"/>
      <c r="U35" s="19"/>
      <c r="V35" s="19"/>
      <c r="X35" s="15" t="s">
        <v>249</v>
      </c>
      <c r="Y35" s="15" t="s">
        <v>250</v>
      </c>
      <c r="Z35" s="15" t="s">
        <v>358</v>
      </c>
      <c r="AA35" s="15" t="s">
        <v>252</v>
      </c>
      <c r="AB35" s="15"/>
      <c r="AC35" s="15"/>
      <c r="AD35" s="15"/>
      <c r="AE35" s="18"/>
      <c r="AF35" s="18"/>
      <c r="AG35" s="19">
        <v>0.29574226589403801</v>
      </c>
      <c r="AH35" s="19">
        <v>0.331520255464477</v>
      </c>
      <c r="AI35" s="18"/>
      <c r="AJ35" s="19">
        <v>0.394728884942742</v>
      </c>
      <c r="AK35" s="18"/>
      <c r="AL35" s="18"/>
      <c r="AM35" s="19">
        <v>0.29574226589403801</v>
      </c>
      <c r="AN35" s="19">
        <v>0.32780117422168398</v>
      </c>
      <c r="AO35" s="18"/>
      <c r="AP35" s="19">
        <v>0.39102129709300798</v>
      </c>
      <c r="AR35" s="15" t="s">
        <v>249</v>
      </c>
      <c r="AS35" s="15" t="s">
        <v>369</v>
      </c>
      <c r="AT35" s="15"/>
      <c r="AU35" s="15"/>
      <c r="AV35" s="15" t="s">
        <v>395</v>
      </c>
      <c r="AW35" s="15"/>
      <c r="AX35" s="15"/>
      <c r="AY35" s="15"/>
      <c r="AZ35" s="18"/>
      <c r="BA35" s="18"/>
      <c r="BB35" s="19">
        <v>2.4321209968671199E-2</v>
      </c>
      <c r="BC35" s="19">
        <v>2.43117053451779E-2</v>
      </c>
      <c r="BD35" s="19">
        <v>2.2969181539690499E-2</v>
      </c>
      <c r="BE35" s="19">
        <v>2.1700793634696802E-2</v>
      </c>
      <c r="BF35" s="19">
        <v>2.0213801646947398E-2</v>
      </c>
      <c r="BG35" s="19">
        <v>1.8562871451818199E-2</v>
      </c>
      <c r="BH35" s="19">
        <v>1.7046778362384999E-2</v>
      </c>
      <c r="BI35" s="19">
        <v>1.56545097718606E-2</v>
      </c>
      <c r="BJ35" s="19">
        <v>1.4375952510653199E-2</v>
      </c>
      <c r="BK35" s="18"/>
      <c r="BL35" s="18"/>
      <c r="BM35" s="19">
        <v>2.4504999999999999E-2</v>
      </c>
      <c r="BN35" s="19">
        <v>2.4743000000000001E-2</v>
      </c>
      <c r="BO35" s="19">
        <v>2.2360999999999999E-2</v>
      </c>
      <c r="BP35" s="19">
        <v>2.0208E-2</v>
      </c>
      <c r="BQ35" s="19">
        <v>1.9061000000000002E-2</v>
      </c>
      <c r="BR35" s="19">
        <v>1.8758E-2</v>
      </c>
      <c r="BS35" s="19">
        <v>1.8460000000000001E-2</v>
      </c>
      <c r="BT35" s="19">
        <v>1.8166999999999999E-2</v>
      </c>
      <c r="BU35" s="19">
        <v>1.7878000000000002E-2</v>
      </c>
    </row>
    <row r="36" spans="3:73" x14ac:dyDescent="0.45">
      <c r="C36" s="15" t="s">
        <v>249</v>
      </c>
      <c r="D36" s="15" t="s">
        <v>250</v>
      </c>
      <c r="E36" s="15" t="s">
        <v>280</v>
      </c>
      <c r="F36" s="15" t="s">
        <v>252</v>
      </c>
      <c r="G36" s="15"/>
      <c r="H36" s="15"/>
      <c r="I36" s="15"/>
      <c r="J36" s="18"/>
      <c r="K36" s="18"/>
      <c r="L36" s="19">
        <v>0.24</v>
      </c>
      <c r="M36" s="19"/>
      <c r="N36" s="18"/>
      <c r="O36" s="19"/>
      <c r="P36" s="18"/>
      <c r="Q36" s="18"/>
      <c r="R36" s="19">
        <v>0.24154600000000001</v>
      </c>
      <c r="S36" s="19"/>
      <c r="T36" s="18"/>
      <c r="U36" s="19"/>
      <c r="V36" s="19"/>
      <c r="X36" s="15" t="s">
        <v>249</v>
      </c>
      <c r="Y36" s="15" t="s">
        <v>250</v>
      </c>
      <c r="Z36" s="15" t="s">
        <v>359</v>
      </c>
      <c r="AA36" s="15" t="s">
        <v>337</v>
      </c>
      <c r="AB36" s="15"/>
      <c r="AC36" s="15"/>
      <c r="AD36" s="15"/>
      <c r="AE36" s="18"/>
      <c r="AF36" s="18"/>
      <c r="AG36" s="19">
        <v>0.27102281432564002</v>
      </c>
      <c r="AH36" s="19">
        <v>0.29744977337954598</v>
      </c>
      <c r="AI36" s="18"/>
      <c r="AJ36" s="19">
        <v>0.35497793512336001</v>
      </c>
      <c r="AK36" s="18"/>
      <c r="AL36" s="18"/>
      <c r="AM36" s="19">
        <v>0.27102281432564002</v>
      </c>
      <c r="AN36" s="19">
        <v>0.29880790859002498</v>
      </c>
      <c r="AO36" s="18"/>
      <c r="AP36" s="19">
        <v>0.35338723343685502</v>
      </c>
      <c r="AR36" s="15" t="s">
        <v>249</v>
      </c>
      <c r="AS36" s="15" t="s">
        <v>369</v>
      </c>
      <c r="AT36" s="15"/>
      <c r="AU36" s="15"/>
      <c r="AV36" s="15" t="s">
        <v>396</v>
      </c>
      <c r="AW36" s="15"/>
      <c r="AX36" s="15"/>
      <c r="AY36" s="15"/>
      <c r="AZ36" s="18"/>
      <c r="BA36" s="18"/>
      <c r="BB36" s="19">
        <v>1.57805468073248E-2</v>
      </c>
      <c r="BC36" s="19">
        <v>1.54596888769936E-2</v>
      </c>
      <c r="BD36" s="19">
        <v>1.42426701219046E-2</v>
      </c>
      <c r="BE36" s="19">
        <v>1.31214576059981E-2</v>
      </c>
      <c r="BF36" s="19">
        <v>1.19183197753206E-2</v>
      </c>
      <c r="BG36" s="19">
        <v>1.0672662113769099E-2</v>
      </c>
      <c r="BH36" s="19">
        <v>9.5571958750887993E-3</v>
      </c>
      <c r="BI36" s="19">
        <v>8.5583139446505797E-3</v>
      </c>
      <c r="BJ36" s="19">
        <v>7.6638313719315796E-3</v>
      </c>
      <c r="BK36" s="18"/>
      <c r="BL36" s="18"/>
      <c r="BM36" s="19">
        <v>1.6021000000000001E-2</v>
      </c>
      <c r="BN36" s="19">
        <v>1.6015000000000001E-2</v>
      </c>
      <c r="BO36" s="19">
        <v>1.4293E-2</v>
      </c>
      <c r="BP36" s="19">
        <v>1.2756E-2</v>
      </c>
      <c r="BQ36" s="19">
        <v>1.1882E-2</v>
      </c>
      <c r="BR36" s="19">
        <v>1.1547E-2</v>
      </c>
      <c r="BS36" s="19">
        <v>1.1221999999999999E-2</v>
      </c>
      <c r="BT36" s="19">
        <v>1.0906000000000001E-2</v>
      </c>
      <c r="BU36" s="19">
        <v>1.0599000000000001E-2</v>
      </c>
    </row>
    <row r="37" spans="3:73" x14ac:dyDescent="0.45">
      <c r="C37" s="15" t="s">
        <v>249</v>
      </c>
      <c r="D37" s="15" t="s">
        <v>250</v>
      </c>
      <c r="E37" s="15" t="s">
        <v>281</v>
      </c>
      <c r="F37" s="15" t="s">
        <v>252</v>
      </c>
      <c r="G37" s="15"/>
      <c r="H37" s="15"/>
      <c r="I37" s="15"/>
      <c r="J37" s="18"/>
      <c r="K37" s="18"/>
      <c r="L37" s="19">
        <v>0.11</v>
      </c>
      <c r="M37" s="19"/>
      <c r="N37" s="18"/>
      <c r="O37" s="19"/>
      <c r="P37" s="18"/>
      <c r="Q37" s="18"/>
      <c r="R37" s="19">
        <v>0.111111</v>
      </c>
      <c r="S37" s="19"/>
      <c r="T37" s="18"/>
      <c r="U37" s="19"/>
      <c r="V37" s="19"/>
      <c r="X37" s="15" t="s">
        <v>249</v>
      </c>
      <c r="Y37" s="15" t="s">
        <v>250</v>
      </c>
      <c r="Z37" s="15" t="s">
        <v>359</v>
      </c>
      <c r="AA37" s="15" t="s">
        <v>338</v>
      </c>
      <c r="AB37" s="15"/>
      <c r="AC37" s="15"/>
      <c r="AD37" s="15"/>
      <c r="AE37" s="18"/>
      <c r="AF37" s="18"/>
      <c r="AG37" s="19">
        <v>1.40799261532579</v>
      </c>
      <c r="AH37" s="19">
        <v>1.4244365170503801</v>
      </c>
      <c r="AI37" s="18"/>
      <c r="AJ37" s="19">
        <v>1.5685013916117001</v>
      </c>
      <c r="AK37" s="18"/>
      <c r="AL37" s="18"/>
      <c r="AM37" s="19">
        <v>1.40799261532579</v>
      </c>
      <c r="AN37" s="19">
        <v>1.4026374279118099</v>
      </c>
      <c r="AO37" s="18"/>
      <c r="AP37" s="19">
        <v>1.5730133676073199</v>
      </c>
      <c r="AR37" s="15" t="s">
        <v>249</v>
      </c>
      <c r="AS37" s="15" t="s">
        <v>369</v>
      </c>
      <c r="AT37" s="15"/>
      <c r="AU37" s="15"/>
      <c r="AV37" s="15" t="s">
        <v>397</v>
      </c>
      <c r="AW37" s="15"/>
      <c r="AX37" s="15"/>
      <c r="AY37" s="15"/>
      <c r="AZ37" s="18"/>
      <c r="BA37" s="18"/>
      <c r="BB37" s="19">
        <v>5.3619301119255704E-3</v>
      </c>
      <c r="BC37" s="19">
        <v>5.2529086807103897E-3</v>
      </c>
      <c r="BD37" s="19">
        <v>4.8393888205074901E-3</v>
      </c>
      <c r="BE37" s="19">
        <v>4.4584221008931897E-3</v>
      </c>
      <c r="BF37" s="19">
        <v>4.0496187151884298E-3</v>
      </c>
      <c r="BG37" s="19">
        <v>3.62636789845987E-3</v>
      </c>
      <c r="BH37" s="19">
        <v>3.2473536547176799E-3</v>
      </c>
      <c r="BI37" s="19">
        <v>2.9079525448278101E-3</v>
      </c>
      <c r="BJ37" s="19">
        <v>2.60402435401072E-3</v>
      </c>
      <c r="BK37" s="18"/>
      <c r="BL37" s="18"/>
      <c r="BM37" s="19">
        <v>5.4440000000000001E-3</v>
      </c>
      <c r="BN37" s="19">
        <v>5.4409999999999997E-3</v>
      </c>
      <c r="BO37" s="19">
        <v>4.8560000000000001E-3</v>
      </c>
      <c r="BP37" s="19">
        <v>4.3340000000000002E-3</v>
      </c>
      <c r="BQ37" s="19">
        <v>4.0369999999999998E-3</v>
      </c>
      <c r="BR37" s="19">
        <v>3.9230000000000003E-3</v>
      </c>
      <c r="BS37" s="19">
        <v>3.813E-3</v>
      </c>
      <c r="BT37" s="19">
        <v>3.7060000000000001E-3</v>
      </c>
      <c r="BU37" s="19">
        <v>3.601E-3</v>
      </c>
    </row>
    <row r="38" spans="3:73" x14ac:dyDescent="0.45">
      <c r="C38" s="15" t="s">
        <v>249</v>
      </c>
      <c r="D38" s="15" t="s">
        <v>250</v>
      </c>
      <c r="E38" s="15" t="s">
        <v>282</v>
      </c>
      <c r="F38" s="15" t="s">
        <v>252</v>
      </c>
      <c r="G38" s="15"/>
      <c r="H38" s="15"/>
      <c r="I38" s="15"/>
      <c r="J38" s="18"/>
      <c r="K38" s="18"/>
      <c r="L38" s="19">
        <v>0.39</v>
      </c>
      <c r="M38" s="19"/>
      <c r="N38" s="18"/>
      <c r="O38" s="19"/>
      <c r="P38" s="18"/>
      <c r="Q38" s="18"/>
      <c r="R38" s="19">
        <v>0.38647300000000001</v>
      </c>
      <c r="S38" s="19"/>
      <c r="T38" s="18"/>
      <c r="U38" s="19"/>
      <c r="V38" s="19"/>
      <c r="X38" s="15" t="s">
        <v>249</v>
      </c>
      <c r="Y38" s="15" t="s">
        <v>250</v>
      </c>
      <c r="Z38" s="15" t="s">
        <v>360</v>
      </c>
      <c r="AA38" s="15" t="s">
        <v>338</v>
      </c>
      <c r="AB38" s="15"/>
      <c r="AC38" s="15"/>
      <c r="AD38" s="15"/>
      <c r="AE38" s="18"/>
      <c r="AF38" s="18"/>
      <c r="AG38" s="19">
        <v>1.4079999999999999</v>
      </c>
      <c r="AH38" s="19">
        <v>1.4239999999999999</v>
      </c>
      <c r="AI38" s="18"/>
      <c r="AJ38" s="19">
        <v>1.569</v>
      </c>
      <c r="AK38" s="18"/>
      <c r="AL38" s="18"/>
      <c r="AM38" s="19">
        <v>1.40799261532579</v>
      </c>
      <c r="AN38" s="19">
        <v>1.4026374279118099</v>
      </c>
      <c r="AO38" s="18"/>
      <c r="AP38" s="19">
        <v>1.5730133676073199</v>
      </c>
      <c r="AR38" s="15" t="s">
        <v>249</v>
      </c>
      <c r="AS38" s="15" t="s">
        <v>369</v>
      </c>
      <c r="AT38" s="15"/>
      <c r="AU38" s="15"/>
      <c r="AV38" s="15" t="s">
        <v>398</v>
      </c>
      <c r="AW38" s="15"/>
      <c r="AX38" s="15"/>
      <c r="AY38" s="15"/>
      <c r="AZ38" s="18"/>
      <c r="BA38" s="18"/>
      <c r="BB38" s="19">
        <v>8.5679165478484295E-2</v>
      </c>
      <c r="BC38" s="19">
        <v>8.3937094050695396E-2</v>
      </c>
      <c r="BD38" s="19">
        <v>7.7329392012177006E-2</v>
      </c>
      <c r="BE38" s="19">
        <v>7.1241861975365903E-2</v>
      </c>
      <c r="BF38" s="19">
        <v>6.4709525260633005E-2</v>
      </c>
      <c r="BG38" s="19">
        <v>5.7946330663087797E-2</v>
      </c>
      <c r="BH38" s="19">
        <v>5.1889999560214103E-2</v>
      </c>
      <c r="BI38" s="19">
        <v>4.6466653255651399E-2</v>
      </c>
      <c r="BJ38" s="19">
        <v>4.1610134574686597E-2</v>
      </c>
      <c r="BK38" s="18"/>
      <c r="BL38" s="18"/>
      <c r="BM38" s="19">
        <v>8.6984000000000006E-2</v>
      </c>
      <c r="BN38" s="19">
        <v>8.695E-2</v>
      </c>
      <c r="BO38" s="19">
        <v>7.7600000000000002E-2</v>
      </c>
      <c r="BP38" s="19">
        <v>6.9255999999999998E-2</v>
      </c>
      <c r="BQ38" s="19">
        <v>6.4509999999999998E-2</v>
      </c>
      <c r="BR38" s="19">
        <v>6.2692999999999999E-2</v>
      </c>
      <c r="BS38" s="19">
        <v>6.0928000000000003E-2</v>
      </c>
      <c r="BT38" s="19">
        <v>5.9212000000000001E-2</v>
      </c>
      <c r="BU38" s="19">
        <v>5.7543999999999998E-2</v>
      </c>
    </row>
    <row r="39" spans="3:73" x14ac:dyDescent="0.45">
      <c r="C39" s="15" t="s">
        <v>249</v>
      </c>
      <c r="D39" s="15" t="s">
        <v>250</v>
      </c>
      <c r="E39" s="15" t="s">
        <v>283</v>
      </c>
      <c r="F39" s="15" t="s">
        <v>252</v>
      </c>
      <c r="G39" s="15"/>
      <c r="H39" s="15"/>
      <c r="I39" s="15"/>
      <c r="J39" s="18"/>
      <c r="K39" s="18"/>
      <c r="L39" s="19">
        <v>0.24</v>
      </c>
      <c r="M39" s="19"/>
      <c r="N39" s="18"/>
      <c r="O39" s="19"/>
      <c r="P39" s="18"/>
      <c r="Q39" s="18"/>
      <c r="R39" s="19">
        <v>0.24154600000000001</v>
      </c>
      <c r="S39" s="19"/>
      <c r="T39" s="18"/>
      <c r="U39" s="19"/>
      <c r="V39" s="19"/>
      <c r="X39" s="15" t="s">
        <v>249</v>
      </c>
      <c r="Y39" s="15" t="s">
        <v>250</v>
      </c>
      <c r="Z39" s="15" t="s">
        <v>360</v>
      </c>
      <c r="AA39" s="15" t="s">
        <v>340</v>
      </c>
      <c r="AB39" s="15"/>
      <c r="AC39" s="15"/>
      <c r="AD39" s="15"/>
      <c r="AE39" s="18"/>
      <c r="AF39" s="18"/>
      <c r="AG39" s="19">
        <v>0.29599999999999999</v>
      </c>
      <c r="AH39" s="19">
        <v>0.33200000000000002</v>
      </c>
      <c r="AI39" s="18"/>
      <c r="AJ39" s="19">
        <v>0.39500000000000002</v>
      </c>
      <c r="AK39" s="18"/>
      <c r="AL39" s="18"/>
      <c r="AM39" s="19">
        <v>0.29574226589403801</v>
      </c>
      <c r="AN39" s="19">
        <v>0.32780117422168398</v>
      </c>
      <c r="AO39" s="18"/>
      <c r="AP39" s="19">
        <v>0.39102129709300798</v>
      </c>
      <c r="AR39" s="15" t="s">
        <v>249</v>
      </c>
      <c r="AS39" s="15" t="s">
        <v>369</v>
      </c>
      <c r="AT39" s="15"/>
      <c r="AU39" s="15"/>
      <c r="AV39" s="15" t="s">
        <v>399</v>
      </c>
      <c r="AW39" s="15"/>
      <c r="AX39" s="15"/>
      <c r="AY39" s="15"/>
      <c r="AZ39" s="18"/>
      <c r="BA39" s="18"/>
      <c r="BB39" s="19">
        <v>9.8531040300257004E-3</v>
      </c>
      <c r="BC39" s="19">
        <v>9.6527658158299702E-3</v>
      </c>
      <c r="BD39" s="19">
        <v>8.8928800814003593E-3</v>
      </c>
      <c r="BE39" s="19">
        <v>8.1928141271670803E-3</v>
      </c>
      <c r="BF39" s="19">
        <v>7.4415954049727997E-3</v>
      </c>
      <c r="BG39" s="19">
        <v>6.6638280262550998E-3</v>
      </c>
      <c r="BH39" s="19">
        <v>5.9673499494246303E-3</v>
      </c>
      <c r="BI39" s="19">
        <v>5.3436651243999097E-3</v>
      </c>
      <c r="BJ39" s="19">
        <v>4.78516547608896E-3</v>
      </c>
      <c r="BK39" s="18"/>
      <c r="BL39" s="18"/>
      <c r="BM39" s="19">
        <v>1.0003E-2</v>
      </c>
      <c r="BN39" s="19">
        <v>9.9989999999999992E-3</v>
      </c>
      <c r="BO39" s="19">
        <v>8.9239999999999996E-3</v>
      </c>
      <c r="BP39" s="19">
        <v>7.9640000000000006E-3</v>
      </c>
      <c r="BQ39" s="19">
        <v>7.4190000000000002E-3</v>
      </c>
      <c r="BR39" s="19">
        <v>7.2100000000000003E-3</v>
      </c>
      <c r="BS39" s="19">
        <v>7.0070000000000002E-3</v>
      </c>
      <c r="BT39" s="19">
        <v>6.8089999999999999E-3</v>
      </c>
      <c r="BU39" s="19">
        <v>6.6179999999999998E-3</v>
      </c>
    </row>
    <row r="40" spans="3:73" x14ac:dyDescent="0.45">
      <c r="C40" s="15" t="s">
        <v>249</v>
      </c>
      <c r="D40" s="15" t="s">
        <v>250</v>
      </c>
      <c r="E40" s="15" t="s">
        <v>284</v>
      </c>
      <c r="F40" s="15" t="s">
        <v>252</v>
      </c>
      <c r="G40" s="15"/>
      <c r="H40" s="15"/>
      <c r="I40" s="15"/>
      <c r="J40" s="18"/>
      <c r="K40" s="18"/>
      <c r="L40" s="19">
        <v>0.9</v>
      </c>
      <c r="M40" s="19"/>
      <c r="N40" s="18"/>
      <c r="O40" s="19"/>
      <c r="P40" s="18"/>
      <c r="Q40" s="18"/>
      <c r="R40" s="19">
        <v>0.9</v>
      </c>
      <c r="S40" s="19"/>
      <c r="T40" s="18"/>
      <c r="U40" s="19"/>
      <c r="V40" s="19"/>
      <c r="X40" s="15" t="s">
        <v>249</v>
      </c>
      <c r="Y40" s="15" t="s">
        <v>250</v>
      </c>
      <c r="Z40" s="15" t="s">
        <v>361</v>
      </c>
      <c r="AA40" s="15" t="s">
        <v>252</v>
      </c>
      <c r="AB40" s="15"/>
      <c r="AC40" s="15"/>
      <c r="AD40" s="15"/>
      <c r="AE40" s="18"/>
      <c r="AF40" s="18"/>
      <c r="AG40" s="19">
        <v>5.7874235293832701</v>
      </c>
      <c r="AH40" s="19">
        <v>4.9403706423275402</v>
      </c>
      <c r="AI40" s="18"/>
      <c r="AJ40" s="19">
        <v>4.7287339592516204</v>
      </c>
      <c r="AK40" s="18"/>
      <c r="AL40" s="18"/>
      <c r="AM40" s="19">
        <v>5.7874235293832701</v>
      </c>
      <c r="AN40" s="19">
        <v>4.9866436484538399</v>
      </c>
      <c r="AO40" s="18"/>
      <c r="AP40" s="19">
        <v>4.7639962332593999</v>
      </c>
      <c r="AR40" s="15" t="s">
        <v>249</v>
      </c>
      <c r="AS40" s="15" t="s">
        <v>369</v>
      </c>
      <c r="AT40" s="15"/>
      <c r="AU40" s="15"/>
      <c r="AV40" s="15" t="s">
        <v>400</v>
      </c>
      <c r="AW40" s="15"/>
      <c r="AX40" s="15"/>
      <c r="AY40" s="15"/>
      <c r="AZ40" s="18"/>
      <c r="BA40" s="18"/>
      <c r="BB40" s="19">
        <v>0</v>
      </c>
      <c r="BC40" s="19">
        <v>0</v>
      </c>
      <c r="BD40" s="19">
        <v>0</v>
      </c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8"/>
      <c r="BL40" s="18"/>
      <c r="BM40" s="19">
        <v>0</v>
      </c>
      <c r="BN40" s="19">
        <v>0</v>
      </c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</row>
    <row r="41" spans="3:73" x14ac:dyDescent="0.45">
      <c r="C41" s="15" t="s">
        <v>249</v>
      </c>
      <c r="D41" s="15" t="s">
        <v>250</v>
      </c>
      <c r="E41" s="15" t="s">
        <v>285</v>
      </c>
      <c r="F41" s="15" t="s">
        <v>252</v>
      </c>
      <c r="G41" s="15"/>
      <c r="H41" s="15"/>
      <c r="I41" s="15"/>
      <c r="J41" s="18"/>
      <c r="K41" s="18"/>
      <c r="L41" s="19">
        <v>0.7</v>
      </c>
      <c r="M41" s="19"/>
      <c r="N41" s="18"/>
      <c r="O41" s="19"/>
      <c r="P41" s="18"/>
      <c r="Q41" s="18"/>
      <c r="R41" s="19">
        <v>0.7</v>
      </c>
      <c r="S41" s="19"/>
      <c r="T41" s="18"/>
      <c r="U41" s="19"/>
      <c r="V41" s="19"/>
      <c r="X41" s="15" t="s">
        <v>249</v>
      </c>
      <c r="Y41" s="15" t="s">
        <v>250</v>
      </c>
      <c r="Z41" s="15" t="s">
        <v>362</v>
      </c>
      <c r="AA41" s="15" t="s">
        <v>252</v>
      </c>
      <c r="AB41" s="15"/>
      <c r="AC41" s="15"/>
      <c r="AD41" s="15"/>
      <c r="AE41" s="18"/>
      <c r="AF41" s="18"/>
      <c r="AG41" s="19">
        <v>0.58602989312730902</v>
      </c>
      <c r="AH41" s="19">
        <v>0.61568558069197798</v>
      </c>
      <c r="AI41" s="18"/>
      <c r="AJ41" s="19">
        <v>0.719166782327331</v>
      </c>
      <c r="AK41" s="18"/>
      <c r="AL41" s="18"/>
      <c r="AM41" s="19">
        <v>0.58602989312730902</v>
      </c>
      <c r="AN41" s="19">
        <v>0.61275424986168503</v>
      </c>
      <c r="AO41" s="18"/>
      <c r="AP41" s="19">
        <v>0.671208334483687</v>
      </c>
      <c r="AR41" s="15" t="s">
        <v>249</v>
      </c>
      <c r="AS41" s="15" t="s">
        <v>369</v>
      </c>
      <c r="AT41" s="15"/>
      <c r="AU41" s="15"/>
      <c r="AV41" s="15" t="s">
        <v>401</v>
      </c>
      <c r="AW41" s="15"/>
      <c r="AX41" s="15"/>
      <c r="AY41" s="15"/>
      <c r="AZ41" s="18"/>
      <c r="BA41" s="18"/>
      <c r="BB41" s="19">
        <v>1.1299595657923E-2</v>
      </c>
      <c r="BC41" s="19">
        <v>1.08543465036142E-2</v>
      </c>
      <c r="BD41" s="19">
        <v>1.03223755231039E-2</v>
      </c>
      <c r="BE41" s="19">
        <v>9.8164764138031404E-3</v>
      </c>
      <c r="BF41" s="19">
        <v>9.3353713946048196E-3</v>
      </c>
      <c r="BG41" s="19">
        <v>8.8778453083902704E-3</v>
      </c>
      <c r="BH41" s="19">
        <v>8.4427425528305396E-3</v>
      </c>
      <c r="BI41" s="19">
        <v>8.02896416160917E-3</v>
      </c>
      <c r="BJ41" s="19">
        <v>7.6354650286940204E-3</v>
      </c>
      <c r="BK41" s="18"/>
      <c r="BL41" s="18"/>
      <c r="BM41" s="19">
        <v>1.1472E-2</v>
      </c>
      <c r="BN41" s="19">
        <v>1.1244000000000001E-2</v>
      </c>
      <c r="BO41" s="19">
        <v>1.0966E-2</v>
      </c>
      <c r="BP41" s="19">
        <v>1.0694E-2</v>
      </c>
      <c r="BQ41" s="19">
        <v>1.043E-2</v>
      </c>
      <c r="BR41" s="19">
        <v>1.0170999999999999E-2</v>
      </c>
      <c r="BS41" s="19">
        <v>9.92E-3</v>
      </c>
      <c r="BT41" s="19">
        <v>9.6740000000000003E-3</v>
      </c>
      <c r="BU41" s="19">
        <v>9.4350000000000007E-3</v>
      </c>
    </row>
    <row r="42" spans="3:73" x14ac:dyDescent="0.45">
      <c r="C42" s="15" t="s">
        <v>249</v>
      </c>
      <c r="D42" s="15" t="s">
        <v>250</v>
      </c>
      <c r="E42" s="15" t="s">
        <v>286</v>
      </c>
      <c r="F42" s="15" t="s">
        <v>252</v>
      </c>
      <c r="G42" s="15"/>
      <c r="H42" s="15"/>
      <c r="I42" s="15"/>
      <c r="J42" s="18"/>
      <c r="K42" s="18"/>
      <c r="L42" s="19">
        <v>0.83</v>
      </c>
      <c r="M42" s="18"/>
      <c r="N42" s="18"/>
      <c r="O42" s="18"/>
      <c r="P42" s="18"/>
      <c r="Q42" s="18"/>
      <c r="R42" s="19">
        <v>0.83125000000000004</v>
      </c>
      <c r="S42" s="18"/>
      <c r="T42" s="18"/>
      <c r="U42" s="18"/>
      <c r="V42" s="18"/>
      <c r="X42" s="15" t="s">
        <v>249</v>
      </c>
      <c r="Y42" s="15" t="s">
        <v>363</v>
      </c>
      <c r="Z42" s="15" t="s">
        <v>336</v>
      </c>
      <c r="AA42" s="15" t="s">
        <v>364</v>
      </c>
      <c r="AB42" s="15" t="s">
        <v>337</v>
      </c>
      <c r="AC42" s="15" t="s">
        <v>13</v>
      </c>
      <c r="AD42" s="15"/>
      <c r="AE42" s="18"/>
      <c r="AF42" s="18"/>
      <c r="AG42" s="19">
        <v>0</v>
      </c>
      <c r="AH42" s="18"/>
      <c r="AI42" s="18"/>
      <c r="AJ42" s="18"/>
      <c r="AK42" s="18"/>
      <c r="AL42" s="18"/>
      <c r="AM42" s="19">
        <v>0</v>
      </c>
      <c r="AN42" s="18"/>
      <c r="AO42" s="18"/>
      <c r="AP42" s="18"/>
      <c r="AR42" s="15" t="s">
        <v>249</v>
      </c>
      <c r="AS42" s="15" t="s">
        <v>369</v>
      </c>
      <c r="AT42" s="15"/>
      <c r="AU42" s="15"/>
      <c r="AV42" s="15" t="s">
        <v>402</v>
      </c>
      <c r="AW42" s="15"/>
      <c r="AX42" s="15"/>
      <c r="AY42" s="15"/>
      <c r="AZ42" s="18"/>
      <c r="BA42" s="18"/>
      <c r="BB42" s="19">
        <v>1.54688224903246E-2</v>
      </c>
      <c r="BC42" s="19">
        <v>1.4859289163604E-2</v>
      </c>
      <c r="BD42" s="19">
        <v>1.41310361431743E-2</v>
      </c>
      <c r="BE42" s="19">
        <v>1.34384747669361E-2</v>
      </c>
      <c r="BF42" s="19">
        <v>1.27798557891884E-2</v>
      </c>
      <c r="BG42" s="19">
        <v>1.2153515694675101E-2</v>
      </c>
      <c r="BH42" s="19">
        <v>1.15578724969395E-2</v>
      </c>
      <c r="BI42" s="19">
        <v>1.09914217426023E-2</v>
      </c>
      <c r="BJ42" s="19">
        <v>1.0452732711469299E-2</v>
      </c>
      <c r="BK42" s="18"/>
      <c r="BL42" s="18"/>
      <c r="BM42" s="19">
        <v>1.5703999999999999E-2</v>
      </c>
      <c r="BN42" s="19">
        <v>1.5393E-2</v>
      </c>
      <c r="BO42" s="19">
        <v>1.5011999999999999E-2</v>
      </c>
      <c r="BP42" s="19">
        <v>1.464E-2</v>
      </c>
      <c r="BQ42" s="19">
        <v>1.4278000000000001E-2</v>
      </c>
      <c r="BR42" s="19">
        <v>1.3924000000000001E-2</v>
      </c>
      <c r="BS42" s="19">
        <v>1.358E-2</v>
      </c>
      <c r="BT42" s="19">
        <v>1.3244000000000001E-2</v>
      </c>
      <c r="BU42" s="19">
        <v>1.2916E-2</v>
      </c>
    </row>
    <row r="43" spans="3:73" x14ac:dyDescent="0.45">
      <c r="C43" s="15" t="s">
        <v>249</v>
      </c>
      <c r="D43" s="15" t="s">
        <v>250</v>
      </c>
      <c r="E43" s="15" t="s">
        <v>287</v>
      </c>
      <c r="F43" s="15" t="s">
        <v>252</v>
      </c>
      <c r="G43" s="15"/>
      <c r="H43" s="15"/>
      <c r="I43" s="15"/>
      <c r="J43" s="18"/>
      <c r="K43" s="18"/>
      <c r="L43" s="19">
        <v>0.45</v>
      </c>
      <c r="M43" s="18"/>
      <c r="N43" s="18"/>
      <c r="O43" s="18"/>
      <c r="P43" s="18"/>
      <c r="Q43" s="18"/>
      <c r="R43" s="19">
        <v>0.45</v>
      </c>
      <c r="S43" s="18"/>
      <c r="T43" s="18"/>
      <c r="U43" s="18"/>
      <c r="V43" s="18"/>
      <c r="X43" s="15" t="s">
        <v>249</v>
      </c>
      <c r="Y43" s="15" t="s">
        <v>363</v>
      </c>
      <c r="Z43" s="15" t="s">
        <v>336</v>
      </c>
      <c r="AA43" s="15" t="s">
        <v>364</v>
      </c>
      <c r="AB43" s="15" t="s">
        <v>338</v>
      </c>
      <c r="AC43" s="15" t="s">
        <v>13</v>
      </c>
      <c r="AD43" s="15"/>
      <c r="AE43" s="18"/>
      <c r="AF43" s="18"/>
      <c r="AG43" s="19">
        <v>0</v>
      </c>
      <c r="AH43" s="18"/>
      <c r="AI43" s="18"/>
      <c r="AJ43" s="18"/>
      <c r="AK43" s="18"/>
      <c r="AL43" s="18"/>
      <c r="AM43" s="19">
        <v>0</v>
      </c>
      <c r="AN43" s="18"/>
      <c r="AO43" s="18"/>
      <c r="AP43" s="18"/>
      <c r="AR43" s="15" t="s">
        <v>249</v>
      </c>
      <c r="AS43" s="15" t="s">
        <v>369</v>
      </c>
      <c r="AT43" s="15"/>
      <c r="AU43" s="15"/>
      <c r="AV43" s="15" t="s">
        <v>403</v>
      </c>
      <c r="AW43" s="15"/>
      <c r="AX43" s="15"/>
      <c r="AY43" s="15"/>
      <c r="AZ43" s="18"/>
      <c r="BA43" s="18"/>
      <c r="BB43" s="19">
        <v>5.37816975560865E-2</v>
      </c>
      <c r="BC43" s="19">
        <v>5.1662484083403397E-2</v>
      </c>
      <c r="BD43" s="19">
        <v>4.9130508316433799E-2</v>
      </c>
      <c r="BE43" s="19">
        <v>4.6722624555457698E-2</v>
      </c>
      <c r="BF43" s="19">
        <v>4.4432751057453701E-2</v>
      </c>
      <c r="BG43" s="19">
        <v>4.22551041453222E-2</v>
      </c>
      <c r="BH43" s="19">
        <v>4.0184183599689602E-2</v>
      </c>
      <c r="BI43" s="19">
        <v>3.8214758766659598E-2</v>
      </c>
      <c r="BJ43" s="19">
        <v>3.6341855346422099E-2</v>
      </c>
      <c r="BK43" s="18"/>
      <c r="BL43" s="18"/>
      <c r="BM43" s="19">
        <v>5.4600999999999997E-2</v>
      </c>
      <c r="BN43" s="19">
        <v>5.3517000000000002E-2</v>
      </c>
      <c r="BO43" s="19">
        <v>5.2192000000000002E-2</v>
      </c>
      <c r="BP43" s="19">
        <v>5.0900000000000001E-2</v>
      </c>
      <c r="BQ43" s="19">
        <v>4.9640999999999998E-2</v>
      </c>
      <c r="BR43" s="19">
        <v>4.8411999999999997E-2</v>
      </c>
      <c r="BS43" s="19">
        <v>4.7213999999999999E-2</v>
      </c>
      <c r="BT43" s="19">
        <v>4.6045000000000003E-2</v>
      </c>
      <c r="BU43" s="19">
        <v>4.4905E-2</v>
      </c>
    </row>
    <row r="44" spans="3:73" x14ac:dyDescent="0.45">
      <c r="C44" s="15" t="s">
        <v>249</v>
      </c>
      <c r="D44" s="15" t="s">
        <v>250</v>
      </c>
      <c r="E44" s="15" t="s">
        <v>288</v>
      </c>
      <c r="F44" s="15" t="s">
        <v>252</v>
      </c>
      <c r="G44" s="15"/>
      <c r="H44" s="15"/>
      <c r="I44" s="15"/>
      <c r="J44" s="18"/>
      <c r="K44" s="18"/>
      <c r="L44" s="19">
        <v>0.13</v>
      </c>
      <c r="M44" s="18"/>
      <c r="N44" s="18"/>
      <c r="O44" s="18"/>
      <c r="P44" s="18"/>
      <c r="Q44" s="18"/>
      <c r="R44" s="19">
        <v>0.125163</v>
      </c>
      <c r="S44" s="18"/>
      <c r="T44" s="18"/>
      <c r="U44" s="18"/>
      <c r="V44" s="18"/>
      <c r="X44" s="15" t="s">
        <v>249</v>
      </c>
      <c r="Y44" s="15" t="s">
        <v>363</v>
      </c>
      <c r="Z44" s="15" t="s">
        <v>339</v>
      </c>
      <c r="AA44" s="15" t="s">
        <v>365</v>
      </c>
      <c r="AB44" s="15" t="s">
        <v>338</v>
      </c>
      <c r="AC44" s="15" t="s">
        <v>13</v>
      </c>
      <c r="AD44" s="15"/>
      <c r="AE44" s="18"/>
      <c r="AF44" s="18"/>
      <c r="AG44" s="19">
        <v>0</v>
      </c>
      <c r="AH44" s="18"/>
      <c r="AI44" s="18"/>
      <c r="AJ44" s="18"/>
      <c r="AK44" s="18"/>
      <c r="AL44" s="18"/>
      <c r="AM44" s="19">
        <v>0</v>
      </c>
      <c r="AN44" s="18"/>
      <c r="AO44" s="18"/>
      <c r="AP44" s="18"/>
      <c r="AR44" s="15" t="s">
        <v>249</v>
      </c>
      <c r="AS44" s="15" t="s">
        <v>369</v>
      </c>
      <c r="AT44" s="15"/>
      <c r="AU44" s="15"/>
      <c r="AV44" s="15" t="s">
        <v>404</v>
      </c>
      <c r="AW44" s="15"/>
      <c r="AX44" s="15"/>
      <c r="AY44" s="15"/>
      <c r="AZ44" s="18"/>
      <c r="BA44" s="18"/>
      <c r="BB44" s="19">
        <v>6.0252851062788998E-4</v>
      </c>
      <c r="BC44" s="19">
        <v>5.7878648322039303E-4</v>
      </c>
      <c r="BD44" s="19">
        <v>5.5042018655920703E-4</v>
      </c>
      <c r="BE44" s="19">
        <v>5.2344412068190801E-4</v>
      </c>
      <c r="BF44" s="19">
        <v>4.97790150447149E-4</v>
      </c>
      <c r="BG44" s="19">
        <v>4.7339348001346302E-4</v>
      </c>
      <c r="BH44" s="19">
        <v>4.5019248918033798E-4</v>
      </c>
      <c r="BI44" s="19">
        <v>4.2812857775021399E-4</v>
      </c>
      <c r="BJ44" s="19">
        <v>4.0714601751829199E-4</v>
      </c>
      <c r="BK44" s="18"/>
      <c r="BL44" s="18"/>
      <c r="BM44" s="19">
        <v>6.1200000000000002E-4</v>
      </c>
      <c r="BN44" s="19">
        <v>5.9999999999999995E-4</v>
      </c>
      <c r="BO44" s="19">
        <v>5.8500000000000002E-4</v>
      </c>
      <c r="BP44" s="19">
        <v>5.6999999999999998E-4</v>
      </c>
      <c r="BQ44" s="19">
        <v>5.5599999999999996E-4</v>
      </c>
      <c r="BR44" s="19">
        <v>5.4199999999999995E-4</v>
      </c>
      <c r="BS44" s="19">
        <v>5.2899999999999996E-4</v>
      </c>
      <c r="BT44" s="19">
        <v>5.1599999999999997E-4</v>
      </c>
      <c r="BU44" s="19">
        <v>5.0299999999999997E-4</v>
      </c>
    </row>
    <row r="45" spans="3:73" x14ac:dyDescent="0.45">
      <c r="C45" s="15" t="s">
        <v>249</v>
      </c>
      <c r="D45" s="15" t="s">
        <v>250</v>
      </c>
      <c r="E45" s="15" t="s">
        <v>289</v>
      </c>
      <c r="F45" s="15" t="s">
        <v>252</v>
      </c>
      <c r="G45" s="15"/>
      <c r="H45" s="15"/>
      <c r="I45" s="15"/>
      <c r="J45" s="18"/>
      <c r="K45" s="18"/>
      <c r="L45" s="19">
        <v>0.44</v>
      </c>
      <c r="M45" s="18"/>
      <c r="N45" s="18"/>
      <c r="O45" s="18"/>
      <c r="P45" s="18"/>
      <c r="Q45" s="18"/>
      <c r="R45" s="19">
        <v>0.43535000000000001</v>
      </c>
      <c r="S45" s="18"/>
      <c r="T45" s="18"/>
      <c r="U45" s="18"/>
      <c r="V45" s="18"/>
      <c r="X45" s="15" t="s">
        <v>249</v>
      </c>
      <c r="Y45" s="15" t="s">
        <v>363</v>
      </c>
      <c r="Z45" s="15" t="s">
        <v>339</v>
      </c>
      <c r="AA45" s="15" t="s">
        <v>365</v>
      </c>
      <c r="AB45" s="15" t="s">
        <v>340</v>
      </c>
      <c r="AC45" s="15" t="s">
        <v>13</v>
      </c>
      <c r="AD45" s="15"/>
      <c r="AE45" s="18"/>
      <c r="AF45" s="18"/>
      <c r="AG45" s="19">
        <v>0</v>
      </c>
      <c r="AH45" s="18"/>
      <c r="AI45" s="18"/>
      <c r="AJ45" s="18"/>
      <c r="AK45" s="18"/>
      <c r="AL45" s="18"/>
      <c r="AM45" s="19">
        <v>0</v>
      </c>
      <c r="AN45" s="18"/>
      <c r="AO45" s="18"/>
      <c r="AP45" s="18"/>
      <c r="AR45" s="15" t="s">
        <v>249</v>
      </c>
      <c r="AS45" s="15" t="s">
        <v>369</v>
      </c>
      <c r="AT45" s="15"/>
      <c r="AU45" s="15"/>
      <c r="AV45" s="15" t="s">
        <v>405</v>
      </c>
      <c r="AW45" s="15"/>
      <c r="AX45" s="15"/>
      <c r="AY45" s="15"/>
      <c r="AZ45" s="18"/>
      <c r="BA45" s="18"/>
      <c r="BB45" s="19">
        <v>6.7362547182976398E-3</v>
      </c>
      <c r="BC45" s="19">
        <v>6.4708194047403801E-3</v>
      </c>
      <c r="BD45" s="19">
        <v>6.1536848686079403E-3</v>
      </c>
      <c r="BE45" s="19">
        <v>5.8520930802663396E-3</v>
      </c>
      <c r="BF45" s="19">
        <v>5.5652822904219299E-3</v>
      </c>
      <c r="BG45" s="19">
        <v>5.2925280830759397E-3</v>
      </c>
      <c r="BH45" s="19">
        <v>5.0331415458215404E-3</v>
      </c>
      <c r="BI45" s="19">
        <v>4.7864675298145897E-3</v>
      </c>
      <c r="BJ45" s="19">
        <v>4.5518829950230997E-3</v>
      </c>
      <c r="BK45" s="18"/>
      <c r="BL45" s="18"/>
      <c r="BM45" s="19">
        <v>6.8389999999999996E-3</v>
      </c>
      <c r="BN45" s="19">
        <v>6.7029999999999998E-3</v>
      </c>
      <c r="BO45" s="19">
        <v>6.5370000000000003E-3</v>
      </c>
      <c r="BP45" s="19">
        <v>6.3749999999999996E-3</v>
      </c>
      <c r="BQ45" s="19">
        <v>6.2179999999999996E-3</v>
      </c>
      <c r="BR45" s="19">
        <v>6.0639999999999999E-3</v>
      </c>
      <c r="BS45" s="19">
        <v>5.914E-3</v>
      </c>
      <c r="BT45" s="19">
        <v>5.7670000000000004E-3</v>
      </c>
      <c r="BU45" s="19">
        <v>5.6239999999999997E-3</v>
      </c>
    </row>
    <row r="46" spans="3:73" x14ac:dyDescent="0.45">
      <c r="C46" s="15" t="s">
        <v>249</v>
      </c>
      <c r="D46" s="15" t="s">
        <v>250</v>
      </c>
      <c r="E46" s="15" t="s">
        <v>290</v>
      </c>
      <c r="F46" s="15" t="s">
        <v>252</v>
      </c>
      <c r="G46" s="15"/>
      <c r="H46" s="15"/>
      <c r="I46" s="15"/>
      <c r="J46" s="18"/>
      <c r="K46" s="18"/>
      <c r="L46" s="19">
        <v>0.27</v>
      </c>
      <c r="M46" s="18"/>
      <c r="N46" s="18"/>
      <c r="O46" s="18"/>
      <c r="P46" s="18"/>
      <c r="Q46" s="18"/>
      <c r="R46" s="19">
        <v>0.27209299999999997</v>
      </c>
      <c r="S46" s="18"/>
      <c r="T46" s="18"/>
      <c r="U46" s="18"/>
      <c r="V46" s="18"/>
      <c r="X46" s="15" t="s">
        <v>249</v>
      </c>
      <c r="Y46" s="15" t="s">
        <v>363</v>
      </c>
      <c r="Z46" s="15" t="s">
        <v>359</v>
      </c>
      <c r="AA46" s="15" t="s">
        <v>366</v>
      </c>
      <c r="AB46" s="15" t="s">
        <v>337</v>
      </c>
      <c r="AC46" s="15" t="s">
        <v>13</v>
      </c>
      <c r="AD46" s="15"/>
      <c r="AE46" s="18"/>
      <c r="AF46" s="18"/>
      <c r="AG46" s="19">
        <v>0</v>
      </c>
      <c r="AH46" s="18"/>
      <c r="AI46" s="18"/>
      <c r="AJ46" s="18"/>
      <c r="AK46" s="18"/>
      <c r="AL46" s="18"/>
      <c r="AM46" s="19">
        <v>0</v>
      </c>
      <c r="AN46" s="18"/>
      <c r="AO46" s="18"/>
      <c r="AP46" s="18"/>
      <c r="AR46" s="15" t="s">
        <v>249</v>
      </c>
      <c r="AS46" s="15" t="s">
        <v>369</v>
      </c>
      <c r="AT46" s="15"/>
      <c r="AU46" s="15"/>
      <c r="AV46" s="15" t="s">
        <v>406</v>
      </c>
      <c r="AW46" s="15"/>
      <c r="AX46" s="15"/>
      <c r="AY46" s="15"/>
      <c r="AZ46" s="18"/>
      <c r="BA46" s="18"/>
      <c r="BB46" s="19">
        <v>7.9175526421355003E-2</v>
      </c>
      <c r="BC46" s="19">
        <v>8.2520841794861202E-2</v>
      </c>
      <c r="BD46" s="19">
        <v>8.5675871348889293E-2</v>
      </c>
      <c r="BE46" s="19">
        <v>8.9954785033159401E-2</v>
      </c>
      <c r="BF46" s="19">
        <v>9.35382684497999E-2</v>
      </c>
      <c r="BG46" s="19">
        <v>9.6364198196670206E-2</v>
      </c>
      <c r="BH46" s="19">
        <v>9.8681587898829207E-2</v>
      </c>
      <c r="BI46" s="19">
        <v>0.100717478123783</v>
      </c>
      <c r="BJ46" s="19">
        <v>0.10259313118442499</v>
      </c>
      <c r="BK46" s="18"/>
      <c r="BL46" s="18"/>
      <c r="BM46" s="19">
        <v>7.9787534821382705E-2</v>
      </c>
      <c r="BN46" s="19">
        <v>8.6381065143963695E-2</v>
      </c>
      <c r="BO46" s="19">
        <v>9.3152212683142402E-2</v>
      </c>
      <c r="BP46" s="19">
        <v>9.7524580634090599E-2</v>
      </c>
      <c r="BQ46" s="19">
        <v>9.9354903499760894E-2</v>
      </c>
      <c r="BR46" s="19">
        <v>0.100380915981234</v>
      </c>
      <c r="BS46" s="19">
        <v>0.100884947959837</v>
      </c>
      <c r="BT46" s="19">
        <v>0.101105666099331</v>
      </c>
      <c r="BU46" s="19">
        <v>0.101164331351588</v>
      </c>
    </row>
    <row r="47" spans="3:73" x14ac:dyDescent="0.45">
      <c r="C47" s="15" t="s">
        <v>249</v>
      </c>
      <c r="D47" s="15" t="s">
        <v>250</v>
      </c>
      <c r="E47" s="15" t="s">
        <v>291</v>
      </c>
      <c r="F47" s="15" t="s">
        <v>252</v>
      </c>
      <c r="G47" s="15"/>
      <c r="H47" s="15"/>
      <c r="I47" s="15"/>
      <c r="J47" s="18"/>
      <c r="K47" s="18"/>
      <c r="L47" s="19">
        <v>0.11</v>
      </c>
      <c r="M47" s="18"/>
      <c r="N47" s="18"/>
      <c r="O47" s="18"/>
      <c r="P47" s="18"/>
      <c r="Q47" s="18"/>
      <c r="R47" s="19">
        <v>0.111111</v>
      </c>
      <c r="S47" s="18"/>
      <c r="T47" s="18"/>
      <c r="U47" s="18"/>
      <c r="V47" s="18"/>
      <c r="X47" s="15" t="s">
        <v>249</v>
      </c>
      <c r="Y47" s="15" t="s">
        <v>363</v>
      </c>
      <c r="Z47" s="15" t="s">
        <v>359</v>
      </c>
      <c r="AA47" s="15" t="s">
        <v>366</v>
      </c>
      <c r="AB47" s="15" t="s">
        <v>338</v>
      </c>
      <c r="AC47" s="15" t="s">
        <v>13</v>
      </c>
      <c r="AD47" s="15"/>
      <c r="AE47" s="18"/>
      <c r="AF47" s="18"/>
      <c r="AG47" s="19">
        <v>0</v>
      </c>
      <c r="AH47" s="18"/>
      <c r="AI47" s="18"/>
      <c r="AJ47" s="18"/>
      <c r="AK47" s="18"/>
      <c r="AL47" s="18"/>
      <c r="AM47" s="19">
        <v>0</v>
      </c>
      <c r="AN47" s="18"/>
      <c r="AO47" s="18"/>
      <c r="AP47" s="18"/>
      <c r="AR47" s="15" t="s">
        <v>249</v>
      </c>
      <c r="AS47" s="15" t="s">
        <v>369</v>
      </c>
      <c r="AT47" s="15"/>
      <c r="AU47" s="15"/>
      <c r="AV47" s="15" t="s">
        <v>407</v>
      </c>
      <c r="AW47" s="15"/>
      <c r="AX47" s="15"/>
      <c r="AY47" s="15"/>
      <c r="AZ47" s="18"/>
      <c r="BA47" s="18"/>
      <c r="BB47" s="19">
        <v>7.9407232926067106E-2</v>
      </c>
      <c r="BC47" s="19">
        <v>8.2762338336563102E-2</v>
      </c>
      <c r="BD47" s="19">
        <v>8.59266010577487E-2</v>
      </c>
      <c r="BE47" s="19">
        <v>9.0218036946525096E-2</v>
      </c>
      <c r="BF47" s="19">
        <v>9.3812007396908106E-2</v>
      </c>
      <c r="BG47" s="19">
        <v>9.6646207203149107E-2</v>
      </c>
      <c r="BH47" s="19">
        <v>9.8970378726562905E-2</v>
      </c>
      <c r="BI47" s="19">
        <v>0.10101222696694601</v>
      </c>
      <c r="BJ47" s="19">
        <v>0.102893369110317</v>
      </c>
      <c r="BK47" s="18"/>
      <c r="BL47" s="18"/>
      <c r="BM47" s="19">
        <v>8.0021032363472494E-2</v>
      </c>
      <c r="BN47" s="19">
        <v>8.6633858596466898E-2</v>
      </c>
      <c r="BO47" s="19">
        <v>9.3424821841332703E-2</v>
      </c>
      <c r="BP47" s="19">
        <v>9.7809985489903897E-2</v>
      </c>
      <c r="BQ47" s="19">
        <v>9.9645664779874396E-2</v>
      </c>
      <c r="BR47" s="19">
        <v>0.100674679878149</v>
      </c>
      <c r="BS47" s="19">
        <v>0.10118018690205</v>
      </c>
      <c r="BT47" s="19">
        <v>0.101401550971303</v>
      </c>
      <c r="BU47" s="19">
        <v>0.101460387906921</v>
      </c>
    </row>
    <row r="48" spans="3:73" x14ac:dyDescent="0.45">
      <c r="C48" s="15" t="s">
        <v>249</v>
      </c>
      <c r="D48" s="15" t="s">
        <v>250</v>
      </c>
      <c r="E48" s="15" t="s">
        <v>292</v>
      </c>
      <c r="F48" s="15" t="s">
        <v>252</v>
      </c>
      <c r="G48" s="15"/>
      <c r="H48" s="15"/>
      <c r="I48" s="15"/>
      <c r="J48" s="18"/>
      <c r="K48" s="18"/>
      <c r="L48" s="19">
        <v>0.39</v>
      </c>
      <c r="M48" s="18"/>
      <c r="N48" s="18"/>
      <c r="O48" s="18"/>
      <c r="P48" s="18"/>
      <c r="Q48" s="18"/>
      <c r="R48" s="19">
        <v>0.38647300000000001</v>
      </c>
      <c r="S48" s="18"/>
      <c r="T48" s="18"/>
      <c r="U48" s="18"/>
      <c r="V48" s="18"/>
      <c r="X48" s="15" t="s">
        <v>249</v>
      </c>
      <c r="Y48" s="15" t="s">
        <v>363</v>
      </c>
      <c r="Z48" s="15" t="s">
        <v>360</v>
      </c>
      <c r="AA48" s="15" t="s">
        <v>367</v>
      </c>
      <c r="AB48" s="15" t="s">
        <v>338</v>
      </c>
      <c r="AC48" s="15" t="s">
        <v>13</v>
      </c>
      <c r="AD48" s="15"/>
      <c r="AE48" s="18"/>
      <c r="AF48" s="18"/>
      <c r="AG48" s="19">
        <v>0</v>
      </c>
      <c r="AH48" s="18"/>
      <c r="AI48" s="18"/>
      <c r="AJ48" s="18"/>
      <c r="AK48" s="18"/>
      <c r="AL48" s="18"/>
      <c r="AM48" s="19">
        <v>0</v>
      </c>
      <c r="AN48" s="18"/>
      <c r="AO48" s="18"/>
      <c r="AP48" s="18"/>
      <c r="AR48" s="15" t="s">
        <v>249</v>
      </c>
      <c r="AS48" s="15" t="s">
        <v>369</v>
      </c>
      <c r="AT48" s="15"/>
      <c r="AU48" s="15"/>
      <c r="AV48" s="15" t="s">
        <v>408</v>
      </c>
      <c r="AW48" s="15"/>
      <c r="AX48" s="15"/>
      <c r="AY48" s="15"/>
      <c r="AZ48" s="18"/>
      <c r="BA48" s="18"/>
      <c r="BB48" s="19">
        <v>8.4904373927395804E-3</v>
      </c>
      <c r="BC48" s="19">
        <v>8.8491743916774591E-3</v>
      </c>
      <c r="BD48" s="19">
        <v>9.1875059710364807E-3</v>
      </c>
      <c r="BE48" s="19">
        <v>9.6463579722456897E-3</v>
      </c>
      <c r="BF48" s="19">
        <v>1.00306350711435E-2</v>
      </c>
      <c r="BG48" s="19">
        <v>1.03336754256136E-2</v>
      </c>
      <c r="BH48" s="19">
        <v>1.05821821684176E-2</v>
      </c>
      <c r="BI48" s="19">
        <v>1.0800502137664999E-2</v>
      </c>
      <c r="BJ48" s="19">
        <v>1.10016389737768E-2</v>
      </c>
      <c r="BK48" s="18"/>
      <c r="BL48" s="18"/>
      <c r="BM48" s="19">
        <v>8.5560664985899499E-3</v>
      </c>
      <c r="BN48" s="19">
        <v>9.2631278713565801E-3</v>
      </c>
      <c r="BO48" s="19">
        <v>9.9892361381011593E-3</v>
      </c>
      <c r="BP48" s="19">
        <v>1.04581097663987E-2</v>
      </c>
      <c r="BQ48" s="19">
        <v>1.06543855905311E-2</v>
      </c>
      <c r="BR48" s="19">
        <v>1.07644106845451E-2</v>
      </c>
      <c r="BS48" s="19">
        <v>1.08184608709056E-2</v>
      </c>
      <c r="BT48" s="19">
        <v>1.08421297194694E-2</v>
      </c>
      <c r="BU48" s="19">
        <v>1.0848420724707101E-2</v>
      </c>
    </row>
    <row r="49" spans="3:73" x14ac:dyDescent="0.45">
      <c r="C49" s="15" t="s">
        <v>249</v>
      </c>
      <c r="D49" s="15" t="s">
        <v>250</v>
      </c>
      <c r="E49" s="15" t="s">
        <v>293</v>
      </c>
      <c r="F49" s="15" t="s">
        <v>252</v>
      </c>
      <c r="G49" s="15"/>
      <c r="H49" s="15"/>
      <c r="I49" s="15"/>
      <c r="J49" s="18"/>
      <c r="K49" s="18"/>
      <c r="L49" s="19">
        <v>0.24</v>
      </c>
      <c r="M49" s="18"/>
      <c r="N49" s="18"/>
      <c r="O49" s="18"/>
      <c r="P49" s="18"/>
      <c r="Q49" s="18"/>
      <c r="R49" s="19">
        <v>0.24154600000000001</v>
      </c>
      <c r="S49" s="18"/>
      <c r="T49" s="18"/>
      <c r="U49" s="18"/>
      <c r="V49" s="18"/>
      <c r="X49" s="15" t="s">
        <v>249</v>
      </c>
      <c r="Y49" s="15" t="s">
        <v>363</v>
      </c>
      <c r="Z49" s="15" t="s">
        <v>360</v>
      </c>
      <c r="AA49" s="15" t="s">
        <v>367</v>
      </c>
      <c r="AB49" s="15" t="s">
        <v>340</v>
      </c>
      <c r="AC49" s="15" t="s">
        <v>13</v>
      </c>
      <c r="AD49" s="15"/>
      <c r="AE49" s="18"/>
      <c r="AF49" s="18"/>
      <c r="AG49" s="19">
        <v>0</v>
      </c>
      <c r="AH49" s="18"/>
      <c r="AI49" s="18"/>
      <c r="AJ49" s="18"/>
      <c r="AK49" s="18"/>
      <c r="AL49" s="18"/>
      <c r="AM49" s="19">
        <v>0</v>
      </c>
      <c r="AN49" s="18"/>
      <c r="AO49" s="18"/>
      <c r="AP49" s="18"/>
      <c r="AR49" s="15" t="s">
        <v>249</v>
      </c>
      <c r="AS49" s="15" t="s">
        <v>369</v>
      </c>
      <c r="AT49" s="15"/>
      <c r="AU49" s="15"/>
      <c r="AV49" s="15" t="s">
        <v>409</v>
      </c>
      <c r="AW49" s="15"/>
      <c r="AX49" s="15"/>
      <c r="AY49" s="15"/>
      <c r="AZ49" s="18"/>
      <c r="BA49" s="18"/>
      <c r="BB49" s="19">
        <v>8.5942170023326506E-2</v>
      </c>
      <c r="BC49" s="19">
        <v>8.9573388855790997E-2</v>
      </c>
      <c r="BD49" s="19">
        <v>9.2998059314158499E-2</v>
      </c>
      <c r="BE49" s="19">
        <v>9.7642665343193893E-2</v>
      </c>
      <c r="BF49" s="19">
        <v>0.10153240697155699</v>
      </c>
      <c r="BG49" s="19">
        <v>0.104599851493327</v>
      </c>
      <c r="BH49" s="19">
        <v>0.107115294191281</v>
      </c>
      <c r="BI49" s="19">
        <v>0.109325179389021</v>
      </c>
      <c r="BJ49" s="19">
        <v>0.111361132940938</v>
      </c>
      <c r="BK49" s="18"/>
      <c r="BL49" s="18"/>
      <c r="BM49" s="19">
        <v>8.6606483004221302E-2</v>
      </c>
      <c r="BN49" s="19">
        <v>9.3763521670709699E-2</v>
      </c>
      <c r="BO49" s="19">
        <v>0.101113357401113</v>
      </c>
      <c r="BP49" s="19">
        <v>0.105859404656235</v>
      </c>
      <c r="BQ49" s="19">
        <v>0.107846153921177</v>
      </c>
      <c r="BR49" s="19">
        <v>0.108959853357282</v>
      </c>
      <c r="BS49" s="19">
        <v>0.109506961838402</v>
      </c>
      <c r="BT49" s="19">
        <v>0.109746543395091</v>
      </c>
      <c r="BU49" s="19">
        <v>0.109810222404398</v>
      </c>
    </row>
    <row r="50" spans="3:73" x14ac:dyDescent="0.45">
      <c r="C50" s="15" t="s">
        <v>249</v>
      </c>
      <c r="D50" s="15" t="s">
        <v>250</v>
      </c>
      <c r="E50" s="15" t="s">
        <v>294</v>
      </c>
      <c r="F50" s="15" t="s">
        <v>252</v>
      </c>
      <c r="G50" s="15"/>
      <c r="H50" s="15"/>
      <c r="I50" s="15"/>
      <c r="J50" s="18"/>
      <c r="K50" s="18"/>
      <c r="L50" s="19">
        <v>0.23</v>
      </c>
      <c r="M50" s="18"/>
      <c r="N50" s="18"/>
      <c r="O50" s="19"/>
      <c r="P50" s="18"/>
      <c r="Q50" s="18"/>
      <c r="R50" s="19">
        <v>0.23</v>
      </c>
      <c r="S50" s="18"/>
      <c r="T50" s="18"/>
      <c r="U50" s="19"/>
      <c r="V50" s="19"/>
      <c r="X50" s="15" t="s">
        <v>249</v>
      </c>
      <c r="Y50" s="15" t="s">
        <v>321</v>
      </c>
      <c r="Z50" s="15" t="s">
        <v>330</v>
      </c>
      <c r="AA50" s="15"/>
      <c r="AB50" s="15"/>
      <c r="AC50" s="15" t="s">
        <v>320</v>
      </c>
      <c r="AD50" s="15"/>
      <c r="AE50" s="18"/>
      <c r="AF50" s="18"/>
      <c r="AG50" s="19">
        <v>0.18299133909599399</v>
      </c>
      <c r="AH50" s="18"/>
      <c r="AI50" s="18"/>
      <c r="AJ50" s="19">
        <v>0.213778816414084</v>
      </c>
      <c r="AK50" s="18"/>
      <c r="AL50" s="18"/>
      <c r="AM50" s="19">
        <v>0.18</v>
      </c>
      <c r="AN50" s="18"/>
      <c r="AO50" s="18"/>
      <c r="AP50" s="19">
        <v>0.21</v>
      </c>
      <c r="AR50" s="15" t="s">
        <v>249</v>
      </c>
      <c r="AS50" s="15" t="s">
        <v>369</v>
      </c>
      <c r="AT50" s="15"/>
      <c r="AU50" s="15"/>
      <c r="AV50" s="15" t="s">
        <v>410</v>
      </c>
      <c r="AW50" s="15"/>
      <c r="AX50" s="15"/>
      <c r="AY50" s="15"/>
      <c r="AZ50" s="18"/>
      <c r="BA50" s="18"/>
      <c r="BB50" s="19">
        <v>3.0789820842203001E-3</v>
      </c>
      <c r="BC50" s="19">
        <v>3.2090748864617002E-3</v>
      </c>
      <c r="BD50" s="19">
        <v>3.3317678436305702E-3</v>
      </c>
      <c r="BE50" s="19">
        <v>3.4981664666555701E-3</v>
      </c>
      <c r="BF50" s="19">
        <v>3.6375211604307502E-3</v>
      </c>
      <c r="BG50" s="19">
        <v>3.7474160667882298E-3</v>
      </c>
      <c r="BH50" s="19">
        <v>3.8375348408287301E-3</v>
      </c>
      <c r="BI50" s="19">
        <v>3.9167066482217504E-3</v>
      </c>
      <c r="BJ50" s="19">
        <v>3.9896471442431398E-3</v>
      </c>
      <c r="BK50" s="18"/>
      <c r="BL50" s="18"/>
      <c r="BM50" s="19">
        <v>3.1027818994441301E-3</v>
      </c>
      <c r="BN50" s="19">
        <v>3.3591914574551602E-3</v>
      </c>
      <c r="BO50" s="19">
        <v>3.62250820323584E-3</v>
      </c>
      <c r="BP50" s="19">
        <v>3.7925410807559002E-3</v>
      </c>
      <c r="BQ50" s="19">
        <v>3.8637187737433302E-3</v>
      </c>
      <c r="BR50" s="19">
        <v>3.9036184017146101E-3</v>
      </c>
      <c r="BS50" s="19">
        <v>3.9232192241168903E-3</v>
      </c>
      <c r="BT50" s="19">
        <v>3.9318025228694603E-3</v>
      </c>
      <c r="BU50" s="19">
        <v>3.9340839003206597E-3</v>
      </c>
    </row>
    <row r="51" spans="3:73" x14ac:dyDescent="0.45">
      <c r="C51" s="15" t="s">
        <v>249</v>
      </c>
      <c r="D51" s="15" t="s">
        <v>250</v>
      </c>
      <c r="E51" s="15" t="s">
        <v>295</v>
      </c>
      <c r="F51" s="15" t="s">
        <v>252</v>
      </c>
      <c r="G51" s="15"/>
      <c r="H51" s="15"/>
      <c r="I51" s="15"/>
      <c r="J51" s="18"/>
      <c r="K51" s="18"/>
      <c r="L51" s="19">
        <v>0.8</v>
      </c>
      <c r="M51" s="18"/>
      <c r="N51" s="18"/>
      <c r="O51" s="19"/>
      <c r="P51" s="18"/>
      <c r="Q51" s="18"/>
      <c r="R51" s="19">
        <v>0.8</v>
      </c>
      <c r="S51" s="18"/>
      <c r="T51" s="18"/>
      <c r="U51" s="19"/>
      <c r="V51" s="19"/>
      <c r="X51" s="15" t="s">
        <v>249</v>
      </c>
      <c r="Y51" s="15" t="s">
        <v>321</v>
      </c>
      <c r="Z51" s="15" t="s">
        <v>331</v>
      </c>
      <c r="AA51" s="15"/>
      <c r="AB51" s="15"/>
      <c r="AC51" s="15" t="s">
        <v>320</v>
      </c>
      <c r="AD51" s="15"/>
      <c r="AE51" s="18"/>
      <c r="AF51" s="18"/>
      <c r="AG51" s="19">
        <v>0.18299133909599399</v>
      </c>
      <c r="AH51" s="18"/>
      <c r="AI51" s="18"/>
      <c r="AJ51" s="19">
        <v>0.213778816414084</v>
      </c>
      <c r="AK51" s="18"/>
      <c r="AL51" s="18"/>
      <c r="AM51" s="19">
        <v>0.18</v>
      </c>
      <c r="AN51" s="18"/>
      <c r="AO51" s="18"/>
      <c r="AP51" s="19">
        <v>0.21</v>
      </c>
      <c r="AR51" s="15" t="s">
        <v>249</v>
      </c>
      <c r="AS51" s="15" t="s">
        <v>369</v>
      </c>
      <c r="AT51" s="15"/>
      <c r="AU51" s="15"/>
      <c r="AV51" s="15" t="s">
        <v>411</v>
      </c>
      <c r="AW51" s="15"/>
      <c r="AX51" s="15"/>
      <c r="AY51" s="15"/>
      <c r="AZ51" s="18"/>
      <c r="BA51" s="18"/>
      <c r="BB51" s="19">
        <v>0.38213081594350201</v>
      </c>
      <c r="BC51" s="19">
        <v>0.39827656389171401</v>
      </c>
      <c r="BD51" s="19">
        <v>0.41350392103476002</v>
      </c>
      <c r="BE51" s="19">
        <v>0.434155564938209</v>
      </c>
      <c r="BF51" s="19">
        <v>0.45145080127971998</v>
      </c>
      <c r="BG51" s="19">
        <v>0.46508979919712801</v>
      </c>
      <c r="BH51" s="19">
        <v>0.476274391933934</v>
      </c>
      <c r="BI51" s="19">
        <v>0.48610036250838701</v>
      </c>
      <c r="BJ51" s="19">
        <v>0.49515296836888301</v>
      </c>
      <c r="BK51" s="18"/>
      <c r="BL51" s="18"/>
      <c r="BM51" s="19">
        <v>0.38508459825272501</v>
      </c>
      <c r="BN51" s="19">
        <v>0.41690745104573801</v>
      </c>
      <c r="BO51" s="19">
        <v>0.44958755121015398</v>
      </c>
      <c r="BP51" s="19">
        <v>0.470690240490795</v>
      </c>
      <c r="BQ51" s="19">
        <v>0.47952406581172102</v>
      </c>
      <c r="BR51" s="19">
        <v>0.484475987250513</v>
      </c>
      <c r="BS51" s="19">
        <v>0.48690863481157998</v>
      </c>
      <c r="BT51" s="19">
        <v>0.48797390341857</v>
      </c>
      <c r="BU51" s="19">
        <v>0.488257043951076</v>
      </c>
    </row>
    <row r="52" spans="3:73" x14ac:dyDescent="0.45">
      <c r="C52" s="15" t="s">
        <v>249</v>
      </c>
      <c r="D52" s="15" t="s">
        <v>250</v>
      </c>
      <c r="E52" s="15" t="s">
        <v>296</v>
      </c>
      <c r="F52" s="15" t="s">
        <v>252</v>
      </c>
      <c r="G52" s="15"/>
      <c r="H52" s="15"/>
      <c r="I52" s="15"/>
      <c r="J52" s="18"/>
      <c r="K52" s="18"/>
      <c r="L52" s="19">
        <v>0.5</v>
      </c>
      <c r="M52" s="18"/>
      <c r="N52" s="18"/>
      <c r="O52" s="19"/>
      <c r="P52" s="18"/>
      <c r="Q52" s="18"/>
      <c r="R52" s="19">
        <v>0.5</v>
      </c>
      <c r="S52" s="18"/>
      <c r="T52" s="18"/>
      <c r="U52" s="19"/>
      <c r="V52" s="19"/>
      <c r="X52" s="15" t="s">
        <v>249</v>
      </c>
      <c r="Y52" s="15" t="s">
        <v>321</v>
      </c>
      <c r="Z52" s="15" t="s">
        <v>332</v>
      </c>
      <c r="AA52" s="15"/>
      <c r="AB52" s="15"/>
      <c r="AC52" s="15" t="s">
        <v>320</v>
      </c>
      <c r="AD52" s="15"/>
      <c r="AE52" s="18"/>
      <c r="AF52" s="18"/>
      <c r="AG52" s="19">
        <v>0.18299133909599399</v>
      </c>
      <c r="AH52" s="18"/>
      <c r="AI52" s="18"/>
      <c r="AJ52" s="19">
        <v>0.213778816414084</v>
      </c>
      <c r="AK52" s="18"/>
      <c r="AL52" s="18"/>
      <c r="AM52" s="19">
        <v>0.18</v>
      </c>
      <c r="AN52" s="18"/>
      <c r="AO52" s="18"/>
      <c r="AP52" s="19">
        <v>0.21</v>
      </c>
      <c r="AR52" s="15" t="s">
        <v>249</v>
      </c>
      <c r="AS52" s="15" t="s">
        <v>369</v>
      </c>
      <c r="AT52" s="15"/>
      <c r="AU52" s="15"/>
      <c r="AV52" s="15" t="s">
        <v>412</v>
      </c>
      <c r="AW52" s="15"/>
      <c r="AX52" s="15"/>
      <c r="AY52" s="15"/>
      <c r="AZ52" s="18"/>
      <c r="BA52" s="18"/>
      <c r="BB52" s="19">
        <v>1.88870834708179</v>
      </c>
      <c r="BC52" s="19">
        <v>1.9685098382135</v>
      </c>
      <c r="BD52" s="19">
        <v>2.0437721184068902</v>
      </c>
      <c r="BE52" s="19">
        <v>2.1458443161831902</v>
      </c>
      <c r="BF52" s="19">
        <v>2.2313272342836599</v>
      </c>
      <c r="BG52" s="19">
        <v>2.2987389376523999</v>
      </c>
      <c r="BH52" s="19">
        <v>2.3540195713499501</v>
      </c>
      <c r="BI52" s="19">
        <v>2.4025851197638501</v>
      </c>
      <c r="BJ52" s="19">
        <v>2.44732825886229</v>
      </c>
      <c r="BK52" s="18"/>
      <c r="BL52" s="18"/>
      <c r="BM52" s="19">
        <v>1.9033076232200401</v>
      </c>
      <c r="BN52" s="19">
        <v>2.0605943040906198</v>
      </c>
      <c r="BO52" s="19">
        <v>2.2221179901916801</v>
      </c>
      <c r="BP52" s="19">
        <v>2.3264195113652901</v>
      </c>
      <c r="BQ52" s="19">
        <v>2.3700813123093001</v>
      </c>
      <c r="BR52" s="19">
        <v>2.3945565311749801</v>
      </c>
      <c r="BS52" s="19">
        <v>2.4065800622863098</v>
      </c>
      <c r="BT52" s="19">
        <v>2.4118452270570199</v>
      </c>
      <c r="BU52" s="19">
        <v>2.4132446689884999</v>
      </c>
    </row>
    <row r="53" spans="3:73" x14ac:dyDescent="0.45">
      <c r="C53" s="15" t="s">
        <v>249</v>
      </c>
      <c r="D53" s="15" t="s">
        <v>250</v>
      </c>
      <c r="E53" s="15" t="s">
        <v>297</v>
      </c>
      <c r="F53" s="15" t="s">
        <v>252</v>
      </c>
      <c r="G53" s="15"/>
      <c r="H53" s="15"/>
      <c r="I53" s="15"/>
      <c r="J53" s="18"/>
      <c r="K53" s="18"/>
      <c r="L53" s="19">
        <v>0.9</v>
      </c>
      <c r="M53" s="18"/>
      <c r="N53" s="18"/>
      <c r="O53" s="19"/>
      <c r="P53" s="18"/>
      <c r="Q53" s="18"/>
      <c r="R53" s="19">
        <v>0.9</v>
      </c>
      <c r="S53" s="18"/>
      <c r="T53" s="18"/>
      <c r="U53" s="19"/>
      <c r="V53" s="19"/>
      <c r="X53" s="15" t="s">
        <v>249</v>
      </c>
      <c r="Y53" s="15" t="s">
        <v>321</v>
      </c>
      <c r="Z53" s="15" t="s">
        <v>333</v>
      </c>
      <c r="AA53" s="15"/>
      <c r="AB53" s="15"/>
      <c r="AC53" s="15" t="s">
        <v>320</v>
      </c>
      <c r="AD53" s="15"/>
      <c r="AE53" s="18"/>
      <c r="AF53" s="18"/>
      <c r="AG53" s="19">
        <v>0.18299133909599399</v>
      </c>
      <c r="AH53" s="18"/>
      <c r="AI53" s="18"/>
      <c r="AJ53" s="19">
        <v>0.213778816414084</v>
      </c>
      <c r="AK53" s="18"/>
      <c r="AL53" s="18"/>
      <c r="AM53" s="19">
        <v>0.18</v>
      </c>
      <c r="AN53" s="18"/>
      <c r="AO53" s="18"/>
      <c r="AP53" s="19">
        <v>0.21</v>
      </c>
      <c r="AR53" s="15" t="s">
        <v>249</v>
      </c>
      <c r="AS53" s="15" t="s">
        <v>369</v>
      </c>
      <c r="AT53" s="15"/>
      <c r="AU53" s="15"/>
      <c r="AV53" s="15" t="s">
        <v>413</v>
      </c>
      <c r="AW53" s="15"/>
      <c r="AX53" s="15"/>
      <c r="AY53" s="15"/>
      <c r="AZ53" s="18"/>
      <c r="BA53" s="18"/>
      <c r="BB53" s="19">
        <v>0.139331914202767</v>
      </c>
      <c r="BC53" s="19">
        <v>0.14521895045841501</v>
      </c>
      <c r="BD53" s="19">
        <v>0.15077112455814401</v>
      </c>
      <c r="BE53" s="19">
        <v>0.15830109324019501</v>
      </c>
      <c r="BF53" s="19">
        <v>0.164607254077034</v>
      </c>
      <c r="BG53" s="19">
        <v>0.16958028322923099</v>
      </c>
      <c r="BH53" s="19">
        <v>0.17365839117179499</v>
      </c>
      <c r="BI53" s="19">
        <v>0.177241120519749</v>
      </c>
      <c r="BJ53" s="19">
        <v>0.18054186688837701</v>
      </c>
      <c r="BK53" s="18"/>
      <c r="BL53" s="18"/>
      <c r="BM53" s="19">
        <v>0.140408917485703</v>
      </c>
      <c r="BN53" s="19">
        <v>0.15201211411378901</v>
      </c>
      <c r="BO53" s="19">
        <v>0.163927878878804</v>
      </c>
      <c r="BP53" s="19">
        <v>0.171622306989864</v>
      </c>
      <c r="BQ53" s="19">
        <v>0.174843281955358</v>
      </c>
      <c r="BR53" s="19">
        <v>0.17664884346534801</v>
      </c>
      <c r="BS53" s="19">
        <v>0.17753583144727</v>
      </c>
      <c r="BT53" s="19">
        <v>0.17792424794748199</v>
      </c>
      <c r="BU53" s="19">
        <v>0.17802748618615999</v>
      </c>
    </row>
    <row r="54" spans="3:73" x14ac:dyDescent="0.45">
      <c r="C54" s="15" t="s">
        <v>249</v>
      </c>
      <c r="D54" s="15" t="s">
        <v>250</v>
      </c>
      <c r="E54" s="15" t="s">
        <v>298</v>
      </c>
      <c r="F54" s="15" t="s">
        <v>252</v>
      </c>
      <c r="G54" s="15"/>
      <c r="H54" s="15"/>
      <c r="I54" s="15"/>
      <c r="J54" s="18"/>
      <c r="K54" s="18"/>
      <c r="L54" s="19">
        <v>0.45</v>
      </c>
      <c r="M54" s="18"/>
      <c r="N54" s="18"/>
      <c r="O54" s="19"/>
      <c r="P54" s="18"/>
      <c r="Q54" s="18"/>
      <c r="R54" s="19">
        <v>0.45</v>
      </c>
      <c r="S54" s="18"/>
      <c r="T54" s="18"/>
      <c r="U54" s="19"/>
      <c r="V54" s="19"/>
      <c r="X54" s="15" t="s">
        <v>249</v>
      </c>
      <c r="Y54" s="15" t="s">
        <v>321</v>
      </c>
      <c r="Z54" s="15" t="s">
        <v>334</v>
      </c>
      <c r="AA54" s="15"/>
      <c r="AB54" s="15"/>
      <c r="AC54" s="15" t="s">
        <v>320</v>
      </c>
      <c r="AD54" s="15"/>
      <c r="AE54" s="18"/>
      <c r="AF54" s="18"/>
      <c r="AG54" s="19">
        <v>0.18299133909599399</v>
      </c>
      <c r="AH54" s="18"/>
      <c r="AI54" s="18"/>
      <c r="AJ54" s="19">
        <v>0.213778816414084</v>
      </c>
      <c r="AK54" s="18"/>
      <c r="AL54" s="18"/>
      <c r="AM54" s="19">
        <v>0.18</v>
      </c>
      <c r="AN54" s="18"/>
      <c r="AO54" s="18"/>
      <c r="AP54" s="19">
        <v>0.21</v>
      </c>
      <c r="AR54" s="15" t="s">
        <v>249</v>
      </c>
      <c r="AS54" s="15" t="s">
        <v>369</v>
      </c>
      <c r="AT54" s="15"/>
      <c r="AU54" s="15"/>
      <c r="AV54" s="15" t="s">
        <v>414</v>
      </c>
      <c r="AW54" s="15"/>
      <c r="AX54" s="15"/>
      <c r="AY54" s="15"/>
      <c r="AZ54" s="18"/>
      <c r="BA54" s="18"/>
      <c r="BB54" s="19">
        <v>5.4407137858462802E-2</v>
      </c>
      <c r="BC54" s="19">
        <v>5.67059420841243E-2</v>
      </c>
      <c r="BD54" s="19">
        <v>5.8873987383627799E-2</v>
      </c>
      <c r="BE54" s="19">
        <v>6.1814333437856903E-2</v>
      </c>
      <c r="BF54" s="19">
        <v>6.4276799872561699E-2</v>
      </c>
      <c r="BG54" s="19">
        <v>6.6218697277803801E-2</v>
      </c>
      <c r="BH54" s="19">
        <v>6.7811140633673203E-2</v>
      </c>
      <c r="BI54" s="19">
        <v>6.92101456689449E-2</v>
      </c>
      <c r="BJ54" s="19">
        <v>7.04990403471044E-2</v>
      </c>
      <c r="BK54" s="18"/>
      <c r="BL54" s="18"/>
      <c r="BM54" s="19">
        <v>5.4827692376959301E-2</v>
      </c>
      <c r="BN54" s="19">
        <v>5.9358576217573303E-2</v>
      </c>
      <c r="BO54" s="19">
        <v>6.4011513485884505E-2</v>
      </c>
      <c r="BP54" s="19">
        <v>6.7016078616391805E-2</v>
      </c>
      <c r="BQ54" s="19">
        <v>6.82738236921627E-2</v>
      </c>
      <c r="BR54" s="19">
        <v>6.8978869873061302E-2</v>
      </c>
      <c r="BS54" s="19">
        <v>6.9325226109443902E-2</v>
      </c>
      <c r="BT54" s="19">
        <v>6.9476897248066202E-2</v>
      </c>
      <c r="BU54" s="19">
        <v>6.9517210317158296E-2</v>
      </c>
    </row>
    <row r="55" spans="3:73" x14ac:dyDescent="0.45">
      <c r="C55" s="15" t="s">
        <v>249</v>
      </c>
      <c r="D55" s="15" t="s">
        <v>250</v>
      </c>
      <c r="E55" s="15" t="s">
        <v>299</v>
      </c>
      <c r="F55" s="15" t="s">
        <v>252</v>
      </c>
      <c r="G55" s="15"/>
      <c r="H55" s="15"/>
      <c r="I55" s="15"/>
      <c r="J55" s="18"/>
      <c r="K55" s="18"/>
      <c r="L55" s="19">
        <v>0.99</v>
      </c>
      <c r="M55" s="18"/>
      <c r="N55" s="18"/>
      <c r="O55" s="19"/>
      <c r="P55" s="18"/>
      <c r="Q55" s="18"/>
      <c r="R55" s="19">
        <v>0.99</v>
      </c>
      <c r="S55" s="18"/>
      <c r="T55" s="18"/>
      <c r="U55" s="19"/>
      <c r="V55" s="19"/>
      <c r="X55" s="15" t="s">
        <v>249</v>
      </c>
      <c r="Y55" s="15" t="s">
        <v>321</v>
      </c>
      <c r="Z55" s="15" t="s">
        <v>335</v>
      </c>
      <c r="AA55" s="15"/>
      <c r="AB55" s="15"/>
      <c r="AC55" s="15" t="s">
        <v>320</v>
      </c>
      <c r="AD55" s="15"/>
      <c r="AE55" s="18"/>
      <c r="AF55" s="18"/>
      <c r="AG55" s="19">
        <v>0.18299133909599399</v>
      </c>
      <c r="AH55" s="18"/>
      <c r="AI55" s="18"/>
      <c r="AJ55" s="19">
        <v>0.213778816414084</v>
      </c>
      <c r="AK55" s="18"/>
      <c r="AL55" s="18"/>
      <c r="AM55" s="19">
        <v>0.18</v>
      </c>
      <c r="AN55" s="18"/>
      <c r="AO55" s="18"/>
      <c r="AP55" s="19">
        <v>0.21</v>
      </c>
      <c r="AR55" s="15" t="s">
        <v>249</v>
      </c>
      <c r="AS55" s="15" t="s">
        <v>369</v>
      </c>
      <c r="AT55" s="15"/>
      <c r="AU55" s="15"/>
      <c r="AV55" s="15" t="s">
        <v>415</v>
      </c>
      <c r="AW55" s="15"/>
      <c r="AX55" s="15"/>
      <c r="AY55" s="15"/>
      <c r="AZ55" s="18"/>
      <c r="BA55" s="18"/>
      <c r="BB55" s="19">
        <v>9.7469952535781893E-3</v>
      </c>
      <c r="BC55" s="19">
        <v>1.01588241929118E-2</v>
      </c>
      <c r="BD55" s="19">
        <v>1.05472277751546E-2</v>
      </c>
      <c r="BE55" s="19">
        <v>1.10739884202193E-2</v>
      </c>
      <c r="BF55" s="19">
        <v>1.1515137313469301E-2</v>
      </c>
      <c r="BG55" s="19">
        <v>1.18630266812407E-2</v>
      </c>
      <c r="BH55" s="19">
        <v>1.2148311635424999E-2</v>
      </c>
      <c r="BI55" s="19">
        <v>1.2398942269111301E-2</v>
      </c>
      <c r="BJ55" s="19">
        <v>1.26298467203446E-2</v>
      </c>
      <c r="BK55" s="18"/>
      <c r="BL55" s="18"/>
      <c r="BM55" s="19">
        <v>9.8223372593701595E-3</v>
      </c>
      <c r="BN55" s="19">
        <v>1.06340414773694E-2</v>
      </c>
      <c r="BO55" s="19">
        <v>1.1467611469369501E-2</v>
      </c>
      <c r="BP55" s="19">
        <v>1.20058769106118E-2</v>
      </c>
      <c r="BQ55" s="19">
        <v>1.22312009354786E-2</v>
      </c>
      <c r="BR55" s="19">
        <v>1.2357509395163601E-2</v>
      </c>
      <c r="BS55" s="19">
        <v>1.24195588380299E-2</v>
      </c>
      <c r="BT55" s="19">
        <v>1.24467306012663E-2</v>
      </c>
      <c r="BU55" s="19">
        <v>1.2453952655367299E-2</v>
      </c>
    </row>
    <row r="56" spans="3:73" x14ac:dyDescent="0.45">
      <c r="C56" s="15" t="s">
        <v>249</v>
      </c>
      <c r="D56" s="15" t="s">
        <v>250</v>
      </c>
      <c r="E56" s="15" t="s">
        <v>300</v>
      </c>
      <c r="F56" s="15" t="s">
        <v>252</v>
      </c>
      <c r="G56" s="15"/>
      <c r="H56" s="15"/>
      <c r="I56" s="15"/>
      <c r="J56" s="18"/>
      <c r="K56" s="18"/>
      <c r="L56" s="19">
        <v>0.87</v>
      </c>
      <c r="M56" s="18"/>
      <c r="N56" s="18"/>
      <c r="O56" s="19"/>
      <c r="P56" s="18"/>
      <c r="Q56" s="18"/>
      <c r="R56" s="19">
        <v>0.87</v>
      </c>
      <c r="S56" s="18"/>
      <c r="T56" s="18"/>
      <c r="U56" s="19"/>
      <c r="V56" s="19"/>
      <c r="X56" s="15" t="s">
        <v>249</v>
      </c>
      <c r="Y56" s="15" t="s">
        <v>321</v>
      </c>
      <c r="Z56" s="15" t="s">
        <v>336</v>
      </c>
      <c r="AA56" s="15"/>
      <c r="AB56" s="15"/>
      <c r="AC56" s="15" t="s">
        <v>320</v>
      </c>
      <c r="AD56" s="15"/>
      <c r="AE56" s="18"/>
      <c r="AF56" s="18"/>
      <c r="AG56" s="19">
        <v>0.18299133909599399</v>
      </c>
      <c r="AH56" s="18"/>
      <c r="AI56" s="18"/>
      <c r="AJ56" s="19">
        <v>0.213778816414084</v>
      </c>
      <c r="AK56" s="18"/>
      <c r="AL56" s="18"/>
      <c r="AM56" s="19">
        <v>0.18</v>
      </c>
      <c r="AN56" s="18"/>
      <c r="AO56" s="18"/>
      <c r="AP56" s="19">
        <v>0.21</v>
      </c>
      <c r="AR56" s="15" t="s">
        <v>249</v>
      </c>
      <c r="AS56" s="15" t="s">
        <v>369</v>
      </c>
      <c r="AT56" s="15"/>
      <c r="AU56" s="15"/>
      <c r="AV56" s="15" t="s">
        <v>416</v>
      </c>
      <c r="AW56" s="15"/>
      <c r="AX56" s="15"/>
      <c r="AY56" s="15"/>
      <c r="AZ56" s="18"/>
      <c r="BA56" s="18"/>
      <c r="BB56" s="19">
        <v>4.8553337181298999E-2</v>
      </c>
      <c r="BC56" s="19">
        <v>5.06048072838561E-2</v>
      </c>
      <c r="BD56" s="19">
        <v>5.2539587141693198E-2</v>
      </c>
      <c r="BE56" s="19">
        <v>5.5163573975407602E-2</v>
      </c>
      <c r="BF56" s="19">
        <v>5.73610974586845E-2</v>
      </c>
      <c r="BG56" s="19">
        <v>5.9094061242471199E-2</v>
      </c>
      <c r="BH56" s="19">
        <v>6.0515169616169998E-2</v>
      </c>
      <c r="BI56" s="19">
        <v>6.17636521842585E-2</v>
      </c>
      <c r="BJ56" s="19">
        <v>6.2913871445243394E-2</v>
      </c>
      <c r="BK56" s="18"/>
      <c r="BL56" s="18"/>
      <c r="BM56" s="19">
        <v>4.8928643182375497E-2</v>
      </c>
      <c r="BN56" s="19">
        <v>5.2972037845313298E-2</v>
      </c>
      <c r="BO56" s="19">
        <v>5.7124353900965E-2</v>
      </c>
      <c r="BP56" s="19">
        <v>5.9805650319170199E-2</v>
      </c>
      <c r="BQ56" s="19">
        <v>6.0928071441760497E-2</v>
      </c>
      <c r="BR56" s="19">
        <v>6.1557259932406898E-2</v>
      </c>
      <c r="BS56" s="19">
        <v>6.1866350830988598E-2</v>
      </c>
      <c r="BT56" s="19">
        <v>6.2001703290685301E-2</v>
      </c>
      <c r="BU56" s="19">
        <v>6.2037678975374599E-2</v>
      </c>
    </row>
    <row r="57" spans="3:73" x14ac:dyDescent="0.45">
      <c r="C57" s="15" t="s">
        <v>249</v>
      </c>
      <c r="D57" s="15" t="s">
        <v>250</v>
      </c>
      <c r="E57" s="15" t="s">
        <v>301</v>
      </c>
      <c r="F57" s="15" t="s">
        <v>252</v>
      </c>
      <c r="G57" s="15"/>
      <c r="H57" s="15"/>
      <c r="I57" s="15"/>
      <c r="J57" s="18"/>
      <c r="K57" s="18"/>
      <c r="L57" s="19">
        <v>0.87</v>
      </c>
      <c r="M57" s="18"/>
      <c r="N57" s="18"/>
      <c r="O57" s="19"/>
      <c r="P57" s="18"/>
      <c r="Q57" s="18"/>
      <c r="R57" s="19">
        <v>0.87</v>
      </c>
      <c r="S57" s="18"/>
      <c r="T57" s="18"/>
      <c r="U57" s="19"/>
      <c r="V57" s="19"/>
      <c r="X57" s="15" t="s">
        <v>249</v>
      </c>
      <c r="Y57" s="15" t="s">
        <v>321</v>
      </c>
      <c r="Z57" s="15" t="s">
        <v>339</v>
      </c>
      <c r="AA57" s="15"/>
      <c r="AB57" s="15"/>
      <c r="AC57" s="15" t="s">
        <v>320</v>
      </c>
      <c r="AD57" s="15"/>
      <c r="AE57" s="18"/>
      <c r="AF57" s="18"/>
      <c r="AG57" s="19">
        <v>0.18299133909599399</v>
      </c>
      <c r="AH57" s="18"/>
      <c r="AI57" s="18"/>
      <c r="AJ57" s="19">
        <v>0.213778816414084</v>
      </c>
      <c r="AK57" s="18"/>
      <c r="AL57" s="18"/>
      <c r="AM57" s="19">
        <v>0.18</v>
      </c>
      <c r="AN57" s="18"/>
      <c r="AO57" s="18"/>
      <c r="AP57" s="19">
        <v>0.21</v>
      </c>
      <c r="AR57" s="15" t="s">
        <v>249</v>
      </c>
      <c r="AS57" s="15" t="s">
        <v>369</v>
      </c>
      <c r="AT57" s="15"/>
      <c r="AU57" s="15"/>
      <c r="AV57" s="15" t="s">
        <v>417</v>
      </c>
      <c r="AW57" s="15"/>
      <c r="AX57" s="15"/>
      <c r="AY57" s="15"/>
      <c r="AZ57" s="18"/>
      <c r="BA57" s="18"/>
      <c r="BB57" s="19">
        <v>0.17269558176695199</v>
      </c>
      <c r="BC57" s="19">
        <v>0.17999229592515101</v>
      </c>
      <c r="BD57" s="19">
        <v>0.18687396364435499</v>
      </c>
      <c r="BE57" s="19">
        <v>0.196207017953373</v>
      </c>
      <c r="BF57" s="19">
        <v>0.204023218001044</v>
      </c>
      <c r="BG57" s="19">
        <v>0.210187061851871</v>
      </c>
      <c r="BH57" s="19">
        <v>0.21524169149418401</v>
      </c>
      <c r="BI57" s="19">
        <v>0.219682321859443</v>
      </c>
      <c r="BJ57" s="19">
        <v>0.223773447124296</v>
      </c>
      <c r="BK57" s="18"/>
      <c r="BL57" s="18"/>
      <c r="BM57" s="19">
        <v>0.17403047843851399</v>
      </c>
      <c r="BN57" s="19">
        <v>0.188412113855706</v>
      </c>
      <c r="BO57" s="19">
        <v>0.20318116328753799</v>
      </c>
      <c r="BP57" s="19">
        <v>0.212718057592096</v>
      </c>
      <c r="BQ57" s="19">
        <v>0.216710309824511</v>
      </c>
      <c r="BR57" s="19">
        <v>0.21894822134082001</v>
      </c>
      <c r="BS57" s="19">
        <v>0.220047602673767</v>
      </c>
      <c r="BT57" s="19">
        <v>0.220529027291062</v>
      </c>
      <c r="BU57" s="19">
        <v>0.22065698640072501</v>
      </c>
    </row>
    <row r="58" spans="3:73" x14ac:dyDescent="0.45">
      <c r="C58" s="15" t="s">
        <v>249</v>
      </c>
      <c r="D58" s="15" t="s">
        <v>250</v>
      </c>
      <c r="E58" s="15" t="s">
        <v>302</v>
      </c>
      <c r="F58" s="15" t="s">
        <v>252</v>
      </c>
      <c r="G58" s="15"/>
      <c r="H58" s="15"/>
      <c r="I58" s="15"/>
      <c r="J58" s="18"/>
      <c r="K58" s="18"/>
      <c r="L58" s="19">
        <v>0.85</v>
      </c>
      <c r="M58" s="18"/>
      <c r="N58" s="18"/>
      <c r="O58" s="19"/>
      <c r="P58" s="18"/>
      <c r="Q58" s="18"/>
      <c r="R58" s="19">
        <v>0.85</v>
      </c>
      <c r="S58" s="18"/>
      <c r="T58" s="18"/>
      <c r="U58" s="19"/>
      <c r="V58" s="19"/>
      <c r="X58" s="15" t="s">
        <v>249</v>
      </c>
      <c r="Y58" s="15" t="s">
        <v>321</v>
      </c>
      <c r="Z58" s="15" t="s">
        <v>341</v>
      </c>
      <c r="AA58" s="15"/>
      <c r="AB58" s="15"/>
      <c r="AC58" s="15" t="s">
        <v>320</v>
      </c>
      <c r="AD58" s="15"/>
      <c r="AE58" s="18"/>
      <c r="AF58" s="18"/>
      <c r="AG58" s="19">
        <v>0.2</v>
      </c>
      <c r="AH58" s="18"/>
      <c r="AI58" s="18"/>
      <c r="AJ58" s="19">
        <v>0.22</v>
      </c>
      <c r="AK58" s="18"/>
      <c r="AL58" s="18"/>
      <c r="AM58" s="19">
        <v>0.2</v>
      </c>
      <c r="AN58" s="18"/>
      <c r="AO58" s="18"/>
      <c r="AP58" s="19">
        <v>0.22</v>
      </c>
      <c r="AR58" s="15" t="s">
        <v>249</v>
      </c>
      <c r="AS58" s="15" t="s">
        <v>369</v>
      </c>
      <c r="AT58" s="15"/>
      <c r="AU58" s="15"/>
      <c r="AV58" s="15" t="s">
        <v>418</v>
      </c>
      <c r="AW58" s="15"/>
      <c r="AX58" s="15"/>
      <c r="AY58" s="15"/>
      <c r="AZ58" s="18"/>
      <c r="BA58" s="18"/>
      <c r="BB58" s="19">
        <v>0.23237358900990701</v>
      </c>
      <c r="BC58" s="19">
        <v>0.242191811569927</v>
      </c>
      <c r="BD58" s="19">
        <v>0.25145156106625799</v>
      </c>
      <c r="BE58" s="19">
        <v>0.26400981706806798</v>
      </c>
      <c r="BF58" s="19">
        <v>0.27452704303825898</v>
      </c>
      <c r="BG58" s="19">
        <v>0.28282091195522002</v>
      </c>
      <c r="BH58" s="19">
        <v>0.28962225811059</v>
      </c>
      <c r="BI58" s="19">
        <v>0.29559742669848299</v>
      </c>
      <c r="BJ58" s="19">
        <v>0.30110231252796399</v>
      </c>
      <c r="BK58" s="18"/>
      <c r="BL58" s="18"/>
      <c r="BM58" s="19">
        <v>0.234169782794105</v>
      </c>
      <c r="BN58" s="19">
        <v>0.25352124623938699</v>
      </c>
      <c r="BO58" s="19">
        <v>0.273394001451914</v>
      </c>
      <c r="BP58" s="19">
        <v>0.28622653795854403</v>
      </c>
      <c r="BQ58" s="19">
        <v>0.291598383433613</v>
      </c>
      <c r="BR58" s="19">
        <v>0.29460964478500601</v>
      </c>
      <c r="BS58" s="19">
        <v>0.29608893674727699</v>
      </c>
      <c r="BT58" s="19">
        <v>0.29673672614069402</v>
      </c>
      <c r="BU58" s="19">
        <v>0.29690890377983598</v>
      </c>
    </row>
    <row r="59" spans="3:73" x14ac:dyDescent="0.45">
      <c r="C59" s="15" t="s">
        <v>249</v>
      </c>
      <c r="D59" s="15" t="s">
        <v>250</v>
      </c>
      <c r="E59" s="15" t="s">
        <v>303</v>
      </c>
      <c r="F59" s="15" t="s">
        <v>252</v>
      </c>
      <c r="G59" s="15"/>
      <c r="H59" s="15"/>
      <c r="I59" s="15"/>
      <c r="J59" s="18"/>
      <c r="K59" s="18"/>
      <c r="L59" s="19">
        <v>3.5</v>
      </c>
      <c r="M59" s="18"/>
      <c r="N59" s="18"/>
      <c r="O59" s="19"/>
      <c r="P59" s="18"/>
      <c r="Q59" s="18"/>
      <c r="R59" s="19">
        <v>3.5</v>
      </c>
      <c r="S59" s="18"/>
      <c r="T59" s="18"/>
      <c r="U59" s="19"/>
      <c r="V59" s="19"/>
      <c r="X59" s="15" t="s">
        <v>249</v>
      </c>
      <c r="Y59" s="15" t="s">
        <v>321</v>
      </c>
      <c r="Z59" s="15" t="s">
        <v>342</v>
      </c>
      <c r="AA59" s="15"/>
      <c r="AB59" s="15"/>
      <c r="AC59" s="15" t="s">
        <v>320</v>
      </c>
      <c r="AD59" s="15"/>
      <c r="AE59" s="18"/>
      <c r="AF59" s="18"/>
      <c r="AG59" s="19">
        <v>0.2</v>
      </c>
      <c r="AH59" s="18"/>
      <c r="AI59" s="18"/>
      <c r="AJ59" s="19">
        <v>0.22</v>
      </c>
      <c r="AK59" s="18"/>
      <c r="AL59" s="18"/>
      <c r="AM59" s="19">
        <v>0.2</v>
      </c>
      <c r="AN59" s="18"/>
      <c r="AO59" s="18"/>
      <c r="AP59" s="19">
        <v>0.22</v>
      </c>
      <c r="AR59" s="15" t="s">
        <v>249</v>
      </c>
      <c r="AS59" s="15" t="s">
        <v>369</v>
      </c>
      <c r="AT59" s="15"/>
      <c r="AU59" s="15"/>
      <c r="AV59" s="15" t="s">
        <v>419</v>
      </c>
      <c r="AW59" s="15"/>
      <c r="AX59" s="15"/>
      <c r="AY59" s="15"/>
      <c r="AZ59" s="18"/>
      <c r="BA59" s="18"/>
      <c r="BB59" s="19">
        <v>9.5871001926646604E-2</v>
      </c>
      <c r="BC59" s="19">
        <v>9.9921732639971506E-2</v>
      </c>
      <c r="BD59" s="19">
        <v>0.103742052606563</v>
      </c>
      <c r="BE59" s="19">
        <v>0.108923246349254</v>
      </c>
      <c r="BF59" s="19">
        <v>0.11326236679554599</v>
      </c>
      <c r="BG59" s="19">
        <v>0.11668419079157399</v>
      </c>
      <c r="BH59" s="19">
        <v>0.119490240623414</v>
      </c>
      <c r="BI59" s="19">
        <v>0.121955432135249</v>
      </c>
      <c r="BJ59" s="19">
        <v>0.124226597813814</v>
      </c>
      <c r="BK59" s="18"/>
      <c r="BL59" s="18"/>
      <c r="BM59" s="19">
        <v>9.6612062468333801E-2</v>
      </c>
      <c r="BN59" s="19">
        <v>0.10459594823242099</v>
      </c>
      <c r="BO59" s="19">
        <v>0.11279490475491399</v>
      </c>
      <c r="BP59" s="19">
        <v>0.11808925914946</v>
      </c>
      <c r="BQ59" s="19">
        <v>0.120305536008135</v>
      </c>
      <c r="BR59" s="19">
        <v>0.121547900271867</v>
      </c>
      <c r="BS59" s="19">
        <v>0.12215821576929201</v>
      </c>
      <c r="BT59" s="19">
        <v>0.12242547599645</v>
      </c>
      <c r="BU59" s="19">
        <v>0.122496511792059</v>
      </c>
    </row>
    <row r="60" spans="3:73" x14ac:dyDescent="0.45">
      <c r="C60" s="15" t="s">
        <v>249</v>
      </c>
      <c r="D60" s="15" t="s">
        <v>250</v>
      </c>
      <c r="E60" s="15" t="s">
        <v>304</v>
      </c>
      <c r="F60" s="15" t="s">
        <v>252</v>
      </c>
      <c r="G60" s="15"/>
      <c r="H60" s="15"/>
      <c r="I60" s="15"/>
      <c r="J60" s="18"/>
      <c r="K60" s="18"/>
      <c r="L60" s="19">
        <v>0.7</v>
      </c>
      <c r="M60" s="18"/>
      <c r="N60" s="18"/>
      <c r="O60" s="19"/>
      <c r="P60" s="18"/>
      <c r="Q60" s="18"/>
      <c r="R60" s="19">
        <v>0.7</v>
      </c>
      <c r="S60" s="18"/>
      <c r="T60" s="18"/>
      <c r="U60" s="19"/>
      <c r="V60" s="19"/>
      <c r="X60" s="15" t="s">
        <v>249</v>
      </c>
      <c r="Y60" s="15" t="s">
        <v>321</v>
      </c>
      <c r="Z60" s="15" t="s">
        <v>343</v>
      </c>
      <c r="AA60" s="15"/>
      <c r="AB60" s="15"/>
      <c r="AC60" s="15" t="s">
        <v>320</v>
      </c>
      <c r="AD60" s="15"/>
      <c r="AE60" s="18"/>
      <c r="AF60" s="18"/>
      <c r="AG60" s="19">
        <v>0.2</v>
      </c>
      <c r="AH60" s="18"/>
      <c r="AI60" s="18"/>
      <c r="AJ60" s="19">
        <v>0.22</v>
      </c>
      <c r="AK60" s="18"/>
      <c r="AL60" s="18"/>
      <c r="AM60" s="19">
        <v>0.2</v>
      </c>
      <c r="AN60" s="18"/>
      <c r="AO60" s="18"/>
      <c r="AP60" s="19">
        <v>0.22</v>
      </c>
      <c r="AR60" s="15" t="s">
        <v>249</v>
      </c>
      <c r="AS60" s="15" t="s">
        <v>369</v>
      </c>
      <c r="AT60" s="15"/>
      <c r="AU60" s="15"/>
      <c r="AV60" s="15" t="s">
        <v>420</v>
      </c>
      <c r="AW60" s="15"/>
      <c r="AX60" s="15"/>
      <c r="AY60" s="15"/>
      <c r="AZ60" s="18"/>
      <c r="BA60" s="18"/>
      <c r="BB60" s="19">
        <v>0.59074622255037701</v>
      </c>
      <c r="BC60" s="19">
        <v>0.61570636502699705</v>
      </c>
      <c r="BD60" s="19">
        <v>0.63924674265780801</v>
      </c>
      <c r="BE60" s="19">
        <v>0.67117266989635305</v>
      </c>
      <c r="BF60" s="19">
        <v>0.69790983714531396</v>
      </c>
      <c r="BG60" s="19">
        <v>0.71899472787622098</v>
      </c>
      <c r="BH60" s="19">
        <v>0.73628528816175898</v>
      </c>
      <c r="BI60" s="19">
        <v>0.75147551820226699</v>
      </c>
      <c r="BJ60" s="19">
        <v>0.76547018310025905</v>
      </c>
      <c r="BK60" s="18"/>
      <c r="BL60" s="18"/>
      <c r="BM60" s="19">
        <v>0.59531255342087097</v>
      </c>
      <c r="BN60" s="19">
        <v>0.644508350498458</v>
      </c>
      <c r="BO60" s="19">
        <v>0.69502938915646195</v>
      </c>
      <c r="BP60" s="19">
        <v>0.72765259947623895</v>
      </c>
      <c r="BQ60" s="19">
        <v>0.74130904570165701</v>
      </c>
      <c r="BR60" s="19">
        <v>0.74896435315732401</v>
      </c>
      <c r="BS60" s="19">
        <v>0.75272504791822203</v>
      </c>
      <c r="BT60" s="19">
        <v>0.75437187507616099</v>
      </c>
      <c r="BU60" s="19">
        <v>0.75480958957876099</v>
      </c>
    </row>
    <row r="61" spans="3:73" x14ac:dyDescent="0.45">
      <c r="C61" s="15" t="s">
        <v>249</v>
      </c>
      <c r="D61" s="15" t="s">
        <v>250</v>
      </c>
      <c r="E61" s="15" t="s">
        <v>305</v>
      </c>
      <c r="F61" s="15" t="s">
        <v>252</v>
      </c>
      <c r="G61" s="15"/>
      <c r="H61" s="15"/>
      <c r="I61" s="15"/>
      <c r="J61" s="18"/>
      <c r="K61" s="18"/>
      <c r="L61" s="19">
        <v>0.83</v>
      </c>
      <c r="M61" s="18"/>
      <c r="N61" s="18"/>
      <c r="O61" s="19"/>
      <c r="P61" s="18"/>
      <c r="Q61" s="18"/>
      <c r="R61" s="19">
        <v>0.83125000000000004</v>
      </c>
      <c r="S61" s="18"/>
      <c r="T61" s="18"/>
      <c r="U61" s="19"/>
      <c r="V61" s="19"/>
      <c r="X61" s="15" t="s">
        <v>249</v>
      </c>
      <c r="Y61" s="15" t="s">
        <v>321</v>
      </c>
      <c r="Z61" s="15" t="s">
        <v>344</v>
      </c>
      <c r="AA61" s="15"/>
      <c r="AB61" s="15"/>
      <c r="AC61" s="15" t="s">
        <v>320</v>
      </c>
      <c r="AD61" s="15"/>
      <c r="AE61" s="18"/>
      <c r="AF61" s="18"/>
      <c r="AG61" s="19">
        <v>0.12</v>
      </c>
      <c r="AH61" s="18"/>
      <c r="AI61" s="18"/>
      <c r="AJ61" s="19">
        <v>0.12</v>
      </c>
      <c r="AK61" s="18"/>
      <c r="AL61" s="18"/>
      <c r="AM61" s="19">
        <v>0.12</v>
      </c>
      <c r="AN61" s="18"/>
      <c r="AO61" s="18"/>
      <c r="AP61" s="19">
        <v>0.12</v>
      </c>
      <c r="AR61" s="15" t="s">
        <v>249</v>
      </c>
      <c r="AS61" s="15" t="s">
        <v>369</v>
      </c>
      <c r="AT61" s="15"/>
      <c r="AU61" s="15"/>
      <c r="AV61" s="15" t="s">
        <v>421</v>
      </c>
      <c r="AW61" s="15"/>
      <c r="AX61" s="15"/>
      <c r="AY61" s="15"/>
      <c r="AZ61" s="18"/>
      <c r="BA61" s="18"/>
      <c r="BB61" s="19">
        <v>2.1376973773446002</v>
      </c>
      <c r="BC61" s="19">
        <v>2.2280191247779801</v>
      </c>
      <c r="BD61" s="19">
        <v>2.3132032556317301</v>
      </c>
      <c r="BE61" s="19">
        <v>2.4287316641461101</v>
      </c>
      <c r="BF61" s="19">
        <v>2.5254838228970802</v>
      </c>
      <c r="BG61" s="19">
        <v>2.6017824328525898</v>
      </c>
      <c r="BH61" s="19">
        <v>2.6643507303114098</v>
      </c>
      <c r="BI61" s="19">
        <v>2.7193186906289002</v>
      </c>
      <c r="BJ61" s="19">
        <v>2.7699603321786399</v>
      </c>
      <c r="BK61" s="18"/>
      <c r="BL61" s="18"/>
      <c r="BM61" s="19">
        <v>2.1542212807625498</v>
      </c>
      <c r="BN61" s="19">
        <v>2.3322431154771501</v>
      </c>
      <c r="BO61" s="19">
        <v>2.51506052118765</v>
      </c>
      <c r="BP61" s="19">
        <v>2.6331121455214901</v>
      </c>
      <c r="BQ61" s="19">
        <v>2.6825298957592998</v>
      </c>
      <c r="BR61" s="19">
        <v>2.71023169061817</v>
      </c>
      <c r="BS61" s="19">
        <v>2.7238402877119601</v>
      </c>
      <c r="BT61" s="19">
        <v>2.7297995608517298</v>
      </c>
      <c r="BU61" s="19">
        <v>2.7313834916641802</v>
      </c>
    </row>
    <row r="62" spans="3:73" x14ac:dyDescent="0.45">
      <c r="C62" s="15" t="s">
        <v>249</v>
      </c>
      <c r="D62" s="15" t="s">
        <v>250</v>
      </c>
      <c r="E62" s="15" t="s">
        <v>306</v>
      </c>
      <c r="F62" s="15" t="s">
        <v>252</v>
      </c>
      <c r="G62" s="15"/>
      <c r="H62" s="15"/>
      <c r="I62" s="15"/>
      <c r="J62" s="18"/>
      <c r="K62" s="18"/>
      <c r="L62" s="19">
        <v>0.45</v>
      </c>
      <c r="M62" s="18"/>
      <c r="N62" s="18"/>
      <c r="O62" s="19"/>
      <c r="P62" s="18"/>
      <c r="Q62" s="18"/>
      <c r="R62" s="19">
        <v>0.45</v>
      </c>
      <c r="S62" s="18"/>
      <c r="T62" s="18"/>
      <c r="U62" s="19"/>
      <c r="V62" s="19"/>
      <c r="X62" s="15" t="s">
        <v>249</v>
      </c>
      <c r="Y62" s="15" t="s">
        <v>321</v>
      </c>
      <c r="Z62" s="15" t="s">
        <v>345</v>
      </c>
      <c r="AA62" s="15"/>
      <c r="AB62" s="15"/>
      <c r="AC62" s="15" t="s">
        <v>320</v>
      </c>
      <c r="AD62" s="15"/>
      <c r="AE62" s="18"/>
      <c r="AF62" s="18"/>
      <c r="AG62" s="19">
        <v>0.12</v>
      </c>
      <c r="AH62" s="18"/>
      <c r="AI62" s="18"/>
      <c r="AJ62" s="19">
        <v>0.12</v>
      </c>
      <c r="AK62" s="18"/>
      <c r="AL62" s="18"/>
      <c r="AM62" s="19">
        <v>0.12</v>
      </c>
      <c r="AN62" s="18"/>
      <c r="AO62" s="18"/>
      <c r="AP62" s="19">
        <v>0.12</v>
      </c>
      <c r="AR62" s="15" t="s">
        <v>249</v>
      </c>
      <c r="AS62" s="15" t="s">
        <v>369</v>
      </c>
      <c r="AT62" s="15"/>
      <c r="AU62" s="15"/>
      <c r="AV62" s="15" t="s">
        <v>422</v>
      </c>
      <c r="AW62" s="15"/>
      <c r="AX62" s="15"/>
      <c r="AY62" s="15"/>
      <c r="AZ62" s="18"/>
      <c r="BA62" s="18"/>
      <c r="BB62" s="19">
        <v>0.50765343322626</v>
      </c>
      <c r="BC62" s="19">
        <v>0.52910274858094697</v>
      </c>
      <c r="BD62" s="19">
        <v>0.54933199942935995</v>
      </c>
      <c r="BE62" s="19">
        <v>0.57676731082518795</v>
      </c>
      <c r="BF62" s="19">
        <v>0.59974369938351302</v>
      </c>
      <c r="BG62" s="19">
        <v>0.61786284557548499</v>
      </c>
      <c r="BH62" s="19">
        <v>0.63272136173063498</v>
      </c>
      <c r="BI62" s="19">
        <v>0.64577497449563803</v>
      </c>
      <c r="BJ62" s="19">
        <v>0.657801187124888</v>
      </c>
      <c r="BK62" s="18"/>
      <c r="BL62" s="18"/>
      <c r="BM62" s="19">
        <v>0.51157747616579097</v>
      </c>
      <c r="BN62" s="19">
        <v>0.55385352353333805</v>
      </c>
      <c r="BO62" s="19">
        <v>0.59726840753237298</v>
      </c>
      <c r="BP62" s="19">
        <v>0.62530292402948895</v>
      </c>
      <c r="BQ62" s="19">
        <v>0.63703849092329401</v>
      </c>
      <c r="BR62" s="19">
        <v>0.64361702323365699</v>
      </c>
      <c r="BS62" s="19">
        <v>0.64684874869174602</v>
      </c>
      <c r="BT62" s="19">
        <v>0.64826393753044598</v>
      </c>
      <c r="BU62" s="19">
        <v>0.64864008427762099</v>
      </c>
    </row>
    <row r="63" spans="3:73" x14ac:dyDescent="0.45">
      <c r="C63" s="15" t="s">
        <v>249</v>
      </c>
      <c r="D63" s="15" t="s">
        <v>250</v>
      </c>
      <c r="E63" s="15" t="s">
        <v>307</v>
      </c>
      <c r="F63" s="15" t="s">
        <v>252</v>
      </c>
      <c r="G63" s="15"/>
      <c r="H63" s="15"/>
      <c r="I63" s="15"/>
      <c r="J63" s="18"/>
      <c r="K63" s="18"/>
      <c r="L63" s="19">
        <v>0.35</v>
      </c>
      <c r="M63" s="18"/>
      <c r="N63" s="18"/>
      <c r="O63" s="19"/>
      <c r="P63" s="18"/>
      <c r="Q63" s="18"/>
      <c r="R63" s="19">
        <v>0.34782600000000002</v>
      </c>
      <c r="S63" s="18"/>
      <c r="T63" s="18"/>
      <c r="U63" s="19"/>
      <c r="V63" s="19"/>
      <c r="X63" s="15" t="s">
        <v>249</v>
      </c>
      <c r="Y63" s="15" t="s">
        <v>321</v>
      </c>
      <c r="Z63" s="15" t="s">
        <v>346</v>
      </c>
      <c r="AA63" s="15"/>
      <c r="AB63" s="15"/>
      <c r="AC63" s="15" t="s">
        <v>320</v>
      </c>
      <c r="AD63" s="15"/>
      <c r="AE63" s="18"/>
      <c r="AF63" s="18"/>
      <c r="AG63" s="19">
        <v>0.12</v>
      </c>
      <c r="AH63" s="18"/>
      <c r="AI63" s="18"/>
      <c r="AJ63" s="19">
        <v>0.12</v>
      </c>
      <c r="AK63" s="18"/>
      <c r="AL63" s="18"/>
      <c r="AM63" s="19">
        <v>0.12</v>
      </c>
      <c r="AN63" s="18"/>
      <c r="AO63" s="18"/>
      <c r="AP63" s="19">
        <v>0.12</v>
      </c>
      <c r="AR63" s="15" t="s">
        <v>249</v>
      </c>
      <c r="AS63" s="15" t="s">
        <v>369</v>
      </c>
      <c r="AT63" s="15"/>
      <c r="AU63" s="15"/>
      <c r="AV63" s="15" t="s">
        <v>423</v>
      </c>
      <c r="AW63" s="15"/>
      <c r="AX63" s="15"/>
      <c r="AY63" s="15"/>
      <c r="AZ63" s="18"/>
      <c r="BA63" s="18"/>
      <c r="BB63" s="19">
        <v>0.43119858348467999</v>
      </c>
      <c r="BC63" s="19">
        <v>0.449417537188742</v>
      </c>
      <c r="BD63" s="19">
        <v>0.46660017349114202</v>
      </c>
      <c r="BE63" s="19">
        <v>0.48990360578777697</v>
      </c>
      <c r="BF63" s="19">
        <v>0.50941964872474499</v>
      </c>
      <c r="BG63" s="19">
        <v>0.52480997145392905</v>
      </c>
      <c r="BH63" s="19">
        <v>0.53743072943456005</v>
      </c>
      <c r="BI63" s="19">
        <v>0.54851841044925298</v>
      </c>
      <c r="BJ63" s="19">
        <v>0.55873342232745804</v>
      </c>
      <c r="BK63" s="18"/>
      <c r="BL63" s="18"/>
      <c r="BM63" s="19">
        <v>0.43453164822198598</v>
      </c>
      <c r="BN63" s="19">
        <v>0.47044073608999398</v>
      </c>
      <c r="BO63" s="19">
        <v>0.50731714676166495</v>
      </c>
      <c r="BP63" s="19">
        <v>0.53112954122418099</v>
      </c>
      <c r="BQ63" s="19">
        <v>0.54109767989870705</v>
      </c>
      <c r="BR63" s="19">
        <v>0.546685456180666</v>
      </c>
      <c r="BS63" s="19">
        <v>0.549430469507737</v>
      </c>
      <c r="BT63" s="19">
        <v>0.55063252465534596</v>
      </c>
      <c r="BU63" s="19">
        <v>0.55095202204066396</v>
      </c>
    </row>
    <row r="64" spans="3:73" x14ac:dyDescent="0.45">
      <c r="C64" s="15" t="s">
        <v>249</v>
      </c>
      <c r="D64" s="15" t="s">
        <v>250</v>
      </c>
      <c r="E64" s="15" t="s">
        <v>308</v>
      </c>
      <c r="F64" s="15" t="s">
        <v>252</v>
      </c>
      <c r="G64" s="15"/>
      <c r="H64" s="15"/>
      <c r="I64" s="15"/>
      <c r="J64" s="18"/>
      <c r="K64" s="18"/>
      <c r="L64" s="19">
        <v>0.1</v>
      </c>
      <c r="M64" s="18"/>
      <c r="N64" s="18"/>
      <c r="O64" s="19"/>
      <c r="P64" s="18"/>
      <c r="Q64" s="18"/>
      <c r="R64" s="19">
        <v>0.1</v>
      </c>
      <c r="S64" s="18"/>
      <c r="T64" s="18"/>
      <c r="U64" s="19"/>
      <c r="V64" s="19"/>
      <c r="X64" s="15" t="s">
        <v>249</v>
      </c>
      <c r="Y64" s="15" t="s">
        <v>321</v>
      </c>
      <c r="Z64" s="15" t="s">
        <v>347</v>
      </c>
      <c r="AA64" s="15"/>
      <c r="AB64" s="15"/>
      <c r="AC64" s="15" t="s">
        <v>320</v>
      </c>
      <c r="AD64" s="15"/>
      <c r="AE64" s="18"/>
      <c r="AF64" s="18"/>
      <c r="AG64" s="19">
        <v>1.22</v>
      </c>
      <c r="AH64" s="18"/>
      <c r="AI64" s="18"/>
      <c r="AJ64" s="19">
        <v>1.44</v>
      </c>
      <c r="AK64" s="18"/>
      <c r="AL64" s="18"/>
      <c r="AM64" s="19">
        <v>1.22</v>
      </c>
      <c r="AN64" s="18"/>
      <c r="AO64" s="18"/>
      <c r="AP64" s="19">
        <v>1.44</v>
      </c>
      <c r="AR64" s="15" t="s">
        <v>249</v>
      </c>
      <c r="AS64" s="15" t="s">
        <v>369</v>
      </c>
      <c r="AT64" s="15"/>
      <c r="AU64" s="15"/>
      <c r="AV64" s="15" t="s">
        <v>424</v>
      </c>
      <c r="AW64" s="15"/>
      <c r="AX64" s="15"/>
      <c r="AY64" s="15"/>
      <c r="AZ64" s="18"/>
      <c r="BA64" s="18"/>
      <c r="BB64" s="19">
        <v>0.23686579090767201</v>
      </c>
      <c r="BC64" s="19">
        <v>0.246873817473409</v>
      </c>
      <c r="BD64" s="19">
        <v>0.256312574680717</v>
      </c>
      <c r="BE64" s="19">
        <v>0.26911360449208199</v>
      </c>
      <c r="BF64" s="19">
        <v>0.27983414746858198</v>
      </c>
      <c r="BG64" s="19">
        <v>0.28828835187739998</v>
      </c>
      <c r="BH64" s="19">
        <v>0.29522118035929801</v>
      </c>
      <c r="BI64" s="19">
        <v>0.30131185976657499</v>
      </c>
      <c r="BJ64" s="19">
        <v>0.30692316499886202</v>
      </c>
      <c r="BK64" s="18"/>
      <c r="BL64" s="18"/>
      <c r="BM64" s="19">
        <v>0.23869670836748499</v>
      </c>
      <c r="BN64" s="19">
        <v>0.25842227061282302</v>
      </c>
      <c r="BO64" s="19">
        <v>0.27867920213841502</v>
      </c>
      <c r="BP64" s="19">
        <v>0.291759814793002</v>
      </c>
      <c r="BQ64" s="19">
        <v>0.29723550776012098</v>
      </c>
      <c r="BR64" s="19">
        <v>0.30030498224156599</v>
      </c>
      <c r="BS64" s="19">
        <v>0.30181287159387798</v>
      </c>
      <c r="BT64" s="19">
        <v>0.30247318392828298</v>
      </c>
      <c r="BU64" s="19">
        <v>0.30264869007270301</v>
      </c>
    </row>
    <row r="65" spans="3:73" x14ac:dyDescent="0.45">
      <c r="C65" s="15" t="s">
        <v>249</v>
      </c>
      <c r="D65" s="15" t="s">
        <v>250</v>
      </c>
      <c r="E65" s="15" t="s">
        <v>309</v>
      </c>
      <c r="F65" s="15" t="s">
        <v>252</v>
      </c>
      <c r="G65" s="15"/>
      <c r="H65" s="15"/>
      <c r="I65" s="15"/>
      <c r="J65" s="18"/>
      <c r="K65" s="18"/>
      <c r="L65" s="19">
        <v>0.13</v>
      </c>
      <c r="M65" s="18"/>
      <c r="N65" s="18"/>
      <c r="O65" s="19"/>
      <c r="P65" s="18"/>
      <c r="Q65" s="18"/>
      <c r="R65" s="19">
        <v>0.125163</v>
      </c>
      <c r="S65" s="18"/>
      <c r="T65" s="18"/>
      <c r="U65" s="19"/>
      <c r="V65" s="19"/>
      <c r="X65" s="15" t="s">
        <v>249</v>
      </c>
      <c r="Y65" s="15" t="s">
        <v>321</v>
      </c>
      <c r="Z65" s="15" t="s">
        <v>348</v>
      </c>
      <c r="AA65" s="15"/>
      <c r="AB65" s="15"/>
      <c r="AC65" s="15" t="s">
        <v>320</v>
      </c>
      <c r="AD65" s="15"/>
      <c r="AE65" s="18"/>
      <c r="AF65" s="18"/>
      <c r="AG65" s="19">
        <v>1.4570000000000001</v>
      </c>
      <c r="AH65" s="18"/>
      <c r="AI65" s="18"/>
      <c r="AJ65" s="19">
        <v>1.55</v>
      </c>
      <c r="AK65" s="18"/>
      <c r="AL65" s="18"/>
      <c r="AM65" s="19">
        <v>1.46</v>
      </c>
      <c r="AN65" s="18"/>
      <c r="AO65" s="18"/>
      <c r="AP65" s="19">
        <v>1.55</v>
      </c>
      <c r="AR65" s="15" t="s">
        <v>249</v>
      </c>
      <c r="AS65" s="15" t="s">
        <v>369</v>
      </c>
      <c r="AT65" s="15"/>
      <c r="AU65" s="15"/>
      <c r="AV65" s="15" t="s">
        <v>425</v>
      </c>
      <c r="AW65" s="15"/>
      <c r="AX65" s="15"/>
      <c r="AY65" s="15"/>
      <c r="AZ65" s="18"/>
      <c r="BA65" s="18"/>
      <c r="BB65" s="19">
        <v>0.50318897143209496</v>
      </c>
      <c r="BC65" s="19">
        <v>0.52444965485278106</v>
      </c>
      <c r="BD65" s="19">
        <v>0.54450100339299201</v>
      </c>
      <c r="BE65" s="19">
        <v>0.57169504014844397</v>
      </c>
      <c r="BF65" s="19">
        <v>0.59446936721722998</v>
      </c>
      <c r="BG65" s="19">
        <v>0.61242916801602199</v>
      </c>
      <c r="BH65" s="19">
        <v>0.62715701377016497</v>
      </c>
      <c r="BI65" s="19">
        <v>0.64009582901455397</v>
      </c>
      <c r="BJ65" s="19">
        <v>0.65201627939874096</v>
      </c>
      <c r="BK65" s="18"/>
      <c r="BL65" s="18"/>
      <c r="BM65" s="19">
        <v>0.50707850512055896</v>
      </c>
      <c r="BN65" s="19">
        <v>0.54898276381117195</v>
      </c>
      <c r="BO65" s="19">
        <v>0.59201584385060302</v>
      </c>
      <c r="BP65" s="19">
        <v>0.61980381611177504</v>
      </c>
      <c r="BQ65" s="19">
        <v>0.63143617678928998</v>
      </c>
      <c r="BR65" s="19">
        <v>0.63795685544548797</v>
      </c>
      <c r="BS65" s="19">
        <v>0.64116016010723698</v>
      </c>
      <c r="BT65" s="19">
        <v>0.64256290333622001</v>
      </c>
      <c r="BU65" s="19">
        <v>0.64293574213219795</v>
      </c>
    </row>
    <row r="66" spans="3:73" x14ac:dyDescent="0.45">
      <c r="C66" s="15" t="s">
        <v>249</v>
      </c>
      <c r="D66" s="15" t="s">
        <v>250</v>
      </c>
      <c r="E66" s="15" t="s">
        <v>310</v>
      </c>
      <c r="F66" s="15" t="s">
        <v>252</v>
      </c>
      <c r="G66" s="15"/>
      <c r="H66" s="15"/>
      <c r="I66" s="15"/>
      <c r="J66" s="18"/>
      <c r="K66" s="18"/>
      <c r="L66" s="19">
        <v>0.44</v>
      </c>
      <c r="M66" s="18"/>
      <c r="N66" s="18"/>
      <c r="O66" s="19"/>
      <c r="P66" s="18"/>
      <c r="Q66" s="18"/>
      <c r="R66" s="19">
        <v>0.43535000000000001</v>
      </c>
      <c r="S66" s="18"/>
      <c r="T66" s="18"/>
      <c r="U66" s="19"/>
      <c r="V66" s="19"/>
      <c r="X66" s="15" t="s">
        <v>249</v>
      </c>
      <c r="Y66" s="15" t="s">
        <v>321</v>
      </c>
      <c r="Z66" s="15" t="s">
        <v>349</v>
      </c>
      <c r="AA66" s="15"/>
      <c r="AB66" s="15"/>
      <c r="AC66" s="15" t="s">
        <v>320</v>
      </c>
      <c r="AD66" s="15"/>
      <c r="AE66" s="18"/>
      <c r="AF66" s="18"/>
      <c r="AG66" s="19">
        <v>1.4570000000000001</v>
      </c>
      <c r="AH66" s="18"/>
      <c r="AI66" s="18"/>
      <c r="AJ66" s="19">
        <v>1.55</v>
      </c>
      <c r="AK66" s="18"/>
      <c r="AL66" s="18"/>
      <c r="AM66" s="19">
        <v>1.46</v>
      </c>
      <c r="AN66" s="18"/>
      <c r="AO66" s="18"/>
      <c r="AP66" s="19">
        <v>1.55</v>
      </c>
      <c r="AR66" s="15" t="s">
        <v>249</v>
      </c>
      <c r="AS66" s="15" t="s">
        <v>369</v>
      </c>
      <c r="AT66" s="15"/>
      <c r="AU66" s="15"/>
      <c r="AV66" s="15" t="s">
        <v>426</v>
      </c>
      <c r="AW66" s="15"/>
      <c r="AX66" s="15"/>
      <c r="AY66" s="15"/>
      <c r="AZ66" s="18"/>
      <c r="BA66" s="18"/>
      <c r="BB66" s="19">
        <v>1.7143742525922001</v>
      </c>
      <c r="BC66" s="19">
        <v>1.78680979931176</v>
      </c>
      <c r="BD66" s="19">
        <v>1.8551251194374301</v>
      </c>
      <c r="BE66" s="19">
        <v>1.9477757121261099</v>
      </c>
      <c r="BF66" s="19">
        <v>2.0253682711118999</v>
      </c>
      <c r="BG66" s="19">
        <v>2.0865576488987498</v>
      </c>
      <c r="BH66" s="19">
        <v>2.13673569529987</v>
      </c>
      <c r="BI66" s="19">
        <v>2.1808184812379201</v>
      </c>
      <c r="BJ66" s="19">
        <v>2.2214316790188402</v>
      </c>
      <c r="BK66" s="18"/>
      <c r="BL66" s="18"/>
      <c r="BM66" s="19">
        <v>1.72762596673672</v>
      </c>
      <c r="BN66" s="19">
        <v>1.8703945611450801</v>
      </c>
      <c r="BO66" s="19">
        <v>2.0170090710366102</v>
      </c>
      <c r="BP66" s="19">
        <v>2.1116832131202798</v>
      </c>
      <c r="BQ66" s="19">
        <v>2.1513148838734</v>
      </c>
      <c r="BR66" s="19">
        <v>2.1735309582158102</v>
      </c>
      <c r="BS66" s="19">
        <v>2.1844446772102502</v>
      </c>
      <c r="BT66" s="19">
        <v>2.1892238496708898</v>
      </c>
      <c r="BU66" s="19">
        <v>2.1904941184336799</v>
      </c>
    </row>
    <row r="67" spans="3:73" x14ac:dyDescent="0.45">
      <c r="C67" s="15" t="s">
        <v>249</v>
      </c>
      <c r="D67" s="15" t="s">
        <v>250</v>
      </c>
      <c r="E67" s="15" t="s">
        <v>311</v>
      </c>
      <c r="F67" s="15" t="s">
        <v>252</v>
      </c>
      <c r="G67" s="15"/>
      <c r="H67" s="15"/>
      <c r="I67" s="15"/>
      <c r="J67" s="18"/>
      <c r="K67" s="18"/>
      <c r="L67" s="19">
        <v>0.27</v>
      </c>
      <c r="M67" s="18"/>
      <c r="N67" s="18"/>
      <c r="O67" s="19"/>
      <c r="P67" s="18"/>
      <c r="Q67" s="18"/>
      <c r="R67" s="19">
        <v>0.27209299999999997</v>
      </c>
      <c r="S67" s="18"/>
      <c r="T67" s="18"/>
      <c r="U67" s="19"/>
      <c r="V67" s="19"/>
      <c r="X67" s="15" t="s">
        <v>249</v>
      </c>
      <c r="Y67" s="15" t="s">
        <v>321</v>
      </c>
      <c r="Z67" s="15" t="s">
        <v>350</v>
      </c>
      <c r="AA67" s="15"/>
      <c r="AB67" s="15"/>
      <c r="AC67" s="15" t="s">
        <v>320</v>
      </c>
      <c r="AD67" s="15"/>
      <c r="AE67" s="18"/>
      <c r="AF67" s="18"/>
      <c r="AG67" s="19">
        <v>0.34</v>
      </c>
      <c r="AH67" s="18"/>
      <c r="AI67" s="18"/>
      <c r="AJ67" s="19">
        <v>0.34</v>
      </c>
      <c r="AK67" s="18"/>
      <c r="AL67" s="18"/>
      <c r="AM67" s="19">
        <v>0.34</v>
      </c>
      <c r="AN67" s="18"/>
      <c r="AO67" s="18"/>
      <c r="AP67" s="19">
        <v>0.34</v>
      </c>
      <c r="AR67" s="15" t="s">
        <v>249</v>
      </c>
      <c r="AS67" s="15" t="s">
        <v>369</v>
      </c>
      <c r="AT67" s="15"/>
      <c r="AU67" s="15"/>
      <c r="AV67" s="15" t="s">
        <v>427</v>
      </c>
      <c r="AW67" s="15"/>
      <c r="AX67" s="15"/>
      <c r="AY67" s="15"/>
      <c r="AZ67" s="18"/>
      <c r="BA67" s="18"/>
      <c r="BB67" s="19">
        <v>4.7701580555106204</v>
      </c>
      <c r="BC67" s="19">
        <v>4.9717062333178701</v>
      </c>
      <c r="BD67" s="19">
        <v>5.1617900928482596</v>
      </c>
      <c r="BE67" s="19">
        <v>5.4195855948476002</v>
      </c>
      <c r="BF67" s="19">
        <v>5.6354828936632302</v>
      </c>
      <c r="BG67" s="19">
        <v>5.80573918567198</v>
      </c>
      <c r="BH67" s="19">
        <v>5.9453570152609201</v>
      </c>
      <c r="BI67" s="19">
        <v>6.0680150965601403</v>
      </c>
      <c r="BJ67" s="19">
        <v>6.1810192275203404</v>
      </c>
      <c r="BK67" s="18"/>
      <c r="BL67" s="18"/>
      <c r="BM67" s="19">
        <v>4.8070302675613004</v>
      </c>
      <c r="BN67" s="19">
        <v>5.20427652791619</v>
      </c>
      <c r="BO67" s="19">
        <v>5.6122238500113202</v>
      </c>
      <c r="BP67" s="19">
        <v>5.8756497739751996</v>
      </c>
      <c r="BQ67" s="19">
        <v>5.98592285653607</v>
      </c>
      <c r="BR67" s="19">
        <v>6.0477379391097896</v>
      </c>
      <c r="BS67" s="19">
        <v>6.0781048000785596</v>
      </c>
      <c r="BT67" s="19">
        <v>6.0914026012893103</v>
      </c>
      <c r="BU67" s="19">
        <v>6.0949370586940104</v>
      </c>
    </row>
    <row r="68" spans="3:73" x14ac:dyDescent="0.45">
      <c r="C68" s="15" t="s">
        <v>249</v>
      </c>
      <c r="D68" s="15" t="s">
        <v>250</v>
      </c>
      <c r="E68" s="15" t="s">
        <v>312</v>
      </c>
      <c r="F68" s="15" t="s">
        <v>252</v>
      </c>
      <c r="G68" s="15"/>
      <c r="H68" s="15"/>
      <c r="I68" s="15"/>
      <c r="J68" s="18"/>
      <c r="K68" s="18"/>
      <c r="L68" s="19">
        <v>0.11</v>
      </c>
      <c r="M68" s="18"/>
      <c r="N68" s="18"/>
      <c r="O68" s="19"/>
      <c r="P68" s="18"/>
      <c r="Q68" s="18"/>
      <c r="R68" s="19">
        <v>0.111111</v>
      </c>
      <c r="S68" s="18"/>
      <c r="T68" s="18"/>
      <c r="U68" s="19"/>
      <c r="V68" s="19"/>
      <c r="X68" s="15" t="s">
        <v>249</v>
      </c>
      <c r="Y68" s="15" t="s">
        <v>321</v>
      </c>
      <c r="Z68" s="15" t="s">
        <v>351</v>
      </c>
      <c r="AA68" s="15"/>
      <c r="AB68" s="15"/>
      <c r="AC68" s="15" t="s">
        <v>320</v>
      </c>
      <c r="AD68" s="15"/>
      <c r="AE68" s="18"/>
      <c r="AF68" s="18"/>
      <c r="AG68" s="19">
        <v>0.34</v>
      </c>
      <c r="AH68" s="18"/>
      <c r="AI68" s="18"/>
      <c r="AJ68" s="19">
        <v>0.34</v>
      </c>
      <c r="AK68" s="18"/>
      <c r="AL68" s="18"/>
      <c r="AM68" s="19">
        <v>0.34</v>
      </c>
      <c r="AN68" s="18"/>
      <c r="AO68" s="18"/>
      <c r="AP68" s="19">
        <v>0.34</v>
      </c>
      <c r="AR68" s="15" t="s">
        <v>249</v>
      </c>
      <c r="AS68" s="15" t="s">
        <v>369</v>
      </c>
      <c r="AT68" s="15"/>
      <c r="AU68" s="15"/>
      <c r="AV68" s="15" t="s">
        <v>428</v>
      </c>
      <c r="AW68" s="15"/>
      <c r="AX68" s="15"/>
      <c r="AY68" s="15"/>
      <c r="AZ68" s="18"/>
      <c r="BA68" s="18"/>
      <c r="BB68" s="19">
        <v>6.3388382377847599</v>
      </c>
      <c r="BC68" s="19">
        <v>6.6066661129564404</v>
      </c>
      <c r="BD68" s="19">
        <v>6.85925959584638</v>
      </c>
      <c r="BE68" s="19">
        <v>7.2018318893817197</v>
      </c>
      <c r="BF68" s="19">
        <v>7.4887276352335803</v>
      </c>
      <c r="BG68" s="19">
        <v>7.7149731980533902</v>
      </c>
      <c r="BH68" s="19">
        <v>7.9005047520555696</v>
      </c>
      <c r="BI68" s="19">
        <v>8.0634992958138394</v>
      </c>
      <c r="BJ68" s="19">
        <v>8.2136651599261796</v>
      </c>
      <c r="BK68" s="18"/>
      <c r="BL68" s="18"/>
      <c r="BM68" s="19">
        <v>6.3878359827103299</v>
      </c>
      <c r="BN68" s="19">
        <v>6.9157178171593197</v>
      </c>
      <c r="BO68" s="19">
        <v>7.4578197882483499</v>
      </c>
      <c r="BP68" s="19">
        <v>7.8078740841887102</v>
      </c>
      <c r="BQ68" s="19">
        <v>7.9544107867887002</v>
      </c>
      <c r="BR68" s="19">
        <v>8.0365539368751904</v>
      </c>
      <c r="BS68" s="19">
        <v>8.0769070273242498</v>
      </c>
      <c r="BT68" s="19">
        <v>8.0945778486706796</v>
      </c>
      <c r="BU68" s="19">
        <v>8.0992746225481902</v>
      </c>
    </row>
    <row r="69" spans="3:73" x14ac:dyDescent="0.45">
      <c r="C69" s="15" t="s">
        <v>249</v>
      </c>
      <c r="D69" s="15" t="s">
        <v>250</v>
      </c>
      <c r="E69" s="15" t="s">
        <v>313</v>
      </c>
      <c r="F69" s="15" t="s">
        <v>252</v>
      </c>
      <c r="G69" s="15"/>
      <c r="H69" s="15"/>
      <c r="I69" s="15"/>
      <c r="J69" s="18"/>
      <c r="K69" s="18"/>
      <c r="L69" s="19">
        <v>0.39</v>
      </c>
      <c r="M69" s="18"/>
      <c r="N69" s="18"/>
      <c r="O69" s="19"/>
      <c r="P69" s="18"/>
      <c r="Q69" s="18"/>
      <c r="R69" s="19">
        <v>0.38647300000000001</v>
      </c>
      <c r="S69" s="18"/>
      <c r="T69" s="18"/>
      <c r="U69" s="19"/>
      <c r="V69" s="19"/>
      <c r="X69" s="15" t="s">
        <v>249</v>
      </c>
      <c r="Y69" s="15" t="s">
        <v>321</v>
      </c>
      <c r="Z69" s="15" t="s">
        <v>352</v>
      </c>
      <c r="AA69" s="15"/>
      <c r="AB69" s="15"/>
      <c r="AC69" s="15" t="s">
        <v>320</v>
      </c>
      <c r="AD69" s="15"/>
      <c r="AE69" s="18"/>
      <c r="AF69" s="18"/>
      <c r="AG69" s="19">
        <v>0.34</v>
      </c>
      <c r="AH69" s="18"/>
      <c r="AI69" s="18"/>
      <c r="AJ69" s="19">
        <v>0.34</v>
      </c>
      <c r="AK69" s="18"/>
      <c r="AL69" s="18"/>
      <c r="AM69" s="19">
        <v>0.34</v>
      </c>
      <c r="AN69" s="18"/>
      <c r="AO69" s="18"/>
      <c r="AP69" s="19">
        <v>0.34</v>
      </c>
      <c r="AR69" s="15" t="s">
        <v>249</v>
      </c>
      <c r="AS69" s="15" t="s">
        <v>369</v>
      </c>
      <c r="AT69" s="15"/>
      <c r="AU69" s="15"/>
      <c r="AV69" s="15" t="s">
        <v>429</v>
      </c>
      <c r="AW69" s="15"/>
      <c r="AX69" s="15"/>
      <c r="AY69" s="15"/>
      <c r="AZ69" s="18"/>
      <c r="BA69" s="18"/>
      <c r="BB69" s="19">
        <v>0.63616081156081306</v>
      </c>
      <c r="BC69" s="19">
        <v>0.66303980610782698</v>
      </c>
      <c r="BD69" s="19">
        <v>0.68838988904769305</v>
      </c>
      <c r="BE69" s="19">
        <v>0.72277017453512504</v>
      </c>
      <c r="BF69" s="19">
        <v>0.75156280556119304</v>
      </c>
      <c r="BG69" s="19">
        <v>0.77426863200073703</v>
      </c>
      <c r="BH69" s="19">
        <v>0.79288843259142205</v>
      </c>
      <c r="BI69" s="19">
        <v>0.80924643658956297</v>
      </c>
      <c r="BJ69" s="19">
        <v>0.82431696440536995</v>
      </c>
      <c r="BK69" s="18"/>
      <c r="BL69" s="18"/>
      <c r="BM69" s="19">
        <v>0.64107818663921401</v>
      </c>
      <c r="BN69" s="19">
        <v>0.69405599165867804</v>
      </c>
      <c r="BO69" s="19">
        <v>0.74846091838815998</v>
      </c>
      <c r="BP69" s="19">
        <v>0.78359209174234701</v>
      </c>
      <c r="BQ69" s="19">
        <v>0.79829839976796901</v>
      </c>
      <c r="BR69" s="19">
        <v>0.80654222159508104</v>
      </c>
      <c r="BS69" s="19">
        <v>0.81059202596081503</v>
      </c>
      <c r="BT69" s="19">
        <v>0.81236545566938301</v>
      </c>
      <c r="BU69" s="19">
        <v>0.81283682019542802</v>
      </c>
    </row>
    <row r="70" spans="3:73" x14ac:dyDescent="0.45">
      <c r="C70" s="15" t="s">
        <v>249</v>
      </c>
      <c r="D70" s="15" t="s">
        <v>250</v>
      </c>
      <c r="E70" s="15" t="s">
        <v>314</v>
      </c>
      <c r="F70" s="15" t="s">
        <v>252</v>
      </c>
      <c r="G70" s="15"/>
      <c r="H70" s="15"/>
      <c r="I70" s="15"/>
      <c r="J70" s="18"/>
      <c r="K70" s="18"/>
      <c r="L70" s="19">
        <v>0.24</v>
      </c>
      <c r="M70" s="18"/>
      <c r="N70" s="18"/>
      <c r="O70" s="19"/>
      <c r="P70" s="18"/>
      <c r="Q70" s="18"/>
      <c r="R70" s="19">
        <v>0.24154600000000001</v>
      </c>
      <c r="S70" s="18"/>
      <c r="T70" s="18"/>
      <c r="U70" s="19"/>
      <c r="V70" s="19"/>
      <c r="X70" s="15" t="s">
        <v>249</v>
      </c>
      <c r="Y70" s="15" t="s">
        <v>321</v>
      </c>
      <c r="Z70" s="15" t="s">
        <v>353</v>
      </c>
      <c r="AA70" s="15"/>
      <c r="AB70" s="15"/>
      <c r="AC70" s="15" t="s">
        <v>320</v>
      </c>
      <c r="AD70" s="15"/>
      <c r="AE70" s="18"/>
      <c r="AF70" s="18"/>
      <c r="AG70" s="19">
        <f>0.136409892060962</f>
        <v>0.13640989206096199</v>
      </c>
      <c r="AH70" s="18"/>
      <c r="AI70" s="18"/>
      <c r="AJ70" s="19">
        <f>0.17231484714245*3.6/4.5</f>
        <v>0.13785187771396001</v>
      </c>
      <c r="AK70" s="18"/>
      <c r="AL70" s="18"/>
      <c r="AM70" s="19">
        <f>0.136409892060962</f>
        <v>0.13640989206096199</v>
      </c>
      <c r="AN70" s="18"/>
      <c r="AO70" s="18"/>
      <c r="AP70" s="19">
        <f>0.17*3.6/4.5</f>
        <v>0.13600000000000001</v>
      </c>
      <c r="AR70" s="15" t="s">
        <v>249</v>
      </c>
      <c r="AS70" s="15" t="s">
        <v>369</v>
      </c>
      <c r="AT70" s="15"/>
      <c r="AU70" s="15"/>
      <c r="AV70" s="15" t="s">
        <v>430</v>
      </c>
      <c r="AW70" s="15"/>
      <c r="AX70" s="15"/>
      <c r="AY70" s="15"/>
      <c r="AZ70" s="18"/>
      <c r="BA70" s="18"/>
      <c r="BB70" s="19">
        <v>0.11075550069166799</v>
      </c>
      <c r="BC70" s="19">
        <v>0.115435129560726</v>
      </c>
      <c r="BD70" s="19">
        <v>0.119848575151144</v>
      </c>
      <c r="BE70" s="19">
        <v>0.12583417763385699</v>
      </c>
      <c r="BF70" s="19">
        <v>0.13084697032333201</v>
      </c>
      <c r="BG70" s="19">
        <v>0.134800051258575</v>
      </c>
      <c r="BH70" s="19">
        <v>0.13804175571399499</v>
      </c>
      <c r="BI70" s="19">
        <v>0.140889681726107</v>
      </c>
      <c r="BJ70" s="19">
        <v>0.14351345833037901</v>
      </c>
      <c r="BK70" s="18"/>
      <c r="BL70" s="18"/>
      <c r="BM70" s="19">
        <v>0.111611614946114</v>
      </c>
      <c r="BN70" s="19">
        <v>0.12083504275531901</v>
      </c>
      <c r="BO70" s="19">
        <v>0.13030693223752901</v>
      </c>
      <c r="BP70" s="19">
        <v>0.136423264183822</v>
      </c>
      <c r="BQ70" s="19">
        <v>0.138983630177928</v>
      </c>
      <c r="BR70" s="19">
        <v>0.140418878306203</v>
      </c>
      <c r="BS70" s="19">
        <v>0.141123948631315</v>
      </c>
      <c r="BT70" s="19">
        <v>0.141432702474281</v>
      </c>
      <c r="BU70" s="19">
        <v>0.14151476696668899</v>
      </c>
    </row>
    <row r="71" spans="3:73" x14ac:dyDescent="0.45">
      <c r="C71" s="15" t="s">
        <v>249</v>
      </c>
      <c r="D71" s="15" t="s">
        <v>250</v>
      </c>
      <c r="E71" s="15" t="s">
        <v>315</v>
      </c>
      <c r="F71" s="15" t="s">
        <v>252</v>
      </c>
      <c r="G71" s="15"/>
      <c r="H71" s="15"/>
      <c r="I71" s="15"/>
      <c r="J71" s="18"/>
      <c r="K71" s="18"/>
      <c r="L71" s="19">
        <v>0.23</v>
      </c>
      <c r="M71" s="18"/>
      <c r="N71" s="18"/>
      <c r="O71" s="19"/>
      <c r="P71" s="18"/>
      <c r="Q71" s="18"/>
      <c r="R71" s="19">
        <v>0.23</v>
      </c>
      <c r="S71" s="18"/>
      <c r="T71" s="18"/>
      <c r="U71" s="19"/>
      <c r="V71" s="19"/>
      <c r="X71" s="15" t="s">
        <v>249</v>
      </c>
      <c r="Y71" s="15" t="s">
        <v>321</v>
      </c>
      <c r="Z71" s="15" t="s">
        <v>354</v>
      </c>
      <c r="AA71" s="15"/>
      <c r="AB71" s="15"/>
      <c r="AC71" s="15" t="s">
        <v>320</v>
      </c>
      <c r="AD71" s="15"/>
      <c r="AE71" s="18"/>
      <c r="AF71" s="18"/>
      <c r="AG71" s="19">
        <f t="shared" ref="AG71:AG75" si="4">0.136409892060962*3.6/4.5</f>
        <v>0.10912791364876959</v>
      </c>
      <c r="AH71" s="18"/>
      <c r="AI71" s="18"/>
      <c r="AJ71" s="19">
        <f t="shared" ref="AJ71:AJ77" si="5">0.17231484714245*3.6/4.5</f>
        <v>0.13785187771396001</v>
      </c>
      <c r="AK71" s="18"/>
      <c r="AL71" s="18"/>
      <c r="AM71" s="19">
        <f t="shared" ref="AM71:AM75" si="6">0.14*3.6/4.5</f>
        <v>0.11200000000000003</v>
      </c>
      <c r="AN71" s="18"/>
      <c r="AO71" s="18"/>
      <c r="AP71" s="19">
        <f t="shared" ref="AP71:AP77" si="7">0.17*3.6/4.5</f>
        <v>0.13600000000000001</v>
      </c>
      <c r="AR71" s="15" t="s">
        <v>249</v>
      </c>
      <c r="AS71" s="15" t="s">
        <v>369</v>
      </c>
      <c r="AT71" s="15"/>
      <c r="AU71" s="15"/>
      <c r="AV71" s="15" t="s">
        <v>431</v>
      </c>
      <c r="AW71" s="15"/>
      <c r="AX71" s="15"/>
      <c r="AY71" s="15"/>
      <c r="AZ71" s="18"/>
      <c r="BA71" s="18"/>
      <c r="BB71" s="19">
        <v>0.13200015202847701</v>
      </c>
      <c r="BC71" s="19">
        <v>0.137577407499265</v>
      </c>
      <c r="BD71" s="19">
        <v>0.142837421541606</v>
      </c>
      <c r="BE71" s="19">
        <v>0.149971156956695</v>
      </c>
      <c r="BF71" s="19">
        <v>0.15594548232171701</v>
      </c>
      <c r="BG71" s="19">
        <v>0.160656826509358</v>
      </c>
      <c r="BH71" s="19">
        <v>0.164520340991931</v>
      </c>
      <c r="BI71" s="19">
        <v>0.167914544116985</v>
      </c>
      <c r="BJ71" s="19">
        <v>0.171041602443567</v>
      </c>
      <c r="BK71" s="18"/>
      <c r="BL71" s="18"/>
      <c r="BM71" s="19">
        <v>0.13302048249545001</v>
      </c>
      <c r="BN71" s="19">
        <v>0.144013109186093</v>
      </c>
      <c r="BO71" s="19">
        <v>0.155301856416168</v>
      </c>
      <c r="BP71" s="19">
        <v>0.16259139726718999</v>
      </c>
      <c r="BQ71" s="19">
        <v>0.16564288182876899</v>
      </c>
      <c r="BR71" s="19">
        <v>0.167353433177892</v>
      </c>
      <c r="BS71" s="19">
        <v>0.168193747108345</v>
      </c>
      <c r="BT71" s="19">
        <v>0.168561724806575</v>
      </c>
      <c r="BU71" s="19">
        <v>0.16865953056255401</v>
      </c>
    </row>
    <row r="72" spans="3:73" x14ac:dyDescent="0.45">
      <c r="C72" s="15" t="s">
        <v>249</v>
      </c>
      <c r="D72" s="15" t="s">
        <v>250</v>
      </c>
      <c r="E72" s="15" t="s">
        <v>316</v>
      </c>
      <c r="F72" s="15" t="s">
        <v>252</v>
      </c>
      <c r="G72" s="15"/>
      <c r="H72" s="15"/>
      <c r="I72" s="15"/>
      <c r="J72" s="18"/>
      <c r="K72" s="18"/>
      <c r="L72" s="19">
        <v>0.8</v>
      </c>
      <c r="M72" s="18"/>
      <c r="N72" s="18"/>
      <c r="O72" s="19"/>
      <c r="P72" s="18"/>
      <c r="Q72" s="18"/>
      <c r="R72" s="19">
        <v>0.8</v>
      </c>
      <c r="S72" s="18"/>
      <c r="T72" s="18"/>
      <c r="U72" s="19"/>
      <c r="V72" s="19"/>
      <c r="X72" s="15" t="s">
        <v>249</v>
      </c>
      <c r="Y72" s="15" t="s">
        <v>321</v>
      </c>
      <c r="Z72" s="15" t="s">
        <v>355</v>
      </c>
      <c r="AA72" s="15"/>
      <c r="AB72" s="15"/>
      <c r="AC72" s="15" t="s">
        <v>320</v>
      </c>
      <c r="AD72" s="15"/>
      <c r="AE72" s="18"/>
      <c r="AF72" s="18"/>
      <c r="AG72" s="19">
        <f t="shared" si="4"/>
        <v>0.10912791364876959</v>
      </c>
      <c r="AH72" s="18"/>
      <c r="AI72" s="18"/>
      <c r="AJ72" s="19">
        <f t="shared" si="5"/>
        <v>0.13785187771396001</v>
      </c>
      <c r="AK72" s="18"/>
      <c r="AL72" s="18"/>
      <c r="AM72" s="19">
        <f t="shared" si="6"/>
        <v>0.11200000000000003</v>
      </c>
      <c r="AN72" s="18"/>
      <c r="AO72" s="18"/>
      <c r="AP72" s="19">
        <f t="shared" si="7"/>
        <v>0.13600000000000001</v>
      </c>
      <c r="AR72" s="15" t="s">
        <v>249</v>
      </c>
      <c r="AS72" s="15" t="s">
        <v>369</v>
      </c>
      <c r="AT72" s="15"/>
      <c r="AU72" s="15"/>
      <c r="AV72" s="15" t="s">
        <v>432</v>
      </c>
      <c r="AW72" s="15"/>
      <c r="AX72" s="15"/>
      <c r="AY72" s="15"/>
      <c r="AZ72" s="18"/>
      <c r="BA72" s="18"/>
      <c r="BB72" s="19">
        <v>0.26507837010129798</v>
      </c>
      <c r="BC72" s="19">
        <v>0.27627843136725899</v>
      </c>
      <c r="BD72" s="19">
        <v>0.286841418815583</v>
      </c>
      <c r="BE72" s="19">
        <v>0.301167151987146</v>
      </c>
      <c r="BF72" s="19">
        <v>0.313164595973978</v>
      </c>
      <c r="BG72" s="19">
        <v>0.32262576263973097</v>
      </c>
      <c r="BH72" s="19">
        <v>0.33038434553653001</v>
      </c>
      <c r="BI72" s="19">
        <v>0.33720047277847498</v>
      </c>
      <c r="BJ72" s="19">
        <v>0.34348012860980398</v>
      </c>
      <c r="BK72" s="18"/>
      <c r="BL72" s="18"/>
      <c r="BM72" s="19">
        <v>0.26712736423496902</v>
      </c>
      <c r="BN72" s="19">
        <v>0.28920239613083298</v>
      </c>
      <c r="BO72" s="19">
        <v>0.31187208756867602</v>
      </c>
      <c r="BP72" s="19">
        <v>0.32651070409965399</v>
      </c>
      <c r="BQ72" s="19">
        <v>0.33263859517812999</v>
      </c>
      <c r="BR72" s="19">
        <v>0.33607366821882001</v>
      </c>
      <c r="BS72" s="19">
        <v>0.33776115905602599</v>
      </c>
      <c r="BT72" s="19">
        <v>0.33850011978434003</v>
      </c>
      <c r="BU72" s="19">
        <v>0.338696530091321</v>
      </c>
    </row>
    <row r="73" spans="3:73" x14ac:dyDescent="0.45">
      <c r="C73" s="15" t="s">
        <v>249</v>
      </c>
      <c r="D73" s="15" t="s">
        <v>250</v>
      </c>
      <c r="E73" s="15" t="s">
        <v>317</v>
      </c>
      <c r="F73" s="15" t="s">
        <v>252</v>
      </c>
      <c r="G73" s="15"/>
      <c r="H73" s="15"/>
      <c r="I73" s="15"/>
      <c r="J73" s="18"/>
      <c r="K73" s="18"/>
      <c r="L73" s="19">
        <v>0.5</v>
      </c>
      <c r="M73" s="18"/>
      <c r="N73" s="18"/>
      <c r="O73" s="19"/>
      <c r="P73" s="18"/>
      <c r="Q73" s="18"/>
      <c r="R73" s="19">
        <v>0.5</v>
      </c>
      <c r="S73" s="18"/>
      <c r="T73" s="18"/>
      <c r="U73" s="19"/>
      <c r="V73" s="19"/>
      <c r="X73" s="15" t="s">
        <v>249</v>
      </c>
      <c r="Y73" s="15" t="s">
        <v>321</v>
      </c>
      <c r="Z73" s="15" t="s">
        <v>356</v>
      </c>
      <c r="AA73" s="15"/>
      <c r="AB73" s="15"/>
      <c r="AC73" s="15" t="s">
        <v>320</v>
      </c>
      <c r="AD73" s="15"/>
      <c r="AE73" s="18"/>
      <c r="AF73" s="18"/>
      <c r="AG73" s="19">
        <f t="shared" si="4"/>
        <v>0.10912791364876959</v>
      </c>
      <c r="AH73" s="18"/>
      <c r="AI73" s="18"/>
      <c r="AJ73" s="19">
        <f t="shared" si="5"/>
        <v>0.13785187771396001</v>
      </c>
      <c r="AK73" s="18"/>
      <c r="AL73" s="18"/>
      <c r="AM73" s="19">
        <f t="shared" si="6"/>
        <v>0.11200000000000003</v>
      </c>
      <c r="AN73" s="18"/>
      <c r="AO73" s="18"/>
      <c r="AP73" s="19">
        <f t="shared" si="7"/>
        <v>0.13600000000000001</v>
      </c>
      <c r="AR73" s="15" t="s">
        <v>249</v>
      </c>
      <c r="AS73" s="15" t="s">
        <v>369</v>
      </c>
      <c r="AT73" s="15"/>
      <c r="AU73" s="15"/>
      <c r="AV73" s="15" t="s">
        <v>433</v>
      </c>
      <c r="AW73" s="15"/>
      <c r="AX73" s="15"/>
      <c r="AY73" s="15"/>
      <c r="AZ73" s="18"/>
      <c r="BA73" s="18"/>
      <c r="BB73" s="19">
        <v>0.25555904694808701</v>
      </c>
      <c r="BC73" s="19">
        <v>0.26635689885050801</v>
      </c>
      <c r="BD73" s="19">
        <v>0.27654055511860198</v>
      </c>
      <c r="BE73" s="19">
        <v>0.29035183181672802</v>
      </c>
      <c r="BF73" s="19">
        <v>0.301918431346958</v>
      </c>
      <c r="BG73" s="19">
        <v>0.31103983470850999</v>
      </c>
      <c r="BH73" s="19">
        <v>0.31851979638933797</v>
      </c>
      <c r="BI73" s="19">
        <v>0.32509114727384297</v>
      </c>
      <c r="BJ73" s="19">
        <v>0.33114529216240102</v>
      </c>
      <c r="BK73" s="18"/>
      <c r="BL73" s="18"/>
      <c r="BM73" s="19">
        <v>0.25753445892833599</v>
      </c>
      <c r="BN73" s="19">
        <v>0.27881674654199501</v>
      </c>
      <c r="BO73" s="19">
        <v>0.300672338668385</v>
      </c>
      <c r="BP73" s="19">
        <v>0.31478526266088402</v>
      </c>
      <c r="BQ73" s="19">
        <v>0.32069309287433601</v>
      </c>
      <c r="BR73" s="19">
        <v>0.324004807791477</v>
      </c>
      <c r="BS73" s="19">
        <v>0.32563169854806701</v>
      </c>
      <c r="BT73" s="19">
        <v>0.32634412219616799</v>
      </c>
      <c r="BU73" s="19">
        <v>0.32653347914310998</v>
      </c>
    </row>
    <row r="74" spans="3:73" x14ac:dyDescent="0.45">
      <c r="C74" s="15" t="s">
        <v>249</v>
      </c>
      <c r="D74" s="15" t="s">
        <v>318</v>
      </c>
      <c r="E74" s="15" t="s">
        <v>274</v>
      </c>
      <c r="F74" s="15"/>
      <c r="G74" s="15" t="s">
        <v>319</v>
      </c>
      <c r="H74" s="15" t="s">
        <v>320</v>
      </c>
      <c r="I74" s="15"/>
      <c r="J74" s="18"/>
      <c r="K74" s="18"/>
      <c r="L74" s="19">
        <v>1</v>
      </c>
      <c r="M74" s="18"/>
      <c r="N74" s="18"/>
      <c r="O74" s="19"/>
      <c r="P74" s="18"/>
      <c r="Q74" s="18"/>
      <c r="R74" s="19">
        <v>0.1</v>
      </c>
      <c r="S74" s="18"/>
      <c r="T74" s="18"/>
      <c r="U74" s="19">
        <v>1</v>
      </c>
      <c r="V74" s="19"/>
      <c r="X74" s="15" t="s">
        <v>249</v>
      </c>
      <c r="Y74" s="15" t="s">
        <v>321</v>
      </c>
      <c r="Z74" s="15" t="s">
        <v>357</v>
      </c>
      <c r="AA74" s="15"/>
      <c r="AB74" s="15"/>
      <c r="AC74" s="15" t="s">
        <v>320</v>
      </c>
      <c r="AD74" s="15"/>
      <c r="AE74" s="18"/>
      <c r="AF74" s="18"/>
      <c r="AG74" s="19">
        <f t="shared" si="4"/>
        <v>0.10912791364876959</v>
      </c>
      <c r="AH74" s="18"/>
      <c r="AI74" s="18"/>
      <c r="AJ74" s="19">
        <f t="shared" si="5"/>
        <v>0.13785187771396001</v>
      </c>
      <c r="AK74" s="18"/>
      <c r="AL74" s="18"/>
      <c r="AM74" s="19">
        <f t="shared" si="6"/>
        <v>0.11200000000000003</v>
      </c>
      <c r="AN74" s="18"/>
      <c r="AO74" s="18"/>
      <c r="AP74" s="19">
        <f t="shared" si="7"/>
        <v>0.13600000000000001</v>
      </c>
      <c r="AR74" s="15" t="s">
        <v>249</v>
      </c>
      <c r="AS74" s="15" t="s">
        <v>369</v>
      </c>
      <c r="AT74" s="15"/>
      <c r="AU74" s="15"/>
      <c r="AV74" s="15" t="s">
        <v>434</v>
      </c>
      <c r="AW74" s="15"/>
      <c r="AX74" s="15"/>
      <c r="AY74" s="15"/>
      <c r="AZ74" s="18"/>
      <c r="BA74" s="18"/>
      <c r="BB74" s="19">
        <v>1.08932740410757</v>
      </c>
      <c r="BC74" s="19">
        <v>1.1353535421890399</v>
      </c>
      <c r="BD74" s="19">
        <v>1.17876165463634</v>
      </c>
      <c r="BE74" s="19">
        <v>1.2376325980548999</v>
      </c>
      <c r="BF74" s="19">
        <v>1.2869355438558201</v>
      </c>
      <c r="BG74" s="19">
        <v>1.3258157743321699</v>
      </c>
      <c r="BH74" s="19">
        <v>1.3576993148990399</v>
      </c>
      <c r="BI74" s="19">
        <v>1.3857098771780301</v>
      </c>
      <c r="BJ74" s="19">
        <v>1.41151583480036</v>
      </c>
      <c r="BK74" s="18"/>
      <c r="BL74" s="18"/>
      <c r="BM74" s="19">
        <v>1.09774765152274</v>
      </c>
      <c r="BN74" s="19">
        <v>1.1884639826271</v>
      </c>
      <c r="BO74" s="19">
        <v>1.2816240398451499</v>
      </c>
      <c r="BP74" s="19">
        <v>1.3417807630788201</v>
      </c>
      <c r="BQ74" s="19">
        <v>1.3669630504100001</v>
      </c>
      <c r="BR74" s="19">
        <v>1.3810793255210301</v>
      </c>
      <c r="BS74" s="19">
        <v>1.38801399171974</v>
      </c>
      <c r="BT74" s="19">
        <v>1.3910507169402999</v>
      </c>
      <c r="BU74" s="19">
        <v>1.39185785608847</v>
      </c>
    </row>
    <row r="75" spans="3:73" x14ac:dyDescent="0.45">
      <c r="C75" s="15" t="s">
        <v>249</v>
      </c>
      <c r="D75" s="15" t="s">
        <v>321</v>
      </c>
      <c r="E75" s="15" t="s">
        <v>251</v>
      </c>
      <c r="F75" s="15"/>
      <c r="G75" s="15"/>
      <c r="H75" s="15" t="s">
        <v>320</v>
      </c>
      <c r="I75" s="15"/>
      <c r="J75" s="18"/>
      <c r="K75" s="18"/>
      <c r="L75" s="19">
        <v>0.16</v>
      </c>
      <c r="M75" s="18"/>
      <c r="N75" s="18"/>
      <c r="O75" s="19"/>
      <c r="P75" s="18"/>
      <c r="Q75" s="18"/>
      <c r="R75" s="19">
        <v>0.16</v>
      </c>
      <c r="S75" s="18"/>
      <c r="T75" s="18"/>
      <c r="U75" s="19"/>
      <c r="V75" s="19"/>
      <c r="X75" s="15" t="s">
        <v>249</v>
      </c>
      <c r="Y75" s="15" t="s">
        <v>321</v>
      </c>
      <c r="Z75" s="15" t="s">
        <v>358</v>
      </c>
      <c r="AA75" s="15"/>
      <c r="AB75" s="15"/>
      <c r="AC75" s="15" t="s">
        <v>320</v>
      </c>
      <c r="AD75" s="15"/>
      <c r="AE75" s="18"/>
      <c r="AF75" s="18"/>
      <c r="AG75" s="19">
        <f t="shared" si="4"/>
        <v>0.10912791364876959</v>
      </c>
      <c r="AH75" s="18"/>
      <c r="AI75" s="18"/>
      <c r="AJ75" s="19">
        <f t="shared" si="5"/>
        <v>0.13785187771396001</v>
      </c>
      <c r="AK75" s="18"/>
      <c r="AL75" s="18"/>
      <c r="AM75" s="19">
        <f t="shared" si="6"/>
        <v>0.11200000000000003</v>
      </c>
      <c r="AN75" s="18"/>
      <c r="AO75" s="18"/>
      <c r="AP75" s="19">
        <f t="shared" si="7"/>
        <v>0.13600000000000001</v>
      </c>
      <c r="AR75" s="15" t="s">
        <v>249</v>
      </c>
      <c r="AS75" s="15" t="s">
        <v>369</v>
      </c>
      <c r="AT75" s="15"/>
      <c r="AU75" s="15"/>
      <c r="AV75" s="15" t="s">
        <v>435</v>
      </c>
      <c r="AW75" s="15"/>
      <c r="AX75" s="15"/>
      <c r="AY75" s="15"/>
      <c r="AZ75" s="18"/>
      <c r="BA75" s="18"/>
      <c r="BB75" s="19">
        <v>2.3270178983698702</v>
      </c>
      <c r="BC75" s="19">
        <v>2.42533879501176</v>
      </c>
      <c r="BD75" s="19">
        <v>2.51806707323043</v>
      </c>
      <c r="BE75" s="19">
        <v>2.6438270040945002</v>
      </c>
      <c r="BF75" s="19">
        <v>2.7491478074530602</v>
      </c>
      <c r="BG75" s="19">
        <v>2.83220363793163</v>
      </c>
      <c r="BH75" s="19">
        <v>2.90031316063595</v>
      </c>
      <c r="BI75" s="19">
        <v>2.9601492388625901</v>
      </c>
      <c r="BJ75" s="19">
        <v>3.0152758473049199</v>
      </c>
      <c r="BK75" s="18"/>
      <c r="BL75" s="18"/>
      <c r="BM75" s="19">
        <v>2.3450052053722699</v>
      </c>
      <c r="BN75" s="19">
        <v>2.5387931568717899</v>
      </c>
      <c r="BO75" s="19">
        <v>2.7378013886872399</v>
      </c>
      <c r="BP75" s="19">
        <v>2.8663079984945301</v>
      </c>
      <c r="BQ75" s="19">
        <v>2.9201023243515301</v>
      </c>
      <c r="BR75" s="19">
        <v>2.9502574684503902</v>
      </c>
      <c r="BS75" s="19">
        <v>2.96507128136169</v>
      </c>
      <c r="BT75" s="19">
        <v>2.97155832457205</v>
      </c>
      <c r="BU75" s="19">
        <v>2.9732825327735499</v>
      </c>
    </row>
    <row r="76" spans="3:73" x14ac:dyDescent="0.45">
      <c r="C76" s="15" t="s">
        <v>249</v>
      </c>
      <c r="D76" s="15" t="s">
        <v>321</v>
      </c>
      <c r="E76" s="15" t="s">
        <v>253</v>
      </c>
      <c r="F76" s="15"/>
      <c r="G76" s="15"/>
      <c r="H76" s="15" t="s">
        <v>320</v>
      </c>
      <c r="I76" s="15"/>
      <c r="J76" s="18"/>
      <c r="K76" s="18"/>
      <c r="L76" s="19">
        <v>0.16</v>
      </c>
      <c r="M76" s="18"/>
      <c r="N76" s="18"/>
      <c r="O76" s="19"/>
      <c r="P76" s="18"/>
      <c r="Q76" s="18"/>
      <c r="R76" s="19">
        <v>0.16</v>
      </c>
      <c r="S76" s="18"/>
      <c r="T76" s="18"/>
      <c r="U76" s="19"/>
      <c r="V76" s="19"/>
      <c r="X76" s="15" t="s">
        <v>249</v>
      </c>
      <c r="Y76" s="15" t="s">
        <v>321</v>
      </c>
      <c r="Z76" s="15" t="s">
        <v>359</v>
      </c>
      <c r="AA76" s="15"/>
      <c r="AB76" s="15"/>
      <c r="AC76" s="15" t="s">
        <v>320</v>
      </c>
      <c r="AD76" s="15"/>
      <c r="AE76" s="18"/>
      <c r="AF76" s="18"/>
      <c r="AG76" s="19">
        <f>0.136409892060962</f>
        <v>0.13640989206096199</v>
      </c>
      <c r="AH76" s="18"/>
      <c r="AI76" s="18"/>
      <c r="AJ76" s="19">
        <f t="shared" si="5"/>
        <v>0.13785187771396001</v>
      </c>
      <c r="AK76" s="18"/>
      <c r="AL76" s="18"/>
      <c r="AM76" s="19">
        <f>0.136409892060962</f>
        <v>0.13640989206096199</v>
      </c>
      <c r="AN76" s="18"/>
      <c r="AO76" s="18"/>
      <c r="AP76" s="19">
        <f t="shared" si="7"/>
        <v>0.13600000000000001</v>
      </c>
      <c r="AR76" s="15" t="s">
        <v>249</v>
      </c>
      <c r="AS76" s="15" t="s">
        <v>369</v>
      </c>
      <c r="AT76" s="15"/>
      <c r="AU76" s="15"/>
      <c r="AV76" s="15" t="s">
        <v>436</v>
      </c>
      <c r="AW76" s="15"/>
      <c r="AX76" s="15"/>
      <c r="AY76" s="15"/>
      <c r="AZ76" s="18"/>
      <c r="BA76" s="18"/>
      <c r="BB76" s="19">
        <v>2.4224406293759899</v>
      </c>
      <c r="BC76" s="19">
        <v>2.5247933164390401</v>
      </c>
      <c r="BD76" s="19">
        <v>2.6213240516802099</v>
      </c>
      <c r="BE76" s="19">
        <v>2.7522409502077401</v>
      </c>
      <c r="BF76" s="19">
        <v>2.86188058527588</v>
      </c>
      <c r="BG76" s="19">
        <v>2.9483422400825599</v>
      </c>
      <c r="BH76" s="19">
        <v>3.01924469217025</v>
      </c>
      <c r="BI76" s="19">
        <v>3.0815344352359499</v>
      </c>
      <c r="BJ76" s="19">
        <v>3.1389215899045602</v>
      </c>
      <c r="BK76" s="18"/>
      <c r="BL76" s="18"/>
      <c r="BM76" s="19">
        <v>2.4411655318901402</v>
      </c>
      <c r="BN76" s="19">
        <v>2.6429000383263901</v>
      </c>
      <c r="BO76" s="19">
        <v>2.85006889021522</v>
      </c>
      <c r="BP76" s="19">
        <v>2.9838450992244399</v>
      </c>
      <c r="BQ76" s="19">
        <v>3.0398453391354399</v>
      </c>
      <c r="BR76" s="19">
        <v>3.0712370384863301</v>
      </c>
      <c r="BS76" s="19">
        <v>3.0866583131990999</v>
      </c>
      <c r="BT76" s="19">
        <v>3.0934113669888101</v>
      </c>
      <c r="BU76" s="19">
        <v>3.09520627883875</v>
      </c>
    </row>
    <row r="77" spans="3:73" x14ac:dyDescent="0.45">
      <c r="C77" s="15" t="s">
        <v>249</v>
      </c>
      <c r="D77" s="15" t="s">
        <v>321</v>
      </c>
      <c r="E77" s="15" t="s">
        <v>254</v>
      </c>
      <c r="F77" s="15"/>
      <c r="G77" s="15"/>
      <c r="H77" s="15" t="s">
        <v>320</v>
      </c>
      <c r="I77" s="15"/>
      <c r="J77" s="18"/>
      <c r="K77" s="18"/>
      <c r="L77" s="19">
        <v>0.23</v>
      </c>
      <c r="M77" s="18"/>
      <c r="N77" s="18"/>
      <c r="O77" s="19"/>
      <c r="P77" s="18"/>
      <c r="Q77" s="18"/>
      <c r="R77" s="19">
        <v>0.23</v>
      </c>
      <c r="S77" s="18"/>
      <c r="T77" s="18"/>
      <c r="U77" s="19"/>
      <c r="V77" s="19"/>
      <c r="X77" s="15" t="s">
        <v>249</v>
      </c>
      <c r="Y77" s="15" t="s">
        <v>321</v>
      </c>
      <c r="Z77" s="15" t="s">
        <v>360</v>
      </c>
      <c r="AA77" s="15"/>
      <c r="AB77" s="15"/>
      <c r="AC77" s="15" t="s">
        <v>320</v>
      </c>
      <c r="AD77" s="15"/>
      <c r="AE77" s="18"/>
      <c r="AF77" s="18"/>
      <c r="AG77" s="19">
        <f>0.136409892060962</f>
        <v>0.13640989206096199</v>
      </c>
      <c r="AH77" s="18"/>
      <c r="AI77" s="18"/>
      <c r="AJ77" s="19">
        <f t="shared" si="5"/>
        <v>0.13785187771396001</v>
      </c>
      <c r="AK77" s="18"/>
      <c r="AL77" s="18"/>
      <c r="AM77" s="19">
        <f>0.136409892060962</f>
        <v>0.13640989206096199</v>
      </c>
      <c r="AN77" s="18"/>
      <c r="AO77" s="18"/>
      <c r="AP77" s="19">
        <f t="shared" si="7"/>
        <v>0.13600000000000001</v>
      </c>
      <c r="AR77" s="15" t="s">
        <v>249</v>
      </c>
      <c r="AS77" s="15" t="s">
        <v>369</v>
      </c>
      <c r="AT77" s="15"/>
      <c r="AU77" s="15"/>
      <c r="AV77" s="15" t="s">
        <v>437</v>
      </c>
      <c r="AW77" s="15"/>
      <c r="AX77" s="15"/>
      <c r="AY77" s="15"/>
      <c r="AZ77" s="18"/>
      <c r="BA77" s="18"/>
      <c r="BB77" s="19">
        <v>1.17691480112604</v>
      </c>
      <c r="BC77" s="19">
        <v>1.2266416719846001</v>
      </c>
      <c r="BD77" s="19">
        <v>1.27354001479277</v>
      </c>
      <c r="BE77" s="19">
        <v>1.337144477881</v>
      </c>
      <c r="BF77" s="19">
        <v>1.3904116282651899</v>
      </c>
      <c r="BG77" s="19">
        <v>1.4324180246399301</v>
      </c>
      <c r="BH77" s="19">
        <v>1.4668651620790101</v>
      </c>
      <c r="BI77" s="19">
        <v>1.4971279143146501</v>
      </c>
      <c r="BJ77" s="19">
        <v>1.52500880060139</v>
      </c>
      <c r="BK77" s="18"/>
      <c r="BL77" s="18"/>
      <c r="BM77" s="19">
        <v>0</v>
      </c>
      <c r="BN77" s="19">
        <v>0</v>
      </c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</row>
    <row r="78" spans="3:73" x14ac:dyDescent="0.45">
      <c r="C78" s="15" t="s">
        <v>249</v>
      </c>
      <c r="D78" s="15" t="s">
        <v>321</v>
      </c>
      <c r="E78" s="15" t="s">
        <v>255</v>
      </c>
      <c r="F78" s="15"/>
      <c r="G78" s="15"/>
      <c r="H78" s="15" t="s">
        <v>320</v>
      </c>
      <c r="I78" s="15"/>
      <c r="J78" s="18"/>
      <c r="K78" s="18"/>
      <c r="L78" s="19">
        <v>0.25</v>
      </c>
      <c r="M78" s="18"/>
      <c r="N78" s="18"/>
      <c r="O78" s="19"/>
      <c r="P78" s="18"/>
      <c r="Q78" s="18"/>
      <c r="R78" s="19">
        <v>0.25</v>
      </c>
      <c r="S78" s="18"/>
      <c r="T78" s="18"/>
      <c r="U78" s="19"/>
      <c r="V78" s="19"/>
      <c r="X78" s="15" t="s">
        <v>249</v>
      </c>
      <c r="Y78" s="15" t="s">
        <v>321</v>
      </c>
      <c r="Z78" s="15" t="s">
        <v>361</v>
      </c>
      <c r="AA78" s="15"/>
      <c r="AB78" s="15"/>
      <c r="AC78" s="15" t="s">
        <v>320</v>
      </c>
      <c r="AD78" s="15"/>
      <c r="AE78" s="18"/>
      <c r="AF78" s="18"/>
      <c r="AG78" s="19">
        <v>3.0007890049087299E-2</v>
      </c>
      <c r="AH78" s="18"/>
      <c r="AI78" s="18"/>
      <c r="AJ78" s="19">
        <v>2.9983436126264001E-2</v>
      </c>
      <c r="AK78" s="18"/>
      <c r="AL78" s="18"/>
      <c r="AM78" s="19">
        <v>0.03</v>
      </c>
      <c r="AN78" s="18"/>
      <c r="AO78" s="18"/>
      <c r="AP78" s="19">
        <v>0.03</v>
      </c>
      <c r="AR78" s="15" t="s">
        <v>249</v>
      </c>
      <c r="AS78" s="15" t="s">
        <v>369</v>
      </c>
      <c r="AT78" s="15"/>
      <c r="AU78" s="15"/>
      <c r="AV78" s="15" t="s">
        <v>438</v>
      </c>
      <c r="AW78" s="15"/>
      <c r="AX78" s="15"/>
      <c r="AY78" s="15"/>
      <c r="AZ78" s="18"/>
      <c r="BA78" s="18"/>
      <c r="BB78" s="19">
        <v>0.33210520579735098</v>
      </c>
      <c r="BC78" s="19">
        <v>0.34613727733247202</v>
      </c>
      <c r="BD78" s="19">
        <v>0.35937118668169499</v>
      </c>
      <c r="BE78" s="19">
        <v>0.37731927713253899</v>
      </c>
      <c r="BF78" s="19">
        <v>0.39235035493328901</v>
      </c>
      <c r="BG78" s="19">
        <v>0.40420384075867799</v>
      </c>
      <c r="BH78" s="19">
        <v>0.41392423314170401</v>
      </c>
      <c r="BI78" s="19">
        <v>0.42246386366516703</v>
      </c>
      <c r="BJ78" s="19">
        <v>0.43033137240004798</v>
      </c>
      <c r="BK78" s="18"/>
      <c r="BL78" s="18"/>
      <c r="BM78" s="19">
        <v>0.33467230177798601</v>
      </c>
      <c r="BN78" s="19">
        <v>0.36232915287435202</v>
      </c>
      <c r="BO78" s="19">
        <v>0.39073102714817598</v>
      </c>
      <c r="BP78" s="19">
        <v>0.40907111560484999</v>
      </c>
      <c r="BQ78" s="19">
        <v>0.41674848485584998</v>
      </c>
      <c r="BR78" s="19">
        <v>0.42105213904940703</v>
      </c>
      <c r="BS78" s="19">
        <v>0.42316632321146103</v>
      </c>
      <c r="BT78" s="19">
        <v>0.42409213509365701</v>
      </c>
      <c r="BU78" s="19">
        <v>0.42433820905810599</v>
      </c>
    </row>
    <row r="79" spans="3:73" x14ac:dyDescent="0.45">
      <c r="C79" s="15" t="s">
        <v>249</v>
      </c>
      <c r="D79" s="15" t="s">
        <v>321</v>
      </c>
      <c r="E79" s="15" t="s">
        <v>256</v>
      </c>
      <c r="F79" s="15"/>
      <c r="G79" s="15"/>
      <c r="H79" s="15" t="s">
        <v>320</v>
      </c>
      <c r="I79" s="15"/>
      <c r="J79" s="18"/>
      <c r="K79" s="18"/>
      <c r="L79" s="19">
        <v>0.25</v>
      </c>
      <c r="M79" s="18"/>
      <c r="N79" s="18"/>
      <c r="O79" s="19"/>
      <c r="P79" s="18"/>
      <c r="Q79" s="18"/>
      <c r="R79" s="19">
        <v>0.25</v>
      </c>
      <c r="S79" s="18"/>
      <c r="T79" s="18"/>
      <c r="U79" s="19"/>
      <c r="V79" s="19"/>
      <c r="X79" s="15" t="s">
        <v>249</v>
      </c>
      <c r="Y79" s="15" t="s">
        <v>321</v>
      </c>
      <c r="Z79" s="15" t="s">
        <v>362</v>
      </c>
      <c r="AA79" s="15"/>
      <c r="AB79" s="15"/>
      <c r="AC79" s="15" t="s">
        <v>320</v>
      </c>
      <c r="AD79" s="15"/>
      <c r="AE79" s="18"/>
      <c r="AF79" s="18"/>
      <c r="AG79" s="19">
        <v>3.0007890049087299E-2</v>
      </c>
      <c r="AH79" s="18"/>
      <c r="AI79" s="18"/>
      <c r="AJ79" s="19">
        <v>2.9983436126264001E-2</v>
      </c>
      <c r="AK79" s="18"/>
      <c r="AL79" s="18"/>
      <c r="AM79" s="19">
        <v>0.03</v>
      </c>
      <c r="AN79" s="18"/>
      <c r="AO79" s="18"/>
      <c r="AP79" s="19">
        <v>0.03</v>
      </c>
      <c r="AR79" s="15" t="s">
        <v>249</v>
      </c>
      <c r="AS79" s="15" t="s">
        <v>369</v>
      </c>
      <c r="AT79" s="15"/>
      <c r="AU79" s="15"/>
      <c r="AV79" s="15" t="s">
        <v>439</v>
      </c>
      <c r="AW79" s="15"/>
      <c r="AX79" s="15"/>
      <c r="AY79" s="15"/>
      <c r="AZ79" s="18"/>
      <c r="BA79" s="18"/>
      <c r="BB79" s="19">
        <v>4.7549803646395099E-2</v>
      </c>
      <c r="BC79" s="19">
        <v>4.9558872563713802E-2</v>
      </c>
      <c r="BD79" s="19">
        <v>5.1453663069990101E-2</v>
      </c>
      <c r="BE79" s="19">
        <v>5.40234155516362E-2</v>
      </c>
      <c r="BF79" s="19">
        <v>5.6175519118647099E-2</v>
      </c>
      <c r="BG79" s="19">
        <v>5.7872664823332302E-2</v>
      </c>
      <c r="BH79" s="19">
        <v>5.9264400758543202E-2</v>
      </c>
      <c r="BI79" s="19">
        <v>6.0487078836197999E-2</v>
      </c>
      <c r="BJ79" s="19">
        <v>6.1613524579894503E-2</v>
      </c>
      <c r="BK79" s="18"/>
      <c r="BL79" s="18"/>
      <c r="BM79" s="19">
        <v>4.7917352566706602E-2</v>
      </c>
      <c r="BN79" s="19">
        <v>5.1877175587102899E-2</v>
      </c>
      <c r="BO79" s="19">
        <v>5.5943668738474998E-2</v>
      </c>
      <c r="BP79" s="19">
        <v>5.8569546290977097E-2</v>
      </c>
      <c r="BQ79" s="19">
        <v>5.9668768447189498E-2</v>
      </c>
      <c r="BR79" s="19">
        <v>6.0284952440373997E-2</v>
      </c>
      <c r="BS79" s="19">
        <v>6.0587654837154101E-2</v>
      </c>
      <c r="BT79" s="19">
        <v>6.0720209739767703E-2</v>
      </c>
      <c r="BU79" s="19">
        <v>6.0755441854434399E-2</v>
      </c>
    </row>
    <row r="80" spans="3:73" x14ac:dyDescent="0.45">
      <c r="C80" s="15" t="s">
        <v>249</v>
      </c>
      <c r="D80" s="15" t="s">
        <v>321</v>
      </c>
      <c r="E80" s="15" t="s">
        <v>257</v>
      </c>
      <c r="F80" s="15"/>
      <c r="G80" s="15"/>
      <c r="H80" s="15" t="s">
        <v>320</v>
      </c>
      <c r="I80" s="15"/>
      <c r="J80" s="18"/>
      <c r="K80" s="19"/>
      <c r="L80" s="19">
        <v>0.02</v>
      </c>
      <c r="M80" s="19"/>
      <c r="N80" s="19"/>
      <c r="O80" s="19"/>
      <c r="P80" s="18"/>
      <c r="Q80" s="19"/>
      <c r="R80" s="19">
        <v>0.02</v>
      </c>
      <c r="S80" s="19"/>
      <c r="T80" s="19"/>
      <c r="U80" s="19"/>
      <c r="V80" s="19"/>
      <c r="X80" s="15" t="s">
        <v>249</v>
      </c>
      <c r="Y80" s="15" t="s">
        <v>322</v>
      </c>
      <c r="Z80" s="15" t="s">
        <v>330</v>
      </c>
      <c r="AA80" s="15"/>
      <c r="AB80" s="15"/>
      <c r="AC80" s="15"/>
      <c r="AD80" s="15" t="s">
        <v>323</v>
      </c>
      <c r="AE80" s="18"/>
      <c r="AF80" s="19">
        <v>5</v>
      </c>
      <c r="AG80" s="19">
        <v>63</v>
      </c>
      <c r="AH80" s="19">
        <v>42.287999999999997</v>
      </c>
      <c r="AI80" s="19">
        <v>42.287999999999997</v>
      </c>
      <c r="AJ80" s="19">
        <v>42.287999999999997</v>
      </c>
      <c r="AK80" s="18"/>
      <c r="AL80" s="19">
        <v>5</v>
      </c>
      <c r="AM80" s="19">
        <v>63</v>
      </c>
      <c r="AN80" s="19">
        <v>46.290999999999997</v>
      </c>
      <c r="AO80" s="19">
        <v>46.290999999999997</v>
      </c>
      <c r="AP80" s="19">
        <v>46.290999999999997</v>
      </c>
      <c r="AR80" s="15" t="s">
        <v>249</v>
      </c>
      <c r="AS80" s="15" t="s">
        <v>369</v>
      </c>
      <c r="AT80" s="15"/>
      <c r="AU80" s="15"/>
      <c r="AV80" s="15" t="s">
        <v>440</v>
      </c>
      <c r="AW80" s="15"/>
      <c r="AX80" s="15"/>
      <c r="AY80" s="15"/>
      <c r="AZ80" s="18"/>
      <c r="BA80" s="18"/>
      <c r="BB80" s="19">
        <v>1.03630413518808</v>
      </c>
      <c r="BC80" s="19">
        <v>1.0800899401175399</v>
      </c>
      <c r="BD80" s="19">
        <v>1.12138515242948</v>
      </c>
      <c r="BE80" s="19">
        <v>1.1773905387596499</v>
      </c>
      <c r="BF80" s="19">
        <v>1.22429365201815</v>
      </c>
      <c r="BG80" s="19">
        <v>1.26128137808451</v>
      </c>
      <c r="BH80" s="19">
        <v>1.2916129797767899</v>
      </c>
      <c r="BI80" s="19">
        <v>1.3182601213149601</v>
      </c>
      <c r="BJ80" s="19">
        <v>1.3428099678493099</v>
      </c>
      <c r="BK80" s="18"/>
      <c r="BL80" s="18"/>
      <c r="BM80" s="19">
        <v>1.0443145250697099</v>
      </c>
      <c r="BN80" s="19">
        <v>1.1306152173116</v>
      </c>
      <c r="BO80" s="19">
        <v>1.21924068672088</v>
      </c>
      <c r="BP80" s="19">
        <v>1.27646926722968</v>
      </c>
      <c r="BQ80" s="19">
        <v>1.30042580077174</v>
      </c>
      <c r="BR80" s="19">
        <v>1.3138549628545599</v>
      </c>
      <c r="BS80" s="19">
        <v>1.3204520825366399</v>
      </c>
      <c r="BT80" s="19">
        <v>1.3233409944391901</v>
      </c>
      <c r="BU80" s="19">
        <v>1.32410884589851</v>
      </c>
    </row>
    <row r="81" spans="3:73" x14ac:dyDescent="0.45">
      <c r="C81" s="15" t="s">
        <v>249</v>
      </c>
      <c r="D81" s="15" t="s">
        <v>321</v>
      </c>
      <c r="E81" s="15" t="s">
        <v>258</v>
      </c>
      <c r="F81" s="15"/>
      <c r="G81" s="15"/>
      <c r="H81" s="15" t="s">
        <v>320</v>
      </c>
      <c r="I81" s="15"/>
      <c r="J81" s="18"/>
      <c r="K81" s="19"/>
      <c r="L81" s="19">
        <v>0.02</v>
      </c>
      <c r="M81" s="19"/>
      <c r="N81" s="19"/>
      <c r="O81" s="19"/>
      <c r="P81" s="18"/>
      <c r="Q81" s="19"/>
      <c r="R81" s="19">
        <v>0.02</v>
      </c>
      <c r="S81" s="19"/>
      <c r="T81" s="19"/>
      <c r="U81" s="19"/>
      <c r="V81" s="19"/>
      <c r="X81" s="15" t="s">
        <v>249</v>
      </c>
      <c r="Y81" s="15" t="s">
        <v>322</v>
      </c>
      <c r="Z81" s="15" t="s">
        <v>331</v>
      </c>
      <c r="AA81" s="15"/>
      <c r="AB81" s="15"/>
      <c r="AC81" s="15"/>
      <c r="AD81" s="15" t="s">
        <v>323</v>
      </c>
      <c r="AE81" s="18"/>
      <c r="AF81" s="19">
        <v>5</v>
      </c>
      <c r="AG81" s="19">
        <v>97.283967328970903</v>
      </c>
      <c r="AH81" s="19">
        <v>65.197195446041405</v>
      </c>
      <c r="AI81" s="19">
        <v>59.842717084595598</v>
      </c>
      <c r="AJ81" s="19">
        <v>56.4270985303787</v>
      </c>
      <c r="AK81" s="18"/>
      <c r="AL81" s="19">
        <v>5</v>
      </c>
      <c r="AM81" s="19">
        <v>97.283967328970903</v>
      </c>
      <c r="AN81" s="19">
        <v>58.8593590627639</v>
      </c>
      <c r="AO81" s="19">
        <v>55.900305231438601</v>
      </c>
      <c r="AP81" s="19">
        <v>54.0127265567398</v>
      </c>
      <c r="AR81" s="15" t="s">
        <v>249</v>
      </c>
      <c r="AS81" s="15" t="s">
        <v>369</v>
      </c>
      <c r="AT81" s="15"/>
      <c r="AU81" s="15"/>
      <c r="AV81" s="15" t="s">
        <v>441</v>
      </c>
      <c r="AW81" s="15"/>
      <c r="AX81" s="15"/>
      <c r="AY81" s="15"/>
      <c r="AZ81" s="18"/>
      <c r="BA81" s="18"/>
      <c r="BB81" s="19">
        <v>0.55018804805634203</v>
      </c>
      <c r="BC81" s="19">
        <v>0.573434531138592</v>
      </c>
      <c r="BD81" s="19">
        <v>0.59535872451437</v>
      </c>
      <c r="BE81" s="19">
        <v>0.62509275059739899</v>
      </c>
      <c r="BF81" s="19">
        <v>0.64999425533449795</v>
      </c>
      <c r="BG81" s="19">
        <v>0.66963154531095703</v>
      </c>
      <c r="BH81" s="19">
        <v>0.68573500776261698</v>
      </c>
      <c r="BI81" s="19">
        <v>0.69988233989354998</v>
      </c>
      <c r="BJ81" s="19">
        <v>0.71291618940373003</v>
      </c>
      <c r="BK81" s="18"/>
      <c r="BL81" s="18"/>
      <c r="BM81" s="19">
        <v>0.55444087367335604</v>
      </c>
      <c r="BN81" s="19">
        <v>0.60025909228140695</v>
      </c>
      <c r="BO81" s="19">
        <v>0.64731156690413905</v>
      </c>
      <c r="BP81" s="19">
        <v>0.67769500351703904</v>
      </c>
      <c r="BQ81" s="19">
        <v>0.69041385503962904</v>
      </c>
      <c r="BR81" s="19">
        <v>0.69754358097866498</v>
      </c>
      <c r="BS81" s="19">
        <v>0.701046082104955</v>
      </c>
      <c r="BT81" s="19">
        <v>0.70257984497118298</v>
      </c>
      <c r="BU81" s="19">
        <v>0.70298750781962505</v>
      </c>
    </row>
    <row r="82" spans="3:73" x14ac:dyDescent="0.45">
      <c r="C82" s="15" t="s">
        <v>249</v>
      </c>
      <c r="D82" s="15" t="s">
        <v>321</v>
      </c>
      <c r="E82" s="15" t="s">
        <v>259</v>
      </c>
      <c r="F82" s="15"/>
      <c r="G82" s="15"/>
      <c r="H82" s="15" t="s">
        <v>320</v>
      </c>
      <c r="I82" s="15"/>
      <c r="J82" s="18"/>
      <c r="K82" s="19"/>
      <c r="L82" s="19">
        <v>0.02</v>
      </c>
      <c r="M82" s="19"/>
      <c r="N82" s="19"/>
      <c r="O82" s="19"/>
      <c r="P82" s="18"/>
      <c r="Q82" s="19"/>
      <c r="R82" s="19">
        <v>0.02</v>
      </c>
      <c r="S82" s="19"/>
      <c r="T82" s="19"/>
      <c r="U82" s="19"/>
      <c r="V82" s="19"/>
      <c r="X82" s="15" t="s">
        <v>249</v>
      </c>
      <c r="Y82" s="15" t="s">
        <v>322</v>
      </c>
      <c r="Z82" s="15" t="s">
        <v>332</v>
      </c>
      <c r="AA82" s="15"/>
      <c r="AB82" s="15"/>
      <c r="AC82" s="15"/>
      <c r="AD82" s="15" t="s">
        <v>323</v>
      </c>
      <c r="AE82" s="18"/>
      <c r="AF82" s="19">
        <v>5</v>
      </c>
      <c r="AG82" s="19">
        <v>57.303146992157899</v>
      </c>
      <c r="AH82" s="19">
        <v>56.971740085556597</v>
      </c>
      <c r="AI82" s="19">
        <v>57.739042784512897</v>
      </c>
      <c r="AJ82" s="19">
        <v>59.435882015026401</v>
      </c>
      <c r="AK82" s="18"/>
      <c r="AL82" s="19">
        <v>5</v>
      </c>
      <c r="AM82" s="19">
        <v>57.303146992157899</v>
      </c>
      <c r="AN82" s="19">
        <v>56.971740085556597</v>
      </c>
      <c r="AO82" s="19">
        <v>57.739042784512897</v>
      </c>
      <c r="AP82" s="19">
        <v>59.435882015026401</v>
      </c>
      <c r="AR82" s="15" t="s">
        <v>249</v>
      </c>
      <c r="AS82" s="15" t="s">
        <v>369</v>
      </c>
      <c r="AT82" s="15"/>
      <c r="AU82" s="15"/>
      <c r="AV82" s="15" t="s">
        <v>442</v>
      </c>
      <c r="AW82" s="15"/>
      <c r="AX82" s="15"/>
      <c r="AY82" s="15"/>
      <c r="AZ82" s="18"/>
      <c r="BA82" s="18"/>
      <c r="BB82" s="19">
        <v>7.8230933702260002</v>
      </c>
      <c r="BC82" s="19">
        <v>8.1536338251200604</v>
      </c>
      <c r="BD82" s="19">
        <v>8.4653727159438699</v>
      </c>
      <c r="BE82" s="19">
        <v>8.8881591853010704</v>
      </c>
      <c r="BF82" s="19">
        <v>9.24223230140319</v>
      </c>
      <c r="BG82" s="19">
        <v>9.5214538395059396</v>
      </c>
      <c r="BH82" s="19">
        <v>9.7504280798376097</v>
      </c>
      <c r="BI82" s="19">
        <v>9.9515882115250793</v>
      </c>
      <c r="BJ82" s="19">
        <v>10.1369157955245</v>
      </c>
      <c r="BK82" s="18"/>
      <c r="BL82" s="18"/>
      <c r="BM82" s="19">
        <v>7.8835640620316898</v>
      </c>
      <c r="BN82" s="19">
        <v>8.5350507737014105</v>
      </c>
      <c r="BO82" s="19">
        <v>9.2040873032556103</v>
      </c>
      <c r="BP82" s="19">
        <v>9.6361077049542097</v>
      </c>
      <c r="BQ82" s="19">
        <v>9.8169563500215897</v>
      </c>
      <c r="BR82" s="19">
        <v>9.9183335281014209</v>
      </c>
      <c r="BS82" s="19">
        <v>9.9681353975478508</v>
      </c>
      <c r="BT82" s="19">
        <v>9.9899438867592707</v>
      </c>
      <c r="BU82" s="19">
        <v>9.9957404222132897</v>
      </c>
    </row>
    <row r="83" spans="3:73" x14ac:dyDescent="0.45">
      <c r="C83" s="15" t="s">
        <v>249</v>
      </c>
      <c r="D83" s="15" t="s">
        <v>321</v>
      </c>
      <c r="E83" s="15" t="s">
        <v>260</v>
      </c>
      <c r="F83" s="15"/>
      <c r="G83" s="15"/>
      <c r="H83" s="15" t="s">
        <v>320</v>
      </c>
      <c r="I83" s="15"/>
      <c r="J83" s="18"/>
      <c r="K83" s="19"/>
      <c r="L83" s="19">
        <v>0.09</v>
      </c>
      <c r="M83" s="19"/>
      <c r="N83" s="19"/>
      <c r="O83" s="19"/>
      <c r="P83" s="18"/>
      <c r="Q83" s="19"/>
      <c r="R83" s="19">
        <v>0.09</v>
      </c>
      <c r="S83" s="19"/>
      <c r="T83" s="19"/>
      <c r="U83" s="19"/>
      <c r="V83" s="19"/>
      <c r="X83" s="15" t="s">
        <v>249</v>
      </c>
      <c r="Y83" s="15" t="s">
        <v>322</v>
      </c>
      <c r="Z83" s="15" t="s">
        <v>333</v>
      </c>
      <c r="AA83" s="15"/>
      <c r="AB83" s="15"/>
      <c r="AC83" s="15"/>
      <c r="AD83" s="15" t="s">
        <v>323</v>
      </c>
      <c r="AE83" s="18"/>
      <c r="AF83" s="19">
        <v>5</v>
      </c>
      <c r="AG83" s="19">
        <v>38.539138979341097</v>
      </c>
      <c r="AH83" s="19">
        <v>37.682713668689097</v>
      </c>
      <c r="AI83" s="19">
        <v>38.253663875790402</v>
      </c>
      <c r="AJ83" s="19">
        <v>38.539138979341097</v>
      </c>
      <c r="AK83" s="18"/>
      <c r="AL83" s="19">
        <v>5</v>
      </c>
      <c r="AM83" s="19">
        <v>38.539138979341097</v>
      </c>
      <c r="AN83" s="19">
        <v>37.682713668689097</v>
      </c>
      <c r="AO83" s="19">
        <v>38.253663875790402</v>
      </c>
      <c r="AP83" s="19">
        <v>38.539138979341097</v>
      </c>
      <c r="AR83" s="15" t="s">
        <v>249</v>
      </c>
      <c r="AS83" s="15" t="s">
        <v>369</v>
      </c>
      <c r="AT83" s="15"/>
      <c r="AU83" s="15"/>
      <c r="AV83" s="15" t="s">
        <v>443</v>
      </c>
      <c r="AW83" s="15"/>
      <c r="AX83" s="15"/>
      <c r="AY83" s="15"/>
      <c r="AZ83" s="18"/>
      <c r="BA83" s="18"/>
      <c r="BB83" s="19">
        <v>1.0320924187109599</v>
      </c>
      <c r="BC83" s="19">
        <v>1.07570027067292</v>
      </c>
      <c r="BD83" s="19">
        <v>1.1168276522098901</v>
      </c>
      <c r="BE83" s="19">
        <v>1.17260542311288</v>
      </c>
      <c r="BF83" s="19">
        <v>1.2193179141319901</v>
      </c>
      <c r="BG83" s="19">
        <v>1.2561553157809899</v>
      </c>
      <c r="BH83" s="19">
        <v>1.28636364467885</v>
      </c>
      <c r="BI83" s="19">
        <v>1.31290248769608</v>
      </c>
      <c r="BJ83" s="19">
        <v>1.33735255947353</v>
      </c>
      <c r="BK83" s="18"/>
      <c r="BL83" s="18"/>
      <c r="BM83" s="19">
        <v>1.04007025300403</v>
      </c>
      <c r="BN83" s="19">
        <v>1.1260202045365399</v>
      </c>
      <c r="BO83" s="19">
        <v>1.21428548494615</v>
      </c>
      <c r="BP83" s="19">
        <v>1.27128147875834</v>
      </c>
      <c r="BQ83" s="19">
        <v>1.29514064886854</v>
      </c>
      <c r="BR83" s="19">
        <v>1.3085152325498199</v>
      </c>
      <c r="BS83" s="19">
        <v>1.31508554041408</v>
      </c>
      <c r="BT83" s="19">
        <v>1.3179627112867101</v>
      </c>
      <c r="BU83" s="19">
        <v>1.3187274420669499</v>
      </c>
    </row>
    <row r="84" spans="3:73" x14ac:dyDescent="0.45">
      <c r="C84" s="15" t="s">
        <v>249</v>
      </c>
      <c r="D84" s="15" t="s">
        <v>321</v>
      </c>
      <c r="E84" s="15" t="s">
        <v>261</v>
      </c>
      <c r="F84" s="15"/>
      <c r="G84" s="15"/>
      <c r="H84" s="15" t="s">
        <v>320</v>
      </c>
      <c r="I84" s="15"/>
      <c r="J84" s="18"/>
      <c r="K84" s="19"/>
      <c r="L84" s="19">
        <v>0.09</v>
      </c>
      <c r="M84" s="19"/>
      <c r="N84" s="19"/>
      <c r="O84" s="19"/>
      <c r="P84" s="18"/>
      <c r="Q84" s="19"/>
      <c r="R84" s="19">
        <v>0.09</v>
      </c>
      <c r="S84" s="19"/>
      <c r="T84" s="19"/>
      <c r="U84" s="19"/>
      <c r="V84" s="19"/>
      <c r="X84" s="15" t="s">
        <v>249</v>
      </c>
      <c r="Y84" s="15" t="s">
        <v>322</v>
      </c>
      <c r="Z84" s="15" t="s">
        <v>334</v>
      </c>
      <c r="AA84" s="15"/>
      <c r="AB84" s="15"/>
      <c r="AC84" s="15"/>
      <c r="AD84" s="15" t="s">
        <v>323</v>
      </c>
      <c r="AE84" s="18"/>
      <c r="AF84" s="19">
        <v>5</v>
      </c>
      <c r="AG84" s="19">
        <v>50.400339083480702</v>
      </c>
      <c r="AH84" s="19">
        <v>53.296910295175003</v>
      </c>
      <c r="AI84" s="19">
        <v>54.841748274745299</v>
      </c>
      <c r="AJ84" s="19">
        <v>56.386586254315503</v>
      </c>
      <c r="AK84" s="18"/>
      <c r="AL84" s="19">
        <v>5</v>
      </c>
      <c r="AM84" s="19">
        <v>50.400339083480702</v>
      </c>
      <c r="AN84" s="19">
        <v>53.296910295175003</v>
      </c>
      <c r="AO84" s="19">
        <v>54.841748274745299</v>
      </c>
      <c r="AP84" s="19">
        <v>56.386586254315503</v>
      </c>
      <c r="AR84" s="15" t="s">
        <v>249</v>
      </c>
      <c r="AS84" s="15" t="s">
        <v>369</v>
      </c>
      <c r="AT84" s="15"/>
      <c r="AU84" s="15"/>
      <c r="AV84" s="15" t="s">
        <v>444</v>
      </c>
      <c r="AW84" s="15"/>
      <c r="AX84" s="15"/>
      <c r="AY84" s="15"/>
      <c r="AZ84" s="18"/>
      <c r="BA84" s="18"/>
      <c r="BB84" s="19">
        <v>4.8223011641036102</v>
      </c>
      <c r="BC84" s="19">
        <v>5.0260524866284602</v>
      </c>
      <c r="BD84" s="19">
        <v>5.2182141731855296</v>
      </c>
      <c r="BE84" s="19">
        <v>5.4788276654273496</v>
      </c>
      <c r="BF84" s="19">
        <v>5.6970849607391303</v>
      </c>
      <c r="BG84" s="19">
        <v>5.8692023425104303</v>
      </c>
      <c r="BH84" s="19">
        <v>6.0103463495477998</v>
      </c>
      <c r="BI84" s="19">
        <v>6.1343452194704904</v>
      </c>
      <c r="BJ84" s="19">
        <v>6.2485846106890603</v>
      </c>
      <c r="BK84" s="18"/>
      <c r="BL84" s="18"/>
      <c r="BM84" s="19">
        <v>4.8595764302532496</v>
      </c>
      <c r="BN84" s="19">
        <v>5.2611650320255201</v>
      </c>
      <c r="BO84" s="19">
        <v>5.6735716699899896</v>
      </c>
      <c r="BP84" s="19">
        <v>5.9398771309418796</v>
      </c>
      <c r="BQ84" s="19">
        <v>6.0513556203785699</v>
      </c>
      <c r="BR84" s="19">
        <v>6.1138464102403498</v>
      </c>
      <c r="BS84" s="19">
        <v>6.1445452146186899</v>
      </c>
      <c r="BT84" s="19">
        <v>6.1579883755186797</v>
      </c>
      <c r="BU84" s="19">
        <v>6.16156146845581</v>
      </c>
    </row>
    <row r="85" spans="3:73" x14ac:dyDescent="0.45">
      <c r="C85" s="15" t="s">
        <v>249</v>
      </c>
      <c r="D85" s="15" t="s">
        <v>321</v>
      </c>
      <c r="E85" s="15" t="s">
        <v>262</v>
      </c>
      <c r="F85" s="15"/>
      <c r="G85" s="15"/>
      <c r="H85" s="15" t="s">
        <v>320</v>
      </c>
      <c r="I85" s="15"/>
      <c r="J85" s="18"/>
      <c r="K85" s="19"/>
      <c r="L85" s="19">
        <v>0.09</v>
      </c>
      <c r="M85" s="19"/>
      <c r="N85" s="19"/>
      <c r="O85" s="19"/>
      <c r="P85" s="18"/>
      <c r="Q85" s="19"/>
      <c r="R85" s="19">
        <v>0.09</v>
      </c>
      <c r="S85" s="19"/>
      <c r="T85" s="19"/>
      <c r="U85" s="19"/>
      <c r="V85" s="19"/>
      <c r="X85" s="15" t="s">
        <v>249</v>
      </c>
      <c r="Y85" s="15" t="s">
        <v>322</v>
      </c>
      <c r="Z85" s="15" t="s">
        <v>335</v>
      </c>
      <c r="AA85" s="15"/>
      <c r="AB85" s="15"/>
      <c r="AC85" s="15"/>
      <c r="AD85" s="15" t="s">
        <v>323</v>
      </c>
      <c r="AE85" s="18"/>
      <c r="AF85" s="19">
        <v>5</v>
      </c>
      <c r="AG85" s="19">
        <v>33.896666666666697</v>
      </c>
      <c r="AH85" s="19">
        <v>35.252077732974897</v>
      </c>
      <c r="AI85" s="19">
        <v>36.334128584229397</v>
      </c>
      <c r="AJ85" s="19">
        <v>36.561928763440903</v>
      </c>
      <c r="AK85" s="18"/>
      <c r="AL85" s="19">
        <v>5</v>
      </c>
      <c r="AM85" s="19">
        <v>33.896666666666697</v>
      </c>
      <c r="AN85" s="19">
        <v>35.252077732974897</v>
      </c>
      <c r="AO85" s="19">
        <v>36.334128584229397</v>
      </c>
      <c r="AP85" s="19">
        <v>36.561928763440903</v>
      </c>
      <c r="AR85" s="15" t="s">
        <v>249</v>
      </c>
      <c r="AS85" s="15" t="s">
        <v>369</v>
      </c>
      <c r="AT85" s="15"/>
      <c r="AU85" s="15"/>
      <c r="AV85" s="15" t="s">
        <v>445</v>
      </c>
      <c r="AW85" s="15"/>
      <c r="AX85" s="15"/>
      <c r="AY85" s="15"/>
      <c r="AZ85" s="18"/>
      <c r="BA85" s="18"/>
      <c r="BB85" s="19">
        <v>2.2244320249407599</v>
      </c>
      <c r="BC85" s="19">
        <v>2.3184184748792398</v>
      </c>
      <c r="BD85" s="19">
        <v>2.40705885526984</v>
      </c>
      <c r="BE85" s="19">
        <v>2.52727469798611</v>
      </c>
      <c r="BF85" s="19">
        <v>2.6279524658912901</v>
      </c>
      <c r="BG85" s="19">
        <v>2.7073468054466399</v>
      </c>
      <c r="BH85" s="19">
        <v>2.7724537406417098</v>
      </c>
      <c r="BI85" s="19">
        <v>2.82965196363237</v>
      </c>
      <c r="BJ85" s="19">
        <v>2.8823483323759702</v>
      </c>
      <c r="BK85" s="18"/>
      <c r="BL85" s="18"/>
      <c r="BM85" s="19">
        <v>2.2416263670068899</v>
      </c>
      <c r="BN85" s="19">
        <v>2.4268712358431599</v>
      </c>
      <c r="BO85" s="19">
        <v>2.6171062505318101</v>
      </c>
      <c r="BP85" s="19">
        <v>2.7399476856888598</v>
      </c>
      <c r="BQ85" s="19">
        <v>2.7913705051180702</v>
      </c>
      <c r="BR85" s="19">
        <v>2.8201962688980502</v>
      </c>
      <c r="BS85" s="19">
        <v>2.83435701939097</v>
      </c>
      <c r="BT85" s="19">
        <v>2.84055808328241</v>
      </c>
      <c r="BU85" s="19">
        <v>2.8422062802918799</v>
      </c>
    </row>
    <row r="86" spans="3:73" x14ac:dyDescent="0.45">
      <c r="C86" s="15" t="s">
        <v>249</v>
      </c>
      <c r="D86" s="15" t="s">
        <v>321</v>
      </c>
      <c r="E86" s="15" t="s">
        <v>263</v>
      </c>
      <c r="F86" s="15"/>
      <c r="G86" s="15"/>
      <c r="H86" s="15" t="s">
        <v>320</v>
      </c>
      <c r="I86" s="15"/>
      <c r="J86" s="18"/>
      <c r="K86" s="19"/>
      <c r="L86" s="19">
        <v>0.09</v>
      </c>
      <c r="M86" s="19"/>
      <c r="N86" s="19"/>
      <c r="O86" s="19"/>
      <c r="P86" s="18"/>
      <c r="Q86" s="19"/>
      <c r="R86" s="19">
        <v>0.09</v>
      </c>
      <c r="S86" s="19"/>
      <c r="T86" s="19"/>
      <c r="U86" s="19"/>
      <c r="V86" s="19"/>
      <c r="X86" s="15" t="s">
        <v>249</v>
      </c>
      <c r="Y86" s="15" t="s">
        <v>322</v>
      </c>
      <c r="Z86" s="15" t="s">
        <v>336</v>
      </c>
      <c r="AA86" s="15"/>
      <c r="AB86" s="15"/>
      <c r="AC86" s="15"/>
      <c r="AD86" s="15" t="s">
        <v>323</v>
      </c>
      <c r="AE86" s="18"/>
      <c r="AF86" s="19">
        <v>5</v>
      </c>
      <c r="AG86" s="19">
        <v>115.04822804859501</v>
      </c>
      <c r="AH86" s="19">
        <v>85.444218043248995</v>
      </c>
      <c r="AI86" s="19">
        <v>85.302529162299507</v>
      </c>
      <c r="AJ86" s="19">
        <v>85.302529162299507</v>
      </c>
      <c r="AK86" s="18"/>
      <c r="AL86" s="19">
        <v>5</v>
      </c>
      <c r="AM86" s="19">
        <v>115.04822804859501</v>
      </c>
      <c r="AN86" s="19">
        <v>89.186507208058103</v>
      </c>
      <c r="AO86" s="19">
        <v>89.0386126320237</v>
      </c>
      <c r="AP86" s="19">
        <v>90.976357876439593</v>
      </c>
      <c r="AR86" s="15" t="s">
        <v>249</v>
      </c>
      <c r="AS86" s="15" t="s">
        <v>369</v>
      </c>
      <c r="AT86" s="15"/>
      <c r="AU86" s="15"/>
      <c r="AV86" s="15" t="s">
        <v>446</v>
      </c>
      <c r="AW86" s="15"/>
      <c r="AX86" s="15"/>
      <c r="AY86" s="15"/>
      <c r="AZ86" s="18"/>
      <c r="BA86" s="18"/>
      <c r="BB86" s="19">
        <v>0.82709999999999995</v>
      </c>
      <c r="BC86" s="19">
        <v>0.59399999999999997</v>
      </c>
      <c r="BD86" s="19">
        <v>0.42659999999999998</v>
      </c>
      <c r="BE86" s="19">
        <v>0.42659999999999998</v>
      </c>
      <c r="BF86" s="19">
        <v>0.42659999999999998</v>
      </c>
      <c r="BG86" s="19">
        <v>0.42659999999999998</v>
      </c>
      <c r="BH86" s="19">
        <v>0.42659999999999998</v>
      </c>
      <c r="BI86" s="19">
        <v>0.42659999999999998</v>
      </c>
      <c r="BJ86" s="19">
        <v>0.42659999999999998</v>
      </c>
      <c r="BK86" s="18"/>
      <c r="BL86" s="18"/>
      <c r="BM86" s="19">
        <v>1.2955000000000001</v>
      </c>
      <c r="BN86" s="19">
        <v>1.4573</v>
      </c>
      <c r="BO86" s="19">
        <v>1.6392</v>
      </c>
      <c r="BP86" s="19">
        <v>1.7653000000000001</v>
      </c>
      <c r="BQ86" s="19">
        <v>1.901</v>
      </c>
      <c r="BR86" s="19">
        <v>1.3652</v>
      </c>
      <c r="BS86" s="19">
        <v>0.98050000000000004</v>
      </c>
      <c r="BT86" s="19">
        <v>0.70409999999999995</v>
      </c>
      <c r="BU86" s="19">
        <v>0.50570000000000004</v>
      </c>
    </row>
    <row r="87" spans="3:73" x14ac:dyDescent="0.45">
      <c r="C87" s="15" t="s">
        <v>249</v>
      </c>
      <c r="D87" s="15" t="s">
        <v>321</v>
      </c>
      <c r="E87" s="15" t="s">
        <v>264</v>
      </c>
      <c r="F87" s="15"/>
      <c r="G87" s="15"/>
      <c r="H87" s="15" t="s">
        <v>320</v>
      </c>
      <c r="I87" s="15"/>
      <c r="J87" s="18"/>
      <c r="K87" s="19"/>
      <c r="L87" s="19">
        <v>0.09</v>
      </c>
      <c r="M87" s="19"/>
      <c r="N87" s="19"/>
      <c r="O87" s="19"/>
      <c r="P87" s="18"/>
      <c r="Q87" s="19"/>
      <c r="R87" s="19">
        <v>0.09</v>
      </c>
      <c r="S87" s="19"/>
      <c r="T87" s="19"/>
      <c r="U87" s="19"/>
      <c r="V87" s="19"/>
      <c r="X87" s="15" t="s">
        <v>249</v>
      </c>
      <c r="Y87" s="15" t="s">
        <v>322</v>
      </c>
      <c r="Z87" s="15" t="s">
        <v>339</v>
      </c>
      <c r="AA87" s="15"/>
      <c r="AB87" s="15"/>
      <c r="AC87" s="15"/>
      <c r="AD87" s="15" t="s">
        <v>323</v>
      </c>
      <c r="AE87" s="18"/>
      <c r="AF87" s="19">
        <v>5</v>
      </c>
      <c r="AG87" s="19">
        <v>77.375500000000002</v>
      </c>
      <c r="AH87" s="19">
        <v>56.515212600730401</v>
      </c>
      <c r="AI87" s="19">
        <v>56.515212600730401</v>
      </c>
      <c r="AJ87" s="19">
        <v>56.515212600730401</v>
      </c>
      <c r="AK87" s="18"/>
      <c r="AL87" s="19">
        <v>5</v>
      </c>
      <c r="AM87" s="19">
        <v>77.375500000000002</v>
      </c>
      <c r="AN87" s="19">
        <v>58.990468066882002</v>
      </c>
      <c r="AO87" s="19">
        <v>58.990468066882002</v>
      </c>
      <c r="AP87" s="19">
        <v>58.990468066882002</v>
      </c>
      <c r="AR87" s="15" t="s">
        <v>249</v>
      </c>
      <c r="AS87" s="15" t="s">
        <v>369</v>
      </c>
      <c r="AT87" s="15"/>
      <c r="AU87" s="15"/>
      <c r="AV87" s="15" t="s">
        <v>447</v>
      </c>
      <c r="AW87" s="15"/>
      <c r="AX87" s="15"/>
      <c r="AY87" s="15"/>
      <c r="AZ87" s="18"/>
      <c r="BA87" s="18"/>
      <c r="BB87" s="19">
        <v>0.36530000000000001</v>
      </c>
      <c r="BC87" s="19">
        <v>0.26240000000000002</v>
      </c>
      <c r="BD87" s="19">
        <v>0.18840000000000001</v>
      </c>
      <c r="BE87" s="19">
        <v>0.18840000000000001</v>
      </c>
      <c r="BF87" s="19">
        <v>0.18840000000000001</v>
      </c>
      <c r="BG87" s="19">
        <v>0.18840000000000001</v>
      </c>
      <c r="BH87" s="19">
        <v>0.18840000000000001</v>
      </c>
      <c r="BI87" s="19">
        <v>0.18840000000000001</v>
      </c>
      <c r="BJ87" s="19">
        <v>0.18840000000000001</v>
      </c>
      <c r="BK87" s="18"/>
      <c r="BL87" s="18"/>
      <c r="BM87" s="19">
        <v>0.57220000000000004</v>
      </c>
      <c r="BN87" s="19">
        <v>0.64370000000000005</v>
      </c>
      <c r="BO87" s="19">
        <v>0.72399999999999998</v>
      </c>
      <c r="BP87" s="19">
        <v>0.77969999999999995</v>
      </c>
      <c r="BQ87" s="19">
        <v>0.8397</v>
      </c>
      <c r="BR87" s="19">
        <v>0.60299999999999998</v>
      </c>
      <c r="BS87" s="19">
        <v>0.43309999999999998</v>
      </c>
      <c r="BT87" s="19">
        <v>0.311</v>
      </c>
      <c r="BU87" s="19">
        <v>0.22339999999999999</v>
      </c>
    </row>
    <row r="88" spans="3:73" x14ac:dyDescent="0.45">
      <c r="C88" s="15" t="s">
        <v>249</v>
      </c>
      <c r="D88" s="15" t="s">
        <v>321</v>
      </c>
      <c r="E88" s="15" t="s">
        <v>265</v>
      </c>
      <c r="F88" s="15"/>
      <c r="G88" s="15"/>
      <c r="H88" s="15" t="s">
        <v>320</v>
      </c>
      <c r="I88" s="15"/>
      <c r="J88" s="18"/>
      <c r="K88" s="19"/>
      <c r="L88" s="19">
        <v>0.09</v>
      </c>
      <c r="M88" s="19"/>
      <c r="N88" s="19"/>
      <c r="O88" s="19"/>
      <c r="P88" s="18"/>
      <c r="Q88" s="19"/>
      <c r="R88" s="19">
        <v>0.09</v>
      </c>
      <c r="S88" s="19"/>
      <c r="T88" s="19"/>
      <c r="U88" s="19"/>
      <c r="V88" s="19"/>
      <c r="X88" s="15" t="s">
        <v>249</v>
      </c>
      <c r="Y88" s="15" t="s">
        <v>322</v>
      </c>
      <c r="Z88" s="15" t="s">
        <v>341</v>
      </c>
      <c r="AA88" s="15"/>
      <c r="AB88" s="15"/>
      <c r="AC88" s="15"/>
      <c r="AD88" s="15" t="s">
        <v>323</v>
      </c>
      <c r="AE88" s="18"/>
      <c r="AF88" s="19">
        <v>5</v>
      </c>
      <c r="AG88" s="19">
        <v>470</v>
      </c>
      <c r="AH88" s="19">
        <v>301</v>
      </c>
      <c r="AI88" s="19">
        <v>275</v>
      </c>
      <c r="AJ88" s="19">
        <v>275</v>
      </c>
      <c r="AK88" s="18"/>
      <c r="AL88" s="19">
        <v>5</v>
      </c>
      <c r="AM88" s="19">
        <v>501</v>
      </c>
      <c r="AN88" s="19">
        <v>317</v>
      </c>
      <c r="AO88" s="19">
        <v>286</v>
      </c>
      <c r="AP88" s="19">
        <v>286</v>
      </c>
      <c r="AR88" s="15" t="s">
        <v>249</v>
      </c>
      <c r="AS88" s="15" t="s">
        <v>369</v>
      </c>
      <c r="AT88" s="15"/>
      <c r="AU88" s="15"/>
      <c r="AV88" s="15" t="s">
        <v>448</v>
      </c>
      <c r="AW88" s="15"/>
      <c r="AX88" s="15"/>
      <c r="AY88" s="15"/>
      <c r="AZ88" s="18"/>
      <c r="BA88" s="18"/>
      <c r="BB88" s="19">
        <v>0.2407</v>
      </c>
      <c r="BC88" s="19">
        <v>0.1729</v>
      </c>
      <c r="BD88" s="19">
        <v>0.1241</v>
      </c>
      <c r="BE88" s="19">
        <v>0.1241</v>
      </c>
      <c r="BF88" s="19">
        <v>0.1241</v>
      </c>
      <c r="BG88" s="19">
        <v>0.1241</v>
      </c>
      <c r="BH88" s="19">
        <v>0.1241</v>
      </c>
      <c r="BI88" s="19">
        <v>0.1241</v>
      </c>
      <c r="BJ88" s="19">
        <v>0.1241</v>
      </c>
      <c r="BK88" s="18"/>
      <c r="BL88" s="18"/>
      <c r="BM88" s="19">
        <v>0.377</v>
      </c>
      <c r="BN88" s="19">
        <v>0.42409999999999998</v>
      </c>
      <c r="BO88" s="19">
        <v>0.47699999999999998</v>
      </c>
      <c r="BP88" s="19">
        <v>0.51370000000000005</v>
      </c>
      <c r="BQ88" s="19">
        <v>0.55320000000000003</v>
      </c>
      <c r="BR88" s="19">
        <v>0.39729999999999999</v>
      </c>
      <c r="BS88" s="19">
        <v>0.2853</v>
      </c>
      <c r="BT88" s="19">
        <v>0.2049</v>
      </c>
      <c r="BU88" s="19">
        <v>0.1472</v>
      </c>
    </row>
    <row r="89" spans="3:73" x14ac:dyDescent="0.45">
      <c r="C89" s="15" t="s">
        <v>249</v>
      </c>
      <c r="D89" s="15" t="s">
        <v>321</v>
      </c>
      <c r="E89" s="15" t="s">
        <v>266</v>
      </c>
      <c r="F89" s="15"/>
      <c r="G89" s="15"/>
      <c r="H89" s="15" t="s">
        <v>320</v>
      </c>
      <c r="I89" s="15"/>
      <c r="J89" s="18"/>
      <c r="K89" s="19"/>
      <c r="L89" s="19">
        <v>0.23</v>
      </c>
      <c r="M89" s="19"/>
      <c r="N89" s="19"/>
      <c r="O89" s="19"/>
      <c r="P89" s="18"/>
      <c r="Q89" s="19"/>
      <c r="R89" s="19">
        <v>0.23</v>
      </c>
      <c r="S89" s="19"/>
      <c r="T89" s="19"/>
      <c r="U89" s="19"/>
      <c r="V89" s="19"/>
      <c r="X89" s="15" t="s">
        <v>249</v>
      </c>
      <c r="Y89" s="15" t="s">
        <v>322</v>
      </c>
      <c r="Z89" s="15" t="s">
        <v>342</v>
      </c>
      <c r="AA89" s="15"/>
      <c r="AB89" s="15"/>
      <c r="AC89" s="15"/>
      <c r="AD89" s="15" t="s">
        <v>323</v>
      </c>
      <c r="AE89" s="18"/>
      <c r="AF89" s="19">
        <v>5</v>
      </c>
      <c r="AG89" s="19">
        <v>727</v>
      </c>
      <c r="AH89" s="19">
        <v>344</v>
      </c>
      <c r="AI89" s="19">
        <v>292</v>
      </c>
      <c r="AJ89" s="19">
        <v>292</v>
      </c>
      <c r="AK89" s="18"/>
      <c r="AL89" s="19">
        <v>5</v>
      </c>
      <c r="AM89" s="19">
        <v>727</v>
      </c>
      <c r="AN89" s="19">
        <v>361</v>
      </c>
      <c r="AO89" s="19">
        <v>307</v>
      </c>
      <c r="AP89" s="19">
        <v>307</v>
      </c>
      <c r="AR89" s="15" t="s">
        <v>249</v>
      </c>
      <c r="AS89" s="15" t="s">
        <v>369</v>
      </c>
      <c r="AT89" s="15"/>
      <c r="AU89" s="15"/>
      <c r="AV89" s="15" t="s">
        <v>449</v>
      </c>
      <c r="AW89" s="15"/>
      <c r="AX89" s="15"/>
      <c r="AY89" s="15"/>
      <c r="AZ89" s="18"/>
      <c r="BA89" s="18"/>
      <c r="BB89" s="19">
        <v>1.085</v>
      </c>
      <c r="BC89" s="19">
        <v>0.7792</v>
      </c>
      <c r="BD89" s="19">
        <v>0.55959999999999999</v>
      </c>
      <c r="BE89" s="19">
        <v>0.55959999999999999</v>
      </c>
      <c r="BF89" s="19">
        <v>0.55959999999999999</v>
      </c>
      <c r="BG89" s="19">
        <v>0.55959999999999999</v>
      </c>
      <c r="BH89" s="19">
        <v>0.55959999999999999</v>
      </c>
      <c r="BI89" s="19">
        <v>0.55959999999999999</v>
      </c>
      <c r="BJ89" s="19">
        <v>0.55959999999999999</v>
      </c>
      <c r="BK89" s="18"/>
      <c r="BL89" s="18"/>
      <c r="BM89" s="19">
        <v>1.6994</v>
      </c>
      <c r="BN89" s="19">
        <v>1.9116</v>
      </c>
      <c r="BO89" s="19">
        <v>2.1503000000000001</v>
      </c>
      <c r="BP89" s="19">
        <v>2.3155999999999999</v>
      </c>
      <c r="BQ89" s="19">
        <v>2.4935999999999998</v>
      </c>
      <c r="BR89" s="19">
        <v>1.7907999999999999</v>
      </c>
      <c r="BS89" s="19">
        <v>1.2861</v>
      </c>
      <c r="BT89" s="19">
        <v>0.92369999999999997</v>
      </c>
      <c r="BU89" s="19">
        <v>0.6633</v>
      </c>
    </row>
    <row r="90" spans="3:73" x14ac:dyDescent="0.45">
      <c r="C90" s="15" t="s">
        <v>249</v>
      </c>
      <c r="D90" s="15" t="s">
        <v>321</v>
      </c>
      <c r="E90" s="15" t="s">
        <v>267</v>
      </c>
      <c r="F90" s="15"/>
      <c r="G90" s="15"/>
      <c r="H90" s="15" t="s">
        <v>320</v>
      </c>
      <c r="I90" s="15"/>
      <c r="J90" s="18"/>
      <c r="K90" s="19"/>
      <c r="L90" s="19">
        <v>0.23</v>
      </c>
      <c r="M90" s="19"/>
      <c r="N90" s="19"/>
      <c r="O90" s="19"/>
      <c r="P90" s="18"/>
      <c r="Q90" s="19"/>
      <c r="R90" s="19">
        <v>0.23</v>
      </c>
      <c r="S90" s="19"/>
      <c r="T90" s="19"/>
      <c r="U90" s="19"/>
      <c r="V90" s="19"/>
      <c r="X90" s="15" t="s">
        <v>249</v>
      </c>
      <c r="Y90" s="15" t="s">
        <v>322</v>
      </c>
      <c r="Z90" s="15" t="s">
        <v>343</v>
      </c>
      <c r="AA90" s="15"/>
      <c r="AB90" s="15"/>
      <c r="AC90" s="15"/>
      <c r="AD90" s="15" t="s">
        <v>323</v>
      </c>
      <c r="AE90" s="18"/>
      <c r="AF90" s="19">
        <v>5</v>
      </c>
      <c r="AG90" s="19">
        <v>250</v>
      </c>
      <c r="AH90" s="19">
        <v>250</v>
      </c>
      <c r="AI90" s="19">
        <v>250</v>
      </c>
      <c r="AJ90" s="19">
        <v>250</v>
      </c>
      <c r="AK90" s="18"/>
      <c r="AL90" s="19">
        <v>5</v>
      </c>
      <c r="AM90" s="19">
        <v>250</v>
      </c>
      <c r="AN90" s="19">
        <v>250</v>
      </c>
      <c r="AO90" s="19">
        <v>250</v>
      </c>
      <c r="AP90" s="19">
        <v>250</v>
      </c>
      <c r="AR90" s="15" t="s">
        <v>249</v>
      </c>
      <c r="AS90" s="15" t="s">
        <v>369</v>
      </c>
      <c r="AT90" s="15"/>
      <c r="AU90" s="15"/>
      <c r="AV90" s="15" t="s">
        <v>450</v>
      </c>
      <c r="AW90" s="15"/>
      <c r="AX90" s="15"/>
      <c r="AY90" s="15"/>
      <c r="AZ90" s="18"/>
      <c r="BA90" s="18"/>
      <c r="BB90" s="19">
        <v>0.89956004292387304</v>
      </c>
      <c r="BC90" s="19">
        <v>0.646040718764466</v>
      </c>
      <c r="BD90" s="19">
        <v>0.46397278121449298</v>
      </c>
      <c r="BE90" s="19">
        <v>0.46397278121449298</v>
      </c>
      <c r="BF90" s="19">
        <v>0.46397278121449298</v>
      </c>
      <c r="BG90" s="19">
        <v>0.46397278121449298</v>
      </c>
      <c r="BH90" s="19">
        <v>0.46397278121449298</v>
      </c>
      <c r="BI90" s="19">
        <v>0.46397278121449298</v>
      </c>
      <c r="BJ90" s="19">
        <v>0.46397278121449298</v>
      </c>
      <c r="BK90" s="18"/>
      <c r="BL90" s="18"/>
      <c r="BM90" s="19">
        <v>5.3460000000000001</v>
      </c>
      <c r="BN90" s="19">
        <v>6.0134999999999996</v>
      </c>
      <c r="BO90" s="19">
        <v>6.7644000000000002</v>
      </c>
      <c r="BP90" s="19">
        <v>7.2845000000000004</v>
      </c>
      <c r="BQ90" s="19">
        <v>7.8445999999999998</v>
      </c>
      <c r="BR90" s="19">
        <v>5.6337000000000002</v>
      </c>
      <c r="BS90" s="19">
        <v>4.0460000000000003</v>
      </c>
      <c r="BT90" s="19">
        <v>2.9056999999999999</v>
      </c>
      <c r="BU90" s="19">
        <v>2.0868000000000002</v>
      </c>
    </row>
    <row r="91" spans="3:73" x14ac:dyDescent="0.45">
      <c r="C91" s="15" t="s">
        <v>249</v>
      </c>
      <c r="D91" s="15" t="s">
        <v>321</v>
      </c>
      <c r="E91" s="15" t="s">
        <v>268</v>
      </c>
      <c r="F91" s="15"/>
      <c r="G91" s="15"/>
      <c r="H91" s="15" t="s">
        <v>320</v>
      </c>
      <c r="I91" s="15"/>
      <c r="J91" s="18"/>
      <c r="K91" s="19"/>
      <c r="L91" s="19">
        <v>0.23</v>
      </c>
      <c r="M91" s="19"/>
      <c r="N91" s="19"/>
      <c r="O91" s="19"/>
      <c r="P91" s="18"/>
      <c r="Q91" s="19"/>
      <c r="R91" s="19">
        <v>0.23</v>
      </c>
      <c r="S91" s="19"/>
      <c r="T91" s="19"/>
      <c r="U91" s="19"/>
      <c r="V91" s="19"/>
      <c r="X91" s="15" t="s">
        <v>249</v>
      </c>
      <c r="Y91" s="15" t="s">
        <v>322</v>
      </c>
      <c r="Z91" s="15" t="s">
        <v>344</v>
      </c>
      <c r="AA91" s="15"/>
      <c r="AB91" s="15"/>
      <c r="AC91" s="15"/>
      <c r="AD91" s="15" t="s">
        <v>323</v>
      </c>
      <c r="AE91" s="18"/>
      <c r="AF91" s="19">
        <v>5</v>
      </c>
      <c r="AG91" s="19">
        <v>188</v>
      </c>
      <c r="AH91" s="19">
        <v>123</v>
      </c>
      <c r="AI91" s="19">
        <v>112</v>
      </c>
      <c r="AJ91" s="19">
        <v>112</v>
      </c>
      <c r="AK91" s="18"/>
      <c r="AL91" s="19">
        <v>5</v>
      </c>
      <c r="AM91" s="19">
        <v>198</v>
      </c>
      <c r="AN91" s="19">
        <v>127</v>
      </c>
      <c r="AO91" s="19">
        <v>116</v>
      </c>
      <c r="AP91" s="19">
        <v>116</v>
      </c>
      <c r="AR91" s="15" t="s">
        <v>249</v>
      </c>
      <c r="AS91" s="15" t="s">
        <v>369</v>
      </c>
      <c r="AT91" s="15"/>
      <c r="AU91" s="15"/>
      <c r="AV91" s="15" t="s">
        <v>451</v>
      </c>
      <c r="AW91" s="15"/>
      <c r="AX91" s="15"/>
      <c r="AY91" s="15"/>
      <c r="AZ91" s="18"/>
      <c r="BA91" s="18"/>
      <c r="BB91" s="19">
        <v>0.89215800000000001</v>
      </c>
      <c r="BC91" s="19">
        <v>0.91919099999999998</v>
      </c>
      <c r="BD91" s="19">
        <v>0.947044</v>
      </c>
      <c r="BE91" s="19">
        <v>1.019863</v>
      </c>
      <c r="BF91" s="19">
        <v>1.0982799999999999</v>
      </c>
      <c r="BG91" s="19">
        <v>1.200121</v>
      </c>
      <c r="BH91" s="19">
        <v>1.311404</v>
      </c>
      <c r="BI91" s="19">
        <v>1.4330069999999999</v>
      </c>
      <c r="BJ91" s="19">
        <v>1.565885</v>
      </c>
      <c r="BK91" s="18"/>
      <c r="BL91" s="18"/>
      <c r="BM91" s="19">
        <v>0.902929583848882</v>
      </c>
      <c r="BN91" s="19">
        <v>1.0156881877423101</v>
      </c>
      <c r="BO91" s="19">
        <v>1.1424836818444299</v>
      </c>
      <c r="BP91" s="19">
        <v>1.2303466691413001</v>
      </c>
      <c r="BQ91" s="19">
        <v>1.3248970428111899</v>
      </c>
      <c r="BR91" s="19">
        <v>1.3448929901839499</v>
      </c>
      <c r="BS91" s="19">
        <v>1.36515378454178</v>
      </c>
      <c r="BT91" s="19">
        <v>1.38574563763095</v>
      </c>
      <c r="BU91" s="19">
        <v>1.4066685494514599</v>
      </c>
    </row>
    <row r="92" spans="3:73" x14ac:dyDescent="0.45">
      <c r="C92" s="15" t="s">
        <v>249</v>
      </c>
      <c r="D92" s="15" t="s">
        <v>321</v>
      </c>
      <c r="E92" s="15" t="s">
        <v>269</v>
      </c>
      <c r="F92" s="15"/>
      <c r="G92" s="15"/>
      <c r="H92" s="15" t="s">
        <v>320</v>
      </c>
      <c r="I92" s="15"/>
      <c r="J92" s="18"/>
      <c r="K92" s="19"/>
      <c r="L92" s="19">
        <v>0.23</v>
      </c>
      <c r="M92" s="19"/>
      <c r="N92" s="19"/>
      <c r="O92" s="19"/>
      <c r="P92" s="18"/>
      <c r="Q92" s="19"/>
      <c r="R92" s="19">
        <v>0.23</v>
      </c>
      <c r="S92" s="19"/>
      <c r="T92" s="19"/>
      <c r="U92" s="19"/>
      <c r="V92" s="19"/>
      <c r="X92" s="15" t="s">
        <v>249</v>
      </c>
      <c r="Y92" s="15" t="s">
        <v>322</v>
      </c>
      <c r="Z92" s="15" t="s">
        <v>345</v>
      </c>
      <c r="AA92" s="15"/>
      <c r="AB92" s="15"/>
      <c r="AC92" s="15"/>
      <c r="AD92" s="15" t="s">
        <v>323</v>
      </c>
      <c r="AE92" s="18"/>
      <c r="AF92" s="19">
        <v>5</v>
      </c>
      <c r="AG92" s="19">
        <v>523</v>
      </c>
      <c r="AH92" s="19">
        <v>232</v>
      </c>
      <c r="AI92" s="19">
        <v>195</v>
      </c>
      <c r="AJ92" s="19">
        <v>195</v>
      </c>
      <c r="AK92" s="18"/>
      <c r="AL92" s="19">
        <v>5</v>
      </c>
      <c r="AM92" s="19">
        <v>523</v>
      </c>
      <c r="AN92" s="19">
        <v>244</v>
      </c>
      <c r="AO92" s="19">
        <v>205</v>
      </c>
      <c r="AP92" s="19">
        <v>205</v>
      </c>
      <c r="AR92" s="15" t="s">
        <v>249</v>
      </c>
      <c r="AS92" s="15" t="s">
        <v>369</v>
      </c>
      <c r="AT92" s="15"/>
      <c r="AU92" s="15"/>
      <c r="AV92" s="15" t="s">
        <v>452</v>
      </c>
      <c r="AW92" s="15"/>
      <c r="AX92" s="15"/>
      <c r="AY92" s="15"/>
      <c r="AZ92" s="18"/>
      <c r="BA92" s="18"/>
      <c r="BB92" s="19">
        <v>0.54400000000000004</v>
      </c>
      <c r="BC92" s="19">
        <v>0.56040000000000001</v>
      </c>
      <c r="BD92" s="19">
        <v>0.57740000000000002</v>
      </c>
      <c r="BE92" s="19">
        <v>0.62180000000000002</v>
      </c>
      <c r="BF92" s="19">
        <v>0.66959999999999997</v>
      </c>
      <c r="BG92" s="19">
        <v>0.73170000000000002</v>
      </c>
      <c r="BH92" s="19">
        <v>0.79959999999999998</v>
      </c>
      <c r="BI92" s="19">
        <v>0.87370000000000003</v>
      </c>
      <c r="BJ92" s="19">
        <v>0.95469999999999999</v>
      </c>
      <c r="BK92" s="18"/>
      <c r="BL92" s="18"/>
      <c r="BM92" s="19">
        <v>0.59389999999999998</v>
      </c>
      <c r="BN92" s="19">
        <v>0.66800000000000004</v>
      </c>
      <c r="BO92" s="19">
        <v>0.75149999999999995</v>
      </c>
      <c r="BP92" s="19">
        <v>0.80920000000000003</v>
      </c>
      <c r="BQ92" s="19">
        <v>0.87150000000000005</v>
      </c>
      <c r="BR92" s="19">
        <v>0.88460000000000005</v>
      </c>
      <c r="BS92" s="19">
        <v>0.89790000000000003</v>
      </c>
      <c r="BT92" s="19">
        <v>0.91149999999999998</v>
      </c>
      <c r="BU92" s="19">
        <v>0.92520000000000002</v>
      </c>
    </row>
    <row r="93" spans="3:73" x14ac:dyDescent="0.45">
      <c r="C93" s="15" t="s">
        <v>249</v>
      </c>
      <c r="D93" s="15" t="s">
        <v>321</v>
      </c>
      <c r="E93" s="15" t="s">
        <v>270</v>
      </c>
      <c r="F93" s="15"/>
      <c r="G93" s="15"/>
      <c r="H93" s="15" t="s">
        <v>320</v>
      </c>
      <c r="I93" s="15"/>
      <c r="J93" s="18"/>
      <c r="K93" s="19"/>
      <c r="L93" s="19">
        <v>0.23</v>
      </c>
      <c r="M93" s="19"/>
      <c r="N93" s="19"/>
      <c r="O93" s="19"/>
      <c r="P93" s="18"/>
      <c r="Q93" s="19"/>
      <c r="R93" s="19">
        <v>0.23</v>
      </c>
      <c r="S93" s="19"/>
      <c r="T93" s="19"/>
      <c r="U93" s="19"/>
      <c r="V93" s="19"/>
      <c r="X93" s="15" t="s">
        <v>249</v>
      </c>
      <c r="Y93" s="15" t="s">
        <v>322</v>
      </c>
      <c r="Z93" s="15" t="s">
        <v>346</v>
      </c>
      <c r="AA93" s="15"/>
      <c r="AB93" s="15"/>
      <c r="AC93" s="15"/>
      <c r="AD93" s="15" t="s">
        <v>323</v>
      </c>
      <c r="AE93" s="18"/>
      <c r="AF93" s="19">
        <v>5</v>
      </c>
      <c r="AG93" s="19">
        <v>122</v>
      </c>
      <c r="AH93" s="19">
        <v>122</v>
      </c>
      <c r="AI93" s="19">
        <v>122</v>
      </c>
      <c r="AJ93" s="19">
        <v>122</v>
      </c>
      <c r="AK93" s="18"/>
      <c r="AL93" s="19">
        <v>5</v>
      </c>
      <c r="AM93" s="19">
        <v>122</v>
      </c>
      <c r="AN93" s="19">
        <v>122</v>
      </c>
      <c r="AO93" s="19">
        <v>122</v>
      </c>
      <c r="AP93" s="19">
        <v>122</v>
      </c>
      <c r="AR93" s="15" t="s">
        <v>249</v>
      </c>
      <c r="AS93" s="15" t="s">
        <v>369</v>
      </c>
      <c r="AT93" s="15"/>
      <c r="AU93" s="15"/>
      <c r="AV93" s="15" t="s">
        <v>453</v>
      </c>
      <c r="AW93" s="15"/>
      <c r="AX93" s="15"/>
      <c r="AY93" s="15"/>
      <c r="AZ93" s="18"/>
      <c r="BA93" s="18"/>
      <c r="BB93" s="19">
        <v>0.15819163720000001</v>
      </c>
      <c r="BC93" s="19">
        <v>0.15683866120000001</v>
      </c>
      <c r="BD93" s="19">
        <v>0.1556965716</v>
      </c>
      <c r="BE93" s="19">
        <v>0.1540326652</v>
      </c>
      <c r="BF93" s="19">
        <v>0.15186361600000001</v>
      </c>
      <c r="BG93" s="19">
        <v>0.14972521520000001</v>
      </c>
      <c r="BH93" s="19">
        <v>0.1476168276</v>
      </c>
      <c r="BI93" s="19">
        <v>0.14553813560000001</v>
      </c>
      <c r="BJ93" s="19">
        <v>0.1434886628</v>
      </c>
      <c r="BK93" s="18"/>
      <c r="BL93" s="18"/>
      <c r="BM93" s="19">
        <v>0.15794279759999999</v>
      </c>
      <c r="BN93" s="19">
        <v>0.158755536</v>
      </c>
      <c r="BO93" s="19">
        <v>0.15457274400000001</v>
      </c>
      <c r="BP93" s="19">
        <v>0.150499524</v>
      </c>
      <c r="BQ93" s="19">
        <v>0.14837001599999999</v>
      </c>
      <c r="BR93" s="19">
        <v>0.14809529199999999</v>
      </c>
      <c r="BS93" s="19">
        <v>0.14782215600000001</v>
      </c>
      <c r="BT93" s="19">
        <v>0.147550608</v>
      </c>
      <c r="BU93" s="19">
        <v>0.14727747199999999</v>
      </c>
    </row>
    <row r="94" spans="3:73" x14ac:dyDescent="0.45">
      <c r="C94" s="15" t="s">
        <v>249</v>
      </c>
      <c r="D94" s="15" t="s">
        <v>321</v>
      </c>
      <c r="E94" s="15" t="s">
        <v>271</v>
      </c>
      <c r="F94" s="15"/>
      <c r="G94" s="15"/>
      <c r="H94" s="15" t="s">
        <v>320</v>
      </c>
      <c r="I94" s="15"/>
      <c r="J94" s="18"/>
      <c r="K94" s="19"/>
      <c r="L94" s="19">
        <v>0.23</v>
      </c>
      <c r="M94" s="19"/>
      <c r="N94" s="19"/>
      <c r="O94" s="19"/>
      <c r="P94" s="18"/>
      <c r="Q94" s="19"/>
      <c r="R94" s="19">
        <v>0.23</v>
      </c>
      <c r="S94" s="19"/>
      <c r="T94" s="19"/>
      <c r="U94" s="19"/>
      <c r="V94" s="19"/>
      <c r="X94" s="15" t="s">
        <v>249</v>
      </c>
      <c r="Y94" s="15" t="s">
        <v>322</v>
      </c>
      <c r="Z94" s="15" t="s">
        <v>347</v>
      </c>
      <c r="AA94" s="15"/>
      <c r="AB94" s="15"/>
      <c r="AC94" s="15"/>
      <c r="AD94" s="15" t="s">
        <v>323</v>
      </c>
      <c r="AE94" s="18"/>
      <c r="AF94" s="19">
        <v>5</v>
      </c>
      <c r="AG94" s="19">
        <v>875</v>
      </c>
      <c r="AH94" s="19">
        <v>501</v>
      </c>
      <c r="AI94" s="19">
        <v>430</v>
      </c>
      <c r="AJ94" s="19">
        <v>430</v>
      </c>
      <c r="AK94" s="18"/>
      <c r="AL94" s="19">
        <v>5</v>
      </c>
      <c r="AM94" s="19">
        <v>955</v>
      </c>
      <c r="AN94" s="19">
        <v>538</v>
      </c>
      <c r="AO94" s="19">
        <v>455</v>
      </c>
      <c r="AP94" s="19">
        <v>455</v>
      </c>
      <c r="AR94" s="15" t="s">
        <v>249</v>
      </c>
      <c r="AS94" s="15" t="s">
        <v>369</v>
      </c>
      <c r="AT94" s="15"/>
      <c r="AU94" s="15"/>
      <c r="AV94" s="15" t="s">
        <v>454</v>
      </c>
      <c r="AW94" s="15"/>
      <c r="AX94" s="15"/>
      <c r="AY94" s="15"/>
      <c r="AZ94" s="18"/>
      <c r="BA94" s="18"/>
      <c r="BB94" s="19">
        <v>0.1180460265</v>
      </c>
      <c r="BC94" s="19">
        <v>0.1170364065</v>
      </c>
      <c r="BD94" s="19">
        <v>0.1161841545</v>
      </c>
      <c r="BE94" s="19">
        <v>0.1149425115</v>
      </c>
      <c r="BF94" s="19">
        <v>0.11332391999999999</v>
      </c>
      <c r="BG94" s="19">
        <v>0.111728199</v>
      </c>
      <c r="BH94" s="19">
        <v>0.1101548745</v>
      </c>
      <c r="BI94" s="19">
        <v>0.10860370950000001</v>
      </c>
      <c r="BJ94" s="19">
        <v>0.1070743485</v>
      </c>
      <c r="BK94" s="18"/>
      <c r="BL94" s="18"/>
      <c r="BM94" s="19">
        <v>0.117860337</v>
      </c>
      <c r="BN94" s="19">
        <v>0.11846682</v>
      </c>
      <c r="BO94" s="19">
        <v>0.11534553</v>
      </c>
      <c r="BP94" s="19">
        <v>0.112306005</v>
      </c>
      <c r="BQ94" s="19">
        <v>0.11071692</v>
      </c>
      <c r="BR94" s="19">
        <v>0.110511915</v>
      </c>
      <c r="BS94" s="19">
        <v>0.11030809499999999</v>
      </c>
      <c r="BT94" s="19">
        <v>0.11010546</v>
      </c>
      <c r="BU94" s="19">
        <v>0.10990163999999999</v>
      </c>
    </row>
    <row r="95" spans="3:73" x14ac:dyDescent="0.45">
      <c r="C95" s="15" t="s">
        <v>249</v>
      </c>
      <c r="D95" s="15" t="s">
        <v>321</v>
      </c>
      <c r="E95" s="15" t="s">
        <v>272</v>
      </c>
      <c r="F95" s="15"/>
      <c r="G95" s="15"/>
      <c r="H95" s="15" t="s">
        <v>320</v>
      </c>
      <c r="I95" s="15"/>
      <c r="J95" s="18"/>
      <c r="K95" s="19"/>
      <c r="L95" s="19">
        <v>0.23</v>
      </c>
      <c r="M95" s="19"/>
      <c r="N95" s="19"/>
      <c r="O95" s="19"/>
      <c r="P95" s="18"/>
      <c r="Q95" s="19"/>
      <c r="R95" s="19">
        <v>0.23</v>
      </c>
      <c r="S95" s="19"/>
      <c r="T95" s="19"/>
      <c r="U95" s="19"/>
      <c r="V95" s="19"/>
      <c r="X95" s="15" t="s">
        <v>249</v>
      </c>
      <c r="Y95" s="15" t="s">
        <v>322</v>
      </c>
      <c r="Z95" s="15" t="s">
        <v>348</v>
      </c>
      <c r="AA95" s="15"/>
      <c r="AB95" s="15"/>
      <c r="AC95" s="15"/>
      <c r="AD95" s="15" t="s">
        <v>323</v>
      </c>
      <c r="AE95" s="18"/>
      <c r="AF95" s="19">
        <v>5</v>
      </c>
      <c r="AG95" s="19">
        <v>817</v>
      </c>
      <c r="AH95" s="19">
        <v>384</v>
      </c>
      <c r="AI95" s="19">
        <v>323</v>
      </c>
      <c r="AJ95" s="19">
        <v>323</v>
      </c>
      <c r="AK95" s="18"/>
      <c r="AL95" s="19">
        <v>5</v>
      </c>
      <c r="AM95" s="19">
        <v>817</v>
      </c>
      <c r="AN95" s="19">
        <v>404</v>
      </c>
      <c r="AO95" s="19">
        <v>339</v>
      </c>
      <c r="AP95" s="19">
        <v>339</v>
      </c>
      <c r="AR95" s="15" t="s">
        <v>249</v>
      </c>
      <c r="AS95" s="15" t="s">
        <v>369</v>
      </c>
      <c r="AT95" s="15"/>
      <c r="AU95" s="15"/>
      <c r="AV95" s="15" t="s">
        <v>455</v>
      </c>
      <c r="AW95" s="15"/>
      <c r="AX95" s="15"/>
      <c r="AY95" s="15"/>
      <c r="AZ95" s="18"/>
      <c r="BA95" s="18"/>
      <c r="BB95" s="19">
        <v>6.5761100366000003</v>
      </c>
      <c r="BC95" s="19">
        <v>6.5198661085999996</v>
      </c>
      <c r="BD95" s="19">
        <v>6.4723888397999998</v>
      </c>
      <c r="BE95" s="19">
        <v>6.4032193705999996</v>
      </c>
      <c r="BF95" s="19">
        <v>6.3130508479999996</v>
      </c>
      <c r="BG95" s="19">
        <v>6.2241563955999997</v>
      </c>
      <c r="BH95" s="19">
        <v>6.1365096077999999</v>
      </c>
      <c r="BI95" s="19">
        <v>6.0500972818000003</v>
      </c>
      <c r="BJ95" s="19">
        <v>5.9648996134000001</v>
      </c>
      <c r="BK95" s="18"/>
      <c r="BL95" s="18"/>
      <c r="BM95" s="19">
        <v>6.5657656427999997</v>
      </c>
      <c r="BN95" s="19">
        <v>6.5995516079999996</v>
      </c>
      <c r="BO95" s="19">
        <v>6.4256707320000004</v>
      </c>
      <c r="BP95" s="19">
        <v>6.256344822</v>
      </c>
      <c r="BQ95" s="19">
        <v>6.1678200480000003</v>
      </c>
      <c r="BR95" s="19">
        <v>6.1563996259999998</v>
      </c>
      <c r="BS95" s="19">
        <v>6.1450452179999999</v>
      </c>
      <c r="BT95" s="19">
        <v>6.1337568239999998</v>
      </c>
      <c r="BU95" s="19">
        <v>6.1224024159999999</v>
      </c>
    </row>
    <row r="96" spans="3:73" x14ac:dyDescent="0.45">
      <c r="C96" s="15" t="s">
        <v>249</v>
      </c>
      <c r="D96" s="15" t="s">
        <v>321</v>
      </c>
      <c r="E96" s="15" t="s">
        <v>273</v>
      </c>
      <c r="F96" s="15"/>
      <c r="G96" s="15"/>
      <c r="H96" s="15" t="s">
        <v>320</v>
      </c>
      <c r="I96" s="15"/>
      <c r="J96" s="18"/>
      <c r="K96" s="19"/>
      <c r="L96" s="19">
        <v>1</v>
      </c>
      <c r="M96" s="19"/>
      <c r="N96" s="19"/>
      <c r="O96" s="19"/>
      <c r="P96" s="18"/>
      <c r="Q96" s="19"/>
      <c r="R96" s="19">
        <v>1</v>
      </c>
      <c r="S96" s="19"/>
      <c r="T96" s="19"/>
      <c r="U96" s="19"/>
      <c r="V96" s="19"/>
      <c r="X96" s="15" t="s">
        <v>249</v>
      </c>
      <c r="Y96" s="15" t="s">
        <v>322</v>
      </c>
      <c r="Z96" s="15" t="s">
        <v>349</v>
      </c>
      <c r="AA96" s="15"/>
      <c r="AB96" s="15"/>
      <c r="AC96" s="15"/>
      <c r="AD96" s="15" t="s">
        <v>323</v>
      </c>
      <c r="AE96" s="18"/>
      <c r="AF96" s="19">
        <v>5</v>
      </c>
      <c r="AG96" s="19">
        <v>350</v>
      </c>
      <c r="AH96" s="19">
        <v>350</v>
      </c>
      <c r="AI96" s="19">
        <v>350</v>
      </c>
      <c r="AJ96" s="19">
        <v>350</v>
      </c>
      <c r="AK96" s="18"/>
      <c r="AL96" s="19">
        <v>5</v>
      </c>
      <c r="AM96" s="19">
        <v>350</v>
      </c>
      <c r="AN96" s="19">
        <v>350</v>
      </c>
      <c r="AO96" s="19">
        <v>350</v>
      </c>
      <c r="AP96" s="19">
        <v>350</v>
      </c>
      <c r="AR96" s="15" t="s">
        <v>249</v>
      </c>
      <c r="AS96" s="15" t="s">
        <v>369</v>
      </c>
      <c r="AT96" s="15"/>
      <c r="AU96" s="15"/>
      <c r="AV96" s="15" t="s">
        <v>456</v>
      </c>
      <c r="AW96" s="15"/>
      <c r="AX96" s="15"/>
      <c r="AY96" s="15"/>
      <c r="AZ96" s="18"/>
      <c r="BA96" s="18"/>
      <c r="BB96" s="19">
        <v>36.299701041699997</v>
      </c>
      <c r="BC96" s="19">
        <v>35.989238205699998</v>
      </c>
      <c r="BD96" s="19">
        <v>35.727166760099998</v>
      </c>
      <c r="BE96" s="19">
        <v>35.345355774700003</v>
      </c>
      <c r="BF96" s="19">
        <v>34.847631376000002</v>
      </c>
      <c r="BG96" s="19">
        <v>34.3569397622</v>
      </c>
      <c r="BH96" s="19">
        <v>33.8731351761</v>
      </c>
      <c r="BI96" s="19">
        <v>33.396144739100002</v>
      </c>
      <c r="BJ96" s="19">
        <v>32.925859133300001</v>
      </c>
      <c r="BK96" s="18"/>
      <c r="BL96" s="18"/>
      <c r="BM96" s="19">
        <v>36.242600658599997</v>
      </c>
      <c r="BN96" s="19">
        <v>36.429096995999998</v>
      </c>
      <c r="BO96" s="19">
        <v>35.469285833999997</v>
      </c>
      <c r="BP96" s="19">
        <v>34.534617789000002</v>
      </c>
      <c r="BQ96" s="19">
        <v>34.045966776</v>
      </c>
      <c r="BR96" s="19">
        <v>33.982926786999997</v>
      </c>
      <c r="BS96" s="19">
        <v>33.920251190999998</v>
      </c>
      <c r="BT96" s="19">
        <v>33.857939987999998</v>
      </c>
      <c r="BU96" s="19">
        <v>33.795264392</v>
      </c>
    </row>
    <row r="97" spans="3:73" x14ac:dyDescent="0.45">
      <c r="C97" s="15" t="s">
        <v>249</v>
      </c>
      <c r="D97" s="15" t="s">
        <v>321</v>
      </c>
      <c r="E97" s="15" t="s">
        <v>274</v>
      </c>
      <c r="F97" s="15"/>
      <c r="G97" s="15"/>
      <c r="H97" s="15" t="s">
        <v>320</v>
      </c>
      <c r="I97" s="15"/>
      <c r="J97" s="18"/>
      <c r="K97" s="19"/>
      <c r="L97" s="19">
        <v>1</v>
      </c>
      <c r="M97" s="19"/>
      <c r="N97" s="19"/>
      <c r="O97" s="19"/>
      <c r="P97" s="18"/>
      <c r="Q97" s="19"/>
      <c r="R97" s="19">
        <v>1</v>
      </c>
      <c r="S97" s="19"/>
      <c r="T97" s="19"/>
      <c r="U97" s="19"/>
      <c r="V97" s="19"/>
      <c r="X97" s="15" t="s">
        <v>249</v>
      </c>
      <c r="Y97" s="15" t="s">
        <v>322</v>
      </c>
      <c r="Z97" s="15" t="s">
        <v>350</v>
      </c>
      <c r="AA97" s="15"/>
      <c r="AB97" s="15"/>
      <c r="AC97" s="15"/>
      <c r="AD97" s="15" t="s">
        <v>323</v>
      </c>
      <c r="AE97" s="18"/>
      <c r="AF97" s="19">
        <v>5</v>
      </c>
      <c r="AG97" s="19">
        <v>725.46645000000001</v>
      </c>
      <c r="AH97" s="19">
        <v>448.43493999999998</v>
      </c>
      <c r="AI97" s="19">
        <v>448.43493999999998</v>
      </c>
      <c r="AJ97" s="19">
        <v>448.43493999999998</v>
      </c>
      <c r="AK97" s="18"/>
      <c r="AL97" s="19">
        <v>5</v>
      </c>
      <c r="AM97" s="19">
        <v>725.46645000000001</v>
      </c>
      <c r="AN97" s="19">
        <v>452.37032799999997</v>
      </c>
      <c r="AO97" s="19">
        <v>452.37032799999997</v>
      </c>
      <c r="AP97" s="19">
        <v>452.37032799999997</v>
      </c>
      <c r="AR97" s="15" t="s">
        <v>249</v>
      </c>
      <c r="AS97" s="15" t="s">
        <v>369</v>
      </c>
      <c r="AT97" s="15"/>
      <c r="AU97" s="15"/>
      <c r="AV97" s="15" t="s">
        <v>457</v>
      </c>
      <c r="AW97" s="15"/>
      <c r="AX97" s="15"/>
      <c r="AY97" s="15"/>
      <c r="AZ97" s="18"/>
      <c r="BA97" s="18"/>
      <c r="BB97" s="19">
        <v>1.7583379019000001</v>
      </c>
      <c r="BC97" s="19">
        <v>1.7432992499</v>
      </c>
      <c r="BD97" s="19">
        <v>1.7306046506999999</v>
      </c>
      <c r="BE97" s="19">
        <v>1.7121099329</v>
      </c>
      <c r="BF97" s="19">
        <v>1.6880004319999999</v>
      </c>
      <c r="BG97" s="19">
        <v>1.6642315954</v>
      </c>
      <c r="BH97" s="19">
        <v>1.6407963627</v>
      </c>
      <c r="BI97" s="19">
        <v>1.6176912037</v>
      </c>
      <c r="BJ97" s="19">
        <v>1.5949108231</v>
      </c>
      <c r="BK97" s="18"/>
      <c r="BL97" s="18"/>
      <c r="BM97" s="19">
        <v>1.7555719902</v>
      </c>
      <c r="BN97" s="19">
        <v>1.7646057719999999</v>
      </c>
      <c r="BO97" s="19">
        <v>1.718113038</v>
      </c>
      <c r="BP97" s="19">
        <v>1.6728382230000001</v>
      </c>
      <c r="BQ97" s="19">
        <v>1.6491682320000001</v>
      </c>
      <c r="BR97" s="19">
        <v>1.6461146090000001</v>
      </c>
      <c r="BS97" s="19">
        <v>1.6430786369999999</v>
      </c>
      <c r="BT97" s="19">
        <v>1.640060316</v>
      </c>
      <c r="BU97" s="19">
        <v>1.6370243440000001</v>
      </c>
    </row>
    <row r="98" spans="3:73" x14ac:dyDescent="0.45">
      <c r="C98" s="15" t="s">
        <v>249</v>
      </c>
      <c r="D98" s="15" t="s">
        <v>321</v>
      </c>
      <c r="E98" s="15" t="s">
        <v>275</v>
      </c>
      <c r="F98" s="15"/>
      <c r="G98" s="15"/>
      <c r="H98" s="15" t="s">
        <v>320</v>
      </c>
      <c r="I98" s="15"/>
      <c r="J98" s="18"/>
      <c r="K98" s="19"/>
      <c r="L98" s="19">
        <v>0.23</v>
      </c>
      <c r="M98" s="19"/>
      <c r="N98" s="19"/>
      <c r="O98" s="19"/>
      <c r="P98" s="18"/>
      <c r="Q98" s="19"/>
      <c r="R98" s="19">
        <v>0.23</v>
      </c>
      <c r="S98" s="19"/>
      <c r="T98" s="19"/>
      <c r="U98" s="19"/>
      <c r="V98" s="19"/>
      <c r="X98" s="15" t="s">
        <v>249</v>
      </c>
      <c r="Y98" s="15" t="s">
        <v>322</v>
      </c>
      <c r="Z98" s="15" t="s">
        <v>351</v>
      </c>
      <c r="AA98" s="15"/>
      <c r="AB98" s="15"/>
      <c r="AC98" s="15"/>
      <c r="AD98" s="15" t="s">
        <v>323</v>
      </c>
      <c r="AE98" s="18"/>
      <c r="AF98" s="19">
        <v>5</v>
      </c>
      <c r="AG98" s="19">
        <v>683.90382209999996</v>
      </c>
      <c r="AH98" s="19">
        <v>433.21397739999998</v>
      </c>
      <c r="AI98" s="19">
        <v>430.66590326747001</v>
      </c>
      <c r="AJ98" s="19">
        <v>428.11782913494</v>
      </c>
      <c r="AK98" s="18"/>
      <c r="AL98" s="19">
        <v>5</v>
      </c>
      <c r="AM98" s="19">
        <v>683.90382209999996</v>
      </c>
      <c r="AN98" s="19">
        <v>434.56642060000001</v>
      </c>
      <c r="AO98" s="19">
        <v>432.01834646747</v>
      </c>
      <c r="AP98" s="19">
        <v>429.47027233493998</v>
      </c>
      <c r="AR98" s="15" t="s">
        <v>249</v>
      </c>
      <c r="AS98" s="15" t="s">
        <v>369</v>
      </c>
      <c r="AT98" s="15"/>
      <c r="AU98" s="15"/>
      <c r="AV98" s="15" t="s">
        <v>458</v>
      </c>
      <c r="AW98" s="15"/>
      <c r="AX98" s="15"/>
      <c r="AY98" s="15"/>
      <c r="AZ98" s="18"/>
      <c r="BA98" s="18"/>
      <c r="BB98" s="19">
        <v>0.69193898740000004</v>
      </c>
      <c r="BC98" s="19">
        <v>0.68602099540000006</v>
      </c>
      <c r="BD98" s="19">
        <v>0.6810254322</v>
      </c>
      <c r="BE98" s="19">
        <v>0.67374741339999999</v>
      </c>
      <c r="BF98" s="19">
        <v>0.66425987200000003</v>
      </c>
      <c r="BG98" s="19">
        <v>0.65490638840000004</v>
      </c>
      <c r="BH98" s="19">
        <v>0.64568418419999996</v>
      </c>
      <c r="BI98" s="19">
        <v>0.63659187019999997</v>
      </c>
      <c r="BJ98" s="19">
        <v>0.62762736259999996</v>
      </c>
      <c r="BK98" s="18"/>
      <c r="BL98" s="18"/>
      <c r="BM98" s="19">
        <v>0.6908505492</v>
      </c>
      <c r="BN98" s="19">
        <v>0.694405512</v>
      </c>
      <c r="BO98" s="19">
        <v>0.67610974800000001</v>
      </c>
      <c r="BP98" s="19">
        <v>0.65829325800000005</v>
      </c>
      <c r="BQ98" s="19">
        <v>0.64897867200000003</v>
      </c>
      <c r="BR98" s="19">
        <v>0.64777701399999998</v>
      </c>
      <c r="BS98" s="19">
        <v>0.646582302</v>
      </c>
      <c r="BT98" s="19">
        <v>0.64539453599999996</v>
      </c>
      <c r="BU98" s="19">
        <v>0.64419982399999998</v>
      </c>
    </row>
    <row r="99" spans="3:73" x14ac:dyDescent="0.45">
      <c r="C99" s="15" t="s">
        <v>249</v>
      </c>
      <c r="D99" s="15" t="s">
        <v>321</v>
      </c>
      <c r="E99" s="15" t="s">
        <v>276</v>
      </c>
      <c r="F99" s="15"/>
      <c r="G99" s="15"/>
      <c r="H99" s="15" t="s">
        <v>320</v>
      </c>
      <c r="I99" s="15"/>
      <c r="J99" s="18"/>
      <c r="K99" s="19"/>
      <c r="L99" s="19">
        <v>1</v>
      </c>
      <c r="M99" s="19"/>
      <c r="N99" s="19"/>
      <c r="O99" s="19"/>
      <c r="P99" s="18"/>
      <c r="Q99" s="19"/>
      <c r="R99" s="19">
        <v>1</v>
      </c>
      <c r="S99" s="19"/>
      <c r="T99" s="19"/>
      <c r="U99" s="19"/>
      <c r="V99" s="19"/>
      <c r="X99" s="15" t="s">
        <v>249</v>
      </c>
      <c r="Y99" s="15" t="s">
        <v>322</v>
      </c>
      <c r="Z99" s="15" t="s">
        <v>352</v>
      </c>
      <c r="AA99" s="15"/>
      <c r="AB99" s="15"/>
      <c r="AC99" s="15"/>
      <c r="AD99" s="15" t="s">
        <v>323</v>
      </c>
      <c r="AE99" s="18"/>
      <c r="AF99" s="19">
        <v>5</v>
      </c>
      <c r="AG99" s="19">
        <v>437</v>
      </c>
      <c r="AH99" s="19">
        <v>437</v>
      </c>
      <c r="AI99" s="19">
        <v>437</v>
      </c>
      <c r="AJ99" s="19">
        <v>437</v>
      </c>
      <c r="AK99" s="18"/>
      <c r="AL99" s="19">
        <v>5</v>
      </c>
      <c r="AM99" s="19">
        <v>437</v>
      </c>
      <c r="AN99" s="19">
        <v>437</v>
      </c>
      <c r="AO99" s="19">
        <v>437</v>
      </c>
      <c r="AP99" s="19">
        <v>437</v>
      </c>
      <c r="AR99" s="15" t="s">
        <v>249</v>
      </c>
      <c r="AS99" s="15" t="s">
        <v>369</v>
      </c>
      <c r="AT99" s="15"/>
      <c r="AU99" s="15"/>
      <c r="AV99" s="15" t="s">
        <v>459</v>
      </c>
      <c r="AW99" s="15"/>
      <c r="AX99" s="15"/>
      <c r="AY99" s="15"/>
      <c r="AZ99" s="18"/>
      <c r="BA99" s="18"/>
      <c r="BB99" s="19">
        <v>0.46531053989999999</v>
      </c>
      <c r="BC99" s="19">
        <v>0.46133084790000001</v>
      </c>
      <c r="BD99" s="19">
        <v>0.4579714647</v>
      </c>
      <c r="BE99" s="19">
        <v>0.45307719089999998</v>
      </c>
      <c r="BF99" s="19">
        <v>0.44669707199999997</v>
      </c>
      <c r="BG99" s="19">
        <v>0.4404071034</v>
      </c>
      <c r="BH99" s="19">
        <v>0.43420541670000001</v>
      </c>
      <c r="BI99" s="19">
        <v>0.42809107769999999</v>
      </c>
      <c r="BJ99" s="19">
        <v>0.4220626851</v>
      </c>
      <c r="BK99" s="18"/>
      <c r="BL99" s="18"/>
      <c r="BM99" s="19">
        <v>0.46457859419999997</v>
      </c>
      <c r="BN99" s="19">
        <v>0.46696921200000002</v>
      </c>
      <c r="BO99" s="19">
        <v>0.45466579800000001</v>
      </c>
      <c r="BP99" s="19">
        <v>0.44268468300000002</v>
      </c>
      <c r="BQ99" s="19">
        <v>0.43642087200000002</v>
      </c>
      <c r="BR99" s="19">
        <v>0.435612789</v>
      </c>
      <c r="BS99" s="19">
        <v>0.434809377</v>
      </c>
      <c r="BT99" s="19">
        <v>0.43401063600000001</v>
      </c>
      <c r="BU99" s="19">
        <v>0.433207224</v>
      </c>
    </row>
    <row r="100" spans="3:73" x14ac:dyDescent="0.45">
      <c r="C100" s="15" t="s">
        <v>249</v>
      </c>
      <c r="D100" s="15" t="s">
        <v>321</v>
      </c>
      <c r="E100" s="15" t="s">
        <v>277</v>
      </c>
      <c r="F100" s="15"/>
      <c r="G100" s="15"/>
      <c r="H100" s="15" t="s">
        <v>320</v>
      </c>
      <c r="I100" s="15"/>
      <c r="J100" s="18"/>
      <c r="K100" s="19"/>
      <c r="L100" s="19">
        <v>0.23</v>
      </c>
      <c r="M100" s="19"/>
      <c r="N100" s="19"/>
      <c r="O100" s="19"/>
      <c r="P100" s="18"/>
      <c r="Q100" s="19"/>
      <c r="R100" s="19">
        <v>0.23</v>
      </c>
      <c r="S100" s="19"/>
      <c r="T100" s="19"/>
      <c r="U100" s="19"/>
      <c r="V100" s="19"/>
      <c r="X100" s="15" t="s">
        <v>249</v>
      </c>
      <c r="Y100" s="15" t="s">
        <v>322</v>
      </c>
      <c r="Z100" s="15" t="s">
        <v>353</v>
      </c>
      <c r="AA100" s="15"/>
      <c r="AB100" s="15"/>
      <c r="AC100" s="15"/>
      <c r="AD100" s="15" t="s">
        <v>323</v>
      </c>
      <c r="AE100" s="18"/>
      <c r="AF100" s="19">
        <v>5</v>
      </c>
      <c r="AG100" s="19">
        <v>54.284338031358203</v>
      </c>
      <c r="AH100" s="19">
        <v>34.9977333371165</v>
      </c>
      <c r="AI100" s="19">
        <v>34.9977333371165</v>
      </c>
      <c r="AJ100" s="19">
        <v>34.9977333371165</v>
      </c>
      <c r="AK100" s="18"/>
      <c r="AL100" s="19">
        <v>5</v>
      </c>
      <c r="AM100" s="19">
        <v>54.284338031358203</v>
      </c>
      <c r="AN100" s="19">
        <v>38.007863960648301</v>
      </c>
      <c r="AO100" s="19">
        <v>38.007863960648301</v>
      </c>
      <c r="AP100" s="19">
        <v>38.007863960648301</v>
      </c>
      <c r="AR100" s="15" t="s">
        <v>249</v>
      </c>
      <c r="AS100" s="15" t="s">
        <v>369</v>
      </c>
      <c r="AT100" s="15"/>
      <c r="AU100" s="15"/>
      <c r="AV100" s="15" t="s">
        <v>460</v>
      </c>
      <c r="AW100" s="15"/>
      <c r="AX100" s="15"/>
      <c r="AY100" s="15"/>
      <c r="AZ100" s="18"/>
      <c r="BA100" s="18"/>
      <c r="BB100" s="19">
        <v>1.4221308643999999</v>
      </c>
      <c r="BC100" s="19">
        <v>1.4099677124000001</v>
      </c>
      <c r="BD100" s="19">
        <v>1.3997004131999999</v>
      </c>
      <c r="BE100" s="19">
        <v>1.3847420204000001</v>
      </c>
      <c r="BF100" s="19">
        <v>1.3652424320000001</v>
      </c>
      <c r="BG100" s="19">
        <v>1.3460183703999999</v>
      </c>
      <c r="BH100" s="19">
        <v>1.3270641251999999</v>
      </c>
      <c r="BI100" s="19">
        <v>1.3083768412000001</v>
      </c>
      <c r="BJ100" s="19">
        <v>1.2899522355999999</v>
      </c>
      <c r="BK100" s="18"/>
      <c r="BL100" s="18"/>
      <c r="BM100" s="19">
        <v>1.4198938152</v>
      </c>
      <c r="BN100" s="19">
        <v>1.4272002720000001</v>
      </c>
      <c r="BO100" s="19">
        <v>1.389597288</v>
      </c>
      <c r="BP100" s="19">
        <v>1.3529793480000001</v>
      </c>
      <c r="BQ100" s="19">
        <v>1.333835232</v>
      </c>
      <c r="BR100" s="19">
        <v>1.331365484</v>
      </c>
      <c r="BS100" s="19">
        <v>1.3289100119999999</v>
      </c>
      <c r="BT100" s="19">
        <v>1.326468816</v>
      </c>
      <c r="BU100" s="19">
        <v>1.3240133439999999</v>
      </c>
    </row>
    <row r="101" spans="3:73" x14ac:dyDescent="0.45">
      <c r="C101" s="15" t="s">
        <v>249</v>
      </c>
      <c r="D101" s="15" t="s">
        <v>321</v>
      </c>
      <c r="E101" s="15" t="s">
        <v>278</v>
      </c>
      <c r="F101" s="15"/>
      <c r="G101" s="15"/>
      <c r="H101" s="15" t="s">
        <v>320</v>
      </c>
      <c r="I101" s="15"/>
      <c r="J101" s="18"/>
      <c r="K101" s="19"/>
      <c r="L101" s="19">
        <v>0.15</v>
      </c>
      <c r="M101" s="19"/>
      <c r="N101" s="19"/>
      <c r="O101" s="19"/>
      <c r="P101" s="18"/>
      <c r="Q101" s="19"/>
      <c r="R101" s="19">
        <v>0.15</v>
      </c>
      <c r="S101" s="19"/>
      <c r="T101" s="19"/>
      <c r="U101" s="19"/>
      <c r="V101" s="19"/>
      <c r="X101" s="15" t="s">
        <v>249</v>
      </c>
      <c r="Y101" s="15" t="s">
        <v>322</v>
      </c>
      <c r="Z101" s="15" t="s">
        <v>354</v>
      </c>
      <c r="AA101" s="15"/>
      <c r="AB101" s="15"/>
      <c r="AC101" s="15"/>
      <c r="AD101" s="15" t="s">
        <v>323</v>
      </c>
      <c r="AE101" s="18"/>
      <c r="AF101" s="19">
        <v>5</v>
      </c>
      <c r="AG101" s="19">
        <v>74.5</v>
      </c>
      <c r="AH101" s="19">
        <v>48.563295206247901</v>
      </c>
      <c r="AI101" s="19">
        <v>44.324333170103301</v>
      </c>
      <c r="AJ101" s="19">
        <v>41.620301814681604</v>
      </c>
      <c r="AK101" s="18"/>
      <c r="AL101" s="19">
        <v>5</v>
      </c>
      <c r="AM101" s="19">
        <v>74.5</v>
      </c>
      <c r="AN101" s="19">
        <v>43.431586824558998</v>
      </c>
      <c r="AO101" s="19">
        <v>41.089002541426503</v>
      </c>
      <c r="AP101" s="19">
        <v>39.594669423956603</v>
      </c>
      <c r="AR101" s="15" t="s">
        <v>249</v>
      </c>
      <c r="AS101" s="15" t="s">
        <v>369</v>
      </c>
      <c r="AT101" s="15"/>
      <c r="AU101" s="15"/>
      <c r="AV101" s="15" t="s">
        <v>461</v>
      </c>
      <c r="AW101" s="15"/>
      <c r="AX101" s="15"/>
      <c r="AY101" s="15"/>
      <c r="AZ101" s="18"/>
      <c r="BA101" s="18"/>
      <c r="BB101" s="19">
        <v>1.4621768582000001</v>
      </c>
      <c r="BC101" s="19">
        <v>1.4496712022</v>
      </c>
      <c r="BD101" s="19">
        <v>1.4391147846000001</v>
      </c>
      <c r="BE101" s="19">
        <v>1.4237351761999999</v>
      </c>
      <c r="BF101" s="19">
        <v>1.403686496</v>
      </c>
      <c r="BG101" s="19">
        <v>1.3839211011999999</v>
      </c>
      <c r="BH101" s="19">
        <v>1.3644331206</v>
      </c>
      <c r="BI101" s="19">
        <v>1.3452196186000001</v>
      </c>
      <c r="BJ101" s="19">
        <v>1.3262761917999999</v>
      </c>
      <c r="BK101" s="18"/>
      <c r="BL101" s="18"/>
      <c r="BM101" s="19">
        <v>1.4598768155999999</v>
      </c>
      <c r="BN101" s="19">
        <v>1.467389016</v>
      </c>
      <c r="BO101" s="19">
        <v>1.4287271640000001</v>
      </c>
      <c r="BP101" s="19">
        <v>1.391078094</v>
      </c>
      <c r="BQ101" s="19">
        <v>1.371394896</v>
      </c>
      <c r="BR101" s="19">
        <v>1.368855602</v>
      </c>
      <c r="BS101" s="19">
        <v>1.3663309859999999</v>
      </c>
      <c r="BT101" s="19">
        <v>1.3638210479999999</v>
      </c>
      <c r="BU101" s="19">
        <v>1.3612964320000001</v>
      </c>
    </row>
    <row r="102" spans="3:73" x14ac:dyDescent="0.45">
      <c r="C102" s="15" t="s">
        <v>249</v>
      </c>
      <c r="D102" s="15" t="s">
        <v>321</v>
      </c>
      <c r="E102" s="15" t="s">
        <v>279</v>
      </c>
      <c r="F102" s="15"/>
      <c r="G102" s="15"/>
      <c r="H102" s="15" t="s">
        <v>320</v>
      </c>
      <c r="I102" s="15"/>
      <c r="J102" s="18"/>
      <c r="K102" s="19"/>
      <c r="L102" s="19">
        <v>0.15</v>
      </c>
      <c r="M102" s="19"/>
      <c r="N102" s="19"/>
      <c r="O102" s="19"/>
      <c r="P102" s="18"/>
      <c r="Q102" s="19"/>
      <c r="R102" s="19">
        <v>0.15</v>
      </c>
      <c r="S102" s="19"/>
      <c r="T102" s="19"/>
      <c r="U102" s="19"/>
      <c r="V102" s="19"/>
      <c r="X102" s="15" t="s">
        <v>249</v>
      </c>
      <c r="Y102" s="15" t="s">
        <v>322</v>
      </c>
      <c r="Z102" s="15" t="s">
        <v>355</v>
      </c>
      <c r="AA102" s="15"/>
      <c r="AB102" s="15"/>
      <c r="AC102" s="15"/>
      <c r="AD102" s="15" t="s">
        <v>323</v>
      </c>
      <c r="AE102" s="18"/>
      <c r="AF102" s="19">
        <v>5</v>
      </c>
      <c r="AG102" s="19">
        <v>46.5950594809661</v>
      </c>
      <c r="AH102" s="19">
        <v>45.638562658776102</v>
      </c>
      <c r="AI102" s="19">
        <v>45.775205061946103</v>
      </c>
      <c r="AJ102" s="19">
        <v>45.911847465116097</v>
      </c>
      <c r="AK102" s="18"/>
      <c r="AL102" s="19">
        <v>5</v>
      </c>
      <c r="AM102" s="19">
        <v>46.5950594809661</v>
      </c>
      <c r="AN102" s="19">
        <v>45.638562658776102</v>
      </c>
      <c r="AO102" s="19">
        <v>45.775205061946103</v>
      </c>
      <c r="AP102" s="19">
        <v>45.911847465116097</v>
      </c>
      <c r="AR102" s="15" t="s">
        <v>249</v>
      </c>
      <c r="AS102" s="15" t="s">
        <v>369</v>
      </c>
      <c r="AT102" s="15"/>
      <c r="AU102" s="15"/>
      <c r="AV102" s="15" t="s">
        <v>462</v>
      </c>
      <c r="AW102" s="15"/>
      <c r="AX102" s="15"/>
      <c r="AY102" s="15"/>
      <c r="AZ102" s="18"/>
      <c r="BA102" s="18"/>
      <c r="BB102" s="19">
        <v>0.55775502310000002</v>
      </c>
      <c r="BC102" s="19">
        <v>0.55298467510000004</v>
      </c>
      <c r="BD102" s="19">
        <v>0.54895787429999998</v>
      </c>
      <c r="BE102" s="19">
        <v>0.54309124210000004</v>
      </c>
      <c r="BF102" s="19">
        <v>0.53544356800000004</v>
      </c>
      <c r="BG102" s="19">
        <v>0.52790395459999995</v>
      </c>
      <c r="BH102" s="19">
        <v>0.52047016229999998</v>
      </c>
      <c r="BI102" s="19">
        <v>0.51314107129999997</v>
      </c>
      <c r="BJ102" s="19">
        <v>0.50591500190000005</v>
      </c>
      <c r="BK102" s="18"/>
      <c r="BL102" s="18"/>
      <c r="BM102" s="19">
        <v>0.55687765980000004</v>
      </c>
      <c r="BN102" s="19">
        <v>0.55974322799999998</v>
      </c>
      <c r="BO102" s="19">
        <v>0.54499546200000004</v>
      </c>
      <c r="BP102" s="19">
        <v>0.53063402699999995</v>
      </c>
      <c r="BQ102" s="19">
        <v>0.52312576799999999</v>
      </c>
      <c r="BR102" s="19">
        <v>0.52215714099999999</v>
      </c>
      <c r="BS102" s="19">
        <v>0.52119411299999996</v>
      </c>
      <c r="BT102" s="19">
        <v>0.520236684</v>
      </c>
      <c r="BU102" s="19">
        <v>0.51927365599999997</v>
      </c>
    </row>
    <row r="103" spans="3:73" x14ac:dyDescent="0.45">
      <c r="C103" s="15" t="s">
        <v>249</v>
      </c>
      <c r="D103" s="15" t="s">
        <v>321</v>
      </c>
      <c r="E103" s="15" t="s">
        <v>280</v>
      </c>
      <c r="F103" s="15"/>
      <c r="G103" s="15"/>
      <c r="H103" s="15" t="s">
        <v>320</v>
      </c>
      <c r="I103" s="15"/>
      <c r="J103" s="18"/>
      <c r="K103" s="19"/>
      <c r="L103" s="19">
        <v>0.15</v>
      </c>
      <c r="M103" s="19"/>
      <c r="N103" s="19"/>
      <c r="O103" s="19"/>
      <c r="P103" s="18"/>
      <c r="Q103" s="19"/>
      <c r="R103" s="19">
        <v>0.15</v>
      </c>
      <c r="S103" s="19"/>
      <c r="T103" s="19"/>
      <c r="U103" s="19"/>
      <c r="V103" s="19"/>
      <c r="X103" s="15" t="s">
        <v>249</v>
      </c>
      <c r="Y103" s="15" t="s">
        <v>322</v>
      </c>
      <c r="Z103" s="15" t="s">
        <v>356</v>
      </c>
      <c r="AA103" s="15"/>
      <c r="AB103" s="15"/>
      <c r="AC103" s="15"/>
      <c r="AD103" s="15" t="s">
        <v>323</v>
      </c>
      <c r="AE103" s="18"/>
      <c r="AF103" s="19">
        <v>5</v>
      </c>
      <c r="AG103" s="19">
        <v>38.4943273070229</v>
      </c>
      <c r="AH103" s="19">
        <v>37.334859617052302</v>
      </c>
      <c r="AI103" s="19">
        <v>37.334859617052302</v>
      </c>
      <c r="AJ103" s="19">
        <v>37.334859617052302</v>
      </c>
      <c r="AK103" s="18"/>
      <c r="AL103" s="19">
        <v>5</v>
      </c>
      <c r="AM103" s="19">
        <v>38.4943273070229</v>
      </c>
      <c r="AN103" s="19">
        <v>37.334859617052302</v>
      </c>
      <c r="AO103" s="19">
        <v>37.334859617052302</v>
      </c>
      <c r="AP103" s="19">
        <v>37.334859617052302</v>
      </c>
      <c r="AR103" s="15" t="s">
        <v>249</v>
      </c>
      <c r="AS103" s="15" t="s">
        <v>369</v>
      </c>
      <c r="AT103" s="15"/>
      <c r="AU103" s="15"/>
      <c r="AV103" s="15" t="s">
        <v>463</v>
      </c>
      <c r="AW103" s="15"/>
      <c r="AX103" s="15"/>
      <c r="AY103" s="15"/>
      <c r="AZ103" s="18"/>
      <c r="BA103" s="18"/>
      <c r="BB103" s="19">
        <v>0.66534127509999996</v>
      </c>
      <c r="BC103" s="19">
        <v>0.65965076710000004</v>
      </c>
      <c r="BD103" s="19">
        <v>0.65484723030000003</v>
      </c>
      <c r="BE103" s="19">
        <v>0.64784897409999997</v>
      </c>
      <c r="BF103" s="19">
        <v>0.63872612799999995</v>
      </c>
      <c r="BG103" s="19">
        <v>0.62973218659999997</v>
      </c>
      <c r="BH103" s="19">
        <v>0.62086447830000002</v>
      </c>
      <c r="BI103" s="19">
        <v>0.61212166729999995</v>
      </c>
      <c r="BJ103" s="19">
        <v>0.60350174990000005</v>
      </c>
      <c r="BK103" s="18"/>
      <c r="BL103" s="18"/>
      <c r="BM103" s="19">
        <v>0.66429467580000001</v>
      </c>
      <c r="BN103" s="19">
        <v>0.66771298800000001</v>
      </c>
      <c r="BO103" s="19">
        <v>0.65012050200000004</v>
      </c>
      <c r="BP103" s="19">
        <v>0.63298886700000001</v>
      </c>
      <c r="BQ103" s="19">
        <v>0.62403232799999997</v>
      </c>
      <c r="BR103" s="19">
        <v>0.62287686099999995</v>
      </c>
      <c r="BS103" s="19">
        <v>0.62172807299999999</v>
      </c>
      <c r="BT103" s="19">
        <v>0.62058596399999999</v>
      </c>
      <c r="BU103" s="19">
        <v>0.61943717600000003</v>
      </c>
    </row>
    <row r="104" spans="3:73" x14ac:dyDescent="0.45">
      <c r="C104" s="15" t="s">
        <v>249</v>
      </c>
      <c r="D104" s="15" t="s">
        <v>321</v>
      </c>
      <c r="E104" s="15" t="s">
        <v>281</v>
      </c>
      <c r="F104" s="15"/>
      <c r="G104" s="15"/>
      <c r="H104" s="15" t="s">
        <v>320</v>
      </c>
      <c r="I104" s="15"/>
      <c r="J104" s="18"/>
      <c r="K104" s="19"/>
      <c r="L104" s="19">
        <v>0.15</v>
      </c>
      <c r="M104" s="19"/>
      <c r="N104" s="19"/>
      <c r="O104" s="19"/>
      <c r="P104" s="18"/>
      <c r="Q104" s="19"/>
      <c r="R104" s="19">
        <v>0.15</v>
      </c>
      <c r="S104" s="19"/>
      <c r="T104" s="19"/>
      <c r="U104" s="19"/>
      <c r="V104" s="19"/>
      <c r="X104" s="15" t="s">
        <v>249</v>
      </c>
      <c r="Y104" s="15" t="s">
        <v>322</v>
      </c>
      <c r="Z104" s="15" t="s">
        <v>357</v>
      </c>
      <c r="AA104" s="15"/>
      <c r="AB104" s="15"/>
      <c r="AC104" s="15"/>
      <c r="AD104" s="15" t="s">
        <v>323</v>
      </c>
      <c r="AE104" s="18"/>
      <c r="AF104" s="19">
        <v>5</v>
      </c>
      <c r="AG104" s="19">
        <v>40.982161028207202</v>
      </c>
      <c r="AH104" s="19">
        <v>42.5384456242151</v>
      </c>
      <c r="AI104" s="19">
        <v>43.8353494542216</v>
      </c>
      <c r="AJ104" s="19">
        <v>44.224420603223599</v>
      </c>
      <c r="AK104" s="18"/>
      <c r="AL104" s="19">
        <v>5</v>
      </c>
      <c r="AM104" s="19">
        <v>40.982161028207202</v>
      </c>
      <c r="AN104" s="19">
        <v>42.5384456242151</v>
      </c>
      <c r="AO104" s="19">
        <v>43.8353494542216</v>
      </c>
      <c r="AP104" s="19">
        <v>44.224420603223599</v>
      </c>
      <c r="AR104" s="15" t="s">
        <v>249</v>
      </c>
      <c r="AS104" s="15" t="s">
        <v>369</v>
      </c>
      <c r="AT104" s="15"/>
      <c r="AU104" s="15"/>
      <c r="AV104" s="15" t="s">
        <v>464</v>
      </c>
      <c r="AW104" s="15"/>
      <c r="AX104" s="15"/>
      <c r="AY104" s="15"/>
      <c r="AZ104" s="18"/>
      <c r="BA104" s="18"/>
      <c r="BB104" s="19">
        <v>0.46470298319999997</v>
      </c>
      <c r="BC104" s="19">
        <v>0.49314652339570603</v>
      </c>
      <c r="BD104" s="19">
        <v>0.52333103579970996</v>
      </c>
      <c r="BE104" s="19">
        <v>0.56357028622424699</v>
      </c>
      <c r="BF104" s="19">
        <v>0.60690355776345795</v>
      </c>
      <c r="BG104" s="19">
        <v>0.66317990396419002</v>
      </c>
      <c r="BH104" s="19">
        <v>0.72467458691907805</v>
      </c>
      <c r="BI104" s="19">
        <v>0.79187148734032298</v>
      </c>
      <c r="BJ104" s="19">
        <v>0.86529935474692898</v>
      </c>
      <c r="BK104" s="18"/>
      <c r="BL104" s="18"/>
      <c r="BM104" s="19">
        <v>0.49257794560000001</v>
      </c>
      <c r="BN104" s="19">
        <v>0.55613299999999999</v>
      </c>
      <c r="BO104" s="19">
        <v>0.62181799999999998</v>
      </c>
      <c r="BP104" s="19">
        <v>0.669987</v>
      </c>
      <c r="BQ104" s="19">
        <v>0.72253500000000004</v>
      </c>
      <c r="BR104" s="19">
        <v>0.74443000000000004</v>
      </c>
      <c r="BS104" s="19">
        <v>0.76632500000000003</v>
      </c>
      <c r="BT104" s="19">
        <v>0.79259900000000005</v>
      </c>
      <c r="BU104" s="19">
        <v>0.81449400000000005</v>
      </c>
    </row>
    <row r="105" spans="3:73" x14ac:dyDescent="0.45">
      <c r="C105" s="15" t="s">
        <v>249</v>
      </c>
      <c r="D105" s="15" t="s">
        <v>321</v>
      </c>
      <c r="E105" s="15" t="s">
        <v>282</v>
      </c>
      <c r="F105" s="15"/>
      <c r="G105" s="15"/>
      <c r="H105" s="15" t="s">
        <v>320</v>
      </c>
      <c r="I105" s="15"/>
      <c r="J105" s="18"/>
      <c r="K105" s="19"/>
      <c r="L105" s="19">
        <v>0.15</v>
      </c>
      <c r="M105" s="19"/>
      <c r="N105" s="19"/>
      <c r="O105" s="19"/>
      <c r="P105" s="18"/>
      <c r="Q105" s="19"/>
      <c r="R105" s="19">
        <v>0.15</v>
      </c>
      <c r="S105" s="19"/>
      <c r="T105" s="19"/>
      <c r="U105" s="19"/>
      <c r="V105" s="19"/>
      <c r="X105" s="15" t="s">
        <v>249</v>
      </c>
      <c r="Y105" s="15" t="s">
        <v>322</v>
      </c>
      <c r="Z105" s="15" t="s">
        <v>358</v>
      </c>
      <c r="AA105" s="15"/>
      <c r="AB105" s="15"/>
      <c r="AC105" s="15"/>
      <c r="AD105" s="15" t="s">
        <v>323</v>
      </c>
      <c r="AE105" s="18"/>
      <c r="AF105" s="19">
        <v>5</v>
      </c>
      <c r="AG105" s="19">
        <v>33.857253063779503</v>
      </c>
      <c r="AH105" s="19">
        <v>35.211088115724998</v>
      </c>
      <c r="AI105" s="19">
        <v>36.291880804252898</v>
      </c>
      <c r="AJ105" s="19">
        <v>36.519416107100902</v>
      </c>
      <c r="AK105" s="18"/>
      <c r="AL105" s="19">
        <v>5</v>
      </c>
      <c r="AM105" s="19">
        <v>33.857253063779503</v>
      </c>
      <c r="AN105" s="19">
        <v>35.211088115724998</v>
      </c>
      <c r="AO105" s="19">
        <v>36.291880804252898</v>
      </c>
      <c r="AP105" s="19">
        <v>36.519416107100902</v>
      </c>
      <c r="AR105" s="15" t="s">
        <v>249</v>
      </c>
      <c r="AS105" s="15" t="s">
        <v>369</v>
      </c>
      <c r="AT105" s="15"/>
      <c r="AU105" s="15"/>
      <c r="AV105" s="15" t="s">
        <v>465</v>
      </c>
      <c r="AW105" s="15"/>
      <c r="AX105" s="15"/>
      <c r="AY105" s="15"/>
      <c r="AZ105" s="18"/>
      <c r="BA105" s="18"/>
      <c r="BB105" s="19">
        <v>6.7917311999999994E-2</v>
      </c>
      <c r="BC105" s="19">
        <v>7.2074394832896002E-2</v>
      </c>
      <c r="BD105" s="19">
        <v>7.64859243918279E-2</v>
      </c>
      <c r="BE105" s="19">
        <v>8.2366974922018305E-2</v>
      </c>
      <c r="BF105" s="19">
        <v>8.8700223103131595E-2</v>
      </c>
      <c r="BG105" s="19">
        <v>9.6925128690815598E-2</v>
      </c>
      <c r="BH105" s="19">
        <v>0.105912705098929</v>
      </c>
      <c r="BI105" s="19">
        <v>0.11573367250463699</v>
      </c>
      <c r="BJ105" s="19">
        <v>0.126465308754975</v>
      </c>
      <c r="BK105" s="18"/>
      <c r="BL105" s="18"/>
      <c r="BM105" s="19">
        <v>7.1991295999999996E-2</v>
      </c>
      <c r="BN105" s="19">
        <v>8.1280000000000005E-2</v>
      </c>
      <c r="BO105" s="19">
        <v>9.0880000000000002E-2</v>
      </c>
      <c r="BP105" s="19">
        <v>9.7919999999999993E-2</v>
      </c>
      <c r="BQ105" s="19">
        <v>0.1056</v>
      </c>
      <c r="BR105" s="19">
        <v>0.10879999999999999</v>
      </c>
      <c r="BS105" s="19">
        <v>0.112</v>
      </c>
      <c r="BT105" s="19">
        <v>0.11584</v>
      </c>
      <c r="BU105" s="19">
        <v>0.11904000000000001</v>
      </c>
    </row>
    <row r="106" spans="3:73" x14ac:dyDescent="0.45">
      <c r="C106" s="15" t="s">
        <v>249</v>
      </c>
      <c r="D106" s="15" t="s">
        <v>321</v>
      </c>
      <c r="E106" s="15" t="s">
        <v>283</v>
      </c>
      <c r="F106" s="15"/>
      <c r="G106" s="15"/>
      <c r="H106" s="15" t="s">
        <v>320</v>
      </c>
      <c r="I106" s="15"/>
      <c r="J106" s="18"/>
      <c r="K106" s="19"/>
      <c r="L106" s="19">
        <v>0.15</v>
      </c>
      <c r="M106" s="19"/>
      <c r="N106" s="19"/>
      <c r="O106" s="19"/>
      <c r="P106" s="18"/>
      <c r="Q106" s="19"/>
      <c r="R106" s="19">
        <v>0.15</v>
      </c>
      <c r="S106" s="19"/>
      <c r="T106" s="19"/>
      <c r="U106" s="19"/>
      <c r="V106" s="19"/>
      <c r="X106" s="15" t="s">
        <v>249</v>
      </c>
      <c r="Y106" s="15" t="s">
        <v>322</v>
      </c>
      <c r="Z106" s="15" t="s">
        <v>359</v>
      </c>
      <c r="AA106" s="15"/>
      <c r="AB106" s="15"/>
      <c r="AC106" s="15"/>
      <c r="AD106" s="15" t="s">
        <v>323</v>
      </c>
      <c r="AE106" s="18"/>
      <c r="AF106" s="19">
        <v>5</v>
      </c>
      <c r="AG106" s="19">
        <v>65.388068925916897</v>
      </c>
      <c r="AH106" s="19">
        <v>47.454239946544</v>
      </c>
      <c r="AI106" s="19">
        <v>47.444715718402698</v>
      </c>
      <c r="AJ106" s="19">
        <v>47.5675932379595</v>
      </c>
      <c r="AK106" s="18"/>
      <c r="AL106" s="19">
        <v>5</v>
      </c>
      <c r="AM106" s="19">
        <v>65.388068925916897</v>
      </c>
      <c r="AN106" s="19">
        <v>58.910375541589403</v>
      </c>
      <c r="AO106" s="19">
        <v>50.8408794832837</v>
      </c>
      <c r="AP106" s="19">
        <v>50.141100983333601</v>
      </c>
      <c r="AR106" s="15" t="s">
        <v>249</v>
      </c>
      <c r="AS106" s="15" t="s">
        <v>369</v>
      </c>
      <c r="AT106" s="15"/>
      <c r="AU106" s="15"/>
      <c r="AV106" s="15" t="s">
        <v>466</v>
      </c>
      <c r="AW106" s="15"/>
      <c r="AX106" s="15"/>
      <c r="AY106" s="15"/>
      <c r="AZ106" s="18"/>
      <c r="BA106" s="18"/>
      <c r="BB106" s="19">
        <v>1.4206391495999999</v>
      </c>
      <c r="BC106" s="19">
        <v>1.5075936306687201</v>
      </c>
      <c r="BD106" s="19">
        <v>1.59987042161469</v>
      </c>
      <c r="BE106" s="19">
        <v>1.72288545825165</v>
      </c>
      <c r="BF106" s="19">
        <v>1.8553591979400299</v>
      </c>
      <c r="BG106" s="19">
        <v>2.02740109028742</v>
      </c>
      <c r="BH106" s="19">
        <v>2.2153959111865</v>
      </c>
      <c r="BI106" s="19">
        <v>2.4208229278430902</v>
      </c>
      <c r="BJ106" s="19">
        <v>2.6452985754732001</v>
      </c>
      <c r="BK106" s="18"/>
      <c r="BL106" s="18"/>
      <c r="BM106" s="19">
        <v>1.5058554367999999</v>
      </c>
      <c r="BN106" s="19">
        <v>1.7001489999999999</v>
      </c>
      <c r="BO106" s="19">
        <v>1.900954</v>
      </c>
      <c r="BP106" s="19">
        <v>2.0482109999999998</v>
      </c>
      <c r="BQ106" s="19">
        <v>2.2088549999999998</v>
      </c>
      <c r="BR106" s="19">
        <v>2.2757900000000002</v>
      </c>
      <c r="BS106" s="19">
        <v>2.3427250000000002</v>
      </c>
      <c r="BT106" s="19">
        <v>2.423047</v>
      </c>
      <c r="BU106" s="19">
        <v>2.4899819999999999</v>
      </c>
    </row>
    <row r="107" spans="3:73" x14ac:dyDescent="0.45">
      <c r="C107" s="15" t="s">
        <v>249</v>
      </c>
      <c r="D107" s="15" t="s">
        <v>321</v>
      </c>
      <c r="E107" s="15" t="s">
        <v>284</v>
      </c>
      <c r="F107" s="15"/>
      <c r="G107" s="15"/>
      <c r="H107" s="15" t="s">
        <v>320</v>
      </c>
      <c r="I107" s="15"/>
      <c r="J107" s="18"/>
      <c r="K107" s="19"/>
      <c r="L107" s="19">
        <v>0.15</v>
      </c>
      <c r="M107" s="19"/>
      <c r="N107" s="19"/>
      <c r="O107" s="19"/>
      <c r="P107" s="18"/>
      <c r="Q107" s="19"/>
      <c r="R107" s="19">
        <v>0.15</v>
      </c>
      <c r="S107" s="19"/>
      <c r="T107" s="19"/>
      <c r="U107" s="19"/>
      <c r="V107" s="19"/>
      <c r="X107" s="15" t="s">
        <v>249</v>
      </c>
      <c r="Y107" s="15" t="s">
        <v>322</v>
      </c>
      <c r="Z107" s="15" t="s">
        <v>360</v>
      </c>
      <c r="AA107" s="15"/>
      <c r="AB107" s="15"/>
      <c r="AC107" s="15"/>
      <c r="AD107" s="15" t="s">
        <v>323</v>
      </c>
      <c r="AE107" s="18"/>
      <c r="AF107" s="19">
        <v>5</v>
      </c>
      <c r="AG107" s="19">
        <v>54.020099024374801</v>
      </c>
      <c r="AH107" s="19">
        <v>39.280124125441603</v>
      </c>
      <c r="AI107" s="19">
        <v>39.280124125441603</v>
      </c>
      <c r="AJ107" s="19">
        <v>39.280124125441603</v>
      </c>
      <c r="AK107" s="18"/>
      <c r="AL107" s="19">
        <v>5</v>
      </c>
      <c r="AM107" s="19">
        <v>54.020099024374801</v>
      </c>
      <c r="AN107" s="19">
        <v>48.762910672611802</v>
      </c>
      <c r="AO107" s="19">
        <v>42.0918542035946</v>
      </c>
      <c r="AP107" s="19">
        <v>41.405262203594603</v>
      </c>
      <c r="AR107" s="15" t="s">
        <v>249</v>
      </c>
      <c r="AS107" s="15" t="s">
        <v>369</v>
      </c>
      <c r="AT107" s="15"/>
      <c r="AU107" s="15"/>
      <c r="AV107" s="15" t="s">
        <v>467</v>
      </c>
      <c r="AW107" s="15"/>
      <c r="AX107" s="15"/>
      <c r="AY107" s="15"/>
      <c r="AZ107" s="18"/>
      <c r="BA107" s="18"/>
      <c r="BB107" s="19">
        <v>7.9969451255999999</v>
      </c>
      <c r="BC107" s="19">
        <v>8.4864221428477205</v>
      </c>
      <c r="BD107" s="19">
        <v>9.0058590693671494</v>
      </c>
      <c r="BE107" s="19">
        <v>9.6983252018727004</v>
      </c>
      <c r="BF107" s="19">
        <v>10.444035488097899</v>
      </c>
      <c r="BG107" s="19">
        <v>11.4124795668028</v>
      </c>
      <c r="BH107" s="19">
        <v>12.4707245595937</v>
      </c>
      <c r="BI107" s="19">
        <v>13.6270974358312</v>
      </c>
      <c r="BJ107" s="19">
        <v>14.890697299763501</v>
      </c>
      <c r="BK107" s="18"/>
      <c r="BL107" s="18"/>
      <c r="BM107" s="19">
        <v>8.4766376448000003</v>
      </c>
      <c r="BN107" s="19">
        <v>9.5703390000000006</v>
      </c>
      <c r="BO107" s="19">
        <v>10.700694</v>
      </c>
      <c r="BP107" s="19">
        <v>11.529621000000001</v>
      </c>
      <c r="BQ107" s="19">
        <v>12.433904999999999</v>
      </c>
      <c r="BR107" s="19">
        <v>12.810689999999999</v>
      </c>
      <c r="BS107" s="19">
        <v>13.187474999999999</v>
      </c>
      <c r="BT107" s="19">
        <v>13.639616999999999</v>
      </c>
      <c r="BU107" s="19">
        <v>14.016401999999999</v>
      </c>
    </row>
    <row r="108" spans="3:73" x14ac:dyDescent="0.45">
      <c r="C108" s="15" t="s">
        <v>249</v>
      </c>
      <c r="D108" s="15" t="s">
        <v>321</v>
      </c>
      <c r="E108" s="15" t="s">
        <v>285</v>
      </c>
      <c r="F108" s="15"/>
      <c r="G108" s="15"/>
      <c r="H108" s="15" t="s">
        <v>320</v>
      </c>
      <c r="I108" s="15"/>
      <c r="J108" s="18"/>
      <c r="K108" s="19"/>
      <c r="L108" s="19">
        <v>0.16</v>
      </c>
      <c r="M108" s="19"/>
      <c r="N108" s="19"/>
      <c r="O108" s="19"/>
      <c r="P108" s="18"/>
      <c r="Q108" s="19"/>
      <c r="R108" s="19">
        <v>0.16</v>
      </c>
      <c r="S108" s="19"/>
      <c r="T108" s="19"/>
      <c r="U108" s="19"/>
      <c r="V108" s="19"/>
      <c r="X108" s="15" t="s">
        <v>249</v>
      </c>
      <c r="Y108" s="15" t="s">
        <v>322</v>
      </c>
      <c r="Z108" s="15" t="s">
        <v>361</v>
      </c>
      <c r="AA108" s="15"/>
      <c r="AB108" s="15"/>
      <c r="AC108" s="15"/>
      <c r="AD108" s="15" t="s">
        <v>323</v>
      </c>
      <c r="AE108" s="18"/>
      <c r="AF108" s="19">
        <v>5</v>
      </c>
      <c r="AG108" s="19">
        <v>12.8620998869352</v>
      </c>
      <c r="AH108" s="19">
        <v>11.1739492767749</v>
      </c>
      <c r="AI108" s="19">
        <v>11.1739492767749</v>
      </c>
      <c r="AJ108" s="19">
        <v>11.0935611524816</v>
      </c>
      <c r="AK108" s="18"/>
      <c r="AL108" s="19">
        <v>5</v>
      </c>
      <c r="AM108" s="19">
        <v>12.8620998869352</v>
      </c>
      <c r="AN108" s="19">
        <v>11.1739492767749</v>
      </c>
      <c r="AO108" s="19">
        <v>11.1739492767749</v>
      </c>
      <c r="AP108" s="19">
        <v>11.0935611524816</v>
      </c>
      <c r="AR108" s="15" t="s">
        <v>249</v>
      </c>
      <c r="AS108" s="15" t="s">
        <v>369</v>
      </c>
      <c r="AT108" s="15"/>
      <c r="AU108" s="15"/>
      <c r="AV108" s="15" t="s">
        <v>468</v>
      </c>
      <c r="AW108" s="15"/>
      <c r="AX108" s="15"/>
      <c r="AY108" s="15"/>
      <c r="AZ108" s="18"/>
      <c r="BA108" s="18"/>
      <c r="BB108" s="19">
        <v>0.73329472799999995</v>
      </c>
      <c r="BC108" s="19">
        <v>0.77817823171142397</v>
      </c>
      <c r="BD108" s="19">
        <v>0.82580896491801703</v>
      </c>
      <c r="BE108" s="19">
        <v>0.88930593236116595</v>
      </c>
      <c r="BF108" s="19">
        <v>0.95768522131662304</v>
      </c>
      <c r="BG108" s="19">
        <v>1.04648849883365</v>
      </c>
      <c r="BH108" s="19">
        <v>1.143526237865</v>
      </c>
      <c r="BI108" s="19">
        <v>1.24956199532351</v>
      </c>
      <c r="BJ108" s="19">
        <v>1.3654301304638701</v>
      </c>
      <c r="BK108" s="18"/>
      <c r="BL108" s="18"/>
      <c r="BM108" s="19">
        <v>0.77728102399999999</v>
      </c>
      <c r="BN108" s="19">
        <v>0.87756999999999996</v>
      </c>
      <c r="BO108" s="19">
        <v>0.98121999999999998</v>
      </c>
      <c r="BP108" s="19">
        <v>1.0572299999999999</v>
      </c>
      <c r="BQ108" s="19">
        <v>1.14015</v>
      </c>
      <c r="BR108" s="19">
        <v>1.1747000000000001</v>
      </c>
      <c r="BS108" s="19">
        <v>1.2092499999999999</v>
      </c>
      <c r="BT108" s="19">
        <v>1.25071</v>
      </c>
      <c r="BU108" s="19">
        <v>1.2852600000000001</v>
      </c>
    </row>
    <row r="109" spans="3:73" x14ac:dyDescent="0.45">
      <c r="C109" s="15" t="s">
        <v>249</v>
      </c>
      <c r="D109" s="15" t="s">
        <v>321</v>
      </c>
      <c r="E109" s="15" t="s">
        <v>286</v>
      </c>
      <c r="F109" s="15"/>
      <c r="G109" s="15"/>
      <c r="H109" s="15" t="s">
        <v>320</v>
      </c>
      <c r="I109" s="15"/>
      <c r="J109" s="18"/>
      <c r="K109" s="19"/>
      <c r="L109" s="19">
        <v>0.16</v>
      </c>
      <c r="M109" s="19"/>
      <c r="N109" s="19"/>
      <c r="O109" s="19"/>
      <c r="P109" s="18"/>
      <c r="Q109" s="19"/>
      <c r="R109" s="19">
        <v>0.16</v>
      </c>
      <c r="S109" s="19"/>
      <c r="T109" s="19"/>
      <c r="U109" s="19"/>
      <c r="V109" s="19"/>
      <c r="X109" s="15" t="s">
        <v>249</v>
      </c>
      <c r="Y109" s="15" t="s">
        <v>322</v>
      </c>
      <c r="Z109" s="15" t="s">
        <v>362</v>
      </c>
      <c r="AA109" s="15"/>
      <c r="AB109" s="15"/>
      <c r="AC109" s="15"/>
      <c r="AD109" s="15" t="s">
        <v>323</v>
      </c>
      <c r="AE109" s="18"/>
      <c r="AF109" s="19">
        <v>5</v>
      </c>
      <c r="AG109" s="19">
        <v>10</v>
      </c>
      <c r="AH109" s="19">
        <v>10.2307692307692</v>
      </c>
      <c r="AI109" s="19">
        <v>10.538461538461499</v>
      </c>
      <c r="AJ109" s="19">
        <v>10.7692307692308</v>
      </c>
      <c r="AK109" s="18"/>
      <c r="AL109" s="19">
        <v>5</v>
      </c>
      <c r="AM109" s="19">
        <v>10</v>
      </c>
      <c r="AN109" s="19">
        <v>10.2307692307692</v>
      </c>
      <c r="AO109" s="19">
        <v>10.538461538461499</v>
      </c>
      <c r="AP109" s="19">
        <v>10.7692307692308</v>
      </c>
      <c r="AR109" s="15" t="s">
        <v>249</v>
      </c>
      <c r="AS109" s="15" t="s">
        <v>369</v>
      </c>
      <c r="AT109" s="15"/>
      <c r="AU109" s="15"/>
      <c r="AV109" s="15" t="s">
        <v>469</v>
      </c>
      <c r="AW109" s="15"/>
      <c r="AX109" s="15"/>
      <c r="AY109" s="15"/>
      <c r="AZ109" s="18"/>
      <c r="BA109" s="18"/>
      <c r="BB109" s="19">
        <v>0.37534926959999998</v>
      </c>
      <c r="BC109" s="19">
        <v>0.39832364769367701</v>
      </c>
      <c r="BD109" s="19">
        <v>0.42270424152171099</v>
      </c>
      <c r="BE109" s="19">
        <v>0.45520623484246697</v>
      </c>
      <c r="BF109" s="19">
        <v>0.49020732674340101</v>
      </c>
      <c r="BG109" s="19">
        <v>0.53566278153033597</v>
      </c>
      <c r="BH109" s="19">
        <v>0.58533318427329895</v>
      </c>
      <c r="BI109" s="19">
        <v>0.63960937445140897</v>
      </c>
      <c r="BJ109" s="19">
        <v>0.69891843291616496</v>
      </c>
      <c r="BK109" s="18"/>
      <c r="BL109" s="18"/>
      <c r="BM109" s="19">
        <v>0.39786439680000002</v>
      </c>
      <c r="BN109" s="19">
        <v>0.44919900000000001</v>
      </c>
      <c r="BO109" s="19">
        <v>0.50225399999999998</v>
      </c>
      <c r="BP109" s="19">
        <v>0.541161</v>
      </c>
      <c r="BQ109" s="19">
        <v>0.58360500000000004</v>
      </c>
      <c r="BR109" s="19">
        <v>0.60128999999999999</v>
      </c>
      <c r="BS109" s="19">
        <v>0.61897500000000005</v>
      </c>
      <c r="BT109" s="19">
        <v>0.64019700000000002</v>
      </c>
      <c r="BU109" s="19">
        <v>0.65788199999999997</v>
      </c>
    </row>
    <row r="110" spans="3:73" x14ac:dyDescent="0.45">
      <c r="C110" s="15" t="s">
        <v>249</v>
      </c>
      <c r="D110" s="15" t="s">
        <v>321</v>
      </c>
      <c r="E110" s="15" t="s">
        <v>287</v>
      </c>
      <c r="F110" s="15"/>
      <c r="G110" s="15"/>
      <c r="H110" s="15" t="s">
        <v>320</v>
      </c>
      <c r="I110" s="15"/>
      <c r="J110" s="18"/>
      <c r="K110" s="18"/>
      <c r="L110" s="19">
        <v>0.23</v>
      </c>
      <c r="M110" s="18"/>
      <c r="N110" s="18"/>
      <c r="O110" s="18"/>
      <c r="P110" s="18"/>
      <c r="Q110" s="18"/>
      <c r="R110" s="19">
        <v>0.23</v>
      </c>
      <c r="S110" s="18"/>
      <c r="T110" s="18"/>
      <c r="U110" s="18"/>
      <c r="V110" s="18"/>
      <c r="X110" s="15" t="s">
        <v>249</v>
      </c>
      <c r="Y110" s="15" t="s">
        <v>324</v>
      </c>
      <c r="Z110" s="15" t="s">
        <v>330</v>
      </c>
      <c r="AA110" s="15"/>
      <c r="AB110" s="15"/>
      <c r="AC110" s="15"/>
      <c r="AD110" s="15" t="s">
        <v>323</v>
      </c>
      <c r="AE110" s="18"/>
      <c r="AF110" s="18"/>
      <c r="AG110" s="19">
        <v>1.3646746492609301</v>
      </c>
      <c r="AH110" s="18"/>
      <c r="AI110" s="18"/>
      <c r="AJ110" s="18"/>
      <c r="AK110" s="18"/>
      <c r="AL110" s="18"/>
      <c r="AM110" s="19">
        <v>1.3646746492609301</v>
      </c>
      <c r="AN110" s="18"/>
      <c r="AO110" s="18"/>
      <c r="AP110" s="18"/>
      <c r="AR110" s="15" t="s">
        <v>249</v>
      </c>
      <c r="AS110" s="15" t="s">
        <v>369</v>
      </c>
      <c r="AT110" s="15"/>
      <c r="AU110" s="15"/>
      <c r="AV110" s="15" t="s">
        <v>470</v>
      </c>
      <c r="AW110" s="15"/>
      <c r="AX110" s="15"/>
      <c r="AY110" s="15"/>
      <c r="AZ110" s="18"/>
      <c r="BA110" s="18"/>
      <c r="BB110" s="19">
        <v>18.5</v>
      </c>
      <c r="BC110" s="19">
        <v>18.5</v>
      </c>
      <c r="BD110" s="19">
        <v>18.5</v>
      </c>
      <c r="BE110" s="19">
        <v>18.5</v>
      </c>
      <c r="BF110" s="19">
        <v>18.5</v>
      </c>
      <c r="BG110" s="19">
        <v>18.5</v>
      </c>
      <c r="BH110" s="19">
        <v>18.5</v>
      </c>
      <c r="BI110" s="19">
        <v>18.5</v>
      </c>
      <c r="BJ110" s="19">
        <v>18.5</v>
      </c>
      <c r="BK110" s="18"/>
      <c r="BL110" s="18"/>
      <c r="BM110" s="19">
        <v>18.5</v>
      </c>
      <c r="BN110" s="19">
        <v>18.5</v>
      </c>
      <c r="BO110" s="19">
        <v>18.5</v>
      </c>
      <c r="BP110" s="19">
        <v>18.5</v>
      </c>
      <c r="BQ110" s="19">
        <v>18.5</v>
      </c>
      <c r="BR110" s="19">
        <v>18.5</v>
      </c>
      <c r="BS110" s="19">
        <v>18.5</v>
      </c>
      <c r="BT110" s="19">
        <v>18.5</v>
      </c>
      <c r="BU110" s="19">
        <v>18.5</v>
      </c>
    </row>
    <row r="111" spans="3:73" x14ac:dyDescent="0.45">
      <c r="C111" s="15" t="s">
        <v>249</v>
      </c>
      <c r="D111" s="15" t="s">
        <v>321</v>
      </c>
      <c r="E111" s="15" t="s">
        <v>288</v>
      </c>
      <c r="F111" s="15"/>
      <c r="G111" s="15"/>
      <c r="H111" s="15" t="s">
        <v>320</v>
      </c>
      <c r="I111" s="15"/>
      <c r="J111" s="18"/>
      <c r="K111" s="18"/>
      <c r="L111" s="19">
        <v>0.02</v>
      </c>
      <c r="M111" s="18"/>
      <c r="N111" s="18"/>
      <c r="O111" s="18"/>
      <c r="P111" s="18"/>
      <c r="Q111" s="18"/>
      <c r="R111" s="19">
        <v>0.02</v>
      </c>
      <c r="S111" s="18"/>
      <c r="T111" s="18"/>
      <c r="U111" s="18"/>
      <c r="V111" s="18"/>
      <c r="X111" s="15" t="s">
        <v>249</v>
      </c>
      <c r="Y111" s="15" t="s">
        <v>324</v>
      </c>
      <c r="Z111" s="15" t="s">
        <v>331</v>
      </c>
      <c r="AA111" s="15"/>
      <c r="AB111" s="15"/>
      <c r="AC111" s="15"/>
      <c r="AD111" s="15" t="s">
        <v>323</v>
      </c>
      <c r="AE111" s="18"/>
      <c r="AF111" s="18"/>
      <c r="AG111" s="19">
        <v>1.6926552473308201</v>
      </c>
      <c r="AH111" s="18"/>
      <c r="AI111" s="18"/>
      <c r="AJ111" s="18"/>
      <c r="AK111" s="18"/>
      <c r="AL111" s="18"/>
      <c r="AM111" s="19">
        <v>1.6926552473308201</v>
      </c>
      <c r="AN111" s="18"/>
      <c r="AO111" s="18"/>
      <c r="AP111" s="18"/>
      <c r="AR111" s="15" t="s">
        <v>249</v>
      </c>
      <c r="AS111" s="15" t="s">
        <v>369</v>
      </c>
      <c r="AT111" s="15"/>
      <c r="AU111" s="15"/>
      <c r="AV111" s="15" t="s">
        <v>471</v>
      </c>
      <c r="AW111" s="15"/>
      <c r="AX111" s="15"/>
      <c r="AY111" s="15"/>
      <c r="AZ111" s="18"/>
      <c r="BA111" s="18"/>
      <c r="BB111" s="19">
        <v>0.60580000000000001</v>
      </c>
      <c r="BC111" s="19">
        <v>0.60580000000000001</v>
      </c>
      <c r="BD111" s="19">
        <v>0.60580000000000001</v>
      </c>
      <c r="BE111" s="19">
        <v>0.60580000000000001</v>
      </c>
      <c r="BF111" s="19">
        <v>0.60580000000000001</v>
      </c>
      <c r="BG111" s="19">
        <v>0.60580000000000001</v>
      </c>
      <c r="BH111" s="19">
        <v>0.60580000000000001</v>
      </c>
      <c r="BI111" s="19">
        <v>0.60580000000000001</v>
      </c>
      <c r="BJ111" s="19">
        <v>0.60580000000000001</v>
      </c>
      <c r="BK111" s="18"/>
      <c r="BL111" s="18"/>
      <c r="BM111" s="19">
        <v>1.3636999999999999</v>
      </c>
      <c r="BN111" s="19">
        <v>1.534</v>
      </c>
      <c r="BO111" s="19">
        <v>1.7255</v>
      </c>
      <c r="BP111" s="19">
        <v>1.8582000000000001</v>
      </c>
      <c r="BQ111" s="19">
        <v>2.0009999999999999</v>
      </c>
      <c r="BR111" s="19">
        <v>2.0312000000000001</v>
      </c>
      <c r="BS111" s="19">
        <v>2.0617999999999999</v>
      </c>
      <c r="BT111" s="19">
        <v>2.0929000000000002</v>
      </c>
      <c r="BU111" s="19">
        <v>2.1244999999999998</v>
      </c>
    </row>
    <row r="112" spans="3:73" x14ac:dyDescent="0.45">
      <c r="C112" s="15" t="s">
        <v>249</v>
      </c>
      <c r="D112" s="15" t="s">
        <v>321</v>
      </c>
      <c r="E112" s="15" t="s">
        <v>289</v>
      </c>
      <c r="F112" s="15"/>
      <c r="G112" s="15"/>
      <c r="H112" s="15" t="s">
        <v>320</v>
      </c>
      <c r="I112" s="15"/>
      <c r="J112" s="18"/>
      <c r="K112" s="18"/>
      <c r="L112" s="19">
        <v>0.02</v>
      </c>
      <c r="M112" s="18"/>
      <c r="N112" s="18"/>
      <c r="O112" s="18"/>
      <c r="P112" s="18"/>
      <c r="Q112" s="18"/>
      <c r="R112" s="19">
        <v>0.02</v>
      </c>
      <c r="S112" s="18"/>
      <c r="T112" s="18"/>
      <c r="U112" s="18"/>
      <c r="V112" s="18"/>
      <c r="X112" s="15" t="s">
        <v>249</v>
      </c>
      <c r="Y112" s="15" t="s">
        <v>324</v>
      </c>
      <c r="Z112" s="15" t="s">
        <v>332</v>
      </c>
      <c r="AA112" s="15"/>
      <c r="AB112" s="15"/>
      <c r="AC112" s="15"/>
      <c r="AD112" s="15" t="s">
        <v>323</v>
      </c>
      <c r="AE112" s="18"/>
      <c r="AF112" s="18"/>
      <c r="AG112" s="19">
        <v>1.26071683809919</v>
      </c>
      <c r="AH112" s="18"/>
      <c r="AI112" s="18"/>
      <c r="AJ112" s="18"/>
      <c r="AK112" s="18"/>
      <c r="AL112" s="18"/>
      <c r="AM112" s="19">
        <v>1.26071683809919</v>
      </c>
      <c r="AN112" s="18"/>
      <c r="AO112" s="18"/>
      <c r="AP112" s="18"/>
      <c r="AR112" s="15" t="s">
        <v>249</v>
      </c>
      <c r="AS112" s="15" t="s">
        <v>369</v>
      </c>
      <c r="AT112" s="15"/>
      <c r="AU112" s="15"/>
      <c r="AV112" s="15" t="s">
        <v>472</v>
      </c>
      <c r="AW112" s="15"/>
      <c r="AX112" s="15"/>
      <c r="AY112" s="15"/>
      <c r="AZ112" s="18"/>
      <c r="BA112" s="18"/>
      <c r="BB112" s="19">
        <v>2.2187000000000001</v>
      </c>
      <c r="BC112" s="19">
        <v>2.2187000000000001</v>
      </c>
      <c r="BD112" s="19">
        <v>2.2187000000000001</v>
      </c>
      <c r="BE112" s="19">
        <v>2.2187000000000001</v>
      </c>
      <c r="BF112" s="19">
        <v>2.2187000000000001</v>
      </c>
      <c r="BG112" s="19">
        <v>2.2187000000000001</v>
      </c>
      <c r="BH112" s="19">
        <v>2.2187000000000001</v>
      </c>
      <c r="BI112" s="19">
        <v>2.2187000000000001</v>
      </c>
      <c r="BJ112" s="19">
        <v>2.2187000000000001</v>
      </c>
      <c r="BK112" s="18"/>
      <c r="BL112" s="18"/>
      <c r="BM112" s="19">
        <v>2.2187000000000001</v>
      </c>
      <c r="BN112" s="19">
        <v>2.2187000000000001</v>
      </c>
      <c r="BO112" s="19">
        <v>2.2187000000000001</v>
      </c>
      <c r="BP112" s="19">
        <v>2.2187000000000001</v>
      </c>
      <c r="BQ112" s="19">
        <v>2.2187000000000001</v>
      </c>
      <c r="BR112" s="19">
        <v>2.2187000000000001</v>
      </c>
      <c r="BS112" s="19">
        <v>2.2187000000000001</v>
      </c>
      <c r="BT112" s="19">
        <v>2.2187000000000001</v>
      </c>
      <c r="BU112" s="19">
        <v>2.2187000000000001</v>
      </c>
    </row>
    <row r="113" spans="3:73" x14ac:dyDescent="0.45">
      <c r="C113" s="15" t="s">
        <v>249</v>
      </c>
      <c r="D113" s="15" t="s">
        <v>321</v>
      </c>
      <c r="E113" s="15" t="s">
        <v>290</v>
      </c>
      <c r="F113" s="15"/>
      <c r="G113" s="15"/>
      <c r="H113" s="15" t="s">
        <v>320</v>
      </c>
      <c r="I113" s="15"/>
      <c r="J113" s="18"/>
      <c r="K113" s="18"/>
      <c r="L113" s="19">
        <v>0.02</v>
      </c>
      <c r="M113" s="18"/>
      <c r="N113" s="18"/>
      <c r="O113" s="18"/>
      <c r="P113" s="18"/>
      <c r="Q113" s="18"/>
      <c r="R113" s="19">
        <v>0.02</v>
      </c>
      <c r="S113" s="18"/>
      <c r="T113" s="18"/>
      <c r="U113" s="18"/>
      <c r="V113" s="18"/>
      <c r="X113" s="15" t="s">
        <v>249</v>
      </c>
      <c r="Y113" s="15" t="s">
        <v>324</v>
      </c>
      <c r="Z113" s="15" t="s">
        <v>333</v>
      </c>
      <c r="AA113" s="15"/>
      <c r="AB113" s="15"/>
      <c r="AC113" s="15"/>
      <c r="AD113" s="15" t="s">
        <v>323</v>
      </c>
      <c r="AE113" s="18"/>
      <c r="AF113" s="18"/>
      <c r="AG113" s="19">
        <v>1.09979187902069</v>
      </c>
      <c r="AH113" s="18"/>
      <c r="AI113" s="18"/>
      <c r="AJ113" s="18"/>
      <c r="AK113" s="18"/>
      <c r="AL113" s="18"/>
      <c r="AM113" s="19">
        <v>1.09979187902069</v>
      </c>
      <c r="AN113" s="18"/>
      <c r="AO113" s="18"/>
      <c r="AP113" s="18"/>
      <c r="AR113" s="15" t="s">
        <v>249</v>
      </c>
      <c r="AS113" s="15" t="s">
        <v>369</v>
      </c>
      <c r="AT113" s="15"/>
      <c r="AU113" s="15"/>
      <c r="AV113" s="15" t="s">
        <v>473</v>
      </c>
      <c r="AW113" s="15"/>
      <c r="AX113" s="15"/>
      <c r="AY113" s="15"/>
      <c r="AZ113" s="18"/>
      <c r="BA113" s="18"/>
      <c r="BB113" s="19">
        <v>0.48762491670000002</v>
      </c>
      <c r="BC113" s="19">
        <v>0.49730587650000002</v>
      </c>
      <c r="BD113" s="19">
        <v>0.48176833769999999</v>
      </c>
      <c r="BE113" s="19">
        <v>0.46671628500000001</v>
      </c>
      <c r="BF113" s="19">
        <v>0.44576946899999997</v>
      </c>
      <c r="BG113" s="19">
        <v>0.41975108370000003</v>
      </c>
      <c r="BH113" s="19">
        <v>0.39525164010000002</v>
      </c>
      <c r="BI113" s="19">
        <v>0.37218187619999998</v>
      </c>
      <c r="BJ113" s="19">
        <v>0.35045897669999998</v>
      </c>
      <c r="BK113" s="18"/>
      <c r="BL113" s="18"/>
      <c r="BM113" s="19">
        <v>0.48762491670000002</v>
      </c>
      <c r="BN113" s="19">
        <v>0.49730835600000001</v>
      </c>
      <c r="BO113" s="19">
        <v>0.45509734800000001</v>
      </c>
      <c r="BP113" s="19">
        <v>0.416466738</v>
      </c>
      <c r="BQ113" s="19">
        <v>0.39777626700000002</v>
      </c>
      <c r="BR113" s="19">
        <v>0.39638278799999999</v>
      </c>
      <c r="BS113" s="19">
        <v>0.39499922700000001</v>
      </c>
      <c r="BT113" s="19">
        <v>0.39361566599999998</v>
      </c>
      <c r="BU113" s="19">
        <v>0.39223706400000002</v>
      </c>
    </row>
    <row r="114" spans="3:73" x14ac:dyDescent="0.45">
      <c r="C114" s="15" t="s">
        <v>249</v>
      </c>
      <c r="D114" s="15" t="s">
        <v>321</v>
      </c>
      <c r="E114" s="15" t="s">
        <v>291</v>
      </c>
      <c r="F114" s="15"/>
      <c r="G114" s="15"/>
      <c r="H114" s="15" t="s">
        <v>320</v>
      </c>
      <c r="I114" s="15"/>
      <c r="J114" s="18"/>
      <c r="K114" s="18"/>
      <c r="L114" s="19">
        <v>0.06</v>
      </c>
      <c r="M114" s="18"/>
      <c r="N114" s="18"/>
      <c r="O114" s="18"/>
      <c r="P114" s="18"/>
      <c r="Q114" s="18"/>
      <c r="R114" s="19">
        <v>0.06</v>
      </c>
      <c r="S114" s="18"/>
      <c r="T114" s="18"/>
      <c r="U114" s="18"/>
      <c r="V114" s="18"/>
      <c r="X114" s="15" t="s">
        <v>249</v>
      </c>
      <c r="Y114" s="15" t="s">
        <v>324</v>
      </c>
      <c r="Z114" s="15" t="s">
        <v>334</v>
      </c>
      <c r="AA114" s="15"/>
      <c r="AB114" s="15"/>
      <c r="AC114" s="15"/>
      <c r="AD114" s="15" t="s">
        <v>323</v>
      </c>
      <c r="AE114" s="18"/>
      <c r="AF114" s="18"/>
      <c r="AG114" s="19">
        <v>1.5396112737265699</v>
      </c>
      <c r="AH114" s="18"/>
      <c r="AI114" s="18"/>
      <c r="AJ114" s="18"/>
      <c r="AK114" s="18"/>
      <c r="AL114" s="18"/>
      <c r="AM114" s="19">
        <v>1.5396112737265699</v>
      </c>
      <c r="AN114" s="18"/>
      <c r="AO114" s="18"/>
      <c r="AP114" s="18"/>
      <c r="AR114" s="15" t="s">
        <v>249</v>
      </c>
      <c r="AS114" s="15" t="s">
        <v>369</v>
      </c>
      <c r="AT114" s="15"/>
      <c r="AU114" s="15"/>
      <c r="AV114" s="15" t="s">
        <v>474</v>
      </c>
      <c r="AW114" s="15"/>
      <c r="AX114" s="15"/>
      <c r="AY114" s="15"/>
      <c r="AZ114" s="18"/>
      <c r="BA114" s="18"/>
      <c r="BB114" s="19">
        <v>3.1859341200000002E-2</v>
      </c>
      <c r="BC114" s="19">
        <v>3.2491854000000001E-2</v>
      </c>
      <c r="BD114" s="19">
        <v>3.1476697200000001E-2</v>
      </c>
      <c r="BE114" s="19">
        <v>3.0493260000000001E-2</v>
      </c>
      <c r="BF114" s="19">
        <v>2.9124684000000001E-2</v>
      </c>
      <c r="BG114" s="19">
        <v>2.7424753199999999E-2</v>
      </c>
      <c r="BH114" s="19">
        <v>2.5824063599999999E-2</v>
      </c>
      <c r="BI114" s="19">
        <v>2.4316783200000001E-2</v>
      </c>
      <c r="BJ114" s="19">
        <v>2.28975012E-2</v>
      </c>
      <c r="BK114" s="18"/>
      <c r="BL114" s="18"/>
      <c r="BM114" s="19">
        <v>3.1859341200000002E-2</v>
      </c>
      <c r="BN114" s="19">
        <v>3.2492015999999999E-2</v>
      </c>
      <c r="BO114" s="19">
        <v>2.9734127999999999E-2</v>
      </c>
      <c r="BP114" s="19">
        <v>2.7210168E-2</v>
      </c>
      <c r="BQ114" s="19">
        <v>2.5989011999999999E-2</v>
      </c>
      <c r="BR114" s="19">
        <v>2.5897968E-2</v>
      </c>
      <c r="BS114" s="19">
        <v>2.5807572000000001E-2</v>
      </c>
      <c r="BT114" s="19">
        <v>2.5717176000000001E-2</v>
      </c>
      <c r="BU114" s="19">
        <v>2.5627104000000001E-2</v>
      </c>
    </row>
    <row r="115" spans="3:73" x14ac:dyDescent="0.45">
      <c r="C115" s="15" t="s">
        <v>249</v>
      </c>
      <c r="D115" s="15" t="s">
        <v>321</v>
      </c>
      <c r="E115" s="15" t="s">
        <v>292</v>
      </c>
      <c r="F115" s="15"/>
      <c r="G115" s="15"/>
      <c r="H115" s="15" t="s">
        <v>320</v>
      </c>
      <c r="I115" s="15"/>
      <c r="J115" s="18"/>
      <c r="K115" s="18"/>
      <c r="L115" s="19">
        <v>0.06</v>
      </c>
      <c r="M115" s="18"/>
      <c r="N115" s="18"/>
      <c r="O115" s="18"/>
      <c r="P115" s="18"/>
      <c r="Q115" s="18"/>
      <c r="R115" s="19">
        <v>0.06</v>
      </c>
      <c r="S115" s="18"/>
      <c r="T115" s="18"/>
      <c r="U115" s="18"/>
      <c r="V115" s="18"/>
      <c r="X115" s="15" t="s">
        <v>249</v>
      </c>
      <c r="Y115" s="15" t="s">
        <v>324</v>
      </c>
      <c r="Z115" s="15" t="s">
        <v>335</v>
      </c>
      <c r="AA115" s="15"/>
      <c r="AB115" s="15"/>
      <c r="AC115" s="15"/>
      <c r="AD115" s="15" t="s">
        <v>323</v>
      </c>
      <c r="AE115" s="18"/>
      <c r="AF115" s="18"/>
      <c r="AG115" s="19">
        <v>1.3430866666666701</v>
      </c>
      <c r="AH115" s="18"/>
      <c r="AI115" s="18"/>
      <c r="AJ115" s="18"/>
      <c r="AK115" s="18"/>
      <c r="AL115" s="18"/>
      <c r="AM115" s="19">
        <v>1.3430866666666701</v>
      </c>
      <c r="AN115" s="18"/>
      <c r="AO115" s="18"/>
      <c r="AP115" s="18"/>
      <c r="AR115" s="15" t="s">
        <v>249</v>
      </c>
      <c r="AS115" s="15" t="s">
        <v>369</v>
      </c>
      <c r="AT115" s="15"/>
      <c r="AU115" s="15"/>
      <c r="AV115" s="15" t="s">
        <v>475</v>
      </c>
      <c r="AW115" s="15"/>
      <c r="AX115" s="15"/>
      <c r="AY115" s="15"/>
      <c r="AZ115" s="18"/>
      <c r="BA115" s="18"/>
      <c r="BB115" s="19">
        <v>1.9163787056999999</v>
      </c>
      <c r="BC115" s="19">
        <v>1.9544251315000001</v>
      </c>
      <c r="BD115" s="19">
        <v>1.8933621967000001</v>
      </c>
      <c r="BE115" s="19">
        <v>1.834207235</v>
      </c>
      <c r="BF115" s="19">
        <v>1.751885699</v>
      </c>
      <c r="BG115" s="19">
        <v>1.6496327627</v>
      </c>
      <c r="BH115" s="19">
        <v>1.5533493071</v>
      </c>
      <c r="BI115" s="19">
        <v>1.4626845302</v>
      </c>
      <c r="BJ115" s="19">
        <v>1.3773129657000001</v>
      </c>
      <c r="BK115" s="18"/>
      <c r="BL115" s="18"/>
      <c r="BM115" s="19">
        <v>1.9163787056999999</v>
      </c>
      <c r="BN115" s="19">
        <v>1.9544348760000001</v>
      </c>
      <c r="BO115" s="19">
        <v>1.788544508</v>
      </c>
      <c r="BP115" s="19">
        <v>1.6367251979999999</v>
      </c>
      <c r="BQ115" s="19">
        <v>1.563271157</v>
      </c>
      <c r="BR115" s="19">
        <v>1.5577947480000001</v>
      </c>
      <c r="BS115" s="19">
        <v>1.552357317</v>
      </c>
      <c r="BT115" s="19">
        <v>1.546919886</v>
      </c>
      <c r="BU115" s="19">
        <v>1.541501944</v>
      </c>
    </row>
    <row r="116" spans="3:73" x14ac:dyDescent="0.45">
      <c r="C116" s="15" t="s">
        <v>249</v>
      </c>
      <c r="D116" s="15" t="s">
        <v>321</v>
      </c>
      <c r="E116" s="15" t="s">
        <v>293</v>
      </c>
      <c r="F116" s="15"/>
      <c r="G116" s="15"/>
      <c r="H116" s="15" t="s">
        <v>320</v>
      </c>
      <c r="I116" s="15"/>
      <c r="J116" s="18"/>
      <c r="K116" s="18"/>
      <c r="L116" s="19">
        <v>0.06</v>
      </c>
      <c r="M116" s="18"/>
      <c r="N116" s="18"/>
      <c r="O116" s="18"/>
      <c r="P116" s="18"/>
      <c r="Q116" s="18"/>
      <c r="R116" s="19">
        <v>0.06</v>
      </c>
      <c r="S116" s="18"/>
      <c r="T116" s="18"/>
      <c r="U116" s="18"/>
      <c r="V116" s="18"/>
      <c r="X116" s="15" t="s">
        <v>249</v>
      </c>
      <c r="Y116" s="15" t="s">
        <v>324</v>
      </c>
      <c r="Z116" s="15" t="s">
        <v>336</v>
      </c>
      <c r="AA116" s="15"/>
      <c r="AB116" s="15"/>
      <c r="AC116" s="15"/>
      <c r="AD116" s="15" t="s">
        <v>323</v>
      </c>
      <c r="AE116" s="18"/>
      <c r="AF116" s="18"/>
      <c r="AG116" s="19">
        <v>1.24308378310627</v>
      </c>
      <c r="AH116" s="18"/>
      <c r="AI116" s="18"/>
      <c r="AJ116" s="18"/>
      <c r="AK116" s="18"/>
      <c r="AL116" s="18"/>
      <c r="AM116" s="19">
        <v>1.24308378310627</v>
      </c>
      <c r="AN116" s="18"/>
      <c r="AO116" s="18"/>
      <c r="AP116" s="18"/>
      <c r="AR116" s="15" t="s">
        <v>249</v>
      </c>
      <c r="AS116" s="15" t="s">
        <v>369</v>
      </c>
      <c r="AT116" s="15"/>
      <c r="AU116" s="15"/>
      <c r="AV116" s="15" t="s">
        <v>476</v>
      </c>
      <c r="AW116" s="15"/>
      <c r="AX116" s="15"/>
      <c r="AY116" s="15"/>
      <c r="AZ116" s="18"/>
      <c r="BA116" s="18"/>
      <c r="BB116" s="19">
        <v>1.1503778787000001</v>
      </c>
      <c r="BC116" s="19">
        <v>1.1732166664999999</v>
      </c>
      <c r="BD116" s="19">
        <v>1.1365613596999999</v>
      </c>
      <c r="BE116" s="19">
        <v>1.1010513850000001</v>
      </c>
      <c r="BF116" s="19">
        <v>1.0516348090000001</v>
      </c>
      <c r="BG116" s="19">
        <v>0.99025366569999995</v>
      </c>
      <c r="BH116" s="19">
        <v>0.93245592610000005</v>
      </c>
      <c r="BI116" s="19">
        <v>0.87803100820000002</v>
      </c>
      <c r="BJ116" s="19">
        <v>0.82678353869999999</v>
      </c>
      <c r="BK116" s="18"/>
      <c r="BL116" s="18"/>
      <c r="BM116" s="19">
        <v>1.1503778787000001</v>
      </c>
      <c r="BN116" s="19">
        <v>1.173222516</v>
      </c>
      <c r="BO116" s="19">
        <v>1.0736406279999999</v>
      </c>
      <c r="BP116" s="19">
        <v>0.98250541800000002</v>
      </c>
      <c r="BQ116" s="19">
        <v>0.938411887</v>
      </c>
      <c r="BR116" s="19">
        <v>0.93512446800000004</v>
      </c>
      <c r="BS116" s="19">
        <v>0.93186044700000004</v>
      </c>
      <c r="BT116" s="19">
        <v>0.92859642600000003</v>
      </c>
      <c r="BU116" s="19">
        <v>0.925344104</v>
      </c>
    </row>
    <row r="117" spans="3:73" x14ac:dyDescent="0.45">
      <c r="C117" s="15" t="s">
        <v>249</v>
      </c>
      <c r="D117" s="15" t="s">
        <v>321</v>
      </c>
      <c r="E117" s="15" t="s">
        <v>294</v>
      </c>
      <c r="F117" s="15"/>
      <c r="G117" s="15"/>
      <c r="H117" s="15" t="s">
        <v>320</v>
      </c>
      <c r="I117" s="15"/>
      <c r="J117" s="18"/>
      <c r="K117" s="18"/>
      <c r="L117" s="19">
        <v>0.09</v>
      </c>
      <c r="M117" s="18"/>
      <c r="N117" s="18"/>
      <c r="O117" s="18"/>
      <c r="P117" s="18"/>
      <c r="Q117" s="18"/>
      <c r="R117" s="19">
        <v>0.09</v>
      </c>
      <c r="S117" s="18"/>
      <c r="T117" s="18"/>
      <c r="U117" s="18"/>
      <c r="V117" s="18"/>
      <c r="X117" s="15" t="s">
        <v>249</v>
      </c>
      <c r="Y117" s="15" t="s">
        <v>324</v>
      </c>
      <c r="Z117" s="15" t="s">
        <v>339</v>
      </c>
      <c r="AA117" s="15"/>
      <c r="AB117" s="15"/>
      <c r="AC117" s="15"/>
      <c r="AD117" s="15" t="s">
        <v>323</v>
      </c>
      <c r="AE117" s="18"/>
      <c r="AF117" s="18"/>
      <c r="AG117" s="19">
        <v>1.2806510350298399</v>
      </c>
      <c r="AH117" s="18"/>
      <c r="AI117" s="18"/>
      <c r="AJ117" s="18"/>
      <c r="AK117" s="18"/>
      <c r="AL117" s="18"/>
      <c r="AM117" s="19">
        <v>1.2806510350298399</v>
      </c>
      <c r="AN117" s="18"/>
      <c r="AO117" s="18"/>
      <c r="AP117" s="18"/>
      <c r="AR117" s="15" t="s">
        <v>249</v>
      </c>
      <c r="AS117" s="15" t="s">
        <v>369</v>
      </c>
      <c r="AT117" s="15"/>
      <c r="AU117" s="15"/>
      <c r="AV117" s="15" t="s">
        <v>477</v>
      </c>
      <c r="AW117" s="15"/>
      <c r="AX117" s="15"/>
      <c r="AY117" s="15"/>
      <c r="AZ117" s="18"/>
      <c r="BA117" s="18"/>
      <c r="BB117" s="19">
        <v>0.80400000000000005</v>
      </c>
      <c r="BC117" s="19">
        <v>0.77470000000000006</v>
      </c>
      <c r="BD117" s="19">
        <v>0.74660000000000004</v>
      </c>
      <c r="BE117" s="19">
        <v>0.80400000000000005</v>
      </c>
      <c r="BF117" s="19">
        <v>0.86580000000000001</v>
      </c>
      <c r="BG117" s="19">
        <v>0.94610000000000005</v>
      </c>
      <c r="BH117" s="19">
        <v>1.0338000000000001</v>
      </c>
      <c r="BI117" s="19">
        <v>1.1295999999999999</v>
      </c>
      <c r="BJ117" s="19">
        <v>1.2343999999999999</v>
      </c>
      <c r="BK117" s="18"/>
      <c r="BL117" s="18"/>
      <c r="BM117" s="19">
        <v>0.9385</v>
      </c>
      <c r="BN117" s="19">
        <v>1.0557000000000001</v>
      </c>
      <c r="BO117" s="19">
        <v>1.1875</v>
      </c>
      <c r="BP117" s="19">
        <v>1.2787999999999999</v>
      </c>
      <c r="BQ117" s="19">
        <v>1.3771</v>
      </c>
      <c r="BR117" s="19">
        <v>1.3978999999999999</v>
      </c>
      <c r="BS117" s="19">
        <v>1.419</v>
      </c>
      <c r="BT117" s="19">
        <v>1.4403999999999999</v>
      </c>
      <c r="BU117" s="19">
        <v>1.4621</v>
      </c>
    </row>
    <row r="118" spans="3:73" x14ac:dyDescent="0.45">
      <c r="C118" s="15" t="s">
        <v>249</v>
      </c>
      <c r="D118" s="15" t="s">
        <v>321</v>
      </c>
      <c r="E118" s="15" t="s">
        <v>295</v>
      </c>
      <c r="F118" s="15"/>
      <c r="G118" s="15"/>
      <c r="H118" s="15" t="s">
        <v>320</v>
      </c>
      <c r="I118" s="15"/>
      <c r="J118" s="18"/>
      <c r="K118" s="18"/>
      <c r="L118" s="19">
        <v>0.09</v>
      </c>
      <c r="M118" s="18"/>
      <c r="N118" s="18"/>
      <c r="O118" s="18"/>
      <c r="P118" s="18"/>
      <c r="Q118" s="18"/>
      <c r="R118" s="19">
        <v>0.09</v>
      </c>
      <c r="S118" s="18"/>
      <c r="T118" s="18"/>
      <c r="U118" s="18"/>
      <c r="V118" s="18"/>
      <c r="X118" s="15" t="s">
        <v>249</v>
      </c>
      <c r="Y118" s="15" t="s">
        <v>324</v>
      </c>
      <c r="Z118" s="15" t="s">
        <v>341</v>
      </c>
      <c r="AA118" s="15"/>
      <c r="AB118" s="15"/>
      <c r="AC118" s="15"/>
      <c r="AD118" s="15" t="s">
        <v>323</v>
      </c>
      <c r="AE118" s="18"/>
      <c r="AF118" s="18"/>
      <c r="AG118" s="19">
        <v>15.1</v>
      </c>
      <c r="AH118" s="18"/>
      <c r="AI118" s="18"/>
      <c r="AJ118" s="18"/>
      <c r="AK118" s="18"/>
      <c r="AL118" s="18"/>
      <c r="AM118" s="19">
        <v>15.141810276128499</v>
      </c>
      <c r="AN118" s="18"/>
      <c r="AO118" s="18"/>
      <c r="AP118" s="18"/>
      <c r="AR118" s="15" t="s">
        <v>249</v>
      </c>
      <c r="AS118" s="15" t="s">
        <v>369</v>
      </c>
      <c r="AT118" s="15"/>
      <c r="AU118" s="15"/>
      <c r="AV118" s="15" t="s">
        <v>478</v>
      </c>
      <c r="AW118" s="15"/>
      <c r="AX118" s="15"/>
      <c r="AY118" s="15"/>
      <c r="AZ118" s="18"/>
      <c r="BA118" s="18"/>
      <c r="BB118" s="19">
        <v>3.1E-2</v>
      </c>
      <c r="BC118" s="19">
        <v>2.9899999999999999E-2</v>
      </c>
      <c r="BD118" s="19">
        <v>2.8799999999999999E-2</v>
      </c>
      <c r="BE118" s="19">
        <v>3.1E-2</v>
      </c>
      <c r="BF118" s="19">
        <v>3.3399999999999999E-2</v>
      </c>
      <c r="BG118" s="19">
        <v>3.6499999999999998E-2</v>
      </c>
      <c r="BH118" s="19">
        <v>3.9899999999999998E-2</v>
      </c>
      <c r="BI118" s="19">
        <v>4.36E-2</v>
      </c>
      <c r="BJ118" s="19">
        <v>4.7699999999999999E-2</v>
      </c>
      <c r="BK118" s="18"/>
      <c r="BL118" s="18"/>
      <c r="BM118" s="19">
        <v>3.6200000000000003E-2</v>
      </c>
      <c r="BN118" s="19">
        <v>4.0800000000000003E-2</v>
      </c>
      <c r="BO118" s="19">
        <v>4.58E-2</v>
      </c>
      <c r="BP118" s="19">
        <v>4.9399999999999999E-2</v>
      </c>
      <c r="BQ118" s="19">
        <v>5.3199999999999997E-2</v>
      </c>
      <c r="BR118" s="19">
        <v>5.3999999999999999E-2</v>
      </c>
      <c r="BS118" s="19">
        <v>5.4800000000000001E-2</v>
      </c>
      <c r="BT118" s="19">
        <v>5.5599999999999997E-2</v>
      </c>
      <c r="BU118" s="19">
        <v>5.6500000000000002E-2</v>
      </c>
    </row>
    <row r="119" spans="3:73" x14ac:dyDescent="0.45">
      <c r="C119" s="15" t="s">
        <v>249</v>
      </c>
      <c r="D119" s="15" t="s">
        <v>321</v>
      </c>
      <c r="E119" s="15" t="s">
        <v>296</v>
      </c>
      <c r="F119" s="15"/>
      <c r="G119" s="15"/>
      <c r="H119" s="15" t="s">
        <v>320</v>
      </c>
      <c r="I119" s="15"/>
      <c r="J119" s="18"/>
      <c r="K119" s="18"/>
      <c r="L119" s="19">
        <v>0.09</v>
      </c>
      <c r="M119" s="18"/>
      <c r="N119" s="18"/>
      <c r="O119" s="18"/>
      <c r="P119" s="18"/>
      <c r="Q119" s="18"/>
      <c r="R119" s="19">
        <v>0.09</v>
      </c>
      <c r="S119" s="18"/>
      <c r="T119" s="18"/>
      <c r="U119" s="18"/>
      <c r="V119" s="18"/>
      <c r="X119" s="15" t="s">
        <v>249</v>
      </c>
      <c r="Y119" s="15" t="s">
        <v>324</v>
      </c>
      <c r="Z119" s="15" t="s">
        <v>342</v>
      </c>
      <c r="AA119" s="15"/>
      <c r="AB119" s="15"/>
      <c r="AC119" s="15"/>
      <c r="AD119" s="15" t="s">
        <v>323</v>
      </c>
      <c r="AE119" s="18"/>
      <c r="AF119" s="18"/>
      <c r="AG119" s="19">
        <v>14.9</v>
      </c>
      <c r="AH119" s="18"/>
      <c r="AI119" s="18"/>
      <c r="AJ119" s="18"/>
      <c r="AK119" s="18"/>
      <c r="AL119" s="18"/>
      <c r="AM119" s="19">
        <v>14.9195348626022</v>
      </c>
      <c r="AN119" s="18"/>
      <c r="AO119" s="18"/>
      <c r="AP119" s="18"/>
      <c r="AR119" s="15" t="s">
        <v>249</v>
      </c>
      <c r="AS119" s="15" t="s">
        <v>369</v>
      </c>
      <c r="AT119" s="15"/>
      <c r="AU119" s="15"/>
      <c r="AV119" s="15" t="s">
        <v>479</v>
      </c>
      <c r="AW119" s="15"/>
      <c r="AX119" s="15"/>
      <c r="AY119" s="15"/>
      <c r="AZ119" s="18"/>
      <c r="BA119" s="18"/>
      <c r="BB119" s="19">
        <v>1.5750999999999999</v>
      </c>
      <c r="BC119" s="19">
        <v>1.5178</v>
      </c>
      <c r="BD119" s="19">
        <v>1.4625999999999999</v>
      </c>
      <c r="BE119" s="19">
        <v>1.575</v>
      </c>
      <c r="BF119" s="19">
        <v>1.6960999999999999</v>
      </c>
      <c r="BG119" s="19">
        <v>1.8533999999999999</v>
      </c>
      <c r="BH119" s="19">
        <v>2.0253000000000001</v>
      </c>
      <c r="BI119" s="19">
        <v>2.2130999999999998</v>
      </c>
      <c r="BJ119" s="19">
        <v>2.4182999999999999</v>
      </c>
      <c r="BK119" s="18"/>
      <c r="BL119" s="18"/>
      <c r="BM119" s="19">
        <v>1.8386</v>
      </c>
      <c r="BN119" s="19">
        <v>2.0682</v>
      </c>
      <c r="BO119" s="19">
        <v>2.3264</v>
      </c>
      <c r="BP119" s="19">
        <v>2.5053000000000001</v>
      </c>
      <c r="BQ119" s="19">
        <v>2.6979000000000002</v>
      </c>
      <c r="BR119" s="19">
        <v>2.7385999999999999</v>
      </c>
      <c r="BS119" s="19">
        <v>2.7799</v>
      </c>
      <c r="BT119" s="19">
        <v>2.8218000000000001</v>
      </c>
      <c r="BU119" s="19">
        <v>2.8643000000000001</v>
      </c>
    </row>
    <row r="120" spans="3:73" x14ac:dyDescent="0.45">
      <c r="C120" s="15" t="s">
        <v>249</v>
      </c>
      <c r="D120" s="15" t="s">
        <v>321</v>
      </c>
      <c r="E120" s="15" t="s">
        <v>297</v>
      </c>
      <c r="F120" s="15"/>
      <c r="G120" s="15"/>
      <c r="H120" s="15" t="s">
        <v>320</v>
      </c>
      <c r="I120" s="15"/>
      <c r="J120" s="18"/>
      <c r="K120" s="18"/>
      <c r="L120" s="19">
        <v>0.17</v>
      </c>
      <c r="M120" s="18"/>
      <c r="N120" s="18"/>
      <c r="O120" s="18"/>
      <c r="P120" s="18"/>
      <c r="Q120" s="18"/>
      <c r="R120" s="19">
        <v>0.17</v>
      </c>
      <c r="S120" s="18"/>
      <c r="T120" s="18"/>
      <c r="U120" s="18"/>
      <c r="V120" s="18"/>
      <c r="X120" s="15" t="s">
        <v>249</v>
      </c>
      <c r="Y120" s="15" t="s">
        <v>324</v>
      </c>
      <c r="Z120" s="15" t="s">
        <v>343</v>
      </c>
      <c r="AA120" s="15"/>
      <c r="AB120" s="15"/>
      <c r="AC120" s="15"/>
      <c r="AD120" s="15" t="s">
        <v>323</v>
      </c>
      <c r="AE120" s="18"/>
      <c r="AF120" s="18"/>
      <c r="AG120" s="19">
        <v>16.399999999999999</v>
      </c>
      <c r="AH120" s="18"/>
      <c r="AI120" s="18"/>
      <c r="AJ120" s="18"/>
      <c r="AK120" s="18"/>
      <c r="AL120" s="18"/>
      <c r="AM120" s="19">
        <v>16.444704017309</v>
      </c>
      <c r="AN120" s="18"/>
      <c r="AO120" s="18"/>
      <c r="AP120" s="18"/>
      <c r="AR120" s="15" t="s">
        <v>249</v>
      </c>
      <c r="AS120" s="15" t="s">
        <v>369</v>
      </c>
      <c r="AT120" s="15"/>
      <c r="AU120" s="15"/>
      <c r="AV120" s="15" t="s">
        <v>480</v>
      </c>
      <c r="AW120" s="15"/>
      <c r="AX120" s="15"/>
      <c r="AY120" s="15"/>
      <c r="AZ120" s="18"/>
      <c r="BA120" s="18"/>
      <c r="BB120" s="19">
        <v>0.20949999999999999</v>
      </c>
      <c r="BC120" s="19">
        <v>0.2019</v>
      </c>
      <c r="BD120" s="19">
        <v>0.1946</v>
      </c>
      <c r="BE120" s="19">
        <v>0.20949999999999999</v>
      </c>
      <c r="BF120" s="19">
        <v>0.22559999999999999</v>
      </c>
      <c r="BG120" s="19">
        <v>0.24660000000000001</v>
      </c>
      <c r="BH120" s="19">
        <v>0.26939999999999997</v>
      </c>
      <c r="BI120" s="19">
        <v>0.2944</v>
      </c>
      <c r="BJ120" s="19">
        <v>0.32169999999999999</v>
      </c>
      <c r="BK120" s="18"/>
      <c r="BL120" s="18"/>
      <c r="BM120" s="19">
        <v>0.24460000000000001</v>
      </c>
      <c r="BN120" s="19">
        <v>0.27510000000000001</v>
      </c>
      <c r="BO120" s="19">
        <v>0.3095</v>
      </c>
      <c r="BP120" s="19">
        <v>0.33329999999999999</v>
      </c>
      <c r="BQ120" s="19">
        <v>0.3589</v>
      </c>
      <c r="BR120" s="19">
        <v>0.36430000000000001</v>
      </c>
      <c r="BS120" s="19">
        <v>0.36980000000000002</v>
      </c>
      <c r="BT120" s="19">
        <v>0.37540000000000001</v>
      </c>
      <c r="BU120" s="19">
        <v>0.38100000000000001</v>
      </c>
    </row>
    <row r="121" spans="3:73" x14ac:dyDescent="0.45">
      <c r="C121" s="15" t="s">
        <v>249</v>
      </c>
      <c r="D121" s="15" t="s">
        <v>321</v>
      </c>
      <c r="E121" s="15" t="s">
        <v>298</v>
      </c>
      <c r="F121" s="15"/>
      <c r="G121" s="15"/>
      <c r="H121" s="15" t="s">
        <v>320</v>
      </c>
      <c r="I121" s="15"/>
      <c r="J121" s="18"/>
      <c r="K121" s="18"/>
      <c r="L121" s="19">
        <v>0.23</v>
      </c>
      <c r="M121" s="18"/>
      <c r="N121" s="18"/>
      <c r="O121" s="18"/>
      <c r="P121" s="18"/>
      <c r="Q121" s="18"/>
      <c r="R121" s="19">
        <v>0.23</v>
      </c>
      <c r="S121" s="18"/>
      <c r="T121" s="18"/>
      <c r="U121" s="18"/>
      <c r="V121" s="18"/>
      <c r="X121" s="15" t="s">
        <v>249</v>
      </c>
      <c r="Y121" s="15" t="s">
        <v>324</v>
      </c>
      <c r="Z121" s="15" t="s">
        <v>344</v>
      </c>
      <c r="AA121" s="15"/>
      <c r="AB121" s="15"/>
      <c r="AC121" s="15"/>
      <c r="AD121" s="15" t="s">
        <v>323</v>
      </c>
      <c r="AE121" s="18"/>
      <c r="AF121" s="18"/>
      <c r="AG121" s="19">
        <v>3.5</v>
      </c>
      <c r="AH121" s="18"/>
      <c r="AI121" s="18"/>
      <c r="AJ121" s="18"/>
      <c r="AK121" s="18"/>
      <c r="AL121" s="18"/>
      <c r="AM121" s="19">
        <v>3.5336218795343499</v>
      </c>
      <c r="AN121" s="18"/>
      <c r="AO121" s="18"/>
      <c r="AP121" s="18"/>
      <c r="AR121" s="15" t="s">
        <v>249</v>
      </c>
      <c r="AS121" s="15" t="s">
        <v>369</v>
      </c>
      <c r="AT121" s="15"/>
      <c r="AU121" s="15"/>
      <c r="AV121" s="15" t="s">
        <v>481</v>
      </c>
      <c r="AW121" s="15"/>
      <c r="AX121" s="15"/>
      <c r="AY121" s="15"/>
      <c r="AZ121" s="18"/>
      <c r="BA121" s="18"/>
      <c r="BB121" s="19">
        <v>0.6603</v>
      </c>
      <c r="BC121" s="19">
        <v>0.68030000000000002</v>
      </c>
      <c r="BD121" s="19">
        <v>0.70099999999999996</v>
      </c>
      <c r="BE121" s="19">
        <v>0.75490000000000002</v>
      </c>
      <c r="BF121" s="19">
        <v>0.81289999999999996</v>
      </c>
      <c r="BG121" s="19">
        <v>0.88829999999999998</v>
      </c>
      <c r="BH121" s="19">
        <v>0.97060000000000002</v>
      </c>
      <c r="BI121" s="19">
        <v>1.0607</v>
      </c>
      <c r="BJ121" s="19">
        <v>1.159</v>
      </c>
      <c r="BK121" s="18"/>
      <c r="BL121" s="18"/>
      <c r="BM121" s="19">
        <v>0.72089999999999999</v>
      </c>
      <c r="BN121" s="19">
        <v>0.81100000000000005</v>
      </c>
      <c r="BO121" s="19">
        <v>0.91220000000000001</v>
      </c>
      <c r="BP121" s="19">
        <v>0.98240000000000005</v>
      </c>
      <c r="BQ121" s="19">
        <v>1.0579000000000001</v>
      </c>
      <c r="BR121" s="19">
        <v>1.0739000000000001</v>
      </c>
      <c r="BS121" s="19">
        <v>1.0900000000000001</v>
      </c>
      <c r="BT121" s="19">
        <v>1.1065</v>
      </c>
      <c r="BU121" s="19">
        <v>1.1232</v>
      </c>
    </row>
    <row r="122" spans="3:73" x14ac:dyDescent="0.45">
      <c r="C122" s="15" t="s">
        <v>249</v>
      </c>
      <c r="D122" s="15" t="s">
        <v>321</v>
      </c>
      <c r="E122" s="15" t="s">
        <v>299</v>
      </c>
      <c r="F122" s="15"/>
      <c r="G122" s="15"/>
      <c r="H122" s="15" t="s">
        <v>320</v>
      </c>
      <c r="I122" s="15"/>
      <c r="J122" s="18"/>
      <c r="K122" s="18"/>
      <c r="L122" s="19">
        <v>0.27</v>
      </c>
      <c r="M122" s="18"/>
      <c r="N122" s="18"/>
      <c r="O122" s="18"/>
      <c r="P122" s="18"/>
      <c r="Q122" s="18"/>
      <c r="R122" s="19">
        <v>0.27</v>
      </c>
      <c r="S122" s="18"/>
      <c r="T122" s="18"/>
      <c r="U122" s="18"/>
      <c r="V122" s="18"/>
      <c r="X122" s="15" t="s">
        <v>249</v>
      </c>
      <c r="Y122" s="15" t="s">
        <v>324</v>
      </c>
      <c r="Z122" s="15" t="s">
        <v>345</v>
      </c>
      <c r="AA122" s="15"/>
      <c r="AB122" s="15"/>
      <c r="AC122" s="15"/>
      <c r="AD122" s="15" t="s">
        <v>323</v>
      </c>
      <c r="AE122" s="18"/>
      <c r="AF122" s="18"/>
      <c r="AG122" s="19">
        <v>3.9</v>
      </c>
      <c r="AH122" s="18"/>
      <c r="AI122" s="18"/>
      <c r="AJ122" s="18"/>
      <c r="AK122" s="18"/>
      <c r="AL122" s="18"/>
      <c r="AM122" s="19">
        <v>3.8525057596389098</v>
      </c>
      <c r="AN122" s="18"/>
      <c r="AO122" s="18"/>
      <c r="AP122" s="18"/>
      <c r="AR122" s="15" t="s">
        <v>249</v>
      </c>
      <c r="AS122" s="15" t="s">
        <v>369</v>
      </c>
      <c r="AT122" s="15"/>
      <c r="AU122" s="15"/>
      <c r="AV122" s="15" t="s">
        <v>482</v>
      </c>
      <c r="AW122" s="15"/>
      <c r="AX122" s="15"/>
      <c r="AY122" s="15"/>
      <c r="AZ122" s="18"/>
      <c r="BA122" s="18"/>
      <c r="BB122" s="19">
        <v>1.1136999999999999</v>
      </c>
      <c r="BC122" s="19">
        <v>1.1475</v>
      </c>
      <c r="BD122" s="19">
        <v>1.1822999999999999</v>
      </c>
      <c r="BE122" s="19">
        <v>1.2732000000000001</v>
      </c>
      <c r="BF122" s="19">
        <v>1.371</v>
      </c>
      <c r="BG122" s="19">
        <v>1.4982</v>
      </c>
      <c r="BH122" s="19">
        <v>1.6371</v>
      </c>
      <c r="BI122" s="19">
        <v>1.7888999999999999</v>
      </c>
      <c r="BJ122" s="19">
        <v>1.9548000000000001</v>
      </c>
      <c r="BK122" s="18"/>
      <c r="BL122" s="18"/>
      <c r="BM122" s="19">
        <v>1.216</v>
      </c>
      <c r="BN122" s="19">
        <v>1.3677999999999999</v>
      </c>
      <c r="BO122" s="19">
        <v>1.5386</v>
      </c>
      <c r="BP122" s="19">
        <v>1.6569</v>
      </c>
      <c r="BQ122" s="19">
        <v>1.7843</v>
      </c>
      <c r="BR122" s="19">
        <v>1.8111999999999999</v>
      </c>
      <c r="BS122" s="19">
        <v>1.8385</v>
      </c>
      <c r="BT122" s="19">
        <v>1.8662000000000001</v>
      </c>
      <c r="BU122" s="19">
        <v>1.8943000000000001</v>
      </c>
    </row>
    <row r="123" spans="3:73" x14ac:dyDescent="0.45">
      <c r="C123" s="15" t="s">
        <v>249</v>
      </c>
      <c r="D123" s="15" t="s">
        <v>321</v>
      </c>
      <c r="E123" s="15" t="s">
        <v>300</v>
      </c>
      <c r="F123" s="15"/>
      <c r="G123" s="15"/>
      <c r="H123" s="15" t="s">
        <v>320</v>
      </c>
      <c r="I123" s="15"/>
      <c r="J123" s="18"/>
      <c r="K123" s="18"/>
      <c r="L123" s="19">
        <v>0.27</v>
      </c>
      <c r="M123" s="18"/>
      <c r="N123" s="18"/>
      <c r="O123" s="18"/>
      <c r="P123" s="18"/>
      <c r="Q123" s="18"/>
      <c r="R123" s="19">
        <v>0.27</v>
      </c>
      <c r="S123" s="18"/>
      <c r="T123" s="18"/>
      <c r="U123" s="18"/>
      <c r="V123" s="18"/>
      <c r="X123" s="15" t="s">
        <v>249</v>
      </c>
      <c r="Y123" s="15" t="s">
        <v>324</v>
      </c>
      <c r="Z123" s="15" t="s">
        <v>346</v>
      </c>
      <c r="AA123" s="15"/>
      <c r="AB123" s="15"/>
      <c r="AC123" s="15"/>
      <c r="AD123" s="15" t="s">
        <v>323</v>
      </c>
      <c r="AE123" s="18"/>
      <c r="AF123" s="18"/>
      <c r="AG123" s="19">
        <v>3.8</v>
      </c>
      <c r="AH123" s="18"/>
      <c r="AI123" s="18"/>
      <c r="AJ123" s="18"/>
      <c r="AK123" s="18"/>
      <c r="AL123" s="18"/>
      <c r="AM123" s="19">
        <v>3.8013612509083301</v>
      </c>
      <c r="AN123" s="18"/>
      <c r="AO123" s="18"/>
      <c r="AP123" s="18"/>
      <c r="AR123" s="15" t="s">
        <v>249</v>
      </c>
      <c r="AS123" s="15" t="s">
        <v>369</v>
      </c>
      <c r="AT123" s="15"/>
      <c r="AU123" s="15"/>
      <c r="AV123" s="15" t="s">
        <v>483</v>
      </c>
      <c r="AW123" s="15"/>
      <c r="AX123" s="15"/>
      <c r="AY123" s="15"/>
      <c r="AZ123" s="18"/>
      <c r="BA123" s="18"/>
      <c r="BB123" s="19">
        <v>0.1694</v>
      </c>
      <c r="BC123" s="19">
        <v>0.17449999999999999</v>
      </c>
      <c r="BD123" s="19">
        <v>0.17979999999999999</v>
      </c>
      <c r="BE123" s="19">
        <v>0.19359999999999999</v>
      </c>
      <c r="BF123" s="19">
        <v>0.20849999999999999</v>
      </c>
      <c r="BG123" s="19">
        <v>0.2278</v>
      </c>
      <c r="BH123" s="19">
        <v>0.249</v>
      </c>
      <c r="BI123" s="19">
        <v>0.27200000000000002</v>
      </c>
      <c r="BJ123" s="19">
        <v>0.29730000000000001</v>
      </c>
      <c r="BK123" s="18"/>
      <c r="BL123" s="18"/>
      <c r="BM123" s="19">
        <v>0.18490000000000001</v>
      </c>
      <c r="BN123" s="19">
        <v>0.20799999999999999</v>
      </c>
      <c r="BO123" s="19">
        <v>0.23400000000000001</v>
      </c>
      <c r="BP123" s="19">
        <v>0.252</v>
      </c>
      <c r="BQ123" s="19">
        <v>0.27129999999999999</v>
      </c>
      <c r="BR123" s="19">
        <v>0.27539999999999998</v>
      </c>
      <c r="BS123" s="19">
        <v>0.27960000000000002</v>
      </c>
      <c r="BT123" s="19">
        <v>0.2838</v>
      </c>
      <c r="BU123" s="19">
        <v>0.28810000000000002</v>
      </c>
    </row>
    <row r="124" spans="3:73" x14ac:dyDescent="0.45">
      <c r="C124" s="15" t="s">
        <v>249</v>
      </c>
      <c r="D124" s="15" t="s">
        <v>321</v>
      </c>
      <c r="E124" s="15" t="s">
        <v>301</v>
      </c>
      <c r="F124" s="15"/>
      <c r="G124" s="15"/>
      <c r="H124" s="15" t="s">
        <v>320</v>
      </c>
      <c r="I124" s="15"/>
      <c r="J124" s="18"/>
      <c r="K124" s="18"/>
      <c r="L124" s="19">
        <v>0.27</v>
      </c>
      <c r="M124" s="18"/>
      <c r="N124" s="18"/>
      <c r="O124" s="18"/>
      <c r="P124" s="18"/>
      <c r="Q124" s="18"/>
      <c r="R124" s="19">
        <v>0.27</v>
      </c>
      <c r="S124" s="18"/>
      <c r="T124" s="18"/>
      <c r="U124" s="18"/>
      <c r="V124" s="18"/>
      <c r="X124" s="15" t="s">
        <v>249</v>
      </c>
      <c r="Y124" s="15" t="s">
        <v>324</v>
      </c>
      <c r="Z124" s="15" t="s">
        <v>347</v>
      </c>
      <c r="AA124" s="15"/>
      <c r="AB124" s="15"/>
      <c r="AC124" s="15"/>
      <c r="AD124" s="15" t="s">
        <v>323</v>
      </c>
      <c r="AE124" s="18"/>
      <c r="AF124" s="18"/>
      <c r="AG124" s="19">
        <v>17</v>
      </c>
      <c r="AH124" s="18"/>
      <c r="AI124" s="18"/>
      <c r="AJ124" s="18"/>
      <c r="AK124" s="18"/>
      <c r="AL124" s="18"/>
      <c r="AM124" s="19">
        <v>17</v>
      </c>
      <c r="AN124" s="18"/>
      <c r="AO124" s="18"/>
      <c r="AP124" s="18"/>
      <c r="AR124" s="15" t="s">
        <v>249</v>
      </c>
      <c r="AS124" s="15" t="s">
        <v>369</v>
      </c>
      <c r="AT124" s="15"/>
      <c r="AU124" s="15"/>
      <c r="AV124" s="15" t="s">
        <v>484</v>
      </c>
      <c r="AW124" s="15"/>
      <c r="AX124" s="15"/>
      <c r="AY124" s="15"/>
      <c r="AZ124" s="18"/>
      <c r="BA124" s="18"/>
      <c r="BB124" s="19">
        <v>0.53139999999999998</v>
      </c>
      <c r="BC124" s="19">
        <v>0.54749999999999999</v>
      </c>
      <c r="BD124" s="19">
        <v>0.56410000000000005</v>
      </c>
      <c r="BE124" s="19">
        <v>0.60750000000000004</v>
      </c>
      <c r="BF124" s="19">
        <v>0.6542</v>
      </c>
      <c r="BG124" s="19">
        <v>0.71479999999999999</v>
      </c>
      <c r="BH124" s="19">
        <v>0.78110000000000002</v>
      </c>
      <c r="BI124" s="19">
        <v>0.85350000000000004</v>
      </c>
      <c r="BJ124" s="19">
        <v>0.93269999999999997</v>
      </c>
      <c r="BK124" s="18"/>
      <c r="BL124" s="18"/>
      <c r="BM124" s="19">
        <v>0.58020000000000005</v>
      </c>
      <c r="BN124" s="19">
        <v>0.65259999999999996</v>
      </c>
      <c r="BO124" s="19">
        <v>0.73409999999999997</v>
      </c>
      <c r="BP124" s="19">
        <v>0.79049999999999998</v>
      </c>
      <c r="BQ124" s="19">
        <v>0.85129999999999995</v>
      </c>
      <c r="BR124" s="19">
        <v>0.86419999999999997</v>
      </c>
      <c r="BS124" s="19">
        <v>0.87719999999999998</v>
      </c>
      <c r="BT124" s="19">
        <v>0.89039999999999997</v>
      </c>
      <c r="BU124" s="19">
        <v>0.90380000000000005</v>
      </c>
    </row>
    <row r="125" spans="3:73" x14ac:dyDescent="0.45">
      <c r="C125" s="15" t="s">
        <v>249</v>
      </c>
      <c r="D125" s="15" t="s">
        <v>321</v>
      </c>
      <c r="E125" s="15" t="s">
        <v>302</v>
      </c>
      <c r="F125" s="15"/>
      <c r="G125" s="15"/>
      <c r="H125" s="15" t="s">
        <v>320</v>
      </c>
      <c r="I125" s="15"/>
      <c r="J125" s="18"/>
      <c r="K125" s="18"/>
      <c r="L125" s="19">
        <v>0.27</v>
      </c>
      <c r="M125" s="18"/>
      <c r="N125" s="18"/>
      <c r="O125" s="18"/>
      <c r="P125" s="18"/>
      <c r="Q125" s="18"/>
      <c r="R125" s="19">
        <v>0.27</v>
      </c>
      <c r="S125" s="18"/>
      <c r="T125" s="18"/>
      <c r="U125" s="18"/>
      <c r="V125" s="18"/>
      <c r="X125" s="15" t="s">
        <v>249</v>
      </c>
      <c r="Y125" s="15" t="s">
        <v>324</v>
      </c>
      <c r="Z125" s="15" t="s">
        <v>348</v>
      </c>
      <c r="AA125" s="15"/>
      <c r="AB125" s="15"/>
      <c r="AC125" s="15"/>
      <c r="AD125" s="15" t="s">
        <v>323</v>
      </c>
      <c r="AE125" s="18"/>
      <c r="AF125" s="18"/>
      <c r="AG125" s="19">
        <v>19</v>
      </c>
      <c r="AH125" s="18"/>
      <c r="AI125" s="18"/>
      <c r="AJ125" s="18"/>
      <c r="AK125" s="18"/>
      <c r="AL125" s="18"/>
      <c r="AM125" s="19">
        <v>19</v>
      </c>
      <c r="AN125" s="18"/>
      <c r="AO125" s="18"/>
      <c r="AP125" s="18"/>
      <c r="AR125" s="15" t="s">
        <v>249</v>
      </c>
      <c r="AS125" s="15" t="s">
        <v>369</v>
      </c>
      <c r="AT125" s="15"/>
      <c r="AU125" s="15"/>
      <c r="AV125" s="15" t="s">
        <v>485</v>
      </c>
      <c r="AW125" s="15"/>
      <c r="AX125" s="15"/>
      <c r="AY125" s="15"/>
      <c r="AZ125" s="18"/>
      <c r="BA125" s="18"/>
      <c r="BB125" s="19">
        <v>4.1044999999999998</v>
      </c>
      <c r="BC125" s="19">
        <v>4.2289000000000003</v>
      </c>
      <c r="BD125" s="19">
        <v>4.3570000000000002</v>
      </c>
      <c r="BE125" s="19">
        <v>4.6920000000000002</v>
      </c>
      <c r="BF125" s="19">
        <v>5.0528000000000004</v>
      </c>
      <c r="BG125" s="19">
        <v>5.5213000000000001</v>
      </c>
      <c r="BH125" s="19">
        <v>6.0332999999999997</v>
      </c>
      <c r="BI125" s="19">
        <v>6.5928000000000004</v>
      </c>
      <c r="BJ125" s="19">
        <v>7.2041000000000004</v>
      </c>
      <c r="BK125" s="18"/>
      <c r="BL125" s="18"/>
      <c r="BM125" s="19">
        <v>4.4812000000000003</v>
      </c>
      <c r="BN125" s="19">
        <v>5.0407999999999999</v>
      </c>
      <c r="BO125" s="19">
        <v>5.6702000000000004</v>
      </c>
      <c r="BP125" s="19">
        <v>6.1062000000000003</v>
      </c>
      <c r="BQ125" s="19">
        <v>6.5757000000000003</v>
      </c>
      <c r="BR125" s="19">
        <v>6.6748000000000003</v>
      </c>
      <c r="BS125" s="19">
        <v>6.7754000000000003</v>
      </c>
      <c r="BT125" s="19">
        <v>6.8776000000000002</v>
      </c>
      <c r="BU125" s="19">
        <v>6.9812000000000003</v>
      </c>
    </row>
    <row r="126" spans="3:73" x14ac:dyDescent="0.45">
      <c r="C126" s="15" t="s">
        <v>249</v>
      </c>
      <c r="D126" s="15" t="s">
        <v>321</v>
      </c>
      <c r="E126" s="15" t="s">
        <v>303</v>
      </c>
      <c r="F126" s="15"/>
      <c r="G126" s="15"/>
      <c r="H126" s="15" t="s">
        <v>320</v>
      </c>
      <c r="I126" s="15"/>
      <c r="J126" s="18"/>
      <c r="K126" s="18"/>
      <c r="L126" s="19">
        <v>0.27</v>
      </c>
      <c r="M126" s="18"/>
      <c r="N126" s="18"/>
      <c r="O126" s="18"/>
      <c r="P126" s="18"/>
      <c r="Q126" s="18"/>
      <c r="R126" s="19">
        <v>0.27</v>
      </c>
      <c r="S126" s="18"/>
      <c r="T126" s="18"/>
      <c r="U126" s="18"/>
      <c r="V126" s="18"/>
      <c r="X126" s="15" t="s">
        <v>249</v>
      </c>
      <c r="Y126" s="15" t="s">
        <v>324</v>
      </c>
      <c r="Z126" s="15" t="s">
        <v>349</v>
      </c>
      <c r="AA126" s="15"/>
      <c r="AB126" s="15"/>
      <c r="AC126" s="15"/>
      <c r="AD126" s="15" t="s">
        <v>323</v>
      </c>
      <c r="AE126" s="18"/>
      <c r="AF126" s="18"/>
      <c r="AG126" s="19">
        <v>25</v>
      </c>
      <c r="AH126" s="18"/>
      <c r="AI126" s="18"/>
      <c r="AJ126" s="18"/>
      <c r="AK126" s="18"/>
      <c r="AL126" s="18"/>
      <c r="AM126" s="19">
        <v>25</v>
      </c>
      <c r="AN126" s="18"/>
      <c r="AO126" s="18"/>
      <c r="AP126" s="18"/>
      <c r="AR126" s="15" t="s">
        <v>249</v>
      </c>
      <c r="AS126" s="15" t="s">
        <v>369</v>
      </c>
      <c r="AT126" s="15"/>
      <c r="AU126" s="15"/>
      <c r="AV126" s="15" t="s">
        <v>486</v>
      </c>
      <c r="AW126" s="15"/>
      <c r="AX126" s="15"/>
      <c r="AY126" s="15"/>
      <c r="AZ126" s="18"/>
      <c r="BA126" s="18"/>
      <c r="BB126" s="19">
        <v>0.4446</v>
      </c>
      <c r="BC126" s="19">
        <v>0.45810000000000001</v>
      </c>
      <c r="BD126" s="19">
        <v>0.47199999999999998</v>
      </c>
      <c r="BE126" s="19">
        <v>0.50829999999999997</v>
      </c>
      <c r="BF126" s="19">
        <v>0.5474</v>
      </c>
      <c r="BG126" s="19">
        <v>0.59809999999999997</v>
      </c>
      <c r="BH126" s="19">
        <v>0.65359999999999996</v>
      </c>
      <c r="BI126" s="19">
        <v>0.71419999999999995</v>
      </c>
      <c r="BJ126" s="19">
        <v>0.78039999999999998</v>
      </c>
      <c r="BK126" s="18"/>
      <c r="BL126" s="18"/>
      <c r="BM126" s="19">
        <v>0.4854</v>
      </c>
      <c r="BN126" s="19">
        <v>0.54610000000000003</v>
      </c>
      <c r="BO126" s="19">
        <v>0.61419999999999997</v>
      </c>
      <c r="BP126" s="19">
        <v>0.66149999999999998</v>
      </c>
      <c r="BQ126" s="19">
        <v>0.71230000000000004</v>
      </c>
      <c r="BR126" s="19">
        <v>0.72309999999999997</v>
      </c>
      <c r="BS126" s="19">
        <v>0.73399999999999999</v>
      </c>
      <c r="BT126" s="19">
        <v>0.745</v>
      </c>
      <c r="BU126" s="19">
        <v>0.75629999999999997</v>
      </c>
    </row>
    <row r="127" spans="3:73" x14ac:dyDescent="0.45">
      <c r="C127" s="15" t="s">
        <v>249</v>
      </c>
      <c r="D127" s="15" t="s">
        <v>321</v>
      </c>
      <c r="E127" s="15" t="s">
        <v>304</v>
      </c>
      <c r="F127" s="15"/>
      <c r="G127" s="15"/>
      <c r="H127" s="15" t="s">
        <v>320</v>
      </c>
      <c r="I127" s="15"/>
      <c r="J127" s="18"/>
      <c r="K127" s="18"/>
      <c r="L127" s="19">
        <v>0.16</v>
      </c>
      <c r="M127" s="18"/>
      <c r="N127" s="18"/>
      <c r="O127" s="18"/>
      <c r="P127" s="18"/>
      <c r="Q127" s="18"/>
      <c r="R127" s="19">
        <v>0.16</v>
      </c>
      <c r="S127" s="18"/>
      <c r="T127" s="18"/>
      <c r="U127" s="18"/>
      <c r="V127" s="18"/>
      <c r="X127" s="15" t="s">
        <v>249</v>
      </c>
      <c r="Y127" s="15" t="s">
        <v>324</v>
      </c>
      <c r="Z127" s="15" t="s">
        <v>350</v>
      </c>
      <c r="AA127" s="15"/>
      <c r="AB127" s="15"/>
      <c r="AC127" s="15"/>
      <c r="AD127" s="15" t="s">
        <v>323</v>
      </c>
      <c r="AE127" s="18"/>
      <c r="AF127" s="18"/>
      <c r="AG127" s="19">
        <v>12.5586136683114</v>
      </c>
      <c r="AH127" s="18"/>
      <c r="AI127" s="18"/>
      <c r="AJ127" s="18"/>
      <c r="AK127" s="18"/>
      <c r="AL127" s="18"/>
      <c r="AM127" s="19">
        <v>14.4185060203493</v>
      </c>
      <c r="AN127" s="18"/>
      <c r="AO127" s="18"/>
      <c r="AP127" s="18"/>
      <c r="AR127" s="15" t="s">
        <v>249</v>
      </c>
      <c r="AS127" s="15" t="s">
        <v>369</v>
      </c>
      <c r="AT127" s="15"/>
      <c r="AU127" s="15"/>
      <c r="AV127" s="15" t="s">
        <v>487</v>
      </c>
      <c r="AW127" s="15"/>
      <c r="AX127" s="15"/>
      <c r="AY127" s="15"/>
      <c r="AZ127" s="18"/>
      <c r="BA127" s="18"/>
      <c r="BB127" s="19">
        <v>41.068899999999999</v>
      </c>
      <c r="BC127" s="19">
        <v>41.068899999999999</v>
      </c>
      <c r="BD127" s="19">
        <v>41.068899999999999</v>
      </c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8"/>
      <c r="BL127" s="18"/>
      <c r="BM127" s="19">
        <v>41.068899999999999</v>
      </c>
      <c r="BN127" s="19">
        <v>41.068899999999999</v>
      </c>
      <c r="BO127" s="19">
        <v>41.068899999999999</v>
      </c>
      <c r="BP127" s="19">
        <v>41.068899999999999</v>
      </c>
      <c r="BQ127" s="19">
        <v>41.068899999999999</v>
      </c>
      <c r="BR127" s="19">
        <v>41.068899999999999</v>
      </c>
      <c r="BS127" s="19">
        <v>0</v>
      </c>
      <c r="BT127" s="19">
        <v>0</v>
      </c>
      <c r="BU127" s="19">
        <v>0</v>
      </c>
    </row>
    <row r="128" spans="3:73" x14ac:dyDescent="0.45">
      <c r="C128" s="15" t="s">
        <v>249</v>
      </c>
      <c r="D128" s="15" t="s">
        <v>321</v>
      </c>
      <c r="E128" s="15" t="s">
        <v>305</v>
      </c>
      <c r="F128" s="15"/>
      <c r="G128" s="15"/>
      <c r="H128" s="15" t="s">
        <v>320</v>
      </c>
      <c r="I128" s="15"/>
      <c r="J128" s="18"/>
      <c r="K128" s="18"/>
      <c r="L128" s="19">
        <v>0.16</v>
      </c>
      <c r="M128" s="18"/>
      <c r="N128" s="18"/>
      <c r="O128" s="18"/>
      <c r="P128" s="18"/>
      <c r="Q128" s="18"/>
      <c r="R128" s="19">
        <v>0.16</v>
      </c>
      <c r="S128" s="18"/>
      <c r="T128" s="18"/>
      <c r="U128" s="18"/>
      <c r="V128" s="18"/>
      <c r="X128" s="15" t="s">
        <v>249</v>
      </c>
      <c r="Y128" s="15" t="s">
        <v>324</v>
      </c>
      <c r="Z128" s="15" t="s">
        <v>351</v>
      </c>
      <c r="AA128" s="15"/>
      <c r="AB128" s="15"/>
      <c r="AC128" s="15"/>
      <c r="AD128" s="15" t="s">
        <v>323</v>
      </c>
      <c r="AE128" s="18"/>
      <c r="AF128" s="18"/>
      <c r="AG128" s="19">
        <v>14.058149628706801</v>
      </c>
      <c r="AH128" s="18"/>
      <c r="AI128" s="18"/>
      <c r="AJ128" s="18"/>
      <c r="AK128" s="18"/>
      <c r="AL128" s="18"/>
      <c r="AM128" s="19">
        <v>29.382799223963701</v>
      </c>
      <c r="AN128" s="18"/>
      <c r="AO128" s="18"/>
      <c r="AP128" s="18"/>
      <c r="AR128" s="15" t="s">
        <v>249</v>
      </c>
      <c r="AS128" s="15" t="s">
        <v>369</v>
      </c>
      <c r="AT128" s="15"/>
      <c r="AU128" s="15"/>
      <c r="AV128" s="15" t="s">
        <v>488</v>
      </c>
      <c r="AW128" s="15"/>
      <c r="AX128" s="15"/>
      <c r="AY128" s="15"/>
      <c r="AZ128" s="18"/>
      <c r="BA128" s="18"/>
      <c r="BB128" s="19">
        <v>16.4618</v>
      </c>
      <c r="BC128" s="19">
        <v>16.4618</v>
      </c>
      <c r="BD128" s="19">
        <v>16.4618</v>
      </c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8"/>
      <c r="BL128" s="18"/>
      <c r="BM128" s="19">
        <v>16.4618</v>
      </c>
      <c r="BN128" s="19">
        <v>16.4618</v>
      </c>
      <c r="BO128" s="19">
        <v>16.4618</v>
      </c>
      <c r="BP128" s="19">
        <v>16.4618</v>
      </c>
      <c r="BQ128" s="19">
        <v>16.4618</v>
      </c>
      <c r="BR128" s="19">
        <v>16.4618</v>
      </c>
      <c r="BS128" s="19">
        <v>0</v>
      </c>
      <c r="BT128" s="19">
        <v>0</v>
      </c>
      <c r="BU128" s="19">
        <v>0</v>
      </c>
    </row>
    <row r="129" spans="3:73" x14ac:dyDescent="0.45">
      <c r="C129" s="15" t="s">
        <v>249</v>
      </c>
      <c r="D129" s="15" t="s">
        <v>321</v>
      </c>
      <c r="E129" s="15" t="s">
        <v>306</v>
      </c>
      <c r="F129" s="15"/>
      <c r="G129" s="15"/>
      <c r="H129" s="15" t="s">
        <v>320</v>
      </c>
      <c r="I129" s="15"/>
      <c r="J129" s="18"/>
      <c r="K129" s="18"/>
      <c r="L129" s="19">
        <v>0.23</v>
      </c>
      <c r="M129" s="18"/>
      <c r="N129" s="18"/>
      <c r="O129" s="18"/>
      <c r="P129" s="18"/>
      <c r="Q129" s="18"/>
      <c r="R129" s="19">
        <v>0.23</v>
      </c>
      <c r="S129" s="18"/>
      <c r="T129" s="18"/>
      <c r="U129" s="18"/>
      <c r="V129" s="18"/>
      <c r="X129" s="15" t="s">
        <v>249</v>
      </c>
      <c r="Y129" s="15" t="s">
        <v>324</v>
      </c>
      <c r="Z129" s="15" t="s">
        <v>352</v>
      </c>
      <c r="AA129" s="15"/>
      <c r="AB129" s="15"/>
      <c r="AC129" s="15"/>
      <c r="AD129" s="15" t="s">
        <v>323</v>
      </c>
      <c r="AE129" s="18"/>
      <c r="AF129" s="18"/>
      <c r="AG129" s="19">
        <v>18.744199504942301</v>
      </c>
      <c r="AH129" s="18"/>
      <c r="AI129" s="18"/>
      <c r="AJ129" s="18"/>
      <c r="AK129" s="18"/>
      <c r="AL129" s="18"/>
      <c r="AM129" s="19">
        <v>18.744199504942301</v>
      </c>
      <c r="AN129" s="18"/>
      <c r="AO129" s="18"/>
      <c r="AP129" s="18"/>
      <c r="AR129" s="15" t="s">
        <v>249</v>
      </c>
      <c r="AS129" s="15" t="s">
        <v>369</v>
      </c>
      <c r="AT129" s="15"/>
      <c r="AU129" s="15"/>
      <c r="AV129" s="15" t="s">
        <v>489</v>
      </c>
      <c r="AW129" s="15"/>
      <c r="AX129" s="15"/>
      <c r="AY129" s="15"/>
      <c r="AZ129" s="18"/>
      <c r="BA129" s="18"/>
      <c r="BB129" s="19">
        <v>4.0899999999999999E-2</v>
      </c>
      <c r="BC129" s="19">
        <v>4.2099999999999999E-2</v>
      </c>
      <c r="BD129" s="19">
        <v>4.3400000000000001E-2</v>
      </c>
      <c r="BE129" s="19">
        <v>4.6800000000000001E-2</v>
      </c>
      <c r="BF129" s="19">
        <v>5.04E-2</v>
      </c>
      <c r="BG129" s="19">
        <v>5.5E-2</v>
      </c>
      <c r="BH129" s="19">
        <v>6.0100000000000001E-2</v>
      </c>
      <c r="BI129" s="19">
        <v>6.5699999999999995E-2</v>
      </c>
      <c r="BJ129" s="19">
        <v>7.1800000000000003E-2</v>
      </c>
      <c r="BK129" s="18"/>
      <c r="BL129" s="18"/>
      <c r="BM129" s="19">
        <v>4.4699999999999997E-2</v>
      </c>
      <c r="BN129" s="19">
        <v>5.0200000000000002E-2</v>
      </c>
      <c r="BO129" s="19">
        <v>5.6500000000000002E-2</v>
      </c>
      <c r="BP129" s="19">
        <v>6.0900000000000003E-2</v>
      </c>
      <c r="BQ129" s="19">
        <v>6.5500000000000003E-2</v>
      </c>
      <c r="BR129" s="19">
        <v>6.6500000000000004E-2</v>
      </c>
      <c r="BS129" s="19">
        <v>6.7500000000000004E-2</v>
      </c>
      <c r="BT129" s="19">
        <v>6.8500000000000005E-2</v>
      </c>
      <c r="BU129" s="19">
        <v>6.9599999999999995E-2</v>
      </c>
    </row>
    <row r="130" spans="3:73" x14ac:dyDescent="0.45">
      <c r="C130" s="15" t="s">
        <v>249</v>
      </c>
      <c r="D130" s="15" t="s">
        <v>321</v>
      </c>
      <c r="E130" s="15" t="s">
        <v>307</v>
      </c>
      <c r="F130" s="15"/>
      <c r="G130" s="15"/>
      <c r="H130" s="15" t="s">
        <v>320</v>
      </c>
      <c r="I130" s="15"/>
      <c r="J130" s="18"/>
      <c r="K130" s="18"/>
      <c r="L130" s="19">
        <v>0.25</v>
      </c>
      <c r="M130" s="18"/>
      <c r="N130" s="18"/>
      <c r="O130" s="18"/>
      <c r="P130" s="18"/>
      <c r="Q130" s="18"/>
      <c r="R130" s="19">
        <v>0.25</v>
      </c>
      <c r="S130" s="18"/>
      <c r="T130" s="18"/>
      <c r="U130" s="18"/>
      <c r="V130" s="18"/>
      <c r="X130" s="15" t="s">
        <v>249</v>
      </c>
      <c r="Y130" s="15" t="s">
        <v>324</v>
      </c>
      <c r="Z130" s="15" t="s">
        <v>353</v>
      </c>
      <c r="AA130" s="15"/>
      <c r="AB130" s="15"/>
      <c r="AC130" s="15"/>
      <c r="AD130" s="15" t="s">
        <v>323</v>
      </c>
      <c r="AE130" s="18"/>
      <c r="AF130" s="18"/>
      <c r="AG130" s="19">
        <v>1.2391652495566501</v>
      </c>
      <c r="AH130" s="18"/>
      <c r="AI130" s="18"/>
      <c r="AJ130" s="18"/>
      <c r="AK130" s="18"/>
      <c r="AL130" s="18"/>
      <c r="AM130" s="19">
        <v>1.2391652495566501</v>
      </c>
      <c r="AN130" s="18"/>
      <c r="AO130" s="18"/>
      <c r="AP130" s="18"/>
      <c r="AR130" s="15" t="s">
        <v>249</v>
      </c>
      <c r="AS130" s="15" t="s">
        <v>369</v>
      </c>
      <c r="AT130" s="15"/>
      <c r="AU130" s="15"/>
      <c r="AV130" s="15" t="s">
        <v>490</v>
      </c>
      <c r="AW130" s="15"/>
      <c r="AX130" s="15"/>
      <c r="AY130" s="15"/>
      <c r="AZ130" s="18"/>
      <c r="BA130" s="18"/>
      <c r="BB130" s="19">
        <v>1.0025999999999999</v>
      </c>
      <c r="BC130" s="19">
        <v>1.0025999999999999</v>
      </c>
      <c r="BD130" s="19">
        <v>1.0025999999999999</v>
      </c>
      <c r="BE130" s="19">
        <v>1.0025999999999999</v>
      </c>
      <c r="BF130" s="19">
        <v>1.0025999999999999</v>
      </c>
      <c r="BG130" s="19">
        <v>1.0025999999999999</v>
      </c>
      <c r="BH130" s="19">
        <v>1.0025999999999999</v>
      </c>
      <c r="BI130" s="19">
        <v>1.0025999999999999</v>
      </c>
      <c r="BJ130" s="19">
        <v>1.0025999999999999</v>
      </c>
      <c r="BK130" s="18"/>
      <c r="BL130" s="18"/>
      <c r="BM130" s="19">
        <v>1.1277999999999999</v>
      </c>
      <c r="BN130" s="19">
        <v>1.2685999999999999</v>
      </c>
      <c r="BO130" s="19">
        <v>1.427</v>
      </c>
      <c r="BP130" s="19">
        <v>1.5367</v>
      </c>
      <c r="BQ130" s="19">
        <v>1.6549</v>
      </c>
      <c r="BR130" s="19">
        <v>1.6798</v>
      </c>
      <c r="BS130" s="19">
        <v>1.7052</v>
      </c>
      <c r="BT130" s="19">
        <v>1.7309000000000001</v>
      </c>
      <c r="BU130" s="19">
        <v>1.7569999999999999</v>
      </c>
    </row>
    <row r="131" spans="3:73" x14ac:dyDescent="0.45">
      <c r="C131" s="15" t="s">
        <v>249</v>
      </c>
      <c r="D131" s="15" t="s">
        <v>321</v>
      </c>
      <c r="E131" s="15" t="s">
        <v>308</v>
      </c>
      <c r="F131" s="15"/>
      <c r="G131" s="15"/>
      <c r="H131" s="15" t="s">
        <v>320</v>
      </c>
      <c r="I131" s="15"/>
      <c r="J131" s="18"/>
      <c r="K131" s="18"/>
      <c r="L131" s="19">
        <v>0.25</v>
      </c>
      <c r="M131" s="18"/>
      <c r="N131" s="18"/>
      <c r="O131" s="18"/>
      <c r="P131" s="18"/>
      <c r="Q131" s="18"/>
      <c r="R131" s="19">
        <v>0.25</v>
      </c>
      <c r="S131" s="18"/>
      <c r="T131" s="18"/>
      <c r="U131" s="18"/>
      <c r="V131" s="18"/>
      <c r="X131" s="15" t="s">
        <v>249</v>
      </c>
      <c r="Y131" s="15" t="s">
        <v>324</v>
      </c>
      <c r="Z131" s="15" t="s">
        <v>354</v>
      </c>
      <c r="AA131" s="15"/>
      <c r="AB131" s="15"/>
      <c r="AC131" s="15"/>
      <c r="AD131" s="15" t="s">
        <v>323</v>
      </c>
      <c r="AE131" s="18"/>
      <c r="AF131" s="18"/>
      <c r="AG131" s="19">
        <v>1.26178058877254</v>
      </c>
      <c r="AH131" s="18"/>
      <c r="AI131" s="18"/>
      <c r="AJ131" s="18"/>
      <c r="AK131" s="18"/>
      <c r="AL131" s="18"/>
      <c r="AM131" s="19">
        <v>1.26178058877254</v>
      </c>
      <c r="AN131" s="18"/>
      <c r="AO131" s="18"/>
      <c r="AP131" s="18"/>
      <c r="AR131" s="15" t="s">
        <v>249</v>
      </c>
      <c r="AS131" s="15" t="s">
        <v>369</v>
      </c>
      <c r="AT131" s="15"/>
      <c r="AU131" s="15"/>
      <c r="AV131" s="15" t="s">
        <v>491</v>
      </c>
      <c r="AW131" s="15"/>
      <c r="AX131" s="15"/>
      <c r="AY131" s="15"/>
      <c r="AZ131" s="18"/>
      <c r="BA131" s="18"/>
      <c r="BB131" s="19">
        <v>4.0376000000000003</v>
      </c>
      <c r="BC131" s="19">
        <v>4.0376000000000003</v>
      </c>
      <c r="BD131" s="19">
        <v>4.0376000000000003</v>
      </c>
      <c r="BE131" s="19">
        <v>4.0376000000000003</v>
      </c>
      <c r="BF131" s="19">
        <v>4.0376000000000003</v>
      </c>
      <c r="BG131" s="19">
        <v>4.0376000000000003</v>
      </c>
      <c r="BH131" s="19">
        <v>4.0376000000000003</v>
      </c>
      <c r="BI131" s="19">
        <v>4.0376000000000003</v>
      </c>
      <c r="BJ131" s="19">
        <v>4.0376000000000003</v>
      </c>
      <c r="BK131" s="18"/>
      <c r="BL131" s="18"/>
      <c r="BM131" s="19">
        <v>4.5416999999999996</v>
      </c>
      <c r="BN131" s="19">
        <v>5.1087999999999996</v>
      </c>
      <c r="BO131" s="19">
        <v>5.7466999999999997</v>
      </c>
      <c r="BP131" s="19">
        <v>6.1886000000000001</v>
      </c>
      <c r="BQ131" s="19">
        <v>6.6645000000000003</v>
      </c>
      <c r="BR131" s="19">
        <v>6.7648999999999999</v>
      </c>
      <c r="BS131" s="19">
        <v>6.8669000000000002</v>
      </c>
      <c r="BT131" s="19">
        <v>6.9703999999999997</v>
      </c>
      <c r="BU131" s="19">
        <v>7.0754999999999999</v>
      </c>
    </row>
    <row r="132" spans="3:73" x14ac:dyDescent="0.45">
      <c r="C132" s="15" t="s">
        <v>249</v>
      </c>
      <c r="D132" s="15" t="s">
        <v>321</v>
      </c>
      <c r="E132" s="15" t="s">
        <v>309</v>
      </c>
      <c r="F132" s="15"/>
      <c r="G132" s="15"/>
      <c r="H132" s="15" t="s">
        <v>320</v>
      </c>
      <c r="I132" s="15"/>
      <c r="J132" s="18"/>
      <c r="K132" s="18"/>
      <c r="L132" s="19">
        <v>0.02</v>
      </c>
      <c r="M132" s="18"/>
      <c r="N132" s="18"/>
      <c r="O132" s="18"/>
      <c r="P132" s="18"/>
      <c r="Q132" s="18"/>
      <c r="R132" s="19">
        <v>0.02</v>
      </c>
      <c r="S132" s="18"/>
      <c r="T132" s="18"/>
      <c r="U132" s="18"/>
      <c r="V132" s="18"/>
      <c r="X132" s="15" t="s">
        <v>249</v>
      </c>
      <c r="Y132" s="15" t="s">
        <v>324</v>
      </c>
      <c r="Z132" s="15" t="s">
        <v>355</v>
      </c>
      <c r="AA132" s="15"/>
      <c r="AB132" s="15"/>
      <c r="AC132" s="15"/>
      <c r="AD132" s="15" t="s">
        <v>323</v>
      </c>
      <c r="AE132" s="18"/>
      <c r="AF132" s="18"/>
      <c r="AG132" s="19">
        <v>1.09979187902069</v>
      </c>
      <c r="AH132" s="18"/>
      <c r="AI132" s="18"/>
      <c r="AJ132" s="18"/>
      <c r="AK132" s="18"/>
      <c r="AL132" s="18"/>
      <c r="AM132" s="19">
        <v>1.09979187902069</v>
      </c>
      <c r="AN132" s="18"/>
      <c r="AO132" s="18"/>
      <c r="AP132" s="18"/>
      <c r="AR132" s="15" t="s">
        <v>249</v>
      </c>
      <c r="AS132" s="15" t="s">
        <v>369</v>
      </c>
      <c r="AT132" s="15"/>
      <c r="AU132" s="15"/>
      <c r="AV132" s="15" t="s">
        <v>492</v>
      </c>
      <c r="AW132" s="15"/>
      <c r="AX132" s="15"/>
      <c r="AY132" s="15"/>
      <c r="AZ132" s="18"/>
      <c r="BA132" s="18"/>
      <c r="BB132" s="19">
        <v>4.2074999999999996</v>
      </c>
      <c r="BC132" s="19">
        <v>4.335</v>
      </c>
      <c r="BD132" s="19">
        <v>4.4664000000000001</v>
      </c>
      <c r="BE132" s="19">
        <v>4.8098000000000001</v>
      </c>
      <c r="BF132" s="19">
        <v>5.1795999999999998</v>
      </c>
      <c r="BG132" s="19">
        <v>5.6599000000000004</v>
      </c>
      <c r="BH132" s="19">
        <v>6.1848000000000001</v>
      </c>
      <c r="BI132" s="19">
        <v>6.7582000000000004</v>
      </c>
      <c r="BJ132" s="19">
        <v>7.3849</v>
      </c>
      <c r="BK132" s="18"/>
      <c r="BL132" s="18"/>
      <c r="BM132" s="19">
        <v>4.5937000000000001</v>
      </c>
      <c r="BN132" s="19">
        <v>5.1673</v>
      </c>
      <c r="BO132" s="19">
        <v>5.8125</v>
      </c>
      <c r="BP132" s="19">
        <v>6.2594000000000003</v>
      </c>
      <c r="BQ132" s="19">
        <v>6.7407000000000004</v>
      </c>
      <c r="BR132" s="19">
        <v>6.8422999999999998</v>
      </c>
      <c r="BS132" s="19">
        <v>6.9455</v>
      </c>
      <c r="BT132" s="19">
        <v>7.0502000000000002</v>
      </c>
      <c r="BU132" s="19">
        <v>7.1565000000000003</v>
      </c>
    </row>
    <row r="133" spans="3:73" x14ac:dyDescent="0.45">
      <c r="C133" s="15" t="s">
        <v>249</v>
      </c>
      <c r="D133" s="15" t="s">
        <v>321</v>
      </c>
      <c r="E133" s="15" t="s">
        <v>310</v>
      </c>
      <c r="F133" s="15"/>
      <c r="G133" s="15"/>
      <c r="H133" s="15" t="s">
        <v>320</v>
      </c>
      <c r="I133" s="15"/>
      <c r="J133" s="18"/>
      <c r="K133" s="18"/>
      <c r="L133" s="19">
        <v>0.02</v>
      </c>
      <c r="M133" s="18"/>
      <c r="N133" s="18"/>
      <c r="O133" s="18"/>
      <c r="P133" s="18"/>
      <c r="Q133" s="18"/>
      <c r="R133" s="19">
        <v>0.02</v>
      </c>
      <c r="S133" s="18"/>
      <c r="T133" s="18"/>
      <c r="U133" s="18"/>
      <c r="V133" s="18"/>
      <c r="X133" s="15" t="s">
        <v>249</v>
      </c>
      <c r="Y133" s="15" t="s">
        <v>324</v>
      </c>
      <c r="Z133" s="15" t="s">
        <v>356</v>
      </c>
      <c r="AA133" s="15"/>
      <c r="AB133" s="15"/>
      <c r="AC133" s="15"/>
      <c r="AD133" s="15" t="s">
        <v>323</v>
      </c>
      <c r="AE133" s="18"/>
      <c r="AF133" s="18"/>
      <c r="AG133" s="19">
        <v>1.13302870436116</v>
      </c>
      <c r="AH133" s="18"/>
      <c r="AI133" s="18"/>
      <c r="AJ133" s="18"/>
      <c r="AK133" s="18"/>
      <c r="AL133" s="18"/>
      <c r="AM133" s="19">
        <v>1.13302870436116</v>
      </c>
      <c r="AN133" s="18"/>
      <c r="AO133" s="18"/>
      <c r="AP133" s="18"/>
      <c r="AR133" s="15" t="s">
        <v>249</v>
      </c>
      <c r="AS133" s="15" t="s">
        <v>369</v>
      </c>
      <c r="AT133" s="15"/>
      <c r="AU133" s="15"/>
      <c r="AV133" s="15" t="s">
        <v>493</v>
      </c>
      <c r="AW133" s="15"/>
      <c r="AX133" s="15"/>
      <c r="AY133" s="15"/>
      <c r="AZ133" s="18"/>
      <c r="BA133" s="18"/>
      <c r="BB133" s="19">
        <v>8.3000000000000001E-3</v>
      </c>
      <c r="BC133" s="19">
        <v>8.3000000000000001E-3</v>
      </c>
      <c r="BD133" s="19">
        <v>8.3000000000000001E-3</v>
      </c>
      <c r="BE133" s="19">
        <v>8.3000000000000001E-3</v>
      </c>
      <c r="BF133" s="19">
        <v>8.3000000000000001E-3</v>
      </c>
      <c r="BG133" s="19">
        <v>8.3000000000000001E-3</v>
      </c>
      <c r="BH133" s="19">
        <v>8.3000000000000001E-3</v>
      </c>
      <c r="BI133" s="19">
        <v>8.3000000000000001E-3</v>
      </c>
      <c r="BJ133" s="19">
        <v>8.3000000000000001E-3</v>
      </c>
      <c r="BK133" s="18"/>
      <c r="BL133" s="18"/>
      <c r="BM133" s="19">
        <v>9.2999999999999992E-3</v>
      </c>
      <c r="BN133" s="19">
        <v>1.0500000000000001E-2</v>
      </c>
      <c r="BO133" s="19">
        <v>1.18E-2</v>
      </c>
      <c r="BP133" s="19">
        <v>1.2699999999999999E-2</v>
      </c>
      <c r="BQ133" s="19">
        <v>1.3599999999999999E-2</v>
      </c>
      <c r="BR133" s="19">
        <v>1.38E-2</v>
      </c>
      <c r="BS133" s="19">
        <v>1.4E-2</v>
      </c>
      <c r="BT133" s="19">
        <v>1.43E-2</v>
      </c>
      <c r="BU133" s="19">
        <v>1.4500000000000001E-2</v>
      </c>
    </row>
    <row r="134" spans="3:73" x14ac:dyDescent="0.45">
      <c r="C134" s="15" t="s">
        <v>249</v>
      </c>
      <c r="D134" s="15" t="s">
        <v>321</v>
      </c>
      <c r="E134" s="15" t="s">
        <v>311</v>
      </c>
      <c r="F134" s="15"/>
      <c r="G134" s="15"/>
      <c r="H134" s="15" t="s">
        <v>320</v>
      </c>
      <c r="I134" s="15"/>
      <c r="J134" s="18"/>
      <c r="K134" s="18"/>
      <c r="L134" s="19">
        <v>0.02</v>
      </c>
      <c r="M134" s="18"/>
      <c r="N134" s="18"/>
      <c r="O134" s="18"/>
      <c r="P134" s="18"/>
      <c r="Q134" s="18"/>
      <c r="R134" s="19">
        <v>0.02</v>
      </c>
      <c r="S134" s="18"/>
      <c r="T134" s="18"/>
      <c r="U134" s="18"/>
      <c r="V134" s="18"/>
      <c r="X134" s="15" t="s">
        <v>249</v>
      </c>
      <c r="Y134" s="15" t="s">
        <v>324</v>
      </c>
      <c r="Z134" s="15" t="s">
        <v>357</v>
      </c>
      <c r="AA134" s="15"/>
      <c r="AB134" s="15"/>
      <c r="AC134" s="15"/>
      <c r="AD134" s="15" t="s">
        <v>323</v>
      </c>
      <c r="AE134" s="18"/>
      <c r="AF134" s="18"/>
      <c r="AG134" s="19">
        <v>1.3430866666666701</v>
      </c>
      <c r="AH134" s="18"/>
      <c r="AI134" s="18"/>
      <c r="AJ134" s="18"/>
      <c r="AK134" s="18"/>
      <c r="AL134" s="18"/>
      <c r="AM134" s="19">
        <v>1.3430866666666701</v>
      </c>
      <c r="AN134" s="18"/>
      <c r="AO134" s="18"/>
      <c r="AP134" s="18"/>
      <c r="AR134" s="15" t="s">
        <v>249</v>
      </c>
      <c r="AS134" s="15" t="s">
        <v>369</v>
      </c>
      <c r="AT134" s="15"/>
      <c r="AU134" s="15"/>
      <c r="AV134" s="15" t="s">
        <v>494</v>
      </c>
      <c r="AW134" s="15"/>
      <c r="AX134" s="15"/>
      <c r="AY134" s="15"/>
      <c r="AZ134" s="18"/>
      <c r="BA134" s="18"/>
      <c r="BB134" s="19">
        <v>2.6537999999999999</v>
      </c>
      <c r="BC134" s="19">
        <v>2.6537999999999999</v>
      </c>
      <c r="BD134" s="19">
        <v>2.6537999999999999</v>
      </c>
      <c r="BE134" s="19">
        <v>2.6537999999999999</v>
      </c>
      <c r="BF134" s="19">
        <v>2.6537999999999999</v>
      </c>
      <c r="BG134" s="19">
        <v>2.6537999999999999</v>
      </c>
      <c r="BH134" s="19">
        <v>2.6537999999999999</v>
      </c>
      <c r="BI134" s="19">
        <v>2.6537999999999999</v>
      </c>
      <c r="BJ134" s="19">
        <v>2.6537999999999999</v>
      </c>
      <c r="BK134" s="18"/>
      <c r="BL134" s="18"/>
      <c r="BM134" s="19">
        <v>2.9851999999999999</v>
      </c>
      <c r="BN134" s="19">
        <v>3.3578999999999999</v>
      </c>
      <c r="BO134" s="19">
        <v>3.7772000000000001</v>
      </c>
      <c r="BP134" s="19">
        <v>4.0675999999999997</v>
      </c>
      <c r="BQ134" s="19">
        <v>4.3803999999999998</v>
      </c>
      <c r="BR134" s="19">
        <v>4.4463999999999997</v>
      </c>
      <c r="BS134" s="19">
        <v>4.5133999999999999</v>
      </c>
      <c r="BT134" s="19">
        <v>4.5815000000000001</v>
      </c>
      <c r="BU134" s="19">
        <v>4.6505999999999998</v>
      </c>
    </row>
    <row r="135" spans="3:73" x14ac:dyDescent="0.45">
      <c r="C135" s="15" t="s">
        <v>249</v>
      </c>
      <c r="D135" s="15" t="s">
        <v>321</v>
      </c>
      <c r="E135" s="15" t="s">
        <v>312</v>
      </c>
      <c r="F135" s="15"/>
      <c r="G135" s="15"/>
      <c r="H135" s="15" t="s">
        <v>320</v>
      </c>
      <c r="I135" s="15"/>
      <c r="J135" s="18"/>
      <c r="K135" s="18"/>
      <c r="L135" s="19">
        <v>0.09</v>
      </c>
      <c r="M135" s="18"/>
      <c r="N135" s="18"/>
      <c r="O135" s="18"/>
      <c r="P135" s="18"/>
      <c r="Q135" s="18"/>
      <c r="R135" s="19">
        <v>0.09</v>
      </c>
      <c r="S135" s="18"/>
      <c r="T135" s="18"/>
      <c r="U135" s="18"/>
      <c r="V135" s="18"/>
      <c r="X135" s="15" t="s">
        <v>249</v>
      </c>
      <c r="Y135" s="15" t="s">
        <v>324</v>
      </c>
      <c r="Z135" s="15" t="s">
        <v>358</v>
      </c>
      <c r="AA135" s="15"/>
      <c r="AB135" s="15"/>
      <c r="AC135" s="15"/>
      <c r="AD135" s="15" t="s">
        <v>323</v>
      </c>
      <c r="AE135" s="18"/>
      <c r="AF135" s="18"/>
      <c r="AG135" s="19">
        <v>1.3836761070950301</v>
      </c>
      <c r="AH135" s="18"/>
      <c r="AI135" s="18"/>
      <c r="AJ135" s="18"/>
      <c r="AK135" s="18"/>
      <c r="AL135" s="18"/>
      <c r="AM135" s="19">
        <v>1.3836761070950301</v>
      </c>
      <c r="AN135" s="18"/>
      <c r="AO135" s="18"/>
      <c r="AP135" s="18"/>
      <c r="AR135" s="15" t="s">
        <v>249</v>
      </c>
      <c r="AS135" s="15" t="s">
        <v>369</v>
      </c>
      <c r="AT135" s="15"/>
      <c r="AU135" s="15"/>
      <c r="AV135" s="15" t="s">
        <v>495</v>
      </c>
      <c r="AW135" s="15"/>
      <c r="AX135" s="15"/>
      <c r="AY135" s="15"/>
      <c r="AZ135" s="18"/>
      <c r="BA135" s="18"/>
      <c r="BB135" s="19">
        <v>1.0553999999999999</v>
      </c>
      <c r="BC135" s="19">
        <v>1.0553999999999999</v>
      </c>
      <c r="BD135" s="19">
        <v>1.0553999999999999</v>
      </c>
      <c r="BE135" s="19">
        <v>1.0553999999999999</v>
      </c>
      <c r="BF135" s="19">
        <v>1.0553999999999999</v>
      </c>
      <c r="BG135" s="19">
        <v>1.0553999999999999</v>
      </c>
      <c r="BH135" s="19">
        <v>1.0553999999999999</v>
      </c>
      <c r="BI135" s="19">
        <v>1.0553999999999999</v>
      </c>
      <c r="BJ135" s="19">
        <v>1.0553999999999999</v>
      </c>
      <c r="BK135" s="18"/>
      <c r="BL135" s="18"/>
      <c r="BM135" s="19">
        <v>1.1871</v>
      </c>
      <c r="BN135" s="19">
        <v>1.3353999999999999</v>
      </c>
      <c r="BO135" s="19">
        <v>1.5021</v>
      </c>
      <c r="BP135" s="19">
        <v>1.6175999999999999</v>
      </c>
      <c r="BQ135" s="19">
        <v>1.742</v>
      </c>
      <c r="BR135" s="19">
        <v>1.7682</v>
      </c>
      <c r="BS135" s="19">
        <v>1.7948999999999999</v>
      </c>
      <c r="BT135" s="19">
        <v>1.8220000000000001</v>
      </c>
      <c r="BU135" s="19">
        <v>1.8493999999999999</v>
      </c>
    </row>
    <row r="136" spans="3:73" x14ac:dyDescent="0.45">
      <c r="C136" s="15" t="s">
        <v>249</v>
      </c>
      <c r="D136" s="15" t="s">
        <v>321</v>
      </c>
      <c r="E136" s="15" t="s">
        <v>313</v>
      </c>
      <c r="F136" s="15"/>
      <c r="G136" s="15"/>
      <c r="H136" s="15" t="s">
        <v>320</v>
      </c>
      <c r="I136" s="15"/>
      <c r="J136" s="18"/>
      <c r="K136" s="18"/>
      <c r="L136" s="19">
        <v>0.09</v>
      </c>
      <c r="M136" s="18"/>
      <c r="N136" s="18"/>
      <c r="O136" s="18"/>
      <c r="P136" s="18"/>
      <c r="Q136" s="18"/>
      <c r="R136" s="19">
        <v>0.09</v>
      </c>
      <c r="S136" s="18"/>
      <c r="T136" s="18"/>
      <c r="U136" s="18"/>
      <c r="V136" s="18"/>
      <c r="X136" s="15" t="s">
        <v>249</v>
      </c>
      <c r="Y136" s="15" t="s">
        <v>324</v>
      </c>
      <c r="Z136" s="15" t="s">
        <v>359</v>
      </c>
      <c r="AA136" s="15"/>
      <c r="AB136" s="15"/>
      <c r="AC136" s="15"/>
      <c r="AD136" s="15" t="s">
        <v>323</v>
      </c>
      <c r="AE136" s="18"/>
      <c r="AF136" s="18"/>
      <c r="AG136" s="19">
        <v>1.17948765247058</v>
      </c>
      <c r="AH136" s="18"/>
      <c r="AI136" s="18"/>
      <c r="AJ136" s="18"/>
      <c r="AK136" s="18"/>
      <c r="AL136" s="18"/>
      <c r="AM136" s="19">
        <v>1.17948765247058</v>
      </c>
      <c r="AN136" s="18"/>
      <c r="AO136" s="18"/>
      <c r="AP136" s="18"/>
      <c r="AR136" s="15" t="s">
        <v>249</v>
      </c>
      <c r="AS136" s="15" t="s">
        <v>369</v>
      </c>
      <c r="AT136" s="15"/>
      <c r="AU136" s="15"/>
      <c r="AV136" s="15" t="s">
        <v>496</v>
      </c>
      <c r="AW136" s="15"/>
      <c r="AX136" s="15"/>
      <c r="AY136" s="15"/>
      <c r="AZ136" s="18"/>
      <c r="BA136" s="18"/>
      <c r="BB136" s="19">
        <v>5.0099999999999999E-2</v>
      </c>
      <c r="BC136" s="19">
        <v>5.0099999999999999E-2</v>
      </c>
      <c r="BD136" s="19">
        <v>5.0099999999999999E-2</v>
      </c>
      <c r="BE136" s="19">
        <v>5.0099999999999999E-2</v>
      </c>
      <c r="BF136" s="19">
        <v>5.0099999999999999E-2</v>
      </c>
      <c r="BG136" s="19">
        <v>5.0099999999999999E-2</v>
      </c>
      <c r="BH136" s="19">
        <v>5.0099999999999999E-2</v>
      </c>
      <c r="BI136" s="19">
        <v>5.0099999999999999E-2</v>
      </c>
      <c r="BJ136" s="19">
        <v>5.0099999999999999E-2</v>
      </c>
      <c r="BK136" s="18"/>
      <c r="BL136" s="18"/>
      <c r="BM136" s="19">
        <v>5.6399999999999999E-2</v>
      </c>
      <c r="BN136" s="19">
        <v>6.3399999999999998E-2</v>
      </c>
      <c r="BO136" s="19">
        <v>7.1400000000000005E-2</v>
      </c>
      <c r="BP136" s="19">
        <v>7.6899999999999996E-2</v>
      </c>
      <c r="BQ136" s="19">
        <v>8.2799999999999999E-2</v>
      </c>
      <c r="BR136" s="19">
        <v>8.4000000000000005E-2</v>
      </c>
      <c r="BS136" s="19">
        <v>8.5300000000000001E-2</v>
      </c>
      <c r="BT136" s="19">
        <v>8.6599999999999996E-2</v>
      </c>
      <c r="BU136" s="19">
        <v>8.7900000000000006E-2</v>
      </c>
    </row>
    <row r="137" spans="3:73" x14ac:dyDescent="0.45">
      <c r="C137" s="15" t="s">
        <v>249</v>
      </c>
      <c r="D137" s="15" t="s">
        <v>321</v>
      </c>
      <c r="E137" s="15" t="s">
        <v>314</v>
      </c>
      <c r="F137" s="15"/>
      <c r="G137" s="15"/>
      <c r="H137" s="15" t="s">
        <v>320</v>
      </c>
      <c r="I137" s="15"/>
      <c r="J137" s="18"/>
      <c r="K137" s="18"/>
      <c r="L137" s="19">
        <v>0.09</v>
      </c>
      <c r="M137" s="18"/>
      <c r="N137" s="18"/>
      <c r="O137" s="18"/>
      <c r="P137" s="18"/>
      <c r="Q137" s="18"/>
      <c r="R137" s="19">
        <v>0.09</v>
      </c>
      <c r="S137" s="18"/>
      <c r="T137" s="18"/>
      <c r="U137" s="18"/>
      <c r="V137" s="18"/>
      <c r="X137" s="15" t="s">
        <v>249</v>
      </c>
      <c r="Y137" s="15" t="s">
        <v>324</v>
      </c>
      <c r="Z137" s="15" t="s">
        <v>360</v>
      </c>
      <c r="AA137" s="15"/>
      <c r="AB137" s="15"/>
      <c r="AC137" s="15"/>
      <c r="AD137" s="15" t="s">
        <v>323</v>
      </c>
      <c r="AE137" s="18"/>
      <c r="AF137" s="18"/>
      <c r="AG137" s="19">
        <v>1.2151329648648701</v>
      </c>
      <c r="AH137" s="18"/>
      <c r="AI137" s="18"/>
      <c r="AJ137" s="18"/>
      <c r="AK137" s="18"/>
      <c r="AL137" s="18"/>
      <c r="AM137" s="19">
        <v>1.2151329648648701</v>
      </c>
      <c r="AN137" s="18"/>
      <c r="AO137" s="18"/>
      <c r="AP137" s="18"/>
      <c r="AR137" s="15" t="s">
        <v>249</v>
      </c>
      <c r="AS137" s="15" t="s">
        <v>369</v>
      </c>
      <c r="AT137" s="15"/>
      <c r="AU137" s="15"/>
      <c r="AV137" s="15" t="s">
        <v>497</v>
      </c>
      <c r="AW137" s="15"/>
      <c r="AX137" s="15"/>
      <c r="AY137" s="15"/>
      <c r="AZ137" s="18"/>
      <c r="BA137" s="18"/>
      <c r="BB137" s="19">
        <v>6.8000000000000005E-2</v>
      </c>
      <c r="BC137" s="19">
        <v>6.8000000000000005E-2</v>
      </c>
      <c r="BD137" s="19">
        <v>6.8000000000000005E-2</v>
      </c>
      <c r="BE137" s="19">
        <v>6.8000000000000005E-2</v>
      </c>
      <c r="BF137" s="19">
        <v>6.8000000000000005E-2</v>
      </c>
      <c r="BG137" s="19">
        <v>6.8000000000000005E-2</v>
      </c>
      <c r="BH137" s="19">
        <v>6.8000000000000005E-2</v>
      </c>
      <c r="BI137" s="19">
        <v>6.8000000000000005E-2</v>
      </c>
      <c r="BJ137" s="19">
        <v>6.8000000000000005E-2</v>
      </c>
      <c r="BK137" s="18"/>
      <c r="BL137" s="18"/>
      <c r="BM137" s="19">
        <v>6.8000000000000005E-2</v>
      </c>
      <c r="BN137" s="19">
        <v>6.8000000000000005E-2</v>
      </c>
      <c r="BO137" s="19">
        <v>6.8000000000000005E-2</v>
      </c>
      <c r="BP137" s="19">
        <v>6.8000000000000005E-2</v>
      </c>
      <c r="BQ137" s="19">
        <v>6.8000000000000005E-2</v>
      </c>
      <c r="BR137" s="19">
        <v>6.8000000000000005E-2</v>
      </c>
      <c r="BS137" s="19">
        <v>6.8000000000000005E-2</v>
      </c>
      <c r="BT137" s="19">
        <v>6.8000000000000005E-2</v>
      </c>
      <c r="BU137" s="19">
        <v>6.8000000000000005E-2</v>
      </c>
    </row>
    <row r="138" spans="3:73" x14ac:dyDescent="0.45">
      <c r="C138" s="15" t="s">
        <v>249</v>
      </c>
      <c r="D138" s="15" t="s">
        <v>321</v>
      </c>
      <c r="E138" s="15" t="s">
        <v>315</v>
      </c>
      <c r="F138" s="15"/>
      <c r="G138" s="15"/>
      <c r="H138" s="15" t="s">
        <v>320</v>
      </c>
      <c r="I138" s="15"/>
      <c r="J138" s="18"/>
      <c r="K138" s="18"/>
      <c r="L138" s="19">
        <v>0.09</v>
      </c>
      <c r="M138" s="18"/>
      <c r="N138" s="18"/>
      <c r="O138" s="18"/>
      <c r="P138" s="18"/>
      <c r="Q138" s="18"/>
      <c r="R138" s="19">
        <v>0.09</v>
      </c>
      <c r="S138" s="18"/>
      <c r="T138" s="18"/>
      <c r="U138" s="18"/>
      <c r="V138" s="18"/>
      <c r="X138" s="15" t="s">
        <v>249</v>
      </c>
      <c r="Y138" s="15" t="s">
        <v>324</v>
      </c>
      <c r="Z138" s="15" t="s">
        <v>361</v>
      </c>
      <c r="AA138" s="15"/>
      <c r="AB138" s="15"/>
      <c r="AC138" s="15"/>
      <c r="AD138" s="15" t="s">
        <v>323</v>
      </c>
      <c r="AE138" s="18"/>
      <c r="AF138" s="18"/>
      <c r="AG138" s="19">
        <v>0.25</v>
      </c>
      <c r="AH138" s="18"/>
      <c r="AI138" s="18"/>
      <c r="AJ138" s="18"/>
      <c r="AK138" s="18"/>
      <c r="AL138" s="18"/>
      <c r="AM138" s="19">
        <v>0.25</v>
      </c>
      <c r="AN138" s="18"/>
      <c r="AO138" s="18"/>
      <c r="AP138" s="18"/>
      <c r="AR138" s="15" t="s">
        <v>249</v>
      </c>
      <c r="AS138" s="15" t="s">
        <v>369</v>
      </c>
      <c r="AT138" s="15"/>
      <c r="AU138" s="15"/>
      <c r="AV138" s="15" t="s">
        <v>498</v>
      </c>
      <c r="AW138" s="15"/>
      <c r="AX138" s="15"/>
      <c r="AY138" s="15"/>
      <c r="AZ138" s="18"/>
      <c r="BA138" s="18"/>
      <c r="BB138" s="19">
        <v>9.7815999999999992</v>
      </c>
      <c r="BC138" s="19">
        <v>9.7815999999999992</v>
      </c>
      <c r="BD138" s="19">
        <v>9.7815999999999992</v>
      </c>
      <c r="BE138" s="19">
        <v>9.7815999999999992</v>
      </c>
      <c r="BF138" s="19">
        <v>9.7815999999999992</v>
      </c>
      <c r="BG138" s="19">
        <v>9.7815999999999992</v>
      </c>
      <c r="BH138" s="19">
        <v>9.7815999999999992</v>
      </c>
      <c r="BI138" s="19">
        <v>9.7815999999999992</v>
      </c>
      <c r="BJ138" s="19">
        <v>9.7815999999999992</v>
      </c>
      <c r="BK138" s="18"/>
      <c r="BL138" s="18"/>
      <c r="BM138" s="19">
        <v>9.7815999999999992</v>
      </c>
      <c r="BN138" s="19">
        <v>9.7815999999999992</v>
      </c>
      <c r="BO138" s="19">
        <v>9.7815999999999992</v>
      </c>
      <c r="BP138" s="19">
        <v>9.7815999999999992</v>
      </c>
      <c r="BQ138" s="19">
        <v>9.7815999999999992</v>
      </c>
      <c r="BR138" s="19">
        <v>9.7815999999999992</v>
      </c>
      <c r="BS138" s="19">
        <v>9.7815999999999992</v>
      </c>
      <c r="BT138" s="19">
        <v>9.7815999999999992</v>
      </c>
      <c r="BU138" s="19">
        <v>9.7815999999999992</v>
      </c>
    </row>
    <row r="139" spans="3:73" x14ac:dyDescent="0.45">
      <c r="C139" s="15" t="s">
        <v>249</v>
      </c>
      <c r="D139" s="15" t="s">
        <v>321</v>
      </c>
      <c r="E139" s="15" t="s">
        <v>316</v>
      </c>
      <c r="F139" s="15"/>
      <c r="G139" s="15"/>
      <c r="H139" s="15" t="s">
        <v>320</v>
      </c>
      <c r="I139" s="15"/>
      <c r="J139" s="18"/>
      <c r="K139" s="18"/>
      <c r="L139" s="19">
        <v>0.09</v>
      </c>
      <c r="M139" s="18"/>
      <c r="N139" s="18"/>
      <c r="O139" s="18"/>
      <c r="P139" s="18"/>
      <c r="Q139" s="18"/>
      <c r="R139" s="19">
        <v>0.09</v>
      </c>
      <c r="S139" s="18"/>
      <c r="T139" s="18"/>
      <c r="U139" s="18"/>
      <c r="V139" s="18"/>
      <c r="X139" s="15" t="s">
        <v>249</v>
      </c>
      <c r="Y139" s="15" t="s">
        <v>324</v>
      </c>
      <c r="Z139" s="15" t="s">
        <v>362</v>
      </c>
      <c r="AA139" s="15"/>
      <c r="AB139" s="15"/>
      <c r="AC139" s="15"/>
      <c r="AD139" s="15" t="s">
        <v>323</v>
      </c>
      <c r="AE139" s="18"/>
      <c r="AF139" s="18"/>
      <c r="AG139" s="19">
        <v>0.5</v>
      </c>
      <c r="AH139" s="18"/>
      <c r="AI139" s="18"/>
      <c r="AJ139" s="18"/>
      <c r="AK139" s="18"/>
      <c r="AL139" s="18"/>
      <c r="AM139" s="19">
        <v>0.5</v>
      </c>
      <c r="AN139" s="18"/>
      <c r="AO139" s="18"/>
      <c r="AP139" s="18"/>
      <c r="AR139" s="15" t="s">
        <v>249</v>
      </c>
      <c r="AS139" s="15" t="s">
        <v>369</v>
      </c>
      <c r="AT139" s="15"/>
      <c r="AU139" s="15"/>
      <c r="AV139" s="15" t="s">
        <v>499</v>
      </c>
      <c r="AW139" s="15"/>
      <c r="AX139" s="15"/>
      <c r="AY139" s="15"/>
      <c r="AZ139" s="18"/>
      <c r="BA139" s="18"/>
      <c r="BB139" s="19">
        <v>0.45040000000000002</v>
      </c>
      <c r="BC139" s="19">
        <v>0.45040000000000002</v>
      </c>
      <c r="BD139" s="19">
        <v>0.45040000000000002</v>
      </c>
      <c r="BE139" s="19">
        <v>0.45040000000000002</v>
      </c>
      <c r="BF139" s="19">
        <v>0.45040000000000002</v>
      </c>
      <c r="BG139" s="19">
        <v>0.45040000000000002</v>
      </c>
      <c r="BH139" s="19">
        <v>0.45040000000000002</v>
      </c>
      <c r="BI139" s="19">
        <v>0.45040000000000002</v>
      </c>
      <c r="BJ139" s="19">
        <v>0.45040000000000002</v>
      </c>
      <c r="BK139" s="18"/>
      <c r="BL139" s="18"/>
      <c r="BM139" s="19">
        <v>0.45040000000000002</v>
      </c>
      <c r="BN139" s="19">
        <v>0.45040000000000002</v>
      </c>
      <c r="BO139" s="19">
        <v>0.45040000000000002</v>
      </c>
      <c r="BP139" s="19">
        <v>0.45040000000000002</v>
      </c>
      <c r="BQ139" s="19">
        <v>0.45040000000000002</v>
      </c>
      <c r="BR139" s="19">
        <v>0.45040000000000002</v>
      </c>
      <c r="BS139" s="19">
        <v>0.45040000000000002</v>
      </c>
      <c r="BT139" s="19">
        <v>0.45040000000000002</v>
      </c>
      <c r="BU139" s="19">
        <v>0.45040000000000002</v>
      </c>
    </row>
    <row r="140" spans="3:73" x14ac:dyDescent="0.45">
      <c r="C140" s="15" t="s">
        <v>249</v>
      </c>
      <c r="D140" s="15" t="s">
        <v>321</v>
      </c>
      <c r="E140" s="15" t="s">
        <v>317</v>
      </c>
      <c r="F140" s="15"/>
      <c r="G140" s="15"/>
      <c r="H140" s="15" t="s">
        <v>320</v>
      </c>
      <c r="I140" s="15"/>
      <c r="J140" s="19"/>
      <c r="K140" s="18"/>
      <c r="L140" s="18">
        <v>0.09</v>
      </c>
      <c r="M140" s="18"/>
      <c r="N140" s="18"/>
      <c r="O140" s="18"/>
      <c r="P140" s="19"/>
      <c r="Q140" s="18"/>
      <c r="R140" s="18">
        <v>0.09</v>
      </c>
      <c r="S140" s="18"/>
      <c r="T140" s="18"/>
      <c r="U140" s="18"/>
      <c r="V140" s="18"/>
      <c r="X140" s="15" t="s">
        <v>249</v>
      </c>
      <c r="Y140" s="15" t="s">
        <v>325</v>
      </c>
      <c r="Z140" s="15" t="s">
        <v>330</v>
      </c>
      <c r="AA140" s="15"/>
      <c r="AB140" s="15"/>
      <c r="AC140" s="15"/>
      <c r="AD140" s="15"/>
      <c r="AE140" s="19">
        <v>2020</v>
      </c>
      <c r="AF140" s="18"/>
      <c r="AG140" s="18"/>
      <c r="AH140" s="18"/>
      <c r="AI140" s="18"/>
      <c r="AJ140" s="18"/>
      <c r="AK140" s="19">
        <v>2020</v>
      </c>
      <c r="AL140" s="18"/>
      <c r="AM140" s="18"/>
      <c r="AN140" s="18"/>
      <c r="AO140" s="18"/>
      <c r="AP140" s="18"/>
      <c r="AR140" s="15" t="s">
        <v>249</v>
      </c>
      <c r="AS140" s="15" t="s">
        <v>369</v>
      </c>
      <c r="AT140" s="15"/>
      <c r="AU140" s="15"/>
      <c r="AV140" s="15" t="s">
        <v>500</v>
      </c>
      <c r="AW140" s="15"/>
      <c r="AX140" s="15"/>
      <c r="AY140" s="15"/>
      <c r="AZ140" s="18"/>
      <c r="BA140" s="18"/>
      <c r="BB140" s="19">
        <v>0.154</v>
      </c>
      <c r="BC140" s="19">
        <v>0.154</v>
      </c>
      <c r="BD140" s="19">
        <v>0.154</v>
      </c>
      <c r="BE140" s="19">
        <v>0.154</v>
      </c>
      <c r="BF140" s="19">
        <v>0.154</v>
      </c>
      <c r="BG140" s="19">
        <v>0.154</v>
      </c>
      <c r="BH140" s="19">
        <v>0.154</v>
      </c>
      <c r="BI140" s="19">
        <v>0.154</v>
      </c>
      <c r="BJ140" s="19">
        <v>0.154</v>
      </c>
      <c r="BK140" s="18"/>
      <c r="BL140" s="18"/>
      <c r="BM140" s="19">
        <v>0.154</v>
      </c>
      <c r="BN140" s="19">
        <v>0.154</v>
      </c>
      <c r="BO140" s="19">
        <v>0.154</v>
      </c>
      <c r="BP140" s="19">
        <v>0.154</v>
      </c>
      <c r="BQ140" s="19">
        <v>0.154</v>
      </c>
      <c r="BR140" s="19">
        <v>0.154</v>
      </c>
      <c r="BS140" s="19">
        <v>0.154</v>
      </c>
      <c r="BT140" s="19">
        <v>0.154</v>
      </c>
      <c r="BU140" s="19">
        <v>0.154</v>
      </c>
    </row>
    <row r="141" spans="3:73" x14ac:dyDescent="0.45">
      <c r="C141" s="15" t="s">
        <v>249</v>
      </c>
      <c r="D141" s="15" t="s">
        <v>322</v>
      </c>
      <c r="E141" s="15" t="s">
        <v>251</v>
      </c>
      <c r="F141" s="15"/>
      <c r="G141" s="15"/>
      <c r="H141" s="15"/>
      <c r="I141" s="15" t="s">
        <v>323</v>
      </c>
      <c r="J141" s="19"/>
      <c r="K141" s="18"/>
      <c r="L141" s="18">
        <v>6000</v>
      </c>
      <c r="M141" s="18"/>
      <c r="N141" s="18"/>
      <c r="O141" s="18"/>
      <c r="P141" s="19"/>
      <c r="Q141" s="18"/>
      <c r="R141" s="18">
        <v>6000</v>
      </c>
      <c r="S141" s="18"/>
      <c r="T141" s="18"/>
      <c r="U141" s="18"/>
      <c r="V141" s="18"/>
      <c r="X141" s="15" t="s">
        <v>249</v>
      </c>
      <c r="Y141" s="15" t="s">
        <v>325</v>
      </c>
      <c r="Z141" s="15" t="s">
        <v>331</v>
      </c>
      <c r="AA141" s="15"/>
      <c r="AB141" s="15"/>
      <c r="AC141" s="15"/>
      <c r="AD141" s="15"/>
      <c r="AE141" s="19">
        <v>2020</v>
      </c>
      <c r="AF141" s="18"/>
      <c r="AG141" s="18"/>
      <c r="AH141" s="18"/>
      <c r="AI141" s="18"/>
      <c r="AJ141" s="18"/>
      <c r="AK141" s="19">
        <v>2020</v>
      </c>
      <c r="AL141" s="18"/>
      <c r="AM141" s="18"/>
      <c r="AN141" s="18"/>
      <c r="AO141" s="18"/>
      <c r="AP141" s="18"/>
      <c r="AR141" s="15" t="s">
        <v>249</v>
      </c>
      <c r="AS141" s="15" t="s">
        <v>369</v>
      </c>
      <c r="AT141" s="15"/>
      <c r="AU141" s="15"/>
      <c r="AV141" s="15" t="s">
        <v>501</v>
      </c>
      <c r="AW141" s="15"/>
      <c r="AX141" s="15"/>
      <c r="AY141" s="15"/>
      <c r="AZ141" s="18"/>
      <c r="BA141" s="18"/>
      <c r="BB141" s="19">
        <v>0.77749999999999997</v>
      </c>
      <c r="BC141" s="19">
        <v>0.77749999999999997</v>
      </c>
      <c r="BD141" s="19">
        <v>0.77749999999999997</v>
      </c>
      <c r="BE141" s="19">
        <v>0.77749999999999997</v>
      </c>
      <c r="BF141" s="19">
        <v>0.77749999999999997</v>
      </c>
      <c r="BG141" s="19">
        <v>0.77749999999999997</v>
      </c>
      <c r="BH141" s="19">
        <v>0.77749999999999997</v>
      </c>
      <c r="BI141" s="19">
        <v>0.77749999999999997</v>
      </c>
      <c r="BJ141" s="19">
        <v>0.77749999999999997</v>
      </c>
      <c r="BK141" s="18"/>
      <c r="BL141" s="18"/>
      <c r="BM141" s="19">
        <v>0.77749999999999997</v>
      </c>
      <c r="BN141" s="19">
        <v>0.77749999999999997</v>
      </c>
      <c r="BO141" s="19">
        <v>0.77749999999999997</v>
      </c>
      <c r="BP141" s="19">
        <v>0.77749999999999997</v>
      </c>
      <c r="BQ141" s="19">
        <v>0.77749999999999997</v>
      </c>
      <c r="BR141" s="19">
        <v>0.77749999999999997</v>
      </c>
      <c r="BS141" s="19">
        <v>0.77749999999999997</v>
      </c>
      <c r="BT141" s="19">
        <v>0.77749999999999997</v>
      </c>
      <c r="BU141" s="19">
        <v>0.77749999999999997</v>
      </c>
    </row>
    <row r="142" spans="3:73" x14ac:dyDescent="0.45">
      <c r="C142" s="15" t="s">
        <v>249</v>
      </c>
      <c r="D142" s="15" t="s">
        <v>322</v>
      </c>
      <c r="E142" s="15" t="s">
        <v>253</v>
      </c>
      <c r="F142" s="15"/>
      <c r="G142" s="15"/>
      <c r="H142" s="15"/>
      <c r="I142" s="15" t="s">
        <v>323</v>
      </c>
      <c r="J142" s="19"/>
      <c r="K142" s="18"/>
      <c r="L142" s="18">
        <v>6257.14</v>
      </c>
      <c r="M142" s="18"/>
      <c r="N142" s="18"/>
      <c r="O142" s="18"/>
      <c r="P142" s="19"/>
      <c r="Q142" s="18"/>
      <c r="R142" s="18">
        <v>6257.1428569999998</v>
      </c>
      <c r="S142" s="18"/>
      <c r="T142" s="18"/>
      <c r="U142" s="18"/>
      <c r="V142" s="18"/>
      <c r="X142" s="15" t="s">
        <v>249</v>
      </c>
      <c r="Y142" s="15" t="s">
        <v>325</v>
      </c>
      <c r="Z142" s="15" t="s">
        <v>332</v>
      </c>
      <c r="AA142" s="15"/>
      <c r="AB142" s="15"/>
      <c r="AC142" s="15"/>
      <c r="AD142" s="15"/>
      <c r="AE142" s="19">
        <v>2020</v>
      </c>
      <c r="AF142" s="18"/>
      <c r="AG142" s="18"/>
      <c r="AH142" s="18"/>
      <c r="AI142" s="18"/>
      <c r="AJ142" s="18"/>
      <c r="AK142" s="19">
        <v>2020</v>
      </c>
      <c r="AL142" s="18"/>
      <c r="AM142" s="18"/>
      <c r="AN142" s="18"/>
      <c r="AO142" s="18"/>
      <c r="AP142" s="18"/>
      <c r="AR142" s="15" t="s">
        <v>249</v>
      </c>
      <c r="AS142" s="15" t="s">
        <v>369</v>
      </c>
      <c r="AT142" s="15"/>
      <c r="AU142" s="15"/>
      <c r="AV142" s="15" t="s">
        <v>502</v>
      </c>
      <c r="AW142" s="15"/>
      <c r="AX142" s="15"/>
      <c r="AY142" s="15"/>
      <c r="AZ142" s="18"/>
      <c r="BA142" s="18"/>
      <c r="BB142" s="19">
        <v>30.824300000000001</v>
      </c>
      <c r="BC142" s="19">
        <v>30.824300000000001</v>
      </c>
      <c r="BD142" s="19">
        <v>30.824300000000001</v>
      </c>
      <c r="BE142" s="19">
        <v>30.824300000000001</v>
      </c>
      <c r="BF142" s="19">
        <v>30.824300000000001</v>
      </c>
      <c r="BG142" s="19">
        <v>30.824300000000001</v>
      </c>
      <c r="BH142" s="19">
        <v>30.824300000000001</v>
      </c>
      <c r="BI142" s="19">
        <v>30.824300000000001</v>
      </c>
      <c r="BJ142" s="19">
        <v>30.824300000000001</v>
      </c>
      <c r="BK142" s="18"/>
      <c r="BL142" s="18"/>
      <c r="BM142" s="19">
        <v>30.824300000000001</v>
      </c>
      <c r="BN142" s="19">
        <v>30.824300000000001</v>
      </c>
      <c r="BO142" s="19">
        <v>30.824300000000001</v>
      </c>
      <c r="BP142" s="19">
        <v>30.824300000000001</v>
      </c>
      <c r="BQ142" s="19">
        <v>30.824300000000001</v>
      </c>
      <c r="BR142" s="19">
        <v>30.824300000000001</v>
      </c>
      <c r="BS142" s="19">
        <v>30.824300000000001</v>
      </c>
      <c r="BT142" s="19">
        <v>30.824300000000001</v>
      </c>
      <c r="BU142" s="19">
        <v>30.824300000000001</v>
      </c>
    </row>
    <row r="143" spans="3:73" x14ac:dyDescent="0.45">
      <c r="C143" s="15" t="s">
        <v>249</v>
      </c>
      <c r="D143" s="15" t="s">
        <v>322</v>
      </c>
      <c r="E143" s="15" t="s">
        <v>254</v>
      </c>
      <c r="F143" s="15"/>
      <c r="G143" s="15"/>
      <c r="H143" s="15"/>
      <c r="I143" s="15" t="s">
        <v>323</v>
      </c>
      <c r="J143" s="19"/>
      <c r="K143" s="18"/>
      <c r="L143" s="18">
        <v>1076.0899999999999</v>
      </c>
      <c r="M143" s="18"/>
      <c r="N143" s="18"/>
      <c r="O143" s="18"/>
      <c r="P143" s="19"/>
      <c r="Q143" s="18"/>
      <c r="R143" s="18">
        <v>1076.086957</v>
      </c>
      <c r="S143" s="18"/>
      <c r="T143" s="18"/>
      <c r="U143" s="18"/>
      <c r="V143" s="18"/>
      <c r="X143" s="15" t="s">
        <v>249</v>
      </c>
      <c r="Y143" s="15" t="s">
        <v>325</v>
      </c>
      <c r="Z143" s="15" t="s">
        <v>333</v>
      </c>
      <c r="AA143" s="15"/>
      <c r="AB143" s="15"/>
      <c r="AC143" s="15"/>
      <c r="AD143" s="15"/>
      <c r="AE143" s="19">
        <v>2020</v>
      </c>
      <c r="AF143" s="18"/>
      <c r="AG143" s="18"/>
      <c r="AH143" s="18"/>
      <c r="AI143" s="18"/>
      <c r="AJ143" s="18"/>
      <c r="AK143" s="19">
        <v>2020</v>
      </c>
      <c r="AL143" s="18"/>
      <c r="AM143" s="18"/>
      <c r="AN143" s="18"/>
      <c r="AO143" s="18"/>
      <c r="AP143" s="18"/>
      <c r="AR143" s="15" t="s">
        <v>249</v>
      </c>
      <c r="AS143" s="15" t="s">
        <v>369</v>
      </c>
      <c r="AT143" s="15"/>
      <c r="AU143" s="15"/>
      <c r="AV143" s="15" t="s">
        <v>503</v>
      </c>
      <c r="AW143" s="15"/>
      <c r="AX143" s="15"/>
      <c r="AY143" s="15"/>
      <c r="AZ143" s="18"/>
      <c r="BA143" s="18"/>
      <c r="BB143" s="19">
        <v>0.62360000000000004</v>
      </c>
      <c r="BC143" s="19">
        <v>0.62360000000000004</v>
      </c>
      <c r="BD143" s="19">
        <v>0.62360000000000004</v>
      </c>
      <c r="BE143" s="19">
        <v>0.62360000000000004</v>
      </c>
      <c r="BF143" s="19">
        <v>0.62360000000000004</v>
      </c>
      <c r="BG143" s="19">
        <v>0.62360000000000004</v>
      </c>
      <c r="BH143" s="19">
        <v>0.62360000000000004</v>
      </c>
      <c r="BI143" s="19">
        <v>0.62360000000000004</v>
      </c>
      <c r="BJ143" s="19">
        <v>0.62360000000000004</v>
      </c>
      <c r="BK143" s="18"/>
      <c r="BL143" s="18"/>
      <c r="BM143" s="19">
        <v>0.62360000000000004</v>
      </c>
      <c r="BN143" s="19">
        <v>0.62360000000000004</v>
      </c>
      <c r="BO143" s="19">
        <v>0.62360000000000004</v>
      </c>
      <c r="BP143" s="19">
        <v>0.62360000000000004</v>
      </c>
      <c r="BQ143" s="19">
        <v>0.62360000000000004</v>
      </c>
      <c r="BR143" s="19">
        <v>0.62360000000000004</v>
      </c>
      <c r="BS143" s="19">
        <v>0.62360000000000004</v>
      </c>
      <c r="BT143" s="19">
        <v>0.62360000000000004</v>
      </c>
      <c r="BU143" s="19">
        <v>0.62360000000000004</v>
      </c>
    </row>
    <row r="144" spans="3:73" x14ac:dyDescent="0.45">
      <c r="C144" s="15" t="s">
        <v>249</v>
      </c>
      <c r="D144" s="15" t="s">
        <v>322</v>
      </c>
      <c r="E144" s="15" t="s">
        <v>255</v>
      </c>
      <c r="F144" s="15"/>
      <c r="G144" s="15"/>
      <c r="H144" s="15"/>
      <c r="I144" s="15" t="s">
        <v>323</v>
      </c>
      <c r="J144" s="19"/>
      <c r="K144" s="18"/>
      <c r="L144" s="18">
        <v>483.48</v>
      </c>
      <c r="M144" s="18">
        <v>356.25</v>
      </c>
      <c r="N144" s="18">
        <v>157.77000000000001</v>
      </c>
      <c r="O144" s="18">
        <v>157.77000000000001</v>
      </c>
      <c r="P144" s="19">
        <v>157.77000000000001</v>
      </c>
      <c r="Q144" s="18"/>
      <c r="R144" s="18">
        <v>483</v>
      </c>
      <c r="S144" s="18">
        <v>379</v>
      </c>
      <c r="T144" s="18">
        <v>287</v>
      </c>
      <c r="U144" s="18">
        <v>189</v>
      </c>
      <c r="V144" s="18">
        <v>189</v>
      </c>
      <c r="X144" s="15" t="s">
        <v>249</v>
      </c>
      <c r="Y144" s="15" t="s">
        <v>325</v>
      </c>
      <c r="Z144" s="15" t="s">
        <v>334</v>
      </c>
      <c r="AA144" s="15"/>
      <c r="AB144" s="15"/>
      <c r="AC144" s="15"/>
      <c r="AD144" s="15"/>
      <c r="AE144" s="19">
        <v>2020</v>
      </c>
      <c r="AF144" s="18"/>
      <c r="AG144" s="18"/>
      <c r="AH144" s="18"/>
      <c r="AI144" s="18"/>
      <c r="AJ144" s="18"/>
      <c r="AK144" s="19">
        <v>2020</v>
      </c>
      <c r="AL144" s="18"/>
      <c r="AM144" s="18"/>
      <c r="AN144" s="18"/>
      <c r="AO144" s="18"/>
      <c r="AP144" s="18"/>
      <c r="AR144" s="15" t="s">
        <v>249</v>
      </c>
      <c r="AS144" s="15" t="s">
        <v>369</v>
      </c>
      <c r="AT144" s="15"/>
      <c r="AU144" s="15"/>
      <c r="AV144" s="15" t="s">
        <v>504</v>
      </c>
      <c r="AW144" s="15"/>
      <c r="AX144" s="15"/>
      <c r="AY144" s="15"/>
      <c r="AZ144" s="18"/>
      <c r="BA144" s="18"/>
      <c r="BB144" s="19">
        <v>2.2726999999999999</v>
      </c>
      <c r="BC144" s="19">
        <v>2.2726999999999999</v>
      </c>
      <c r="BD144" s="19">
        <v>2.2726999999999999</v>
      </c>
      <c r="BE144" s="19">
        <v>2.2726999999999999</v>
      </c>
      <c r="BF144" s="19">
        <v>2.2726999999999999</v>
      </c>
      <c r="BG144" s="19">
        <v>2.2726999999999999</v>
      </c>
      <c r="BH144" s="19">
        <v>2.2726999999999999</v>
      </c>
      <c r="BI144" s="19">
        <v>2.2726999999999999</v>
      </c>
      <c r="BJ144" s="19">
        <v>2.2726999999999999</v>
      </c>
      <c r="BK144" s="18"/>
      <c r="BL144" s="18"/>
      <c r="BM144" s="19">
        <v>2.2726999999999999</v>
      </c>
      <c r="BN144" s="19">
        <v>2.2726999999999999</v>
      </c>
      <c r="BO144" s="19">
        <v>2.2726999999999999</v>
      </c>
      <c r="BP144" s="19">
        <v>2.2726999999999999</v>
      </c>
      <c r="BQ144" s="19">
        <v>2.2726999999999999</v>
      </c>
      <c r="BR144" s="19">
        <v>2.2726999999999999</v>
      </c>
      <c r="BS144" s="19">
        <v>2.2726999999999999</v>
      </c>
      <c r="BT144" s="19">
        <v>2.2726999999999999</v>
      </c>
      <c r="BU144" s="19">
        <v>2.2726999999999999</v>
      </c>
    </row>
    <row r="145" spans="3:73" x14ac:dyDescent="0.45">
      <c r="C145" s="15" t="s">
        <v>249</v>
      </c>
      <c r="D145" s="15" t="s">
        <v>322</v>
      </c>
      <c r="E145" s="15" t="s">
        <v>256</v>
      </c>
      <c r="F145" s="15"/>
      <c r="G145" s="15"/>
      <c r="H145" s="15"/>
      <c r="I145" s="15" t="s">
        <v>323</v>
      </c>
      <c r="J145" s="19"/>
      <c r="K145" s="18"/>
      <c r="L145" s="18">
        <v>264.04000000000002</v>
      </c>
      <c r="M145" s="18">
        <v>264.04000000000002</v>
      </c>
      <c r="N145" s="18">
        <v>264.04000000000002</v>
      </c>
      <c r="O145" s="18">
        <v>264.04000000000002</v>
      </c>
      <c r="P145" s="19">
        <v>264.04000000000002</v>
      </c>
      <c r="Q145" s="18"/>
      <c r="R145" s="18">
        <v>264</v>
      </c>
      <c r="S145" s="18">
        <v>264</v>
      </c>
      <c r="T145" s="18">
        <v>264</v>
      </c>
      <c r="U145" s="18">
        <v>264</v>
      </c>
      <c r="V145" s="18">
        <v>264</v>
      </c>
      <c r="X145" s="15" t="s">
        <v>249</v>
      </c>
      <c r="Y145" s="15" t="s">
        <v>325</v>
      </c>
      <c r="Z145" s="15" t="s">
        <v>335</v>
      </c>
      <c r="AA145" s="15"/>
      <c r="AB145" s="15"/>
      <c r="AC145" s="15"/>
      <c r="AD145" s="15"/>
      <c r="AE145" s="19">
        <v>2020</v>
      </c>
      <c r="AF145" s="18"/>
      <c r="AG145" s="18"/>
      <c r="AH145" s="18"/>
      <c r="AI145" s="18"/>
      <c r="AJ145" s="18"/>
      <c r="AK145" s="19">
        <v>2020</v>
      </c>
      <c r="AL145" s="18"/>
      <c r="AM145" s="18"/>
      <c r="AN145" s="18"/>
      <c r="AO145" s="18"/>
      <c r="AP145" s="18"/>
      <c r="AR145" s="15" t="s">
        <v>249</v>
      </c>
      <c r="AS145" s="15" t="s">
        <v>369</v>
      </c>
      <c r="AT145" s="15"/>
      <c r="AU145" s="15"/>
      <c r="AV145" s="15" t="s">
        <v>505</v>
      </c>
      <c r="AW145" s="15"/>
      <c r="AX145" s="15"/>
      <c r="AY145" s="15"/>
      <c r="AZ145" s="18"/>
      <c r="BA145" s="18"/>
      <c r="BB145" s="19">
        <v>0.15628978935983001</v>
      </c>
      <c r="BC145" s="19">
        <v>0.159499248320433</v>
      </c>
      <c r="BD145" s="19">
        <v>0.162095664558224</v>
      </c>
      <c r="BE145" s="19">
        <v>0.166903842776355</v>
      </c>
      <c r="BF145" s="19">
        <v>0.17123120317267401</v>
      </c>
      <c r="BG145" s="19">
        <v>0.17507774574717899</v>
      </c>
      <c r="BH145" s="19">
        <v>0.178443470499872</v>
      </c>
      <c r="BI145" s="19">
        <v>0.18138847965847699</v>
      </c>
      <c r="BJ145" s="19">
        <v>0.18409307990617599</v>
      </c>
      <c r="BK145" s="18"/>
      <c r="BL145" s="18"/>
      <c r="BM145" s="19">
        <v>0.15724992244776301</v>
      </c>
      <c r="BN145" s="19">
        <v>0.165459886755223</v>
      </c>
      <c r="BO145" s="19">
        <v>0.17344146259732099</v>
      </c>
      <c r="BP145" s="19">
        <v>0.178249640815453</v>
      </c>
      <c r="BQ145" s="19">
        <v>0.17988442140961799</v>
      </c>
      <c r="BR145" s="19">
        <v>0.18103838418196999</v>
      </c>
      <c r="BS145" s="19">
        <v>0.18171152913250799</v>
      </c>
      <c r="BT145" s="19">
        <v>0.18196395848895999</v>
      </c>
      <c r="BU145" s="19">
        <v>0.18197597893450501</v>
      </c>
    </row>
    <row r="146" spans="3:73" x14ac:dyDescent="0.45">
      <c r="C146" s="15" t="s">
        <v>249</v>
      </c>
      <c r="D146" s="15" t="s">
        <v>322</v>
      </c>
      <c r="E146" s="15" t="s">
        <v>257</v>
      </c>
      <c r="F146" s="15"/>
      <c r="G146" s="15"/>
      <c r="H146" s="15"/>
      <c r="I146" s="15" t="s">
        <v>323</v>
      </c>
      <c r="J146" s="19"/>
      <c r="K146" s="18"/>
      <c r="L146" s="18">
        <v>1851.87</v>
      </c>
      <c r="M146" s="18">
        <v>1898.16</v>
      </c>
      <c r="N146" s="18">
        <v>1962.98</v>
      </c>
      <c r="O146" s="18">
        <v>2042.5</v>
      </c>
      <c r="P146" s="19">
        <v>2096.9699999999998</v>
      </c>
      <c r="Q146" s="18"/>
      <c r="R146" s="18">
        <v>1851.866667</v>
      </c>
      <c r="S146" s="18">
        <v>1898.163333</v>
      </c>
      <c r="T146" s="18">
        <v>1962.9786670000001</v>
      </c>
      <c r="U146" s="18">
        <v>2042.5</v>
      </c>
      <c r="V146" s="18">
        <v>2096.9666670000001</v>
      </c>
      <c r="X146" s="15" t="s">
        <v>249</v>
      </c>
      <c r="Y146" s="15" t="s">
        <v>325</v>
      </c>
      <c r="Z146" s="15" t="s">
        <v>336</v>
      </c>
      <c r="AA146" s="15"/>
      <c r="AB146" s="15"/>
      <c r="AC146" s="15"/>
      <c r="AD146" s="15"/>
      <c r="AE146" s="19">
        <v>2020</v>
      </c>
      <c r="AF146" s="18"/>
      <c r="AG146" s="18"/>
      <c r="AH146" s="18"/>
      <c r="AI146" s="18"/>
      <c r="AJ146" s="18"/>
      <c r="AK146" s="19">
        <v>2020</v>
      </c>
      <c r="AL146" s="18"/>
      <c r="AM146" s="18"/>
      <c r="AN146" s="18"/>
      <c r="AO146" s="18"/>
      <c r="AP146" s="18"/>
      <c r="AR146" s="15" t="s">
        <v>249</v>
      </c>
      <c r="AS146" s="15" t="s">
        <v>369</v>
      </c>
      <c r="AT146" s="15"/>
      <c r="AU146" s="15"/>
      <c r="AV146" s="15" t="s">
        <v>506</v>
      </c>
      <c r="AW146" s="15"/>
      <c r="AX146" s="15"/>
      <c r="AY146" s="15"/>
      <c r="AZ146" s="18"/>
      <c r="BA146" s="18"/>
      <c r="BB146" s="19">
        <v>1.8449464667241899</v>
      </c>
      <c r="BC146" s="19">
        <v>1.8828330106482301</v>
      </c>
      <c r="BD146" s="19">
        <v>1.9134827989912799</v>
      </c>
      <c r="BE146" s="19">
        <v>1.9702416662932101</v>
      </c>
      <c r="BF146" s="19">
        <v>2.0213246468649602</v>
      </c>
      <c r="BG146" s="19">
        <v>2.0667317407065098</v>
      </c>
      <c r="BH146" s="19">
        <v>2.1064629478178598</v>
      </c>
      <c r="BI146" s="19">
        <v>2.1412277540403002</v>
      </c>
      <c r="BJ146" s="19">
        <v>2.1731546168976399</v>
      </c>
      <c r="BK146" s="18"/>
      <c r="BL146" s="18"/>
      <c r="BM146" s="19">
        <v>1.8562805030385401</v>
      </c>
      <c r="BN146" s="19">
        <v>1.9531962689566</v>
      </c>
      <c r="BO146" s="19">
        <v>2.04741598867782</v>
      </c>
      <c r="BP146" s="19">
        <v>2.1041748559797502</v>
      </c>
      <c r="BQ146" s="19">
        <v>2.1234728708624102</v>
      </c>
      <c r="BR146" s="19">
        <v>2.13709499901488</v>
      </c>
      <c r="BS146" s="19">
        <v>2.1450412404371502</v>
      </c>
      <c r="BT146" s="19">
        <v>2.1480210809705</v>
      </c>
      <c r="BU146" s="19">
        <v>2.1481629781387599</v>
      </c>
    </row>
    <row r="147" spans="3:73" x14ac:dyDescent="0.45">
      <c r="C147" s="15" t="s">
        <v>249</v>
      </c>
      <c r="D147" s="15" t="s">
        <v>322</v>
      </c>
      <c r="E147" s="15" t="s">
        <v>258</v>
      </c>
      <c r="F147" s="15"/>
      <c r="G147" s="15"/>
      <c r="H147" s="15"/>
      <c r="I147" s="15" t="s">
        <v>323</v>
      </c>
      <c r="J147" s="19"/>
      <c r="K147" s="18"/>
      <c r="L147" s="18">
        <v>6565.01</v>
      </c>
      <c r="M147" s="18">
        <v>3423.68</v>
      </c>
      <c r="N147" s="18">
        <v>2040.4</v>
      </c>
      <c r="O147" s="18">
        <v>2040.4</v>
      </c>
      <c r="P147" s="19">
        <v>2040.4</v>
      </c>
      <c r="Q147" s="18"/>
      <c r="R147" s="18">
        <v>6565.0101119999999</v>
      </c>
      <c r="S147" s="18">
        <v>3455.2448639999998</v>
      </c>
      <c r="T147" s="18">
        <v>2084.8753830000001</v>
      </c>
      <c r="U147" s="18">
        <v>2084.8753830000001</v>
      </c>
      <c r="V147" s="18">
        <v>2084.8753830000001</v>
      </c>
      <c r="X147" s="15" t="s">
        <v>249</v>
      </c>
      <c r="Y147" s="15" t="s">
        <v>325</v>
      </c>
      <c r="Z147" s="15" t="s">
        <v>339</v>
      </c>
      <c r="AA147" s="15"/>
      <c r="AB147" s="15"/>
      <c r="AC147" s="15"/>
      <c r="AD147" s="15"/>
      <c r="AE147" s="19">
        <v>2020</v>
      </c>
      <c r="AF147" s="18"/>
      <c r="AG147" s="18"/>
      <c r="AH147" s="18"/>
      <c r="AI147" s="18"/>
      <c r="AJ147" s="18"/>
      <c r="AK147" s="19">
        <v>2020</v>
      </c>
      <c r="AL147" s="18"/>
      <c r="AM147" s="18"/>
      <c r="AN147" s="18"/>
      <c r="AO147" s="18"/>
      <c r="AP147" s="18"/>
      <c r="AR147" s="15" t="s">
        <v>249</v>
      </c>
      <c r="AS147" s="15" t="s">
        <v>369</v>
      </c>
      <c r="AT147" s="15"/>
      <c r="AU147" s="15"/>
      <c r="AV147" s="15" t="s">
        <v>507</v>
      </c>
      <c r="AW147" s="15"/>
      <c r="AX147" s="15"/>
      <c r="AY147" s="15"/>
      <c r="AZ147" s="18"/>
      <c r="BA147" s="18"/>
      <c r="BB147" s="19">
        <v>0.505852557451137</v>
      </c>
      <c r="BC147" s="19">
        <v>0.51624039551724099</v>
      </c>
      <c r="BD147" s="19">
        <v>0.52464403979543806</v>
      </c>
      <c r="BE147" s="19">
        <v>0.54020634401432099</v>
      </c>
      <c r="BF147" s="19">
        <v>0.55421241781131503</v>
      </c>
      <c r="BG147" s="19">
        <v>0.56666226118642204</v>
      </c>
      <c r="BH147" s="19">
        <v>0.57755587413964005</v>
      </c>
      <c r="BI147" s="19">
        <v>0.58708778547370599</v>
      </c>
      <c r="BJ147" s="19">
        <v>0.59584158159682699</v>
      </c>
      <c r="BK147" s="18"/>
      <c r="BL147" s="18"/>
      <c r="BM147" s="19">
        <v>0.50896015507484504</v>
      </c>
      <c r="BN147" s="19">
        <v>0.53553278952858796</v>
      </c>
      <c r="BO147" s="19">
        <v>0.56136621453193303</v>
      </c>
      <c r="BP147" s="19">
        <v>0.57692851875081597</v>
      </c>
      <c r="BQ147" s="19">
        <v>0.582219702185236</v>
      </c>
      <c r="BR147" s="19">
        <v>0.58595465519776802</v>
      </c>
      <c r="BS147" s="19">
        <v>0.58813337778841202</v>
      </c>
      <c r="BT147" s="19">
        <v>0.58895039875990296</v>
      </c>
      <c r="BU147" s="19">
        <v>0.58898930452044995</v>
      </c>
    </row>
    <row r="148" spans="3:73" x14ac:dyDescent="0.45">
      <c r="C148" s="15" t="s">
        <v>249</v>
      </c>
      <c r="D148" s="15" t="s">
        <v>322</v>
      </c>
      <c r="E148" s="15" t="s">
        <v>259</v>
      </c>
      <c r="F148" s="15"/>
      <c r="G148" s="15"/>
      <c r="H148" s="15"/>
      <c r="I148" s="15" t="s">
        <v>323</v>
      </c>
      <c r="J148" s="19"/>
      <c r="K148" s="18"/>
      <c r="L148" s="18">
        <v>7542.15</v>
      </c>
      <c r="M148" s="18">
        <v>4158.21</v>
      </c>
      <c r="N148" s="18">
        <v>3104.03</v>
      </c>
      <c r="O148" s="18">
        <v>2612.63</v>
      </c>
      <c r="P148" s="19">
        <v>2501.4</v>
      </c>
      <c r="Q148" s="18"/>
      <c r="R148" s="18">
        <v>7542.1452920000002</v>
      </c>
      <c r="S148" s="18">
        <v>4158.2148360000001</v>
      </c>
      <c r="T148" s="18">
        <v>3104.0293999999999</v>
      </c>
      <c r="U148" s="18">
        <v>2612.626886</v>
      </c>
      <c r="V148" s="18">
        <v>2501.4005379999999</v>
      </c>
      <c r="X148" s="15" t="s">
        <v>249</v>
      </c>
      <c r="Y148" s="15" t="s">
        <v>325</v>
      </c>
      <c r="Z148" s="15" t="s">
        <v>341</v>
      </c>
      <c r="AA148" s="15"/>
      <c r="AB148" s="15"/>
      <c r="AC148" s="15"/>
      <c r="AD148" s="15"/>
      <c r="AE148" s="19">
        <v>2023</v>
      </c>
      <c r="AF148" s="18"/>
      <c r="AG148" s="18"/>
      <c r="AH148" s="18"/>
      <c r="AI148" s="18"/>
      <c r="AJ148" s="18"/>
      <c r="AK148" s="19">
        <v>2023</v>
      </c>
      <c r="AL148" s="18"/>
      <c r="AM148" s="18"/>
      <c r="AN148" s="18"/>
      <c r="AO148" s="18"/>
      <c r="AP148" s="18"/>
      <c r="AR148" s="15" t="s">
        <v>249</v>
      </c>
      <c r="AS148" s="15" t="s">
        <v>369</v>
      </c>
      <c r="AT148" s="15"/>
      <c r="AU148" s="15"/>
      <c r="AV148" s="15" t="s">
        <v>508</v>
      </c>
      <c r="AW148" s="15"/>
      <c r="AX148" s="15"/>
      <c r="AY148" s="15"/>
      <c r="AZ148" s="18"/>
      <c r="BA148" s="18"/>
      <c r="BB148" s="19">
        <v>0.16800046326453399</v>
      </c>
      <c r="BC148" s="19">
        <v>0.171450404520571</v>
      </c>
      <c r="BD148" s="19">
        <v>0.17424136823332001</v>
      </c>
      <c r="BE148" s="19">
        <v>0.17940981955322499</v>
      </c>
      <c r="BF148" s="19">
        <v>0.18406142574114001</v>
      </c>
      <c r="BG148" s="19">
        <v>0.18819618679706501</v>
      </c>
      <c r="BH148" s="19">
        <v>0.191814102720998</v>
      </c>
      <c r="BI148" s="19">
        <v>0.19497977915444101</v>
      </c>
      <c r="BJ148" s="19">
        <v>0.19788703302188801</v>
      </c>
      <c r="BK148" s="18"/>
      <c r="BL148" s="18"/>
      <c r="BM148" s="19">
        <v>0.169032538387477</v>
      </c>
      <c r="BN148" s="19">
        <v>0.177857669016216</v>
      </c>
      <c r="BO148" s="19">
        <v>0.18643729820725899</v>
      </c>
      <c r="BP148" s="19">
        <v>0.191605749527165</v>
      </c>
      <c r="BQ148" s="19">
        <v>0.193363022975933</v>
      </c>
      <c r="BR148" s="19">
        <v>0.19460345129271001</v>
      </c>
      <c r="BS148" s="19">
        <v>0.195327034477497</v>
      </c>
      <c r="BT148" s="19">
        <v>0.19559837817179199</v>
      </c>
      <c r="BU148" s="19">
        <v>0.195611299300092</v>
      </c>
    </row>
    <row r="149" spans="3:73" x14ac:dyDescent="0.45">
      <c r="C149" s="15" t="s">
        <v>249</v>
      </c>
      <c r="D149" s="15" t="s">
        <v>322</v>
      </c>
      <c r="E149" s="15" t="s">
        <v>260</v>
      </c>
      <c r="F149" s="15"/>
      <c r="G149" s="15"/>
      <c r="H149" s="15"/>
      <c r="I149" s="15" t="s">
        <v>323</v>
      </c>
      <c r="J149" s="19"/>
      <c r="K149" s="18"/>
      <c r="L149" s="18">
        <v>965.29</v>
      </c>
      <c r="M149" s="18"/>
      <c r="N149" s="18"/>
      <c r="O149" s="18"/>
      <c r="P149" s="19"/>
      <c r="Q149" s="18"/>
      <c r="R149" s="18">
        <v>965.29408179999996</v>
      </c>
      <c r="S149" s="18"/>
      <c r="T149" s="18"/>
      <c r="U149" s="18"/>
      <c r="V149" s="18"/>
      <c r="X149" s="15" t="s">
        <v>249</v>
      </c>
      <c r="Y149" s="15" t="s">
        <v>325</v>
      </c>
      <c r="Z149" s="15" t="s">
        <v>342</v>
      </c>
      <c r="AA149" s="15"/>
      <c r="AB149" s="15"/>
      <c r="AC149" s="15"/>
      <c r="AD149" s="15"/>
      <c r="AE149" s="19">
        <v>2023</v>
      </c>
      <c r="AF149" s="18"/>
      <c r="AG149" s="18"/>
      <c r="AH149" s="18"/>
      <c r="AI149" s="18"/>
      <c r="AJ149" s="18"/>
      <c r="AK149" s="19">
        <v>2023</v>
      </c>
      <c r="AL149" s="18"/>
      <c r="AM149" s="18"/>
      <c r="AN149" s="18"/>
      <c r="AO149" s="18"/>
      <c r="AP149" s="18"/>
      <c r="AR149" s="15" t="s">
        <v>249</v>
      </c>
      <c r="AS149" s="15" t="s">
        <v>369</v>
      </c>
      <c r="AT149" s="15"/>
      <c r="AU149" s="15"/>
      <c r="AV149" s="15" t="s">
        <v>509</v>
      </c>
      <c r="AW149" s="15"/>
      <c r="AX149" s="15"/>
      <c r="AY149" s="15"/>
      <c r="AZ149" s="18"/>
      <c r="BA149" s="18"/>
      <c r="BB149" s="19">
        <v>2.4751171684414599</v>
      </c>
      <c r="BC149" s="19">
        <v>2.5259444618131801</v>
      </c>
      <c r="BD149" s="19">
        <v>2.5670631710577201</v>
      </c>
      <c r="BE149" s="19">
        <v>2.6432089289179701</v>
      </c>
      <c r="BF149" s="19">
        <v>2.7117401109922099</v>
      </c>
      <c r="BG149" s="19">
        <v>2.7726567172804102</v>
      </c>
      <c r="BH149" s="19">
        <v>2.82595874778259</v>
      </c>
      <c r="BI149" s="19">
        <v>2.872598024472</v>
      </c>
      <c r="BJ149" s="19">
        <v>2.9154300132683901</v>
      </c>
      <c r="BK149" s="18"/>
      <c r="BL149" s="18"/>
      <c r="BM149" s="19">
        <v>2.49032252446418</v>
      </c>
      <c r="BN149" s="19">
        <v>2.6203414060105601</v>
      </c>
      <c r="BO149" s="19">
        <v>2.7467433640585899</v>
      </c>
      <c r="BP149" s="19">
        <v>2.8228891219188501</v>
      </c>
      <c r="BQ149" s="19">
        <v>2.8487786795913399</v>
      </c>
      <c r="BR149" s="19">
        <v>2.8670536614777999</v>
      </c>
      <c r="BS149" s="19">
        <v>2.8777140675782298</v>
      </c>
      <c r="BT149" s="19">
        <v>2.8817117198658999</v>
      </c>
      <c r="BU149" s="19">
        <v>2.8819020842605498</v>
      </c>
    </row>
    <row r="150" spans="3:73" x14ac:dyDescent="0.45">
      <c r="C150" s="15" t="s">
        <v>249</v>
      </c>
      <c r="D150" s="15" t="s">
        <v>322</v>
      </c>
      <c r="E150" s="15" t="s">
        <v>261</v>
      </c>
      <c r="F150" s="15"/>
      <c r="G150" s="15"/>
      <c r="H150" s="15"/>
      <c r="I150" s="15" t="s">
        <v>323</v>
      </c>
      <c r="J150" s="19"/>
      <c r="K150" s="18"/>
      <c r="L150" s="18"/>
      <c r="M150" s="18">
        <v>3039.58</v>
      </c>
      <c r="N150" s="18">
        <v>1245.6600000000001</v>
      </c>
      <c r="O150" s="18">
        <v>1072.05</v>
      </c>
      <c r="P150" s="19">
        <v>1072.05</v>
      </c>
      <c r="Q150" s="18"/>
      <c r="R150" s="18"/>
      <c r="S150" s="18">
        <v>3076.969325</v>
      </c>
      <c r="T150" s="18">
        <v>1595.220724</v>
      </c>
      <c r="U150" s="18">
        <v>1071.7593999999999</v>
      </c>
      <c r="V150" s="18">
        <v>1071.7593999999999</v>
      </c>
      <c r="X150" s="15" t="s">
        <v>249</v>
      </c>
      <c r="Y150" s="15" t="s">
        <v>325</v>
      </c>
      <c r="Z150" s="15" t="s">
        <v>343</v>
      </c>
      <c r="AA150" s="15"/>
      <c r="AB150" s="15"/>
      <c r="AC150" s="15"/>
      <c r="AD150" s="15"/>
      <c r="AE150" s="19">
        <v>2020</v>
      </c>
      <c r="AF150" s="18"/>
      <c r="AG150" s="18"/>
      <c r="AH150" s="18"/>
      <c r="AI150" s="18"/>
      <c r="AJ150" s="18"/>
      <c r="AK150" s="19">
        <v>2020</v>
      </c>
      <c r="AL150" s="18"/>
      <c r="AM150" s="18"/>
      <c r="AN150" s="18"/>
      <c r="AO150" s="18"/>
      <c r="AP150" s="18"/>
      <c r="AR150" s="15" t="s">
        <v>249</v>
      </c>
      <c r="AS150" s="15" t="s">
        <v>369</v>
      </c>
      <c r="AT150" s="15"/>
      <c r="AU150" s="15"/>
      <c r="AV150" s="15" t="s">
        <v>510</v>
      </c>
      <c r="AW150" s="15"/>
      <c r="AX150" s="15"/>
      <c r="AY150" s="15"/>
      <c r="AZ150" s="18"/>
      <c r="BA150" s="18"/>
      <c r="BB150" s="19">
        <v>3.8847823682391E-5</v>
      </c>
      <c r="BC150" s="19">
        <v>3.9645575706551202E-5</v>
      </c>
      <c r="BD150" s="19">
        <v>4.02909481305909E-5</v>
      </c>
      <c r="BE150" s="19">
        <v>4.1486082249182897E-5</v>
      </c>
      <c r="BF150" s="19">
        <v>4.25617029559157E-5</v>
      </c>
      <c r="BG150" s="19">
        <v>4.3517810250789399E-5</v>
      </c>
      <c r="BH150" s="19">
        <v>4.4354404133803797E-5</v>
      </c>
      <c r="BI150" s="19">
        <v>4.5086423781441398E-5</v>
      </c>
      <c r="BJ150" s="19">
        <v>4.5758686723149399E-5</v>
      </c>
      <c r="BK150" s="18"/>
      <c r="BL150" s="18"/>
      <c r="BM150" s="19">
        <v>3.9086477026697302E-5</v>
      </c>
      <c r="BN150" s="19">
        <v>4.1127168534193201E-5</v>
      </c>
      <c r="BO150" s="19">
        <v>4.3111091171056003E-5</v>
      </c>
      <c r="BP150" s="19">
        <v>4.4306225289648101E-5</v>
      </c>
      <c r="BQ150" s="19">
        <v>4.4712570889969299E-5</v>
      </c>
      <c r="BR150" s="19">
        <v>4.4999403078431398E-5</v>
      </c>
      <c r="BS150" s="19">
        <v>4.5166721855034298E-5</v>
      </c>
      <c r="BT150" s="19">
        <v>4.5229466396260402E-5</v>
      </c>
      <c r="BU150" s="19">
        <v>4.5232454231556899E-5</v>
      </c>
    </row>
    <row r="151" spans="3:73" x14ac:dyDescent="0.45">
      <c r="C151" s="15" t="s">
        <v>249</v>
      </c>
      <c r="D151" s="15" t="s">
        <v>322</v>
      </c>
      <c r="E151" s="15" t="s">
        <v>262</v>
      </c>
      <c r="F151" s="15"/>
      <c r="G151" s="15"/>
      <c r="H151" s="15"/>
      <c r="I151" s="15" t="s">
        <v>323</v>
      </c>
      <c r="J151" s="19"/>
      <c r="K151" s="18"/>
      <c r="L151" s="18"/>
      <c r="M151" s="18">
        <v>2304.09</v>
      </c>
      <c r="N151" s="18">
        <v>1136.31</v>
      </c>
      <c r="O151" s="18">
        <v>666.85</v>
      </c>
      <c r="P151" s="19">
        <v>634.71</v>
      </c>
      <c r="Q151" s="18"/>
      <c r="R151" s="18"/>
      <c r="S151" s="18">
        <v>2307.2582419999999</v>
      </c>
      <c r="T151" s="18">
        <v>2140.7867959999999</v>
      </c>
      <c r="U151" s="18">
        <v>819.54217649999998</v>
      </c>
      <c r="V151" s="18">
        <v>675.35594379999998</v>
      </c>
      <c r="X151" s="15" t="s">
        <v>249</v>
      </c>
      <c r="Y151" s="15" t="s">
        <v>325</v>
      </c>
      <c r="Z151" s="15" t="s">
        <v>344</v>
      </c>
      <c r="AA151" s="15"/>
      <c r="AB151" s="15"/>
      <c r="AC151" s="15"/>
      <c r="AD151" s="15"/>
      <c r="AE151" s="19">
        <v>2020</v>
      </c>
      <c r="AF151" s="18"/>
      <c r="AG151" s="18"/>
      <c r="AH151" s="18"/>
      <c r="AI151" s="18"/>
      <c r="AJ151" s="18"/>
      <c r="AK151" s="19">
        <v>2020</v>
      </c>
      <c r="AL151" s="18"/>
      <c r="AM151" s="18"/>
      <c r="AN151" s="18"/>
      <c r="AO151" s="18"/>
      <c r="AP151" s="18"/>
      <c r="AR151" s="15" t="s">
        <v>249</v>
      </c>
      <c r="AS151" s="15" t="s">
        <v>369</v>
      </c>
      <c r="AT151" s="15"/>
      <c r="AU151" s="15"/>
      <c r="AV151" s="15" t="s">
        <v>511</v>
      </c>
      <c r="AW151" s="15"/>
      <c r="AX151" s="15"/>
      <c r="AY151" s="15"/>
      <c r="AZ151" s="18"/>
      <c r="BA151" s="18"/>
      <c r="BB151" s="19">
        <v>0.15488650758678299</v>
      </c>
      <c r="BC151" s="19">
        <v>0.15806714972397601</v>
      </c>
      <c r="BD151" s="19">
        <v>0.160640253475413</v>
      </c>
      <c r="BE151" s="19">
        <v>0.16540526042251799</v>
      </c>
      <c r="BF151" s="19">
        <v>0.16969376667491401</v>
      </c>
      <c r="BG151" s="19">
        <v>0.173505772232598</v>
      </c>
      <c r="BH151" s="19">
        <v>0.17684127709557201</v>
      </c>
      <c r="BI151" s="19">
        <v>0.17975984385067401</v>
      </c>
      <c r="BJ151" s="19">
        <v>0.182440160258421</v>
      </c>
      <c r="BK151" s="18"/>
      <c r="BL151" s="18"/>
      <c r="BM151" s="19">
        <v>0.15583801991153301</v>
      </c>
      <c r="BN151" s="19">
        <v>0.163974269273716</v>
      </c>
      <c r="BO151" s="19">
        <v>0.171884180805911</v>
      </c>
      <c r="BP151" s="19">
        <v>0.176649187753017</v>
      </c>
      <c r="BQ151" s="19">
        <v>0.17826929011503301</v>
      </c>
      <c r="BR151" s="19">
        <v>0.17941289178233799</v>
      </c>
      <c r="BS151" s="19">
        <v>0.180079992754933</v>
      </c>
      <c r="BT151" s="19">
        <v>0.18033015561965601</v>
      </c>
      <c r="BU151" s="19">
        <v>0.180342068137024</v>
      </c>
    </row>
    <row r="152" spans="3:73" x14ac:dyDescent="0.45">
      <c r="C152" s="15" t="s">
        <v>249</v>
      </c>
      <c r="D152" s="15" t="s">
        <v>322</v>
      </c>
      <c r="E152" s="15" t="s">
        <v>263</v>
      </c>
      <c r="F152" s="15"/>
      <c r="G152" s="15"/>
      <c r="H152" s="15"/>
      <c r="I152" s="15" t="s">
        <v>323</v>
      </c>
      <c r="J152" s="19"/>
      <c r="K152" s="18"/>
      <c r="L152" s="18">
        <v>363.43</v>
      </c>
      <c r="M152" s="18">
        <v>368.42</v>
      </c>
      <c r="N152" s="18">
        <v>375.08</v>
      </c>
      <c r="O152" s="18">
        <v>383.4</v>
      </c>
      <c r="P152" s="19">
        <v>394.6</v>
      </c>
      <c r="Q152" s="18"/>
      <c r="R152" s="18">
        <v>363.43</v>
      </c>
      <c r="S152" s="18">
        <v>368.42</v>
      </c>
      <c r="T152" s="18">
        <v>375.08</v>
      </c>
      <c r="U152" s="18">
        <v>383.4</v>
      </c>
      <c r="V152" s="18">
        <v>394.6</v>
      </c>
      <c r="X152" s="15" t="s">
        <v>249</v>
      </c>
      <c r="Y152" s="15" t="s">
        <v>325</v>
      </c>
      <c r="Z152" s="15" t="s">
        <v>345</v>
      </c>
      <c r="AA152" s="15"/>
      <c r="AB152" s="15"/>
      <c r="AC152" s="15"/>
      <c r="AD152" s="15"/>
      <c r="AE152" s="19">
        <v>2020</v>
      </c>
      <c r="AF152" s="18"/>
      <c r="AG152" s="18"/>
      <c r="AH152" s="18"/>
      <c r="AI152" s="18"/>
      <c r="AJ152" s="18"/>
      <c r="AK152" s="19">
        <v>2020</v>
      </c>
      <c r="AL152" s="18"/>
      <c r="AM152" s="18"/>
      <c r="AN152" s="18"/>
      <c r="AO152" s="18"/>
      <c r="AP152" s="18"/>
      <c r="AR152" s="15" t="s">
        <v>249</v>
      </c>
      <c r="AS152" s="15" t="s">
        <v>369</v>
      </c>
      <c r="AT152" s="15"/>
      <c r="AU152" s="15"/>
      <c r="AV152" s="15" t="s">
        <v>512</v>
      </c>
      <c r="AW152" s="15"/>
      <c r="AX152" s="15"/>
      <c r="AY152" s="15"/>
      <c r="AZ152" s="18"/>
      <c r="BA152" s="18"/>
      <c r="BB152" s="19">
        <v>1.9530654204464</v>
      </c>
      <c r="BC152" s="19">
        <v>1.99317222038497</v>
      </c>
      <c r="BD152" s="19">
        <v>2.02561817089707</v>
      </c>
      <c r="BE152" s="19">
        <v>2.0857032644379898</v>
      </c>
      <c r="BF152" s="19">
        <v>2.1397798486248201</v>
      </c>
      <c r="BG152" s="19">
        <v>2.1878479234575599</v>
      </c>
      <c r="BH152" s="19">
        <v>2.22990748893621</v>
      </c>
      <c r="BI152" s="19">
        <v>2.26670960873003</v>
      </c>
      <c r="BJ152" s="19">
        <v>2.3005074738468001</v>
      </c>
      <c r="BK152" s="18"/>
      <c r="BL152" s="18"/>
      <c r="BM152" s="19">
        <v>1.9650636625628499</v>
      </c>
      <c r="BN152" s="19">
        <v>2.0676589597839801</v>
      </c>
      <c r="BO152" s="19">
        <v>2.16740021506192</v>
      </c>
      <c r="BP152" s="19">
        <v>2.2274853086028399</v>
      </c>
      <c r="BQ152" s="19">
        <v>2.24791424040676</v>
      </c>
      <c r="BR152" s="19">
        <v>2.2623346628565799</v>
      </c>
      <c r="BS152" s="19">
        <v>2.2707465759523102</v>
      </c>
      <c r="BT152" s="19">
        <v>2.2739010433632099</v>
      </c>
      <c r="BU152" s="19">
        <v>2.27405125609706</v>
      </c>
    </row>
    <row r="153" spans="3:73" x14ac:dyDescent="0.45">
      <c r="C153" s="15" t="s">
        <v>249</v>
      </c>
      <c r="D153" s="15" t="s">
        <v>322</v>
      </c>
      <c r="E153" s="15" t="s">
        <v>264</v>
      </c>
      <c r="F153" s="15"/>
      <c r="G153" s="15"/>
      <c r="H153" s="15"/>
      <c r="I153" s="15" t="s">
        <v>323</v>
      </c>
      <c r="J153" s="19"/>
      <c r="K153" s="18"/>
      <c r="L153" s="18">
        <v>563.28</v>
      </c>
      <c r="M153" s="18">
        <v>536.36</v>
      </c>
      <c r="N153" s="18">
        <v>378.82</v>
      </c>
      <c r="O153" s="18">
        <v>378.82</v>
      </c>
      <c r="P153" s="19">
        <v>378.82</v>
      </c>
      <c r="Q153" s="18"/>
      <c r="R153" s="18">
        <v>563.28</v>
      </c>
      <c r="S153" s="18">
        <v>549.55999999999995</v>
      </c>
      <c r="T153" s="18">
        <v>413.47</v>
      </c>
      <c r="U153" s="18">
        <v>413.47</v>
      </c>
      <c r="V153" s="18">
        <v>413.47</v>
      </c>
      <c r="X153" s="15" t="s">
        <v>249</v>
      </c>
      <c r="Y153" s="15" t="s">
        <v>325</v>
      </c>
      <c r="Z153" s="15" t="s">
        <v>346</v>
      </c>
      <c r="AA153" s="15"/>
      <c r="AB153" s="15"/>
      <c r="AC153" s="15"/>
      <c r="AD153" s="15"/>
      <c r="AE153" s="19">
        <v>2020</v>
      </c>
      <c r="AF153" s="18"/>
      <c r="AG153" s="18"/>
      <c r="AH153" s="18"/>
      <c r="AI153" s="18"/>
      <c r="AJ153" s="18"/>
      <c r="AK153" s="19">
        <v>2020</v>
      </c>
      <c r="AL153" s="18"/>
      <c r="AM153" s="18"/>
      <c r="AN153" s="18"/>
      <c r="AO153" s="18"/>
      <c r="AP153" s="18"/>
      <c r="AR153" s="15" t="s">
        <v>249</v>
      </c>
      <c r="AS153" s="15" t="s">
        <v>369</v>
      </c>
      <c r="AT153" s="15"/>
      <c r="AU153" s="15"/>
      <c r="AV153" s="15" t="s">
        <v>513</v>
      </c>
      <c r="AW153" s="15"/>
      <c r="AX153" s="15"/>
      <c r="AY153" s="15"/>
      <c r="AZ153" s="18"/>
      <c r="BA153" s="18"/>
      <c r="BB153" s="19">
        <v>5.3766386980746503</v>
      </c>
      <c r="BC153" s="19">
        <v>5.4870496297045497</v>
      </c>
      <c r="BD153" s="19">
        <v>5.5763708328208796</v>
      </c>
      <c r="BE153" s="19">
        <v>5.7417804682214797</v>
      </c>
      <c r="BF153" s="19">
        <v>5.8906491400820302</v>
      </c>
      <c r="BG153" s="19">
        <v>6.0229768484025099</v>
      </c>
      <c r="BH153" s="19">
        <v>6.1387635931829401</v>
      </c>
      <c r="BI153" s="19">
        <v>6.2400769948658104</v>
      </c>
      <c r="BJ153" s="19">
        <v>6.3331199147786501</v>
      </c>
      <c r="BK153" s="18"/>
      <c r="BL153" s="18"/>
      <c r="BM153" s="19">
        <v>5.4096689346437099</v>
      </c>
      <c r="BN153" s="19">
        <v>5.6921058870902401</v>
      </c>
      <c r="BO153" s="19">
        <v>5.9666858818552404</v>
      </c>
      <c r="BP153" s="19">
        <v>6.1320955172558502</v>
      </c>
      <c r="BQ153" s="19">
        <v>6.1883347932920501</v>
      </c>
      <c r="BR153" s="19">
        <v>6.2280331057882004</v>
      </c>
      <c r="BS153" s="19">
        <v>6.2511904547442798</v>
      </c>
      <c r="BT153" s="19">
        <v>6.2598744606028101</v>
      </c>
      <c r="BU153" s="19">
        <v>6.2602879846913204</v>
      </c>
    </row>
    <row r="154" spans="3:73" x14ac:dyDescent="0.45">
      <c r="C154" s="15" t="s">
        <v>249</v>
      </c>
      <c r="D154" s="15" t="s">
        <v>322</v>
      </c>
      <c r="E154" s="15" t="s">
        <v>265</v>
      </c>
      <c r="F154" s="15"/>
      <c r="G154" s="15"/>
      <c r="H154" s="15"/>
      <c r="I154" s="15" t="s">
        <v>323</v>
      </c>
      <c r="J154" s="19"/>
      <c r="K154" s="18"/>
      <c r="L154" s="18">
        <v>748.66</v>
      </c>
      <c r="M154" s="18">
        <v>644.29999999999995</v>
      </c>
      <c r="N154" s="18">
        <v>537.66999999999996</v>
      </c>
      <c r="O154" s="18">
        <v>431.38</v>
      </c>
      <c r="P154" s="19">
        <v>408.55</v>
      </c>
      <c r="Q154" s="18"/>
      <c r="R154" s="18">
        <v>748.66</v>
      </c>
      <c r="S154" s="18">
        <v>644.29999999999995</v>
      </c>
      <c r="T154" s="18">
        <v>431.38</v>
      </c>
      <c r="U154" s="18">
        <v>431.38</v>
      </c>
      <c r="V154" s="18">
        <v>408.55</v>
      </c>
      <c r="X154" s="15" t="s">
        <v>249</v>
      </c>
      <c r="Y154" s="15" t="s">
        <v>325</v>
      </c>
      <c r="Z154" s="15" t="s">
        <v>347</v>
      </c>
      <c r="AA154" s="15"/>
      <c r="AB154" s="15"/>
      <c r="AC154" s="15"/>
      <c r="AD154" s="15"/>
      <c r="AE154" s="19">
        <v>2023</v>
      </c>
      <c r="AF154" s="18"/>
      <c r="AG154" s="18"/>
      <c r="AH154" s="18"/>
      <c r="AI154" s="18"/>
      <c r="AJ154" s="18"/>
      <c r="AK154" s="19">
        <v>2023</v>
      </c>
      <c r="AL154" s="18"/>
      <c r="AM154" s="18"/>
      <c r="AN154" s="18"/>
      <c r="AO154" s="18"/>
      <c r="AP154" s="18"/>
      <c r="AR154" s="15" t="s">
        <v>249</v>
      </c>
      <c r="AS154" s="15" t="s">
        <v>369</v>
      </c>
      <c r="AT154" s="15"/>
      <c r="AU154" s="15"/>
      <c r="AV154" s="15" t="s">
        <v>514</v>
      </c>
      <c r="AW154" s="15"/>
      <c r="AX154" s="15"/>
      <c r="AY154" s="15"/>
      <c r="AZ154" s="18"/>
      <c r="BA154" s="18"/>
      <c r="BB154" s="19">
        <v>1.10936864777249</v>
      </c>
      <c r="BC154" s="19">
        <v>1.1321498746318299</v>
      </c>
      <c r="BD154" s="19">
        <v>1.1505796311922001</v>
      </c>
      <c r="BE154" s="19">
        <v>1.1847088100076999</v>
      </c>
      <c r="BF154" s="19">
        <v>1.2154250709416401</v>
      </c>
      <c r="BG154" s="19">
        <v>1.24272841399404</v>
      </c>
      <c r="BH154" s="19">
        <v>1.26661883916489</v>
      </c>
      <c r="BI154" s="19">
        <v>1.2875229611893799</v>
      </c>
      <c r="BJ154" s="19">
        <v>1.3067206242731</v>
      </c>
      <c r="BK154" s="18"/>
      <c r="BL154" s="18"/>
      <c r="BM154" s="19">
        <v>1.1161838181672099</v>
      </c>
      <c r="BN154" s="19">
        <v>1.1744593909946699</v>
      </c>
      <c r="BO154" s="19">
        <v>1.23111382782839</v>
      </c>
      <c r="BP154" s="19">
        <v>1.26524300664389</v>
      </c>
      <c r="BQ154" s="19">
        <v>1.27684692744116</v>
      </c>
      <c r="BR154" s="19">
        <v>1.28503793035688</v>
      </c>
      <c r="BS154" s="19">
        <v>1.2898160153910501</v>
      </c>
      <c r="BT154" s="19">
        <v>1.29160779727886</v>
      </c>
      <c r="BU154" s="19">
        <v>1.2916931202259001</v>
      </c>
    </row>
    <row r="155" spans="3:73" x14ac:dyDescent="0.45">
      <c r="C155" s="15" t="s">
        <v>249</v>
      </c>
      <c r="D155" s="15" t="s">
        <v>322</v>
      </c>
      <c r="E155" s="15" t="s">
        <v>266</v>
      </c>
      <c r="F155" s="15"/>
      <c r="G155" s="15"/>
      <c r="H155" s="15"/>
      <c r="I155" s="15" t="s">
        <v>323</v>
      </c>
      <c r="J155" s="19"/>
      <c r="K155" s="18"/>
      <c r="L155" s="18">
        <v>410.61</v>
      </c>
      <c r="M155" s="18"/>
      <c r="N155" s="18"/>
      <c r="O155" s="18"/>
      <c r="P155" s="19"/>
      <c r="Q155" s="18"/>
      <c r="R155" s="18">
        <v>410.6135299</v>
      </c>
      <c r="S155" s="18"/>
      <c r="T155" s="18"/>
      <c r="U155" s="18"/>
      <c r="V155" s="18"/>
      <c r="X155" s="15" t="s">
        <v>249</v>
      </c>
      <c r="Y155" s="15" t="s">
        <v>325</v>
      </c>
      <c r="Z155" s="15" t="s">
        <v>348</v>
      </c>
      <c r="AA155" s="15"/>
      <c r="AB155" s="15"/>
      <c r="AC155" s="15"/>
      <c r="AD155" s="15"/>
      <c r="AE155" s="19">
        <v>2023</v>
      </c>
      <c r="AF155" s="18"/>
      <c r="AG155" s="18"/>
      <c r="AH155" s="18"/>
      <c r="AI155" s="18"/>
      <c r="AJ155" s="18"/>
      <c r="AK155" s="19">
        <v>2023</v>
      </c>
      <c r="AL155" s="18"/>
      <c r="AM155" s="18"/>
      <c r="AN155" s="18"/>
      <c r="AO155" s="18"/>
      <c r="AP155" s="18"/>
      <c r="AR155" s="15" t="s">
        <v>249</v>
      </c>
      <c r="AS155" s="15" t="s">
        <v>369</v>
      </c>
      <c r="AT155" s="15"/>
      <c r="AU155" s="15"/>
      <c r="AV155" s="15" t="s">
        <v>515</v>
      </c>
      <c r="AW155" s="15"/>
      <c r="AX155" s="15"/>
      <c r="AY155" s="15"/>
      <c r="AZ155" s="18"/>
      <c r="BA155" s="18"/>
      <c r="BB155" s="19">
        <v>18.6556727564036</v>
      </c>
      <c r="BC155" s="19">
        <v>19.0387727422655</v>
      </c>
      <c r="BD155" s="19">
        <v>19.348696326333599</v>
      </c>
      <c r="BE155" s="19">
        <v>19.922628889422601</v>
      </c>
      <c r="BF155" s="19">
        <v>20.4391681962028</v>
      </c>
      <c r="BG155" s="19">
        <v>20.898314246674001</v>
      </c>
      <c r="BH155" s="19">
        <v>21.3000670408363</v>
      </c>
      <c r="BI155" s="19">
        <v>21.651600735728401</v>
      </c>
      <c r="BJ155" s="19">
        <v>21.974437802465999</v>
      </c>
      <c r="BK155" s="18"/>
      <c r="BL155" s="18"/>
      <c r="BM155" s="19">
        <v>18.770279915095401</v>
      </c>
      <c r="BN155" s="19">
        <v>19.7502697665699</v>
      </c>
      <c r="BO155" s="19">
        <v>20.7029978212977</v>
      </c>
      <c r="BP155" s="19">
        <v>21.276930384386802</v>
      </c>
      <c r="BQ155" s="19">
        <v>21.472067455837099</v>
      </c>
      <c r="BR155" s="19">
        <v>21.609811270978401</v>
      </c>
      <c r="BS155" s="19">
        <v>21.690161829810901</v>
      </c>
      <c r="BT155" s="19">
        <v>21.7202932893731</v>
      </c>
      <c r="BU155" s="19">
        <v>21.721728120780799</v>
      </c>
    </row>
    <row r="156" spans="3:73" x14ac:dyDescent="0.45">
      <c r="C156" s="15" t="s">
        <v>249</v>
      </c>
      <c r="D156" s="15" t="s">
        <v>322</v>
      </c>
      <c r="E156" s="15" t="s">
        <v>267</v>
      </c>
      <c r="F156" s="15"/>
      <c r="G156" s="15"/>
      <c r="H156" s="15"/>
      <c r="I156" s="15" t="s">
        <v>323</v>
      </c>
      <c r="J156" s="19"/>
      <c r="K156" s="18"/>
      <c r="L156" s="18">
        <v>643.41</v>
      </c>
      <c r="M156" s="18"/>
      <c r="N156" s="18"/>
      <c r="O156" s="18"/>
      <c r="P156" s="19"/>
      <c r="Q156" s="18"/>
      <c r="R156" s="18">
        <v>643.41352989999996</v>
      </c>
      <c r="S156" s="18"/>
      <c r="T156" s="18"/>
      <c r="U156" s="18"/>
      <c r="V156" s="18"/>
      <c r="X156" s="15" t="s">
        <v>249</v>
      </c>
      <c r="Y156" s="15" t="s">
        <v>325</v>
      </c>
      <c r="Z156" s="15" t="s">
        <v>349</v>
      </c>
      <c r="AA156" s="15"/>
      <c r="AB156" s="15"/>
      <c r="AC156" s="15"/>
      <c r="AD156" s="15"/>
      <c r="AE156" s="19">
        <v>2020</v>
      </c>
      <c r="AF156" s="18"/>
      <c r="AG156" s="18"/>
      <c r="AH156" s="18"/>
      <c r="AI156" s="18"/>
      <c r="AJ156" s="18"/>
      <c r="AK156" s="19">
        <v>2020</v>
      </c>
      <c r="AL156" s="18"/>
      <c r="AM156" s="18"/>
      <c r="AN156" s="18"/>
      <c r="AO156" s="18"/>
      <c r="AP156" s="18"/>
      <c r="AR156" s="15" t="s">
        <v>249</v>
      </c>
      <c r="AS156" s="15" t="s">
        <v>369</v>
      </c>
      <c r="AT156" s="15"/>
      <c r="AU156" s="15"/>
      <c r="AV156" s="15" t="s">
        <v>516</v>
      </c>
      <c r="AW156" s="15"/>
      <c r="AX156" s="15"/>
      <c r="AY156" s="15"/>
      <c r="AZ156" s="18"/>
      <c r="BA156" s="18"/>
      <c r="BB156" s="19">
        <v>8.7480000000000002E-2</v>
      </c>
      <c r="BC156" s="19">
        <v>8.7480000000000002E-2</v>
      </c>
      <c r="BD156" s="19">
        <v>8.7480000000000002E-2</v>
      </c>
      <c r="BE156" s="19">
        <v>8.7480000000000002E-2</v>
      </c>
      <c r="BF156" s="19">
        <v>8.7480000000000002E-2</v>
      </c>
      <c r="BG156" s="19">
        <v>8.7480000000000002E-2</v>
      </c>
      <c r="BH156" s="19">
        <v>8.7480000000000002E-2</v>
      </c>
      <c r="BI156" s="19">
        <v>8.7480000000000002E-2</v>
      </c>
      <c r="BJ156" s="19">
        <v>8.7480000000000002E-2</v>
      </c>
      <c r="BK156" s="18"/>
      <c r="BL156" s="18"/>
      <c r="BM156" s="19">
        <v>8.7480000000000002E-2</v>
      </c>
      <c r="BN156" s="19">
        <v>8.7480000000000002E-2</v>
      </c>
      <c r="BO156" s="19">
        <v>8.7480000000000002E-2</v>
      </c>
      <c r="BP156" s="19">
        <v>8.7480000000000002E-2</v>
      </c>
      <c r="BQ156" s="19">
        <v>8.7480000000000002E-2</v>
      </c>
      <c r="BR156" s="19">
        <v>8.7480000000000002E-2</v>
      </c>
      <c r="BS156" s="19">
        <v>8.7480000000000002E-2</v>
      </c>
      <c r="BT156" s="19">
        <v>8.7480000000000002E-2</v>
      </c>
      <c r="BU156" s="19">
        <v>8.7480000000000002E-2</v>
      </c>
    </row>
    <row r="157" spans="3:73" x14ac:dyDescent="0.45">
      <c r="C157" s="15" t="s">
        <v>249</v>
      </c>
      <c r="D157" s="15" t="s">
        <v>322</v>
      </c>
      <c r="E157" s="15" t="s">
        <v>268</v>
      </c>
      <c r="F157" s="15"/>
      <c r="G157" s="15"/>
      <c r="H157" s="15"/>
      <c r="I157" s="15" t="s">
        <v>323</v>
      </c>
      <c r="J157" s="19"/>
      <c r="K157" s="18"/>
      <c r="L157" s="18">
        <v>886.91</v>
      </c>
      <c r="M157" s="18"/>
      <c r="N157" s="18"/>
      <c r="O157" s="18"/>
      <c r="P157" s="19"/>
      <c r="Q157" s="18"/>
      <c r="R157" s="18">
        <v>886.90625</v>
      </c>
      <c r="S157" s="18"/>
      <c r="T157" s="18"/>
      <c r="U157" s="18"/>
      <c r="V157" s="18"/>
      <c r="X157" s="15" t="s">
        <v>249</v>
      </c>
      <c r="Y157" s="15" t="s">
        <v>325</v>
      </c>
      <c r="Z157" s="15" t="s">
        <v>350</v>
      </c>
      <c r="AA157" s="15"/>
      <c r="AB157" s="15"/>
      <c r="AC157" s="15"/>
      <c r="AD157" s="15"/>
      <c r="AE157" s="19">
        <v>2020</v>
      </c>
      <c r="AF157" s="18"/>
      <c r="AG157" s="18"/>
      <c r="AH157" s="18"/>
      <c r="AI157" s="18"/>
      <c r="AJ157" s="18"/>
      <c r="AK157" s="19">
        <v>2020</v>
      </c>
      <c r="AL157" s="18"/>
      <c r="AM157" s="18"/>
      <c r="AN157" s="18"/>
      <c r="AO157" s="18"/>
      <c r="AP157" s="18"/>
      <c r="AR157" s="15" t="s">
        <v>249</v>
      </c>
      <c r="AS157" s="15" t="s">
        <v>369</v>
      </c>
      <c r="AT157" s="15"/>
      <c r="AU157" s="15"/>
      <c r="AV157" s="15" t="s">
        <v>517</v>
      </c>
      <c r="AW157" s="15"/>
      <c r="AX157" s="15"/>
      <c r="AY157" s="15"/>
      <c r="AZ157" s="18"/>
      <c r="BA157" s="18"/>
      <c r="BB157" s="19">
        <v>14.509994148445999</v>
      </c>
      <c r="BC157" s="19">
        <v>14.807961347255199</v>
      </c>
      <c r="BD157" s="19">
        <v>15.049013463145799</v>
      </c>
      <c r="BE157" s="19">
        <v>15.4954062703506</v>
      </c>
      <c r="BF157" s="19">
        <v>15.897159796834901</v>
      </c>
      <c r="BG157" s="19">
        <v>16.254274042598698</v>
      </c>
      <c r="BH157" s="19">
        <v>16.566749007641999</v>
      </c>
      <c r="BI157" s="19">
        <v>16.840164602054902</v>
      </c>
      <c r="BJ157" s="19">
        <v>17.091260556107599</v>
      </c>
      <c r="BK157" s="18"/>
      <c r="BL157" s="18"/>
      <c r="BM157" s="19">
        <v>14.599133212134699</v>
      </c>
      <c r="BN157" s="19">
        <v>15.3613489304369</v>
      </c>
      <c r="BO157" s="19">
        <v>16.1023609903968</v>
      </c>
      <c r="BP157" s="19">
        <v>16.548753797601599</v>
      </c>
      <c r="BQ157" s="19">
        <v>16.7005273520512</v>
      </c>
      <c r="BR157" s="19">
        <v>16.807661625780302</v>
      </c>
      <c r="BS157" s="19">
        <v>16.870156618789</v>
      </c>
      <c r="BT157" s="19">
        <v>16.893592241167301</v>
      </c>
      <c r="BU157" s="19">
        <v>16.894708223185301</v>
      </c>
    </row>
    <row r="158" spans="3:73" x14ac:dyDescent="0.45">
      <c r="C158" s="15" t="s">
        <v>249</v>
      </c>
      <c r="D158" s="15" t="s">
        <v>322</v>
      </c>
      <c r="E158" s="15" t="s">
        <v>269</v>
      </c>
      <c r="F158" s="15"/>
      <c r="G158" s="15"/>
      <c r="H158" s="15"/>
      <c r="I158" s="15" t="s">
        <v>323</v>
      </c>
      <c r="J158" s="19"/>
      <c r="K158" s="18"/>
      <c r="L158" s="18">
        <v>545.78</v>
      </c>
      <c r="M158" s="18"/>
      <c r="N158" s="18"/>
      <c r="O158" s="18"/>
      <c r="P158" s="19"/>
      <c r="Q158" s="18"/>
      <c r="R158" s="18">
        <v>545.78192360000003</v>
      </c>
      <c r="S158" s="18"/>
      <c r="T158" s="18"/>
      <c r="U158" s="18"/>
      <c r="V158" s="18"/>
      <c r="X158" s="15" t="s">
        <v>249</v>
      </c>
      <c r="Y158" s="15" t="s">
        <v>325</v>
      </c>
      <c r="Z158" s="15" t="s">
        <v>351</v>
      </c>
      <c r="AA158" s="15"/>
      <c r="AB158" s="15"/>
      <c r="AC158" s="15"/>
      <c r="AD158" s="15"/>
      <c r="AE158" s="19">
        <v>2020</v>
      </c>
      <c r="AF158" s="18"/>
      <c r="AG158" s="18"/>
      <c r="AH158" s="18"/>
      <c r="AI158" s="18"/>
      <c r="AJ158" s="18"/>
      <c r="AK158" s="19">
        <v>2020</v>
      </c>
      <c r="AL158" s="18"/>
      <c r="AM158" s="18"/>
      <c r="AN158" s="18"/>
      <c r="AO158" s="18"/>
      <c r="AP158" s="18"/>
      <c r="AR158" s="15" t="s">
        <v>249</v>
      </c>
      <c r="AS158" s="15" t="s">
        <v>369</v>
      </c>
      <c r="AT158" s="15"/>
      <c r="AU158" s="15"/>
      <c r="AV158" s="15" t="s">
        <v>518</v>
      </c>
      <c r="AW158" s="15"/>
      <c r="AX158" s="15"/>
      <c r="AY158" s="15"/>
      <c r="AZ158" s="18"/>
      <c r="BA158" s="18"/>
      <c r="BB158" s="19">
        <v>3.6790501172143997E-2</v>
      </c>
      <c r="BC158" s="19">
        <v>3.8592212639831598E-2</v>
      </c>
      <c r="BD158" s="19">
        <v>4.0049776973241698E-2</v>
      </c>
      <c r="BE158" s="19">
        <v>4.2748970183260501E-2</v>
      </c>
      <c r="BF158" s="19">
        <v>4.5178244072277399E-2</v>
      </c>
      <c r="BG158" s="19">
        <v>4.7337598640292397E-2</v>
      </c>
      <c r="BH158" s="19">
        <v>4.92270338873056E-2</v>
      </c>
      <c r="BI158" s="19">
        <v>5.08802897284421E-2</v>
      </c>
      <c r="BJ158" s="19">
        <v>5.23985859090777E-2</v>
      </c>
      <c r="BK158" s="18"/>
      <c r="BL158" s="18"/>
      <c r="BM158" s="19">
        <v>3.7329496316269702E-2</v>
      </c>
      <c r="BN158" s="19">
        <v>4.1938368722376697E-2</v>
      </c>
      <c r="BO158" s="19">
        <v>4.6419029451007898E-2</v>
      </c>
      <c r="BP158" s="19">
        <v>4.9118222661026702E-2</v>
      </c>
      <c r="BQ158" s="19">
        <v>5.00359483524331E-2</v>
      </c>
      <c r="BR158" s="19">
        <v>5.06837547228376E-2</v>
      </c>
      <c r="BS158" s="19">
        <v>5.10616417722402E-2</v>
      </c>
      <c r="BT158" s="19">
        <v>5.1203349415766201E-2</v>
      </c>
      <c r="BU158" s="19">
        <v>5.1210097398791302E-2</v>
      </c>
    </row>
    <row r="159" spans="3:73" x14ac:dyDescent="0.45">
      <c r="C159" s="15" t="s">
        <v>249</v>
      </c>
      <c r="D159" s="15" t="s">
        <v>322</v>
      </c>
      <c r="E159" s="15" t="s">
        <v>270</v>
      </c>
      <c r="F159" s="15"/>
      <c r="G159" s="15"/>
      <c r="H159" s="15"/>
      <c r="I159" s="15" t="s">
        <v>323</v>
      </c>
      <c r="J159" s="19"/>
      <c r="K159" s="18"/>
      <c r="L159" s="18">
        <v>684.45</v>
      </c>
      <c r="M159" s="18"/>
      <c r="N159" s="18"/>
      <c r="O159" s="18"/>
      <c r="P159" s="19"/>
      <c r="Q159" s="18"/>
      <c r="R159" s="18">
        <v>684.44859020000001</v>
      </c>
      <c r="S159" s="18"/>
      <c r="T159" s="18"/>
      <c r="U159" s="18"/>
      <c r="V159" s="18"/>
      <c r="X159" s="15" t="s">
        <v>249</v>
      </c>
      <c r="Y159" s="15" t="s">
        <v>325</v>
      </c>
      <c r="Z159" s="15" t="s">
        <v>352</v>
      </c>
      <c r="AA159" s="15"/>
      <c r="AB159" s="15"/>
      <c r="AC159" s="15"/>
      <c r="AD159" s="15"/>
      <c r="AE159" s="19">
        <v>2020</v>
      </c>
      <c r="AF159" s="18"/>
      <c r="AG159" s="18"/>
      <c r="AH159" s="18"/>
      <c r="AI159" s="18"/>
      <c r="AJ159" s="18"/>
      <c r="AK159" s="19">
        <v>2020</v>
      </c>
      <c r="AL159" s="18"/>
      <c r="AM159" s="18"/>
      <c r="AN159" s="18"/>
      <c r="AO159" s="18"/>
      <c r="AP159" s="18"/>
      <c r="AR159" s="15" t="s">
        <v>249</v>
      </c>
      <c r="AS159" s="15" t="s">
        <v>369</v>
      </c>
      <c r="AT159" s="15"/>
      <c r="AU159" s="15"/>
      <c r="AV159" s="15" t="s">
        <v>519</v>
      </c>
      <c r="AW159" s="15"/>
      <c r="AX159" s="15"/>
      <c r="AY159" s="15"/>
      <c r="AZ159" s="18"/>
      <c r="BA159" s="18"/>
      <c r="BB159" s="19">
        <v>0.43425455968168197</v>
      </c>
      <c r="BC159" s="19">
        <v>0.455520957125228</v>
      </c>
      <c r="BD159" s="19">
        <v>0.47272523370877201</v>
      </c>
      <c r="BE159" s="19">
        <v>0.504585005159778</v>
      </c>
      <c r="BF159" s="19">
        <v>0.533258799465684</v>
      </c>
      <c r="BG159" s="19">
        <v>0.55874661662648895</v>
      </c>
      <c r="BH159" s="19">
        <v>0.58104845664219296</v>
      </c>
      <c r="BI159" s="19">
        <v>0.60056256665593499</v>
      </c>
      <c r="BJ159" s="19">
        <v>0.61848368809712595</v>
      </c>
      <c r="BK159" s="18"/>
      <c r="BL159" s="18"/>
      <c r="BM159" s="19">
        <v>0.440616557793304</v>
      </c>
      <c r="BN159" s="19">
        <v>0.495017117545898</v>
      </c>
      <c r="BO159" s="19">
        <v>0.54790433815456796</v>
      </c>
      <c r="BP159" s="19">
        <v>0.57976410960557501</v>
      </c>
      <c r="BQ159" s="19">
        <v>0.59059643189891697</v>
      </c>
      <c r="BR159" s="19">
        <v>0.598242777047158</v>
      </c>
      <c r="BS159" s="19">
        <v>0.60270314505029898</v>
      </c>
      <c r="BT159" s="19">
        <v>0.60437578305147699</v>
      </c>
      <c r="BU159" s="19">
        <v>0.60445543248010503</v>
      </c>
    </row>
    <row r="160" spans="3:73" x14ac:dyDescent="0.45">
      <c r="C160" s="15" t="s">
        <v>249</v>
      </c>
      <c r="D160" s="15" t="s">
        <v>322</v>
      </c>
      <c r="E160" s="15" t="s">
        <v>271</v>
      </c>
      <c r="F160" s="15"/>
      <c r="G160" s="15"/>
      <c r="H160" s="15"/>
      <c r="I160" s="15" t="s">
        <v>323</v>
      </c>
      <c r="J160" s="19"/>
      <c r="K160" s="18"/>
      <c r="L160" s="18">
        <v>466.67</v>
      </c>
      <c r="M160" s="18"/>
      <c r="N160" s="18"/>
      <c r="O160" s="18"/>
      <c r="P160" s="19"/>
      <c r="Q160" s="18"/>
      <c r="R160" s="18">
        <v>466.66521740000002</v>
      </c>
      <c r="S160" s="18"/>
      <c r="T160" s="18"/>
      <c r="U160" s="18"/>
      <c r="V160" s="18"/>
      <c r="X160" s="15" t="s">
        <v>249</v>
      </c>
      <c r="Y160" s="15" t="s">
        <v>325</v>
      </c>
      <c r="Z160" s="15" t="s">
        <v>353</v>
      </c>
      <c r="AA160" s="15"/>
      <c r="AB160" s="15"/>
      <c r="AC160" s="15"/>
      <c r="AD160" s="15"/>
      <c r="AE160" s="19">
        <v>2020</v>
      </c>
      <c r="AF160" s="18"/>
      <c r="AG160" s="18"/>
      <c r="AH160" s="18"/>
      <c r="AI160" s="18"/>
      <c r="AJ160" s="18"/>
      <c r="AK160" s="19">
        <v>2020</v>
      </c>
      <c r="AL160" s="18"/>
      <c r="AM160" s="18"/>
      <c r="AN160" s="18"/>
      <c r="AO160" s="18"/>
      <c r="AP160" s="18"/>
      <c r="AR160" s="15" t="s">
        <v>249</v>
      </c>
      <c r="AS160" s="15" t="s">
        <v>369</v>
      </c>
      <c r="AT160" s="15"/>
      <c r="AU160" s="15"/>
      <c r="AV160" s="15" t="s">
        <v>520</v>
      </c>
      <c r="AW160" s="15"/>
      <c r="AX160" s="15"/>
      <c r="AY160" s="15"/>
      <c r="AZ160" s="18"/>
      <c r="BA160" s="18"/>
      <c r="BB160" s="19">
        <v>0.11907731902428099</v>
      </c>
      <c r="BC160" s="19">
        <v>0.124908796291298</v>
      </c>
      <c r="BD160" s="19">
        <v>0.12962639587809899</v>
      </c>
      <c r="BE160" s="19">
        <v>0.13836269140921101</v>
      </c>
      <c r="BF160" s="19">
        <v>0.14622535738721201</v>
      </c>
      <c r="BG160" s="19">
        <v>0.153214393812102</v>
      </c>
      <c r="BH160" s="19">
        <v>0.15932980068388</v>
      </c>
      <c r="BI160" s="19">
        <v>0.16468078169668701</v>
      </c>
      <c r="BJ160" s="19">
        <v>0.169594947932937</v>
      </c>
      <c r="BK160" s="18"/>
      <c r="BL160" s="18"/>
      <c r="BM160" s="19">
        <v>0.12082184803815001</v>
      </c>
      <c r="BN160" s="19">
        <v>0.135739072657524</v>
      </c>
      <c r="BO160" s="19">
        <v>0.15024132323917</v>
      </c>
      <c r="BP160" s="19">
        <v>0.15897761877028199</v>
      </c>
      <c r="BQ160" s="19">
        <v>0.161947959250861</v>
      </c>
      <c r="BR160" s="19">
        <v>0.16404467017832799</v>
      </c>
      <c r="BS160" s="19">
        <v>0.165267751552683</v>
      </c>
      <c r="BT160" s="19">
        <v>0.16572640706806699</v>
      </c>
      <c r="BU160" s="19">
        <v>0.16574824780689401</v>
      </c>
    </row>
    <row r="161" spans="3:73" x14ac:dyDescent="0.45">
      <c r="C161" s="15" t="s">
        <v>249</v>
      </c>
      <c r="D161" s="15" t="s">
        <v>322</v>
      </c>
      <c r="E161" s="15" t="s">
        <v>272</v>
      </c>
      <c r="F161" s="15"/>
      <c r="G161" s="15"/>
      <c r="H161" s="15"/>
      <c r="I161" s="15" t="s">
        <v>323</v>
      </c>
      <c r="J161" s="19"/>
      <c r="K161" s="18"/>
      <c r="L161" s="18">
        <v>435.73</v>
      </c>
      <c r="M161" s="18"/>
      <c r="N161" s="18"/>
      <c r="O161" s="18"/>
      <c r="P161" s="19"/>
      <c r="Q161" s="18"/>
      <c r="R161" s="18">
        <v>435.7348447</v>
      </c>
      <c r="S161" s="18"/>
      <c r="T161" s="18"/>
      <c r="U161" s="18"/>
      <c r="V161" s="18"/>
      <c r="X161" s="15" t="s">
        <v>249</v>
      </c>
      <c r="Y161" s="15" t="s">
        <v>325</v>
      </c>
      <c r="Z161" s="15" t="s">
        <v>354</v>
      </c>
      <c r="AA161" s="15"/>
      <c r="AB161" s="15"/>
      <c r="AC161" s="15"/>
      <c r="AD161" s="15"/>
      <c r="AE161" s="19">
        <v>2020</v>
      </c>
      <c r="AF161" s="18"/>
      <c r="AG161" s="18"/>
      <c r="AH161" s="18"/>
      <c r="AI161" s="18"/>
      <c r="AJ161" s="18"/>
      <c r="AK161" s="19">
        <v>2020</v>
      </c>
      <c r="AL161" s="18"/>
      <c r="AM161" s="18"/>
      <c r="AN161" s="18"/>
      <c r="AO161" s="18"/>
      <c r="AP161" s="18"/>
      <c r="AR161" s="15" t="s">
        <v>249</v>
      </c>
      <c r="AS161" s="15" t="s">
        <v>369</v>
      </c>
      <c r="AT161" s="15"/>
      <c r="AU161" s="15"/>
      <c r="AV161" s="15" t="s">
        <v>521</v>
      </c>
      <c r="AW161" s="15"/>
      <c r="AX161" s="15"/>
      <c r="AY161" s="15"/>
      <c r="AZ161" s="18"/>
      <c r="BA161" s="18"/>
      <c r="BB161" s="19">
        <v>3.95471851742299E-2</v>
      </c>
      <c r="BC161" s="19">
        <v>4.1483897498690497E-2</v>
      </c>
      <c r="BD161" s="19">
        <v>4.3050676008366401E-2</v>
      </c>
      <c r="BE161" s="19">
        <v>4.59521176929516E-2</v>
      </c>
      <c r="BF161" s="19">
        <v>4.8563415209078198E-2</v>
      </c>
      <c r="BG161" s="19">
        <v>5.08845685567463E-2</v>
      </c>
      <c r="BH161" s="19">
        <v>5.2915577735955899E-2</v>
      </c>
      <c r="BI161" s="19">
        <v>5.4692710767764302E-2</v>
      </c>
      <c r="BJ161" s="19">
        <v>5.6324771715343398E-2</v>
      </c>
      <c r="BK161" s="18"/>
      <c r="BL161" s="18"/>
      <c r="BM161" s="19">
        <v>4.0126566810620497E-2</v>
      </c>
      <c r="BN161" s="19">
        <v>4.5080778487049597E-2</v>
      </c>
      <c r="BO161" s="19">
        <v>4.9897171683460903E-2</v>
      </c>
      <c r="BP161" s="19">
        <v>5.2798613368045998E-2</v>
      </c>
      <c r="BQ161" s="19">
        <v>5.3785103540804999E-2</v>
      </c>
      <c r="BR161" s="19">
        <v>5.44814495451054E-2</v>
      </c>
      <c r="BS161" s="19">
        <v>5.4887651380947297E-2</v>
      </c>
      <c r="BT161" s="19">
        <v>5.5039977069388103E-2</v>
      </c>
      <c r="BU161" s="19">
        <v>5.5047230673599498E-2</v>
      </c>
    </row>
    <row r="162" spans="3:73" x14ac:dyDescent="0.45">
      <c r="C162" s="15" t="s">
        <v>249</v>
      </c>
      <c r="D162" s="15" t="s">
        <v>322</v>
      </c>
      <c r="E162" s="15" t="s">
        <v>273</v>
      </c>
      <c r="F162" s="15"/>
      <c r="G162" s="15"/>
      <c r="H162" s="15"/>
      <c r="I162" s="15" t="s">
        <v>323</v>
      </c>
      <c r="J162" s="19"/>
      <c r="K162" s="18"/>
      <c r="L162" s="18">
        <v>986.67560319999995</v>
      </c>
      <c r="M162" s="18"/>
      <c r="N162" s="18"/>
      <c r="O162" s="18"/>
      <c r="P162" s="19"/>
      <c r="Q162" s="18"/>
      <c r="R162" s="18">
        <v>986.67560319999995</v>
      </c>
      <c r="S162" s="18"/>
      <c r="T162" s="18"/>
      <c r="U162" s="18"/>
      <c r="V162" s="18"/>
      <c r="X162" s="15" t="s">
        <v>249</v>
      </c>
      <c r="Y162" s="15" t="s">
        <v>325</v>
      </c>
      <c r="Z162" s="15" t="s">
        <v>355</v>
      </c>
      <c r="AA162" s="15"/>
      <c r="AB162" s="15"/>
      <c r="AC162" s="15"/>
      <c r="AD162" s="15"/>
      <c r="AE162" s="19">
        <v>2020</v>
      </c>
      <c r="AF162" s="18"/>
      <c r="AG162" s="18"/>
      <c r="AH162" s="18"/>
      <c r="AI162" s="18"/>
      <c r="AJ162" s="18"/>
      <c r="AK162" s="19">
        <v>2020</v>
      </c>
      <c r="AL162" s="18"/>
      <c r="AM162" s="18"/>
      <c r="AN162" s="18"/>
      <c r="AO162" s="18"/>
      <c r="AP162" s="18"/>
      <c r="AR162" s="15" t="s">
        <v>249</v>
      </c>
      <c r="AS162" s="15" t="s">
        <v>369</v>
      </c>
      <c r="AT162" s="15"/>
      <c r="AU162" s="15"/>
      <c r="AV162" s="15" t="s">
        <v>522</v>
      </c>
      <c r="AW162" s="15"/>
      <c r="AX162" s="15"/>
      <c r="AY162" s="15"/>
      <c r="AZ162" s="18"/>
      <c r="BA162" s="18"/>
      <c r="BB162" s="19">
        <v>0.11359740596696399</v>
      </c>
      <c r="BC162" s="19">
        <v>0.119160519882498</v>
      </c>
      <c r="BD162" s="19">
        <v>0.123661016533267</v>
      </c>
      <c r="BE162" s="19">
        <v>0.13199526959024799</v>
      </c>
      <c r="BF162" s="19">
        <v>0.13949609734153001</v>
      </c>
      <c r="BG162" s="19">
        <v>0.14616349978711399</v>
      </c>
      <c r="BH162" s="19">
        <v>0.151997476927</v>
      </c>
      <c r="BI162" s="19">
        <v>0.15710220692440099</v>
      </c>
      <c r="BJ162" s="19">
        <v>0.16179022426895201</v>
      </c>
      <c r="BK162" s="18"/>
      <c r="BL162" s="18"/>
      <c r="BM162" s="19">
        <v>0.11526165212428</v>
      </c>
      <c r="BN162" s="19">
        <v>0.129492389219073</v>
      </c>
      <c r="BO162" s="19">
        <v>0.14332724929366</v>
      </c>
      <c r="BP162" s="19">
        <v>0.15166150235064099</v>
      </c>
      <c r="BQ162" s="19">
        <v>0.15449514839001399</v>
      </c>
      <c r="BR162" s="19">
        <v>0.156495369123689</v>
      </c>
      <c r="BS162" s="19">
        <v>0.15766216455166601</v>
      </c>
      <c r="BT162" s="19">
        <v>0.15809971283715801</v>
      </c>
      <c r="BU162" s="19">
        <v>0.1581205484698</v>
      </c>
    </row>
    <row r="163" spans="3:73" x14ac:dyDescent="0.45">
      <c r="C163" s="15" t="s">
        <v>249</v>
      </c>
      <c r="D163" s="15" t="s">
        <v>322</v>
      </c>
      <c r="E163" s="15" t="s">
        <v>274</v>
      </c>
      <c r="F163" s="15"/>
      <c r="G163" s="15"/>
      <c r="H163" s="15"/>
      <c r="I163" s="15" t="s">
        <v>323</v>
      </c>
      <c r="J163" s="19"/>
      <c r="K163" s="18"/>
      <c r="L163" s="18">
        <v>1480.0134048</v>
      </c>
      <c r="M163" s="18"/>
      <c r="N163" s="18"/>
      <c r="O163" s="18"/>
      <c r="P163" s="19"/>
      <c r="Q163" s="18"/>
      <c r="R163" s="18">
        <v>1480.0134048</v>
      </c>
      <c r="S163" s="18"/>
      <c r="T163" s="18"/>
      <c r="U163" s="18"/>
      <c r="V163" s="18"/>
      <c r="X163" s="15" t="s">
        <v>249</v>
      </c>
      <c r="Y163" s="15" t="s">
        <v>325</v>
      </c>
      <c r="Z163" s="15" t="s">
        <v>356</v>
      </c>
      <c r="AA163" s="15"/>
      <c r="AB163" s="15"/>
      <c r="AC163" s="15"/>
      <c r="AD163" s="15"/>
      <c r="AE163" s="19">
        <v>2020</v>
      </c>
      <c r="AF163" s="18"/>
      <c r="AG163" s="18"/>
      <c r="AH163" s="18"/>
      <c r="AI163" s="18"/>
      <c r="AJ163" s="18"/>
      <c r="AK163" s="19">
        <v>2020</v>
      </c>
      <c r="AL163" s="18"/>
      <c r="AM163" s="18"/>
      <c r="AN163" s="18"/>
      <c r="AO163" s="18"/>
      <c r="AP163" s="18"/>
      <c r="AR163" s="15" t="s">
        <v>249</v>
      </c>
      <c r="AS163" s="15" t="s">
        <v>369</v>
      </c>
      <c r="AT163" s="15"/>
      <c r="AU163" s="15"/>
      <c r="AV163" s="15" t="s">
        <v>523</v>
      </c>
      <c r="AW163" s="15"/>
      <c r="AX163" s="15"/>
      <c r="AY163" s="15"/>
      <c r="AZ163" s="18"/>
      <c r="BA163" s="18"/>
      <c r="BB163" s="19">
        <v>9.1447490496752803E-6</v>
      </c>
      <c r="BC163" s="19">
        <v>9.5925874510830708E-6</v>
      </c>
      <c r="BD163" s="19">
        <v>9.9548836859298306E-6</v>
      </c>
      <c r="BE163" s="19">
        <v>1.0625802639349699E-5</v>
      </c>
      <c r="BF163" s="19">
        <v>1.12296296974277E-5</v>
      </c>
      <c r="BG163" s="19">
        <v>1.1766364860163601E-5</v>
      </c>
      <c r="BH163" s="19">
        <v>1.22360081275576E-5</v>
      </c>
      <c r="BI163" s="19">
        <v>1.2646945986527301E-5</v>
      </c>
      <c r="BJ163" s="19">
        <v>1.3024337897826001E-5</v>
      </c>
      <c r="BK163" s="18"/>
      <c r="BL163" s="18"/>
      <c r="BM163" s="19">
        <v>9.2787231781863208E-6</v>
      </c>
      <c r="BN163" s="19">
        <v>1.04243172911508E-5</v>
      </c>
      <c r="BO163" s="19">
        <v>1.15380427538279E-5</v>
      </c>
      <c r="BP163" s="19">
        <v>1.2208961707247801E-5</v>
      </c>
      <c r="BQ163" s="19">
        <v>1.2437074151410601E-5</v>
      </c>
      <c r="BR163" s="19">
        <v>1.25980947002314E-5</v>
      </c>
      <c r="BS163" s="19">
        <v>1.2692023353710201E-5</v>
      </c>
      <c r="BT163" s="19">
        <v>1.27272465987647E-5</v>
      </c>
      <c r="BU163" s="19">
        <v>1.2728923896148301E-5</v>
      </c>
    </row>
    <row r="164" spans="3:73" x14ac:dyDescent="0.45">
      <c r="C164" s="15" t="s">
        <v>249</v>
      </c>
      <c r="D164" s="15" t="s">
        <v>322</v>
      </c>
      <c r="E164" s="15" t="s">
        <v>275</v>
      </c>
      <c r="F164" s="15"/>
      <c r="G164" s="15"/>
      <c r="H164" s="15"/>
      <c r="I164" s="15" t="s">
        <v>323</v>
      </c>
      <c r="J164" s="19"/>
      <c r="K164" s="18"/>
      <c r="L164" s="18">
        <v>1076.086957</v>
      </c>
      <c r="M164" s="18"/>
      <c r="N164" s="18"/>
      <c r="O164" s="18"/>
      <c r="P164" s="19"/>
      <c r="Q164" s="18"/>
      <c r="R164" s="18">
        <v>1076.086957</v>
      </c>
      <c r="S164" s="18"/>
      <c r="T164" s="18"/>
      <c r="U164" s="18"/>
      <c r="V164" s="18"/>
      <c r="X164" s="15" t="s">
        <v>249</v>
      </c>
      <c r="Y164" s="15" t="s">
        <v>325</v>
      </c>
      <c r="Z164" s="15" t="s">
        <v>357</v>
      </c>
      <c r="AA164" s="15"/>
      <c r="AB164" s="15"/>
      <c r="AC164" s="15"/>
      <c r="AD164" s="15"/>
      <c r="AE164" s="19">
        <v>2020</v>
      </c>
      <c r="AF164" s="18"/>
      <c r="AG164" s="18"/>
      <c r="AH164" s="18"/>
      <c r="AI164" s="18"/>
      <c r="AJ164" s="18"/>
      <c r="AK164" s="19">
        <v>2020</v>
      </c>
      <c r="AL164" s="18"/>
      <c r="AM164" s="18"/>
      <c r="AN164" s="18"/>
      <c r="AO164" s="18"/>
      <c r="AP164" s="18"/>
      <c r="AR164" s="15" t="s">
        <v>249</v>
      </c>
      <c r="AS164" s="15" t="s">
        <v>369</v>
      </c>
      <c r="AT164" s="15"/>
      <c r="AU164" s="15"/>
      <c r="AV164" s="15" t="s">
        <v>524</v>
      </c>
      <c r="AW164" s="15"/>
      <c r="AX164" s="15"/>
      <c r="AY164" s="15"/>
      <c r="AZ164" s="18"/>
      <c r="BA164" s="18"/>
      <c r="BB164" s="19">
        <v>3.6460169677504498E-2</v>
      </c>
      <c r="BC164" s="19">
        <v>3.82457040879879E-2</v>
      </c>
      <c r="BD164" s="19">
        <v>3.9690181363884601E-2</v>
      </c>
      <c r="BE164" s="19">
        <v>4.2365139282211799E-2</v>
      </c>
      <c r="BF164" s="19">
        <v>4.47726014087063E-2</v>
      </c>
      <c r="BG164" s="19">
        <v>4.6912567743368001E-2</v>
      </c>
      <c r="BH164" s="19">
        <v>4.8785038286197097E-2</v>
      </c>
      <c r="BI164" s="19">
        <v>5.0423450011172502E-2</v>
      </c>
      <c r="BJ164" s="19">
        <v>5.1928113840231598E-2</v>
      </c>
      <c r="BK164" s="18"/>
      <c r="BL164" s="18"/>
      <c r="BM164" s="19">
        <v>3.6994325336820497E-2</v>
      </c>
      <c r="BN164" s="19">
        <v>4.1561815982364199E-2</v>
      </c>
      <c r="BO164" s="19">
        <v>4.60022461267873E-2</v>
      </c>
      <c r="BP164" s="19">
        <v>4.8677204045114497E-2</v>
      </c>
      <c r="BQ164" s="19">
        <v>4.9586689737345799E-2</v>
      </c>
      <c r="BR164" s="19">
        <v>5.02286796377443E-2</v>
      </c>
      <c r="BS164" s="19">
        <v>5.0603173746310098E-2</v>
      </c>
      <c r="BT164" s="19">
        <v>5.0743609037022297E-2</v>
      </c>
      <c r="BU164" s="19">
        <v>5.0750296431818102E-2</v>
      </c>
    </row>
    <row r="165" spans="3:73" x14ac:dyDescent="0.45">
      <c r="C165" s="15" t="s">
        <v>249</v>
      </c>
      <c r="D165" s="15" t="s">
        <v>322</v>
      </c>
      <c r="E165" s="15" t="s">
        <v>276</v>
      </c>
      <c r="F165" s="15"/>
      <c r="G165" s="15"/>
      <c r="H165" s="15"/>
      <c r="I165" s="15" t="s">
        <v>323</v>
      </c>
      <c r="J165" s="19"/>
      <c r="K165" s="18"/>
      <c r="L165" s="18">
        <v>545.78192360000003</v>
      </c>
      <c r="M165" s="18"/>
      <c r="N165" s="18"/>
      <c r="O165" s="18"/>
      <c r="P165" s="19"/>
      <c r="Q165" s="18"/>
      <c r="R165" s="18">
        <v>545.78192360000003</v>
      </c>
      <c r="S165" s="18"/>
      <c r="T165" s="18"/>
      <c r="U165" s="18"/>
      <c r="V165" s="18"/>
      <c r="X165" s="15" t="s">
        <v>249</v>
      </c>
      <c r="Y165" s="15" t="s">
        <v>325</v>
      </c>
      <c r="Z165" s="15" t="s">
        <v>358</v>
      </c>
      <c r="AA165" s="15"/>
      <c r="AB165" s="15"/>
      <c r="AC165" s="15"/>
      <c r="AD165" s="15"/>
      <c r="AE165" s="19">
        <v>2020</v>
      </c>
      <c r="AF165" s="18"/>
      <c r="AG165" s="18"/>
      <c r="AH165" s="18"/>
      <c r="AI165" s="18"/>
      <c r="AJ165" s="18"/>
      <c r="AK165" s="19">
        <v>2020</v>
      </c>
      <c r="AL165" s="18"/>
      <c r="AM165" s="18"/>
      <c r="AN165" s="18"/>
      <c r="AO165" s="18"/>
      <c r="AP165" s="18"/>
      <c r="AR165" s="15" t="s">
        <v>249</v>
      </c>
      <c r="AS165" s="15" t="s">
        <v>369</v>
      </c>
      <c r="AT165" s="15"/>
      <c r="AU165" s="15"/>
      <c r="AV165" s="15" t="s">
        <v>525</v>
      </c>
      <c r="AW165" s="15"/>
      <c r="AX165" s="15"/>
      <c r="AY165" s="15"/>
      <c r="AZ165" s="18"/>
      <c r="BA165" s="18"/>
      <c r="BB165" s="19">
        <v>0.45975015984425999</v>
      </c>
      <c r="BC165" s="19">
        <v>0.48226513270061599</v>
      </c>
      <c r="BD165" s="19">
        <v>0.50047949276418602</v>
      </c>
      <c r="BE165" s="19">
        <v>0.53420978917820305</v>
      </c>
      <c r="BF165" s="19">
        <v>0.56456705595081902</v>
      </c>
      <c r="BG165" s="19">
        <v>0.59155129308203303</v>
      </c>
      <c r="BH165" s="19">
        <v>0.61516250057184496</v>
      </c>
      <c r="BI165" s="19">
        <v>0.63582230712543097</v>
      </c>
      <c r="BJ165" s="19">
        <v>0.65479559885831595</v>
      </c>
      <c r="BK165" s="18"/>
      <c r="BL165" s="18"/>
      <c r="BM165" s="19">
        <v>0.466485678409434</v>
      </c>
      <c r="BN165" s="19">
        <v>0.52408015953636899</v>
      </c>
      <c r="BO165" s="19">
        <v>0.58007245158363796</v>
      </c>
      <c r="BP165" s="19">
        <v>0.613802747997655</v>
      </c>
      <c r="BQ165" s="19">
        <v>0.62527104877842099</v>
      </c>
      <c r="BR165" s="19">
        <v>0.63336631991778503</v>
      </c>
      <c r="BS165" s="19">
        <v>0.63808856141574799</v>
      </c>
      <c r="BT165" s="19">
        <v>0.63985940197748403</v>
      </c>
      <c r="BU165" s="19">
        <v>0.63994372771851904</v>
      </c>
    </row>
    <row r="166" spans="3:73" x14ac:dyDescent="0.45">
      <c r="C166" s="15" t="s">
        <v>249</v>
      </c>
      <c r="D166" s="15" t="s">
        <v>322</v>
      </c>
      <c r="E166" s="15" t="s">
        <v>277</v>
      </c>
      <c r="F166" s="15"/>
      <c r="G166" s="15"/>
      <c r="H166" s="15"/>
      <c r="I166" s="15" t="s">
        <v>323</v>
      </c>
      <c r="J166" s="19"/>
      <c r="K166" s="18"/>
      <c r="L166" s="18">
        <v>1076.086957</v>
      </c>
      <c r="M166" s="18"/>
      <c r="N166" s="18"/>
      <c r="O166" s="18"/>
      <c r="P166" s="19"/>
      <c r="Q166" s="18"/>
      <c r="R166" s="18">
        <v>1076.086957</v>
      </c>
      <c r="S166" s="18"/>
      <c r="T166" s="18"/>
      <c r="U166" s="18"/>
      <c r="V166" s="18"/>
      <c r="X166" s="15" t="s">
        <v>249</v>
      </c>
      <c r="Y166" s="15" t="s">
        <v>325</v>
      </c>
      <c r="Z166" s="15" t="s">
        <v>359</v>
      </c>
      <c r="AA166" s="15"/>
      <c r="AB166" s="15"/>
      <c r="AC166" s="15"/>
      <c r="AD166" s="15"/>
      <c r="AE166" s="19">
        <v>2020</v>
      </c>
      <c r="AF166" s="18"/>
      <c r="AG166" s="18"/>
      <c r="AH166" s="18"/>
      <c r="AI166" s="18"/>
      <c r="AJ166" s="18"/>
      <c r="AK166" s="19">
        <v>2020</v>
      </c>
      <c r="AL166" s="18"/>
      <c r="AM166" s="18"/>
      <c r="AN166" s="18"/>
      <c r="AO166" s="18"/>
      <c r="AP166" s="18"/>
      <c r="AR166" s="15" t="s">
        <v>249</v>
      </c>
      <c r="AS166" s="15" t="s">
        <v>369</v>
      </c>
      <c r="AT166" s="15"/>
      <c r="AU166" s="15"/>
      <c r="AV166" s="15" t="s">
        <v>526</v>
      </c>
      <c r="AW166" s="15"/>
      <c r="AX166" s="15"/>
      <c r="AY166" s="15"/>
      <c r="AZ166" s="18"/>
      <c r="BA166" s="18"/>
      <c r="BB166" s="19">
        <v>1.26565678496302</v>
      </c>
      <c r="BC166" s="19">
        <v>1.3276387713718201</v>
      </c>
      <c r="BD166" s="19">
        <v>1.3777815019497099</v>
      </c>
      <c r="BE166" s="19">
        <v>1.4706384104273</v>
      </c>
      <c r="BF166" s="19">
        <v>1.55420962805713</v>
      </c>
      <c r="BG166" s="19">
        <v>1.6284951548391999</v>
      </c>
      <c r="BH166" s="19">
        <v>1.69349499077351</v>
      </c>
      <c r="BI166" s="19">
        <v>1.7503698472160401</v>
      </c>
      <c r="BJ166" s="19">
        <v>1.8026018582346801</v>
      </c>
      <c r="BK166" s="18"/>
      <c r="BL166" s="18"/>
      <c r="BM166" s="19">
        <v>1.28419914887464</v>
      </c>
      <c r="BN166" s="19">
        <v>1.44275232010013</v>
      </c>
      <c r="BO166" s="19">
        <v>1.5968947881729201</v>
      </c>
      <c r="BP166" s="19">
        <v>1.6897516966505099</v>
      </c>
      <c r="BQ166" s="19">
        <v>1.7213230455328901</v>
      </c>
      <c r="BR166" s="19">
        <v>1.7436087035675101</v>
      </c>
      <c r="BS166" s="19">
        <v>1.75660867075438</v>
      </c>
      <c r="BT166" s="19">
        <v>1.76148365844945</v>
      </c>
      <c r="BU166" s="19">
        <v>1.7617158007206399</v>
      </c>
    </row>
    <row r="167" spans="3:73" x14ac:dyDescent="0.45">
      <c r="C167" s="15" t="s">
        <v>249</v>
      </c>
      <c r="D167" s="15" t="s">
        <v>322</v>
      </c>
      <c r="E167" s="15" t="s">
        <v>278</v>
      </c>
      <c r="F167" s="15"/>
      <c r="G167" s="15"/>
      <c r="H167" s="15"/>
      <c r="I167" s="15" t="s">
        <v>323</v>
      </c>
      <c r="J167" s="19"/>
      <c r="K167" s="18"/>
      <c r="L167" s="18">
        <v>805.55166150000002</v>
      </c>
      <c r="M167" s="18"/>
      <c r="N167" s="18"/>
      <c r="O167" s="18"/>
      <c r="P167" s="19"/>
      <c r="Q167" s="18"/>
      <c r="R167" s="18">
        <v>805.55166150000002</v>
      </c>
      <c r="S167" s="18"/>
      <c r="T167" s="18"/>
      <c r="U167" s="18"/>
      <c r="V167" s="18"/>
      <c r="X167" s="15" t="s">
        <v>249</v>
      </c>
      <c r="Y167" s="15" t="s">
        <v>325</v>
      </c>
      <c r="Z167" s="15" t="s">
        <v>360</v>
      </c>
      <c r="AA167" s="15"/>
      <c r="AB167" s="15"/>
      <c r="AC167" s="15"/>
      <c r="AD167" s="15"/>
      <c r="AE167" s="19">
        <v>2020</v>
      </c>
      <c r="AF167" s="18"/>
      <c r="AG167" s="18"/>
      <c r="AH167" s="18"/>
      <c r="AI167" s="18"/>
      <c r="AJ167" s="18"/>
      <c r="AK167" s="19">
        <v>2020</v>
      </c>
      <c r="AL167" s="18"/>
      <c r="AM167" s="18"/>
      <c r="AN167" s="18"/>
      <c r="AO167" s="18"/>
      <c r="AP167" s="18"/>
      <c r="AR167" s="15" t="s">
        <v>249</v>
      </c>
      <c r="AS167" s="15" t="s">
        <v>369</v>
      </c>
      <c r="AT167" s="15"/>
      <c r="AU167" s="15"/>
      <c r="AV167" s="15" t="s">
        <v>527</v>
      </c>
      <c r="AW167" s="15"/>
      <c r="AX167" s="15"/>
      <c r="AY167" s="15"/>
      <c r="AZ167" s="18"/>
      <c r="BA167" s="18"/>
      <c r="BB167" s="19">
        <v>0.26114456167220301</v>
      </c>
      <c r="BC167" s="19">
        <v>0.27393338314782001</v>
      </c>
      <c r="BD167" s="19">
        <v>0.284279396026971</v>
      </c>
      <c r="BE167" s="19">
        <v>0.30343867913651001</v>
      </c>
      <c r="BF167" s="19">
        <v>0.32068203393509598</v>
      </c>
      <c r="BG167" s="19">
        <v>0.336009460422727</v>
      </c>
      <c r="BH167" s="19">
        <v>0.34942095859940397</v>
      </c>
      <c r="BI167" s="19">
        <v>0.36115601950399701</v>
      </c>
      <c r="BJ167" s="19">
        <v>0.37193311625311298</v>
      </c>
      <c r="BK167" s="18"/>
      <c r="BL167" s="18"/>
      <c r="BM167" s="19">
        <v>0.264970431018139</v>
      </c>
      <c r="BN167" s="19">
        <v>0.29768490692767702</v>
      </c>
      <c r="BO167" s="19">
        <v>0.329489316889512</v>
      </c>
      <c r="BP167" s="19">
        <v>0.34864859999905101</v>
      </c>
      <c r="BQ167" s="19">
        <v>0.35516275625629401</v>
      </c>
      <c r="BR167" s="19">
        <v>0.35976098420258401</v>
      </c>
      <c r="BS167" s="19">
        <v>0.36244328383791902</v>
      </c>
      <c r="BT167" s="19">
        <v>0.36344914620117003</v>
      </c>
      <c r="BU167" s="19">
        <v>0.36349704440894398</v>
      </c>
    </row>
    <row r="168" spans="3:73" x14ac:dyDescent="0.45">
      <c r="C168" s="15" t="s">
        <v>249</v>
      </c>
      <c r="D168" s="15" t="s">
        <v>322</v>
      </c>
      <c r="E168" s="15" t="s">
        <v>279</v>
      </c>
      <c r="F168" s="15"/>
      <c r="G168" s="15"/>
      <c r="H168" s="15"/>
      <c r="I168" s="15" t="s">
        <v>323</v>
      </c>
      <c r="J168" s="19"/>
      <c r="K168" s="18"/>
      <c r="L168" s="18"/>
      <c r="M168" s="18"/>
      <c r="N168" s="18">
        <v>8324.9303490000002</v>
      </c>
      <c r="O168" s="18">
        <v>3100.938658</v>
      </c>
      <c r="P168" s="19">
        <v>2603.4835670000002</v>
      </c>
      <c r="Q168" s="18"/>
      <c r="R168" s="18"/>
      <c r="S168" s="18"/>
      <c r="T168" s="18">
        <v>8412.925432</v>
      </c>
      <c r="U168" s="18">
        <v>4519.7524839999996</v>
      </c>
      <c r="V168" s="18">
        <v>2771.3656569999998</v>
      </c>
      <c r="X168" s="15" t="s">
        <v>249</v>
      </c>
      <c r="Y168" s="15" t="s">
        <v>325</v>
      </c>
      <c r="Z168" s="15" t="s">
        <v>361</v>
      </c>
      <c r="AA168" s="15"/>
      <c r="AB168" s="15"/>
      <c r="AC168" s="15"/>
      <c r="AD168" s="15"/>
      <c r="AE168" s="19">
        <v>2020</v>
      </c>
      <c r="AF168" s="18"/>
      <c r="AG168" s="18"/>
      <c r="AH168" s="18"/>
      <c r="AI168" s="18"/>
      <c r="AJ168" s="18"/>
      <c r="AK168" s="19">
        <v>2020</v>
      </c>
      <c r="AL168" s="18"/>
      <c r="AM168" s="18"/>
      <c r="AN168" s="18"/>
      <c r="AO168" s="18"/>
      <c r="AP168" s="18"/>
      <c r="AR168" s="15" t="s">
        <v>249</v>
      </c>
      <c r="AS168" s="15" t="s">
        <v>369</v>
      </c>
      <c r="AT168" s="15"/>
      <c r="AU168" s="15"/>
      <c r="AV168" s="15" t="s">
        <v>528</v>
      </c>
      <c r="AW168" s="15"/>
      <c r="AX168" s="15"/>
      <c r="AY168" s="15"/>
      <c r="AZ168" s="18"/>
      <c r="BA168" s="18"/>
      <c r="BB168" s="19">
        <v>2.7377469150370302</v>
      </c>
      <c r="BC168" s="19">
        <v>2.87182038115722</v>
      </c>
      <c r="BD168" s="19">
        <v>2.9802843088050199</v>
      </c>
      <c r="BE168" s="19">
        <v>3.1811434340787099</v>
      </c>
      <c r="BF168" s="19">
        <v>3.3619166468250401</v>
      </c>
      <c r="BG168" s="19">
        <v>3.5226039470439998</v>
      </c>
      <c r="BH168" s="19">
        <v>3.66320533473559</v>
      </c>
      <c r="BI168" s="19">
        <v>3.7862315489657301</v>
      </c>
      <c r="BJ168" s="19">
        <v>3.8992148069321799</v>
      </c>
      <c r="BK168" s="18"/>
      <c r="BL168" s="18"/>
      <c r="BM168" s="19">
        <v>2.7778559716151201</v>
      </c>
      <c r="BN168" s="19">
        <v>3.12082292801996</v>
      </c>
      <c r="BO168" s="19">
        <v>3.4542490759743001</v>
      </c>
      <c r="BP168" s="19">
        <v>3.6551082012479901</v>
      </c>
      <c r="BQ168" s="19">
        <v>3.7234003038410499</v>
      </c>
      <c r="BR168" s="19">
        <v>3.7716064939067402</v>
      </c>
      <c r="BS168" s="19">
        <v>3.79972677144506</v>
      </c>
      <c r="BT168" s="19">
        <v>3.8102718755219298</v>
      </c>
      <c r="BU168" s="19">
        <v>3.8107740233351102</v>
      </c>
    </row>
    <row r="169" spans="3:73" x14ac:dyDescent="0.45">
      <c r="C169" s="15" t="s">
        <v>249</v>
      </c>
      <c r="D169" s="15" t="s">
        <v>322</v>
      </c>
      <c r="E169" s="15" t="s">
        <v>280</v>
      </c>
      <c r="F169" s="15"/>
      <c r="G169" s="15"/>
      <c r="H169" s="15"/>
      <c r="I169" s="15" t="s">
        <v>323</v>
      </c>
      <c r="J169" s="19"/>
      <c r="K169" s="18"/>
      <c r="L169" s="18"/>
      <c r="M169" s="18"/>
      <c r="N169" s="18">
        <v>2655.8181939999999</v>
      </c>
      <c r="O169" s="18">
        <v>1462.702403</v>
      </c>
      <c r="P169" s="19">
        <v>915.34298969999998</v>
      </c>
      <c r="Q169" s="18"/>
      <c r="R169" s="18"/>
      <c r="S169" s="18"/>
      <c r="T169" s="18">
        <v>2742.3666739999999</v>
      </c>
      <c r="U169" s="18">
        <v>2658.4979920000001</v>
      </c>
      <c r="V169" s="18">
        <v>1086.065515</v>
      </c>
      <c r="X169" s="15" t="s">
        <v>249</v>
      </c>
      <c r="Y169" s="15" t="s">
        <v>325</v>
      </c>
      <c r="Z169" s="15" t="s">
        <v>362</v>
      </c>
      <c r="AA169" s="15"/>
      <c r="AB169" s="15"/>
      <c r="AC169" s="15"/>
      <c r="AD169" s="15"/>
      <c r="AE169" s="19">
        <v>2020</v>
      </c>
      <c r="AF169" s="18"/>
      <c r="AG169" s="18"/>
      <c r="AH169" s="18"/>
      <c r="AI169" s="18"/>
      <c r="AJ169" s="18"/>
      <c r="AK169" s="19">
        <v>2020</v>
      </c>
      <c r="AL169" s="18"/>
      <c r="AM169" s="18"/>
      <c r="AN169" s="18"/>
      <c r="AO169" s="18"/>
      <c r="AP169" s="18"/>
      <c r="AR169" s="15" t="s">
        <v>249</v>
      </c>
      <c r="AS169" s="15" t="s">
        <v>369</v>
      </c>
      <c r="AT169" s="15"/>
      <c r="AU169" s="15"/>
      <c r="AV169" s="15" t="s">
        <v>529</v>
      </c>
      <c r="AW169" s="15"/>
      <c r="AX169" s="15"/>
      <c r="AY169" s="15"/>
      <c r="AZ169" s="18"/>
      <c r="BA169" s="18"/>
      <c r="BB169" s="19">
        <v>2.052E-2</v>
      </c>
      <c r="BC169" s="19">
        <v>2.052E-2</v>
      </c>
      <c r="BD169" s="19">
        <v>2.052E-2</v>
      </c>
      <c r="BE169" s="19">
        <v>2.052E-2</v>
      </c>
      <c r="BF169" s="19">
        <v>2.052E-2</v>
      </c>
      <c r="BG169" s="19">
        <v>2.052E-2</v>
      </c>
      <c r="BH169" s="19">
        <v>2.052E-2</v>
      </c>
      <c r="BI169" s="19">
        <v>2.052E-2</v>
      </c>
      <c r="BJ169" s="19">
        <v>2.052E-2</v>
      </c>
      <c r="BK169" s="18"/>
      <c r="BL169" s="18"/>
      <c r="BM169" s="19">
        <v>2.052E-2</v>
      </c>
      <c r="BN169" s="19">
        <v>2.052E-2</v>
      </c>
      <c r="BO169" s="19">
        <v>2.052E-2</v>
      </c>
      <c r="BP169" s="19">
        <v>2.052E-2</v>
      </c>
      <c r="BQ169" s="19">
        <v>2.052E-2</v>
      </c>
      <c r="BR169" s="19">
        <v>2.052E-2</v>
      </c>
      <c r="BS169" s="19">
        <v>2.052E-2</v>
      </c>
      <c r="BT169" s="19">
        <v>2.052E-2</v>
      </c>
      <c r="BU169" s="19">
        <v>2.052E-2</v>
      </c>
    </row>
    <row r="170" spans="3:73" x14ac:dyDescent="0.45">
      <c r="C170" s="15" t="s">
        <v>249</v>
      </c>
      <c r="D170" s="15" t="s">
        <v>322</v>
      </c>
      <c r="E170" s="15" t="s">
        <v>281</v>
      </c>
      <c r="F170" s="15"/>
      <c r="G170" s="15"/>
      <c r="H170" s="15"/>
      <c r="I170" s="15" t="s">
        <v>323</v>
      </c>
      <c r="J170" s="18"/>
      <c r="K170" s="18"/>
      <c r="L170" s="19">
        <v>1273.6606770000001</v>
      </c>
      <c r="M170" s="18"/>
      <c r="N170" s="18"/>
      <c r="O170" s="18"/>
      <c r="P170" s="18"/>
      <c r="Q170" s="18"/>
      <c r="R170" s="19">
        <v>1273.6606770000001</v>
      </c>
      <c r="S170" s="18"/>
      <c r="T170" s="18"/>
      <c r="U170" s="18"/>
      <c r="V170" s="18"/>
      <c r="X170" s="15" t="s">
        <v>249</v>
      </c>
      <c r="Y170" s="15" t="s">
        <v>326</v>
      </c>
      <c r="Z170" s="15" t="s">
        <v>330</v>
      </c>
      <c r="AA170" s="15"/>
      <c r="AB170" s="15"/>
      <c r="AC170" s="15"/>
      <c r="AD170" s="15"/>
      <c r="AE170" s="18"/>
      <c r="AF170" s="18"/>
      <c r="AG170" s="19">
        <v>22.051404092999999</v>
      </c>
      <c r="AH170" s="18"/>
      <c r="AI170" s="18"/>
      <c r="AJ170" s="18"/>
      <c r="AK170" s="18"/>
      <c r="AL170" s="18"/>
      <c r="AM170" s="19">
        <v>22.051404092999999</v>
      </c>
      <c r="AN170" s="18"/>
      <c r="AO170" s="18"/>
      <c r="AP170" s="18"/>
      <c r="AR170" s="15" t="s">
        <v>249</v>
      </c>
      <c r="AS170" s="15" t="s">
        <v>369</v>
      </c>
      <c r="AT170" s="15"/>
      <c r="AU170" s="15"/>
      <c r="AV170" s="15" t="s">
        <v>530</v>
      </c>
      <c r="AW170" s="15"/>
      <c r="AX170" s="15"/>
      <c r="AY170" s="15"/>
      <c r="AZ170" s="18"/>
      <c r="BA170" s="18"/>
      <c r="BB170" s="19">
        <v>3.5708811507643801</v>
      </c>
      <c r="BC170" s="19">
        <v>3.7457550261970098</v>
      </c>
      <c r="BD170" s="19">
        <v>3.8872260265469998</v>
      </c>
      <c r="BE170" s="19">
        <v>4.1492093605284603</v>
      </c>
      <c r="BF170" s="19">
        <v>4.3849943611117803</v>
      </c>
      <c r="BG170" s="19">
        <v>4.5945810282969504</v>
      </c>
      <c r="BH170" s="19">
        <v>4.7779693620839803</v>
      </c>
      <c r="BI170" s="19">
        <v>4.9384341541476298</v>
      </c>
      <c r="BJ170" s="19">
        <v>5.0857997795122003</v>
      </c>
      <c r="BK170" s="18"/>
      <c r="BL170" s="18"/>
      <c r="BM170" s="19">
        <v>3.62319594776881</v>
      </c>
      <c r="BN170" s="19">
        <v>4.0705324905421598</v>
      </c>
      <c r="BO170" s="19">
        <v>4.5054248249513904</v>
      </c>
      <c r="BP170" s="19">
        <v>4.7674081589328496</v>
      </c>
      <c r="BQ170" s="19">
        <v>4.85648249248655</v>
      </c>
      <c r="BR170" s="19">
        <v>4.9193584926421003</v>
      </c>
      <c r="BS170" s="19">
        <v>4.9560361593995097</v>
      </c>
      <c r="BT170" s="19">
        <v>4.9697902844335298</v>
      </c>
      <c r="BU170" s="19">
        <v>4.9704452427684904</v>
      </c>
    </row>
    <row r="171" spans="3:73" x14ac:dyDescent="0.45">
      <c r="C171" s="15" t="s">
        <v>249</v>
      </c>
      <c r="D171" s="15" t="s">
        <v>322</v>
      </c>
      <c r="E171" s="15" t="s">
        <v>282</v>
      </c>
      <c r="F171" s="15"/>
      <c r="G171" s="15"/>
      <c r="H171" s="15"/>
      <c r="I171" s="15" t="s">
        <v>323</v>
      </c>
      <c r="J171" s="18"/>
      <c r="K171" s="18"/>
      <c r="L171" s="19"/>
      <c r="M171" s="18"/>
      <c r="N171" s="18">
        <v>3705.3622009999999</v>
      </c>
      <c r="O171" s="18">
        <v>2259.0593899999999</v>
      </c>
      <c r="P171" s="18">
        <v>2192.975156</v>
      </c>
      <c r="Q171" s="18"/>
      <c r="R171" s="19"/>
      <c r="S171" s="18"/>
      <c r="T171" s="18">
        <v>6998.6691650000002</v>
      </c>
      <c r="U171" s="18">
        <v>2677.2720060000001</v>
      </c>
      <c r="V171" s="18">
        <v>2331.8507960000002</v>
      </c>
      <c r="X171" s="15" t="s">
        <v>249</v>
      </c>
      <c r="Y171" s="15" t="s">
        <v>326</v>
      </c>
      <c r="Z171" s="15" t="s">
        <v>331</v>
      </c>
      <c r="AA171" s="15"/>
      <c r="AB171" s="15"/>
      <c r="AC171" s="15"/>
      <c r="AD171" s="15"/>
      <c r="AE171" s="18"/>
      <c r="AF171" s="18"/>
      <c r="AG171" s="19">
        <v>22.051404092999999</v>
      </c>
      <c r="AH171" s="18"/>
      <c r="AI171" s="18"/>
      <c r="AJ171" s="18"/>
      <c r="AK171" s="18"/>
      <c r="AL171" s="18"/>
      <c r="AM171" s="19">
        <v>22.051404092999999</v>
      </c>
      <c r="AN171" s="18"/>
      <c r="AO171" s="18"/>
      <c r="AP171" s="18"/>
      <c r="AR171" s="15" t="s">
        <v>249</v>
      </c>
      <c r="AS171" s="15" t="s">
        <v>369</v>
      </c>
      <c r="AT171" s="15"/>
      <c r="AU171" s="15"/>
      <c r="AV171" s="15" t="s">
        <v>531</v>
      </c>
      <c r="AW171" s="15"/>
      <c r="AX171" s="15"/>
      <c r="AY171" s="15"/>
      <c r="AZ171" s="18"/>
      <c r="BA171" s="18"/>
      <c r="BB171" s="19">
        <v>0.626</v>
      </c>
      <c r="BC171" s="19">
        <v>0</v>
      </c>
      <c r="BD171" s="19">
        <v>0</v>
      </c>
      <c r="BE171" s="19">
        <v>0</v>
      </c>
      <c r="BF171" s="19">
        <v>0</v>
      </c>
      <c r="BG171" s="19">
        <v>0</v>
      </c>
      <c r="BH171" s="19">
        <v>0</v>
      </c>
      <c r="BI171" s="19">
        <v>0</v>
      </c>
      <c r="BJ171" s="19">
        <v>0</v>
      </c>
      <c r="BK171" s="18"/>
      <c r="BL171" s="18"/>
      <c r="BM171" s="19">
        <v>0.70420000000000005</v>
      </c>
      <c r="BN171" s="19">
        <v>0</v>
      </c>
      <c r="BO171" s="19">
        <v>0</v>
      </c>
      <c r="BP171" s="19">
        <v>0</v>
      </c>
      <c r="BQ171" s="19">
        <v>0</v>
      </c>
      <c r="BR171" s="19">
        <v>0</v>
      </c>
      <c r="BS171" s="19">
        <v>0</v>
      </c>
      <c r="BT171" s="19">
        <v>0</v>
      </c>
      <c r="BU171" s="19">
        <v>0</v>
      </c>
    </row>
    <row r="172" spans="3:73" x14ac:dyDescent="0.45">
      <c r="C172" s="15" t="s">
        <v>249</v>
      </c>
      <c r="D172" s="15" t="s">
        <v>322</v>
      </c>
      <c r="E172" s="15" t="s">
        <v>283</v>
      </c>
      <c r="F172" s="15"/>
      <c r="G172" s="15"/>
      <c r="H172" s="15"/>
      <c r="I172" s="15" t="s">
        <v>323</v>
      </c>
      <c r="J172" s="18"/>
      <c r="K172" s="18"/>
      <c r="L172" s="19"/>
      <c r="M172" s="18"/>
      <c r="N172" s="18">
        <v>2363.437582</v>
      </c>
      <c r="O172" s="18">
        <v>957.61579400000005</v>
      </c>
      <c r="P172" s="18">
        <v>814.89585390000002</v>
      </c>
      <c r="Q172" s="18"/>
      <c r="R172" s="19"/>
      <c r="S172" s="18"/>
      <c r="T172" s="18">
        <v>2440.4418000000001</v>
      </c>
      <c r="U172" s="18">
        <v>1358.6703199999999</v>
      </c>
      <c r="V172" s="18">
        <v>858.76815669999996</v>
      </c>
      <c r="X172" s="15" t="s">
        <v>249</v>
      </c>
      <c r="Y172" s="15" t="s">
        <v>326</v>
      </c>
      <c r="Z172" s="15" t="s">
        <v>332</v>
      </c>
      <c r="AA172" s="15"/>
      <c r="AB172" s="15"/>
      <c r="AC172" s="15"/>
      <c r="AD172" s="15"/>
      <c r="AE172" s="18"/>
      <c r="AF172" s="18"/>
      <c r="AG172" s="19">
        <v>22.051404092999999</v>
      </c>
      <c r="AH172" s="18"/>
      <c r="AI172" s="18"/>
      <c r="AJ172" s="18"/>
      <c r="AK172" s="18"/>
      <c r="AL172" s="18"/>
      <c r="AM172" s="19">
        <v>22.051404092999999</v>
      </c>
      <c r="AN172" s="18"/>
      <c r="AO172" s="18"/>
      <c r="AP172" s="18"/>
      <c r="AR172" s="15" t="s">
        <v>249</v>
      </c>
      <c r="AS172" s="15" t="s">
        <v>369</v>
      </c>
      <c r="AT172" s="15"/>
      <c r="AU172" s="15"/>
      <c r="AV172" s="15" t="s">
        <v>532</v>
      </c>
      <c r="AW172" s="15"/>
      <c r="AX172" s="15"/>
      <c r="AY172" s="15"/>
      <c r="AZ172" s="18"/>
      <c r="BA172" s="18"/>
      <c r="BB172" s="19">
        <v>2.3136000000000001</v>
      </c>
      <c r="BC172" s="19">
        <v>0</v>
      </c>
      <c r="BD172" s="19">
        <v>0</v>
      </c>
      <c r="BE172" s="19">
        <v>0</v>
      </c>
      <c r="BF172" s="19">
        <v>0</v>
      </c>
      <c r="BG172" s="19">
        <v>0</v>
      </c>
      <c r="BH172" s="19">
        <v>0</v>
      </c>
      <c r="BI172" s="19">
        <v>0</v>
      </c>
      <c r="BJ172" s="19">
        <v>0</v>
      </c>
      <c r="BK172" s="18"/>
      <c r="BL172" s="18"/>
      <c r="BM172" s="19">
        <v>2.6025</v>
      </c>
      <c r="BN172" s="19">
        <v>0</v>
      </c>
      <c r="BO172" s="19">
        <v>0</v>
      </c>
      <c r="BP172" s="19">
        <v>0</v>
      </c>
      <c r="BQ172" s="19">
        <v>0</v>
      </c>
      <c r="BR172" s="19">
        <v>0</v>
      </c>
      <c r="BS172" s="19">
        <v>0</v>
      </c>
      <c r="BT172" s="19">
        <v>0</v>
      </c>
      <c r="BU172" s="19">
        <v>0</v>
      </c>
    </row>
    <row r="173" spans="3:73" x14ac:dyDescent="0.45">
      <c r="C173" s="15" t="s">
        <v>249</v>
      </c>
      <c r="D173" s="15" t="s">
        <v>322</v>
      </c>
      <c r="E173" s="15" t="s">
        <v>284</v>
      </c>
      <c r="F173" s="15"/>
      <c r="G173" s="15"/>
      <c r="H173" s="15"/>
      <c r="I173" s="15" t="s">
        <v>323</v>
      </c>
      <c r="J173" s="18"/>
      <c r="K173" s="18"/>
      <c r="L173" s="19">
        <v>174.66122179999999</v>
      </c>
      <c r="M173" s="18"/>
      <c r="N173" s="18"/>
      <c r="O173" s="18"/>
      <c r="P173" s="18"/>
      <c r="Q173" s="18"/>
      <c r="R173" s="19">
        <v>174.66122179999999</v>
      </c>
      <c r="S173" s="18"/>
      <c r="T173" s="18"/>
      <c r="U173" s="18"/>
      <c r="V173" s="18"/>
      <c r="X173" s="15" t="s">
        <v>249</v>
      </c>
      <c r="Y173" s="15" t="s">
        <v>326</v>
      </c>
      <c r="Z173" s="15" t="s">
        <v>333</v>
      </c>
      <c r="AA173" s="15"/>
      <c r="AB173" s="15"/>
      <c r="AC173" s="15"/>
      <c r="AD173" s="15"/>
      <c r="AE173" s="18"/>
      <c r="AF173" s="18"/>
      <c r="AG173" s="19">
        <v>22.051404092999999</v>
      </c>
      <c r="AH173" s="18"/>
      <c r="AI173" s="18"/>
      <c r="AJ173" s="18"/>
      <c r="AK173" s="18"/>
      <c r="AL173" s="18"/>
      <c r="AM173" s="19">
        <v>22.051404092999999</v>
      </c>
      <c r="AN173" s="18"/>
      <c r="AO173" s="18"/>
      <c r="AP173" s="18"/>
      <c r="AR173" s="15" t="s">
        <v>249</v>
      </c>
      <c r="AS173" s="15" t="s">
        <v>369</v>
      </c>
      <c r="AT173" s="15"/>
      <c r="AU173" s="15"/>
      <c r="AV173" s="15" t="s">
        <v>533</v>
      </c>
      <c r="AW173" s="15"/>
      <c r="AX173" s="15"/>
      <c r="AY173" s="15"/>
      <c r="AZ173" s="18"/>
      <c r="BA173" s="18"/>
      <c r="BB173" s="19">
        <v>0.41760000000000003</v>
      </c>
      <c r="BC173" s="19">
        <v>0</v>
      </c>
      <c r="BD173" s="19">
        <v>0</v>
      </c>
      <c r="BE173" s="19">
        <v>0</v>
      </c>
      <c r="BF173" s="19">
        <v>0</v>
      </c>
      <c r="BG173" s="19">
        <v>0</v>
      </c>
      <c r="BH173" s="19">
        <v>0</v>
      </c>
      <c r="BI173" s="19">
        <v>0</v>
      </c>
      <c r="BJ173" s="19">
        <v>0</v>
      </c>
      <c r="BK173" s="18"/>
      <c r="BL173" s="18"/>
      <c r="BM173" s="19">
        <v>0.46970000000000001</v>
      </c>
      <c r="BN173" s="19">
        <v>0</v>
      </c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</row>
    <row r="174" spans="3:73" x14ac:dyDescent="0.45">
      <c r="C174" s="15" t="s">
        <v>249</v>
      </c>
      <c r="D174" s="15" t="s">
        <v>322</v>
      </c>
      <c r="E174" s="15" t="s">
        <v>285</v>
      </c>
      <c r="F174" s="15"/>
      <c r="G174" s="15"/>
      <c r="H174" s="15"/>
      <c r="I174" s="15" t="s">
        <v>323</v>
      </c>
      <c r="J174" s="18"/>
      <c r="K174" s="18"/>
      <c r="L174" s="19">
        <v>6000</v>
      </c>
      <c r="M174" s="18"/>
      <c r="N174" s="18"/>
      <c r="O174" s="18"/>
      <c r="P174" s="18"/>
      <c r="Q174" s="18"/>
      <c r="R174" s="19">
        <v>6000</v>
      </c>
      <c r="S174" s="18"/>
      <c r="T174" s="18"/>
      <c r="U174" s="18"/>
      <c r="V174" s="18"/>
      <c r="X174" s="15" t="s">
        <v>249</v>
      </c>
      <c r="Y174" s="15" t="s">
        <v>326</v>
      </c>
      <c r="Z174" s="15" t="s">
        <v>334</v>
      </c>
      <c r="AA174" s="15"/>
      <c r="AB174" s="15"/>
      <c r="AC174" s="15"/>
      <c r="AD174" s="15"/>
      <c r="AE174" s="18"/>
      <c r="AF174" s="18"/>
      <c r="AG174" s="19">
        <v>15.784552846</v>
      </c>
      <c r="AH174" s="18"/>
      <c r="AI174" s="18"/>
      <c r="AJ174" s="18"/>
      <c r="AK174" s="18"/>
      <c r="AL174" s="18"/>
      <c r="AM174" s="19">
        <v>15.784552846</v>
      </c>
      <c r="AN174" s="18"/>
      <c r="AO174" s="18"/>
      <c r="AP174" s="18"/>
      <c r="AR174" s="15" t="s">
        <v>249</v>
      </c>
      <c r="AS174" s="15" t="s">
        <v>369</v>
      </c>
      <c r="AT174" s="15"/>
      <c r="AU174" s="15"/>
      <c r="AV174" s="15" t="s">
        <v>534</v>
      </c>
      <c r="AW174" s="15"/>
      <c r="AX174" s="15"/>
      <c r="AY174" s="15"/>
      <c r="AZ174" s="18"/>
      <c r="BA174" s="18"/>
      <c r="BB174" s="19">
        <v>6.7441310592386197</v>
      </c>
      <c r="BC174" s="19">
        <v>7.0292521403961699</v>
      </c>
      <c r="BD174" s="19">
        <v>7.4535280116945399</v>
      </c>
      <c r="BE174" s="19">
        <v>7.8885291604188401</v>
      </c>
      <c r="BF174" s="19">
        <v>8.4331481999141396</v>
      </c>
      <c r="BG174" s="19">
        <v>9.0074101626591307</v>
      </c>
      <c r="BH174" s="19">
        <v>9.6604526182144408</v>
      </c>
      <c r="BI174" s="19">
        <v>10.5787877598523</v>
      </c>
      <c r="BJ174" s="19">
        <v>11.512408021831501</v>
      </c>
      <c r="BK174" s="18"/>
      <c r="BL174" s="18"/>
      <c r="BM174" s="19">
        <v>6.3551124896014901</v>
      </c>
      <c r="BN174" s="19">
        <v>7.0823163278944499</v>
      </c>
      <c r="BO174" s="19">
        <v>7.9394847606035501</v>
      </c>
      <c r="BP174" s="19">
        <v>9.1790740298088505</v>
      </c>
      <c r="BQ174" s="19">
        <v>10.448198193337699</v>
      </c>
      <c r="BR174" s="19">
        <v>11.5638564520568</v>
      </c>
      <c r="BS174" s="19">
        <v>12.854453863247199</v>
      </c>
      <c r="BT174" s="19">
        <v>14.2475284831207</v>
      </c>
      <c r="BU174" s="19">
        <v>15.5790277740908</v>
      </c>
    </row>
    <row r="175" spans="3:73" x14ac:dyDescent="0.45">
      <c r="C175" s="15" t="s">
        <v>249</v>
      </c>
      <c r="D175" s="15" t="s">
        <v>322</v>
      </c>
      <c r="E175" s="15" t="s">
        <v>286</v>
      </c>
      <c r="F175" s="15"/>
      <c r="G175" s="15"/>
      <c r="H175" s="15"/>
      <c r="I175" s="15" t="s">
        <v>323</v>
      </c>
      <c r="J175" s="18"/>
      <c r="K175" s="18"/>
      <c r="L175" s="19">
        <v>6257.14</v>
      </c>
      <c r="M175" s="18"/>
      <c r="N175" s="18"/>
      <c r="O175" s="18"/>
      <c r="P175" s="18"/>
      <c r="Q175" s="18"/>
      <c r="R175" s="19">
        <v>6257.1428569999998</v>
      </c>
      <c r="S175" s="18"/>
      <c r="T175" s="18"/>
      <c r="U175" s="18"/>
      <c r="V175" s="18"/>
      <c r="X175" s="15" t="s">
        <v>249</v>
      </c>
      <c r="Y175" s="15" t="s">
        <v>326</v>
      </c>
      <c r="Z175" s="15" t="s">
        <v>335</v>
      </c>
      <c r="AA175" s="15"/>
      <c r="AB175" s="15"/>
      <c r="AC175" s="15"/>
      <c r="AD175" s="15"/>
      <c r="AE175" s="18"/>
      <c r="AF175" s="18"/>
      <c r="AG175" s="19">
        <v>22.051404092999999</v>
      </c>
      <c r="AH175" s="18"/>
      <c r="AI175" s="18"/>
      <c r="AJ175" s="18"/>
      <c r="AK175" s="18"/>
      <c r="AL175" s="18"/>
      <c r="AM175" s="19">
        <v>22.051404092999999</v>
      </c>
      <c r="AN175" s="18"/>
      <c r="AO175" s="18"/>
      <c r="AP175" s="18"/>
      <c r="AR175" s="15" t="s">
        <v>249</v>
      </c>
      <c r="AS175" s="15" t="s">
        <v>369</v>
      </c>
      <c r="AT175" s="15"/>
      <c r="AU175" s="15"/>
      <c r="AV175" s="15" t="s">
        <v>535</v>
      </c>
      <c r="AW175" s="15"/>
      <c r="AX175" s="15"/>
      <c r="AY175" s="15"/>
      <c r="AZ175" s="18"/>
      <c r="BA175" s="18"/>
      <c r="BB175" s="19">
        <v>1.2128783045614899</v>
      </c>
      <c r="BC175" s="19">
        <v>1.2406103022992401</v>
      </c>
      <c r="BD175" s="19">
        <v>1.2884677457698399</v>
      </c>
      <c r="BE175" s="19">
        <v>1.3592619740898999</v>
      </c>
      <c r="BF175" s="19">
        <v>1.4453473923095901</v>
      </c>
      <c r="BG175" s="19">
        <v>1.53863087244131</v>
      </c>
      <c r="BH175" s="19">
        <v>1.63671306051437</v>
      </c>
      <c r="BI175" s="19">
        <v>1.7347952485874201</v>
      </c>
      <c r="BJ175" s="19">
        <v>1.8328774366604801</v>
      </c>
      <c r="BK175" s="18"/>
      <c r="BL175" s="18"/>
      <c r="BM175" s="19">
        <v>1.21586335144989</v>
      </c>
      <c r="BN175" s="19">
        <v>1.23077427060973</v>
      </c>
      <c r="BO175" s="19">
        <v>1.29396165600807</v>
      </c>
      <c r="BP175" s="19">
        <v>1.3909692088862</v>
      </c>
      <c r="BQ175" s="19">
        <v>1.49128763355092</v>
      </c>
      <c r="BR175" s="19">
        <v>1.5938133060733499</v>
      </c>
      <c r="BS175" s="19">
        <v>1.6773701416367699</v>
      </c>
      <c r="BT175" s="19">
        <v>1.74828108589416</v>
      </c>
      <c r="BU175" s="19">
        <v>1.8191920301515601</v>
      </c>
    </row>
    <row r="176" spans="3:73" x14ac:dyDescent="0.45">
      <c r="C176" s="15" t="s">
        <v>249</v>
      </c>
      <c r="D176" s="15" t="s">
        <v>322</v>
      </c>
      <c r="E176" s="15" t="s">
        <v>287</v>
      </c>
      <c r="F176" s="15"/>
      <c r="G176" s="15"/>
      <c r="H176" s="15"/>
      <c r="I176" s="15" t="s">
        <v>323</v>
      </c>
      <c r="J176" s="18"/>
      <c r="K176" s="18"/>
      <c r="L176" s="19">
        <v>1076.0899999999999</v>
      </c>
      <c r="M176" s="18"/>
      <c r="N176" s="18"/>
      <c r="O176" s="18"/>
      <c r="P176" s="18"/>
      <c r="Q176" s="18"/>
      <c r="R176" s="19">
        <v>1076.086957</v>
      </c>
      <c r="S176" s="18"/>
      <c r="T176" s="18"/>
      <c r="U176" s="18"/>
      <c r="V176" s="18"/>
      <c r="X176" s="15" t="s">
        <v>249</v>
      </c>
      <c r="Y176" s="15" t="s">
        <v>326</v>
      </c>
      <c r="Z176" s="15" t="s">
        <v>336</v>
      </c>
      <c r="AA176" s="15"/>
      <c r="AB176" s="15"/>
      <c r="AC176" s="15"/>
      <c r="AD176" s="15"/>
      <c r="AE176" s="18"/>
      <c r="AF176" s="18"/>
      <c r="AG176" s="19">
        <v>22.051404092999999</v>
      </c>
      <c r="AH176" s="18"/>
      <c r="AI176" s="18"/>
      <c r="AJ176" s="18"/>
      <c r="AK176" s="18"/>
      <c r="AL176" s="18"/>
      <c r="AM176" s="19">
        <v>22.051404092999999</v>
      </c>
      <c r="AN176" s="18"/>
      <c r="AO176" s="18"/>
      <c r="AP176" s="18"/>
      <c r="AR176" s="15" t="s">
        <v>249</v>
      </c>
      <c r="AS176" s="15" t="s">
        <v>369</v>
      </c>
      <c r="AT176" s="15"/>
      <c r="AU176" s="15"/>
      <c r="AV176" s="15" t="s">
        <v>536</v>
      </c>
      <c r="AW176" s="15"/>
      <c r="AX176" s="15"/>
      <c r="AY176" s="15"/>
      <c r="AZ176" s="18"/>
      <c r="BA176" s="18"/>
      <c r="BB176" s="19">
        <v>0.48686459739091298</v>
      </c>
      <c r="BC176" s="19">
        <v>0.49919028340081001</v>
      </c>
      <c r="BD176" s="19">
        <v>0.51151596941070598</v>
      </c>
      <c r="BE176" s="19">
        <v>0.51459739091318002</v>
      </c>
      <c r="BF176" s="19">
        <v>0.52076023391812898</v>
      </c>
      <c r="BG176" s="19">
        <v>0.52384165542060301</v>
      </c>
      <c r="BH176" s="19">
        <v>0.53308591992802501</v>
      </c>
      <c r="BI176" s="19">
        <v>0.55465587044534403</v>
      </c>
      <c r="BJ176" s="19">
        <v>0.57622582096266295</v>
      </c>
      <c r="BK176" s="18"/>
      <c r="BL176" s="18"/>
      <c r="BM176" s="19">
        <v>0.49</v>
      </c>
      <c r="BN176" s="19">
        <v>0.52</v>
      </c>
      <c r="BO176" s="19">
        <v>0.56000000000000005</v>
      </c>
      <c r="BP176" s="19">
        <v>0.59</v>
      </c>
      <c r="BQ176" s="19">
        <v>0.6</v>
      </c>
      <c r="BR176" s="19">
        <v>0.61</v>
      </c>
      <c r="BS176" s="19">
        <v>0.62</v>
      </c>
      <c r="BT176" s="19">
        <v>0.63</v>
      </c>
      <c r="BU176" s="19">
        <v>0.63</v>
      </c>
    </row>
    <row r="177" spans="3:73" x14ac:dyDescent="0.45">
      <c r="C177" s="15" t="s">
        <v>249</v>
      </c>
      <c r="D177" s="15" t="s">
        <v>322</v>
      </c>
      <c r="E177" s="15" t="s">
        <v>288</v>
      </c>
      <c r="F177" s="15"/>
      <c r="G177" s="15"/>
      <c r="H177" s="15"/>
      <c r="I177" s="15" t="s">
        <v>323</v>
      </c>
      <c r="J177" s="18"/>
      <c r="K177" s="18"/>
      <c r="L177" s="19">
        <v>1851.87</v>
      </c>
      <c r="M177" s="18">
        <v>1898.16</v>
      </c>
      <c r="N177" s="18">
        <v>1962.98</v>
      </c>
      <c r="O177" s="18">
        <v>2042.5</v>
      </c>
      <c r="P177" s="18">
        <v>2096.9699999999998</v>
      </c>
      <c r="Q177" s="18"/>
      <c r="R177" s="19">
        <v>1851.866667</v>
      </c>
      <c r="S177" s="18">
        <v>1898.163333</v>
      </c>
      <c r="T177" s="18">
        <v>1962.9786670000001</v>
      </c>
      <c r="U177" s="18">
        <v>2042.5</v>
      </c>
      <c r="V177" s="18">
        <v>2096.9666670000001</v>
      </c>
      <c r="X177" s="15" t="s">
        <v>249</v>
      </c>
      <c r="Y177" s="15" t="s">
        <v>326</v>
      </c>
      <c r="Z177" s="15" t="s">
        <v>339</v>
      </c>
      <c r="AA177" s="15"/>
      <c r="AB177" s="15"/>
      <c r="AC177" s="15"/>
      <c r="AD177" s="15"/>
      <c r="AE177" s="18"/>
      <c r="AF177" s="18"/>
      <c r="AG177" s="19">
        <v>22.051404092999999</v>
      </c>
      <c r="AH177" s="18"/>
      <c r="AI177" s="18"/>
      <c r="AJ177" s="18"/>
      <c r="AK177" s="18"/>
      <c r="AL177" s="18"/>
      <c r="AM177" s="19">
        <v>22.051404092999999</v>
      </c>
      <c r="AN177" s="18"/>
      <c r="AO177" s="18"/>
      <c r="AP177" s="18"/>
      <c r="AR177" s="15" t="s">
        <v>249</v>
      </c>
      <c r="AS177" s="15" t="s">
        <v>369</v>
      </c>
      <c r="AT177" s="15"/>
      <c r="AU177" s="15"/>
      <c r="AV177" s="15" t="s">
        <v>537</v>
      </c>
      <c r="AW177" s="15"/>
      <c r="AX177" s="15"/>
      <c r="AY177" s="15"/>
      <c r="AZ177" s="18"/>
      <c r="BA177" s="18"/>
      <c r="BB177" s="19">
        <v>8.8656570606022296</v>
      </c>
      <c r="BC177" s="19">
        <v>8.4321690641780993</v>
      </c>
      <c r="BD177" s="19">
        <v>8.0696666130803099</v>
      </c>
      <c r="BE177" s="19">
        <v>8.3232922082446699</v>
      </c>
      <c r="BF177" s="19">
        <v>8.7105216531582599</v>
      </c>
      <c r="BG177" s="19">
        <v>9.6612002337563805</v>
      </c>
      <c r="BH177" s="19">
        <v>10.7156372113364</v>
      </c>
      <c r="BI177" s="19">
        <v>11.885156923233801</v>
      </c>
      <c r="BJ177" s="19">
        <v>13.1823196608833</v>
      </c>
      <c r="BK177" s="18"/>
      <c r="BL177" s="18"/>
      <c r="BM177" s="19">
        <v>6.18319995559939</v>
      </c>
      <c r="BN177" s="19">
        <v>6.7634398213340203</v>
      </c>
      <c r="BO177" s="19">
        <v>7.6792131784723097</v>
      </c>
      <c r="BP177" s="19">
        <v>9.0337826540969299</v>
      </c>
      <c r="BQ177" s="19">
        <v>10.763383616561899</v>
      </c>
      <c r="BR177" s="19">
        <v>11.852869685353101</v>
      </c>
      <c r="BS177" s="19">
        <v>12.9504093396868</v>
      </c>
      <c r="BT177" s="19">
        <v>13.797262943431599</v>
      </c>
      <c r="BU177" s="19">
        <v>14.6890784670183</v>
      </c>
    </row>
    <row r="178" spans="3:73" x14ac:dyDescent="0.45">
      <c r="C178" s="15" t="s">
        <v>249</v>
      </c>
      <c r="D178" s="15" t="s">
        <v>322</v>
      </c>
      <c r="E178" s="15" t="s">
        <v>289</v>
      </c>
      <c r="F178" s="15"/>
      <c r="G178" s="15"/>
      <c r="H178" s="15"/>
      <c r="I178" s="15" t="s">
        <v>323</v>
      </c>
      <c r="J178" s="18"/>
      <c r="K178" s="18"/>
      <c r="L178" s="19">
        <v>6565.01</v>
      </c>
      <c r="M178" s="18">
        <v>3423.68</v>
      </c>
      <c r="N178" s="18">
        <v>2040.4</v>
      </c>
      <c r="O178" s="18">
        <v>2040.4</v>
      </c>
      <c r="P178" s="18">
        <v>2040.4</v>
      </c>
      <c r="Q178" s="18"/>
      <c r="R178" s="19">
        <v>6565.0101119999999</v>
      </c>
      <c r="S178" s="18">
        <v>3455.2448639999998</v>
      </c>
      <c r="T178" s="18">
        <v>2084.8753830000001</v>
      </c>
      <c r="U178" s="18">
        <v>2084.8753830000001</v>
      </c>
      <c r="V178" s="18">
        <v>2084.8753830000001</v>
      </c>
      <c r="X178" s="15" t="s">
        <v>249</v>
      </c>
      <c r="Y178" s="15" t="s">
        <v>326</v>
      </c>
      <c r="Z178" s="15" t="s">
        <v>341</v>
      </c>
      <c r="AA178" s="15"/>
      <c r="AB178" s="15"/>
      <c r="AC178" s="15"/>
      <c r="AD178" s="15"/>
      <c r="AE178" s="18"/>
      <c r="AF178" s="18"/>
      <c r="AG178" s="19">
        <v>22</v>
      </c>
      <c r="AH178" s="18"/>
      <c r="AI178" s="18"/>
      <c r="AJ178" s="18"/>
      <c r="AK178" s="18"/>
      <c r="AL178" s="18"/>
      <c r="AM178" s="19">
        <v>21.981385162999999</v>
      </c>
      <c r="AN178" s="18"/>
      <c r="AO178" s="18"/>
      <c r="AP178" s="18"/>
      <c r="AR178" s="15" t="s">
        <v>249</v>
      </c>
      <c r="AS178" s="15" t="s">
        <v>369</v>
      </c>
      <c r="AT178" s="15"/>
      <c r="AU178" s="15"/>
      <c r="AV178" s="15" t="s">
        <v>538</v>
      </c>
      <c r="AW178" s="15"/>
      <c r="AX178" s="15"/>
      <c r="AY178" s="15"/>
      <c r="AZ178" s="18"/>
      <c r="BA178" s="18"/>
      <c r="BB178" s="19">
        <v>0.632176295865301</v>
      </c>
      <c r="BC178" s="19">
        <v>0.64800802728893303</v>
      </c>
      <c r="BD178" s="19">
        <v>0.66084873760766905</v>
      </c>
      <c r="BE178" s="19">
        <v>0.66696923676797204</v>
      </c>
      <c r="BF178" s="19">
        <v>0.67296831552955505</v>
      </c>
      <c r="BG178" s="19">
        <v>0.67891101933979103</v>
      </c>
      <c r="BH178" s="19">
        <v>0.68970263325014802</v>
      </c>
      <c r="BI178" s="19">
        <v>0.71808849845251699</v>
      </c>
      <c r="BJ178" s="19">
        <v>0.74527661619381602</v>
      </c>
      <c r="BK178" s="18"/>
      <c r="BL178" s="18"/>
      <c r="BM178" s="19">
        <v>0.63896521785451099</v>
      </c>
      <c r="BN178" s="19">
        <v>0.63668387556693995</v>
      </c>
      <c r="BO178" s="19">
        <v>0.68003773656662803</v>
      </c>
      <c r="BP178" s="19">
        <v>0.73016513698089103</v>
      </c>
      <c r="BQ178" s="19">
        <v>0.76692966594006995</v>
      </c>
      <c r="BR178" s="19">
        <v>0.776631551298258</v>
      </c>
      <c r="BS178" s="19">
        <v>0.79256640202480999</v>
      </c>
      <c r="BT178" s="19">
        <v>0.80701582294626395</v>
      </c>
      <c r="BU178" s="19">
        <v>0.80782218703173603</v>
      </c>
    </row>
    <row r="179" spans="3:73" x14ac:dyDescent="0.45">
      <c r="C179" s="15" t="s">
        <v>249</v>
      </c>
      <c r="D179" s="15" t="s">
        <v>322</v>
      </c>
      <c r="E179" s="15" t="s">
        <v>290</v>
      </c>
      <c r="F179" s="15"/>
      <c r="G179" s="15"/>
      <c r="H179" s="15"/>
      <c r="I179" s="15" t="s">
        <v>323</v>
      </c>
      <c r="J179" s="18"/>
      <c r="K179" s="18"/>
      <c r="L179" s="19">
        <v>7542.15</v>
      </c>
      <c r="M179" s="18">
        <v>4158.21</v>
      </c>
      <c r="N179" s="18">
        <v>3104.03</v>
      </c>
      <c r="O179" s="18">
        <v>2612.63</v>
      </c>
      <c r="P179" s="18">
        <v>2501.4</v>
      </c>
      <c r="Q179" s="18"/>
      <c r="R179" s="19">
        <v>7542.1452920000002</v>
      </c>
      <c r="S179" s="18">
        <v>4158.2148360000001</v>
      </c>
      <c r="T179" s="18">
        <v>3104.0293999999999</v>
      </c>
      <c r="U179" s="18">
        <v>2612.626886</v>
      </c>
      <c r="V179" s="18">
        <v>2501.4005379999999</v>
      </c>
      <c r="X179" s="15" t="s">
        <v>249</v>
      </c>
      <c r="Y179" s="15" t="s">
        <v>326</v>
      </c>
      <c r="Z179" s="15" t="s">
        <v>342</v>
      </c>
      <c r="AA179" s="15"/>
      <c r="AB179" s="15"/>
      <c r="AC179" s="15"/>
      <c r="AD179" s="15"/>
      <c r="AE179" s="18"/>
      <c r="AF179" s="18"/>
      <c r="AG179" s="19">
        <v>22</v>
      </c>
      <c r="AH179" s="18"/>
      <c r="AI179" s="18"/>
      <c r="AJ179" s="18"/>
      <c r="AK179" s="18"/>
      <c r="AL179" s="18"/>
      <c r="AM179" s="19">
        <v>21.981385162999999</v>
      </c>
      <c r="AN179" s="18"/>
      <c r="AO179" s="18"/>
      <c r="AP179" s="18"/>
      <c r="AR179" s="15" t="s">
        <v>249</v>
      </c>
      <c r="AS179" s="15" t="s">
        <v>369</v>
      </c>
      <c r="AT179" s="15"/>
      <c r="AU179" s="15"/>
      <c r="AV179" s="15" t="s">
        <v>539</v>
      </c>
      <c r="AW179" s="15"/>
      <c r="AX179" s="15"/>
      <c r="AY179" s="15"/>
      <c r="AZ179" s="18"/>
      <c r="BA179" s="18"/>
      <c r="BB179" s="19">
        <v>1.2364709625133701</v>
      </c>
      <c r="BC179" s="19">
        <v>1.283269221729</v>
      </c>
      <c r="BD179" s="19">
        <v>1.3231361634194501</v>
      </c>
      <c r="BE179" s="19">
        <v>1.3609693608040601</v>
      </c>
      <c r="BF179" s="19">
        <v>1.39744672865146</v>
      </c>
      <c r="BG179" s="19">
        <v>1.45405083821438</v>
      </c>
      <c r="BH179" s="19">
        <v>1.52407277558767</v>
      </c>
      <c r="BI179" s="19">
        <v>1.59409471296095</v>
      </c>
      <c r="BJ179" s="19">
        <v>1.6641166503342399</v>
      </c>
      <c r="BK179" s="18"/>
      <c r="BL179" s="18"/>
      <c r="BM179" s="19">
        <v>1.23068346841534</v>
      </c>
      <c r="BN179" s="19">
        <v>1.2490711204820699</v>
      </c>
      <c r="BO179" s="19">
        <v>1.3227495576499699</v>
      </c>
      <c r="BP179" s="19">
        <v>1.4004167081671399</v>
      </c>
      <c r="BQ179" s="19">
        <v>1.4571547763900901</v>
      </c>
      <c r="BR179" s="19">
        <v>1.4999401230835401</v>
      </c>
      <c r="BS179" s="19">
        <v>1.5441545884699199</v>
      </c>
      <c r="BT179" s="19">
        <v>1.58932179965158</v>
      </c>
      <c r="BU179" s="19">
        <v>1.6344890108332399</v>
      </c>
    </row>
    <row r="180" spans="3:73" x14ac:dyDescent="0.45">
      <c r="C180" s="15" t="s">
        <v>249</v>
      </c>
      <c r="D180" s="15" t="s">
        <v>322</v>
      </c>
      <c r="E180" s="15" t="s">
        <v>291</v>
      </c>
      <c r="F180" s="15"/>
      <c r="G180" s="15"/>
      <c r="H180" s="15"/>
      <c r="I180" s="15" t="s">
        <v>323</v>
      </c>
      <c r="J180" s="18"/>
      <c r="K180" s="18"/>
      <c r="L180" s="19">
        <v>1560.07</v>
      </c>
      <c r="M180" s="18">
        <v>1560.07</v>
      </c>
      <c r="N180" s="18"/>
      <c r="O180" s="18"/>
      <c r="P180" s="18"/>
      <c r="Q180" s="18"/>
      <c r="R180" s="19">
        <v>1560.0712430000001</v>
      </c>
      <c r="S180" s="18">
        <v>1560.0712430000001</v>
      </c>
      <c r="T180" s="18"/>
      <c r="U180" s="18"/>
      <c r="V180" s="18"/>
      <c r="X180" s="15" t="s">
        <v>249</v>
      </c>
      <c r="Y180" s="15" t="s">
        <v>326</v>
      </c>
      <c r="Z180" s="15" t="s">
        <v>343</v>
      </c>
      <c r="AA180" s="15"/>
      <c r="AB180" s="15"/>
      <c r="AC180" s="15"/>
      <c r="AD180" s="15"/>
      <c r="AE180" s="18"/>
      <c r="AF180" s="18"/>
      <c r="AG180" s="19">
        <v>22</v>
      </c>
      <c r="AH180" s="18"/>
      <c r="AI180" s="18"/>
      <c r="AJ180" s="18"/>
      <c r="AK180" s="18"/>
      <c r="AL180" s="18"/>
      <c r="AM180" s="19">
        <v>21.981385162999999</v>
      </c>
      <c r="AN180" s="18"/>
      <c r="AO180" s="18"/>
      <c r="AP180" s="18"/>
      <c r="AR180" s="15" t="s">
        <v>249</v>
      </c>
      <c r="AS180" s="15" t="s">
        <v>369</v>
      </c>
      <c r="AT180" s="15"/>
      <c r="AU180" s="15"/>
      <c r="AV180" s="15" t="s">
        <v>540</v>
      </c>
      <c r="AW180" s="15"/>
      <c r="AX180" s="15"/>
      <c r="AY180" s="15"/>
      <c r="AZ180" s="18"/>
      <c r="BA180" s="18"/>
      <c r="BB180" s="19">
        <v>1.09313540260909</v>
      </c>
      <c r="BC180" s="19">
        <v>1.1208097165991899</v>
      </c>
      <c r="BD180" s="19">
        <v>1.1484840305892901</v>
      </c>
      <c r="BE180" s="19">
        <v>1.1554026090868199</v>
      </c>
      <c r="BF180" s="19">
        <v>1.1692397660818701</v>
      </c>
      <c r="BG180" s="19">
        <v>1.1761583445793999</v>
      </c>
      <c r="BH180" s="19">
        <v>1.19691408007197</v>
      </c>
      <c r="BI180" s="19">
        <v>1.2453441295546599</v>
      </c>
      <c r="BJ180" s="19">
        <v>1.29377417903734</v>
      </c>
      <c r="BK180" s="18"/>
      <c r="BL180" s="18"/>
      <c r="BM180" s="19">
        <v>1.1100000000000001</v>
      </c>
      <c r="BN180" s="19">
        <v>1.18</v>
      </c>
      <c r="BO180" s="19">
        <v>1.27</v>
      </c>
      <c r="BP180" s="19">
        <v>1.33</v>
      </c>
      <c r="BQ180" s="19">
        <v>1.35</v>
      </c>
      <c r="BR180" s="19">
        <v>1.38</v>
      </c>
      <c r="BS180" s="19">
        <v>1.4</v>
      </c>
      <c r="BT180" s="19">
        <v>1.4</v>
      </c>
      <c r="BU180" s="19">
        <v>1.4</v>
      </c>
    </row>
    <row r="181" spans="3:73" x14ac:dyDescent="0.45">
      <c r="C181" s="15" t="s">
        <v>249</v>
      </c>
      <c r="D181" s="15" t="s">
        <v>322</v>
      </c>
      <c r="E181" s="15" t="s">
        <v>292</v>
      </c>
      <c r="F181" s="15"/>
      <c r="G181" s="15"/>
      <c r="H181" s="15"/>
      <c r="I181" s="15" t="s">
        <v>323</v>
      </c>
      <c r="J181" s="18"/>
      <c r="K181" s="18"/>
      <c r="L181" s="19"/>
      <c r="M181" s="18">
        <v>10778.63</v>
      </c>
      <c r="N181" s="18">
        <v>4403.3599999999997</v>
      </c>
      <c r="O181" s="18">
        <v>3838.55</v>
      </c>
      <c r="P181" s="18">
        <v>3838.55</v>
      </c>
      <c r="Q181" s="18"/>
      <c r="R181" s="19"/>
      <c r="S181" s="18">
        <v>10961.1096</v>
      </c>
      <c r="T181" s="18">
        <v>5626.2886559999997</v>
      </c>
      <c r="U181" s="18">
        <v>3923.314973</v>
      </c>
      <c r="V181" s="18">
        <v>3923.314973</v>
      </c>
      <c r="X181" s="15" t="s">
        <v>249</v>
      </c>
      <c r="Y181" s="15" t="s">
        <v>326</v>
      </c>
      <c r="Z181" s="15" t="s">
        <v>344</v>
      </c>
      <c r="AA181" s="15"/>
      <c r="AB181" s="15"/>
      <c r="AC181" s="15"/>
      <c r="AD181" s="15"/>
      <c r="AE181" s="18"/>
      <c r="AF181" s="18"/>
      <c r="AG181" s="19">
        <v>21.981385162999999</v>
      </c>
      <c r="AH181" s="18"/>
      <c r="AI181" s="18"/>
      <c r="AJ181" s="18"/>
      <c r="AK181" s="18"/>
      <c r="AL181" s="18"/>
      <c r="AM181" s="19">
        <v>21.981385162999999</v>
      </c>
      <c r="AN181" s="18"/>
      <c r="AO181" s="18"/>
      <c r="AP181" s="18"/>
      <c r="AR181" s="15" t="s">
        <v>249</v>
      </c>
      <c r="AS181" s="15" t="s">
        <v>369</v>
      </c>
      <c r="AT181" s="15"/>
      <c r="AU181" s="15"/>
      <c r="AV181" s="15" t="s">
        <v>541</v>
      </c>
      <c r="AW181" s="15"/>
      <c r="AX181" s="15"/>
      <c r="AY181" s="15"/>
      <c r="AZ181" s="18"/>
      <c r="BA181" s="18"/>
      <c r="BB181" s="19">
        <v>10.998770340745599</v>
      </c>
      <c r="BC181" s="19">
        <v>11.351898344532801</v>
      </c>
      <c r="BD181" s="19">
        <v>11.839473023703199</v>
      </c>
      <c r="BE181" s="19">
        <v>12.140666250989501</v>
      </c>
      <c r="BF181" s="19">
        <v>13.078680578888299</v>
      </c>
      <c r="BG181" s="19">
        <v>13.576404691623701</v>
      </c>
      <c r="BH181" s="19">
        <v>14.093070263392599</v>
      </c>
      <c r="BI181" s="19">
        <v>14.6293981330316</v>
      </c>
      <c r="BJ181" s="19">
        <v>15.186136571721599</v>
      </c>
      <c r="BK181" s="18"/>
      <c r="BL181" s="18"/>
      <c r="BM181" s="19">
        <v>7.7128814135108898</v>
      </c>
      <c r="BN181" s="19">
        <v>8.7241357793386491</v>
      </c>
      <c r="BO181" s="19">
        <v>10.192750176775</v>
      </c>
      <c r="BP181" s="19">
        <v>12.110094295189</v>
      </c>
      <c r="BQ181" s="19">
        <v>13.946242569945399</v>
      </c>
      <c r="BR181" s="19">
        <v>17.1687154626708</v>
      </c>
      <c r="BS181" s="19">
        <v>19.665890975403698</v>
      </c>
      <c r="BT181" s="19">
        <v>22.472252541801499</v>
      </c>
      <c r="BU181" s="19">
        <v>25.626081818597299</v>
      </c>
    </row>
    <row r="182" spans="3:73" x14ac:dyDescent="0.45">
      <c r="C182" s="15" t="s">
        <v>249</v>
      </c>
      <c r="D182" s="15" t="s">
        <v>322</v>
      </c>
      <c r="E182" s="15" t="s">
        <v>293</v>
      </c>
      <c r="F182" s="15"/>
      <c r="G182" s="15"/>
      <c r="H182" s="15"/>
      <c r="I182" s="15" t="s">
        <v>323</v>
      </c>
      <c r="J182" s="18"/>
      <c r="K182" s="18"/>
      <c r="L182" s="19"/>
      <c r="M182" s="18">
        <v>10787.46</v>
      </c>
      <c r="N182" s="18">
        <v>5195.41</v>
      </c>
      <c r="O182" s="18">
        <v>2947.36</v>
      </c>
      <c r="P182" s="18">
        <v>2793.42</v>
      </c>
      <c r="Q182" s="18"/>
      <c r="R182" s="19"/>
      <c r="S182" s="18">
        <v>10802.64415</v>
      </c>
      <c r="T182" s="18">
        <v>10005.474490000001</v>
      </c>
      <c r="U182" s="18">
        <v>3678.5268190000002</v>
      </c>
      <c r="V182" s="18">
        <v>2988.0727310000002</v>
      </c>
      <c r="X182" s="15" t="s">
        <v>249</v>
      </c>
      <c r="Y182" s="15" t="s">
        <v>326</v>
      </c>
      <c r="Z182" s="15" t="s">
        <v>345</v>
      </c>
      <c r="AA182" s="15"/>
      <c r="AB182" s="15"/>
      <c r="AC182" s="15"/>
      <c r="AD182" s="15"/>
      <c r="AE182" s="18"/>
      <c r="AF182" s="18"/>
      <c r="AG182" s="19">
        <v>21.981385162999999</v>
      </c>
      <c r="AH182" s="18"/>
      <c r="AI182" s="18"/>
      <c r="AJ182" s="18"/>
      <c r="AK182" s="18"/>
      <c r="AL182" s="18"/>
      <c r="AM182" s="19">
        <v>21.981385162999999</v>
      </c>
      <c r="AN182" s="18"/>
      <c r="AO182" s="18"/>
      <c r="AP182" s="18"/>
      <c r="AR182" s="15" t="s">
        <v>249</v>
      </c>
      <c r="AS182" s="15" t="s">
        <v>369</v>
      </c>
      <c r="AT182" s="15"/>
      <c r="AU182" s="15"/>
      <c r="AV182" s="15" t="s">
        <v>542</v>
      </c>
      <c r="AW182" s="15"/>
      <c r="AX182" s="15"/>
      <c r="AY182" s="15"/>
      <c r="AZ182" s="18"/>
      <c r="BA182" s="18"/>
      <c r="BB182" s="19">
        <v>48.7444553109002</v>
      </c>
      <c r="BC182" s="19">
        <v>53.518675640000403</v>
      </c>
      <c r="BD182" s="19">
        <v>59.407195843117599</v>
      </c>
      <c r="BE182" s="19">
        <v>65.047280063847296</v>
      </c>
      <c r="BF182" s="19">
        <v>69.800488457468205</v>
      </c>
      <c r="BG182" s="19">
        <v>70.8862909555763</v>
      </c>
      <c r="BH182" s="19">
        <v>67.656479476558701</v>
      </c>
      <c r="BI182" s="19">
        <v>64.046805597951703</v>
      </c>
      <c r="BJ182" s="19">
        <v>60.629718528630399</v>
      </c>
      <c r="BK182" s="18"/>
      <c r="BL182" s="18"/>
      <c r="BM182" s="19">
        <v>45.716103195375602</v>
      </c>
      <c r="BN182" s="19">
        <v>49.349502377221</v>
      </c>
      <c r="BO182" s="19">
        <v>55.560462510017501</v>
      </c>
      <c r="BP182" s="19">
        <v>64.451115922226094</v>
      </c>
      <c r="BQ182" s="19">
        <v>73.991377838583205</v>
      </c>
      <c r="BR182" s="19">
        <v>84.892824428526694</v>
      </c>
      <c r="BS182" s="19">
        <v>95.140560468831794</v>
      </c>
      <c r="BT182" s="19">
        <v>102.716497900316</v>
      </c>
      <c r="BU182" s="19">
        <v>110.895698836691</v>
      </c>
    </row>
    <row r="183" spans="3:73" x14ac:dyDescent="0.45">
      <c r="C183" s="15" t="s">
        <v>249</v>
      </c>
      <c r="D183" s="15" t="s">
        <v>322</v>
      </c>
      <c r="E183" s="15" t="s">
        <v>294</v>
      </c>
      <c r="F183" s="15"/>
      <c r="G183" s="15"/>
      <c r="H183" s="15"/>
      <c r="I183" s="15" t="s">
        <v>323</v>
      </c>
      <c r="J183" s="18"/>
      <c r="K183" s="18"/>
      <c r="L183" s="19">
        <v>363.43</v>
      </c>
      <c r="M183" s="18">
        <v>368.42</v>
      </c>
      <c r="N183" s="18">
        <v>375.08</v>
      </c>
      <c r="O183" s="18">
        <v>383.4</v>
      </c>
      <c r="P183" s="18">
        <v>394.6</v>
      </c>
      <c r="Q183" s="18"/>
      <c r="R183" s="19">
        <v>363.4257824</v>
      </c>
      <c r="S183" s="18">
        <v>368.41876059999998</v>
      </c>
      <c r="T183" s="18">
        <v>375.07606479999998</v>
      </c>
      <c r="U183" s="18">
        <v>383.39769510000002</v>
      </c>
      <c r="V183" s="18">
        <v>394.6036532</v>
      </c>
      <c r="X183" s="15" t="s">
        <v>249</v>
      </c>
      <c r="Y183" s="15" t="s">
        <v>326</v>
      </c>
      <c r="Z183" s="15" t="s">
        <v>346</v>
      </c>
      <c r="AA183" s="15"/>
      <c r="AB183" s="15"/>
      <c r="AC183" s="15"/>
      <c r="AD183" s="15"/>
      <c r="AE183" s="18"/>
      <c r="AF183" s="18"/>
      <c r="AG183" s="19">
        <v>21.981385162999999</v>
      </c>
      <c r="AH183" s="18"/>
      <c r="AI183" s="18"/>
      <c r="AJ183" s="18"/>
      <c r="AK183" s="18"/>
      <c r="AL183" s="18"/>
      <c r="AM183" s="19">
        <v>21.981385162999999</v>
      </c>
      <c r="AN183" s="18"/>
      <c r="AO183" s="18"/>
      <c r="AP183" s="18"/>
      <c r="AR183" s="15" t="s">
        <v>249</v>
      </c>
      <c r="AS183" s="15" t="s">
        <v>369</v>
      </c>
      <c r="AT183" s="15"/>
      <c r="AU183" s="15"/>
      <c r="AV183" s="15" t="s">
        <v>543</v>
      </c>
      <c r="AW183" s="15"/>
      <c r="AX183" s="15"/>
      <c r="AY183" s="15"/>
      <c r="AZ183" s="18"/>
      <c r="BA183" s="18"/>
      <c r="BB183" s="19">
        <v>0.31740783223075297</v>
      </c>
      <c r="BC183" s="19">
        <v>0.378369325096092</v>
      </c>
      <c r="BD183" s="19">
        <v>0.42363308516480502</v>
      </c>
      <c r="BE183" s="19">
        <v>0.46184810011011801</v>
      </c>
      <c r="BF183" s="19">
        <v>0.50340330123328803</v>
      </c>
      <c r="BG183" s="19">
        <v>0.55111071004802303</v>
      </c>
      <c r="BH183" s="19">
        <v>0.60996708546427902</v>
      </c>
      <c r="BI183" s="19">
        <v>0.69018219681053194</v>
      </c>
      <c r="BJ183" s="19">
        <v>0.772731150286186</v>
      </c>
      <c r="BK183" s="18"/>
      <c r="BL183" s="18"/>
      <c r="BM183" s="19">
        <v>0.210125692318755</v>
      </c>
      <c r="BN183" s="19">
        <v>0.238276828849107</v>
      </c>
      <c r="BO183" s="19">
        <v>0.27241939006282001</v>
      </c>
      <c r="BP183" s="19">
        <v>0.31921972483495098</v>
      </c>
      <c r="BQ183" s="19">
        <v>0.36796099371157798</v>
      </c>
      <c r="BR183" s="19">
        <v>0.415272083770242</v>
      </c>
      <c r="BS183" s="19">
        <v>0.46852502220081998</v>
      </c>
      <c r="BT183" s="19">
        <v>0.52304740628379998</v>
      </c>
      <c r="BU183" s="19">
        <v>0.57665349605371796</v>
      </c>
    </row>
    <row r="184" spans="3:73" x14ac:dyDescent="0.45">
      <c r="C184" s="15" t="s">
        <v>249</v>
      </c>
      <c r="D184" s="15" t="s">
        <v>322</v>
      </c>
      <c r="E184" s="15" t="s">
        <v>295</v>
      </c>
      <c r="F184" s="15"/>
      <c r="G184" s="15"/>
      <c r="H184" s="15"/>
      <c r="I184" s="15" t="s">
        <v>323</v>
      </c>
      <c r="J184" s="18"/>
      <c r="K184" s="18"/>
      <c r="L184" s="19">
        <v>563.28</v>
      </c>
      <c r="M184" s="18">
        <v>536.36</v>
      </c>
      <c r="N184" s="18">
        <v>378.82</v>
      </c>
      <c r="O184" s="18">
        <v>378.82</v>
      </c>
      <c r="P184" s="18">
        <v>378.82</v>
      </c>
      <c r="Q184" s="18"/>
      <c r="R184" s="19">
        <v>563.27611109999998</v>
      </c>
      <c r="S184" s="18">
        <v>549.55551390000005</v>
      </c>
      <c r="T184" s="18">
        <v>413.47444419999999</v>
      </c>
      <c r="U184" s="18">
        <v>413.47444419999999</v>
      </c>
      <c r="V184" s="18">
        <v>413.47444419999999</v>
      </c>
      <c r="X184" s="15" t="s">
        <v>249</v>
      </c>
      <c r="Y184" s="15" t="s">
        <v>326</v>
      </c>
      <c r="Z184" s="15" t="s">
        <v>347</v>
      </c>
      <c r="AA184" s="15"/>
      <c r="AB184" s="15"/>
      <c r="AC184" s="15"/>
      <c r="AD184" s="15"/>
      <c r="AE184" s="18"/>
      <c r="AF184" s="18"/>
      <c r="AG184" s="19">
        <v>21.981385162999999</v>
      </c>
      <c r="AH184" s="18"/>
      <c r="AI184" s="18"/>
      <c r="AJ184" s="18"/>
      <c r="AK184" s="18"/>
      <c r="AL184" s="18"/>
      <c r="AM184" s="19">
        <v>21.981385162999999</v>
      </c>
      <c r="AN184" s="18"/>
      <c r="AO184" s="18"/>
      <c r="AP184" s="18"/>
      <c r="AR184" s="15" t="s">
        <v>249</v>
      </c>
      <c r="AS184" s="15" t="s">
        <v>369</v>
      </c>
      <c r="AT184" s="15"/>
      <c r="AU184" s="15"/>
      <c r="AV184" s="15" t="s">
        <v>544</v>
      </c>
      <c r="AW184" s="15"/>
      <c r="AX184" s="15"/>
      <c r="AY184" s="15"/>
      <c r="AZ184" s="18"/>
      <c r="BA184" s="18"/>
      <c r="BB184" s="19">
        <v>26.423696044773401</v>
      </c>
      <c r="BC184" s="19">
        <v>26.635280255866501</v>
      </c>
      <c r="BD184" s="19">
        <v>27.3608560095015</v>
      </c>
      <c r="BE184" s="19">
        <v>28.0713121736988</v>
      </c>
      <c r="BF184" s="19">
        <v>29.039743585367599</v>
      </c>
      <c r="BG184" s="19">
        <v>29.9847967398679</v>
      </c>
      <c r="BH184" s="19">
        <v>31.1301037316181</v>
      </c>
      <c r="BI184" s="19">
        <v>33.110885747786803</v>
      </c>
      <c r="BJ184" s="19">
        <v>35.080678600257698</v>
      </c>
      <c r="BK184" s="18"/>
      <c r="BL184" s="18"/>
      <c r="BM184" s="19">
        <v>26.712360911112398</v>
      </c>
      <c r="BN184" s="19">
        <v>28.368368862904902</v>
      </c>
      <c r="BO184" s="19">
        <v>30.964349097953701</v>
      </c>
      <c r="BP184" s="19">
        <v>34.546486970487997</v>
      </c>
      <c r="BQ184" s="19">
        <v>37.827381548019403</v>
      </c>
      <c r="BR184" s="19">
        <v>40.077068550355001</v>
      </c>
      <c r="BS184" s="19">
        <v>42.650909483796703</v>
      </c>
      <c r="BT184" s="19">
        <v>45.4063851072573</v>
      </c>
      <c r="BU184" s="19">
        <v>47.817445090650601</v>
      </c>
    </row>
    <row r="185" spans="3:73" x14ac:dyDescent="0.45">
      <c r="C185" s="15" t="s">
        <v>249</v>
      </c>
      <c r="D185" s="15" t="s">
        <v>322</v>
      </c>
      <c r="E185" s="15" t="s">
        <v>296</v>
      </c>
      <c r="F185" s="15"/>
      <c r="G185" s="15"/>
      <c r="H185" s="15"/>
      <c r="I185" s="15" t="s">
        <v>323</v>
      </c>
      <c r="J185" s="18"/>
      <c r="K185" s="18"/>
      <c r="L185" s="19">
        <v>748.66</v>
      </c>
      <c r="M185" s="18">
        <v>644.29999999999995</v>
      </c>
      <c r="N185" s="18">
        <v>537.66999999999996</v>
      </c>
      <c r="O185" s="18">
        <v>431.38</v>
      </c>
      <c r="P185" s="18">
        <v>408.55</v>
      </c>
      <c r="Q185" s="18"/>
      <c r="R185" s="19">
        <v>748.66000750000001</v>
      </c>
      <c r="S185" s="18">
        <v>644.29869440000004</v>
      </c>
      <c r="T185" s="18">
        <v>431.38474459999998</v>
      </c>
      <c r="U185" s="18">
        <v>431.38474459999998</v>
      </c>
      <c r="V185" s="18">
        <v>408.55235640000001</v>
      </c>
      <c r="X185" s="15" t="s">
        <v>249</v>
      </c>
      <c r="Y185" s="15" t="s">
        <v>326</v>
      </c>
      <c r="Z185" s="15" t="s">
        <v>348</v>
      </c>
      <c r="AA185" s="15"/>
      <c r="AB185" s="15"/>
      <c r="AC185" s="15"/>
      <c r="AD185" s="15"/>
      <c r="AE185" s="18"/>
      <c r="AF185" s="18"/>
      <c r="AG185" s="19">
        <v>21.981385162999999</v>
      </c>
      <c r="AH185" s="18"/>
      <c r="AI185" s="18"/>
      <c r="AJ185" s="18"/>
      <c r="AK185" s="18"/>
      <c r="AL185" s="18"/>
      <c r="AM185" s="19">
        <v>21.981385162999999</v>
      </c>
      <c r="AN185" s="18"/>
      <c r="AO185" s="18"/>
      <c r="AP185" s="18"/>
      <c r="AR185" s="15" t="s">
        <v>249</v>
      </c>
      <c r="AS185" s="15" t="s">
        <v>369</v>
      </c>
      <c r="AT185" s="15"/>
      <c r="AU185" s="15"/>
      <c r="AV185" s="15" t="s">
        <v>545</v>
      </c>
      <c r="AW185" s="15"/>
      <c r="AX185" s="15"/>
      <c r="AY185" s="15"/>
      <c r="AZ185" s="18"/>
      <c r="BA185" s="18"/>
      <c r="BB185" s="19">
        <v>0.30996089317026698</v>
      </c>
      <c r="BC185" s="19">
        <v>0.31288665164045898</v>
      </c>
      <c r="BD185" s="19">
        <v>0.31376298166466099</v>
      </c>
      <c r="BE185" s="19">
        <v>0.31077167797979599</v>
      </c>
      <c r="BF185" s="19">
        <v>0.30762019209712399</v>
      </c>
      <c r="BG185" s="19">
        <v>0.30854873033414498</v>
      </c>
      <c r="BH185" s="19">
        <v>0.31632921156075999</v>
      </c>
      <c r="BI185" s="19">
        <v>0.33185957773937902</v>
      </c>
      <c r="BJ185" s="19">
        <v>0.34699522069741801</v>
      </c>
      <c r="BK185" s="18"/>
      <c r="BL185" s="18"/>
      <c r="BM185" s="19">
        <v>0.30333381069597198</v>
      </c>
      <c r="BN185" s="19">
        <v>0.31799861570744797</v>
      </c>
      <c r="BO185" s="19">
        <v>0.33789090399951899</v>
      </c>
      <c r="BP185" s="19">
        <v>0.35812970747588602</v>
      </c>
      <c r="BQ185" s="19">
        <v>0.36725073513995898</v>
      </c>
      <c r="BR185" s="19">
        <v>0.36054285476463599</v>
      </c>
      <c r="BS185" s="19">
        <v>0.363636476464615</v>
      </c>
      <c r="BT185" s="19">
        <v>0.37594786169877398</v>
      </c>
      <c r="BU185" s="19">
        <v>0.38414578534577698</v>
      </c>
    </row>
    <row r="186" spans="3:73" x14ac:dyDescent="0.45">
      <c r="C186" s="15" t="s">
        <v>249</v>
      </c>
      <c r="D186" s="15" t="s">
        <v>322</v>
      </c>
      <c r="E186" s="15" t="s">
        <v>297</v>
      </c>
      <c r="F186" s="15"/>
      <c r="G186" s="15"/>
      <c r="H186" s="15"/>
      <c r="I186" s="15" t="s">
        <v>323</v>
      </c>
      <c r="J186" s="18"/>
      <c r="K186" s="18"/>
      <c r="L186" s="19">
        <v>2400</v>
      </c>
      <c r="M186" s="18"/>
      <c r="N186" s="18"/>
      <c r="O186" s="18"/>
      <c r="P186" s="18"/>
      <c r="Q186" s="18"/>
      <c r="R186" s="19">
        <v>2400</v>
      </c>
      <c r="S186" s="18"/>
      <c r="T186" s="18"/>
      <c r="U186" s="18"/>
      <c r="V186" s="18"/>
      <c r="X186" s="15" t="s">
        <v>249</v>
      </c>
      <c r="Y186" s="15" t="s">
        <v>326</v>
      </c>
      <c r="Z186" s="15" t="s">
        <v>349</v>
      </c>
      <c r="AA186" s="15"/>
      <c r="AB186" s="15"/>
      <c r="AC186" s="15"/>
      <c r="AD186" s="15"/>
      <c r="AE186" s="18"/>
      <c r="AF186" s="18"/>
      <c r="AG186" s="19">
        <v>21.981385162999999</v>
      </c>
      <c r="AH186" s="18"/>
      <c r="AI186" s="18"/>
      <c r="AJ186" s="18"/>
      <c r="AK186" s="18"/>
      <c r="AL186" s="18"/>
      <c r="AM186" s="19">
        <v>21.981385162999999</v>
      </c>
      <c r="AN186" s="18"/>
      <c r="AO186" s="18"/>
      <c r="AP186" s="18"/>
      <c r="AR186" s="15" t="s">
        <v>249</v>
      </c>
      <c r="AS186" s="15" t="s">
        <v>369</v>
      </c>
      <c r="AT186" s="15"/>
      <c r="AU186" s="15"/>
      <c r="AV186" s="15" t="s">
        <v>546</v>
      </c>
      <c r="AW186" s="15"/>
      <c r="AX186" s="15"/>
      <c r="AY186" s="15"/>
      <c r="AZ186" s="18"/>
      <c r="BA186" s="18"/>
      <c r="BB186" s="19">
        <v>0.42625190399061202</v>
      </c>
      <c r="BC186" s="19">
        <v>0.81519875551201904</v>
      </c>
      <c r="BD186" s="19">
        <v>1.2115048138500799</v>
      </c>
      <c r="BE186" s="19">
        <v>1.3907825278194501</v>
      </c>
      <c r="BF186" s="19">
        <v>1.5136335258801199</v>
      </c>
      <c r="BG186" s="19">
        <v>1.6152298484856</v>
      </c>
      <c r="BH186" s="19">
        <v>1.73903496118915</v>
      </c>
      <c r="BI186" s="19">
        <v>1.9210690617521</v>
      </c>
      <c r="BJ186" s="19">
        <v>2.1068841093538899</v>
      </c>
      <c r="BK186" s="18"/>
      <c r="BL186" s="18"/>
      <c r="BM186" s="19">
        <v>0.256338051282051</v>
      </c>
      <c r="BN186" s="19">
        <v>0.43392555634846802</v>
      </c>
      <c r="BO186" s="19">
        <v>0.63067795666431903</v>
      </c>
      <c r="BP186" s="19">
        <v>0.91168966910318505</v>
      </c>
      <c r="BQ186" s="19">
        <v>1.1035718750591501</v>
      </c>
      <c r="BR186" s="19">
        <v>1.2114293126037099</v>
      </c>
      <c r="BS186" s="19">
        <v>1.3214917602108101</v>
      </c>
      <c r="BT186" s="19">
        <v>1.4506060294940399</v>
      </c>
      <c r="BU186" s="19">
        <v>1.59283275188066</v>
      </c>
    </row>
    <row r="187" spans="3:73" x14ac:dyDescent="0.45">
      <c r="C187" s="15" t="s">
        <v>249</v>
      </c>
      <c r="D187" s="15" t="s">
        <v>322</v>
      </c>
      <c r="E187" s="15" t="s">
        <v>298</v>
      </c>
      <c r="F187" s="15"/>
      <c r="G187" s="15"/>
      <c r="H187" s="15"/>
      <c r="I187" s="15" t="s">
        <v>323</v>
      </c>
      <c r="J187" s="18"/>
      <c r="K187" s="18"/>
      <c r="L187" s="19">
        <v>1076.086957</v>
      </c>
      <c r="M187" s="18"/>
      <c r="N187" s="18"/>
      <c r="O187" s="18"/>
      <c r="P187" s="18"/>
      <c r="Q187" s="18"/>
      <c r="R187" s="19">
        <v>1076.086957</v>
      </c>
      <c r="S187" s="18"/>
      <c r="T187" s="18"/>
      <c r="U187" s="18"/>
      <c r="V187" s="18"/>
      <c r="X187" s="15" t="s">
        <v>249</v>
      </c>
      <c r="Y187" s="15" t="s">
        <v>326</v>
      </c>
      <c r="Z187" s="15" t="s">
        <v>350</v>
      </c>
      <c r="AA187" s="15"/>
      <c r="AB187" s="15"/>
      <c r="AC187" s="15"/>
      <c r="AD187" s="15"/>
      <c r="AE187" s="18"/>
      <c r="AF187" s="18"/>
      <c r="AG187" s="19">
        <v>30</v>
      </c>
      <c r="AH187" s="18"/>
      <c r="AI187" s="18"/>
      <c r="AJ187" s="18"/>
      <c r="AK187" s="18"/>
      <c r="AL187" s="18"/>
      <c r="AM187" s="19">
        <v>30</v>
      </c>
      <c r="AN187" s="18"/>
      <c r="AO187" s="18"/>
      <c r="AP187" s="18"/>
      <c r="AR187" s="15" t="s">
        <v>249</v>
      </c>
      <c r="AS187" s="15" t="s">
        <v>369</v>
      </c>
      <c r="AT187" s="15"/>
      <c r="AU187" s="15"/>
      <c r="AV187" s="15" t="s">
        <v>547</v>
      </c>
      <c r="AW187" s="15"/>
      <c r="AX187" s="15"/>
      <c r="AY187" s="15"/>
      <c r="AZ187" s="18"/>
      <c r="BA187" s="18"/>
      <c r="BB187" s="19">
        <v>3.9925999999999999</v>
      </c>
      <c r="BC187" s="19">
        <v>3.9925999999999999</v>
      </c>
      <c r="BD187" s="19">
        <v>0</v>
      </c>
      <c r="BE187" s="19">
        <v>0</v>
      </c>
      <c r="BF187" s="19">
        <v>0</v>
      </c>
      <c r="BG187" s="19">
        <v>0</v>
      </c>
      <c r="BH187" s="19">
        <v>0</v>
      </c>
      <c r="BI187" s="19">
        <v>0</v>
      </c>
      <c r="BJ187" s="19">
        <v>0</v>
      </c>
      <c r="BK187" s="18"/>
      <c r="BL187" s="18"/>
      <c r="BM187" s="19">
        <v>4.4912000000000001</v>
      </c>
      <c r="BN187" s="19">
        <v>5.0519999999999996</v>
      </c>
      <c r="BO187" s="19">
        <v>5.6828000000000003</v>
      </c>
      <c r="BP187" s="19">
        <v>6.1196999999999999</v>
      </c>
      <c r="BQ187" s="19">
        <v>6.5903</v>
      </c>
      <c r="BR187" s="19">
        <v>4.7328999999999999</v>
      </c>
      <c r="BS187" s="19">
        <v>3.399</v>
      </c>
      <c r="BT187" s="19">
        <v>2.4411</v>
      </c>
      <c r="BU187" s="19">
        <v>1.7531000000000001</v>
      </c>
    </row>
    <row r="188" spans="3:73" x14ac:dyDescent="0.45">
      <c r="C188" s="15" t="s">
        <v>249</v>
      </c>
      <c r="D188" s="15" t="s">
        <v>322</v>
      </c>
      <c r="E188" s="15" t="s">
        <v>299</v>
      </c>
      <c r="F188" s="15"/>
      <c r="G188" s="15"/>
      <c r="H188" s="15"/>
      <c r="I188" s="15" t="s">
        <v>323</v>
      </c>
      <c r="J188" s="18"/>
      <c r="K188" s="18"/>
      <c r="L188" s="19">
        <v>370.5</v>
      </c>
      <c r="M188" s="18">
        <v>250</v>
      </c>
      <c r="N188" s="18">
        <v>250</v>
      </c>
      <c r="O188" s="18">
        <v>250</v>
      </c>
      <c r="P188" s="18">
        <v>250</v>
      </c>
      <c r="Q188" s="18"/>
      <c r="R188" s="19">
        <v>370.5</v>
      </c>
      <c r="S188" s="18">
        <v>250</v>
      </c>
      <c r="T188" s="18">
        <v>250</v>
      </c>
      <c r="U188" s="18">
        <v>250</v>
      </c>
      <c r="V188" s="18">
        <v>250</v>
      </c>
      <c r="X188" s="15" t="s">
        <v>249</v>
      </c>
      <c r="Y188" s="15" t="s">
        <v>326</v>
      </c>
      <c r="Z188" s="15" t="s">
        <v>351</v>
      </c>
      <c r="AA188" s="15"/>
      <c r="AB188" s="15"/>
      <c r="AC188" s="15"/>
      <c r="AD188" s="15"/>
      <c r="AE188" s="18"/>
      <c r="AF188" s="18"/>
      <c r="AG188" s="19">
        <v>30</v>
      </c>
      <c r="AH188" s="18"/>
      <c r="AI188" s="18"/>
      <c r="AJ188" s="18"/>
      <c r="AK188" s="18"/>
      <c r="AL188" s="18"/>
      <c r="AM188" s="19">
        <v>30</v>
      </c>
      <c r="AN188" s="18"/>
      <c r="AO188" s="18"/>
      <c r="AP188" s="18"/>
      <c r="AR188" s="15" t="s">
        <v>249</v>
      </c>
      <c r="AS188" s="15" t="s">
        <v>369</v>
      </c>
      <c r="AT188" s="15"/>
      <c r="AU188" s="15"/>
      <c r="AV188" s="15" t="s">
        <v>548</v>
      </c>
      <c r="AW188" s="15"/>
      <c r="AX188" s="15"/>
      <c r="AY188" s="15"/>
      <c r="AZ188" s="18"/>
      <c r="BA188" s="18"/>
      <c r="BB188" s="19">
        <v>3.5</v>
      </c>
      <c r="BC188" s="19">
        <v>3.5</v>
      </c>
      <c r="BD188" s="19">
        <v>0</v>
      </c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8"/>
      <c r="BL188" s="18"/>
      <c r="BM188" s="19">
        <v>3.5</v>
      </c>
      <c r="BN188" s="19">
        <v>3.5</v>
      </c>
      <c r="BO188" s="19">
        <v>3.5</v>
      </c>
      <c r="BP188" s="19">
        <v>3.5</v>
      </c>
      <c r="BQ188" s="19">
        <v>3.5</v>
      </c>
      <c r="BR188" s="19">
        <v>0</v>
      </c>
      <c r="BS188" s="19">
        <v>0</v>
      </c>
      <c r="BT188" s="19">
        <v>0</v>
      </c>
      <c r="BU188" s="19">
        <v>0</v>
      </c>
    </row>
    <row r="189" spans="3:73" x14ac:dyDescent="0.45">
      <c r="C189" s="15" t="s">
        <v>249</v>
      </c>
      <c r="D189" s="15" t="s">
        <v>322</v>
      </c>
      <c r="E189" s="15" t="s">
        <v>300</v>
      </c>
      <c r="F189" s="15"/>
      <c r="G189" s="15"/>
      <c r="H189" s="15"/>
      <c r="I189" s="15" t="s">
        <v>323</v>
      </c>
      <c r="J189" s="18"/>
      <c r="K189" s="18"/>
      <c r="L189" s="19">
        <v>174.82499999999999</v>
      </c>
      <c r="M189" s="18"/>
      <c r="N189" s="18"/>
      <c r="O189" s="18"/>
      <c r="P189" s="18"/>
      <c r="Q189" s="18"/>
      <c r="R189" s="19">
        <v>174.82499999999999</v>
      </c>
      <c r="S189" s="18"/>
      <c r="T189" s="18"/>
      <c r="U189" s="18"/>
      <c r="V189" s="18"/>
      <c r="X189" s="15" t="s">
        <v>249</v>
      </c>
      <c r="Y189" s="15" t="s">
        <v>326</v>
      </c>
      <c r="Z189" s="15" t="s">
        <v>352</v>
      </c>
      <c r="AA189" s="15"/>
      <c r="AB189" s="15"/>
      <c r="AC189" s="15"/>
      <c r="AD189" s="15"/>
      <c r="AE189" s="18"/>
      <c r="AF189" s="18"/>
      <c r="AG189" s="19">
        <v>26.248000000000001</v>
      </c>
      <c r="AH189" s="18"/>
      <c r="AI189" s="18"/>
      <c r="AJ189" s="18"/>
      <c r="AK189" s="18"/>
      <c r="AL189" s="18"/>
      <c r="AM189" s="19">
        <v>26.248000000000001</v>
      </c>
      <c r="AN189" s="18"/>
      <c r="AO189" s="18"/>
      <c r="AP189" s="18"/>
      <c r="AR189" s="15" t="s">
        <v>249</v>
      </c>
      <c r="AS189" s="15" t="s">
        <v>369</v>
      </c>
      <c r="AT189" s="15"/>
      <c r="AU189" s="15"/>
      <c r="AV189" s="15" t="s">
        <v>549</v>
      </c>
      <c r="AW189" s="15"/>
      <c r="AX189" s="15"/>
      <c r="AY189" s="15"/>
      <c r="AZ189" s="18"/>
      <c r="BA189" s="18"/>
      <c r="BB189" s="19">
        <v>0.202792467153285</v>
      </c>
      <c r="BC189" s="19">
        <v>0.21978667315490699</v>
      </c>
      <c r="BD189" s="19">
        <v>0.23822235198702399</v>
      </c>
      <c r="BE189" s="19">
        <v>0.25658216382806198</v>
      </c>
      <c r="BF189" s="19">
        <v>0.27630758150851598</v>
      </c>
      <c r="BG189" s="19">
        <v>0.30187475750202802</v>
      </c>
      <c r="BH189" s="19">
        <v>0.329869677210057</v>
      </c>
      <c r="BI189" s="19">
        <v>0.360519941605839</v>
      </c>
      <c r="BJ189" s="19">
        <v>0.393901417680454</v>
      </c>
      <c r="BK189" s="18"/>
      <c r="BL189" s="18"/>
      <c r="BM189" s="19">
        <v>0.27739999999999998</v>
      </c>
      <c r="BN189" s="19">
        <v>0.312</v>
      </c>
      <c r="BO189" s="19">
        <v>0.35099999999999998</v>
      </c>
      <c r="BP189" s="19">
        <v>0.378</v>
      </c>
      <c r="BQ189" s="19">
        <v>0.40710000000000002</v>
      </c>
      <c r="BR189" s="19">
        <v>0.44119999999999998</v>
      </c>
      <c r="BS189" s="19">
        <v>0.47820000000000001</v>
      </c>
      <c r="BT189" s="19">
        <v>0.51829999999999998</v>
      </c>
      <c r="BU189" s="19">
        <v>0.56179999999999997</v>
      </c>
    </row>
    <row r="190" spans="3:73" x14ac:dyDescent="0.45">
      <c r="C190" s="15" t="s">
        <v>249</v>
      </c>
      <c r="D190" s="15" t="s">
        <v>322</v>
      </c>
      <c r="E190" s="15" t="s">
        <v>301</v>
      </c>
      <c r="F190" s="15"/>
      <c r="G190" s="15"/>
      <c r="H190" s="15"/>
      <c r="I190" s="15" t="s">
        <v>323</v>
      </c>
      <c r="J190" s="18"/>
      <c r="K190" s="18"/>
      <c r="L190" s="19">
        <v>114.9425287</v>
      </c>
      <c r="M190" s="18"/>
      <c r="N190" s="18"/>
      <c r="O190" s="18"/>
      <c r="P190" s="18"/>
      <c r="Q190" s="18"/>
      <c r="R190" s="19">
        <v>114.9425287</v>
      </c>
      <c r="S190" s="18"/>
      <c r="T190" s="18"/>
      <c r="U190" s="18"/>
      <c r="V190" s="18"/>
      <c r="X190" s="15" t="s">
        <v>249</v>
      </c>
      <c r="Y190" s="15" t="s">
        <v>326</v>
      </c>
      <c r="Z190" s="15" t="s">
        <v>353</v>
      </c>
      <c r="AA190" s="15"/>
      <c r="AB190" s="15"/>
      <c r="AC190" s="15"/>
      <c r="AD190" s="15"/>
      <c r="AE190" s="18"/>
      <c r="AF190" s="18"/>
      <c r="AG190" s="19">
        <v>18.893708932999999</v>
      </c>
      <c r="AH190" s="18"/>
      <c r="AI190" s="18"/>
      <c r="AJ190" s="18"/>
      <c r="AK190" s="18"/>
      <c r="AL190" s="18"/>
      <c r="AM190" s="19">
        <v>18.893708932999999</v>
      </c>
      <c r="AN190" s="18"/>
      <c r="AO190" s="18"/>
      <c r="AP190" s="18"/>
      <c r="AR190" s="15" t="s">
        <v>249</v>
      </c>
      <c r="AS190" s="15" t="s">
        <v>369</v>
      </c>
      <c r="AT190" s="15"/>
      <c r="AU190" s="15"/>
      <c r="AV190" s="15" t="s">
        <v>550</v>
      </c>
      <c r="AW190" s="15"/>
      <c r="AX190" s="15"/>
      <c r="AY190" s="15"/>
      <c r="AZ190" s="18"/>
      <c r="BA190" s="18"/>
      <c r="BB190" s="19">
        <v>78.132662392077194</v>
      </c>
      <c r="BC190" s="19">
        <v>84.686038634644305</v>
      </c>
      <c r="BD190" s="19">
        <v>91.789145882694697</v>
      </c>
      <c r="BE190" s="19">
        <v>98.846884770093794</v>
      </c>
      <c r="BF190" s="19">
        <v>106.447223181536</v>
      </c>
      <c r="BG190" s="19">
        <v>116.317800429313</v>
      </c>
      <c r="BH190" s="19">
        <v>127.103559172969</v>
      </c>
      <c r="BI190" s="19">
        <v>138.88954612201999</v>
      </c>
      <c r="BJ190" s="19">
        <v>151.768318801541</v>
      </c>
      <c r="BK190" s="18"/>
      <c r="BL190" s="18"/>
      <c r="BM190" s="19">
        <v>106.88120000000001</v>
      </c>
      <c r="BN190" s="19">
        <v>120.2269</v>
      </c>
      <c r="BO190" s="19">
        <v>135.2389</v>
      </c>
      <c r="BP190" s="19">
        <v>145.63749999999999</v>
      </c>
      <c r="BQ190" s="19">
        <v>156.8356</v>
      </c>
      <c r="BR190" s="19">
        <v>169.99019999999999</v>
      </c>
      <c r="BS190" s="19">
        <v>184.2482</v>
      </c>
      <c r="BT190" s="19">
        <v>199.7021</v>
      </c>
      <c r="BU190" s="19">
        <v>216.4522</v>
      </c>
    </row>
    <row r="191" spans="3:73" x14ac:dyDescent="0.45">
      <c r="C191" s="15" t="s">
        <v>249</v>
      </c>
      <c r="D191" s="15" t="s">
        <v>322</v>
      </c>
      <c r="E191" s="15" t="s">
        <v>302</v>
      </c>
      <c r="F191" s="15"/>
      <c r="G191" s="15"/>
      <c r="H191" s="15"/>
      <c r="I191" s="15" t="s">
        <v>323</v>
      </c>
      <c r="J191" s="18"/>
      <c r="K191" s="18"/>
      <c r="L191" s="19">
        <v>705.8823529</v>
      </c>
      <c r="M191" s="18"/>
      <c r="N191" s="18"/>
      <c r="O191" s="18"/>
      <c r="P191" s="18"/>
      <c r="Q191" s="18"/>
      <c r="R191" s="19">
        <v>705.8823529</v>
      </c>
      <c r="S191" s="18"/>
      <c r="T191" s="18"/>
      <c r="U191" s="18"/>
      <c r="V191" s="18"/>
      <c r="X191" s="15" t="s">
        <v>249</v>
      </c>
      <c r="Y191" s="15" t="s">
        <v>326</v>
      </c>
      <c r="Z191" s="15" t="s">
        <v>354</v>
      </c>
      <c r="AA191" s="15"/>
      <c r="AB191" s="15"/>
      <c r="AC191" s="15"/>
      <c r="AD191" s="15"/>
      <c r="AE191" s="18"/>
      <c r="AF191" s="18"/>
      <c r="AG191" s="19">
        <v>18.893708932999999</v>
      </c>
      <c r="AH191" s="18"/>
      <c r="AI191" s="18"/>
      <c r="AJ191" s="18"/>
      <c r="AK191" s="18"/>
      <c r="AL191" s="18"/>
      <c r="AM191" s="19">
        <v>18.893708932999999</v>
      </c>
      <c r="AN191" s="18"/>
      <c r="AO191" s="18"/>
      <c r="AP191" s="18"/>
      <c r="AR191" s="15" t="s">
        <v>249</v>
      </c>
      <c r="AS191" s="15" t="s">
        <v>369</v>
      </c>
      <c r="AT191" s="15"/>
      <c r="AU191" s="15"/>
      <c r="AV191" s="15" t="s">
        <v>551</v>
      </c>
      <c r="AW191" s="15"/>
      <c r="AX191" s="15"/>
      <c r="AY191" s="15"/>
      <c r="AZ191" s="18"/>
      <c r="BA191" s="18"/>
      <c r="BB191" s="19">
        <v>0.81253358971764</v>
      </c>
      <c r="BC191" s="19">
        <v>0.88066198967715803</v>
      </c>
      <c r="BD191" s="19">
        <v>0.95455626758425305</v>
      </c>
      <c r="BE191" s="19">
        <v>1.02791947778565</v>
      </c>
      <c r="BF191" s="19">
        <v>1.1069726991195199</v>
      </c>
      <c r="BG191" s="19">
        <v>1.2096204999494</v>
      </c>
      <c r="BH191" s="19">
        <v>1.3217516526667299</v>
      </c>
      <c r="BI191" s="19">
        <v>1.44435242586783</v>
      </c>
      <c r="BJ191" s="19">
        <v>1.5782573545187699</v>
      </c>
      <c r="BK191" s="18"/>
      <c r="BL191" s="18"/>
      <c r="BM191" s="19">
        <v>1.1114999999999999</v>
      </c>
      <c r="BN191" s="19">
        <v>1.2502</v>
      </c>
      <c r="BO191" s="19">
        <v>1.4064000000000001</v>
      </c>
      <c r="BP191" s="19">
        <v>1.5145</v>
      </c>
      <c r="BQ191" s="19">
        <v>1.6309</v>
      </c>
      <c r="BR191" s="19">
        <v>1.7677</v>
      </c>
      <c r="BS191" s="19">
        <v>1.9159999999999999</v>
      </c>
      <c r="BT191" s="19">
        <v>2.0767000000000002</v>
      </c>
      <c r="BU191" s="19">
        <v>2.2509000000000001</v>
      </c>
    </row>
    <row r="192" spans="3:73" x14ac:dyDescent="0.45">
      <c r="C192" s="15" t="s">
        <v>249</v>
      </c>
      <c r="D192" s="15" t="s">
        <v>322</v>
      </c>
      <c r="E192" s="15" t="s">
        <v>303</v>
      </c>
      <c r="F192" s="15"/>
      <c r="G192" s="15"/>
      <c r="H192" s="15"/>
      <c r="I192" s="15" t="s">
        <v>323</v>
      </c>
      <c r="J192" s="18"/>
      <c r="K192" s="18"/>
      <c r="L192" s="19">
        <v>1071.4285709999999</v>
      </c>
      <c r="M192" s="18"/>
      <c r="N192" s="18"/>
      <c r="O192" s="18"/>
      <c r="P192" s="18"/>
      <c r="Q192" s="18"/>
      <c r="R192" s="19">
        <v>1071.4285709999999</v>
      </c>
      <c r="S192" s="18"/>
      <c r="T192" s="18"/>
      <c r="U192" s="18"/>
      <c r="V192" s="18"/>
      <c r="X192" s="15" t="s">
        <v>249</v>
      </c>
      <c r="Y192" s="15" t="s">
        <v>326</v>
      </c>
      <c r="Z192" s="15" t="s">
        <v>355</v>
      </c>
      <c r="AA192" s="15"/>
      <c r="AB192" s="15"/>
      <c r="AC192" s="15"/>
      <c r="AD192" s="15"/>
      <c r="AE192" s="18"/>
      <c r="AF192" s="18"/>
      <c r="AG192" s="19">
        <v>18.893708932999999</v>
      </c>
      <c r="AH192" s="18"/>
      <c r="AI192" s="18"/>
      <c r="AJ192" s="18"/>
      <c r="AK192" s="18"/>
      <c r="AL192" s="18"/>
      <c r="AM192" s="19">
        <v>18.893708932999999</v>
      </c>
      <c r="AN192" s="18"/>
      <c r="AO192" s="18"/>
      <c r="AP192" s="18"/>
      <c r="AR192" s="15" t="s">
        <v>249</v>
      </c>
      <c r="AS192" s="15" t="s">
        <v>369</v>
      </c>
      <c r="AT192" s="15"/>
      <c r="AU192" s="15"/>
      <c r="AV192" s="15" t="s">
        <v>552</v>
      </c>
      <c r="AW192" s="15"/>
      <c r="AX192" s="15"/>
      <c r="AY192" s="15"/>
      <c r="AZ192" s="18"/>
      <c r="BA192" s="18"/>
      <c r="BB192" s="19">
        <v>0.23780000000000001</v>
      </c>
      <c r="BC192" s="19">
        <v>0.25769999999999998</v>
      </c>
      <c r="BD192" s="19">
        <v>0.27929999999999999</v>
      </c>
      <c r="BE192" s="19">
        <v>0.30080000000000001</v>
      </c>
      <c r="BF192" s="19">
        <v>0.32390000000000002</v>
      </c>
      <c r="BG192" s="19">
        <v>0.35399999999999998</v>
      </c>
      <c r="BH192" s="19">
        <v>0.38679999999999998</v>
      </c>
      <c r="BI192" s="19">
        <v>0.42270000000000002</v>
      </c>
      <c r="BJ192" s="19">
        <v>0.46179999999999999</v>
      </c>
      <c r="BK192" s="18"/>
      <c r="BL192" s="18"/>
      <c r="BM192" s="19">
        <v>0.24679999999999999</v>
      </c>
      <c r="BN192" s="19">
        <v>0.27760000000000001</v>
      </c>
      <c r="BO192" s="19">
        <v>0.31219999999999998</v>
      </c>
      <c r="BP192" s="19">
        <v>0.3362</v>
      </c>
      <c r="BQ192" s="19">
        <v>0.36209999999999998</v>
      </c>
      <c r="BR192" s="19">
        <v>0.39250000000000002</v>
      </c>
      <c r="BS192" s="19">
        <v>0.4254</v>
      </c>
      <c r="BT192" s="19">
        <v>0.46110000000000001</v>
      </c>
      <c r="BU192" s="19">
        <v>0.49969999999999998</v>
      </c>
    </row>
    <row r="193" spans="3:73" x14ac:dyDescent="0.45">
      <c r="C193" s="15" t="s">
        <v>249</v>
      </c>
      <c r="D193" s="15" t="s">
        <v>322</v>
      </c>
      <c r="E193" s="15" t="s">
        <v>304</v>
      </c>
      <c r="F193" s="15"/>
      <c r="G193" s="15"/>
      <c r="H193" s="15"/>
      <c r="I193" s="15" t="s">
        <v>323</v>
      </c>
      <c r="J193" s="18"/>
      <c r="K193" s="18"/>
      <c r="L193" s="19">
        <v>6000</v>
      </c>
      <c r="M193" s="18"/>
      <c r="N193" s="18"/>
      <c r="O193" s="18"/>
      <c r="P193" s="18"/>
      <c r="Q193" s="18"/>
      <c r="R193" s="19">
        <v>6000</v>
      </c>
      <c r="S193" s="18"/>
      <c r="T193" s="18"/>
      <c r="U193" s="18"/>
      <c r="V193" s="18"/>
      <c r="X193" s="15" t="s">
        <v>249</v>
      </c>
      <c r="Y193" s="15" t="s">
        <v>326</v>
      </c>
      <c r="Z193" s="15" t="s">
        <v>356</v>
      </c>
      <c r="AA193" s="15"/>
      <c r="AB193" s="15"/>
      <c r="AC193" s="15"/>
      <c r="AD193" s="15"/>
      <c r="AE193" s="18"/>
      <c r="AF193" s="18"/>
      <c r="AG193" s="19">
        <v>18.893708932999999</v>
      </c>
      <c r="AH193" s="18"/>
      <c r="AI193" s="18"/>
      <c r="AJ193" s="18"/>
      <c r="AK193" s="18"/>
      <c r="AL193" s="18"/>
      <c r="AM193" s="19">
        <v>18.893708932999999</v>
      </c>
      <c r="AN193" s="18"/>
      <c r="AO193" s="18"/>
      <c r="AP193" s="18"/>
      <c r="AR193" s="15" t="s">
        <v>249</v>
      </c>
      <c r="AS193" s="15" t="s">
        <v>369</v>
      </c>
      <c r="AT193" s="15"/>
      <c r="AU193" s="15"/>
      <c r="AV193" s="15" t="s">
        <v>553</v>
      </c>
      <c r="AW193" s="15"/>
      <c r="AX193" s="15"/>
      <c r="AY193" s="15"/>
      <c r="AZ193" s="18"/>
      <c r="BA193" s="18"/>
      <c r="BB193" s="19">
        <v>11.809730036615701</v>
      </c>
      <c r="BC193" s="19">
        <v>12.800297135926799</v>
      </c>
      <c r="BD193" s="19">
        <v>13.8739160136632</v>
      </c>
      <c r="BE193" s="19">
        <v>14.9407044647627</v>
      </c>
      <c r="BF193" s="19">
        <v>16.0894580355044</v>
      </c>
      <c r="BG193" s="19">
        <v>17.581440544747402</v>
      </c>
      <c r="BH193" s="19">
        <v>19.2116615749019</v>
      </c>
      <c r="BI193" s="19">
        <v>20.993083412880999</v>
      </c>
      <c r="BJ193" s="19">
        <v>22.939755004381102</v>
      </c>
      <c r="BK193" s="18"/>
      <c r="BL193" s="18"/>
      <c r="BM193" s="19">
        <v>15.7905</v>
      </c>
      <c r="BN193" s="19">
        <v>17.7622</v>
      </c>
      <c r="BO193" s="19">
        <v>19.98</v>
      </c>
      <c r="BP193" s="19">
        <v>21.516300000000001</v>
      </c>
      <c r="BQ193" s="19">
        <v>23.1707</v>
      </c>
      <c r="BR193" s="19">
        <v>25.114100000000001</v>
      </c>
      <c r="BS193" s="19">
        <v>27.220600000000001</v>
      </c>
      <c r="BT193" s="19">
        <v>29.503699999999998</v>
      </c>
      <c r="BU193" s="19">
        <v>31.978400000000001</v>
      </c>
    </row>
    <row r="194" spans="3:73" x14ac:dyDescent="0.45">
      <c r="C194" s="15" t="s">
        <v>249</v>
      </c>
      <c r="D194" s="15" t="s">
        <v>322</v>
      </c>
      <c r="E194" s="15" t="s">
        <v>305</v>
      </c>
      <c r="F194" s="15"/>
      <c r="G194" s="15"/>
      <c r="H194" s="15"/>
      <c r="I194" s="15" t="s">
        <v>323</v>
      </c>
      <c r="J194" s="18"/>
      <c r="K194" s="18"/>
      <c r="L194" s="19">
        <v>6257.14</v>
      </c>
      <c r="M194" s="18"/>
      <c r="N194" s="18"/>
      <c r="O194" s="18"/>
      <c r="P194" s="18"/>
      <c r="Q194" s="18"/>
      <c r="R194" s="19">
        <v>6257.1428569999998</v>
      </c>
      <c r="S194" s="18"/>
      <c r="T194" s="18"/>
      <c r="U194" s="18"/>
      <c r="V194" s="18"/>
      <c r="X194" s="15" t="s">
        <v>249</v>
      </c>
      <c r="Y194" s="15" t="s">
        <v>326</v>
      </c>
      <c r="Z194" s="15" t="s">
        <v>357</v>
      </c>
      <c r="AA194" s="15"/>
      <c r="AB194" s="15"/>
      <c r="AC194" s="15"/>
      <c r="AD194" s="15"/>
      <c r="AE194" s="18"/>
      <c r="AF194" s="18"/>
      <c r="AG194" s="19">
        <v>19.957648846000001</v>
      </c>
      <c r="AH194" s="18"/>
      <c r="AI194" s="18"/>
      <c r="AJ194" s="18"/>
      <c r="AK194" s="18"/>
      <c r="AL194" s="18"/>
      <c r="AM194" s="19">
        <v>19.957648846000001</v>
      </c>
      <c r="AN194" s="18"/>
      <c r="AO194" s="18"/>
      <c r="AP194" s="18"/>
      <c r="AR194" s="15" t="s">
        <v>249</v>
      </c>
      <c r="AS194" s="15" t="s">
        <v>369</v>
      </c>
      <c r="AT194" s="15"/>
      <c r="AU194" s="15"/>
      <c r="AV194" s="15" t="s">
        <v>554</v>
      </c>
      <c r="AW194" s="15"/>
      <c r="AX194" s="15"/>
      <c r="AY194" s="15"/>
      <c r="AZ194" s="18"/>
      <c r="BA194" s="18"/>
      <c r="BB194" s="19">
        <v>0.25460954472069702</v>
      </c>
      <c r="BC194" s="19">
        <v>0.276004029706167</v>
      </c>
      <c r="BD194" s="19">
        <v>0.29914345495640898</v>
      </c>
      <c r="BE194" s="19">
        <v>0.32213114627058398</v>
      </c>
      <c r="BF194" s="19">
        <v>0.34693964481756501</v>
      </c>
      <c r="BG194" s="19">
        <v>0.37910723926380402</v>
      </c>
      <c r="BH194" s="19">
        <v>0.41423364546335201</v>
      </c>
      <c r="BI194" s="19">
        <v>0.452622331288344</v>
      </c>
      <c r="BJ194" s="19">
        <v>0.49457676461091399</v>
      </c>
      <c r="BK194" s="18"/>
      <c r="BL194" s="18"/>
      <c r="BM194" s="19">
        <v>0.3483</v>
      </c>
      <c r="BN194" s="19">
        <v>0.39179999999999998</v>
      </c>
      <c r="BO194" s="19">
        <v>0.44069999999999998</v>
      </c>
      <c r="BP194" s="19">
        <v>0.47460000000000002</v>
      </c>
      <c r="BQ194" s="19">
        <v>0.5111</v>
      </c>
      <c r="BR194" s="19">
        <v>0.55400000000000005</v>
      </c>
      <c r="BS194" s="19">
        <v>0.60050000000000003</v>
      </c>
      <c r="BT194" s="19">
        <v>0.65080000000000005</v>
      </c>
      <c r="BU194" s="19">
        <v>0.70540000000000003</v>
      </c>
    </row>
    <row r="195" spans="3:73" x14ac:dyDescent="0.45">
      <c r="C195" s="15" t="s">
        <v>249</v>
      </c>
      <c r="D195" s="15" t="s">
        <v>322</v>
      </c>
      <c r="E195" s="15" t="s">
        <v>306</v>
      </c>
      <c r="F195" s="15"/>
      <c r="G195" s="15"/>
      <c r="H195" s="15"/>
      <c r="I195" s="15" t="s">
        <v>323</v>
      </c>
      <c r="J195" s="18"/>
      <c r="K195" s="18"/>
      <c r="L195" s="19">
        <v>1076.0899999999999</v>
      </c>
      <c r="M195" s="18"/>
      <c r="N195" s="18"/>
      <c r="O195" s="18"/>
      <c r="P195" s="18"/>
      <c r="Q195" s="18"/>
      <c r="R195" s="19">
        <v>1076.086957</v>
      </c>
      <c r="S195" s="18"/>
      <c r="T195" s="18"/>
      <c r="U195" s="18"/>
      <c r="V195" s="18"/>
      <c r="X195" s="15" t="s">
        <v>249</v>
      </c>
      <c r="Y195" s="15" t="s">
        <v>326</v>
      </c>
      <c r="Z195" s="15" t="s">
        <v>358</v>
      </c>
      <c r="AA195" s="15"/>
      <c r="AB195" s="15"/>
      <c r="AC195" s="15"/>
      <c r="AD195" s="15"/>
      <c r="AE195" s="18"/>
      <c r="AF195" s="18"/>
      <c r="AG195" s="19">
        <v>18.893708932999999</v>
      </c>
      <c r="AH195" s="18"/>
      <c r="AI195" s="18"/>
      <c r="AJ195" s="18"/>
      <c r="AK195" s="18"/>
      <c r="AL195" s="18"/>
      <c r="AM195" s="19">
        <v>18.893708932999999</v>
      </c>
      <c r="AN195" s="18"/>
      <c r="AO195" s="18"/>
      <c r="AP195" s="18"/>
      <c r="AR195" s="15" t="s">
        <v>249</v>
      </c>
      <c r="AS195" s="15" t="s">
        <v>369</v>
      </c>
      <c r="AT195" s="15"/>
      <c r="AU195" s="15"/>
      <c r="AV195" s="15" t="s">
        <v>555</v>
      </c>
      <c r="AW195" s="15"/>
      <c r="AX195" s="15"/>
      <c r="AY195" s="15"/>
      <c r="AZ195" s="18"/>
      <c r="BA195" s="18"/>
      <c r="BB195" s="19">
        <v>0.40072852821670402</v>
      </c>
      <c r="BC195" s="19">
        <v>0.43433752821670402</v>
      </c>
      <c r="BD195" s="19">
        <v>0.47075360045146702</v>
      </c>
      <c r="BE195" s="19">
        <v>0.50694207223476295</v>
      </c>
      <c r="BF195" s="19">
        <v>0.545937616252822</v>
      </c>
      <c r="BG195" s="19">
        <v>0.59654078329571103</v>
      </c>
      <c r="BH195" s="19">
        <v>0.65184769300225698</v>
      </c>
      <c r="BI195" s="19">
        <v>0.712313546275395</v>
      </c>
      <c r="BJ195" s="19">
        <v>0.77831767720090295</v>
      </c>
      <c r="BK195" s="18"/>
      <c r="BL195" s="18"/>
      <c r="BM195" s="19">
        <v>0.54810000000000003</v>
      </c>
      <c r="BN195" s="19">
        <v>0.61660000000000004</v>
      </c>
      <c r="BO195" s="19">
        <v>0.69359999999999999</v>
      </c>
      <c r="BP195" s="19">
        <v>0.74690000000000001</v>
      </c>
      <c r="BQ195" s="19">
        <v>0.80430000000000001</v>
      </c>
      <c r="BR195" s="19">
        <v>0.87180000000000002</v>
      </c>
      <c r="BS195" s="19">
        <v>0.94489999999999996</v>
      </c>
      <c r="BT195" s="19">
        <v>1.0242</v>
      </c>
      <c r="BU195" s="19">
        <v>1.1101000000000001</v>
      </c>
    </row>
    <row r="196" spans="3:73" x14ac:dyDescent="0.45">
      <c r="C196" s="15" t="s">
        <v>249</v>
      </c>
      <c r="D196" s="15" t="s">
        <v>322</v>
      </c>
      <c r="E196" s="15" t="s">
        <v>307</v>
      </c>
      <c r="F196" s="15"/>
      <c r="G196" s="15"/>
      <c r="H196" s="15"/>
      <c r="I196" s="15" t="s">
        <v>323</v>
      </c>
      <c r="J196" s="18"/>
      <c r="K196" s="18"/>
      <c r="L196" s="19">
        <v>483.48</v>
      </c>
      <c r="M196" s="18">
        <v>356.25</v>
      </c>
      <c r="N196" s="18">
        <v>157.77000000000001</v>
      </c>
      <c r="O196" s="18">
        <v>157.77000000000001</v>
      </c>
      <c r="P196" s="18">
        <v>157.77000000000001</v>
      </c>
      <c r="Q196" s="18"/>
      <c r="R196" s="19">
        <v>483.4846187</v>
      </c>
      <c r="S196" s="18">
        <v>378.64479610000001</v>
      </c>
      <c r="T196" s="18">
        <v>287.03718409999999</v>
      </c>
      <c r="U196" s="18">
        <v>189.32239809999999</v>
      </c>
      <c r="V196" s="18">
        <v>189.32239809999999</v>
      </c>
      <c r="X196" s="15" t="s">
        <v>249</v>
      </c>
      <c r="Y196" s="15" t="s">
        <v>326</v>
      </c>
      <c r="Z196" s="15" t="s">
        <v>359</v>
      </c>
      <c r="AA196" s="15"/>
      <c r="AB196" s="15"/>
      <c r="AC196" s="15"/>
      <c r="AD196" s="15"/>
      <c r="AE196" s="18"/>
      <c r="AF196" s="18"/>
      <c r="AG196" s="19">
        <v>18.893708932999999</v>
      </c>
      <c r="AH196" s="18"/>
      <c r="AI196" s="18"/>
      <c r="AJ196" s="18"/>
      <c r="AK196" s="18"/>
      <c r="AL196" s="18"/>
      <c r="AM196" s="19">
        <v>18.893708932999999</v>
      </c>
      <c r="AN196" s="18"/>
      <c r="AO196" s="18"/>
      <c r="AP196" s="18"/>
      <c r="AR196" s="15" t="s">
        <v>249</v>
      </c>
      <c r="AS196" s="22" t="s">
        <v>1154</v>
      </c>
      <c r="AT196" s="15"/>
      <c r="AU196" s="15"/>
      <c r="AV196" s="15" t="s">
        <v>556</v>
      </c>
      <c r="AW196" s="15"/>
      <c r="AX196" s="15"/>
      <c r="AY196" s="15" t="s">
        <v>323</v>
      </c>
      <c r="AZ196" s="19">
        <v>0</v>
      </c>
      <c r="BA196" s="18"/>
      <c r="BB196" s="19">
        <v>0.04</v>
      </c>
      <c r="BC196" s="19">
        <v>0.06</v>
      </c>
      <c r="BD196" s="19">
        <v>0.105</v>
      </c>
      <c r="BE196" s="19">
        <v>0.12</v>
      </c>
      <c r="BF196" s="19">
        <v>0.14000000000000001</v>
      </c>
      <c r="BG196" s="19">
        <v>0.155</v>
      </c>
      <c r="BH196" s="19">
        <v>0.17</v>
      </c>
      <c r="BI196" s="19">
        <v>0.185</v>
      </c>
      <c r="BJ196" s="19">
        <v>0.20499999999999999</v>
      </c>
      <c r="BK196" s="19">
        <v>5</v>
      </c>
      <c r="BL196" s="18"/>
      <c r="BM196" s="19">
        <v>0.04</v>
      </c>
      <c r="BN196" s="19">
        <v>4.4999999999999998E-2</v>
      </c>
      <c r="BO196" s="19">
        <v>0.05</v>
      </c>
      <c r="BP196" s="19">
        <v>0.06</v>
      </c>
      <c r="BQ196" s="19">
        <v>7.0000000000000007E-2</v>
      </c>
      <c r="BR196" s="19">
        <v>0.08</v>
      </c>
      <c r="BS196" s="19">
        <v>9.5000000000000001E-2</v>
      </c>
      <c r="BT196" s="19">
        <v>0.115</v>
      </c>
      <c r="BU196" s="19">
        <v>0.13</v>
      </c>
    </row>
    <row r="197" spans="3:73" x14ac:dyDescent="0.45">
      <c r="C197" s="15" t="s">
        <v>249</v>
      </c>
      <c r="D197" s="15" t="s">
        <v>322</v>
      </c>
      <c r="E197" s="15" t="s">
        <v>308</v>
      </c>
      <c r="F197" s="15"/>
      <c r="G197" s="15"/>
      <c r="H197" s="15"/>
      <c r="I197" s="15" t="s">
        <v>323</v>
      </c>
      <c r="J197" s="18"/>
      <c r="K197" s="18"/>
      <c r="L197" s="19">
        <v>264.04000000000002</v>
      </c>
      <c r="M197" s="18">
        <v>264.04000000000002</v>
      </c>
      <c r="N197" s="18">
        <v>264.04000000000002</v>
      </c>
      <c r="O197" s="18">
        <v>264.04000000000002</v>
      </c>
      <c r="P197" s="18">
        <v>264.04000000000002</v>
      </c>
      <c r="Q197" s="18"/>
      <c r="R197" s="19">
        <v>264.0430374</v>
      </c>
      <c r="S197" s="18">
        <v>264.0430374</v>
      </c>
      <c r="T197" s="18">
        <v>264.0430374</v>
      </c>
      <c r="U197" s="18">
        <v>264.0430374</v>
      </c>
      <c r="V197" s="18">
        <v>264.0430374</v>
      </c>
      <c r="X197" s="15" t="s">
        <v>249</v>
      </c>
      <c r="Y197" s="15" t="s">
        <v>326</v>
      </c>
      <c r="Z197" s="15" t="s">
        <v>360</v>
      </c>
      <c r="AA197" s="15"/>
      <c r="AB197" s="15"/>
      <c r="AC197" s="15"/>
      <c r="AD197" s="15"/>
      <c r="AE197" s="18"/>
      <c r="AF197" s="18"/>
      <c r="AG197" s="19">
        <v>18.893708932999999</v>
      </c>
      <c r="AH197" s="18"/>
      <c r="AI197" s="18"/>
      <c r="AJ197" s="18"/>
      <c r="AK197" s="18"/>
      <c r="AL197" s="18"/>
      <c r="AM197" s="19">
        <v>18.893708932999999</v>
      </c>
      <c r="AN197" s="18"/>
      <c r="AO197" s="18"/>
      <c r="AP197" s="18"/>
      <c r="AR197" s="15" t="s">
        <v>249</v>
      </c>
      <c r="AS197" s="15" t="s">
        <v>363</v>
      </c>
      <c r="AT197" s="15" t="s">
        <v>557</v>
      </c>
      <c r="AU197" s="15" t="s">
        <v>558</v>
      </c>
      <c r="AV197" s="15" t="s">
        <v>559</v>
      </c>
      <c r="AW197" s="15" t="s">
        <v>320</v>
      </c>
      <c r="AX197" s="15"/>
      <c r="AY197" s="15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9">
        <v>0.15</v>
      </c>
      <c r="BK197" s="18"/>
      <c r="BL197" s="18"/>
      <c r="BM197" s="18"/>
      <c r="BN197" s="18"/>
      <c r="BO197" s="18"/>
      <c r="BP197" s="18"/>
      <c r="BQ197" s="18"/>
      <c r="BR197" s="18"/>
      <c r="BS197" s="18"/>
      <c r="BT197" s="18"/>
      <c r="BU197" s="18"/>
    </row>
    <row r="198" spans="3:73" x14ac:dyDescent="0.45">
      <c r="C198" s="15" t="s">
        <v>249</v>
      </c>
      <c r="D198" s="15" t="s">
        <v>322</v>
      </c>
      <c r="E198" s="15" t="s">
        <v>309</v>
      </c>
      <c r="F198" s="15"/>
      <c r="G198" s="15"/>
      <c r="H198" s="15"/>
      <c r="I198" s="15" t="s">
        <v>323</v>
      </c>
      <c r="J198" s="18"/>
      <c r="K198" s="18"/>
      <c r="L198" s="19">
        <v>1851.87</v>
      </c>
      <c r="M198" s="18">
        <v>1898.16</v>
      </c>
      <c r="N198" s="18">
        <v>1962.98</v>
      </c>
      <c r="O198" s="18">
        <v>2042.5</v>
      </c>
      <c r="P198" s="18">
        <v>2096.9699999999998</v>
      </c>
      <c r="Q198" s="18"/>
      <c r="R198" s="19">
        <v>1851.866667</v>
      </c>
      <c r="S198" s="18">
        <v>1898.163333</v>
      </c>
      <c r="T198" s="18">
        <v>1962.9786670000001</v>
      </c>
      <c r="U198" s="18">
        <v>2042.5</v>
      </c>
      <c r="V198" s="18">
        <v>2096.9666670000001</v>
      </c>
      <c r="X198" s="15" t="s">
        <v>249</v>
      </c>
      <c r="Y198" s="15" t="s">
        <v>326</v>
      </c>
      <c r="Z198" s="15" t="s">
        <v>361</v>
      </c>
      <c r="AA198" s="15"/>
      <c r="AB198" s="15"/>
      <c r="AC198" s="15"/>
      <c r="AD198" s="15"/>
      <c r="AE198" s="18"/>
      <c r="AF198" s="18"/>
      <c r="AG198" s="19">
        <v>12.147264359999999</v>
      </c>
      <c r="AH198" s="18"/>
      <c r="AI198" s="18"/>
      <c r="AJ198" s="18"/>
      <c r="AK198" s="18"/>
      <c r="AL198" s="18"/>
      <c r="AM198" s="19">
        <v>12.147264359999999</v>
      </c>
      <c r="AN198" s="18"/>
      <c r="AO198" s="18"/>
      <c r="AP198" s="18"/>
      <c r="AR198" s="15" t="s">
        <v>249</v>
      </c>
      <c r="AS198" s="15" t="s">
        <v>560</v>
      </c>
      <c r="AT198" s="15" t="s">
        <v>561</v>
      </c>
      <c r="AU198" s="15"/>
      <c r="AV198" s="15" t="s">
        <v>562</v>
      </c>
      <c r="AW198" s="15"/>
      <c r="AX198" s="15" t="s">
        <v>1107</v>
      </c>
      <c r="AY198" s="15" t="s">
        <v>323</v>
      </c>
      <c r="AZ198" s="19">
        <v>5</v>
      </c>
      <c r="BA198" s="18"/>
      <c r="BB198" s="19">
        <v>3.71</v>
      </c>
      <c r="BC198" s="19">
        <v>4.0999999999999996</v>
      </c>
      <c r="BD198" s="19">
        <v>4.3499999999999996</v>
      </c>
      <c r="BE198" s="19">
        <v>4.4800000000000004</v>
      </c>
      <c r="BF198" s="19">
        <v>4.6100000000000003</v>
      </c>
      <c r="BG198" s="19">
        <v>0</v>
      </c>
      <c r="BH198" s="19">
        <v>0</v>
      </c>
      <c r="BI198" s="19">
        <v>0</v>
      </c>
      <c r="BJ198" s="19">
        <v>0</v>
      </c>
      <c r="BK198" s="19">
        <v>5</v>
      </c>
      <c r="BL198" s="18"/>
      <c r="BM198" s="19">
        <v>3.71</v>
      </c>
      <c r="BN198" s="19">
        <v>4.0999999999999996</v>
      </c>
      <c r="BO198" s="19">
        <v>4.3499999999999996</v>
      </c>
      <c r="BP198" s="19">
        <v>4.4800000000000004</v>
      </c>
      <c r="BQ198" s="19">
        <v>4.6100000000000003</v>
      </c>
      <c r="BR198" s="19">
        <v>0</v>
      </c>
      <c r="BS198" s="19">
        <v>0</v>
      </c>
      <c r="BT198" s="19">
        <v>0</v>
      </c>
      <c r="BU198" s="19">
        <v>0</v>
      </c>
    </row>
    <row r="199" spans="3:73" x14ac:dyDescent="0.45">
      <c r="C199" s="15" t="s">
        <v>249</v>
      </c>
      <c r="D199" s="15" t="s">
        <v>322</v>
      </c>
      <c r="E199" s="15" t="s">
        <v>310</v>
      </c>
      <c r="F199" s="15"/>
      <c r="G199" s="15"/>
      <c r="H199" s="15"/>
      <c r="I199" s="15" t="s">
        <v>323</v>
      </c>
      <c r="J199" s="18"/>
      <c r="K199" s="18"/>
      <c r="L199" s="19">
        <v>6565.01</v>
      </c>
      <c r="M199" s="18">
        <v>3423.68</v>
      </c>
      <c r="N199" s="18">
        <v>2040.4</v>
      </c>
      <c r="O199" s="18">
        <v>2040.4</v>
      </c>
      <c r="P199" s="18">
        <v>2040.4</v>
      </c>
      <c r="Q199" s="18"/>
      <c r="R199" s="19">
        <v>6565.0101119999999</v>
      </c>
      <c r="S199" s="18">
        <v>3455.2448639999998</v>
      </c>
      <c r="T199" s="18">
        <v>2084.8753830000001</v>
      </c>
      <c r="U199" s="18">
        <v>2084.8753830000001</v>
      </c>
      <c r="V199" s="18">
        <v>2084.8753830000001</v>
      </c>
      <c r="X199" s="15" t="s">
        <v>249</v>
      </c>
      <c r="Y199" s="15" t="s">
        <v>326</v>
      </c>
      <c r="Z199" s="15" t="s">
        <v>362</v>
      </c>
      <c r="AA199" s="15"/>
      <c r="AB199" s="15"/>
      <c r="AC199" s="15"/>
      <c r="AD199" s="15"/>
      <c r="AE199" s="18"/>
      <c r="AF199" s="18"/>
      <c r="AG199" s="19">
        <v>12.147264359999999</v>
      </c>
      <c r="AH199" s="18"/>
      <c r="AI199" s="18"/>
      <c r="AJ199" s="18"/>
      <c r="AK199" s="18"/>
      <c r="AL199" s="18"/>
      <c r="AM199" s="19">
        <v>12.147264359999999</v>
      </c>
      <c r="AN199" s="18"/>
      <c r="AO199" s="18"/>
      <c r="AP199" s="18"/>
      <c r="AR199" s="15" t="s">
        <v>249</v>
      </c>
      <c r="AS199" s="15" t="s">
        <v>321</v>
      </c>
      <c r="AT199" s="15" t="s">
        <v>349</v>
      </c>
      <c r="AU199" s="15"/>
      <c r="AV199" s="15"/>
      <c r="AW199" s="15" t="s">
        <v>563</v>
      </c>
      <c r="AX199" s="15"/>
      <c r="AY199" s="15"/>
      <c r="AZ199" s="19">
        <v>5</v>
      </c>
      <c r="BA199" s="18"/>
      <c r="BB199" s="19">
        <v>1.3</v>
      </c>
      <c r="BC199" s="18"/>
      <c r="BD199" s="18"/>
      <c r="BE199" s="18"/>
      <c r="BF199" s="19">
        <v>1.3</v>
      </c>
      <c r="BG199" s="18"/>
      <c r="BH199" s="19">
        <v>0</v>
      </c>
      <c r="BI199" s="18"/>
      <c r="BJ199" s="18"/>
      <c r="BK199" s="19">
        <v>5</v>
      </c>
      <c r="BL199" s="18"/>
      <c r="BM199" s="19">
        <v>1.3</v>
      </c>
      <c r="BN199" s="18"/>
      <c r="BO199" s="18"/>
      <c r="BP199" s="18"/>
      <c r="BQ199" s="19">
        <v>1.3</v>
      </c>
      <c r="BR199" s="18"/>
      <c r="BS199" s="19">
        <v>0</v>
      </c>
      <c r="BT199" s="18"/>
      <c r="BU199" s="18"/>
    </row>
    <row r="200" spans="3:73" x14ac:dyDescent="0.45">
      <c r="C200" s="15" t="s">
        <v>249</v>
      </c>
      <c r="D200" s="15" t="s">
        <v>322</v>
      </c>
      <c r="E200" s="15" t="s">
        <v>311</v>
      </c>
      <c r="F200" s="15"/>
      <c r="G200" s="15"/>
      <c r="H200" s="15"/>
      <c r="I200" s="15" t="s">
        <v>323</v>
      </c>
      <c r="J200" s="19"/>
      <c r="K200" s="18"/>
      <c r="L200" s="18">
        <v>7542.15</v>
      </c>
      <c r="M200" s="18">
        <v>4158.21</v>
      </c>
      <c r="N200" s="18">
        <v>3104.03</v>
      </c>
      <c r="O200" s="18">
        <v>2612.63</v>
      </c>
      <c r="P200" s="19">
        <v>2501.4</v>
      </c>
      <c r="Q200" s="18"/>
      <c r="R200" s="18">
        <v>7542.1452920000002</v>
      </c>
      <c r="S200" s="18">
        <v>4158.2148360000001</v>
      </c>
      <c r="T200" s="18">
        <v>3104.0293999999999</v>
      </c>
      <c r="U200" s="18">
        <v>2612.626886</v>
      </c>
      <c r="V200" s="18">
        <v>2501.4005379999999</v>
      </c>
      <c r="X200" s="15" t="s">
        <v>249</v>
      </c>
      <c r="Y200" s="15" t="s">
        <v>327</v>
      </c>
      <c r="Z200" s="15" t="s">
        <v>330</v>
      </c>
      <c r="AA200" s="15"/>
      <c r="AB200" s="15"/>
      <c r="AC200" s="15"/>
      <c r="AD200" s="15"/>
      <c r="AE200" s="19">
        <v>0.08</v>
      </c>
      <c r="AF200" s="18"/>
      <c r="AG200" s="18"/>
      <c r="AH200" s="18"/>
      <c r="AI200" s="18"/>
      <c r="AJ200" s="18"/>
      <c r="AK200" s="19">
        <v>0.08</v>
      </c>
      <c r="AL200" s="18"/>
      <c r="AM200" s="18"/>
      <c r="AN200" s="18"/>
      <c r="AO200" s="18"/>
      <c r="AP200" s="18"/>
      <c r="AR200" s="15" t="s">
        <v>249</v>
      </c>
      <c r="AS200" s="15" t="s">
        <v>321</v>
      </c>
      <c r="AT200" s="15" t="s">
        <v>564</v>
      </c>
      <c r="AU200" s="15"/>
      <c r="AV200" s="15"/>
      <c r="AW200" s="15" t="s">
        <v>563</v>
      </c>
      <c r="AX200" s="15"/>
      <c r="AY200" s="15"/>
      <c r="AZ200" s="19">
        <v>5</v>
      </c>
      <c r="BA200" s="18"/>
      <c r="BB200" s="19">
        <v>1.3</v>
      </c>
      <c r="BC200" s="18"/>
      <c r="BD200" s="18"/>
      <c r="BE200" s="18"/>
      <c r="BF200" s="19">
        <v>1.3</v>
      </c>
      <c r="BG200" s="18"/>
      <c r="BH200" s="19">
        <v>0</v>
      </c>
      <c r="BI200" s="18"/>
      <c r="BJ200" s="18"/>
      <c r="BK200" s="19">
        <v>5</v>
      </c>
      <c r="BL200" s="18"/>
      <c r="BM200" s="19">
        <v>1.3</v>
      </c>
      <c r="BN200" s="18"/>
      <c r="BO200" s="18"/>
      <c r="BP200" s="18"/>
      <c r="BQ200" s="19">
        <v>1.3</v>
      </c>
      <c r="BR200" s="18"/>
      <c r="BS200" s="19">
        <v>0</v>
      </c>
      <c r="BT200" s="18"/>
      <c r="BU200" s="18"/>
    </row>
    <row r="201" spans="3:73" x14ac:dyDescent="0.45">
      <c r="C201" s="15" t="s">
        <v>249</v>
      </c>
      <c r="D201" s="15" t="s">
        <v>322</v>
      </c>
      <c r="E201" s="15" t="s">
        <v>312</v>
      </c>
      <c r="F201" s="15"/>
      <c r="G201" s="15"/>
      <c r="H201" s="15"/>
      <c r="I201" s="15" t="s">
        <v>323</v>
      </c>
      <c r="J201" s="19"/>
      <c r="K201" s="18"/>
      <c r="L201" s="18">
        <v>965.29</v>
      </c>
      <c r="M201" s="18"/>
      <c r="N201" s="18"/>
      <c r="O201" s="18"/>
      <c r="P201" s="19"/>
      <c r="Q201" s="18"/>
      <c r="R201" s="18">
        <v>965.29408179999996</v>
      </c>
      <c r="S201" s="18"/>
      <c r="T201" s="18"/>
      <c r="U201" s="18"/>
      <c r="V201" s="18"/>
      <c r="X201" s="15" t="s">
        <v>249</v>
      </c>
      <c r="Y201" s="15" t="s">
        <v>327</v>
      </c>
      <c r="Z201" s="15" t="s">
        <v>331</v>
      </c>
      <c r="AA201" s="15"/>
      <c r="AB201" s="15"/>
      <c r="AC201" s="15"/>
      <c r="AD201" s="15"/>
      <c r="AE201" s="19">
        <v>0.08</v>
      </c>
      <c r="AF201" s="18"/>
      <c r="AG201" s="18"/>
      <c r="AH201" s="18"/>
      <c r="AI201" s="18"/>
      <c r="AJ201" s="18"/>
      <c r="AK201" s="19">
        <v>0.08</v>
      </c>
      <c r="AL201" s="18"/>
      <c r="AM201" s="18"/>
      <c r="AN201" s="18"/>
      <c r="AO201" s="18"/>
      <c r="AP201" s="18"/>
      <c r="AR201" s="15" t="s">
        <v>249</v>
      </c>
      <c r="AS201" s="15" t="s">
        <v>322</v>
      </c>
      <c r="AT201" s="15" t="s">
        <v>565</v>
      </c>
      <c r="AU201" s="15"/>
      <c r="AV201" s="15"/>
      <c r="AW201" s="15"/>
      <c r="AX201" s="15"/>
      <c r="AY201" s="15" t="s">
        <v>323</v>
      </c>
      <c r="AZ201" s="18"/>
      <c r="BA201" s="18"/>
      <c r="BB201" s="18"/>
      <c r="BC201" s="18"/>
      <c r="BD201" s="18"/>
      <c r="BE201" s="19">
        <v>574.75</v>
      </c>
      <c r="BF201" s="18"/>
      <c r="BG201" s="18"/>
      <c r="BH201" s="19">
        <v>503.5</v>
      </c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/>
      <c r="BU201" s="18"/>
    </row>
    <row r="202" spans="3:73" x14ac:dyDescent="0.45">
      <c r="C202" s="15" t="s">
        <v>249</v>
      </c>
      <c r="D202" s="15" t="s">
        <v>322</v>
      </c>
      <c r="E202" s="15" t="s">
        <v>313</v>
      </c>
      <c r="F202" s="15"/>
      <c r="G202" s="15"/>
      <c r="H202" s="15"/>
      <c r="I202" s="15" t="s">
        <v>323</v>
      </c>
      <c r="J202" s="19"/>
      <c r="K202" s="18"/>
      <c r="L202" s="18"/>
      <c r="M202" s="18">
        <v>3039.58</v>
      </c>
      <c r="N202" s="18">
        <v>1245.6600000000001</v>
      </c>
      <c r="O202" s="18">
        <v>1072.05</v>
      </c>
      <c r="P202" s="19">
        <v>1072.05</v>
      </c>
      <c r="Q202" s="18"/>
      <c r="R202" s="18"/>
      <c r="S202" s="18">
        <v>3076.969325</v>
      </c>
      <c r="T202" s="18">
        <v>1595.220724</v>
      </c>
      <c r="U202" s="18">
        <v>1071.7593999999999</v>
      </c>
      <c r="V202" s="18">
        <v>1071.7593999999999</v>
      </c>
      <c r="X202" s="15" t="s">
        <v>249</v>
      </c>
      <c r="Y202" s="15" t="s">
        <v>327</v>
      </c>
      <c r="Z202" s="15" t="s">
        <v>332</v>
      </c>
      <c r="AA202" s="15"/>
      <c r="AB202" s="15"/>
      <c r="AC202" s="15"/>
      <c r="AD202" s="15"/>
      <c r="AE202" s="19">
        <v>0.08</v>
      </c>
      <c r="AF202" s="18"/>
      <c r="AG202" s="18"/>
      <c r="AH202" s="18"/>
      <c r="AI202" s="18"/>
      <c r="AJ202" s="18"/>
      <c r="AK202" s="19">
        <v>0.08</v>
      </c>
      <c r="AL202" s="18"/>
      <c r="AM202" s="18"/>
      <c r="AN202" s="18"/>
      <c r="AO202" s="18"/>
      <c r="AP202" s="18"/>
      <c r="AR202" s="15" t="s">
        <v>249</v>
      </c>
      <c r="AS202" s="15" t="s">
        <v>322</v>
      </c>
      <c r="AT202" s="15" t="s">
        <v>566</v>
      </c>
      <c r="AU202" s="15"/>
      <c r="AV202" s="15"/>
      <c r="AW202" s="15"/>
      <c r="AX202" s="15"/>
      <c r="AY202" s="15" t="s">
        <v>323</v>
      </c>
      <c r="AZ202" s="18"/>
      <c r="BA202" s="18"/>
      <c r="BB202" s="18"/>
      <c r="BC202" s="18"/>
      <c r="BD202" s="18"/>
      <c r="BE202" s="19">
        <v>804.65</v>
      </c>
      <c r="BF202" s="18"/>
      <c r="BG202" s="18"/>
      <c r="BH202" s="19">
        <v>704.9</v>
      </c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/>
      <c r="BU202" s="18"/>
    </row>
    <row r="203" spans="3:73" x14ac:dyDescent="0.45">
      <c r="C203" s="15" t="s">
        <v>249</v>
      </c>
      <c r="D203" s="15" t="s">
        <v>322</v>
      </c>
      <c r="E203" s="15" t="s">
        <v>314</v>
      </c>
      <c r="F203" s="15"/>
      <c r="G203" s="15"/>
      <c r="H203" s="15"/>
      <c r="I203" s="15" t="s">
        <v>323</v>
      </c>
      <c r="J203" s="19"/>
      <c r="K203" s="18"/>
      <c r="L203" s="18"/>
      <c r="M203" s="18">
        <v>2304.09</v>
      </c>
      <c r="N203" s="18">
        <v>1136.31</v>
      </c>
      <c r="O203" s="18">
        <v>666.85</v>
      </c>
      <c r="P203" s="19">
        <v>634.71</v>
      </c>
      <c r="Q203" s="18"/>
      <c r="R203" s="18"/>
      <c r="S203" s="18">
        <v>2307.2582419999999</v>
      </c>
      <c r="T203" s="18">
        <v>2140.7867959999999</v>
      </c>
      <c r="U203" s="18">
        <v>819.54217649999998</v>
      </c>
      <c r="V203" s="18">
        <v>675.35594379999998</v>
      </c>
      <c r="X203" s="15" t="s">
        <v>249</v>
      </c>
      <c r="Y203" s="15" t="s">
        <v>327</v>
      </c>
      <c r="Z203" s="15" t="s">
        <v>333</v>
      </c>
      <c r="AA203" s="15"/>
      <c r="AB203" s="15"/>
      <c r="AC203" s="15"/>
      <c r="AD203" s="15"/>
      <c r="AE203" s="19">
        <v>0.08</v>
      </c>
      <c r="AF203" s="18"/>
      <c r="AG203" s="18"/>
      <c r="AH203" s="18"/>
      <c r="AI203" s="18"/>
      <c r="AJ203" s="18"/>
      <c r="AK203" s="19">
        <v>0.08</v>
      </c>
      <c r="AL203" s="18"/>
      <c r="AM203" s="18"/>
      <c r="AN203" s="18"/>
      <c r="AO203" s="18"/>
      <c r="AP203" s="18"/>
      <c r="AR203" s="15" t="s">
        <v>249</v>
      </c>
      <c r="AS203" s="15" t="s">
        <v>567</v>
      </c>
      <c r="AT203" s="15" t="s">
        <v>568</v>
      </c>
      <c r="AU203" s="15"/>
      <c r="AV203" s="15"/>
      <c r="AW203" s="15"/>
      <c r="AX203" s="15"/>
      <c r="AY203" s="15"/>
      <c r="AZ203" s="18"/>
      <c r="BA203" s="19">
        <v>2.5000000000000001E-2</v>
      </c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9">
        <v>0.05</v>
      </c>
      <c r="BM203" s="18"/>
      <c r="BN203" s="18"/>
      <c r="BO203" s="18"/>
      <c r="BP203" s="18"/>
      <c r="BQ203" s="18"/>
      <c r="BR203" s="18"/>
      <c r="BS203" s="18"/>
      <c r="BT203" s="18"/>
      <c r="BU203" s="18"/>
    </row>
    <row r="204" spans="3:73" x14ac:dyDescent="0.45">
      <c r="C204" s="15" t="s">
        <v>249</v>
      </c>
      <c r="D204" s="15" t="s">
        <v>322</v>
      </c>
      <c r="E204" s="15" t="s">
        <v>315</v>
      </c>
      <c r="F204" s="15"/>
      <c r="G204" s="15"/>
      <c r="H204" s="15"/>
      <c r="I204" s="15" t="s">
        <v>323</v>
      </c>
      <c r="J204" s="19"/>
      <c r="K204" s="18"/>
      <c r="L204" s="18">
        <v>363.43</v>
      </c>
      <c r="M204" s="18">
        <v>368.42</v>
      </c>
      <c r="N204" s="18">
        <v>375.08</v>
      </c>
      <c r="O204" s="18">
        <v>383.4</v>
      </c>
      <c r="P204" s="19">
        <v>394.6</v>
      </c>
      <c r="Q204" s="18"/>
      <c r="R204" s="18">
        <v>363.4257824</v>
      </c>
      <c r="S204" s="18">
        <v>368.41876059999998</v>
      </c>
      <c r="T204" s="18">
        <v>375.07606479999998</v>
      </c>
      <c r="U204" s="18">
        <v>383.39769510000002</v>
      </c>
      <c r="V204" s="18">
        <v>394.6036532</v>
      </c>
      <c r="X204" s="15" t="s">
        <v>249</v>
      </c>
      <c r="Y204" s="15" t="s">
        <v>327</v>
      </c>
      <c r="Z204" s="15" t="s">
        <v>334</v>
      </c>
      <c r="AA204" s="15"/>
      <c r="AB204" s="15"/>
      <c r="AC204" s="15"/>
      <c r="AD204" s="15"/>
      <c r="AE204" s="19">
        <v>0.08</v>
      </c>
      <c r="AF204" s="18"/>
      <c r="AG204" s="18"/>
      <c r="AH204" s="18"/>
      <c r="AI204" s="18"/>
      <c r="AJ204" s="18"/>
      <c r="AK204" s="19">
        <v>0.08</v>
      </c>
      <c r="AL204" s="18"/>
      <c r="AM204" s="18"/>
      <c r="AN204" s="18"/>
      <c r="AO204" s="18"/>
      <c r="AP204" s="18"/>
      <c r="AR204" s="15" t="s">
        <v>249</v>
      </c>
      <c r="AS204" s="15" t="s">
        <v>567</v>
      </c>
      <c r="AT204" s="15" t="s">
        <v>569</v>
      </c>
      <c r="AU204" s="15"/>
      <c r="AV204" s="15"/>
      <c r="AW204" s="15"/>
      <c r="AX204" s="15"/>
      <c r="AY204" s="15"/>
      <c r="AZ204" s="18"/>
      <c r="BA204" s="19">
        <v>2.5000000000000001E-2</v>
      </c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9">
        <v>0.05</v>
      </c>
      <c r="BM204" s="18"/>
      <c r="BN204" s="18"/>
      <c r="BO204" s="18"/>
      <c r="BP204" s="18"/>
      <c r="BQ204" s="18"/>
      <c r="BR204" s="18"/>
      <c r="BS204" s="18"/>
      <c r="BT204" s="18"/>
      <c r="BU204" s="18"/>
    </row>
    <row r="205" spans="3:73" x14ac:dyDescent="0.45">
      <c r="C205" s="15" t="s">
        <v>249</v>
      </c>
      <c r="D205" s="15" t="s">
        <v>322</v>
      </c>
      <c r="E205" s="15" t="s">
        <v>316</v>
      </c>
      <c r="F205" s="15"/>
      <c r="G205" s="15"/>
      <c r="H205" s="15"/>
      <c r="I205" s="15" t="s">
        <v>323</v>
      </c>
      <c r="J205" s="19"/>
      <c r="K205" s="18"/>
      <c r="L205" s="18">
        <v>563.28</v>
      </c>
      <c r="M205" s="18">
        <v>536.36</v>
      </c>
      <c r="N205" s="18">
        <v>378.82</v>
      </c>
      <c r="O205" s="18">
        <v>378.82</v>
      </c>
      <c r="P205" s="19">
        <v>378.82</v>
      </c>
      <c r="Q205" s="18"/>
      <c r="R205" s="18">
        <v>563.27611109999998</v>
      </c>
      <c r="S205" s="18">
        <v>549.55551390000005</v>
      </c>
      <c r="T205" s="18">
        <v>413.47444419999999</v>
      </c>
      <c r="U205" s="18">
        <v>413.47444419999999</v>
      </c>
      <c r="V205" s="18">
        <v>413.47444419999999</v>
      </c>
      <c r="X205" s="15" t="s">
        <v>249</v>
      </c>
      <c r="Y205" s="15" t="s">
        <v>327</v>
      </c>
      <c r="Z205" s="15" t="s">
        <v>335</v>
      </c>
      <c r="AA205" s="15"/>
      <c r="AB205" s="15"/>
      <c r="AC205" s="15"/>
      <c r="AD205" s="15"/>
      <c r="AE205" s="19">
        <v>0.08</v>
      </c>
      <c r="AF205" s="18"/>
      <c r="AG205" s="18"/>
      <c r="AH205" s="18"/>
      <c r="AI205" s="18"/>
      <c r="AJ205" s="18"/>
      <c r="AK205" s="19">
        <v>0.08</v>
      </c>
      <c r="AL205" s="18"/>
      <c r="AM205" s="18"/>
      <c r="AN205" s="18"/>
      <c r="AO205" s="18"/>
      <c r="AP205" s="18"/>
      <c r="AR205" s="15" t="s">
        <v>249</v>
      </c>
      <c r="AS205" s="15" t="s">
        <v>567</v>
      </c>
      <c r="AT205" s="15" t="s">
        <v>570</v>
      </c>
      <c r="AU205" s="15"/>
      <c r="AV205" s="15"/>
      <c r="AW205" s="15"/>
      <c r="AX205" s="15"/>
      <c r="AY205" s="15"/>
      <c r="AZ205" s="18"/>
      <c r="BA205" s="19">
        <v>2.5000000000000001E-2</v>
      </c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9">
        <v>0.05</v>
      </c>
      <c r="BM205" s="18"/>
      <c r="BN205" s="18"/>
      <c r="BO205" s="18"/>
      <c r="BP205" s="18"/>
      <c r="BQ205" s="18"/>
      <c r="BR205" s="18"/>
      <c r="BS205" s="18"/>
      <c r="BT205" s="18"/>
      <c r="BU205" s="18"/>
    </row>
    <row r="206" spans="3:73" x14ac:dyDescent="0.45">
      <c r="C206" s="15" t="s">
        <v>249</v>
      </c>
      <c r="D206" s="15" t="s">
        <v>322</v>
      </c>
      <c r="E206" s="15" t="s">
        <v>317</v>
      </c>
      <c r="F206" s="15"/>
      <c r="G206" s="15"/>
      <c r="H206" s="15"/>
      <c r="I206" s="15" t="s">
        <v>323</v>
      </c>
      <c r="J206" s="19"/>
      <c r="K206" s="18"/>
      <c r="L206" s="18">
        <v>748.66</v>
      </c>
      <c r="M206" s="18">
        <v>644.29999999999995</v>
      </c>
      <c r="N206" s="18">
        <v>537.66999999999996</v>
      </c>
      <c r="O206" s="18">
        <v>431.38</v>
      </c>
      <c r="P206" s="19">
        <v>408.55</v>
      </c>
      <c r="Q206" s="18"/>
      <c r="R206" s="18">
        <v>748.66000750000001</v>
      </c>
      <c r="S206" s="18">
        <v>644.29869440000004</v>
      </c>
      <c r="T206" s="18">
        <v>431.38474459999998</v>
      </c>
      <c r="U206" s="18">
        <v>431.38474459999998</v>
      </c>
      <c r="V206" s="18">
        <v>408.55235640000001</v>
      </c>
      <c r="X206" s="15" t="s">
        <v>249</v>
      </c>
      <c r="Y206" s="15" t="s">
        <v>327</v>
      </c>
      <c r="Z206" s="15" t="s">
        <v>336</v>
      </c>
      <c r="AA206" s="15"/>
      <c r="AB206" s="15"/>
      <c r="AC206" s="15"/>
      <c r="AD206" s="15"/>
      <c r="AE206" s="19">
        <v>0.08</v>
      </c>
      <c r="AF206" s="18"/>
      <c r="AG206" s="18"/>
      <c r="AH206" s="18"/>
      <c r="AI206" s="18"/>
      <c r="AJ206" s="18"/>
      <c r="AK206" s="19">
        <v>0.08</v>
      </c>
      <c r="AL206" s="18"/>
      <c r="AM206" s="18"/>
      <c r="AN206" s="18"/>
      <c r="AO206" s="18"/>
      <c r="AP206" s="18"/>
      <c r="AR206" s="15" t="s">
        <v>249</v>
      </c>
      <c r="AS206" s="15" t="s">
        <v>567</v>
      </c>
      <c r="AT206" s="15" t="s">
        <v>571</v>
      </c>
      <c r="AU206" s="15"/>
      <c r="AV206" s="15"/>
      <c r="AW206" s="15"/>
      <c r="AX206" s="15"/>
      <c r="AY206" s="15"/>
      <c r="AZ206" s="18"/>
      <c r="BA206" s="19">
        <v>2.5000000000000001E-2</v>
      </c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9">
        <v>0.05</v>
      </c>
      <c r="BM206" s="18"/>
      <c r="BN206" s="18"/>
      <c r="BO206" s="18"/>
      <c r="BP206" s="18"/>
      <c r="BQ206" s="18"/>
      <c r="BR206" s="18"/>
      <c r="BS206" s="18"/>
      <c r="BT206" s="18"/>
      <c r="BU206" s="18"/>
    </row>
    <row r="207" spans="3:73" x14ac:dyDescent="0.45">
      <c r="C207" s="15" t="s">
        <v>249</v>
      </c>
      <c r="D207" s="15" t="s">
        <v>324</v>
      </c>
      <c r="E207" s="15" t="s">
        <v>251</v>
      </c>
      <c r="F207" s="15"/>
      <c r="G207" s="15"/>
      <c r="H207" s="15"/>
      <c r="I207" s="15" t="s">
        <v>323</v>
      </c>
      <c r="J207" s="19"/>
      <c r="K207" s="18"/>
      <c r="L207" s="18">
        <v>917.19</v>
      </c>
      <c r="M207" s="18"/>
      <c r="N207" s="18"/>
      <c r="O207" s="18"/>
      <c r="P207" s="19"/>
      <c r="Q207" s="18"/>
      <c r="R207" s="18">
        <v>917.19322629999999</v>
      </c>
      <c r="S207" s="18"/>
      <c r="T207" s="18"/>
      <c r="U207" s="18"/>
      <c r="V207" s="18"/>
      <c r="X207" s="15" t="s">
        <v>249</v>
      </c>
      <c r="Y207" s="15" t="s">
        <v>327</v>
      </c>
      <c r="Z207" s="15" t="s">
        <v>339</v>
      </c>
      <c r="AA207" s="15"/>
      <c r="AB207" s="15"/>
      <c r="AC207" s="15"/>
      <c r="AD207" s="15"/>
      <c r="AE207" s="19">
        <v>0.08</v>
      </c>
      <c r="AF207" s="18"/>
      <c r="AG207" s="18"/>
      <c r="AH207" s="18"/>
      <c r="AI207" s="18"/>
      <c r="AJ207" s="18"/>
      <c r="AK207" s="19">
        <v>0.08</v>
      </c>
      <c r="AL207" s="18"/>
      <c r="AM207" s="18"/>
      <c r="AN207" s="18"/>
      <c r="AO207" s="18"/>
      <c r="AP207" s="18"/>
      <c r="AR207" s="15" t="s">
        <v>249</v>
      </c>
      <c r="AS207" s="15" t="s">
        <v>567</v>
      </c>
      <c r="AT207" s="15" t="s">
        <v>572</v>
      </c>
      <c r="AU207" s="15"/>
      <c r="AV207" s="15"/>
      <c r="AW207" s="15"/>
      <c r="AX207" s="15"/>
      <c r="AY207" s="15"/>
      <c r="AZ207" s="18"/>
      <c r="BA207" s="19">
        <v>2.5000000000000001E-2</v>
      </c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9">
        <v>0.05</v>
      </c>
      <c r="BM207" s="18"/>
      <c r="BN207" s="18"/>
      <c r="BO207" s="18"/>
      <c r="BP207" s="18"/>
      <c r="BQ207" s="18"/>
      <c r="BR207" s="18"/>
      <c r="BS207" s="18"/>
      <c r="BT207" s="18"/>
      <c r="BU207" s="18"/>
    </row>
    <row r="208" spans="3:73" x14ac:dyDescent="0.45">
      <c r="C208" s="15" t="s">
        <v>249</v>
      </c>
      <c r="D208" s="15" t="s">
        <v>324</v>
      </c>
      <c r="E208" s="15" t="s">
        <v>253</v>
      </c>
      <c r="F208" s="15"/>
      <c r="G208" s="15"/>
      <c r="H208" s="15"/>
      <c r="I208" s="15" t="s">
        <v>323</v>
      </c>
      <c r="J208" s="19"/>
      <c r="K208" s="18"/>
      <c r="L208" s="18">
        <v>917.19</v>
      </c>
      <c r="M208" s="18"/>
      <c r="N208" s="18"/>
      <c r="O208" s="18"/>
      <c r="P208" s="19"/>
      <c r="Q208" s="18"/>
      <c r="R208" s="18">
        <v>917.19322629999999</v>
      </c>
      <c r="S208" s="18"/>
      <c r="T208" s="18"/>
      <c r="U208" s="18"/>
      <c r="V208" s="18"/>
      <c r="X208" s="15" t="s">
        <v>249</v>
      </c>
      <c r="Y208" s="15" t="s">
        <v>327</v>
      </c>
      <c r="Z208" s="15" t="s">
        <v>341</v>
      </c>
      <c r="AA208" s="15"/>
      <c r="AB208" s="15"/>
      <c r="AC208" s="15"/>
      <c r="AD208" s="15"/>
      <c r="AE208" s="19">
        <v>0.08</v>
      </c>
      <c r="AF208" s="18"/>
      <c r="AG208" s="18"/>
      <c r="AH208" s="18"/>
      <c r="AI208" s="18"/>
      <c r="AJ208" s="18"/>
      <c r="AK208" s="19">
        <v>0.08</v>
      </c>
      <c r="AL208" s="18"/>
      <c r="AM208" s="18"/>
      <c r="AN208" s="18"/>
      <c r="AO208" s="18"/>
      <c r="AP208" s="18"/>
      <c r="AR208" s="15" t="s">
        <v>249</v>
      </c>
      <c r="AS208" s="15" t="s">
        <v>567</v>
      </c>
      <c r="AT208" s="15" t="s">
        <v>573</v>
      </c>
      <c r="AU208" s="15"/>
      <c r="AV208" s="15"/>
      <c r="AW208" s="15"/>
      <c r="AX208" s="15"/>
      <c r="AY208" s="15"/>
      <c r="AZ208" s="18"/>
      <c r="BA208" s="19">
        <v>2.5000000000000001E-2</v>
      </c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9">
        <v>0.05</v>
      </c>
      <c r="BM208" s="18"/>
      <c r="BN208" s="18"/>
      <c r="BO208" s="18"/>
      <c r="BP208" s="18"/>
      <c r="BQ208" s="18"/>
      <c r="BR208" s="18"/>
      <c r="BS208" s="18"/>
      <c r="BT208" s="18"/>
      <c r="BU208" s="18"/>
    </row>
    <row r="209" spans="3:73" x14ac:dyDescent="0.45">
      <c r="C209" s="15" t="s">
        <v>249</v>
      </c>
      <c r="D209" s="15" t="s">
        <v>324</v>
      </c>
      <c r="E209" s="15" t="s">
        <v>255</v>
      </c>
      <c r="F209" s="15"/>
      <c r="G209" s="15"/>
      <c r="H209" s="15"/>
      <c r="I209" s="15" t="s">
        <v>323</v>
      </c>
      <c r="J209" s="19"/>
      <c r="K209" s="18"/>
      <c r="L209" s="18">
        <v>250</v>
      </c>
      <c r="M209" s="18"/>
      <c r="N209" s="18"/>
      <c r="O209" s="18"/>
      <c r="P209" s="19"/>
      <c r="Q209" s="18"/>
      <c r="R209" s="18">
        <v>250</v>
      </c>
      <c r="S209" s="18"/>
      <c r="T209" s="18"/>
      <c r="U209" s="18"/>
      <c r="V209" s="18"/>
      <c r="X209" s="15" t="s">
        <v>249</v>
      </c>
      <c r="Y209" s="15" t="s">
        <v>327</v>
      </c>
      <c r="Z209" s="15" t="s">
        <v>342</v>
      </c>
      <c r="AA209" s="15"/>
      <c r="AB209" s="15"/>
      <c r="AC209" s="15"/>
      <c r="AD209" s="15"/>
      <c r="AE209" s="19">
        <v>0.08</v>
      </c>
      <c r="AF209" s="18"/>
      <c r="AG209" s="18"/>
      <c r="AH209" s="18"/>
      <c r="AI209" s="18"/>
      <c r="AJ209" s="18"/>
      <c r="AK209" s="19">
        <v>0.08</v>
      </c>
      <c r="AL209" s="18"/>
      <c r="AM209" s="18"/>
      <c r="AN209" s="18"/>
      <c r="AO209" s="18"/>
      <c r="AP209" s="18"/>
      <c r="AR209" s="15" t="s">
        <v>249</v>
      </c>
      <c r="AS209" s="15" t="s">
        <v>567</v>
      </c>
      <c r="AT209" s="15" t="s">
        <v>574</v>
      </c>
      <c r="AU209" s="15"/>
      <c r="AV209" s="15"/>
      <c r="AW209" s="15"/>
      <c r="AX209" s="15"/>
      <c r="AY209" s="15"/>
      <c r="AZ209" s="18"/>
      <c r="BA209" s="19">
        <v>2.5000000000000001E-2</v>
      </c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9">
        <v>0.05</v>
      </c>
      <c r="BM209" s="18"/>
      <c r="BN209" s="18"/>
      <c r="BO209" s="18"/>
      <c r="BP209" s="18"/>
      <c r="BQ209" s="18"/>
      <c r="BR209" s="18"/>
      <c r="BS209" s="18"/>
      <c r="BT209" s="18"/>
      <c r="BU209" s="18"/>
    </row>
    <row r="210" spans="3:73" x14ac:dyDescent="0.45">
      <c r="C210" s="15" t="s">
        <v>249</v>
      </c>
      <c r="D210" s="15" t="s">
        <v>324</v>
      </c>
      <c r="E210" s="15" t="s">
        <v>256</v>
      </c>
      <c r="F210" s="15"/>
      <c r="G210" s="15"/>
      <c r="H210" s="15"/>
      <c r="I210" s="15" t="s">
        <v>323</v>
      </c>
      <c r="J210" s="19"/>
      <c r="K210" s="18"/>
      <c r="L210" s="18">
        <v>500</v>
      </c>
      <c r="M210" s="18"/>
      <c r="N210" s="18"/>
      <c r="O210" s="18"/>
      <c r="P210" s="19"/>
      <c r="Q210" s="18"/>
      <c r="R210" s="18">
        <v>500</v>
      </c>
      <c r="S210" s="18"/>
      <c r="T210" s="18"/>
      <c r="U210" s="18"/>
      <c r="V210" s="18"/>
      <c r="X210" s="15" t="s">
        <v>249</v>
      </c>
      <c r="Y210" s="15" t="s">
        <v>327</v>
      </c>
      <c r="Z210" s="15" t="s">
        <v>343</v>
      </c>
      <c r="AA210" s="15"/>
      <c r="AB210" s="15"/>
      <c r="AC210" s="15"/>
      <c r="AD210" s="15"/>
      <c r="AE210" s="19">
        <v>0.08</v>
      </c>
      <c r="AF210" s="18"/>
      <c r="AG210" s="18"/>
      <c r="AH210" s="18"/>
      <c r="AI210" s="18"/>
      <c r="AJ210" s="18"/>
      <c r="AK210" s="19">
        <v>0.08</v>
      </c>
      <c r="AL210" s="18"/>
      <c r="AM210" s="18"/>
      <c r="AN210" s="18"/>
      <c r="AO210" s="18"/>
      <c r="AP210" s="18"/>
      <c r="AR210" s="15" t="s">
        <v>249</v>
      </c>
      <c r="AS210" s="15" t="s">
        <v>567</v>
      </c>
      <c r="AT210" s="15" t="s">
        <v>575</v>
      </c>
      <c r="AU210" s="15"/>
      <c r="AV210" s="15"/>
      <c r="AW210" s="15"/>
      <c r="AX210" s="15"/>
      <c r="AY210" s="15"/>
      <c r="AZ210" s="18"/>
      <c r="BA210" s="19">
        <v>2.5000000000000001E-2</v>
      </c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9">
        <v>0.05</v>
      </c>
      <c r="BM210" s="18"/>
      <c r="BN210" s="18"/>
      <c r="BO210" s="18"/>
      <c r="BP210" s="18"/>
      <c r="BQ210" s="18"/>
      <c r="BR210" s="18"/>
      <c r="BS210" s="18"/>
      <c r="BT210" s="18"/>
      <c r="BU210" s="18"/>
    </row>
    <row r="211" spans="3:73" x14ac:dyDescent="0.45">
      <c r="C211" s="15" t="s">
        <v>249</v>
      </c>
      <c r="D211" s="15" t="s">
        <v>324</v>
      </c>
      <c r="E211" s="15" t="s">
        <v>257</v>
      </c>
      <c r="F211" s="15"/>
      <c r="G211" s="15"/>
      <c r="H211" s="15"/>
      <c r="I211" s="15" t="s">
        <v>323</v>
      </c>
      <c r="J211" s="19"/>
      <c r="K211" s="18"/>
      <c r="L211" s="18">
        <v>70.400000000000006</v>
      </c>
      <c r="M211" s="18"/>
      <c r="N211" s="18"/>
      <c r="O211" s="18"/>
      <c r="P211" s="19"/>
      <c r="Q211" s="18"/>
      <c r="R211" s="18">
        <v>70.396141889999996</v>
      </c>
      <c r="S211" s="18"/>
      <c r="T211" s="18"/>
      <c r="U211" s="18"/>
      <c r="V211" s="18"/>
      <c r="X211" s="15" t="s">
        <v>249</v>
      </c>
      <c r="Y211" s="15" t="s">
        <v>327</v>
      </c>
      <c r="Z211" s="15" t="s">
        <v>344</v>
      </c>
      <c r="AA211" s="15"/>
      <c r="AB211" s="15"/>
      <c r="AC211" s="15"/>
      <c r="AD211" s="15"/>
      <c r="AE211" s="19">
        <v>0.08</v>
      </c>
      <c r="AF211" s="18"/>
      <c r="AG211" s="18"/>
      <c r="AH211" s="18"/>
      <c r="AI211" s="18"/>
      <c r="AJ211" s="18"/>
      <c r="AK211" s="19">
        <v>0.08</v>
      </c>
      <c r="AL211" s="18"/>
      <c r="AM211" s="18"/>
      <c r="AN211" s="18"/>
      <c r="AO211" s="18"/>
      <c r="AP211" s="18"/>
      <c r="AR211" s="15" t="s">
        <v>249</v>
      </c>
      <c r="AS211" s="15" t="s">
        <v>567</v>
      </c>
      <c r="AT211" s="15" t="s">
        <v>576</v>
      </c>
      <c r="AU211" s="15"/>
      <c r="AV211" s="15"/>
      <c r="AW211" s="15"/>
      <c r="AX211" s="15"/>
      <c r="AY211" s="15"/>
      <c r="AZ211" s="18"/>
      <c r="BA211" s="19">
        <v>2.5000000000000001E-2</v>
      </c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9">
        <v>0.05</v>
      </c>
      <c r="BM211" s="18"/>
      <c r="BN211" s="18"/>
      <c r="BO211" s="18"/>
      <c r="BP211" s="18"/>
      <c r="BQ211" s="18"/>
      <c r="BR211" s="18"/>
      <c r="BS211" s="18"/>
      <c r="BT211" s="18"/>
      <c r="BU211" s="18"/>
    </row>
    <row r="212" spans="3:73" x14ac:dyDescent="0.45">
      <c r="C212" s="15" t="s">
        <v>249</v>
      </c>
      <c r="D212" s="15" t="s">
        <v>324</v>
      </c>
      <c r="E212" s="15" t="s">
        <v>258</v>
      </c>
      <c r="F212" s="15"/>
      <c r="G212" s="15"/>
      <c r="H212" s="15"/>
      <c r="I212" s="15" t="s">
        <v>323</v>
      </c>
      <c r="J212" s="19"/>
      <c r="K212" s="18"/>
      <c r="L212" s="18">
        <v>65.44</v>
      </c>
      <c r="M212" s="18"/>
      <c r="N212" s="18"/>
      <c r="O212" s="18">
        <v>46.49</v>
      </c>
      <c r="P212" s="19"/>
      <c r="Q212" s="18"/>
      <c r="R212" s="18">
        <v>65.43796571</v>
      </c>
      <c r="S212" s="18"/>
      <c r="T212" s="18"/>
      <c r="U212" s="18">
        <v>48.324291950000003</v>
      </c>
      <c r="V212" s="18"/>
      <c r="X212" s="15" t="s">
        <v>249</v>
      </c>
      <c r="Y212" s="15" t="s">
        <v>327</v>
      </c>
      <c r="Z212" s="15" t="s">
        <v>345</v>
      </c>
      <c r="AA212" s="15"/>
      <c r="AB212" s="15"/>
      <c r="AC212" s="15"/>
      <c r="AD212" s="15"/>
      <c r="AE212" s="19">
        <v>0.08</v>
      </c>
      <c r="AF212" s="18"/>
      <c r="AG212" s="18"/>
      <c r="AH212" s="18"/>
      <c r="AI212" s="18"/>
      <c r="AJ212" s="18"/>
      <c r="AK212" s="19">
        <v>0.08</v>
      </c>
      <c r="AL212" s="18"/>
      <c r="AM212" s="18"/>
      <c r="AN212" s="18"/>
      <c r="AO212" s="18"/>
      <c r="AP212" s="18"/>
      <c r="AR212" s="15" t="s">
        <v>249</v>
      </c>
      <c r="AS212" s="15" t="s">
        <v>567</v>
      </c>
      <c r="AT212" s="15" t="s">
        <v>577</v>
      </c>
      <c r="AU212" s="15"/>
      <c r="AV212" s="15"/>
      <c r="AW212" s="15"/>
      <c r="AX212" s="15"/>
      <c r="AY212" s="15"/>
      <c r="AZ212" s="18"/>
      <c r="BA212" s="19">
        <v>2.5000000000000001E-2</v>
      </c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9">
        <v>0.05</v>
      </c>
      <c r="BM212" s="18"/>
      <c r="BN212" s="18"/>
      <c r="BO212" s="18"/>
      <c r="BP212" s="18"/>
      <c r="BQ212" s="18"/>
      <c r="BR212" s="18"/>
      <c r="BS212" s="18"/>
      <c r="BT212" s="18"/>
      <c r="BU212" s="18"/>
    </row>
    <row r="213" spans="3:73" x14ac:dyDescent="0.45">
      <c r="C213" s="15" t="s">
        <v>249</v>
      </c>
      <c r="D213" s="15" t="s">
        <v>324</v>
      </c>
      <c r="E213" s="15" t="s">
        <v>259</v>
      </c>
      <c r="F213" s="15"/>
      <c r="G213" s="15"/>
      <c r="H213" s="15"/>
      <c r="I213" s="15" t="s">
        <v>323</v>
      </c>
      <c r="J213" s="19"/>
      <c r="K213" s="18"/>
      <c r="L213" s="18">
        <v>71.34</v>
      </c>
      <c r="M213" s="18"/>
      <c r="N213" s="18"/>
      <c r="O213" s="18"/>
      <c r="P213" s="19"/>
      <c r="Q213" s="18"/>
      <c r="R213" s="18">
        <v>71.343269989999996</v>
      </c>
      <c r="S213" s="18"/>
      <c r="T213" s="18"/>
      <c r="U213" s="18"/>
      <c r="V213" s="18"/>
      <c r="X213" s="15" t="s">
        <v>249</v>
      </c>
      <c r="Y213" s="15" t="s">
        <v>327</v>
      </c>
      <c r="Z213" s="15" t="s">
        <v>346</v>
      </c>
      <c r="AA213" s="15"/>
      <c r="AB213" s="15"/>
      <c r="AC213" s="15"/>
      <c r="AD213" s="15"/>
      <c r="AE213" s="19">
        <v>0.08</v>
      </c>
      <c r="AF213" s="18"/>
      <c r="AG213" s="18"/>
      <c r="AH213" s="18"/>
      <c r="AI213" s="18"/>
      <c r="AJ213" s="18"/>
      <c r="AK213" s="19">
        <v>0.08</v>
      </c>
      <c r="AL213" s="18"/>
      <c r="AM213" s="18"/>
      <c r="AN213" s="18"/>
      <c r="AO213" s="18"/>
      <c r="AP213" s="18"/>
      <c r="AR213" s="15" t="s">
        <v>249</v>
      </c>
      <c r="AS213" s="15" t="s">
        <v>567</v>
      </c>
      <c r="AT213" s="15" t="s">
        <v>578</v>
      </c>
      <c r="AU213" s="15"/>
      <c r="AV213" s="15"/>
      <c r="AW213" s="15"/>
      <c r="AX213" s="15"/>
      <c r="AY213" s="15"/>
      <c r="AZ213" s="18"/>
      <c r="BA213" s="19">
        <v>2.5000000000000001E-2</v>
      </c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9">
        <v>0.05</v>
      </c>
      <c r="BM213" s="18"/>
      <c r="BN213" s="18"/>
      <c r="BO213" s="18"/>
      <c r="BP213" s="18"/>
      <c r="BQ213" s="18"/>
      <c r="BR213" s="18"/>
      <c r="BS213" s="18"/>
      <c r="BT213" s="18"/>
      <c r="BU213" s="18"/>
    </row>
    <row r="214" spans="3:73" x14ac:dyDescent="0.45">
      <c r="C214" s="15" t="s">
        <v>249</v>
      </c>
      <c r="D214" s="15" t="s">
        <v>324</v>
      </c>
      <c r="E214" s="15" t="s">
        <v>260</v>
      </c>
      <c r="F214" s="15"/>
      <c r="G214" s="15"/>
      <c r="H214" s="15"/>
      <c r="I214" s="15" t="s">
        <v>323</v>
      </c>
      <c r="J214" s="19"/>
      <c r="K214" s="18"/>
      <c r="L214" s="18">
        <v>38.61</v>
      </c>
      <c r="M214" s="18"/>
      <c r="N214" s="18"/>
      <c r="O214" s="18"/>
      <c r="P214" s="19"/>
      <c r="Q214" s="18"/>
      <c r="R214" s="18">
        <v>38.611763269999997</v>
      </c>
      <c r="S214" s="18"/>
      <c r="T214" s="18"/>
      <c r="U214" s="18"/>
      <c r="V214" s="18"/>
      <c r="X214" s="15" t="s">
        <v>249</v>
      </c>
      <c r="Y214" s="15" t="s">
        <v>327</v>
      </c>
      <c r="Z214" s="15" t="s">
        <v>347</v>
      </c>
      <c r="AA214" s="15"/>
      <c r="AB214" s="15"/>
      <c r="AC214" s="15"/>
      <c r="AD214" s="15"/>
      <c r="AE214" s="19">
        <v>0.08</v>
      </c>
      <c r="AF214" s="18"/>
      <c r="AG214" s="18"/>
      <c r="AH214" s="18"/>
      <c r="AI214" s="18"/>
      <c r="AJ214" s="18"/>
      <c r="AK214" s="19">
        <v>0.08</v>
      </c>
      <c r="AL214" s="18"/>
      <c r="AM214" s="18"/>
      <c r="AN214" s="18"/>
      <c r="AO214" s="18"/>
      <c r="AP214" s="18"/>
      <c r="AR214" s="15" t="s">
        <v>249</v>
      </c>
      <c r="AS214" s="15" t="s">
        <v>567</v>
      </c>
      <c r="AT214" s="15" t="s">
        <v>579</v>
      </c>
      <c r="AU214" s="15"/>
      <c r="AV214" s="15"/>
      <c r="AW214" s="15"/>
      <c r="AX214" s="15"/>
      <c r="AY214" s="15"/>
      <c r="AZ214" s="18"/>
      <c r="BA214" s="19">
        <v>2.5000000000000001E-2</v>
      </c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9">
        <v>0.05</v>
      </c>
      <c r="BM214" s="18"/>
      <c r="BN214" s="18"/>
      <c r="BO214" s="18"/>
      <c r="BP214" s="18"/>
      <c r="BQ214" s="18"/>
      <c r="BR214" s="18"/>
      <c r="BS214" s="18"/>
      <c r="BT214" s="18"/>
      <c r="BU214" s="18"/>
    </row>
    <row r="215" spans="3:73" x14ac:dyDescent="0.45">
      <c r="C215" s="15" t="s">
        <v>249</v>
      </c>
      <c r="D215" s="15" t="s">
        <v>324</v>
      </c>
      <c r="E215" s="15" t="s">
        <v>261</v>
      </c>
      <c r="F215" s="15"/>
      <c r="G215" s="15"/>
      <c r="H215" s="15"/>
      <c r="I215" s="15" t="s">
        <v>323</v>
      </c>
      <c r="J215" s="19"/>
      <c r="K215" s="18"/>
      <c r="L215" s="18">
        <v>57.07</v>
      </c>
      <c r="M215" s="18"/>
      <c r="N215" s="18">
        <v>28.54</v>
      </c>
      <c r="O215" s="18"/>
      <c r="P215" s="19"/>
      <c r="Q215" s="18"/>
      <c r="R215" s="18">
        <v>57.071275049999997</v>
      </c>
      <c r="S215" s="18"/>
      <c r="T215" s="18">
        <v>28.535637529999999</v>
      </c>
      <c r="U215" s="18"/>
      <c r="V215" s="18"/>
      <c r="X215" s="15" t="s">
        <v>249</v>
      </c>
      <c r="Y215" s="15" t="s">
        <v>327</v>
      </c>
      <c r="Z215" s="15" t="s">
        <v>348</v>
      </c>
      <c r="AA215" s="15"/>
      <c r="AB215" s="15"/>
      <c r="AC215" s="15"/>
      <c r="AD215" s="15"/>
      <c r="AE215" s="19">
        <v>0.08</v>
      </c>
      <c r="AF215" s="18"/>
      <c r="AG215" s="18"/>
      <c r="AH215" s="18"/>
      <c r="AI215" s="18"/>
      <c r="AJ215" s="18"/>
      <c r="AK215" s="19">
        <v>0.08</v>
      </c>
      <c r="AL215" s="18"/>
      <c r="AM215" s="18"/>
      <c r="AN215" s="18"/>
      <c r="AO215" s="18"/>
      <c r="AP215" s="18"/>
      <c r="AR215" s="15" t="s">
        <v>249</v>
      </c>
      <c r="AS215" s="15" t="s">
        <v>567</v>
      </c>
      <c r="AT215" s="15" t="s">
        <v>580</v>
      </c>
      <c r="AU215" s="15"/>
      <c r="AV215" s="15"/>
      <c r="AW215" s="15"/>
      <c r="AX215" s="15"/>
      <c r="AY215" s="15"/>
      <c r="AZ215" s="18"/>
      <c r="BA215" s="19">
        <v>2.5000000000000001E-2</v>
      </c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9">
        <v>0.05</v>
      </c>
      <c r="BM215" s="18"/>
      <c r="BN215" s="18"/>
      <c r="BO215" s="18"/>
      <c r="BP215" s="18"/>
      <c r="BQ215" s="18"/>
      <c r="BR215" s="18"/>
      <c r="BS215" s="18"/>
      <c r="BT215" s="18"/>
      <c r="BU215" s="18"/>
    </row>
    <row r="216" spans="3:73" x14ac:dyDescent="0.45">
      <c r="C216" s="15" t="s">
        <v>249</v>
      </c>
      <c r="D216" s="15" t="s">
        <v>324</v>
      </c>
      <c r="E216" s="15" t="s">
        <v>262</v>
      </c>
      <c r="F216" s="15"/>
      <c r="G216" s="15"/>
      <c r="H216" s="15"/>
      <c r="I216" s="15" t="s">
        <v>323</v>
      </c>
      <c r="J216" s="19"/>
      <c r="K216" s="18"/>
      <c r="L216" s="18">
        <v>34.75</v>
      </c>
      <c r="M216" s="18"/>
      <c r="N216" s="18"/>
      <c r="O216" s="18"/>
      <c r="P216" s="19"/>
      <c r="Q216" s="18"/>
      <c r="R216" s="18">
        <v>34.750586939999998</v>
      </c>
      <c r="S216" s="18"/>
      <c r="T216" s="18"/>
      <c r="U216" s="18"/>
      <c r="V216" s="18"/>
      <c r="X216" s="15" t="s">
        <v>249</v>
      </c>
      <c r="Y216" s="15" t="s">
        <v>327</v>
      </c>
      <c r="Z216" s="15" t="s">
        <v>349</v>
      </c>
      <c r="AA216" s="15"/>
      <c r="AB216" s="15"/>
      <c r="AC216" s="15"/>
      <c r="AD216" s="15"/>
      <c r="AE216" s="19">
        <v>0.08</v>
      </c>
      <c r="AF216" s="18"/>
      <c r="AG216" s="18"/>
      <c r="AH216" s="18"/>
      <c r="AI216" s="18"/>
      <c r="AJ216" s="18"/>
      <c r="AK216" s="19">
        <v>0.08</v>
      </c>
      <c r="AL216" s="18"/>
      <c r="AM216" s="18"/>
      <c r="AN216" s="18"/>
      <c r="AO216" s="18"/>
      <c r="AP216" s="18"/>
      <c r="AR216" s="15" t="s">
        <v>249</v>
      </c>
      <c r="AS216" s="15" t="s">
        <v>567</v>
      </c>
      <c r="AT216" s="15" t="s">
        <v>581</v>
      </c>
      <c r="AU216" s="15"/>
      <c r="AV216" s="15"/>
      <c r="AW216" s="15"/>
      <c r="AX216" s="15"/>
      <c r="AY216" s="15"/>
      <c r="AZ216" s="18"/>
      <c r="BA216" s="19">
        <v>2.5000000000000001E-2</v>
      </c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9">
        <v>0.05</v>
      </c>
      <c r="BM216" s="18"/>
      <c r="BN216" s="18"/>
      <c r="BO216" s="18"/>
      <c r="BP216" s="18"/>
      <c r="BQ216" s="18"/>
      <c r="BR216" s="18"/>
      <c r="BS216" s="18"/>
      <c r="BT216" s="18"/>
      <c r="BU216" s="18"/>
    </row>
    <row r="217" spans="3:73" x14ac:dyDescent="0.45">
      <c r="C217" s="15" t="s">
        <v>249</v>
      </c>
      <c r="D217" s="15" t="s">
        <v>324</v>
      </c>
      <c r="E217" s="15" t="s">
        <v>263</v>
      </c>
      <c r="F217" s="15"/>
      <c r="G217" s="15"/>
      <c r="H217" s="15"/>
      <c r="I217" s="15" t="s">
        <v>323</v>
      </c>
      <c r="J217" s="19"/>
      <c r="K217" s="18"/>
      <c r="L217" s="18">
        <v>11.88</v>
      </c>
      <c r="M217" s="18"/>
      <c r="N217" s="18"/>
      <c r="O217" s="18"/>
      <c r="P217" s="19"/>
      <c r="Q217" s="18"/>
      <c r="R217" s="18">
        <v>11.87981166</v>
      </c>
      <c r="S217" s="18"/>
      <c r="T217" s="18"/>
      <c r="U217" s="18"/>
      <c r="V217" s="18"/>
      <c r="X217" s="15" t="s">
        <v>249</v>
      </c>
      <c r="Y217" s="15" t="s">
        <v>327</v>
      </c>
      <c r="Z217" s="15" t="s">
        <v>350</v>
      </c>
      <c r="AA217" s="15"/>
      <c r="AB217" s="15"/>
      <c r="AC217" s="15"/>
      <c r="AD217" s="15"/>
      <c r="AE217" s="19">
        <v>0.08</v>
      </c>
      <c r="AF217" s="18"/>
      <c r="AG217" s="18"/>
      <c r="AH217" s="18"/>
      <c r="AI217" s="18"/>
      <c r="AJ217" s="18"/>
      <c r="AK217" s="19">
        <v>0.08</v>
      </c>
      <c r="AL217" s="18"/>
      <c r="AM217" s="18"/>
      <c r="AN217" s="18"/>
      <c r="AO217" s="18"/>
      <c r="AP217" s="18"/>
      <c r="AR217" s="15" t="s">
        <v>249</v>
      </c>
      <c r="AS217" s="15" t="s">
        <v>567</v>
      </c>
      <c r="AT217" s="15" t="s">
        <v>582</v>
      </c>
      <c r="AU217" s="15"/>
      <c r="AV217" s="15"/>
      <c r="AW217" s="15"/>
      <c r="AX217" s="15"/>
      <c r="AY217" s="15"/>
      <c r="AZ217" s="18"/>
      <c r="BA217" s="19">
        <v>2.5000000000000001E-2</v>
      </c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9">
        <v>0.05</v>
      </c>
      <c r="BM217" s="18"/>
      <c r="BN217" s="18"/>
      <c r="BO217" s="18"/>
      <c r="BP217" s="18"/>
      <c r="BQ217" s="18"/>
      <c r="BR217" s="18"/>
      <c r="BS217" s="18"/>
      <c r="BT217" s="18"/>
      <c r="BU217" s="18"/>
    </row>
    <row r="218" spans="3:73" x14ac:dyDescent="0.45">
      <c r="C218" s="15" t="s">
        <v>249</v>
      </c>
      <c r="D218" s="15" t="s">
        <v>324</v>
      </c>
      <c r="E218" s="15" t="s">
        <v>264</v>
      </c>
      <c r="F218" s="15"/>
      <c r="G218" s="15"/>
      <c r="H218" s="15"/>
      <c r="I218" s="15" t="s">
        <v>323</v>
      </c>
      <c r="J218" s="19"/>
      <c r="K218" s="18"/>
      <c r="L218" s="18">
        <v>10.53</v>
      </c>
      <c r="M218" s="18"/>
      <c r="N218" s="18"/>
      <c r="O218" s="18">
        <v>8.43</v>
      </c>
      <c r="P218" s="19"/>
      <c r="Q218" s="18"/>
      <c r="R218" s="18">
        <v>10.52998122</v>
      </c>
      <c r="S218" s="18"/>
      <c r="T218" s="18"/>
      <c r="U218" s="18">
        <v>9.0149809019999996</v>
      </c>
      <c r="V218" s="18"/>
      <c r="X218" s="15" t="s">
        <v>249</v>
      </c>
      <c r="Y218" s="15" t="s">
        <v>327</v>
      </c>
      <c r="Z218" s="15" t="s">
        <v>351</v>
      </c>
      <c r="AA218" s="15"/>
      <c r="AB218" s="15"/>
      <c r="AC218" s="15"/>
      <c r="AD218" s="15"/>
      <c r="AE218" s="19">
        <v>0.08</v>
      </c>
      <c r="AF218" s="18"/>
      <c r="AG218" s="18"/>
      <c r="AH218" s="18"/>
      <c r="AI218" s="18"/>
      <c r="AJ218" s="18"/>
      <c r="AK218" s="19">
        <v>0.08</v>
      </c>
      <c r="AL218" s="18"/>
      <c r="AM218" s="18"/>
      <c r="AN218" s="18"/>
      <c r="AO218" s="18"/>
      <c r="AP218" s="18"/>
      <c r="AR218" s="15" t="s">
        <v>249</v>
      </c>
      <c r="AS218" s="15" t="s">
        <v>567</v>
      </c>
      <c r="AT218" s="15" t="s">
        <v>583</v>
      </c>
      <c r="AU218" s="15"/>
      <c r="AV218" s="15"/>
      <c r="AW218" s="15"/>
      <c r="AX218" s="15"/>
      <c r="AY218" s="15"/>
      <c r="AZ218" s="18"/>
      <c r="BA218" s="19">
        <v>2.5000000000000001E-2</v>
      </c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9">
        <v>0.05</v>
      </c>
      <c r="BM218" s="18"/>
      <c r="BN218" s="18"/>
      <c r="BO218" s="18"/>
      <c r="BP218" s="18"/>
      <c r="BQ218" s="18"/>
      <c r="BR218" s="18"/>
      <c r="BS218" s="18"/>
      <c r="BT218" s="18"/>
      <c r="BU218" s="18"/>
    </row>
    <row r="219" spans="3:73" x14ac:dyDescent="0.45">
      <c r="C219" s="15" t="s">
        <v>249</v>
      </c>
      <c r="D219" s="15" t="s">
        <v>324</v>
      </c>
      <c r="E219" s="15" t="s">
        <v>265</v>
      </c>
      <c r="F219" s="15"/>
      <c r="G219" s="15"/>
      <c r="H219" s="15"/>
      <c r="I219" s="15" t="s">
        <v>323</v>
      </c>
      <c r="J219" s="19"/>
      <c r="K219" s="18"/>
      <c r="L219" s="18">
        <v>13.06</v>
      </c>
      <c r="M219" s="18"/>
      <c r="N219" s="18"/>
      <c r="O219" s="18"/>
      <c r="P219" s="19"/>
      <c r="Q219" s="18"/>
      <c r="R219" s="18">
        <v>13.06071596</v>
      </c>
      <c r="S219" s="18"/>
      <c r="T219" s="18"/>
      <c r="U219" s="18"/>
      <c r="V219" s="18"/>
      <c r="X219" s="15" t="s">
        <v>249</v>
      </c>
      <c r="Y219" s="15" t="s">
        <v>327</v>
      </c>
      <c r="Z219" s="15" t="s">
        <v>352</v>
      </c>
      <c r="AA219" s="15"/>
      <c r="AB219" s="15"/>
      <c r="AC219" s="15"/>
      <c r="AD219" s="15"/>
      <c r="AE219" s="19">
        <v>0.08</v>
      </c>
      <c r="AF219" s="18"/>
      <c r="AG219" s="18"/>
      <c r="AH219" s="18"/>
      <c r="AI219" s="18"/>
      <c r="AJ219" s="18"/>
      <c r="AK219" s="19">
        <v>0.08</v>
      </c>
      <c r="AL219" s="18"/>
      <c r="AM219" s="18"/>
      <c r="AN219" s="18"/>
      <c r="AO219" s="18"/>
      <c r="AP219" s="18"/>
      <c r="AR219" s="15" t="s">
        <v>249</v>
      </c>
      <c r="AS219" s="15" t="s">
        <v>567</v>
      </c>
      <c r="AT219" s="15" t="s">
        <v>584</v>
      </c>
      <c r="AU219" s="15"/>
      <c r="AV219" s="15"/>
      <c r="AW219" s="15"/>
      <c r="AX219" s="15"/>
      <c r="AY219" s="15"/>
      <c r="AZ219" s="18"/>
      <c r="BA219" s="19">
        <v>2.5000000000000001E-2</v>
      </c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9">
        <v>0.05</v>
      </c>
      <c r="BM219" s="18"/>
      <c r="BN219" s="18"/>
      <c r="BO219" s="18"/>
      <c r="BP219" s="18"/>
      <c r="BQ219" s="18"/>
      <c r="BR219" s="18"/>
      <c r="BS219" s="18"/>
      <c r="BT219" s="18"/>
      <c r="BU219" s="18"/>
    </row>
    <row r="220" spans="3:73" x14ac:dyDescent="0.45">
      <c r="C220" s="15" t="s">
        <v>249</v>
      </c>
      <c r="D220" s="15" t="s">
        <v>324</v>
      </c>
      <c r="E220" s="15" t="s">
        <v>266</v>
      </c>
      <c r="F220" s="15"/>
      <c r="G220" s="15"/>
      <c r="H220" s="15"/>
      <c r="I220" s="15" t="s">
        <v>323</v>
      </c>
      <c r="J220" s="19"/>
      <c r="K220" s="18"/>
      <c r="L220" s="18">
        <v>21.6</v>
      </c>
      <c r="M220" s="18"/>
      <c r="N220" s="18"/>
      <c r="O220" s="18"/>
      <c r="P220" s="19"/>
      <c r="Q220" s="18"/>
      <c r="R220" s="18">
        <v>21.595994860000001</v>
      </c>
      <c r="S220" s="18"/>
      <c r="T220" s="18"/>
      <c r="U220" s="18"/>
      <c r="V220" s="18"/>
      <c r="X220" s="15" t="s">
        <v>249</v>
      </c>
      <c r="Y220" s="15" t="s">
        <v>327</v>
      </c>
      <c r="Z220" s="15" t="s">
        <v>353</v>
      </c>
      <c r="AA220" s="15"/>
      <c r="AB220" s="15"/>
      <c r="AC220" s="15"/>
      <c r="AD220" s="15"/>
      <c r="AE220" s="19">
        <v>0.08</v>
      </c>
      <c r="AF220" s="18"/>
      <c r="AG220" s="18"/>
      <c r="AH220" s="18"/>
      <c r="AI220" s="18"/>
      <c r="AJ220" s="18"/>
      <c r="AK220" s="19">
        <v>0.08</v>
      </c>
      <c r="AL220" s="18"/>
      <c r="AM220" s="18"/>
      <c r="AN220" s="18"/>
      <c r="AO220" s="18"/>
      <c r="AP220" s="18"/>
      <c r="AR220" s="15" t="s">
        <v>249</v>
      </c>
      <c r="AS220" s="15" t="s">
        <v>567</v>
      </c>
      <c r="AT220" s="15" t="s">
        <v>585</v>
      </c>
      <c r="AU220" s="15"/>
      <c r="AV220" s="15"/>
      <c r="AW220" s="15"/>
      <c r="AX220" s="15"/>
      <c r="AY220" s="15"/>
      <c r="AZ220" s="18"/>
      <c r="BA220" s="19">
        <v>2.5000000000000001E-2</v>
      </c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9">
        <v>0.05</v>
      </c>
      <c r="BM220" s="18"/>
      <c r="BN220" s="18"/>
      <c r="BO220" s="18"/>
      <c r="BP220" s="18"/>
      <c r="BQ220" s="18"/>
      <c r="BR220" s="18"/>
      <c r="BS220" s="18"/>
      <c r="BT220" s="18"/>
      <c r="BU220" s="18"/>
    </row>
    <row r="221" spans="3:73" x14ac:dyDescent="0.45">
      <c r="C221" s="15" t="s">
        <v>249</v>
      </c>
      <c r="D221" s="15" t="s">
        <v>324</v>
      </c>
      <c r="E221" s="15" t="s">
        <v>267</v>
      </c>
      <c r="F221" s="15"/>
      <c r="G221" s="15"/>
      <c r="H221" s="15"/>
      <c r="I221" s="15" t="s">
        <v>323</v>
      </c>
      <c r="J221" s="19"/>
      <c r="K221" s="18"/>
      <c r="L221" s="18">
        <v>21.6</v>
      </c>
      <c r="M221" s="18"/>
      <c r="N221" s="18"/>
      <c r="O221" s="18"/>
      <c r="P221" s="19"/>
      <c r="Q221" s="18"/>
      <c r="R221" s="18">
        <v>21.595994860000001</v>
      </c>
      <c r="S221" s="18"/>
      <c r="T221" s="18"/>
      <c r="U221" s="18"/>
      <c r="V221" s="18"/>
      <c r="X221" s="15" t="s">
        <v>249</v>
      </c>
      <c r="Y221" s="15" t="s">
        <v>327</v>
      </c>
      <c r="Z221" s="15" t="s">
        <v>354</v>
      </c>
      <c r="AA221" s="15"/>
      <c r="AB221" s="15"/>
      <c r="AC221" s="15"/>
      <c r="AD221" s="15"/>
      <c r="AE221" s="19">
        <v>0.08</v>
      </c>
      <c r="AF221" s="18"/>
      <c r="AG221" s="18"/>
      <c r="AH221" s="18"/>
      <c r="AI221" s="18"/>
      <c r="AJ221" s="18"/>
      <c r="AK221" s="19">
        <v>0.08</v>
      </c>
      <c r="AL221" s="18"/>
      <c r="AM221" s="18"/>
      <c r="AN221" s="18"/>
      <c r="AO221" s="18"/>
      <c r="AP221" s="18"/>
      <c r="AR221" s="15" t="s">
        <v>249</v>
      </c>
      <c r="AS221" s="15" t="s">
        <v>567</v>
      </c>
      <c r="AT221" s="15" t="s">
        <v>586</v>
      </c>
      <c r="AU221" s="15"/>
      <c r="AV221" s="15"/>
      <c r="AW221" s="15"/>
      <c r="AX221" s="15"/>
      <c r="AY221" s="15"/>
      <c r="AZ221" s="18"/>
      <c r="BA221" s="19">
        <v>2.5000000000000001E-2</v>
      </c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9">
        <v>0.05</v>
      </c>
      <c r="BM221" s="18"/>
      <c r="BN221" s="18"/>
      <c r="BO221" s="18"/>
      <c r="BP221" s="18"/>
      <c r="BQ221" s="18"/>
      <c r="BR221" s="18"/>
      <c r="BS221" s="18"/>
      <c r="BT221" s="18"/>
      <c r="BU221" s="18"/>
    </row>
    <row r="222" spans="3:73" x14ac:dyDescent="0.45">
      <c r="C222" s="15" t="s">
        <v>249</v>
      </c>
      <c r="D222" s="15" t="s">
        <v>324</v>
      </c>
      <c r="E222" s="15" t="s">
        <v>268</v>
      </c>
      <c r="F222" s="15"/>
      <c r="G222" s="15"/>
      <c r="H222" s="15"/>
      <c r="I222" s="15" t="s">
        <v>323</v>
      </c>
      <c r="J222" s="19"/>
      <c r="K222" s="18"/>
      <c r="L222" s="18">
        <v>46.65</v>
      </c>
      <c r="M222" s="18"/>
      <c r="N222" s="18"/>
      <c r="O222" s="18"/>
      <c r="P222" s="19"/>
      <c r="Q222" s="18"/>
      <c r="R222" s="18">
        <v>46.646350929999997</v>
      </c>
      <c r="S222" s="18"/>
      <c r="T222" s="18"/>
      <c r="U222" s="18"/>
      <c r="V222" s="18"/>
      <c r="X222" s="15" t="s">
        <v>249</v>
      </c>
      <c r="Y222" s="15" t="s">
        <v>327</v>
      </c>
      <c r="Z222" s="15" t="s">
        <v>355</v>
      </c>
      <c r="AA222" s="15"/>
      <c r="AB222" s="15"/>
      <c r="AC222" s="15"/>
      <c r="AD222" s="15"/>
      <c r="AE222" s="19">
        <v>0.08</v>
      </c>
      <c r="AF222" s="18"/>
      <c r="AG222" s="18"/>
      <c r="AH222" s="18"/>
      <c r="AI222" s="18"/>
      <c r="AJ222" s="18"/>
      <c r="AK222" s="19">
        <v>0.08</v>
      </c>
      <c r="AL222" s="18"/>
      <c r="AM222" s="18"/>
      <c r="AN222" s="18"/>
      <c r="AO222" s="18"/>
      <c r="AP222" s="18"/>
      <c r="AR222" s="15" t="s">
        <v>249</v>
      </c>
      <c r="AS222" s="15" t="s">
        <v>567</v>
      </c>
      <c r="AT222" s="15" t="s">
        <v>587</v>
      </c>
      <c r="AU222" s="15"/>
      <c r="AV222" s="15"/>
      <c r="AW222" s="15"/>
      <c r="AX222" s="15"/>
      <c r="AY222" s="15"/>
      <c r="AZ222" s="18"/>
      <c r="BA222" s="19">
        <v>2.5000000000000001E-2</v>
      </c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9">
        <v>0.05</v>
      </c>
      <c r="BM222" s="18"/>
      <c r="BN222" s="18"/>
      <c r="BO222" s="18"/>
      <c r="BP222" s="18"/>
      <c r="BQ222" s="18"/>
      <c r="BR222" s="18"/>
      <c r="BS222" s="18"/>
      <c r="BT222" s="18"/>
      <c r="BU222" s="18"/>
    </row>
    <row r="223" spans="3:73" x14ac:dyDescent="0.45">
      <c r="C223" s="15" t="s">
        <v>249</v>
      </c>
      <c r="D223" s="15" t="s">
        <v>324</v>
      </c>
      <c r="E223" s="15" t="s">
        <v>269</v>
      </c>
      <c r="F223" s="15"/>
      <c r="G223" s="15"/>
      <c r="H223" s="15"/>
      <c r="I223" s="15" t="s">
        <v>323</v>
      </c>
      <c r="J223" s="19"/>
      <c r="K223" s="18"/>
      <c r="L223" s="18">
        <v>28.71</v>
      </c>
      <c r="M223" s="18"/>
      <c r="N223" s="18"/>
      <c r="O223" s="18"/>
      <c r="P223" s="19"/>
      <c r="Q223" s="18"/>
      <c r="R223" s="18">
        <v>28.705102870000001</v>
      </c>
      <c r="S223" s="18"/>
      <c r="T223" s="18"/>
      <c r="U223" s="18"/>
      <c r="V223" s="18"/>
      <c r="X223" s="15" t="s">
        <v>249</v>
      </c>
      <c r="Y223" s="15" t="s">
        <v>327</v>
      </c>
      <c r="Z223" s="15" t="s">
        <v>356</v>
      </c>
      <c r="AA223" s="15"/>
      <c r="AB223" s="15"/>
      <c r="AC223" s="15"/>
      <c r="AD223" s="15"/>
      <c r="AE223" s="19">
        <v>0.08</v>
      </c>
      <c r="AF223" s="18"/>
      <c r="AG223" s="18"/>
      <c r="AH223" s="18"/>
      <c r="AI223" s="18"/>
      <c r="AJ223" s="18"/>
      <c r="AK223" s="19">
        <v>0.08</v>
      </c>
      <c r="AL223" s="18"/>
      <c r="AM223" s="18"/>
      <c r="AN223" s="18"/>
      <c r="AO223" s="18"/>
      <c r="AP223" s="18"/>
      <c r="AR223" s="15" t="s">
        <v>249</v>
      </c>
      <c r="AS223" s="15" t="s">
        <v>567</v>
      </c>
      <c r="AT223" s="15" t="s">
        <v>588</v>
      </c>
      <c r="AU223" s="15"/>
      <c r="AV223" s="15"/>
      <c r="AW223" s="15"/>
      <c r="AX223" s="15"/>
      <c r="AY223" s="15"/>
      <c r="AZ223" s="18"/>
      <c r="BA223" s="19">
        <v>2.5000000000000001E-2</v>
      </c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9">
        <v>0.05</v>
      </c>
      <c r="BM223" s="18"/>
      <c r="BN223" s="18"/>
      <c r="BO223" s="18"/>
      <c r="BP223" s="18"/>
      <c r="BQ223" s="18"/>
      <c r="BR223" s="18"/>
      <c r="BS223" s="18"/>
      <c r="BT223" s="18"/>
      <c r="BU223" s="18"/>
    </row>
    <row r="224" spans="3:73" x14ac:dyDescent="0.45">
      <c r="C224" s="15" t="s">
        <v>249</v>
      </c>
      <c r="D224" s="15" t="s">
        <v>324</v>
      </c>
      <c r="E224" s="15" t="s">
        <v>270</v>
      </c>
      <c r="F224" s="15"/>
      <c r="G224" s="15"/>
      <c r="H224" s="15"/>
      <c r="I224" s="15" t="s">
        <v>323</v>
      </c>
      <c r="J224" s="19"/>
      <c r="K224" s="18"/>
      <c r="L224" s="18">
        <v>36</v>
      </c>
      <c r="M224" s="18"/>
      <c r="N224" s="18"/>
      <c r="O224" s="18"/>
      <c r="P224" s="19"/>
      <c r="Q224" s="18"/>
      <c r="R224" s="18">
        <v>35.99820064</v>
      </c>
      <c r="S224" s="18"/>
      <c r="T224" s="18"/>
      <c r="U224" s="18"/>
      <c r="V224" s="18"/>
      <c r="X224" s="15" t="s">
        <v>249</v>
      </c>
      <c r="Y224" s="15" t="s">
        <v>327</v>
      </c>
      <c r="Z224" s="15" t="s">
        <v>357</v>
      </c>
      <c r="AA224" s="15"/>
      <c r="AB224" s="15"/>
      <c r="AC224" s="15"/>
      <c r="AD224" s="15"/>
      <c r="AE224" s="19">
        <v>0.08</v>
      </c>
      <c r="AF224" s="18"/>
      <c r="AG224" s="18"/>
      <c r="AH224" s="18"/>
      <c r="AI224" s="18"/>
      <c r="AJ224" s="18"/>
      <c r="AK224" s="19">
        <v>0.08</v>
      </c>
      <c r="AL224" s="18"/>
      <c r="AM224" s="18"/>
      <c r="AN224" s="18"/>
      <c r="AO224" s="18"/>
      <c r="AP224" s="18"/>
      <c r="AR224" s="15" t="s">
        <v>249</v>
      </c>
      <c r="AS224" s="15" t="s">
        <v>567</v>
      </c>
      <c r="AT224" s="15" t="s">
        <v>589</v>
      </c>
      <c r="AU224" s="15"/>
      <c r="AV224" s="15"/>
      <c r="AW224" s="15"/>
      <c r="AX224" s="15"/>
      <c r="AY224" s="15"/>
      <c r="AZ224" s="18"/>
      <c r="BA224" s="19">
        <v>2.5000000000000001E-2</v>
      </c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9">
        <v>0.05</v>
      </c>
      <c r="BM224" s="18"/>
      <c r="BN224" s="18"/>
      <c r="BO224" s="18"/>
      <c r="BP224" s="18"/>
      <c r="BQ224" s="18"/>
      <c r="BR224" s="18"/>
      <c r="BS224" s="18"/>
      <c r="BT224" s="18"/>
      <c r="BU224" s="18"/>
    </row>
    <row r="225" spans="3:73" x14ac:dyDescent="0.45">
      <c r="C225" s="15" t="s">
        <v>249</v>
      </c>
      <c r="D225" s="15" t="s">
        <v>324</v>
      </c>
      <c r="E225" s="15" t="s">
        <v>271</v>
      </c>
      <c r="F225" s="15"/>
      <c r="G225" s="15"/>
      <c r="H225" s="15"/>
      <c r="I225" s="15" t="s">
        <v>323</v>
      </c>
      <c r="J225" s="19"/>
      <c r="K225" s="18"/>
      <c r="L225" s="18">
        <v>24.54</v>
      </c>
      <c r="M225" s="18"/>
      <c r="N225" s="18"/>
      <c r="O225" s="18"/>
      <c r="P225" s="19"/>
      <c r="Q225" s="18"/>
      <c r="R225" s="18">
        <v>24.544002819999999</v>
      </c>
      <c r="S225" s="18"/>
      <c r="T225" s="18"/>
      <c r="U225" s="18"/>
      <c r="V225" s="18"/>
      <c r="X225" s="15" t="s">
        <v>249</v>
      </c>
      <c r="Y225" s="15" t="s">
        <v>327</v>
      </c>
      <c r="Z225" s="15" t="s">
        <v>358</v>
      </c>
      <c r="AA225" s="15"/>
      <c r="AB225" s="15"/>
      <c r="AC225" s="15"/>
      <c r="AD225" s="15"/>
      <c r="AE225" s="19">
        <v>0.08</v>
      </c>
      <c r="AF225" s="18"/>
      <c r="AG225" s="18"/>
      <c r="AH225" s="18"/>
      <c r="AI225" s="18"/>
      <c r="AJ225" s="18"/>
      <c r="AK225" s="19">
        <v>0.08</v>
      </c>
      <c r="AL225" s="18"/>
      <c r="AM225" s="18"/>
      <c r="AN225" s="18"/>
      <c r="AO225" s="18"/>
      <c r="AP225" s="18"/>
      <c r="AR225" s="15" t="s">
        <v>249</v>
      </c>
      <c r="AS225" s="15" t="s">
        <v>567</v>
      </c>
      <c r="AT225" s="15" t="s">
        <v>590</v>
      </c>
      <c r="AU225" s="15"/>
      <c r="AV225" s="15"/>
      <c r="AW225" s="15"/>
      <c r="AX225" s="15"/>
      <c r="AY225" s="15"/>
      <c r="AZ225" s="18"/>
      <c r="BA225" s="19">
        <v>2.5000000000000001E-2</v>
      </c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9">
        <v>0.05</v>
      </c>
      <c r="BM225" s="18"/>
      <c r="BN225" s="18"/>
      <c r="BO225" s="18"/>
      <c r="BP225" s="18"/>
      <c r="BQ225" s="18"/>
      <c r="BR225" s="18"/>
      <c r="BS225" s="18"/>
      <c r="BT225" s="18"/>
      <c r="BU225" s="18"/>
    </row>
    <row r="226" spans="3:73" x14ac:dyDescent="0.45">
      <c r="C226" s="15" t="s">
        <v>249</v>
      </c>
      <c r="D226" s="15" t="s">
        <v>324</v>
      </c>
      <c r="E226" s="15" t="s">
        <v>272</v>
      </c>
      <c r="F226" s="15"/>
      <c r="G226" s="15"/>
      <c r="H226" s="15"/>
      <c r="I226" s="15" t="s">
        <v>323</v>
      </c>
      <c r="J226" s="19"/>
      <c r="K226" s="18"/>
      <c r="L226" s="18">
        <v>22.92</v>
      </c>
      <c r="M226" s="18"/>
      <c r="N226" s="18"/>
      <c r="O226" s="18"/>
      <c r="P226" s="19"/>
      <c r="Q226" s="18"/>
      <c r="R226" s="18">
        <v>22.917236719999998</v>
      </c>
      <c r="S226" s="18"/>
      <c r="T226" s="18"/>
      <c r="U226" s="18"/>
      <c r="V226" s="18"/>
      <c r="X226" s="15" t="s">
        <v>249</v>
      </c>
      <c r="Y226" s="15" t="s">
        <v>327</v>
      </c>
      <c r="Z226" s="15" t="s">
        <v>359</v>
      </c>
      <c r="AA226" s="15"/>
      <c r="AB226" s="15"/>
      <c r="AC226" s="15"/>
      <c r="AD226" s="15"/>
      <c r="AE226" s="19">
        <v>0.08</v>
      </c>
      <c r="AF226" s="18"/>
      <c r="AG226" s="18"/>
      <c r="AH226" s="18"/>
      <c r="AI226" s="18"/>
      <c r="AJ226" s="18"/>
      <c r="AK226" s="19">
        <v>0.08</v>
      </c>
      <c r="AL226" s="18"/>
      <c r="AM226" s="18"/>
      <c r="AN226" s="18"/>
      <c r="AO226" s="18"/>
      <c r="AP226" s="18"/>
      <c r="AR226" s="15" t="s">
        <v>249</v>
      </c>
      <c r="AS226" s="15" t="s">
        <v>567</v>
      </c>
      <c r="AT226" s="15" t="s">
        <v>591</v>
      </c>
      <c r="AU226" s="15"/>
      <c r="AV226" s="15"/>
      <c r="AW226" s="15"/>
      <c r="AX226" s="15"/>
      <c r="AY226" s="15"/>
      <c r="AZ226" s="18"/>
      <c r="BA226" s="19">
        <v>2.5000000000000001E-2</v>
      </c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9">
        <v>0.05</v>
      </c>
      <c r="BM226" s="18"/>
      <c r="BN226" s="18"/>
      <c r="BO226" s="18"/>
      <c r="BP226" s="18"/>
      <c r="BQ226" s="18"/>
      <c r="BR226" s="18"/>
      <c r="BS226" s="18"/>
      <c r="BT226" s="18"/>
      <c r="BU226" s="18"/>
    </row>
    <row r="227" spans="3:73" x14ac:dyDescent="0.45">
      <c r="C227" s="15" t="s">
        <v>249</v>
      </c>
      <c r="D227" s="15" t="s">
        <v>324</v>
      </c>
      <c r="E227" s="15" t="s">
        <v>274</v>
      </c>
      <c r="F227" s="15"/>
      <c r="G227" s="15"/>
      <c r="H227" s="15"/>
      <c r="I227" s="15" t="s">
        <v>323</v>
      </c>
      <c r="J227" s="19"/>
      <c r="K227" s="18">
        <v>0.1</v>
      </c>
      <c r="L227" s="18"/>
      <c r="M227" s="18"/>
      <c r="N227" s="18"/>
      <c r="O227" s="18"/>
      <c r="P227" s="19"/>
      <c r="Q227" s="18"/>
      <c r="R227" s="18"/>
      <c r="S227" s="18"/>
      <c r="T227" s="18"/>
      <c r="U227" s="18"/>
      <c r="V227" s="18"/>
      <c r="X227" s="15" t="s">
        <v>249</v>
      </c>
      <c r="Y227" s="15" t="s">
        <v>327</v>
      </c>
      <c r="Z227" s="15" t="s">
        <v>360</v>
      </c>
      <c r="AA227" s="15"/>
      <c r="AB227" s="15"/>
      <c r="AC227" s="15"/>
      <c r="AD227" s="15"/>
      <c r="AE227" s="19">
        <v>0.08</v>
      </c>
      <c r="AF227" s="18"/>
      <c r="AG227" s="18"/>
      <c r="AH227" s="18"/>
      <c r="AI227" s="18"/>
      <c r="AJ227" s="18"/>
      <c r="AK227" s="19">
        <v>0.08</v>
      </c>
      <c r="AL227" s="18"/>
      <c r="AM227" s="18"/>
      <c r="AN227" s="18"/>
      <c r="AO227" s="18"/>
      <c r="AP227" s="18"/>
      <c r="AR227" s="15" t="s">
        <v>249</v>
      </c>
      <c r="AS227" s="15" t="s">
        <v>567</v>
      </c>
      <c r="AT227" s="15" t="s">
        <v>592</v>
      </c>
      <c r="AU227" s="15"/>
      <c r="AV227" s="15"/>
      <c r="AW227" s="15"/>
      <c r="AX227" s="15"/>
      <c r="AY227" s="15"/>
      <c r="AZ227" s="18"/>
      <c r="BA227" s="19">
        <v>2.5000000000000001E-2</v>
      </c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9">
        <v>0.05</v>
      </c>
      <c r="BM227" s="18"/>
      <c r="BN227" s="18"/>
      <c r="BO227" s="18"/>
      <c r="BP227" s="18"/>
      <c r="BQ227" s="18"/>
      <c r="BR227" s="18"/>
      <c r="BS227" s="18"/>
      <c r="BT227" s="18"/>
      <c r="BU227" s="18"/>
    </row>
    <row r="228" spans="3:73" x14ac:dyDescent="0.45">
      <c r="C228" s="15" t="s">
        <v>249</v>
      </c>
      <c r="D228" s="15" t="s">
        <v>324</v>
      </c>
      <c r="E228" s="15" t="s">
        <v>278</v>
      </c>
      <c r="F228" s="15"/>
      <c r="G228" s="15"/>
      <c r="H228" s="15"/>
      <c r="I228" s="15" t="s">
        <v>323</v>
      </c>
      <c r="J228" s="19"/>
      <c r="K228" s="18"/>
      <c r="L228" s="18">
        <v>32.222066460000001</v>
      </c>
      <c r="M228" s="18"/>
      <c r="N228" s="18"/>
      <c r="O228" s="18"/>
      <c r="P228" s="19"/>
      <c r="Q228" s="18"/>
      <c r="R228" s="18">
        <v>32.222066460000001</v>
      </c>
      <c r="S228" s="18"/>
      <c r="T228" s="18"/>
      <c r="U228" s="18"/>
      <c r="V228" s="18"/>
      <c r="X228" s="15" t="s">
        <v>249</v>
      </c>
      <c r="Y228" s="15" t="s">
        <v>327</v>
      </c>
      <c r="Z228" s="15" t="s">
        <v>361</v>
      </c>
      <c r="AA228" s="15"/>
      <c r="AB228" s="15"/>
      <c r="AC228" s="15"/>
      <c r="AD228" s="15"/>
      <c r="AE228" s="19">
        <v>0.08</v>
      </c>
      <c r="AF228" s="18"/>
      <c r="AG228" s="18"/>
      <c r="AH228" s="18"/>
      <c r="AI228" s="18"/>
      <c r="AJ228" s="18"/>
      <c r="AK228" s="19">
        <v>0.08</v>
      </c>
      <c r="AL228" s="18"/>
      <c r="AM228" s="18"/>
      <c r="AN228" s="18"/>
      <c r="AO228" s="18"/>
      <c r="AP228" s="18"/>
      <c r="AR228" s="15" t="s">
        <v>249</v>
      </c>
      <c r="AS228" s="15" t="s">
        <v>567</v>
      </c>
      <c r="AT228" s="15" t="s">
        <v>593</v>
      </c>
      <c r="AU228" s="15"/>
      <c r="AV228" s="15"/>
      <c r="AW228" s="15"/>
      <c r="AX228" s="15"/>
      <c r="AY228" s="15"/>
      <c r="AZ228" s="18"/>
      <c r="BA228" s="19">
        <v>2.5000000000000001E-2</v>
      </c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9">
        <v>0.05</v>
      </c>
      <c r="BM228" s="18"/>
      <c r="BN228" s="18"/>
      <c r="BO228" s="18"/>
      <c r="BP228" s="18"/>
      <c r="BQ228" s="18"/>
      <c r="BR228" s="18"/>
      <c r="BS228" s="18"/>
      <c r="BT228" s="18"/>
      <c r="BU228" s="18"/>
    </row>
    <row r="229" spans="3:73" x14ac:dyDescent="0.45">
      <c r="C229" s="15" t="s">
        <v>249</v>
      </c>
      <c r="D229" s="15" t="s">
        <v>324</v>
      </c>
      <c r="E229" s="15" t="s">
        <v>279</v>
      </c>
      <c r="F229" s="15"/>
      <c r="G229" s="15"/>
      <c r="H229" s="15"/>
      <c r="I229" s="15" t="s">
        <v>323</v>
      </c>
      <c r="J229" s="19"/>
      <c r="K229" s="18"/>
      <c r="L229" s="18">
        <v>11.906698</v>
      </c>
      <c r="M229" s="18"/>
      <c r="N229" s="18"/>
      <c r="O229" s="18"/>
      <c r="P229" s="19"/>
      <c r="Q229" s="18"/>
      <c r="R229" s="18">
        <v>11.906698</v>
      </c>
      <c r="S229" s="18"/>
      <c r="T229" s="18"/>
      <c r="U229" s="18"/>
      <c r="V229" s="18"/>
      <c r="X229" s="15" t="s">
        <v>249</v>
      </c>
      <c r="Y229" s="15" t="s">
        <v>327</v>
      </c>
      <c r="Z229" s="15" t="s">
        <v>362</v>
      </c>
      <c r="AA229" s="15"/>
      <c r="AB229" s="15"/>
      <c r="AC229" s="15"/>
      <c r="AD229" s="15"/>
      <c r="AE229" s="19">
        <v>0.08</v>
      </c>
      <c r="AF229" s="18"/>
      <c r="AG229" s="18"/>
      <c r="AH229" s="18"/>
      <c r="AI229" s="18"/>
      <c r="AJ229" s="18"/>
      <c r="AK229" s="19">
        <v>0.08</v>
      </c>
      <c r="AL229" s="18"/>
      <c r="AM229" s="18"/>
      <c r="AN229" s="18"/>
      <c r="AO229" s="18"/>
      <c r="AP229" s="18"/>
      <c r="AR229" s="15" t="s">
        <v>249</v>
      </c>
      <c r="AS229" s="15" t="s">
        <v>567</v>
      </c>
      <c r="AT229" s="15" t="s">
        <v>594</v>
      </c>
      <c r="AU229" s="15"/>
      <c r="AV229" s="15"/>
      <c r="AW229" s="15"/>
      <c r="AX229" s="15"/>
      <c r="AY229" s="15"/>
      <c r="AZ229" s="18"/>
      <c r="BA229" s="19">
        <v>2.5000000000000001E-2</v>
      </c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9">
        <v>0.05</v>
      </c>
      <c r="BM229" s="18"/>
      <c r="BN229" s="18"/>
      <c r="BO229" s="18"/>
      <c r="BP229" s="18"/>
      <c r="BQ229" s="18"/>
      <c r="BR229" s="18"/>
      <c r="BS229" s="18"/>
      <c r="BT229" s="18"/>
      <c r="BU229" s="18"/>
    </row>
    <row r="230" spans="3:73" x14ac:dyDescent="0.45">
      <c r="C230" s="15" t="s">
        <v>249</v>
      </c>
      <c r="D230" s="15" t="s">
        <v>324</v>
      </c>
      <c r="E230" s="15" t="s">
        <v>280</v>
      </c>
      <c r="F230" s="15"/>
      <c r="G230" s="15"/>
      <c r="H230" s="15"/>
      <c r="I230" s="15" t="s">
        <v>323</v>
      </c>
      <c r="J230" s="18"/>
      <c r="K230" s="18"/>
      <c r="L230" s="19">
        <v>28.99985981</v>
      </c>
      <c r="M230" s="19"/>
      <c r="N230" s="18"/>
      <c r="O230" s="19"/>
      <c r="P230" s="18"/>
      <c r="Q230" s="18"/>
      <c r="R230" s="19">
        <v>28.99985981</v>
      </c>
      <c r="S230" s="19"/>
      <c r="T230" s="18"/>
      <c r="U230" s="19"/>
      <c r="V230" s="19"/>
      <c r="X230" s="15" t="s">
        <v>328</v>
      </c>
      <c r="Y230" s="15" t="s">
        <v>250</v>
      </c>
      <c r="Z230" s="15" t="s">
        <v>330</v>
      </c>
      <c r="AA230" s="15" t="s">
        <v>252</v>
      </c>
      <c r="AB230" s="15"/>
      <c r="AC230" s="15"/>
      <c r="AD230" s="15"/>
      <c r="AE230" s="18"/>
      <c r="AF230" s="18"/>
      <c r="AG230" s="19">
        <v>1.3286635932044299</v>
      </c>
      <c r="AH230" s="19">
        <v>1.1547044951380601</v>
      </c>
      <c r="AI230" s="18"/>
      <c r="AJ230" s="19">
        <v>1.2533056480065099</v>
      </c>
      <c r="AK230" s="18"/>
      <c r="AL230" s="18"/>
      <c r="AM230" s="19">
        <v>1.3286635932044299</v>
      </c>
      <c r="AN230" s="19">
        <v>1.15239602964443</v>
      </c>
      <c r="AO230" s="18"/>
      <c r="AP230" s="19">
        <v>1.25227260001938</v>
      </c>
      <c r="AR230" s="15" t="s">
        <v>249</v>
      </c>
      <c r="AS230" s="15" t="s">
        <v>567</v>
      </c>
      <c r="AT230" s="15" t="s">
        <v>595</v>
      </c>
      <c r="AU230" s="15"/>
      <c r="AV230" s="15"/>
      <c r="AW230" s="15"/>
      <c r="AX230" s="15"/>
      <c r="AY230" s="15"/>
      <c r="AZ230" s="18"/>
      <c r="BA230" s="19">
        <v>2.5000000000000001E-2</v>
      </c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9">
        <v>0.05</v>
      </c>
      <c r="BM230" s="18"/>
      <c r="BN230" s="18"/>
      <c r="BO230" s="18"/>
      <c r="BP230" s="18"/>
      <c r="BQ230" s="18"/>
      <c r="BR230" s="18"/>
      <c r="BS230" s="18"/>
      <c r="BT230" s="18"/>
      <c r="BU230" s="18"/>
    </row>
    <row r="231" spans="3:73" x14ac:dyDescent="0.45">
      <c r="C231" s="15" t="s">
        <v>249</v>
      </c>
      <c r="D231" s="15" t="s">
        <v>324</v>
      </c>
      <c r="E231" s="15" t="s">
        <v>281</v>
      </c>
      <c r="F231" s="15"/>
      <c r="G231" s="15"/>
      <c r="H231" s="15"/>
      <c r="I231" s="15" t="s">
        <v>323</v>
      </c>
      <c r="J231" s="18"/>
      <c r="K231" s="18"/>
      <c r="L231" s="19">
        <v>50.94642709</v>
      </c>
      <c r="M231" s="18"/>
      <c r="N231" s="18"/>
      <c r="O231" s="18"/>
      <c r="P231" s="18"/>
      <c r="Q231" s="18"/>
      <c r="R231" s="19">
        <v>50.94642709</v>
      </c>
      <c r="S231" s="18"/>
      <c r="T231" s="18"/>
      <c r="U231" s="18"/>
      <c r="V231" s="18"/>
      <c r="X231" s="15" t="s">
        <v>328</v>
      </c>
      <c r="Y231" s="15" t="s">
        <v>250</v>
      </c>
      <c r="Z231" s="15" t="s">
        <v>331</v>
      </c>
      <c r="AA231" s="15" t="s">
        <v>252</v>
      </c>
      <c r="AB231" s="15"/>
      <c r="AC231" s="15"/>
      <c r="AD231" s="15"/>
      <c r="AE231" s="18"/>
      <c r="AF231" s="18"/>
      <c r="AG231" s="19">
        <v>0.73529411764705899</v>
      </c>
      <c r="AH231" s="18"/>
      <c r="AI231" s="18"/>
      <c r="AJ231" s="18"/>
      <c r="AK231" s="18"/>
      <c r="AL231" s="18"/>
      <c r="AM231" s="19">
        <v>0.73529411764705899</v>
      </c>
      <c r="AN231" s="18"/>
      <c r="AO231" s="18"/>
      <c r="AP231" s="18"/>
      <c r="AR231" s="15" t="s">
        <v>249</v>
      </c>
      <c r="AS231" s="15" t="s">
        <v>567</v>
      </c>
      <c r="AT231" s="15" t="s">
        <v>596</v>
      </c>
      <c r="AU231" s="15"/>
      <c r="AV231" s="15"/>
      <c r="AW231" s="15"/>
      <c r="AX231" s="15"/>
      <c r="AY231" s="15"/>
      <c r="AZ231" s="18"/>
      <c r="BA231" s="19">
        <v>2.5000000000000001E-2</v>
      </c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9">
        <v>0.05</v>
      </c>
      <c r="BM231" s="18"/>
      <c r="BN231" s="18"/>
      <c r="BO231" s="18"/>
      <c r="BP231" s="18"/>
      <c r="BQ231" s="18"/>
      <c r="BR231" s="18"/>
      <c r="BS231" s="18"/>
      <c r="BT231" s="18"/>
      <c r="BU231" s="18"/>
    </row>
    <row r="232" spans="3:73" x14ac:dyDescent="0.45">
      <c r="C232" s="15" t="s">
        <v>249</v>
      </c>
      <c r="D232" s="15" t="s">
        <v>324</v>
      </c>
      <c r="E232" s="15" t="s">
        <v>282</v>
      </c>
      <c r="F232" s="15"/>
      <c r="G232" s="15"/>
      <c r="H232" s="15"/>
      <c r="I232" s="15" t="s">
        <v>323</v>
      </c>
      <c r="J232" s="18"/>
      <c r="K232" s="18"/>
      <c r="L232" s="19">
        <v>18.825723740000001</v>
      </c>
      <c r="M232" s="19"/>
      <c r="N232" s="18"/>
      <c r="O232" s="19"/>
      <c r="P232" s="18"/>
      <c r="Q232" s="18"/>
      <c r="R232" s="19">
        <v>18.825723740000001</v>
      </c>
      <c r="S232" s="19"/>
      <c r="T232" s="18"/>
      <c r="U232" s="19"/>
      <c r="V232" s="19"/>
      <c r="X232" s="15" t="s">
        <v>328</v>
      </c>
      <c r="Y232" s="15" t="s">
        <v>250</v>
      </c>
      <c r="Z232" s="15" t="s">
        <v>332</v>
      </c>
      <c r="AA232" s="15" t="s">
        <v>252</v>
      </c>
      <c r="AB232" s="15"/>
      <c r="AC232" s="15"/>
      <c r="AD232" s="15"/>
      <c r="AE232" s="18"/>
      <c r="AF232" s="18"/>
      <c r="AG232" s="19">
        <v>0.34633084121503799</v>
      </c>
      <c r="AH232" s="19">
        <v>0.37718159491337</v>
      </c>
      <c r="AI232" s="18"/>
      <c r="AJ232" s="19">
        <v>0.402522947533137</v>
      </c>
      <c r="AK232" s="18"/>
      <c r="AL232" s="18"/>
      <c r="AM232" s="19">
        <v>0.34633084121503799</v>
      </c>
      <c r="AN232" s="19">
        <v>0.369526030884607</v>
      </c>
      <c r="AO232" s="18"/>
      <c r="AP232" s="19">
        <v>0.36682984733868601</v>
      </c>
      <c r="AR232" s="15" t="s">
        <v>249</v>
      </c>
      <c r="AS232" s="15" t="s">
        <v>567</v>
      </c>
      <c r="AT232" s="15" t="s">
        <v>597</v>
      </c>
      <c r="AU232" s="15"/>
      <c r="AV232" s="15"/>
      <c r="AW232" s="15"/>
      <c r="AX232" s="15"/>
      <c r="AY232" s="15"/>
      <c r="AZ232" s="18"/>
      <c r="BA232" s="19">
        <v>2.5000000000000001E-2</v>
      </c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9">
        <v>0.05</v>
      </c>
      <c r="BM232" s="18"/>
      <c r="BN232" s="18"/>
      <c r="BO232" s="18"/>
      <c r="BP232" s="18"/>
      <c r="BQ232" s="18"/>
      <c r="BR232" s="18"/>
      <c r="BS232" s="18"/>
      <c r="BT232" s="18"/>
      <c r="BU232" s="18"/>
    </row>
    <row r="233" spans="3:73" x14ac:dyDescent="0.45">
      <c r="C233" s="15" t="s">
        <v>249</v>
      </c>
      <c r="D233" s="15" t="s">
        <v>324</v>
      </c>
      <c r="E233" s="15" t="s">
        <v>283</v>
      </c>
      <c r="F233" s="15"/>
      <c r="G233" s="15"/>
      <c r="H233" s="15"/>
      <c r="I233" s="15" t="s">
        <v>323</v>
      </c>
      <c r="J233" s="18"/>
      <c r="K233" s="18"/>
      <c r="L233" s="19">
        <v>45.851784379999998</v>
      </c>
      <c r="M233" s="19"/>
      <c r="N233" s="18"/>
      <c r="O233" s="19"/>
      <c r="P233" s="18"/>
      <c r="Q233" s="18"/>
      <c r="R233" s="19">
        <v>45.851784379999998</v>
      </c>
      <c r="S233" s="19"/>
      <c r="T233" s="18"/>
      <c r="U233" s="19"/>
      <c r="V233" s="19"/>
      <c r="X233" s="15" t="s">
        <v>328</v>
      </c>
      <c r="Y233" s="15" t="s">
        <v>250</v>
      </c>
      <c r="Z233" s="15" t="s">
        <v>333</v>
      </c>
      <c r="AA233" s="15" t="s">
        <v>252</v>
      </c>
      <c r="AB233" s="15"/>
      <c r="AC233" s="15"/>
      <c r="AD233" s="15"/>
      <c r="AE233" s="18"/>
      <c r="AF233" s="18"/>
      <c r="AG233" s="19">
        <v>0.32080057540766099</v>
      </c>
      <c r="AH233" s="19">
        <v>0.37690023893270203</v>
      </c>
      <c r="AI233" s="18"/>
      <c r="AJ233" s="19">
        <v>0.43089792618613798</v>
      </c>
      <c r="AK233" s="18"/>
      <c r="AL233" s="18"/>
      <c r="AM233" s="19">
        <v>0.32080057540766099</v>
      </c>
      <c r="AN233" s="19">
        <v>0.37015140102341798</v>
      </c>
      <c r="AO233" s="18"/>
      <c r="AP233" s="19">
        <v>0.40522794060224498</v>
      </c>
      <c r="AR233" s="15" t="s">
        <v>249</v>
      </c>
      <c r="AS233" s="15" t="s">
        <v>567</v>
      </c>
      <c r="AT233" s="15" t="s">
        <v>598</v>
      </c>
      <c r="AU233" s="15"/>
      <c r="AV233" s="15"/>
      <c r="AW233" s="15"/>
      <c r="AX233" s="15"/>
      <c r="AY233" s="15"/>
      <c r="AZ233" s="18"/>
      <c r="BA233" s="19">
        <v>2.5000000000000001E-2</v>
      </c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9">
        <v>0.05</v>
      </c>
      <c r="BM233" s="18"/>
      <c r="BN233" s="18"/>
      <c r="BO233" s="18"/>
      <c r="BP233" s="18"/>
      <c r="BQ233" s="18"/>
      <c r="BR233" s="18"/>
      <c r="BS233" s="18"/>
      <c r="BT233" s="18"/>
      <c r="BU233" s="18"/>
    </row>
    <row r="234" spans="3:73" x14ac:dyDescent="0.45">
      <c r="C234" s="15" t="s">
        <v>249</v>
      </c>
      <c r="D234" s="15" t="s">
        <v>324</v>
      </c>
      <c r="E234" s="15" t="s">
        <v>285</v>
      </c>
      <c r="F234" s="15"/>
      <c r="G234" s="15"/>
      <c r="H234" s="15"/>
      <c r="I234" s="15" t="s">
        <v>323</v>
      </c>
      <c r="J234" s="18"/>
      <c r="K234" s="18"/>
      <c r="L234" s="19">
        <v>917.19</v>
      </c>
      <c r="M234" s="19"/>
      <c r="N234" s="18"/>
      <c r="O234" s="19"/>
      <c r="P234" s="18"/>
      <c r="Q234" s="18"/>
      <c r="R234" s="19">
        <v>917.19322629999999</v>
      </c>
      <c r="S234" s="19"/>
      <c r="T234" s="18"/>
      <c r="U234" s="19"/>
      <c r="V234" s="19"/>
      <c r="X234" s="15" t="s">
        <v>328</v>
      </c>
      <c r="Y234" s="15" t="s">
        <v>250</v>
      </c>
      <c r="Z234" s="15" t="s">
        <v>334</v>
      </c>
      <c r="AA234" s="15" t="s">
        <v>252</v>
      </c>
      <c r="AB234" s="15"/>
      <c r="AC234" s="15"/>
      <c r="AD234" s="15"/>
      <c r="AE234" s="18"/>
      <c r="AF234" s="18"/>
      <c r="AG234" s="19">
        <v>0.24232912878138699</v>
      </c>
      <c r="AH234" s="19">
        <v>0.26016473235779503</v>
      </c>
      <c r="AI234" s="18"/>
      <c r="AJ234" s="19">
        <v>0.30361984702604999</v>
      </c>
      <c r="AK234" s="18"/>
      <c r="AL234" s="18"/>
      <c r="AM234" s="19">
        <v>0.24232912878138699</v>
      </c>
      <c r="AN234" s="19">
        <v>0.26005135217853298</v>
      </c>
      <c r="AO234" s="18"/>
      <c r="AP234" s="19">
        <v>0.28945346962129198</v>
      </c>
      <c r="AR234" s="15" t="s">
        <v>249</v>
      </c>
      <c r="AS234" s="15" t="s">
        <v>567</v>
      </c>
      <c r="AT234" s="15" t="s">
        <v>599</v>
      </c>
      <c r="AU234" s="15"/>
      <c r="AV234" s="15"/>
      <c r="AW234" s="15"/>
      <c r="AX234" s="15"/>
      <c r="AY234" s="15"/>
      <c r="AZ234" s="18"/>
      <c r="BA234" s="19">
        <v>2.5000000000000001E-2</v>
      </c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9">
        <v>0.05</v>
      </c>
      <c r="BM234" s="18"/>
      <c r="BN234" s="18"/>
      <c r="BO234" s="18"/>
      <c r="BP234" s="18"/>
      <c r="BQ234" s="18"/>
      <c r="BR234" s="18"/>
      <c r="BS234" s="18"/>
      <c r="BT234" s="18"/>
      <c r="BU234" s="18"/>
    </row>
    <row r="235" spans="3:73" x14ac:dyDescent="0.45">
      <c r="C235" s="15" t="s">
        <v>249</v>
      </c>
      <c r="D235" s="15" t="s">
        <v>324</v>
      </c>
      <c r="E235" s="15" t="s">
        <v>286</v>
      </c>
      <c r="F235" s="15"/>
      <c r="G235" s="15"/>
      <c r="H235" s="15"/>
      <c r="I235" s="15" t="s">
        <v>323</v>
      </c>
      <c r="J235" s="18"/>
      <c r="K235" s="18"/>
      <c r="L235" s="19">
        <v>917.19</v>
      </c>
      <c r="M235" s="19"/>
      <c r="N235" s="18"/>
      <c r="O235" s="19"/>
      <c r="P235" s="18"/>
      <c r="Q235" s="18"/>
      <c r="R235" s="19">
        <v>917.19322629999999</v>
      </c>
      <c r="S235" s="19"/>
      <c r="T235" s="18"/>
      <c r="U235" s="19"/>
      <c r="V235" s="19"/>
      <c r="X235" s="15" t="s">
        <v>328</v>
      </c>
      <c r="Y235" s="15" t="s">
        <v>250</v>
      </c>
      <c r="Z235" s="15" t="s">
        <v>335</v>
      </c>
      <c r="AA235" s="15" t="s">
        <v>252</v>
      </c>
      <c r="AB235" s="15"/>
      <c r="AC235" s="15"/>
      <c r="AD235" s="15"/>
      <c r="AE235" s="18"/>
      <c r="AF235" s="18"/>
      <c r="AG235" s="19">
        <v>0.22446549570454599</v>
      </c>
      <c r="AH235" s="19">
        <v>0.25997066428980098</v>
      </c>
      <c r="AI235" s="18"/>
      <c r="AJ235" s="19">
        <v>0.32502286698004201</v>
      </c>
      <c r="AK235" s="18"/>
      <c r="AL235" s="18"/>
      <c r="AM235" s="19">
        <v>0.22446549570454599</v>
      </c>
      <c r="AN235" s="19">
        <v>0.260491452027035</v>
      </c>
      <c r="AO235" s="18"/>
      <c r="AP235" s="19">
        <v>0.31975215279174202</v>
      </c>
      <c r="AR235" s="15" t="s">
        <v>249</v>
      </c>
      <c r="AS235" s="15" t="s">
        <v>567</v>
      </c>
      <c r="AT235" s="15" t="s">
        <v>600</v>
      </c>
      <c r="AU235" s="15"/>
      <c r="AV235" s="15"/>
      <c r="AW235" s="15"/>
      <c r="AX235" s="15"/>
      <c r="AY235" s="15"/>
      <c r="AZ235" s="18"/>
      <c r="BA235" s="19">
        <v>2.5000000000000001E-2</v>
      </c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9">
        <v>0.05</v>
      </c>
      <c r="BM235" s="18"/>
      <c r="BN235" s="18"/>
      <c r="BO235" s="18"/>
      <c r="BP235" s="18"/>
      <c r="BQ235" s="18"/>
      <c r="BR235" s="18"/>
      <c r="BS235" s="18"/>
      <c r="BT235" s="18"/>
      <c r="BU235" s="18"/>
    </row>
    <row r="236" spans="3:73" x14ac:dyDescent="0.45">
      <c r="C236" s="15" t="s">
        <v>249</v>
      </c>
      <c r="D236" s="15" t="s">
        <v>324</v>
      </c>
      <c r="E236" s="15" t="s">
        <v>288</v>
      </c>
      <c r="F236" s="15"/>
      <c r="G236" s="15"/>
      <c r="H236" s="15"/>
      <c r="I236" s="15" t="s">
        <v>323</v>
      </c>
      <c r="J236" s="18"/>
      <c r="K236" s="18"/>
      <c r="L236" s="19">
        <v>70.400000000000006</v>
      </c>
      <c r="M236" s="19"/>
      <c r="N236" s="18"/>
      <c r="O236" s="19"/>
      <c r="P236" s="18"/>
      <c r="Q236" s="18"/>
      <c r="R236" s="19">
        <v>70.396141889999996</v>
      </c>
      <c r="S236" s="19"/>
      <c r="T236" s="18"/>
      <c r="U236" s="19"/>
      <c r="V236" s="19"/>
      <c r="X236" s="15" t="s">
        <v>328</v>
      </c>
      <c r="Y236" s="15" t="s">
        <v>250</v>
      </c>
      <c r="Z236" s="15" t="s">
        <v>336</v>
      </c>
      <c r="AA236" s="15" t="s">
        <v>337</v>
      </c>
      <c r="AB236" s="15"/>
      <c r="AC236" s="15"/>
      <c r="AD236" s="15"/>
      <c r="AE236" s="18"/>
      <c r="AF236" s="18"/>
      <c r="AG236" s="19">
        <v>0.24232912878138699</v>
      </c>
      <c r="AH236" s="19">
        <v>0.26016473235779503</v>
      </c>
      <c r="AI236" s="18"/>
      <c r="AJ236" s="19">
        <v>0.30361984702604999</v>
      </c>
      <c r="AK236" s="18"/>
      <c r="AL236" s="18"/>
      <c r="AM236" s="19">
        <v>0.24232912878138699</v>
      </c>
      <c r="AN236" s="19">
        <v>0.26005135217853298</v>
      </c>
      <c r="AO236" s="18"/>
      <c r="AP236" s="19">
        <v>0.28945346962129198</v>
      </c>
      <c r="AR236" s="15" t="s">
        <v>249</v>
      </c>
      <c r="AS236" s="15" t="s">
        <v>567</v>
      </c>
      <c r="AT236" s="15" t="s">
        <v>601</v>
      </c>
      <c r="AU236" s="15"/>
      <c r="AV236" s="15"/>
      <c r="AW236" s="15"/>
      <c r="AX236" s="15"/>
      <c r="AY236" s="15"/>
      <c r="AZ236" s="18"/>
      <c r="BA236" s="19">
        <v>2.5000000000000001E-2</v>
      </c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9">
        <v>0.05</v>
      </c>
      <c r="BM236" s="18"/>
      <c r="BN236" s="18"/>
      <c r="BO236" s="18"/>
      <c r="BP236" s="18"/>
      <c r="BQ236" s="18"/>
      <c r="BR236" s="18"/>
      <c r="BS236" s="18"/>
      <c r="BT236" s="18"/>
      <c r="BU236" s="18"/>
    </row>
    <row r="237" spans="3:73" x14ac:dyDescent="0.45">
      <c r="C237" s="15" t="s">
        <v>249</v>
      </c>
      <c r="D237" s="15" t="s">
        <v>324</v>
      </c>
      <c r="E237" s="15" t="s">
        <v>289</v>
      </c>
      <c r="F237" s="15"/>
      <c r="G237" s="15"/>
      <c r="H237" s="15"/>
      <c r="I237" s="15" t="s">
        <v>323</v>
      </c>
      <c r="J237" s="18"/>
      <c r="K237" s="18"/>
      <c r="L237" s="19">
        <v>65.44</v>
      </c>
      <c r="M237" s="19"/>
      <c r="N237" s="18"/>
      <c r="O237" s="19">
        <v>46.49</v>
      </c>
      <c r="P237" s="18"/>
      <c r="Q237" s="18"/>
      <c r="R237" s="19">
        <v>65.43796571</v>
      </c>
      <c r="S237" s="19"/>
      <c r="T237" s="18"/>
      <c r="U237" s="19">
        <v>48.324291950000003</v>
      </c>
      <c r="V237" s="19"/>
      <c r="X237" s="15" t="s">
        <v>328</v>
      </c>
      <c r="Y237" s="15" t="s">
        <v>250</v>
      </c>
      <c r="Z237" s="15" t="s">
        <v>336</v>
      </c>
      <c r="AA237" s="15" t="s">
        <v>338</v>
      </c>
      <c r="AB237" s="15"/>
      <c r="AC237" s="15"/>
      <c r="AD237" s="15"/>
      <c r="AE237" s="18"/>
      <c r="AF237" s="18"/>
      <c r="AG237" s="19">
        <v>1.3286635932044299</v>
      </c>
      <c r="AH237" s="19">
        <v>1.1547044951380601</v>
      </c>
      <c r="AI237" s="18"/>
      <c r="AJ237" s="19">
        <v>1.2533056480065099</v>
      </c>
      <c r="AK237" s="18"/>
      <c r="AL237" s="18"/>
      <c r="AM237" s="19">
        <v>1.3286635932044299</v>
      </c>
      <c r="AN237" s="19">
        <v>1.15239602964443</v>
      </c>
      <c r="AO237" s="18"/>
      <c r="AP237" s="19">
        <v>1.25227260001938</v>
      </c>
      <c r="AR237" s="15" t="s">
        <v>249</v>
      </c>
      <c r="AS237" s="15" t="s">
        <v>567</v>
      </c>
      <c r="AT237" s="15" t="s">
        <v>602</v>
      </c>
      <c r="AU237" s="15"/>
      <c r="AV237" s="15"/>
      <c r="AW237" s="15"/>
      <c r="AX237" s="15"/>
      <c r="AY237" s="15"/>
      <c r="AZ237" s="18"/>
      <c r="BA237" s="19">
        <v>2.5000000000000001E-2</v>
      </c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9">
        <v>0.05</v>
      </c>
      <c r="BM237" s="18"/>
      <c r="BN237" s="18"/>
      <c r="BO237" s="18"/>
      <c r="BP237" s="18"/>
      <c r="BQ237" s="18"/>
      <c r="BR237" s="18"/>
      <c r="BS237" s="18"/>
      <c r="BT237" s="18"/>
      <c r="BU237" s="18"/>
    </row>
    <row r="238" spans="3:73" x14ac:dyDescent="0.45">
      <c r="C238" s="15" t="s">
        <v>249</v>
      </c>
      <c r="D238" s="15" t="s">
        <v>324</v>
      </c>
      <c r="E238" s="15" t="s">
        <v>290</v>
      </c>
      <c r="F238" s="15"/>
      <c r="G238" s="15"/>
      <c r="H238" s="15"/>
      <c r="I238" s="15" t="s">
        <v>323</v>
      </c>
      <c r="J238" s="18"/>
      <c r="K238" s="18"/>
      <c r="L238" s="19">
        <v>71.34</v>
      </c>
      <c r="M238" s="19"/>
      <c r="N238" s="18"/>
      <c r="O238" s="19"/>
      <c r="P238" s="18"/>
      <c r="Q238" s="18"/>
      <c r="R238" s="19">
        <v>71.343269989999996</v>
      </c>
      <c r="S238" s="19"/>
      <c r="T238" s="18"/>
      <c r="U238" s="19"/>
      <c r="V238" s="19"/>
      <c r="X238" s="15" t="s">
        <v>328</v>
      </c>
      <c r="Y238" s="15" t="s">
        <v>250</v>
      </c>
      <c r="Z238" s="15" t="s">
        <v>339</v>
      </c>
      <c r="AA238" s="15" t="s">
        <v>338</v>
      </c>
      <c r="AB238" s="15"/>
      <c r="AC238" s="15"/>
      <c r="AD238" s="15"/>
      <c r="AE238" s="18"/>
      <c r="AF238" s="18"/>
      <c r="AG238" s="19">
        <v>1.3286635932044299</v>
      </c>
      <c r="AH238" s="19">
        <v>1.1547044951380601</v>
      </c>
      <c r="AI238" s="18"/>
      <c r="AJ238" s="19">
        <v>1.2533056480065099</v>
      </c>
      <c r="AK238" s="18"/>
      <c r="AL238" s="18"/>
      <c r="AM238" s="19">
        <v>1.3286635932044299</v>
      </c>
      <c r="AN238" s="19">
        <v>1.15239602964443</v>
      </c>
      <c r="AO238" s="18"/>
      <c r="AP238" s="19">
        <v>1.25227260001938</v>
      </c>
      <c r="AR238" s="15" t="s">
        <v>249</v>
      </c>
      <c r="AS238" s="15" t="s">
        <v>567</v>
      </c>
      <c r="AT238" s="15" t="s">
        <v>603</v>
      </c>
      <c r="AU238" s="15"/>
      <c r="AV238" s="15"/>
      <c r="AW238" s="15"/>
      <c r="AX238" s="15"/>
      <c r="AY238" s="15"/>
      <c r="AZ238" s="18"/>
      <c r="BA238" s="19">
        <v>2.5000000000000001E-2</v>
      </c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9">
        <v>0.05</v>
      </c>
      <c r="BM238" s="18"/>
      <c r="BN238" s="18"/>
      <c r="BO238" s="18"/>
      <c r="BP238" s="18"/>
      <c r="BQ238" s="18"/>
      <c r="BR238" s="18"/>
      <c r="BS238" s="18"/>
      <c r="BT238" s="18"/>
      <c r="BU238" s="18"/>
    </row>
    <row r="239" spans="3:73" x14ac:dyDescent="0.45">
      <c r="C239" s="15" t="s">
        <v>249</v>
      </c>
      <c r="D239" s="15" t="s">
        <v>324</v>
      </c>
      <c r="E239" s="15" t="s">
        <v>291</v>
      </c>
      <c r="F239" s="15"/>
      <c r="G239" s="15"/>
      <c r="H239" s="15"/>
      <c r="I239" s="15" t="s">
        <v>323</v>
      </c>
      <c r="J239" s="18"/>
      <c r="K239" s="18"/>
      <c r="L239" s="19">
        <v>62.4</v>
      </c>
      <c r="M239" s="19"/>
      <c r="N239" s="18"/>
      <c r="O239" s="19"/>
      <c r="P239" s="18"/>
      <c r="Q239" s="18"/>
      <c r="R239" s="19">
        <v>62.40284973</v>
      </c>
      <c r="S239" s="19"/>
      <c r="T239" s="18"/>
      <c r="U239" s="19"/>
      <c r="V239" s="19"/>
      <c r="X239" s="15" t="s">
        <v>328</v>
      </c>
      <c r="Y239" s="15" t="s">
        <v>250</v>
      </c>
      <c r="Z239" s="15" t="s">
        <v>339</v>
      </c>
      <c r="AA239" s="15" t="s">
        <v>340</v>
      </c>
      <c r="AB239" s="15"/>
      <c r="AC239" s="15"/>
      <c r="AD239" s="15"/>
      <c r="AE239" s="18"/>
      <c r="AF239" s="18"/>
      <c r="AG239" s="19">
        <v>0.22446549570454599</v>
      </c>
      <c r="AH239" s="19">
        <v>0.25997066428980098</v>
      </c>
      <c r="AI239" s="18"/>
      <c r="AJ239" s="19">
        <v>0.32502286698004201</v>
      </c>
      <c r="AK239" s="18"/>
      <c r="AL239" s="18"/>
      <c r="AM239" s="19">
        <v>0.22446549570454599</v>
      </c>
      <c r="AN239" s="19">
        <v>0.260491452027035</v>
      </c>
      <c r="AO239" s="18"/>
      <c r="AP239" s="19">
        <v>0.31975215279174202</v>
      </c>
      <c r="AR239" s="15" t="s">
        <v>249</v>
      </c>
      <c r="AS239" s="15" t="s">
        <v>567</v>
      </c>
      <c r="AT239" s="15" t="s">
        <v>604</v>
      </c>
      <c r="AU239" s="15"/>
      <c r="AV239" s="15"/>
      <c r="AW239" s="15"/>
      <c r="AX239" s="15"/>
      <c r="AY239" s="15"/>
      <c r="AZ239" s="18"/>
      <c r="BA239" s="19">
        <v>2.5000000000000001E-2</v>
      </c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9">
        <v>0.05</v>
      </c>
      <c r="BM239" s="18"/>
      <c r="BN239" s="18"/>
      <c r="BO239" s="18"/>
      <c r="BP239" s="18"/>
      <c r="BQ239" s="18"/>
      <c r="BR239" s="18"/>
      <c r="BS239" s="18"/>
      <c r="BT239" s="18"/>
      <c r="BU239" s="18"/>
    </row>
    <row r="240" spans="3:73" x14ac:dyDescent="0.45">
      <c r="C240" s="15" t="s">
        <v>249</v>
      </c>
      <c r="D240" s="15" t="s">
        <v>324</v>
      </c>
      <c r="E240" s="15" t="s">
        <v>292</v>
      </c>
      <c r="F240" s="15"/>
      <c r="G240" s="15"/>
      <c r="H240" s="15"/>
      <c r="I240" s="15" t="s">
        <v>323</v>
      </c>
      <c r="J240" s="18"/>
      <c r="K240" s="18"/>
      <c r="L240" s="19">
        <v>138.35</v>
      </c>
      <c r="M240" s="18"/>
      <c r="N240" s="18">
        <v>69.180000000000007</v>
      </c>
      <c r="O240" s="18"/>
      <c r="P240" s="18"/>
      <c r="Q240" s="18"/>
      <c r="R240" s="19">
        <v>138.35460620000001</v>
      </c>
      <c r="S240" s="18"/>
      <c r="T240" s="18">
        <v>69.177303100000003</v>
      </c>
      <c r="U240" s="18"/>
      <c r="V240" s="18"/>
      <c r="X240" s="15" t="s">
        <v>328</v>
      </c>
      <c r="Y240" s="15" t="s">
        <v>250</v>
      </c>
      <c r="Z240" s="15" t="s">
        <v>341</v>
      </c>
      <c r="AA240" s="15" t="s">
        <v>252</v>
      </c>
      <c r="AB240" s="15"/>
      <c r="AC240" s="15"/>
      <c r="AD240" s="15"/>
      <c r="AE240" s="18"/>
      <c r="AF240" s="18"/>
      <c r="AG240" s="19">
        <v>0.17838799999999999</v>
      </c>
      <c r="AH240" s="18"/>
      <c r="AI240" s="18"/>
      <c r="AJ240" s="18"/>
      <c r="AK240" s="18"/>
      <c r="AL240" s="18"/>
      <c r="AM240" s="19">
        <v>0.17838799999999999</v>
      </c>
      <c r="AN240" s="18"/>
      <c r="AO240" s="18"/>
      <c r="AP240" s="18"/>
      <c r="AR240" s="15" t="s">
        <v>249</v>
      </c>
      <c r="AS240" s="15" t="s">
        <v>567</v>
      </c>
      <c r="AT240" s="15" t="s">
        <v>605</v>
      </c>
      <c r="AU240" s="15"/>
      <c r="AV240" s="15"/>
      <c r="AW240" s="15"/>
      <c r="AX240" s="15"/>
      <c r="AY240" s="15"/>
      <c r="AZ240" s="18"/>
      <c r="BA240" s="19">
        <v>2.5000000000000001E-2</v>
      </c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9">
        <v>0.05</v>
      </c>
      <c r="BM240" s="18"/>
      <c r="BN240" s="18"/>
      <c r="BO240" s="18"/>
      <c r="BP240" s="18"/>
      <c r="BQ240" s="18"/>
      <c r="BR240" s="18"/>
      <c r="BS240" s="18"/>
      <c r="BT240" s="18"/>
      <c r="BU240" s="18"/>
    </row>
    <row r="241" spans="3:73" x14ac:dyDescent="0.45">
      <c r="C241" s="15" t="s">
        <v>249</v>
      </c>
      <c r="D241" s="15" t="s">
        <v>324</v>
      </c>
      <c r="E241" s="15" t="s">
        <v>293</v>
      </c>
      <c r="F241" s="15"/>
      <c r="G241" s="15"/>
      <c r="H241" s="15"/>
      <c r="I241" s="15" t="s">
        <v>323</v>
      </c>
      <c r="J241" s="18"/>
      <c r="K241" s="18"/>
      <c r="L241" s="19">
        <v>56.16</v>
      </c>
      <c r="M241" s="18"/>
      <c r="N241" s="18"/>
      <c r="O241" s="18"/>
      <c r="P241" s="18"/>
      <c r="Q241" s="18"/>
      <c r="R241" s="19">
        <v>56.162564760000002</v>
      </c>
      <c r="S241" s="18"/>
      <c r="T241" s="18"/>
      <c r="U241" s="18"/>
      <c r="V241" s="18"/>
      <c r="X241" s="15" t="s">
        <v>328</v>
      </c>
      <c r="Y241" s="15" t="s">
        <v>250</v>
      </c>
      <c r="Z241" s="15" t="s">
        <v>342</v>
      </c>
      <c r="AA241" s="15" t="s">
        <v>252</v>
      </c>
      <c r="AB241" s="15"/>
      <c r="AC241" s="15"/>
      <c r="AD241" s="15"/>
      <c r="AE241" s="18"/>
      <c r="AF241" s="18"/>
      <c r="AG241" s="19">
        <v>9.5545000000000005E-2</v>
      </c>
      <c r="AH241" s="18"/>
      <c r="AI241" s="18"/>
      <c r="AJ241" s="18"/>
      <c r="AK241" s="18"/>
      <c r="AL241" s="18"/>
      <c r="AM241" s="19">
        <v>9.5545000000000005E-2</v>
      </c>
      <c r="AN241" s="18"/>
      <c r="AO241" s="18"/>
      <c r="AP241" s="18"/>
      <c r="AR241" s="15" t="s">
        <v>249</v>
      </c>
      <c r="AS241" s="15" t="s">
        <v>567</v>
      </c>
      <c r="AT241" s="15" t="s">
        <v>606</v>
      </c>
      <c r="AU241" s="15"/>
      <c r="AV241" s="15"/>
      <c r="AW241" s="15"/>
      <c r="AX241" s="15"/>
      <c r="AY241" s="15"/>
      <c r="AZ241" s="18"/>
      <c r="BA241" s="19">
        <v>2.5000000000000001E-2</v>
      </c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9">
        <v>0.05</v>
      </c>
      <c r="BM241" s="18"/>
      <c r="BN241" s="18"/>
      <c r="BO241" s="18"/>
      <c r="BP241" s="18"/>
      <c r="BQ241" s="18"/>
      <c r="BR241" s="18"/>
      <c r="BS241" s="18"/>
      <c r="BT241" s="18"/>
      <c r="BU241" s="18"/>
    </row>
    <row r="242" spans="3:73" x14ac:dyDescent="0.45">
      <c r="C242" s="15" t="s">
        <v>249</v>
      </c>
      <c r="D242" s="15" t="s">
        <v>324</v>
      </c>
      <c r="E242" s="15" t="s">
        <v>294</v>
      </c>
      <c r="F242" s="15"/>
      <c r="G242" s="15"/>
      <c r="H242" s="15"/>
      <c r="I242" s="15" t="s">
        <v>323</v>
      </c>
      <c r="J242" s="18"/>
      <c r="K242" s="18"/>
      <c r="L242" s="19">
        <v>11.88</v>
      </c>
      <c r="M242" s="19"/>
      <c r="N242" s="18"/>
      <c r="O242" s="19"/>
      <c r="P242" s="18"/>
      <c r="Q242" s="18"/>
      <c r="R242" s="19">
        <v>11.87981166</v>
      </c>
      <c r="S242" s="19"/>
      <c r="T242" s="18"/>
      <c r="U242" s="19"/>
      <c r="V242" s="19"/>
      <c r="X242" s="15" t="s">
        <v>328</v>
      </c>
      <c r="Y242" s="15" t="s">
        <v>250</v>
      </c>
      <c r="Z242" s="15" t="s">
        <v>343</v>
      </c>
      <c r="AA242" s="15" t="s">
        <v>252</v>
      </c>
      <c r="AB242" s="15"/>
      <c r="AC242" s="15"/>
      <c r="AD242" s="15"/>
      <c r="AE242" s="18"/>
      <c r="AF242" s="18"/>
      <c r="AG242" s="19">
        <v>5.6500000000000002E-2</v>
      </c>
      <c r="AH242" s="19">
        <v>5.6500000000000002E-2</v>
      </c>
      <c r="AI242" s="18"/>
      <c r="AJ242" s="19">
        <v>5.6500000000000002E-2</v>
      </c>
      <c r="AK242" s="18"/>
      <c r="AL242" s="18"/>
      <c r="AM242" s="19">
        <v>4.9135097190700798E-2</v>
      </c>
      <c r="AN242" s="19">
        <v>4.9404969955021298E-2</v>
      </c>
      <c r="AO242" s="18"/>
      <c r="AP242" s="19">
        <v>5.0577566564981601E-2</v>
      </c>
      <c r="AR242" s="15" t="s">
        <v>249</v>
      </c>
      <c r="AS242" s="15" t="s">
        <v>567</v>
      </c>
      <c r="AT242" s="15" t="s">
        <v>607</v>
      </c>
      <c r="AU242" s="15"/>
      <c r="AV242" s="15"/>
      <c r="AW242" s="15"/>
      <c r="AX242" s="15"/>
      <c r="AY242" s="15"/>
      <c r="AZ242" s="18"/>
      <c r="BA242" s="19">
        <v>2.5000000000000001E-2</v>
      </c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9">
        <v>0.05</v>
      </c>
      <c r="BM242" s="18"/>
      <c r="BN242" s="18"/>
      <c r="BO242" s="18"/>
      <c r="BP242" s="18"/>
      <c r="BQ242" s="18"/>
      <c r="BR242" s="18"/>
      <c r="BS242" s="18"/>
      <c r="BT242" s="18"/>
      <c r="BU242" s="18"/>
    </row>
    <row r="243" spans="3:73" x14ac:dyDescent="0.45">
      <c r="C243" s="15" t="s">
        <v>249</v>
      </c>
      <c r="D243" s="15" t="s">
        <v>324</v>
      </c>
      <c r="E243" s="15" t="s">
        <v>295</v>
      </c>
      <c r="F243" s="15"/>
      <c r="G243" s="15"/>
      <c r="H243" s="15"/>
      <c r="I243" s="15" t="s">
        <v>323</v>
      </c>
      <c r="J243" s="18"/>
      <c r="K243" s="18"/>
      <c r="L243" s="19">
        <v>10.53</v>
      </c>
      <c r="M243" s="18"/>
      <c r="N243" s="18"/>
      <c r="O243" s="18">
        <v>8.43</v>
      </c>
      <c r="P243" s="18"/>
      <c r="Q243" s="18"/>
      <c r="R243" s="19">
        <v>10.52998122</v>
      </c>
      <c r="S243" s="18"/>
      <c r="T243" s="18"/>
      <c r="U243" s="18">
        <v>9.0149809019999996</v>
      </c>
      <c r="V243" s="18"/>
      <c r="X243" s="15" t="s">
        <v>328</v>
      </c>
      <c r="Y243" s="15" t="s">
        <v>250</v>
      </c>
      <c r="Z243" s="15" t="s">
        <v>344</v>
      </c>
      <c r="AA243" s="15" t="s">
        <v>252</v>
      </c>
      <c r="AB243" s="15"/>
      <c r="AC243" s="15"/>
      <c r="AD243" s="15"/>
      <c r="AE243" s="18"/>
      <c r="AF243" s="18"/>
      <c r="AG243" s="19">
        <v>0.19607843137254899</v>
      </c>
      <c r="AH243" s="18"/>
      <c r="AI243" s="18"/>
      <c r="AJ243" s="18"/>
      <c r="AK243" s="18"/>
      <c r="AL243" s="18"/>
      <c r="AM243" s="19">
        <v>0.19607843137254899</v>
      </c>
      <c r="AN243" s="18"/>
      <c r="AO243" s="18"/>
      <c r="AP243" s="18"/>
      <c r="AR243" s="15" t="s">
        <v>249</v>
      </c>
      <c r="AS243" s="15" t="s">
        <v>567</v>
      </c>
      <c r="AT243" s="15" t="s">
        <v>608</v>
      </c>
      <c r="AU243" s="15"/>
      <c r="AV243" s="15"/>
      <c r="AW243" s="15"/>
      <c r="AX243" s="15"/>
      <c r="AY243" s="15"/>
      <c r="AZ243" s="18"/>
      <c r="BA243" s="19">
        <v>2.5000000000000001E-2</v>
      </c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9">
        <v>0.05</v>
      </c>
      <c r="BM243" s="18"/>
      <c r="BN243" s="18"/>
      <c r="BO243" s="18"/>
      <c r="BP243" s="18"/>
      <c r="BQ243" s="18"/>
      <c r="BR243" s="18"/>
      <c r="BS243" s="18"/>
      <c r="BT243" s="18"/>
      <c r="BU243" s="18"/>
    </row>
    <row r="244" spans="3:73" x14ac:dyDescent="0.45">
      <c r="C244" s="15" t="s">
        <v>249</v>
      </c>
      <c r="D244" s="15" t="s">
        <v>324</v>
      </c>
      <c r="E244" s="15" t="s">
        <v>296</v>
      </c>
      <c r="F244" s="15"/>
      <c r="G244" s="15"/>
      <c r="H244" s="15"/>
      <c r="I244" s="15" t="s">
        <v>323</v>
      </c>
      <c r="J244" s="18"/>
      <c r="K244" s="18"/>
      <c r="L244" s="19">
        <v>13.06</v>
      </c>
      <c r="M244" s="18"/>
      <c r="N244" s="18"/>
      <c r="O244" s="18"/>
      <c r="P244" s="18"/>
      <c r="Q244" s="18"/>
      <c r="R244" s="19">
        <v>13.06071596</v>
      </c>
      <c r="S244" s="18"/>
      <c r="T244" s="18"/>
      <c r="U244" s="18"/>
      <c r="V244" s="18"/>
      <c r="X244" s="15" t="s">
        <v>328</v>
      </c>
      <c r="Y244" s="15" t="s">
        <v>250</v>
      </c>
      <c r="Z244" s="15" t="s">
        <v>345</v>
      </c>
      <c r="AA244" s="15" t="s">
        <v>252</v>
      </c>
      <c r="AB244" s="15"/>
      <c r="AC244" s="15"/>
      <c r="AD244" s="15"/>
      <c r="AE244" s="18"/>
      <c r="AF244" s="18"/>
      <c r="AG244" s="19">
        <v>0.128205128205128</v>
      </c>
      <c r="AH244" s="18"/>
      <c r="AI244" s="18"/>
      <c r="AJ244" s="18"/>
      <c r="AK244" s="18"/>
      <c r="AL244" s="18"/>
      <c r="AM244" s="19">
        <v>0.128205128205128</v>
      </c>
      <c r="AN244" s="18"/>
      <c r="AO244" s="18"/>
      <c r="AP244" s="18"/>
      <c r="AR244" s="15" t="s">
        <v>249</v>
      </c>
      <c r="AS244" s="15" t="s">
        <v>567</v>
      </c>
      <c r="AT244" s="15" t="s">
        <v>609</v>
      </c>
      <c r="AU244" s="15"/>
      <c r="AV244" s="15"/>
      <c r="AW244" s="15"/>
      <c r="AX244" s="15"/>
      <c r="AY244" s="15"/>
      <c r="AZ244" s="18"/>
      <c r="BA244" s="19">
        <v>2.5000000000000001E-2</v>
      </c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9">
        <v>0.05</v>
      </c>
      <c r="BM244" s="18"/>
      <c r="BN244" s="18"/>
      <c r="BO244" s="18"/>
      <c r="BP244" s="18"/>
      <c r="BQ244" s="18"/>
      <c r="BR244" s="18"/>
      <c r="BS244" s="18"/>
      <c r="BT244" s="18"/>
      <c r="BU244" s="18"/>
    </row>
    <row r="245" spans="3:73" x14ac:dyDescent="0.45">
      <c r="C245" s="15" t="s">
        <v>249</v>
      </c>
      <c r="D245" s="15" t="s">
        <v>324</v>
      </c>
      <c r="E245" s="15" t="s">
        <v>300</v>
      </c>
      <c r="F245" s="15"/>
      <c r="G245" s="15"/>
      <c r="H245" s="15"/>
      <c r="I245" s="15" t="s">
        <v>323</v>
      </c>
      <c r="J245" s="18"/>
      <c r="K245" s="18"/>
      <c r="L245" s="19">
        <v>6.62</v>
      </c>
      <c r="M245" s="19"/>
      <c r="N245" s="18"/>
      <c r="O245" s="19"/>
      <c r="P245" s="18"/>
      <c r="Q245" s="18"/>
      <c r="R245" s="19">
        <v>6.62</v>
      </c>
      <c r="S245" s="19"/>
      <c r="T245" s="18"/>
      <c r="U245" s="19"/>
      <c r="V245" s="19"/>
      <c r="X245" s="15" t="s">
        <v>328</v>
      </c>
      <c r="Y245" s="15" t="s">
        <v>250</v>
      </c>
      <c r="Z245" s="15" t="s">
        <v>346</v>
      </c>
      <c r="AA245" s="15" t="s">
        <v>252</v>
      </c>
      <c r="AB245" s="15"/>
      <c r="AC245" s="15"/>
      <c r="AD245" s="15"/>
      <c r="AE245" s="18"/>
      <c r="AF245" s="18"/>
      <c r="AG245" s="19">
        <v>0.13187233674282201</v>
      </c>
      <c r="AH245" s="19">
        <v>0.13722673053484899</v>
      </c>
      <c r="AI245" s="18"/>
      <c r="AJ245" s="19">
        <v>0.144488417272193</v>
      </c>
      <c r="AK245" s="18"/>
      <c r="AL245" s="18"/>
      <c r="AM245" s="19">
        <v>0.13187233674282201</v>
      </c>
      <c r="AN245" s="19">
        <v>0.137057123605487</v>
      </c>
      <c r="AO245" s="18"/>
      <c r="AP245" s="19">
        <v>0.13891373157995199</v>
      </c>
      <c r="AR245" s="15" t="s">
        <v>249</v>
      </c>
      <c r="AS245" s="15" t="s">
        <v>567</v>
      </c>
      <c r="AT245" s="15" t="s">
        <v>610</v>
      </c>
      <c r="AU245" s="15"/>
      <c r="AV245" s="15"/>
      <c r="AW245" s="15"/>
      <c r="AX245" s="15"/>
      <c r="AY245" s="15"/>
      <c r="AZ245" s="18"/>
      <c r="BA245" s="19">
        <v>2.5000000000000001E-2</v>
      </c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9">
        <v>0.05</v>
      </c>
      <c r="BM245" s="18"/>
      <c r="BN245" s="18"/>
      <c r="BO245" s="18"/>
      <c r="BP245" s="18"/>
      <c r="BQ245" s="18"/>
      <c r="BR245" s="18"/>
      <c r="BS245" s="18"/>
      <c r="BT245" s="18"/>
      <c r="BU245" s="18"/>
    </row>
    <row r="246" spans="3:73" x14ac:dyDescent="0.45">
      <c r="C246" s="15" t="s">
        <v>249</v>
      </c>
      <c r="D246" s="15" t="s">
        <v>324</v>
      </c>
      <c r="E246" s="15" t="s">
        <v>301</v>
      </c>
      <c r="F246" s="15"/>
      <c r="G246" s="15"/>
      <c r="H246" s="15"/>
      <c r="I246" s="15" t="s">
        <v>323</v>
      </c>
      <c r="J246" s="18"/>
      <c r="K246" s="18"/>
      <c r="L246" s="19">
        <v>4.41</v>
      </c>
      <c r="M246" s="18"/>
      <c r="N246" s="18"/>
      <c r="O246" s="18"/>
      <c r="P246" s="18"/>
      <c r="Q246" s="18"/>
      <c r="R246" s="19">
        <v>4.41</v>
      </c>
      <c r="S246" s="18"/>
      <c r="T246" s="18"/>
      <c r="U246" s="18"/>
      <c r="V246" s="18"/>
      <c r="X246" s="15" t="s">
        <v>328</v>
      </c>
      <c r="Y246" s="15" t="s">
        <v>250</v>
      </c>
      <c r="Z246" s="15" t="s">
        <v>347</v>
      </c>
      <c r="AA246" s="15" t="s">
        <v>252</v>
      </c>
      <c r="AB246" s="15"/>
      <c r="AC246" s="15"/>
      <c r="AD246" s="15"/>
      <c r="AE246" s="18"/>
      <c r="AF246" s="18"/>
      <c r="AG246" s="19">
        <v>0.16328799999999999</v>
      </c>
      <c r="AH246" s="18"/>
      <c r="AI246" s="18"/>
      <c r="AJ246" s="18"/>
      <c r="AK246" s="18"/>
      <c r="AL246" s="18"/>
      <c r="AM246" s="19">
        <v>0.16328799999999999</v>
      </c>
      <c r="AN246" s="18"/>
      <c r="AO246" s="18"/>
      <c r="AP246" s="18"/>
      <c r="AR246" s="15" t="s">
        <v>249</v>
      </c>
      <c r="AS246" s="15" t="s">
        <v>567</v>
      </c>
      <c r="AT246" s="15" t="s">
        <v>611</v>
      </c>
      <c r="AU246" s="15"/>
      <c r="AV246" s="15"/>
      <c r="AW246" s="15"/>
      <c r="AX246" s="15"/>
      <c r="AY246" s="15"/>
      <c r="AZ246" s="18"/>
      <c r="BA246" s="19">
        <v>2.5000000000000001E-2</v>
      </c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9">
        <v>0.05</v>
      </c>
      <c r="BM246" s="18"/>
      <c r="BN246" s="18"/>
      <c r="BO246" s="18"/>
      <c r="BP246" s="18"/>
      <c r="BQ246" s="18"/>
      <c r="BR246" s="18"/>
      <c r="BS246" s="18"/>
      <c r="BT246" s="18"/>
      <c r="BU246" s="18"/>
    </row>
    <row r="247" spans="3:73" x14ac:dyDescent="0.45">
      <c r="C247" s="15" t="s">
        <v>249</v>
      </c>
      <c r="D247" s="15" t="s">
        <v>324</v>
      </c>
      <c r="E247" s="15" t="s">
        <v>302</v>
      </c>
      <c r="F247" s="15"/>
      <c r="G247" s="15"/>
      <c r="H247" s="15"/>
      <c r="I247" s="15" t="s">
        <v>323</v>
      </c>
      <c r="J247" s="18"/>
      <c r="K247" s="18"/>
      <c r="L247" s="19">
        <v>6.67</v>
      </c>
      <c r="M247" s="18"/>
      <c r="N247" s="18"/>
      <c r="O247" s="18"/>
      <c r="P247" s="18"/>
      <c r="Q247" s="18"/>
      <c r="R247" s="19">
        <v>11.25</v>
      </c>
      <c r="S247" s="18"/>
      <c r="T247" s="18"/>
      <c r="U247" s="18"/>
      <c r="V247" s="18"/>
      <c r="X247" s="15" t="s">
        <v>328</v>
      </c>
      <c r="Y247" s="15" t="s">
        <v>250</v>
      </c>
      <c r="Z247" s="15" t="s">
        <v>348</v>
      </c>
      <c r="AA247" s="15" t="s">
        <v>252</v>
      </c>
      <c r="AB247" s="15"/>
      <c r="AC247" s="15"/>
      <c r="AD247" s="15"/>
      <c r="AE247" s="18"/>
      <c r="AF247" s="18"/>
      <c r="AG247" s="19">
        <v>9.2196E-2</v>
      </c>
      <c r="AH247" s="18"/>
      <c r="AI247" s="18"/>
      <c r="AJ247" s="18"/>
      <c r="AK247" s="18"/>
      <c r="AL247" s="18"/>
      <c r="AM247" s="19">
        <v>9.2196E-2</v>
      </c>
      <c r="AN247" s="18"/>
      <c r="AO247" s="18"/>
      <c r="AP247" s="18"/>
      <c r="AR247" s="15" t="s">
        <v>249</v>
      </c>
      <c r="AS247" s="15" t="s">
        <v>567</v>
      </c>
      <c r="AT247" s="15" t="s">
        <v>612</v>
      </c>
      <c r="AU247" s="15"/>
      <c r="AV247" s="15"/>
      <c r="AW247" s="15"/>
      <c r="AX247" s="15"/>
      <c r="AY247" s="15"/>
      <c r="AZ247" s="18"/>
      <c r="BA247" s="19">
        <v>2.5000000000000001E-2</v>
      </c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9">
        <v>0.05</v>
      </c>
      <c r="BM247" s="18"/>
      <c r="BN247" s="18"/>
      <c r="BO247" s="18"/>
      <c r="BP247" s="18"/>
      <c r="BQ247" s="18"/>
      <c r="BR247" s="18"/>
      <c r="BS247" s="18"/>
      <c r="BT247" s="18"/>
      <c r="BU247" s="18"/>
    </row>
    <row r="248" spans="3:73" x14ac:dyDescent="0.45">
      <c r="C248" s="15" t="s">
        <v>249</v>
      </c>
      <c r="D248" s="15" t="s">
        <v>324</v>
      </c>
      <c r="E248" s="15" t="s">
        <v>304</v>
      </c>
      <c r="F248" s="15"/>
      <c r="G248" s="15"/>
      <c r="H248" s="15"/>
      <c r="I248" s="15" t="s">
        <v>323</v>
      </c>
      <c r="J248" s="18"/>
      <c r="K248" s="18"/>
      <c r="L248" s="19">
        <v>917.19</v>
      </c>
      <c r="M248" s="18"/>
      <c r="N248" s="18"/>
      <c r="O248" s="18"/>
      <c r="P248" s="18"/>
      <c r="Q248" s="18"/>
      <c r="R248" s="19">
        <v>917.19322629999999</v>
      </c>
      <c r="S248" s="18"/>
      <c r="T248" s="18"/>
      <c r="U248" s="18"/>
      <c r="V248" s="18"/>
      <c r="X248" s="15" t="s">
        <v>328</v>
      </c>
      <c r="Y248" s="15" t="s">
        <v>250</v>
      </c>
      <c r="Z248" s="15" t="s">
        <v>349</v>
      </c>
      <c r="AA248" s="15" t="s">
        <v>252</v>
      </c>
      <c r="AB248" s="15"/>
      <c r="AC248" s="15"/>
      <c r="AD248" s="15"/>
      <c r="AE248" s="18"/>
      <c r="AF248" s="18"/>
      <c r="AG248" s="19">
        <v>0.05</v>
      </c>
      <c r="AH248" s="18"/>
      <c r="AI248" s="18"/>
      <c r="AJ248" s="18"/>
      <c r="AK248" s="18"/>
      <c r="AL248" s="18"/>
      <c r="AM248" s="19">
        <v>0.05</v>
      </c>
      <c r="AN248" s="18"/>
      <c r="AO248" s="18"/>
      <c r="AP248" s="18"/>
      <c r="AR248" s="15" t="s">
        <v>249</v>
      </c>
      <c r="AS248" s="15" t="s">
        <v>567</v>
      </c>
      <c r="AT248" s="15" t="s">
        <v>613</v>
      </c>
      <c r="AU248" s="15"/>
      <c r="AV248" s="15"/>
      <c r="AW248" s="15"/>
      <c r="AX248" s="15"/>
      <c r="AY248" s="15"/>
      <c r="AZ248" s="18"/>
      <c r="BA248" s="19">
        <v>2.5000000000000001E-2</v>
      </c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9">
        <v>0.05</v>
      </c>
      <c r="BM248" s="18"/>
      <c r="BN248" s="18"/>
      <c r="BO248" s="18"/>
      <c r="BP248" s="18"/>
      <c r="BQ248" s="18"/>
      <c r="BR248" s="18"/>
      <c r="BS248" s="18"/>
      <c r="BT248" s="18"/>
      <c r="BU248" s="18"/>
    </row>
    <row r="249" spans="3:73" x14ac:dyDescent="0.45">
      <c r="C249" s="15" t="s">
        <v>249</v>
      </c>
      <c r="D249" s="15" t="s">
        <v>324</v>
      </c>
      <c r="E249" s="15" t="s">
        <v>305</v>
      </c>
      <c r="F249" s="15"/>
      <c r="G249" s="15"/>
      <c r="H249" s="15"/>
      <c r="I249" s="15" t="s">
        <v>323</v>
      </c>
      <c r="J249" s="18"/>
      <c r="K249" s="18"/>
      <c r="L249" s="19">
        <v>917.19</v>
      </c>
      <c r="M249" s="19"/>
      <c r="N249" s="18"/>
      <c r="O249" s="19"/>
      <c r="P249" s="18"/>
      <c r="Q249" s="18"/>
      <c r="R249" s="19">
        <v>917.19322629999999</v>
      </c>
      <c r="S249" s="19"/>
      <c r="T249" s="18"/>
      <c r="U249" s="19"/>
      <c r="V249" s="19"/>
      <c r="X249" s="15" t="s">
        <v>328</v>
      </c>
      <c r="Y249" s="15" t="s">
        <v>250</v>
      </c>
      <c r="Z249" s="15" t="s">
        <v>350</v>
      </c>
      <c r="AA249" s="15" t="s">
        <v>252</v>
      </c>
      <c r="AB249" s="15"/>
      <c r="AC249" s="15"/>
      <c r="AD249" s="15"/>
      <c r="AE249" s="18"/>
      <c r="AF249" s="18"/>
      <c r="AG249" s="19">
        <v>0.26548132515092698</v>
      </c>
      <c r="AH249" s="19">
        <v>0.30574531757421303</v>
      </c>
      <c r="AI249" s="18"/>
      <c r="AJ249" s="19">
        <v>0.33634750825931398</v>
      </c>
      <c r="AK249" s="18"/>
      <c r="AL249" s="18"/>
      <c r="AM249" s="19">
        <v>0.26548132515092698</v>
      </c>
      <c r="AN249" s="19">
        <v>0.31138463148104101</v>
      </c>
      <c r="AO249" s="18"/>
      <c r="AP249" s="19">
        <v>0.337359295474851</v>
      </c>
      <c r="AR249" s="15" t="s">
        <v>249</v>
      </c>
      <c r="AS249" s="15" t="s">
        <v>567</v>
      </c>
      <c r="AT249" s="15" t="s">
        <v>614</v>
      </c>
      <c r="AU249" s="15"/>
      <c r="AV249" s="15"/>
      <c r="AW249" s="15"/>
      <c r="AX249" s="15"/>
      <c r="AY249" s="15"/>
      <c r="AZ249" s="18"/>
      <c r="BA249" s="19">
        <v>2.5000000000000001E-2</v>
      </c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9">
        <v>0.05</v>
      </c>
      <c r="BM249" s="18"/>
      <c r="BN249" s="18"/>
      <c r="BO249" s="18"/>
      <c r="BP249" s="18"/>
      <c r="BQ249" s="18"/>
      <c r="BR249" s="18"/>
      <c r="BS249" s="18"/>
      <c r="BT249" s="18"/>
      <c r="BU249" s="18"/>
    </row>
    <row r="250" spans="3:73" x14ac:dyDescent="0.45">
      <c r="C250" s="15" t="s">
        <v>249</v>
      </c>
      <c r="D250" s="15" t="s">
        <v>324</v>
      </c>
      <c r="E250" s="15" t="s">
        <v>307</v>
      </c>
      <c r="F250" s="15"/>
      <c r="G250" s="15"/>
      <c r="H250" s="15"/>
      <c r="I250" s="15" t="s">
        <v>323</v>
      </c>
      <c r="J250" s="18"/>
      <c r="K250" s="18"/>
      <c r="L250" s="19">
        <v>17.38</v>
      </c>
      <c r="M250" s="19"/>
      <c r="N250" s="18"/>
      <c r="O250" s="19"/>
      <c r="P250" s="18"/>
      <c r="Q250" s="18"/>
      <c r="R250" s="19">
        <v>17.375228480000001</v>
      </c>
      <c r="S250" s="19"/>
      <c r="T250" s="18"/>
      <c r="U250" s="19"/>
      <c r="V250" s="19"/>
      <c r="X250" s="15" t="s">
        <v>328</v>
      </c>
      <c r="Y250" s="15" t="s">
        <v>250</v>
      </c>
      <c r="Z250" s="15" t="s">
        <v>351</v>
      </c>
      <c r="AA250" s="15" t="s">
        <v>252</v>
      </c>
      <c r="AB250" s="15"/>
      <c r="AC250" s="15"/>
      <c r="AD250" s="15"/>
      <c r="AE250" s="18"/>
      <c r="AF250" s="18"/>
      <c r="AG250" s="19">
        <v>0.16129032258064499</v>
      </c>
      <c r="AH250" s="19">
        <v>0.175746924428822</v>
      </c>
      <c r="AI250" s="18"/>
      <c r="AJ250" s="19">
        <v>0.205338809034908</v>
      </c>
      <c r="AK250" s="18"/>
      <c r="AL250" s="18"/>
      <c r="AM250" s="19">
        <v>0.16129032258064499</v>
      </c>
      <c r="AN250" s="19">
        <v>0.175746924428822</v>
      </c>
      <c r="AO250" s="18"/>
      <c r="AP250" s="19">
        <v>0.205338809034908</v>
      </c>
      <c r="AR250" s="15" t="s">
        <v>249</v>
      </c>
      <c r="AS250" s="15" t="s">
        <v>567</v>
      </c>
      <c r="AT250" s="15" t="s">
        <v>615</v>
      </c>
      <c r="AU250" s="15"/>
      <c r="AV250" s="15"/>
      <c r="AW250" s="15"/>
      <c r="AX250" s="15"/>
      <c r="AY250" s="15"/>
      <c r="AZ250" s="18"/>
      <c r="BA250" s="19">
        <v>2.5000000000000001E-2</v>
      </c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9">
        <v>0.05</v>
      </c>
      <c r="BM250" s="18"/>
      <c r="BN250" s="18"/>
      <c r="BO250" s="18"/>
      <c r="BP250" s="18"/>
      <c r="BQ250" s="18"/>
      <c r="BR250" s="18"/>
      <c r="BS250" s="18"/>
      <c r="BT250" s="18"/>
      <c r="BU250" s="18"/>
    </row>
    <row r="251" spans="3:73" x14ac:dyDescent="0.45">
      <c r="C251" s="15" t="s">
        <v>249</v>
      </c>
      <c r="D251" s="15" t="s">
        <v>324</v>
      </c>
      <c r="E251" s="15" t="s">
        <v>308</v>
      </c>
      <c r="F251" s="15"/>
      <c r="G251" s="15"/>
      <c r="H251" s="15"/>
      <c r="I251" s="15" t="s">
        <v>323</v>
      </c>
      <c r="J251" s="18"/>
      <c r="K251" s="18"/>
      <c r="L251" s="19">
        <v>34.75</v>
      </c>
      <c r="M251" s="19"/>
      <c r="N251" s="18"/>
      <c r="O251" s="19"/>
      <c r="P251" s="18"/>
      <c r="Q251" s="18"/>
      <c r="R251" s="19">
        <v>34.750456970000002</v>
      </c>
      <c r="S251" s="19"/>
      <c r="T251" s="18"/>
      <c r="U251" s="19"/>
      <c r="V251" s="19"/>
      <c r="X251" s="15" t="s">
        <v>328</v>
      </c>
      <c r="Y251" s="15" t="s">
        <v>250</v>
      </c>
      <c r="Z251" s="15" t="s">
        <v>352</v>
      </c>
      <c r="AA251" s="15" t="s">
        <v>252</v>
      </c>
      <c r="AB251" s="15"/>
      <c r="AC251" s="15"/>
      <c r="AD251" s="15"/>
      <c r="AE251" s="18"/>
      <c r="AF251" s="18"/>
      <c r="AG251" s="19">
        <v>7.3200547754531498E-2</v>
      </c>
      <c r="AH251" s="19">
        <v>7.76797171473083E-2</v>
      </c>
      <c r="AI251" s="18"/>
      <c r="AJ251" s="19">
        <v>8.2433931151336001E-2</v>
      </c>
      <c r="AK251" s="18"/>
      <c r="AL251" s="18"/>
      <c r="AM251" s="19">
        <v>7.3200547754531498E-2</v>
      </c>
      <c r="AN251" s="19">
        <v>7.7810538730488696E-2</v>
      </c>
      <c r="AO251" s="18"/>
      <c r="AP251" s="19">
        <v>8.0238361195686503E-2</v>
      </c>
      <c r="AR251" s="15" t="s">
        <v>249</v>
      </c>
      <c r="AS251" s="15" t="s">
        <v>567</v>
      </c>
      <c r="AT251" s="15" t="s">
        <v>616</v>
      </c>
      <c r="AU251" s="15"/>
      <c r="AV251" s="15"/>
      <c r="AW251" s="15"/>
      <c r="AX251" s="15"/>
      <c r="AY251" s="15"/>
      <c r="AZ251" s="18"/>
      <c r="BA251" s="19">
        <v>2.5000000000000001E-2</v>
      </c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9">
        <v>0.05</v>
      </c>
      <c r="BM251" s="18"/>
      <c r="BN251" s="18"/>
      <c r="BO251" s="18"/>
      <c r="BP251" s="18"/>
      <c r="BQ251" s="18"/>
      <c r="BR251" s="18"/>
      <c r="BS251" s="18"/>
      <c r="BT251" s="18"/>
      <c r="BU251" s="18"/>
    </row>
    <row r="252" spans="3:73" x14ac:dyDescent="0.45">
      <c r="C252" s="15" t="s">
        <v>249</v>
      </c>
      <c r="D252" s="15" t="s">
        <v>324</v>
      </c>
      <c r="E252" s="15" t="s">
        <v>309</v>
      </c>
      <c r="F252" s="15"/>
      <c r="G252" s="15"/>
      <c r="H252" s="15"/>
      <c r="I252" s="15" t="s">
        <v>323</v>
      </c>
      <c r="J252" s="18"/>
      <c r="K252" s="18"/>
      <c r="L252" s="19">
        <v>70.400000000000006</v>
      </c>
      <c r="M252" s="19"/>
      <c r="N252" s="18"/>
      <c r="O252" s="19"/>
      <c r="P252" s="18"/>
      <c r="Q252" s="18"/>
      <c r="R252" s="19">
        <v>70.396141889999996</v>
      </c>
      <c r="S252" s="19"/>
      <c r="T252" s="18"/>
      <c r="U252" s="19"/>
      <c r="V252" s="19"/>
      <c r="X252" s="15" t="s">
        <v>328</v>
      </c>
      <c r="Y252" s="15" t="s">
        <v>250</v>
      </c>
      <c r="Z252" s="15" t="s">
        <v>353</v>
      </c>
      <c r="AA252" s="15" t="s">
        <v>252</v>
      </c>
      <c r="AB252" s="15"/>
      <c r="AC252" s="15"/>
      <c r="AD252" s="15"/>
      <c r="AE252" s="18"/>
      <c r="AF252" s="18"/>
      <c r="AG252" s="19">
        <v>1.40799261532579</v>
      </c>
      <c r="AH252" s="19">
        <v>1.4244365170503801</v>
      </c>
      <c r="AI252" s="18"/>
      <c r="AJ252" s="19">
        <v>1.5685013916117001</v>
      </c>
      <c r="AK252" s="18"/>
      <c r="AL252" s="18"/>
      <c r="AM252" s="19">
        <v>1.40799261532579</v>
      </c>
      <c r="AN252" s="19">
        <v>1.4026374279118099</v>
      </c>
      <c r="AO252" s="18"/>
      <c r="AP252" s="19">
        <v>1.5730133676073199</v>
      </c>
      <c r="AR252" s="15" t="s">
        <v>249</v>
      </c>
      <c r="AS252" s="15" t="s">
        <v>567</v>
      </c>
      <c r="AT252" s="15" t="s">
        <v>617</v>
      </c>
      <c r="AU252" s="15"/>
      <c r="AV252" s="15"/>
      <c r="AW252" s="15"/>
      <c r="AX252" s="15"/>
      <c r="AY252" s="15"/>
      <c r="AZ252" s="18"/>
      <c r="BA252" s="19">
        <v>2.5000000000000001E-2</v>
      </c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9">
        <v>0.05</v>
      </c>
      <c r="BM252" s="18"/>
      <c r="BN252" s="18"/>
      <c r="BO252" s="18"/>
      <c r="BP252" s="18"/>
      <c r="BQ252" s="18"/>
      <c r="BR252" s="18"/>
      <c r="BS252" s="18"/>
      <c r="BT252" s="18"/>
      <c r="BU252" s="18"/>
    </row>
    <row r="253" spans="3:73" x14ac:dyDescent="0.45">
      <c r="C253" s="15" t="s">
        <v>249</v>
      </c>
      <c r="D253" s="15" t="s">
        <v>324</v>
      </c>
      <c r="E253" s="15" t="s">
        <v>310</v>
      </c>
      <c r="F253" s="15"/>
      <c r="G253" s="15"/>
      <c r="H253" s="15"/>
      <c r="I253" s="15" t="s">
        <v>323</v>
      </c>
      <c r="J253" s="18"/>
      <c r="K253" s="18"/>
      <c r="L253" s="19">
        <v>65.44</v>
      </c>
      <c r="M253" s="18"/>
      <c r="N253" s="18"/>
      <c r="O253" s="18">
        <v>46.49</v>
      </c>
      <c r="P253" s="18"/>
      <c r="Q253" s="18"/>
      <c r="R253" s="19">
        <v>65.43796571</v>
      </c>
      <c r="S253" s="18"/>
      <c r="T253" s="18"/>
      <c r="U253" s="18">
        <v>48.324291950000003</v>
      </c>
      <c r="V253" s="18"/>
      <c r="X253" s="15" t="s">
        <v>328</v>
      </c>
      <c r="Y253" s="15" t="s">
        <v>250</v>
      </c>
      <c r="Z253" s="15" t="s">
        <v>354</v>
      </c>
      <c r="AA253" s="15" t="s">
        <v>252</v>
      </c>
      <c r="AB253" s="15"/>
      <c r="AC253" s="15"/>
      <c r="AD253" s="15"/>
      <c r="AE253" s="18"/>
      <c r="AF253" s="18"/>
      <c r="AG253" s="19">
        <v>0.73529411764705899</v>
      </c>
      <c r="AH253" s="18"/>
      <c r="AI253" s="18"/>
      <c r="AJ253" s="18"/>
      <c r="AK253" s="18"/>
      <c r="AL253" s="18"/>
      <c r="AM253" s="19">
        <v>0.73529411764705899</v>
      </c>
      <c r="AN253" s="18"/>
      <c r="AO253" s="18"/>
      <c r="AP253" s="18"/>
      <c r="AR253" s="15" t="s">
        <v>249</v>
      </c>
      <c r="AS253" s="15" t="s">
        <v>567</v>
      </c>
      <c r="AT253" s="15" t="s">
        <v>618</v>
      </c>
      <c r="AU253" s="15"/>
      <c r="AV253" s="15"/>
      <c r="AW253" s="15"/>
      <c r="AX253" s="15"/>
      <c r="AY253" s="15"/>
      <c r="AZ253" s="18"/>
      <c r="BA253" s="19">
        <v>2.5000000000000001E-2</v>
      </c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9">
        <v>0.05</v>
      </c>
      <c r="BM253" s="18"/>
      <c r="BN253" s="18"/>
      <c r="BO253" s="18"/>
      <c r="BP253" s="18"/>
      <c r="BQ253" s="18"/>
      <c r="BR253" s="18"/>
      <c r="BS253" s="18"/>
      <c r="BT253" s="18"/>
      <c r="BU253" s="18"/>
    </row>
    <row r="254" spans="3:73" x14ac:dyDescent="0.45">
      <c r="C254" s="15" t="s">
        <v>249</v>
      </c>
      <c r="D254" s="15" t="s">
        <v>324</v>
      </c>
      <c r="E254" s="15" t="s">
        <v>311</v>
      </c>
      <c r="F254" s="15"/>
      <c r="G254" s="15"/>
      <c r="H254" s="15"/>
      <c r="I254" s="15" t="s">
        <v>323</v>
      </c>
      <c r="J254" s="18"/>
      <c r="K254" s="18"/>
      <c r="L254" s="19">
        <v>71.34</v>
      </c>
      <c r="M254" s="19"/>
      <c r="N254" s="18"/>
      <c r="O254" s="19"/>
      <c r="P254" s="18"/>
      <c r="Q254" s="18"/>
      <c r="R254" s="19">
        <v>71.343269989999996</v>
      </c>
      <c r="S254" s="19"/>
      <c r="T254" s="18"/>
      <c r="U254" s="19"/>
      <c r="V254" s="19"/>
      <c r="X254" s="15" t="s">
        <v>328</v>
      </c>
      <c r="Y254" s="15" t="s">
        <v>250</v>
      </c>
      <c r="Z254" s="15" t="s">
        <v>355</v>
      </c>
      <c r="AA254" s="15" t="s">
        <v>252</v>
      </c>
      <c r="AB254" s="15"/>
      <c r="AC254" s="15"/>
      <c r="AD254" s="15"/>
      <c r="AE254" s="18"/>
      <c r="AF254" s="18"/>
      <c r="AG254" s="19">
        <v>0.37549179650919701</v>
      </c>
      <c r="AH254" s="19">
        <v>0.42744335605455303</v>
      </c>
      <c r="AI254" s="18"/>
      <c r="AJ254" s="19">
        <v>0.53509347127268303</v>
      </c>
      <c r="AK254" s="18"/>
      <c r="AL254" s="18"/>
      <c r="AM254" s="19">
        <v>0.37549179650919701</v>
      </c>
      <c r="AN254" s="19">
        <v>0.430137812296155</v>
      </c>
      <c r="AO254" s="18"/>
      <c r="AP254" s="19">
        <v>0.49287453900165201</v>
      </c>
      <c r="AR254" s="15" t="s">
        <v>249</v>
      </c>
      <c r="AS254" s="15" t="s">
        <v>567</v>
      </c>
      <c r="AT254" s="15" t="s">
        <v>619</v>
      </c>
      <c r="AU254" s="15"/>
      <c r="AV254" s="15"/>
      <c r="AW254" s="15"/>
      <c r="AX254" s="15"/>
      <c r="AY254" s="15"/>
      <c r="AZ254" s="18"/>
      <c r="BA254" s="19">
        <v>2.5000000000000001E-2</v>
      </c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9">
        <v>0.05</v>
      </c>
      <c r="BM254" s="18"/>
      <c r="BN254" s="18"/>
      <c r="BO254" s="18"/>
      <c r="BP254" s="18"/>
      <c r="BQ254" s="18"/>
      <c r="BR254" s="18"/>
      <c r="BS254" s="18"/>
      <c r="BT254" s="18"/>
      <c r="BU254" s="18"/>
    </row>
    <row r="255" spans="3:73" x14ac:dyDescent="0.45">
      <c r="C255" s="15" t="s">
        <v>249</v>
      </c>
      <c r="D255" s="15" t="s">
        <v>324</v>
      </c>
      <c r="E255" s="15" t="s">
        <v>312</v>
      </c>
      <c r="F255" s="15"/>
      <c r="G255" s="15"/>
      <c r="H255" s="15"/>
      <c r="I255" s="15" t="s">
        <v>323</v>
      </c>
      <c r="J255" s="18"/>
      <c r="K255" s="18"/>
      <c r="L255" s="19">
        <v>38.61</v>
      </c>
      <c r="M255" s="19"/>
      <c r="N255" s="18"/>
      <c r="O255" s="19"/>
      <c r="P255" s="18"/>
      <c r="Q255" s="18"/>
      <c r="R255" s="19">
        <v>38.611763269999997</v>
      </c>
      <c r="S255" s="19"/>
      <c r="T255" s="18"/>
      <c r="U255" s="19"/>
      <c r="V255" s="19"/>
      <c r="X255" s="15" t="s">
        <v>328</v>
      </c>
      <c r="Y255" s="15" t="s">
        <v>250</v>
      </c>
      <c r="Z255" s="15" t="s">
        <v>356</v>
      </c>
      <c r="AA255" s="15" t="s">
        <v>252</v>
      </c>
      <c r="AB255" s="15"/>
      <c r="AC255" s="15"/>
      <c r="AD255" s="15"/>
      <c r="AE255" s="18"/>
      <c r="AF255" s="18"/>
      <c r="AG255" s="19">
        <v>0.40973965605281198</v>
      </c>
      <c r="AH255" s="19">
        <v>0.47640355877824703</v>
      </c>
      <c r="AI255" s="18"/>
      <c r="AJ255" s="19">
        <v>0.59501402300457495</v>
      </c>
      <c r="AK255" s="18"/>
      <c r="AL255" s="18"/>
      <c r="AM255" s="19">
        <v>0.40973965605281198</v>
      </c>
      <c r="AN255" s="19">
        <v>0.47187398959136101</v>
      </c>
      <c r="AO255" s="18"/>
      <c r="AP255" s="19">
        <v>0.54536333887958999</v>
      </c>
      <c r="AR255" s="15" t="s">
        <v>249</v>
      </c>
      <c r="AS255" s="15" t="s">
        <v>567</v>
      </c>
      <c r="AT255" s="15" t="s">
        <v>620</v>
      </c>
      <c r="AU255" s="15"/>
      <c r="AV255" s="15"/>
      <c r="AW255" s="15"/>
      <c r="AX255" s="15"/>
      <c r="AY255" s="15"/>
      <c r="AZ255" s="18"/>
      <c r="BA255" s="19">
        <v>2.5000000000000001E-2</v>
      </c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9">
        <v>0.05</v>
      </c>
      <c r="BM255" s="18"/>
      <c r="BN255" s="18"/>
      <c r="BO255" s="18"/>
      <c r="BP255" s="18"/>
      <c r="BQ255" s="18"/>
      <c r="BR255" s="18"/>
      <c r="BS255" s="18"/>
      <c r="BT255" s="18"/>
      <c r="BU255" s="18"/>
    </row>
    <row r="256" spans="3:73" x14ac:dyDescent="0.45">
      <c r="C256" s="15" t="s">
        <v>249</v>
      </c>
      <c r="D256" s="15" t="s">
        <v>324</v>
      </c>
      <c r="E256" s="15" t="s">
        <v>313</v>
      </c>
      <c r="F256" s="15"/>
      <c r="G256" s="15"/>
      <c r="H256" s="15"/>
      <c r="I256" s="15" t="s">
        <v>323</v>
      </c>
      <c r="J256" s="18"/>
      <c r="K256" s="18"/>
      <c r="L256" s="19">
        <v>57.07</v>
      </c>
      <c r="M256" s="19"/>
      <c r="N256" s="18">
        <v>28.54</v>
      </c>
      <c r="O256" s="19"/>
      <c r="P256" s="18"/>
      <c r="Q256" s="18"/>
      <c r="R256" s="19">
        <v>57.071275049999997</v>
      </c>
      <c r="S256" s="19"/>
      <c r="T256" s="18">
        <v>28.535637529999999</v>
      </c>
      <c r="U256" s="19"/>
      <c r="V256" s="19"/>
      <c r="X256" s="15" t="s">
        <v>328</v>
      </c>
      <c r="Y256" s="15" t="s">
        <v>250</v>
      </c>
      <c r="Z256" s="15" t="s">
        <v>357</v>
      </c>
      <c r="AA256" s="15" t="s">
        <v>252</v>
      </c>
      <c r="AB256" s="15"/>
      <c r="AC256" s="15"/>
      <c r="AD256" s="15"/>
      <c r="AE256" s="18"/>
      <c r="AF256" s="18"/>
      <c r="AG256" s="19">
        <v>0.27102281432564002</v>
      </c>
      <c r="AH256" s="19">
        <v>0.29744977337954598</v>
      </c>
      <c r="AI256" s="18"/>
      <c r="AJ256" s="19">
        <v>0.35497793512336001</v>
      </c>
      <c r="AK256" s="18"/>
      <c r="AL256" s="18"/>
      <c r="AM256" s="19">
        <v>0.27102281432564002</v>
      </c>
      <c r="AN256" s="19">
        <v>0.29880790859002498</v>
      </c>
      <c r="AO256" s="18"/>
      <c r="AP256" s="19">
        <v>0.35338723343685502</v>
      </c>
      <c r="AR256" s="15" t="s">
        <v>249</v>
      </c>
      <c r="AS256" s="15" t="s">
        <v>567</v>
      </c>
      <c r="AT256" s="15" t="s">
        <v>621</v>
      </c>
      <c r="AU256" s="15"/>
      <c r="AV256" s="15"/>
      <c r="AW256" s="15"/>
      <c r="AX256" s="15"/>
      <c r="AY256" s="15"/>
      <c r="AZ256" s="18"/>
      <c r="BA256" s="19">
        <v>2.5000000000000001E-2</v>
      </c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9">
        <v>0.05</v>
      </c>
      <c r="BM256" s="18"/>
      <c r="BN256" s="18"/>
      <c r="BO256" s="18"/>
      <c r="BP256" s="18"/>
      <c r="BQ256" s="18"/>
      <c r="BR256" s="18"/>
      <c r="BS256" s="18"/>
      <c r="BT256" s="18"/>
      <c r="BU256" s="18"/>
    </row>
    <row r="257" spans="3:73" x14ac:dyDescent="0.45">
      <c r="C257" s="15" t="s">
        <v>249</v>
      </c>
      <c r="D257" s="15" t="s">
        <v>324</v>
      </c>
      <c r="E257" s="15" t="s">
        <v>314</v>
      </c>
      <c r="F257" s="15"/>
      <c r="G257" s="15"/>
      <c r="H257" s="15"/>
      <c r="I257" s="15" t="s">
        <v>323</v>
      </c>
      <c r="J257" s="18"/>
      <c r="K257" s="18"/>
      <c r="L257" s="19">
        <v>34.75</v>
      </c>
      <c r="M257" s="19"/>
      <c r="N257" s="18"/>
      <c r="O257" s="19"/>
      <c r="P257" s="18"/>
      <c r="Q257" s="18"/>
      <c r="R257" s="19">
        <v>34.750586939999998</v>
      </c>
      <c r="S257" s="19"/>
      <c r="T257" s="18"/>
      <c r="U257" s="19"/>
      <c r="V257" s="19"/>
      <c r="X257" s="15" t="s">
        <v>328</v>
      </c>
      <c r="Y257" s="15" t="s">
        <v>250</v>
      </c>
      <c r="Z257" s="15" t="s">
        <v>358</v>
      </c>
      <c r="AA257" s="15" t="s">
        <v>252</v>
      </c>
      <c r="AB257" s="15"/>
      <c r="AC257" s="15"/>
      <c r="AD257" s="15"/>
      <c r="AE257" s="18"/>
      <c r="AF257" s="18"/>
      <c r="AG257" s="19">
        <v>0.29574226589403801</v>
      </c>
      <c r="AH257" s="19">
        <v>0.331520255464477</v>
      </c>
      <c r="AI257" s="18"/>
      <c r="AJ257" s="19">
        <v>0.394728884942742</v>
      </c>
      <c r="AK257" s="18"/>
      <c r="AL257" s="18"/>
      <c r="AM257" s="19">
        <v>0.29574226589403801</v>
      </c>
      <c r="AN257" s="19">
        <v>0.32780117422168398</v>
      </c>
      <c r="AO257" s="18"/>
      <c r="AP257" s="19">
        <v>0.39102129709300798</v>
      </c>
      <c r="AR257" s="15" t="s">
        <v>249</v>
      </c>
      <c r="AS257" s="15" t="s">
        <v>567</v>
      </c>
      <c r="AT257" s="15" t="s">
        <v>622</v>
      </c>
      <c r="AU257" s="15"/>
      <c r="AV257" s="15"/>
      <c r="AW257" s="15"/>
      <c r="AX257" s="15"/>
      <c r="AY257" s="15"/>
      <c r="AZ257" s="18"/>
      <c r="BA257" s="19">
        <v>2.5000000000000001E-2</v>
      </c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9">
        <v>0.05</v>
      </c>
      <c r="BM257" s="18"/>
      <c r="BN257" s="18"/>
      <c r="BO257" s="18"/>
      <c r="BP257" s="18"/>
      <c r="BQ257" s="18"/>
      <c r="BR257" s="18"/>
      <c r="BS257" s="18"/>
      <c r="BT257" s="18"/>
      <c r="BU257" s="18"/>
    </row>
    <row r="258" spans="3:73" x14ac:dyDescent="0.45">
      <c r="C258" s="15" t="s">
        <v>249</v>
      </c>
      <c r="D258" s="15" t="s">
        <v>324</v>
      </c>
      <c r="E258" s="15" t="s">
        <v>315</v>
      </c>
      <c r="F258" s="15"/>
      <c r="G258" s="15"/>
      <c r="H258" s="15"/>
      <c r="I258" s="15" t="s">
        <v>323</v>
      </c>
      <c r="J258" s="18"/>
      <c r="K258" s="18"/>
      <c r="L258" s="19">
        <v>11.88</v>
      </c>
      <c r="M258" s="19"/>
      <c r="N258" s="18"/>
      <c r="O258" s="19"/>
      <c r="P258" s="18"/>
      <c r="Q258" s="18"/>
      <c r="R258" s="19">
        <v>11.87981166</v>
      </c>
      <c r="S258" s="19"/>
      <c r="T258" s="18"/>
      <c r="U258" s="19"/>
      <c r="V258" s="19"/>
      <c r="X258" s="15" t="s">
        <v>328</v>
      </c>
      <c r="Y258" s="15" t="s">
        <v>250</v>
      </c>
      <c r="Z258" s="15" t="s">
        <v>359</v>
      </c>
      <c r="AA258" s="15" t="s">
        <v>337</v>
      </c>
      <c r="AB258" s="15"/>
      <c r="AC258" s="15"/>
      <c r="AD258" s="15"/>
      <c r="AE258" s="18"/>
      <c r="AF258" s="18"/>
      <c r="AG258" s="19">
        <v>0.27102281432564002</v>
      </c>
      <c r="AH258" s="19">
        <v>0.29744977337954598</v>
      </c>
      <c r="AI258" s="18"/>
      <c r="AJ258" s="19">
        <v>0.35497793512336001</v>
      </c>
      <c r="AK258" s="18"/>
      <c r="AL258" s="18"/>
      <c r="AM258" s="19">
        <v>0.27102281432564002</v>
      </c>
      <c r="AN258" s="19">
        <v>0.29880790859002498</v>
      </c>
      <c r="AO258" s="18"/>
      <c r="AP258" s="19">
        <v>0.35338723343685502</v>
      </c>
      <c r="AR258" s="15" t="s">
        <v>249</v>
      </c>
      <c r="AS258" s="15" t="s">
        <v>567</v>
      </c>
      <c r="AT258" s="15" t="s">
        <v>623</v>
      </c>
      <c r="AU258" s="15"/>
      <c r="AV258" s="15"/>
      <c r="AW258" s="15"/>
      <c r="AX258" s="15"/>
      <c r="AY258" s="15"/>
      <c r="AZ258" s="18"/>
      <c r="BA258" s="19">
        <v>2.5000000000000001E-2</v>
      </c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9">
        <v>0.05</v>
      </c>
      <c r="BM258" s="18"/>
      <c r="BN258" s="18"/>
      <c r="BO258" s="18"/>
      <c r="BP258" s="18"/>
      <c r="BQ258" s="18"/>
      <c r="BR258" s="18"/>
      <c r="BS258" s="18"/>
      <c r="BT258" s="18"/>
      <c r="BU258" s="18"/>
    </row>
    <row r="259" spans="3:73" x14ac:dyDescent="0.45">
      <c r="C259" s="15" t="s">
        <v>249</v>
      </c>
      <c r="D259" s="15" t="s">
        <v>324</v>
      </c>
      <c r="E259" s="15" t="s">
        <v>316</v>
      </c>
      <c r="F259" s="15"/>
      <c r="G259" s="15"/>
      <c r="H259" s="15"/>
      <c r="I259" s="15" t="s">
        <v>323</v>
      </c>
      <c r="J259" s="18"/>
      <c r="K259" s="18"/>
      <c r="L259" s="19">
        <v>10.53</v>
      </c>
      <c r="M259" s="19"/>
      <c r="N259" s="18"/>
      <c r="O259" s="19">
        <v>8.43</v>
      </c>
      <c r="P259" s="18"/>
      <c r="Q259" s="18"/>
      <c r="R259" s="19">
        <v>10.52998122</v>
      </c>
      <c r="S259" s="19"/>
      <c r="T259" s="18"/>
      <c r="U259" s="19">
        <v>9.0149809019999996</v>
      </c>
      <c r="V259" s="19"/>
      <c r="X259" s="15" t="s">
        <v>328</v>
      </c>
      <c r="Y259" s="15" t="s">
        <v>250</v>
      </c>
      <c r="Z259" s="15" t="s">
        <v>359</v>
      </c>
      <c r="AA259" s="15" t="s">
        <v>338</v>
      </c>
      <c r="AB259" s="15"/>
      <c r="AC259" s="15"/>
      <c r="AD259" s="15"/>
      <c r="AE259" s="18"/>
      <c r="AF259" s="18"/>
      <c r="AG259" s="19">
        <v>1.40799261532579</v>
      </c>
      <c r="AH259" s="19">
        <v>1.4244365170503801</v>
      </c>
      <c r="AI259" s="18"/>
      <c r="AJ259" s="19">
        <v>1.5685013916117001</v>
      </c>
      <c r="AK259" s="18"/>
      <c r="AL259" s="18"/>
      <c r="AM259" s="19">
        <v>1.40799261532579</v>
      </c>
      <c r="AN259" s="19">
        <v>1.4026374279118099</v>
      </c>
      <c r="AO259" s="18"/>
      <c r="AP259" s="19">
        <v>1.5730133676073199</v>
      </c>
      <c r="AR259" s="15" t="s">
        <v>249</v>
      </c>
      <c r="AS259" s="15" t="s">
        <v>567</v>
      </c>
      <c r="AT259" s="15" t="s">
        <v>624</v>
      </c>
      <c r="AU259" s="15"/>
      <c r="AV259" s="15"/>
      <c r="AW259" s="15"/>
      <c r="AX259" s="15"/>
      <c r="AY259" s="15"/>
      <c r="AZ259" s="18"/>
      <c r="BA259" s="19">
        <v>2.5000000000000001E-2</v>
      </c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9">
        <v>0.05</v>
      </c>
      <c r="BM259" s="18"/>
      <c r="BN259" s="18"/>
      <c r="BO259" s="18"/>
      <c r="BP259" s="18"/>
      <c r="BQ259" s="18"/>
      <c r="BR259" s="18"/>
      <c r="BS259" s="18"/>
      <c r="BT259" s="18"/>
      <c r="BU259" s="18"/>
    </row>
    <row r="260" spans="3:73" x14ac:dyDescent="0.45">
      <c r="C260" s="15" t="s">
        <v>249</v>
      </c>
      <c r="D260" s="15" t="s">
        <v>324</v>
      </c>
      <c r="E260" s="15" t="s">
        <v>317</v>
      </c>
      <c r="F260" s="15"/>
      <c r="G260" s="15"/>
      <c r="H260" s="15"/>
      <c r="I260" s="15" t="s">
        <v>323</v>
      </c>
      <c r="J260" s="18"/>
      <c r="K260" s="18"/>
      <c r="L260" s="19">
        <v>13.06</v>
      </c>
      <c r="M260" s="19"/>
      <c r="N260" s="18"/>
      <c r="O260" s="19"/>
      <c r="P260" s="18"/>
      <c r="Q260" s="18"/>
      <c r="R260" s="19">
        <v>13.06071596</v>
      </c>
      <c r="S260" s="19"/>
      <c r="T260" s="18"/>
      <c r="U260" s="19"/>
      <c r="V260" s="19"/>
      <c r="X260" s="15" t="s">
        <v>328</v>
      </c>
      <c r="Y260" s="15" t="s">
        <v>250</v>
      </c>
      <c r="Z260" s="15" t="s">
        <v>360</v>
      </c>
      <c r="AA260" s="15" t="s">
        <v>338</v>
      </c>
      <c r="AB260" s="15"/>
      <c r="AC260" s="15"/>
      <c r="AD260" s="15"/>
      <c r="AE260" s="18"/>
      <c r="AF260" s="18"/>
      <c r="AG260" s="19">
        <v>1.4079999999999999</v>
      </c>
      <c r="AH260" s="19">
        <v>1.4239999999999999</v>
      </c>
      <c r="AI260" s="18"/>
      <c r="AJ260" s="19">
        <v>1.569</v>
      </c>
      <c r="AK260" s="18"/>
      <c r="AL260" s="18"/>
      <c r="AM260" s="19">
        <v>1.40799261532579</v>
      </c>
      <c r="AN260" s="19">
        <v>1.4026374279118099</v>
      </c>
      <c r="AO260" s="18"/>
      <c r="AP260" s="19">
        <v>1.5730133676073199</v>
      </c>
      <c r="AR260" s="15" t="s">
        <v>249</v>
      </c>
      <c r="AS260" s="15" t="s">
        <v>567</v>
      </c>
      <c r="AT260" s="15" t="s">
        <v>625</v>
      </c>
      <c r="AU260" s="15"/>
      <c r="AV260" s="15"/>
      <c r="AW260" s="15"/>
      <c r="AX260" s="15"/>
      <c r="AY260" s="15"/>
      <c r="AZ260" s="18"/>
      <c r="BA260" s="19">
        <v>2.5000000000000001E-2</v>
      </c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9">
        <v>0.05</v>
      </c>
      <c r="BM260" s="18"/>
      <c r="BN260" s="18"/>
      <c r="BO260" s="18"/>
      <c r="BP260" s="18"/>
      <c r="BQ260" s="18"/>
      <c r="BR260" s="18"/>
      <c r="BS260" s="18"/>
      <c r="BT260" s="18"/>
      <c r="BU260" s="18"/>
    </row>
    <row r="261" spans="3:73" x14ac:dyDescent="0.45">
      <c r="C261" s="15" t="s">
        <v>249</v>
      </c>
      <c r="D261" s="15" t="s">
        <v>325</v>
      </c>
      <c r="E261" s="15" t="s">
        <v>251</v>
      </c>
      <c r="F261" s="15"/>
      <c r="G261" s="15"/>
      <c r="H261" s="15"/>
      <c r="I261" s="15"/>
      <c r="J261" s="18">
        <v>2020</v>
      </c>
      <c r="K261" s="18"/>
      <c r="L261" s="19"/>
      <c r="M261" s="19"/>
      <c r="N261" s="18"/>
      <c r="O261" s="19"/>
      <c r="P261" s="18"/>
      <c r="Q261" s="18">
        <v>2020</v>
      </c>
      <c r="R261" s="19"/>
      <c r="S261" s="19"/>
      <c r="T261" s="18"/>
      <c r="U261" s="19"/>
      <c r="V261" s="19"/>
      <c r="X261" s="15" t="s">
        <v>328</v>
      </c>
      <c r="Y261" s="15" t="s">
        <v>250</v>
      </c>
      <c r="Z261" s="15" t="s">
        <v>360</v>
      </c>
      <c r="AA261" s="15" t="s">
        <v>340</v>
      </c>
      <c r="AB261" s="15"/>
      <c r="AC261" s="15"/>
      <c r="AD261" s="15"/>
      <c r="AE261" s="18"/>
      <c r="AF261" s="18"/>
      <c r="AG261" s="19">
        <v>0.29599999999999999</v>
      </c>
      <c r="AH261" s="19">
        <v>0.33200000000000002</v>
      </c>
      <c r="AI261" s="18"/>
      <c r="AJ261" s="19">
        <v>0.39500000000000002</v>
      </c>
      <c r="AK261" s="18"/>
      <c r="AL261" s="18"/>
      <c r="AM261" s="19">
        <v>0.29574226589403801</v>
      </c>
      <c r="AN261" s="19">
        <v>0.32780117422168398</v>
      </c>
      <c r="AO261" s="18"/>
      <c r="AP261" s="19">
        <v>0.39102129709300798</v>
      </c>
      <c r="AR261" s="15" t="s">
        <v>249</v>
      </c>
      <c r="AS261" s="15" t="s">
        <v>567</v>
      </c>
      <c r="AT261" s="15" t="s">
        <v>626</v>
      </c>
      <c r="AU261" s="15"/>
      <c r="AV261" s="15"/>
      <c r="AW261" s="15"/>
      <c r="AX261" s="15"/>
      <c r="AY261" s="15"/>
      <c r="AZ261" s="18"/>
      <c r="BA261" s="19">
        <v>2.5000000000000001E-2</v>
      </c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9">
        <v>0.05</v>
      </c>
      <c r="BM261" s="18"/>
      <c r="BN261" s="18"/>
      <c r="BO261" s="18"/>
      <c r="BP261" s="18"/>
      <c r="BQ261" s="18"/>
      <c r="BR261" s="18"/>
      <c r="BS261" s="18"/>
      <c r="BT261" s="18"/>
      <c r="BU261" s="18"/>
    </row>
    <row r="262" spans="3:73" x14ac:dyDescent="0.45">
      <c r="C262" s="15" t="s">
        <v>249</v>
      </c>
      <c r="D262" s="15" t="s">
        <v>325</v>
      </c>
      <c r="E262" s="15" t="s">
        <v>253</v>
      </c>
      <c r="F262" s="15"/>
      <c r="G262" s="15"/>
      <c r="H262" s="15"/>
      <c r="I262" s="15"/>
      <c r="J262" s="18">
        <v>2020</v>
      </c>
      <c r="K262" s="18"/>
      <c r="L262" s="19"/>
      <c r="M262" s="19"/>
      <c r="N262" s="18"/>
      <c r="O262" s="19"/>
      <c r="P262" s="18"/>
      <c r="Q262" s="18">
        <v>2020</v>
      </c>
      <c r="R262" s="19"/>
      <c r="S262" s="19"/>
      <c r="T262" s="18"/>
      <c r="U262" s="19"/>
      <c r="V262" s="19"/>
      <c r="X262" s="15" t="s">
        <v>328</v>
      </c>
      <c r="Y262" s="15" t="s">
        <v>250</v>
      </c>
      <c r="Z262" s="15" t="s">
        <v>361</v>
      </c>
      <c r="AA262" s="15" t="s">
        <v>252</v>
      </c>
      <c r="AB262" s="15"/>
      <c r="AC262" s="15"/>
      <c r="AD262" s="15"/>
      <c r="AE262" s="18"/>
      <c r="AF262" s="18"/>
      <c r="AG262" s="19">
        <v>5.7874235293832701</v>
      </c>
      <c r="AH262" s="19">
        <v>4.9403706423275402</v>
      </c>
      <c r="AI262" s="18"/>
      <c r="AJ262" s="19">
        <v>4.7287339592516204</v>
      </c>
      <c r="AK262" s="18"/>
      <c r="AL262" s="18"/>
      <c r="AM262" s="19">
        <v>5.7874235293832701</v>
      </c>
      <c r="AN262" s="19">
        <v>4.9866436484538399</v>
      </c>
      <c r="AO262" s="18"/>
      <c r="AP262" s="19">
        <v>4.7639962332593999</v>
      </c>
      <c r="AR262" s="15" t="s">
        <v>249</v>
      </c>
      <c r="AS262" s="15" t="s">
        <v>567</v>
      </c>
      <c r="AT262" s="15" t="s">
        <v>627</v>
      </c>
      <c r="AU262" s="15"/>
      <c r="AV262" s="15"/>
      <c r="AW262" s="15"/>
      <c r="AX262" s="15"/>
      <c r="AY262" s="15"/>
      <c r="AZ262" s="18"/>
      <c r="BA262" s="19">
        <v>2.5000000000000001E-2</v>
      </c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9">
        <v>0.05</v>
      </c>
      <c r="BM262" s="18"/>
      <c r="BN262" s="18"/>
      <c r="BO262" s="18"/>
      <c r="BP262" s="18"/>
      <c r="BQ262" s="18"/>
      <c r="BR262" s="18"/>
      <c r="BS262" s="18"/>
      <c r="BT262" s="18"/>
      <c r="BU262" s="18"/>
    </row>
    <row r="263" spans="3:73" x14ac:dyDescent="0.45">
      <c r="C263" s="15" t="s">
        <v>249</v>
      </c>
      <c r="D263" s="15" t="s">
        <v>325</v>
      </c>
      <c r="E263" s="15" t="s">
        <v>254</v>
      </c>
      <c r="F263" s="15"/>
      <c r="G263" s="15"/>
      <c r="H263" s="15"/>
      <c r="I263" s="15"/>
      <c r="J263" s="18">
        <v>2020</v>
      </c>
      <c r="K263" s="18"/>
      <c r="L263" s="19"/>
      <c r="M263" s="19"/>
      <c r="N263" s="18"/>
      <c r="O263" s="19"/>
      <c r="P263" s="18"/>
      <c r="Q263" s="18">
        <v>2020</v>
      </c>
      <c r="R263" s="19"/>
      <c r="S263" s="19"/>
      <c r="T263" s="18"/>
      <c r="U263" s="19"/>
      <c r="V263" s="19"/>
      <c r="X263" s="15" t="s">
        <v>328</v>
      </c>
      <c r="Y263" s="15" t="s">
        <v>250</v>
      </c>
      <c r="Z263" s="15" t="s">
        <v>362</v>
      </c>
      <c r="AA263" s="15" t="s">
        <v>252</v>
      </c>
      <c r="AB263" s="15"/>
      <c r="AC263" s="15"/>
      <c r="AD263" s="15"/>
      <c r="AE263" s="18"/>
      <c r="AF263" s="18"/>
      <c r="AG263" s="19">
        <v>0.58602989312730902</v>
      </c>
      <c r="AH263" s="19">
        <v>0.61568558069197798</v>
      </c>
      <c r="AI263" s="18"/>
      <c r="AJ263" s="19">
        <v>0.719166782327331</v>
      </c>
      <c r="AK263" s="18"/>
      <c r="AL263" s="18"/>
      <c r="AM263" s="19">
        <v>0.58602989312730902</v>
      </c>
      <c r="AN263" s="19">
        <v>0.61275424986168503</v>
      </c>
      <c r="AO263" s="18"/>
      <c r="AP263" s="19">
        <v>0.671208334483687</v>
      </c>
      <c r="AR263" s="15" t="s">
        <v>249</v>
      </c>
      <c r="AS263" s="15" t="s">
        <v>567</v>
      </c>
      <c r="AT263" s="15" t="s">
        <v>628</v>
      </c>
      <c r="AU263" s="15"/>
      <c r="AV263" s="15"/>
      <c r="AW263" s="15"/>
      <c r="AX263" s="15"/>
      <c r="AY263" s="15"/>
      <c r="AZ263" s="18"/>
      <c r="BA263" s="19">
        <v>2.5000000000000001E-2</v>
      </c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9">
        <v>0.05</v>
      </c>
      <c r="BM263" s="18"/>
      <c r="BN263" s="18"/>
      <c r="BO263" s="18"/>
      <c r="BP263" s="18"/>
      <c r="BQ263" s="18"/>
      <c r="BR263" s="18"/>
      <c r="BS263" s="18"/>
      <c r="BT263" s="18"/>
      <c r="BU263" s="18"/>
    </row>
    <row r="264" spans="3:73" x14ac:dyDescent="0.45">
      <c r="C264" s="15" t="s">
        <v>249</v>
      </c>
      <c r="D264" s="15" t="s">
        <v>325</v>
      </c>
      <c r="E264" s="15" t="s">
        <v>255</v>
      </c>
      <c r="F264" s="15"/>
      <c r="G264" s="15"/>
      <c r="H264" s="15"/>
      <c r="I264" s="15"/>
      <c r="J264" s="18">
        <v>2020</v>
      </c>
      <c r="K264" s="18"/>
      <c r="L264" s="19"/>
      <c r="M264" s="18"/>
      <c r="N264" s="18"/>
      <c r="O264" s="18"/>
      <c r="P264" s="18"/>
      <c r="Q264" s="18">
        <v>2020</v>
      </c>
      <c r="R264" s="19"/>
      <c r="S264" s="18"/>
      <c r="T264" s="18"/>
      <c r="U264" s="18"/>
      <c r="V264" s="18"/>
      <c r="X264" s="15" t="s">
        <v>328</v>
      </c>
      <c r="Y264" s="15" t="s">
        <v>363</v>
      </c>
      <c r="Z264" s="15" t="s">
        <v>336</v>
      </c>
      <c r="AA264" s="15" t="s">
        <v>364</v>
      </c>
      <c r="AB264" s="15" t="s">
        <v>337</v>
      </c>
      <c r="AC264" s="15" t="s">
        <v>13</v>
      </c>
      <c r="AD264" s="15"/>
      <c r="AE264" s="18"/>
      <c r="AF264" s="18"/>
      <c r="AG264" s="19">
        <v>0</v>
      </c>
      <c r="AH264" s="18"/>
      <c r="AI264" s="18"/>
      <c r="AJ264" s="18"/>
      <c r="AK264" s="18"/>
      <c r="AL264" s="18"/>
      <c r="AM264" s="19">
        <v>0</v>
      </c>
      <c r="AN264" s="18"/>
      <c r="AO264" s="18"/>
      <c r="AP264" s="18"/>
      <c r="AR264" s="15" t="s">
        <v>249</v>
      </c>
      <c r="AS264" s="15" t="s">
        <v>567</v>
      </c>
      <c r="AT264" s="15" t="s">
        <v>629</v>
      </c>
      <c r="AU264" s="15"/>
      <c r="AV264" s="15"/>
      <c r="AW264" s="15"/>
      <c r="AX264" s="15"/>
      <c r="AY264" s="15"/>
      <c r="AZ264" s="18"/>
      <c r="BA264" s="19">
        <v>2.5000000000000001E-2</v>
      </c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9">
        <v>0.05</v>
      </c>
      <c r="BM264" s="18"/>
      <c r="BN264" s="18"/>
      <c r="BO264" s="18"/>
      <c r="BP264" s="18"/>
      <c r="BQ264" s="18"/>
      <c r="BR264" s="18"/>
      <c r="BS264" s="18"/>
      <c r="BT264" s="18"/>
      <c r="BU264" s="18"/>
    </row>
    <row r="265" spans="3:73" x14ac:dyDescent="0.45">
      <c r="C265" s="15" t="s">
        <v>249</v>
      </c>
      <c r="D265" s="15" t="s">
        <v>325</v>
      </c>
      <c r="E265" s="15" t="s">
        <v>256</v>
      </c>
      <c r="F265" s="15"/>
      <c r="G265" s="15"/>
      <c r="H265" s="15"/>
      <c r="I265" s="15"/>
      <c r="J265" s="18">
        <v>2020</v>
      </c>
      <c r="K265" s="18"/>
      <c r="L265" s="19"/>
      <c r="M265" s="18"/>
      <c r="N265" s="18"/>
      <c r="O265" s="18"/>
      <c r="P265" s="18"/>
      <c r="Q265" s="18">
        <v>2020</v>
      </c>
      <c r="R265" s="19"/>
      <c r="S265" s="18"/>
      <c r="T265" s="18"/>
      <c r="U265" s="18"/>
      <c r="V265" s="18"/>
      <c r="X265" s="15" t="s">
        <v>328</v>
      </c>
      <c r="Y265" s="15" t="s">
        <v>363</v>
      </c>
      <c r="Z265" s="15" t="s">
        <v>336</v>
      </c>
      <c r="AA265" s="15" t="s">
        <v>364</v>
      </c>
      <c r="AB265" s="15" t="s">
        <v>338</v>
      </c>
      <c r="AC265" s="15" t="s">
        <v>13</v>
      </c>
      <c r="AD265" s="15"/>
      <c r="AE265" s="18"/>
      <c r="AF265" s="18"/>
      <c r="AG265" s="19">
        <v>0</v>
      </c>
      <c r="AH265" s="18"/>
      <c r="AI265" s="18"/>
      <c r="AJ265" s="18"/>
      <c r="AK265" s="18"/>
      <c r="AL265" s="18"/>
      <c r="AM265" s="19">
        <v>0</v>
      </c>
      <c r="AN265" s="18"/>
      <c r="AO265" s="18"/>
      <c r="AP265" s="18"/>
      <c r="AR265" s="15" t="s">
        <v>249</v>
      </c>
      <c r="AS265" s="15" t="s">
        <v>567</v>
      </c>
      <c r="AT265" s="15" t="s">
        <v>630</v>
      </c>
      <c r="AU265" s="15"/>
      <c r="AV265" s="15"/>
      <c r="AW265" s="15"/>
      <c r="AX265" s="15"/>
      <c r="AY265" s="15"/>
      <c r="AZ265" s="18"/>
      <c r="BA265" s="19">
        <v>2.5000000000000001E-2</v>
      </c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9">
        <v>0.05</v>
      </c>
      <c r="BM265" s="18"/>
      <c r="BN265" s="18"/>
      <c r="BO265" s="18"/>
      <c r="BP265" s="18"/>
      <c r="BQ265" s="18"/>
      <c r="BR265" s="18"/>
      <c r="BS265" s="18"/>
      <c r="BT265" s="18"/>
      <c r="BU265" s="18"/>
    </row>
    <row r="266" spans="3:73" x14ac:dyDescent="0.45">
      <c r="C266" s="15" t="s">
        <v>249</v>
      </c>
      <c r="D266" s="15" t="s">
        <v>325</v>
      </c>
      <c r="E266" s="15" t="s">
        <v>257</v>
      </c>
      <c r="F266" s="15"/>
      <c r="G266" s="15"/>
      <c r="H266" s="15"/>
      <c r="I266" s="15"/>
      <c r="J266" s="18">
        <v>2020</v>
      </c>
      <c r="K266" s="18"/>
      <c r="L266" s="19"/>
      <c r="M266" s="18"/>
      <c r="N266" s="18"/>
      <c r="O266" s="18"/>
      <c r="P266" s="18"/>
      <c r="Q266" s="18">
        <v>2020</v>
      </c>
      <c r="R266" s="19"/>
      <c r="S266" s="18"/>
      <c r="T266" s="18"/>
      <c r="U266" s="18"/>
      <c r="V266" s="18"/>
      <c r="X266" s="15" t="s">
        <v>328</v>
      </c>
      <c r="Y266" s="15" t="s">
        <v>363</v>
      </c>
      <c r="Z266" s="15" t="s">
        <v>339</v>
      </c>
      <c r="AA266" s="15" t="s">
        <v>365</v>
      </c>
      <c r="AB266" s="15" t="s">
        <v>338</v>
      </c>
      <c r="AC266" s="15" t="s">
        <v>13</v>
      </c>
      <c r="AD266" s="15"/>
      <c r="AE266" s="18"/>
      <c r="AF266" s="18"/>
      <c r="AG266" s="19">
        <v>0</v>
      </c>
      <c r="AH266" s="18"/>
      <c r="AI266" s="18"/>
      <c r="AJ266" s="18"/>
      <c r="AK266" s="18"/>
      <c r="AL266" s="18"/>
      <c r="AM266" s="19">
        <v>0</v>
      </c>
      <c r="AN266" s="18"/>
      <c r="AO266" s="18"/>
      <c r="AP266" s="18"/>
      <c r="AR266" s="15" t="s">
        <v>249</v>
      </c>
      <c r="AS266" s="15" t="s">
        <v>567</v>
      </c>
      <c r="AT266" s="15" t="s">
        <v>631</v>
      </c>
      <c r="AU266" s="15"/>
      <c r="AV266" s="15"/>
      <c r="AW266" s="15"/>
      <c r="AX266" s="15"/>
      <c r="AY266" s="15"/>
      <c r="AZ266" s="18"/>
      <c r="BA266" s="19">
        <v>2.5000000000000001E-2</v>
      </c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9">
        <v>0.05</v>
      </c>
      <c r="BM266" s="18"/>
      <c r="BN266" s="18"/>
      <c r="BO266" s="18"/>
      <c r="BP266" s="18"/>
      <c r="BQ266" s="18"/>
      <c r="BR266" s="18"/>
      <c r="BS266" s="18"/>
      <c r="BT266" s="18"/>
      <c r="BU266" s="18"/>
    </row>
    <row r="267" spans="3:73" x14ac:dyDescent="0.45">
      <c r="C267" s="15" t="s">
        <v>249</v>
      </c>
      <c r="D267" s="15" t="s">
        <v>325</v>
      </c>
      <c r="E267" s="15" t="s">
        <v>258</v>
      </c>
      <c r="F267" s="15"/>
      <c r="G267" s="15"/>
      <c r="H267" s="15"/>
      <c r="I267" s="15"/>
      <c r="J267" s="18">
        <v>2020</v>
      </c>
      <c r="K267" s="18"/>
      <c r="L267" s="19"/>
      <c r="M267" s="18"/>
      <c r="N267" s="18"/>
      <c r="O267" s="18"/>
      <c r="P267" s="18"/>
      <c r="Q267" s="18">
        <v>2020</v>
      </c>
      <c r="R267" s="19"/>
      <c r="S267" s="18"/>
      <c r="T267" s="18"/>
      <c r="U267" s="18"/>
      <c r="V267" s="18"/>
      <c r="X267" s="15" t="s">
        <v>328</v>
      </c>
      <c r="Y267" s="15" t="s">
        <v>363</v>
      </c>
      <c r="Z267" s="15" t="s">
        <v>339</v>
      </c>
      <c r="AA267" s="15" t="s">
        <v>365</v>
      </c>
      <c r="AB267" s="15" t="s">
        <v>340</v>
      </c>
      <c r="AC267" s="15" t="s">
        <v>13</v>
      </c>
      <c r="AD267" s="15"/>
      <c r="AE267" s="18"/>
      <c r="AF267" s="18"/>
      <c r="AG267" s="19">
        <v>0</v>
      </c>
      <c r="AH267" s="18"/>
      <c r="AI267" s="18"/>
      <c r="AJ267" s="18"/>
      <c r="AK267" s="18"/>
      <c r="AL267" s="18"/>
      <c r="AM267" s="19">
        <v>0</v>
      </c>
      <c r="AN267" s="18"/>
      <c r="AO267" s="18"/>
      <c r="AP267" s="18"/>
      <c r="AR267" s="15" t="s">
        <v>249</v>
      </c>
      <c r="AS267" s="15" t="s">
        <v>567</v>
      </c>
      <c r="AT267" s="15" t="s">
        <v>632</v>
      </c>
      <c r="AU267" s="15"/>
      <c r="AV267" s="15"/>
      <c r="AW267" s="15"/>
      <c r="AX267" s="15"/>
      <c r="AY267" s="15"/>
      <c r="AZ267" s="18"/>
      <c r="BA267" s="19">
        <v>2.5000000000000001E-2</v>
      </c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9">
        <v>0.05</v>
      </c>
      <c r="BM267" s="18"/>
      <c r="BN267" s="18"/>
      <c r="BO267" s="18"/>
      <c r="BP267" s="18"/>
      <c r="BQ267" s="18"/>
      <c r="BR267" s="18"/>
      <c r="BS267" s="18"/>
      <c r="BT267" s="18"/>
      <c r="BU267" s="18"/>
    </row>
    <row r="268" spans="3:73" x14ac:dyDescent="0.45">
      <c r="C268" s="15" t="s">
        <v>249</v>
      </c>
      <c r="D268" s="15" t="s">
        <v>325</v>
      </c>
      <c r="E268" s="15" t="s">
        <v>259</v>
      </c>
      <c r="F268" s="15"/>
      <c r="G268" s="15"/>
      <c r="H268" s="15"/>
      <c r="I268" s="15"/>
      <c r="J268" s="18">
        <v>2020</v>
      </c>
      <c r="K268" s="18"/>
      <c r="L268" s="19"/>
      <c r="M268" s="18"/>
      <c r="N268" s="18"/>
      <c r="O268" s="18"/>
      <c r="P268" s="18"/>
      <c r="Q268" s="18">
        <v>2020</v>
      </c>
      <c r="R268" s="19"/>
      <c r="S268" s="18"/>
      <c r="T268" s="18"/>
      <c r="U268" s="18"/>
      <c r="V268" s="18"/>
      <c r="X268" s="15" t="s">
        <v>328</v>
      </c>
      <c r="Y268" s="15" t="s">
        <v>363</v>
      </c>
      <c r="Z268" s="15" t="s">
        <v>359</v>
      </c>
      <c r="AA268" s="15" t="s">
        <v>366</v>
      </c>
      <c r="AB268" s="15" t="s">
        <v>337</v>
      </c>
      <c r="AC268" s="15" t="s">
        <v>13</v>
      </c>
      <c r="AD268" s="15"/>
      <c r="AE268" s="18"/>
      <c r="AF268" s="18"/>
      <c r="AG268" s="19">
        <v>0</v>
      </c>
      <c r="AH268" s="18"/>
      <c r="AI268" s="18"/>
      <c r="AJ268" s="18"/>
      <c r="AK268" s="18"/>
      <c r="AL268" s="18"/>
      <c r="AM268" s="19">
        <v>0</v>
      </c>
      <c r="AN268" s="18"/>
      <c r="AO268" s="18"/>
      <c r="AP268" s="18"/>
      <c r="AR268" s="15" t="s">
        <v>249</v>
      </c>
      <c r="AS268" s="15" t="s">
        <v>567</v>
      </c>
      <c r="AT268" s="15" t="s">
        <v>633</v>
      </c>
      <c r="AU268" s="15"/>
      <c r="AV268" s="15"/>
      <c r="AW268" s="15"/>
      <c r="AX268" s="15"/>
      <c r="AY268" s="15"/>
      <c r="AZ268" s="18"/>
      <c r="BA268" s="19">
        <v>2.5000000000000001E-2</v>
      </c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9">
        <v>0.05</v>
      </c>
      <c r="BM268" s="18"/>
      <c r="BN268" s="18"/>
      <c r="BO268" s="18"/>
      <c r="BP268" s="18"/>
      <c r="BQ268" s="18"/>
      <c r="BR268" s="18"/>
      <c r="BS268" s="18"/>
      <c r="BT268" s="18"/>
      <c r="BU268" s="18"/>
    </row>
    <row r="269" spans="3:73" x14ac:dyDescent="0.45">
      <c r="C269" s="15" t="s">
        <v>249</v>
      </c>
      <c r="D269" s="15" t="s">
        <v>325</v>
      </c>
      <c r="E269" s="15" t="s">
        <v>260</v>
      </c>
      <c r="F269" s="15"/>
      <c r="G269" s="15"/>
      <c r="H269" s="15"/>
      <c r="I269" s="15"/>
      <c r="J269" s="18">
        <v>2020</v>
      </c>
      <c r="K269" s="18"/>
      <c r="L269" s="19"/>
      <c r="M269" s="18"/>
      <c r="N269" s="18"/>
      <c r="O269" s="18"/>
      <c r="P269" s="18"/>
      <c r="Q269" s="18">
        <v>2020</v>
      </c>
      <c r="R269" s="19"/>
      <c r="S269" s="18"/>
      <c r="T269" s="18"/>
      <c r="U269" s="18"/>
      <c r="V269" s="18"/>
      <c r="X269" s="15" t="s">
        <v>328</v>
      </c>
      <c r="Y269" s="15" t="s">
        <v>363</v>
      </c>
      <c r="Z269" s="15" t="s">
        <v>359</v>
      </c>
      <c r="AA269" s="15" t="s">
        <v>366</v>
      </c>
      <c r="AB269" s="15" t="s">
        <v>338</v>
      </c>
      <c r="AC269" s="15" t="s">
        <v>13</v>
      </c>
      <c r="AD269" s="15"/>
      <c r="AE269" s="18"/>
      <c r="AF269" s="18"/>
      <c r="AG269" s="19">
        <v>0</v>
      </c>
      <c r="AH269" s="18"/>
      <c r="AI269" s="18"/>
      <c r="AJ269" s="18"/>
      <c r="AK269" s="18"/>
      <c r="AL269" s="18"/>
      <c r="AM269" s="19">
        <v>0</v>
      </c>
      <c r="AN269" s="18"/>
      <c r="AO269" s="18"/>
      <c r="AP269" s="18"/>
      <c r="AR269" s="15" t="s">
        <v>249</v>
      </c>
      <c r="AS269" s="15" t="s">
        <v>567</v>
      </c>
      <c r="AT269" s="15" t="s">
        <v>634</v>
      </c>
      <c r="AU269" s="15"/>
      <c r="AV269" s="15"/>
      <c r="AW269" s="15"/>
      <c r="AX269" s="15"/>
      <c r="AY269" s="15"/>
      <c r="AZ269" s="18"/>
      <c r="BA269" s="19">
        <v>2.5000000000000001E-2</v>
      </c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9">
        <v>0.05</v>
      </c>
      <c r="BM269" s="18"/>
      <c r="BN269" s="18"/>
      <c r="BO269" s="18"/>
      <c r="BP269" s="18"/>
      <c r="BQ269" s="18"/>
      <c r="BR269" s="18"/>
      <c r="BS269" s="18"/>
      <c r="BT269" s="18"/>
      <c r="BU269" s="18"/>
    </row>
    <row r="270" spans="3:73" x14ac:dyDescent="0.45">
      <c r="C270" s="15" t="s">
        <v>249</v>
      </c>
      <c r="D270" s="15" t="s">
        <v>325</v>
      </c>
      <c r="E270" s="15" t="s">
        <v>261</v>
      </c>
      <c r="F270" s="15"/>
      <c r="G270" s="15"/>
      <c r="H270" s="15"/>
      <c r="I270" s="15"/>
      <c r="J270" s="18">
        <v>2020</v>
      </c>
      <c r="K270" s="18"/>
      <c r="L270" s="19"/>
      <c r="M270" s="18"/>
      <c r="N270" s="18"/>
      <c r="O270" s="18"/>
      <c r="P270" s="18"/>
      <c r="Q270" s="18">
        <v>2020</v>
      </c>
      <c r="R270" s="19"/>
      <c r="S270" s="18"/>
      <c r="T270" s="18"/>
      <c r="U270" s="18"/>
      <c r="V270" s="18"/>
      <c r="X270" s="15" t="s">
        <v>328</v>
      </c>
      <c r="Y270" s="15" t="s">
        <v>363</v>
      </c>
      <c r="Z270" s="15" t="s">
        <v>360</v>
      </c>
      <c r="AA270" s="15" t="s">
        <v>367</v>
      </c>
      <c r="AB270" s="15" t="s">
        <v>338</v>
      </c>
      <c r="AC270" s="15" t="s">
        <v>13</v>
      </c>
      <c r="AD270" s="15"/>
      <c r="AE270" s="18"/>
      <c r="AF270" s="18"/>
      <c r="AG270" s="19">
        <v>0</v>
      </c>
      <c r="AH270" s="18"/>
      <c r="AI270" s="18"/>
      <c r="AJ270" s="18"/>
      <c r="AK270" s="18"/>
      <c r="AL270" s="18"/>
      <c r="AM270" s="19">
        <v>0</v>
      </c>
      <c r="AN270" s="18"/>
      <c r="AO270" s="18"/>
      <c r="AP270" s="18"/>
      <c r="AR270" s="15" t="s">
        <v>249</v>
      </c>
      <c r="AS270" s="15" t="s">
        <v>567</v>
      </c>
      <c r="AT270" s="15" t="s">
        <v>635</v>
      </c>
      <c r="AU270" s="15"/>
      <c r="AV270" s="15"/>
      <c r="AW270" s="15"/>
      <c r="AX270" s="15"/>
      <c r="AY270" s="15"/>
      <c r="AZ270" s="18"/>
      <c r="BA270" s="19">
        <v>2.5000000000000001E-2</v>
      </c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9">
        <v>0.05</v>
      </c>
      <c r="BM270" s="18"/>
      <c r="BN270" s="18"/>
      <c r="BO270" s="18"/>
      <c r="BP270" s="18"/>
      <c r="BQ270" s="18"/>
      <c r="BR270" s="18"/>
      <c r="BS270" s="18"/>
      <c r="BT270" s="18"/>
      <c r="BU270" s="18"/>
    </row>
    <row r="271" spans="3:73" x14ac:dyDescent="0.45">
      <c r="C271" s="15" t="s">
        <v>249</v>
      </c>
      <c r="D271" s="15" t="s">
        <v>325</v>
      </c>
      <c r="E271" s="15" t="s">
        <v>262</v>
      </c>
      <c r="F271" s="15"/>
      <c r="G271" s="15"/>
      <c r="H271" s="15"/>
      <c r="I271" s="15"/>
      <c r="J271" s="18">
        <v>2020</v>
      </c>
      <c r="K271" s="18"/>
      <c r="L271" s="19"/>
      <c r="M271" s="18"/>
      <c r="N271" s="18"/>
      <c r="O271" s="18"/>
      <c r="P271" s="18"/>
      <c r="Q271" s="18">
        <v>2020</v>
      </c>
      <c r="R271" s="19"/>
      <c r="S271" s="18"/>
      <c r="T271" s="18"/>
      <c r="U271" s="18"/>
      <c r="V271" s="18"/>
      <c r="X271" s="15" t="s">
        <v>328</v>
      </c>
      <c r="Y271" s="15" t="s">
        <v>363</v>
      </c>
      <c r="Z271" s="15" t="s">
        <v>360</v>
      </c>
      <c r="AA271" s="15" t="s">
        <v>367</v>
      </c>
      <c r="AB271" s="15" t="s">
        <v>340</v>
      </c>
      <c r="AC271" s="15" t="s">
        <v>13</v>
      </c>
      <c r="AD271" s="15"/>
      <c r="AE271" s="18"/>
      <c r="AF271" s="18"/>
      <c r="AG271" s="19">
        <v>0</v>
      </c>
      <c r="AH271" s="18"/>
      <c r="AI271" s="18"/>
      <c r="AJ271" s="18"/>
      <c r="AK271" s="18"/>
      <c r="AL271" s="18"/>
      <c r="AM271" s="19">
        <v>0</v>
      </c>
      <c r="AN271" s="18"/>
      <c r="AO271" s="18"/>
      <c r="AP271" s="18"/>
      <c r="AR271" s="15" t="s">
        <v>249</v>
      </c>
      <c r="AS271" s="15" t="s">
        <v>567</v>
      </c>
      <c r="AT271" s="15" t="s">
        <v>636</v>
      </c>
      <c r="AU271" s="15"/>
      <c r="AV271" s="15"/>
      <c r="AW271" s="15"/>
      <c r="AX271" s="15"/>
      <c r="AY271" s="15"/>
      <c r="AZ271" s="18"/>
      <c r="BA271" s="19">
        <v>2.5000000000000001E-2</v>
      </c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9">
        <v>0.05</v>
      </c>
      <c r="BM271" s="18"/>
      <c r="BN271" s="18"/>
      <c r="BO271" s="18"/>
      <c r="BP271" s="18"/>
      <c r="BQ271" s="18"/>
      <c r="BR271" s="18"/>
      <c r="BS271" s="18"/>
      <c r="BT271" s="18"/>
      <c r="BU271" s="18"/>
    </row>
    <row r="272" spans="3:73" x14ac:dyDescent="0.45">
      <c r="C272" s="15" t="s">
        <v>249</v>
      </c>
      <c r="D272" s="15" t="s">
        <v>325</v>
      </c>
      <c r="E272" s="15" t="s">
        <v>263</v>
      </c>
      <c r="F272" s="15"/>
      <c r="G272" s="15"/>
      <c r="H272" s="15"/>
      <c r="I272" s="15"/>
      <c r="J272" s="18">
        <v>2020</v>
      </c>
      <c r="K272" s="18"/>
      <c r="L272" s="19"/>
      <c r="M272" s="18"/>
      <c r="N272" s="18"/>
      <c r="O272" s="19"/>
      <c r="P272" s="18"/>
      <c r="Q272" s="18">
        <v>2020</v>
      </c>
      <c r="R272" s="19"/>
      <c r="S272" s="18"/>
      <c r="T272" s="18"/>
      <c r="U272" s="19"/>
      <c r="V272" s="19"/>
      <c r="X272" s="15" t="s">
        <v>328</v>
      </c>
      <c r="Y272" s="15" t="s">
        <v>321</v>
      </c>
      <c r="Z272" s="15" t="s">
        <v>330</v>
      </c>
      <c r="AA272" s="15"/>
      <c r="AB272" s="15"/>
      <c r="AC272" s="15" t="s">
        <v>320</v>
      </c>
      <c r="AD272" s="15"/>
      <c r="AE272" s="18"/>
      <c r="AF272" s="18"/>
      <c r="AG272" s="19">
        <v>0.18299133909599399</v>
      </c>
      <c r="AH272" s="18"/>
      <c r="AI272" s="18"/>
      <c r="AJ272" s="19">
        <v>0.213778816414084</v>
      </c>
      <c r="AK272" s="18"/>
      <c r="AL272" s="18"/>
      <c r="AM272" s="19">
        <v>0.18</v>
      </c>
      <c r="AN272" s="18"/>
      <c r="AO272" s="18"/>
      <c r="AP272" s="19">
        <v>0.21</v>
      </c>
      <c r="AR272" s="15" t="s">
        <v>249</v>
      </c>
      <c r="AS272" s="15" t="s">
        <v>567</v>
      </c>
      <c r="AT272" s="15" t="s">
        <v>637</v>
      </c>
      <c r="AU272" s="15"/>
      <c r="AV272" s="15"/>
      <c r="AW272" s="15"/>
      <c r="AX272" s="15"/>
      <c r="AY272" s="15"/>
      <c r="AZ272" s="18"/>
      <c r="BA272" s="19">
        <v>2.5000000000000001E-2</v>
      </c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9">
        <v>0.05</v>
      </c>
      <c r="BM272" s="18"/>
      <c r="BN272" s="18"/>
      <c r="BO272" s="18"/>
      <c r="BP272" s="18"/>
      <c r="BQ272" s="18"/>
      <c r="BR272" s="18"/>
      <c r="BS272" s="18"/>
      <c r="BT272" s="18"/>
      <c r="BU272" s="18"/>
    </row>
    <row r="273" spans="3:73" x14ac:dyDescent="0.45">
      <c r="C273" s="15" t="s">
        <v>249</v>
      </c>
      <c r="D273" s="15" t="s">
        <v>325</v>
      </c>
      <c r="E273" s="15" t="s">
        <v>264</v>
      </c>
      <c r="F273" s="15"/>
      <c r="G273" s="15"/>
      <c r="H273" s="15"/>
      <c r="I273" s="15"/>
      <c r="J273" s="18">
        <v>2020</v>
      </c>
      <c r="K273" s="18"/>
      <c r="L273" s="19"/>
      <c r="M273" s="18"/>
      <c r="N273" s="18"/>
      <c r="O273" s="19"/>
      <c r="P273" s="18"/>
      <c r="Q273" s="18">
        <v>2020</v>
      </c>
      <c r="R273" s="19"/>
      <c r="S273" s="18"/>
      <c r="T273" s="18"/>
      <c r="U273" s="19"/>
      <c r="V273" s="19"/>
      <c r="X273" s="15" t="s">
        <v>328</v>
      </c>
      <c r="Y273" s="15" t="s">
        <v>321</v>
      </c>
      <c r="Z273" s="15" t="s">
        <v>331</v>
      </c>
      <c r="AA273" s="15"/>
      <c r="AB273" s="15"/>
      <c r="AC273" s="15" t="s">
        <v>320</v>
      </c>
      <c r="AD273" s="15"/>
      <c r="AE273" s="18"/>
      <c r="AF273" s="18"/>
      <c r="AG273" s="19">
        <v>0.18299133909599399</v>
      </c>
      <c r="AH273" s="18"/>
      <c r="AI273" s="18"/>
      <c r="AJ273" s="19">
        <v>0.213778816414084</v>
      </c>
      <c r="AK273" s="18"/>
      <c r="AL273" s="18"/>
      <c r="AM273" s="19">
        <v>0.18</v>
      </c>
      <c r="AN273" s="18"/>
      <c r="AO273" s="18"/>
      <c r="AP273" s="19">
        <v>0.21</v>
      </c>
      <c r="AR273" s="15" t="s">
        <v>249</v>
      </c>
      <c r="AS273" s="15" t="s">
        <v>567</v>
      </c>
      <c r="AT273" s="15" t="s">
        <v>638</v>
      </c>
      <c r="AU273" s="15"/>
      <c r="AV273" s="15"/>
      <c r="AW273" s="15"/>
      <c r="AX273" s="15"/>
      <c r="AY273" s="15"/>
      <c r="AZ273" s="18"/>
      <c r="BA273" s="19">
        <v>2.5000000000000001E-2</v>
      </c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9">
        <v>0.05</v>
      </c>
      <c r="BM273" s="18"/>
      <c r="BN273" s="18"/>
      <c r="BO273" s="18"/>
      <c r="BP273" s="18"/>
      <c r="BQ273" s="18"/>
      <c r="BR273" s="18"/>
      <c r="BS273" s="18"/>
      <c r="BT273" s="18"/>
      <c r="BU273" s="18"/>
    </row>
    <row r="274" spans="3:73" x14ac:dyDescent="0.45">
      <c r="C274" s="15" t="s">
        <v>249</v>
      </c>
      <c r="D274" s="15" t="s">
        <v>325</v>
      </c>
      <c r="E274" s="15" t="s">
        <v>265</v>
      </c>
      <c r="F274" s="15"/>
      <c r="G274" s="15"/>
      <c r="H274" s="15"/>
      <c r="I274" s="15"/>
      <c r="J274" s="18">
        <v>2020</v>
      </c>
      <c r="K274" s="18"/>
      <c r="L274" s="19"/>
      <c r="M274" s="18"/>
      <c r="N274" s="18"/>
      <c r="O274" s="19"/>
      <c r="P274" s="18"/>
      <c r="Q274" s="18">
        <v>2020</v>
      </c>
      <c r="R274" s="19"/>
      <c r="S274" s="18"/>
      <c r="T274" s="18"/>
      <c r="U274" s="19"/>
      <c r="V274" s="19"/>
      <c r="X274" s="15" t="s">
        <v>328</v>
      </c>
      <c r="Y274" s="15" t="s">
        <v>321</v>
      </c>
      <c r="Z274" s="15" t="s">
        <v>332</v>
      </c>
      <c r="AA274" s="15"/>
      <c r="AB274" s="15"/>
      <c r="AC274" s="15" t="s">
        <v>320</v>
      </c>
      <c r="AD274" s="15"/>
      <c r="AE274" s="18"/>
      <c r="AF274" s="18"/>
      <c r="AG274" s="19">
        <v>0.18299133909599399</v>
      </c>
      <c r="AH274" s="18"/>
      <c r="AI274" s="18"/>
      <c r="AJ274" s="19">
        <v>0.213778816414084</v>
      </c>
      <c r="AK274" s="18"/>
      <c r="AL274" s="18"/>
      <c r="AM274" s="19">
        <v>0.18</v>
      </c>
      <c r="AN274" s="18"/>
      <c r="AO274" s="18"/>
      <c r="AP274" s="19">
        <v>0.21</v>
      </c>
      <c r="AR274" s="15" t="s">
        <v>249</v>
      </c>
      <c r="AS274" s="15" t="s">
        <v>567</v>
      </c>
      <c r="AT274" s="15" t="s">
        <v>639</v>
      </c>
      <c r="AU274" s="15"/>
      <c r="AV274" s="15"/>
      <c r="AW274" s="15"/>
      <c r="AX274" s="15"/>
      <c r="AY274" s="15"/>
      <c r="AZ274" s="18"/>
      <c r="BA274" s="19">
        <v>2.5000000000000001E-2</v>
      </c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9">
        <v>0.05</v>
      </c>
      <c r="BM274" s="18"/>
      <c r="BN274" s="18"/>
      <c r="BO274" s="18"/>
      <c r="BP274" s="18"/>
      <c r="BQ274" s="18"/>
      <c r="BR274" s="18"/>
      <c r="BS274" s="18"/>
      <c r="BT274" s="18"/>
      <c r="BU274" s="18"/>
    </row>
    <row r="275" spans="3:73" x14ac:dyDescent="0.45">
      <c r="C275" s="15" t="s">
        <v>249</v>
      </c>
      <c r="D275" s="15" t="s">
        <v>325</v>
      </c>
      <c r="E275" s="15" t="s">
        <v>266</v>
      </c>
      <c r="F275" s="15"/>
      <c r="G275" s="15"/>
      <c r="H275" s="15"/>
      <c r="I275" s="15"/>
      <c r="J275" s="18">
        <v>2020</v>
      </c>
      <c r="K275" s="18"/>
      <c r="L275" s="19"/>
      <c r="M275" s="18"/>
      <c r="N275" s="18"/>
      <c r="O275" s="19"/>
      <c r="P275" s="18"/>
      <c r="Q275" s="18">
        <v>2020</v>
      </c>
      <c r="R275" s="19"/>
      <c r="S275" s="18"/>
      <c r="T275" s="18"/>
      <c r="U275" s="19"/>
      <c r="V275" s="19"/>
      <c r="X275" s="15" t="s">
        <v>328</v>
      </c>
      <c r="Y275" s="15" t="s">
        <v>321</v>
      </c>
      <c r="Z275" s="15" t="s">
        <v>333</v>
      </c>
      <c r="AA275" s="15"/>
      <c r="AB275" s="15"/>
      <c r="AC275" s="15" t="s">
        <v>320</v>
      </c>
      <c r="AD275" s="15"/>
      <c r="AE275" s="18"/>
      <c r="AF275" s="18"/>
      <c r="AG275" s="19">
        <v>0.18299133909599399</v>
      </c>
      <c r="AH275" s="18"/>
      <c r="AI275" s="18"/>
      <c r="AJ275" s="19">
        <v>0.213778816414084</v>
      </c>
      <c r="AK275" s="18"/>
      <c r="AL275" s="18"/>
      <c r="AM275" s="19">
        <v>0.18</v>
      </c>
      <c r="AN275" s="18"/>
      <c r="AO275" s="18"/>
      <c r="AP275" s="19">
        <v>0.21</v>
      </c>
      <c r="AR275" s="15" t="s">
        <v>249</v>
      </c>
      <c r="AS275" s="15" t="s">
        <v>567</v>
      </c>
      <c r="AT275" s="15" t="s">
        <v>640</v>
      </c>
      <c r="AU275" s="15"/>
      <c r="AV275" s="15"/>
      <c r="AW275" s="15"/>
      <c r="AX275" s="15"/>
      <c r="AY275" s="15"/>
      <c r="AZ275" s="18"/>
      <c r="BA275" s="19">
        <v>2.5000000000000001E-2</v>
      </c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9">
        <v>0.05</v>
      </c>
      <c r="BM275" s="18"/>
      <c r="BN275" s="18"/>
      <c r="BO275" s="18"/>
      <c r="BP275" s="18"/>
      <c r="BQ275" s="18"/>
      <c r="BR275" s="18"/>
      <c r="BS275" s="18"/>
      <c r="BT275" s="18"/>
      <c r="BU275" s="18"/>
    </row>
    <row r="276" spans="3:73" x14ac:dyDescent="0.45">
      <c r="C276" s="15" t="s">
        <v>249</v>
      </c>
      <c r="D276" s="15" t="s">
        <v>325</v>
      </c>
      <c r="E276" s="15" t="s">
        <v>267</v>
      </c>
      <c r="F276" s="15"/>
      <c r="G276" s="15"/>
      <c r="H276" s="15"/>
      <c r="I276" s="15"/>
      <c r="J276" s="18">
        <v>2020</v>
      </c>
      <c r="K276" s="18"/>
      <c r="L276" s="19"/>
      <c r="M276" s="18"/>
      <c r="N276" s="18"/>
      <c r="O276" s="19"/>
      <c r="P276" s="18"/>
      <c r="Q276" s="18">
        <v>2020</v>
      </c>
      <c r="R276" s="19"/>
      <c r="S276" s="18"/>
      <c r="T276" s="18"/>
      <c r="U276" s="19"/>
      <c r="V276" s="19"/>
      <c r="X276" s="15" t="s">
        <v>328</v>
      </c>
      <c r="Y276" s="15" t="s">
        <v>321</v>
      </c>
      <c r="Z276" s="15" t="s">
        <v>334</v>
      </c>
      <c r="AA276" s="15"/>
      <c r="AB276" s="15"/>
      <c r="AC276" s="15" t="s">
        <v>320</v>
      </c>
      <c r="AD276" s="15"/>
      <c r="AE276" s="18"/>
      <c r="AF276" s="18"/>
      <c r="AG276" s="19">
        <v>0.18299133909599399</v>
      </c>
      <c r="AH276" s="18"/>
      <c r="AI276" s="18"/>
      <c r="AJ276" s="19">
        <v>0.213778816414084</v>
      </c>
      <c r="AK276" s="18"/>
      <c r="AL276" s="18"/>
      <c r="AM276" s="19">
        <v>0.18</v>
      </c>
      <c r="AN276" s="18"/>
      <c r="AO276" s="18"/>
      <c r="AP276" s="19">
        <v>0.21</v>
      </c>
      <c r="AR276" s="15" t="s">
        <v>249</v>
      </c>
      <c r="AS276" s="15" t="s">
        <v>567</v>
      </c>
      <c r="AT276" s="15" t="s">
        <v>641</v>
      </c>
      <c r="AU276" s="15"/>
      <c r="AV276" s="15"/>
      <c r="AW276" s="15"/>
      <c r="AX276" s="15"/>
      <c r="AY276" s="15"/>
      <c r="AZ276" s="18"/>
      <c r="BA276" s="19">
        <v>2.5000000000000001E-2</v>
      </c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9">
        <v>0.05</v>
      </c>
      <c r="BM276" s="18"/>
      <c r="BN276" s="18"/>
      <c r="BO276" s="18"/>
      <c r="BP276" s="18"/>
      <c r="BQ276" s="18"/>
      <c r="BR276" s="18"/>
      <c r="BS276" s="18"/>
      <c r="BT276" s="18"/>
      <c r="BU276" s="18"/>
    </row>
    <row r="277" spans="3:73" x14ac:dyDescent="0.45">
      <c r="C277" s="15" t="s">
        <v>249</v>
      </c>
      <c r="D277" s="15" t="s">
        <v>325</v>
      </c>
      <c r="E277" s="15" t="s">
        <v>268</v>
      </c>
      <c r="F277" s="15"/>
      <c r="G277" s="15"/>
      <c r="H277" s="15"/>
      <c r="I277" s="15"/>
      <c r="J277" s="18">
        <v>2020</v>
      </c>
      <c r="K277" s="18"/>
      <c r="L277" s="19"/>
      <c r="M277" s="18"/>
      <c r="N277" s="18"/>
      <c r="O277" s="19"/>
      <c r="P277" s="18"/>
      <c r="Q277" s="18">
        <v>2020</v>
      </c>
      <c r="R277" s="19"/>
      <c r="S277" s="18"/>
      <c r="T277" s="18"/>
      <c r="U277" s="19"/>
      <c r="V277" s="19"/>
      <c r="X277" s="15" t="s">
        <v>328</v>
      </c>
      <c r="Y277" s="15" t="s">
        <v>321</v>
      </c>
      <c r="Z277" s="15" t="s">
        <v>335</v>
      </c>
      <c r="AA277" s="15"/>
      <c r="AB277" s="15"/>
      <c r="AC277" s="15" t="s">
        <v>320</v>
      </c>
      <c r="AD277" s="15"/>
      <c r="AE277" s="18"/>
      <c r="AF277" s="18"/>
      <c r="AG277" s="19">
        <v>0.18299133909599399</v>
      </c>
      <c r="AH277" s="18"/>
      <c r="AI277" s="18"/>
      <c r="AJ277" s="19">
        <v>0.213778816414084</v>
      </c>
      <c r="AK277" s="18"/>
      <c r="AL277" s="18"/>
      <c r="AM277" s="19">
        <v>0.18</v>
      </c>
      <c r="AN277" s="18"/>
      <c r="AO277" s="18"/>
      <c r="AP277" s="19">
        <v>0.21</v>
      </c>
      <c r="AR277" s="15" t="s">
        <v>249</v>
      </c>
      <c r="AS277" s="15" t="s">
        <v>567</v>
      </c>
      <c r="AT277" s="15" t="s">
        <v>642</v>
      </c>
      <c r="AU277" s="15"/>
      <c r="AV277" s="15"/>
      <c r="AW277" s="15"/>
      <c r="AX277" s="15"/>
      <c r="AY277" s="15"/>
      <c r="AZ277" s="18"/>
      <c r="BA277" s="19">
        <v>2.5000000000000001E-2</v>
      </c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9">
        <v>0.05</v>
      </c>
      <c r="BM277" s="18"/>
      <c r="BN277" s="18"/>
      <c r="BO277" s="18"/>
      <c r="BP277" s="18"/>
      <c r="BQ277" s="18"/>
      <c r="BR277" s="18"/>
      <c r="BS277" s="18"/>
      <c r="BT277" s="18"/>
      <c r="BU277" s="18"/>
    </row>
    <row r="278" spans="3:73" x14ac:dyDescent="0.45">
      <c r="C278" s="15" t="s">
        <v>249</v>
      </c>
      <c r="D278" s="15" t="s">
        <v>325</v>
      </c>
      <c r="E278" s="15" t="s">
        <v>269</v>
      </c>
      <c r="F278" s="15"/>
      <c r="G278" s="15"/>
      <c r="H278" s="15"/>
      <c r="I278" s="15"/>
      <c r="J278" s="18">
        <v>2020</v>
      </c>
      <c r="K278" s="18"/>
      <c r="L278" s="19"/>
      <c r="M278" s="18"/>
      <c r="N278" s="18"/>
      <c r="O278" s="19"/>
      <c r="P278" s="18"/>
      <c r="Q278" s="18">
        <v>2020</v>
      </c>
      <c r="R278" s="19"/>
      <c r="S278" s="18"/>
      <c r="T278" s="18"/>
      <c r="U278" s="19"/>
      <c r="V278" s="19"/>
      <c r="X278" s="15" t="s">
        <v>328</v>
      </c>
      <c r="Y278" s="15" t="s">
        <v>321</v>
      </c>
      <c r="Z278" s="15" t="s">
        <v>336</v>
      </c>
      <c r="AA278" s="15"/>
      <c r="AB278" s="15"/>
      <c r="AC278" s="15" t="s">
        <v>320</v>
      </c>
      <c r="AD278" s="15"/>
      <c r="AE278" s="18"/>
      <c r="AF278" s="18"/>
      <c r="AG278" s="19">
        <v>0.18299133909599399</v>
      </c>
      <c r="AH278" s="18"/>
      <c r="AI278" s="18"/>
      <c r="AJ278" s="19">
        <v>0.213778816414084</v>
      </c>
      <c r="AK278" s="18"/>
      <c r="AL278" s="18"/>
      <c r="AM278" s="19">
        <v>0.18</v>
      </c>
      <c r="AN278" s="18"/>
      <c r="AO278" s="18"/>
      <c r="AP278" s="19">
        <v>0.21</v>
      </c>
      <c r="AR278" s="15" t="s">
        <v>249</v>
      </c>
      <c r="AS278" s="15" t="s">
        <v>567</v>
      </c>
      <c r="AT278" s="15" t="s">
        <v>643</v>
      </c>
      <c r="AU278" s="15"/>
      <c r="AV278" s="15"/>
      <c r="AW278" s="15"/>
      <c r="AX278" s="15"/>
      <c r="AY278" s="15"/>
      <c r="AZ278" s="18"/>
      <c r="BA278" s="19">
        <v>2.5000000000000001E-2</v>
      </c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9">
        <v>0.05</v>
      </c>
      <c r="BM278" s="18"/>
      <c r="BN278" s="18"/>
      <c r="BO278" s="18"/>
      <c r="BP278" s="18"/>
      <c r="BQ278" s="18"/>
      <c r="BR278" s="18"/>
      <c r="BS278" s="18"/>
      <c r="BT278" s="18"/>
      <c r="BU278" s="18"/>
    </row>
    <row r="279" spans="3:73" x14ac:dyDescent="0.45">
      <c r="C279" s="15" t="s">
        <v>249</v>
      </c>
      <c r="D279" s="15" t="s">
        <v>325</v>
      </c>
      <c r="E279" s="15" t="s">
        <v>270</v>
      </c>
      <c r="F279" s="15"/>
      <c r="G279" s="15"/>
      <c r="H279" s="15"/>
      <c r="I279" s="15"/>
      <c r="J279" s="18">
        <v>2020</v>
      </c>
      <c r="K279" s="18"/>
      <c r="L279" s="19"/>
      <c r="M279" s="18"/>
      <c r="N279" s="18"/>
      <c r="O279" s="19"/>
      <c r="P279" s="18"/>
      <c r="Q279" s="18">
        <v>2020</v>
      </c>
      <c r="R279" s="19"/>
      <c r="S279" s="18"/>
      <c r="T279" s="18"/>
      <c r="U279" s="19"/>
      <c r="V279" s="19"/>
      <c r="X279" s="15" t="s">
        <v>328</v>
      </c>
      <c r="Y279" s="15" t="s">
        <v>321</v>
      </c>
      <c r="Z279" s="15" t="s">
        <v>339</v>
      </c>
      <c r="AA279" s="15"/>
      <c r="AB279" s="15"/>
      <c r="AC279" s="15" t="s">
        <v>320</v>
      </c>
      <c r="AD279" s="15"/>
      <c r="AE279" s="18"/>
      <c r="AF279" s="18"/>
      <c r="AG279" s="19">
        <v>0.18299133909599399</v>
      </c>
      <c r="AH279" s="18"/>
      <c r="AI279" s="18"/>
      <c r="AJ279" s="19">
        <v>0.213778816414084</v>
      </c>
      <c r="AK279" s="18"/>
      <c r="AL279" s="18"/>
      <c r="AM279" s="19">
        <v>0.18</v>
      </c>
      <c r="AN279" s="18"/>
      <c r="AO279" s="18"/>
      <c r="AP279" s="19">
        <v>0.21</v>
      </c>
      <c r="AR279" s="15" t="s">
        <v>249</v>
      </c>
      <c r="AS279" s="15" t="s">
        <v>567</v>
      </c>
      <c r="AT279" s="15" t="s">
        <v>644</v>
      </c>
      <c r="AU279" s="15"/>
      <c r="AV279" s="15"/>
      <c r="AW279" s="15"/>
      <c r="AX279" s="15"/>
      <c r="AY279" s="15"/>
      <c r="AZ279" s="18"/>
      <c r="BA279" s="19">
        <v>2.5000000000000001E-2</v>
      </c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9">
        <v>0.05</v>
      </c>
      <c r="BM279" s="18"/>
      <c r="BN279" s="18"/>
      <c r="BO279" s="18"/>
      <c r="BP279" s="18"/>
      <c r="BQ279" s="18"/>
      <c r="BR279" s="18"/>
      <c r="BS279" s="18"/>
      <c r="BT279" s="18"/>
      <c r="BU279" s="18"/>
    </row>
    <row r="280" spans="3:73" x14ac:dyDescent="0.45">
      <c r="C280" s="15" t="s">
        <v>249</v>
      </c>
      <c r="D280" s="15" t="s">
        <v>325</v>
      </c>
      <c r="E280" s="15" t="s">
        <v>271</v>
      </c>
      <c r="F280" s="15"/>
      <c r="G280" s="15"/>
      <c r="H280" s="15"/>
      <c r="I280" s="15"/>
      <c r="J280" s="18">
        <v>2020</v>
      </c>
      <c r="K280" s="18"/>
      <c r="L280" s="19"/>
      <c r="M280" s="18"/>
      <c r="N280" s="18"/>
      <c r="O280" s="19"/>
      <c r="P280" s="18"/>
      <c r="Q280" s="18">
        <v>2020</v>
      </c>
      <c r="R280" s="19"/>
      <c r="S280" s="18"/>
      <c r="T280" s="18"/>
      <c r="U280" s="19"/>
      <c r="V280" s="19"/>
      <c r="X280" s="15" t="s">
        <v>328</v>
      </c>
      <c r="Y280" s="15" t="s">
        <v>321</v>
      </c>
      <c r="Z280" s="15" t="s">
        <v>341</v>
      </c>
      <c r="AA280" s="15"/>
      <c r="AB280" s="15"/>
      <c r="AC280" s="15" t="s">
        <v>320</v>
      </c>
      <c r="AD280" s="15"/>
      <c r="AE280" s="18"/>
      <c r="AF280" s="18"/>
      <c r="AG280" s="19">
        <v>0.2</v>
      </c>
      <c r="AH280" s="18"/>
      <c r="AI280" s="18"/>
      <c r="AJ280" s="19">
        <v>0.22</v>
      </c>
      <c r="AK280" s="18"/>
      <c r="AL280" s="18"/>
      <c r="AM280" s="19">
        <v>0.2</v>
      </c>
      <c r="AN280" s="18"/>
      <c r="AO280" s="18"/>
      <c r="AP280" s="19">
        <v>0.22</v>
      </c>
      <c r="AR280" s="15" t="s">
        <v>249</v>
      </c>
      <c r="AS280" s="15" t="s">
        <v>567</v>
      </c>
      <c r="AT280" s="15" t="s">
        <v>645</v>
      </c>
      <c r="AU280" s="15"/>
      <c r="AV280" s="15"/>
      <c r="AW280" s="15"/>
      <c r="AX280" s="15"/>
      <c r="AY280" s="15"/>
      <c r="AZ280" s="18"/>
      <c r="BA280" s="19">
        <v>2.5000000000000001E-2</v>
      </c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9">
        <v>0.05</v>
      </c>
      <c r="BM280" s="18"/>
      <c r="BN280" s="18"/>
      <c r="BO280" s="18"/>
      <c r="BP280" s="18"/>
      <c r="BQ280" s="18"/>
      <c r="BR280" s="18"/>
      <c r="BS280" s="18"/>
      <c r="BT280" s="18"/>
      <c r="BU280" s="18"/>
    </row>
    <row r="281" spans="3:73" x14ac:dyDescent="0.45">
      <c r="C281" s="15" t="s">
        <v>249</v>
      </c>
      <c r="D281" s="15" t="s">
        <v>325</v>
      </c>
      <c r="E281" s="15" t="s">
        <v>272</v>
      </c>
      <c r="F281" s="15"/>
      <c r="G281" s="15"/>
      <c r="H281" s="15"/>
      <c r="I281" s="15"/>
      <c r="J281" s="18">
        <v>2020</v>
      </c>
      <c r="K281" s="18"/>
      <c r="L281" s="19"/>
      <c r="M281" s="18"/>
      <c r="N281" s="18"/>
      <c r="O281" s="19"/>
      <c r="P281" s="18"/>
      <c r="Q281" s="18">
        <v>2020</v>
      </c>
      <c r="R281" s="19"/>
      <c r="S281" s="18"/>
      <c r="T281" s="18"/>
      <c r="U281" s="19"/>
      <c r="V281" s="19"/>
      <c r="X281" s="15" t="s">
        <v>328</v>
      </c>
      <c r="Y281" s="15" t="s">
        <v>321</v>
      </c>
      <c r="Z281" s="15" t="s">
        <v>342</v>
      </c>
      <c r="AA281" s="15"/>
      <c r="AB281" s="15"/>
      <c r="AC281" s="15" t="s">
        <v>320</v>
      </c>
      <c r="AD281" s="15"/>
      <c r="AE281" s="18"/>
      <c r="AF281" s="18"/>
      <c r="AG281" s="19">
        <v>0.2</v>
      </c>
      <c r="AH281" s="18"/>
      <c r="AI281" s="18"/>
      <c r="AJ281" s="19">
        <v>0.22</v>
      </c>
      <c r="AK281" s="18"/>
      <c r="AL281" s="18"/>
      <c r="AM281" s="19">
        <v>0.2</v>
      </c>
      <c r="AN281" s="18"/>
      <c r="AO281" s="18"/>
      <c r="AP281" s="19">
        <v>0.22</v>
      </c>
      <c r="AR281" s="15" t="s">
        <v>249</v>
      </c>
      <c r="AS281" s="15" t="s">
        <v>567</v>
      </c>
      <c r="AT281" s="15" t="s">
        <v>646</v>
      </c>
      <c r="AU281" s="15"/>
      <c r="AV281" s="15"/>
      <c r="AW281" s="15"/>
      <c r="AX281" s="15"/>
      <c r="AY281" s="15"/>
      <c r="AZ281" s="18"/>
      <c r="BA281" s="19">
        <v>2.5000000000000001E-2</v>
      </c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9">
        <v>0.05</v>
      </c>
      <c r="BM281" s="18"/>
      <c r="BN281" s="18"/>
      <c r="BO281" s="18"/>
      <c r="BP281" s="18"/>
      <c r="BQ281" s="18"/>
      <c r="BR281" s="18"/>
      <c r="BS281" s="18"/>
      <c r="BT281" s="18"/>
      <c r="BU281" s="18"/>
    </row>
    <row r="282" spans="3:73" x14ac:dyDescent="0.45">
      <c r="C282" s="15" t="s">
        <v>249</v>
      </c>
      <c r="D282" s="15" t="s">
        <v>325</v>
      </c>
      <c r="E282" s="15" t="s">
        <v>273</v>
      </c>
      <c r="F282" s="15"/>
      <c r="G282" s="15"/>
      <c r="H282" s="15"/>
      <c r="I282" s="15"/>
      <c r="J282" s="18">
        <v>2020</v>
      </c>
      <c r="K282" s="18"/>
      <c r="L282" s="19"/>
      <c r="M282" s="18"/>
      <c r="N282" s="18"/>
      <c r="O282" s="19"/>
      <c r="P282" s="18"/>
      <c r="Q282" s="18">
        <v>2020</v>
      </c>
      <c r="R282" s="19"/>
      <c r="S282" s="18"/>
      <c r="T282" s="18"/>
      <c r="U282" s="19"/>
      <c r="V282" s="19"/>
      <c r="X282" s="15" t="s">
        <v>328</v>
      </c>
      <c r="Y282" s="15" t="s">
        <v>321</v>
      </c>
      <c r="Z282" s="15" t="s">
        <v>343</v>
      </c>
      <c r="AA282" s="15"/>
      <c r="AB282" s="15"/>
      <c r="AC282" s="15" t="s">
        <v>320</v>
      </c>
      <c r="AD282" s="15"/>
      <c r="AE282" s="18"/>
      <c r="AF282" s="18"/>
      <c r="AG282" s="19">
        <v>0.2</v>
      </c>
      <c r="AH282" s="18"/>
      <c r="AI282" s="18"/>
      <c r="AJ282" s="19">
        <v>0.22</v>
      </c>
      <c r="AK282" s="18"/>
      <c r="AL282" s="18"/>
      <c r="AM282" s="19">
        <v>0.2</v>
      </c>
      <c r="AN282" s="18"/>
      <c r="AO282" s="18"/>
      <c r="AP282" s="19">
        <v>0.22</v>
      </c>
      <c r="AR282" s="15" t="s">
        <v>249</v>
      </c>
      <c r="AS282" s="15" t="s">
        <v>567</v>
      </c>
      <c r="AT282" s="15" t="s">
        <v>647</v>
      </c>
      <c r="AU282" s="15"/>
      <c r="AV282" s="15"/>
      <c r="AW282" s="15"/>
      <c r="AX282" s="15"/>
      <c r="AY282" s="15"/>
      <c r="AZ282" s="18"/>
      <c r="BA282" s="19">
        <v>2.5000000000000001E-2</v>
      </c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9">
        <v>0.05</v>
      </c>
      <c r="BM282" s="18"/>
      <c r="BN282" s="18"/>
      <c r="BO282" s="18"/>
      <c r="BP282" s="18"/>
      <c r="BQ282" s="18"/>
      <c r="BR282" s="18"/>
      <c r="BS282" s="18"/>
      <c r="BT282" s="18"/>
      <c r="BU282" s="18"/>
    </row>
    <row r="283" spans="3:73" x14ac:dyDescent="0.45">
      <c r="C283" s="15" t="s">
        <v>249</v>
      </c>
      <c r="D283" s="15" t="s">
        <v>325</v>
      </c>
      <c r="E283" s="15" t="s">
        <v>274</v>
      </c>
      <c r="F283" s="15"/>
      <c r="G283" s="15"/>
      <c r="H283" s="15"/>
      <c r="I283" s="15"/>
      <c r="J283" s="18">
        <v>2020</v>
      </c>
      <c r="K283" s="18"/>
      <c r="L283" s="19"/>
      <c r="M283" s="18"/>
      <c r="N283" s="18"/>
      <c r="O283" s="19"/>
      <c r="P283" s="18"/>
      <c r="Q283" s="18">
        <v>2020</v>
      </c>
      <c r="R283" s="19"/>
      <c r="S283" s="18"/>
      <c r="T283" s="18"/>
      <c r="U283" s="19"/>
      <c r="V283" s="19"/>
      <c r="X283" s="15" t="s">
        <v>328</v>
      </c>
      <c r="Y283" s="15" t="s">
        <v>321</v>
      </c>
      <c r="Z283" s="15" t="s">
        <v>344</v>
      </c>
      <c r="AA283" s="15"/>
      <c r="AB283" s="15"/>
      <c r="AC283" s="15" t="s">
        <v>320</v>
      </c>
      <c r="AD283" s="15"/>
      <c r="AE283" s="18"/>
      <c r="AF283" s="18"/>
      <c r="AG283" s="19">
        <v>0.12</v>
      </c>
      <c r="AH283" s="18"/>
      <c r="AI283" s="18"/>
      <c r="AJ283" s="19">
        <v>0.12</v>
      </c>
      <c r="AK283" s="18"/>
      <c r="AL283" s="18"/>
      <c r="AM283" s="19">
        <v>0.12</v>
      </c>
      <c r="AN283" s="18"/>
      <c r="AO283" s="18"/>
      <c r="AP283" s="19">
        <v>0.12</v>
      </c>
      <c r="AR283" s="15" t="s">
        <v>249</v>
      </c>
      <c r="AS283" s="15" t="s">
        <v>567</v>
      </c>
      <c r="AT283" s="15" t="s">
        <v>648</v>
      </c>
      <c r="AU283" s="15"/>
      <c r="AV283" s="15"/>
      <c r="AW283" s="15"/>
      <c r="AX283" s="15"/>
      <c r="AY283" s="15"/>
      <c r="AZ283" s="18"/>
      <c r="BA283" s="19">
        <v>2.5000000000000001E-2</v>
      </c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9">
        <v>0.05</v>
      </c>
      <c r="BM283" s="18"/>
      <c r="BN283" s="18"/>
      <c r="BO283" s="18"/>
      <c r="BP283" s="18"/>
      <c r="BQ283" s="18"/>
      <c r="BR283" s="18"/>
      <c r="BS283" s="18"/>
      <c r="BT283" s="18"/>
      <c r="BU283" s="18"/>
    </row>
    <row r="284" spans="3:73" x14ac:dyDescent="0.45">
      <c r="C284" s="15" t="s">
        <v>249</v>
      </c>
      <c r="D284" s="15" t="s">
        <v>325</v>
      </c>
      <c r="E284" s="15" t="s">
        <v>275</v>
      </c>
      <c r="F284" s="15"/>
      <c r="G284" s="15"/>
      <c r="H284" s="15"/>
      <c r="I284" s="15"/>
      <c r="J284" s="18">
        <v>2020</v>
      </c>
      <c r="K284" s="18"/>
      <c r="L284" s="19"/>
      <c r="M284" s="18"/>
      <c r="N284" s="18"/>
      <c r="O284" s="19"/>
      <c r="P284" s="18"/>
      <c r="Q284" s="18">
        <v>2020</v>
      </c>
      <c r="R284" s="19"/>
      <c r="S284" s="18"/>
      <c r="T284" s="18"/>
      <c r="U284" s="19"/>
      <c r="V284" s="19"/>
      <c r="X284" s="15" t="s">
        <v>328</v>
      </c>
      <c r="Y284" s="15" t="s">
        <v>321</v>
      </c>
      <c r="Z284" s="15" t="s">
        <v>345</v>
      </c>
      <c r="AA284" s="15"/>
      <c r="AB284" s="15"/>
      <c r="AC284" s="15" t="s">
        <v>320</v>
      </c>
      <c r="AD284" s="15"/>
      <c r="AE284" s="18"/>
      <c r="AF284" s="18"/>
      <c r="AG284" s="19">
        <v>0.12</v>
      </c>
      <c r="AH284" s="18"/>
      <c r="AI284" s="18"/>
      <c r="AJ284" s="19">
        <v>0.12</v>
      </c>
      <c r="AK284" s="18"/>
      <c r="AL284" s="18"/>
      <c r="AM284" s="19">
        <v>0.12</v>
      </c>
      <c r="AN284" s="18"/>
      <c r="AO284" s="18"/>
      <c r="AP284" s="19">
        <v>0.12</v>
      </c>
      <c r="AR284" s="15" t="s">
        <v>249</v>
      </c>
      <c r="AS284" s="15" t="s">
        <v>567</v>
      </c>
      <c r="AT284" s="15" t="s">
        <v>649</v>
      </c>
      <c r="AU284" s="15"/>
      <c r="AV284" s="15"/>
      <c r="AW284" s="15"/>
      <c r="AX284" s="15"/>
      <c r="AY284" s="15"/>
      <c r="AZ284" s="18"/>
      <c r="BA284" s="19">
        <v>2.5000000000000001E-2</v>
      </c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9">
        <v>0.05</v>
      </c>
      <c r="BM284" s="18"/>
      <c r="BN284" s="18"/>
      <c r="BO284" s="18"/>
      <c r="BP284" s="18"/>
      <c r="BQ284" s="18"/>
      <c r="BR284" s="18"/>
      <c r="BS284" s="18"/>
      <c r="BT284" s="18"/>
      <c r="BU284" s="18"/>
    </row>
    <row r="285" spans="3:73" x14ac:dyDescent="0.45">
      <c r="C285" s="15" t="s">
        <v>249</v>
      </c>
      <c r="D285" s="15" t="s">
        <v>325</v>
      </c>
      <c r="E285" s="15" t="s">
        <v>276</v>
      </c>
      <c r="F285" s="15"/>
      <c r="G285" s="15"/>
      <c r="H285" s="15"/>
      <c r="I285" s="15"/>
      <c r="J285" s="18">
        <v>2020</v>
      </c>
      <c r="K285" s="18"/>
      <c r="L285" s="19"/>
      <c r="M285" s="18"/>
      <c r="N285" s="18"/>
      <c r="O285" s="19"/>
      <c r="P285" s="18"/>
      <c r="Q285" s="18">
        <v>2020</v>
      </c>
      <c r="R285" s="19"/>
      <c r="S285" s="18"/>
      <c r="T285" s="18"/>
      <c r="U285" s="19"/>
      <c r="V285" s="19"/>
      <c r="X285" s="15" t="s">
        <v>328</v>
      </c>
      <c r="Y285" s="15" t="s">
        <v>321</v>
      </c>
      <c r="Z285" s="15" t="s">
        <v>346</v>
      </c>
      <c r="AA285" s="15"/>
      <c r="AB285" s="15"/>
      <c r="AC285" s="15" t="s">
        <v>320</v>
      </c>
      <c r="AD285" s="15"/>
      <c r="AE285" s="18"/>
      <c r="AF285" s="18"/>
      <c r="AG285" s="19">
        <v>0.12</v>
      </c>
      <c r="AH285" s="18"/>
      <c r="AI285" s="18"/>
      <c r="AJ285" s="19">
        <v>0.12</v>
      </c>
      <c r="AK285" s="18"/>
      <c r="AL285" s="18"/>
      <c r="AM285" s="19">
        <v>0.12</v>
      </c>
      <c r="AN285" s="18"/>
      <c r="AO285" s="18"/>
      <c r="AP285" s="19">
        <v>0.12</v>
      </c>
      <c r="AR285" s="15" t="s">
        <v>249</v>
      </c>
      <c r="AS285" s="15" t="s">
        <v>567</v>
      </c>
      <c r="AT285" s="15" t="s">
        <v>650</v>
      </c>
      <c r="AU285" s="15"/>
      <c r="AV285" s="15"/>
      <c r="AW285" s="15"/>
      <c r="AX285" s="15"/>
      <c r="AY285" s="15"/>
      <c r="AZ285" s="18"/>
      <c r="BA285" s="19">
        <v>2.5000000000000001E-2</v>
      </c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9">
        <v>0.05</v>
      </c>
      <c r="BM285" s="18"/>
      <c r="BN285" s="18"/>
      <c r="BO285" s="18"/>
      <c r="BP285" s="18"/>
      <c r="BQ285" s="18"/>
      <c r="BR285" s="18"/>
      <c r="BS285" s="18"/>
      <c r="BT285" s="18"/>
      <c r="BU285" s="18"/>
    </row>
    <row r="286" spans="3:73" x14ac:dyDescent="0.45">
      <c r="C286" s="15" t="s">
        <v>249</v>
      </c>
      <c r="D286" s="15" t="s">
        <v>325</v>
      </c>
      <c r="E286" s="15" t="s">
        <v>277</v>
      </c>
      <c r="F286" s="15"/>
      <c r="G286" s="15"/>
      <c r="H286" s="15"/>
      <c r="I286" s="15"/>
      <c r="J286" s="18">
        <v>2020</v>
      </c>
      <c r="K286" s="18"/>
      <c r="L286" s="19"/>
      <c r="M286" s="18"/>
      <c r="N286" s="18"/>
      <c r="O286" s="19"/>
      <c r="P286" s="18"/>
      <c r="Q286" s="18">
        <v>2020</v>
      </c>
      <c r="R286" s="19"/>
      <c r="S286" s="18"/>
      <c r="T286" s="18"/>
      <c r="U286" s="19"/>
      <c r="V286" s="19"/>
      <c r="X286" s="15" t="s">
        <v>328</v>
      </c>
      <c r="Y286" s="15" t="s">
        <v>321</v>
      </c>
      <c r="Z286" s="15" t="s">
        <v>347</v>
      </c>
      <c r="AA286" s="15"/>
      <c r="AB286" s="15"/>
      <c r="AC286" s="15" t="s">
        <v>320</v>
      </c>
      <c r="AD286" s="15"/>
      <c r="AE286" s="18"/>
      <c r="AF286" s="18"/>
      <c r="AG286" s="19">
        <v>1.22</v>
      </c>
      <c r="AH286" s="18"/>
      <c r="AI286" s="18"/>
      <c r="AJ286" s="19">
        <v>1.44</v>
      </c>
      <c r="AK286" s="18"/>
      <c r="AL286" s="18"/>
      <c r="AM286" s="19">
        <v>1.22</v>
      </c>
      <c r="AN286" s="18"/>
      <c r="AO286" s="18"/>
      <c r="AP286" s="19">
        <v>1.44</v>
      </c>
      <c r="AR286" s="15" t="s">
        <v>249</v>
      </c>
      <c r="AS286" s="15" t="s">
        <v>567</v>
      </c>
      <c r="AT286" s="15" t="s">
        <v>651</v>
      </c>
      <c r="AU286" s="15"/>
      <c r="AV286" s="15"/>
      <c r="AW286" s="15"/>
      <c r="AX286" s="15"/>
      <c r="AY286" s="15"/>
      <c r="AZ286" s="18"/>
      <c r="BA286" s="19">
        <v>2.5000000000000001E-2</v>
      </c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9">
        <v>0.05</v>
      </c>
      <c r="BM286" s="18"/>
      <c r="BN286" s="18"/>
      <c r="BO286" s="18"/>
      <c r="BP286" s="18"/>
      <c r="BQ286" s="18"/>
      <c r="BR286" s="18"/>
      <c r="BS286" s="18"/>
      <c r="BT286" s="18"/>
      <c r="BU286" s="18"/>
    </row>
    <row r="287" spans="3:73" x14ac:dyDescent="0.45">
      <c r="C287" s="15" t="s">
        <v>249</v>
      </c>
      <c r="D287" s="15" t="s">
        <v>325</v>
      </c>
      <c r="E287" s="15" t="s">
        <v>278</v>
      </c>
      <c r="F287" s="15"/>
      <c r="G287" s="15"/>
      <c r="H287" s="15"/>
      <c r="I287" s="15"/>
      <c r="J287" s="18">
        <v>2020</v>
      </c>
      <c r="K287" s="18"/>
      <c r="L287" s="19"/>
      <c r="M287" s="18"/>
      <c r="N287" s="18"/>
      <c r="O287" s="19"/>
      <c r="P287" s="18"/>
      <c r="Q287" s="18">
        <v>2020</v>
      </c>
      <c r="R287" s="19"/>
      <c r="S287" s="18"/>
      <c r="T287" s="18"/>
      <c r="U287" s="19"/>
      <c r="V287" s="19"/>
      <c r="X287" s="15" t="s">
        <v>328</v>
      </c>
      <c r="Y287" s="15" t="s">
        <v>321</v>
      </c>
      <c r="Z287" s="15" t="s">
        <v>348</v>
      </c>
      <c r="AA287" s="15"/>
      <c r="AB287" s="15"/>
      <c r="AC287" s="15" t="s">
        <v>320</v>
      </c>
      <c r="AD287" s="15"/>
      <c r="AE287" s="18"/>
      <c r="AF287" s="18"/>
      <c r="AG287" s="19">
        <v>1.4570000000000001</v>
      </c>
      <c r="AH287" s="18"/>
      <c r="AI287" s="18"/>
      <c r="AJ287" s="19">
        <v>1.55</v>
      </c>
      <c r="AK287" s="18"/>
      <c r="AL287" s="18"/>
      <c r="AM287" s="19">
        <v>1.46</v>
      </c>
      <c r="AN287" s="18"/>
      <c r="AO287" s="18"/>
      <c r="AP287" s="19">
        <v>1.55</v>
      </c>
      <c r="AR287" s="15" t="s">
        <v>249</v>
      </c>
      <c r="AS287" s="15" t="s">
        <v>567</v>
      </c>
      <c r="AT287" s="15" t="s">
        <v>652</v>
      </c>
      <c r="AU287" s="15"/>
      <c r="AV287" s="15"/>
      <c r="AW287" s="15"/>
      <c r="AX287" s="15"/>
      <c r="AY287" s="15"/>
      <c r="AZ287" s="18"/>
      <c r="BA287" s="19">
        <v>2.5000000000000001E-2</v>
      </c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9">
        <v>0.05</v>
      </c>
      <c r="BM287" s="18"/>
      <c r="BN287" s="18"/>
      <c r="BO287" s="18"/>
      <c r="BP287" s="18"/>
      <c r="BQ287" s="18"/>
      <c r="BR287" s="18"/>
      <c r="BS287" s="18"/>
      <c r="BT287" s="18"/>
      <c r="BU287" s="18"/>
    </row>
    <row r="288" spans="3:73" x14ac:dyDescent="0.45">
      <c r="C288" s="15" t="s">
        <v>249</v>
      </c>
      <c r="D288" s="15" t="s">
        <v>325</v>
      </c>
      <c r="E288" s="15" t="s">
        <v>279</v>
      </c>
      <c r="F288" s="15"/>
      <c r="G288" s="15"/>
      <c r="H288" s="15"/>
      <c r="I288" s="15"/>
      <c r="J288" s="18">
        <v>2020</v>
      </c>
      <c r="K288" s="18"/>
      <c r="L288" s="19"/>
      <c r="M288" s="18"/>
      <c r="N288" s="18"/>
      <c r="O288" s="19"/>
      <c r="P288" s="18"/>
      <c r="Q288" s="18">
        <v>2020</v>
      </c>
      <c r="R288" s="19"/>
      <c r="S288" s="18"/>
      <c r="T288" s="18"/>
      <c r="U288" s="19"/>
      <c r="V288" s="19"/>
      <c r="X288" s="15" t="s">
        <v>328</v>
      </c>
      <c r="Y288" s="15" t="s">
        <v>321</v>
      </c>
      <c r="Z288" s="15" t="s">
        <v>349</v>
      </c>
      <c r="AA288" s="15"/>
      <c r="AB288" s="15"/>
      <c r="AC288" s="15" t="s">
        <v>320</v>
      </c>
      <c r="AD288" s="15"/>
      <c r="AE288" s="18"/>
      <c r="AF288" s="18"/>
      <c r="AG288" s="19">
        <v>1.4570000000000001</v>
      </c>
      <c r="AH288" s="18"/>
      <c r="AI288" s="18"/>
      <c r="AJ288" s="19">
        <v>1.55</v>
      </c>
      <c r="AK288" s="18"/>
      <c r="AL288" s="18"/>
      <c r="AM288" s="19">
        <v>1.46</v>
      </c>
      <c r="AN288" s="18"/>
      <c r="AO288" s="18"/>
      <c r="AP288" s="19">
        <v>1.55</v>
      </c>
      <c r="AR288" s="15" t="s">
        <v>249</v>
      </c>
      <c r="AS288" s="15" t="s">
        <v>567</v>
      </c>
      <c r="AT288" s="15" t="s">
        <v>653</v>
      </c>
      <c r="AU288" s="15"/>
      <c r="AV288" s="15"/>
      <c r="AW288" s="15"/>
      <c r="AX288" s="15"/>
      <c r="AY288" s="15"/>
      <c r="AZ288" s="18"/>
      <c r="BA288" s="19">
        <v>2.5000000000000001E-2</v>
      </c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9">
        <v>0.05</v>
      </c>
      <c r="BM288" s="18"/>
      <c r="BN288" s="18"/>
      <c r="BO288" s="18"/>
      <c r="BP288" s="18"/>
      <c r="BQ288" s="18"/>
      <c r="BR288" s="18"/>
      <c r="BS288" s="18"/>
      <c r="BT288" s="18"/>
      <c r="BU288" s="18"/>
    </row>
    <row r="289" spans="3:73" x14ac:dyDescent="0.45">
      <c r="C289" s="15" t="s">
        <v>249</v>
      </c>
      <c r="D289" s="15" t="s">
        <v>325</v>
      </c>
      <c r="E289" s="15" t="s">
        <v>280</v>
      </c>
      <c r="F289" s="15"/>
      <c r="G289" s="15"/>
      <c r="H289" s="15"/>
      <c r="I289" s="15"/>
      <c r="J289" s="18">
        <v>2020</v>
      </c>
      <c r="K289" s="18"/>
      <c r="L289" s="19"/>
      <c r="M289" s="18"/>
      <c r="N289" s="18"/>
      <c r="O289" s="19"/>
      <c r="P289" s="18"/>
      <c r="Q289" s="18">
        <v>2020</v>
      </c>
      <c r="R289" s="19"/>
      <c r="S289" s="18"/>
      <c r="T289" s="18"/>
      <c r="U289" s="19"/>
      <c r="V289" s="19"/>
      <c r="X289" s="15" t="s">
        <v>328</v>
      </c>
      <c r="Y289" s="15" t="s">
        <v>321</v>
      </c>
      <c r="Z289" s="15" t="s">
        <v>350</v>
      </c>
      <c r="AA289" s="15"/>
      <c r="AB289" s="15"/>
      <c r="AC289" s="15" t="s">
        <v>320</v>
      </c>
      <c r="AD289" s="15"/>
      <c r="AE289" s="18"/>
      <c r="AF289" s="18"/>
      <c r="AG289" s="19">
        <v>0.34</v>
      </c>
      <c r="AH289" s="18"/>
      <c r="AI289" s="18"/>
      <c r="AJ289" s="19">
        <v>0.34</v>
      </c>
      <c r="AK289" s="18"/>
      <c r="AL289" s="18"/>
      <c r="AM289" s="19">
        <v>0.34</v>
      </c>
      <c r="AN289" s="18"/>
      <c r="AO289" s="18"/>
      <c r="AP289" s="19">
        <v>0.34</v>
      </c>
      <c r="AR289" s="15" t="s">
        <v>249</v>
      </c>
      <c r="AS289" s="15" t="s">
        <v>567</v>
      </c>
      <c r="AT289" s="15" t="s">
        <v>654</v>
      </c>
      <c r="AU289" s="15"/>
      <c r="AV289" s="15"/>
      <c r="AW289" s="15"/>
      <c r="AX289" s="15"/>
      <c r="AY289" s="15"/>
      <c r="AZ289" s="18"/>
      <c r="BA289" s="19">
        <v>2.5000000000000001E-2</v>
      </c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9">
        <v>0.05</v>
      </c>
      <c r="BM289" s="18"/>
      <c r="BN289" s="18"/>
      <c r="BO289" s="18"/>
      <c r="BP289" s="18"/>
      <c r="BQ289" s="18"/>
      <c r="BR289" s="18"/>
      <c r="BS289" s="18"/>
      <c r="BT289" s="18"/>
      <c r="BU289" s="18"/>
    </row>
    <row r="290" spans="3:73" x14ac:dyDescent="0.45">
      <c r="C290" s="15" t="s">
        <v>249</v>
      </c>
      <c r="D290" s="15" t="s">
        <v>325</v>
      </c>
      <c r="E290" s="15" t="s">
        <v>281</v>
      </c>
      <c r="F290" s="15"/>
      <c r="G290" s="15"/>
      <c r="H290" s="15"/>
      <c r="I290" s="15"/>
      <c r="J290" s="18">
        <v>2020</v>
      </c>
      <c r="K290" s="18"/>
      <c r="L290" s="19"/>
      <c r="M290" s="18"/>
      <c r="N290" s="18"/>
      <c r="O290" s="19"/>
      <c r="P290" s="18"/>
      <c r="Q290" s="18">
        <v>2020</v>
      </c>
      <c r="R290" s="19"/>
      <c r="S290" s="18"/>
      <c r="T290" s="18"/>
      <c r="U290" s="19"/>
      <c r="V290" s="19"/>
      <c r="X290" s="15" t="s">
        <v>328</v>
      </c>
      <c r="Y290" s="15" t="s">
        <v>321</v>
      </c>
      <c r="Z290" s="15" t="s">
        <v>351</v>
      </c>
      <c r="AA290" s="15"/>
      <c r="AB290" s="15"/>
      <c r="AC290" s="15" t="s">
        <v>320</v>
      </c>
      <c r="AD290" s="15"/>
      <c r="AE290" s="18"/>
      <c r="AF290" s="18"/>
      <c r="AG290" s="19">
        <v>0.34</v>
      </c>
      <c r="AH290" s="18"/>
      <c r="AI290" s="18"/>
      <c r="AJ290" s="19">
        <v>0.34</v>
      </c>
      <c r="AK290" s="18"/>
      <c r="AL290" s="18"/>
      <c r="AM290" s="19">
        <v>0.34</v>
      </c>
      <c r="AN290" s="18"/>
      <c r="AO290" s="18"/>
      <c r="AP290" s="19">
        <v>0.34</v>
      </c>
      <c r="AR290" s="15" t="s">
        <v>249</v>
      </c>
      <c r="AS290" s="15" t="s">
        <v>567</v>
      </c>
      <c r="AT290" s="15" t="s">
        <v>655</v>
      </c>
      <c r="AU290" s="15"/>
      <c r="AV290" s="15"/>
      <c r="AW290" s="15"/>
      <c r="AX290" s="15"/>
      <c r="AY290" s="15"/>
      <c r="AZ290" s="18"/>
      <c r="BA290" s="19">
        <v>2.5000000000000001E-2</v>
      </c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9">
        <v>0.05</v>
      </c>
      <c r="BM290" s="18"/>
      <c r="BN290" s="18"/>
      <c r="BO290" s="18"/>
      <c r="BP290" s="18"/>
      <c r="BQ290" s="18"/>
      <c r="BR290" s="18"/>
      <c r="BS290" s="18"/>
      <c r="BT290" s="18"/>
      <c r="BU290" s="18"/>
    </row>
    <row r="291" spans="3:73" x14ac:dyDescent="0.45">
      <c r="C291" s="15" t="s">
        <v>249</v>
      </c>
      <c r="D291" s="15" t="s">
        <v>325</v>
      </c>
      <c r="E291" s="15" t="s">
        <v>282</v>
      </c>
      <c r="F291" s="15"/>
      <c r="G291" s="15"/>
      <c r="H291" s="15"/>
      <c r="I291" s="15"/>
      <c r="J291" s="18">
        <v>2020</v>
      </c>
      <c r="K291" s="18"/>
      <c r="L291" s="19"/>
      <c r="M291" s="18"/>
      <c r="N291" s="18"/>
      <c r="O291" s="19"/>
      <c r="P291" s="18"/>
      <c r="Q291" s="18">
        <v>2020</v>
      </c>
      <c r="R291" s="19"/>
      <c r="S291" s="18"/>
      <c r="T291" s="18"/>
      <c r="U291" s="19"/>
      <c r="V291" s="19"/>
      <c r="X291" s="15" t="s">
        <v>328</v>
      </c>
      <c r="Y291" s="15" t="s">
        <v>321</v>
      </c>
      <c r="Z291" s="15" t="s">
        <v>352</v>
      </c>
      <c r="AA291" s="15"/>
      <c r="AB291" s="15"/>
      <c r="AC291" s="15" t="s">
        <v>320</v>
      </c>
      <c r="AD291" s="15"/>
      <c r="AE291" s="18"/>
      <c r="AF291" s="18"/>
      <c r="AG291" s="19">
        <v>0.34</v>
      </c>
      <c r="AH291" s="18"/>
      <c r="AI291" s="18"/>
      <c r="AJ291" s="19">
        <v>0.34</v>
      </c>
      <c r="AK291" s="18"/>
      <c r="AL291" s="18"/>
      <c r="AM291" s="19">
        <v>0.34</v>
      </c>
      <c r="AN291" s="18"/>
      <c r="AO291" s="18"/>
      <c r="AP291" s="19">
        <v>0.34</v>
      </c>
      <c r="AR291" s="15" t="s">
        <v>249</v>
      </c>
      <c r="AS291" s="15" t="s">
        <v>567</v>
      </c>
      <c r="AT291" s="15" t="s">
        <v>656</v>
      </c>
      <c r="AU291" s="15"/>
      <c r="AV291" s="15"/>
      <c r="AW291" s="15"/>
      <c r="AX291" s="15"/>
      <c r="AY291" s="15"/>
      <c r="AZ291" s="18"/>
      <c r="BA291" s="19">
        <v>2.5000000000000001E-2</v>
      </c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9">
        <v>0.05</v>
      </c>
      <c r="BM291" s="18"/>
      <c r="BN291" s="18"/>
      <c r="BO291" s="18"/>
      <c r="BP291" s="18"/>
      <c r="BQ291" s="18"/>
      <c r="BR291" s="18"/>
      <c r="BS291" s="18"/>
      <c r="BT291" s="18"/>
      <c r="BU291" s="18"/>
    </row>
    <row r="292" spans="3:73" x14ac:dyDescent="0.45">
      <c r="C292" s="15" t="s">
        <v>249</v>
      </c>
      <c r="D292" s="15" t="s">
        <v>325</v>
      </c>
      <c r="E292" s="15" t="s">
        <v>283</v>
      </c>
      <c r="F292" s="15"/>
      <c r="G292" s="15"/>
      <c r="H292" s="15"/>
      <c r="I292" s="15"/>
      <c r="J292" s="18">
        <v>2020</v>
      </c>
      <c r="K292" s="18"/>
      <c r="L292" s="19"/>
      <c r="M292" s="18"/>
      <c r="N292" s="18"/>
      <c r="O292" s="19"/>
      <c r="P292" s="18"/>
      <c r="Q292" s="18">
        <v>2020</v>
      </c>
      <c r="R292" s="19"/>
      <c r="S292" s="18"/>
      <c r="T292" s="18"/>
      <c r="U292" s="19"/>
      <c r="V292" s="19"/>
      <c r="X292" s="15" t="s">
        <v>328</v>
      </c>
      <c r="Y292" s="15" t="s">
        <v>321</v>
      </c>
      <c r="Z292" s="15" t="s">
        <v>353</v>
      </c>
      <c r="AA292" s="15"/>
      <c r="AB292" s="15"/>
      <c r="AC292" s="15" t="s">
        <v>320</v>
      </c>
      <c r="AD292" s="15"/>
      <c r="AE292" s="18"/>
      <c r="AF292" s="18"/>
      <c r="AG292" s="19">
        <f t="shared" ref="AG292:AG297" si="8">0.136409892060962*3.6/4.5</f>
        <v>0.10912791364876959</v>
      </c>
      <c r="AH292" s="18"/>
      <c r="AI292" s="18"/>
      <c r="AJ292" s="19">
        <f t="shared" ref="AJ292:AJ299" si="9">0.17231484714245*3.6/4.5</f>
        <v>0.13785187771396001</v>
      </c>
      <c r="AK292" s="18"/>
      <c r="AL292" s="18"/>
      <c r="AM292" s="19">
        <f t="shared" ref="AM292:AM297" si="10">0.14*3.6/4.5</f>
        <v>0.11200000000000003</v>
      </c>
      <c r="AN292" s="18"/>
      <c r="AO292" s="18"/>
      <c r="AP292" s="19">
        <f t="shared" ref="AP292:AP299" si="11">0.17*3.6/4.5</f>
        <v>0.13600000000000001</v>
      </c>
      <c r="AR292" s="15" t="s">
        <v>249</v>
      </c>
      <c r="AS292" s="15" t="s">
        <v>567</v>
      </c>
      <c r="AT292" s="15" t="s">
        <v>657</v>
      </c>
      <c r="AU292" s="15"/>
      <c r="AV292" s="15"/>
      <c r="AW292" s="15"/>
      <c r="AX292" s="15"/>
      <c r="AY292" s="15"/>
      <c r="AZ292" s="18"/>
      <c r="BA292" s="19">
        <v>2.5000000000000001E-2</v>
      </c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19">
        <v>0.05</v>
      </c>
      <c r="BM292" s="18"/>
      <c r="BN292" s="18"/>
      <c r="BO292" s="18"/>
      <c r="BP292" s="18"/>
      <c r="BQ292" s="18"/>
      <c r="BR292" s="18"/>
      <c r="BS292" s="18"/>
      <c r="BT292" s="18"/>
      <c r="BU292" s="18"/>
    </row>
    <row r="293" spans="3:73" x14ac:dyDescent="0.45">
      <c r="C293" s="15" t="s">
        <v>249</v>
      </c>
      <c r="D293" s="15" t="s">
        <v>325</v>
      </c>
      <c r="E293" s="15" t="s">
        <v>284</v>
      </c>
      <c r="F293" s="15"/>
      <c r="G293" s="15"/>
      <c r="H293" s="15"/>
      <c r="I293" s="15"/>
      <c r="J293" s="18">
        <v>2020</v>
      </c>
      <c r="K293" s="18"/>
      <c r="L293" s="19"/>
      <c r="M293" s="18"/>
      <c r="N293" s="18"/>
      <c r="O293" s="19"/>
      <c r="P293" s="18"/>
      <c r="Q293" s="18">
        <v>2020</v>
      </c>
      <c r="R293" s="19"/>
      <c r="S293" s="18"/>
      <c r="T293" s="18"/>
      <c r="U293" s="19"/>
      <c r="V293" s="19"/>
      <c r="X293" s="15" t="s">
        <v>328</v>
      </c>
      <c r="Y293" s="15" t="s">
        <v>321</v>
      </c>
      <c r="Z293" s="15" t="s">
        <v>354</v>
      </c>
      <c r="AA293" s="15"/>
      <c r="AB293" s="15"/>
      <c r="AC293" s="15" t="s">
        <v>320</v>
      </c>
      <c r="AD293" s="15"/>
      <c r="AE293" s="18"/>
      <c r="AF293" s="18"/>
      <c r="AG293" s="19">
        <f t="shared" si="8"/>
        <v>0.10912791364876959</v>
      </c>
      <c r="AH293" s="18"/>
      <c r="AI293" s="18"/>
      <c r="AJ293" s="19">
        <f t="shared" si="9"/>
        <v>0.13785187771396001</v>
      </c>
      <c r="AK293" s="18"/>
      <c r="AL293" s="18"/>
      <c r="AM293" s="19">
        <f t="shared" si="10"/>
        <v>0.11200000000000003</v>
      </c>
      <c r="AN293" s="18"/>
      <c r="AO293" s="18"/>
      <c r="AP293" s="19">
        <f t="shared" si="11"/>
        <v>0.13600000000000001</v>
      </c>
      <c r="AR293" s="15" t="s">
        <v>249</v>
      </c>
      <c r="AS293" s="15" t="s">
        <v>567</v>
      </c>
      <c r="AT293" s="15" t="s">
        <v>658</v>
      </c>
      <c r="AU293" s="15"/>
      <c r="AV293" s="15"/>
      <c r="AW293" s="15"/>
      <c r="AX293" s="15"/>
      <c r="AY293" s="15"/>
      <c r="AZ293" s="18"/>
      <c r="BA293" s="19">
        <v>2.5000000000000001E-2</v>
      </c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9">
        <v>0.05</v>
      </c>
      <c r="BM293" s="18"/>
      <c r="BN293" s="18"/>
      <c r="BO293" s="18"/>
      <c r="BP293" s="18"/>
      <c r="BQ293" s="18"/>
      <c r="BR293" s="18"/>
      <c r="BS293" s="18"/>
      <c r="BT293" s="18"/>
      <c r="BU293" s="18"/>
    </row>
    <row r="294" spans="3:73" x14ac:dyDescent="0.45">
      <c r="C294" s="15" t="s">
        <v>249</v>
      </c>
      <c r="D294" s="15" t="s">
        <v>325</v>
      </c>
      <c r="E294" s="15" t="s">
        <v>285</v>
      </c>
      <c r="F294" s="15"/>
      <c r="G294" s="15"/>
      <c r="H294" s="15"/>
      <c r="I294" s="15"/>
      <c r="J294" s="18">
        <v>2020</v>
      </c>
      <c r="K294" s="18"/>
      <c r="L294" s="19"/>
      <c r="M294" s="18"/>
      <c r="N294" s="18"/>
      <c r="O294" s="19"/>
      <c r="P294" s="18"/>
      <c r="Q294" s="18">
        <v>2020</v>
      </c>
      <c r="R294" s="19"/>
      <c r="S294" s="18"/>
      <c r="T294" s="18"/>
      <c r="U294" s="19"/>
      <c r="V294" s="19"/>
      <c r="X294" s="15" t="s">
        <v>328</v>
      </c>
      <c r="Y294" s="15" t="s">
        <v>321</v>
      </c>
      <c r="Z294" s="15" t="s">
        <v>355</v>
      </c>
      <c r="AA294" s="15"/>
      <c r="AB294" s="15"/>
      <c r="AC294" s="15" t="s">
        <v>320</v>
      </c>
      <c r="AD294" s="15"/>
      <c r="AE294" s="18"/>
      <c r="AF294" s="18"/>
      <c r="AG294" s="19">
        <f t="shared" si="8"/>
        <v>0.10912791364876959</v>
      </c>
      <c r="AH294" s="18"/>
      <c r="AI294" s="18"/>
      <c r="AJ294" s="19">
        <f t="shared" si="9"/>
        <v>0.13785187771396001</v>
      </c>
      <c r="AK294" s="18"/>
      <c r="AL294" s="18"/>
      <c r="AM294" s="19">
        <f t="shared" si="10"/>
        <v>0.11200000000000003</v>
      </c>
      <c r="AN294" s="18"/>
      <c r="AO294" s="18"/>
      <c r="AP294" s="19">
        <f t="shared" si="11"/>
        <v>0.13600000000000001</v>
      </c>
      <c r="AR294" s="15" t="s">
        <v>249</v>
      </c>
      <c r="AS294" s="15" t="s">
        <v>567</v>
      </c>
      <c r="AT294" s="15" t="s">
        <v>659</v>
      </c>
      <c r="AU294" s="15"/>
      <c r="AV294" s="15"/>
      <c r="AW294" s="15"/>
      <c r="AX294" s="15"/>
      <c r="AY294" s="15"/>
      <c r="AZ294" s="18"/>
      <c r="BA294" s="19">
        <v>2.5000000000000001E-2</v>
      </c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9">
        <v>0.05</v>
      </c>
      <c r="BM294" s="18"/>
      <c r="BN294" s="18"/>
      <c r="BO294" s="18"/>
      <c r="BP294" s="18"/>
      <c r="BQ294" s="18"/>
      <c r="BR294" s="18"/>
      <c r="BS294" s="18"/>
      <c r="BT294" s="18"/>
      <c r="BU294" s="18"/>
    </row>
    <row r="295" spans="3:73" x14ac:dyDescent="0.45">
      <c r="C295" s="15" t="s">
        <v>249</v>
      </c>
      <c r="D295" s="15" t="s">
        <v>325</v>
      </c>
      <c r="E295" s="15" t="s">
        <v>286</v>
      </c>
      <c r="F295" s="15"/>
      <c r="G295" s="15"/>
      <c r="H295" s="15"/>
      <c r="I295" s="15"/>
      <c r="J295" s="18">
        <v>2020</v>
      </c>
      <c r="K295" s="18"/>
      <c r="L295" s="19"/>
      <c r="M295" s="18"/>
      <c r="N295" s="18"/>
      <c r="O295" s="19"/>
      <c r="P295" s="18"/>
      <c r="Q295" s="18">
        <v>2020</v>
      </c>
      <c r="R295" s="19"/>
      <c r="S295" s="18"/>
      <c r="T295" s="18"/>
      <c r="U295" s="19"/>
      <c r="V295" s="19"/>
      <c r="X295" s="15" t="s">
        <v>328</v>
      </c>
      <c r="Y295" s="15" t="s">
        <v>321</v>
      </c>
      <c r="Z295" s="15" t="s">
        <v>356</v>
      </c>
      <c r="AA295" s="15"/>
      <c r="AB295" s="15"/>
      <c r="AC295" s="15" t="s">
        <v>320</v>
      </c>
      <c r="AD295" s="15"/>
      <c r="AE295" s="18"/>
      <c r="AF295" s="18"/>
      <c r="AG295" s="19">
        <f t="shared" si="8"/>
        <v>0.10912791364876959</v>
      </c>
      <c r="AH295" s="18"/>
      <c r="AI295" s="18"/>
      <c r="AJ295" s="19">
        <f t="shared" si="9"/>
        <v>0.13785187771396001</v>
      </c>
      <c r="AK295" s="18"/>
      <c r="AL295" s="18"/>
      <c r="AM295" s="19">
        <f t="shared" si="10"/>
        <v>0.11200000000000003</v>
      </c>
      <c r="AN295" s="18"/>
      <c r="AO295" s="18"/>
      <c r="AP295" s="19">
        <f t="shared" si="11"/>
        <v>0.13600000000000001</v>
      </c>
      <c r="AR295" s="15" t="s">
        <v>249</v>
      </c>
      <c r="AS295" s="15" t="s">
        <v>567</v>
      </c>
      <c r="AT295" s="15" t="s">
        <v>660</v>
      </c>
      <c r="AU295" s="15"/>
      <c r="AV295" s="15"/>
      <c r="AW295" s="15"/>
      <c r="AX295" s="15"/>
      <c r="AY295" s="15"/>
      <c r="AZ295" s="18"/>
      <c r="BA295" s="19">
        <v>2.5000000000000001E-2</v>
      </c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9">
        <v>0.05</v>
      </c>
      <c r="BM295" s="18"/>
      <c r="BN295" s="18"/>
      <c r="BO295" s="18"/>
      <c r="BP295" s="18"/>
      <c r="BQ295" s="18"/>
      <c r="BR295" s="18"/>
      <c r="BS295" s="18"/>
      <c r="BT295" s="18"/>
      <c r="BU295" s="18"/>
    </row>
    <row r="296" spans="3:73" x14ac:dyDescent="0.45">
      <c r="C296" s="15" t="s">
        <v>249</v>
      </c>
      <c r="D296" s="15" t="s">
        <v>325</v>
      </c>
      <c r="E296" s="15" t="s">
        <v>287</v>
      </c>
      <c r="F296" s="15"/>
      <c r="G296" s="15"/>
      <c r="H296" s="15"/>
      <c r="I296" s="15"/>
      <c r="J296" s="18">
        <v>2020</v>
      </c>
      <c r="K296" s="18"/>
      <c r="L296" s="19"/>
      <c r="M296" s="18"/>
      <c r="N296" s="18"/>
      <c r="O296" s="19"/>
      <c r="P296" s="18"/>
      <c r="Q296" s="18">
        <v>2020</v>
      </c>
      <c r="R296" s="19"/>
      <c r="S296" s="18"/>
      <c r="T296" s="18"/>
      <c r="U296" s="19"/>
      <c r="V296" s="19"/>
      <c r="X296" s="15" t="s">
        <v>328</v>
      </c>
      <c r="Y296" s="15" t="s">
        <v>321</v>
      </c>
      <c r="Z296" s="15" t="s">
        <v>357</v>
      </c>
      <c r="AA296" s="15"/>
      <c r="AB296" s="15"/>
      <c r="AC296" s="15" t="s">
        <v>320</v>
      </c>
      <c r="AD296" s="15"/>
      <c r="AE296" s="18"/>
      <c r="AF296" s="18"/>
      <c r="AG296" s="19">
        <f t="shared" si="8"/>
        <v>0.10912791364876959</v>
      </c>
      <c r="AH296" s="18"/>
      <c r="AI296" s="18"/>
      <c r="AJ296" s="19">
        <f t="shared" si="9"/>
        <v>0.13785187771396001</v>
      </c>
      <c r="AK296" s="18"/>
      <c r="AL296" s="18"/>
      <c r="AM296" s="19">
        <f t="shared" si="10"/>
        <v>0.11200000000000003</v>
      </c>
      <c r="AN296" s="18"/>
      <c r="AO296" s="18"/>
      <c r="AP296" s="19">
        <f t="shared" si="11"/>
        <v>0.13600000000000001</v>
      </c>
      <c r="AR296" s="15" t="s">
        <v>249</v>
      </c>
      <c r="AS296" s="15" t="s">
        <v>567</v>
      </c>
      <c r="AT296" s="15" t="s">
        <v>661</v>
      </c>
      <c r="AU296" s="15"/>
      <c r="AV296" s="15"/>
      <c r="AW296" s="15"/>
      <c r="AX296" s="15"/>
      <c r="AY296" s="15"/>
      <c r="AZ296" s="18"/>
      <c r="BA296" s="19">
        <v>2.5000000000000001E-2</v>
      </c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9">
        <v>0.05</v>
      </c>
      <c r="BM296" s="18"/>
      <c r="BN296" s="18"/>
      <c r="BO296" s="18"/>
      <c r="BP296" s="18"/>
      <c r="BQ296" s="18"/>
      <c r="BR296" s="18"/>
      <c r="BS296" s="18"/>
      <c r="BT296" s="18"/>
      <c r="BU296" s="18"/>
    </row>
    <row r="297" spans="3:73" x14ac:dyDescent="0.45">
      <c r="C297" s="15" t="s">
        <v>249</v>
      </c>
      <c r="D297" s="15" t="s">
        <v>325</v>
      </c>
      <c r="E297" s="15" t="s">
        <v>288</v>
      </c>
      <c r="F297" s="15"/>
      <c r="G297" s="15"/>
      <c r="H297" s="15"/>
      <c r="I297" s="15"/>
      <c r="J297" s="18">
        <v>2020</v>
      </c>
      <c r="K297" s="18"/>
      <c r="L297" s="19"/>
      <c r="M297" s="18"/>
      <c r="N297" s="18"/>
      <c r="O297" s="19"/>
      <c r="P297" s="18"/>
      <c r="Q297" s="18">
        <v>2020</v>
      </c>
      <c r="R297" s="19"/>
      <c r="S297" s="18"/>
      <c r="T297" s="18"/>
      <c r="U297" s="19"/>
      <c r="V297" s="19"/>
      <c r="X297" s="15" t="s">
        <v>328</v>
      </c>
      <c r="Y297" s="15" t="s">
        <v>321</v>
      </c>
      <c r="Z297" s="15" t="s">
        <v>358</v>
      </c>
      <c r="AA297" s="15"/>
      <c r="AB297" s="15"/>
      <c r="AC297" s="15" t="s">
        <v>320</v>
      </c>
      <c r="AD297" s="15"/>
      <c r="AE297" s="18"/>
      <c r="AF297" s="18"/>
      <c r="AG297" s="19">
        <f t="shared" si="8"/>
        <v>0.10912791364876959</v>
      </c>
      <c r="AH297" s="18"/>
      <c r="AI297" s="18"/>
      <c r="AJ297" s="19">
        <f t="shared" si="9"/>
        <v>0.13785187771396001</v>
      </c>
      <c r="AK297" s="18"/>
      <c r="AL297" s="18"/>
      <c r="AM297" s="19">
        <f t="shared" si="10"/>
        <v>0.11200000000000003</v>
      </c>
      <c r="AN297" s="18"/>
      <c r="AO297" s="18"/>
      <c r="AP297" s="19">
        <f t="shared" si="11"/>
        <v>0.13600000000000001</v>
      </c>
      <c r="AR297" s="15" t="s">
        <v>249</v>
      </c>
      <c r="AS297" s="15" t="s">
        <v>567</v>
      </c>
      <c r="AT297" s="15" t="s">
        <v>662</v>
      </c>
      <c r="AU297" s="15"/>
      <c r="AV297" s="15"/>
      <c r="AW297" s="15"/>
      <c r="AX297" s="15"/>
      <c r="AY297" s="15"/>
      <c r="AZ297" s="18"/>
      <c r="BA297" s="19">
        <v>2.5000000000000001E-2</v>
      </c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9">
        <v>0.05</v>
      </c>
      <c r="BM297" s="18"/>
      <c r="BN297" s="18"/>
      <c r="BO297" s="18"/>
      <c r="BP297" s="18"/>
      <c r="BQ297" s="18"/>
      <c r="BR297" s="18"/>
      <c r="BS297" s="18"/>
      <c r="BT297" s="18"/>
      <c r="BU297" s="18"/>
    </row>
    <row r="298" spans="3:73" x14ac:dyDescent="0.45">
      <c r="C298" s="15" t="s">
        <v>249</v>
      </c>
      <c r="D298" s="15" t="s">
        <v>325</v>
      </c>
      <c r="E298" s="15" t="s">
        <v>289</v>
      </c>
      <c r="F298" s="15"/>
      <c r="G298" s="15"/>
      <c r="H298" s="15"/>
      <c r="I298" s="15"/>
      <c r="J298" s="18">
        <v>2020</v>
      </c>
      <c r="K298" s="18"/>
      <c r="L298" s="19"/>
      <c r="M298" s="18"/>
      <c r="N298" s="18"/>
      <c r="O298" s="19"/>
      <c r="P298" s="18"/>
      <c r="Q298" s="18">
        <v>2020</v>
      </c>
      <c r="R298" s="19"/>
      <c r="S298" s="18"/>
      <c r="T298" s="18"/>
      <c r="U298" s="19"/>
      <c r="V298" s="19"/>
      <c r="X298" s="15" t="s">
        <v>328</v>
      </c>
      <c r="Y298" s="15" t="s">
        <v>321</v>
      </c>
      <c r="Z298" s="15" t="s">
        <v>359</v>
      </c>
      <c r="AA298" s="15"/>
      <c r="AB298" s="15"/>
      <c r="AC298" s="15" t="s">
        <v>320</v>
      </c>
      <c r="AD298" s="15"/>
      <c r="AE298" s="18"/>
      <c r="AF298" s="18"/>
      <c r="AG298" s="19">
        <f>0.136409892060962</f>
        <v>0.13640989206096199</v>
      </c>
      <c r="AH298" s="18"/>
      <c r="AI298" s="18"/>
      <c r="AJ298" s="19">
        <f t="shared" si="9"/>
        <v>0.13785187771396001</v>
      </c>
      <c r="AK298" s="18"/>
      <c r="AL298" s="18"/>
      <c r="AM298" s="19">
        <f>0.136409892060962</f>
        <v>0.13640989206096199</v>
      </c>
      <c r="AN298" s="18"/>
      <c r="AO298" s="18"/>
      <c r="AP298" s="19">
        <f t="shared" si="11"/>
        <v>0.13600000000000001</v>
      </c>
      <c r="AR298" s="15" t="s">
        <v>249</v>
      </c>
      <c r="AS298" s="15" t="s">
        <v>567</v>
      </c>
      <c r="AT298" s="15" t="s">
        <v>663</v>
      </c>
      <c r="AU298" s="15"/>
      <c r="AV298" s="15"/>
      <c r="AW298" s="15"/>
      <c r="AX298" s="15"/>
      <c r="AY298" s="15"/>
      <c r="AZ298" s="18"/>
      <c r="BA298" s="19">
        <v>2.5000000000000001E-2</v>
      </c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9">
        <v>0.05</v>
      </c>
      <c r="BM298" s="18"/>
      <c r="BN298" s="18"/>
      <c r="BO298" s="18"/>
      <c r="BP298" s="18"/>
      <c r="BQ298" s="18"/>
      <c r="BR298" s="18"/>
      <c r="BS298" s="18"/>
      <c r="BT298" s="18"/>
      <c r="BU298" s="18"/>
    </row>
    <row r="299" spans="3:73" x14ac:dyDescent="0.45">
      <c r="C299" s="15" t="s">
        <v>249</v>
      </c>
      <c r="D299" s="15" t="s">
        <v>325</v>
      </c>
      <c r="E299" s="15" t="s">
        <v>290</v>
      </c>
      <c r="F299" s="15"/>
      <c r="G299" s="15"/>
      <c r="H299" s="15"/>
      <c r="I299" s="15"/>
      <c r="J299" s="18">
        <v>2020</v>
      </c>
      <c r="K299" s="18"/>
      <c r="L299" s="19"/>
      <c r="M299" s="18"/>
      <c r="N299" s="18"/>
      <c r="O299" s="19"/>
      <c r="P299" s="18"/>
      <c r="Q299" s="18">
        <v>2020</v>
      </c>
      <c r="R299" s="19"/>
      <c r="S299" s="18"/>
      <c r="T299" s="18"/>
      <c r="U299" s="19"/>
      <c r="V299" s="19"/>
      <c r="X299" s="15" t="s">
        <v>328</v>
      </c>
      <c r="Y299" s="15" t="s">
        <v>321</v>
      </c>
      <c r="Z299" s="15" t="s">
        <v>360</v>
      </c>
      <c r="AA299" s="15"/>
      <c r="AB299" s="15"/>
      <c r="AC299" s="15" t="s">
        <v>320</v>
      </c>
      <c r="AD299" s="15"/>
      <c r="AE299" s="18"/>
      <c r="AF299" s="18"/>
      <c r="AG299" s="19">
        <f>0.136409892060962</f>
        <v>0.13640989206096199</v>
      </c>
      <c r="AH299" s="18"/>
      <c r="AI299" s="18"/>
      <c r="AJ299" s="19">
        <f t="shared" si="9"/>
        <v>0.13785187771396001</v>
      </c>
      <c r="AK299" s="18"/>
      <c r="AL299" s="18"/>
      <c r="AM299" s="19">
        <f>0.136409892060962</f>
        <v>0.13640989206096199</v>
      </c>
      <c r="AN299" s="18"/>
      <c r="AO299" s="18"/>
      <c r="AP299" s="19">
        <f t="shared" si="11"/>
        <v>0.13600000000000001</v>
      </c>
      <c r="AR299" s="15" t="s">
        <v>249</v>
      </c>
      <c r="AS299" s="15" t="s">
        <v>567</v>
      </c>
      <c r="AT299" s="15" t="s">
        <v>664</v>
      </c>
      <c r="AU299" s="15"/>
      <c r="AV299" s="15"/>
      <c r="AW299" s="15"/>
      <c r="AX299" s="15"/>
      <c r="AY299" s="15"/>
      <c r="AZ299" s="18"/>
      <c r="BA299" s="19">
        <v>2.5000000000000001E-2</v>
      </c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9">
        <v>0.05</v>
      </c>
      <c r="BM299" s="18"/>
      <c r="BN299" s="18"/>
      <c r="BO299" s="18"/>
      <c r="BP299" s="18"/>
      <c r="BQ299" s="18"/>
      <c r="BR299" s="18"/>
      <c r="BS299" s="18"/>
      <c r="BT299" s="18"/>
      <c r="BU299" s="18"/>
    </row>
    <row r="300" spans="3:73" x14ac:dyDescent="0.45">
      <c r="C300" s="15" t="s">
        <v>249</v>
      </c>
      <c r="D300" s="15" t="s">
        <v>325</v>
      </c>
      <c r="E300" s="15" t="s">
        <v>291</v>
      </c>
      <c r="F300" s="15"/>
      <c r="G300" s="15"/>
      <c r="H300" s="15"/>
      <c r="I300" s="15"/>
      <c r="J300" s="18">
        <v>2020</v>
      </c>
      <c r="K300" s="18"/>
      <c r="L300" s="19"/>
      <c r="M300" s="18"/>
      <c r="N300" s="18"/>
      <c r="O300" s="19"/>
      <c r="P300" s="18"/>
      <c r="Q300" s="18">
        <v>2020</v>
      </c>
      <c r="R300" s="19"/>
      <c r="S300" s="18"/>
      <c r="T300" s="18"/>
      <c r="U300" s="19"/>
      <c r="V300" s="19"/>
      <c r="X300" s="15" t="s">
        <v>328</v>
      </c>
      <c r="Y300" s="15" t="s">
        <v>321</v>
      </c>
      <c r="Z300" s="15" t="s">
        <v>361</v>
      </c>
      <c r="AA300" s="15"/>
      <c r="AB300" s="15"/>
      <c r="AC300" s="15" t="s">
        <v>320</v>
      </c>
      <c r="AD300" s="15"/>
      <c r="AE300" s="18"/>
      <c r="AF300" s="18"/>
      <c r="AG300" s="19">
        <v>3.0007890049087299E-2</v>
      </c>
      <c r="AH300" s="18"/>
      <c r="AI300" s="18"/>
      <c r="AJ300" s="19">
        <v>2.9983436126264001E-2</v>
      </c>
      <c r="AK300" s="18"/>
      <c r="AL300" s="18"/>
      <c r="AM300" s="19">
        <v>0.03</v>
      </c>
      <c r="AN300" s="18"/>
      <c r="AO300" s="18"/>
      <c r="AP300" s="19">
        <v>0.03</v>
      </c>
      <c r="AR300" s="15" t="s">
        <v>249</v>
      </c>
      <c r="AS300" s="15" t="s">
        <v>567</v>
      </c>
      <c r="AT300" s="15" t="s">
        <v>665</v>
      </c>
      <c r="AU300" s="15"/>
      <c r="AV300" s="15"/>
      <c r="AW300" s="15"/>
      <c r="AX300" s="15"/>
      <c r="AY300" s="15"/>
      <c r="AZ300" s="18"/>
      <c r="BA300" s="19">
        <v>2.5000000000000001E-2</v>
      </c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9">
        <v>0.05</v>
      </c>
      <c r="BM300" s="18"/>
      <c r="BN300" s="18"/>
      <c r="BO300" s="18"/>
      <c r="BP300" s="18"/>
      <c r="BQ300" s="18"/>
      <c r="BR300" s="18"/>
      <c r="BS300" s="18"/>
      <c r="BT300" s="18"/>
      <c r="BU300" s="18"/>
    </row>
    <row r="301" spans="3:73" x14ac:dyDescent="0.45">
      <c r="C301" s="15" t="s">
        <v>249</v>
      </c>
      <c r="D301" s="15" t="s">
        <v>325</v>
      </c>
      <c r="E301" s="15" t="s">
        <v>292</v>
      </c>
      <c r="F301" s="15"/>
      <c r="G301" s="15"/>
      <c r="H301" s="15"/>
      <c r="I301" s="15"/>
      <c r="J301" s="18">
        <v>2020</v>
      </c>
      <c r="K301" s="18"/>
      <c r="L301" s="19"/>
      <c r="M301" s="18"/>
      <c r="N301" s="18"/>
      <c r="O301" s="19"/>
      <c r="P301" s="18"/>
      <c r="Q301" s="18">
        <v>2020</v>
      </c>
      <c r="R301" s="19"/>
      <c r="S301" s="18"/>
      <c r="T301" s="18"/>
      <c r="U301" s="19"/>
      <c r="V301" s="19"/>
      <c r="X301" s="15" t="s">
        <v>328</v>
      </c>
      <c r="Y301" s="15" t="s">
        <v>321</v>
      </c>
      <c r="Z301" s="15" t="s">
        <v>362</v>
      </c>
      <c r="AA301" s="15"/>
      <c r="AB301" s="15"/>
      <c r="AC301" s="15" t="s">
        <v>320</v>
      </c>
      <c r="AD301" s="15"/>
      <c r="AE301" s="18"/>
      <c r="AF301" s="18"/>
      <c r="AG301" s="19">
        <v>3.0007890049087299E-2</v>
      </c>
      <c r="AH301" s="18"/>
      <c r="AI301" s="18"/>
      <c r="AJ301" s="19">
        <v>2.9983436126264001E-2</v>
      </c>
      <c r="AK301" s="18"/>
      <c r="AL301" s="18"/>
      <c r="AM301" s="19">
        <v>0.03</v>
      </c>
      <c r="AN301" s="18"/>
      <c r="AO301" s="18"/>
      <c r="AP301" s="19">
        <v>0.03</v>
      </c>
      <c r="AR301" s="15" t="s">
        <v>249</v>
      </c>
      <c r="AS301" s="15" t="s">
        <v>567</v>
      </c>
      <c r="AT301" s="15" t="s">
        <v>666</v>
      </c>
      <c r="AU301" s="15"/>
      <c r="AV301" s="15"/>
      <c r="AW301" s="15"/>
      <c r="AX301" s="15"/>
      <c r="AY301" s="15"/>
      <c r="AZ301" s="18"/>
      <c r="BA301" s="19">
        <v>2.5000000000000001E-2</v>
      </c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9">
        <v>0.05</v>
      </c>
      <c r="BM301" s="18"/>
      <c r="BN301" s="18"/>
      <c r="BO301" s="18"/>
      <c r="BP301" s="18"/>
      <c r="BQ301" s="18"/>
      <c r="BR301" s="18"/>
      <c r="BS301" s="18"/>
      <c r="BT301" s="18"/>
      <c r="BU301" s="18"/>
    </row>
    <row r="302" spans="3:73" x14ac:dyDescent="0.45">
      <c r="C302" s="15" t="s">
        <v>249</v>
      </c>
      <c r="D302" s="15" t="s">
        <v>325</v>
      </c>
      <c r="E302" s="15" t="s">
        <v>293</v>
      </c>
      <c r="F302" s="15"/>
      <c r="G302" s="15"/>
      <c r="H302" s="15"/>
      <c r="I302" s="15"/>
      <c r="J302" s="18">
        <v>2020</v>
      </c>
      <c r="K302" s="19"/>
      <c r="L302" s="19"/>
      <c r="M302" s="19"/>
      <c r="N302" s="19"/>
      <c r="O302" s="19"/>
      <c r="P302" s="18"/>
      <c r="Q302" s="19">
        <v>2020</v>
      </c>
      <c r="R302" s="19"/>
      <c r="S302" s="19"/>
      <c r="T302" s="19"/>
      <c r="U302" s="19"/>
      <c r="V302" s="19"/>
      <c r="X302" s="15" t="s">
        <v>328</v>
      </c>
      <c r="Y302" s="15" t="s">
        <v>322</v>
      </c>
      <c r="Z302" s="15" t="s">
        <v>330</v>
      </c>
      <c r="AA302" s="15"/>
      <c r="AB302" s="15"/>
      <c r="AC302" s="15"/>
      <c r="AD302" s="15" t="s">
        <v>323</v>
      </c>
      <c r="AE302" s="18"/>
      <c r="AF302" s="19">
        <v>5</v>
      </c>
      <c r="AG302" s="19">
        <v>63</v>
      </c>
      <c r="AH302" s="19">
        <v>42.287999999999997</v>
      </c>
      <c r="AI302" s="19">
        <v>42.287999999999997</v>
      </c>
      <c r="AJ302" s="19">
        <v>42.287999999999997</v>
      </c>
      <c r="AK302" s="18"/>
      <c r="AL302" s="19">
        <v>5</v>
      </c>
      <c r="AM302" s="19">
        <v>63</v>
      </c>
      <c r="AN302" s="19">
        <v>46.290999999999997</v>
      </c>
      <c r="AO302" s="19">
        <v>46.290999999999997</v>
      </c>
      <c r="AP302" s="19">
        <v>46.290999999999997</v>
      </c>
      <c r="AR302" s="15" t="s">
        <v>249</v>
      </c>
      <c r="AS302" s="15" t="s">
        <v>567</v>
      </c>
      <c r="AT302" s="15" t="s">
        <v>667</v>
      </c>
      <c r="AU302" s="15"/>
      <c r="AV302" s="15"/>
      <c r="AW302" s="15"/>
      <c r="AX302" s="15"/>
      <c r="AY302" s="15"/>
      <c r="AZ302" s="18"/>
      <c r="BA302" s="19">
        <v>2.5000000000000001E-2</v>
      </c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9">
        <v>0.05</v>
      </c>
      <c r="BM302" s="18"/>
      <c r="BN302" s="18"/>
      <c r="BO302" s="18"/>
      <c r="BP302" s="18"/>
      <c r="BQ302" s="18"/>
      <c r="BR302" s="18"/>
      <c r="BS302" s="18"/>
      <c r="BT302" s="18"/>
      <c r="BU302" s="18"/>
    </row>
    <row r="303" spans="3:73" x14ac:dyDescent="0.45">
      <c r="C303" s="15" t="s">
        <v>249</v>
      </c>
      <c r="D303" s="15" t="s">
        <v>325</v>
      </c>
      <c r="E303" s="15" t="s">
        <v>294</v>
      </c>
      <c r="F303" s="15"/>
      <c r="G303" s="15"/>
      <c r="H303" s="15"/>
      <c r="I303" s="15"/>
      <c r="J303" s="18">
        <v>2020</v>
      </c>
      <c r="K303" s="19"/>
      <c r="L303" s="19"/>
      <c r="M303" s="19"/>
      <c r="N303" s="19"/>
      <c r="O303" s="19"/>
      <c r="P303" s="18"/>
      <c r="Q303" s="19">
        <v>2020</v>
      </c>
      <c r="R303" s="19"/>
      <c r="S303" s="19"/>
      <c r="T303" s="19"/>
      <c r="U303" s="19"/>
      <c r="V303" s="19"/>
      <c r="X303" s="15" t="s">
        <v>328</v>
      </c>
      <c r="Y303" s="15" t="s">
        <v>322</v>
      </c>
      <c r="Z303" s="15" t="s">
        <v>331</v>
      </c>
      <c r="AA303" s="15"/>
      <c r="AB303" s="15"/>
      <c r="AC303" s="15"/>
      <c r="AD303" s="15" t="s">
        <v>323</v>
      </c>
      <c r="AE303" s="18"/>
      <c r="AF303" s="19">
        <v>5</v>
      </c>
      <c r="AG303" s="19">
        <v>97.283967328970903</v>
      </c>
      <c r="AH303" s="19">
        <v>65.197195446041405</v>
      </c>
      <c r="AI303" s="19">
        <v>59.842717084595598</v>
      </c>
      <c r="AJ303" s="19">
        <v>56.4270985303787</v>
      </c>
      <c r="AK303" s="18"/>
      <c r="AL303" s="19">
        <v>5</v>
      </c>
      <c r="AM303" s="19">
        <v>97.283967328970903</v>
      </c>
      <c r="AN303" s="19">
        <v>58.8593590627639</v>
      </c>
      <c r="AO303" s="19">
        <v>55.900305231438601</v>
      </c>
      <c r="AP303" s="19">
        <v>54.0127265567398</v>
      </c>
      <c r="AR303" s="15" t="s">
        <v>249</v>
      </c>
      <c r="AS303" s="15" t="s">
        <v>567</v>
      </c>
      <c r="AT303" s="15" t="s">
        <v>668</v>
      </c>
      <c r="AU303" s="15"/>
      <c r="AV303" s="15"/>
      <c r="AW303" s="15"/>
      <c r="AX303" s="15"/>
      <c r="AY303" s="15"/>
      <c r="AZ303" s="18"/>
      <c r="BA303" s="19">
        <v>2.5000000000000001E-2</v>
      </c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9">
        <v>0.05</v>
      </c>
      <c r="BM303" s="18"/>
      <c r="BN303" s="18"/>
      <c r="BO303" s="18"/>
      <c r="BP303" s="18"/>
      <c r="BQ303" s="18"/>
      <c r="BR303" s="18"/>
      <c r="BS303" s="18"/>
      <c r="BT303" s="18"/>
      <c r="BU303" s="18"/>
    </row>
    <row r="304" spans="3:73" x14ac:dyDescent="0.45">
      <c r="C304" s="15" t="s">
        <v>249</v>
      </c>
      <c r="D304" s="15" t="s">
        <v>325</v>
      </c>
      <c r="E304" s="15" t="s">
        <v>295</v>
      </c>
      <c r="F304" s="15"/>
      <c r="G304" s="15"/>
      <c r="H304" s="15"/>
      <c r="I304" s="15"/>
      <c r="J304" s="18">
        <v>2020</v>
      </c>
      <c r="K304" s="19"/>
      <c r="L304" s="19"/>
      <c r="M304" s="19"/>
      <c r="N304" s="19"/>
      <c r="O304" s="19"/>
      <c r="P304" s="18"/>
      <c r="Q304" s="19">
        <v>2020</v>
      </c>
      <c r="R304" s="19"/>
      <c r="S304" s="19"/>
      <c r="T304" s="19"/>
      <c r="U304" s="19"/>
      <c r="V304" s="19"/>
      <c r="X304" s="15" t="s">
        <v>328</v>
      </c>
      <c r="Y304" s="15" t="s">
        <v>322</v>
      </c>
      <c r="Z304" s="15" t="s">
        <v>332</v>
      </c>
      <c r="AA304" s="15"/>
      <c r="AB304" s="15"/>
      <c r="AC304" s="15"/>
      <c r="AD304" s="15" t="s">
        <v>323</v>
      </c>
      <c r="AE304" s="18"/>
      <c r="AF304" s="19">
        <v>5</v>
      </c>
      <c r="AG304" s="19">
        <v>57.303146992157899</v>
      </c>
      <c r="AH304" s="19">
        <v>56.971740085556597</v>
      </c>
      <c r="AI304" s="19">
        <v>57.739042784512897</v>
      </c>
      <c r="AJ304" s="19">
        <v>59.435882015026401</v>
      </c>
      <c r="AK304" s="18"/>
      <c r="AL304" s="19">
        <v>5</v>
      </c>
      <c r="AM304" s="19">
        <v>57.303146992157899</v>
      </c>
      <c r="AN304" s="19">
        <v>56.971740085556597</v>
      </c>
      <c r="AO304" s="19">
        <v>57.739042784512897</v>
      </c>
      <c r="AP304" s="19">
        <v>59.435882015026401</v>
      </c>
      <c r="AR304" s="15" t="s">
        <v>249</v>
      </c>
      <c r="AS304" s="15" t="s">
        <v>567</v>
      </c>
      <c r="AT304" s="15" t="s">
        <v>669</v>
      </c>
      <c r="AU304" s="15"/>
      <c r="AV304" s="15"/>
      <c r="AW304" s="15"/>
      <c r="AX304" s="15"/>
      <c r="AY304" s="15"/>
      <c r="AZ304" s="18"/>
      <c r="BA304" s="19">
        <v>2.5000000000000001E-2</v>
      </c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9">
        <v>0.05</v>
      </c>
      <c r="BM304" s="18"/>
      <c r="BN304" s="18"/>
      <c r="BO304" s="18"/>
      <c r="BP304" s="18"/>
      <c r="BQ304" s="18"/>
      <c r="BR304" s="18"/>
      <c r="BS304" s="18"/>
      <c r="BT304" s="18"/>
      <c r="BU304" s="18"/>
    </row>
    <row r="305" spans="3:73" x14ac:dyDescent="0.45">
      <c r="C305" s="15" t="s">
        <v>249</v>
      </c>
      <c r="D305" s="15" t="s">
        <v>325</v>
      </c>
      <c r="E305" s="15" t="s">
        <v>296</v>
      </c>
      <c r="F305" s="15"/>
      <c r="G305" s="15"/>
      <c r="H305" s="15"/>
      <c r="I305" s="15"/>
      <c r="J305" s="18">
        <v>2020</v>
      </c>
      <c r="K305" s="19"/>
      <c r="L305" s="19"/>
      <c r="M305" s="19"/>
      <c r="N305" s="19"/>
      <c r="O305" s="19"/>
      <c r="P305" s="18"/>
      <c r="Q305" s="19">
        <v>2020</v>
      </c>
      <c r="R305" s="19"/>
      <c r="S305" s="19"/>
      <c r="T305" s="19"/>
      <c r="U305" s="19"/>
      <c r="V305" s="19"/>
      <c r="X305" s="15" t="s">
        <v>328</v>
      </c>
      <c r="Y305" s="15" t="s">
        <v>322</v>
      </c>
      <c r="Z305" s="15" t="s">
        <v>333</v>
      </c>
      <c r="AA305" s="15"/>
      <c r="AB305" s="15"/>
      <c r="AC305" s="15"/>
      <c r="AD305" s="15" t="s">
        <v>323</v>
      </c>
      <c r="AE305" s="18"/>
      <c r="AF305" s="19">
        <v>5</v>
      </c>
      <c r="AG305" s="19">
        <v>38.539138979341097</v>
      </c>
      <c r="AH305" s="19">
        <v>37.682713668689097</v>
      </c>
      <c r="AI305" s="19">
        <v>38.253663875790402</v>
      </c>
      <c r="AJ305" s="19">
        <v>38.539138979341097</v>
      </c>
      <c r="AK305" s="18"/>
      <c r="AL305" s="19">
        <v>5</v>
      </c>
      <c r="AM305" s="19">
        <v>38.539138979341097</v>
      </c>
      <c r="AN305" s="19">
        <v>37.682713668689097</v>
      </c>
      <c r="AO305" s="19">
        <v>38.253663875790402</v>
      </c>
      <c r="AP305" s="19">
        <v>38.539138979341097</v>
      </c>
      <c r="AR305" s="15" t="s">
        <v>249</v>
      </c>
      <c r="AS305" s="15" t="s">
        <v>567</v>
      </c>
      <c r="AT305" s="15" t="s">
        <v>670</v>
      </c>
      <c r="AU305" s="15"/>
      <c r="AV305" s="15"/>
      <c r="AW305" s="15"/>
      <c r="AX305" s="15"/>
      <c r="AY305" s="15"/>
      <c r="AZ305" s="18"/>
      <c r="BA305" s="19">
        <v>2.5000000000000001E-2</v>
      </c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9">
        <v>0.05</v>
      </c>
      <c r="BM305" s="18"/>
      <c r="BN305" s="18"/>
      <c r="BO305" s="18"/>
      <c r="BP305" s="18"/>
      <c r="BQ305" s="18"/>
      <c r="BR305" s="18"/>
      <c r="BS305" s="18"/>
      <c r="BT305" s="18"/>
      <c r="BU305" s="18"/>
    </row>
    <row r="306" spans="3:73" x14ac:dyDescent="0.45">
      <c r="C306" s="15" t="s">
        <v>249</v>
      </c>
      <c r="D306" s="15" t="s">
        <v>325</v>
      </c>
      <c r="E306" s="15" t="s">
        <v>297</v>
      </c>
      <c r="F306" s="15"/>
      <c r="G306" s="15"/>
      <c r="H306" s="15"/>
      <c r="I306" s="15"/>
      <c r="J306" s="18">
        <v>2020</v>
      </c>
      <c r="K306" s="19"/>
      <c r="L306" s="19"/>
      <c r="M306" s="19"/>
      <c r="N306" s="19"/>
      <c r="O306" s="19"/>
      <c r="P306" s="18"/>
      <c r="Q306" s="19">
        <v>2020</v>
      </c>
      <c r="R306" s="19"/>
      <c r="S306" s="19"/>
      <c r="T306" s="19"/>
      <c r="U306" s="19"/>
      <c r="V306" s="19"/>
      <c r="X306" s="15" t="s">
        <v>328</v>
      </c>
      <c r="Y306" s="15" t="s">
        <v>322</v>
      </c>
      <c r="Z306" s="15" t="s">
        <v>334</v>
      </c>
      <c r="AA306" s="15"/>
      <c r="AB306" s="15"/>
      <c r="AC306" s="15"/>
      <c r="AD306" s="15" t="s">
        <v>323</v>
      </c>
      <c r="AE306" s="18"/>
      <c r="AF306" s="19">
        <v>5</v>
      </c>
      <c r="AG306" s="19">
        <v>50.400339083480702</v>
      </c>
      <c r="AH306" s="19">
        <v>53.296910295175003</v>
      </c>
      <c r="AI306" s="19">
        <v>54.841748274745299</v>
      </c>
      <c r="AJ306" s="19">
        <v>56.386586254315503</v>
      </c>
      <c r="AK306" s="18"/>
      <c r="AL306" s="19">
        <v>5</v>
      </c>
      <c r="AM306" s="19">
        <v>50.400339083480702</v>
      </c>
      <c r="AN306" s="19">
        <v>53.296910295175003</v>
      </c>
      <c r="AO306" s="19">
        <v>54.841748274745299</v>
      </c>
      <c r="AP306" s="19">
        <v>56.386586254315503</v>
      </c>
      <c r="AR306" s="15" t="s">
        <v>249</v>
      </c>
      <c r="AS306" s="15" t="s">
        <v>567</v>
      </c>
      <c r="AT306" s="15" t="s">
        <v>671</v>
      </c>
      <c r="AU306" s="15"/>
      <c r="AV306" s="15"/>
      <c r="AW306" s="15"/>
      <c r="AX306" s="15"/>
      <c r="AY306" s="15"/>
      <c r="AZ306" s="18"/>
      <c r="BA306" s="19">
        <v>2.5000000000000001E-2</v>
      </c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9">
        <v>0.05</v>
      </c>
      <c r="BM306" s="18"/>
      <c r="BN306" s="18"/>
      <c r="BO306" s="18"/>
      <c r="BP306" s="18"/>
      <c r="BQ306" s="18"/>
      <c r="BR306" s="18"/>
      <c r="BS306" s="18"/>
      <c r="BT306" s="18"/>
      <c r="BU306" s="18"/>
    </row>
    <row r="307" spans="3:73" x14ac:dyDescent="0.45">
      <c r="C307" s="15" t="s">
        <v>249</v>
      </c>
      <c r="D307" s="15" t="s">
        <v>325</v>
      </c>
      <c r="E307" s="15" t="s">
        <v>298</v>
      </c>
      <c r="F307" s="15"/>
      <c r="G307" s="15"/>
      <c r="H307" s="15"/>
      <c r="I307" s="15"/>
      <c r="J307" s="18">
        <v>2020</v>
      </c>
      <c r="K307" s="19"/>
      <c r="L307" s="19"/>
      <c r="M307" s="19"/>
      <c r="N307" s="19"/>
      <c r="O307" s="19"/>
      <c r="P307" s="18"/>
      <c r="Q307" s="19">
        <v>2020</v>
      </c>
      <c r="R307" s="19"/>
      <c r="S307" s="19"/>
      <c r="T307" s="19"/>
      <c r="U307" s="19"/>
      <c r="V307" s="19"/>
      <c r="X307" s="15" t="s">
        <v>328</v>
      </c>
      <c r="Y307" s="15" t="s">
        <v>322</v>
      </c>
      <c r="Z307" s="15" t="s">
        <v>335</v>
      </c>
      <c r="AA307" s="15"/>
      <c r="AB307" s="15"/>
      <c r="AC307" s="15"/>
      <c r="AD307" s="15" t="s">
        <v>323</v>
      </c>
      <c r="AE307" s="18"/>
      <c r="AF307" s="19">
        <v>5</v>
      </c>
      <c r="AG307" s="19">
        <v>33.896666666666697</v>
      </c>
      <c r="AH307" s="19">
        <v>35.252077732974897</v>
      </c>
      <c r="AI307" s="19">
        <v>36.334128584229397</v>
      </c>
      <c r="AJ307" s="19">
        <v>36.561928763440903</v>
      </c>
      <c r="AK307" s="18"/>
      <c r="AL307" s="19">
        <v>5</v>
      </c>
      <c r="AM307" s="19">
        <v>33.896666666666697</v>
      </c>
      <c r="AN307" s="19">
        <v>35.252077732974897</v>
      </c>
      <c r="AO307" s="19">
        <v>36.334128584229397</v>
      </c>
      <c r="AP307" s="19">
        <v>36.561928763440903</v>
      </c>
      <c r="AR307" s="15" t="s">
        <v>249</v>
      </c>
      <c r="AS307" s="15" t="s">
        <v>567</v>
      </c>
      <c r="AT307" s="15" t="s">
        <v>672</v>
      </c>
      <c r="AU307" s="15"/>
      <c r="AV307" s="15"/>
      <c r="AW307" s="15"/>
      <c r="AX307" s="15"/>
      <c r="AY307" s="15"/>
      <c r="AZ307" s="18"/>
      <c r="BA307" s="19">
        <v>2.5000000000000001E-2</v>
      </c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9">
        <v>0.05</v>
      </c>
      <c r="BM307" s="18"/>
      <c r="BN307" s="18"/>
      <c r="BO307" s="18"/>
      <c r="BP307" s="18"/>
      <c r="BQ307" s="18"/>
      <c r="BR307" s="18"/>
      <c r="BS307" s="18"/>
      <c r="BT307" s="18"/>
      <c r="BU307" s="18"/>
    </row>
    <row r="308" spans="3:73" x14ac:dyDescent="0.45">
      <c r="C308" s="15" t="s">
        <v>249</v>
      </c>
      <c r="D308" s="15" t="s">
        <v>325</v>
      </c>
      <c r="E308" s="15" t="s">
        <v>299</v>
      </c>
      <c r="F308" s="15"/>
      <c r="G308" s="15"/>
      <c r="H308" s="15"/>
      <c r="I308" s="15"/>
      <c r="J308" s="18">
        <v>2020</v>
      </c>
      <c r="K308" s="19"/>
      <c r="L308" s="19"/>
      <c r="M308" s="19"/>
      <c r="N308" s="19"/>
      <c r="O308" s="19"/>
      <c r="P308" s="18"/>
      <c r="Q308" s="19">
        <v>2020</v>
      </c>
      <c r="R308" s="19"/>
      <c r="S308" s="19"/>
      <c r="T308" s="19"/>
      <c r="U308" s="19"/>
      <c r="V308" s="19"/>
      <c r="X308" s="15" t="s">
        <v>328</v>
      </c>
      <c r="Y308" s="15" t="s">
        <v>322</v>
      </c>
      <c r="Z308" s="15" t="s">
        <v>336</v>
      </c>
      <c r="AA308" s="15"/>
      <c r="AB308" s="15"/>
      <c r="AC308" s="15"/>
      <c r="AD308" s="15" t="s">
        <v>323</v>
      </c>
      <c r="AE308" s="18"/>
      <c r="AF308" s="19">
        <v>5</v>
      </c>
      <c r="AG308" s="19">
        <v>115.04822804859501</v>
      </c>
      <c r="AH308" s="19">
        <v>85.444218043248995</v>
      </c>
      <c r="AI308" s="19">
        <v>85.302529162299507</v>
      </c>
      <c r="AJ308" s="19">
        <v>85.302529162299507</v>
      </c>
      <c r="AK308" s="18"/>
      <c r="AL308" s="19">
        <v>5</v>
      </c>
      <c r="AM308" s="19">
        <v>115.04822804859501</v>
      </c>
      <c r="AN308" s="19">
        <v>89.186507208058103</v>
      </c>
      <c r="AO308" s="19">
        <v>89.0386126320237</v>
      </c>
      <c r="AP308" s="19">
        <v>90.976357876439593</v>
      </c>
      <c r="AR308" s="15" t="s">
        <v>249</v>
      </c>
      <c r="AS308" s="15" t="s">
        <v>567</v>
      </c>
      <c r="AT308" s="15" t="s">
        <v>673</v>
      </c>
      <c r="AU308" s="15"/>
      <c r="AV308" s="15"/>
      <c r="AW308" s="15"/>
      <c r="AX308" s="15"/>
      <c r="AY308" s="15"/>
      <c r="AZ308" s="18"/>
      <c r="BA308" s="19">
        <v>2.5000000000000001E-2</v>
      </c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9">
        <v>0.05</v>
      </c>
      <c r="BM308" s="18"/>
      <c r="BN308" s="18"/>
      <c r="BO308" s="18"/>
      <c r="BP308" s="18"/>
      <c r="BQ308" s="18"/>
      <c r="BR308" s="18"/>
      <c r="BS308" s="18"/>
      <c r="BT308" s="18"/>
      <c r="BU308" s="18"/>
    </row>
    <row r="309" spans="3:73" x14ac:dyDescent="0.45">
      <c r="C309" s="15" t="s">
        <v>249</v>
      </c>
      <c r="D309" s="15" t="s">
        <v>325</v>
      </c>
      <c r="E309" s="15" t="s">
        <v>300</v>
      </c>
      <c r="F309" s="15"/>
      <c r="G309" s="15"/>
      <c r="H309" s="15"/>
      <c r="I309" s="15"/>
      <c r="J309" s="18">
        <v>2020</v>
      </c>
      <c r="K309" s="19"/>
      <c r="L309" s="19"/>
      <c r="M309" s="19"/>
      <c r="N309" s="19"/>
      <c r="O309" s="19"/>
      <c r="P309" s="18"/>
      <c r="Q309" s="19">
        <v>2020</v>
      </c>
      <c r="R309" s="19"/>
      <c r="S309" s="19"/>
      <c r="T309" s="19"/>
      <c r="U309" s="19"/>
      <c r="V309" s="19"/>
      <c r="X309" s="15" t="s">
        <v>328</v>
      </c>
      <c r="Y309" s="15" t="s">
        <v>322</v>
      </c>
      <c r="Z309" s="15" t="s">
        <v>339</v>
      </c>
      <c r="AA309" s="15"/>
      <c r="AB309" s="15"/>
      <c r="AC309" s="15"/>
      <c r="AD309" s="15" t="s">
        <v>323</v>
      </c>
      <c r="AE309" s="18"/>
      <c r="AF309" s="19">
        <v>5</v>
      </c>
      <c r="AG309" s="19">
        <v>77.375500000000002</v>
      </c>
      <c r="AH309" s="19">
        <v>56.515212600730401</v>
      </c>
      <c r="AI309" s="19">
        <v>56.515212600730401</v>
      </c>
      <c r="AJ309" s="19">
        <v>56.515212600730401</v>
      </c>
      <c r="AK309" s="18"/>
      <c r="AL309" s="19">
        <v>5</v>
      </c>
      <c r="AM309" s="19">
        <v>77.375500000000002</v>
      </c>
      <c r="AN309" s="19">
        <v>58.990468066882002</v>
      </c>
      <c r="AO309" s="19">
        <v>58.990468066882002</v>
      </c>
      <c r="AP309" s="19">
        <v>58.990468066882002</v>
      </c>
      <c r="AR309" s="15" t="s">
        <v>249</v>
      </c>
      <c r="AS309" s="15" t="s">
        <v>567</v>
      </c>
      <c r="AT309" s="15" t="s">
        <v>674</v>
      </c>
      <c r="AU309" s="15"/>
      <c r="AV309" s="15"/>
      <c r="AW309" s="15"/>
      <c r="AX309" s="15"/>
      <c r="AY309" s="15"/>
      <c r="AZ309" s="18"/>
      <c r="BA309" s="19">
        <v>2.5000000000000001E-2</v>
      </c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9">
        <v>0.05</v>
      </c>
      <c r="BM309" s="18"/>
      <c r="BN309" s="18"/>
      <c r="BO309" s="18"/>
      <c r="BP309" s="18"/>
      <c r="BQ309" s="18"/>
      <c r="BR309" s="18"/>
      <c r="BS309" s="18"/>
      <c r="BT309" s="18"/>
      <c r="BU309" s="18"/>
    </row>
    <row r="310" spans="3:73" x14ac:dyDescent="0.45">
      <c r="C310" s="15" t="s">
        <v>249</v>
      </c>
      <c r="D310" s="15" t="s">
        <v>325</v>
      </c>
      <c r="E310" s="15" t="s">
        <v>301</v>
      </c>
      <c r="F310" s="15"/>
      <c r="G310" s="15"/>
      <c r="H310" s="15"/>
      <c r="I310" s="15"/>
      <c r="J310" s="18">
        <v>2020</v>
      </c>
      <c r="K310" s="19"/>
      <c r="L310" s="19"/>
      <c r="M310" s="19"/>
      <c r="N310" s="19"/>
      <c r="O310" s="19"/>
      <c r="P310" s="18"/>
      <c r="Q310" s="19">
        <v>2020</v>
      </c>
      <c r="R310" s="19"/>
      <c r="S310" s="19"/>
      <c r="T310" s="19"/>
      <c r="U310" s="19"/>
      <c r="V310" s="19"/>
      <c r="X310" s="15" t="s">
        <v>328</v>
      </c>
      <c r="Y310" s="15" t="s">
        <v>322</v>
      </c>
      <c r="Z310" s="15" t="s">
        <v>341</v>
      </c>
      <c r="AA310" s="15"/>
      <c r="AB310" s="15"/>
      <c r="AC310" s="15"/>
      <c r="AD310" s="15" t="s">
        <v>323</v>
      </c>
      <c r="AE310" s="18"/>
      <c r="AF310" s="19">
        <v>5</v>
      </c>
      <c r="AG310" s="19">
        <v>470</v>
      </c>
      <c r="AH310" s="19">
        <v>301</v>
      </c>
      <c r="AI310" s="19">
        <v>275</v>
      </c>
      <c r="AJ310" s="19">
        <v>275</v>
      </c>
      <c r="AK310" s="18"/>
      <c r="AL310" s="19">
        <v>5</v>
      </c>
      <c r="AM310" s="19">
        <v>501</v>
      </c>
      <c r="AN310" s="19">
        <v>317</v>
      </c>
      <c r="AO310" s="19">
        <v>286</v>
      </c>
      <c r="AP310" s="19">
        <v>286</v>
      </c>
      <c r="AR310" s="15" t="s">
        <v>249</v>
      </c>
      <c r="AS310" s="15" t="s">
        <v>567</v>
      </c>
      <c r="AT310" s="15" t="s">
        <v>675</v>
      </c>
      <c r="AU310" s="15"/>
      <c r="AV310" s="15"/>
      <c r="AW310" s="15"/>
      <c r="AX310" s="15"/>
      <c r="AY310" s="15"/>
      <c r="AZ310" s="18"/>
      <c r="BA310" s="19">
        <v>2.5000000000000001E-2</v>
      </c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9">
        <v>0.05</v>
      </c>
      <c r="BM310" s="18"/>
      <c r="BN310" s="18"/>
      <c r="BO310" s="18"/>
      <c r="BP310" s="18"/>
      <c r="BQ310" s="18"/>
      <c r="BR310" s="18"/>
      <c r="BS310" s="18"/>
      <c r="BT310" s="18"/>
      <c r="BU310" s="18"/>
    </row>
    <row r="311" spans="3:73" x14ac:dyDescent="0.45">
      <c r="C311" s="15" t="s">
        <v>249</v>
      </c>
      <c r="D311" s="15" t="s">
        <v>325</v>
      </c>
      <c r="E311" s="15" t="s">
        <v>302</v>
      </c>
      <c r="F311" s="15"/>
      <c r="G311" s="15"/>
      <c r="H311" s="15"/>
      <c r="I311" s="15"/>
      <c r="J311" s="18">
        <v>2020</v>
      </c>
      <c r="K311" s="19"/>
      <c r="L311" s="19"/>
      <c r="M311" s="19"/>
      <c r="N311" s="19"/>
      <c r="O311" s="19"/>
      <c r="P311" s="18"/>
      <c r="Q311" s="19">
        <v>2020</v>
      </c>
      <c r="R311" s="19"/>
      <c r="S311" s="19"/>
      <c r="T311" s="19"/>
      <c r="U311" s="19"/>
      <c r="V311" s="19"/>
      <c r="X311" s="15" t="s">
        <v>328</v>
      </c>
      <c r="Y311" s="15" t="s">
        <v>322</v>
      </c>
      <c r="Z311" s="15" t="s">
        <v>342</v>
      </c>
      <c r="AA311" s="15"/>
      <c r="AB311" s="15"/>
      <c r="AC311" s="15"/>
      <c r="AD311" s="15" t="s">
        <v>323</v>
      </c>
      <c r="AE311" s="18"/>
      <c r="AF311" s="19">
        <v>5</v>
      </c>
      <c r="AG311" s="19">
        <v>727</v>
      </c>
      <c r="AH311" s="19">
        <v>344</v>
      </c>
      <c r="AI311" s="19">
        <v>292</v>
      </c>
      <c r="AJ311" s="19">
        <v>292</v>
      </c>
      <c r="AK311" s="18"/>
      <c r="AL311" s="19">
        <v>5</v>
      </c>
      <c r="AM311" s="19">
        <v>727</v>
      </c>
      <c r="AN311" s="19">
        <v>361</v>
      </c>
      <c r="AO311" s="19">
        <v>307</v>
      </c>
      <c r="AP311" s="19">
        <v>307</v>
      </c>
      <c r="AR311" s="15" t="s">
        <v>249</v>
      </c>
      <c r="AS311" s="15" t="s">
        <v>567</v>
      </c>
      <c r="AT311" s="15" t="s">
        <v>676</v>
      </c>
      <c r="AU311" s="15"/>
      <c r="AV311" s="15"/>
      <c r="AW311" s="15"/>
      <c r="AX311" s="15"/>
      <c r="AY311" s="15"/>
      <c r="AZ311" s="18"/>
      <c r="BA311" s="19">
        <v>2.5000000000000001E-2</v>
      </c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9">
        <v>0.05</v>
      </c>
      <c r="BM311" s="18"/>
      <c r="BN311" s="18"/>
      <c r="BO311" s="18"/>
      <c r="BP311" s="18"/>
      <c r="BQ311" s="18"/>
      <c r="BR311" s="18"/>
      <c r="BS311" s="18"/>
      <c r="BT311" s="18"/>
      <c r="BU311" s="18"/>
    </row>
    <row r="312" spans="3:73" x14ac:dyDescent="0.45">
      <c r="C312" s="15" t="s">
        <v>249</v>
      </c>
      <c r="D312" s="15" t="s">
        <v>325</v>
      </c>
      <c r="E312" s="15" t="s">
        <v>303</v>
      </c>
      <c r="F312" s="15"/>
      <c r="G312" s="15"/>
      <c r="H312" s="15"/>
      <c r="I312" s="15"/>
      <c r="J312" s="18">
        <v>2020</v>
      </c>
      <c r="K312" s="19"/>
      <c r="L312" s="19"/>
      <c r="M312" s="19"/>
      <c r="N312" s="19"/>
      <c r="O312" s="19"/>
      <c r="P312" s="18"/>
      <c r="Q312" s="19">
        <v>2020</v>
      </c>
      <c r="R312" s="19"/>
      <c r="S312" s="19"/>
      <c r="T312" s="19"/>
      <c r="U312" s="19"/>
      <c r="V312" s="19"/>
      <c r="X312" s="15" t="s">
        <v>328</v>
      </c>
      <c r="Y312" s="15" t="s">
        <v>322</v>
      </c>
      <c r="Z312" s="15" t="s">
        <v>343</v>
      </c>
      <c r="AA312" s="15"/>
      <c r="AB312" s="15"/>
      <c r="AC312" s="15"/>
      <c r="AD312" s="15" t="s">
        <v>323</v>
      </c>
      <c r="AE312" s="18"/>
      <c r="AF312" s="19">
        <v>5</v>
      </c>
      <c r="AG312" s="19">
        <v>250</v>
      </c>
      <c r="AH312" s="19">
        <v>250</v>
      </c>
      <c r="AI312" s="19">
        <v>250</v>
      </c>
      <c r="AJ312" s="19">
        <v>250</v>
      </c>
      <c r="AK312" s="18"/>
      <c r="AL312" s="19">
        <v>5</v>
      </c>
      <c r="AM312" s="19">
        <v>250</v>
      </c>
      <c r="AN312" s="19">
        <v>250</v>
      </c>
      <c r="AO312" s="19">
        <v>250</v>
      </c>
      <c r="AP312" s="19">
        <v>250</v>
      </c>
      <c r="AR312" s="15" t="s">
        <v>249</v>
      </c>
      <c r="AS312" s="15" t="s">
        <v>567</v>
      </c>
      <c r="AT312" s="15" t="s">
        <v>677</v>
      </c>
      <c r="AU312" s="15"/>
      <c r="AV312" s="15"/>
      <c r="AW312" s="15"/>
      <c r="AX312" s="15"/>
      <c r="AY312" s="15"/>
      <c r="AZ312" s="18"/>
      <c r="BA312" s="19">
        <v>2.5000000000000001E-2</v>
      </c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9">
        <v>0.05</v>
      </c>
      <c r="BM312" s="18"/>
      <c r="BN312" s="18"/>
      <c r="BO312" s="18"/>
      <c r="BP312" s="18"/>
      <c r="BQ312" s="18"/>
      <c r="BR312" s="18"/>
      <c r="BS312" s="18"/>
      <c r="BT312" s="18"/>
      <c r="BU312" s="18"/>
    </row>
    <row r="313" spans="3:73" x14ac:dyDescent="0.45">
      <c r="C313" s="15" t="s">
        <v>249</v>
      </c>
      <c r="D313" s="15" t="s">
        <v>325</v>
      </c>
      <c r="E313" s="15" t="s">
        <v>304</v>
      </c>
      <c r="F313" s="15"/>
      <c r="G313" s="15"/>
      <c r="H313" s="15"/>
      <c r="I313" s="15"/>
      <c r="J313" s="18">
        <v>2020</v>
      </c>
      <c r="K313" s="19"/>
      <c r="L313" s="19"/>
      <c r="M313" s="19"/>
      <c r="N313" s="19"/>
      <c r="O313" s="19"/>
      <c r="P313" s="18"/>
      <c r="Q313" s="19">
        <v>2020</v>
      </c>
      <c r="R313" s="19"/>
      <c r="S313" s="19"/>
      <c r="T313" s="19"/>
      <c r="U313" s="19"/>
      <c r="V313" s="19"/>
      <c r="X313" s="15" t="s">
        <v>328</v>
      </c>
      <c r="Y313" s="15" t="s">
        <v>322</v>
      </c>
      <c r="Z313" s="15" t="s">
        <v>344</v>
      </c>
      <c r="AA313" s="15"/>
      <c r="AB313" s="15"/>
      <c r="AC313" s="15"/>
      <c r="AD313" s="15" t="s">
        <v>323</v>
      </c>
      <c r="AE313" s="18"/>
      <c r="AF313" s="19">
        <v>5</v>
      </c>
      <c r="AG313" s="19">
        <v>188</v>
      </c>
      <c r="AH313" s="19">
        <v>123</v>
      </c>
      <c r="AI313" s="19">
        <v>112</v>
      </c>
      <c r="AJ313" s="19">
        <v>112</v>
      </c>
      <c r="AK313" s="18"/>
      <c r="AL313" s="19">
        <v>5</v>
      </c>
      <c r="AM313" s="19">
        <v>198</v>
      </c>
      <c r="AN313" s="19">
        <v>127</v>
      </c>
      <c r="AO313" s="19">
        <v>116</v>
      </c>
      <c r="AP313" s="19">
        <v>116</v>
      </c>
      <c r="AR313" s="15" t="s">
        <v>249</v>
      </c>
      <c r="AS313" s="15" t="s">
        <v>567</v>
      </c>
      <c r="AT313" s="15" t="s">
        <v>678</v>
      </c>
      <c r="AU313" s="15"/>
      <c r="AV313" s="15"/>
      <c r="AW313" s="15"/>
      <c r="AX313" s="15"/>
      <c r="AY313" s="15"/>
      <c r="AZ313" s="18"/>
      <c r="BA313" s="19">
        <v>2.5000000000000001E-2</v>
      </c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9">
        <v>0.05</v>
      </c>
      <c r="BM313" s="18"/>
      <c r="BN313" s="18"/>
      <c r="BO313" s="18"/>
      <c r="BP313" s="18"/>
      <c r="BQ313" s="18"/>
      <c r="BR313" s="18"/>
      <c r="BS313" s="18"/>
      <c r="BT313" s="18"/>
      <c r="BU313" s="18"/>
    </row>
    <row r="314" spans="3:73" x14ac:dyDescent="0.45">
      <c r="C314" s="15" t="s">
        <v>249</v>
      </c>
      <c r="D314" s="15" t="s">
        <v>325</v>
      </c>
      <c r="E314" s="15" t="s">
        <v>305</v>
      </c>
      <c r="F314" s="15"/>
      <c r="G314" s="15"/>
      <c r="H314" s="15"/>
      <c r="I314" s="15"/>
      <c r="J314" s="18">
        <v>2020</v>
      </c>
      <c r="K314" s="19"/>
      <c r="L314" s="19"/>
      <c r="M314" s="19"/>
      <c r="N314" s="19"/>
      <c r="O314" s="19"/>
      <c r="P314" s="18"/>
      <c r="Q314" s="19">
        <v>2020</v>
      </c>
      <c r="R314" s="19"/>
      <c r="S314" s="19"/>
      <c r="T314" s="19"/>
      <c r="U314" s="19"/>
      <c r="V314" s="19"/>
      <c r="X314" s="15" t="s">
        <v>328</v>
      </c>
      <c r="Y314" s="15" t="s">
        <v>322</v>
      </c>
      <c r="Z314" s="15" t="s">
        <v>345</v>
      </c>
      <c r="AA314" s="15"/>
      <c r="AB314" s="15"/>
      <c r="AC314" s="15"/>
      <c r="AD314" s="15" t="s">
        <v>323</v>
      </c>
      <c r="AE314" s="18"/>
      <c r="AF314" s="19">
        <v>5</v>
      </c>
      <c r="AG314" s="19">
        <v>523</v>
      </c>
      <c r="AH314" s="19">
        <v>232</v>
      </c>
      <c r="AI314" s="19">
        <v>195</v>
      </c>
      <c r="AJ314" s="19">
        <v>195</v>
      </c>
      <c r="AK314" s="18"/>
      <c r="AL314" s="19">
        <v>5</v>
      </c>
      <c r="AM314" s="19">
        <v>523</v>
      </c>
      <c r="AN314" s="19">
        <v>244</v>
      </c>
      <c r="AO314" s="19">
        <v>205</v>
      </c>
      <c r="AP314" s="19">
        <v>205</v>
      </c>
      <c r="AR314" s="15" t="s">
        <v>249</v>
      </c>
      <c r="AS314" s="15" t="s">
        <v>567</v>
      </c>
      <c r="AT314" s="15" t="s">
        <v>679</v>
      </c>
      <c r="AU314" s="15"/>
      <c r="AV314" s="15"/>
      <c r="AW314" s="15"/>
      <c r="AX314" s="15"/>
      <c r="AY314" s="15"/>
      <c r="AZ314" s="18"/>
      <c r="BA314" s="19">
        <v>2.5000000000000001E-2</v>
      </c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9">
        <v>0.05</v>
      </c>
      <c r="BM314" s="18"/>
      <c r="BN314" s="18"/>
      <c r="BO314" s="18"/>
      <c r="BP314" s="18"/>
      <c r="BQ314" s="18"/>
      <c r="BR314" s="18"/>
      <c r="BS314" s="18"/>
      <c r="BT314" s="18"/>
      <c r="BU314" s="18"/>
    </row>
    <row r="315" spans="3:73" x14ac:dyDescent="0.45">
      <c r="C315" s="15" t="s">
        <v>249</v>
      </c>
      <c r="D315" s="15" t="s">
        <v>325</v>
      </c>
      <c r="E315" s="15" t="s">
        <v>306</v>
      </c>
      <c r="F315" s="15"/>
      <c r="G315" s="15"/>
      <c r="H315" s="15"/>
      <c r="I315" s="15"/>
      <c r="J315" s="18">
        <v>2020</v>
      </c>
      <c r="K315" s="19"/>
      <c r="L315" s="19"/>
      <c r="M315" s="19"/>
      <c r="N315" s="19"/>
      <c r="O315" s="19"/>
      <c r="P315" s="18"/>
      <c r="Q315" s="19">
        <v>2020</v>
      </c>
      <c r="R315" s="19"/>
      <c r="S315" s="19"/>
      <c r="T315" s="19"/>
      <c r="U315" s="19"/>
      <c r="V315" s="19"/>
      <c r="X315" s="15" t="s">
        <v>328</v>
      </c>
      <c r="Y315" s="15" t="s">
        <v>322</v>
      </c>
      <c r="Z315" s="15" t="s">
        <v>346</v>
      </c>
      <c r="AA315" s="15"/>
      <c r="AB315" s="15"/>
      <c r="AC315" s="15"/>
      <c r="AD315" s="15" t="s">
        <v>323</v>
      </c>
      <c r="AE315" s="18"/>
      <c r="AF315" s="19">
        <v>5</v>
      </c>
      <c r="AG315" s="19">
        <v>122</v>
      </c>
      <c r="AH315" s="19">
        <v>122</v>
      </c>
      <c r="AI315" s="19">
        <v>122</v>
      </c>
      <c r="AJ315" s="19">
        <v>122</v>
      </c>
      <c r="AK315" s="18"/>
      <c r="AL315" s="19">
        <v>5</v>
      </c>
      <c r="AM315" s="19">
        <v>122</v>
      </c>
      <c r="AN315" s="19">
        <v>122</v>
      </c>
      <c r="AO315" s="19">
        <v>122</v>
      </c>
      <c r="AP315" s="19">
        <v>122</v>
      </c>
      <c r="AR315" s="15" t="s">
        <v>249</v>
      </c>
      <c r="AS315" s="15" t="s">
        <v>567</v>
      </c>
      <c r="AT315" s="15" t="s">
        <v>680</v>
      </c>
      <c r="AU315" s="15"/>
      <c r="AV315" s="15"/>
      <c r="AW315" s="15"/>
      <c r="AX315" s="15"/>
      <c r="AY315" s="15"/>
      <c r="AZ315" s="18"/>
      <c r="BA315" s="19">
        <v>2.5000000000000001E-2</v>
      </c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9">
        <v>0.05</v>
      </c>
      <c r="BM315" s="18"/>
      <c r="BN315" s="18"/>
      <c r="BO315" s="18"/>
      <c r="BP315" s="18"/>
      <c r="BQ315" s="18"/>
      <c r="BR315" s="18"/>
      <c r="BS315" s="18"/>
      <c r="BT315" s="18"/>
      <c r="BU315" s="18"/>
    </row>
    <row r="316" spans="3:73" x14ac:dyDescent="0.45">
      <c r="C316" s="15" t="s">
        <v>249</v>
      </c>
      <c r="D316" s="15" t="s">
        <v>325</v>
      </c>
      <c r="E316" s="15" t="s">
        <v>307</v>
      </c>
      <c r="F316" s="15"/>
      <c r="G316" s="15"/>
      <c r="H316" s="15"/>
      <c r="I316" s="15"/>
      <c r="J316" s="18">
        <v>2020</v>
      </c>
      <c r="K316" s="19"/>
      <c r="L316" s="19"/>
      <c r="M316" s="19"/>
      <c r="N316" s="19"/>
      <c r="O316" s="19"/>
      <c r="P316" s="18"/>
      <c r="Q316" s="19">
        <v>2020</v>
      </c>
      <c r="R316" s="19"/>
      <c r="S316" s="19"/>
      <c r="T316" s="19"/>
      <c r="U316" s="19"/>
      <c r="V316" s="19"/>
      <c r="X316" s="15" t="s">
        <v>328</v>
      </c>
      <c r="Y316" s="15" t="s">
        <v>322</v>
      </c>
      <c r="Z316" s="15" t="s">
        <v>347</v>
      </c>
      <c r="AA316" s="15"/>
      <c r="AB316" s="15"/>
      <c r="AC316" s="15"/>
      <c r="AD316" s="15" t="s">
        <v>323</v>
      </c>
      <c r="AE316" s="18"/>
      <c r="AF316" s="19">
        <v>5</v>
      </c>
      <c r="AG316" s="19">
        <v>875</v>
      </c>
      <c r="AH316" s="19">
        <v>501</v>
      </c>
      <c r="AI316" s="19">
        <v>430</v>
      </c>
      <c r="AJ316" s="19">
        <v>430</v>
      </c>
      <c r="AK316" s="18"/>
      <c r="AL316" s="19">
        <v>5</v>
      </c>
      <c r="AM316" s="19">
        <v>955</v>
      </c>
      <c r="AN316" s="19">
        <v>538</v>
      </c>
      <c r="AO316" s="19">
        <v>455</v>
      </c>
      <c r="AP316" s="19">
        <v>455</v>
      </c>
      <c r="AR316" s="15" t="s">
        <v>249</v>
      </c>
      <c r="AS316" s="15" t="s">
        <v>567</v>
      </c>
      <c r="AT316" s="15" t="s">
        <v>681</v>
      </c>
      <c r="AU316" s="15"/>
      <c r="AV316" s="15"/>
      <c r="AW316" s="15"/>
      <c r="AX316" s="15"/>
      <c r="AY316" s="15"/>
      <c r="AZ316" s="18"/>
      <c r="BA316" s="19">
        <v>2.5000000000000001E-2</v>
      </c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9">
        <v>0.05</v>
      </c>
      <c r="BM316" s="18"/>
      <c r="BN316" s="18"/>
      <c r="BO316" s="18"/>
      <c r="BP316" s="18"/>
      <c r="BQ316" s="18"/>
      <c r="BR316" s="18"/>
      <c r="BS316" s="18"/>
      <c r="BT316" s="18"/>
      <c r="BU316" s="18"/>
    </row>
    <row r="317" spans="3:73" x14ac:dyDescent="0.45">
      <c r="C317" s="15" t="s">
        <v>249</v>
      </c>
      <c r="D317" s="15" t="s">
        <v>325</v>
      </c>
      <c r="E317" s="15" t="s">
        <v>308</v>
      </c>
      <c r="F317" s="15"/>
      <c r="G317" s="15"/>
      <c r="H317" s="15"/>
      <c r="I317" s="15"/>
      <c r="J317" s="18">
        <v>2020</v>
      </c>
      <c r="K317" s="19"/>
      <c r="L317" s="19"/>
      <c r="M317" s="19"/>
      <c r="N317" s="19"/>
      <c r="O317" s="19"/>
      <c r="P317" s="18"/>
      <c r="Q317" s="19">
        <v>2020</v>
      </c>
      <c r="R317" s="19"/>
      <c r="S317" s="19"/>
      <c r="T317" s="19"/>
      <c r="U317" s="19"/>
      <c r="V317" s="19"/>
      <c r="X317" s="15" t="s">
        <v>328</v>
      </c>
      <c r="Y317" s="15" t="s">
        <v>322</v>
      </c>
      <c r="Z317" s="15" t="s">
        <v>348</v>
      </c>
      <c r="AA317" s="15"/>
      <c r="AB317" s="15"/>
      <c r="AC317" s="15"/>
      <c r="AD317" s="15" t="s">
        <v>323</v>
      </c>
      <c r="AE317" s="18"/>
      <c r="AF317" s="19">
        <v>5</v>
      </c>
      <c r="AG317" s="19">
        <v>817</v>
      </c>
      <c r="AH317" s="19">
        <v>384</v>
      </c>
      <c r="AI317" s="19">
        <v>323</v>
      </c>
      <c r="AJ317" s="19">
        <v>323</v>
      </c>
      <c r="AK317" s="18"/>
      <c r="AL317" s="19">
        <v>5</v>
      </c>
      <c r="AM317" s="19">
        <v>817</v>
      </c>
      <c r="AN317" s="19">
        <v>404</v>
      </c>
      <c r="AO317" s="19">
        <v>339</v>
      </c>
      <c r="AP317" s="19">
        <v>339</v>
      </c>
      <c r="AR317" s="15" t="s">
        <v>249</v>
      </c>
      <c r="AS317" s="15" t="s">
        <v>567</v>
      </c>
      <c r="AT317" s="15" t="s">
        <v>682</v>
      </c>
      <c r="AU317" s="15"/>
      <c r="AV317" s="15"/>
      <c r="AW317" s="15"/>
      <c r="AX317" s="15"/>
      <c r="AY317" s="15"/>
      <c r="AZ317" s="18"/>
      <c r="BA317" s="19">
        <v>2.5000000000000001E-2</v>
      </c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9">
        <v>0.05</v>
      </c>
      <c r="BM317" s="18"/>
      <c r="BN317" s="18"/>
      <c r="BO317" s="18"/>
      <c r="BP317" s="18"/>
      <c r="BQ317" s="18"/>
      <c r="BR317" s="18"/>
      <c r="BS317" s="18"/>
      <c r="BT317" s="18"/>
      <c r="BU317" s="18"/>
    </row>
    <row r="318" spans="3:73" x14ac:dyDescent="0.45">
      <c r="C318" s="15" t="s">
        <v>249</v>
      </c>
      <c r="D318" s="15" t="s">
        <v>325</v>
      </c>
      <c r="E318" s="15" t="s">
        <v>309</v>
      </c>
      <c r="F318" s="15"/>
      <c r="G318" s="15"/>
      <c r="H318" s="15"/>
      <c r="I318" s="15"/>
      <c r="J318" s="18">
        <v>2020</v>
      </c>
      <c r="K318" s="19"/>
      <c r="L318" s="19"/>
      <c r="M318" s="19"/>
      <c r="N318" s="19"/>
      <c r="O318" s="19"/>
      <c r="P318" s="18"/>
      <c r="Q318" s="19">
        <v>2020</v>
      </c>
      <c r="R318" s="19"/>
      <c r="S318" s="19"/>
      <c r="T318" s="19"/>
      <c r="U318" s="19"/>
      <c r="V318" s="19"/>
      <c r="X318" s="15" t="s">
        <v>328</v>
      </c>
      <c r="Y318" s="15" t="s">
        <v>322</v>
      </c>
      <c r="Z318" s="15" t="s">
        <v>349</v>
      </c>
      <c r="AA318" s="15"/>
      <c r="AB318" s="15"/>
      <c r="AC318" s="15"/>
      <c r="AD318" s="15" t="s">
        <v>323</v>
      </c>
      <c r="AE318" s="18"/>
      <c r="AF318" s="19">
        <v>5</v>
      </c>
      <c r="AG318" s="19">
        <v>350</v>
      </c>
      <c r="AH318" s="19">
        <v>350</v>
      </c>
      <c r="AI318" s="19">
        <v>350</v>
      </c>
      <c r="AJ318" s="19">
        <v>350</v>
      </c>
      <c r="AK318" s="18"/>
      <c r="AL318" s="19">
        <v>5</v>
      </c>
      <c r="AM318" s="19">
        <v>350</v>
      </c>
      <c r="AN318" s="19">
        <v>350</v>
      </c>
      <c r="AO318" s="19">
        <v>350</v>
      </c>
      <c r="AP318" s="19">
        <v>350</v>
      </c>
      <c r="AR318" s="15" t="s">
        <v>249</v>
      </c>
      <c r="AS318" s="15" t="s">
        <v>567</v>
      </c>
      <c r="AT318" s="15" t="s">
        <v>683</v>
      </c>
      <c r="AU318" s="15"/>
      <c r="AV318" s="15"/>
      <c r="AW318" s="15"/>
      <c r="AX318" s="15"/>
      <c r="AY318" s="15"/>
      <c r="AZ318" s="18"/>
      <c r="BA318" s="19">
        <v>2.5000000000000001E-2</v>
      </c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9">
        <v>0.05</v>
      </c>
      <c r="BM318" s="18"/>
      <c r="BN318" s="18"/>
      <c r="BO318" s="18"/>
      <c r="BP318" s="18"/>
      <c r="BQ318" s="18"/>
      <c r="BR318" s="18"/>
      <c r="BS318" s="18"/>
      <c r="BT318" s="18"/>
      <c r="BU318" s="18"/>
    </row>
    <row r="319" spans="3:73" x14ac:dyDescent="0.45">
      <c r="C319" s="15" t="s">
        <v>249</v>
      </c>
      <c r="D319" s="15" t="s">
        <v>325</v>
      </c>
      <c r="E319" s="15" t="s">
        <v>310</v>
      </c>
      <c r="F319" s="15"/>
      <c r="G319" s="15"/>
      <c r="H319" s="15"/>
      <c r="I319" s="15"/>
      <c r="J319" s="18">
        <v>2020</v>
      </c>
      <c r="K319" s="19"/>
      <c r="L319" s="19"/>
      <c r="M319" s="19"/>
      <c r="N319" s="19"/>
      <c r="O319" s="19"/>
      <c r="P319" s="18"/>
      <c r="Q319" s="19">
        <v>2020</v>
      </c>
      <c r="R319" s="19"/>
      <c r="S319" s="19"/>
      <c r="T319" s="19"/>
      <c r="U319" s="19"/>
      <c r="V319" s="19"/>
      <c r="X319" s="15" t="s">
        <v>328</v>
      </c>
      <c r="Y319" s="15" t="s">
        <v>322</v>
      </c>
      <c r="Z319" s="15" t="s">
        <v>350</v>
      </c>
      <c r="AA319" s="15"/>
      <c r="AB319" s="15"/>
      <c r="AC319" s="15"/>
      <c r="AD319" s="15" t="s">
        <v>323</v>
      </c>
      <c r="AE319" s="18"/>
      <c r="AF319" s="19">
        <v>5</v>
      </c>
      <c r="AG319" s="19">
        <v>725.46645000000001</v>
      </c>
      <c r="AH319" s="19">
        <v>448.43493999999998</v>
      </c>
      <c r="AI319" s="19">
        <v>448.43493999999998</v>
      </c>
      <c r="AJ319" s="19">
        <v>448.43493999999998</v>
      </c>
      <c r="AK319" s="18"/>
      <c r="AL319" s="19">
        <v>5</v>
      </c>
      <c r="AM319" s="19">
        <v>725.46645000000001</v>
      </c>
      <c r="AN319" s="19">
        <v>452.37032799999997</v>
      </c>
      <c r="AO319" s="19">
        <v>452.37032799999997</v>
      </c>
      <c r="AP319" s="19">
        <v>452.37032799999997</v>
      </c>
      <c r="AR319" s="15" t="s">
        <v>249</v>
      </c>
      <c r="AS319" s="15" t="s">
        <v>567</v>
      </c>
      <c r="AT319" s="15" t="s">
        <v>684</v>
      </c>
      <c r="AU319" s="15"/>
      <c r="AV319" s="15"/>
      <c r="AW319" s="15"/>
      <c r="AX319" s="15"/>
      <c r="AY319" s="15"/>
      <c r="AZ319" s="18"/>
      <c r="BA319" s="19">
        <v>2.5000000000000001E-2</v>
      </c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9">
        <v>0.05</v>
      </c>
      <c r="BM319" s="18"/>
      <c r="BN319" s="18"/>
      <c r="BO319" s="18"/>
      <c r="BP319" s="18"/>
      <c r="BQ319" s="18"/>
      <c r="BR319" s="18"/>
      <c r="BS319" s="18"/>
      <c r="BT319" s="18"/>
      <c r="BU319" s="18"/>
    </row>
    <row r="320" spans="3:73" x14ac:dyDescent="0.45">
      <c r="C320" s="15" t="s">
        <v>249</v>
      </c>
      <c r="D320" s="15" t="s">
        <v>325</v>
      </c>
      <c r="E320" s="15" t="s">
        <v>311</v>
      </c>
      <c r="F320" s="15"/>
      <c r="G320" s="15"/>
      <c r="H320" s="15"/>
      <c r="I320" s="15"/>
      <c r="J320" s="18">
        <v>2020</v>
      </c>
      <c r="K320" s="19"/>
      <c r="L320" s="19"/>
      <c r="M320" s="19"/>
      <c r="N320" s="19"/>
      <c r="O320" s="19"/>
      <c r="P320" s="18"/>
      <c r="Q320" s="19">
        <v>2020</v>
      </c>
      <c r="R320" s="19"/>
      <c r="S320" s="19"/>
      <c r="T320" s="19"/>
      <c r="U320" s="19"/>
      <c r="V320" s="19"/>
      <c r="X320" s="15" t="s">
        <v>328</v>
      </c>
      <c r="Y320" s="15" t="s">
        <v>322</v>
      </c>
      <c r="Z320" s="15" t="s">
        <v>351</v>
      </c>
      <c r="AA320" s="15"/>
      <c r="AB320" s="15"/>
      <c r="AC320" s="15"/>
      <c r="AD320" s="15" t="s">
        <v>323</v>
      </c>
      <c r="AE320" s="18"/>
      <c r="AF320" s="19">
        <v>5</v>
      </c>
      <c r="AG320" s="19">
        <v>683.90382209999996</v>
      </c>
      <c r="AH320" s="19">
        <v>433.21397739999998</v>
      </c>
      <c r="AI320" s="19">
        <v>430.66590326747001</v>
      </c>
      <c r="AJ320" s="19">
        <v>428.11782913494</v>
      </c>
      <c r="AK320" s="18"/>
      <c r="AL320" s="19">
        <v>5</v>
      </c>
      <c r="AM320" s="19">
        <v>683.90382209999996</v>
      </c>
      <c r="AN320" s="19">
        <v>434.56642060000001</v>
      </c>
      <c r="AO320" s="19">
        <v>432.01834646747</v>
      </c>
      <c r="AP320" s="19">
        <v>429.47027233493998</v>
      </c>
      <c r="AR320" s="15" t="s">
        <v>249</v>
      </c>
      <c r="AS320" s="15" t="s">
        <v>567</v>
      </c>
      <c r="AT320" s="15" t="s">
        <v>685</v>
      </c>
      <c r="AU320" s="15"/>
      <c r="AV320" s="15"/>
      <c r="AW320" s="15"/>
      <c r="AX320" s="15"/>
      <c r="AY320" s="15"/>
      <c r="AZ320" s="18"/>
      <c r="BA320" s="19">
        <v>2.5000000000000001E-2</v>
      </c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9">
        <v>0.05</v>
      </c>
      <c r="BM320" s="18"/>
      <c r="BN320" s="18"/>
      <c r="BO320" s="18"/>
      <c r="BP320" s="18"/>
      <c r="BQ320" s="18"/>
      <c r="BR320" s="18"/>
      <c r="BS320" s="18"/>
      <c r="BT320" s="18"/>
      <c r="BU320" s="18"/>
    </row>
    <row r="321" spans="3:73" x14ac:dyDescent="0.45">
      <c r="C321" s="15" t="s">
        <v>249</v>
      </c>
      <c r="D321" s="15" t="s">
        <v>325</v>
      </c>
      <c r="E321" s="15" t="s">
        <v>312</v>
      </c>
      <c r="F321" s="15"/>
      <c r="G321" s="15"/>
      <c r="H321" s="15"/>
      <c r="I321" s="15"/>
      <c r="J321" s="18">
        <v>2020</v>
      </c>
      <c r="K321" s="19"/>
      <c r="L321" s="19"/>
      <c r="M321" s="19"/>
      <c r="N321" s="19"/>
      <c r="O321" s="19"/>
      <c r="P321" s="18"/>
      <c r="Q321" s="19">
        <v>2020</v>
      </c>
      <c r="R321" s="19"/>
      <c r="S321" s="19"/>
      <c r="T321" s="19"/>
      <c r="U321" s="19"/>
      <c r="V321" s="19"/>
      <c r="X321" s="15" t="s">
        <v>328</v>
      </c>
      <c r="Y321" s="15" t="s">
        <v>322</v>
      </c>
      <c r="Z321" s="15" t="s">
        <v>352</v>
      </c>
      <c r="AA321" s="15"/>
      <c r="AB321" s="15"/>
      <c r="AC321" s="15"/>
      <c r="AD321" s="15" t="s">
        <v>323</v>
      </c>
      <c r="AE321" s="18"/>
      <c r="AF321" s="19">
        <v>5</v>
      </c>
      <c r="AG321" s="19">
        <v>437</v>
      </c>
      <c r="AH321" s="19">
        <v>437</v>
      </c>
      <c r="AI321" s="19">
        <v>437</v>
      </c>
      <c r="AJ321" s="19">
        <v>437</v>
      </c>
      <c r="AK321" s="18"/>
      <c r="AL321" s="19">
        <v>5</v>
      </c>
      <c r="AM321" s="19">
        <v>437</v>
      </c>
      <c r="AN321" s="19">
        <v>437</v>
      </c>
      <c r="AO321" s="19">
        <v>437</v>
      </c>
      <c r="AP321" s="19">
        <v>437</v>
      </c>
      <c r="AR321" s="15" t="s">
        <v>249</v>
      </c>
      <c r="AS321" s="15" t="s">
        <v>567</v>
      </c>
      <c r="AT321" s="15" t="s">
        <v>686</v>
      </c>
      <c r="AU321" s="15"/>
      <c r="AV321" s="15"/>
      <c r="AW321" s="15"/>
      <c r="AX321" s="15"/>
      <c r="AY321" s="15"/>
      <c r="AZ321" s="18"/>
      <c r="BA321" s="19">
        <v>2.5000000000000001E-2</v>
      </c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9">
        <v>0.05</v>
      </c>
      <c r="BM321" s="18"/>
      <c r="BN321" s="18"/>
      <c r="BO321" s="18"/>
      <c r="BP321" s="18"/>
      <c r="BQ321" s="18"/>
      <c r="BR321" s="18"/>
      <c r="BS321" s="18"/>
      <c r="BT321" s="18"/>
      <c r="BU321" s="18"/>
    </row>
    <row r="322" spans="3:73" x14ac:dyDescent="0.45">
      <c r="C322" s="15" t="s">
        <v>249</v>
      </c>
      <c r="D322" s="15" t="s">
        <v>325</v>
      </c>
      <c r="E322" s="15" t="s">
        <v>313</v>
      </c>
      <c r="F322" s="15"/>
      <c r="G322" s="15"/>
      <c r="H322" s="15"/>
      <c r="I322" s="15"/>
      <c r="J322" s="18">
        <v>2020</v>
      </c>
      <c r="K322" s="19"/>
      <c r="L322" s="19"/>
      <c r="M322" s="19"/>
      <c r="N322" s="19"/>
      <c r="O322" s="19"/>
      <c r="P322" s="18"/>
      <c r="Q322" s="19">
        <v>2020</v>
      </c>
      <c r="R322" s="19"/>
      <c r="S322" s="19"/>
      <c r="T322" s="19"/>
      <c r="U322" s="19"/>
      <c r="V322" s="19"/>
      <c r="X322" s="15" t="s">
        <v>328</v>
      </c>
      <c r="Y322" s="15" t="s">
        <v>322</v>
      </c>
      <c r="Z322" s="15" t="s">
        <v>353</v>
      </c>
      <c r="AA322" s="15"/>
      <c r="AB322" s="15"/>
      <c r="AC322" s="15"/>
      <c r="AD322" s="15" t="s">
        <v>323</v>
      </c>
      <c r="AE322" s="18"/>
      <c r="AF322" s="19">
        <v>5</v>
      </c>
      <c r="AG322" s="19">
        <v>54.284338031358203</v>
      </c>
      <c r="AH322" s="19">
        <v>34.9977333371165</v>
      </c>
      <c r="AI322" s="19">
        <v>34.9977333371165</v>
      </c>
      <c r="AJ322" s="19">
        <v>34.9977333371165</v>
      </c>
      <c r="AK322" s="18"/>
      <c r="AL322" s="19">
        <v>5</v>
      </c>
      <c r="AM322" s="19">
        <v>54.284338031358203</v>
      </c>
      <c r="AN322" s="19">
        <v>38.007863960648301</v>
      </c>
      <c r="AO322" s="19">
        <v>38.007863960648301</v>
      </c>
      <c r="AP322" s="19">
        <v>38.007863960648301</v>
      </c>
      <c r="AR322" s="15" t="s">
        <v>249</v>
      </c>
      <c r="AS322" s="15" t="s">
        <v>567</v>
      </c>
      <c r="AT322" s="15" t="s">
        <v>687</v>
      </c>
      <c r="AU322" s="15"/>
      <c r="AV322" s="15"/>
      <c r="AW322" s="15"/>
      <c r="AX322" s="15"/>
      <c r="AY322" s="15"/>
      <c r="AZ322" s="18"/>
      <c r="BA322" s="19">
        <v>2.5000000000000001E-2</v>
      </c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9">
        <v>0.05</v>
      </c>
      <c r="BM322" s="18"/>
      <c r="BN322" s="18"/>
      <c r="BO322" s="18"/>
      <c r="BP322" s="18"/>
      <c r="BQ322" s="18"/>
      <c r="BR322" s="18"/>
      <c r="BS322" s="18"/>
      <c r="BT322" s="18"/>
      <c r="BU322" s="18"/>
    </row>
    <row r="323" spans="3:73" x14ac:dyDescent="0.45">
      <c r="C323" s="15" t="s">
        <v>249</v>
      </c>
      <c r="D323" s="15" t="s">
        <v>325</v>
      </c>
      <c r="E323" s="15" t="s">
        <v>314</v>
      </c>
      <c r="F323" s="15"/>
      <c r="G323" s="15"/>
      <c r="H323" s="15"/>
      <c r="I323" s="15"/>
      <c r="J323" s="18">
        <v>2020</v>
      </c>
      <c r="K323" s="19"/>
      <c r="L323" s="19"/>
      <c r="M323" s="19"/>
      <c r="N323" s="19"/>
      <c r="O323" s="19"/>
      <c r="P323" s="18"/>
      <c r="Q323" s="19">
        <v>2020</v>
      </c>
      <c r="R323" s="19"/>
      <c r="S323" s="19"/>
      <c r="T323" s="19"/>
      <c r="U323" s="19"/>
      <c r="V323" s="19"/>
      <c r="X323" s="15" t="s">
        <v>328</v>
      </c>
      <c r="Y323" s="15" t="s">
        <v>322</v>
      </c>
      <c r="Z323" s="15" t="s">
        <v>354</v>
      </c>
      <c r="AA323" s="15"/>
      <c r="AB323" s="15"/>
      <c r="AC323" s="15"/>
      <c r="AD323" s="15" t="s">
        <v>323</v>
      </c>
      <c r="AE323" s="18"/>
      <c r="AF323" s="19">
        <v>5</v>
      </c>
      <c r="AG323" s="19">
        <v>74.5</v>
      </c>
      <c r="AH323" s="19">
        <v>48.563295206247901</v>
      </c>
      <c r="AI323" s="19">
        <v>44.324333170103301</v>
      </c>
      <c r="AJ323" s="19">
        <v>41.620301814681604</v>
      </c>
      <c r="AK323" s="18"/>
      <c r="AL323" s="19">
        <v>5</v>
      </c>
      <c r="AM323" s="19">
        <v>74.5</v>
      </c>
      <c r="AN323" s="19">
        <v>43.431586824558998</v>
      </c>
      <c r="AO323" s="19">
        <v>41.089002541426503</v>
      </c>
      <c r="AP323" s="19">
        <v>39.594669423956603</v>
      </c>
      <c r="AR323" s="15" t="s">
        <v>249</v>
      </c>
      <c r="AS323" s="15" t="s">
        <v>567</v>
      </c>
      <c r="AT323" s="15" t="s">
        <v>688</v>
      </c>
      <c r="AU323" s="15"/>
      <c r="AV323" s="15"/>
      <c r="AW323" s="15"/>
      <c r="AX323" s="15"/>
      <c r="AY323" s="15"/>
      <c r="AZ323" s="18"/>
      <c r="BA323" s="19">
        <v>2.5000000000000001E-2</v>
      </c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9">
        <v>0.05</v>
      </c>
      <c r="BM323" s="18"/>
      <c r="BN323" s="18"/>
      <c r="BO323" s="18"/>
      <c r="BP323" s="18"/>
      <c r="BQ323" s="18"/>
      <c r="BR323" s="18"/>
      <c r="BS323" s="18"/>
      <c r="BT323" s="18"/>
      <c r="BU323" s="18"/>
    </row>
    <row r="324" spans="3:73" x14ac:dyDescent="0.45">
      <c r="C324" s="15" t="s">
        <v>249</v>
      </c>
      <c r="D324" s="15" t="s">
        <v>325</v>
      </c>
      <c r="E324" s="15" t="s">
        <v>315</v>
      </c>
      <c r="F324" s="15"/>
      <c r="G324" s="15"/>
      <c r="H324" s="15"/>
      <c r="I324" s="15"/>
      <c r="J324" s="18">
        <v>2020</v>
      </c>
      <c r="K324" s="19"/>
      <c r="L324" s="19"/>
      <c r="M324" s="19"/>
      <c r="N324" s="19"/>
      <c r="O324" s="19"/>
      <c r="P324" s="18"/>
      <c r="Q324" s="19">
        <v>2020</v>
      </c>
      <c r="R324" s="19"/>
      <c r="S324" s="19"/>
      <c r="T324" s="19"/>
      <c r="U324" s="19"/>
      <c r="V324" s="19"/>
      <c r="X324" s="15" t="s">
        <v>328</v>
      </c>
      <c r="Y324" s="15" t="s">
        <v>322</v>
      </c>
      <c r="Z324" s="15" t="s">
        <v>355</v>
      </c>
      <c r="AA324" s="15"/>
      <c r="AB324" s="15"/>
      <c r="AC324" s="15"/>
      <c r="AD324" s="15" t="s">
        <v>323</v>
      </c>
      <c r="AE324" s="18"/>
      <c r="AF324" s="19">
        <v>5</v>
      </c>
      <c r="AG324" s="19">
        <v>46.5950594809661</v>
      </c>
      <c r="AH324" s="19">
        <v>45.638562658776102</v>
      </c>
      <c r="AI324" s="19">
        <v>45.775205061946103</v>
      </c>
      <c r="AJ324" s="19">
        <v>45.911847465116097</v>
      </c>
      <c r="AK324" s="18"/>
      <c r="AL324" s="19">
        <v>5</v>
      </c>
      <c r="AM324" s="19">
        <v>46.5950594809661</v>
      </c>
      <c r="AN324" s="19">
        <v>45.638562658776102</v>
      </c>
      <c r="AO324" s="19">
        <v>45.775205061946103</v>
      </c>
      <c r="AP324" s="19">
        <v>45.911847465116097</v>
      </c>
      <c r="AR324" s="15" t="s">
        <v>249</v>
      </c>
      <c r="AS324" s="15" t="s">
        <v>567</v>
      </c>
      <c r="AT324" s="15" t="s">
        <v>689</v>
      </c>
      <c r="AU324" s="15"/>
      <c r="AV324" s="15"/>
      <c r="AW324" s="15"/>
      <c r="AX324" s="15"/>
      <c r="AY324" s="15"/>
      <c r="AZ324" s="18"/>
      <c r="BA324" s="19">
        <v>2.5000000000000001E-2</v>
      </c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9">
        <v>0.05</v>
      </c>
      <c r="BM324" s="18"/>
      <c r="BN324" s="18"/>
      <c r="BO324" s="18"/>
      <c r="BP324" s="18"/>
      <c r="BQ324" s="18"/>
      <c r="BR324" s="18"/>
      <c r="BS324" s="18"/>
      <c r="BT324" s="18"/>
      <c r="BU324" s="18"/>
    </row>
    <row r="325" spans="3:73" x14ac:dyDescent="0.45">
      <c r="C325" s="15" t="s">
        <v>249</v>
      </c>
      <c r="D325" s="15" t="s">
        <v>325</v>
      </c>
      <c r="E325" s="15" t="s">
        <v>316</v>
      </c>
      <c r="F325" s="15"/>
      <c r="G325" s="15"/>
      <c r="H325" s="15"/>
      <c r="I325" s="15"/>
      <c r="J325" s="18">
        <v>2020</v>
      </c>
      <c r="K325" s="19"/>
      <c r="L325" s="19"/>
      <c r="M325" s="19"/>
      <c r="N325" s="19"/>
      <c r="O325" s="19"/>
      <c r="P325" s="18"/>
      <c r="Q325" s="19">
        <v>2020</v>
      </c>
      <c r="R325" s="19"/>
      <c r="S325" s="19"/>
      <c r="T325" s="19"/>
      <c r="U325" s="19"/>
      <c r="V325" s="19"/>
      <c r="X325" s="15" t="s">
        <v>328</v>
      </c>
      <c r="Y325" s="15" t="s">
        <v>322</v>
      </c>
      <c r="Z325" s="15" t="s">
        <v>356</v>
      </c>
      <c r="AA325" s="15"/>
      <c r="AB325" s="15"/>
      <c r="AC325" s="15"/>
      <c r="AD325" s="15" t="s">
        <v>323</v>
      </c>
      <c r="AE325" s="18"/>
      <c r="AF325" s="19">
        <v>5</v>
      </c>
      <c r="AG325" s="19">
        <v>38.4943273070229</v>
      </c>
      <c r="AH325" s="19">
        <v>37.334859617052302</v>
      </c>
      <c r="AI325" s="19">
        <v>37.334859617052302</v>
      </c>
      <c r="AJ325" s="19">
        <v>37.334859617052302</v>
      </c>
      <c r="AK325" s="18"/>
      <c r="AL325" s="19">
        <v>5</v>
      </c>
      <c r="AM325" s="19">
        <v>38.4943273070229</v>
      </c>
      <c r="AN325" s="19">
        <v>37.334859617052302</v>
      </c>
      <c r="AO325" s="19">
        <v>37.334859617052302</v>
      </c>
      <c r="AP325" s="19">
        <v>37.334859617052302</v>
      </c>
      <c r="AR325" s="15" t="s">
        <v>249</v>
      </c>
      <c r="AS325" s="15" t="s">
        <v>567</v>
      </c>
      <c r="AT325" s="15" t="s">
        <v>690</v>
      </c>
      <c r="AU325" s="15"/>
      <c r="AV325" s="15"/>
      <c r="AW325" s="15"/>
      <c r="AX325" s="15"/>
      <c r="AY325" s="15"/>
      <c r="AZ325" s="18"/>
      <c r="BA325" s="19">
        <v>2.5000000000000001E-2</v>
      </c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9">
        <v>0.05</v>
      </c>
      <c r="BM325" s="18"/>
      <c r="BN325" s="18"/>
      <c r="BO325" s="18"/>
      <c r="BP325" s="18"/>
      <c r="BQ325" s="18"/>
      <c r="BR325" s="18"/>
      <c r="BS325" s="18"/>
      <c r="BT325" s="18"/>
      <c r="BU325" s="18"/>
    </row>
    <row r="326" spans="3:73" x14ac:dyDescent="0.45">
      <c r="C326" s="15" t="s">
        <v>249</v>
      </c>
      <c r="D326" s="15" t="s">
        <v>325</v>
      </c>
      <c r="E326" s="15" t="s">
        <v>317</v>
      </c>
      <c r="F326" s="15"/>
      <c r="G326" s="15"/>
      <c r="H326" s="15"/>
      <c r="I326" s="15"/>
      <c r="J326" s="18">
        <v>2020</v>
      </c>
      <c r="K326" s="19"/>
      <c r="L326" s="19"/>
      <c r="M326" s="19"/>
      <c r="N326" s="19"/>
      <c r="O326" s="19"/>
      <c r="P326" s="18"/>
      <c r="Q326" s="19">
        <v>2020</v>
      </c>
      <c r="R326" s="19"/>
      <c r="S326" s="19"/>
      <c r="T326" s="19"/>
      <c r="U326" s="19"/>
      <c r="V326" s="19"/>
      <c r="X326" s="15" t="s">
        <v>328</v>
      </c>
      <c r="Y326" s="15" t="s">
        <v>322</v>
      </c>
      <c r="Z326" s="15" t="s">
        <v>357</v>
      </c>
      <c r="AA326" s="15"/>
      <c r="AB326" s="15"/>
      <c r="AC326" s="15"/>
      <c r="AD326" s="15" t="s">
        <v>323</v>
      </c>
      <c r="AE326" s="18"/>
      <c r="AF326" s="19">
        <v>5</v>
      </c>
      <c r="AG326" s="19">
        <v>40.982161028207202</v>
      </c>
      <c r="AH326" s="19">
        <v>42.5384456242151</v>
      </c>
      <c r="AI326" s="19">
        <v>43.8353494542216</v>
      </c>
      <c r="AJ326" s="19">
        <v>44.224420603223599</v>
      </c>
      <c r="AK326" s="18"/>
      <c r="AL326" s="19">
        <v>5</v>
      </c>
      <c r="AM326" s="19">
        <v>40.982161028207202</v>
      </c>
      <c r="AN326" s="19">
        <v>42.5384456242151</v>
      </c>
      <c r="AO326" s="19">
        <v>43.8353494542216</v>
      </c>
      <c r="AP326" s="19">
        <v>44.224420603223599</v>
      </c>
      <c r="AR326" s="15" t="s">
        <v>249</v>
      </c>
      <c r="AS326" s="15" t="s">
        <v>567</v>
      </c>
      <c r="AT326" s="15" t="s">
        <v>691</v>
      </c>
      <c r="AU326" s="15"/>
      <c r="AV326" s="15"/>
      <c r="AW326" s="15"/>
      <c r="AX326" s="15"/>
      <c r="AY326" s="15"/>
      <c r="AZ326" s="18"/>
      <c r="BA326" s="19">
        <v>2.5000000000000001E-2</v>
      </c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9">
        <v>0.05</v>
      </c>
      <c r="BM326" s="18"/>
      <c r="BN326" s="18"/>
      <c r="BO326" s="18"/>
      <c r="BP326" s="18"/>
      <c r="BQ326" s="18"/>
      <c r="BR326" s="18"/>
      <c r="BS326" s="18"/>
      <c r="BT326" s="18"/>
      <c r="BU326" s="18"/>
    </row>
    <row r="327" spans="3:73" x14ac:dyDescent="0.45">
      <c r="C327" s="15" t="s">
        <v>249</v>
      </c>
      <c r="D327" s="15" t="s">
        <v>326</v>
      </c>
      <c r="E327" s="15" t="s">
        <v>251</v>
      </c>
      <c r="F327" s="15"/>
      <c r="G327" s="15"/>
      <c r="H327" s="15"/>
      <c r="I327" s="15"/>
      <c r="J327" s="18"/>
      <c r="K327" s="19"/>
      <c r="L327" s="19">
        <v>20</v>
      </c>
      <c r="M327" s="19"/>
      <c r="N327" s="19"/>
      <c r="O327" s="19"/>
      <c r="P327" s="18"/>
      <c r="Q327" s="19"/>
      <c r="R327" s="19">
        <v>20</v>
      </c>
      <c r="S327" s="19"/>
      <c r="T327" s="19"/>
      <c r="U327" s="19"/>
      <c r="V327" s="19"/>
      <c r="X327" s="15" t="s">
        <v>328</v>
      </c>
      <c r="Y327" s="15" t="s">
        <v>322</v>
      </c>
      <c r="Z327" s="15" t="s">
        <v>358</v>
      </c>
      <c r="AA327" s="15"/>
      <c r="AB327" s="15"/>
      <c r="AC327" s="15"/>
      <c r="AD327" s="15" t="s">
        <v>323</v>
      </c>
      <c r="AE327" s="18"/>
      <c r="AF327" s="19">
        <v>5</v>
      </c>
      <c r="AG327" s="19">
        <v>33.857253063779503</v>
      </c>
      <c r="AH327" s="19">
        <v>35.211088115724998</v>
      </c>
      <c r="AI327" s="19">
        <v>36.291880804252898</v>
      </c>
      <c r="AJ327" s="19">
        <v>36.519416107100902</v>
      </c>
      <c r="AK327" s="18"/>
      <c r="AL327" s="19">
        <v>5</v>
      </c>
      <c r="AM327" s="19">
        <v>33.857253063779503</v>
      </c>
      <c r="AN327" s="19">
        <v>35.211088115724998</v>
      </c>
      <c r="AO327" s="19">
        <v>36.291880804252898</v>
      </c>
      <c r="AP327" s="19">
        <v>36.519416107100902</v>
      </c>
      <c r="AR327" s="15" t="s">
        <v>249</v>
      </c>
      <c r="AS327" s="15" t="s">
        <v>567</v>
      </c>
      <c r="AT327" s="15" t="s">
        <v>692</v>
      </c>
      <c r="AU327" s="15"/>
      <c r="AV327" s="15"/>
      <c r="AW327" s="15"/>
      <c r="AX327" s="15"/>
      <c r="AY327" s="15"/>
      <c r="AZ327" s="18"/>
      <c r="BA327" s="19">
        <v>2.5000000000000001E-2</v>
      </c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9">
        <v>0.05</v>
      </c>
      <c r="BM327" s="18"/>
      <c r="BN327" s="18"/>
      <c r="BO327" s="18"/>
      <c r="BP327" s="18"/>
      <c r="BQ327" s="18"/>
      <c r="BR327" s="18"/>
      <c r="BS327" s="18"/>
      <c r="BT327" s="18"/>
      <c r="BU327" s="18"/>
    </row>
    <row r="328" spans="3:73" x14ac:dyDescent="0.45">
      <c r="C328" s="15" t="s">
        <v>249</v>
      </c>
      <c r="D328" s="15" t="s">
        <v>326</v>
      </c>
      <c r="E328" s="15" t="s">
        <v>253</v>
      </c>
      <c r="F328" s="15"/>
      <c r="G328" s="15"/>
      <c r="H328" s="15"/>
      <c r="I328" s="15"/>
      <c r="J328" s="18"/>
      <c r="K328" s="19"/>
      <c r="L328" s="19">
        <v>20</v>
      </c>
      <c r="M328" s="19"/>
      <c r="N328" s="19"/>
      <c r="O328" s="19"/>
      <c r="P328" s="18"/>
      <c r="Q328" s="19"/>
      <c r="R328" s="19">
        <v>20</v>
      </c>
      <c r="S328" s="19"/>
      <c r="T328" s="19"/>
      <c r="U328" s="19"/>
      <c r="V328" s="19"/>
      <c r="X328" s="15" t="s">
        <v>328</v>
      </c>
      <c r="Y328" s="15" t="s">
        <v>322</v>
      </c>
      <c r="Z328" s="15" t="s">
        <v>359</v>
      </c>
      <c r="AA328" s="15"/>
      <c r="AB328" s="15"/>
      <c r="AC328" s="15"/>
      <c r="AD328" s="15" t="s">
        <v>323</v>
      </c>
      <c r="AE328" s="18"/>
      <c r="AF328" s="19">
        <v>5</v>
      </c>
      <c r="AG328" s="19">
        <v>65.388068925916897</v>
      </c>
      <c r="AH328" s="19">
        <v>47.454239946544</v>
      </c>
      <c r="AI328" s="19">
        <v>47.444715718402698</v>
      </c>
      <c r="AJ328" s="19">
        <v>47.5675932379595</v>
      </c>
      <c r="AK328" s="18"/>
      <c r="AL328" s="19">
        <v>5</v>
      </c>
      <c r="AM328" s="19">
        <v>65.388068925916897</v>
      </c>
      <c r="AN328" s="19">
        <v>58.910375541589403</v>
      </c>
      <c r="AO328" s="19">
        <v>50.8408794832837</v>
      </c>
      <c r="AP328" s="19">
        <v>50.141100983333601</v>
      </c>
      <c r="AR328" s="15" t="s">
        <v>249</v>
      </c>
      <c r="AS328" s="15" t="s">
        <v>567</v>
      </c>
      <c r="AT328" s="15" t="s">
        <v>693</v>
      </c>
      <c r="AU328" s="15"/>
      <c r="AV328" s="15"/>
      <c r="AW328" s="15"/>
      <c r="AX328" s="15"/>
      <c r="AY328" s="15"/>
      <c r="AZ328" s="18"/>
      <c r="BA328" s="19">
        <v>2.5000000000000001E-2</v>
      </c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9">
        <v>0.05</v>
      </c>
      <c r="BM328" s="18"/>
      <c r="BN328" s="18"/>
      <c r="BO328" s="18"/>
      <c r="BP328" s="18"/>
      <c r="BQ328" s="18"/>
      <c r="BR328" s="18"/>
      <c r="BS328" s="18"/>
      <c r="BT328" s="18"/>
      <c r="BU328" s="18"/>
    </row>
    <row r="329" spans="3:73" x14ac:dyDescent="0.45">
      <c r="C329" s="15" t="s">
        <v>249</v>
      </c>
      <c r="D329" s="15" t="s">
        <v>326</v>
      </c>
      <c r="E329" s="15" t="s">
        <v>254</v>
      </c>
      <c r="F329" s="15"/>
      <c r="G329" s="15"/>
      <c r="H329" s="15"/>
      <c r="I329" s="15"/>
      <c r="J329" s="18"/>
      <c r="K329" s="19"/>
      <c r="L329" s="19">
        <v>17.123290000000001</v>
      </c>
      <c r="M329" s="19"/>
      <c r="N329" s="19"/>
      <c r="O329" s="19"/>
      <c r="P329" s="18"/>
      <c r="Q329" s="19"/>
      <c r="R329" s="19">
        <v>17.123290000000001</v>
      </c>
      <c r="S329" s="19"/>
      <c r="T329" s="19"/>
      <c r="U329" s="19"/>
      <c r="V329" s="19"/>
      <c r="X329" s="15" t="s">
        <v>328</v>
      </c>
      <c r="Y329" s="15" t="s">
        <v>322</v>
      </c>
      <c r="Z329" s="15" t="s">
        <v>360</v>
      </c>
      <c r="AA329" s="15"/>
      <c r="AB329" s="15"/>
      <c r="AC329" s="15"/>
      <c r="AD329" s="15" t="s">
        <v>323</v>
      </c>
      <c r="AE329" s="18"/>
      <c r="AF329" s="19">
        <v>5</v>
      </c>
      <c r="AG329" s="19">
        <v>54.020099024374801</v>
      </c>
      <c r="AH329" s="19">
        <v>39.280124125441603</v>
      </c>
      <c r="AI329" s="19">
        <v>39.280124125441603</v>
      </c>
      <c r="AJ329" s="19">
        <v>39.280124125441603</v>
      </c>
      <c r="AK329" s="18"/>
      <c r="AL329" s="19">
        <v>5</v>
      </c>
      <c r="AM329" s="19">
        <v>54.020099024374801</v>
      </c>
      <c r="AN329" s="19">
        <v>48.762910672611802</v>
      </c>
      <c r="AO329" s="19">
        <v>42.0918542035946</v>
      </c>
      <c r="AP329" s="19">
        <v>41.405262203594603</v>
      </c>
      <c r="AR329" s="15" t="s">
        <v>249</v>
      </c>
      <c r="AS329" s="15" t="s">
        <v>567</v>
      </c>
      <c r="AT329" s="15" t="s">
        <v>694</v>
      </c>
      <c r="AU329" s="15"/>
      <c r="AV329" s="15"/>
      <c r="AW329" s="15"/>
      <c r="AX329" s="15"/>
      <c r="AY329" s="15"/>
      <c r="AZ329" s="18"/>
      <c r="BA329" s="19">
        <v>2.5000000000000001E-2</v>
      </c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9">
        <v>0.05</v>
      </c>
      <c r="BM329" s="18"/>
      <c r="BN329" s="18"/>
      <c r="BO329" s="18"/>
      <c r="BP329" s="18"/>
      <c r="BQ329" s="18"/>
      <c r="BR329" s="18"/>
      <c r="BS329" s="18"/>
      <c r="BT329" s="18"/>
      <c r="BU329" s="18"/>
    </row>
    <row r="330" spans="3:73" x14ac:dyDescent="0.45">
      <c r="C330" s="15" t="s">
        <v>249</v>
      </c>
      <c r="D330" s="15" t="s">
        <v>326</v>
      </c>
      <c r="E330" s="15" t="s">
        <v>255</v>
      </c>
      <c r="F330" s="15"/>
      <c r="G330" s="15"/>
      <c r="H330" s="15"/>
      <c r="I330" s="15"/>
      <c r="J330" s="18"/>
      <c r="K330" s="19"/>
      <c r="L330" s="19">
        <v>10</v>
      </c>
      <c r="M330" s="19"/>
      <c r="N330" s="19"/>
      <c r="O330" s="19"/>
      <c r="P330" s="18"/>
      <c r="Q330" s="19"/>
      <c r="R330" s="19">
        <v>10</v>
      </c>
      <c r="S330" s="19"/>
      <c r="T330" s="19"/>
      <c r="U330" s="19"/>
      <c r="V330" s="19"/>
      <c r="X330" s="15" t="s">
        <v>328</v>
      </c>
      <c r="Y330" s="15" t="s">
        <v>322</v>
      </c>
      <c r="Z330" s="15" t="s">
        <v>361</v>
      </c>
      <c r="AA330" s="15"/>
      <c r="AB330" s="15"/>
      <c r="AC330" s="15"/>
      <c r="AD330" s="15" t="s">
        <v>323</v>
      </c>
      <c r="AE330" s="18"/>
      <c r="AF330" s="19">
        <v>5</v>
      </c>
      <c r="AG330" s="19">
        <v>12.8620998869352</v>
      </c>
      <c r="AH330" s="19">
        <v>11.1739492767749</v>
      </c>
      <c r="AI330" s="19">
        <v>11.1739492767749</v>
      </c>
      <c r="AJ330" s="19">
        <v>11.0935611524816</v>
      </c>
      <c r="AK330" s="18"/>
      <c r="AL330" s="19">
        <v>5</v>
      </c>
      <c r="AM330" s="19">
        <v>12.8620998869352</v>
      </c>
      <c r="AN330" s="19">
        <v>11.1739492767749</v>
      </c>
      <c r="AO330" s="19">
        <v>11.1739492767749</v>
      </c>
      <c r="AP330" s="19">
        <v>11.0935611524816</v>
      </c>
      <c r="AR330" s="15" t="s">
        <v>249</v>
      </c>
      <c r="AS330" s="15" t="s">
        <v>567</v>
      </c>
      <c r="AT330" s="15" t="s">
        <v>695</v>
      </c>
      <c r="AU330" s="15"/>
      <c r="AV330" s="15"/>
      <c r="AW330" s="15"/>
      <c r="AX330" s="15"/>
      <c r="AY330" s="15"/>
      <c r="AZ330" s="18"/>
      <c r="BA330" s="19">
        <v>2.5000000000000001E-2</v>
      </c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9">
        <v>0.05</v>
      </c>
      <c r="BM330" s="18"/>
      <c r="BN330" s="18"/>
      <c r="BO330" s="18"/>
      <c r="BP330" s="18"/>
      <c r="BQ330" s="18"/>
      <c r="BR330" s="18"/>
      <c r="BS330" s="18"/>
      <c r="BT330" s="18"/>
      <c r="BU330" s="18"/>
    </row>
    <row r="331" spans="3:73" x14ac:dyDescent="0.45">
      <c r="C331" s="15" t="s">
        <v>249</v>
      </c>
      <c r="D331" s="15" t="s">
        <v>326</v>
      </c>
      <c r="E331" s="15" t="s">
        <v>256</v>
      </c>
      <c r="F331" s="15"/>
      <c r="G331" s="15"/>
      <c r="H331" s="15"/>
      <c r="I331" s="15"/>
      <c r="J331" s="18"/>
      <c r="K331" s="19"/>
      <c r="L331" s="19">
        <v>10</v>
      </c>
      <c r="M331" s="19"/>
      <c r="N331" s="19"/>
      <c r="O331" s="19"/>
      <c r="P331" s="18"/>
      <c r="Q331" s="19"/>
      <c r="R331" s="19">
        <v>10</v>
      </c>
      <c r="S331" s="19"/>
      <c r="T331" s="19"/>
      <c r="U331" s="19"/>
      <c r="V331" s="19"/>
      <c r="X331" s="15" t="s">
        <v>328</v>
      </c>
      <c r="Y331" s="15" t="s">
        <v>322</v>
      </c>
      <c r="Z331" s="15" t="s">
        <v>362</v>
      </c>
      <c r="AA331" s="15"/>
      <c r="AB331" s="15"/>
      <c r="AC331" s="15"/>
      <c r="AD331" s="15" t="s">
        <v>323</v>
      </c>
      <c r="AE331" s="18"/>
      <c r="AF331" s="19">
        <v>5</v>
      </c>
      <c r="AG331" s="19">
        <v>10</v>
      </c>
      <c r="AH331" s="19">
        <v>10.2307692307692</v>
      </c>
      <c r="AI331" s="19">
        <v>10.538461538461499</v>
      </c>
      <c r="AJ331" s="19">
        <v>10.7692307692308</v>
      </c>
      <c r="AK331" s="18"/>
      <c r="AL331" s="19">
        <v>5</v>
      </c>
      <c r="AM331" s="19">
        <v>10</v>
      </c>
      <c r="AN331" s="19">
        <v>10.2307692307692</v>
      </c>
      <c r="AO331" s="19">
        <v>10.538461538461499</v>
      </c>
      <c r="AP331" s="19">
        <v>10.7692307692308</v>
      </c>
      <c r="AR331" s="15" t="s">
        <v>249</v>
      </c>
      <c r="AS331" s="15" t="s">
        <v>567</v>
      </c>
      <c r="AT331" s="15" t="s">
        <v>696</v>
      </c>
      <c r="AU331" s="15"/>
      <c r="AV331" s="15"/>
      <c r="AW331" s="15"/>
      <c r="AX331" s="15"/>
      <c r="AY331" s="15"/>
      <c r="AZ331" s="18"/>
      <c r="BA331" s="19">
        <v>2.5000000000000001E-2</v>
      </c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9">
        <v>0.05</v>
      </c>
      <c r="BM331" s="18"/>
      <c r="BN331" s="18"/>
      <c r="BO331" s="18"/>
      <c r="BP331" s="18"/>
      <c r="BQ331" s="18"/>
      <c r="BR331" s="18"/>
      <c r="BS331" s="18"/>
      <c r="BT331" s="18"/>
      <c r="BU331" s="18"/>
    </row>
    <row r="332" spans="3:73" x14ac:dyDescent="0.45">
      <c r="C332" s="15" t="s">
        <v>249</v>
      </c>
      <c r="D332" s="15" t="s">
        <v>326</v>
      </c>
      <c r="E332" s="15" t="s">
        <v>257</v>
      </c>
      <c r="F332" s="15"/>
      <c r="G332" s="15"/>
      <c r="H332" s="15"/>
      <c r="I332" s="15"/>
      <c r="J332" s="18"/>
      <c r="K332" s="18"/>
      <c r="L332" s="19">
        <v>22</v>
      </c>
      <c r="M332" s="18"/>
      <c r="N332" s="18"/>
      <c r="O332" s="18"/>
      <c r="P332" s="18"/>
      <c r="Q332" s="18"/>
      <c r="R332" s="19">
        <v>22</v>
      </c>
      <c r="S332" s="18"/>
      <c r="T332" s="18"/>
      <c r="U332" s="18"/>
      <c r="V332" s="18"/>
      <c r="X332" s="15" t="s">
        <v>328</v>
      </c>
      <c r="Y332" s="15" t="s">
        <v>324</v>
      </c>
      <c r="Z332" s="15" t="s">
        <v>330</v>
      </c>
      <c r="AA332" s="15"/>
      <c r="AB332" s="15"/>
      <c r="AC332" s="15"/>
      <c r="AD332" s="15" t="s">
        <v>323</v>
      </c>
      <c r="AE332" s="18"/>
      <c r="AF332" s="18"/>
      <c r="AG332" s="19">
        <v>1.3646746492609301</v>
      </c>
      <c r="AH332" s="18"/>
      <c r="AI332" s="18"/>
      <c r="AJ332" s="18"/>
      <c r="AK332" s="18"/>
      <c r="AL332" s="18"/>
      <c r="AM332" s="19">
        <v>1.3646746492609301</v>
      </c>
      <c r="AN332" s="18"/>
      <c r="AO332" s="18"/>
      <c r="AP332" s="18"/>
      <c r="AR332" s="15" t="s">
        <v>249</v>
      </c>
      <c r="AS332" s="15" t="s">
        <v>567</v>
      </c>
      <c r="AT332" s="15" t="s">
        <v>697</v>
      </c>
      <c r="AU332" s="15"/>
      <c r="AV332" s="15"/>
      <c r="AW332" s="15"/>
      <c r="AX332" s="15"/>
      <c r="AY332" s="15"/>
      <c r="AZ332" s="18"/>
      <c r="BA332" s="19">
        <v>2.5000000000000001E-2</v>
      </c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9">
        <v>0.05</v>
      </c>
      <c r="BM332" s="18"/>
      <c r="BN332" s="18"/>
      <c r="BO332" s="18"/>
      <c r="BP332" s="18"/>
      <c r="BQ332" s="18"/>
      <c r="BR332" s="18"/>
      <c r="BS332" s="18"/>
      <c r="BT332" s="18"/>
      <c r="BU332" s="18"/>
    </row>
    <row r="333" spans="3:73" x14ac:dyDescent="0.45">
      <c r="C333" s="15" t="s">
        <v>249</v>
      </c>
      <c r="D333" s="15" t="s">
        <v>326</v>
      </c>
      <c r="E333" s="15" t="s">
        <v>258</v>
      </c>
      <c r="F333" s="15"/>
      <c r="G333" s="15"/>
      <c r="H333" s="15"/>
      <c r="I333" s="15"/>
      <c r="J333" s="18"/>
      <c r="K333" s="18"/>
      <c r="L333" s="19">
        <v>22</v>
      </c>
      <c r="M333" s="18"/>
      <c r="N333" s="18"/>
      <c r="O333" s="18"/>
      <c r="P333" s="18"/>
      <c r="Q333" s="18"/>
      <c r="R333" s="19">
        <v>22</v>
      </c>
      <c r="S333" s="18"/>
      <c r="T333" s="18"/>
      <c r="U333" s="18"/>
      <c r="V333" s="18"/>
      <c r="X333" s="15" t="s">
        <v>328</v>
      </c>
      <c r="Y333" s="15" t="s">
        <v>324</v>
      </c>
      <c r="Z333" s="15" t="s">
        <v>331</v>
      </c>
      <c r="AA333" s="15"/>
      <c r="AB333" s="15"/>
      <c r="AC333" s="15"/>
      <c r="AD333" s="15" t="s">
        <v>323</v>
      </c>
      <c r="AE333" s="18"/>
      <c r="AF333" s="18"/>
      <c r="AG333" s="19">
        <v>1.6926552473308201</v>
      </c>
      <c r="AH333" s="18"/>
      <c r="AI333" s="18"/>
      <c r="AJ333" s="18"/>
      <c r="AK333" s="18"/>
      <c r="AL333" s="18"/>
      <c r="AM333" s="19">
        <v>1.6926552473308201</v>
      </c>
      <c r="AN333" s="18"/>
      <c r="AO333" s="18"/>
      <c r="AP333" s="18"/>
      <c r="AR333" s="15" t="s">
        <v>249</v>
      </c>
      <c r="AS333" s="15" t="s">
        <v>567</v>
      </c>
      <c r="AT333" s="15" t="s">
        <v>698</v>
      </c>
      <c r="AU333" s="15"/>
      <c r="AV333" s="15"/>
      <c r="AW333" s="15"/>
      <c r="AX333" s="15"/>
      <c r="AY333" s="15"/>
      <c r="AZ333" s="18"/>
      <c r="BA333" s="19">
        <v>2.5000000000000001E-2</v>
      </c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9">
        <v>0.05</v>
      </c>
      <c r="BM333" s="18"/>
      <c r="BN333" s="18"/>
      <c r="BO333" s="18"/>
      <c r="BP333" s="18"/>
      <c r="BQ333" s="18"/>
      <c r="BR333" s="18"/>
      <c r="BS333" s="18"/>
      <c r="BT333" s="18"/>
      <c r="BU333" s="18"/>
    </row>
    <row r="334" spans="3:73" x14ac:dyDescent="0.45">
      <c r="C334" s="15" t="s">
        <v>249</v>
      </c>
      <c r="D334" s="15" t="s">
        <v>326</v>
      </c>
      <c r="E334" s="15" t="s">
        <v>259</v>
      </c>
      <c r="F334" s="15"/>
      <c r="G334" s="15"/>
      <c r="H334" s="15"/>
      <c r="I334" s="15"/>
      <c r="J334" s="18"/>
      <c r="K334" s="18"/>
      <c r="L334" s="19">
        <v>22</v>
      </c>
      <c r="M334" s="18"/>
      <c r="N334" s="18"/>
      <c r="O334" s="18"/>
      <c r="P334" s="18"/>
      <c r="Q334" s="18"/>
      <c r="R334" s="19">
        <v>22</v>
      </c>
      <c r="S334" s="18"/>
      <c r="T334" s="18"/>
      <c r="U334" s="18"/>
      <c r="V334" s="18"/>
      <c r="X334" s="15" t="s">
        <v>328</v>
      </c>
      <c r="Y334" s="15" t="s">
        <v>324</v>
      </c>
      <c r="Z334" s="15" t="s">
        <v>332</v>
      </c>
      <c r="AA334" s="15"/>
      <c r="AB334" s="15"/>
      <c r="AC334" s="15"/>
      <c r="AD334" s="15" t="s">
        <v>323</v>
      </c>
      <c r="AE334" s="18"/>
      <c r="AF334" s="18"/>
      <c r="AG334" s="19">
        <v>1.26071683809919</v>
      </c>
      <c r="AH334" s="18"/>
      <c r="AI334" s="18"/>
      <c r="AJ334" s="18"/>
      <c r="AK334" s="18"/>
      <c r="AL334" s="18"/>
      <c r="AM334" s="19">
        <v>1.26071683809919</v>
      </c>
      <c r="AN334" s="18"/>
      <c r="AO334" s="18"/>
      <c r="AP334" s="18"/>
      <c r="AR334" s="15" t="s">
        <v>249</v>
      </c>
      <c r="AS334" s="15" t="s">
        <v>567</v>
      </c>
      <c r="AT334" s="15" t="s">
        <v>699</v>
      </c>
      <c r="AU334" s="15"/>
      <c r="AV334" s="15"/>
      <c r="AW334" s="15"/>
      <c r="AX334" s="15"/>
      <c r="AY334" s="15"/>
      <c r="AZ334" s="18"/>
      <c r="BA334" s="19">
        <v>2.5000000000000001E-2</v>
      </c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9">
        <v>0.05</v>
      </c>
      <c r="BM334" s="18"/>
      <c r="BN334" s="18"/>
      <c r="BO334" s="18"/>
      <c r="BP334" s="18"/>
      <c r="BQ334" s="18"/>
      <c r="BR334" s="18"/>
      <c r="BS334" s="18"/>
      <c r="BT334" s="18"/>
      <c r="BU334" s="18"/>
    </row>
    <row r="335" spans="3:73" x14ac:dyDescent="0.45">
      <c r="C335" s="15" t="s">
        <v>249</v>
      </c>
      <c r="D335" s="15" t="s">
        <v>326</v>
      </c>
      <c r="E335" s="15" t="s">
        <v>260</v>
      </c>
      <c r="F335" s="15"/>
      <c r="G335" s="15"/>
      <c r="H335" s="15"/>
      <c r="I335" s="15"/>
      <c r="J335" s="18"/>
      <c r="K335" s="18"/>
      <c r="L335" s="19">
        <v>15</v>
      </c>
      <c r="M335" s="18"/>
      <c r="N335" s="18"/>
      <c r="O335" s="18"/>
      <c r="P335" s="18"/>
      <c r="Q335" s="18"/>
      <c r="R335" s="19">
        <v>15</v>
      </c>
      <c r="S335" s="18"/>
      <c r="T335" s="18"/>
      <c r="U335" s="18"/>
      <c r="V335" s="18"/>
      <c r="X335" s="15" t="s">
        <v>328</v>
      </c>
      <c r="Y335" s="15" t="s">
        <v>324</v>
      </c>
      <c r="Z335" s="15" t="s">
        <v>333</v>
      </c>
      <c r="AA335" s="15"/>
      <c r="AB335" s="15"/>
      <c r="AC335" s="15"/>
      <c r="AD335" s="15" t="s">
        <v>323</v>
      </c>
      <c r="AE335" s="18"/>
      <c r="AF335" s="18"/>
      <c r="AG335" s="19">
        <v>1.09979187902069</v>
      </c>
      <c r="AH335" s="18"/>
      <c r="AI335" s="18"/>
      <c r="AJ335" s="18"/>
      <c r="AK335" s="18"/>
      <c r="AL335" s="18"/>
      <c r="AM335" s="19">
        <v>1.09979187902069</v>
      </c>
      <c r="AN335" s="18"/>
      <c r="AO335" s="18"/>
      <c r="AP335" s="18"/>
      <c r="AR335" s="15" t="s">
        <v>249</v>
      </c>
      <c r="AS335" s="15" t="s">
        <v>567</v>
      </c>
      <c r="AT335" s="15" t="s">
        <v>700</v>
      </c>
      <c r="AU335" s="15"/>
      <c r="AV335" s="15"/>
      <c r="AW335" s="15"/>
      <c r="AX335" s="15"/>
      <c r="AY335" s="15"/>
      <c r="AZ335" s="18"/>
      <c r="BA335" s="19">
        <v>2.5000000000000001E-2</v>
      </c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9">
        <v>0.05</v>
      </c>
      <c r="BM335" s="18"/>
      <c r="BN335" s="18"/>
      <c r="BO335" s="18"/>
      <c r="BP335" s="18"/>
      <c r="BQ335" s="18"/>
      <c r="BR335" s="18"/>
      <c r="BS335" s="18"/>
      <c r="BT335" s="18"/>
      <c r="BU335" s="18"/>
    </row>
    <row r="336" spans="3:73" x14ac:dyDescent="0.45">
      <c r="C336" s="15" t="s">
        <v>249</v>
      </c>
      <c r="D336" s="15" t="s">
        <v>326</v>
      </c>
      <c r="E336" s="15" t="s">
        <v>261</v>
      </c>
      <c r="F336" s="15"/>
      <c r="G336" s="15"/>
      <c r="H336" s="15"/>
      <c r="I336" s="15"/>
      <c r="J336" s="18"/>
      <c r="K336" s="18"/>
      <c r="L336" s="19">
        <v>15</v>
      </c>
      <c r="M336" s="18"/>
      <c r="N336" s="18"/>
      <c r="O336" s="18"/>
      <c r="P336" s="18"/>
      <c r="Q336" s="18"/>
      <c r="R336" s="19">
        <v>15</v>
      </c>
      <c r="S336" s="18"/>
      <c r="T336" s="18"/>
      <c r="U336" s="18"/>
      <c r="V336" s="18"/>
      <c r="X336" s="15" t="s">
        <v>328</v>
      </c>
      <c r="Y336" s="15" t="s">
        <v>324</v>
      </c>
      <c r="Z336" s="15" t="s">
        <v>334</v>
      </c>
      <c r="AA336" s="15"/>
      <c r="AB336" s="15"/>
      <c r="AC336" s="15"/>
      <c r="AD336" s="15" t="s">
        <v>323</v>
      </c>
      <c r="AE336" s="18"/>
      <c r="AF336" s="18"/>
      <c r="AG336" s="19">
        <v>1.5396112737265699</v>
      </c>
      <c r="AH336" s="18"/>
      <c r="AI336" s="18"/>
      <c r="AJ336" s="18"/>
      <c r="AK336" s="18"/>
      <c r="AL336" s="18"/>
      <c r="AM336" s="19">
        <v>1.5396112737265699</v>
      </c>
      <c r="AN336" s="18"/>
      <c r="AO336" s="18"/>
      <c r="AP336" s="18"/>
      <c r="AR336" s="15" t="s">
        <v>249</v>
      </c>
      <c r="AS336" s="15" t="s">
        <v>567</v>
      </c>
      <c r="AT336" s="15" t="s">
        <v>701</v>
      </c>
      <c r="AU336" s="15"/>
      <c r="AV336" s="15"/>
      <c r="AW336" s="15"/>
      <c r="AX336" s="15"/>
      <c r="AY336" s="15"/>
      <c r="AZ336" s="18"/>
      <c r="BA336" s="19">
        <v>2.5000000000000001E-2</v>
      </c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9">
        <v>0.05</v>
      </c>
      <c r="BM336" s="18"/>
      <c r="BN336" s="18"/>
      <c r="BO336" s="18"/>
      <c r="BP336" s="18"/>
      <c r="BQ336" s="18"/>
      <c r="BR336" s="18"/>
      <c r="BS336" s="18"/>
      <c r="BT336" s="18"/>
      <c r="BU336" s="18"/>
    </row>
    <row r="337" spans="3:73" x14ac:dyDescent="0.45">
      <c r="C337" s="15" t="s">
        <v>249</v>
      </c>
      <c r="D337" s="15" t="s">
        <v>326</v>
      </c>
      <c r="E337" s="15" t="s">
        <v>262</v>
      </c>
      <c r="F337" s="15"/>
      <c r="G337" s="15"/>
      <c r="H337" s="15"/>
      <c r="I337" s="15"/>
      <c r="J337" s="18"/>
      <c r="K337" s="18"/>
      <c r="L337" s="19">
        <v>15</v>
      </c>
      <c r="M337" s="18"/>
      <c r="N337" s="18"/>
      <c r="O337" s="18"/>
      <c r="P337" s="18"/>
      <c r="Q337" s="18"/>
      <c r="R337" s="19">
        <v>15</v>
      </c>
      <c r="S337" s="18"/>
      <c r="T337" s="18"/>
      <c r="U337" s="18"/>
      <c r="V337" s="18"/>
      <c r="X337" s="15" t="s">
        <v>328</v>
      </c>
      <c r="Y337" s="15" t="s">
        <v>324</v>
      </c>
      <c r="Z337" s="15" t="s">
        <v>335</v>
      </c>
      <c r="AA337" s="15"/>
      <c r="AB337" s="15"/>
      <c r="AC337" s="15"/>
      <c r="AD337" s="15" t="s">
        <v>323</v>
      </c>
      <c r="AE337" s="18"/>
      <c r="AF337" s="18"/>
      <c r="AG337" s="19">
        <v>1.3430866666666701</v>
      </c>
      <c r="AH337" s="18"/>
      <c r="AI337" s="18"/>
      <c r="AJ337" s="18"/>
      <c r="AK337" s="18"/>
      <c r="AL337" s="18"/>
      <c r="AM337" s="19">
        <v>1.3430866666666701</v>
      </c>
      <c r="AN337" s="18"/>
      <c r="AO337" s="18"/>
      <c r="AP337" s="18"/>
      <c r="AR337" s="15" t="s">
        <v>249</v>
      </c>
      <c r="AS337" s="15" t="s">
        <v>567</v>
      </c>
      <c r="AT337" s="15" t="s">
        <v>702</v>
      </c>
      <c r="AU337" s="15"/>
      <c r="AV337" s="15"/>
      <c r="AW337" s="15"/>
      <c r="AX337" s="15"/>
      <c r="AY337" s="15"/>
      <c r="AZ337" s="18"/>
      <c r="BA337" s="19">
        <v>2.5000000000000001E-2</v>
      </c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9">
        <v>0.05</v>
      </c>
      <c r="BM337" s="18"/>
      <c r="BN337" s="18"/>
      <c r="BO337" s="18"/>
      <c r="BP337" s="18"/>
      <c r="BQ337" s="18"/>
      <c r="BR337" s="18"/>
      <c r="BS337" s="18"/>
      <c r="BT337" s="18"/>
      <c r="BU337" s="18"/>
    </row>
    <row r="338" spans="3:73" x14ac:dyDescent="0.45">
      <c r="C338" s="15" t="s">
        <v>249</v>
      </c>
      <c r="D338" s="15" t="s">
        <v>326</v>
      </c>
      <c r="E338" s="15" t="s">
        <v>263</v>
      </c>
      <c r="F338" s="15"/>
      <c r="G338" s="15"/>
      <c r="H338" s="15"/>
      <c r="I338" s="15"/>
      <c r="J338" s="18"/>
      <c r="K338" s="18"/>
      <c r="L338" s="19">
        <v>22</v>
      </c>
      <c r="M338" s="18"/>
      <c r="N338" s="18"/>
      <c r="O338" s="18"/>
      <c r="P338" s="18"/>
      <c r="Q338" s="18"/>
      <c r="R338" s="19">
        <v>22</v>
      </c>
      <c r="S338" s="18"/>
      <c r="T338" s="18"/>
      <c r="U338" s="18"/>
      <c r="V338" s="18"/>
      <c r="X338" s="15" t="s">
        <v>328</v>
      </c>
      <c r="Y338" s="15" t="s">
        <v>324</v>
      </c>
      <c r="Z338" s="15" t="s">
        <v>336</v>
      </c>
      <c r="AA338" s="15"/>
      <c r="AB338" s="15"/>
      <c r="AC338" s="15"/>
      <c r="AD338" s="15" t="s">
        <v>323</v>
      </c>
      <c r="AE338" s="18"/>
      <c r="AF338" s="18"/>
      <c r="AG338" s="19">
        <v>1.24308378310627</v>
      </c>
      <c r="AH338" s="18"/>
      <c r="AI338" s="18"/>
      <c r="AJ338" s="18"/>
      <c r="AK338" s="18"/>
      <c r="AL338" s="18"/>
      <c r="AM338" s="19">
        <v>1.24308378310627</v>
      </c>
      <c r="AN338" s="18"/>
      <c r="AO338" s="18"/>
      <c r="AP338" s="18"/>
      <c r="AR338" s="15" t="s">
        <v>249</v>
      </c>
      <c r="AS338" s="15" t="s">
        <v>567</v>
      </c>
      <c r="AT338" s="15" t="s">
        <v>703</v>
      </c>
      <c r="AU338" s="15"/>
      <c r="AV338" s="15"/>
      <c r="AW338" s="15"/>
      <c r="AX338" s="15"/>
      <c r="AY338" s="15"/>
      <c r="AZ338" s="18"/>
      <c r="BA338" s="19">
        <v>2.5000000000000001E-2</v>
      </c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9">
        <v>0.05</v>
      </c>
      <c r="BM338" s="18"/>
      <c r="BN338" s="18"/>
      <c r="BO338" s="18"/>
      <c r="BP338" s="18"/>
      <c r="BQ338" s="18"/>
      <c r="BR338" s="18"/>
      <c r="BS338" s="18"/>
      <c r="BT338" s="18"/>
      <c r="BU338" s="18"/>
    </row>
    <row r="339" spans="3:73" x14ac:dyDescent="0.45">
      <c r="C339" s="15" t="s">
        <v>249</v>
      </c>
      <c r="D339" s="15" t="s">
        <v>326</v>
      </c>
      <c r="E339" s="15" t="s">
        <v>264</v>
      </c>
      <c r="F339" s="15"/>
      <c r="G339" s="15"/>
      <c r="H339" s="15"/>
      <c r="I339" s="15"/>
      <c r="J339" s="18"/>
      <c r="K339" s="18"/>
      <c r="L339" s="19">
        <v>22</v>
      </c>
      <c r="M339" s="18"/>
      <c r="N339" s="18"/>
      <c r="O339" s="18"/>
      <c r="P339" s="18"/>
      <c r="Q339" s="18"/>
      <c r="R339" s="19">
        <v>22</v>
      </c>
      <c r="S339" s="18"/>
      <c r="T339" s="18"/>
      <c r="U339" s="18"/>
      <c r="V339" s="18"/>
      <c r="X339" s="15" t="s">
        <v>328</v>
      </c>
      <c r="Y339" s="15" t="s">
        <v>324</v>
      </c>
      <c r="Z339" s="15" t="s">
        <v>339</v>
      </c>
      <c r="AA339" s="15"/>
      <c r="AB339" s="15"/>
      <c r="AC339" s="15"/>
      <c r="AD339" s="15" t="s">
        <v>323</v>
      </c>
      <c r="AE339" s="18"/>
      <c r="AF339" s="18"/>
      <c r="AG339" s="19">
        <v>1.2806510350298399</v>
      </c>
      <c r="AH339" s="18"/>
      <c r="AI339" s="18"/>
      <c r="AJ339" s="18"/>
      <c r="AK339" s="18"/>
      <c r="AL339" s="18"/>
      <c r="AM339" s="19">
        <v>1.2806510350298399</v>
      </c>
      <c r="AN339" s="18"/>
      <c r="AO339" s="18"/>
      <c r="AP339" s="18"/>
      <c r="AR339" s="15" t="s">
        <v>249</v>
      </c>
      <c r="AS339" s="15" t="s">
        <v>567</v>
      </c>
      <c r="AT339" s="15" t="s">
        <v>704</v>
      </c>
      <c r="AU339" s="15"/>
      <c r="AV339" s="15"/>
      <c r="AW339" s="15"/>
      <c r="AX339" s="15"/>
      <c r="AY339" s="15"/>
      <c r="AZ339" s="18"/>
      <c r="BA339" s="19">
        <v>2.5000000000000001E-2</v>
      </c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9">
        <v>0.05</v>
      </c>
      <c r="BM339" s="18"/>
      <c r="BN339" s="18"/>
      <c r="BO339" s="18"/>
      <c r="BP339" s="18"/>
      <c r="BQ339" s="18"/>
      <c r="BR339" s="18"/>
      <c r="BS339" s="18"/>
      <c r="BT339" s="18"/>
      <c r="BU339" s="18"/>
    </row>
    <row r="340" spans="3:73" x14ac:dyDescent="0.45">
      <c r="C340" s="15" t="s">
        <v>249</v>
      </c>
      <c r="D340" s="15" t="s">
        <v>326</v>
      </c>
      <c r="E340" s="15" t="s">
        <v>265</v>
      </c>
      <c r="F340" s="15"/>
      <c r="G340" s="15"/>
      <c r="H340" s="15"/>
      <c r="I340" s="15"/>
      <c r="J340" s="18"/>
      <c r="K340" s="18"/>
      <c r="L340" s="19">
        <v>22</v>
      </c>
      <c r="M340" s="18"/>
      <c r="N340" s="18"/>
      <c r="O340" s="18"/>
      <c r="P340" s="18"/>
      <c r="Q340" s="18"/>
      <c r="R340" s="19">
        <v>22</v>
      </c>
      <c r="S340" s="18"/>
      <c r="T340" s="18"/>
      <c r="U340" s="18"/>
      <c r="V340" s="18"/>
      <c r="X340" s="15" t="s">
        <v>328</v>
      </c>
      <c r="Y340" s="15" t="s">
        <v>324</v>
      </c>
      <c r="Z340" s="15" t="s">
        <v>341</v>
      </c>
      <c r="AA340" s="15"/>
      <c r="AB340" s="15"/>
      <c r="AC340" s="15"/>
      <c r="AD340" s="15" t="s">
        <v>323</v>
      </c>
      <c r="AE340" s="18"/>
      <c r="AF340" s="18"/>
      <c r="AG340" s="19">
        <v>15.1</v>
      </c>
      <c r="AH340" s="18"/>
      <c r="AI340" s="18"/>
      <c r="AJ340" s="18"/>
      <c r="AK340" s="18"/>
      <c r="AL340" s="18"/>
      <c r="AM340" s="19">
        <v>15.141810276128499</v>
      </c>
      <c r="AN340" s="18"/>
      <c r="AO340" s="18"/>
      <c r="AP340" s="18"/>
      <c r="AR340" s="15" t="s">
        <v>249</v>
      </c>
      <c r="AS340" s="15" t="s">
        <v>567</v>
      </c>
      <c r="AT340" s="15" t="s">
        <v>705</v>
      </c>
      <c r="AU340" s="15"/>
      <c r="AV340" s="15"/>
      <c r="AW340" s="15"/>
      <c r="AX340" s="15"/>
      <c r="AY340" s="15"/>
      <c r="AZ340" s="18"/>
      <c r="BA340" s="19">
        <v>2.5000000000000001E-2</v>
      </c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9">
        <v>0.05</v>
      </c>
      <c r="BM340" s="18"/>
      <c r="BN340" s="18"/>
      <c r="BO340" s="18"/>
      <c r="BP340" s="18"/>
      <c r="BQ340" s="18"/>
      <c r="BR340" s="18"/>
      <c r="BS340" s="18"/>
      <c r="BT340" s="18"/>
      <c r="BU340" s="18"/>
    </row>
    <row r="341" spans="3:73" x14ac:dyDescent="0.45">
      <c r="C341" s="15" t="s">
        <v>249</v>
      </c>
      <c r="D341" s="15" t="s">
        <v>326</v>
      </c>
      <c r="E341" s="15" t="s">
        <v>266</v>
      </c>
      <c r="F341" s="15"/>
      <c r="G341" s="15"/>
      <c r="H341" s="15"/>
      <c r="I341" s="15"/>
      <c r="J341" s="18"/>
      <c r="K341" s="18"/>
      <c r="L341" s="19">
        <v>25</v>
      </c>
      <c r="M341" s="18"/>
      <c r="N341" s="18"/>
      <c r="O341" s="18"/>
      <c r="P341" s="18"/>
      <c r="Q341" s="18"/>
      <c r="R341" s="19">
        <v>25</v>
      </c>
      <c r="S341" s="18"/>
      <c r="T341" s="18"/>
      <c r="U341" s="18"/>
      <c r="V341" s="18"/>
      <c r="X341" s="15" t="s">
        <v>328</v>
      </c>
      <c r="Y341" s="15" t="s">
        <v>324</v>
      </c>
      <c r="Z341" s="15" t="s">
        <v>342</v>
      </c>
      <c r="AA341" s="15"/>
      <c r="AB341" s="15"/>
      <c r="AC341" s="15"/>
      <c r="AD341" s="15" t="s">
        <v>323</v>
      </c>
      <c r="AE341" s="18"/>
      <c r="AF341" s="18"/>
      <c r="AG341" s="19">
        <v>14.9</v>
      </c>
      <c r="AH341" s="18"/>
      <c r="AI341" s="18"/>
      <c r="AJ341" s="18"/>
      <c r="AK341" s="18"/>
      <c r="AL341" s="18"/>
      <c r="AM341" s="19">
        <v>14.9195348626022</v>
      </c>
      <c r="AN341" s="18"/>
      <c r="AO341" s="18"/>
      <c r="AP341" s="18"/>
      <c r="AR341" s="15" t="s">
        <v>249</v>
      </c>
      <c r="AS341" s="15" t="s">
        <v>567</v>
      </c>
      <c r="AT341" s="15" t="s">
        <v>706</v>
      </c>
      <c r="AU341" s="15"/>
      <c r="AV341" s="15"/>
      <c r="AW341" s="15"/>
      <c r="AX341" s="15"/>
      <c r="AY341" s="15"/>
      <c r="AZ341" s="18"/>
      <c r="BA341" s="19">
        <v>2.5000000000000001E-2</v>
      </c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9">
        <v>0.05</v>
      </c>
      <c r="BM341" s="18"/>
      <c r="BN341" s="18"/>
      <c r="BO341" s="18"/>
      <c r="BP341" s="18"/>
      <c r="BQ341" s="18"/>
      <c r="BR341" s="18"/>
      <c r="BS341" s="18"/>
      <c r="BT341" s="18"/>
      <c r="BU341" s="18"/>
    </row>
    <row r="342" spans="3:73" x14ac:dyDescent="0.45">
      <c r="C342" s="15" t="s">
        <v>249</v>
      </c>
      <c r="D342" s="15" t="s">
        <v>326</v>
      </c>
      <c r="E342" s="15" t="s">
        <v>267</v>
      </c>
      <c r="F342" s="15"/>
      <c r="G342" s="15"/>
      <c r="H342" s="15"/>
      <c r="I342" s="15"/>
      <c r="J342" s="18"/>
      <c r="K342" s="18"/>
      <c r="L342" s="19">
        <v>25</v>
      </c>
      <c r="M342" s="18"/>
      <c r="N342" s="18"/>
      <c r="O342" s="18"/>
      <c r="P342" s="18"/>
      <c r="Q342" s="18"/>
      <c r="R342" s="19">
        <v>25</v>
      </c>
      <c r="S342" s="18"/>
      <c r="T342" s="18"/>
      <c r="U342" s="18"/>
      <c r="V342" s="18"/>
      <c r="X342" s="15" t="s">
        <v>328</v>
      </c>
      <c r="Y342" s="15" t="s">
        <v>324</v>
      </c>
      <c r="Z342" s="15" t="s">
        <v>343</v>
      </c>
      <c r="AA342" s="15"/>
      <c r="AB342" s="15"/>
      <c r="AC342" s="15"/>
      <c r="AD342" s="15" t="s">
        <v>323</v>
      </c>
      <c r="AE342" s="18"/>
      <c r="AF342" s="18"/>
      <c r="AG342" s="19">
        <v>16.399999999999999</v>
      </c>
      <c r="AH342" s="18"/>
      <c r="AI342" s="18"/>
      <c r="AJ342" s="18"/>
      <c r="AK342" s="18"/>
      <c r="AL342" s="18"/>
      <c r="AM342" s="19">
        <v>16.444704017309</v>
      </c>
      <c r="AN342" s="18"/>
      <c r="AO342" s="18"/>
      <c r="AP342" s="18"/>
      <c r="AR342" s="15" t="s">
        <v>249</v>
      </c>
      <c r="AS342" s="15" t="s">
        <v>567</v>
      </c>
      <c r="AT342" s="15" t="s">
        <v>707</v>
      </c>
      <c r="AU342" s="15"/>
      <c r="AV342" s="15"/>
      <c r="AW342" s="15"/>
      <c r="AX342" s="15"/>
      <c r="AY342" s="15"/>
      <c r="AZ342" s="18"/>
      <c r="BA342" s="19">
        <v>2.5000000000000001E-2</v>
      </c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9">
        <v>0.05</v>
      </c>
      <c r="BM342" s="18"/>
      <c r="BN342" s="18"/>
      <c r="BO342" s="18"/>
      <c r="BP342" s="18"/>
      <c r="BQ342" s="18"/>
      <c r="BR342" s="18"/>
      <c r="BS342" s="18"/>
      <c r="BT342" s="18"/>
      <c r="BU342" s="18"/>
    </row>
    <row r="343" spans="3:73" x14ac:dyDescent="0.45">
      <c r="C343" s="15" t="s">
        <v>249</v>
      </c>
      <c r="D343" s="15" t="s">
        <v>326</v>
      </c>
      <c r="E343" s="15" t="s">
        <v>268</v>
      </c>
      <c r="F343" s="15"/>
      <c r="G343" s="15"/>
      <c r="H343" s="15"/>
      <c r="I343" s="15"/>
      <c r="J343" s="18"/>
      <c r="K343" s="18"/>
      <c r="L343" s="19">
        <v>25</v>
      </c>
      <c r="M343" s="18"/>
      <c r="N343" s="18"/>
      <c r="O343" s="18"/>
      <c r="P343" s="18"/>
      <c r="Q343" s="18"/>
      <c r="R343" s="19">
        <v>25</v>
      </c>
      <c r="S343" s="18"/>
      <c r="T343" s="18"/>
      <c r="U343" s="18"/>
      <c r="V343" s="18"/>
      <c r="X343" s="15" t="s">
        <v>328</v>
      </c>
      <c r="Y343" s="15" t="s">
        <v>324</v>
      </c>
      <c r="Z343" s="15" t="s">
        <v>344</v>
      </c>
      <c r="AA343" s="15"/>
      <c r="AB343" s="15"/>
      <c r="AC343" s="15"/>
      <c r="AD343" s="15" t="s">
        <v>323</v>
      </c>
      <c r="AE343" s="18"/>
      <c r="AF343" s="18"/>
      <c r="AG343" s="19">
        <v>3.5</v>
      </c>
      <c r="AH343" s="18"/>
      <c r="AI343" s="18"/>
      <c r="AJ343" s="18"/>
      <c r="AK343" s="18"/>
      <c r="AL343" s="18"/>
      <c r="AM343" s="19">
        <v>3.5336218795343499</v>
      </c>
      <c r="AN343" s="18"/>
      <c r="AO343" s="18"/>
      <c r="AP343" s="18"/>
      <c r="AR343" s="15" t="s">
        <v>249</v>
      </c>
      <c r="AS343" s="15" t="s">
        <v>567</v>
      </c>
      <c r="AT343" s="15" t="s">
        <v>708</v>
      </c>
      <c r="AU343" s="15"/>
      <c r="AV343" s="15"/>
      <c r="AW343" s="15"/>
      <c r="AX343" s="15"/>
      <c r="AY343" s="15"/>
      <c r="AZ343" s="18"/>
      <c r="BA343" s="19">
        <v>2.5000000000000001E-2</v>
      </c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9">
        <v>0.05</v>
      </c>
      <c r="BM343" s="18"/>
      <c r="BN343" s="18"/>
      <c r="BO343" s="18"/>
      <c r="BP343" s="18"/>
      <c r="BQ343" s="18"/>
      <c r="BR343" s="18"/>
      <c r="BS343" s="18"/>
      <c r="BT343" s="18"/>
      <c r="BU343" s="18"/>
    </row>
    <row r="344" spans="3:73" x14ac:dyDescent="0.45">
      <c r="C344" s="15" t="s">
        <v>249</v>
      </c>
      <c r="D344" s="15" t="s">
        <v>326</v>
      </c>
      <c r="E344" s="15" t="s">
        <v>269</v>
      </c>
      <c r="F344" s="15"/>
      <c r="G344" s="15"/>
      <c r="H344" s="15"/>
      <c r="I344" s="15"/>
      <c r="J344" s="18"/>
      <c r="K344" s="18"/>
      <c r="L344" s="19">
        <v>15</v>
      </c>
      <c r="M344" s="18"/>
      <c r="N344" s="18"/>
      <c r="O344" s="18"/>
      <c r="P344" s="18"/>
      <c r="Q344" s="18"/>
      <c r="R344" s="19">
        <v>15</v>
      </c>
      <c r="S344" s="18"/>
      <c r="T344" s="18"/>
      <c r="U344" s="18"/>
      <c r="V344" s="18"/>
      <c r="X344" s="15" t="s">
        <v>328</v>
      </c>
      <c r="Y344" s="15" t="s">
        <v>324</v>
      </c>
      <c r="Z344" s="15" t="s">
        <v>345</v>
      </c>
      <c r="AA344" s="15"/>
      <c r="AB344" s="15"/>
      <c r="AC344" s="15"/>
      <c r="AD344" s="15" t="s">
        <v>323</v>
      </c>
      <c r="AE344" s="18"/>
      <c r="AF344" s="18"/>
      <c r="AG344" s="19">
        <v>3.9</v>
      </c>
      <c r="AH344" s="18"/>
      <c r="AI344" s="18"/>
      <c r="AJ344" s="18"/>
      <c r="AK344" s="18"/>
      <c r="AL344" s="18"/>
      <c r="AM344" s="19">
        <v>3.8525057596389098</v>
      </c>
      <c r="AN344" s="18"/>
      <c r="AO344" s="18"/>
      <c r="AP344" s="18"/>
      <c r="AR344" s="15" t="s">
        <v>249</v>
      </c>
      <c r="AS344" s="15" t="s">
        <v>567</v>
      </c>
      <c r="AT344" s="15" t="s">
        <v>709</v>
      </c>
      <c r="AU344" s="15"/>
      <c r="AV344" s="15"/>
      <c r="AW344" s="15"/>
      <c r="AX344" s="15"/>
      <c r="AY344" s="15"/>
      <c r="AZ344" s="18"/>
      <c r="BA344" s="19">
        <v>2.5000000000000001E-2</v>
      </c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9">
        <v>0.05</v>
      </c>
      <c r="BM344" s="18"/>
      <c r="BN344" s="18"/>
      <c r="BO344" s="18"/>
      <c r="BP344" s="18"/>
      <c r="BQ344" s="18"/>
      <c r="BR344" s="18"/>
      <c r="BS344" s="18"/>
      <c r="BT344" s="18"/>
      <c r="BU344" s="18"/>
    </row>
    <row r="345" spans="3:73" x14ac:dyDescent="0.45">
      <c r="C345" s="15" t="s">
        <v>249</v>
      </c>
      <c r="D345" s="15" t="s">
        <v>326</v>
      </c>
      <c r="E345" s="15" t="s">
        <v>270</v>
      </c>
      <c r="F345" s="15"/>
      <c r="G345" s="15"/>
      <c r="H345" s="15"/>
      <c r="I345" s="15"/>
      <c r="J345" s="18"/>
      <c r="K345" s="18"/>
      <c r="L345" s="19">
        <v>15</v>
      </c>
      <c r="M345" s="18"/>
      <c r="N345" s="18"/>
      <c r="O345" s="18"/>
      <c r="P345" s="18"/>
      <c r="Q345" s="18"/>
      <c r="R345" s="19">
        <v>15</v>
      </c>
      <c r="S345" s="18"/>
      <c r="T345" s="18"/>
      <c r="U345" s="18"/>
      <c r="V345" s="18"/>
      <c r="X345" s="15" t="s">
        <v>328</v>
      </c>
      <c r="Y345" s="15" t="s">
        <v>324</v>
      </c>
      <c r="Z345" s="15" t="s">
        <v>346</v>
      </c>
      <c r="AA345" s="15"/>
      <c r="AB345" s="15"/>
      <c r="AC345" s="15"/>
      <c r="AD345" s="15" t="s">
        <v>323</v>
      </c>
      <c r="AE345" s="18"/>
      <c r="AF345" s="18"/>
      <c r="AG345" s="19">
        <v>3.8</v>
      </c>
      <c r="AH345" s="18"/>
      <c r="AI345" s="18"/>
      <c r="AJ345" s="18"/>
      <c r="AK345" s="18"/>
      <c r="AL345" s="18"/>
      <c r="AM345" s="19">
        <v>3.8013612509083301</v>
      </c>
      <c r="AN345" s="18"/>
      <c r="AO345" s="18"/>
      <c r="AP345" s="18"/>
      <c r="AR345" s="15" t="s">
        <v>249</v>
      </c>
      <c r="AS345" s="15" t="s">
        <v>567</v>
      </c>
      <c r="AT345" s="15" t="s">
        <v>710</v>
      </c>
      <c r="AU345" s="15"/>
      <c r="AV345" s="15"/>
      <c r="AW345" s="15"/>
      <c r="AX345" s="15"/>
      <c r="AY345" s="15"/>
      <c r="AZ345" s="18"/>
      <c r="BA345" s="19">
        <v>2.5000000000000001E-2</v>
      </c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9">
        <v>0.05</v>
      </c>
      <c r="BM345" s="18"/>
      <c r="BN345" s="18"/>
      <c r="BO345" s="18"/>
      <c r="BP345" s="18"/>
      <c r="BQ345" s="18"/>
      <c r="BR345" s="18"/>
      <c r="BS345" s="18"/>
      <c r="BT345" s="18"/>
      <c r="BU345" s="18"/>
    </row>
    <row r="346" spans="3:73" x14ac:dyDescent="0.45">
      <c r="C346" s="15" t="s">
        <v>249</v>
      </c>
      <c r="D346" s="15" t="s">
        <v>326</v>
      </c>
      <c r="E346" s="15" t="s">
        <v>271</v>
      </c>
      <c r="F346" s="15"/>
      <c r="G346" s="15"/>
      <c r="H346" s="15"/>
      <c r="I346" s="15"/>
      <c r="J346" s="18"/>
      <c r="K346" s="18"/>
      <c r="L346" s="19">
        <v>20</v>
      </c>
      <c r="M346" s="18"/>
      <c r="N346" s="18"/>
      <c r="O346" s="18"/>
      <c r="P346" s="18"/>
      <c r="Q346" s="18"/>
      <c r="R346" s="19">
        <v>20</v>
      </c>
      <c r="S346" s="18"/>
      <c r="T346" s="18"/>
      <c r="U346" s="18"/>
      <c r="V346" s="18"/>
      <c r="X346" s="15" t="s">
        <v>328</v>
      </c>
      <c r="Y346" s="15" t="s">
        <v>324</v>
      </c>
      <c r="Z346" s="15" t="s">
        <v>347</v>
      </c>
      <c r="AA346" s="15"/>
      <c r="AB346" s="15"/>
      <c r="AC346" s="15"/>
      <c r="AD346" s="15" t="s">
        <v>323</v>
      </c>
      <c r="AE346" s="18"/>
      <c r="AF346" s="18"/>
      <c r="AG346" s="19">
        <v>17</v>
      </c>
      <c r="AH346" s="18"/>
      <c r="AI346" s="18"/>
      <c r="AJ346" s="18"/>
      <c r="AK346" s="18"/>
      <c r="AL346" s="18"/>
      <c r="AM346" s="19">
        <v>17</v>
      </c>
      <c r="AN346" s="18"/>
      <c r="AO346" s="18"/>
      <c r="AP346" s="18"/>
      <c r="AR346" s="15" t="s">
        <v>249</v>
      </c>
      <c r="AS346" s="15" t="s">
        <v>567</v>
      </c>
      <c r="AT346" s="15" t="s">
        <v>711</v>
      </c>
      <c r="AU346" s="15"/>
      <c r="AV346" s="15"/>
      <c r="AW346" s="15"/>
      <c r="AX346" s="15"/>
      <c r="AY346" s="15"/>
      <c r="AZ346" s="18"/>
      <c r="BA346" s="19">
        <v>2.5000000000000001E-2</v>
      </c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9">
        <v>0.05</v>
      </c>
      <c r="BM346" s="18"/>
      <c r="BN346" s="18"/>
      <c r="BO346" s="18"/>
      <c r="BP346" s="18"/>
      <c r="BQ346" s="18"/>
      <c r="BR346" s="18"/>
      <c r="BS346" s="18"/>
      <c r="BT346" s="18"/>
      <c r="BU346" s="18"/>
    </row>
    <row r="347" spans="3:73" x14ac:dyDescent="0.45">
      <c r="C347" s="15" t="s">
        <v>249</v>
      </c>
      <c r="D347" s="15" t="s">
        <v>326</v>
      </c>
      <c r="E347" s="15" t="s">
        <v>272</v>
      </c>
      <c r="F347" s="15"/>
      <c r="G347" s="15"/>
      <c r="H347" s="15"/>
      <c r="I347" s="15"/>
      <c r="J347" s="18"/>
      <c r="K347" s="18"/>
      <c r="L347" s="19">
        <v>20</v>
      </c>
      <c r="M347" s="18"/>
      <c r="N347" s="18"/>
      <c r="O347" s="18"/>
      <c r="P347" s="18"/>
      <c r="Q347" s="18"/>
      <c r="R347" s="19">
        <v>20</v>
      </c>
      <c r="S347" s="18"/>
      <c r="T347" s="18"/>
      <c r="U347" s="18"/>
      <c r="V347" s="18"/>
      <c r="X347" s="15" t="s">
        <v>328</v>
      </c>
      <c r="Y347" s="15" t="s">
        <v>324</v>
      </c>
      <c r="Z347" s="15" t="s">
        <v>348</v>
      </c>
      <c r="AA347" s="15"/>
      <c r="AB347" s="15"/>
      <c r="AC347" s="15"/>
      <c r="AD347" s="15" t="s">
        <v>323</v>
      </c>
      <c r="AE347" s="18"/>
      <c r="AF347" s="18"/>
      <c r="AG347" s="19">
        <v>19</v>
      </c>
      <c r="AH347" s="18"/>
      <c r="AI347" s="18"/>
      <c r="AJ347" s="18"/>
      <c r="AK347" s="18"/>
      <c r="AL347" s="18"/>
      <c r="AM347" s="19">
        <v>19</v>
      </c>
      <c r="AN347" s="18"/>
      <c r="AO347" s="18"/>
      <c r="AP347" s="18"/>
      <c r="AR347" s="15" t="s">
        <v>249</v>
      </c>
      <c r="AS347" s="15" t="s">
        <v>567</v>
      </c>
      <c r="AT347" s="15" t="s">
        <v>712</v>
      </c>
      <c r="AU347" s="15"/>
      <c r="AV347" s="15"/>
      <c r="AW347" s="15"/>
      <c r="AX347" s="15"/>
      <c r="AY347" s="15"/>
      <c r="AZ347" s="18"/>
      <c r="BA347" s="19">
        <v>2.5000000000000001E-2</v>
      </c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9">
        <v>0.05</v>
      </c>
      <c r="BM347" s="18"/>
      <c r="BN347" s="18"/>
      <c r="BO347" s="18"/>
      <c r="BP347" s="18"/>
      <c r="BQ347" s="18"/>
      <c r="BR347" s="18"/>
      <c r="BS347" s="18"/>
      <c r="BT347" s="18"/>
      <c r="BU347" s="18"/>
    </row>
    <row r="348" spans="3:73" x14ac:dyDescent="0.45">
      <c r="C348" s="15" t="s">
        <v>249</v>
      </c>
      <c r="D348" s="15" t="s">
        <v>326</v>
      </c>
      <c r="E348" s="15" t="s">
        <v>273</v>
      </c>
      <c r="F348" s="15"/>
      <c r="G348" s="15"/>
      <c r="H348" s="15"/>
      <c r="I348" s="15"/>
      <c r="J348" s="18"/>
      <c r="K348" s="18"/>
      <c r="L348" s="19">
        <v>20</v>
      </c>
      <c r="M348" s="18"/>
      <c r="N348" s="18"/>
      <c r="O348" s="18"/>
      <c r="P348" s="18"/>
      <c r="Q348" s="18"/>
      <c r="R348" s="19">
        <v>20</v>
      </c>
      <c r="S348" s="18"/>
      <c r="T348" s="18"/>
      <c r="U348" s="18"/>
      <c r="V348" s="18"/>
      <c r="X348" s="15" t="s">
        <v>328</v>
      </c>
      <c r="Y348" s="15" t="s">
        <v>324</v>
      </c>
      <c r="Z348" s="15" t="s">
        <v>349</v>
      </c>
      <c r="AA348" s="15"/>
      <c r="AB348" s="15"/>
      <c r="AC348" s="15"/>
      <c r="AD348" s="15" t="s">
        <v>323</v>
      </c>
      <c r="AE348" s="18"/>
      <c r="AF348" s="18"/>
      <c r="AG348" s="19">
        <v>25</v>
      </c>
      <c r="AH348" s="18"/>
      <c r="AI348" s="18"/>
      <c r="AJ348" s="18"/>
      <c r="AK348" s="18"/>
      <c r="AL348" s="18"/>
      <c r="AM348" s="19">
        <v>25</v>
      </c>
      <c r="AN348" s="18"/>
      <c r="AO348" s="18"/>
      <c r="AP348" s="18"/>
      <c r="AR348" s="15" t="s">
        <v>249</v>
      </c>
      <c r="AS348" s="15" t="s">
        <v>567</v>
      </c>
      <c r="AT348" s="15" t="s">
        <v>713</v>
      </c>
      <c r="AU348" s="15"/>
      <c r="AV348" s="15"/>
      <c r="AW348" s="15"/>
      <c r="AX348" s="15"/>
      <c r="AY348" s="15"/>
      <c r="AZ348" s="18"/>
      <c r="BA348" s="19">
        <v>2.5000000000000001E-2</v>
      </c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9">
        <v>0.05</v>
      </c>
      <c r="BM348" s="18"/>
      <c r="BN348" s="18"/>
      <c r="BO348" s="18"/>
      <c r="BP348" s="18"/>
      <c r="BQ348" s="18"/>
      <c r="BR348" s="18"/>
      <c r="BS348" s="18"/>
      <c r="BT348" s="18"/>
      <c r="BU348" s="18"/>
    </row>
    <row r="349" spans="3:73" x14ac:dyDescent="0.45">
      <c r="C349" s="15" t="s">
        <v>249</v>
      </c>
      <c r="D349" s="15" t="s">
        <v>326</v>
      </c>
      <c r="E349" s="15" t="s">
        <v>274</v>
      </c>
      <c r="F349" s="15"/>
      <c r="G349" s="15"/>
      <c r="H349" s="15"/>
      <c r="I349" s="15"/>
      <c r="J349" s="18"/>
      <c r="K349" s="18"/>
      <c r="L349" s="19">
        <v>20</v>
      </c>
      <c r="M349" s="18"/>
      <c r="N349" s="18"/>
      <c r="O349" s="18"/>
      <c r="P349" s="18"/>
      <c r="Q349" s="18"/>
      <c r="R349" s="19">
        <v>20</v>
      </c>
      <c r="S349" s="18"/>
      <c r="T349" s="18"/>
      <c r="U349" s="18"/>
      <c r="V349" s="18"/>
      <c r="X349" s="15" t="s">
        <v>328</v>
      </c>
      <c r="Y349" s="15" t="s">
        <v>324</v>
      </c>
      <c r="Z349" s="15" t="s">
        <v>350</v>
      </c>
      <c r="AA349" s="15"/>
      <c r="AB349" s="15"/>
      <c r="AC349" s="15"/>
      <c r="AD349" s="15" t="s">
        <v>323</v>
      </c>
      <c r="AE349" s="18"/>
      <c r="AF349" s="18"/>
      <c r="AG349" s="19">
        <v>12.5586136683114</v>
      </c>
      <c r="AH349" s="18"/>
      <c r="AI349" s="18"/>
      <c r="AJ349" s="18"/>
      <c r="AK349" s="18"/>
      <c r="AL349" s="18"/>
      <c r="AM349" s="19">
        <v>14.4185060203493</v>
      </c>
      <c r="AN349" s="18"/>
      <c r="AO349" s="18"/>
      <c r="AP349" s="18"/>
      <c r="AR349" s="15" t="s">
        <v>249</v>
      </c>
      <c r="AS349" s="15" t="s">
        <v>567</v>
      </c>
      <c r="AT349" s="15" t="s">
        <v>714</v>
      </c>
      <c r="AU349" s="15"/>
      <c r="AV349" s="15"/>
      <c r="AW349" s="15"/>
      <c r="AX349" s="15"/>
      <c r="AY349" s="15"/>
      <c r="AZ349" s="18"/>
      <c r="BA349" s="19">
        <v>2.5000000000000001E-2</v>
      </c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9">
        <v>0.05</v>
      </c>
      <c r="BM349" s="18"/>
      <c r="BN349" s="18"/>
      <c r="BO349" s="18"/>
      <c r="BP349" s="18"/>
      <c r="BQ349" s="18"/>
      <c r="BR349" s="18"/>
      <c r="BS349" s="18"/>
      <c r="BT349" s="18"/>
      <c r="BU349" s="18"/>
    </row>
    <row r="350" spans="3:73" x14ac:dyDescent="0.45">
      <c r="C350" s="15" t="s">
        <v>249</v>
      </c>
      <c r="D350" s="15" t="s">
        <v>326</v>
      </c>
      <c r="E350" s="15" t="s">
        <v>275</v>
      </c>
      <c r="F350" s="15"/>
      <c r="G350" s="15"/>
      <c r="H350" s="15"/>
      <c r="I350" s="15"/>
      <c r="J350" s="18"/>
      <c r="K350" s="18"/>
      <c r="L350" s="19">
        <v>17.123290000000001</v>
      </c>
      <c r="M350" s="18"/>
      <c r="N350" s="18"/>
      <c r="O350" s="18"/>
      <c r="P350" s="18"/>
      <c r="Q350" s="18"/>
      <c r="R350" s="19">
        <v>17.123290000000001</v>
      </c>
      <c r="S350" s="18"/>
      <c r="T350" s="18"/>
      <c r="U350" s="18"/>
      <c r="V350" s="18"/>
      <c r="X350" s="15" t="s">
        <v>328</v>
      </c>
      <c r="Y350" s="15" t="s">
        <v>324</v>
      </c>
      <c r="Z350" s="15" t="s">
        <v>351</v>
      </c>
      <c r="AA350" s="15"/>
      <c r="AB350" s="15"/>
      <c r="AC350" s="15"/>
      <c r="AD350" s="15" t="s">
        <v>323</v>
      </c>
      <c r="AE350" s="18"/>
      <c r="AF350" s="18"/>
      <c r="AG350" s="19">
        <v>14.058149628706801</v>
      </c>
      <c r="AH350" s="18"/>
      <c r="AI350" s="18"/>
      <c r="AJ350" s="18"/>
      <c r="AK350" s="18"/>
      <c r="AL350" s="18"/>
      <c r="AM350" s="19">
        <v>29.382799223963701</v>
      </c>
      <c r="AN350" s="18"/>
      <c r="AO350" s="18"/>
      <c r="AP350" s="18"/>
      <c r="AR350" s="15" t="s">
        <v>249</v>
      </c>
      <c r="AS350" s="15" t="s">
        <v>567</v>
      </c>
      <c r="AT350" s="15" t="s">
        <v>715</v>
      </c>
      <c r="AU350" s="15"/>
      <c r="AV350" s="15"/>
      <c r="AW350" s="15"/>
      <c r="AX350" s="15"/>
      <c r="AY350" s="15"/>
      <c r="AZ350" s="18"/>
      <c r="BA350" s="19">
        <v>2.5000000000000001E-2</v>
      </c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9">
        <v>0.05</v>
      </c>
      <c r="BM350" s="18"/>
      <c r="BN350" s="18"/>
      <c r="BO350" s="18"/>
      <c r="BP350" s="18"/>
      <c r="BQ350" s="18"/>
      <c r="BR350" s="18"/>
      <c r="BS350" s="18"/>
      <c r="BT350" s="18"/>
      <c r="BU350" s="18"/>
    </row>
    <row r="351" spans="3:73" x14ac:dyDescent="0.45">
      <c r="C351" s="15" t="s">
        <v>249</v>
      </c>
      <c r="D351" s="15" t="s">
        <v>326</v>
      </c>
      <c r="E351" s="15" t="s">
        <v>276</v>
      </c>
      <c r="F351" s="15"/>
      <c r="G351" s="15"/>
      <c r="H351" s="15"/>
      <c r="I351" s="15"/>
      <c r="J351" s="18"/>
      <c r="K351" s="18"/>
      <c r="L351" s="19">
        <v>15</v>
      </c>
      <c r="M351" s="18"/>
      <c r="N351" s="18"/>
      <c r="O351" s="18"/>
      <c r="P351" s="18"/>
      <c r="Q351" s="18"/>
      <c r="R351" s="19">
        <v>15</v>
      </c>
      <c r="S351" s="18"/>
      <c r="T351" s="18"/>
      <c r="U351" s="18"/>
      <c r="V351" s="18"/>
      <c r="X351" s="15" t="s">
        <v>328</v>
      </c>
      <c r="Y351" s="15" t="s">
        <v>324</v>
      </c>
      <c r="Z351" s="15" t="s">
        <v>352</v>
      </c>
      <c r="AA351" s="15"/>
      <c r="AB351" s="15"/>
      <c r="AC351" s="15"/>
      <c r="AD351" s="15" t="s">
        <v>323</v>
      </c>
      <c r="AE351" s="18"/>
      <c r="AF351" s="18"/>
      <c r="AG351" s="19">
        <v>18.744199504942301</v>
      </c>
      <c r="AH351" s="18"/>
      <c r="AI351" s="18"/>
      <c r="AJ351" s="18"/>
      <c r="AK351" s="18"/>
      <c r="AL351" s="18"/>
      <c r="AM351" s="19">
        <v>18.744199504942301</v>
      </c>
      <c r="AN351" s="18"/>
      <c r="AO351" s="18"/>
      <c r="AP351" s="18"/>
      <c r="AR351" s="15" t="s">
        <v>249</v>
      </c>
      <c r="AS351" s="15" t="s">
        <v>567</v>
      </c>
      <c r="AT351" s="15" t="s">
        <v>716</v>
      </c>
      <c r="AU351" s="15"/>
      <c r="AV351" s="15"/>
      <c r="AW351" s="15"/>
      <c r="AX351" s="15"/>
      <c r="AY351" s="15"/>
      <c r="AZ351" s="18"/>
      <c r="BA351" s="19">
        <v>2.5000000000000001E-2</v>
      </c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9">
        <v>0.05</v>
      </c>
      <c r="BM351" s="18"/>
      <c r="BN351" s="18"/>
      <c r="BO351" s="18"/>
      <c r="BP351" s="18"/>
      <c r="BQ351" s="18"/>
      <c r="BR351" s="18"/>
      <c r="BS351" s="18"/>
      <c r="BT351" s="18"/>
      <c r="BU351" s="18"/>
    </row>
    <row r="352" spans="3:73" x14ac:dyDescent="0.45">
      <c r="C352" s="15" t="s">
        <v>249</v>
      </c>
      <c r="D352" s="15" t="s">
        <v>326</v>
      </c>
      <c r="E352" s="15" t="s">
        <v>277</v>
      </c>
      <c r="F352" s="15"/>
      <c r="G352" s="15"/>
      <c r="H352" s="15"/>
      <c r="I352" s="15"/>
      <c r="J352" s="18"/>
      <c r="K352" s="18"/>
      <c r="L352" s="19">
        <v>17.123290000000001</v>
      </c>
      <c r="M352" s="18"/>
      <c r="N352" s="18"/>
      <c r="O352" s="18"/>
      <c r="P352" s="18"/>
      <c r="Q352" s="18"/>
      <c r="R352" s="19">
        <v>17.123290000000001</v>
      </c>
      <c r="S352" s="18"/>
      <c r="T352" s="18"/>
      <c r="U352" s="18"/>
      <c r="V352" s="18"/>
      <c r="X352" s="15" t="s">
        <v>328</v>
      </c>
      <c r="Y352" s="15" t="s">
        <v>324</v>
      </c>
      <c r="Z352" s="15" t="s">
        <v>353</v>
      </c>
      <c r="AA352" s="15"/>
      <c r="AB352" s="15"/>
      <c r="AC352" s="15"/>
      <c r="AD352" s="15" t="s">
        <v>323</v>
      </c>
      <c r="AE352" s="18"/>
      <c r="AF352" s="18"/>
      <c r="AG352" s="19">
        <v>1.2391652495566501</v>
      </c>
      <c r="AH352" s="18"/>
      <c r="AI352" s="18"/>
      <c r="AJ352" s="18"/>
      <c r="AK352" s="18"/>
      <c r="AL352" s="18"/>
      <c r="AM352" s="19">
        <v>1.2391652495566501</v>
      </c>
      <c r="AN352" s="18"/>
      <c r="AO352" s="18"/>
      <c r="AP352" s="18"/>
      <c r="AR352" s="15" t="s">
        <v>249</v>
      </c>
      <c r="AS352" s="15" t="s">
        <v>567</v>
      </c>
      <c r="AT352" s="15" t="s">
        <v>717</v>
      </c>
      <c r="AU352" s="15"/>
      <c r="AV352" s="15"/>
      <c r="AW352" s="15"/>
      <c r="AX352" s="15"/>
      <c r="AY352" s="15"/>
      <c r="AZ352" s="18"/>
      <c r="BA352" s="19">
        <v>2.5000000000000001E-2</v>
      </c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9">
        <v>0.05</v>
      </c>
      <c r="BM352" s="18"/>
      <c r="BN352" s="18"/>
      <c r="BO352" s="18"/>
      <c r="BP352" s="18"/>
      <c r="BQ352" s="18"/>
      <c r="BR352" s="18"/>
      <c r="BS352" s="18"/>
      <c r="BT352" s="18"/>
      <c r="BU352" s="18"/>
    </row>
    <row r="353" spans="3:73" x14ac:dyDescent="0.45">
      <c r="C353" s="15" t="s">
        <v>249</v>
      </c>
      <c r="D353" s="15" t="s">
        <v>326</v>
      </c>
      <c r="E353" s="15" t="s">
        <v>278</v>
      </c>
      <c r="F353" s="15"/>
      <c r="G353" s="15"/>
      <c r="H353" s="15"/>
      <c r="I353" s="15"/>
      <c r="J353" s="18"/>
      <c r="K353" s="18"/>
      <c r="L353" s="19">
        <v>15</v>
      </c>
      <c r="M353" s="18"/>
      <c r="N353" s="18"/>
      <c r="O353" s="18"/>
      <c r="P353" s="18"/>
      <c r="Q353" s="18"/>
      <c r="R353" s="19">
        <v>15</v>
      </c>
      <c r="S353" s="18"/>
      <c r="T353" s="18"/>
      <c r="U353" s="18"/>
      <c r="V353" s="18"/>
      <c r="X353" s="15" t="s">
        <v>328</v>
      </c>
      <c r="Y353" s="15" t="s">
        <v>324</v>
      </c>
      <c r="Z353" s="15" t="s">
        <v>354</v>
      </c>
      <c r="AA353" s="15"/>
      <c r="AB353" s="15"/>
      <c r="AC353" s="15"/>
      <c r="AD353" s="15" t="s">
        <v>323</v>
      </c>
      <c r="AE353" s="18"/>
      <c r="AF353" s="18"/>
      <c r="AG353" s="19">
        <v>1.26178058877254</v>
      </c>
      <c r="AH353" s="18"/>
      <c r="AI353" s="18"/>
      <c r="AJ353" s="18"/>
      <c r="AK353" s="18"/>
      <c r="AL353" s="18"/>
      <c r="AM353" s="19">
        <v>1.26178058877254</v>
      </c>
      <c r="AN353" s="18"/>
      <c r="AO353" s="18"/>
      <c r="AP353" s="18"/>
      <c r="AR353" s="15" t="s">
        <v>249</v>
      </c>
      <c r="AS353" s="15" t="s">
        <v>567</v>
      </c>
      <c r="AT353" s="15" t="s">
        <v>718</v>
      </c>
      <c r="AU353" s="15"/>
      <c r="AV353" s="15"/>
      <c r="AW353" s="15"/>
      <c r="AX353" s="15"/>
      <c r="AY353" s="15"/>
      <c r="AZ353" s="18"/>
      <c r="BA353" s="19">
        <v>2.5000000000000001E-2</v>
      </c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9">
        <v>0.05</v>
      </c>
      <c r="BM353" s="18"/>
      <c r="BN353" s="18"/>
      <c r="BO353" s="18"/>
      <c r="BP353" s="18"/>
      <c r="BQ353" s="18"/>
      <c r="BR353" s="18"/>
      <c r="BS353" s="18"/>
      <c r="BT353" s="18"/>
      <c r="BU353" s="18"/>
    </row>
    <row r="354" spans="3:73" x14ac:dyDescent="0.45">
      <c r="C354" s="15" t="s">
        <v>249</v>
      </c>
      <c r="D354" s="15" t="s">
        <v>326</v>
      </c>
      <c r="E354" s="15" t="s">
        <v>279</v>
      </c>
      <c r="F354" s="15"/>
      <c r="G354" s="15"/>
      <c r="H354" s="15"/>
      <c r="I354" s="15"/>
      <c r="J354" s="18"/>
      <c r="K354" s="18"/>
      <c r="L354" s="19">
        <v>15</v>
      </c>
      <c r="M354" s="18"/>
      <c r="N354" s="18"/>
      <c r="O354" s="18"/>
      <c r="P354" s="18"/>
      <c r="Q354" s="18"/>
      <c r="R354" s="19">
        <v>15</v>
      </c>
      <c r="S354" s="18"/>
      <c r="T354" s="18"/>
      <c r="U354" s="18"/>
      <c r="V354" s="18"/>
      <c r="X354" s="15" t="s">
        <v>328</v>
      </c>
      <c r="Y354" s="15" t="s">
        <v>324</v>
      </c>
      <c r="Z354" s="15" t="s">
        <v>355</v>
      </c>
      <c r="AA354" s="15"/>
      <c r="AB354" s="15"/>
      <c r="AC354" s="15"/>
      <c r="AD354" s="15" t="s">
        <v>323</v>
      </c>
      <c r="AE354" s="18"/>
      <c r="AF354" s="18"/>
      <c r="AG354" s="19">
        <v>1.09979187902069</v>
      </c>
      <c r="AH354" s="18"/>
      <c r="AI354" s="18"/>
      <c r="AJ354" s="18"/>
      <c r="AK354" s="18"/>
      <c r="AL354" s="18"/>
      <c r="AM354" s="19">
        <v>1.09979187902069</v>
      </c>
      <c r="AN354" s="18"/>
      <c r="AO354" s="18"/>
      <c r="AP354" s="18"/>
      <c r="AR354" s="15" t="s">
        <v>249</v>
      </c>
      <c r="AS354" s="15" t="s">
        <v>567</v>
      </c>
      <c r="AT354" s="15" t="s">
        <v>719</v>
      </c>
      <c r="AU354" s="15"/>
      <c r="AV354" s="15"/>
      <c r="AW354" s="15"/>
      <c r="AX354" s="15"/>
      <c r="AY354" s="15"/>
      <c r="AZ354" s="18"/>
      <c r="BA354" s="19">
        <v>2.5000000000000001E-2</v>
      </c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9">
        <v>0.05</v>
      </c>
      <c r="BM354" s="18"/>
      <c r="BN354" s="18"/>
      <c r="BO354" s="18"/>
      <c r="BP354" s="18"/>
      <c r="BQ354" s="18"/>
      <c r="BR354" s="18"/>
      <c r="BS354" s="18"/>
      <c r="BT354" s="18"/>
      <c r="BU354" s="18"/>
    </row>
    <row r="355" spans="3:73" x14ac:dyDescent="0.45">
      <c r="C355" s="15" t="s">
        <v>249</v>
      </c>
      <c r="D355" s="15" t="s">
        <v>326</v>
      </c>
      <c r="E355" s="15" t="s">
        <v>280</v>
      </c>
      <c r="F355" s="15"/>
      <c r="G355" s="15"/>
      <c r="H355" s="15"/>
      <c r="I355" s="15"/>
      <c r="J355" s="18"/>
      <c r="K355" s="18"/>
      <c r="L355" s="19">
        <v>15</v>
      </c>
      <c r="M355" s="18"/>
      <c r="N355" s="18"/>
      <c r="O355" s="18"/>
      <c r="P355" s="18"/>
      <c r="Q355" s="18"/>
      <c r="R355" s="19">
        <v>15</v>
      </c>
      <c r="S355" s="18"/>
      <c r="T355" s="18"/>
      <c r="U355" s="18"/>
      <c r="V355" s="18"/>
      <c r="X355" s="15" t="s">
        <v>328</v>
      </c>
      <c r="Y355" s="15" t="s">
        <v>324</v>
      </c>
      <c r="Z355" s="15" t="s">
        <v>356</v>
      </c>
      <c r="AA355" s="15"/>
      <c r="AB355" s="15"/>
      <c r="AC355" s="15"/>
      <c r="AD355" s="15" t="s">
        <v>323</v>
      </c>
      <c r="AE355" s="18"/>
      <c r="AF355" s="18"/>
      <c r="AG355" s="19">
        <v>1.13302870436116</v>
      </c>
      <c r="AH355" s="18"/>
      <c r="AI355" s="18"/>
      <c r="AJ355" s="18"/>
      <c r="AK355" s="18"/>
      <c r="AL355" s="18"/>
      <c r="AM355" s="19">
        <v>1.13302870436116</v>
      </c>
      <c r="AN355" s="18"/>
      <c r="AO355" s="18"/>
      <c r="AP355" s="18"/>
      <c r="AR355" s="15" t="s">
        <v>249</v>
      </c>
      <c r="AS355" s="15" t="s">
        <v>567</v>
      </c>
      <c r="AT355" s="15" t="s">
        <v>720</v>
      </c>
      <c r="AU355" s="15"/>
      <c r="AV355" s="15"/>
      <c r="AW355" s="15"/>
      <c r="AX355" s="15"/>
      <c r="AY355" s="15"/>
      <c r="AZ355" s="18"/>
      <c r="BA355" s="19">
        <v>2.5000000000000001E-2</v>
      </c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9">
        <v>0.05</v>
      </c>
      <c r="BM355" s="18"/>
      <c r="BN355" s="18"/>
      <c r="BO355" s="18"/>
      <c r="BP355" s="18"/>
      <c r="BQ355" s="18"/>
      <c r="BR355" s="18"/>
      <c r="BS355" s="18"/>
      <c r="BT355" s="18"/>
      <c r="BU355" s="18"/>
    </row>
    <row r="356" spans="3:73" x14ac:dyDescent="0.45">
      <c r="C356" s="15" t="s">
        <v>249</v>
      </c>
      <c r="D356" s="15" t="s">
        <v>326</v>
      </c>
      <c r="E356" s="15" t="s">
        <v>281</v>
      </c>
      <c r="F356" s="15"/>
      <c r="G356" s="15"/>
      <c r="H356" s="15"/>
      <c r="I356" s="15"/>
      <c r="J356" s="18"/>
      <c r="K356" s="18"/>
      <c r="L356" s="19">
        <v>15</v>
      </c>
      <c r="M356" s="18"/>
      <c r="N356" s="18"/>
      <c r="O356" s="18"/>
      <c r="P356" s="18"/>
      <c r="Q356" s="18"/>
      <c r="R356" s="19">
        <v>15</v>
      </c>
      <c r="S356" s="18"/>
      <c r="T356" s="18"/>
      <c r="U356" s="18"/>
      <c r="V356" s="18"/>
      <c r="X356" s="15" t="s">
        <v>328</v>
      </c>
      <c r="Y356" s="15" t="s">
        <v>324</v>
      </c>
      <c r="Z356" s="15" t="s">
        <v>357</v>
      </c>
      <c r="AA356" s="15"/>
      <c r="AB356" s="15"/>
      <c r="AC356" s="15"/>
      <c r="AD356" s="15" t="s">
        <v>323</v>
      </c>
      <c r="AE356" s="18"/>
      <c r="AF356" s="18"/>
      <c r="AG356" s="19">
        <v>1.3430866666666701</v>
      </c>
      <c r="AH356" s="18"/>
      <c r="AI356" s="18"/>
      <c r="AJ356" s="18"/>
      <c r="AK356" s="18"/>
      <c r="AL356" s="18"/>
      <c r="AM356" s="19">
        <v>1.3430866666666701</v>
      </c>
      <c r="AN356" s="18"/>
      <c r="AO356" s="18"/>
      <c r="AP356" s="18"/>
      <c r="AR356" s="15" t="s">
        <v>249</v>
      </c>
      <c r="AS356" s="15" t="s">
        <v>567</v>
      </c>
      <c r="AT356" s="15" t="s">
        <v>721</v>
      </c>
      <c r="AU356" s="15"/>
      <c r="AV356" s="15"/>
      <c r="AW356" s="15"/>
      <c r="AX356" s="15"/>
      <c r="AY356" s="15"/>
      <c r="AZ356" s="18"/>
      <c r="BA356" s="19">
        <v>2.5000000000000001E-2</v>
      </c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9">
        <v>0.05</v>
      </c>
      <c r="BM356" s="18"/>
      <c r="BN356" s="18"/>
      <c r="BO356" s="18"/>
      <c r="BP356" s="18"/>
      <c r="BQ356" s="18"/>
      <c r="BR356" s="18"/>
      <c r="BS356" s="18"/>
      <c r="BT356" s="18"/>
      <c r="BU356" s="18"/>
    </row>
    <row r="357" spans="3:73" x14ac:dyDescent="0.45">
      <c r="C357" s="15" t="s">
        <v>249</v>
      </c>
      <c r="D357" s="15" t="s">
        <v>326</v>
      </c>
      <c r="E357" s="15" t="s">
        <v>282</v>
      </c>
      <c r="F357" s="15"/>
      <c r="G357" s="15"/>
      <c r="H357" s="15"/>
      <c r="I357" s="15"/>
      <c r="J357" s="18"/>
      <c r="K357" s="18"/>
      <c r="L357" s="19">
        <v>15</v>
      </c>
      <c r="M357" s="18"/>
      <c r="N357" s="18"/>
      <c r="O357" s="18"/>
      <c r="P357" s="18"/>
      <c r="Q357" s="18"/>
      <c r="R357" s="19">
        <v>15</v>
      </c>
      <c r="S357" s="18"/>
      <c r="T357" s="18"/>
      <c r="U357" s="18"/>
      <c r="V357" s="18"/>
      <c r="X357" s="15" t="s">
        <v>328</v>
      </c>
      <c r="Y357" s="15" t="s">
        <v>324</v>
      </c>
      <c r="Z357" s="15" t="s">
        <v>358</v>
      </c>
      <c r="AA357" s="15"/>
      <c r="AB357" s="15"/>
      <c r="AC357" s="15"/>
      <c r="AD357" s="15" t="s">
        <v>323</v>
      </c>
      <c r="AE357" s="18"/>
      <c r="AF357" s="18"/>
      <c r="AG357" s="19">
        <v>1.3836761070950301</v>
      </c>
      <c r="AH357" s="18"/>
      <c r="AI357" s="18"/>
      <c r="AJ357" s="18"/>
      <c r="AK357" s="18"/>
      <c r="AL357" s="18"/>
      <c r="AM357" s="19">
        <v>1.3836761070950301</v>
      </c>
      <c r="AN357" s="18"/>
      <c r="AO357" s="18"/>
      <c r="AP357" s="18"/>
      <c r="AR357" s="15" t="s">
        <v>249</v>
      </c>
      <c r="AS357" s="15" t="s">
        <v>567</v>
      </c>
      <c r="AT357" s="15" t="s">
        <v>722</v>
      </c>
      <c r="AU357" s="15"/>
      <c r="AV357" s="15"/>
      <c r="AW357" s="15"/>
      <c r="AX357" s="15"/>
      <c r="AY357" s="15"/>
      <c r="AZ357" s="18"/>
      <c r="BA357" s="19">
        <v>2.5000000000000001E-2</v>
      </c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9">
        <v>0.05</v>
      </c>
      <c r="BM357" s="18"/>
      <c r="BN357" s="18"/>
      <c r="BO357" s="18"/>
      <c r="BP357" s="18"/>
      <c r="BQ357" s="18"/>
      <c r="BR357" s="18"/>
      <c r="BS357" s="18"/>
      <c r="BT357" s="18"/>
      <c r="BU357" s="18"/>
    </row>
    <row r="358" spans="3:73" x14ac:dyDescent="0.45">
      <c r="C358" s="15" t="s">
        <v>249</v>
      </c>
      <c r="D358" s="15" t="s">
        <v>326</v>
      </c>
      <c r="E358" s="15" t="s">
        <v>283</v>
      </c>
      <c r="F358" s="15"/>
      <c r="G358" s="15"/>
      <c r="H358" s="15"/>
      <c r="I358" s="15"/>
      <c r="J358" s="18"/>
      <c r="K358" s="18"/>
      <c r="L358" s="19">
        <v>15</v>
      </c>
      <c r="M358" s="18"/>
      <c r="N358" s="18"/>
      <c r="O358" s="18"/>
      <c r="P358" s="18"/>
      <c r="Q358" s="18"/>
      <c r="R358" s="19">
        <v>15</v>
      </c>
      <c r="S358" s="18"/>
      <c r="T358" s="18"/>
      <c r="U358" s="18"/>
      <c r="V358" s="18"/>
      <c r="X358" s="15" t="s">
        <v>328</v>
      </c>
      <c r="Y358" s="15" t="s">
        <v>324</v>
      </c>
      <c r="Z358" s="15" t="s">
        <v>359</v>
      </c>
      <c r="AA358" s="15"/>
      <c r="AB358" s="15"/>
      <c r="AC358" s="15"/>
      <c r="AD358" s="15" t="s">
        <v>323</v>
      </c>
      <c r="AE358" s="18"/>
      <c r="AF358" s="18"/>
      <c r="AG358" s="19">
        <v>1.17948765247058</v>
      </c>
      <c r="AH358" s="18"/>
      <c r="AI358" s="18"/>
      <c r="AJ358" s="18"/>
      <c r="AK358" s="18"/>
      <c r="AL358" s="18"/>
      <c r="AM358" s="19">
        <v>1.17948765247058</v>
      </c>
      <c r="AN358" s="18"/>
      <c r="AO358" s="18"/>
      <c r="AP358" s="18"/>
      <c r="AR358" s="15" t="s">
        <v>249</v>
      </c>
      <c r="AS358" s="15" t="s">
        <v>567</v>
      </c>
      <c r="AT358" s="15" t="s">
        <v>723</v>
      </c>
      <c r="AU358" s="15"/>
      <c r="AV358" s="15"/>
      <c r="AW358" s="15"/>
      <c r="AX358" s="15"/>
      <c r="AY358" s="15"/>
      <c r="AZ358" s="18"/>
      <c r="BA358" s="19">
        <v>2.5000000000000001E-2</v>
      </c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9">
        <v>0.05</v>
      </c>
      <c r="BM358" s="18"/>
      <c r="BN358" s="18"/>
      <c r="BO358" s="18"/>
      <c r="BP358" s="18"/>
      <c r="BQ358" s="18"/>
      <c r="BR358" s="18"/>
      <c r="BS358" s="18"/>
      <c r="BT358" s="18"/>
      <c r="BU358" s="18"/>
    </row>
    <row r="359" spans="3:73" x14ac:dyDescent="0.45">
      <c r="C359" s="15" t="s">
        <v>249</v>
      </c>
      <c r="D359" s="15" t="s">
        <v>326</v>
      </c>
      <c r="E359" s="15" t="s">
        <v>284</v>
      </c>
      <c r="F359" s="15"/>
      <c r="G359" s="15"/>
      <c r="H359" s="15"/>
      <c r="I359" s="15"/>
      <c r="J359" s="18"/>
      <c r="K359" s="18"/>
      <c r="L359" s="19">
        <v>20</v>
      </c>
      <c r="M359" s="18"/>
      <c r="N359" s="18"/>
      <c r="O359" s="18"/>
      <c r="P359" s="18"/>
      <c r="Q359" s="18"/>
      <c r="R359" s="19">
        <v>20</v>
      </c>
      <c r="S359" s="18"/>
      <c r="T359" s="18"/>
      <c r="U359" s="18"/>
      <c r="V359" s="18"/>
      <c r="X359" s="15" t="s">
        <v>328</v>
      </c>
      <c r="Y359" s="15" t="s">
        <v>324</v>
      </c>
      <c r="Z359" s="15" t="s">
        <v>360</v>
      </c>
      <c r="AA359" s="15"/>
      <c r="AB359" s="15"/>
      <c r="AC359" s="15"/>
      <c r="AD359" s="15" t="s">
        <v>323</v>
      </c>
      <c r="AE359" s="18"/>
      <c r="AF359" s="18"/>
      <c r="AG359" s="19">
        <v>1.2151329648648701</v>
      </c>
      <c r="AH359" s="18"/>
      <c r="AI359" s="18"/>
      <c r="AJ359" s="18"/>
      <c r="AK359" s="18"/>
      <c r="AL359" s="18"/>
      <c r="AM359" s="19">
        <v>1.2151329648648701</v>
      </c>
      <c r="AN359" s="18"/>
      <c r="AO359" s="18"/>
      <c r="AP359" s="18"/>
      <c r="AR359" s="15" t="s">
        <v>249</v>
      </c>
      <c r="AS359" s="15" t="s">
        <v>567</v>
      </c>
      <c r="AT359" s="15" t="s">
        <v>724</v>
      </c>
      <c r="AU359" s="15"/>
      <c r="AV359" s="15"/>
      <c r="AW359" s="15"/>
      <c r="AX359" s="15"/>
      <c r="AY359" s="15"/>
      <c r="AZ359" s="18"/>
      <c r="BA359" s="19">
        <v>2.5000000000000001E-2</v>
      </c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9">
        <v>0.05</v>
      </c>
      <c r="BM359" s="18"/>
      <c r="BN359" s="18"/>
      <c r="BO359" s="18"/>
      <c r="BP359" s="18"/>
      <c r="BQ359" s="18"/>
      <c r="BR359" s="18"/>
      <c r="BS359" s="18"/>
      <c r="BT359" s="18"/>
      <c r="BU359" s="18"/>
    </row>
    <row r="360" spans="3:73" x14ac:dyDescent="0.45">
      <c r="C360" s="15" t="s">
        <v>249</v>
      </c>
      <c r="D360" s="15" t="s">
        <v>326</v>
      </c>
      <c r="E360" s="15" t="s">
        <v>285</v>
      </c>
      <c r="F360" s="15"/>
      <c r="G360" s="15"/>
      <c r="H360" s="15"/>
      <c r="I360" s="15"/>
      <c r="J360" s="18"/>
      <c r="K360" s="18"/>
      <c r="L360" s="19">
        <v>20</v>
      </c>
      <c r="M360" s="18"/>
      <c r="N360" s="18"/>
      <c r="O360" s="18"/>
      <c r="P360" s="18"/>
      <c r="Q360" s="18"/>
      <c r="R360" s="19">
        <v>20</v>
      </c>
      <c r="S360" s="18"/>
      <c r="T360" s="18"/>
      <c r="U360" s="18"/>
      <c r="V360" s="18"/>
      <c r="X360" s="15" t="s">
        <v>328</v>
      </c>
      <c r="Y360" s="15" t="s">
        <v>324</v>
      </c>
      <c r="Z360" s="15" t="s">
        <v>361</v>
      </c>
      <c r="AA360" s="15"/>
      <c r="AB360" s="15"/>
      <c r="AC360" s="15"/>
      <c r="AD360" s="15" t="s">
        <v>323</v>
      </c>
      <c r="AE360" s="18"/>
      <c r="AF360" s="18"/>
      <c r="AG360" s="19">
        <v>0.25</v>
      </c>
      <c r="AH360" s="18"/>
      <c r="AI360" s="18"/>
      <c r="AJ360" s="18"/>
      <c r="AK360" s="18"/>
      <c r="AL360" s="18"/>
      <c r="AM360" s="19">
        <v>0.25</v>
      </c>
      <c r="AN360" s="18"/>
      <c r="AO360" s="18"/>
      <c r="AP360" s="18"/>
      <c r="AR360" s="15" t="s">
        <v>249</v>
      </c>
      <c r="AS360" s="15" t="s">
        <v>567</v>
      </c>
      <c r="AT360" s="15" t="s">
        <v>725</v>
      </c>
      <c r="AU360" s="15"/>
      <c r="AV360" s="15"/>
      <c r="AW360" s="15"/>
      <c r="AX360" s="15"/>
      <c r="AY360" s="15"/>
      <c r="AZ360" s="18"/>
      <c r="BA360" s="19">
        <v>2.5000000000000001E-2</v>
      </c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9">
        <v>0.05</v>
      </c>
      <c r="BM360" s="18"/>
      <c r="BN360" s="18"/>
      <c r="BO360" s="18"/>
      <c r="BP360" s="18"/>
      <c r="BQ360" s="18"/>
      <c r="BR360" s="18"/>
      <c r="BS360" s="18"/>
      <c r="BT360" s="18"/>
      <c r="BU360" s="18"/>
    </row>
    <row r="361" spans="3:73" x14ac:dyDescent="0.45">
      <c r="C361" s="15" t="s">
        <v>249</v>
      </c>
      <c r="D361" s="15" t="s">
        <v>326</v>
      </c>
      <c r="E361" s="15" t="s">
        <v>286</v>
      </c>
      <c r="F361" s="15"/>
      <c r="G361" s="15"/>
      <c r="H361" s="15"/>
      <c r="I361" s="15"/>
      <c r="J361" s="18"/>
      <c r="K361" s="18"/>
      <c r="L361" s="19">
        <v>20</v>
      </c>
      <c r="M361" s="18"/>
      <c r="N361" s="18"/>
      <c r="O361" s="18"/>
      <c r="P361" s="18"/>
      <c r="Q361" s="18"/>
      <c r="R361" s="19">
        <v>20</v>
      </c>
      <c r="S361" s="18"/>
      <c r="T361" s="18"/>
      <c r="U361" s="18"/>
      <c r="V361" s="18"/>
      <c r="X361" s="15" t="s">
        <v>328</v>
      </c>
      <c r="Y361" s="15" t="s">
        <v>324</v>
      </c>
      <c r="Z361" s="15" t="s">
        <v>362</v>
      </c>
      <c r="AA361" s="15"/>
      <c r="AB361" s="15"/>
      <c r="AC361" s="15"/>
      <c r="AD361" s="15" t="s">
        <v>323</v>
      </c>
      <c r="AE361" s="18"/>
      <c r="AF361" s="18"/>
      <c r="AG361" s="19">
        <v>0.5</v>
      </c>
      <c r="AH361" s="18"/>
      <c r="AI361" s="18"/>
      <c r="AJ361" s="18"/>
      <c r="AK361" s="18"/>
      <c r="AL361" s="18"/>
      <c r="AM361" s="19">
        <v>0.5</v>
      </c>
      <c r="AN361" s="18"/>
      <c r="AO361" s="18"/>
      <c r="AP361" s="18"/>
      <c r="AR361" s="15" t="s">
        <v>249</v>
      </c>
      <c r="AS361" s="15" t="s">
        <v>567</v>
      </c>
      <c r="AT361" s="15" t="s">
        <v>726</v>
      </c>
      <c r="AU361" s="15"/>
      <c r="AV361" s="15"/>
      <c r="AW361" s="15"/>
      <c r="AX361" s="15"/>
      <c r="AY361" s="15"/>
      <c r="AZ361" s="18"/>
      <c r="BA361" s="19">
        <v>2.5000000000000001E-2</v>
      </c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9">
        <v>0.05</v>
      </c>
      <c r="BM361" s="18"/>
      <c r="BN361" s="18"/>
      <c r="BO361" s="18"/>
      <c r="BP361" s="18"/>
      <c r="BQ361" s="18"/>
      <c r="BR361" s="18"/>
      <c r="BS361" s="18"/>
      <c r="BT361" s="18"/>
      <c r="BU361" s="18"/>
    </row>
    <row r="362" spans="3:73" x14ac:dyDescent="0.45">
      <c r="C362" s="15" t="s">
        <v>249</v>
      </c>
      <c r="D362" s="15" t="s">
        <v>326</v>
      </c>
      <c r="E362" s="15" t="s">
        <v>287</v>
      </c>
      <c r="F362" s="15"/>
      <c r="G362" s="15"/>
      <c r="H362" s="15"/>
      <c r="I362" s="15"/>
      <c r="J362" s="19"/>
      <c r="K362" s="18"/>
      <c r="L362" s="18">
        <v>17.123290000000001</v>
      </c>
      <c r="M362" s="18"/>
      <c r="N362" s="18"/>
      <c r="O362" s="18"/>
      <c r="P362" s="19"/>
      <c r="Q362" s="18"/>
      <c r="R362" s="18">
        <v>17.123290000000001</v>
      </c>
      <c r="S362" s="18"/>
      <c r="T362" s="18"/>
      <c r="U362" s="18"/>
      <c r="V362" s="18"/>
      <c r="X362" s="15" t="s">
        <v>328</v>
      </c>
      <c r="Y362" s="15" t="s">
        <v>325</v>
      </c>
      <c r="Z362" s="15" t="s">
        <v>330</v>
      </c>
      <c r="AA362" s="15"/>
      <c r="AB362" s="15"/>
      <c r="AC362" s="15"/>
      <c r="AD362" s="15"/>
      <c r="AE362" s="19">
        <v>2020</v>
      </c>
      <c r="AF362" s="18"/>
      <c r="AG362" s="18"/>
      <c r="AH362" s="18"/>
      <c r="AI362" s="18"/>
      <c r="AJ362" s="18"/>
      <c r="AK362" s="19">
        <v>2020</v>
      </c>
      <c r="AL362" s="18"/>
      <c r="AM362" s="18"/>
      <c r="AN362" s="18"/>
      <c r="AO362" s="18"/>
      <c r="AP362" s="18"/>
      <c r="AR362" s="15" t="s">
        <v>249</v>
      </c>
      <c r="AS362" s="15" t="s">
        <v>567</v>
      </c>
      <c r="AT362" s="15" t="s">
        <v>727</v>
      </c>
      <c r="AU362" s="15"/>
      <c r="AV362" s="15"/>
      <c r="AW362" s="15"/>
      <c r="AX362" s="15"/>
      <c r="AY362" s="15"/>
      <c r="AZ362" s="18"/>
      <c r="BA362" s="19">
        <v>2.5000000000000001E-2</v>
      </c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9">
        <v>0.05</v>
      </c>
      <c r="BM362" s="18"/>
      <c r="BN362" s="18"/>
      <c r="BO362" s="18"/>
      <c r="BP362" s="18"/>
      <c r="BQ362" s="18"/>
      <c r="BR362" s="18"/>
      <c r="BS362" s="18"/>
      <c r="BT362" s="18"/>
      <c r="BU362" s="18"/>
    </row>
    <row r="363" spans="3:73" x14ac:dyDescent="0.45">
      <c r="C363" s="15" t="s">
        <v>249</v>
      </c>
      <c r="D363" s="15" t="s">
        <v>326</v>
      </c>
      <c r="E363" s="15" t="s">
        <v>288</v>
      </c>
      <c r="F363" s="15"/>
      <c r="G363" s="15"/>
      <c r="H363" s="15"/>
      <c r="I363" s="15"/>
      <c r="J363" s="19"/>
      <c r="K363" s="18"/>
      <c r="L363" s="18">
        <v>22</v>
      </c>
      <c r="M363" s="18"/>
      <c r="N363" s="18"/>
      <c r="O363" s="18"/>
      <c r="P363" s="19"/>
      <c r="Q363" s="18"/>
      <c r="R363" s="18">
        <v>22</v>
      </c>
      <c r="S363" s="18"/>
      <c r="T363" s="18"/>
      <c r="U363" s="18"/>
      <c r="V363" s="18"/>
      <c r="X363" s="15" t="s">
        <v>328</v>
      </c>
      <c r="Y363" s="15" t="s">
        <v>325</v>
      </c>
      <c r="Z363" s="15" t="s">
        <v>331</v>
      </c>
      <c r="AA363" s="15"/>
      <c r="AB363" s="15"/>
      <c r="AC363" s="15"/>
      <c r="AD363" s="15"/>
      <c r="AE363" s="19">
        <v>2020</v>
      </c>
      <c r="AF363" s="18"/>
      <c r="AG363" s="18"/>
      <c r="AH363" s="18"/>
      <c r="AI363" s="18"/>
      <c r="AJ363" s="18"/>
      <c r="AK363" s="19">
        <v>2020</v>
      </c>
      <c r="AL363" s="18"/>
      <c r="AM363" s="18"/>
      <c r="AN363" s="18"/>
      <c r="AO363" s="18"/>
      <c r="AP363" s="18"/>
      <c r="AR363" s="15" t="s">
        <v>249</v>
      </c>
      <c r="AS363" s="15" t="s">
        <v>567</v>
      </c>
      <c r="AT363" s="15" t="s">
        <v>728</v>
      </c>
      <c r="AU363" s="15"/>
      <c r="AV363" s="15"/>
      <c r="AW363" s="15"/>
      <c r="AX363" s="15"/>
      <c r="AY363" s="15"/>
      <c r="AZ363" s="18"/>
      <c r="BA363" s="19">
        <v>2.5000000000000001E-2</v>
      </c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9">
        <v>0.05</v>
      </c>
      <c r="BM363" s="18"/>
      <c r="BN363" s="18"/>
      <c r="BO363" s="18"/>
      <c r="BP363" s="18"/>
      <c r="BQ363" s="18"/>
      <c r="BR363" s="18"/>
      <c r="BS363" s="18"/>
      <c r="BT363" s="18"/>
      <c r="BU363" s="18"/>
    </row>
    <row r="364" spans="3:73" x14ac:dyDescent="0.45">
      <c r="C364" s="15" t="s">
        <v>249</v>
      </c>
      <c r="D364" s="15" t="s">
        <v>326</v>
      </c>
      <c r="E364" s="15" t="s">
        <v>289</v>
      </c>
      <c r="F364" s="15"/>
      <c r="G364" s="15"/>
      <c r="H364" s="15"/>
      <c r="I364" s="15"/>
      <c r="J364" s="19"/>
      <c r="K364" s="18"/>
      <c r="L364" s="18">
        <v>22</v>
      </c>
      <c r="M364" s="18"/>
      <c r="N364" s="18"/>
      <c r="O364" s="18"/>
      <c r="P364" s="19"/>
      <c r="Q364" s="18"/>
      <c r="R364" s="18">
        <v>22</v>
      </c>
      <c r="S364" s="18"/>
      <c r="T364" s="18"/>
      <c r="U364" s="18"/>
      <c r="V364" s="18"/>
      <c r="X364" s="15" t="s">
        <v>328</v>
      </c>
      <c r="Y364" s="15" t="s">
        <v>325</v>
      </c>
      <c r="Z364" s="15" t="s">
        <v>332</v>
      </c>
      <c r="AA364" s="15"/>
      <c r="AB364" s="15"/>
      <c r="AC364" s="15"/>
      <c r="AD364" s="15"/>
      <c r="AE364" s="19">
        <v>2020</v>
      </c>
      <c r="AF364" s="18"/>
      <c r="AG364" s="18"/>
      <c r="AH364" s="18"/>
      <c r="AI364" s="18"/>
      <c r="AJ364" s="18"/>
      <c r="AK364" s="19">
        <v>2020</v>
      </c>
      <c r="AL364" s="18"/>
      <c r="AM364" s="18"/>
      <c r="AN364" s="18"/>
      <c r="AO364" s="18"/>
      <c r="AP364" s="18"/>
      <c r="AR364" s="15" t="s">
        <v>249</v>
      </c>
      <c r="AS364" s="15" t="s">
        <v>567</v>
      </c>
      <c r="AT364" s="15" t="s">
        <v>729</v>
      </c>
      <c r="AU364" s="15"/>
      <c r="AV364" s="15"/>
      <c r="AW364" s="15"/>
      <c r="AX364" s="15"/>
      <c r="AY364" s="15"/>
      <c r="AZ364" s="18"/>
      <c r="BA364" s="19">
        <v>2.5000000000000001E-2</v>
      </c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9">
        <v>0.05</v>
      </c>
      <c r="BM364" s="18"/>
      <c r="BN364" s="18"/>
      <c r="BO364" s="18"/>
      <c r="BP364" s="18"/>
      <c r="BQ364" s="18"/>
      <c r="BR364" s="18"/>
      <c r="BS364" s="18"/>
      <c r="BT364" s="18"/>
      <c r="BU364" s="18"/>
    </row>
    <row r="365" spans="3:73" x14ac:dyDescent="0.45">
      <c r="C365" s="15" t="s">
        <v>249</v>
      </c>
      <c r="D365" s="15" t="s">
        <v>326</v>
      </c>
      <c r="E365" s="15" t="s">
        <v>290</v>
      </c>
      <c r="F365" s="15"/>
      <c r="G365" s="15"/>
      <c r="H365" s="15"/>
      <c r="I365" s="15"/>
      <c r="J365" s="19"/>
      <c r="K365" s="18"/>
      <c r="L365" s="18">
        <v>22</v>
      </c>
      <c r="M365" s="18"/>
      <c r="N365" s="18"/>
      <c r="O365" s="18"/>
      <c r="P365" s="19"/>
      <c r="Q365" s="18"/>
      <c r="R365" s="18">
        <v>22</v>
      </c>
      <c r="S365" s="18"/>
      <c r="T365" s="18"/>
      <c r="U365" s="18"/>
      <c r="V365" s="18"/>
      <c r="X365" s="15" t="s">
        <v>328</v>
      </c>
      <c r="Y365" s="15" t="s">
        <v>325</v>
      </c>
      <c r="Z365" s="15" t="s">
        <v>333</v>
      </c>
      <c r="AA365" s="15"/>
      <c r="AB365" s="15"/>
      <c r="AC365" s="15"/>
      <c r="AD365" s="15"/>
      <c r="AE365" s="19">
        <v>2020</v>
      </c>
      <c r="AF365" s="18"/>
      <c r="AG365" s="18"/>
      <c r="AH365" s="18"/>
      <c r="AI365" s="18"/>
      <c r="AJ365" s="18"/>
      <c r="AK365" s="19">
        <v>2020</v>
      </c>
      <c r="AL365" s="18"/>
      <c r="AM365" s="18"/>
      <c r="AN365" s="18"/>
      <c r="AO365" s="18"/>
      <c r="AP365" s="18"/>
      <c r="AR365" s="15" t="s">
        <v>249</v>
      </c>
      <c r="AS365" s="15" t="s">
        <v>567</v>
      </c>
      <c r="AT365" s="15" t="s">
        <v>730</v>
      </c>
      <c r="AU365" s="15"/>
      <c r="AV365" s="15"/>
      <c r="AW365" s="15"/>
      <c r="AX365" s="15"/>
      <c r="AY365" s="15"/>
      <c r="AZ365" s="18"/>
      <c r="BA365" s="19">
        <v>2.5000000000000001E-2</v>
      </c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9">
        <v>0.05</v>
      </c>
      <c r="BM365" s="18"/>
      <c r="BN365" s="18"/>
      <c r="BO365" s="18"/>
      <c r="BP365" s="18"/>
      <c r="BQ365" s="18"/>
      <c r="BR365" s="18"/>
      <c r="BS365" s="18"/>
      <c r="BT365" s="18"/>
      <c r="BU365" s="18"/>
    </row>
    <row r="366" spans="3:73" x14ac:dyDescent="0.45">
      <c r="C366" s="15" t="s">
        <v>249</v>
      </c>
      <c r="D366" s="15" t="s">
        <v>326</v>
      </c>
      <c r="E366" s="15" t="s">
        <v>291</v>
      </c>
      <c r="F366" s="15"/>
      <c r="G366" s="15"/>
      <c r="H366" s="15"/>
      <c r="I366" s="15"/>
      <c r="J366" s="19"/>
      <c r="K366" s="18"/>
      <c r="L366" s="18">
        <v>12</v>
      </c>
      <c r="M366" s="18"/>
      <c r="N366" s="18"/>
      <c r="O366" s="18"/>
      <c r="P366" s="19"/>
      <c r="Q366" s="18"/>
      <c r="R366" s="18">
        <v>12</v>
      </c>
      <c r="S366" s="18"/>
      <c r="T366" s="18"/>
      <c r="U366" s="18"/>
      <c r="V366" s="18"/>
      <c r="X366" s="15" t="s">
        <v>328</v>
      </c>
      <c r="Y366" s="15" t="s">
        <v>325</v>
      </c>
      <c r="Z366" s="15" t="s">
        <v>334</v>
      </c>
      <c r="AA366" s="15"/>
      <c r="AB366" s="15"/>
      <c r="AC366" s="15"/>
      <c r="AD366" s="15"/>
      <c r="AE366" s="19">
        <v>2020</v>
      </c>
      <c r="AF366" s="18"/>
      <c r="AG366" s="18"/>
      <c r="AH366" s="18"/>
      <c r="AI366" s="18"/>
      <c r="AJ366" s="18"/>
      <c r="AK366" s="19">
        <v>2020</v>
      </c>
      <c r="AL366" s="18"/>
      <c r="AM366" s="18"/>
      <c r="AN366" s="18"/>
      <c r="AO366" s="18"/>
      <c r="AP366" s="18"/>
      <c r="AR366" s="15" t="s">
        <v>249</v>
      </c>
      <c r="AS366" s="15" t="s">
        <v>567</v>
      </c>
      <c r="AT366" s="15" t="s">
        <v>731</v>
      </c>
      <c r="AU366" s="15"/>
      <c r="AV366" s="15"/>
      <c r="AW366" s="15"/>
      <c r="AX366" s="15"/>
      <c r="AY366" s="15"/>
      <c r="AZ366" s="18"/>
      <c r="BA366" s="19">
        <v>2.5000000000000001E-2</v>
      </c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9">
        <v>0.05</v>
      </c>
      <c r="BM366" s="18"/>
      <c r="BN366" s="18"/>
      <c r="BO366" s="18"/>
      <c r="BP366" s="18"/>
      <c r="BQ366" s="18"/>
      <c r="BR366" s="18"/>
      <c r="BS366" s="18"/>
      <c r="BT366" s="18"/>
      <c r="BU366" s="18"/>
    </row>
    <row r="367" spans="3:73" x14ac:dyDescent="0.45">
      <c r="C367" s="15" t="s">
        <v>249</v>
      </c>
      <c r="D367" s="15" t="s">
        <v>326</v>
      </c>
      <c r="E367" s="15" t="s">
        <v>292</v>
      </c>
      <c r="F367" s="15"/>
      <c r="G367" s="15"/>
      <c r="H367" s="15"/>
      <c r="I367" s="15"/>
      <c r="J367" s="19"/>
      <c r="K367" s="18"/>
      <c r="L367" s="18">
        <v>12</v>
      </c>
      <c r="M367" s="18"/>
      <c r="N367" s="18"/>
      <c r="O367" s="18"/>
      <c r="P367" s="19"/>
      <c r="Q367" s="18"/>
      <c r="R367" s="18">
        <v>12</v>
      </c>
      <c r="S367" s="18"/>
      <c r="T367" s="18"/>
      <c r="U367" s="18"/>
      <c r="V367" s="18"/>
      <c r="X367" s="15" t="s">
        <v>328</v>
      </c>
      <c r="Y367" s="15" t="s">
        <v>325</v>
      </c>
      <c r="Z367" s="15" t="s">
        <v>335</v>
      </c>
      <c r="AA367" s="15"/>
      <c r="AB367" s="15"/>
      <c r="AC367" s="15"/>
      <c r="AD367" s="15"/>
      <c r="AE367" s="19">
        <v>2020</v>
      </c>
      <c r="AF367" s="18"/>
      <c r="AG367" s="18"/>
      <c r="AH367" s="18"/>
      <c r="AI367" s="18"/>
      <c r="AJ367" s="18"/>
      <c r="AK367" s="19">
        <v>2020</v>
      </c>
      <c r="AL367" s="18"/>
      <c r="AM367" s="18"/>
      <c r="AN367" s="18"/>
      <c r="AO367" s="18"/>
      <c r="AP367" s="18"/>
      <c r="AR367" s="15" t="s">
        <v>249</v>
      </c>
      <c r="AS367" s="15" t="s">
        <v>567</v>
      </c>
      <c r="AT367" s="15" t="s">
        <v>732</v>
      </c>
      <c r="AU367" s="15"/>
      <c r="AV367" s="15"/>
      <c r="AW367" s="15"/>
      <c r="AX367" s="15"/>
      <c r="AY367" s="15"/>
      <c r="AZ367" s="18"/>
      <c r="BA367" s="19">
        <v>2.5000000000000001E-2</v>
      </c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9">
        <v>0.05</v>
      </c>
      <c r="BM367" s="18"/>
      <c r="BN367" s="18"/>
      <c r="BO367" s="18"/>
      <c r="BP367" s="18"/>
      <c r="BQ367" s="18"/>
      <c r="BR367" s="18"/>
      <c r="BS367" s="18"/>
      <c r="BT367" s="18"/>
      <c r="BU367" s="18"/>
    </row>
    <row r="368" spans="3:73" x14ac:dyDescent="0.45">
      <c r="C368" s="15" t="s">
        <v>249</v>
      </c>
      <c r="D368" s="15" t="s">
        <v>326</v>
      </c>
      <c r="E368" s="15" t="s">
        <v>293</v>
      </c>
      <c r="F368" s="15"/>
      <c r="G368" s="15"/>
      <c r="H368" s="15"/>
      <c r="I368" s="15"/>
      <c r="J368" s="19"/>
      <c r="K368" s="18"/>
      <c r="L368" s="18">
        <v>12</v>
      </c>
      <c r="M368" s="18"/>
      <c r="N368" s="18"/>
      <c r="O368" s="18"/>
      <c r="P368" s="19"/>
      <c r="Q368" s="18"/>
      <c r="R368" s="18">
        <v>12</v>
      </c>
      <c r="S368" s="18"/>
      <c r="T368" s="18"/>
      <c r="U368" s="18"/>
      <c r="V368" s="18"/>
      <c r="X368" s="15" t="s">
        <v>328</v>
      </c>
      <c r="Y368" s="15" t="s">
        <v>325</v>
      </c>
      <c r="Z368" s="15" t="s">
        <v>336</v>
      </c>
      <c r="AA368" s="15"/>
      <c r="AB368" s="15"/>
      <c r="AC368" s="15"/>
      <c r="AD368" s="15"/>
      <c r="AE368" s="19">
        <v>2020</v>
      </c>
      <c r="AF368" s="18"/>
      <c r="AG368" s="18"/>
      <c r="AH368" s="18"/>
      <c r="AI368" s="18"/>
      <c r="AJ368" s="18"/>
      <c r="AK368" s="19">
        <v>2020</v>
      </c>
      <c r="AL368" s="18"/>
      <c r="AM368" s="18"/>
      <c r="AN368" s="18"/>
      <c r="AO368" s="18"/>
      <c r="AP368" s="18"/>
      <c r="AR368" s="15" t="s">
        <v>249</v>
      </c>
      <c r="AS368" s="15" t="s">
        <v>567</v>
      </c>
      <c r="AT368" s="15" t="s">
        <v>733</v>
      </c>
      <c r="AU368" s="15"/>
      <c r="AV368" s="15"/>
      <c r="AW368" s="15"/>
      <c r="AX368" s="15"/>
      <c r="AY368" s="15"/>
      <c r="AZ368" s="18"/>
      <c r="BA368" s="19">
        <v>2.5000000000000001E-2</v>
      </c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9">
        <v>0.05</v>
      </c>
      <c r="BM368" s="18"/>
      <c r="BN368" s="18"/>
      <c r="BO368" s="18"/>
      <c r="BP368" s="18"/>
      <c r="BQ368" s="18"/>
      <c r="BR368" s="18"/>
      <c r="BS368" s="18"/>
      <c r="BT368" s="18"/>
      <c r="BU368" s="18"/>
    </row>
    <row r="369" spans="3:73" x14ac:dyDescent="0.45">
      <c r="C369" s="15" t="s">
        <v>249</v>
      </c>
      <c r="D369" s="15" t="s">
        <v>326</v>
      </c>
      <c r="E369" s="15" t="s">
        <v>294</v>
      </c>
      <c r="F369" s="15"/>
      <c r="G369" s="15"/>
      <c r="H369" s="15"/>
      <c r="I369" s="15"/>
      <c r="J369" s="19"/>
      <c r="K369" s="18"/>
      <c r="L369" s="18">
        <v>22</v>
      </c>
      <c r="M369" s="18"/>
      <c r="N369" s="18"/>
      <c r="O369" s="18"/>
      <c r="P369" s="19"/>
      <c r="Q369" s="18"/>
      <c r="R369" s="18">
        <v>22</v>
      </c>
      <c r="S369" s="18"/>
      <c r="T369" s="18"/>
      <c r="U369" s="18"/>
      <c r="V369" s="18"/>
      <c r="X369" s="15" t="s">
        <v>328</v>
      </c>
      <c r="Y369" s="15" t="s">
        <v>325</v>
      </c>
      <c r="Z369" s="15" t="s">
        <v>339</v>
      </c>
      <c r="AA369" s="15"/>
      <c r="AB369" s="15"/>
      <c r="AC369" s="15"/>
      <c r="AD369" s="15"/>
      <c r="AE369" s="19">
        <v>2020</v>
      </c>
      <c r="AF369" s="18"/>
      <c r="AG369" s="18"/>
      <c r="AH369" s="18"/>
      <c r="AI369" s="18"/>
      <c r="AJ369" s="18"/>
      <c r="AK369" s="19">
        <v>2020</v>
      </c>
      <c r="AL369" s="18"/>
      <c r="AM369" s="18"/>
      <c r="AN369" s="18"/>
      <c r="AO369" s="18"/>
      <c r="AP369" s="18"/>
      <c r="AR369" s="15" t="s">
        <v>249</v>
      </c>
      <c r="AS369" s="15" t="s">
        <v>567</v>
      </c>
      <c r="AT369" s="15" t="s">
        <v>734</v>
      </c>
      <c r="AU369" s="15"/>
      <c r="AV369" s="15"/>
      <c r="AW369" s="15"/>
      <c r="AX369" s="15"/>
      <c r="AY369" s="15"/>
      <c r="AZ369" s="18"/>
      <c r="BA369" s="19">
        <v>2.5000000000000001E-2</v>
      </c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9">
        <v>0.05</v>
      </c>
      <c r="BM369" s="18"/>
      <c r="BN369" s="18"/>
      <c r="BO369" s="18"/>
      <c r="BP369" s="18"/>
      <c r="BQ369" s="18"/>
      <c r="BR369" s="18"/>
      <c r="BS369" s="18"/>
      <c r="BT369" s="18"/>
      <c r="BU369" s="18"/>
    </row>
    <row r="370" spans="3:73" x14ac:dyDescent="0.45">
      <c r="C370" s="15" t="s">
        <v>249</v>
      </c>
      <c r="D370" s="15" t="s">
        <v>326</v>
      </c>
      <c r="E370" s="15" t="s">
        <v>295</v>
      </c>
      <c r="F370" s="15"/>
      <c r="G370" s="15"/>
      <c r="H370" s="15"/>
      <c r="I370" s="15"/>
      <c r="J370" s="19"/>
      <c r="K370" s="18"/>
      <c r="L370" s="18">
        <v>22</v>
      </c>
      <c r="M370" s="18"/>
      <c r="N370" s="18"/>
      <c r="O370" s="18"/>
      <c r="P370" s="19"/>
      <c r="Q370" s="18"/>
      <c r="R370" s="18">
        <v>22</v>
      </c>
      <c r="S370" s="18"/>
      <c r="T370" s="18"/>
      <c r="U370" s="18"/>
      <c r="V370" s="18"/>
      <c r="X370" s="15" t="s">
        <v>328</v>
      </c>
      <c r="Y370" s="15" t="s">
        <v>325</v>
      </c>
      <c r="Z370" s="15" t="s">
        <v>341</v>
      </c>
      <c r="AA370" s="15"/>
      <c r="AB370" s="15"/>
      <c r="AC370" s="15"/>
      <c r="AD370" s="15"/>
      <c r="AE370" s="19">
        <v>2023</v>
      </c>
      <c r="AF370" s="18"/>
      <c r="AG370" s="18"/>
      <c r="AH370" s="18"/>
      <c r="AI370" s="18"/>
      <c r="AJ370" s="18"/>
      <c r="AK370" s="19">
        <v>2023</v>
      </c>
      <c r="AL370" s="18"/>
      <c r="AM370" s="18"/>
      <c r="AN370" s="18"/>
      <c r="AO370" s="18"/>
      <c r="AP370" s="18"/>
      <c r="AR370" s="15" t="s">
        <v>249</v>
      </c>
      <c r="AS370" s="15" t="s">
        <v>567</v>
      </c>
      <c r="AT370" s="15" t="s">
        <v>735</v>
      </c>
      <c r="AU370" s="15"/>
      <c r="AV370" s="15"/>
      <c r="AW370" s="15"/>
      <c r="AX370" s="15"/>
      <c r="AY370" s="15"/>
      <c r="AZ370" s="18"/>
      <c r="BA370" s="19">
        <v>2.5000000000000001E-2</v>
      </c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9">
        <v>0.05</v>
      </c>
      <c r="BM370" s="18"/>
      <c r="BN370" s="18"/>
      <c r="BO370" s="18"/>
      <c r="BP370" s="18"/>
      <c r="BQ370" s="18"/>
      <c r="BR370" s="18"/>
      <c r="BS370" s="18"/>
      <c r="BT370" s="18"/>
      <c r="BU370" s="18"/>
    </row>
    <row r="371" spans="3:73" x14ac:dyDescent="0.45">
      <c r="C371" s="15" t="s">
        <v>249</v>
      </c>
      <c r="D371" s="15" t="s">
        <v>326</v>
      </c>
      <c r="E371" s="15" t="s">
        <v>296</v>
      </c>
      <c r="F371" s="15"/>
      <c r="G371" s="15"/>
      <c r="H371" s="15"/>
      <c r="I371" s="15"/>
      <c r="J371" s="19"/>
      <c r="K371" s="18"/>
      <c r="L371" s="18">
        <v>22</v>
      </c>
      <c r="M371" s="18"/>
      <c r="N371" s="18"/>
      <c r="O371" s="18"/>
      <c r="P371" s="19"/>
      <c r="Q371" s="18"/>
      <c r="R371" s="18">
        <v>22</v>
      </c>
      <c r="S371" s="18"/>
      <c r="T371" s="18"/>
      <c r="U371" s="18"/>
      <c r="V371" s="18"/>
      <c r="X371" s="15" t="s">
        <v>328</v>
      </c>
      <c r="Y371" s="15" t="s">
        <v>325</v>
      </c>
      <c r="Z371" s="15" t="s">
        <v>342</v>
      </c>
      <c r="AA371" s="15"/>
      <c r="AB371" s="15"/>
      <c r="AC371" s="15"/>
      <c r="AD371" s="15"/>
      <c r="AE371" s="19">
        <v>2023</v>
      </c>
      <c r="AF371" s="18"/>
      <c r="AG371" s="18"/>
      <c r="AH371" s="18"/>
      <c r="AI371" s="18"/>
      <c r="AJ371" s="18"/>
      <c r="AK371" s="19">
        <v>2023</v>
      </c>
      <c r="AL371" s="18"/>
      <c r="AM371" s="18"/>
      <c r="AN371" s="18"/>
      <c r="AO371" s="18"/>
      <c r="AP371" s="18"/>
      <c r="AR371" s="15" t="s">
        <v>249</v>
      </c>
      <c r="AS371" s="15" t="s">
        <v>567</v>
      </c>
      <c r="AT371" s="15" t="s">
        <v>736</v>
      </c>
      <c r="AU371" s="15"/>
      <c r="AV371" s="15"/>
      <c r="AW371" s="15"/>
      <c r="AX371" s="15"/>
      <c r="AY371" s="15"/>
      <c r="AZ371" s="18"/>
      <c r="BA371" s="19">
        <v>2.5000000000000001E-2</v>
      </c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9">
        <v>0.05</v>
      </c>
      <c r="BM371" s="18"/>
      <c r="BN371" s="18"/>
      <c r="BO371" s="18"/>
      <c r="BP371" s="18"/>
      <c r="BQ371" s="18"/>
      <c r="BR371" s="18"/>
      <c r="BS371" s="18"/>
      <c r="BT371" s="18"/>
      <c r="BU371" s="18"/>
    </row>
    <row r="372" spans="3:73" x14ac:dyDescent="0.45">
      <c r="C372" s="15" t="s">
        <v>249</v>
      </c>
      <c r="D372" s="15" t="s">
        <v>326</v>
      </c>
      <c r="E372" s="15" t="s">
        <v>297</v>
      </c>
      <c r="F372" s="15"/>
      <c r="G372" s="15"/>
      <c r="H372" s="15"/>
      <c r="I372" s="15"/>
      <c r="J372" s="19"/>
      <c r="K372" s="18"/>
      <c r="L372" s="18">
        <v>20</v>
      </c>
      <c r="M372" s="18"/>
      <c r="N372" s="18"/>
      <c r="O372" s="18"/>
      <c r="P372" s="19"/>
      <c r="Q372" s="18"/>
      <c r="R372" s="18">
        <v>20</v>
      </c>
      <c r="S372" s="18"/>
      <c r="T372" s="18"/>
      <c r="U372" s="18"/>
      <c r="V372" s="18"/>
      <c r="X372" s="15" t="s">
        <v>328</v>
      </c>
      <c r="Y372" s="15" t="s">
        <v>325</v>
      </c>
      <c r="Z372" s="15" t="s">
        <v>343</v>
      </c>
      <c r="AA372" s="15"/>
      <c r="AB372" s="15"/>
      <c r="AC372" s="15"/>
      <c r="AD372" s="15"/>
      <c r="AE372" s="19">
        <v>2020</v>
      </c>
      <c r="AF372" s="18"/>
      <c r="AG372" s="18"/>
      <c r="AH372" s="18"/>
      <c r="AI372" s="18"/>
      <c r="AJ372" s="18"/>
      <c r="AK372" s="19">
        <v>2020</v>
      </c>
      <c r="AL372" s="18"/>
      <c r="AM372" s="18"/>
      <c r="AN372" s="18"/>
      <c r="AO372" s="18"/>
      <c r="AP372" s="18"/>
      <c r="AR372" s="15" t="s">
        <v>249</v>
      </c>
      <c r="AS372" s="15" t="s">
        <v>567</v>
      </c>
      <c r="AT372" s="15" t="s">
        <v>737</v>
      </c>
      <c r="AU372" s="15"/>
      <c r="AV372" s="15"/>
      <c r="AW372" s="15"/>
      <c r="AX372" s="15"/>
      <c r="AY372" s="15"/>
      <c r="AZ372" s="18"/>
      <c r="BA372" s="19">
        <v>2.5000000000000001E-2</v>
      </c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9">
        <v>0.05</v>
      </c>
      <c r="BM372" s="18"/>
      <c r="BN372" s="18"/>
      <c r="BO372" s="18"/>
      <c r="BP372" s="18"/>
      <c r="BQ372" s="18"/>
      <c r="BR372" s="18"/>
      <c r="BS372" s="18"/>
      <c r="BT372" s="18"/>
      <c r="BU372" s="18"/>
    </row>
    <row r="373" spans="3:73" x14ac:dyDescent="0.45">
      <c r="C373" s="15" t="s">
        <v>249</v>
      </c>
      <c r="D373" s="15" t="s">
        <v>326</v>
      </c>
      <c r="E373" s="15" t="s">
        <v>298</v>
      </c>
      <c r="F373" s="15"/>
      <c r="G373" s="15"/>
      <c r="H373" s="15"/>
      <c r="I373" s="15"/>
      <c r="J373" s="19"/>
      <c r="K373" s="18"/>
      <c r="L373" s="18">
        <v>17.123290000000001</v>
      </c>
      <c r="M373" s="18"/>
      <c r="N373" s="18"/>
      <c r="O373" s="18"/>
      <c r="P373" s="19"/>
      <c r="Q373" s="18"/>
      <c r="R373" s="18">
        <v>17.123290000000001</v>
      </c>
      <c r="S373" s="18"/>
      <c r="T373" s="18"/>
      <c r="U373" s="18"/>
      <c r="V373" s="18"/>
      <c r="X373" s="15" t="s">
        <v>328</v>
      </c>
      <c r="Y373" s="15" t="s">
        <v>325</v>
      </c>
      <c r="Z373" s="15" t="s">
        <v>344</v>
      </c>
      <c r="AA373" s="15"/>
      <c r="AB373" s="15"/>
      <c r="AC373" s="15"/>
      <c r="AD373" s="15"/>
      <c r="AE373" s="19">
        <v>2020</v>
      </c>
      <c r="AF373" s="18"/>
      <c r="AG373" s="18"/>
      <c r="AH373" s="18"/>
      <c r="AI373" s="18"/>
      <c r="AJ373" s="18"/>
      <c r="AK373" s="19">
        <v>2020</v>
      </c>
      <c r="AL373" s="18"/>
      <c r="AM373" s="18"/>
      <c r="AN373" s="18"/>
      <c r="AO373" s="18"/>
      <c r="AP373" s="18"/>
      <c r="AR373" s="15" t="s">
        <v>249</v>
      </c>
      <c r="AS373" s="15" t="s">
        <v>567</v>
      </c>
      <c r="AT373" s="15" t="s">
        <v>738</v>
      </c>
      <c r="AU373" s="15"/>
      <c r="AV373" s="15"/>
      <c r="AW373" s="15"/>
      <c r="AX373" s="15"/>
      <c r="AY373" s="15"/>
      <c r="AZ373" s="18"/>
      <c r="BA373" s="19">
        <v>2.5000000000000001E-2</v>
      </c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9">
        <v>0.05</v>
      </c>
      <c r="BM373" s="18"/>
      <c r="BN373" s="18"/>
      <c r="BO373" s="18"/>
      <c r="BP373" s="18"/>
      <c r="BQ373" s="18"/>
      <c r="BR373" s="18"/>
      <c r="BS373" s="18"/>
      <c r="BT373" s="18"/>
      <c r="BU373" s="18"/>
    </row>
    <row r="374" spans="3:73" x14ac:dyDescent="0.45">
      <c r="C374" s="15" t="s">
        <v>249</v>
      </c>
      <c r="D374" s="15" t="s">
        <v>326</v>
      </c>
      <c r="E374" s="15" t="s">
        <v>299</v>
      </c>
      <c r="F374" s="15"/>
      <c r="G374" s="15"/>
      <c r="H374" s="15"/>
      <c r="I374" s="15"/>
      <c r="J374" s="19"/>
      <c r="K374" s="18"/>
      <c r="L374" s="18">
        <v>25</v>
      </c>
      <c r="M374" s="18"/>
      <c r="N374" s="18"/>
      <c r="O374" s="18"/>
      <c r="P374" s="19"/>
      <c r="Q374" s="18"/>
      <c r="R374" s="18">
        <v>25</v>
      </c>
      <c r="S374" s="18"/>
      <c r="T374" s="18"/>
      <c r="U374" s="18"/>
      <c r="V374" s="18"/>
      <c r="X374" s="15" t="s">
        <v>328</v>
      </c>
      <c r="Y374" s="15" t="s">
        <v>325</v>
      </c>
      <c r="Z374" s="15" t="s">
        <v>345</v>
      </c>
      <c r="AA374" s="15"/>
      <c r="AB374" s="15"/>
      <c r="AC374" s="15"/>
      <c r="AD374" s="15"/>
      <c r="AE374" s="19">
        <v>2020</v>
      </c>
      <c r="AF374" s="18"/>
      <c r="AG374" s="18"/>
      <c r="AH374" s="18"/>
      <c r="AI374" s="18"/>
      <c r="AJ374" s="18"/>
      <c r="AK374" s="19">
        <v>2020</v>
      </c>
      <c r="AL374" s="18"/>
      <c r="AM374" s="18"/>
      <c r="AN374" s="18"/>
      <c r="AO374" s="18"/>
      <c r="AP374" s="18"/>
      <c r="AR374" s="15" t="s">
        <v>249</v>
      </c>
      <c r="AS374" s="15" t="s">
        <v>567</v>
      </c>
      <c r="AT374" s="15" t="s">
        <v>739</v>
      </c>
      <c r="AU374" s="15"/>
      <c r="AV374" s="15"/>
      <c r="AW374" s="15"/>
      <c r="AX374" s="15"/>
      <c r="AY374" s="15"/>
      <c r="AZ374" s="18"/>
      <c r="BA374" s="19">
        <v>2.5000000000000001E-2</v>
      </c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9">
        <v>0.05</v>
      </c>
      <c r="BM374" s="18"/>
      <c r="BN374" s="18"/>
      <c r="BO374" s="18"/>
      <c r="BP374" s="18"/>
      <c r="BQ374" s="18"/>
      <c r="BR374" s="18"/>
      <c r="BS374" s="18"/>
      <c r="BT374" s="18"/>
      <c r="BU374" s="18"/>
    </row>
    <row r="375" spans="3:73" x14ac:dyDescent="0.45">
      <c r="C375" s="15" t="s">
        <v>249</v>
      </c>
      <c r="D375" s="15" t="s">
        <v>326</v>
      </c>
      <c r="E375" s="15" t="s">
        <v>300</v>
      </c>
      <c r="F375" s="15"/>
      <c r="G375" s="15"/>
      <c r="H375" s="15"/>
      <c r="I375" s="15"/>
      <c r="J375" s="19"/>
      <c r="K375" s="18"/>
      <c r="L375" s="18">
        <v>25</v>
      </c>
      <c r="M375" s="18"/>
      <c r="N375" s="18"/>
      <c r="O375" s="18"/>
      <c r="P375" s="19"/>
      <c r="Q375" s="18"/>
      <c r="R375" s="18">
        <v>25</v>
      </c>
      <c r="S375" s="18"/>
      <c r="T375" s="18"/>
      <c r="U375" s="18"/>
      <c r="V375" s="18"/>
      <c r="X375" s="15" t="s">
        <v>328</v>
      </c>
      <c r="Y375" s="15" t="s">
        <v>325</v>
      </c>
      <c r="Z375" s="15" t="s">
        <v>346</v>
      </c>
      <c r="AA375" s="15"/>
      <c r="AB375" s="15"/>
      <c r="AC375" s="15"/>
      <c r="AD375" s="15"/>
      <c r="AE375" s="19">
        <v>2020</v>
      </c>
      <c r="AF375" s="18"/>
      <c r="AG375" s="18"/>
      <c r="AH375" s="18"/>
      <c r="AI375" s="18"/>
      <c r="AJ375" s="18"/>
      <c r="AK375" s="19">
        <v>2020</v>
      </c>
      <c r="AL375" s="18"/>
      <c r="AM375" s="18"/>
      <c r="AN375" s="18"/>
      <c r="AO375" s="18"/>
      <c r="AP375" s="18"/>
      <c r="AR375" s="15" t="s">
        <v>249</v>
      </c>
      <c r="AS375" s="15" t="s">
        <v>567</v>
      </c>
      <c r="AT375" s="15" t="s">
        <v>740</v>
      </c>
      <c r="AU375" s="15"/>
      <c r="AV375" s="15"/>
      <c r="AW375" s="15"/>
      <c r="AX375" s="15"/>
      <c r="AY375" s="15"/>
      <c r="AZ375" s="18"/>
      <c r="BA375" s="19">
        <v>2.5000000000000001E-2</v>
      </c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9">
        <v>0.05</v>
      </c>
      <c r="BM375" s="18"/>
      <c r="BN375" s="18"/>
      <c r="BO375" s="18"/>
      <c r="BP375" s="18"/>
      <c r="BQ375" s="18"/>
      <c r="BR375" s="18"/>
      <c r="BS375" s="18"/>
      <c r="BT375" s="18"/>
      <c r="BU375" s="18"/>
    </row>
    <row r="376" spans="3:73" x14ac:dyDescent="0.45">
      <c r="C376" s="15" t="s">
        <v>249</v>
      </c>
      <c r="D376" s="15" t="s">
        <v>326</v>
      </c>
      <c r="E376" s="15" t="s">
        <v>301</v>
      </c>
      <c r="F376" s="15"/>
      <c r="G376" s="15"/>
      <c r="H376" s="15"/>
      <c r="I376" s="15"/>
      <c r="J376" s="19"/>
      <c r="K376" s="18"/>
      <c r="L376" s="18">
        <v>25</v>
      </c>
      <c r="M376" s="18"/>
      <c r="N376" s="18"/>
      <c r="O376" s="18"/>
      <c r="P376" s="19"/>
      <c r="Q376" s="18"/>
      <c r="R376" s="18">
        <v>25</v>
      </c>
      <c r="S376" s="18"/>
      <c r="T376" s="18"/>
      <c r="U376" s="18"/>
      <c r="V376" s="18"/>
      <c r="X376" s="15" t="s">
        <v>328</v>
      </c>
      <c r="Y376" s="15" t="s">
        <v>325</v>
      </c>
      <c r="Z376" s="15" t="s">
        <v>347</v>
      </c>
      <c r="AA376" s="15"/>
      <c r="AB376" s="15"/>
      <c r="AC376" s="15"/>
      <c r="AD376" s="15"/>
      <c r="AE376" s="19">
        <v>2023</v>
      </c>
      <c r="AF376" s="18"/>
      <c r="AG376" s="18"/>
      <c r="AH376" s="18"/>
      <c r="AI376" s="18"/>
      <c r="AJ376" s="18"/>
      <c r="AK376" s="19">
        <v>2023</v>
      </c>
      <c r="AL376" s="18"/>
      <c r="AM376" s="18"/>
      <c r="AN376" s="18"/>
      <c r="AO376" s="18"/>
      <c r="AP376" s="18"/>
      <c r="AR376" s="15" t="s">
        <v>249</v>
      </c>
      <c r="AS376" s="15" t="s">
        <v>567</v>
      </c>
      <c r="AT376" s="15" t="s">
        <v>741</v>
      </c>
      <c r="AU376" s="15"/>
      <c r="AV376" s="15"/>
      <c r="AW376" s="15"/>
      <c r="AX376" s="15"/>
      <c r="AY376" s="15"/>
      <c r="AZ376" s="18"/>
      <c r="BA376" s="19">
        <v>2.5000000000000001E-2</v>
      </c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9">
        <v>0.05</v>
      </c>
      <c r="BM376" s="18"/>
      <c r="BN376" s="18"/>
      <c r="BO376" s="18"/>
      <c r="BP376" s="18"/>
      <c r="BQ376" s="18"/>
      <c r="BR376" s="18"/>
      <c r="BS376" s="18"/>
      <c r="BT376" s="18"/>
      <c r="BU376" s="18"/>
    </row>
    <row r="377" spans="3:73" x14ac:dyDescent="0.45">
      <c r="C377" s="15" t="s">
        <v>249</v>
      </c>
      <c r="D377" s="15" t="s">
        <v>326</v>
      </c>
      <c r="E377" s="15" t="s">
        <v>302</v>
      </c>
      <c r="F377" s="15"/>
      <c r="G377" s="15"/>
      <c r="H377" s="15"/>
      <c r="I377" s="15"/>
      <c r="J377" s="19"/>
      <c r="K377" s="18"/>
      <c r="L377" s="18">
        <v>25</v>
      </c>
      <c r="M377" s="18"/>
      <c r="N377" s="18"/>
      <c r="O377" s="18"/>
      <c r="P377" s="19"/>
      <c r="Q377" s="18"/>
      <c r="R377" s="18">
        <v>25</v>
      </c>
      <c r="S377" s="18"/>
      <c r="T377" s="18"/>
      <c r="U377" s="18"/>
      <c r="V377" s="18"/>
      <c r="X377" s="15" t="s">
        <v>328</v>
      </c>
      <c r="Y377" s="15" t="s">
        <v>325</v>
      </c>
      <c r="Z377" s="15" t="s">
        <v>348</v>
      </c>
      <c r="AA377" s="15"/>
      <c r="AB377" s="15"/>
      <c r="AC377" s="15"/>
      <c r="AD377" s="15"/>
      <c r="AE377" s="19">
        <v>2023</v>
      </c>
      <c r="AF377" s="18"/>
      <c r="AG377" s="18"/>
      <c r="AH377" s="18"/>
      <c r="AI377" s="18"/>
      <c r="AJ377" s="18"/>
      <c r="AK377" s="19">
        <v>2023</v>
      </c>
      <c r="AL377" s="18"/>
      <c r="AM377" s="18"/>
      <c r="AN377" s="18"/>
      <c r="AO377" s="18"/>
      <c r="AP377" s="18"/>
      <c r="AR377" s="15" t="s">
        <v>249</v>
      </c>
      <c r="AS377" s="15" t="s">
        <v>567</v>
      </c>
      <c r="AT377" s="15" t="s">
        <v>742</v>
      </c>
      <c r="AU377" s="15"/>
      <c r="AV377" s="15"/>
      <c r="AW377" s="15"/>
      <c r="AX377" s="15"/>
      <c r="AY377" s="15"/>
      <c r="AZ377" s="18"/>
      <c r="BA377" s="19">
        <v>2.5000000000000001E-2</v>
      </c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9">
        <v>0.05</v>
      </c>
      <c r="BM377" s="18"/>
      <c r="BN377" s="18"/>
      <c r="BO377" s="18"/>
      <c r="BP377" s="18"/>
      <c r="BQ377" s="18"/>
      <c r="BR377" s="18"/>
      <c r="BS377" s="18"/>
      <c r="BT377" s="18"/>
      <c r="BU377" s="18"/>
    </row>
    <row r="378" spans="3:73" x14ac:dyDescent="0.45">
      <c r="C378" s="15" t="s">
        <v>249</v>
      </c>
      <c r="D378" s="15" t="s">
        <v>326</v>
      </c>
      <c r="E378" s="15" t="s">
        <v>303</v>
      </c>
      <c r="F378" s="15"/>
      <c r="G378" s="15"/>
      <c r="H378" s="15"/>
      <c r="I378" s="15"/>
      <c r="J378" s="19"/>
      <c r="K378" s="18"/>
      <c r="L378" s="18">
        <v>20</v>
      </c>
      <c r="M378" s="18"/>
      <c r="N378" s="18"/>
      <c r="O378" s="18"/>
      <c r="P378" s="19"/>
      <c r="Q378" s="18"/>
      <c r="R378" s="18">
        <v>20</v>
      </c>
      <c r="S378" s="18"/>
      <c r="T378" s="18"/>
      <c r="U378" s="18"/>
      <c r="V378" s="18"/>
      <c r="X378" s="15" t="s">
        <v>328</v>
      </c>
      <c r="Y378" s="15" t="s">
        <v>325</v>
      </c>
      <c r="Z378" s="15" t="s">
        <v>349</v>
      </c>
      <c r="AA378" s="15"/>
      <c r="AB378" s="15"/>
      <c r="AC378" s="15"/>
      <c r="AD378" s="15"/>
      <c r="AE378" s="19">
        <v>2020</v>
      </c>
      <c r="AF378" s="18"/>
      <c r="AG378" s="18"/>
      <c r="AH378" s="18"/>
      <c r="AI378" s="18"/>
      <c r="AJ378" s="18"/>
      <c r="AK378" s="19">
        <v>2020</v>
      </c>
      <c r="AL378" s="18"/>
      <c r="AM378" s="18"/>
      <c r="AN378" s="18"/>
      <c r="AO378" s="18"/>
      <c r="AP378" s="18"/>
      <c r="AR378" s="15" t="s">
        <v>249</v>
      </c>
      <c r="AS378" s="15" t="s">
        <v>567</v>
      </c>
      <c r="AT378" s="15" t="s">
        <v>743</v>
      </c>
      <c r="AU378" s="15"/>
      <c r="AV378" s="15"/>
      <c r="AW378" s="15"/>
      <c r="AX378" s="15"/>
      <c r="AY378" s="15"/>
      <c r="AZ378" s="18"/>
      <c r="BA378" s="19">
        <v>2.5000000000000001E-2</v>
      </c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9">
        <v>0.05</v>
      </c>
      <c r="BM378" s="18"/>
      <c r="BN378" s="18"/>
      <c r="BO378" s="18"/>
      <c r="BP378" s="18"/>
      <c r="BQ378" s="18"/>
      <c r="BR378" s="18"/>
      <c r="BS378" s="18"/>
      <c r="BT378" s="18"/>
      <c r="BU378" s="18"/>
    </row>
    <row r="379" spans="3:73" x14ac:dyDescent="0.45">
      <c r="C379" s="15" t="s">
        <v>249</v>
      </c>
      <c r="D379" s="15" t="s">
        <v>326</v>
      </c>
      <c r="E379" s="15" t="s">
        <v>304</v>
      </c>
      <c r="F379" s="15"/>
      <c r="G379" s="15"/>
      <c r="H379" s="15"/>
      <c r="I379" s="15"/>
      <c r="J379" s="19"/>
      <c r="K379" s="18"/>
      <c r="L379" s="18">
        <v>20</v>
      </c>
      <c r="M379" s="18"/>
      <c r="N379" s="18"/>
      <c r="O379" s="18"/>
      <c r="P379" s="19"/>
      <c r="Q379" s="18"/>
      <c r="R379" s="18">
        <v>20</v>
      </c>
      <c r="S379" s="18"/>
      <c r="T379" s="18"/>
      <c r="U379" s="18"/>
      <c r="V379" s="18"/>
      <c r="X379" s="15" t="s">
        <v>328</v>
      </c>
      <c r="Y379" s="15" t="s">
        <v>325</v>
      </c>
      <c r="Z379" s="15" t="s">
        <v>350</v>
      </c>
      <c r="AA379" s="15"/>
      <c r="AB379" s="15"/>
      <c r="AC379" s="15"/>
      <c r="AD379" s="15"/>
      <c r="AE379" s="19">
        <v>2020</v>
      </c>
      <c r="AF379" s="18"/>
      <c r="AG379" s="18"/>
      <c r="AH379" s="18"/>
      <c r="AI379" s="18"/>
      <c r="AJ379" s="18"/>
      <c r="AK379" s="19">
        <v>2020</v>
      </c>
      <c r="AL379" s="18"/>
      <c r="AM379" s="18"/>
      <c r="AN379" s="18"/>
      <c r="AO379" s="18"/>
      <c r="AP379" s="18"/>
      <c r="AR379" s="15" t="s">
        <v>249</v>
      </c>
      <c r="AS379" s="15" t="s">
        <v>567</v>
      </c>
      <c r="AT379" s="15" t="s">
        <v>744</v>
      </c>
      <c r="AU379" s="15"/>
      <c r="AV379" s="15"/>
      <c r="AW379" s="15"/>
      <c r="AX379" s="15"/>
      <c r="AY379" s="15"/>
      <c r="AZ379" s="18"/>
      <c r="BA379" s="19">
        <v>2.5000000000000001E-2</v>
      </c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9">
        <v>0.05</v>
      </c>
      <c r="BM379" s="18"/>
      <c r="BN379" s="18"/>
      <c r="BO379" s="18"/>
      <c r="BP379" s="18"/>
      <c r="BQ379" s="18"/>
      <c r="BR379" s="18"/>
      <c r="BS379" s="18"/>
      <c r="BT379" s="18"/>
      <c r="BU379" s="18"/>
    </row>
    <row r="380" spans="3:73" x14ac:dyDescent="0.45">
      <c r="C380" s="15" t="s">
        <v>249</v>
      </c>
      <c r="D380" s="15" t="s">
        <v>326</v>
      </c>
      <c r="E380" s="15" t="s">
        <v>305</v>
      </c>
      <c r="F380" s="15"/>
      <c r="G380" s="15"/>
      <c r="H380" s="15"/>
      <c r="I380" s="15"/>
      <c r="J380" s="19"/>
      <c r="K380" s="18"/>
      <c r="L380" s="18">
        <v>20</v>
      </c>
      <c r="M380" s="18"/>
      <c r="N380" s="18"/>
      <c r="O380" s="18"/>
      <c r="P380" s="19"/>
      <c r="Q380" s="18"/>
      <c r="R380" s="18">
        <v>20</v>
      </c>
      <c r="S380" s="18"/>
      <c r="T380" s="18"/>
      <c r="U380" s="18"/>
      <c r="V380" s="18"/>
      <c r="X380" s="15" t="s">
        <v>328</v>
      </c>
      <c r="Y380" s="15" t="s">
        <v>325</v>
      </c>
      <c r="Z380" s="15" t="s">
        <v>351</v>
      </c>
      <c r="AA380" s="15"/>
      <c r="AB380" s="15"/>
      <c r="AC380" s="15"/>
      <c r="AD380" s="15"/>
      <c r="AE380" s="19">
        <v>2020</v>
      </c>
      <c r="AF380" s="18"/>
      <c r="AG380" s="18"/>
      <c r="AH380" s="18"/>
      <c r="AI380" s="18"/>
      <c r="AJ380" s="18"/>
      <c r="AK380" s="19">
        <v>2020</v>
      </c>
      <c r="AL380" s="18"/>
      <c r="AM380" s="18"/>
      <c r="AN380" s="18"/>
      <c r="AO380" s="18"/>
      <c r="AP380" s="18"/>
      <c r="AR380" s="15" t="s">
        <v>249</v>
      </c>
      <c r="AS380" s="15" t="s">
        <v>567</v>
      </c>
      <c r="AT380" s="15" t="s">
        <v>745</v>
      </c>
      <c r="AU380" s="15"/>
      <c r="AV380" s="15"/>
      <c r="AW380" s="15"/>
      <c r="AX380" s="15"/>
      <c r="AY380" s="15"/>
      <c r="AZ380" s="18"/>
      <c r="BA380" s="19">
        <v>2.5000000000000001E-2</v>
      </c>
      <c r="BB380" s="18"/>
      <c r="BC380" s="18"/>
      <c r="BD380" s="18"/>
      <c r="BE380" s="18"/>
      <c r="BF380" s="18"/>
      <c r="BG380" s="18"/>
      <c r="BH380" s="18"/>
      <c r="BI380" s="18"/>
      <c r="BJ380" s="18"/>
      <c r="BK380" s="18"/>
      <c r="BL380" s="19">
        <v>0.05</v>
      </c>
      <c r="BM380" s="18"/>
      <c r="BN380" s="18"/>
      <c r="BO380" s="18"/>
      <c r="BP380" s="18"/>
      <c r="BQ380" s="18"/>
      <c r="BR380" s="18"/>
      <c r="BS380" s="18"/>
      <c r="BT380" s="18"/>
      <c r="BU380" s="18"/>
    </row>
    <row r="381" spans="3:73" x14ac:dyDescent="0.45">
      <c r="C381" s="15" t="s">
        <v>249</v>
      </c>
      <c r="D381" s="15" t="s">
        <v>326</v>
      </c>
      <c r="E381" s="15" t="s">
        <v>306</v>
      </c>
      <c r="F381" s="15"/>
      <c r="G381" s="15"/>
      <c r="H381" s="15"/>
      <c r="I381" s="15"/>
      <c r="J381" s="19"/>
      <c r="K381" s="18"/>
      <c r="L381" s="18">
        <v>17.123290000000001</v>
      </c>
      <c r="M381" s="18"/>
      <c r="N381" s="18"/>
      <c r="O381" s="18"/>
      <c r="P381" s="19"/>
      <c r="Q381" s="18"/>
      <c r="R381" s="18">
        <v>17.123290000000001</v>
      </c>
      <c r="S381" s="18"/>
      <c r="T381" s="18"/>
      <c r="U381" s="18"/>
      <c r="V381" s="18"/>
      <c r="X381" s="15" t="s">
        <v>328</v>
      </c>
      <c r="Y381" s="15" t="s">
        <v>325</v>
      </c>
      <c r="Z381" s="15" t="s">
        <v>352</v>
      </c>
      <c r="AA381" s="15"/>
      <c r="AB381" s="15"/>
      <c r="AC381" s="15"/>
      <c r="AD381" s="15"/>
      <c r="AE381" s="19">
        <v>2020</v>
      </c>
      <c r="AF381" s="18"/>
      <c r="AG381" s="18"/>
      <c r="AH381" s="18"/>
      <c r="AI381" s="18"/>
      <c r="AJ381" s="18"/>
      <c r="AK381" s="19">
        <v>2020</v>
      </c>
      <c r="AL381" s="18"/>
      <c r="AM381" s="18"/>
      <c r="AN381" s="18"/>
      <c r="AO381" s="18"/>
      <c r="AP381" s="18"/>
      <c r="AR381" s="15" t="s">
        <v>249</v>
      </c>
      <c r="AS381" s="15" t="s">
        <v>567</v>
      </c>
      <c r="AT381" s="15" t="s">
        <v>746</v>
      </c>
      <c r="AU381" s="15"/>
      <c r="AV381" s="15"/>
      <c r="AW381" s="15"/>
      <c r="AX381" s="15"/>
      <c r="AY381" s="15"/>
      <c r="AZ381" s="18"/>
      <c r="BA381" s="19">
        <v>2.5000000000000001E-2</v>
      </c>
      <c r="BB381" s="18"/>
      <c r="BC381" s="18"/>
      <c r="BD381" s="18"/>
      <c r="BE381" s="18"/>
      <c r="BF381" s="18"/>
      <c r="BG381" s="18"/>
      <c r="BH381" s="18"/>
      <c r="BI381" s="18"/>
      <c r="BJ381" s="18"/>
      <c r="BK381" s="18"/>
      <c r="BL381" s="19">
        <v>0.05</v>
      </c>
      <c r="BM381" s="18"/>
      <c r="BN381" s="18"/>
      <c r="BO381" s="18"/>
      <c r="BP381" s="18"/>
      <c r="BQ381" s="18"/>
      <c r="BR381" s="18"/>
      <c r="BS381" s="18"/>
      <c r="BT381" s="18"/>
      <c r="BU381" s="18"/>
    </row>
    <row r="382" spans="3:73" x14ac:dyDescent="0.45">
      <c r="C382" s="15" t="s">
        <v>249</v>
      </c>
      <c r="D382" s="15" t="s">
        <v>326</v>
      </c>
      <c r="E382" s="15" t="s">
        <v>307</v>
      </c>
      <c r="F382" s="15"/>
      <c r="G382" s="15"/>
      <c r="H382" s="15"/>
      <c r="I382" s="15"/>
      <c r="J382" s="19"/>
      <c r="K382" s="18"/>
      <c r="L382" s="18">
        <v>12</v>
      </c>
      <c r="M382" s="18"/>
      <c r="N382" s="18"/>
      <c r="O382" s="18"/>
      <c r="P382" s="19"/>
      <c r="Q382" s="18"/>
      <c r="R382" s="18">
        <v>12</v>
      </c>
      <c r="S382" s="18"/>
      <c r="T382" s="18"/>
      <c r="U382" s="18"/>
      <c r="V382" s="18"/>
      <c r="X382" s="15" t="s">
        <v>328</v>
      </c>
      <c r="Y382" s="15" t="s">
        <v>325</v>
      </c>
      <c r="Z382" s="15" t="s">
        <v>353</v>
      </c>
      <c r="AA382" s="15"/>
      <c r="AB382" s="15"/>
      <c r="AC382" s="15"/>
      <c r="AD382" s="15"/>
      <c r="AE382" s="19">
        <v>2020</v>
      </c>
      <c r="AF382" s="18"/>
      <c r="AG382" s="18"/>
      <c r="AH382" s="18"/>
      <c r="AI382" s="18"/>
      <c r="AJ382" s="18"/>
      <c r="AK382" s="19">
        <v>2020</v>
      </c>
      <c r="AL382" s="18"/>
      <c r="AM382" s="18"/>
      <c r="AN382" s="18"/>
      <c r="AO382" s="18"/>
      <c r="AP382" s="18"/>
      <c r="AR382" s="15" t="s">
        <v>249</v>
      </c>
      <c r="AS382" s="15" t="s">
        <v>567</v>
      </c>
      <c r="AT382" s="15" t="s">
        <v>747</v>
      </c>
      <c r="AU382" s="15"/>
      <c r="AV382" s="15"/>
      <c r="AW382" s="15"/>
      <c r="AX382" s="15"/>
      <c r="AY382" s="15"/>
      <c r="AZ382" s="18"/>
      <c r="BA382" s="19">
        <v>2.5000000000000001E-2</v>
      </c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9">
        <v>0.05</v>
      </c>
      <c r="BM382" s="18"/>
      <c r="BN382" s="18"/>
      <c r="BO382" s="18"/>
      <c r="BP382" s="18"/>
      <c r="BQ382" s="18"/>
      <c r="BR382" s="18"/>
      <c r="BS382" s="18"/>
      <c r="BT382" s="18"/>
      <c r="BU382" s="18"/>
    </row>
    <row r="383" spans="3:73" x14ac:dyDescent="0.45">
      <c r="C383" s="15" t="s">
        <v>249</v>
      </c>
      <c r="D383" s="15" t="s">
        <v>326</v>
      </c>
      <c r="E383" s="15" t="s">
        <v>308</v>
      </c>
      <c r="F383" s="15"/>
      <c r="G383" s="15"/>
      <c r="H383" s="15"/>
      <c r="I383" s="15"/>
      <c r="J383" s="19"/>
      <c r="K383" s="18"/>
      <c r="L383" s="18">
        <v>10</v>
      </c>
      <c r="M383" s="18"/>
      <c r="N383" s="18"/>
      <c r="O383" s="18"/>
      <c r="P383" s="19"/>
      <c r="Q383" s="18"/>
      <c r="R383" s="18">
        <v>10</v>
      </c>
      <c r="S383" s="18"/>
      <c r="T383" s="18"/>
      <c r="U383" s="18"/>
      <c r="V383" s="18"/>
      <c r="X383" s="15" t="s">
        <v>328</v>
      </c>
      <c r="Y383" s="15" t="s">
        <v>325</v>
      </c>
      <c r="Z383" s="15" t="s">
        <v>354</v>
      </c>
      <c r="AA383" s="15"/>
      <c r="AB383" s="15"/>
      <c r="AC383" s="15"/>
      <c r="AD383" s="15"/>
      <c r="AE383" s="19">
        <v>2020</v>
      </c>
      <c r="AF383" s="18"/>
      <c r="AG383" s="18"/>
      <c r="AH383" s="18"/>
      <c r="AI383" s="18"/>
      <c r="AJ383" s="18"/>
      <c r="AK383" s="19">
        <v>2020</v>
      </c>
      <c r="AL383" s="18"/>
      <c r="AM383" s="18"/>
      <c r="AN383" s="18"/>
      <c r="AO383" s="18"/>
      <c r="AP383" s="18"/>
      <c r="AR383" s="15" t="s">
        <v>249</v>
      </c>
      <c r="AS383" s="15" t="s">
        <v>567</v>
      </c>
      <c r="AT383" s="15" t="s">
        <v>748</v>
      </c>
      <c r="AU383" s="15"/>
      <c r="AV383" s="15"/>
      <c r="AW383" s="15"/>
      <c r="AX383" s="15"/>
      <c r="AY383" s="15"/>
      <c r="AZ383" s="18"/>
      <c r="BA383" s="19">
        <v>2.5000000000000001E-2</v>
      </c>
      <c r="BB383" s="18"/>
      <c r="BC383" s="18"/>
      <c r="BD383" s="18"/>
      <c r="BE383" s="18"/>
      <c r="BF383" s="18"/>
      <c r="BG383" s="18"/>
      <c r="BH383" s="18"/>
      <c r="BI383" s="18"/>
      <c r="BJ383" s="18"/>
      <c r="BK383" s="18"/>
      <c r="BL383" s="19">
        <v>0.05</v>
      </c>
      <c r="BM383" s="18"/>
      <c r="BN383" s="18"/>
      <c r="BO383" s="18"/>
      <c r="BP383" s="18"/>
      <c r="BQ383" s="18"/>
      <c r="BR383" s="18"/>
      <c r="BS383" s="18"/>
      <c r="BT383" s="18"/>
      <c r="BU383" s="18"/>
    </row>
    <row r="384" spans="3:73" x14ac:dyDescent="0.45">
      <c r="C384" s="15" t="s">
        <v>249</v>
      </c>
      <c r="D384" s="15" t="s">
        <v>326</v>
      </c>
      <c r="E384" s="15" t="s">
        <v>309</v>
      </c>
      <c r="F384" s="15"/>
      <c r="G384" s="15"/>
      <c r="H384" s="15"/>
      <c r="I384" s="15"/>
      <c r="J384" s="19"/>
      <c r="K384" s="18"/>
      <c r="L384" s="18">
        <v>22</v>
      </c>
      <c r="M384" s="18"/>
      <c r="N384" s="18"/>
      <c r="O384" s="18"/>
      <c r="P384" s="19"/>
      <c r="Q384" s="18"/>
      <c r="R384" s="18">
        <v>22</v>
      </c>
      <c r="S384" s="18"/>
      <c r="T384" s="18"/>
      <c r="U384" s="18"/>
      <c r="V384" s="18"/>
      <c r="X384" s="15" t="s">
        <v>328</v>
      </c>
      <c r="Y384" s="15" t="s">
        <v>325</v>
      </c>
      <c r="Z384" s="15" t="s">
        <v>355</v>
      </c>
      <c r="AA384" s="15"/>
      <c r="AB384" s="15"/>
      <c r="AC384" s="15"/>
      <c r="AD384" s="15"/>
      <c r="AE384" s="19">
        <v>2020</v>
      </c>
      <c r="AF384" s="18"/>
      <c r="AG384" s="18"/>
      <c r="AH384" s="18"/>
      <c r="AI384" s="18"/>
      <c r="AJ384" s="18"/>
      <c r="AK384" s="19">
        <v>2020</v>
      </c>
      <c r="AL384" s="18"/>
      <c r="AM384" s="18"/>
      <c r="AN384" s="18"/>
      <c r="AO384" s="18"/>
      <c r="AP384" s="18"/>
      <c r="AR384" s="15" t="s">
        <v>249</v>
      </c>
      <c r="AS384" s="15" t="s">
        <v>567</v>
      </c>
      <c r="AT384" s="15" t="s">
        <v>749</v>
      </c>
      <c r="AU384" s="15"/>
      <c r="AV384" s="15"/>
      <c r="AW384" s="15"/>
      <c r="AX384" s="15"/>
      <c r="AY384" s="15"/>
      <c r="AZ384" s="18"/>
      <c r="BA384" s="19">
        <v>2.5000000000000001E-2</v>
      </c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9">
        <v>0.05</v>
      </c>
      <c r="BM384" s="18"/>
      <c r="BN384" s="18"/>
      <c r="BO384" s="18"/>
      <c r="BP384" s="18"/>
      <c r="BQ384" s="18"/>
      <c r="BR384" s="18"/>
      <c r="BS384" s="18"/>
      <c r="BT384" s="18"/>
      <c r="BU384" s="18"/>
    </row>
    <row r="385" spans="3:73" x14ac:dyDescent="0.45">
      <c r="C385" s="15" t="s">
        <v>249</v>
      </c>
      <c r="D385" s="15" t="s">
        <v>326</v>
      </c>
      <c r="E385" s="15" t="s">
        <v>310</v>
      </c>
      <c r="F385" s="15"/>
      <c r="G385" s="15"/>
      <c r="H385" s="15"/>
      <c r="I385" s="15"/>
      <c r="J385" s="19"/>
      <c r="K385" s="18"/>
      <c r="L385" s="18">
        <v>22</v>
      </c>
      <c r="M385" s="18"/>
      <c r="N385" s="18"/>
      <c r="O385" s="18"/>
      <c r="P385" s="19"/>
      <c r="Q385" s="18"/>
      <c r="R385" s="18">
        <v>22</v>
      </c>
      <c r="S385" s="18"/>
      <c r="T385" s="18"/>
      <c r="U385" s="18"/>
      <c r="V385" s="18"/>
      <c r="X385" s="15" t="s">
        <v>328</v>
      </c>
      <c r="Y385" s="15" t="s">
        <v>325</v>
      </c>
      <c r="Z385" s="15" t="s">
        <v>356</v>
      </c>
      <c r="AA385" s="15"/>
      <c r="AB385" s="15"/>
      <c r="AC385" s="15"/>
      <c r="AD385" s="15"/>
      <c r="AE385" s="19">
        <v>2020</v>
      </c>
      <c r="AF385" s="18"/>
      <c r="AG385" s="18"/>
      <c r="AH385" s="18"/>
      <c r="AI385" s="18"/>
      <c r="AJ385" s="18"/>
      <c r="AK385" s="19">
        <v>2020</v>
      </c>
      <c r="AL385" s="18"/>
      <c r="AM385" s="18"/>
      <c r="AN385" s="18"/>
      <c r="AO385" s="18"/>
      <c r="AP385" s="18"/>
      <c r="AR385" s="15" t="s">
        <v>249</v>
      </c>
      <c r="AS385" s="15" t="s">
        <v>567</v>
      </c>
      <c r="AT385" s="15" t="s">
        <v>750</v>
      </c>
      <c r="AU385" s="15"/>
      <c r="AV385" s="15"/>
      <c r="AW385" s="15"/>
      <c r="AX385" s="15"/>
      <c r="AY385" s="15"/>
      <c r="AZ385" s="18"/>
      <c r="BA385" s="19">
        <v>2.5000000000000001E-2</v>
      </c>
      <c r="BB385" s="18"/>
      <c r="BC385" s="18"/>
      <c r="BD385" s="18"/>
      <c r="BE385" s="18"/>
      <c r="BF385" s="18"/>
      <c r="BG385" s="18"/>
      <c r="BH385" s="18"/>
      <c r="BI385" s="18"/>
      <c r="BJ385" s="18"/>
      <c r="BK385" s="18"/>
      <c r="BL385" s="19">
        <v>0.05</v>
      </c>
      <c r="BM385" s="18"/>
      <c r="BN385" s="18"/>
      <c r="BO385" s="18"/>
      <c r="BP385" s="18"/>
      <c r="BQ385" s="18"/>
      <c r="BR385" s="18"/>
      <c r="BS385" s="18"/>
      <c r="BT385" s="18"/>
      <c r="BU385" s="18"/>
    </row>
    <row r="386" spans="3:73" x14ac:dyDescent="0.45">
      <c r="C386" s="15" t="s">
        <v>249</v>
      </c>
      <c r="D386" s="15" t="s">
        <v>326</v>
      </c>
      <c r="E386" s="15" t="s">
        <v>311</v>
      </c>
      <c r="F386" s="15"/>
      <c r="G386" s="15"/>
      <c r="H386" s="15"/>
      <c r="I386" s="15"/>
      <c r="J386" s="19"/>
      <c r="K386" s="18"/>
      <c r="L386" s="18">
        <v>22</v>
      </c>
      <c r="M386" s="18"/>
      <c r="N386" s="18"/>
      <c r="O386" s="18"/>
      <c r="P386" s="19"/>
      <c r="Q386" s="18"/>
      <c r="R386" s="18">
        <v>22</v>
      </c>
      <c r="S386" s="18"/>
      <c r="T386" s="18"/>
      <c r="U386" s="18"/>
      <c r="V386" s="18"/>
      <c r="X386" s="15" t="s">
        <v>328</v>
      </c>
      <c r="Y386" s="15" t="s">
        <v>325</v>
      </c>
      <c r="Z386" s="15" t="s">
        <v>357</v>
      </c>
      <c r="AA386" s="15"/>
      <c r="AB386" s="15"/>
      <c r="AC386" s="15"/>
      <c r="AD386" s="15"/>
      <c r="AE386" s="19">
        <v>2020</v>
      </c>
      <c r="AF386" s="18"/>
      <c r="AG386" s="18"/>
      <c r="AH386" s="18"/>
      <c r="AI386" s="18"/>
      <c r="AJ386" s="18"/>
      <c r="AK386" s="19">
        <v>2020</v>
      </c>
      <c r="AL386" s="18"/>
      <c r="AM386" s="18"/>
      <c r="AN386" s="18"/>
      <c r="AO386" s="18"/>
      <c r="AP386" s="18"/>
      <c r="AR386" s="15" t="s">
        <v>249</v>
      </c>
      <c r="AS386" s="15" t="s">
        <v>567</v>
      </c>
      <c r="AT386" s="15" t="s">
        <v>751</v>
      </c>
      <c r="AU386" s="15"/>
      <c r="AV386" s="15"/>
      <c r="AW386" s="15"/>
      <c r="AX386" s="15"/>
      <c r="AY386" s="15"/>
      <c r="AZ386" s="18"/>
      <c r="BA386" s="19">
        <v>2.5000000000000001E-2</v>
      </c>
      <c r="BB386" s="18"/>
      <c r="BC386" s="18"/>
      <c r="BD386" s="18"/>
      <c r="BE386" s="18"/>
      <c r="BF386" s="18"/>
      <c r="BG386" s="18"/>
      <c r="BH386" s="18"/>
      <c r="BI386" s="18"/>
      <c r="BJ386" s="18"/>
      <c r="BK386" s="18"/>
      <c r="BL386" s="19">
        <v>0.05</v>
      </c>
      <c r="BM386" s="18"/>
      <c r="BN386" s="18"/>
      <c r="BO386" s="18"/>
      <c r="BP386" s="18"/>
      <c r="BQ386" s="18"/>
      <c r="BR386" s="18"/>
      <c r="BS386" s="18"/>
      <c r="BT386" s="18"/>
      <c r="BU386" s="18"/>
    </row>
    <row r="387" spans="3:73" x14ac:dyDescent="0.45">
      <c r="C387" s="15" t="s">
        <v>249</v>
      </c>
      <c r="D387" s="15" t="s">
        <v>326</v>
      </c>
      <c r="E387" s="15" t="s">
        <v>312</v>
      </c>
      <c r="F387" s="15"/>
      <c r="G387" s="15"/>
      <c r="H387" s="15"/>
      <c r="I387" s="15"/>
      <c r="J387" s="19"/>
      <c r="K387" s="18"/>
      <c r="L387" s="18">
        <v>15</v>
      </c>
      <c r="M387" s="18"/>
      <c r="N387" s="18"/>
      <c r="O387" s="18"/>
      <c r="P387" s="19"/>
      <c r="Q387" s="18"/>
      <c r="R387" s="18">
        <v>15</v>
      </c>
      <c r="S387" s="18"/>
      <c r="T387" s="18"/>
      <c r="U387" s="18"/>
      <c r="V387" s="18"/>
      <c r="X387" s="15" t="s">
        <v>328</v>
      </c>
      <c r="Y387" s="15" t="s">
        <v>325</v>
      </c>
      <c r="Z387" s="15" t="s">
        <v>358</v>
      </c>
      <c r="AA387" s="15"/>
      <c r="AB387" s="15"/>
      <c r="AC387" s="15"/>
      <c r="AD387" s="15"/>
      <c r="AE387" s="19">
        <v>2020</v>
      </c>
      <c r="AF387" s="18"/>
      <c r="AG387" s="18"/>
      <c r="AH387" s="18"/>
      <c r="AI387" s="18"/>
      <c r="AJ387" s="18"/>
      <c r="AK387" s="19">
        <v>2020</v>
      </c>
      <c r="AL387" s="18"/>
      <c r="AM387" s="18"/>
      <c r="AN387" s="18"/>
      <c r="AO387" s="18"/>
      <c r="AP387" s="18"/>
      <c r="AR387" s="15" t="s">
        <v>249</v>
      </c>
      <c r="AS387" s="15" t="s">
        <v>567</v>
      </c>
      <c r="AT387" s="15" t="s">
        <v>752</v>
      </c>
      <c r="AU387" s="15"/>
      <c r="AV387" s="15"/>
      <c r="AW387" s="15"/>
      <c r="AX387" s="15"/>
      <c r="AY387" s="15"/>
      <c r="AZ387" s="18"/>
      <c r="BA387" s="19">
        <v>2.5000000000000001E-2</v>
      </c>
      <c r="BB387" s="18"/>
      <c r="BC387" s="18"/>
      <c r="BD387" s="18"/>
      <c r="BE387" s="18"/>
      <c r="BF387" s="18"/>
      <c r="BG387" s="18"/>
      <c r="BH387" s="18"/>
      <c r="BI387" s="18"/>
      <c r="BJ387" s="18"/>
      <c r="BK387" s="18"/>
      <c r="BL387" s="19">
        <v>0.05</v>
      </c>
      <c r="BM387" s="18"/>
      <c r="BN387" s="18"/>
      <c r="BO387" s="18"/>
      <c r="BP387" s="18"/>
      <c r="BQ387" s="18"/>
      <c r="BR387" s="18"/>
      <c r="BS387" s="18"/>
      <c r="BT387" s="18"/>
      <c r="BU387" s="18"/>
    </row>
    <row r="388" spans="3:73" x14ac:dyDescent="0.45">
      <c r="C388" s="15" t="s">
        <v>249</v>
      </c>
      <c r="D388" s="15" t="s">
        <v>326</v>
      </c>
      <c r="E388" s="15" t="s">
        <v>313</v>
      </c>
      <c r="F388" s="15"/>
      <c r="G388" s="15"/>
      <c r="H388" s="15"/>
      <c r="I388" s="15"/>
      <c r="J388" s="19"/>
      <c r="K388" s="18"/>
      <c r="L388" s="18">
        <v>15</v>
      </c>
      <c r="M388" s="18"/>
      <c r="N388" s="18"/>
      <c r="O388" s="18"/>
      <c r="P388" s="19"/>
      <c r="Q388" s="18"/>
      <c r="R388" s="18">
        <v>15</v>
      </c>
      <c r="S388" s="18"/>
      <c r="T388" s="18"/>
      <c r="U388" s="18"/>
      <c r="V388" s="18"/>
      <c r="X388" s="15" t="s">
        <v>328</v>
      </c>
      <c r="Y388" s="15" t="s">
        <v>325</v>
      </c>
      <c r="Z388" s="15" t="s">
        <v>359</v>
      </c>
      <c r="AA388" s="15"/>
      <c r="AB388" s="15"/>
      <c r="AC388" s="15"/>
      <c r="AD388" s="15"/>
      <c r="AE388" s="19">
        <v>2020</v>
      </c>
      <c r="AF388" s="18"/>
      <c r="AG388" s="18"/>
      <c r="AH388" s="18"/>
      <c r="AI388" s="18"/>
      <c r="AJ388" s="18"/>
      <c r="AK388" s="19">
        <v>2020</v>
      </c>
      <c r="AL388" s="18"/>
      <c r="AM388" s="18"/>
      <c r="AN388" s="18"/>
      <c r="AO388" s="18"/>
      <c r="AP388" s="18"/>
      <c r="AR388" s="15" t="s">
        <v>249</v>
      </c>
      <c r="AS388" s="15" t="s">
        <v>567</v>
      </c>
      <c r="AT388" s="15" t="s">
        <v>753</v>
      </c>
      <c r="AU388" s="15"/>
      <c r="AV388" s="15"/>
      <c r="AW388" s="15"/>
      <c r="AX388" s="15"/>
      <c r="AY388" s="15"/>
      <c r="AZ388" s="18"/>
      <c r="BA388" s="19">
        <v>2.5000000000000001E-2</v>
      </c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19">
        <v>0.05</v>
      </c>
      <c r="BM388" s="18"/>
      <c r="BN388" s="18"/>
      <c r="BO388" s="18"/>
      <c r="BP388" s="18"/>
      <c r="BQ388" s="18"/>
      <c r="BR388" s="18"/>
      <c r="BS388" s="18"/>
      <c r="BT388" s="18"/>
      <c r="BU388" s="18"/>
    </row>
    <row r="389" spans="3:73" x14ac:dyDescent="0.45">
      <c r="C389" s="15" t="s">
        <v>249</v>
      </c>
      <c r="D389" s="15" t="s">
        <v>326</v>
      </c>
      <c r="E389" s="15" t="s">
        <v>314</v>
      </c>
      <c r="F389" s="15"/>
      <c r="G389" s="15"/>
      <c r="H389" s="15"/>
      <c r="I389" s="15"/>
      <c r="J389" s="19"/>
      <c r="K389" s="18"/>
      <c r="L389" s="18">
        <v>15</v>
      </c>
      <c r="M389" s="18"/>
      <c r="N389" s="18"/>
      <c r="O389" s="18"/>
      <c r="P389" s="19"/>
      <c r="Q389" s="18"/>
      <c r="R389" s="18">
        <v>15</v>
      </c>
      <c r="S389" s="18"/>
      <c r="T389" s="18"/>
      <c r="U389" s="18"/>
      <c r="V389" s="18"/>
      <c r="X389" s="15" t="s">
        <v>328</v>
      </c>
      <c r="Y389" s="15" t="s">
        <v>325</v>
      </c>
      <c r="Z389" s="15" t="s">
        <v>360</v>
      </c>
      <c r="AA389" s="15"/>
      <c r="AB389" s="15"/>
      <c r="AC389" s="15"/>
      <c r="AD389" s="15"/>
      <c r="AE389" s="19">
        <v>2020</v>
      </c>
      <c r="AF389" s="18"/>
      <c r="AG389" s="18"/>
      <c r="AH389" s="18"/>
      <c r="AI389" s="18"/>
      <c r="AJ389" s="18"/>
      <c r="AK389" s="19">
        <v>2020</v>
      </c>
      <c r="AL389" s="18"/>
      <c r="AM389" s="18"/>
      <c r="AN389" s="18"/>
      <c r="AO389" s="18"/>
      <c r="AP389" s="18"/>
      <c r="AR389" s="15" t="s">
        <v>249</v>
      </c>
      <c r="AS389" s="15" t="s">
        <v>567</v>
      </c>
      <c r="AT389" s="15" t="s">
        <v>754</v>
      </c>
      <c r="AU389" s="15"/>
      <c r="AV389" s="15"/>
      <c r="AW389" s="15"/>
      <c r="AX389" s="15"/>
      <c r="AY389" s="15"/>
      <c r="AZ389" s="18"/>
      <c r="BA389" s="19">
        <v>2.5000000000000001E-2</v>
      </c>
      <c r="BB389" s="18"/>
      <c r="BC389" s="18"/>
      <c r="BD389" s="18"/>
      <c r="BE389" s="18"/>
      <c r="BF389" s="18"/>
      <c r="BG389" s="18"/>
      <c r="BH389" s="18"/>
      <c r="BI389" s="18"/>
      <c r="BJ389" s="18"/>
      <c r="BK389" s="18"/>
      <c r="BL389" s="19">
        <v>0.05</v>
      </c>
      <c r="BM389" s="18"/>
      <c r="BN389" s="18"/>
      <c r="BO389" s="18"/>
      <c r="BP389" s="18"/>
      <c r="BQ389" s="18"/>
      <c r="BR389" s="18"/>
      <c r="BS389" s="18"/>
      <c r="BT389" s="18"/>
      <c r="BU389" s="18"/>
    </row>
    <row r="390" spans="3:73" x14ac:dyDescent="0.45">
      <c r="C390" s="15" t="s">
        <v>249</v>
      </c>
      <c r="D390" s="15" t="s">
        <v>326</v>
      </c>
      <c r="E390" s="15" t="s">
        <v>315</v>
      </c>
      <c r="F390" s="15"/>
      <c r="G390" s="15"/>
      <c r="H390" s="15"/>
      <c r="I390" s="15"/>
      <c r="J390" s="19"/>
      <c r="K390" s="18"/>
      <c r="L390" s="18">
        <v>22</v>
      </c>
      <c r="M390" s="18"/>
      <c r="N390" s="18"/>
      <c r="O390" s="18"/>
      <c r="P390" s="19"/>
      <c r="Q390" s="18"/>
      <c r="R390" s="18">
        <v>22</v>
      </c>
      <c r="S390" s="18"/>
      <c r="T390" s="18"/>
      <c r="U390" s="18"/>
      <c r="V390" s="18"/>
      <c r="X390" s="15" t="s">
        <v>328</v>
      </c>
      <c r="Y390" s="15" t="s">
        <v>325</v>
      </c>
      <c r="Z390" s="15" t="s">
        <v>361</v>
      </c>
      <c r="AA390" s="15"/>
      <c r="AB390" s="15"/>
      <c r="AC390" s="15"/>
      <c r="AD390" s="15"/>
      <c r="AE390" s="19">
        <v>2020</v>
      </c>
      <c r="AF390" s="18"/>
      <c r="AG390" s="18"/>
      <c r="AH390" s="18"/>
      <c r="AI390" s="18"/>
      <c r="AJ390" s="18"/>
      <c r="AK390" s="19">
        <v>2020</v>
      </c>
      <c r="AL390" s="18"/>
      <c r="AM390" s="18"/>
      <c r="AN390" s="18"/>
      <c r="AO390" s="18"/>
      <c r="AP390" s="18"/>
      <c r="AR390" s="15" t="s">
        <v>249</v>
      </c>
      <c r="AS390" s="15" t="s">
        <v>567</v>
      </c>
      <c r="AT390" s="15" t="s">
        <v>755</v>
      </c>
      <c r="AU390" s="15"/>
      <c r="AV390" s="15"/>
      <c r="AW390" s="15"/>
      <c r="AX390" s="15"/>
      <c r="AY390" s="15"/>
      <c r="AZ390" s="18"/>
      <c r="BA390" s="19">
        <v>2.5000000000000001E-2</v>
      </c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9">
        <v>0.05</v>
      </c>
      <c r="BM390" s="18"/>
      <c r="BN390" s="18"/>
      <c r="BO390" s="18"/>
      <c r="BP390" s="18"/>
      <c r="BQ390" s="18"/>
      <c r="BR390" s="18"/>
      <c r="BS390" s="18"/>
      <c r="BT390" s="18"/>
      <c r="BU390" s="18"/>
    </row>
    <row r="391" spans="3:73" x14ac:dyDescent="0.45">
      <c r="C391" s="15" t="s">
        <v>249</v>
      </c>
      <c r="D391" s="15" t="s">
        <v>326</v>
      </c>
      <c r="E391" s="15" t="s">
        <v>316</v>
      </c>
      <c r="F391" s="15"/>
      <c r="G391" s="15"/>
      <c r="H391" s="15"/>
      <c r="I391" s="15"/>
      <c r="J391" s="19"/>
      <c r="K391" s="18"/>
      <c r="L391" s="18">
        <v>22</v>
      </c>
      <c r="M391" s="18"/>
      <c r="N391" s="18"/>
      <c r="O391" s="18"/>
      <c r="P391" s="19"/>
      <c r="Q391" s="18"/>
      <c r="R391" s="18">
        <v>22</v>
      </c>
      <c r="S391" s="18"/>
      <c r="T391" s="18"/>
      <c r="U391" s="18"/>
      <c r="V391" s="18"/>
      <c r="X391" s="15" t="s">
        <v>328</v>
      </c>
      <c r="Y391" s="15" t="s">
        <v>325</v>
      </c>
      <c r="Z391" s="15" t="s">
        <v>362</v>
      </c>
      <c r="AA391" s="15"/>
      <c r="AB391" s="15"/>
      <c r="AC391" s="15"/>
      <c r="AD391" s="15"/>
      <c r="AE391" s="19">
        <v>2020</v>
      </c>
      <c r="AF391" s="18"/>
      <c r="AG391" s="18"/>
      <c r="AH391" s="18"/>
      <c r="AI391" s="18"/>
      <c r="AJ391" s="18"/>
      <c r="AK391" s="19">
        <v>2020</v>
      </c>
      <c r="AL391" s="18"/>
      <c r="AM391" s="18"/>
      <c r="AN391" s="18"/>
      <c r="AO391" s="18"/>
      <c r="AP391" s="18"/>
      <c r="AR391" s="15" t="s">
        <v>249</v>
      </c>
      <c r="AS391" s="15" t="s">
        <v>567</v>
      </c>
      <c r="AT391" s="15" t="s">
        <v>756</v>
      </c>
      <c r="AU391" s="15"/>
      <c r="AV391" s="15"/>
      <c r="AW391" s="15"/>
      <c r="AX391" s="15"/>
      <c r="AY391" s="15"/>
      <c r="AZ391" s="18"/>
      <c r="BA391" s="19">
        <v>2.5000000000000001E-2</v>
      </c>
      <c r="BB391" s="18"/>
      <c r="BC391" s="18"/>
      <c r="BD391" s="18"/>
      <c r="BE391" s="18"/>
      <c r="BF391" s="18"/>
      <c r="BG391" s="18"/>
      <c r="BH391" s="18"/>
      <c r="BI391" s="18"/>
      <c r="BJ391" s="18"/>
      <c r="BK391" s="18"/>
      <c r="BL391" s="19">
        <v>0.05</v>
      </c>
      <c r="BM391" s="18"/>
      <c r="BN391" s="18"/>
      <c r="BO391" s="18"/>
      <c r="BP391" s="18"/>
      <c r="BQ391" s="18"/>
      <c r="BR391" s="18"/>
      <c r="BS391" s="18"/>
      <c r="BT391" s="18"/>
      <c r="BU391" s="18"/>
    </row>
    <row r="392" spans="3:73" x14ac:dyDescent="0.45">
      <c r="C392" s="15" t="s">
        <v>249</v>
      </c>
      <c r="D392" s="15" t="s">
        <v>326</v>
      </c>
      <c r="E392" s="15" t="s">
        <v>317</v>
      </c>
      <c r="F392" s="15"/>
      <c r="G392" s="15"/>
      <c r="H392" s="15"/>
      <c r="I392" s="15"/>
      <c r="J392" s="18"/>
      <c r="K392" s="18"/>
      <c r="L392" s="19">
        <v>22</v>
      </c>
      <c r="M392" s="18"/>
      <c r="N392" s="18"/>
      <c r="O392" s="18"/>
      <c r="P392" s="18"/>
      <c r="Q392" s="18"/>
      <c r="R392" s="19">
        <v>22</v>
      </c>
      <c r="S392" s="18"/>
      <c r="T392" s="18"/>
      <c r="U392" s="18"/>
      <c r="V392" s="18"/>
      <c r="X392" s="15" t="s">
        <v>328</v>
      </c>
      <c r="Y392" s="15" t="s">
        <v>326</v>
      </c>
      <c r="Z392" s="15" t="s">
        <v>330</v>
      </c>
      <c r="AA392" s="15"/>
      <c r="AB392" s="15"/>
      <c r="AC392" s="15"/>
      <c r="AD392" s="15"/>
      <c r="AE392" s="18"/>
      <c r="AF392" s="18"/>
      <c r="AG392" s="19">
        <v>22.051404092999999</v>
      </c>
      <c r="AH392" s="18"/>
      <c r="AI392" s="18"/>
      <c r="AJ392" s="18"/>
      <c r="AK392" s="18"/>
      <c r="AL392" s="18"/>
      <c r="AM392" s="19">
        <v>22.051404092999999</v>
      </c>
      <c r="AN392" s="18"/>
      <c r="AO392" s="18"/>
      <c r="AP392" s="18"/>
      <c r="AR392" s="15" t="s">
        <v>249</v>
      </c>
      <c r="AS392" s="15" t="s">
        <v>567</v>
      </c>
      <c r="AT392" s="15" t="s">
        <v>757</v>
      </c>
      <c r="AU392" s="15"/>
      <c r="AV392" s="15"/>
      <c r="AW392" s="15"/>
      <c r="AX392" s="15"/>
      <c r="AY392" s="15"/>
      <c r="AZ392" s="18"/>
      <c r="BA392" s="19">
        <v>2.5000000000000001E-2</v>
      </c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9">
        <v>0.05</v>
      </c>
      <c r="BM392" s="18"/>
      <c r="BN392" s="18"/>
      <c r="BO392" s="18"/>
      <c r="BP392" s="18"/>
      <c r="BQ392" s="18"/>
      <c r="BR392" s="18"/>
      <c r="BS392" s="18"/>
      <c r="BT392" s="18"/>
      <c r="BU392" s="18"/>
    </row>
    <row r="393" spans="3:73" x14ac:dyDescent="0.45">
      <c r="C393" s="15" t="s">
        <v>249</v>
      </c>
      <c r="D393" s="15" t="s">
        <v>327</v>
      </c>
      <c r="E393" s="15" t="s">
        <v>251</v>
      </c>
      <c r="F393" s="15"/>
      <c r="G393" s="15"/>
      <c r="H393" s="15"/>
      <c r="I393" s="15"/>
      <c r="J393" s="18">
        <v>31.536000000000001</v>
      </c>
      <c r="K393" s="18"/>
      <c r="L393" s="19"/>
      <c r="M393" s="18"/>
      <c r="N393" s="18"/>
      <c r="O393" s="18"/>
      <c r="P393" s="18"/>
      <c r="Q393" s="18">
        <v>31.536000000000001</v>
      </c>
      <c r="R393" s="19"/>
      <c r="S393" s="18"/>
      <c r="T393" s="18"/>
      <c r="U393" s="18"/>
      <c r="V393" s="18"/>
      <c r="X393" s="15" t="s">
        <v>328</v>
      </c>
      <c r="Y393" s="15" t="s">
        <v>326</v>
      </c>
      <c r="Z393" s="15" t="s">
        <v>331</v>
      </c>
      <c r="AA393" s="15"/>
      <c r="AB393" s="15"/>
      <c r="AC393" s="15"/>
      <c r="AD393" s="15"/>
      <c r="AE393" s="18"/>
      <c r="AF393" s="18"/>
      <c r="AG393" s="19">
        <v>22.051404092999999</v>
      </c>
      <c r="AH393" s="18"/>
      <c r="AI393" s="18"/>
      <c r="AJ393" s="18"/>
      <c r="AK393" s="18"/>
      <c r="AL393" s="18"/>
      <c r="AM393" s="19">
        <v>22.051404092999999</v>
      </c>
      <c r="AN393" s="18"/>
      <c r="AO393" s="18"/>
      <c r="AP393" s="18"/>
      <c r="AR393" s="15" t="s">
        <v>249</v>
      </c>
      <c r="AS393" s="15" t="s">
        <v>567</v>
      </c>
      <c r="AT393" s="15" t="s">
        <v>758</v>
      </c>
      <c r="AU393" s="15"/>
      <c r="AV393" s="15"/>
      <c r="AW393" s="15"/>
      <c r="AX393" s="15"/>
      <c r="AY393" s="15"/>
      <c r="AZ393" s="18"/>
      <c r="BA393" s="19">
        <v>2.5000000000000001E-2</v>
      </c>
      <c r="BB393" s="18"/>
      <c r="BC393" s="18"/>
      <c r="BD393" s="18"/>
      <c r="BE393" s="18"/>
      <c r="BF393" s="18"/>
      <c r="BG393" s="18"/>
      <c r="BH393" s="18"/>
      <c r="BI393" s="18"/>
      <c r="BJ393" s="18"/>
      <c r="BK393" s="18"/>
      <c r="BL393" s="19">
        <v>0.05</v>
      </c>
      <c r="BM393" s="18"/>
      <c r="BN393" s="18"/>
      <c r="BO393" s="18"/>
      <c r="BP393" s="18"/>
      <c r="BQ393" s="18"/>
      <c r="BR393" s="18"/>
      <c r="BS393" s="18"/>
      <c r="BT393" s="18"/>
      <c r="BU393" s="18"/>
    </row>
    <row r="394" spans="3:73" x14ac:dyDescent="0.45">
      <c r="C394" s="15" t="s">
        <v>249</v>
      </c>
      <c r="D394" s="15" t="s">
        <v>327</v>
      </c>
      <c r="E394" s="15" t="s">
        <v>253</v>
      </c>
      <c r="F394" s="15"/>
      <c r="G394" s="15"/>
      <c r="H394" s="15"/>
      <c r="I394" s="15"/>
      <c r="J394" s="18">
        <v>31.536000000000001</v>
      </c>
      <c r="K394" s="18"/>
      <c r="L394" s="19"/>
      <c r="M394" s="18"/>
      <c r="N394" s="18"/>
      <c r="O394" s="18"/>
      <c r="P394" s="18"/>
      <c r="Q394" s="18">
        <v>31.536000000000001</v>
      </c>
      <c r="R394" s="19"/>
      <c r="S394" s="18"/>
      <c r="T394" s="18"/>
      <c r="U394" s="18"/>
      <c r="V394" s="18"/>
      <c r="X394" s="15" t="s">
        <v>328</v>
      </c>
      <c r="Y394" s="15" t="s">
        <v>326</v>
      </c>
      <c r="Z394" s="15" t="s">
        <v>332</v>
      </c>
      <c r="AA394" s="15"/>
      <c r="AB394" s="15"/>
      <c r="AC394" s="15"/>
      <c r="AD394" s="15"/>
      <c r="AE394" s="18"/>
      <c r="AF394" s="18"/>
      <c r="AG394" s="19">
        <v>22.051404092999999</v>
      </c>
      <c r="AH394" s="18"/>
      <c r="AI394" s="18"/>
      <c r="AJ394" s="18"/>
      <c r="AK394" s="18"/>
      <c r="AL394" s="18"/>
      <c r="AM394" s="19">
        <v>22.051404092999999</v>
      </c>
      <c r="AN394" s="18"/>
      <c r="AO394" s="18"/>
      <c r="AP394" s="18"/>
      <c r="AR394" s="15" t="s">
        <v>249</v>
      </c>
      <c r="AS394" s="15" t="s">
        <v>567</v>
      </c>
      <c r="AT394" s="15" t="s">
        <v>759</v>
      </c>
      <c r="AU394" s="15"/>
      <c r="AV394" s="15"/>
      <c r="AW394" s="15"/>
      <c r="AX394" s="15"/>
      <c r="AY394" s="15"/>
      <c r="AZ394" s="18"/>
      <c r="BA394" s="19">
        <v>2.5000000000000001E-2</v>
      </c>
      <c r="BB394" s="18"/>
      <c r="BC394" s="18"/>
      <c r="BD394" s="18"/>
      <c r="BE394" s="18"/>
      <c r="BF394" s="18"/>
      <c r="BG394" s="18"/>
      <c r="BH394" s="18"/>
      <c r="BI394" s="18"/>
      <c r="BJ394" s="18"/>
      <c r="BK394" s="18"/>
      <c r="BL394" s="19">
        <v>0.05</v>
      </c>
      <c r="BM394" s="18"/>
      <c r="BN394" s="18"/>
      <c r="BO394" s="18"/>
      <c r="BP394" s="18"/>
      <c r="BQ394" s="18"/>
      <c r="BR394" s="18"/>
      <c r="BS394" s="18"/>
      <c r="BT394" s="18"/>
      <c r="BU394" s="18"/>
    </row>
    <row r="395" spans="3:73" x14ac:dyDescent="0.45">
      <c r="C395" s="15" t="s">
        <v>249</v>
      </c>
      <c r="D395" s="15" t="s">
        <v>327</v>
      </c>
      <c r="E395" s="15" t="s">
        <v>254</v>
      </c>
      <c r="F395" s="15"/>
      <c r="G395" s="15"/>
      <c r="H395" s="15"/>
      <c r="I395" s="15"/>
      <c r="J395" s="18">
        <v>31.536000000000001</v>
      </c>
      <c r="K395" s="18"/>
      <c r="L395" s="19"/>
      <c r="M395" s="18"/>
      <c r="N395" s="18"/>
      <c r="O395" s="18"/>
      <c r="P395" s="18"/>
      <c r="Q395" s="18">
        <v>31.536000000000001</v>
      </c>
      <c r="R395" s="19"/>
      <c r="S395" s="18"/>
      <c r="T395" s="18"/>
      <c r="U395" s="18"/>
      <c r="V395" s="18"/>
      <c r="X395" s="15" t="s">
        <v>328</v>
      </c>
      <c r="Y395" s="15" t="s">
        <v>326</v>
      </c>
      <c r="Z395" s="15" t="s">
        <v>333</v>
      </c>
      <c r="AA395" s="15"/>
      <c r="AB395" s="15"/>
      <c r="AC395" s="15"/>
      <c r="AD395" s="15"/>
      <c r="AE395" s="18"/>
      <c r="AF395" s="18"/>
      <c r="AG395" s="19">
        <v>22.051404092999999</v>
      </c>
      <c r="AH395" s="18"/>
      <c r="AI395" s="18"/>
      <c r="AJ395" s="18"/>
      <c r="AK395" s="18"/>
      <c r="AL395" s="18"/>
      <c r="AM395" s="19">
        <v>22.051404092999999</v>
      </c>
      <c r="AN395" s="18"/>
      <c r="AO395" s="18"/>
      <c r="AP395" s="18"/>
      <c r="AR395" s="15" t="s">
        <v>249</v>
      </c>
      <c r="AS395" s="15" t="s">
        <v>567</v>
      </c>
      <c r="AT395" s="15" t="s">
        <v>760</v>
      </c>
      <c r="AU395" s="15"/>
      <c r="AV395" s="15"/>
      <c r="AW395" s="15"/>
      <c r="AX395" s="15"/>
      <c r="AY395" s="15"/>
      <c r="AZ395" s="18"/>
      <c r="BA395" s="19">
        <v>2.5000000000000001E-2</v>
      </c>
      <c r="BB395" s="18"/>
      <c r="BC395" s="18"/>
      <c r="BD395" s="18"/>
      <c r="BE395" s="18"/>
      <c r="BF395" s="18"/>
      <c r="BG395" s="18"/>
      <c r="BH395" s="18"/>
      <c r="BI395" s="18"/>
      <c r="BJ395" s="18"/>
      <c r="BK395" s="18"/>
      <c r="BL395" s="19">
        <v>0.05</v>
      </c>
      <c r="BM395" s="18"/>
      <c r="BN395" s="18"/>
      <c r="BO395" s="18"/>
      <c r="BP395" s="18"/>
      <c r="BQ395" s="18"/>
      <c r="BR395" s="18"/>
      <c r="BS395" s="18"/>
      <c r="BT395" s="18"/>
      <c r="BU395" s="18"/>
    </row>
    <row r="396" spans="3:73" x14ac:dyDescent="0.45">
      <c r="C396" s="15" t="s">
        <v>249</v>
      </c>
      <c r="D396" s="15" t="s">
        <v>327</v>
      </c>
      <c r="E396" s="15" t="s">
        <v>255</v>
      </c>
      <c r="F396" s="15"/>
      <c r="G396" s="15"/>
      <c r="H396" s="15"/>
      <c r="I396" s="15"/>
      <c r="J396" s="18">
        <v>1</v>
      </c>
      <c r="K396" s="18"/>
      <c r="L396" s="19"/>
      <c r="M396" s="18"/>
      <c r="N396" s="18"/>
      <c r="O396" s="18"/>
      <c r="P396" s="18"/>
      <c r="Q396" s="18">
        <v>1</v>
      </c>
      <c r="R396" s="19"/>
      <c r="S396" s="18"/>
      <c r="T396" s="18"/>
      <c r="U396" s="18"/>
      <c r="V396" s="18"/>
      <c r="X396" s="15" t="s">
        <v>328</v>
      </c>
      <c r="Y396" s="15" t="s">
        <v>326</v>
      </c>
      <c r="Z396" s="15" t="s">
        <v>334</v>
      </c>
      <c r="AA396" s="15"/>
      <c r="AB396" s="15"/>
      <c r="AC396" s="15"/>
      <c r="AD396" s="15"/>
      <c r="AE396" s="18"/>
      <c r="AF396" s="18"/>
      <c r="AG396" s="19">
        <v>15.784552846</v>
      </c>
      <c r="AH396" s="18"/>
      <c r="AI396" s="18"/>
      <c r="AJ396" s="18"/>
      <c r="AK396" s="18"/>
      <c r="AL396" s="18"/>
      <c r="AM396" s="19">
        <v>15.784552846</v>
      </c>
      <c r="AN396" s="18"/>
      <c r="AO396" s="18"/>
      <c r="AP396" s="18"/>
      <c r="AR396" s="15" t="s">
        <v>249</v>
      </c>
      <c r="AS396" s="15" t="s">
        <v>567</v>
      </c>
      <c r="AT396" s="15" t="s">
        <v>761</v>
      </c>
      <c r="AU396" s="15"/>
      <c r="AV396" s="15"/>
      <c r="AW396" s="15"/>
      <c r="AX396" s="15"/>
      <c r="AY396" s="15"/>
      <c r="AZ396" s="18"/>
      <c r="BA396" s="19">
        <v>2.5000000000000001E-2</v>
      </c>
      <c r="BB396" s="18"/>
      <c r="BC396" s="18"/>
      <c r="BD396" s="18"/>
      <c r="BE396" s="18"/>
      <c r="BF396" s="18"/>
      <c r="BG396" s="18"/>
      <c r="BH396" s="18"/>
      <c r="BI396" s="18"/>
      <c r="BJ396" s="18"/>
      <c r="BK396" s="18"/>
      <c r="BL396" s="19">
        <v>0.05</v>
      </c>
      <c r="BM396" s="18"/>
      <c r="BN396" s="18"/>
      <c r="BO396" s="18"/>
      <c r="BP396" s="18"/>
      <c r="BQ396" s="18"/>
      <c r="BR396" s="18"/>
      <c r="BS396" s="18"/>
      <c r="BT396" s="18"/>
      <c r="BU396" s="18"/>
    </row>
    <row r="397" spans="3:73" x14ac:dyDescent="0.45">
      <c r="C397" s="15" t="s">
        <v>249</v>
      </c>
      <c r="D397" s="15" t="s">
        <v>327</v>
      </c>
      <c r="E397" s="15" t="s">
        <v>256</v>
      </c>
      <c r="F397" s="15"/>
      <c r="G397" s="15"/>
      <c r="H397" s="15"/>
      <c r="I397" s="15"/>
      <c r="J397" s="18">
        <v>1</v>
      </c>
      <c r="K397" s="18"/>
      <c r="L397" s="19"/>
      <c r="M397" s="18"/>
      <c r="N397" s="18"/>
      <c r="O397" s="18"/>
      <c r="P397" s="18"/>
      <c r="Q397" s="18">
        <v>1</v>
      </c>
      <c r="R397" s="19"/>
      <c r="S397" s="18"/>
      <c r="T397" s="18"/>
      <c r="U397" s="18"/>
      <c r="V397" s="18"/>
      <c r="X397" s="15" t="s">
        <v>328</v>
      </c>
      <c r="Y397" s="15" t="s">
        <v>326</v>
      </c>
      <c r="Z397" s="15" t="s">
        <v>335</v>
      </c>
      <c r="AA397" s="15"/>
      <c r="AB397" s="15"/>
      <c r="AC397" s="15"/>
      <c r="AD397" s="15"/>
      <c r="AE397" s="18"/>
      <c r="AF397" s="18"/>
      <c r="AG397" s="19">
        <v>22.051404092999999</v>
      </c>
      <c r="AH397" s="18"/>
      <c r="AI397" s="18"/>
      <c r="AJ397" s="18"/>
      <c r="AK397" s="18"/>
      <c r="AL397" s="18"/>
      <c r="AM397" s="19">
        <v>22.051404092999999</v>
      </c>
      <c r="AN397" s="18"/>
      <c r="AO397" s="18"/>
      <c r="AP397" s="18"/>
      <c r="AR397" s="15" t="s">
        <v>249</v>
      </c>
      <c r="AS397" s="15" t="s">
        <v>567</v>
      </c>
      <c r="AT397" s="15" t="s">
        <v>762</v>
      </c>
      <c r="AU397" s="15"/>
      <c r="AV397" s="15"/>
      <c r="AW397" s="15"/>
      <c r="AX397" s="15"/>
      <c r="AY397" s="15"/>
      <c r="AZ397" s="18"/>
      <c r="BA397" s="19">
        <v>2.5000000000000001E-2</v>
      </c>
      <c r="BB397" s="18"/>
      <c r="BC397" s="18"/>
      <c r="BD397" s="18"/>
      <c r="BE397" s="18"/>
      <c r="BF397" s="18"/>
      <c r="BG397" s="18"/>
      <c r="BH397" s="18"/>
      <c r="BI397" s="18"/>
      <c r="BJ397" s="18"/>
      <c r="BK397" s="18"/>
      <c r="BL397" s="19">
        <v>0.05</v>
      </c>
      <c r="BM397" s="18"/>
      <c r="BN397" s="18"/>
      <c r="BO397" s="18"/>
      <c r="BP397" s="18"/>
      <c r="BQ397" s="18"/>
      <c r="BR397" s="18"/>
      <c r="BS397" s="18"/>
      <c r="BT397" s="18"/>
      <c r="BU397" s="18"/>
    </row>
    <row r="398" spans="3:73" x14ac:dyDescent="0.45">
      <c r="C398" s="15" t="s">
        <v>249</v>
      </c>
      <c r="D398" s="15" t="s">
        <v>327</v>
      </c>
      <c r="E398" s="15" t="s">
        <v>257</v>
      </c>
      <c r="F398" s="15"/>
      <c r="G398" s="15"/>
      <c r="H398" s="15"/>
      <c r="I398" s="15"/>
      <c r="J398" s="18">
        <v>1</v>
      </c>
      <c r="K398" s="18"/>
      <c r="L398" s="19"/>
      <c r="M398" s="18"/>
      <c r="N398" s="18"/>
      <c r="O398" s="18"/>
      <c r="P398" s="18"/>
      <c r="Q398" s="18">
        <v>1</v>
      </c>
      <c r="R398" s="19"/>
      <c r="S398" s="18"/>
      <c r="T398" s="18"/>
      <c r="U398" s="18"/>
      <c r="V398" s="18"/>
      <c r="X398" s="15" t="s">
        <v>328</v>
      </c>
      <c r="Y398" s="15" t="s">
        <v>326</v>
      </c>
      <c r="Z398" s="15" t="s">
        <v>336</v>
      </c>
      <c r="AA398" s="15"/>
      <c r="AB398" s="15"/>
      <c r="AC398" s="15"/>
      <c r="AD398" s="15"/>
      <c r="AE398" s="18"/>
      <c r="AF398" s="18"/>
      <c r="AG398" s="19">
        <v>22.051404092999999</v>
      </c>
      <c r="AH398" s="18"/>
      <c r="AI398" s="18"/>
      <c r="AJ398" s="18"/>
      <c r="AK398" s="18"/>
      <c r="AL398" s="18"/>
      <c r="AM398" s="19">
        <v>22.051404092999999</v>
      </c>
      <c r="AN398" s="18"/>
      <c r="AO398" s="18"/>
      <c r="AP398" s="18"/>
      <c r="AR398" s="15" t="s">
        <v>249</v>
      </c>
      <c r="AS398" s="15" t="s">
        <v>567</v>
      </c>
      <c r="AT398" s="15" t="s">
        <v>763</v>
      </c>
      <c r="AU398" s="15"/>
      <c r="AV398" s="15"/>
      <c r="AW398" s="15"/>
      <c r="AX398" s="15"/>
      <c r="AY398" s="15"/>
      <c r="AZ398" s="18"/>
      <c r="BA398" s="19">
        <v>2.5000000000000001E-2</v>
      </c>
      <c r="BB398" s="18"/>
      <c r="BC398" s="18"/>
      <c r="BD398" s="18"/>
      <c r="BE398" s="18"/>
      <c r="BF398" s="18"/>
      <c r="BG398" s="18"/>
      <c r="BH398" s="18"/>
      <c r="BI398" s="18"/>
      <c r="BJ398" s="18"/>
      <c r="BK398" s="18"/>
      <c r="BL398" s="19">
        <v>0.05</v>
      </c>
      <c r="BM398" s="18"/>
      <c r="BN398" s="18"/>
      <c r="BO398" s="18"/>
      <c r="BP398" s="18"/>
      <c r="BQ398" s="18"/>
      <c r="BR398" s="18"/>
      <c r="BS398" s="18"/>
      <c r="BT398" s="18"/>
      <c r="BU398" s="18"/>
    </row>
    <row r="399" spans="3:73" x14ac:dyDescent="0.45">
      <c r="C399" s="15" t="s">
        <v>249</v>
      </c>
      <c r="D399" s="15" t="s">
        <v>327</v>
      </c>
      <c r="E399" s="15" t="s">
        <v>258</v>
      </c>
      <c r="F399" s="15"/>
      <c r="G399" s="15"/>
      <c r="H399" s="15"/>
      <c r="I399" s="15"/>
      <c r="J399" s="18">
        <v>1</v>
      </c>
      <c r="K399" s="18"/>
      <c r="L399" s="19"/>
      <c r="M399" s="18"/>
      <c r="N399" s="18"/>
      <c r="O399" s="18"/>
      <c r="P399" s="18"/>
      <c r="Q399" s="18">
        <v>1</v>
      </c>
      <c r="R399" s="19"/>
      <c r="S399" s="18"/>
      <c r="T399" s="18"/>
      <c r="U399" s="18"/>
      <c r="V399" s="18"/>
      <c r="X399" s="15" t="s">
        <v>328</v>
      </c>
      <c r="Y399" s="15" t="s">
        <v>326</v>
      </c>
      <c r="Z399" s="15" t="s">
        <v>339</v>
      </c>
      <c r="AA399" s="15"/>
      <c r="AB399" s="15"/>
      <c r="AC399" s="15"/>
      <c r="AD399" s="15"/>
      <c r="AE399" s="18"/>
      <c r="AF399" s="18"/>
      <c r="AG399" s="19">
        <v>22.051404092999999</v>
      </c>
      <c r="AH399" s="18"/>
      <c r="AI399" s="18"/>
      <c r="AJ399" s="18"/>
      <c r="AK399" s="18"/>
      <c r="AL399" s="18"/>
      <c r="AM399" s="19">
        <v>22.051404092999999</v>
      </c>
      <c r="AN399" s="18"/>
      <c r="AO399" s="18"/>
      <c r="AP399" s="18"/>
      <c r="AR399" s="15" t="s">
        <v>249</v>
      </c>
      <c r="AS399" s="15" t="s">
        <v>567</v>
      </c>
      <c r="AT399" s="15" t="s">
        <v>764</v>
      </c>
      <c r="AU399" s="15"/>
      <c r="AV399" s="15"/>
      <c r="AW399" s="15"/>
      <c r="AX399" s="15"/>
      <c r="AY399" s="15"/>
      <c r="AZ399" s="18"/>
      <c r="BA399" s="19">
        <v>2.5000000000000001E-2</v>
      </c>
      <c r="BB399" s="18"/>
      <c r="BC399" s="18"/>
      <c r="BD399" s="18"/>
      <c r="BE399" s="18"/>
      <c r="BF399" s="18"/>
      <c r="BG399" s="18"/>
      <c r="BH399" s="18"/>
      <c r="BI399" s="18"/>
      <c r="BJ399" s="18"/>
      <c r="BK399" s="18"/>
      <c r="BL399" s="19">
        <v>0.05</v>
      </c>
      <c r="BM399" s="18"/>
      <c r="BN399" s="18"/>
      <c r="BO399" s="18"/>
      <c r="BP399" s="18"/>
      <c r="BQ399" s="18"/>
      <c r="BR399" s="18"/>
      <c r="BS399" s="18"/>
      <c r="BT399" s="18"/>
      <c r="BU399" s="18"/>
    </row>
    <row r="400" spans="3:73" x14ac:dyDescent="0.45">
      <c r="C400" s="15" t="s">
        <v>249</v>
      </c>
      <c r="D400" s="15" t="s">
        <v>327</v>
      </c>
      <c r="E400" s="15" t="s">
        <v>259</v>
      </c>
      <c r="F400" s="15"/>
      <c r="G400" s="15"/>
      <c r="H400" s="15"/>
      <c r="I400" s="15"/>
      <c r="J400" s="18">
        <v>1</v>
      </c>
      <c r="K400" s="18"/>
      <c r="L400" s="19"/>
      <c r="M400" s="18"/>
      <c r="N400" s="18"/>
      <c r="O400" s="18"/>
      <c r="P400" s="18"/>
      <c r="Q400" s="18">
        <v>1</v>
      </c>
      <c r="R400" s="19"/>
      <c r="S400" s="18"/>
      <c r="T400" s="18"/>
      <c r="U400" s="18"/>
      <c r="V400" s="18"/>
      <c r="X400" s="15" t="s">
        <v>328</v>
      </c>
      <c r="Y400" s="15" t="s">
        <v>326</v>
      </c>
      <c r="Z400" s="15" t="s">
        <v>341</v>
      </c>
      <c r="AA400" s="15"/>
      <c r="AB400" s="15"/>
      <c r="AC400" s="15"/>
      <c r="AD400" s="15"/>
      <c r="AE400" s="18"/>
      <c r="AF400" s="18"/>
      <c r="AG400" s="19">
        <v>22</v>
      </c>
      <c r="AH400" s="18"/>
      <c r="AI400" s="18"/>
      <c r="AJ400" s="18"/>
      <c r="AK400" s="18"/>
      <c r="AL400" s="18"/>
      <c r="AM400" s="19">
        <v>21.981385162999999</v>
      </c>
      <c r="AN400" s="18"/>
      <c r="AO400" s="18"/>
      <c r="AP400" s="18"/>
      <c r="AR400" s="15" t="s">
        <v>249</v>
      </c>
      <c r="AS400" s="15" t="s">
        <v>567</v>
      </c>
      <c r="AT400" s="15" t="s">
        <v>765</v>
      </c>
      <c r="AU400" s="15"/>
      <c r="AV400" s="15"/>
      <c r="AW400" s="15"/>
      <c r="AX400" s="15"/>
      <c r="AY400" s="15"/>
      <c r="AZ400" s="18"/>
      <c r="BA400" s="19">
        <v>2.5000000000000001E-2</v>
      </c>
      <c r="BB400" s="18"/>
      <c r="BC400" s="18"/>
      <c r="BD400" s="18"/>
      <c r="BE400" s="18"/>
      <c r="BF400" s="18"/>
      <c r="BG400" s="18"/>
      <c r="BH400" s="18"/>
      <c r="BI400" s="18"/>
      <c r="BJ400" s="18"/>
      <c r="BK400" s="18"/>
      <c r="BL400" s="19">
        <v>0.05</v>
      </c>
      <c r="BM400" s="18"/>
      <c r="BN400" s="18"/>
      <c r="BO400" s="18"/>
      <c r="BP400" s="18"/>
      <c r="BQ400" s="18"/>
      <c r="BR400" s="18"/>
      <c r="BS400" s="18"/>
      <c r="BT400" s="18"/>
      <c r="BU400" s="18"/>
    </row>
    <row r="401" spans="3:73" x14ac:dyDescent="0.45">
      <c r="C401" s="15" t="s">
        <v>249</v>
      </c>
      <c r="D401" s="15" t="s">
        <v>327</v>
      </c>
      <c r="E401" s="15" t="s">
        <v>260</v>
      </c>
      <c r="F401" s="15"/>
      <c r="G401" s="15"/>
      <c r="H401" s="15"/>
      <c r="I401" s="15"/>
      <c r="J401" s="18">
        <v>1</v>
      </c>
      <c r="K401" s="18"/>
      <c r="L401" s="19"/>
      <c r="M401" s="18"/>
      <c r="N401" s="18"/>
      <c r="O401" s="18"/>
      <c r="P401" s="18"/>
      <c r="Q401" s="18">
        <v>1</v>
      </c>
      <c r="R401" s="19"/>
      <c r="S401" s="18"/>
      <c r="T401" s="18"/>
      <c r="U401" s="18"/>
      <c r="V401" s="18"/>
      <c r="X401" s="15" t="s">
        <v>328</v>
      </c>
      <c r="Y401" s="15" t="s">
        <v>326</v>
      </c>
      <c r="Z401" s="15" t="s">
        <v>342</v>
      </c>
      <c r="AA401" s="15"/>
      <c r="AB401" s="15"/>
      <c r="AC401" s="15"/>
      <c r="AD401" s="15"/>
      <c r="AE401" s="18"/>
      <c r="AF401" s="18"/>
      <c r="AG401" s="19">
        <v>22</v>
      </c>
      <c r="AH401" s="18"/>
      <c r="AI401" s="18"/>
      <c r="AJ401" s="18"/>
      <c r="AK401" s="18"/>
      <c r="AL401" s="18"/>
      <c r="AM401" s="19">
        <v>21.981385162999999</v>
      </c>
      <c r="AN401" s="18"/>
      <c r="AO401" s="18"/>
      <c r="AP401" s="18"/>
      <c r="AR401" s="15" t="s">
        <v>249</v>
      </c>
      <c r="AS401" s="15" t="s">
        <v>567</v>
      </c>
      <c r="AT401" s="15" t="s">
        <v>766</v>
      </c>
      <c r="AU401" s="15"/>
      <c r="AV401" s="15"/>
      <c r="AW401" s="15"/>
      <c r="AX401" s="15"/>
      <c r="AY401" s="15"/>
      <c r="AZ401" s="18"/>
      <c r="BA401" s="19">
        <v>2.5000000000000001E-2</v>
      </c>
      <c r="BB401" s="18"/>
      <c r="BC401" s="18"/>
      <c r="BD401" s="18"/>
      <c r="BE401" s="18"/>
      <c r="BF401" s="18"/>
      <c r="BG401" s="18"/>
      <c r="BH401" s="18"/>
      <c r="BI401" s="18"/>
      <c r="BJ401" s="18"/>
      <c r="BK401" s="18"/>
      <c r="BL401" s="19">
        <v>0.05</v>
      </c>
      <c r="BM401" s="18"/>
      <c r="BN401" s="18"/>
      <c r="BO401" s="18"/>
      <c r="BP401" s="18"/>
      <c r="BQ401" s="18"/>
      <c r="BR401" s="18"/>
      <c r="BS401" s="18"/>
      <c r="BT401" s="18"/>
      <c r="BU401" s="18"/>
    </row>
    <row r="402" spans="3:73" x14ac:dyDescent="0.45">
      <c r="C402" s="15" t="s">
        <v>249</v>
      </c>
      <c r="D402" s="15" t="s">
        <v>327</v>
      </c>
      <c r="E402" s="15" t="s">
        <v>261</v>
      </c>
      <c r="F402" s="15"/>
      <c r="G402" s="15"/>
      <c r="H402" s="15"/>
      <c r="I402" s="15"/>
      <c r="J402" s="18">
        <v>1</v>
      </c>
      <c r="K402" s="18"/>
      <c r="L402" s="19"/>
      <c r="M402" s="18"/>
      <c r="N402" s="18"/>
      <c r="O402" s="18"/>
      <c r="P402" s="18"/>
      <c r="Q402" s="18">
        <v>1</v>
      </c>
      <c r="R402" s="19"/>
      <c r="S402" s="18"/>
      <c r="T402" s="18"/>
      <c r="U402" s="18"/>
      <c r="V402" s="18"/>
      <c r="X402" s="15" t="s">
        <v>328</v>
      </c>
      <c r="Y402" s="15" t="s">
        <v>326</v>
      </c>
      <c r="Z402" s="15" t="s">
        <v>343</v>
      </c>
      <c r="AA402" s="15"/>
      <c r="AB402" s="15"/>
      <c r="AC402" s="15"/>
      <c r="AD402" s="15"/>
      <c r="AE402" s="18"/>
      <c r="AF402" s="18"/>
      <c r="AG402" s="19">
        <v>22</v>
      </c>
      <c r="AH402" s="18"/>
      <c r="AI402" s="18"/>
      <c r="AJ402" s="18"/>
      <c r="AK402" s="18"/>
      <c r="AL402" s="18"/>
      <c r="AM402" s="19">
        <v>21.981385162999999</v>
      </c>
      <c r="AN402" s="18"/>
      <c r="AO402" s="18"/>
      <c r="AP402" s="18"/>
      <c r="AR402" s="15" t="s">
        <v>249</v>
      </c>
      <c r="AS402" s="15" t="s">
        <v>567</v>
      </c>
      <c r="AT402" s="15" t="s">
        <v>767</v>
      </c>
      <c r="AU402" s="15"/>
      <c r="AV402" s="15"/>
      <c r="AW402" s="15"/>
      <c r="AX402" s="15"/>
      <c r="AY402" s="15"/>
      <c r="AZ402" s="18"/>
      <c r="BA402" s="19">
        <v>2.5000000000000001E-2</v>
      </c>
      <c r="BB402" s="18"/>
      <c r="BC402" s="18"/>
      <c r="BD402" s="18"/>
      <c r="BE402" s="18"/>
      <c r="BF402" s="18"/>
      <c r="BG402" s="18"/>
      <c r="BH402" s="18"/>
      <c r="BI402" s="18"/>
      <c r="BJ402" s="18"/>
      <c r="BK402" s="18"/>
      <c r="BL402" s="19">
        <v>0.05</v>
      </c>
      <c r="BM402" s="18"/>
      <c r="BN402" s="18"/>
      <c r="BO402" s="18"/>
      <c r="BP402" s="18"/>
      <c r="BQ402" s="18"/>
      <c r="BR402" s="18"/>
      <c r="BS402" s="18"/>
      <c r="BT402" s="18"/>
      <c r="BU402" s="18"/>
    </row>
    <row r="403" spans="3:73" x14ac:dyDescent="0.45">
      <c r="C403" s="15" t="s">
        <v>249</v>
      </c>
      <c r="D403" s="15" t="s">
        <v>327</v>
      </c>
      <c r="E403" s="15" t="s">
        <v>262</v>
      </c>
      <c r="F403" s="15"/>
      <c r="G403" s="15"/>
      <c r="H403" s="15"/>
      <c r="I403" s="15"/>
      <c r="J403" s="18">
        <v>1</v>
      </c>
      <c r="K403" s="18"/>
      <c r="L403" s="19"/>
      <c r="M403" s="18"/>
      <c r="N403" s="18"/>
      <c r="O403" s="18"/>
      <c r="P403" s="18"/>
      <c r="Q403" s="18">
        <v>1</v>
      </c>
      <c r="R403" s="19"/>
      <c r="S403" s="18"/>
      <c r="T403" s="18"/>
      <c r="U403" s="18"/>
      <c r="V403" s="18"/>
      <c r="X403" s="15" t="s">
        <v>328</v>
      </c>
      <c r="Y403" s="15" t="s">
        <v>326</v>
      </c>
      <c r="Z403" s="15" t="s">
        <v>344</v>
      </c>
      <c r="AA403" s="15"/>
      <c r="AB403" s="15"/>
      <c r="AC403" s="15"/>
      <c r="AD403" s="15"/>
      <c r="AE403" s="18"/>
      <c r="AF403" s="18"/>
      <c r="AG403" s="19">
        <v>21.981385162999999</v>
      </c>
      <c r="AH403" s="18"/>
      <c r="AI403" s="18"/>
      <c r="AJ403" s="18"/>
      <c r="AK403" s="18"/>
      <c r="AL403" s="18"/>
      <c r="AM403" s="19">
        <v>21.981385162999999</v>
      </c>
      <c r="AN403" s="18"/>
      <c r="AO403" s="18"/>
      <c r="AP403" s="18"/>
      <c r="AR403" s="15" t="s">
        <v>249</v>
      </c>
      <c r="AS403" s="15" t="s">
        <v>567</v>
      </c>
      <c r="AT403" s="15" t="s">
        <v>768</v>
      </c>
      <c r="AU403" s="15"/>
      <c r="AV403" s="15"/>
      <c r="AW403" s="15"/>
      <c r="AX403" s="15"/>
      <c r="AY403" s="15"/>
      <c r="AZ403" s="18"/>
      <c r="BA403" s="19">
        <v>2.5000000000000001E-2</v>
      </c>
      <c r="BB403" s="18"/>
      <c r="BC403" s="18"/>
      <c r="BD403" s="18"/>
      <c r="BE403" s="18"/>
      <c r="BF403" s="18"/>
      <c r="BG403" s="18"/>
      <c r="BH403" s="18"/>
      <c r="BI403" s="18"/>
      <c r="BJ403" s="18"/>
      <c r="BK403" s="18"/>
      <c r="BL403" s="19">
        <v>0.05</v>
      </c>
      <c r="BM403" s="18"/>
      <c r="BN403" s="18"/>
      <c r="BO403" s="18"/>
      <c r="BP403" s="18"/>
      <c r="BQ403" s="18"/>
      <c r="BR403" s="18"/>
      <c r="BS403" s="18"/>
      <c r="BT403" s="18"/>
      <c r="BU403" s="18"/>
    </row>
    <row r="404" spans="3:73" x14ac:dyDescent="0.45">
      <c r="C404" s="15" t="s">
        <v>249</v>
      </c>
      <c r="D404" s="15" t="s">
        <v>327</v>
      </c>
      <c r="E404" s="15" t="s">
        <v>263</v>
      </c>
      <c r="F404" s="15"/>
      <c r="G404" s="15"/>
      <c r="H404" s="15"/>
      <c r="I404" s="15"/>
      <c r="J404" s="18">
        <v>1</v>
      </c>
      <c r="K404" s="18"/>
      <c r="L404" s="19"/>
      <c r="M404" s="18"/>
      <c r="N404" s="18"/>
      <c r="O404" s="18"/>
      <c r="P404" s="18"/>
      <c r="Q404" s="18">
        <v>1</v>
      </c>
      <c r="R404" s="19"/>
      <c r="S404" s="18"/>
      <c r="T404" s="18"/>
      <c r="U404" s="18"/>
      <c r="V404" s="18"/>
      <c r="X404" s="15" t="s">
        <v>328</v>
      </c>
      <c r="Y404" s="15" t="s">
        <v>326</v>
      </c>
      <c r="Z404" s="15" t="s">
        <v>345</v>
      </c>
      <c r="AA404" s="15"/>
      <c r="AB404" s="15"/>
      <c r="AC404" s="15"/>
      <c r="AD404" s="15"/>
      <c r="AE404" s="18"/>
      <c r="AF404" s="18"/>
      <c r="AG404" s="19">
        <v>21.981385162999999</v>
      </c>
      <c r="AH404" s="18"/>
      <c r="AI404" s="18"/>
      <c r="AJ404" s="18"/>
      <c r="AK404" s="18"/>
      <c r="AL404" s="18"/>
      <c r="AM404" s="19">
        <v>21.981385162999999</v>
      </c>
      <c r="AN404" s="18"/>
      <c r="AO404" s="18"/>
      <c r="AP404" s="18"/>
      <c r="AR404" s="15" t="s">
        <v>249</v>
      </c>
      <c r="AS404" s="15" t="s">
        <v>567</v>
      </c>
      <c r="AT404" s="15" t="s">
        <v>769</v>
      </c>
      <c r="AU404" s="15"/>
      <c r="AV404" s="15"/>
      <c r="AW404" s="15"/>
      <c r="AX404" s="15"/>
      <c r="AY404" s="15"/>
      <c r="AZ404" s="18"/>
      <c r="BA404" s="19">
        <v>2.5000000000000001E-2</v>
      </c>
      <c r="BB404" s="18"/>
      <c r="BC404" s="18"/>
      <c r="BD404" s="18"/>
      <c r="BE404" s="18"/>
      <c r="BF404" s="18"/>
      <c r="BG404" s="18"/>
      <c r="BH404" s="18"/>
      <c r="BI404" s="18"/>
      <c r="BJ404" s="18"/>
      <c r="BK404" s="18"/>
      <c r="BL404" s="19">
        <v>0.05</v>
      </c>
      <c r="BM404" s="18"/>
      <c r="BN404" s="18"/>
      <c r="BO404" s="18"/>
      <c r="BP404" s="18"/>
      <c r="BQ404" s="18"/>
      <c r="BR404" s="18"/>
      <c r="BS404" s="18"/>
      <c r="BT404" s="18"/>
      <c r="BU404" s="18"/>
    </row>
    <row r="405" spans="3:73" x14ac:dyDescent="0.45">
      <c r="C405" s="15" t="s">
        <v>249</v>
      </c>
      <c r="D405" s="15" t="s">
        <v>327</v>
      </c>
      <c r="E405" s="15" t="s">
        <v>264</v>
      </c>
      <c r="F405" s="15"/>
      <c r="G405" s="15"/>
      <c r="H405" s="15"/>
      <c r="I405" s="15"/>
      <c r="J405" s="18">
        <v>1</v>
      </c>
      <c r="K405" s="18"/>
      <c r="L405" s="19"/>
      <c r="M405" s="18"/>
      <c r="N405" s="18"/>
      <c r="O405" s="18"/>
      <c r="P405" s="18"/>
      <c r="Q405" s="18">
        <v>1</v>
      </c>
      <c r="R405" s="19"/>
      <c r="S405" s="18"/>
      <c r="T405" s="18"/>
      <c r="U405" s="18"/>
      <c r="V405" s="18"/>
      <c r="X405" s="15" t="s">
        <v>328</v>
      </c>
      <c r="Y405" s="15" t="s">
        <v>326</v>
      </c>
      <c r="Z405" s="15" t="s">
        <v>346</v>
      </c>
      <c r="AA405" s="15"/>
      <c r="AB405" s="15"/>
      <c r="AC405" s="15"/>
      <c r="AD405" s="15"/>
      <c r="AE405" s="18"/>
      <c r="AF405" s="18"/>
      <c r="AG405" s="19">
        <v>21.981385162999999</v>
      </c>
      <c r="AH405" s="18"/>
      <c r="AI405" s="18"/>
      <c r="AJ405" s="18"/>
      <c r="AK405" s="18"/>
      <c r="AL405" s="18"/>
      <c r="AM405" s="19">
        <v>21.981385162999999</v>
      </c>
      <c r="AN405" s="18"/>
      <c r="AO405" s="18"/>
      <c r="AP405" s="18"/>
      <c r="AR405" s="15" t="s">
        <v>249</v>
      </c>
      <c r="AS405" s="15" t="s">
        <v>567</v>
      </c>
      <c r="AT405" s="15" t="s">
        <v>770</v>
      </c>
      <c r="AU405" s="15"/>
      <c r="AV405" s="15"/>
      <c r="AW405" s="15"/>
      <c r="AX405" s="15"/>
      <c r="AY405" s="15"/>
      <c r="AZ405" s="18"/>
      <c r="BA405" s="19">
        <v>2.5000000000000001E-2</v>
      </c>
      <c r="BB405" s="18"/>
      <c r="BC405" s="18"/>
      <c r="BD405" s="18"/>
      <c r="BE405" s="18"/>
      <c r="BF405" s="18"/>
      <c r="BG405" s="18"/>
      <c r="BH405" s="18"/>
      <c r="BI405" s="18"/>
      <c r="BJ405" s="18"/>
      <c r="BK405" s="18"/>
      <c r="BL405" s="19">
        <v>0.05</v>
      </c>
      <c r="BM405" s="18"/>
      <c r="BN405" s="18"/>
      <c r="BO405" s="18"/>
      <c r="BP405" s="18"/>
      <c r="BQ405" s="18"/>
      <c r="BR405" s="18"/>
      <c r="BS405" s="18"/>
      <c r="BT405" s="18"/>
      <c r="BU405" s="18"/>
    </row>
    <row r="406" spans="3:73" x14ac:dyDescent="0.45">
      <c r="C406" s="15" t="s">
        <v>249</v>
      </c>
      <c r="D406" s="15" t="s">
        <v>327</v>
      </c>
      <c r="E406" s="15" t="s">
        <v>265</v>
      </c>
      <c r="F406" s="15"/>
      <c r="G406" s="15"/>
      <c r="H406" s="15"/>
      <c r="I406" s="15"/>
      <c r="J406" s="18">
        <v>1</v>
      </c>
      <c r="K406" s="18"/>
      <c r="L406" s="19"/>
      <c r="M406" s="18"/>
      <c r="N406" s="18"/>
      <c r="O406" s="18"/>
      <c r="P406" s="18"/>
      <c r="Q406" s="18">
        <v>1</v>
      </c>
      <c r="R406" s="19"/>
      <c r="S406" s="18"/>
      <c r="T406" s="18"/>
      <c r="U406" s="18"/>
      <c r="V406" s="18"/>
      <c r="X406" s="15" t="s">
        <v>328</v>
      </c>
      <c r="Y406" s="15" t="s">
        <v>326</v>
      </c>
      <c r="Z406" s="15" t="s">
        <v>347</v>
      </c>
      <c r="AA406" s="15"/>
      <c r="AB406" s="15"/>
      <c r="AC406" s="15"/>
      <c r="AD406" s="15"/>
      <c r="AE406" s="18"/>
      <c r="AF406" s="18"/>
      <c r="AG406" s="19">
        <v>21.981385162999999</v>
      </c>
      <c r="AH406" s="18"/>
      <c r="AI406" s="18"/>
      <c r="AJ406" s="18"/>
      <c r="AK406" s="18"/>
      <c r="AL406" s="18"/>
      <c r="AM406" s="19">
        <v>21.981385162999999</v>
      </c>
      <c r="AN406" s="18"/>
      <c r="AO406" s="18"/>
      <c r="AP406" s="18"/>
      <c r="AR406" s="15" t="s">
        <v>249</v>
      </c>
      <c r="AS406" s="15" t="s">
        <v>567</v>
      </c>
      <c r="AT406" s="15" t="s">
        <v>771</v>
      </c>
      <c r="AU406" s="15"/>
      <c r="AV406" s="15"/>
      <c r="AW406" s="15"/>
      <c r="AX406" s="15"/>
      <c r="AY406" s="15"/>
      <c r="AZ406" s="18"/>
      <c r="BA406" s="19">
        <v>2.5000000000000001E-2</v>
      </c>
      <c r="BB406" s="18"/>
      <c r="BC406" s="18"/>
      <c r="BD406" s="18"/>
      <c r="BE406" s="18"/>
      <c r="BF406" s="18"/>
      <c r="BG406" s="18"/>
      <c r="BH406" s="18"/>
      <c r="BI406" s="18"/>
      <c r="BJ406" s="18"/>
      <c r="BK406" s="18"/>
      <c r="BL406" s="19">
        <v>0.05</v>
      </c>
      <c r="BM406" s="18"/>
      <c r="BN406" s="18"/>
      <c r="BO406" s="18"/>
      <c r="BP406" s="18"/>
      <c r="BQ406" s="18"/>
      <c r="BR406" s="18"/>
      <c r="BS406" s="18"/>
      <c r="BT406" s="18"/>
      <c r="BU406" s="18"/>
    </row>
    <row r="407" spans="3:73" x14ac:dyDescent="0.45">
      <c r="C407" s="15" t="s">
        <v>249</v>
      </c>
      <c r="D407" s="15" t="s">
        <v>327</v>
      </c>
      <c r="E407" s="15" t="s">
        <v>266</v>
      </c>
      <c r="F407" s="15"/>
      <c r="G407" s="15"/>
      <c r="H407" s="15"/>
      <c r="I407" s="15"/>
      <c r="J407" s="18">
        <v>31.536000000000001</v>
      </c>
      <c r="K407" s="18"/>
      <c r="L407" s="19"/>
      <c r="M407" s="18"/>
      <c r="N407" s="18"/>
      <c r="O407" s="18"/>
      <c r="P407" s="18"/>
      <c r="Q407" s="18">
        <v>31.536000000000001</v>
      </c>
      <c r="R407" s="19"/>
      <c r="S407" s="18"/>
      <c r="T407" s="18"/>
      <c r="U407" s="18"/>
      <c r="V407" s="18"/>
      <c r="X407" s="15" t="s">
        <v>328</v>
      </c>
      <c r="Y407" s="15" t="s">
        <v>326</v>
      </c>
      <c r="Z407" s="15" t="s">
        <v>348</v>
      </c>
      <c r="AA407" s="15"/>
      <c r="AB407" s="15"/>
      <c r="AC407" s="15"/>
      <c r="AD407" s="15"/>
      <c r="AE407" s="18"/>
      <c r="AF407" s="18"/>
      <c r="AG407" s="19">
        <v>21.981385162999999</v>
      </c>
      <c r="AH407" s="18"/>
      <c r="AI407" s="18"/>
      <c r="AJ407" s="18"/>
      <c r="AK407" s="18"/>
      <c r="AL407" s="18"/>
      <c r="AM407" s="19">
        <v>21.981385162999999</v>
      </c>
      <c r="AN407" s="18"/>
      <c r="AO407" s="18"/>
      <c r="AP407" s="18"/>
      <c r="AR407" s="15" t="s">
        <v>249</v>
      </c>
      <c r="AS407" s="15" t="s">
        <v>567</v>
      </c>
      <c r="AT407" s="15" t="s">
        <v>772</v>
      </c>
      <c r="AU407" s="15"/>
      <c r="AV407" s="15"/>
      <c r="AW407" s="15"/>
      <c r="AX407" s="15"/>
      <c r="AY407" s="15"/>
      <c r="AZ407" s="18"/>
      <c r="BA407" s="19">
        <v>2.5000000000000001E-2</v>
      </c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9">
        <v>0.05</v>
      </c>
      <c r="BM407" s="18"/>
      <c r="BN407" s="18"/>
      <c r="BO407" s="18"/>
      <c r="BP407" s="18"/>
      <c r="BQ407" s="18"/>
      <c r="BR407" s="18"/>
      <c r="BS407" s="18"/>
      <c r="BT407" s="18"/>
      <c r="BU407" s="18"/>
    </row>
    <row r="408" spans="3:73" x14ac:dyDescent="0.45">
      <c r="C408" s="15" t="s">
        <v>249</v>
      </c>
      <c r="D408" s="15" t="s">
        <v>327</v>
      </c>
      <c r="E408" s="15" t="s">
        <v>267</v>
      </c>
      <c r="F408" s="15"/>
      <c r="G408" s="15"/>
      <c r="H408" s="15"/>
      <c r="I408" s="15"/>
      <c r="J408" s="18">
        <v>31.536000000000001</v>
      </c>
      <c r="K408" s="18"/>
      <c r="L408" s="19"/>
      <c r="M408" s="18"/>
      <c r="N408" s="18"/>
      <c r="O408" s="18"/>
      <c r="P408" s="18"/>
      <c r="Q408" s="18">
        <v>31.536000000000001</v>
      </c>
      <c r="R408" s="19"/>
      <c r="S408" s="18"/>
      <c r="T408" s="18"/>
      <c r="U408" s="18"/>
      <c r="V408" s="18"/>
      <c r="X408" s="15" t="s">
        <v>328</v>
      </c>
      <c r="Y408" s="15" t="s">
        <v>326</v>
      </c>
      <c r="Z408" s="15" t="s">
        <v>349</v>
      </c>
      <c r="AA408" s="15"/>
      <c r="AB408" s="15"/>
      <c r="AC408" s="15"/>
      <c r="AD408" s="15"/>
      <c r="AE408" s="18"/>
      <c r="AF408" s="18"/>
      <c r="AG408" s="19">
        <v>21.981385162999999</v>
      </c>
      <c r="AH408" s="18"/>
      <c r="AI408" s="18"/>
      <c r="AJ408" s="18"/>
      <c r="AK408" s="18"/>
      <c r="AL408" s="18"/>
      <c r="AM408" s="19">
        <v>21.981385162999999</v>
      </c>
      <c r="AN408" s="18"/>
      <c r="AO408" s="18"/>
      <c r="AP408" s="18"/>
      <c r="AR408" s="15" t="s">
        <v>249</v>
      </c>
      <c r="AS408" s="15" t="s">
        <v>567</v>
      </c>
      <c r="AT408" s="15" t="s">
        <v>773</v>
      </c>
      <c r="AU408" s="15"/>
      <c r="AV408" s="15"/>
      <c r="AW408" s="15"/>
      <c r="AX408" s="15"/>
      <c r="AY408" s="15"/>
      <c r="AZ408" s="18"/>
      <c r="BA408" s="19">
        <v>2.5000000000000001E-2</v>
      </c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9">
        <v>0.05</v>
      </c>
      <c r="BM408" s="18"/>
      <c r="BN408" s="18"/>
      <c r="BO408" s="18"/>
      <c r="BP408" s="18"/>
      <c r="BQ408" s="18"/>
      <c r="BR408" s="18"/>
      <c r="BS408" s="18"/>
      <c r="BT408" s="18"/>
      <c r="BU408" s="18"/>
    </row>
    <row r="409" spans="3:73" x14ac:dyDescent="0.45">
      <c r="C409" s="15" t="s">
        <v>249</v>
      </c>
      <c r="D409" s="15" t="s">
        <v>327</v>
      </c>
      <c r="E409" s="15" t="s">
        <v>268</v>
      </c>
      <c r="F409" s="15"/>
      <c r="G409" s="15"/>
      <c r="H409" s="15"/>
      <c r="I409" s="15"/>
      <c r="J409" s="18">
        <v>31.536000000000001</v>
      </c>
      <c r="K409" s="18"/>
      <c r="L409" s="19"/>
      <c r="M409" s="18"/>
      <c r="N409" s="18"/>
      <c r="O409" s="18"/>
      <c r="P409" s="18"/>
      <c r="Q409" s="18">
        <v>31.536000000000001</v>
      </c>
      <c r="R409" s="19"/>
      <c r="S409" s="18"/>
      <c r="T409" s="18"/>
      <c r="U409" s="18"/>
      <c r="V409" s="18"/>
      <c r="X409" s="15" t="s">
        <v>328</v>
      </c>
      <c r="Y409" s="15" t="s">
        <v>326</v>
      </c>
      <c r="Z409" s="15" t="s">
        <v>350</v>
      </c>
      <c r="AA409" s="15"/>
      <c r="AB409" s="15"/>
      <c r="AC409" s="15"/>
      <c r="AD409" s="15"/>
      <c r="AE409" s="18"/>
      <c r="AF409" s="18"/>
      <c r="AG409" s="19">
        <v>30</v>
      </c>
      <c r="AH409" s="18"/>
      <c r="AI409" s="18"/>
      <c r="AJ409" s="18"/>
      <c r="AK409" s="18"/>
      <c r="AL409" s="18"/>
      <c r="AM409" s="19">
        <v>30</v>
      </c>
      <c r="AN409" s="18"/>
      <c r="AO409" s="18"/>
      <c r="AP409" s="18"/>
      <c r="AR409" s="15" t="s">
        <v>249</v>
      </c>
      <c r="AS409" s="15" t="s">
        <v>567</v>
      </c>
      <c r="AT409" s="15" t="s">
        <v>774</v>
      </c>
      <c r="AU409" s="15"/>
      <c r="AV409" s="15"/>
      <c r="AW409" s="15"/>
      <c r="AX409" s="15"/>
      <c r="AY409" s="15"/>
      <c r="AZ409" s="18"/>
      <c r="BA409" s="19">
        <v>2.5000000000000001E-2</v>
      </c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9">
        <v>0.05</v>
      </c>
      <c r="BM409" s="18"/>
      <c r="BN409" s="18"/>
      <c r="BO409" s="18"/>
      <c r="BP409" s="18"/>
      <c r="BQ409" s="18"/>
      <c r="BR409" s="18"/>
      <c r="BS409" s="18"/>
      <c r="BT409" s="18"/>
      <c r="BU409" s="18"/>
    </row>
    <row r="410" spans="3:73" x14ac:dyDescent="0.45">
      <c r="C410" s="15" t="s">
        <v>249</v>
      </c>
      <c r="D410" s="15" t="s">
        <v>327</v>
      </c>
      <c r="E410" s="15" t="s">
        <v>269</v>
      </c>
      <c r="F410" s="15"/>
      <c r="G410" s="15"/>
      <c r="H410" s="15"/>
      <c r="I410" s="15"/>
      <c r="J410" s="18">
        <v>31.536000000000001</v>
      </c>
      <c r="K410" s="18"/>
      <c r="L410" s="19"/>
      <c r="M410" s="18"/>
      <c r="N410" s="18"/>
      <c r="O410" s="18"/>
      <c r="P410" s="18"/>
      <c r="Q410" s="18">
        <v>31.536000000000001</v>
      </c>
      <c r="R410" s="19"/>
      <c r="S410" s="18"/>
      <c r="T410" s="18"/>
      <c r="U410" s="18"/>
      <c r="V410" s="18"/>
      <c r="X410" s="15" t="s">
        <v>328</v>
      </c>
      <c r="Y410" s="15" t="s">
        <v>326</v>
      </c>
      <c r="Z410" s="15" t="s">
        <v>351</v>
      </c>
      <c r="AA410" s="15"/>
      <c r="AB410" s="15"/>
      <c r="AC410" s="15"/>
      <c r="AD410" s="15"/>
      <c r="AE410" s="18"/>
      <c r="AF410" s="18"/>
      <c r="AG410" s="19">
        <v>30</v>
      </c>
      <c r="AH410" s="18"/>
      <c r="AI410" s="18"/>
      <c r="AJ410" s="18"/>
      <c r="AK410" s="18"/>
      <c r="AL410" s="18"/>
      <c r="AM410" s="19">
        <v>30</v>
      </c>
      <c r="AN410" s="18"/>
      <c r="AO410" s="18"/>
      <c r="AP410" s="18"/>
      <c r="AR410" s="15" t="s">
        <v>249</v>
      </c>
      <c r="AS410" s="15" t="s">
        <v>567</v>
      </c>
      <c r="AT410" s="15" t="s">
        <v>775</v>
      </c>
      <c r="AU410" s="15"/>
      <c r="AV410" s="15"/>
      <c r="AW410" s="15"/>
      <c r="AX410" s="15"/>
      <c r="AY410" s="15"/>
      <c r="AZ410" s="18"/>
      <c r="BA410" s="19">
        <v>2.5000000000000001E-2</v>
      </c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9">
        <v>0.05</v>
      </c>
      <c r="BM410" s="18"/>
      <c r="BN410" s="18"/>
      <c r="BO410" s="18"/>
      <c r="BP410" s="18"/>
      <c r="BQ410" s="18"/>
      <c r="BR410" s="18"/>
      <c r="BS410" s="18"/>
      <c r="BT410" s="18"/>
      <c r="BU410" s="18"/>
    </row>
    <row r="411" spans="3:73" x14ac:dyDescent="0.45">
      <c r="C411" s="15" t="s">
        <v>249</v>
      </c>
      <c r="D411" s="15" t="s">
        <v>327</v>
      </c>
      <c r="E411" s="15" t="s">
        <v>270</v>
      </c>
      <c r="F411" s="15"/>
      <c r="G411" s="15"/>
      <c r="H411" s="15"/>
      <c r="I411" s="15"/>
      <c r="J411" s="18">
        <v>31.536000000000001</v>
      </c>
      <c r="K411" s="18"/>
      <c r="L411" s="19"/>
      <c r="M411" s="18"/>
      <c r="N411" s="18"/>
      <c r="O411" s="18"/>
      <c r="P411" s="18"/>
      <c r="Q411" s="18">
        <v>31.536000000000001</v>
      </c>
      <c r="R411" s="19"/>
      <c r="S411" s="18"/>
      <c r="T411" s="18"/>
      <c r="U411" s="18"/>
      <c r="V411" s="18"/>
      <c r="X411" s="15" t="s">
        <v>328</v>
      </c>
      <c r="Y411" s="15" t="s">
        <v>326</v>
      </c>
      <c r="Z411" s="15" t="s">
        <v>352</v>
      </c>
      <c r="AA411" s="15"/>
      <c r="AB411" s="15"/>
      <c r="AC411" s="15"/>
      <c r="AD411" s="15"/>
      <c r="AE411" s="18"/>
      <c r="AF411" s="18"/>
      <c r="AG411" s="19">
        <v>26.248000000000001</v>
      </c>
      <c r="AH411" s="18"/>
      <c r="AI411" s="18"/>
      <c r="AJ411" s="18"/>
      <c r="AK411" s="18"/>
      <c r="AL411" s="18"/>
      <c r="AM411" s="19">
        <v>26.248000000000001</v>
      </c>
      <c r="AN411" s="18"/>
      <c r="AO411" s="18"/>
      <c r="AP411" s="18"/>
      <c r="AR411" s="15" t="s">
        <v>249</v>
      </c>
      <c r="AS411" s="15" t="s">
        <v>567</v>
      </c>
      <c r="AT411" s="15" t="s">
        <v>776</v>
      </c>
      <c r="AU411" s="15"/>
      <c r="AV411" s="15"/>
      <c r="AW411" s="15"/>
      <c r="AX411" s="15"/>
      <c r="AY411" s="15"/>
      <c r="AZ411" s="18"/>
      <c r="BA411" s="19">
        <v>2.5000000000000001E-2</v>
      </c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9">
        <v>0.05</v>
      </c>
      <c r="BM411" s="18"/>
      <c r="BN411" s="18"/>
      <c r="BO411" s="18"/>
      <c r="BP411" s="18"/>
      <c r="BQ411" s="18"/>
      <c r="BR411" s="18"/>
      <c r="BS411" s="18"/>
      <c r="BT411" s="18"/>
      <c r="BU411" s="18"/>
    </row>
    <row r="412" spans="3:73" x14ac:dyDescent="0.45">
      <c r="C412" s="15" t="s">
        <v>249</v>
      </c>
      <c r="D412" s="15" t="s">
        <v>327</v>
      </c>
      <c r="E412" s="15" t="s">
        <v>271</v>
      </c>
      <c r="F412" s="15"/>
      <c r="G412" s="15"/>
      <c r="H412" s="15"/>
      <c r="I412" s="15"/>
      <c r="J412" s="18">
        <v>31.536000000000001</v>
      </c>
      <c r="K412" s="18"/>
      <c r="L412" s="19"/>
      <c r="M412" s="18"/>
      <c r="N412" s="18"/>
      <c r="O412" s="18"/>
      <c r="P412" s="18"/>
      <c r="Q412" s="18">
        <v>31.536000000000001</v>
      </c>
      <c r="R412" s="19"/>
      <c r="S412" s="18"/>
      <c r="T412" s="18"/>
      <c r="U412" s="18"/>
      <c r="V412" s="18"/>
      <c r="X412" s="15" t="s">
        <v>328</v>
      </c>
      <c r="Y412" s="15" t="s">
        <v>326</v>
      </c>
      <c r="Z412" s="15" t="s">
        <v>353</v>
      </c>
      <c r="AA412" s="15"/>
      <c r="AB412" s="15"/>
      <c r="AC412" s="15"/>
      <c r="AD412" s="15"/>
      <c r="AE412" s="18"/>
      <c r="AF412" s="18"/>
      <c r="AG412" s="19">
        <v>18.893708932999999</v>
      </c>
      <c r="AH412" s="18"/>
      <c r="AI412" s="18"/>
      <c r="AJ412" s="18"/>
      <c r="AK412" s="18"/>
      <c r="AL412" s="18"/>
      <c r="AM412" s="19">
        <v>18.893708932999999</v>
      </c>
      <c r="AN412" s="18"/>
      <c r="AO412" s="18"/>
      <c r="AP412" s="18"/>
      <c r="AR412" s="15" t="s">
        <v>249</v>
      </c>
      <c r="AS412" s="15" t="s">
        <v>567</v>
      </c>
      <c r="AT412" s="15" t="s">
        <v>777</v>
      </c>
      <c r="AU412" s="15"/>
      <c r="AV412" s="15"/>
      <c r="AW412" s="15"/>
      <c r="AX412" s="15"/>
      <c r="AY412" s="15"/>
      <c r="AZ412" s="18"/>
      <c r="BA412" s="19">
        <v>2.5000000000000001E-2</v>
      </c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9">
        <v>0.05</v>
      </c>
      <c r="BM412" s="18"/>
      <c r="BN412" s="18"/>
      <c r="BO412" s="18"/>
      <c r="BP412" s="18"/>
      <c r="BQ412" s="18"/>
      <c r="BR412" s="18"/>
      <c r="BS412" s="18"/>
      <c r="BT412" s="18"/>
      <c r="BU412" s="18"/>
    </row>
    <row r="413" spans="3:73" x14ac:dyDescent="0.45">
      <c r="C413" s="15" t="s">
        <v>249</v>
      </c>
      <c r="D413" s="15" t="s">
        <v>327</v>
      </c>
      <c r="E413" s="15" t="s">
        <v>272</v>
      </c>
      <c r="F413" s="15"/>
      <c r="G413" s="15"/>
      <c r="H413" s="15"/>
      <c r="I413" s="15"/>
      <c r="J413" s="18">
        <v>31.536000000000001</v>
      </c>
      <c r="K413" s="18"/>
      <c r="L413" s="19"/>
      <c r="M413" s="18"/>
      <c r="N413" s="18"/>
      <c r="O413" s="18"/>
      <c r="P413" s="18"/>
      <c r="Q413" s="18">
        <v>31.536000000000001</v>
      </c>
      <c r="R413" s="19"/>
      <c r="S413" s="18"/>
      <c r="T413" s="18"/>
      <c r="U413" s="18"/>
      <c r="V413" s="18"/>
      <c r="X413" s="15" t="s">
        <v>328</v>
      </c>
      <c r="Y413" s="15" t="s">
        <v>326</v>
      </c>
      <c r="Z413" s="15" t="s">
        <v>354</v>
      </c>
      <c r="AA413" s="15"/>
      <c r="AB413" s="15"/>
      <c r="AC413" s="15"/>
      <c r="AD413" s="15"/>
      <c r="AE413" s="18"/>
      <c r="AF413" s="18"/>
      <c r="AG413" s="19">
        <v>18.893708932999999</v>
      </c>
      <c r="AH413" s="18"/>
      <c r="AI413" s="18"/>
      <c r="AJ413" s="18"/>
      <c r="AK413" s="18"/>
      <c r="AL413" s="18"/>
      <c r="AM413" s="19">
        <v>18.893708932999999</v>
      </c>
      <c r="AN413" s="18"/>
      <c r="AO413" s="18"/>
      <c r="AP413" s="18"/>
      <c r="AR413" s="15" t="s">
        <v>249</v>
      </c>
      <c r="AS413" s="15" t="s">
        <v>567</v>
      </c>
      <c r="AT413" s="15" t="s">
        <v>778</v>
      </c>
      <c r="AU413" s="15"/>
      <c r="AV413" s="15"/>
      <c r="AW413" s="15"/>
      <c r="AX413" s="15"/>
      <c r="AY413" s="15"/>
      <c r="AZ413" s="18"/>
      <c r="BA413" s="19">
        <v>2.5000000000000001E-2</v>
      </c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9">
        <v>0.05</v>
      </c>
      <c r="BM413" s="18"/>
      <c r="BN413" s="18"/>
      <c r="BO413" s="18"/>
      <c r="BP413" s="18"/>
      <c r="BQ413" s="18"/>
      <c r="BR413" s="18"/>
      <c r="BS413" s="18"/>
      <c r="BT413" s="18"/>
      <c r="BU413" s="18"/>
    </row>
    <row r="414" spans="3:73" x14ac:dyDescent="0.45">
      <c r="C414" s="15" t="s">
        <v>249</v>
      </c>
      <c r="D414" s="15" t="s">
        <v>327</v>
      </c>
      <c r="E414" s="15" t="s">
        <v>273</v>
      </c>
      <c r="F414" s="15"/>
      <c r="G414" s="15"/>
      <c r="H414" s="15"/>
      <c r="I414" s="15"/>
      <c r="J414" s="18">
        <v>31.536000000000001</v>
      </c>
      <c r="K414" s="18"/>
      <c r="L414" s="19"/>
      <c r="M414" s="18"/>
      <c r="N414" s="18"/>
      <c r="O414" s="18"/>
      <c r="P414" s="18"/>
      <c r="Q414" s="18">
        <v>31.536000000000001</v>
      </c>
      <c r="R414" s="19"/>
      <c r="S414" s="18"/>
      <c r="T414" s="18"/>
      <c r="U414" s="18"/>
      <c r="V414" s="18"/>
      <c r="X414" s="15" t="s">
        <v>328</v>
      </c>
      <c r="Y414" s="15" t="s">
        <v>326</v>
      </c>
      <c r="Z414" s="15" t="s">
        <v>355</v>
      </c>
      <c r="AA414" s="15"/>
      <c r="AB414" s="15"/>
      <c r="AC414" s="15"/>
      <c r="AD414" s="15"/>
      <c r="AE414" s="18"/>
      <c r="AF414" s="18"/>
      <c r="AG414" s="19">
        <v>18.893708932999999</v>
      </c>
      <c r="AH414" s="18"/>
      <c r="AI414" s="18"/>
      <c r="AJ414" s="18"/>
      <c r="AK414" s="18"/>
      <c r="AL414" s="18"/>
      <c r="AM414" s="19">
        <v>18.893708932999999</v>
      </c>
      <c r="AN414" s="18"/>
      <c r="AO414" s="18"/>
      <c r="AP414" s="18"/>
      <c r="AR414" s="15" t="s">
        <v>249</v>
      </c>
      <c r="AS414" s="15" t="s">
        <v>567</v>
      </c>
      <c r="AT414" s="15" t="s">
        <v>779</v>
      </c>
      <c r="AU414" s="15"/>
      <c r="AV414" s="15"/>
      <c r="AW414" s="15"/>
      <c r="AX414" s="15"/>
      <c r="AY414" s="15"/>
      <c r="AZ414" s="18"/>
      <c r="BA414" s="19">
        <v>2.5000000000000001E-2</v>
      </c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9">
        <v>0.05</v>
      </c>
      <c r="BM414" s="18"/>
      <c r="BN414" s="18"/>
      <c r="BO414" s="18"/>
      <c r="BP414" s="18"/>
      <c r="BQ414" s="18"/>
      <c r="BR414" s="18"/>
      <c r="BS414" s="18"/>
      <c r="BT414" s="18"/>
      <c r="BU414" s="18"/>
    </row>
    <row r="415" spans="3:73" x14ac:dyDescent="0.45">
      <c r="C415" s="15" t="s">
        <v>249</v>
      </c>
      <c r="D415" s="15" t="s">
        <v>327</v>
      </c>
      <c r="E415" s="15" t="s">
        <v>274</v>
      </c>
      <c r="F415" s="15"/>
      <c r="G415" s="15"/>
      <c r="H415" s="15"/>
      <c r="I415" s="15"/>
      <c r="J415" s="18">
        <v>31.536000000000001</v>
      </c>
      <c r="K415" s="18"/>
      <c r="L415" s="19"/>
      <c r="M415" s="18"/>
      <c r="N415" s="18"/>
      <c r="O415" s="18"/>
      <c r="P415" s="18"/>
      <c r="Q415" s="18">
        <v>31.536000000000001</v>
      </c>
      <c r="R415" s="19"/>
      <c r="S415" s="18"/>
      <c r="T415" s="18"/>
      <c r="U415" s="18"/>
      <c r="V415" s="18"/>
      <c r="X415" s="15" t="s">
        <v>328</v>
      </c>
      <c r="Y415" s="15" t="s">
        <v>326</v>
      </c>
      <c r="Z415" s="15" t="s">
        <v>356</v>
      </c>
      <c r="AA415" s="15"/>
      <c r="AB415" s="15"/>
      <c r="AC415" s="15"/>
      <c r="AD415" s="15"/>
      <c r="AE415" s="18"/>
      <c r="AF415" s="18"/>
      <c r="AG415" s="19">
        <v>18.893708932999999</v>
      </c>
      <c r="AH415" s="18"/>
      <c r="AI415" s="18"/>
      <c r="AJ415" s="18"/>
      <c r="AK415" s="18"/>
      <c r="AL415" s="18"/>
      <c r="AM415" s="19">
        <v>18.893708932999999</v>
      </c>
      <c r="AN415" s="18"/>
      <c r="AO415" s="18"/>
      <c r="AP415" s="18"/>
      <c r="AR415" s="15" t="s">
        <v>249</v>
      </c>
      <c r="AS415" s="15" t="s">
        <v>567</v>
      </c>
      <c r="AT415" s="15" t="s">
        <v>780</v>
      </c>
      <c r="AU415" s="15"/>
      <c r="AV415" s="15"/>
      <c r="AW415" s="15"/>
      <c r="AX415" s="15"/>
      <c r="AY415" s="15"/>
      <c r="AZ415" s="18"/>
      <c r="BA415" s="19">
        <v>2.5000000000000001E-2</v>
      </c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9">
        <v>0.05</v>
      </c>
      <c r="BM415" s="18"/>
      <c r="BN415" s="18"/>
      <c r="BO415" s="18"/>
      <c r="BP415" s="18"/>
      <c r="BQ415" s="18"/>
      <c r="BR415" s="18"/>
      <c r="BS415" s="18"/>
      <c r="BT415" s="18"/>
      <c r="BU415" s="18"/>
    </row>
    <row r="416" spans="3:73" x14ac:dyDescent="0.45">
      <c r="C416" s="15" t="s">
        <v>249</v>
      </c>
      <c r="D416" s="15" t="s">
        <v>327</v>
      </c>
      <c r="E416" s="15" t="s">
        <v>275</v>
      </c>
      <c r="F416" s="15"/>
      <c r="G416" s="15"/>
      <c r="H416" s="15"/>
      <c r="I416" s="15"/>
      <c r="J416" s="18">
        <v>31.536000000000001</v>
      </c>
      <c r="K416" s="18"/>
      <c r="L416" s="19"/>
      <c r="M416" s="18"/>
      <c r="N416" s="18"/>
      <c r="O416" s="18"/>
      <c r="P416" s="18"/>
      <c r="Q416" s="18">
        <v>31.536000000000001</v>
      </c>
      <c r="R416" s="19"/>
      <c r="S416" s="18"/>
      <c r="T416" s="18"/>
      <c r="U416" s="18"/>
      <c r="V416" s="18"/>
      <c r="X416" s="15" t="s">
        <v>328</v>
      </c>
      <c r="Y416" s="15" t="s">
        <v>326</v>
      </c>
      <c r="Z416" s="15" t="s">
        <v>357</v>
      </c>
      <c r="AA416" s="15"/>
      <c r="AB416" s="15"/>
      <c r="AC416" s="15"/>
      <c r="AD416" s="15"/>
      <c r="AE416" s="18"/>
      <c r="AF416" s="18"/>
      <c r="AG416" s="19">
        <v>19.957648846000001</v>
      </c>
      <c r="AH416" s="18"/>
      <c r="AI416" s="18"/>
      <c r="AJ416" s="18"/>
      <c r="AK416" s="18"/>
      <c r="AL416" s="18"/>
      <c r="AM416" s="19">
        <v>19.957648846000001</v>
      </c>
      <c r="AN416" s="18"/>
      <c r="AO416" s="18"/>
      <c r="AP416" s="18"/>
      <c r="AR416" s="15" t="s">
        <v>249</v>
      </c>
      <c r="AS416" s="15" t="s">
        <v>567</v>
      </c>
      <c r="AT416" s="15" t="s">
        <v>781</v>
      </c>
      <c r="AU416" s="15"/>
      <c r="AV416" s="15"/>
      <c r="AW416" s="15"/>
      <c r="AX416" s="15"/>
      <c r="AY416" s="15"/>
      <c r="AZ416" s="18"/>
      <c r="BA416" s="19">
        <v>2.5000000000000001E-2</v>
      </c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9">
        <v>0.05</v>
      </c>
      <c r="BM416" s="18"/>
      <c r="BN416" s="18"/>
      <c r="BO416" s="18"/>
      <c r="BP416" s="18"/>
      <c r="BQ416" s="18"/>
      <c r="BR416" s="18"/>
      <c r="BS416" s="18"/>
      <c r="BT416" s="18"/>
      <c r="BU416" s="18"/>
    </row>
    <row r="417" spans="3:73" x14ac:dyDescent="0.45">
      <c r="C417" s="15" t="s">
        <v>249</v>
      </c>
      <c r="D417" s="15" t="s">
        <v>327</v>
      </c>
      <c r="E417" s="15" t="s">
        <v>276</v>
      </c>
      <c r="F417" s="15"/>
      <c r="G417" s="15"/>
      <c r="H417" s="15"/>
      <c r="I417" s="15"/>
      <c r="J417" s="18">
        <v>31.536000000000001</v>
      </c>
      <c r="K417" s="18"/>
      <c r="L417" s="19"/>
      <c r="M417" s="18"/>
      <c r="N417" s="18"/>
      <c r="O417" s="18"/>
      <c r="P417" s="18"/>
      <c r="Q417" s="18">
        <v>31.536000000000001</v>
      </c>
      <c r="R417" s="19"/>
      <c r="S417" s="18"/>
      <c r="T417" s="18"/>
      <c r="U417" s="18"/>
      <c r="V417" s="18"/>
      <c r="X417" s="15" t="s">
        <v>328</v>
      </c>
      <c r="Y417" s="15" t="s">
        <v>326</v>
      </c>
      <c r="Z417" s="15" t="s">
        <v>358</v>
      </c>
      <c r="AA417" s="15"/>
      <c r="AB417" s="15"/>
      <c r="AC417" s="15"/>
      <c r="AD417" s="15"/>
      <c r="AE417" s="18"/>
      <c r="AF417" s="18"/>
      <c r="AG417" s="19">
        <v>18.893708932999999</v>
      </c>
      <c r="AH417" s="18"/>
      <c r="AI417" s="18"/>
      <c r="AJ417" s="18"/>
      <c r="AK417" s="18"/>
      <c r="AL417" s="18"/>
      <c r="AM417" s="19">
        <v>18.893708932999999</v>
      </c>
      <c r="AN417" s="18"/>
      <c r="AO417" s="18"/>
      <c r="AP417" s="18"/>
      <c r="AR417" s="15" t="s">
        <v>249</v>
      </c>
      <c r="AS417" s="15" t="s">
        <v>567</v>
      </c>
      <c r="AT417" s="15" t="s">
        <v>782</v>
      </c>
      <c r="AU417" s="15"/>
      <c r="AV417" s="15"/>
      <c r="AW417" s="15"/>
      <c r="AX417" s="15"/>
      <c r="AY417" s="15"/>
      <c r="AZ417" s="18"/>
      <c r="BA417" s="19">
        <v>2.5000000000000001E-2</v>
      </c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9">
        <v>0.05</v>
      </c>
      <c r="BM417" s="18"/>
      <c r="BN417" s="18"/>
      <c r="BO417" s="18"/>
      <c r="BP417" s="18"/>
      <c r="BQ417" s="18"/>
      <c r="BR417" s="18"/>
      <c r="BS417" s="18"/>
      <c r="BT417" s="18"/>
      <c r="BU417" s="18"/>
    </row>
    <row r="418" spans="3:73" x14ac:dyDescent="0.45">
      <c r="C418" s="15" t="s">
        <v>249</v>
      </c>
      <c r="D418" s="15" t="s">
        <v>327</v>
      </c>
      <c r="E418" s="15" t="s">
        <v>277</v>
      </c>
      <c r="F418" s="15"/>
      <c r="G418" s="15"/>
      <c r="H418" s="15"/>
      <c r="I418" s="15"/>
      <c r="J418" s="18">
        <v>31.536000000000001</v>
      </c>
      <c r="K418" s="18"/>
      <c r="L418" s="19"/>
      <c r="M418" s="18"/>
      <c r="N418" s="18"/>
      <c r="O418" s="18"/>
      <c r="P418" s="18"/>
      <c r="Q418" s="18">
        <v>31.536000000000001</v>
      </c>
      <c r="R418" s="19"/>
      <c r="S418" s="18"/>
      <c r="T418" s="18"/>
      <c r="U418" s="18"/>
      <c r="V418" s="18"/>
      <c r="X418" s="15" t="s">
        <v>328</v>
      </c>
      <c r="Y418" s="15" t="s">
        <v>326</v>
      </c>
      <c r="Z418" s="15" t="s">
        <v>359</v>
      </c>
      <c r="AA418" s="15"/>
      <c r="AB418" s="15"/>
      <c r="AC418" s="15"/>
      <c r="AD418" s="15"/>
      <c r="AE418" s="18"/>
      <c r="AF418" s="18"/>
      <c r="AG418" s="19">
        <v>18.893708932999999</v>
      </c>
      <c r="AH418" s="18"/>
      <c r="AI418" s="18"/>
      <c r="AJ418" s="18"/>
      <c r="AK418" s="18"/>
      <c r="AL418" s="18"/>
      <c r="AM418" s="19">
        <v>18.893708932999999</v>
      </c>
      <c r="AN418" s="18"/>
      <c r="AO418" s="18"/>
      <c r="AP418" s="18"/>
      <c r="AR418" s="15" t="s">
        <v>249</v>
      </c>
      <c r="AS418" s="15" t="s">
        <v>567</v>
      </c>
      <c r="AT418" s="15" t="s">
        <v>783</v>
      </c>
      <c r="AU418" s="15"/>
      <c r="AV418" s="15"/>
      <c r="AW418" s="15"/>
      <c r="AX418" s="15"/>
      <c r="AY418" s="15"/>
      <c r="AZ418" s="18"/>
      <c r="BA418" s="19">
        <v>2.5000000000000001E-2</v>
      </c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9">
        <v>0.05</v>
      </c>
      <c r="BM418" s="18"/>
      <c r="BN418" s="18"/>
      <c r="BO418" s="18"/>
      <c r="BP418" s="18"/>
      <c r="BQ418" s="18"/>
      <c r="BR418" s="18"/>
      <c r="BS418" s="18"/>
      <c r="BT418" s="18"/>
      <c r="BU418" s="18"/>
    </row>
    <row r="419" spans="3:73" x14ac:dyDescent="0.45">
      <c r="C419" s="15" t="s">
        <v>249</v>
      </c>
      <c r="D419" s="15" t="s">
        <v>327</v>
      </c>
      <c r="E419" s="15" t="s">
        <v>278</v>
      </c>
      <c r="F419" s="15"/>
      <c r="G419" s="15"/>
      <c r="H419" s="15"/>
      <c r="I419" s="15"/>
      <c r="J419" s="18">
        <v>1</v>
      </c>
      <c r="K419" s="18"/>
      <c r="L419" s="19"/>
      <c r="M419" s="18"/>
      <c r="N419" s="18"/>
      <c r="O419" s="18"/>
      <c r="P419" s="18"/>
      <c r="Q419" s="18">
        <v>1</v>
      </c>
      <c r="R419" s="19"/>
      <c r="S419" s="18"/>
      <c r="T419" s="18"/>
      <c r="U419" s="18"/>
      <c r="V419" s="18"/>
      <c r="X419" s="15" t="s">
        <v>328</v>
      </c>
      <c r="Y419" s="15" t="s">
        <v>326</v>
      </c>
      <c r="Z419" s="15" t="s">
        <v>360</v>
      </c>
      <c r="AA419" s="15"/>
      <c r="AB419" s="15"/>
      <c r="AC419" s="15"/>
      <c r="AD419" s="15"/>
      <c r="AE419" s="18"/>
      <c r="AF419" s="18"/>
      <c r="AG419" s="19">
        <v>18.893708932999999</v>
      </c>
      <c r="AH419" s="18"/>
      <c r="AI419" s="18"/>
      <c r="AJ419" s="18"/>
      <c r="AK419" s="18"/>
      <c r="AL419" s="18"/>
      <c r="AM419" s="19">
        <v>18.893708932999999</v>
      </c>
      <c r="AN419" s="18"/>
      <c r="AO419" s="18"/>
      <c r="AP419" s="18"/>
      <c r="AR419" s="15" t="s">
        <v>249</v>
      </c>
      <c r="AS419" s="15" t="s">
        <v>567</v>
      </c>
      <c r="AT419" s="15" t="s">
        <v>784</v>
      </c>
      <c r="AU419" s="15"/>
      <c r="AV419" s="15"/>
      <c r="AW419" s="15"/>
      <c r="AX419" s="15"/>
      <c r="AY419" s="15"/>
      <c r="AZ419" s="18"/>
      <c r="BA419" s="19">
        <v>2.5000000000000001E-2</v>
      </c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9">
        <v>0.05</v>
      </c>
      <c r="BM419" s="18"/>
      <c r="BN419" s="18"/>
      <c r="BO419" s="18"/>
      <c r="BP419" s="18"/>
      <c r="BQ419" s="18"/>
      <c r="BR419" s="18"/>
      <c r="BS419" s="18"/>
      <c r="BT419" s="18"/>
      <c r="BU419" s="18"/>
    </row>
    <row r="420" spans="3:73" x14ac:dyDescent="0.45">
      <c r="C420" s="15" t="s">
        <v>249</v>
      </c>
      <c r="D420" s="15" t="s">
        <v>327</v>
      </c>
      <c r="E420" s="15" t="s">
        <v>279</v>
      </c>
      <c r="F420" s="15"/>
      <c r="G420" s="15"/>
      <c r="H420" s="15"/>
      <c r="I420" s="15"/>
      <c r="J420" s="18">
        <v>1</v>
      </c>
      <c r="K420" s="18"/>
      <c r="L420" s="19"/>
      <c r="M420" s="18"/>
      <c r="N420" s="18"/>
      <c r="O420" s="18"/>
      <c r="P420" s="18"/>
      <c r="Q420" s="18">
        <v>1</v>
      </c>
      <c r="R420" s="19"/>
      <c r="S420" s="18"/>
      <c r="T420" s="18"/>
      <c r="U420" s="18"/>
      <c r="V420" s="18"/>
      <c r="X420" s="15" t="s">
        <v>328</v>
      </c>
      <c r="Y420" s="15" t="s">
        <v>326</v>
      </c>
      <c r="Z420" s="15" t="s">
        <v>361</v>
      </c>
      <c r="AA420" s="15"/>
      <c r="AB420" s="15"/>
      <c r="AC420" s="15"/>
      <c r="AD420" s="15"/>
      <c r="AE420" s="18"/>
      <c r="AF420" s="18"/>
      <c r="AG420" s="19">
        <v>12.147264359999999</v>
      </c>
      <c r="AH420" s="18"/>
      <c r="AI420" s="18"/>
      <c r="AJ420" s="18"/>
      <c r="AK420" s="18"/>
      <c r="AL420" s="18"/>
      <c r="AM420" s="19">
        <v>12.147264359999999</v>
      </c>
      <c r="AN420" s="18"/>
      <c r="AO420" s="18"/>
      <c r="AP420" s="18"/>
      <c r="AR420" s="15" t="s">
        <v>249</v>
      </c>
      <c r="AS420" s="15" t="s">
        <v>567</v>
      </c>
      <c r="AT420" s="15" t="s">
        <v>785</v>
      </c>
      <c r="AU420" s="15"/>
      <c r="AV420" s="15"/>
      <c r="AW420" s="15"/>
      <c r="AX420" s="15"/>
      <c r="AY420" s="15"/>
      <c r="AZ420" s="18"/>
      <c r="BA420" s="19">
        <v>2.5000000000000001E-2</v>
      </c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9">
        <v>0.05</v>
      </c>
      <c r="BM420" s="18"/>
      <c r="BN420" s="18"/>
      <c r="BO420" s="18"/>
      <c r="BP420" s="18"/>
      <c r="BQ420" s="18"/>
      <c r="BR420" s="18"/>
      <c r="BS420" s="18"/>
      <c r="BT420" s="18"/>
      <c r="BU420" s="18"/>
    </row>
    <row r="421" spans="3:73" x14ac:dyDescent="0.45">
      <c r="C421" s="15" t="s">
        <v>249</v>
      </c>
      <c r="D421" s="15" t="s">
        <v>327</v>
      </c>
      <c r="E421" s="15" t="s">
        <v>280</v>
      </c>
      <c r="F421" s="15"/>
      <c r="G421" s="15"/>
      <c r="H421" s="15"/>
      <c r="I421" s="15"/>
      <c r="J421" s="18">
        <v>1</v>
      </c>
      <c r="K421" s="18"/>
      <c r="L421" s="19"/>
      <c r="M421" s="18"/>
      <c r="N421" s="18"/>
      <c r="O421" s="18"/>
      <c r="P421" s="18"/>
      <c r="Q421" s="18">
        <v>1</v>
      </c>
      <c r="R421" s="19"/>
      <c r="S421" s="18"/>
      <c r="T421" s="18"/>
      <c r="U421" s="18"/>
      <c r="V421" s="18"/>
      <c r="X421" s="15" t="s">
        <v>328</v>
      </c>
      <c r="Y421" s="15" t="s">
        <v>326</v>
      </c>
      <c r="Z421" s="15" t="s">
        <v>362</v>
      </c>
      <c r="AA421" s="15"/>
      <c r="AB421" s="15"/>
      <c r="AC421" s="15"/>
      <c r="AD421" s="15"/>
      <c r="AE421" s="18"/>
      <c r="AF421" s="18"/>
      <c r="AG421" s="19">
        <v>12.147264359999999</v>
      </c>
      <c r="AH421" s="18"/>
      <c r="AI421" s="18"/>
      <c r="AJ421" s="18"/>
      <c r="AK421" s="18"/>
      <c r="AL421" s="18"/>
      <c r="AM421" s="19">
        <v>12.147264359999999</v>
      </c>
      <c r="AN421" s="18"/>
      <c r="AO421" s="18"/>
      <c r="AP421" s="18"/>
      <c r="AR421" s="15" t="s">
        <v>249</v>
      </c>
      <c r="AS421" s="15" t="s">
        <v>567</v>
      </c>
      <c r="AT421" s="15" t="s">
        <v>786</v>
      </c>
      <c r="AU421" s="15"/>
      <c r="AV421" s="15"/>
      <c r="AW421" s="15"/>
      <c r="AX421" s="15"/>
      <c r="AY421" s="15"/>
      <c r="AZ421" s="18"/>
      <c r="BA421" s="19">
        <v>2.5000000000000001E-2</v>
      </c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9">
        <v>0.05</v>
      </c>
      <c r="BM421" s="18"/>
      <c r="BN421" s="18"/>
      <c r="BO421" s="18"/>
      <c r="BP421" s="18"/>
      <c r="BQ421" s="18"/>
      <c r="BR421" s="18"/>
      <c r="BS421" s="18"/>
      <c r="BT421" s="18"/>
      <c r="BU421" s="18"/>
    </row>
    <row r="422" spans="3:73" x14ac:dyDescent="0.45">
      <c r="C422" s="15" t="s">
        <v>249</v>
      </c>
      <c r="D422" s="15" t="s">
        <v>327</v>
      </c>
      <c r="E422" s="15" t="s">
        <v>281</v>
      </c>
      <c r="F422" s="15"/>
      <c r="G422" s="15"/>
      <c r="H422" s="15"/>
      <c r="I422" s="15"/>
      <c r="J422" s="19">
        <v>1</v>
      </c>
      <c r="K422" s="18"/>
      <c r="L422" s="18"/>
      <c r="M422" s="18"/>
      <c r="N422" s="18"/>
      <c r="O422" s="18"/>
      <c r="P422" s="19"/>
      <c r="Q422" s="18">
        <v>1</v>
      </c>
      <c r="R422" s="18"/>
      <c r="S422" s="18"/>
      <c r="T422" s="18"/>
      <c r="U422" s="18"/>
      <c r="V422" s="18"/>
      <c r="X422" s="15" t="s">
        <v>328</v>
      </c>
      <c r="Y422" s="15" t="s">
        <v>327</v>
      </c>
      <c r="Z422" s="15" t="s">
        <v>330</v>
      </c>
      <c r="AA422" s="15"/>
      <c r="AB422" s="15"/>
      <c r="AC422" s="15"/>
      <c r="AD422" s="15"/>
      <c r="AE422" s="19">
        <v>0.08</v>
      </c>
      <c r="AF422" s="18"/>
      <c r="AG422" s="18"/>
      <c r="AH422" s="18"/>
      <c r="AI422" s="18"/>
      <c r="AJ422" s="18"/>
      <c r="AK422" s="19">
        <v>0.08</v>
      </c>
      <c r="AL422" s="18"/>
      <c r="AM422" s="18"/>
      <c r="AN422" s="18"/>
      <c r="AO422" s="18"/>
      <c r="AP422" s="18"/>
      <c r="AR422" s="15" t="s">
        <v>249</v>
      </c>
      <c r="AS422" s="15" t="s">
        <v>567</v>
      </c>
      <c r="AT422" s="15" t="s">
        <v>787</v>
      </c>
      <c r="AU422" s="15"/>
      <c r="AV422" s="15"/>
      <c r="AW422" s="15"/>
      <c r="AX422" s="15"/>
      <c r="AY422" s="15"/>
      <c r="AZ422" s="18"/>
      <c r="BA422" s="19">
        <v>2.5000000000000001E-2</v>
      </c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9">
        <v>0.05</v>
      </c>
      <c r="BM422" s="18"/>
      <c r="BN422" s="18"/>
      <c r="BO422" s="18"/>
      <c r="BP422" s="18"/>
      <c r="BQ422" s="18"/>
      <c r="BR422" s="18"/>
      <c r="BS422" s="18"/>
      <c r="BT422" s="18"/>
      <c r="BU422" s="18"/>
    </row>
    <row r="423" spans="3:73" x14ac:dyDescent="0.45">
      <c r="C423" s="15" t="s">
        <v>249</v>
      </c>
      <c r="D423" s="15" t="s">
        <v>327</v>
      </c>
      <c r="E423" s="15" t="s">
        <v>282</v>
      </c>
      <c r="F423" s="15"/>
      <c r="G423" s="15"/>
      <c r="H423" s="15"/>
      <c r="I423" s="15"/>
      <c r="J423" s="19">
        <v>1</v>
      </c>
      <c r="K423" s="18"/>
      <c r="L423" s="18"/>
      <c r="M423" s="18"/>
      <c r="N423" s="18"/>
      <c r="O423" s="18"/>
      <c r="P423" s="19"/>
      <c r="Q423" s="18">
        <v>1</v>
      </c>
      <c r="R423" s="18"/>
      <c r="S423" s="18"/>
      <c r="T423" s="18"/>
      <c r="U423" s="18"/>
      <c r="V423" s="18"/>
      <c r="X423" s="15" t="s">
        <v>328</v>
      </c>
      <c r="Y423" s="15" t="s">
        <v>327</v>
      </c>
      <c r="Z423" s="15" t="s">
        <v>331</v>
      </c>
      <c r="AA423" s="15"/>
      <c r="AB423" s="15"/>
      <c r="AC423" s="15"/>
      <c r="AD423" s="15"/>
      <c r="AE423" s="19">
        <v>0.08</v>
      </c>
      <c r="AF423" s="18"/>
      <c r="AG423" s="18"/>
      <c r="AH423" s="18"/>
      <c r="AI423" s="18"/>
      <c r="AJ423" s="18"/>
      <c r="AK423" s="19">
        <v>0.08</v>
      </c>
      <c r="AL423" s="18"/>
      <c r="AM423" s="18"/>
      <c r="AN423" s="18"/>
      <c r="AO423" s="18"/>
      <c r="AP423" s="18"/>
      <c r="AR423" s="15" t="s">
        <v>249</v>
      </c>
      <c r="AS423" s="15" t="s">
        <v>567</v>
      </c>
      <c r="AT423" s="15" t="s">
        <v>788</v>
      </c>
      <c r="AU423" s="15"/>
      <c r="AV423" s="15"/>
      <c r="AW423" s="15"/>
      <c r="AX423" s="15"/>
      <c r="AY423" s="15"/>
      <c r="AZ423" s="18"/>
      <c r="BA423" s="19">
        <v>2.5000000000000001E-2</v>
      </c>
      <c r="BB423" s="18"/>
      <c r="BC423" s="18"/>
      <c r="BD423" s="18"/>
      <c r="BE423" s="18"/>
      <c r="BF423" s="18"/>
      <c r="BG423" s="18"/>
      <c r="BH423" s="18"/>
      <c r="BI423" s="18"/>
      <c r="BJ423" s="18"/>
      <c r="BK423" s="18"/>
      <c r="BL423" s="19">
        <v>0.05</v>
      </c>
      <c r="BM423" s="18"/>
      <c r="BN423" s="18"/>
      <c r="BO423" s="18"/>
      <c r="BP423" s="18"/>
      <c r="BQ423" s="18"/>
      <c r="BR423" s="18"/>
      <c r="BS423" s="18"/>
      <c r="BT423" s="18"/>
      <c r="BU423" s="18"/>
    </row>
    <row r="424" spans="3:73" x14ac:dyDescent="0.45">
      <c r="C424" s="15" t="s">
        <v>249</v>
      </c>
      <c r="D424" s="15" t="s">
        <v>327</v>
      </c>
      <c r="E424" s="15" t="s">
        <v>283</v>
      </c>
      <c r="F424" s="15"/>
      <c r="G424" s="15"/>
      <c r="H424" s="15"/>
      <c r="I424" s="15"/>
      <c r="J424" s="19">
        <v>1</v>
      </c>
      <c r="K424" s="18"/>
      <c r="L424" s="18"/>
      <c r="M424" s="18"/>
      <c r="N424" s="18"/>
      <c r="O424" s="18"/>
      <c r="P424" s="19"/>
      <c r="Q424" s="18">
        <v>1</v>
      </c>
      <c r="R424" s="18"/>
      <c r="S424" s="18"/>
      <c r="T424" s="18"/>
      <c r="U424" s="18"/>
      <c r="V424" s="18"/>
      <c r="X424" s="15" t="s">
        <v>328</v>
      </c>
      <c r="Y424" s="15" t="s">
        <v>327</v>
      </c>
      <c r="Z424" s="15" t="s">
        <v>332</v>
      </c>
      <c r="AA424" s="15"/>
      <c r="AB424" s="15"/>
      <c r="AC424" s="15"/>
      <c r="AD424" s="15"/>
      <c r="AE424" s="19">
        <v>0.08</v>
      </c>
      <c r="AF424" s="18"/>
      <c r="AG424" s="18"/>
      <c r="AH424" s="18"/>
      <c r="AI424" s="18"/>
      <c r="AJ424" s="18"/>
      <c r="AK424" s="19">
        <v>0.08</v>
      </c>
      <c r="AL424" s="18"/>
      <c r="AM424" s="18"/>
      <c r="AN424" s="18"/>
      <c r="AO424" s="18"/>
      <c r="AP424" s="18"/>
      <c r="AR424" s="15" t="s">
        <v>249</v>
      </c>
      <c r="AS424" s="15" t="s">
        <v>567</v>
      </c>
      <c r="AT424" s="15" t="s">
        <v>789</v>
      </c>
      <c r="AU424" s="15"/>
      <c r="AV424" s="15"/>
      <c r="AW424" s="15"/>
      <c r="AX424" s="15"/>
      <c r="AY424" s="15"/>
      <c r="AZ424" s="18"/>
      <c r="BA424" s="19">
        <v>2.5000000000000001E-2</v>
      </c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9">
        <v>0.05</v>
      </c>
      <c r="BM424" s="18"/>
      <c r="BN424" s="18"/>
      <c r="BO424" s="18"/>
      <c r="BP424" s="18"/>
      <c r="BQ424" s="18"/>
      <c r="BR424" s="18"/>
      <c r="BS424" s="18"/>
      <c r="BT424" s="18"/>
      <c r="BU424" s="18"/>
    </row>
    <row r="425" spans="3:73" x14ac:dyDescent="0.45">
      <c r="C425" s="15" t="s">
        <v>249</v>
      </c>
      <c r="D425" s="15" t="s">
        <v>327</v>
      </c>
      <c r="E425" s="15" t="s">
        <v>284</v>
      </c>
      <c r="F425" s="15"/>
      <c r="G425" s="15"/>
      <c r="H425" s="15"/>
      <c r="I425" s="15"/>
      <c r="J425" s="19">
        <v>31.536000000000001</v>
      </c>
      <c r="K425" s="18"/>
      <c r="L425" s="18"/>
      <c r="M425" s="18"/>
      <c r="N425" s="18"/>
      <c r="O425" s="18"/>
      <c r="P425" s="19"/>
      <c r="Q425" s="18">
        <v>31.536000000000001</v>
      </c>
      <c r="R425" s="18"/>
      <c r="S425" s="18"/>
      <c r="T425" s="18"/>
      <c r="U425" s="18"/>
      <c r="V425" s="18"/>
      <c r="X425" s="15" t="s">
        <v>328</v>
      </c>
      <c r="Y425" s="15" t="s">
        <v>327</v>
      </c>
      <c r="Z425" s="15" t="s">
        <v>333</v>
      </c>
      <c r="AA425" s="15"/>
      <c r="AB425" s="15"/>
      <c r="AC425" s="15"/>
      <c r="AD425" s="15"/>
      <c r="AE425" s="19">
        <v>0.08</v>
      </c>
      <c r="AF425" s="18"/>
      <c r="AG425" s="18"/>
      <c r="AH425" s="18"/>
      <c r="AI425" s="18"/>
      <c r="AJ425" s="18"/>
      <c r="AK425" s="19">
        <v>0.08</v>
      </c>
      <c r="AL425" s="18"/>
      <c r="AM425" s="18"/>
      <c r="AN425" s="18"/>
      <c r="AO425" s="18"/>
      <c r="AP425" s="18"/>
      <c r="AR425" s="15" t="s">
        <v>249</v>
      </c>
      <c r="AS425" s="15" t="s">
        <v>567</v>
      </c>
      <c r="AT425" s="15" t="s">
        <v>790</v>
      </c>
      <c r="AU425" s="15"/>
      <c r="AV425" s="15"/>
      <c r="AW425" s="15"/>
      <c r="AX425" s="15"/>
      <c r="AY425" s="15"/>
      <c r="AZ425" s="18"/>
      <c r="BA425" s="19">
        <v>2.5000000000000001E-2</v>
      </c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9">
        <v>0.05</v>
      </c>
      <c r="BM425" s="18"/>
      <c r="BN425" s="18"/>
      <c r="BO425" s="18"/>
      <c r="BP425" s="18"/>
      <c r="BQ425" s="18"/>
      <c r="BR425" s="18"/>
      <c r="BS425" s="18"/>
      <c r="BT425" s="18"/>
      <c r="BU425" s="18"/>
    </row>
    <row r="426" spans="3:73" x14ac:dyDescent="0.45">
      <c r="C426" s="15" t="s">
        <v>249</v>
      </c>
      <c r="D426" s="15" t="s">
        <v>327</v>
      </c>
      <c r="E426" s="15" t="s">
        <v>285</v>
      </c>
      <c r="F426" s="15"/>
      <c r="G426" s="15"/>
      <c r="H426" s="15"/>
      <c r="I426" s="15"/>
      <c r="J426" s="19">
        <v>31.536000000000001</v>
      </c>
      <c r="K426" s="18"/>
      <c r="L426" s="18"/>
      <c r="M426" s="18"/>
      <c r="N426" s="18"/>
      <c r="O426" s="18"/>
      <c r="P426" s="19"/>
      <c r="Q426" s="18">
        <v>31.536000000000001</v>
      </c>
      <c r="R426" s="18"/>
      <c r="S426" s="18"/>
      <c r="T426" s="18"/>
      <c r="U426" s="18"/>
      <c r="V426" s="18"/>
      <c r="X426" s="15" t="s">
        <v>328</v>
      </c>
      <c r="Y426" s="15" t="s">
        <v>327</v>
      </c>
      <c r="Z426" s="15" t="s">
        <v>334</v>
      </c>
      <c r="AA426" s="15"/>
      <c r="AB426" s="15"/>
      <c r="AC426" s="15"/>
      <c r="AD426" s="15"/>
      <c r="AE426" s="19">
        <v>0.08</v>
      </c>
      <c r="AF426" s="18"/>
      <c r="AG426" s="18"/>
      <c r="AH426" s="18"/>
      <c r="AI426" s="18"/>
      <c r="AJ426" s="18"/>
      <c r="AK426" s="19">
        <v>0.08</v>
      </c>
      <c r="AL426" s="18"/>
      <c r="AM426" s="18"/>
      <c r="AN426" s="18"/>
      <c r="AO426" s="18"/>
      <c r="AP426" s="18"/>
      <c r="AR426" s="15" t="s">
        <v>249</v>
      </c>
      <c r="AS426" s="15" t="s">
        <v>567</v>
      </c>
      <c r="AT426" s="15" t="s">
        <v>791</v>
      </c>
      <c r="AU426" s="15"/>
      <c r="AV426" s="15"/>
      <c r="AW426" s="15"/>
      <c r="AX426" s="15"/>
      <c r="AY426" s="15"/>
      <c r="AZ426" s="18"/>
      <c r="BA426" s="19">
        <v>2.5000000000000001E-2</v>
      </c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9">
        <v>0.05</v>
      </c>
      <c r="BM426" s="18"/>
      <c r="BN426" s="18"/>
      <c r="BO426" s="18"/>
      <c r="BP426" s="18"/>
      <c r="BQ426" s="18"/>
      <c r="BR426" s="18"/>
      <c r="BS426" s="18"/>
      <c r="BT426" s="18"/>
      <c r="BU426" s="18"/>
    </row>
    <row r="427" spans="3:73" x14ac:dyDescent="0.45">
      <c r="C427" s="15" t="s">
        <v>249</v>
      </c>
      <c r="D427" s="15" t="s">
        <v>327</v>
      </c>
      <c r="E427" s="15" t="s">
        <v>286</v>
      </c>
      <c r="F427" s="15"/>
      <c r="G427" s="15"/>
      <c r="H427" s="15"/>
      <c r="I427" s="15"/>
      <c r="J427" s="19">
        <v>31.536000000000001</v>
      </c>
      <c r="K427" s="18"/>
      <c r="L427" s="18"/>
      <c r="M427" s="18"/>
      <c r="N427" s="18"/>
      <c r="O427" s="18"/>
      <c r="P427" s="19"/>
      <c r="Q427" s="18">
        <v>31.536000000000001</v>
      </c>
      <c r="R427" s="18"/>
      <c r="S427" s="18"/>
      <c r="T427" s="18"/>
      <c r="U427" s="18"/>
      <c r="V427" s="18"/>
      <c r="X427" s="15" t="s">
        <v>328</v>
      </c>
      <c r="Y427" s="15" t="s">
        <v>327</v>
      </c>
      <c r="Z427" s="15" t="s">
        <v>335</v>
      </c>
      <c r="AA427" s="15"/>
      <c r="AB427" s="15"/>
      <c r="AC427" s="15"/>
      <c r="AD427" s="15"/>
      <c r="AE427" s="19">
        <v>0.08</v>
      </c>
      <c r="AF427" s="18"/>
      <c r="AG427" s="18"/>
      <c r="AH427" s="18"/>
      <c r="AI427" s="18"/>
      <c r="AJ427" s="18"/>
      <c r="AK427" s="19">
        <v>0.08</v>
      </c>
      <c r="AL427" s="18"/>
      <c r="AM427" s="18"/>
      <c r="AN427" s="18"/>
      <c r="AO427" s="18"/>
      <c r="AP427" s="18"/>
      <c r="AR427" s="15" t="s">
        <v>249</v>
      </c>
      <c r="AS427" s="15" t="s">
        <v>567</v>
      </c>
      <c r="AT427" s="15" t="s">
        <v>792</v>
      </c>
      <c r="AU427" s="15"/>
      <c r="AV427" s="15"/>
      <c r="AW427" s="15"/>
      <c r="AX427" s="15"/>
      <c r="AY427" s="15"/>
      <c r="AZ427" s="18"/>
      <c r="BA427" s="19">
        <v>2.5000000000000001E-2</v>
      </c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9">
        <v>0.05</v>
      </c>
      <c r="BM427" s="18"/>
      <c r="BN427" s="18"/>
      <c r="BO427" s="18"/>
      <c r="BP427" s="18"/>
      <c r="BQ427" s="18"/>
      <c r="BR427" s="18"/>
      <c r="BS427" s="18"/>
      <c r="BT427" s="18"/>
      <c r="BU427" s="18"/>
    </row>
    <row r="428" spans="3:73" x14ac:dyDescent="0.45">
      <c r="C428" s="15" t="s">
        <v>249</v>
      </c>
      <c r="D428" s="15" t="s">
        <v>327</v>
      </c>
      <c r="E428" s="15" t="s">
        <v>287</v>
      </c>
      <c r="F428" s="15"/>
      <c r="G428" s="15"/>
      <c r="H428" s="15"/>
      <c r="I428" s="15"/>
      <c r="J428" s="19">
        <v>31.536000000000001</v>
      </c>
      <c r="K428" s="18"/>
      <c r="L428" s="18"/>
      <c r="M428" s="18"/>
      <c r="N428" s="18"/>
      <c r="O428" s="18"/>
      <c r="P428" s="19"/>
      <c r="Q428" s="18">
        <v>31.536000000000001</v>
      </c>
      <c r="R428" s="18"/>
      <c r="S428" s="18"/>
      <c r="T428" s="18"/>
      <c r="U428" s="18"/>
      <c r="V428" s="18"/>
      <c r="X428" s="15" t="s">
        <v>328</v>
      </c>
      <c r="Y428" s="15" t="s">
        <v>327</v>
      </c>
      <c r="Z428" s="15" t="s">
        <v>336</v>
      </c>
      <c r="AA428" s="15"/>
      <c r="AB428" s="15"/>
      <c r="AC428" s="15"/>
      <c r="AD428" s="15"/>
      <c r="AE428" s="19">
        <v>0.08</v>
      </c>
      <c r="AF428" s="18"/>
      <c r="AG428" s="18"/>
      <c r="AH428" s="18"/>
      <c r="AI428" s="18"/>
      <c r="AJ428" s="18"/>
      <c r="AK428" s="19">
        <v>0.08</v>
      </c>
      <c r="AL428" s="18"/>
      <c r="AM428" s="18"/>
      <c r="AN428" s="18"/>
      <c r="AO428" s="18"/>
      <c r="AP428" s="18"/>
      <c r="AR428" s="15" t="s">
        <v>249</v>
      </c>
      <c r="AS428" s="15" t="s">
        <v>567</v>
      </c>
      <c r="AT428" s="15" t="s">
        <v>793</v>
      </c>
      <c r="AU428" s="15"/>
      <c r="AV428" s="15"/>
      <c r="AW428" s="15"/>
      <c r="AX428" s="15"/>
      <c r="AY428" s="15"/>
      <c r="AZ428" s="18"/>
      <c r="BA428" s="19">
        <v>2.5000000000000001E-2</v>
      </c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9">
        <v>0.05</v>
      </c>
      <c r="BM428" s="18"/>
      <c r="BN428" s="18"/>
      <c r="BO428" s="18"/>
      <c r="BP428" s="18"/>
      <c r="BQ428" s="18"/>
      <c r="BR428" s="18"/>
      <c r="BS428" s="18"/>
      <c r="BT428" s="18"/>
      <c r="BU428" s="18"/>
    </row>
    <row r="429" spans="3:73" x14ac:dyDescent="0.45">
      <c r="C429" s="15" t="s">
        <v>249</v>
      </c>
      <c r="D429" s="15" t="s">
        <v>327</v>
      </c>
      <c r="E429" s="15" t="s">
        <v>288</v>
      </c>
      <c r="F429" s="15"/>
      <c r="G429" s="15"/>
      <c r="H429" s="15"/>
      <c r="I429" s="15"/>
      <c r="J429" s="19">
        <v>1</v>
      </c>
      <c r="K429" s="18"/>
      <c r="L429" s="18"/>
      <c r="M429" s="18"/>
      <c r="N429" s="18"/>
      <c r="O429" s="18"/>
      <c r="P429" s="19"/>
      <c r="Q429" s="18">
        <v>1</v>
      </c>
      <c r="R429" s="18"/>
      <c r="S429" s="18"/>
      <c r="T429" s="18"/>
      <c r="U429" s="18"/>
      <c r="V429" s="18"/>
      <c r="X429" s="15" t="s">
        <v>328</v>
      </c>
      <c r="Y429" s="15" t="s">
        <v>327</v>
      </c>
      <c r="Z429" s="15" t="s">
        <v>339</v>
      </c>
      <c r="AA429" s="15"/>
      <c r="AB429" s="15"/>
      <c r="AC429" s="15"/>
      <c r="AD429" s="15"/>
      <c r="AE429" s="19">
        <v>0.08</v>
      </c>
      <c r="AF429" s="18"/>
      <c r="AG429" s="18"/>
      <c r="AH429" s="18"/>
      <c r="AI429" s="18"/>
      <c r="AJ429" s="18"/>
      <c r="AK429" s="19">
        <v>0.08</v>
      </c>
      <c r="AL429" s="18"/>
      <c r="AM429" s="18"/>
      <c r="AN429" s="18"/>
      <c r="AO429" s="18"/>
      <c r="AP429" s="18"/>
      <c r="AR429" s="15" t="s">
        <v>249</v>
      </c>
      <c r="AS429" s="15" t="s">
        <v>567</v>
      </c>
      <c r="AT429" s="15" t="s">
        <v>794</v>
      </c>
      <c r="AU429" s="15"/>
      <c r="AV429" s="15"/>
      <c r="AW429" s="15"/>
      <c r="AX429" s="15"/>
      <c r="AY429" s="15"/>
      <c r="AZ429" s="18"/>
      <c r="BA429" s="19">
        <v>2.5000000000000001E-2</v>
      </c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9">
        <v>0.05</v>
      </c>
      <c r="BM429" s="18"/>
      <c r="BN429" s="18"/>
      <c r="BO429" s="18"/>
      <c r="BP429" s="18"/>
      <c r="BQ429" s="18"/>
      <c r="BR429" s="18"/>
      <c r="BS429" s="18"/>
      <c r="BT429" s="18"/>
      <c r="BU429" s="18"/>
    </row>
    <row r="430" spans="3:73" x14ac:dyDescent="0.45">
      <c r="C430" s="15" t="s">
        <v>249</v>
      </c>
      <c r="D430" s="15" t="s">
        <v>327</v>
      </c>
      <c r="E430" s="15" t="s">
        <v>289</v>
      </c>
      <c r="F430" s="15"/>
      <c r="G430" s="15"/>
      <c r="H430" s="15"/>
      <c r="I430" s="15"/>
      <c r="J430" s="19">
        <v>1</v>
      </c>
      <c r="K430" s="18"/>
      <c r="L430" s="18"/>
      <c r="M430" s="18"/>
      <c r="N430" s="18"/>
      <c r="O430" s="18"/>
      <c r="P430" s="19"/>
      <c r="Q430" s="18">
        <v>1</v>
      </c>
      <c r="R430" s="18"/>
      <c r="S430" s="18"/>
      <c r="T430" s="18"/>
      <c r="U430" s="18"/>
      <c r="V430" s="18"/>
      <c r="X430" s="15" t="s">
        <v>328</v>
      </c>
      <c r="Y430" s="15" t="s">
        <v>327</v>
      </c>
      <c r="Z430" s="15" t="s">
        <v>341</v>
      </c>
      <c r="AA430" s="15"/>
      <c r="AB430" s="15"/>
      <c r="AC430" s="15"/>
      <c r="AD430" s="15"/>
      <c r="AE430" s="19">
        <v>0.08</v>
      </c>
      <c r="AF430" s="18"/>
      <c r="AG430" s="18"/>
      <c r="AH430" s="18"/>
      <c r="AI430" s="18"/>
      <c r="AJ430" s="18"/>
      <c r="AK430" s="19">
        <v>0.08</v>
      </c>
      <c r="AL430" s="18"/>
      <c r="AM430" s="18"/>
      <c r="AN430" s="18"/>
      <c r="AO430" s="18"/>
      <c r="AP430" s="18"/>
      <c r="AR430" s="15" t="s">
        <v>249</v>
      </c>
      <c r="AS430" s="15" t="s">
        <v>567</v>
      </c>
      <c r="AT430" s="15" t="s">
        <v>795</v>
      </c>
      <c r="AU430" s="15"/>
      <c r="AV430" s="15"/>
      <c r="AW430" s="15"/>
      <c r="AX430" s="15"/>
      <c r="AY430" s="15"/>
      <c r="AZ430" s="18"/>
      <c r="BA430" s="19">
        <v>2.5000000000000001E-2</v>
      </c>
      <c r="BB430" s="18"/>
      <c r="BC430" s="18"/>
      <c r="BD430" s="18"/>
      <c r="BE430" s="18"/>
      <c r="BF430" s="18"/>
      <c r="BG430" s="18"/>
      <c r="BH430" s="18"/>
      <c r="BI430" s="18"/>
      <c r="BJ430" s="18"/>
      <c r="BK430" s="18"/>
      <c r="BL430" s="19">
        <v>0.05</v>
      </c>
      <c r="BM430" s="18"/>
      <c r="BN430" s="18"/>
      <c r="BO430" s="18"/>
      <c r="BP430" s="18"/>
      <c r="BQ430" s="18"/>
      <c r="BR430" s="18"/>
      <c r="BS430" s="18"/>
      <c r="BT430" s="18"/>
      <c r="BU430" s="18"/>
    </row>
    <row r="431" spans="3:73" x14ac:dyDescent="0.45">
      <c r="C431" s="15" t="s">
        <v>249</v>
      </c>
      <c r="D431" s="15" t="s">
        <v>327</v>
      </c>
      <c r="E431" s="15" t="s">
        <v>290</v>
      </c>
      <c r="F431" s="15"/>
      <c r="G431" s="15"/>
      <c r="H431" s="15"/>
      <c r="I431" s="15"/>
      <c r="J431" s="19">
        <v>1</v>
      </c>
      <c r="K431" s="18"/>
      <c r="L431" s="18"/>
      <c r="M431" s="18"/>
      <c r="N431" s="18"/>
      <c r="O431" s="18"/>
      <c r="P431" s="19"/>
      <c r="Q431" s="18">
        <v>1</v>
      </c>
      <c r="R431" s="18"/>
      <c r="S431" s="18"/>
      <c r="T431" s="18"/>
      <c r="U431" s="18"/>
      <c r="V431" s="18"/>
      <c r="X431" s="15" t="s">
        <v>328</v>
      </c>
      <c r="Y431" s="15" t="s">
        <v>327</v>
      </c>
      <c r="Z431" s="15" t="s">
        <v>342</v>
      </c>
      <c r="AA431" s="15"/>
      <c r="AB431" s="15"/>
      <c r="AC431" s="15"/>
      <c r="AD431" s="15"/>
      <c r="AE431" s="19">
        <v>0.08</v>
      </c>
      <c r="AF431" s="18"/>
      <c r="AG431" s="18"/>
      <c r="AH431" s="18"/>
      <c r="AI431" s="18"/>
      <c r="AJ431" s="18"/>
      <c r="AK431" s="19">
        <v>0.08</v>
      </c>
      <c r="AL431" s="18"/>
      <c r="AM431" s="18"/>
      <c r="AN431" s="18"/>
      <c r="AO431" s="18"/>
      <c r="AP431" s="18"/>
      <c r="AR431" s="15" t="s">
        <v>249</v>
      </c>
      <c r="AS431" s="15" t="s">
        <v>567</v>
      </c>
      <c r="AT431" s="15" t="s">
        <v>796</v>
      </c>
      <c r="AU431" s="15"/>
      <c r="AV431" s="15"/>
      <c r="AW431" s="15"/>
      <c r="AX431" s="15"/>
      <c r="AY431" s="15"/>
      <c r="AZ431" s="18"/>
      <c r="BA431" s="19">
        <v>2.5000000000000001E-2</v>
      </c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9">
        <v>0.05</v>
      </c>
      <c r="BM431" s="18"/>
      <c r="BN431" s="18"/>
      <c r="BO431" s="18"/>
      <c r="BP431" s="18"/>
      <c r="BQ431" s="18"/>
      <c r="BR431" s="18"/>
      <c r="BS431" s="18"/>
      <c r="BT431" s="18"/>
      <c r="BU431" s="18"/>
    </row>
    <row r="432" spans="3:73" x14ac:dyDescent="0.45">
      <c r="C432" s="15" t="s">
        <v>249</v>
      </c>
      <c r="D432" s="15" t="s">
        <v>327</v>
      </c>
      <c r="E432" s="15" t="s">
        <v>291</v>
      </c>
      <c r="F432" s="15"/>
      <c r="G432" s="15"/>
      <c r="H432" s="15"/>
      <c r="I432" s="15"/>
      <c r="J432" s="19">
        <v>1</v>
      </c>
      <c r="K432" s="18"/>
      <c r="L432" s="18"/>
      <c r="M432" s="18"/>
      <c r="N432" s="18"/>
      <c r="O432" s="18"/>
      <c r="P432" s="19"/>
      <c r="Q432" s="18">
        <v>1</v>
      </c>
      <c r="R432" s="18"/>
      <c r="S432" s="18"/>
      <c r="T432" s="18"/>
      <c r="U432" s="18"/>
      <c r="V432" s="18"/>
      <c r="X432" s="15" t="s">
        <v>328</v>
      </c>
      <c r="Y432" s="15" t="s">
        <v>327</v>
      </c>
      <c r="Z432" s="15" t="s">
        <v>343</v>
      </c>
      <c r="AA432" s="15"/>
      <c r="AB432" s="15"/>
      <c r="AC432" s="15"/>
      <c r="AD432" s="15"/>
      <c r="AE432" s="19">
        <v>0.08</v>
      </c>
      <c r="AF432" s="18"/>
      <c r="AG432" s="18"/>
      <c r="AH432" s="18"/>
      <c r="AI432" s="18"/>
      <c r="AJ432" s="18"/>
      <c r="AK432" s="19">
        <v>0.08</v>
      </c>
      <c r="AL432" s="18"/>
      <c r="AM432" s="18"/>
      <c r="AN432" s="18"/>
      <c r="AO432" s="18"/>
      <c r="AP432" s="18"/>
      <c r="AR432" s="15" t="s">
        <v>249</v>
      </c>
      <c r="AS432" s="15" t="s">
        <v>567</v>
      </c>
      <c r="AT432" s="15" t="s">
        <v>797</v>
      </c>
      <c r="AU432" s="15"/>
      <c r="AV432" s="15"/>
      <c r="AW432" s="15"/>
      <c r="AX432" s="15"/>
      <c r="AY432" s="15"/>
      <c r="AZ432" s="18"/>
      <c r="BA432" s="19">
        <v>2.5000000000000001E-2</v>
      </c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9">
        <v>0.05</v>
      </c>
      <c r="BM432" s="18"/>
      <c r="BN432" s="18"/>
      <c r="BO432" s="18"/>
      <c r="BP432" s="18"/>
      <c r="BQ432" s="18"/>
      <c r="BR432" s="18"/>
      <c r="BS432" s="18"/>
      <c r="BT432" s="18"/>
      <c r="BU432" s="18"/>
    </row>
    <row r="433" spans="3:73" x14ac:dyDescent="0.45">
      <c r="C433" s="15" t="s">
        <v>249</v>
      </c>
      <c r="D433" s="15" t="s">
        <v>327</v>
      </c>
      <c r="E433" s="15" t="s">
        <v>292</v>
      </c>
      <c r="F433" s="15"/>
      <c r="G433" s="15"/>
      <c r="H433" s="15"/>
      <c r="I433" s="15"/>
      <c r="J433" s="19">
        <v>1</v>
      </c>
      <c r="K433" s="18"/>
      <c r="L433" s="18"/>
      <c r="M433" s="18"/>
      <c r="N433" s="18"/>
      <c r="O433" s="18"/>
      <c r="P433" s="19"/>
      <c r="Q433" s="18">
        <v>1</v>
      </c>
      <c r="R433" s="18"/>
      <c r="S433" s="18"/>
      <c r="T433" s="18"/>
      <c r="U433" s="18"/>
      <c r="V433" s="18"/>
      <c r="X433" s="15" t="s">
        <v>328</v>
      </c>
      <c r="Y433" s="15" t="s">
        <v>327</v>
      </c>
      <c r="Z433" s="15" t="s">
        <v>344</v>
      </c>
      <c r="AA433" s="15"/>
      <c r="AB433" s="15"/>
      <c r="AC433" s="15"/>
      <c r="AD433" s="15"/>
      <c r="AE433" s="19">
        <v>0.08</v>
      </c>
      <c r="AF433" s="18"/>
      <c r="AG433" s="18"/>
      <c r="AH433" s="18"/>
      <c r="AI433" s="18"/>
      <c r="AJ433" s="18"/>
      <c r="AK433" s="19">
        <v>0.08</v>
      </c>
      <c r="AL433" s="18"/>
      <c r="AM433" s="18"/>
      <c r="AN433" s="18"/>
      <c r="AO433" s="18"/>
      <c r="AP433" s="18"/>
      <c r="AR433" s="15" t="s">
        <v>249</v>
      </c>
      <c r="AS433" s="15" t="s">
        <v>567</v>
      </c>
      <c r="AT433" s="15" t="s">
        <v>798</v>
      </c>
      <c r="AU433" s="15"/>
      <c r="AV433" s="15"/>
      <c r="AW433" s="15"/>
      <c r="AX433" s="15"/>
      <c r="AY433" s="15"/>
      <c r="AZ433" s="18"/>
      <c r="BA433" s="19">
        <v>2.5000000000000001E-2</v>
      </c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9">
        <v>0.05</v>
      </c>
      <c r="BM433" s="18"/>
      <c r="BN433" s="18"/>
      <c r="BO433" s="18"/>
      <c r="BP433" s="18"/>
      <c r="BQ433" s="18"/>
      <c r="BR433" s="18"/>
      <c r="BS433" s="18"/>
      <c r="BT433" s="18"/>
      <c r="BU433" s="18"/>
    </row>
    <row r="434" spans="3:73" x14ac:dyDescent="0.45">
      <c r="C434" s="15" t="s">
        <v>249</v>
      </c>
      <c r="D434" s="15" t="s">
        <v>327</v>
      </c>
      <c r="E434" s="15" t="s">
        <v>293</v>
      </c>
      <c r="F434" s="15"/>
      <c r="G434" s="15"/>
      <c r="H434" s="15"/>
      <c r="I434" s="15"/>
      <c r="J434" s="19">
        <v>1</v>
      </c>
      <c r="K434" s="18"/>
      <c r="L434" s="18"/>
      <c r="M434" s="18"/>
      <c r="N434" s="18"/>
      <c r="O434" s="18"/>
      <c r="P434" s="19"/>
      <c r="Q434" s="18">
        <v>1</v>
      </c>
      <c r="R434" s="18"/>
      <c r="S434" s="18"/>
      <c r="T434" s="18"/>
      <c r="U434" s="18"/>
      <c r="V434" s="18"/>
      <c r="X434" s="15" t="s">
        <v>328</v>
      </c>
      <c r="Y434" s="15" t="s">
        <v>327</v>
      </c>
      <c r="Z434" s="15" t="s">
        <v>345</v>
      </c>
      <c r="AA434" s="15"/>
      <c r="AB434" s="15"/>
      <c r="AC434" s="15"/>
      <c r="AD434" s="15"/>
      <c r="AE434" s="19">
        <v>0.08</v>
      </c>
      <c r="AF434" s="18"/>
      <c r="AG434" s="18"/>
      <c r="AH434" s="18"/>
      <c r="AI434" s="18"/>
      <c r="AJ434" s="18"/>
      <c r="AK434" s="19">
        <v>0.08</v>
      </c>
      <c r="AL434" s="18"/>
      <c r="AM434" s="18"/>
      <c r="AN434" s="18"/>
      <c r="AO434" s="18"/>
      <c r="AP434" s="18"/>
      <c r="AR434" s="15" t="s">
        <v>249</v>
      </c>
      <c r="AS434" s="15" t="s">
        <v>567</v>
      </c>
      <c r="AT434" s="15" t="s">
        <v>799</v>
      </c>
      <c r="AU434" s="15"/>
      <c r="AV434" s="15"/>
      <c r="AW434" s="15"/>
      <c r="AX434" s="15"/>
      <c r="AY434" s="15"/>
      <c r="AZ434" s="18"/>
      <c r="BA434" s="19">
        <v>2.5000000000000001E-2</v>
      </c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9">
        <v>0.05</v>
      </c>
      <c r="BM434" s="18"/>
      <c r="BN434" s="18"/>
      <c r="BO434" s="18"/>
      <c r="BP434" s="18"/>
      <c r="BQ434" s="18"/>
      <c r="BR434" s="18"/>
      <c r="BS434" s="18"/>
      <c r="BT434" s="18"/>
      <c r="BU434" s="18"/>
    </row>
    <row r="435" spans="3:73" x14ac:dyDescent="0.45">
      <c r="C435" s="15" t="s">
        <v>249</v>
      </c>
      <c r="D435" s="15" t="s">
        <v>327</v>
      </c>
      <c r="E435" s="15" t="s">
        <v>294</v>
      </c>
      <c r="F435" s="15"/>
      <c r="G435" s="15"/>
      <c r="H435" s="15"/>
      <c r="I435" s="15"/>
      <c r="J435" s="19">
        <v>1</v>
      </c>
      <c r="K435" s="18"/>
      <c r="L435" s="18"/>
      <c r="M435" s="18"/>
      <c r="N435" s="18"/>
      <c r="O435" s="18"/>
      <c r="P435" s="19"/>
      <c r="Q435" s="18">
        <v>1</v>
      </c>
      <c r="R435" s="18"/>
      <c r="S435" s="18"/>
      <c r="T435" s="18"/>
      <c r="U435" s="18"/>
      <c r="V435" s="18"/>
      <c r="X435" s="15" t="s">
        <v>328</v>
      </c>
      <c r="Y435" s="15" t="s">
        <v>327</v>
      </c>
      <c r="Z435" s="15" t="s">
        <v>346</v>
      </c>
      <c r="AA435" s="15"/>
      <c r="AB435" s="15"/>
      <c r="AC435" s="15"/>
      <c r="AD435" s="15"/>
      <c r="AE435" s="19">
        <v>0.08</v>
      </c>
      <c r="AF435" s="18"/>
      <c r="AG435" s="18"/>
      <c r="AH435" s="18"/>
      <c r="AI435" s="18"/>
      <c r="AJ435" s="18"/>
      <c r="AK435" s="19">
        <v>0.08</v>
      </c>
      <c r="AL435" s="18"/>
      <c r="AM435" s="18"/>
      <c r="AN435" s="18"/>
      <c r="AO435" s="18"/>
      <c r="AP435" s="18"/>
      <c r="AR435" s="15" t="s">
        <v>249</v>
      </c>
      <c r="AS435" s="15" t="s">
        <v>567</v>
      </c>
      <c r="AT435" s="15" t="s">
        <v>800</v>
      </c>
      <c r="AU435" s="15"/>
      <c r="AV435" s="15"/>
      <c r="AW435" s="15"/>
      <c r="AX435" s="15"/>
      <c r="AY435" s="15"/>
      <c r="AZ435" s="18"/>
      <c r="BA435" s="19">
        <v>2.5000000000000001E-2</v>
      </c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9">
        <v>0.05</v>
      </c>
      <c r="BM435" s="18"/>
      <c r="BN435" s="18"/>
      <c r="BO435" s="18"/>
      <c r="BP435" s="18"/>
      <c r="BQ435" s="18"/>
      <c r="BR435" s="18"/>
      <c r="BS435" s="18"/>
      <c r="BT435" s="18"/>
      <c r="BU435" s="18"/>
    </row>
    <row r="436" spans="3:73" x14ac:dyDescent="0.45">
      <c r="C436" s="15" t="s">
        <v>249</v>
      </c>
      <c r="D436" s="15" t="s">
        <v>327</v>
      </c>
      <c r="E436" s="15" t="s">
        <v>295</v>
      </c>
      <c r="F436" s="15"/>
      <c r="G436" s="15"/>
      <c r="H436" s="15"/>
      <c r="I436" s="15"/>
      <c r="J436" s="19">
        <v>1</v>
      </c>
      <c r="K436" s="18"/>
      <c r="L436" s="18"/>
      <c r="M436" s="18"/>
      <c r="N436" s="18"/>
      <c r="O436" s="18"/>
      <c r="P436" s="19"/>
      <c r="Q436" s="18">
        <v>1</v>
      </c>
      <c r="R436" s="18"/>
      <c r="S436" s="18"/>
      <c r="T436" s="18"/>
      <c r="U436" s="18"/>
      <c r="V436" s="18"/>
      <c r="X436" s="15" t="s">
        <v>328</v>
      </c>
      <c r="Y436" s="15" t="s">
        <v>327</v>
      </c>
      <c r="Z436" s="15" t="s">
        <v>347</v>
      </c>
      <c r="AA436" s="15"/>
      <c r="AB436" s="15"/>
      <c r="AC436" s="15"/>
      <c r="AD436" s="15"/>
      <c r="AE436" s="19">
        <v>0.08</v>
      </c>
      <c r="AF436" s="18"/>
      <c r="AG436" s="18"/>
      <c r="AH436" s="18"/>
      <c r="AI436" s="18"/>
      <c r="AJ436" s="18"/>
      <c r="AK436" s="19">
        <v>0.08</v>
      </c>
      <c r="AL436" s="18"/>
      <c r="AM436" s="18"/>
      <c r="AN436" s="18"/>
      <c r="AO436" s="18"/>
      <c r="AP436" s="18"/>
      <c r="AR436" s="15" t="s">
        <v>249</v>
      </c>
      <c r="AS436" s="15" t="s">
        <v>567</v>
      </c>
      <c r="AT436" s="15" t="s">
        <v>801</v>
      </c>
      <c r="AU436" s="15"/>
      <c r="AV436" s="15"/>
      <c r="AW436" s="15"/>
      <c r="AX436" s="15"/>
      <c r="AY436" s="15"/>
      <c r="AZ436" s="18"/>
      <c r="BA436" s="19">
        <v>2.5000000000000001E-2</v>
      </c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9">
        <v>0.05</v>
      </c>
      <c r="BM436" s="18"/>
      <c r="BN436" s="18"/>
      <c r="BO436" s="18"/>
      <c r="BP436" s="18"/>
      <c r="BQ436" s="18"/>
      <c r="BR436" s="18"/>
      <c r="BS436" s="18"/>
      <c r="BT436" s="18"/>
      <c r="BU436" s="18"/>
    </row>
    <row r="437" spans="3:73" x14ac:dyDescent="0.45">
      <c r="C437" s="15" t="s">
        <v>249</v>
      </c>
      <c r="D437" s="15" t="s">
        <v>327</v>
      </c>
      <c r="E437" s="15" t="s">
        <v>296</v>
      </c>
      <c r="F437" s="15"/>
      <c r="G437" s="15"/>
      <c r="H437" s="15"/>
      <c r="I437" s="15"/>
      <c r="J437" s="19">
        <v>1</v>
      </c>
      <c r="K437" s="18"/>
      <c r="L437" s="18"/>
      <c r="M437" s="18"/>
      <c r="N437" s="18"/>
      <c r="O437" s="18"/>
      <c r="P437" s="19"/>
      <c r="Q437" s="18">
        <v>1</v>
      </c>
      <c r="R437" s="18"/>
      <c r="S437" s="18"/>
      <c r="T437" s="18"/>
      <c r="U437" s="18"/>
      <c r="V437" s="18"/>
      <c r="X437" s="15" t="s">
        <v>328</v>
      </c>
      <c r="Y437" s="15" t="s">
        <v>327</v>
      </c>
      <c r="Z437" s="15" t="s">
        <v>348</v>
      </c>
      <c r="AA437" s="15"/>
      <c r="AB437" s="15"/>
      <c r="AC437" s="15"/>
      <c r="AD437" s="15"/>
      <c r="AE437" s="19">
        <v>0.08</v>
      </c>
      <c r="AF437" s="18"/>
      <c r="AG437" s="18"/>
      <c r="AH437" s="18"/>
      <c r="AI437" s="18"/>
      <c r="AJ437" s="18"/>
      <c r="AK437" s="19">
        <v>0.08</v>
      </c>
      <c r="AL437" s="18"/>
      <c r="AM437" s="18"/>
      <c r="AN437" s="18"/>
      <c r="AO437" s="18"/>
      <c r="AP437" s="18"/>
      <c r="AR437" s="15" t="s">
        <v>249</v>
      </c>
      <c r="AS437" s="15" t="s">
        <v>567</v>
      </c>
      <c r="AT437" s="15" t="s">
        <v>802</v>
      </c>
      <c r="AU437" s="15"/>
      <c r="AV437" s="15"/>
      <c r="AW437" s="15"/>
      <c r="AX437" s="15"/>
      <c r="AY437" s="15"/>
      <c r="AZ437" s="18"/>
      <c r="BA437" s="19">
        <v>2.5000000000000001E-2</v>
      </c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9">
        <v>0.05</v>
      </c>
      <c r="BM437" s="18"/>
      <c r="BN437" s="18"/>
      <c r="BO437" s="18"/>
      <c r="BP437" s="18"/>
      <c r="BQ437" s="18"/>
      <c r="BR437" s="18"/>
      <c r="BS437" s="18"/>
      <c r="BT437" s="18"/>
      <c r="BU437" s="18"/>
    </row>
    <row r="438" spans="3:73" x14ac:dyDescent="0.45">
      <c r="C438" s="15" t="s">
        <v>249</v>
      </c>
      <c r="D438" s="15" t="s">
        <v>327</v>
      </c>
      <c r="E438" s="15" t="s">
        <v>297</v>
      </c>
      <c r="F438" s="15"/>
      <c r="G438" s="15"/>
      <c r="H438" s="15"/>
      <c r="I438" s="15"/>
      <c r="J438" s="19">
        <v>31.536000000000001</v>
      </c>
      <c r="K438" s="18"/>
      <c r="L438" s="18"/>
      <c r="M438" s="18"/>
      <c r="N438" s="18"/>
      <c r="O438" s="18"/>
      <c r="P438" s="19"/>
      <c r="Q438" s="18">
        <v>31.536000000000001</v>
      </c>
      <c r="R438" s="18"/>
      <c r="S438" s="18"/>
      <c r="T438" s="18"/>
      <c r="U438" s="18"/>
      <c r="V438" s="18"/>
      <c r="X438" s="15" t="s">
        <v>328</v>
      </c>
      <c r="Y438" s="15" t="s">
        <v>327</v>
      </c>
      <c r="Z438" s="15" t="s">
        <v>349</v>
      </c>
      <c r="AA438" s="15"/>
      <c r="AB438" s="15"/>
      <c r="AC438" s="15"/>
      <c r="AD438" s="15"/>
      <c r="AE438" s="19">
        <v>0.08</v>
      </c>
      <c r="AF438" s="18"/>
      <c r="AG438" s="18"/>
      <c r="AH438" s="18"/>
      <c r="AI438" s="18"/>
      <c r="AJ438" s="18"/>
      <c r="AK438" s="19">
        <v>0.08</v>
      </c>
      <c r="AL438" s="18"/>
      <c r="AM438" s="18"/>
      <c r="AN438" s="18"/>
      <c r="AO438" s="18"/>
      <c r="AP438" s="18"/>
      <c r="AR438" s="15" t="s">
        <v>249</v>
      </c>
      <c r="AS438" s="15" t="s">
        <v>567</v>
      </c>
      <c r="AT438" s="15" t="s">
        <v>803</v>
      </c>
      <c r="AU438" s="15"/>
      <c r="AV438" s="15"/>
      <c r="AW438" s="15"/>
      <c r="AX438" s="15"/>
      <c r="AY438" s="15"/>
      <c r="AZ438" s="18"/>
      <c r="BA438" s="19">
        <v>2.5000000000000001E-2</v>
      </c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9">
        <v>0.05</v>
      </c>
      <c r="BM438" s="18"/>
      <c r="BN438" s="18"/>
      <c r="BO438" s="18"/>
      <c r="BP438" s="18"/>
      <c r="BQ438" s="18"/>
      <c r="BR438" s="18"/>
      <c r="BS438" s="18"/>
      <c r="BT438" s="18"/>
      <c r="BU438" s="18"/>
    </row>
    <row r="439" spans="3:73" x14ac:dyDescent="0.45">
      <c r="C439" s="15" t="s">
        <v>249</v>
      </c>
      <c r="D439" s="15" t="s">
        <v>327</v>
      </c>
      <c r="E439" s="15" t="s">
        <v>298</v>
      </c>
      <c r="F439" s="15"/>
      <c r="G439" s="15"/>
      <c r="H439" s="15"/>
      <c r="I439" s="15"/>
      <c r="J439" s="19">
        <v>31.536000000000001</v>
      </c>
      <c r="K439" s="18"/>
      <c r="L439" s="18"/>
      <c r="M439" s="18"/>
      <c r="N439" s="18"/>
      <c r="O439" s="18"/>
      <c r="P439" s="19"/>
      <c r="Q439" s="18">
        <v>31.536000000000001</v>
      </c>
      <c r="R439" s="18"/>
      <c r="S439" s="18"/>
      <c r="T439" s="18"/>
      <c r="U439" s="18"/>
      <c r="V439" s="18"/>
      <c r="X439" s="15" t="s">
        <v>328</v>
      </c>
      <c r="Y439" s="15" t="s">
        <v>327</v>
      </c>
      <c r="Z439" s="15" t="s">
        <v>350</v>
      </c>
      <c r="AA439" s="15"/>
      <c r="AB439" s="15"/>
      <c r="AC439" s="15"/>
      <c r="AD439" s="15"/>
      <c r="AE439" s="19">
        <v>0.08</v>
      </c>
      <c r="AF439" s="18"/>
      <c r="AG439" s="18"/>
      <c r="AH439" s="18"/>
      <c r="AI439" s="18"/>
      <c r="AJ439" s="18"/>
      <c r="AK439" s="19">
        <v>0.08</v>
      </c>
      <c r="AL439" s="18"/>
      <c r="AM439" s="18"/>
      <c r="AN439" s="18"/>
      <c r="AO439" s="18"/>
      <c r="AP439" s="18"/>
      <c r="AR439" s="15" t="s">
        <v>249</v>
      </c>
      <c r="AS439" s="15" t="s">
        <v>567</v>
      </c>
      <c r="AT439" s="15" t="s">
        <v>804</v>
      </c>
      <c r="AU439" s="15"/>
      <c r="AV439" s="15"/>
      <c r="AW439" s="15"/>
      <c r="AX439" s="15"/>
      <c r="AY439" s="15"/>
      <c r="AZ439" s="18"/>
      <c r="BA439" s="19">
        <v>2.5000000000000001E-2</v>
      </c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9">
        <v>0.05</v>
      </c>
      <c r="BM439" s="18"/>
      <c r="BN439" s="18"/>
      <c r="BO439" s="18"/>
      <c r="BP439" s="18"/>
      <c r="BQ439" s="18"/>
      <c r="BR439" s="18"/>
      <c r="BS439" s="18"/>
      <c r="BT439" s="18"/>
      <c r="BU439" s="18"/>
    </row>
    <row r="440" spans="3:73" x14ac:dyDescent="0.45">
      <c r="C440" s="15" t="s">
        <v>249</v>
      </c>
      <c r="D440" s="15" t="s">
        <v>327</v>
      </c>
      <c r="E440" s="15" t="s">
        <v>299</v>
      </c>
      <c r="F440" s="15"/>
      <c r="G440" s="15"/>
      <c r="H440" s="15"/>
      <c r="I440" s="15"/>
      <c r="J440" s="19">
        <v>31.536000000000001</v>
      </c>
      <c r="K440" s="18"/>
      <c r="L440" s="18"/>
      <c r="M440" s="18"/>
      <c r="N440" s="18"/>
      <c r="O440" s="18"/>
      <c r="P440" s="19"/>
      <c r="Q440" s="18">
        <v>31.536000000000001</v>
      </c>
      <c r="R440" s="18"/>
      <c r="S440" s="18"/>
      <c r="T440" s="18"/>
      <c r="U440" s="18"/>
      <c r="V440" s="18"/>
      <c r="X440" s="15" t="s">
        <v>328</v>
      </c>
      <c r="Y440" s="15" t="s">
        <v>327</v>
      </c>
      <c r="Z440" s="15" t="s">
        <v>351</v>
      </c>
      <c r="AA440" s="15"/>
      <c r="AB440" s="15"/>
      <c r="AC440" s="15"/>
      <c r="AD440" s="15"/>
      <c r="AE440" s="19">
        <v>0.08</v>
      </c>
      <c r="AF440" s="18"/>
      <c r="AG440" s="18"/>
      <c r="AH440" s="18"/>
      <c r="AI440" s="18"/>
      <c r="AJ440" s="18"/>
      <c r="AK440" s="19">
        <v>0.08</v>
      </c>
      <c r="AL440" s="18"/>
      <c r="AM440" s="18"/>
      <c r="AN440" s="18"/>
      <c r="AO440" s="18"/>
      <c r="AP440" s="18"/>
      <c r="AR440" s="15" t="s">
        <v>249</v>
      </c>
      <c r="AS440" s="15" t="s">
        <v>567</v>
      </c>
      <c r="AT440" s="15" t="s">
        <v>805</v>
      </c>
      <c r="AU440" s="15"/>
      <c r="AV440" s="15"/>
      <c r="AW440" s="15"/>
      <c r="AX440" s="15"/>
      <c r="AY440" s="15"/>
      <c r="AZ440" s="18"/>
      <c r="BA440" s="19">
        <v>2.5000000000000001E-2</v>
      </c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9">
        <v>0.05</v>
      </c>
      <c r="BM440" s="18"/>
      <c r="BN440" s="18"/>
      <c r="BO440" s="18"/>
      <c r="BP440" s="18"/>
      <c r="BQ440" s="18"/>
      <c r="BR440" s="18"/>
      <c r="BS440" s="18"/>
      <c r="BT440" s="18"/>
      <c r="BU440" s="18"/>
    </row>
    <row r="441" spans="3:73" x14ac:dyDescent="0.45">
      <c r="C441" s="15" t="s">
        <v>249</v>
      </c>
      <c r="D441" s="15" t="s">
        <v>327</v>
      </c>
      <c r="E441" s="15" t="s">
        <v>300</v>
      </c>
      <c r="F441" s="15"/>
      <c r="G441" s="15"/>
      <c r="H441" s="15"/>
      <c r="I441" s="15"/>
      <c r="J441" s="19">
        <v>31.536000000000001</v>
      </c>
      <c r="K441" s="18"/>
      <c r="L441" s="18"/>
      <c r="M441" s="18"/>
      <c r="N441" s="18"/>
      <c r="O441" s="18"/>
      <c r="P441" s="19"/>
      <c r="Q441" s="18">
        <v>31.536000000000001</v>
      </c>
      <c r="R441" s="18"/>
      <c r="S441" s="18"/>
      <c r="T441" s="18"/>
      <c r="U441" s="18"/>
      <c r="V441" s="18"/>
      <c r="X441" s="15" t="s">
        <v>328</v>
      </c>
      <c r="Y441" s="15" t="s">
        <v>327</v>
      </c>
      <c r="Z441" s="15" t="s">
        <v>352</v>
      </c>
      <c r="AA441" s="15"/>
      <c r="AB441" s="15"/>
      <c r="AC441" s="15"/>
      <c r="AD441" s="15"/>
      <c r="AE441" s="19">
        <v>0.08</v>
      </c>
      <c r="AF441" s="18"/>
      <c r="AG441" s="18"/>
      <c r="AH441" s="18"/>
      <c r="AI441" s="18"/>
      <c r="AJ441" s="18"/>
      <c r="AK441" s="19">
        <v>0.08</v>
      </c>
      <c r="AL441" s="18"/>
      <c r="AM441" s="18"/>
      <c r="AN441" s="18"/>
      <c r="AO441" s="18"/>
      <c r="AP441" s="18"/>
      <c r="AR441" s="15" t="s">
        <v>249</v>
      </c>
      <c r="AS441" s="15" t="s">
        <v>567</v>
      </c>
      <c r="AT441" s="15" t="s">
        <v>806</v>
      </c>
      <c r="AU441" s="15"/>
      <c r="AV441" s="15"/>
      <c r="AW441" s="15"/>
      <c r="AX441" s="15"/>
      <c r="AY441" s="15"/>
      <c r="AZ441" s="18"/>
      <c r="BA441" s="19">
        <v>2.5000000000000001E-2</v>
      </c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9">
        <v>0.05</v>
      </c>
      <c r="BM441" s="18"/>
      <c r="BN441" s="18"/>
      <c r="BO441" s="18"/>
      <c r="BP441" s="18"/>
      <c r="BQ441" s="18"/>
      <c r="BR441" s="18"/>
      <c r="BS441" s="18"/>
      <c r="BT441" s="18"/>
      <c r="BU441" s="18"/>
    </row>
    <row r="442" spans="3:73" x14ac:dyDescent="0.45">
      <c r="C442" s="15" t="s">
        <v>249</v>
      </c>
      <c r="D442" s="15" t="s">
        <v>327</v>
      </c>
      <c r="E442" s="15" t="s">
        <v>301</v>
      </c>
      <c r="F442" s="15"/>
      <c r="G442" s="15"/>
      <c r="H442" s="15"/>
      <c r="I442" s="15"/>
      <c r="J442" s="19">
        <v>31.536000000000001</v>
      </c>
      <c r="K442" s="18"/>
      <c r="L442" s="18"/>
      <c r="M442" s="18"/>
      <c r="N442" s="18"/>
      <c r="O442" s="18"/>
      <c r="P442" s="19"/>
      <c r="Q442" s="18">
        <v>31.536000000000001</v>
      </c>
      <c r="R442" s="18"/>
      <c r="S442" s="18"/>
      <c r="T442" s="18"/>
      <c r="U442" s="18"/>
      <c r="V442" s="18"/>
      <c r="X442" s="15" t="s">
        <v>328</v>
      </c>
      <c r="Y442" s="15" t="s">
        <v>327</v>
      </c>
      <c r="Z442" s="15" t="s">
        <v>353</v>
      </c>
      <c r="AA442" s="15"/>
      <c r="AB442" s="15"/>
      <c r="AC442" s="15"/>
      <c r="AD442" s="15"/>
      <c r="AE442" s="19">
        <v>0.08</v>
      </c>
      <c r="AF442" s="18"/>
      <c r="AG442" s="18"/>
      <c r="AH442" s="18"/>
      <c r="AI442" s="18"/>
      <c r="AJ442" s="18"/>
      <c r="AK442" s="19">
        <v>0.08</v>
      </c>
      <c r="AL442" s="18"/>
      <c r="AM442" s="18"/>
      <c r="AN442" s="18"/>
      <c r="AO442" s="18"/>
      <c r="AP442" s="18"/>
      <c r="AR442" s="15" t="s">
        <v>249</v>
      </c>
      <c r="AS442" s="15" t="s">
        <v>567</v>
      </c>
      <c r="AT442" s="15" t="s">
        <v>807</v>
      </c>
      <c r="AU442" s="15"/>
      <c r="AV442" s="15"/>
      <c r="AW442" s="15"/>
      <c r="AX442" s="15"/>
      <c r="AY442" s="15"/>
      <c r="AZ442" s="18"/>
      <c r="BA442" s="19">
        <v>2.5000000000000001E-2</v>
      </c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9">
        <v>0.05</v>
      </c>
      <c r="BM442" s="18"/>
      <c r="BN442" s="18"/>
      <c r="BO442" s="18"/>
      <c r="BP442" s="18"/>
      <c r="BQ442" s="18"/>
      <c r="BR442" s="18"/>
      <c r="BS442" s="18"/>
      <c r="BT442" s="18"/>
      <c r="BU442" s="18"/>
    </row>
    <row r="443" spans="3:73" x14ac:dyDescent="0.45">
      <c r="C443" s="15" t="s">
        <v>249</v>
      </c>
      <c r="D443" s="15" t="s">
        <v>327</v>
      </c>
      <c r="E443" s="15" t="s">
        <v>302</v>
      </c>
      <c r="F443" s="15"/>
      <c r="G443" s="15"/>
      <c r="H443" s="15"/>
      <c r="I443" s="15"/>
      <c r="J443" s="19">
        <v>31.536000000000001</v>
      </c>
      <c r="K443" s="18"/>
      <c r="L443" s="18"/>
      <c r="M443" s="18"/>
      <c r="N443" s="18"/>
      <c r="O443" s="18"/>
      <c r="P443" s="19"/>
      <c r="Q443" s="18">
        <v>31.536000000000001</v>
      </c>
      <c r="R443" s="18"/>
      <c r="S443" s="18"/>
      <c r="T443" s="18"/>
      <c r="U443" s="18"/>
      <c r="V443" s="18"/>
      <c r="X443" s="15" t="s">
        <v>328</v>
      </c>
      <c r="Y443" s="15" t="s">
        <v>327</v>
      </c>
      <c r="Z443" s="15" t="s">
        <v>354</v>
      </c>
      <c r="AA443" s="15"/>
      <c r="AB443" s="15"/>
      <c r="AC443" s="15"/>
      <c r="AD443" s="15"/>
      <c r="AE443" s="19">
        <v>0.08</v>
      </c>
      <c r="AF443" s="18"/>
      <c r="AG443" s="18"/>
      <c r="AH443" s="18"/>
      <c r="AI443" s="18"/>
      <c r="AJ443" s="18"/>
      <c r="AK443" s="19">
        <v>0.08</v>
      </c>
      <c r="AL443" s="18"/>
      <c r="AM443" s="18"/>
      <c r="AN443" s="18"/>
      <c r="AO443" s="18"/>
      <c r="AP443" s="18"/>
      <c r="AR443" s="15" t="s">
        <v>249</v>
      </c>
      <c r="AS443" s="15" t="s">
        <v>567</v>
      </c>
      <c r="AT443" s="15" t="s">
        <v>808</v>
      </c>
      <c r="AU443" s="15"/>
      <c r="AV443" s="15"/>
      <c r="AW443" s="15"/>
      <c r="AX443" s="15"/>
      <c r="AY443" s="15"/>
      <c r="AZ443" s="18"/>
      <c r="BA443" s="19">
        <v>2.5000000000000001E-2</v>
      </c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9">
        <v>0.05</v>
      </c>
      <c r="BM443" s="18"/>
      <c r="BN443" s="18"/>
      <c r="BO443" s="18"/>
      <c r="BP443" s="18"/>
      <c r="BQ443" s="18"/>
      <c r="BR443" s="18"/>
      <c r="BS443" s="18"/>
      <c r="BT443" s="18"/>
      <c r="BU443" s="18"/>
    </row>
    <row r="444" spans="3:73" x14ac:dyDescent="0.45">
      <c r="C444" s="15" t="s">
        <v>249</v>
      </c>
      <c r="D444" s="15" t="s">
        <v>327</v>
      </c>
      <c r="E444" s="15" t="s">
        <v>303</v>
      </c>
      <c r="F444" s="15"/>
      <c r="G444" s="15"/>
      <c r="H444" s="15"/>
      <c r="I444" s="15"/>
      <c r="J444" s="19">
        <v>31.536000000000001</v>
      </c>
      <c r="K444" s="18"/>
      <c r="L444" s="18"/>
      <c r="M444" s="18"/>
      <c r="N444" s="18"/>
      <c r="O444" s="18"/>
      <c r="P444" s="19"/>
      <c r="Q444" s="18">
        <v>31.536000000000001</v>
      </c>
      <c r="R444" s="18"/>
      <c r="S444" s="18"/>
      <c r="T444" s="18"/>
      <c r="U444" s="18"/>
      <c r="V444" s="18"/>
      <c r="X444" s="15" t="s">
        <v>328</v>
      </c>
      <c r="Y444" s="15" t="s">
        <v>327</v>
      </c>
      <c r="Z444" s="15" t="s">
        <v>355</v>
      </c>
      <c r="AA444" s="15"/>
      <c r="AB444" s="15"/>
      <c r="AC444" s="15"/>
      <c r="AD444" s="15"/>
      <c r="AE444" s="19">
        <v>0.08</v>
      </c>
      <c r="AF444" s="18"/>
      <c r="AG444" s="18"/>
      <c r="AH444" s="18"/>
      <c r="AI444" s="18"/>
      <c r="AJ444" s="18"/>
      <c r="AK444" s="19">
        <v>0.08</v>
      </c>
      <c r="AL444" s="18"/>
      <c r="AM444" s="18"/>
      <c r="AN444" s="18"/>
      <c r="AO444" s="18"/>
      <c r="AP444" s="18"/>
      <c r="AR444" s="15" t="s">
        <v>249</v>
      </c>
      <c r="AS444" s="15" t="s">
        <v>567</v>
      </c>
      <c r="AT444" s="15" t="s">
        <v>809</v>
      </c>
      <c r="AU444" s="15"/>
      <c r="AV444" s="15"/>
      <c r="AW444" s="15"/>
      <c r="AX444" s="15"/>
      <c r="AY444" s="15"/>
      <c r="AZ444" s="18"/>
      <c r="BA444" s="19">
        <v>2.5000000000000001E-2</v>
      </c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9">
        <v>0.05</v>
      </c>
      <c r="BM444" s="18"/>
      <c r="BN444" s="18"/>
      <c r="BO444" s="18"/>
      <c r="BP444" s="18"/>
      <c r="BQ444" s="18"/>
      <c r="BR444" s="18"/>
      <c r="BS444" s="18"/>
      <c r="BT444" s="18"/>
      <c r="BU444" s="18"/>
    </row>
    <row r="445" spans="3:73" x14ac:dyDescent="0.45">
      <c r="C445" s="15" t="s">
        <v>249</v>
      </c>
      <c r="D445" s="15" t="s">
        <v>327</v>
      </c>
      <c r="E445" s="15" t="s">
        <v>304</v>
      </c>
      <c r="F445" s="15"/>
      <c r="G445" s="15"/>
      <c r="H445" s="15"/>
      <c r="I445" s="15"/>
      <c r="J445" s="19">
        <v>31.536000000000001</v>
      </c>
      <c r="K445" s="18"/>
      <c r="L445" s="18"/>
      <c r="M445" s="18"/>
      <c r="N445" s="18"/>
      <c r="O445" s="18"/>
      <c r="P445" s="19"/>
      <c r="Q445" s="18">
        <v>31.536000000000001</v>
      </c>
      <c r="R445" s="18"/>
      <c r="S445" s="18"/>
      <c r="T445" s="18"/>
      <c r="U445" s="18"/>
      <c r="V445" s="18"/>
      <c r="X445" s="15" t="s">
        <v>328</v>
      </c>
      <c r="Y445" s="15" t="s">
        <v>327</v>
      </c>
      <c r="Z445" s="15" t="s">
        <v>356</v>
      </c>
      <c r="AA445" s="15"/>
      <c r="AB445" s="15"/>
      <c r="AC445" s="15"/>
      <c r="AD445" s="15"/>
      <c r="AE445" s="19">
        <v>0.08</v>
      </c>
      <c r="AF445" s="18"/>
      <c r="AG445" s="18"/>
      <c r="AH445" s="18"/>
      <c r="AI445" s="18"/>
      <c r="AJ445" s="18"/>
      <c r="AK445" s="19">
        <v>0.08</v>
      </c>
      <c r="AL445" s="18"/>
      <c r="AM445" s="18"/>
      <c r="AN445" s="18"/>
      <c r="AO445" s="18"/>
      <c r="AP445" s="18"/>
      <c r="AR445" s="15" t="s">
        <v>249</v>
      </c>
      <c r="AS445" s="15" t="s">
        <v>567</v>
      </c>
      <c r="AT445" s="15" t="s">
        <v>810</v>
      </c>
      <c r="AU445" s="15"/>
      <c r="AV445" s="15"/>
      <c r="AW445" s="15"/>
      <c r="AX445" s="15"/>
      <c r="AY445" s="15"/>
      <c r="AZ445" s="18"/>
      <c r="BA445" s="19">
        <v>2.5000000000000001E-2</v>
      </c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9">
        <v>0.05</v>
      </c>
      <c r="BM445" s="18"/>
      <c r="BN445" s="18"/>
      <c r="BO445" s="18"/>
      <c r="BP445" s="18"/>
      <c r="BQ445" s="18"/>
      <c r="BR445" s="18"/>
      <c r="BS445" s="18"/>
      <c r="BT445" s="18"/>
      <c r="BU445" s="18"/>
    </row>
    <row r="446" spans="3:73" x14ac:dyDescent="0.45">
      <c r="C446" s="15" t="s">
        <v>249</v>
      </c>
      <c r="D446" s="15" t="s">
        <v>327</v>
      </c>
      <c r="E446" s="15" t="s">
        <v>305</v>
      </c>
      <c r="F446" s="15"/>
      <c r="G446" s="15"/>
      <c r="H446" s="15"/>
      <c r="I446" s="15"/>
      <c r="J446" s="19">
        <v>31.536000000000001</v>
      </c>
      <c r="K446" s="18"/>
      <c r="L446" s="18"/>
      <c r="M446" s="18"/>
      <c r="N446" s="18"/>
      <c r="O446" s="18"/>
      <c r="P446" s="19"/>
      <c r="Q446" s="18">
        <v>31.536000000000001</v>
      </c>
      <c r="R446" s="18"/>
      <c r="S446" s="18"/>
      <c r="T446" s="18"/>
      <c r="U446" s="18"/>
      <c r="V446" s="18"/>
      <c r="X446" s="15" t="s">
        <v>328</v>
      </c>
      <c r="Y446" s="15" t="s">
        <v>327</v>
      </c>
      <c r="Z446" s="15" t="s">
        <v>357</v>
      </c>
      <c r="AA446" s="15"/>
      <c r="AB446" s="15"/>
      <c r="AC446" s="15"/>
      <c r="AD446" s="15"/>
      <c r="AE446" s="19">
        <v>0.08</v>
      </c>
      <c r="AF446" s="18"/>
      <c r="AG446" s="18"/>
      <c r="AH446" s="18"/>
      <c r="AI446" s="18"/>
      <c r="AJ446" s="18"/>
      <c r="AK446" s="19">
        <v>0.08</v>
      </c>
      <c r="AL446" s="18"/>
      <c r="AM446" s="18"/>
      <c r="AN446" s="18"/>
      <c r="AO446" s="18"/>
      <c r="AP446" s="18"/>
      <c r="AR446" s="15" t="s">
        <v>249</v>
      </c>
      <c r="AS446" s="15" t="s">
        <v>567</v>
      </c>
      <c r="AT446" s="15" t="s">
        <v>811</v>
      </c>
      <c r="AU446" s="15"/>
      <c r="AV446" s="15"/>
      <c r="AW446" s="15"/>
      <c r="AX446" s="15"/>
      <c r="AY446" s="15"/>
      <c r="AZ446" s="18"/>
      <c r="BA446" s="19">
        <v>2.5000000000000001E-2</v>
      </c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9">
        <v>0.05</v>
      </c>
      <c r="BM446" s="18"/>
      <c r="BN446" s="18"/>
      <c r="BO446" s="18"/>
      <c r="BP446" s="18"/>
      <c r="BQ446" s="18"/>
      <c r="BR446" s="18"/>
      <c r="BS446" s="18"/>
      <c r="BT446" s="18"/>
      <c r="BU446" s="18"/>
    </row>
    <row r="447" spans="3:73" x14ac:dyDescent="0.45">
      <c r="C447" s="15" t="s">
        <v>249</v>
      </c>
      <c r="D447" s="15" t="s">
        <v>327</v>
      </c>
      <c r="E447" s="15" t="s">
        <v>306</v>
      </c>
      <c r="F447" s="15"/>
      <c r="G447" s="15"/>
      <c r="H447" s="15"/>
      <c r="I447" s="15"/>
      <c r="J447" s="19">
        <v>31.536000000000001</v>
      </c>
      <c r="K447" s="18"/>
      <c r="L447" s="18"/>
      <c r="M447" s="18"/>
      <c r="N447" s="18"/>
      <c r="O447" s="18"/>
      <c r="P447" s="19"/>
      <c r="Q447" s="18">
        <v>31.536000000000001</v>
      </c>
      <c r="R447" s="18"/>
      <c r="S447" s="18"/>
      <c r="T447" s="18"/>
      <c r="U447" s="18"/>
      <c r="V447" s="18"/>
      <c r="X447" s="15" t="s">
        <v>328</v>
      </c>
      <c r="Y447" s="15" t="s">
        <v>327</v>
      </c>
      <c r="Z447" s="15" t="s">
        <v>358</v>
      </c>
      <c r="AA447" s="15"/>
      <c r="AB447" s="15"/>
      <c r="AC447" s="15"/>
      <c r="AD447" s="15"/>
      <c r="AE447" s="19">
        <v>0.08</v>
      </c>
      <c r="AF447" s="18"/>
      <c r="AG447" s="18"/>
      <c r="AH447" s="18"/>
      <c r="AI447" s="18"/>
      <c r="AJ447" s="18"/>
      <c r="AK447" s="19">
        <v>0.08</v>
      </c>
      <c r="AL447" s="18"/>
      <c r="AM447" s="18"/>
      <c r="AN447" s="18"/>
      <c r="AO447" s="18"/>
      <c r="AP447" s="18"/>
      <c r="AR447" s="15" t="s">
        <v>249</v>
      </c>
      <c r="AS447" s="15" t="s">
        <v>567</v>
      </c>
      <c r="AT447" s="15" t="s">
        <v>812</v>
      </c>
      <c r="AU447" s="15"/>
      <c r="AV447" s="15"/>
      <c r="AW447" s="15"/>
      <c r="AX447" s="15"/>
      <c r="AY447" s="15"/>
      <c r="AZ447" s="18"/>
      <c r="BA447" s="19">
        <v>2.5000000000000001E-2</v>
      </c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9">
        <v>0.05</v>
      </c>
      <c r="BM447" s="18"/>
      <c r="BN447" s="18"/>
      <c r="BO447" s="18"/>
      <c r="BP447" s="18"/>
      <c r="BQ447" s="18"/>
      <c r="BR447" s="18"/>
      <c r="BS447" s="18"/>
      <c r="BT447" s="18"/>
      <c r="BU447" s="18"/>
    </row>
    <row r="448" spans="3:73" x14ac:dyDescent="0.45">
      <c r="C448" s="15" t="s">
        <v>249</v>
      </c>
      <c r="D448" s="15" t="s">
        <v>327</v>
      </c>
      <c r="E448" s="15" t="s">
        <v>307</v>
      </c>
      <c r="F448" s="15"/>
      <c r="G448" s="15"/>
      <c r="H448" s="15"/>
      <c r="I448" s="15"/>
      <c r="J448" s="19">
        <v>1</v>
      </c>
      <c r="K448" s="18"/>
      <c r="L448" s="18"/>
      <c r="M448" s="18"/>
      <c r="N448" s="18"/>
      <c r="O448" s="18"/>
      <c r="P448" s="19"/>
      <c r="Q448" s="18">
        <v>1</v>
      </c>
      <c r="R448" s="18"/>
      <c r="S448" s="18"/>
      <c r="T448" s="18"/>
      <c r="U448" s="18"/>
      <c r="V448" s="18"/>
      <c r="X448" s="15" t="s">
        <v>328</v>
      </c>
      <c r="Y448" s="15" t="s">
        <v>327</v>
      </c>
      <c r="Z448" s="15" t="s">
        <v>359</v>
      </c>
      <c r="AA448" s="15"/>
      <c r="AB448" s="15"/>
      <c r="AC448" s="15"/>
      <c r="AD448" s="15"/>
      <c r="AE448" s="19">
        <v>0.08</v>
      </c>
      <c r="AF448" s="18"/>
      <c r="AG448" s="18"/>
      <c r="AH448" s="18"/>
      <c r="AI448" s="18"/>
      <c r="AJ448" s="18"/>
      <c r="AK448" s="19">
        <v>0.08</v>
      </c>
      <c r="AL448" s="18"/>
      <c r="AM448" s="18"/>
      <c r="AN448" s="18"/>
      <c r="AO448" s="18"/>
      <c r="AP448" s="18"/>
      <c r="AR448" s="15" t="s">
        <v>249</v>
      </c>
      <c r="AS448" s="15" t="s">
        <v>567</v>
      </c>
      <c r="AT448" s="15" t="s">
        <v>813</v>
      </c>
      <c r="AU448" s="15"/>
      <c r="AV448" s="15"/>
      <c r="AW448" s="15"/>
      <c r="AX448" s="15"/>
      <c r="AY448" s="15"/>
      <c r="AZ448" s="18"/>
      <c r="BA448" s="19">
        <v>2.5000000000000001E-2</v>
      </c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9">
        <v>0.05</v>
      </c>
      <c r="BM448" s="18"/>
      <c r="BN448" s="18"/>
      <c r="BO448" s="18"/>
      <c r="BP448" s="18"/>
      <c r="BQ448" s="18"/>
      <c r="BR448" s="18"/>
      <c r="BS448" s="18"/>
      <c r="BT448" s="18"/>
      <c r="BU448" s="18"/>
    </row>
    <row r="449" spans="3:73" x14ac:dyDescent="0.45">
      <c r="C449" s="15" t="s">
        <v>249</v>
      </c>
      <c r="D449" s="15" t="s">
        <v>327</v>
      </c>
      <c r="E449" s="15" t="s">
        <v>308</v>
      </c>
      <c r="F449" s="15"/>
      <c r="G449" s="15"/>
      <c r="H449" s="15"/>
      <c r="I449" s="15"/>
      <c r="J449" s="19">
        <v>1</v>
      </c>
      <c r="K449" s="18"/>
      <c r="L449" s="18"/>
      <c r="M449" s="18"/>
      <c r="N449" s="18"/>
      <c r="O449" s="18"/>
      <c r="P449" s="19"/>
      <c r="Q449" s="18">
        <v>1</v>
      </c>
      <c r="R449" s="18"/>
      <c r="S449" s="18"/>
      <c r="T449" s="18"/>
      <c r="U449" s="18"/>
      <c r="V449" s="18"/>
      <c r="X449" s="15" t="s">
        <v>328</v>
      </c>
      <c r="Y449" s="15" t="s">
        <v>327</v>
      </c>
      <c r="Z449" s="15" t="s">
        <v>360</v>
      </c>
      <c r="AA449" s="15"/>
      <c r="AB449" s="15"/>
      <c r="AC449" s="15"/>
      <c r="AD449" s="15"/>
      <c r="AE449" s="19">
        <v>0.08</v>
      </c>
      <c r="AF449" s="18"/>
      <c r="AG449" s="18"/>
      <c r="AH449" s="18"/>
      <c r="AI449" s="18"/>
      <c r="AJ449" s="18"/>
      <c r="AK449" s="19">
        <v>0.08</v>
      </c>
      <c r="AL449" s="18"/>
      <c r="AM449" s="18"/>
      <c r="AN449" s="18"/>
      <c r="AO449" s="18"/>
      <c r="AP449" s="18"/>
      <c r="AR449" s="15" t="s">
        <v>249</v>
      </c>
      <c r="AS449" s="15" t="s">
        <v>567</v>
      </c>
      <c r="AT449" s="15" t="s">
        <v>814</v>
      </c>
      <c r="AU449" s="15"/>
      <c r="AV449" s="15"/>
      <c r="AW449" s="15"/>
      <c r="AX449" s="15"/>
      <c r="AY449" s="15"/>
      <c r="AZ449" s="18"/>
      <c r="BA449" s="19">
        <v>2.5000000000000001E-2</v>
      </c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9">
        <v>0.05</v>
      </c>
      <c r="BM449" s="18"/>
      <c r="BN449" s="18"/>
      <c r="BO449" s="18"/>
      <c r="BP449" s="18"/>
      <c r="BQ449" s="18"/>
      <c r="BR449" s="18"/>
      <c r="BS449" s="18"/>
      <c r="BT449" s="18"/>
      <c r="BU449" s="18"/>
    </row>
    <row r="450" spans="3:73" x14ac:dyDescent="0.45">
      <c r="C450" s="15" t="s">
        <v>249</v>
      </c>
      <c r="D450" s="15" t="s">
        <v>327</v>
      </c>
      <c r="E450" s="15" t="s">
        <v>309</v>
      </c>
      <c r="F450" s="15"/>
      <c r="G450" s="15"/>
      <c r="H450" s="15"/>
      <c r="I450" s="15"/>
      <c r="J450" s="19">
        <v>1</v>
      </c>
      <c r="K450" s="18"/>
      <c r="L450" s="18"/>
      <c r="M450" s="18"/>
      <c r="N450" s="18"/>
      <c r="O450" s="18"/>
      <c r="P450" s="19"/>
      <c r="Q450" s="18">
        <v>1</v>
      </c>
      <c r="R450" s="18"/>
      <c r="S450" s="18"/>
      <c r="T450" s="18"/>
      <c r="U450" s="18"/>
      <c r="V450" s="18"/>
      <c r="X450" s="15" t="s">
        <v>328</v>
      </c>
      <c r="Y450" s="15" t="s">
        <v>327</v>
      </c>
      <c r="Z450" s="15" t="s">
        <v>361</v>
      </c>
      <c r="AA450" s="15"/>
      <c r="AB450" s="15"/>
      <c r="AC450" s="15"/>
      <c r="AD450" s="15"/>
      <c r="AE450" s="19">
        <v>0.08</v>
      </c>
      <c r="AF450" s="18"/>
      <c r="AG450" s="18"/>
      <c r="AH450" s="18"/>
      <c r="AI450" s="18"/>
      <c r="AJ450" s="18"/>
      <c r="AK450" s="19">
        <v>0.08</v>
      </c>
      <c r="AL450" s="18"/>
      <c r="AM450" s="18"/>
      <c r="AN450" s="18"/>
      <c r="AO450" s="18"/>
      <c r="AP450" s="18"/>
      <c r="AR450" s="15" t="s">
        <v>249</v>
      </c>
      <c r="AS450" s="15" t="s">
        <v>567</v>
      </c>
      <c r="AT450" s="15" t="s">
        <v>815</v>
      </c>
      <c r="AU450" s="15"/>
      <c r="AV450" s="15"/>
      <c r="AW450" s="15"/>
      <c r="AX450" s="15"/>
      <c r="AY450" s="15"/>
      <c r="AZ450" s="18"/>
      <c r="BA450" s="19">
        <v>2.5000000000000001E-2</v>
      </c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9">
        <v>0.05</v>
      </c>
      <c r="BM450" s="18"/>
      <c r="BN450" s="18"/>
      <c r="BO450" s="18"/>
      <c r="BP450" s="18"/>
      <c r="BQ450" s="18"/>
      <c r="BR450" s="18"/>
      <c r="BS450" s="18"/>
      <c r="BT450" s="18"/>
      <c r="BU450" s="18"/>
    </row>
    <row r="451" spans="3:73" x14ac:dyDescent="0.45">
      <c r="C451" s="15" t="s">
        <v>249</v>
      </c>
      <c r="D451" s="15" t="s">
        <v>327</v>
      </c>
      <c r="E451" s="15" t="s">
        <v>310</v>
      </c>
      <c r="F451" s="15"/>
      <c r="G451" s="15"/>
      <c r="H451" s="15"/>
      <c r="I451" s="15"/>
      <c r="J451" s="19">
        <v>1</v>
      </c>
      <c r="K451" s="18"/>
      <c r="L451" s="18"/>
      <c r="M451" s="18"/>
      <c r="N451" s="18"/>
      <c r="O451" s="18"/>
      <c r="P451" s="19"/>
      <c r="Q451" s="18">
        <v>1</v>
      </c>
      <c r="R451" s="18"/>
      <c r="S451" s="18"/>
      <c r="T451" s="18"/>
      <c r="U451" s="18"/>
      <c r="V451" s="18"/>
      <c r="X451" s="15" t="s">
        <v>328</v>
      </c>
      <c r="Y451" s="15" t="s">
        <v>327</v>
      </c>
      <c r="Z451" s="15" t="s">
        <v>362</v>
      </c>
      <c r="AA451" s="15"/>
      <c r="AB451" s="15"/>
      <c r="AC451" s="15"/>
      <c r="AD451" s="15"/>
      <c r="AE451" s="19">
        <v>0.08</v>
      </c>
      <c r="AF451" s="18"/>
      <c r="AG451" s="18"/>
      <c r="AH451" s="18"/>
      <c r="AI451" s="18"/>
      <c r="AJ451" s="18"/>
      <c r="AK451" s="19">
        <v>0.08</v>
      </c>
      <c r="AL451" s="18"/>
      <c r="AM451" s="18"/>
      <c r="AN451" s="18"/>
      <c r="AO451" s="18"/>
      <c r="AP451" s="18"/>
      <c r="AR451" s="15" t="s">
        <v>249</v>
      </c>
      <c r="AS451" s="15" t="s">
        <v>567</v>
      </c>
      <c r="AT451" s="15" t="s">
        <v>816</v>
      </c>
      <c r="AU451" s="15"/>
      <c r="AV451" s="15"/>
      <c r="AW451" s="15"/>
      <c r="AX451" s="15"/>
      <c r="AY451" s="15"/>
      <c r="AZ451" s="18"/>
      <c r="BA451" s="19">
        <v>2.5000000000000001E-2</v>
      </c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9">
        <v>0.05</v>
      </c>
      <c r="BM451" s="18"/>
      <c r="BN451" s="18"/>
      <c r="BO451" s="18"/>
      <c r="BP451" s="18"/>
      <c r="BQ451" s="18"/>
      <c r="BR451" s="18"/>
      <c r="BS451" s="18"/>
      <c r="BT451" s="18"/>
      <c r="BU451" s="18"/>
    </row>
    <row r="452" spans="3:73" x14ac:dyDescent="0.45">
      <c r="C452" t="s">
        <v>249</v>
      </c>
      <c r="D452" t="s">
        <v>327</v>
      </c>
      <c r="E452" t="s">
        <v>311</v>
      </c>
      <c r="J452" s="7">
        <v>1</v>
      </c>
      <c r="K452" s="7"/>
      <c r="L452" s="7"/>
      <c r="M452" s="7"/>
      <c r="N452" s="7"/>
      <c r="O452" s="7"/>
      <c r="P452" s="7"/>
      <c r="Q452" s="7">
        <v>1</v>
      </c>
      <c r="R452" s="7"/>
      <c r="S452" s="7"/>
      <c r="T452" s="7"/>
      <c r="U452" s="7"/>
      <c r="V452" s="7"/>
      <c r="AR452" s="15" t="s">
        <v>249</v>
      </c>
      <c r="AS452" s="15" t="s">
        <v>567</v>
      </c>
      <c r="AT452" s="15" t="s">
        <v>817</v>
      </c>
      <c r="AU452" s="15"/>
      <c r="AV452" s="15"/>
      <c r="AW452" s="15"/>
      <c r="AX452" s="15"/>
      <c r="AY452" s="15"/>
      <c r="AZ452" s="18"/>
      <c r="BA452" s="19">
        <v>2.5000000000000001E-2</v>
      </c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9">
        <v>0.05</v>
      </c>
      <c r="BM452" s="18"/>
      <c r="BN452" s="18"/>
      <c r="BO452" s="18"/>
      <c r="BP452" s="18"/>
      <c r="BQ452" s="18"/>
      <c r="BR452" s="18"/>
      <c r="BS452" s="18"/>
      <c r="BT452" s="18"/>
      <c r="BU452" s="18"/>
    </row>
    <row r="453" spans="3:73" x14ac:dyDescent="0.45">
      <c r="C453" t="s">
        <v>249</v>
      </c>
      <c r="D453" t="s">
        <v>327</v>
      </c>
      <c r="E453" t="s">
        <v>312</v>
      </c>
      <c r="J453" s="7">
        <v>1</v>
      </c>
      <c r="K453" s="7"/>
      <c r="L453" s="7"/>
      <c r="M453" s="7"/>
      <c r="N453" s="7"/>
      <c r="O453" s="7"/>
      <c r="P453" s="7"/>
      <c r="Q453" s="7">
        <v>1</v>
      </c>
      <c r="R453" s="7"/>
      <c r="S453" s="7"/>
      <c r="T453" s="7"/>
      <c r="U453" s="7"/>
      <c r="V453" s="7"/>
      <c r="AR453" s="15" t="s">
        <v>249</v>
      </c>
      <c r="AS453" s="15" t="s">
        <v>567</v>
      </c>
      <c r="AT453" s="15" t="s">
        <v>818</v>
      </c>
      <c r="AU453" s="15"/>
      <c r="AV453" s="15"/>
      <c r="AW453" s="15"/>
      <c r="AX453" s="15"/>
      <c r="AY453" s="15"/>
      <c r="AZ453" s="18"/>
      <c r="BA453" s="19">
        <v>2.5000000000000001E-2</v>
      </c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9">
        <v>0.05</v>
      </c>
      <c r="BM453" s="18"/>
      <c r="BN453" s="18"/>
      <c r="BO453" s="18"/>
      <c r="BP453" s="18"/>
      <c r="BQ453" s="18"/>
      <c r="BR453" s="18"/>
      <c r="BS453" s="18"/>
      <c r="BT453" s="18"/>
      <c r="BU453" s="18"/>
    </row>
    <row r="454" spans="3:73" x14ac:dyDescent="0.45">
      <c r="C454" t="s">
        <v>249</v>
      </c>
      <c r="D454" t="s">
        <v>327</v>
      </c>
      <c r="E454" t="s">
        <v>313</v>
      </c>
      <c r="J454" s="7">
        <v>1</v>
      </c>
      <c r="K454" s="7"/>
      <c r="L454" s="7"/>
      <c r="M454" s="7"/>
      <c r="N454" s="7"/>
      <c r="O454" s="7"/>
      <c r="P454" s="7"/>
      <c r="Q454" s="7">
        <v>1</v>
      </c>
      <c r="R454" s="7"/>
      <c r="S454" s="7"/>
      <c r="T454" s="7"/>
      <c r="U454" s="7"/>
      <c r="V454" s="7"/>
      <c r="AR454" s="15" t="s">
        <v>249</v>
      </c>
      <c r="AS454" s="15" t="s">
        <v>567</v>
      </c>
      <c r="AT454" s="15" t="s">
        <v>819</v>
      </c>
      <c r="AU454" s="15"/>
      <c r="AV454" s="15"/>
      <c r="AW454" s="15"/>
      <c r="AX454" s="15"/>
      <c r="AY454" s="15"/>
      <c r="AZ454" s="18"/>
      <c r="BA454" s="19">
        <v>2.5000000000000001E-2</v>
      </c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9">
        <v>0.05</v>
      </c>
      <c r="BM454" s="18"/>
      <c r="BN454" s="18"/>
      <c r="BO454" s="18"/>
      <c r="BP454" s="18"/>
      <c r="BQ454" s="18"/>
      <c r="BR454" s="18"/>
      <c r="BS454" s="18"/>
      <c r="BT454" s="18"/>
      <c r="BU454" s="18"/>
    </row>
    <row r="455" spans="3:73" x14ac:dyDescent="0.45">
      <c r="C455" t="s">
        <v>249</v>
      </c>
      <c r="D455" t="s">
        <v>327</v>
      </c>
      <c r="E455" t="s">
        <v>314</v>
      </c>
      <c r="J455" s="7">
        <v>1</v>
      </c>
      <c r="K455" s="7"/>
      <c r="L455" s="7"/>
      <c r="M455" s="7"/>
      <c r="N455" s="7"/>
      <c r="O455" s="7"/>
      <c r="P455" s="7"/>
      <c r="Q455" s="7">
        <v>1</v>
      </c>
      <c r="R455" s="7"/>
      <c r="S455" s="7"/>
      <c r="T455" s="7"/>
      <c r="U455" s="7"/>
      <c r="V455" s="7"/>
      <c r="AR455" s="15" t="s">
        <v>249</v>
      </c>
      <c r="AS455" s="15" t="s">
        <v>567</v>
      </c>
      <c r="AT455" s="15" t="s">
        <v>820</v>
      </c>
      <c r="AU455" s="15"/>
      <c r="AV455" s="15"/>
      <c r="AW455" s="15"/>
      <c r="AX455" s="15"/>
      <c r="AY455" s="15"/>
      <c r="AZ455" s="18"/>
      <c r="BA455" s="19">
        <v>2.5000000000000001E-2</v>
      </c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9">
        <v>0.05</v>
      </c>
      <c r="BM455" s="18"/>
      <c r="BN455" s="18"/>
      <c r="BO455" s="18"/>
      <c r="BP455" s="18"/>
      <c r="BQ455" s="18"/>
      <c r="BR455" s="18"/>
      <c r="BS455" s="18"/>
      <c r="BT455" s="18"/>
      <c r="BU455" s="18"/>
    </row>
    <row r="456" spans="3:73" x14ac:dyDescent="0.45">
      <c r="C456" t="s">
        <v>249</v>
      </c>
      <c r="D456" t="s">
        <v>327</v>
      </c>
      <c r="E456" t="s">
        <v>315</v>
      </c>
      <c r="J456" s="7">
        <v>1</v>
      </c>
      <c r="K456" s="7"/>
      <c r="L456" s="7"/>
      <c r="M456" s="7"/>
      <c r="N456" s="7"/>
      <c r="O456" s="7"/>
      <c r="P456" s="7"/>
      <c r="Q456" s="7">
        <v>1</v>
      </c>
      <c r="R456" s="7"/>
      <c r="S456" s="7"/>
      <c r="T456" s="7"/>
      <c r="U456" s="7"/>
      <c r="V456" s="7"/>
      <c r="AR456" s="15" t="s">
        <v>249</v>
      </c>
      <c r="AS456" s="15" t="s">
        <v>567</v>
      </c>
      <c r="AT456" s="15" t="s">
        <v>821</v>
      </c>
      <c r="AU456" s="15"/>
      <c r="AV456" s="15"/>
      <c r="AW456" s="15"/>
      <c r="AX456" s="15"/>
      <c r="AY456" s="15"/>
      <c r="AZ456" s="18"/>
      <c r="BA456" s="19">
        <v>2.5000000000000001E-2</v>
      </c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9">
        <v>0.05</v>
      </c>
      <c r="BM456" s="18"/>
      <c r="BN456" s="18"/>
      <c r="BO456" s="18"/>
      <c r="BP456" s="18"/>
      <c r="BQ456" s="18"/>
      <c r="BR456" s="18"/>
      <c r="BS456" s="18"/>
      <c r="BT456" s="18"/>
      <c r="BU456" s="18"/>
    </row>
    <row r="457" spans="3:73" x14ac:dyDescent="0.45">
      <c r="C457" t="s">
        <v>249</v>
      </c>
      <c r="D457" t="s">
        <v>327</v>
      </c>
      <c r="E457" t="s">
        <v>316</v>
      </c>
      <c r="J457" s="7">
        <v>1</v>
      </c>
      <c r="K457" s="7"/>
      <c r="L457" s="7"/>
      <c r="M457" s="7"/>
      <c r="N457" s="7"/>
      <c r="O457" s="7"/>
      <c r="P457" s="7"/>
      <c r="Q457" s="7">
        <v>1</v>
      </c>
      <c r="R457" s="7"/>
      <c r="S457" s="7"/>
      <c r="T457" s="7"/>
      <c r="U457" s="7"/>
      <c r="V457" s="7"/>
      <c r="AR457" s="15" t="s">
        <v>249</v>
      </c>
      <c r="AS457" s="15" t="s">
        <v>567</v>
      </c>
      <c r="AT457" s="15" t="s">
        <v>822</v>
      </c>
      <c r="AU457" s="15"/>
      <c r="AV457" s="15"/>
      <c r="AW457" s="15"/>
      <c r="AX457" s="15"/>
      <c r="AY457" s="15"/>
      <c r="AZ457" s="18"/>
      <c r="BA457" s="19">
        <v>2.5000000000000001E-2</v>
      </c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9">
        <v>0.05</v>
      </c>
      <c r="BM457" s="18"/>
      <c r="BN457" s="18"/>
      <c r="BO457" s="18"/>
      <c r="BP457" s="18"/>
      <c r="BQ457" s="18"/>
      <c r="BR457" s="18"/>
      <c r="BS457" s="18"/>
      <c r="BT457" s="18"/>
      <c r="BU457" s="18"/>
    </row>
    <row r="458" spans="3:73" x14ac:dyDescent="0.45">
      <c r="C458" t="s">
        <v>249</v>
      </c>
      <c r="D458" t="s">
        <v>327</v>
      </c>
      <c r="E458" t="s">
        <v>317</v>
      </c>
      <c r="J458" s="7">
        <v>1</v>
      </c>
      <c r="K458" s="7"/>
      <c r="L458" s="7"/>
      <c r="M458" s="7"/>
      <c r="N458" s="7"/>
      <c r="O458" s="7"/>
      <c r="P458" s="7"/>
      <c r="Q458" s="7">
        <v>1</v>
      </c>
      <c r="R458" s="7"/>
      <c r="S458" s="7"/>
      <c r="T458" s="7"/>
      <c r="U458" s="7"/>
      <c r="V458" s="7"/>
      <c r="AR458" s="15" t="s">
        <v>249</v>
      </c>
      <c r="AS458" s="15" t="s">
        <v>567</v>
      </c>
      <c r="AT458" s="15" t="s">
        <v>823</v>
      </c>
      <c r="AU458" s="15"/>
      <c r="AV458" s="15"/>
      <c r="AW458" s="15"/>
      <c r="AX458" s="15"/>
      <c r="AY458" s="15"/>
      <c r="AZ458" s="18"/>
      <c r="BA458" s="19">
        <v>2.5000000000000001E-2</v>
      </c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9">
        <v>0.05</v>
      </c>
      <c r="BM458" s="18"/>
      <c r="BN458" s="18"/>
      <c r="BO458" s="18"/>
      <c r="BP458" s="18"/>
      <c r="BQ458" s="18"/>
      <c r="BR458" s="18"/>
      <c r="BS458" s="18"/>
      <c r="BT458" s="18"/>
      <c r="BU458" s="18"/>
    </row>
    <row r="459" spans="3:73" x14ac:dyDescent="0.45">
      <c r="C459" t="s">
        <v>328</v>
      </c>
      <c r="D459" t="s">
        <v>250</v>
      </c>
      <c r="E459" t="s">
        <v>251</v>
      </c>
      <c r="F459" t="s">
        <v>252</v>
      </c>
      <c r="J459" s="7"/>
      <c r="K459" s="7"/>
      <c r="L459" s="7">
        <v>0.7</v>
      </c>
      <c r="M459" s="7"/>
      <c r="N459" s="7"/>
      <c r="O459" s="7"/>
      <c r="P459" s="7"/>
      <c r="Q459" s="7"/>
      <c r="R459" s="7">
        <v>0.7</v>
      </c>
      <c r="S459" s="7"/>
      <c r="T459" s="7"/>
      <c r="U459" s="7"/>
      <c r="V459" s="7"/>
      <c r="AR459" s="15" t="s">
        <v>249</v>
      </c>
      <c r="AS459" s="15" t="s">
        <v>567</v>
      </c>
      <c r="AT459" s="15" t="s">
        <v>824</v>
      </c>
      <c r="AU459" s="15"/>
      <c r="AV459" s="15"/>
      <c r="AW459" s="15"/>
      <c r="AX459" s="15"/>
      <c r="AY459" s="15"/>
      <c r="AZ459" s="18"/>
      <c r="BA459" s="19">
        <v>2.5000000000000001E-2</v>
      </c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9">
        <v>0.05</v>
      </c>
      <c r="BM459" s="18"/>
      <c r="BN459" s="18"/>
      <c r="BO459" s="18"/>
      <c r="BP459" s="18"/>
      <c r="BQ459" s="18"/>
      <c r="BR459" s="18"/>
      <c r="BS459" s="18"/>
      <c r="BT459" s="18"/>
      <c r="BU459" s="18"/>
    </row>
    <row r="460" spans="3:73" x14ac:dyDescent="0.45">
      <c r="C460" t="s">
        <v>328</v>
      </c>
      <c r="D460" t="s">
        <v>250</v>
      </c>
      <c r="E460" t="s">
        <v>253</v>
      </c>
      <c r="F460" t="s">
        <v>252</v>
      </c>
      <c r="J460" s="7"/>
      <c r="K460" s="7"/>
      <c r="L460" s="7">
        <v>0.83</v>
      </c>
      <c r="M460" s="7"/>
      <c r="N460" s="7"/>
      <c r="O460" s="7"/>
      <c r="P460" s="7"/>
      <c r="Q460" s="7"/>
      <c r="R460" s="7">
        <v>0.83</v>
      </c>
      <c r="S460" s="7"/>
      <c r="T460" s="7"/>
      <c r="U460" s="7"/>
      <c r="V460" s="7"/>
      <c r="AR460" s="15" t="s">
        <v>249</v>
      </c>
      <c r="AS460" s="15" t="s">
        <v>567</v>
      </c>
      <c r="AT460" s="15" t="s">
        <v>825</v>
      </c>
      <c r="AU460" s="15"/>
      <c r="AV460" s="15"/>
      <c r="AW460" s="15"/>
      <c r="AX460" s="15"/>
      <c r="AY460" s="15"/>
      <c r="AZ460" s="18"/>
      <c r="BA460" s="19">
        <v>2.5000000000000001E-2</v>
      </c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9">
        <v>0.05</v>
      </c>
      <c r="BM460" s="18"/>
      <c r="BN460" s="18"/>
      <c r="BO460" s="18"/>
      <c r="BP460" s="18"/>
      <c r="BQ460" s="18"/>
      <c r="BR460" s="18"/>
      <c r="BS460" s="18"/>
      <c r="BT460" s="18"/>
      <c r="BU460" s="18"/>
    </row>
    <row r="461" spans="3:73" x14ac:dyDescent="0.45">
      <c r="C461" t="s">
        <v>328</v>
      </c>
      <c r="D461" t="s">
        <v>250</v>
      </c>
      <c r="E461" t="s">
        <v>254</v>
      </c>
      <c r="F461" t="s">
        <v>252</v>
      </c>
      <c r="J461" s="7"/>
      <c r="K461" s="7"/>
      <c r="L461" s="7">
        <v>0.45</v>
      </c>
      <c r="M461" s="7"/>
      <c r="N461" s="7"/>
      <c r="O461" s="7"/>
      <c r="P461" s="7"/>
      <c r="Q461" s="7"/>
      <c r="R461" s="7">
        <v>0.45</v>
      </c>
      <c r="S461" s="7"/>
      <c r="T461" s="7"/>
      <c r="U461" s="7"/>
      <c r="V461" s="7"/>
      <c r="AR461" s="15" t="s">
        <v>249</v>
      </c>
      <c r="AS461" s="15" t="s">
        <v>567</v>
      </c>
      <c r="AT461" s="15" t="s">
        <v>826</v>
      </c>
      <c r="AU461" s="15"/>
      <c r="AV461" s="15"/>
      <c r="AW461" s="15"/>
      <c r="AX461" s="15"/>
      <c r="AY461" s="15"/>
      <c r="AZ461" s="18"/>
      <c r="BA461" s="19">
        <v>2.5000000000000001E-2</v>
      </c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9">
        <v>0.05</v>
      </c>
      <c r="BM461" s="18"/>
      <c r="BN461" s="18"/>
      <c r="BO461" s="18"/>
      <c r="BP461" s="18"/>
      <c r="BQ461" s="18"/>
      <c r="BR461" s="18"/>
      <c r="BS461" s="18"/>
      <c r="BT461" s="18"/>
      <c r="BU461" s="18"/>
    </row>
    <row r="462" spans="3:73" x14ac:dyDescent="0.45">
      <c r="C462" t="s">
        <v>328</v>
      </c>
      <c r="D462" t="s">
        <v>250</v>
      </c>
      <c r="E462" t="s">
        <v>255</v>
      </c>
      <c r="F462" t="s">
        <v>252</v>
      </c>
      <c r="J462" s="7"/>
      <c r="K462" s="7"/>
      <c r="L462" s="7">
        <v>0.35</v>
      </c>
      <c r="M462" s="7"/>
      <c r="N462" s="7"/>
      <c r="O462" s="7"/>
      <c r="P462" s="7"/>
      <c r="Q462" s="7"/>
      <c r="R462" s="7">
        <v>0.35</v>
      </c>
      <c r="S462" s="7"/>
      <c r="T462" s="7"/>
      <c r="U462" s="7"/>
      <c r="V462" s="7"/>
      <c r="AR462" s="15" t="s">
        <v>249</v>
      </c>
      <c r="AS462" s="15" t="s">
        <v>567</v>
      </c>
      <c r="AT462" s="15" t="s">
        <v>827</v>
      </c>
      <c r="AU462" s="15"/>
      <c r="AV462" s="15"/>
      <c r="AW462" s="15"/>
      <c r="AX462" s="15"/>
      <c r="AY462" s="15"/>
      <c r="AZ462" s="18"/>
      <c r="BA462" s="19">
        <v>2.5000000000000001E-2</v>
      </c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9">
        <v>0.05</v>
      </c>
      <c r="BM462" s="18"/>
      <c r="BN462" s="18"/>
      <c r="BO462" s="18"/>
      <c r="BP462" s="18"/>
      <c r="BQ462" s="18"/>
      <c r="BR462" s="18"/>
      <c r="BS462" s="18"/>
      <c r="BT462" s="18"/>
      <c r="BU462" s="18"/>
    </row>
    <row r="463" spans="3:73" x14ac:dyDescent="0.45">
      <c r="C463" t="s">
        <v>328</v>
      </c>
      <c r="D463" t="s">
        <v>250</v>
      </c>
      <c r="E463" t="s">
        <v>256</v>
      </c>
      <c r="F463" t="s">
        <v>252</v>
      </c>
      <c r="J463" s="7"/>
      <c r="K463" s="7"/>
      <c r="L463" s="7">
        <v>0.1</v>
      </c>
      <c r="M463" s="7"/>
      <c r="N463" s="7"/>
      <c r="O463" s="7"/>
      <c r="P463" s="7"/>
      <c r="Q463" s="7"/>
      <c r="R463" s="7">
        <v>0.1</v>
      </c>
      <c r="S463" s="7"/>
      <c r="T463" s="7"/>
      <c r="U463" s="7"/>
      <c r="V463" s="7"/>
      <c r="AR463" s="15" t="s">
        <v>249</v>
      </c>
      <c r="AS463" s="15" t="s">
        <v>567</v>
      </c>
      <c r="AT463" s="15" t="s">
        <v>828</v>
      </c>
      <c r="AU463" s="15"/>
      <c r="AV463" s="15"/>
      <c r="AW463" s="15"/>
      <c r="AX463" s="15"/>
      <c r="AY463" s="15"/>
      <c r="AZ463" s="18"/>
      <c r="BA463" s="19">
        <v>2.5000000000000001E-2</v>
      </c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9">
        <v>0.05</v>
      </c>
      <c r="BM463" s="18"/>
      <c r="BN463" s="18"/>
      <c r="BO463" s="18"/>
      <c r="BP463" s="18"/>
      <c r="BQ463" s="18"/>
      <c r="BR463" s="18"/>
      <c r="BS463" s="18"/>
      <c r="BT463" s="18"/>
      <c r="BU463" s="18"/>
    </row>
    <row r="464" spans="3:73" x14ac:dyDescent="0.45">
      <c r="C464" t="s">
        <v>328</v>
      </c>
      <c r="D464" t="s">
        <v>250</v>
      </c>
      <c r="E464" t="s">
        <v>257</v>
      </c>
      <c r="F464" t="s">
        <v>252</v>
      </c>
      <c r="J464" s="7"/>
      <c r="K464" s="7"/>
      <c r="L464" s="7">
        <v>0.13</v>
      </c>
      <c r="M464" s="7"/>
      <c r="N464" s="7"/>
      <c r="O464" s="7"/>
      <c r="P464" s="7"/>
      <c r="Q464" s="7"/>
      <c r="R464" s="7">
        <v>0.13</v>
      </c>
      <c r="S464" s="7"/>
      <c r="T464" s="7"/>
      <c r="U464" s="7"/>
      <c r="V464" s="7"/>
      <c r="AR464" s="15" t="s">
        <v>249</v>
      </c>
      <c r="AS464" s="15" t="s">
        <v>567</v>
      </c>
      <c r="AT464" s="15" t="s">
        <v>829</v>
      </c>
      <c r="AU464" s="15"/>
      <c r="AV464" s="15"/>
      <c r="AW464" s="15"/>
      <c r="AX464" s="15"/>
      <c r="AY464" s="15"/>
      <c r="AZ464" s="18"/>
      <c r="BA464" s="19">
        <v>2.5000000000000001E-2</v>
      </c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9">
        <v>0.05</v>
      </c>
      <c r="BM464" s="18"/>
      <c r="BN464" s="18"/>
      <c r="BO464" s="18"/>
      <c r="BP464" s="18"/>
      <c r="BQ464" s="18"/>
      <c r="BR464" s="18"/>
      <c r="BS464" s="18"/>
      <c r="BT464" s="18"/>
      <c r="BU464" s="18"/>
    </row>
    <row r="465" spans="3:73" x14ac:dyDescent="0.45">
      <c r="C465" t="s">
        <v>328</v>
      </c>
      <c r="D465" t="s">
        <v>250</v>
      </c>
      <c r="E465" t="s">
        <v>258</v>
      </c>
      <c r="F465" t="s">
        <v>252</v>
      </c>
      <c r="J465" s="7"/>
      <c r="K465" s="7"/>
      <c r="L465" s="7">
        <v>0.44</v>
      </c>
      <c r="M465" s="7"/>
      <c r="N465" s="7"/>
      <c r="O465" s="7"/>
      <c r="P465" s="7"/>
      <c r="Q465" s="7"/>
      <c r="R465" s="7">
        <v>0.44</v>
      </c>
      <c r="S465" s="7"/>
      <c r="T465" s="7"/>
      <c r="U465" s="7"/>
      <c r="V465" s="7"/>
      <c r="AR465" s="15" t="s">
        <v>249</v>
      </c>
      <c r="AS465" s="15" t="s">
        <v>567</v>
      </c>
      <c r="AT465" s="15" t="s">
        <v>830</v>
      </c>
      <c r="AU465" s="15"/>
      <c r="AV465" s="15"/>
      <c r="AW465" s="15"/>
      <c r="AX465" s="15"/>
      <c r="AY465" s="15"/>
      <c r="AZ465" s="18"/>
      <c r="BA465" s="19">
        <v>2.5000000000000001E-2</v>
      </c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9">
        <v>0.05</v>
      </c>
      <c r="BM465" s="18"/>
      <c r="BN465" s="18"/>
      <c r="BO465" s="18"/>
      <c r="BP465" s="18"/>
      <c r="BQ465" s="18"/>
      <c r="BR465" s="18"/>
      <c r="BS465" s="18"/>
      <c r="BT465" s="18"/>
      <c r="BU465" s="18"/>
    </row>
    <row r="466" spans="3:73" x14ac:dyDescent="0.45">
      <c r="C466" t="s">
        <v>328</v>
      </c>
      <c r="D466" t="s">
        <v>250</v>
      </c>
      <c r="E466" t="s">
        <v>259</v>
      </c>
      <c r="F466" t="s">
        <v>252</v>
      </c>
      <c r="J466" s="7"/>
      <c r="K466" s="7"/>
      <c r="L466" s="7">
        <v>0.27</v>
      </c>
      <c r="M466" s="7"/>
      <c r="N466" s="7"/>
      <c r="O466" s="7"/>
      <c r="P466" s="7"/>
      <c r="Q466" s="7"/>
      <c r="R466" s="7">
        <v>0.27</v>
      </c>
      <c r="S466" s="7"/>
      <c r="T466" s="7"/>
      <c r="U466" s="7"/>
      <c r="V466" s="7"/>
      <c r="AR466" s="15" t="s">
        <v>249</v>
      </c>
      <c r="AS466" s="15" t="s">
        <v>567</v>
      </c>
      <c r="AT466" s="15" t="s">
        <v>831</v>
      </c>
      <c r="AU466" s="15"/>
      <c r="AV466" s="15"/>
      <c r="AW466" s="15"/>
      <c r="AX466" s="15"/>
      <c r="AY466" s="15"/>
      <c r="AZ466" s="18"/>
      <c r="BA466" s="19">
        <v>2.5000000000000001E-2</v>
      </c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9">
        <v>0.05</v>
      </c>
      <c r="BM466" s="18"/>
      <c r="BN466" s="18"/>
      <c r="BO466" s="18"/>
      <c r="BP466" s="18"/>
      <c r="BQ466" s="18"/>
      <c r="BR466" s="18"/>
      <c r="BS466" s="18"/>
      <c r="BT466" s="18"/>
      <c r="BU466" s="18"/>
    </row>
    <row r="467" spans="3:73" x14ac:dyDescent="0.45">
      <c r="C467" t="s">
        <v>328</v>
      </c>
      <c r="D467" t="s">
        <v>250</v>
      </c>
      <c r="E467" t="s">
        <v>260</v>
      </c>
      <c r="F467" t="s">
        <v>252</v>
      </c>
      <c r="J467" s="7"/>
      <c r="K467" s="7"/>
      <c r="L467" s="7">
        <v>0.11</v>
      </c>
      <c r="M467" s="7"/>
      <c r="N467" s="7"/>
      <c r="O467" s="7"/>
      <c r="P467" s="7"/>
      <c r="Q467" s="7"/>
      <c r="R467" s="7">
        <v>0.11</v>
      </c>
      <c r="S467" s="7"/>
      <c r="T467" s="7"/>
      <c r="U467" s="7"/>
      <c r="V467" s="7"/>
      <c r="AR467" s="15" t="s">
        <v>249</v>
      </c>
      <c r="AS467" s="15" t="s">
        <v>567</v>
      </c>
      <c r="AT467" s="15" t="s">
        <v>832</v>
      </c>
      <c r="AU467" s="15"/>
      <c r="AV467" s="15"/>
      <c r="AW467" s="15"/>
      <c r="AX467" s="15"/>
      <c r="AY467" s="15"/>
      <c r="AZ467" s="18"/>
      <c r="BA467" s="19">
        <v>2.5000000000000001E-2</v>
      </c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9">
        <v>0.05</v>
      </c>
      <c r="BM467" s="18"/>
      <c r="BN467" s="18"/>
      <c r="BO467" s="18"/>
      <c r="BP467" s="18"/>
      <c r="BQ467" s="18"/>
      <c r="BR467" s="18"/>
      <c r="BS467" s="18"/>
      <c r="BT467" s="18"/>
      <c r="BU467" s="18"/>
    </row>
    <row r="468" spans="3:73" x14ac:dyDescent="0.45">
      <c r="C468" t="s">
        <v>328</v>
      </c>
      <c r="D468" t="s">
        <v>250</v>
      </c>
      <c r="E468" t="s">
        <v>261</v>
      </c>
      <c r="F468" t="s">
        <v>252</v>
      </c>
      <c r="J468" s="7"/>
      <c r="K468" s="7"/>
      <c r="L468" s="7">
        <v>0.39</v>
      </c>
      <c r="M468" s="7"/>
      <c r="N468" s="7"/>
      <c r="O468" s="7"/>
      <c r="P468" s="7"/>
      <c r="Q468" s="7"/>
      <c r="R468" s="7">
        <v>0.39</v>
      </c>
      <c r="S468" s="7"/>
      <c r="T468" s="7"/>
      <c r="U468" s="7"/>
      <c r="V468" s="7"/>
      <c r="AR468" s="15" t="s">
        <v>249</v>
      </c>
      <c r="AS468" s="15" t="s">
        <v>567</v>
      </c>
      <c r="AT468" s="15" t="s">
        <v>833</v>
      </c>
      <c r="AU468" s="15"/>
      <c r="AV468" s="15"/>
      <c r="AW468" s="15"/>
      <c r="AX468" s="15"/>
      <c r="AY468" s="15"/>
      <c r="AZ468" s="18"/>
      <c r="BA468" s="19">
        <v>2.5000000000000001E-2</v>
      </c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9">
        <v>0.05</v>
      </c>
      <c r="BM468" s="18"/>
      <c r="BN468" s="18"/>
      <c r="BO468" s="18"/>
      <c r="BP468" s="18"/>
      <c r="BQ468" s="18"/>
      <c r="BR468" s="18"/>
      <c r="BS468" s="18"/>
      <c r="BT468" s="18"/>
      <c r="BU468" s="18"/>
    </row>
    <row r="469" spans="3:73" x14ac:dyDescent="0.45">
      <c r="C469" t="s">
        <v>328</v>
      </c>
      <c r="D469" t="s">
        <v>250</v>
      </c>
      <c r="E469" t="s">
        <v>262</v>
      </c>
      <c r="F469" t="s">
        <v>252</v>
      </c>
      <c r="J469" s="7"/>
      <c r="K469" s="7"/>
      <c r="L469" s="7">
        <v>0.24</v>
      </c>
      <c r="M469" s="7"/>
      <c r="N469" s="7"/>
      <c r="O469" s="7"/>
      <c r="P469" s="7"/>
      <c r="Q469" s="7"/>
      <c r="R469" s="7">
        <v>0.24</v>
      </c>
      <c r="S469" s="7"/>
      <c r="T469" s="7"/>
      <c r="U469" s="7"/>
      <c r="V469" s="7"/>
      <c r="AR469" s="15" t="s">
        <v>249</v>
      </c>
      <c r="AS469" s="15" t="s">
        <v>567</v>
      </c>
      <c r="AT469" s="15" t="s">
        <v>834</v>
      </c>
      <c r="AU469" s="15"/>
      <c r="AV469" s="15"/>
      <c r="AW469" s="15"/>
      <c r="AX469" s="15"/>
      <c r="AY469" s="15"/>
      <c r="AZ469" s="18"/>
      <c r="BA469" s="19">
        <v>2.5000000000000001E-2</v>
      </c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9">
        <v>0.05</v>
      </c>
      <c r="BM469" s="18"/>
      <c r="BN469" s="18"/>
      <c r="BO469" s="18"/>
      <c r="BP469" s="18"/>
      <c r="BQ469" s="18"/>
      <c r="BR469" s="18"/>
      <c r="BS469" s="18"/>
      <c r="BT469" s="18"/>
      <c r="BU469" s="18"/>
    </row>
    <row r="470" spans="3:73" x14ac:dyDescent="0.45">
      <c r="C470" t="s">
        <v>328</v>
      </c>
      <c r="D470" t="s">
        <v>250</v>
      </c>
      <c r="E470" t="s">
        <v>263</v>
      </c>
      <c r="F470" t="s">
        <v>252</v>
      </c>
      <c r="J470" s="7"/>
      <c r="K470" s="7"/>
      <c r="L470" s="7">
        <v>0.23</v>
      </c>
      <c r="M470" s="7"/>
      <c r="N470" s="7"/>
      <c r="O470" s="7"/>
      <c r="P470" s="7"/>
      <c r="Q470" s="7"/>
      <c r="R470" s="7">
        <v>0.23</v>
      </c>
      <c r="S470" s="7"/>
      <c r="T470" s="7"/>
      <c r="U470" s="7"/>
      <c r="V470" s="7"/>
      <c r="AR470" s="15" t="s">
        <v>249</v>
      </c>
      <c r="AS470" s="15" t="s">
        <v>567</v>
      </c>
      <c r="AT470" s="15" t="s">
        <v>835</v>
      </c>
      <c r="AU470" s="15"/>
      <c r="AV470" s="15"/>
      <c r="AW470" s="15"/>
      <c r="AX470" s="15"/>
      <c r="AY470" s="15"/>
      <c r="AZ470" s="18"/>
      <c r="BA470" s="19">
        <v>2.5000000000000001E-2</v>
      </c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9">
        <v>0.05</v>
      </c>
      <c r="BM470" s="18"/>
      <c r="BN470" s="18"/>
      <c r="BO470" s="18"/>
      <c r="BP470" s="18"/>
      <c r="BQ470" s="18"/>
      <c r="BR470" s="18"/>
      <c r="BS470" s="18"/>
      <c r="BT470" s="18"/>
      <c r="BU470" s="18"/>
    </row>
    <row r="471" spans="3:73" x14ac:dyDescent="0.45">
      <c r="C471" t="s">
        <v>328</v>
      </c>
      <c r="D471" t="s">
        <v>250</v>
      </c>
      <c r="E471" t="s">
        <v>264</v>
      </c>
      <c r="F471" t="s">
        <v>252</v>
      </c>
      <c r="J471" s="7"/>
      <c r="K471" s="7"/>
      <c r="L471" s="7">
        <v>0.8</v>
      </c>
      <c r="M471" s="7"/>
      <c r="N471" s="7"/>
      <c r="O471" s="7"/>
      <c r="P471" s="7"/>
      <c r="Q471" s="7"/>
      <c r="R471" s="7">
        <v>0.8</v>
      </c>
      <c r="S471" s="7"/>
      <c r="T471" s="7"/>
      <c r="U471" s="7"/>
      <c r="V471" s="7"/>
      <c r="AR471" s="15" t="s">
        <v>249</v>
      </c>
      <c r="AS471" s="15" t="s">
        <v>567</v>
      </c>
      <c r="AT471" s="15" t="s">
        <v>836</v>
      </c>
      <c r="AU471" s="15"/>
      <c r="AV471" s="15"/>
      <c r="AW471" s="15"/>
      <c r="AX471" s="15"/>
      <c r="AY471" s="15"/>
      <c r="AZ471" s="18"/>
      <c r="BA471" s="19">
        <v>2.5000000000000001E-2</v>
      </c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9">
        <v>0.05</v>
      </c>
      <c r="BM471" s="18"/>
      <c r="BN471" s="18"/>
      <c r="BO471" s="18"/>
      <c r="BP471" s="18"/>
      <c r="BQ471" s="18"/>
      <c r="BR471" s="18"/>
      <c r="BS471" s="18"/>
      <c r="BT471" s="18"/>
      <c r="BU471" s="18"/>
    </row>
    <row r="472" spans="3:73" x14ac:dyDescent="0.45">
      <c r="C472" t="s">
        <v>328</v>
      </c>
      <c r="D472" t="s">
        <v>250</v>
      </c>
      <c r="E472" t="s">
        <v>265</v>
      </c>
      <c r="F472" t="s">
        <v>252</v>
      </c>
      <c r="J472" s="7"/>
      <c r="K472" s="7"/>
      <c r="L472" s="7">
        <v>0.5</v>
      </c>
      <c r="M472" s="7"/>
      <c r="N472" s="7"/>
      <c r="O472" s="7"/>
      <c r="P472" s="7"/>
      <c r="Q472" s="7"/>
      <c r="R472" s="7">
        <v>0.5</v>
      </c>
      <c r="S472" s="7"/>
      <c r="T472" s="7"/>
      <c r="U472" s="7"/>
      <c r="V472" s="7"/>
      <c r="AR472" s="15" t="s">
        <v>249</v>
      </c>
      <c r="AS472" s="15" t="s">
        <v>567</v>
      </c>
      <c r="AT472" s="15" t="s">
        <v>837</v>
      </c>
      <c r="AU472" s="15"/>
      <c r="AV472" s="15"/>
      <c r="AW472" s="15"/>
      <c r="AX472" s="15"/>
      <c r="AY472" s="15"/>
      <c r="AZ472" s="18"/>
      <c r="BA472" s="19">
        <v>2.5000000000000001E-2</v>
      </c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9">
        <v>0.05</v>
      </c>
      <c r="BM472" s="18"/>
      <c r="BN472" s="18"/>
      <c r="BO472" s="18"/>
      <c r="BP472" s="18"/>
      <c r="BQ472" s="18"/>
      <c r="BR472" s="18"/>
      <c r="BS472" s="18"/>
      <c r="BT472" s="18"/>
      <c r="BU472" s="18"/>
    </row>
    <row r="473" spans="3:73" x14ac:dyDescent="0.45">
      <c r="C473" t="s">
        <v>328</v>
      </c>
      <c r="D473" t="s">
        <v>250</v>
      </c>
      <c r="E473" t="s">
        <v>266</v>
      </c>
      <c r="F473" t="s">
        <v>252</v>
      </c>
      <c r="J473" s="7"/>
      <c r="K473" s="7"/>
      <c r="L473" s="7">
        <v>0.84</v>
      </c>
      <c r="M473" s="7"/>
      <c r="N473" s="7"/>
      <c r="O473" s="7"/>
      <c r="P473" s="7"/>
      <c r="Q473" s="7"/>
      <c r="R473" s="7">
        <v>0.84</v>
      </c>
      <c r="S473" s="7"/>
      <c r="T473" s="7"/>
      <c r="U473" s="7"/>
      <c r="V473" s="7"/>
      <c r="AR473" s="15" t="s">
        <v>249</v>
      </c>
      <c r="AS473" s="15" t="s">
        <v>567</v>
      </c>
      <c r="AT473" s="15" t="s">
        <v>838</v>
      </c>
      <c r="AU473" s="15"/>
      <c r="AV473" s="15"/>
      <c r="AW473" s="15"/>
      <c r="AX473" s="15"/>
      <c r="AY473" s="15"/>
      <c r="AZ473" s="18"/>
      <c r="BA473" s="19">
        <v>2.5000000000000001E-2</v>
      </c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9">
        <v>0.05</v>
      </c>
      <c r="BM473" s="18"/>
      <c r="BN473" s="18"/>
      <c r="BO473" s="18"/>
      <c r="BP473" s="18"/>
      <c r="BQ473" s="18"/>
      <c r="BR473" s="18"/>
      <c r="BS473" s="18"/>
      <c r="BT473" s="18"/>
      <c r="BU473" s="18"/>
    </row>
    <row r="474" spans="3:73" x14ac:dyDescent="0.45">
      <c r="C474" t="s">
        <v>328</v>
      </c>
      <c r="D474" t="s">
        <v>250</v>
      </c>
      <c r="E474" t="s">
        <v>267</v>
      </c>
      <c r="F474" t="s">
        <v>252</v>
      </c>
      <c r="J474" s="7"/>
      <c r="K474" s="7"/>
      <c r="L474" s="7">
        <v>0.95</v>
      </c>
      <c r="M474" s="7"/>
      <c r="N474" s="7"/>
      <c r="O474" s="7"/>
      <c r="P474" s="7"/>
      <c r="Q474" s="7"/>
      <c r="R474" s="7">
        <v>0.95</v>
      </c>
      <c r="S474" s="7"/>
      <c r="T474" s="7"/>
      <c r="U474" s="7"/>
      <c r="V474" s="7"/>
      <c r="AR474" s="15" t="s">
        <v>249</v>
      </c>
      <c r="AS474" s="15" t="s">
        <v>567</v>
      </c>
      <c r="AT474" s="15" t="s">
        <v>839</v>
      </c>
      <c r="AU474" s="15"/>
      <c r="AV474" s="15"/>
      <c r="AW474" s="15"/>
      <c r="AX474" s="15"/>
      <c r="AY474" s="15"/>
      <c r="AZ474" s="18"/>
      <c r="BA474" s="19">
        <v>2.5000000000000001E-2</v>
      </c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9">
        <v>0.05</v>
      </c>
      <c r="BM474" s="18"/>
      <c r="BN474" s="18"/>
      <c r="BO474" s="18"/>
      <c r="BP474" s="18"/>
      <c r="BQ474" s="18"/>
      <c r="BR474" s="18"/>
      <c r="BS474" s="18"/>
      <c r="BT474" s="18"/>
      <c r="BU474" s="18"/>
    </row>
    <row r="475" spans="3:73" x14ac:dyDescent="0.45">
      <c r="C475" t="s">
        <v>328</v>
      </c>
      <c r="D475" t="s">
        <v>250</v>
      </c>
      <c r="E475" t="s">
        <v>268</v>
      </c>
      <c r="F475" t="s">
        <v>252</v>
      </c>
      <c r="J475" s="7"/>
      <c r="K475" s="7"/>
      <c r="L475" s="7">
        <v>0.7</v>
      </c>
      <c r="M475" s="7"/>
      <c r="N475" s="7"/>
      <c r="O475" s="7"/>
      <c r="P475" s="7"/>
      <c r="Q475" s="7"/>
      <c r="R475" s="7">
        <v>0.7</v>
      </c>
      <c r="S475" s="7"/>
      <c r="T475" s="7"/>
      <c r="U475" s="7"/>
      <c r="V475" s="7"/>
      <c r="AR475" s="15" t="s">
        <v>249</v>
      </c>
      <c r="AS475" s="15" t="s">
        <v>567</v>
      </c>
      <c r="AT475" s="15" t="s">
        <v>840</v>
      </c>
      <c r="AU475" s="15"/>
      <c r="AV475" s="15"/>
      <c r="AW475" s="15"/>
      <c r="AX475" s="15"/>
      <c r="AY475" s="15"/>
      <c r="AZ475" s="18"/>
      <c r="BA475" s="19">
        <v>2.5000000000000001E-2</v>
      </c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9">
        <v>0.05</v>
      </c>
      <c r="BM475" s="18"/>
      <c r="BN475" s="18"/>
      <c r="BO475" s="18"/>
      <c r="BP475" s="18"/>
      <c r="BQ475" s="18"/>
      <c r="BR475" s="18"/>
      <c r="BS475" s="18"/>
      <c r="BT475" s="18"/>
      <c r="BU475" s="18"/>
    </row>
    <row r="476" spans="3:73" x14ac:dyDescent="0.45">
      <c r="C476" t="s">
        <v>328</v>
      </c>
      <c r="D476" t="s">
        <v>250</v>
      </c>
      <c r="E476" t="s">
        <v>269</v>
      </c>
      <c r="F476" t="s">
        <v>252</v>
      </c>
      <c r="J476" s="7"/>
      <c r="K476" s="7"/>
      <c r="L476" s="7">
        <v>2.95</v>
      </c>
      <c r="M476" s="7"/>
      <c r="N476" s="7"/>
      <c r="O476" s="7"/>
      <c r="P476" s="7"/>
      <c r="Q476" s="7"/>
      <c r="R476" s="7">
        <v>2.9515940000000001</v>
      </c>
      <c r="S476" s="7"/>
      <c r="T476" s="7"/>
      <c r="U476" s="7"/>
      <c r="V476" s="7"/>
      <c r="AR476" s="15" t="s">
        <v>249</v>
      </c>
      <c r="AS476" s="15" t="s">
        <v>567</v>
      </c>
      <c r="AT476" s="15" t="s">
        <v>841</v>
      </c>
      <c r="AU476" s="15"/>
      <c r="AV476" s="15"/>
      <c r="AW476" s="15"/>
      <c r="AX476" s="15"/>
      <c r="AY476" s="15"/>
      <c r="AZ476" s="18"/>
      <c r="BA476" s="19">
        <v>2.5000000000000001E-2</v>
      </c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9">
        <v>0.05</v>
      </c>
      <c r="BM476" s="18"/>
      <c r="BN476" s="18"/>
      <c r="BO476" s="18"/>
      <c r="BP476" s="18"/>
      <c r="BQ476" s="18"/>
      <c r="BR476" s="18"/>
      <c r="BS476" s="18"/>
      <c r="BT476" s="18"/>
      <c r="BU476" s="18"/>
    </row>
    <row r="477" spans="3:73" x14ac:dyDescent="0.45">
      <c r="C477" t="s">
        <v>328</v>
      </c>
      <c r="D477" t="s">
        <v>250</v>
      </c>
      <c r="E477" t="s">
        <v>270</v>
      </c>
      <c r="F477" t="s">
        <v>252</v>
      </c>
      <c r="J477" s="7"/>
      <c r="K477" s="7"/>
      <c r="L477" s="7">
        <v>3.5</v>
      </c>
      <c r="M477" s="7"/>
      <c r="N477" s="7"/>
      <c r="O477" s="7"/>
      <c r="P477" s="7"/>
      <c r="Q477" s="7"/>
      <c r="R477" s="7">
        <v>3.5</v>
      </c>
      <c r="S477" s="7"/>
      <c r="T477" s="7"/>
      <c r="U477" s="7"/>
      <c r="V477" s="7"/>
      <c r="AR477" s="15" t="s">
        <v>249</v>
      </c>
      <c r="AS477" s="15" t="s">
        <v>567</v>
      </c>
      <c r="AT477" s="15" t="s">
        <v>842</v>
      </c>
      <c r="AU477" s="15"/>
      <c r="AV477" s="15"/>
      <c r="AW477" s="15"/>
      <c r="AX477" s="15"/>
      <c r="AY477" s="15"/>
      <c r="AZ477" s="18"/>
      <c r="BA477" s="19">
        <v>2.5000000000000001E-2</v>
      </c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9">
        <v>0.05</v>
      </c>
      <c r="BM477" s="18"/>
      <c r="BN477" s="18"/>
      <c r="BO477" s="18"/>
      <c r="BP477" s="18"/>
      <c r="BQ477" s="18"/>
      <c r="BR477" s="18"/>
      <c r="BS477" s="18"/>
      <c r="BT477" s="18"/>
      <c r="BU477" s="18"/>
    </row>
    <row r="478" spans="3:73" x14ac:dyDescent="0.45">
      <c r="C478" t="s">
        <v>328</v>
      </c>
      <c r="D478" t="s">
        <v>250</v>
      </c>
      <c r="E478" t="s">
        <v>271</v>
      </c>
      <c r="F478" t="s">
        <v>252</v>
      </c>
      <c r="J478" s="7"/>
      <c r="K478" s="7"/>
      <c r="L478" s="7">
        <v>0.9</v>
      </c>
      <c r="M478" s="7"/>
      <c r="N478" s="7"/>
      <c r="O478" s="7"/>
      <c r="P478" s="7"/>
      <c r="Q478" s="7"/>
      <c r="R478" s="7">
        <v>0.9</v>
      </c>
      <c r="S478" s="7"/>
      <c r="T478" s="7"/>
      <c r="U478" s="7"/>
      <c r="V478" s="7"/>
      <c r="AR478" s="15" t="s">
        <v>249</v>
      </c>
      <c r="AS478" s="15" t="s">
        <v>567</v>
      </c>
      <c r="AT478" s="15" t="s">
        <v>843</v>
      </c>
      <c r="AU478" s="15"/>
      <c r="AV478" s="15"/>
      <c r="AW478" s="15"/>
      <c r="AX478" s="15"/>
      <c r="AY478" s="15"/>
      <c r="AZ478" s="18"/>
      <c r="BA478" s="19">
        <v>2.5000000000000001E-2</v>
      </c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9">
        <v>0.05</v>
      </c>
      <c r="BM478" s="18"/>
      <c r="BN478" s="18"/>
      <c r="BO478" s="18"/>
      <c r="BP478" s="18"/>
      <c r="BQ478" s="18"/>
      <c r="BR478" s="18"/>
      <c r="BS478" s="18"/>
      <c r="BT478" s="18"/>
      <c r="BU478" s="18"/>
    </row>
    <row r="479" spans="3:73" x14ac:dyDescent="0.45">
      <c r="C479" t="s">
        <v>328</v>
      </c>
      <c r="D479" t="s">
        <v>250</v>
      </c>
      <c r="E479" t="s">
        <v>272</v>
      </c>
      <c r="F479" t="s">
        <v>252</v>
      </c>
      <c r="J479" s="7"/>
      <c r="K479" s="7"/>
      <c r="L479" s="7">
        <v>3.5</v>
      </c>
      <c r="M479" s="7"/>
      <c r="N479" s="7"/>
      <c r="O479" s="7"/>
      <c r="P479" s="7"/>
      <c r="Q479" s="7"/>
      <c r="R479" s="7">
        <v>3.5</v>
      </c>
      <c r="S479" s="7"/>
      <c r="T479" s="7"/>
      <c r="U479" s="7"/>
      <c r="V479" s="7"/>
      <c r="AR479" s="15" t="s">
        <v>249</v>
      </c>
      <c r="AS479" s="15" t="s">
        <v>567</v>
      </c>
      <c r="AT479" s="15" t="s">
        <v>844</v>
      </c>
      <c r="AU479" s="15"/>
      <c r="AV479" s="15"/>
      <c r="AW479" s="15"/>
      <c r="AX479" s="15"/>
      <c r="AY479" s="15"/>
      <c r="AZ479" s="18"/>
      <c r="BA479" s="19">
        <v>2.5000000000000001E-2</v>
      </c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9">
        <v>0.05</v>
      </c>
      <c r="BM479" s="18"/>
      <c r="BN479" s="18"/>
      <c r="BO479" s="18"/>
      <c r="BP479" s="18"/>
      <c r="BQ479" s="18"/>
      <c r="BR479" s="18"/>
      <c r="BS479" s="18"/>
      <c r="BT479" s="18"/>
      <c r="BU479" s="18"/>
    </row>
    <row r="480" spans="3:73" x14ac:dyDescent="0.45">
      <c r="C480" t="s">
        <v>328</v>
      </c>
      <c r="D480" t="s">
        <v>250</v>
      </c>
      <c r="E480" t="s">
        <v>273</v>
      </c>
      <c r="F480" t="s">
        <v>252</v>
      </c>
      <c r="J480" s="7"/>
      <c r="K480" s="7"/>
      <c r="L480" s="7">
        <v>0.18</v>
      </c>
      <c r="M480" s="7"/>
      <c r="N480" s="7"/>
      <c r="O480" s="7"/>
      <c r="P480" s="7"/>
      <c r="Q480" s="7"/>
      <c r="R480" s="7">
        <v>0.18</v>
      </c>
      <c r="S480" s="7"/>
      <c r="T480" s="7"/>
      <c r="U480" s="7"/>
      <c r="V480" s="7"/>
      <c r="AR480" s="15" t="s">
        <v>249</v>
      </c>
      <c r="AS480" s="15" t="s">
        <v>567</v>
      </c>
      <c r="AT480" s="15" t="s">
        <v>845</v>
      </c>
      <c r="AU480" s="15"/>
      <c r="AV480" s="15"/>
      <c r="AW480" s="15"/>
      <c r="AX480" s="15"/>
      <c r="AY480" s="15"/>
      <c r="AZ480" s="18"/>
      <c r="BA480" s="19">
        <v>2.5000000000000001E-2</v>
      </c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9">
        <v>0.05</v>
      </c>
      <c r="BM480" s="18"/>
      <c r="BN480" s="18"/>
      <c r="BO480" s="18"/>
      <c r="BP480" s="18"/>
      <c r="BQ480" s="18"/>
      <c r="BR480" s="18"/>
      <c r="BS480" s="18"/>
      <c r="BT480" s="18"/>
      <c r="BU480" s="18"/>
    </row>
    <row r="481" spans="3:73" x14ac:dyDescent="0.45">
      <c r="C481" t="s">
        <v>328</v>
      </c>
      <c r="D481" t="s">
        <v>250</v>
      </c>
      <c r="E481" t="s">
        <v>274</v>
      </c>
      <c r="F481" t="s">
        <v>252</v>
      </c>
      <c r="J481" s="7"/>
      <c r="K481" s="7"/>
      <c r="L481" s="7">
        <v>0.19</v>
      </c>
      <c r="M481" s="7"/>
      <c r="N481" s="7"/>
      <c r="O481" s="7"/>
      <c r="P481" s="7"/>
      <c r="Q481" s="7"/>
      <c r="R481" s="7">
        <v>0.193823</v>
      </c>
      <c r="S481" s="7"/>
      <c r="T481" s="7"/>
      <c r="U481" s="7"/>
      <c r="V481" s="7"/>
      <c r="AR481" s="15" t="s">
        <v>249</v>
      </c>
      <c r="AS481" s="15" t="s">
        <v>567</v>
      </c>
      <c r="AT481" s="15" t="s">
        <v>846</v>
      </c>
      <c r="AU481" s="15"/>
      <c r="AV481" s="15"/>
      <c r="AW481" s="15"/>
      <c r="AX481" s="15"/>
      <c r="AY481" s="15"/>
      <c r="AZ481" s="18"/>
      <c r="BA481" s="19">
        <v>2.5000000000000001E-2</v>
      </c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9">
        <v>0.05</v>
      </c>
      <c r="BM481" s="18"/>
      <c r="BN481" s="18"/>
      <c r="BO481" s="18"/>
      <c r="BP481" s="18"/>
      <c r="BQ481" s="18"/>
      <c r="BR481" s="18"/>
      <c r="BS481" s="18"/>
      <c r="BT481" s="18"/>
      <c r="BU481" s="18"/>
    </row>
    <row r="482" spans="3:73" x14ac:dyDescent="0.45">
      <c r="C482" t="s">
        <v>328</v>
      </c>
      <c r="D482" t="s">
        <v>250</v>
      </c>
      <c r="E482" t="s">
        <v>275</v>
      </c>
      <c r="F482" t="s">
        <v>252</v>
      </c>
      <c r="J482" s="7"/>
      <c r="K482" s="7"/>
      <c r="L482" s="7">
        <v>0.45</v>
      </c>
      <c r="M482" s="7"/>
      <c r="N482" s="7"/>
      <c r="O482" s="7"/>
      <c r="P482" s="7"/>
      <c r="Q482" s="7"/>
      <c r="R482" s="7">
        <v>0.45</v>
      </c>
      <c r="S482" s="7"/>
      <c r="T482" s="7"/>
      <c r="U482" s="7"/>
      <c r="V482" s="7"/>
      <c r="AR482" s="15" t="s">
        <v>249</v>
      </c>
      <c r="AS482" s="15" t="s">
        <v>567</v>
      </c>
      <c r="AT482" s="15" t="s">
        <v>847</v>
      </c>
      <c r="AU482" s="15"/>
      <c r="AV482" s="15"/>
      <c r="AW482" s="15"/>
      <c r="AX482" s="15"/>
      <c r="AY482" s="15"/>
      <c r="AZ482" s="18"/>
      <c r="BA482" s="19">
        <v>2.5000000000000001E-2</v>
      </c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9">
        <v>0.05</v>
      </c>
      <c r="BM482" s="18"/>
      <c r="BN482" s="18"/>
      <c r="BO482" s="18"/>
      <c r="BP482" s="18"/>
      <c r="BQ482" s="18"/>
      <c r="BR482" s="18"/>
      <c r="BS482" s="18"/>
      <c r="BT482" s="18"/>
      <c r="BU482" s="18"/>
    </row>
    <row r="483" spans="3:73" x14ac:dyDescent="0.45">
      <c r="C483" t="s">
        <v>328</v>
      </c>
      <c r="D483" t="s">
        <v>250</v>
      </c>
      <c r="E483" t="s">
        <v>276</v>
      </c>
      <c r="F483" t="s">
        <v>252</v>
      </c>
      <c r="J483" s="7"/>
      <c r="K483" s="7"/>
      <c r="L483" s="7">
        <v>2.95</v>
      </c>
      <c r="M483" s="7"/>
      <c r="N483" s="7"/>
      <c r="O483" s="7"/>
      <c r="P483" s="7"/>
      <c r="Q483" s="7"/>
      <c r="R483" s="7">
        <v>2.9515940000000001</v>
      </c>
      <c r="S483" s="7"/>
      <c r="T483" s="7"/>
      <c r="U483" s="7"/>
      <c r="V483" s="7"/>
      <c r="AR483" s="15" t="s">
        <v>249</v>
      </c>
      <c r="AS483" s="15" t="s">
        <v>567</v>
      </c>
      <c r="AT483" s="15" t="s">
        <v>848</v>
      </c>
      <c r="AU483" s="15"/>
      <c r="AV483" s="15"/>
      <c r="AW483" s="15"/>
      <c r="AX483" s="15"/>
      <c r="AY483" s="15"/>
      <c r="AZ483" s="18"/>
      <c r="BA483" s="19">
        <v>2.5000000000000001E-2</v>
      </c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9">
        <v>0.05</v>
      </c>
      <c r="BM483" s="18"/>
      <c r="BN483" s="18"/>
      <c r="BO483" s="18"/>
      <c r="BP483" s="18"/>
      <c r="BQ483" s="18"/>
      <c r="BR483" s="18"/>
      <c r="BS483" s="18"/>
      <c r="BT483" s="18"/>
      <c r="BU483" s="18"/>
    </row>
    <row r="484" spans="3:73" x14ac:dyDescent="0.45">
      <c r="C484" t="s">
        <v>328</v>
      </c>
      <c r="D484" t="s">
        <v>250</v>
      </c>
      <c r="E484" t="s">
        <v>277</v>
      </c>
      <c r="F484" t="s">
        <v>252</v>
      </c>
      <c r="J484" s="7"/>
      <c r="K484" s="7"/>
      <c r="L484" s="7">
        <v>0.45</v>
      </c>
      <c r="M484" s="7"/>
      <c r="N484" s="7"/>
      <c r="O484" s="7"/>
      <c r="P484" s="7"/>
      <c r="Q484" s="7"/>
      <c r="R484" s="7">
        <v>0.45</v>
      </c>
      <c r="S484" s="7"/>
      <c r="T484" s="7"/>
      <c r="U484" s="7"/>
      <c r="V484" s="7"/>
      <c r="AR484" s="15" t="s">
        <v>249</v>
      </c>
      <c r="AS484" s="15" t="s">
        <v>567</v>
      </c>
      <c r="AT484" s="15" t="s">
        <v>849</v>
      </c>
      <c r="AU484" s="15"/>
      <c r="AV484" s="15"/>
      <c r="AW484" s="15"/>
      <c r="AX484" s="15"/>
      <c r="AY484" s="15"/>
      <c r="AZ484" s="18"/>
      <c r="BA484" s="19">
        <v>2.5000000000000001E-2</v>
      </c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9">
        <v>0.05</v>
      </c>
      <c r="BM484" s="18"/>
      <c r="BN484" s="18"/>
      <c r="BO484" s="18"/>
      <c r="BP484" s="18"/>
      <c r="BQ484" s="18"/>
      <c r="BR484" s="18"/>
      <c r="BS484" s="18"/>
      <c r="BT484" s="18"/>
      <c r="BU484" s="18"/>
    </row>
    <row r="485" spans="3:73" x14ac:dyDescent="0.45">
      <c r="C485" t="s">
        <v>328</v>
      </c>
      <c r="D485" t="s">
        <v>250</v>
      </c>
      <c r="E485" t="s">
        <v>278</v>
      </c>
      <c r="F485" t="s">
        <v>252</v>
      </c>
      <c r="J485" s="7"/>
      <c r="K485" s="7"/>
      <c r="L485" s="7">
        <v>0.11</v>
      </c>
      <c r="M485" s="7"/>
      <c r="N485" s="7"/>
      <c r="O485" s="7"/>
      <c r="P485" s="7"/>
      <c r="Q485" s="7"/>
      <c r="R485" s="7">
        <v>0.111111</v>
      </c>
      <c r="S485" s="7"/>
      <c r="T485" s="7"/>
      <c r="U485" s="7"/>
      <c r="V485" s="7"/>
      <c r="AR485" s="15" t="s">
        <v>249</v>
      </c>
      <c r="AS485" s="15" t="s">
        <v>567</v>
      </c>
      <c r="AT485" s="15" t="s">
        <v>850</v>
      </c>
      <c r="AU485" s="15"/>
      <c r="AV485" s="15"/>
      <c r="AW485" s="15"/>
      <c r="AX485" s="15"/>
      <c r="AY485" s="15"/>
      <c r="AZ485" s="18"/>
      <c r="BA485" s="19">
        <v>2.5000000000000001E-2</v>
      </c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9">
        <v>0.05</v>
      </c>
      <c r="BM485" s="18"/>
      <c r="BN485" s="18"/>
      <c r="BO485" s="18"/>
      <c r="BP485" s="18"/>
      <c r="BQ485" s="18"/>
      <c r="BR485" s="18"/>
      <c r="BS485" s="18"/>
      <c r="BT485" s="18"/>
      <c r="BU485" s="18"/>
    </row>
    <row r="486" spans="3:73" x14ac:dyDescent="0.45">
      <c r="C486" t="s">
        <v>328</v>
      </c>
      <c r="D486" t="s">
        <v>250</v>
      </c>
      <c r="E486" t="s">
        <v>279</v>
      </c>
      <c r="F486" t="s">
        <v>252</v>
      </c>
      <c r="J486" s="7"/>
      <c r="K486" s="7"/>
      <c r="L486" s="7">
        <v>0.39</v>
      </c>
      <c r="M486" s="7"/>
      <c r="N486" s="7"/>
      <c r="O486" s="7"/>
      <c r="P486" s="7"/>
      <c r="Q486" s="7"/>
      <c r="R486" s="7">
        <v>0.38647300000000001</v>
      </c>
      <c r="S486" s="7"/>
      <c r="T486" s="7"/>
      <c r="U486" s="7"/>
      <c r="V486" s="7"/>
      <c r="AR486" s="15" t="s">
        <v>249</v>
      </c>
      <c r="AS486" s="15" t="s">
        <v>567</v>
      </c>
      <c r="AT486" s="15" t="s">
        <v>851</v>
      </c>
      <c r="AU486" s="15"/>
      <c r="AV486" s="15"/>
      <c r="AW486" s="15"/>
      <c r="AX486" s="15"/>
      <c r="AY486" s="15"/>
      <c r="AZ486" s="18"/>
      <c r="BA486" s="19">
        <v>2.5000000000000001E-2</v>
      </c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9">
        <v>0.05</v>
      </c>
      <c r="BM486" s="18"/>
      <c r="BN486" s="18"/>
      <c r="BO486" s="18"/>
      <c r="BP486" s="18"/>
      <c r="BQ486" s="18"/>
      <c r="BR486" s="18"/>
      <c r="BS486" s="18"/>
      <c r="BT486" s="18"/>
      <c r="BU486" s="18"/>
    </row>
    <row r="487" spans="3:73" x14ac:dyDescent="0.45">
      <c r="C487" t="s">
        <v>328</v>
      </c>
      <c r="D487" t="s">
        <v>250</v>
      </c>
      <c r="E487" t="s">
        <v>280</v>
      </c>
      <c r="F487" t="s">
        <v>252</v>
      </c>
      <c r="J487" s="7"/>
      <c r="K487" s="7"/>
      <c r="L487" s="7">
        <v>0.24</v>
      </c>
      <c r="M487" s="7"/>
      <c r="N487" s="7"/>
      <c r="O487" s="7"/>
      <c r="P487" s="7"/>
      <c r="Q487" s="7"/>
      <c r="R487" s="7">
        <v>0.24154600000000001</v>
      </c>
      <c r="S487" s="7"/>
      <c r="T487" s="7"/>
      <c r="U487" s="7"/>
      <c r="V487" s="7"/>
      <c r="AR487" s="15" t="s">
        <v>249</v>
      </c>
      <c r="AS487" s="15" t="s">
        <v>567</v>
      </c>
      <c r="AT487" s="15" t="s">
        <v>852</v>
      </c>
      <c r="AU487" s="15"/>
      <c r="AV487" s="15"/>
      <c r="AW487" s="15"/>
      <c r="AX487" s="15"/>
      <c r="AY487" s="15"/>
      <c r="AZ487" s="18"/>
      <c r="BA487" s="19">
        <v>2.5000000000000001E-2</v>
      </c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9">
        <v>0.05</v>
      </c>
      <c r="BM487" s="18"/>
      <c r="BN487" s="18"/>
      <c r="BO487" s="18"/>
      <c r="BP487" s="18"/>
      <c r="BQ487" s="18"/>
      <c r="BR487" s="18"/>
      <c r="BS487" s="18"/>
      <c r="BT487" s="18"/>
      <c r="BU487" s="18"/>
    </row>
    <row r="488" spans="3:73" x14ac:dyDescent="0.45">
      <c r="C488" t="s">
        <v>328</v>
      </c>
      <c r="D488" t="s">
        <v>250</v>
      </c>
      <c r="E488" t="s">
        <v>281</v>
      </c>
      <c r="F488" t="s">
        <v>252</v>
      </c>
      <c r="J488" s="7"/>
      <c r="K488" s="7"/>
      <c r="L488" s="7">
        <v>0.11</v>
      </c>
      <c r="M488" s="7"/>
      <c r="N488" s="7"/>
      <c r="O488" s="7"/>
      <c r="P488" s="7"/>
      <c r="Q488" s="7"/>
      <c r="R488" s="7">
        <v>0.111111</v>
      </c>
      <c r="S488" s="7"/>
      <c r="T488" s="7"/>
      <c r="U488" s="7"/>
      <c r="V488" s="7"/>
      <c r="AR488" s="15" t="s">
        <v>249</v>
      </c>
      <c r="AS488" s="15" t="s">
        <v>567</v>
      </c>
      <c r="AT488" s="15" t="s">
        <v>853</v>
      </c>
      <c r="AU488" s="15"/>
      <c r="AV488" s="15"/>
      <c r="AW488" s="15"/>
      <c r="AX488" s="15"/>
      <c r="AY488" s="15"/>
      <c r="AZ488" s="18"/>
      <c r="BA488" s="19">
        <v>2.5000000000000001E-2</v>
      </c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9">
        <v>0.05</v>
      </c>
      <c r="BM488" s="18"/>
      <c r="BN488" s="18"/>
      <c r="BO488" s="18"/>
      <c r="BP488" s="18"/>
      <c r="BQ488" s="18"/>
      <c r="BR488" s="18"/>
      <c r="BS488" s="18"/>
      <c r="BT488" s="18"/>
      <c r="BU488" s="18"/>
    </row>
    <row r="489" spans="3:73" x14ac:dyDescent="0.45">
      <c r="C489" t="s">
        <v>328</v>
      </c>
      <c r="D489" t="s">
        <v>250</v>
      </c>
      <c r="E489" t="s">
        <v>282</v>
      </c>
      <c r="F489" t="s">
        <v>252</v>
      </c>
      <c r="J489" s="7"/>
      <c r="K489" s="7"/>
      <c r="L489" s="7">
        <v>0.39</v>
      </c>
      <c r="M489" s="7"/>
      <c r="N489" s="7"/>
      <c r="O489" s="7"/>
      <c r="P489" s="7"/>
      <c r="Q489" s="7"/>
      <c r="R489" s="7">
        <v>0.38647300000000001</v>
      </c>
      <c r="S489" s="7"/>
      <c r="T489" s="7"/>
      <c r="U489" s="7"/>
      <c r="V489" s="7"/>
      <c r="AR489" s="15" t="s">
        <v>249</v>
      </c>
      <c r="AS489" s="15" t="s">
        <v>567</v>
      </c>
      <c r="AT489" s="15" t="s">
        <v>854</v>
      </c>
      <c r="AU489" s="15"/>
      <c r="AV489" s="15"/>
      <c r="AW489" s="15"/>
      <c r="AX489" s="15"/>
      <c r="AY489" s="15"/>
      <c r="AZ489" s="18"/>
      <c r="BA489" s="19">
        <v>2.5000000000000001E-2</v>
      </c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9">
        <v>0.05</v>
      </c>
      <c r="BM489" s="18"/>
      <c r="BN489" s="18"/>
      <c r="BO489" s="18"/>
      <c r="BP489" s="18"/>
      <c r="BQ489" s="18"/>
      <c r="BR489" s="18"/>
      <c r="BS489" s="18"/>
      <c r="BT489" s="18"/>
      <c r="BU489" s="18"/>
    </row>
    <row r="490" spans="3:73" x14ac:dyDescent="0.45">
      <c r="C490" t="s">
        <v>328</v>
      </c>
      <c r="D490" t="s">
        <v>250</v>
      </c>
      <c r="E490" t="s">
        <v>283</v>
      </c>
      <c r="F490" t="s">
        <v>252</v>
      </c>
      <c r="J490" s="7"/>
      <c r="K490" s="7"/>
      <c r="L490" s="7">
        <v>0.24</v>
      </c>
      <c r="M490" s="7"/>
      <c r="N490" s="7"/>
      <c r="O490" s="7"/>
      <c r="P490" s="7"/>
      <c r="Q490" s="7"/>
      <c r="R490" s="7">
        <v>0.24154600000000001</v>
      </c>
      <c r="S490" s="7"/>
      <c r="T490" s="7"/>
      <c r="U490" s="7"/>
      <c r="V490" s="7"/>
      <c r="AR490" s="15" t="s">
        <v>249</v>
      </c>
      <c r="AS490" s="15" t="s">
        <v>567</v>
      </c>
      <c r="AT490" s="15" t="s">
        <v>855</v>
      </c>
      <c r="AU490" s="15"/>
      <c r="AV490" s="15"/>
      <c r="AW490" s="15"/>
      <c r="AX490" s="15"/>
      <c r="AY490" s="15"/>
      <c r="AZ490" s="18"/>
      <c r="BA490" s="19">
        <v>2.5000000000000001E-2</v>
      </c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9">
        <v>0.05</v>
      </c>
      <c r="BM490" s="18"/>
      <c r="BN490" s="18"/>
      <c r="BO490" s="18"/>
      <c r="BP490" s="18"/>
      <c r="BQ490" s="18"/>
      <c r="BR490" s="18"/>
      <c r="BS490" s="18"/>
      <c r="BT490" s="18"/>
      <c r="BU490" s="18"/>
    </row>
    <row r="491" spans="3:73" x14ac:dyDescent="0.45">
      <c r="C491" t="s">
        <v>328</v>
      </c>
      <c r="D491" t="s">
        <v>250</v>
      </c>
      <c r="E491" t="s">
        <v>284</v>
      </c>
      <c r="F491" t="s">
        <v>252</v>
      </c>
      <c r="J491" s="7"/>
      <c r="K491" s="7"/>
      <c r="L491" s="7">
        <v>0.9</v>
      </c>
      <c r="M491" s="7"/>
      <c r="N491" s="7"/>
      <c r="O491" s="7"/>
      <c r="P491" s="7"/>
      <c r="Q491" s="7"/>
      <c r="R491" s="7">
        <v>0.9</v>
      </c>
      <c r="S491" s="7"/>
      <c r="T491" s="7"/>
      <c r="U491" s="7"/>
      <c r="V491" s="7"/>
      <c r="AR491" s="15" t="s">
        <v>249</v>
      </c>
      <c r="AS491" s="15" t="s">
        <v>567</v>
      </c>
      <c r="AT491" s="15" t="s">
        <v>856</v>
      </c>
      <c r="AU491" s="15"/>
      <c r="AV491" s="15"/>
      <c r="AW491" s="15"/>
      <c r="AX491" s="15"/>
      <c r="AY491" s="15"/>
      <c r="AZ491" s="18"/>
      <c r="BA491" s="19">
        <v>2.5000000000000001E-2</v>
      </c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9">
        <v>0.05</v>
      </c>
      <c r="BM491" s="18"/>
      <c r="BN491" s="18"/>
      <c r="BO491" s="18"/>
      <c r="BP491" s="18"/>
      <c r="BQ491" s="18"/>
      <c r="BR491" s="18"/>
      <c r="BS491" s="18"/>
      <c r="BT491" s="18"/>
      <c r="BU491" s="18"/>
    </row>
    <row r="492" spans="3:73" x14ac:dyDescent="0.45">
      <c r="C492" t="s">
        <v>328</v>
      </c>
      <c r="D492" t="s">
        <v>250</v>
      </c>
      <c r="E492" t="s">
        <v>285</v>
      </c>
      <c r="F492" t="s">
        <v>252</v>
      </c>
      <c r="J492" s="7"/>
      <c r="K492" s="7"/>
      <c r="L492" s="7">
        <v>0.7</v>
      </c>
      <c r="M492" s="7"/>
      <c r="N492" s="7"/>
      <c r="O492" s="7"/>
      <c r="P492" s="7"/>
      <c r="Q492" s="7"/>
      <c r="R492" s="7">
        <v>0.7</v>
      </c>
      <c r="S492" s="7"/>
      <c r="T492" s="7"/>
      <c r="U492" s="7"/>
      <c r="V492" s="7"/>
      <c r="AR492" s="15" t="s">
        <v>249</v>
      </c>
      <c r="AS492" s="15" t="s">
        <v>567</v>
      </c>
      <c r="AT492" s="15" t="s">
        <v>857</v>
      </c>
      <c r="AU492" s="15"/>
      <c r="AV492" s="15"/>
      <c r="AW492" s="15"/>
      <c r="AX492" s="15"/>
      <c r="AY492" s="15"/>
      <c r="AZ492" s="18"/>
      <c r="BA492" s="19">
        <v>2.5000000000000001E-2</v>
      </c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9">
        <v>0.05</v>
      </c>
      <c r="BM492" s="18"/>
      <c r="BN492" s="18"/>
      <c r="BO492" s="18"/>
      <c r="BP492" s="18"/>
      <c r="BQ492" s="18"/>
      <c r="BR492" s="18"/>
      <c r="BS492" s="18"/>
      <c r="BT492" s="18"/>
      <c r="BU492" s="18"/>
    </row>
    <row r="493" spans="3:73" x14ac:dyDescent="0.45">
      <c r="C493" t="s">
        <v>328</v>
      </c>
      <c r="D493" t="s">
        <v>250</v>
      </c>
      <c r="E493" t="s">
        <v>286</v>
      </c>
      <c r="F493" t="s">
        <v>252</v>
      </c>
      <c r="J493" s="7"/>
      <c r="K493" s="7"/>
      <c r="L493" s="7">
        <v>0.83</v>
      </c>
      <c r="M493" s="7"/>
      <c r="N493" s="7"/>
      <c r="O493" s="7"/>
      <c r="P493" s="7"/>
      <c r="Q493" s="7"/>
      <c r="R493" s="7">
        <v>0.83125000000000004</v>
      </c>
      <c r="S493" s="7"/>
      <c r="T493" s="7"/>
      <c r="U493" s="7"/>
      <c r="V493" s="7"/>
      <c r="AR493" s="15" t="s">
        <v>249</v>
      </c>
      <c r="AS493" s="15" t="s">
        <v>567</v>
      </c>
      <c r="AT493" s="15" t="s">
        <v>858</v>
      </c>
      <c r="AU493" s="15"/>
      <c r="AV493" s="15"/>
      <c r="AW493" s="15"/>
      <c r="AX493" s="15"/>
      <c r="AY493" s="15"/>
      <c r="AZ493" s="18"/>
      <c r="BA493" s="19">
        <v>2.5000000000000001E-2</v>
      </c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9">
        <v>0.05</v>
      </c>
      <c r="BM493" s="18"/>
      <c r="BN493" s="18"/>
      <c r="BO493" s="18"/>
      <c r="BP493" s="18"/>
      <c r="BQ493" s="18"/>
      <c r="BR493" s="18"/>
      <c r="BS493" s="18"/>
      <c r="BT493" s="18"/>
      <c r="BU493" s="18"/>
    </row>
    <row r="494" spans="3:73" x14ac:dyDescent="0.45">
      <c r="C494" t="s">
        <v>328</v>
      </c>
      <c r="D494" t="s">
        <v>250</v>
      </c>
      <c r="E494" t="s">
        <v>287</v>
      </c>
      <c r="F494" t="s">
        <v>252</v>
      </c>
      <c r="J494" s="7"/>
      <c r="K494" s="7"/>
      <c r="L494" s="7">
        <v>0.45</v>
      </c>
      <c r="M494" s="7"/>
      <c r="N494" s="7"/>
      <c r="O494" s="7"/>
      <c r="P494" s="7"/>
      <c r="Q494" s="7"/>
      <c r="R494" s="7">
        <v>0.45</v>
      </c>
      <c r="S494" s="7"/>
      <c r="T494" s="7"/>
      <c r="U494" s="7"/>
      <c r="V494" s="7"/>
      <c r="AR494" s="15" t="s">
        <v>249</v>
      </c>
      <c r="AS494" s="15" t="s">
        <v>567</v>
      </c>
      <c r="AT494" s="15" t="s">
        <v>859</v>
      </c>
      <c r="AU494" s="15"/>
      <c r="AV494" s="15"/>
      <c r="AW494" s="15"/>
      <c r="AX494" s="15"/>
      <c r="AY494" s="15"/>
      <c r="AZ494" s="18"/>
      <c r="BA494" s="19">
        <v>2.5000000000000001E-2</v>
      </c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9">
        <v>0.05</v>
      </c>
      <c r="BM494" s="18"/>
      <c r="BN494" s="18"/>
      <c r="BO494" s="18"/>
      <c r="BP494" s="18"/>
      <c r="BQ494" s="18"/>
      <c r="BR494" s="18"/>
      <c r="BS494" s="18"/>
      <c r="BT494" s="18"/>
      <c r="BU494" s="18"/>
    </row>
    <row r="495" spans="3:73" x14ac:dyDescent="0.45">
      <c r="C495" t="s">
        <v>328</v>
      </c>
      <c r="D495" t="s">
        <v>250</v>
      </c>
      <c r="E495" t="s">
        <v>288</v>
      </c>
      <c r="F495" t="s">
        <v>252</v>
      </c>
      <c r="J495" s="7"/>
      <c r="K495" s="7"/>
      <c r="L495" s="7">
        <v>0.13</v>
      </c>
      <c r="M495" s="7"/>
      <c r="N495" s="7"/>
      <c r="O495" s="7"/>
      <c r="P495" s="7"/>
      <c r="Q495" s="7"/>
      <c r="R495" s="7">
        <v>0.125163</v>
      </c>
      <c r="S495" s="7"/>
      <c r="T495" s="7"/>
      <c r="U495" s="7"/>
      <c r="V495" s="7"/>
      <c r="AR495" s="15" t="s">
        <v>249</v>
      </c>
      <c r="AS495" s="15" t="s">
        <v>567</v>
      </c>
      <c r="AT495" s="15" t="s">
        <v>860</v>
      </c>
      <c r="AU495" s="15"/>
      <c r="AV495" s="15"/>
      <c r="AW495" s="15"/>
      <c r="AX495" s="15"/>
      <c r="AY495" s="15"/>
      <c r="AZ495" s="18"/>
      <c r="BA495" s="19">
        <v>2.5000000000000001E-2</v>
      </c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9">
        <v>0.05</v>
      </c>
      <c r="BM495" s="18"/>
      <c r="BN495" s="18"/>
      <c r="BO495" s="18"/>
      <c r="BP495" s="18"/>
      <c r="BQ495" s="18"/>
      <c r="BR495" s="18"/>
      <c r="BS495" s="18"/>
      <c r="BT495" s="18"/>
      <c r="BU495" s="18"/>
    </row>
    <row r="496" spans="3:73" x14ac:dyDescent="0.45">
      <c r="C496" t="s">
        <v>328</v>
      </c>
      <c r="D496" t="s">
        <v>250</v>
      </c>
      <c r="E496" t="s">
        <v>289</v>
      </c>
      <c r="F496" t="s">
        <v>252</v>
      </c>
      <c r="J496" s="7"/>
      <c r="K496" s="7"/>
      <c r="L496" s="7">
        <v>0.44</v>
      </c>
      <c r="M496" s="7"/>
      <c r="N496" s="7"/>
      <c r="O496" s="7"/>
      <c r="P496" s="7"/>
      <c r="Q496" s="7"/>
      <c r="R496" s="7">
        <v>0.43535000000000001</v>
      </c>
      <c r="S496" s="7"/>
      <c r="T496" s="7"/>
      <c r="U496" s="7"/>
      <c r="V496" s="7"/>
      <c r="AR496" s="15" t="s">
        <v>249</v>
      </c>
      <c r="AS496" s="15" t="s">
        <v>567</v>
      </c>
      <c r="AT496" s="15" t="s">
        <v>861</v>
      </c>
      <c r="AU496" s="15"/>
      <c r="AV496" s="15"/>
      <c r="AW496" s="15"/>
      <c r="AX496" s="15"/>
      <c r="AY496" s="15"/>
      <c r="AZ496" s="18"/>
      <c r="BA496" s="19">
        <v>2.5000000000000001E-2</v>
      </c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9">
        <v>0.05</v>
      </c>
      <c r="BM496" s="18"/>
      <c r="BN496" s="18"/>
      <c r="BO496" s="18"/>
      <c r="BP496" s="18"/>
      <c r="BQ496" s="18"/>
      <c r="BR496" s="18"/>
      <c r="BS496" s="18"/>
      <c r="BT496" s="18"/>
      <c r="BU496" s="18"/>
    </row>
    <row r="497" spans="3:73" x14ac:dyDescent="0.45">
      <c r="C497" t="s">
        <v>328</v>
      </c>
      <c r="D497" t="s">
        <v>250</v>
      </c>
      <c r="E497" t="s">
        <v>290</v>
      </c>
      <c r="F497" t="s">
        <v>252</v>
      </c>
      <c r="J497" s="7"/>
      <c r="K497" s="7"/>
      <c r="L497" s="7">
        <v>0.27</v>
      </c>
      <c r="M497" s="7"/>
      <c r="N497" s="7"/>
      <c r="O497" s="7"/>
      <c r="P497" s="7"/>
      <c r="Q497" s="7"/>
      <c r="R497" s="7">
        <v>0.27209299999999997</v>
      </c>
      <c r="S497" s="7"/>
      <c r="T497" s="7"/>
      <c r="U497" s="7"/>
      <c r="V497" s="7"/>
      <c r="AR497" s="15" t="s">
        <v>249</v>
      </c>
      <c r="AS497" s="15" t="s">
        <v>567</v>
      </c>
      <c r="AT497" s="15" t="s">
        <v>862</v>
      </c>
      <c r="AU497" s="15"/>
      <c r="AV497" s="15"/>
      <c r="AW497" s="15"/>
      <c r="AX497" s="15"/>
      <c r="AY497" s="15"/>
      <c r="AZ497" s="18"/>
      <c r="BA497" s="19">
        <v>2.5000000000000001E-2</v>
      </c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9">
        <v>0.05</v>
      </c>
      <c r="BM497" s="18"/>
      <c r="BN497" s="18"/>
      <c r="BO497" s="18"/>
      <c r="BP497" s="18"/>
      <c r="BQ497" s="18"/>
      <c r="BR497" s="18"/>
      <c r="BS497" s="18"/>
      <c r="BT497" s="18"/>
      <c r="BU497" s="18"/>
    </row>
    <row r="498" spans="3:73" x14ac:dyDescent="0.45">
      <c r="C498" t="s">
        <v>328</v>
      </c>
      <c r="D498" t="s">
        <v>250</v>
      </c>
      <c r="E498" t="s">
        <v>291</v>
      </c>
      <c r="F498" t="s">
        <v>252</v>
      </c>
      <c r="J498" s="7"/>
      <c r="K498" s="7"/>
      <c r="L498" s="7">
        <v>0.11</v>
      </c>
      <c r="M498" s="7"/>
      <c r="N498" s="7"/>
      <c r="O498" s="7"/>
      <c r="P498" s="7"/>
      <c r="Q498" s="7"/>
      <c r="R498" s="7">
        <v>0.111111</v>
      </c>
      <c r="S498" s="7"/>
      <c r="T498" s="7"/>
      <c r="U498" s="7"/>
      <c r="V498" s="7"/>
      <c r="AR498" s="15" t="s">
        <v>249</v>
      </c>
      <c r="AS498" s="15" t="s">
        <v>567</v>
      </c>
      <c r="AT498" s="15" t="s">
        <v>863</v>
      </c>
      <c r="AU498" s="15"/>
      <c r="AV498" s="15"/>
      <c r="AW498" s="15"/>
      <c r="AX498" s="15"/>
      <c r="AY498" s="15"/>
      <c r="AZ498" s="18"/>
      <c r="BA498" s="19">
        <v>2.5000000000000001E-2</v>
      </c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9">
        <v>0.05</v>
      </c>
      <c r="BM498" s="18"/>
      <c r="BN498" s="18"/>
      <c r="BO498" s="18"/>
      <c r="BP498" s="18"/>
      <c r="BQ498" s="18"/>
      <c r="BR498" s="18"/>
      <c r="BS498" s="18"/>
      <c r="BT498" s="18"/>
      <c r="BU498" s="18"/>
    </row>
    <row r="499" spans="3:73" x14ac:dyDescent="0.45">
      <c r="C499" t="s">
        <v>328</v>
      </c>
      <c r="D499" t="s">
        <v>250</v>
      </c>
      <c r="E499" t="s">
        <v>292</v>
      </c>
      <c r="F499" t="s">
        <v>252</v>
      </c>
      <c r="J499" s="7"/>
      <c r="K499" s="7"/>
      <c r="L499" s="7">
        <v>0.39</v>
      </c>
      <c r="M499" s="7"/>
      <c r="N499" s="7"/>
      <c r="O499" s="7"/>
      <c r="P499" s="7"/>
      <c r="Q499" s="7"/>
      <c r="R499" s="7">
        <v>0.38647300000000001</v>
      </c>
      <c r="S499" s="7"/>
      <c r="T499" s="7"/>
      <c r="U499" s="7"/>
      <c r="V499" s="7"/>
      <c r="AR499" s="15" t="s">
        <v>249</v>
      </c>
      <c r="AS499" s="15" t="s">
        <v>567</v>
      </c>
      <c r="AT499" s="15" t="s">
        <v>864</v>
      </c>
      <c r="AU499" s="15"/>
      <c r="AV499" s="15"/>
      <c r="AW499" s="15"/>
      <c r="AX499" s="15"/>
      <c r="AY499" s="15"/>
      <c r="AZ499" s="18"/>
      <c r="BA499" s="19">
        <v>2.5000000000000001E-2</v>
      </c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9">
        <v>0.05</v>
      </c>
      <c r="BM499" s="18"/>
      <c r="BN499" s="18"/>
      <c r="BO499" s="18"/>
      <c r="BP499" s="18"/>
      <c r="BQ499" s="18"/>
      <c r="BR499" s="18"/>
      <c r="BS499" s="18"/>
      <c r="BT499" s="18"/>
      <c r="BU499" s="18"/>
    </row>
    <row r="500" spans="3:73" x14ac:dyDescent="0.45">
      <c r="C500" t="s">
        <v>328</v>
      </c>
      <c r="D500" t="s">
        <v>250</v>
      </c>
      <c r="E500" t="s">
        <v>293</v>
      </c>
      <c r="F500" t="s">
        <v>252</v>
      </c>
      <c r="J500" s="7"/>
      <c r="K500" s="7"/>
      <c r="L500" s="7">
        <v>0.24</v>
      </c>
      <c r="M500" s="7"/>
      <c r="N500" s="7"/>
      <c r="O500" s="7"/>
      <c r="P500" s="7"/>
      <c r="Q500" s="7"/>
      <c r="R500" s="7">
        <v>0.24154600000000001</v>
      </c>
      <c r="S500" s="7"/>
      <c r="T500" s="7"/>
      <c r="U500" s="7"/>
      <c r="V500" s="7"/>
      <c r="AR500" s="15" t="s">
        <v>249</v>
      </c>
      <c r="AS500" s="15" t="s">
        <v>567</v>
      </c>
      <c r="AT500" s="15" t="s">
        <v>865</v>
      </c>
      <c r="AU500" s="15"/>
      <c r="AV500" s="15"/>
      <c r="AW500" s="15"/>
      <c r="AX500" s="15"/>
      <c r="AY500" s="15"/>
      <c r="AZ500" s="18"/>
      <c r="BA500" s="19">
        <v>2.5000000000000001E-2</v>
      </c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9">
        <v>0.05</v>
      </c>
      <c r="BM500" s="18"/>
      <c r="BN500" s="18"/>
      <c r="BO500" s="18"/>
      <c r="BP500" s="18"/>
      <c r="BQ500" s="18"/>
      <c r="BR500" s="18"/>
      <c r="BS500" s="18"/>
      <c r="BT500" s="18"/>
      <c r="BU500" s="18"/>
    </row>
    <row r="501" spans="3:73" x14ac:dyDescent="0.45">
      <c r="C501" t="s">
        <v>328</v>
      </c>
      <c r="D501" t="s">
        <v>250</v>
      </c>
      <c r="E501" t="s">
        <v>294</v>
      </c>
      <c r="F501" t="s">
        <v>252</v>
      </c>
      <c r="J501" s="7"/>
      <c r="K501" s="7"/>
      <c r="L501" s="7">
        <v>0.23</v>
      </c>
      <c r="M501" s="7"/>
      <c r="N501" s="7"/>
      <c r="O501" s="7"/>
      <c r="P501" s="7"/>
      <c r="Q501" s="7"/>
      <c r="R501" s="7">
        <v>0.23</v>
      </c>
      <c r="S501" s="7"/>
      <c r="T501" s="7"/>
      <c r="U501" s="7"/>
      <c r="V501" s="7"/>
      <c r="AR501" s="15" t="s">
        <v>249</v>
      </c>
      <c r="AS501" s="15" t="s">
        <v>567</v>
      </c>
      <c r="AT501" s="15" t="s">
        <v>866</v>
      </c>
      <c r="AU501" s="15"/>
      <c r="AV501" s="15"/>
      <c r="AW501" s="15"/>
      <c r="AX501" s="15"/>
      <c r="AY501" s="15"/>
      <c r="AZ501" s="18"/>
      <c r="BA501" s="19">
        <v>2.5000000000000001E-2</v>
      </c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9">
        <v>0.05</v>
      </c>
      <c r="BM501" s="18"/>
      <c r="BN501" s="18"/>
      <c r="BO501" s="18"/>
      <c r="BP501" s="18"/>
      <c r="BQ501" s="18"/>
      <c r="BR501" s="18"/>
      <c r="BS501" s="18"/>
      <c r="BT501" s="18"/>
      <c r="BU501" s="18"/>
    </row>
    <row r="502" spans="3:73" x14ac:dyDescent="0.45">
      <c r="C502" t="s">
        <v>328</v>
      </c>
      <c r="D502" t="s">
        <v>250</v>
      </c>
      <c r="E502" t="s">
        <v>295</v>
      </c>
      <c r="F502" t="s">
        <v>252</v>
      </c>
      <c r="J502" s="7"/>
      <c r="K502" s="7"/>
      <c r="L502" s="7">
        <v>0.8</v>
      </c>
      <c r="M502" s="7"/>
      <c r="N502" s="7"/>
      <c r="O502" s="7"/>
      <c r="P502" s="7"/>
      <c r="Q502" s="7"/>
      <c r="R502" s="7">
        <v>0.8</v>
      </c>
      <c r="S502" s="7"/>
      <c r="T502" s="7"/>
      <c r="U502" s="7"/>
      <c r="V502" s="7"/>
      <c r="AR502" s="15" t="s">
        <v>249</v>
      </c>
      <c r="AS502" s="15" t="s">
        <v>567</v>
      </c>
      <c r="AT502" s="15" t="s">
        <v>867</v>
      </c>
      <c r="AU502" s="15"/>
      <c r="AV502" s="15"/>
      <c r="AW502" s="15"/>
      <c r="AX502" s="15"/>
      <c r="AY502" s="15"/>
      <c r="AZ502" s="18"/>
      <c r="BA502" s="19">
        <v>2.5000000000000001E-2</v>
      </c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9">
        <v>0.05</v>
      </c>
      <c r="BM502" s="18"/>
      <c r="BN502" s="18"/>
      <c r="BO502" s="18"/>
      <c r="BP502" s="18"/>
      <c r="BQ502" s="18"/>
      <c r="BR502" s="18"/>
      <c r="BS502" s="18"/>
      <c r="BT502" s="18"/>
      <c r="BU502" s="18"/>
    </row>
    <row r="503" spans="3:73" x14ac:dyDescent="0.45">
      <c r="C503" t="s">
        <v>328</v>
      </c>
      <c r="D503" t="s">
        <v>250</v>
      </c>
      <c r="E503" t="s">
        <v>296</v>
      </c>
      <c r="F503" t="s">
        <v>252</v>
      </c>
      <c r="J503" s="7"/>
      <c r="K503" s="7"/>
      <c r="L503" s="7">
        <v>0.5</v>
      </c>
      <c r="M503" s="7"/>
      <c r="N503" s="7"/>
      <c r="O503" s="7"/>
      <c r="P503" s="7"/>
      <c r="Q503" s="7"/>
      <c r="R503" s="7">
        <v>0.5</v>
      </c>
      <c r="S503" s="7"/>
      <c r="T503" s="7"/>
      <c r="U503" s="7"/>
      <c r="V503" s="7"/>
      <c r="AR503" s="15" t="s">
        <v>249</v>
      </c>
      <c r="AS503" s="15" t="s">
        <v>567</v>
      </c>
      <c r="AT503" s="15" t="s">
        <v>868</v>
      </c>
      <c r="AU503" s="15"/>
      <c r="AV503" s="15"/>
      <c r="AW503" s="15"/>
      <c r="AX503" s="15"/>
      <c r="AY503" s="15"/>
      <c r="AZ503" s="18"/>
      <c r="BA503" s="19">
        <v>2.5000000000000001E-2</v>
      </c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9">
        <v>0.05</v>
      </c>
      <c r="BM503" s="18"/>
      <c r="BN503" s="18"/>
      <c r="BO503" s="18"/>
      <c r="BP503" s="18"/>
      <c r="BQ503" s="18"/>
      <c r="BR503" s="18"/>
      <c r="BS503" s="18"/>
      <c r="BT503" s="18"/>
      <c r="BU503" s="18"/>
    </row>
    <row r="504" spans="3:73" x14ac:dyDescent="0.45">
      <c r="C504" t="s">
        <v>328</v>
      </c>
      <c r="D504" t="s">
        <v>250</v>
      </c>
      <c r="E504" t="s">
        <v>297</v>
      </c>
      <c r="F504" t="s">
        <v>252</v>
      </c>
      <c r="J504" s="7"/>
      <c r="K504" s="7"/>
      <c r="L504" s="7">
        <v>0.9</v>
      </c>
      <c r="M504" s="7"/>
      <c r="N504" s="7"/>
      <c r="O504" s="7"/>
      <c r="P504" s="7"/>
      <c r="Q504" s="7"/>
      <c r="R504" s="7">
        <v>0.9</v>
      </c>
      <c r="S504" s="7"/>
      <c r="T504" s="7"/>
      <c r="U504" s="7"/>
      <c r="V504" s="7"/>
      <c r="AR504" s="15" t="s">
        <v>249</v>
      </c>
      <c r="AS504" s="15" t="s">
        <v>567</v>
      </c>
      <c r="AT504" s="15" t="s">
        <v>869</v>
      </c>
      <c r="AU504" s="15"/>
      <c r="AV504" s="15"/>
      <c r="AW504" s="15"/>
      <c r="AX504" s="15"/>
      <c r="AY504" s="15"/>
      <c r="AZ504" s="18"/>
      <c r="BA504" s="19">
        <v>2.5000000000000001E-2</v>
      </c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9">
        <v>0.05</v>
      </c>
      <c r="BM504" s="18"/>
      <c r="BN504" s="18"/>
      <c r="BO504" s="18"/>
      <c r="BP504" s="18"/>
      <c r="BQ504" s="18"/>
      <c r="BR504" s="18"/>
      <c r="BS504" s="18"/>
      <c r="BT504" s="18"/>
      <c r="BU504" s="18"/>
    </row>
    <row r="505" spans="3:73" x14ac:dyDescent="0.45">
      <c r="C505" t="s">
        <v>328</v>
      </c>
      <c r="D505" t="s">
        <v>250</v>
      </c>
      <c r="E505" t="s">
        <v>298</v>
      </c>
      <c r="F505" t="s">
        <v>252</v>
      </c>
      <c r="J505" s="7"/>
      <c r="K505" s="7"/>
      <c r="L505" s="7">
        <v>0.45</v>
      </c>
      <c r="M505" s="7"/>
      <c r="N505" s="7"/>
      <c r="O505" s="7"/>
      <c r="P505" s="7"/>
      <c r="Q505" s="7"/>
      <c r="R505" s="7">
        <v>0.45</v>
      </c>
      <c r="S505" s="7"/>
      <c r="T505" s="7"/>
      <c r="U505" s="7"/>
      <c r="V505" s="7"/>
      <c r="AR505" s="15" t="s">
        <v>249</v>
      </c>
      <c r="AS505" s="15" t="s">
        <v>567</v>
      </c>
      <c r="AT505" s="15" t="s">
        <v>870</v>
      </c>
      <c r="AU505" s="15"/>
      <c r="AV505" s="15"/>
      <c r="AW505" s="15"/>
      <c r="AX505" s="15"/>
      <c r="AY505" s="15"/>
      <c r="AZ505" s="18"/>
      <c r="BA505" s="19">
        <v>2.5000000000000001E-2</v>
      </c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9">
        <v>0.05</v>
      </c>
      <c r="BM505" s="18"/>
      <c r="BN505" s="18"/>
      <c r="BO505" s="18"/>
      <c r="BP505" s="18"/>
      <c r="BQ505" s="18"/>
      <c r="BR505" s="18"/>
      <c r="BS505" s="18"/>
      <c r="BT505" s="18"/>
      <c r="BU505" s="18"/>
    </row>
    <row r="506" spans="3:73" x14ac:dyDescent="0.45">
      <c r="C506" t="s">
        <v>328</v>
      </c>
      <c r="D506" t="s">
        <v>250</v>
      </c>
      <c r="E506" t="s">
        <v>299</v>
      </c>
      <c r="F506" t="s">
        <v>252</v>
      </c>
      <c r="J506" s="7"/>
      <c r="K506" s="7"/>
      <c r="L506" s="7">
        <v>0.99</v>
      </c>
      <c r="M506" s="7"/>
      <c r="N506" s="7"/>
      <c r="O506" s="7"/>
      <c r="P506" s="7"/>
      <c r="Q506" s="7"/>
      <c r="R506" s="7">
        <v>0.99</v>
      </c>
      <c r="S506" s="7"/>
      <c r="T506" s="7"/>
      <c r="U506" s="7"/>
      <c r="V506" s="7"/>
      <c r="AR506" s="15" t="s">
        <v>249</v>
      </c>
      <c r="AS506" s="15" t="s">
        <v>567</v>
      </c>
      <c r="AT506" s="15" t="s">
        <v>871</v>
      </c>
      <c r="AU506" s="15"/>
      <c r="AV506" s="15"/>
      <c r="AW506" s="15"/>
      <c r="AX506" s="15"/>
      <c r="AY506" s="15"/>
      <c r="AZ506" s="18"/>
      <c r="BA506" s="19">
        <v>2.5000000000000001E-2</v>
      </c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9">
        <v>0.05</v>
      </c>
      <c r="BM506" s="18"/>
      <c r="BN506" s="18"/>
      <c r="BO506" s="18"/>
      <c r="BP506" s="18"/>
      <c r="BQ506" s="18"/>
      <c r="BR506" s="18"/>
      <c r="BS506" s="18"/>
      <c r="BT506" s="18"/>
      <c r="BU506" s="18"/>
    </row>
    <row r="507" spans="3:73" x14ac:dyDescent="0.45">
      <c r="C507" t="s">
        <v>328</v>
      </c>
      <c r="D507" t="s">
        <v>250</v>
      </c>
      <c r="E507" t="s">
        <v>300</v>
      </c>
      <c r="F507" t="s">
        <v>252</v>
      </c>
      <c r="J507" s="7"/>
      <c r="K507" s="7"/>
      <c r="L507" s="7">
        <v>0.87</v>
      </c>
      <c r="M507" s="7"/>
      <c r="N507" s="7"/>
      <c r="O507" s="7"/>
      <c r="P507" s="7"/>
      <c r="Q507" s="7"/>
      <c r="R507" s="7">
        <v>0.87</v>
      </c>
      <c r="S507" s="7"/>
      <c r="T507" s="7"/>
      <c r="U507" s="7"/>
      <c r="V507" s="7"/>
      <c r="AR507" s="15" t="s">
        <v>249</v>
      </c>
      <c r="AS507" s="15" t="s">
        <v>567</v>
      </c>
      <c r="AT507" s="15" t="s">
        <v>872</v>
      </c>
      <c r="AU507" s="15"/>
      <c r="AV507" s="15"/>
      <c r="AW507" s="15"/>
      <c r="AX507" s="15"/>
      <c r="AY507" s="15"/>
      <c r="AZ507" s="18"/>
      <c r="BA507" s="19">
        <v>2.5000000000000001E-2</v>
      </c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9">
        <v>0.05</v>
      </c>
      <c r="BM507" s="18"/>
      <c r="BN507" s="18"/>
      <c r="BO507" s="18"/>
      <c r="BP507" s="18"/>
      <c r="BQ507" s="18"/>
      <c r="BR507" s="18"/>
      <c r="BS507" s="18"/>
      <c r="BT507" s="18"/>
      <c r="BU507" s="18"/>
    </row>
    <row r="508" spans="3:73" x14ac:dyDescent="0.45">
      <c r="C508" t="s">
        <v>328</v>
      </c>
      <c r="D508" t="s">
        <v>250</v>
      </c>
      <c r="E508" t="s">
        <v>302</v>
      </c>
      <c r="F508" t="s">
        <v>252</v>
      </c>
      <c r="J508" s="7"/>
      <c r="K508" s="7"/>
      <c r="L508" s="7">
        <v>0.85</v>
      </c>
      <c r="M508" s="7"/>
      <c r="N508" s="7"/>
      <c r="O508" s="7"/>
      <c r="P508" s="7"/>
      <c r="Q508" s="7"/>
      <c r="R508" s="7">
        <v>0.85</v>
      </c>
      <c r="S508" s="7"/>
      <c r="T508" s="7"/>
      <c r="U508" s="7"/>
      <c r="V508" s="7"/>
      <c r="AR508" s="15" t="s">
        <v>249</v>
      </c>
      <c r="AS508" s="15" t="s">
        <v>567</v>
      </c>
      <c r="AT508" s="15" t="s">
        <v>873</v>
      </c>
      <c r="AU508" s="15"/>
      <c r="AV508" s="15"/>
      <c r="AW508" s="15"/>
      <c r="AX508" s="15"/>
      <c r="AY508" s="15"/>
      <c r="AZ508" s="18"/>
      <c r="BA508" s="19">
        <v>2.5000000000000001E-2</v>
      </c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9">
        <v>0.05</v>
      </c>
      <c r="BM508" s="18"/>
      <c r="BN508" s="18"/>
      <c r="BO508" s="18"/>
      <c r="BP508" s="18"/>
      <c r="BQ508" s="18"/>
      <c r="BR508" s="18"/>
      <c r="BS508" s="18"/>
      <c r="BT508" s="18"/>
      <c r="BU508" s="18"/>
    </row>
    <row r="509" spans="3:73" x14ac:dyDescent="0.45">
      <c r="C509" t="s">
        <v>328</v>
      </c>
      <c r="D509" t="s">
        <v>250</v>
      </c>
      <c r="E509" t="s">
        <v>303</v>
      </c>
      <c r="F509" t="s">
        <v>252</v>
      </c>
      <c r="J509" s="7"/>
      <c r="K509" s="7"/>
      <c r="L509" s="7">
        <v>3.5</v>
      </c>
      <c r="M509" s="7"/>
      <c r="N509" s="7"/>
      <c r="O509" s="7"/>
      <c r="P509" s="7"/>
      <c r="Q509" s="7"/>
      <c r="R509" s="7">
        <v>3.5</v>
      </c>
      <c r="S509" s="7"/>
      <c r="T509" s="7"/>
      <c r="U509" s="7"/>
      <c r="V509" s="7"/>
      <c r="AR509" s="15" t="s">
        <v>249</v>
      </c>
      <c r="AS509" s="15" t="s">
        <v>567</v>
      </c>
      <c r="AT509" s="15" t="s">
        <v>874</v>
      </c>
      <c r="AU509" s="15"/>
      <c r="AV509" s="15"/>
      <c r="AW509" s="15"/>
      <c r="AX509" s="15"/>
      <c r="AY509" s="15"/>
      <c r="AZ509" s="18"/>
      <c r="BA509" s="19">
        <v>2.5000000000000001E-2</v>
      </c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9">
        <v>0.05</v>
      </c>
      <c r="BM509" s="18"/>
      <c r="BN509" s="18"/>
      <c r="BO509" s="18"/>
      <c r="BP509" s="18"/>
      <c r="BQ509" s="18"/>
      <c r="BR509" s="18"/>
      <c r="BS509" s="18"/>
      <c r="BT509" s="18"/>
      <c r="BU509" s="18"/>
    </row>
    <row r="510" spans="3:73" x14ac:dyDescent="0.45">
      <c r="C510" t="s">
        <v>328</v>
      </c>
      <c r="D510" t="s">
        <v>250</v>
      </c>
      <c r="E510" t="s">
        <v>304</v>
      </c>
      <c r="F510" t="s">
        <v>252</v>
      </c>
      <c r="J510" s="7"/>
      <c r="K510" s="7"/>
      <c r="L510" s="7">
        <v>0.7</v>
      </c>
      <c r="M510" s="7"/>
      <c r="N510" s="7"/>
      <c r="O510" s="7"/>
      <c r="P510" s="7"/>
      <c r="Q510" s="7"/>
      <c r="R510" s="7">
        <v>0.7</v>
      </c>
      <c r="S510" s="7"/>
      <c r="T510" s="7"/>
      <c r="U510" s="7"/>
      <c r="V510" s="7"/>
      <c r="AR510" s="15" t="s">
        <v>249</v>
      </c>
      <c r="AS510" s="15" t="s">
        <v>567</v>
      </c>
      <c r="AT510" s="15" t="s">
        <v>875</v>
      </c>
      <c r="AU510" s="15"/>
      <c r="AV510" s="15"/>
      <c r="AW510" s="15"/>
      <c r="AX510" s="15"/>
      <c r="AY510" s="15"/>
      <c r="AZ510" s="18"/>
      <c r="BA510" s="19">
        <v>2.5000000000000001E-2</v>
      </c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9">
        <v>0.05</v>
      </c>
      <c r="BM510" s="18"/>
      <c r="BN510" s="18"/>
      <c r="BO510" s="18"/>
      <c r="BP510" s="18"/>
      <c r="BQ510" s="18"/>
      <c r="BR510" s="18"/>
      <c r="BS510" s="18"/>
      <c r="BT510" s="18"/>
      <c r="BU510" s="18"/>
    </row>
    <row r="511" spans="3:73" x14ac:dyDescent="0.45">
      <c r="C511" t="s">
        <v>328</v>
      </c>
      <c r="D511" t="s">
        <v>250</v>
      </c>
      <c r="E511" t="s">
        <v>305</v>
      </c>
      <c r="F511" t="s">
        <v>252</v>
      </c>
      <c r="J511" s="7"/>
      <c r="K511" s="7"/>
      <c r="L511" s="7">
        <v>0.83</v>
      </c>
      <c r="M511" s="7"/>
      <c r="N511" s="7"/>
      <c r="O511" s="7"/>
      <c r="P511" s="7"/>
      <c r="Q511" s="7"/>
      <c r="R511" s="7">
        <v>0.83125000000000004</v>
      </c>
      <c r="S511" s="7"/>
      <c r="T511" s="7"/>
      <c r="U511" s="7"/>
      <c r="V511" s="7"/>
      <c r="AR511" s="15" t="s">
        <v>249</v>
      </c>
      <c r="AS511" s="15" t="s">
        <v>567</v>
      </c>
      <c r="AT511" s="15" t="s">
        <v>876</v>
      </c>
      <c r="AU511" s="15"/>
      <c r="AV511" s="15"/>
      <c r="AW511" s="15"/>
      <c r="AX511" s="15"/>
      <c r="AY511" s="15"/>
      <c r="AZ511" s="18"/>
      <c r="BA511" s="19">
        <v>2.5000000000000001E-2</v>
      </c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9">
        <v>0.05</v>
      </c>
      <c r="BM511" s="18"/>
      <c r="BN511" s="18"/>
      <c r="BO511" s="18"/>
      <c r="BP511" s="18"/>
      <c r="BQ511" s="18"/>
      <c r="BR511" s="18"/>
      <c r="BS511" s="18"/>
      <c r="BT511" s="18"/>
      <c r="BU511" s="18"/>
    </row>
    <row r="512" spans="3:73" x14ac:dyDescent="0.45">
      <c r="C512" t="s">
        <v>328</v>
      </c>
      <c r="D512" t="s">
        <v>250</v>
      </c>
      <c r="E512" t="s">
        <v>306</v>
      </c>
      <c r="F512" t="s">
        <v>252</v>
      </c>
      <c r="J512" s="7"/>
      <c r="K512" s="7"/>
      <c r="L512" s="7">
        <v>0.45</v>
      </c>
      <c r="M512" s="7"/>
      <c r="N512" s="7"/>
      <c r="O512" s="7"/>
      <c r="P512" s="7"/>
      <c r="Q512" s="7"/>
      <c r="R512" s="7">
        <v>0.45</v>
      </c>
      <c r="S512" s="7"/>
      <c r="T512" s="7"/>
      <c r="U512" s="7"/>
      <c r="V512" s="7"/>
      <c r="AR512" s="15" t="s">
        <v>249</v>
      </c>
      <c r="AS512" s="15" t="s">
        <v>567</v>
      </c>
      <c r="AT512" s="15" t="s">
        <v>877</v>
      </c>
      <c r="AU512" s="15"/>
      <c r="AV512" s="15"/>
      <c r="AW512" s="15"/>
      <c r="AX512" s="15"/>
      <c r="AY512" s="15"/>
      <c r="AZ512" s="18"/>
      <c r="BA512" s="19">
        <v>2.5000000000000001E-2</v>
      </c>
      <c r="BB512" s="18"/>
      <c r="BC512" s="18"/>
      <c r="BD512" s="18"/>
      <c r="BE512" s="18"/>
      <c r="BF512" s="18"/>
      <c r="BG512" s="18"/>
      <c r="BH512" s="18"/>
      <c r="BI512" s="18"/>
      <c r="BJ512" s="18"/>
      <c r="BK512" s="18"/>
      <c r="BL512" s="19">
        <v>0.05</v>
      </c>
      <c r="BM512" s="18"/>
      <c r="BN512" s="18"/>
      <c r="BO512" s="18"/>
      <c r="BP512" s="18"/>
      <c r="BQ512" s="18"/>
      <c r="BR512" s="18"/>
      <c r="BS512" s="18"/>
      <c r="BT512" s="18"/>
      <c r="BU512" s="18"/>
    </row>
    <row r="513" spans="3:73" x14ac:dyDescent="0.45">
      <c r="C513" t="s">
        <v>328</v>
      </c>
      <c r="D513" t="s">
        <v>250</v>
      </c>
      <c r="E513" t="s">
        <v>307</v>
      </c>
      <c r="F513" t="s">
        <v>252</v>
      </c>
      <c r="J513" s="7"/>
      <c r="K513" s="7"/>
      <c r="L513" s="7">
        <v>0.35</v>
      </c>
      <c r="M513" s="7"/>
      <c r="N513" s="7"/>
      <c r="O513" s="7"/>
      <c r="P513" s="7"/>
      <c r="Q513" s="7"/>
      <c r="R513" s="7">
        <v>0.34782600000000002</v>
      </c>
      <c r="S513" s="7"/>
      <c r="T513" s="7"/>
      <c r="U513" s="7"/>
      <c r="V513" s="7"/>
      <c r="AR513" s="15" t="s">
        <v>249</v>
      </c>
      <c r="AS513" s="15" t="s">
        <v>567</v>
      </c>
      <c r="AT513" s="15" t="s">
        <v>878</v>
      </c>
      <c r="AU513" s="15"/>
      <c r="AV513" s="15"/>
      <c r="AW513" s="15"/>
      <c r="AX513" s="15"/>
      <c r="AY513" s="15"/>
      <c r="AZ513" s="18"/>
      <c r="BA513" s="19">
        <v>2.5000000000000001E-2</v>
      </c>
      <c r="BB513" s="18"/>
      <c r="BC513" s="18"/>
      <c r="BD513" s="18"/>
      <c r="BE513" s="18"/>
      <c r="BF513" s="18"/>
      <c r="BG513" s="18"/>
      <c r="BH513" s="18"/>
      <c r="BI513" s="18"/>
      <c r="BJ513" s="18"/>
      <c r="BK513" s="18"/>
      <c r="BL513" s="19">
        <v>0.05</v>
      </c>
      <c r="BM513" s="18"/>
      <c r="BN513" s="18"/>
      <c r="BO513" s="18"/>
      <c r="BP513" s="18"/>
      <c r="BQ513" s="18"/>
      <c r="BR513" s="18"/>
      <c r="BS513" s="18"/>
      <c r="BT513" s="18"/>
      <c r="BU513" s="18"/>
    </row>
    <row r="514" spans="3:73" x14ac:dyDescent="0.45">
      <c r="C514" t="s">
        <v>328</v>
      </c>
      <c r="D514" t="s">
        <v>250</v>
      </c>
      <c r="E514" t="s">
        <v>308</v>
      </c>
      <c r="F514" t="s">
        <v>252</v>
      </c>
      <c r="J514" s="7"/>
      <c r="K514" s="7"/>
      <c r="L514" s="7">
        <v>0.1</v>
      </c>
      <c r="M514" s="7"/>
      <c r="N514" s="7"/>
      <c r="O514" s="7"/>
      <c r="P514" s="7"/>
      <c r="Q514" s="7"/>
      <c r="R514" s="7">
        <v>0.1</v>
      </c>
      <c r="S514" s="7"/>
      <c r="T514" s="7"/>
      <c r="U514" s="7"/>
      <c r="V514" s="7"/>
      <c r="AR514" s="15" t="s">
        <v>249</v>
      </c>
      <c r="AS514" s="15" t="s">
        <v>567</v>
      </c>
      <c r="AT514" s="15" t="s">
        <v>879</v>
      </c>
      <c r="AU514" s="15"/>
      <c r="AV514" s="15"/>
      <c r="AW514" s="15"/>
      <c r="AX514" s="15"/>
      <c r="AY514" s="15"/>
      <c r="AZ514" s="18"/>
      <c r="BA514" s="19">
        <v>2.5000000000000001E-2</v>
      </c>
      <c r="BB514" s="18"/>
      <c r="BC514" s="18"/>
      <c r="BD514" s="18"/>
      <c r="BE514" s="18"/>
      <c r="BF514" s="18"/>
      <c r="BG514" s="18"/>
      <c r="BH514" s="18"/>
      <c r="BI514" s="18"/>
      <c r="BJ514" s="18"/>
      <c r="BK514" s="18"/>
      <c r="BL514" s="19">
        <v>0.05</v>
      </c>
      <c r="BM514" s="18"/>
      <c r="BN514" s="18"/>
      <c r="BO514" s="18"/>
      <c r="BP514" s="18"/>
      <c r="BQ514" s="18"/>
      <c r="BR514" s="18"/>
      <c r="BS514" s="18"/>
      <c r="BT514" s="18"/>
      <c r="BU514" s="18"/>
    </row>
    <row r="515" spans="3:73" x14ac:dyDescent="0.45">
      <c r="C515" t="s">
        <v>328</v>
      </c>
      <c r="D515" t="s">
        <v>250</v>
      </c>
      <c r="E515" t="s">
        <v>309</v>
      </c>
      <c r="F515" t="s">
        <v>252</v>
      </c>
      <c r="J515" s="7"/>
      <c r="K515" s="7"/>
      <c r="L515" s="7">
        <v>0.13</v>
      </c>
      <c r="M515" s="7"/>
      <c r="N515" s="7"/>
      <c r="O515" s="7"/>
      <c r="P515" s="7"/>
      <c r="Q515" s="7"/>
      <c r="R515" s="7">
        <v>0.125163</v>
      </c>
      <c r="S515" s="7"/>
      <c r="T515" s="7"/>
      <c r="U515" s="7"/>
      <c r="V515" s="7"/>
      <c r="AR515" s="15" t="s">
        <v>249</v>
      </c>
      <c r="AS515" s="15" t="s">
        <v>567</v>
      </c>
      <c r="AT515" s="15" t="s">
        <v>880</v>
      </c>
      <c r="AU515" s="15"/>
      <c r="AV515" s="15"/>
      <c r="AW515" s="15"/>
      <c r="AX515" s="15"/>
      <c r="AY515" s="15"/>
      <c r="AZ515" s="18"/>
      <c r="BA515" s="19">
        <v>2.5000000000000001E-2</v>
      </c>
      <c r="BB515" s="18"/>
      <c r="BC515" s="18"/>
      <c r="BD515" s="18"/>
      <c r="BE515" s="18"/>
      <c r="BF515" s="18"/>
      <c r="BG515" s="18"/>
      <c r="BH515" s="18"/>
      <c r="BI515" s="18"/>
      <c r="BJ515" s="18"/>
      <c r="BK515" s="18"/>
      <c r="BL515" s="19">
        <v>0.05</v>
      </c>
      <c r="BM515" s="18"/>
      <c r="BN515" s="18"/>
      <c r="BO515" s="18"/>
      <c r="BP515" s="18"/>
      <c r="BQ515" s="18"/>
      <c r="BR515" s="18"/>
      <c r="BS515" s="18"/>
      <c r="BT515" s="18"/>
      <c r="BU515" s="18"/>
    </row>
    <row r="516" spans="3:73" x14ac:dyDescent="0.45">
      <c r="C516" t="s">
        <v>328</v>
      </c>
      <c r="D516" t="s">
        <v>250</v>
      </c>
      <c r="E516" t="s">
        <v>310</v>
      </c>
      <c r="F516" t="s">
        <v>252</v>
      </c>
      <c r="J516" s="7"/>
      <c r="K516" s="7"/>
      <c r="L516" s="7">
        <v>0.44</v>
      </c>
      <c r="M516" s="7"/>
      <c r="N516" s="7"/>
      <c r="O516" s="7"/>
      <c r="P516" s="7"/>
      <c r="Q516" s="7"/>
      <c r="R516" s="7">
        <v>0.43535000000000001</v>
      </c>
      <c r="S516" s="7"/>
      <c r="T516" s="7"/>
      <c r="U516" s="7"/>
      <c r="V516" s="7"/>
      <c r="AR516" s="15" t="s">
        <v>249</v>
      </c>
      <c r="AS516" s="15" t="s">
        <v>567</v>
      </c>
      <c r="AT516" s="15" t="s">
        <v>881</v>
      </c>
      <c r="AU516" s="15"/>
      <c r="AV516" s="15"/>
      <c r="AW516" s="15"/>
      <c r="AX516" s="15"/>
      <c r="AY516" s="15"/>
      <c r="AZ516" s="18"/>
      <c r="BA516" s="19">
        <v>2.5000000000000001E-2</v>
      </c>
      <c r="BB516" s="18"/>
      <c r="BC516" s="18"/>
      <c r="BD516" s="18"/>
      <c r="BE516" s="18"/>
      <c r="BF516" s="18"/>
      <c r="BG516" s="18"/>
      <c r="BH516" s="18"/>
      <c r="BI516" s="18"/>
      <c r="BJ516" s="18"/>
      <c r="BK516" s="18"/>
      <c r="BL516" s="19">
        <v>0.05</v>
      </c>
      <c r="BM516" s="18"/>
      <c r="BN516" s="18"/>
      <c r="BO516" s="18"/>
      <c r="BP516" s="18"/>
      <c r="BQ516" s="18"/>
      <c r="BR516" s="18"/>
      <c r="BS516" s="18"/>
      <c r="BT516" s="18"/>
      <c r="BU516" s="18"/>
    </row>
    <row r="517" spans="3:73" x14ac:dyDescent="0.45">
      <c r="C517" t="s">
        <v>328</v>
      </c>
      <c r="D517" t="s">
        <v>250</v>
      </c>
      <c r="E517" t="s">
        <v>311</v>
      </c>
      <c r="F517" t="s">
        <v>252</v>
      </c>
      <c r="J517" s="7"/>
      <c r="K517" s="7"/>
      <c r="L517" s="7">
        <v>0.27</v>
      </c>
      <c r="M517" s="7"/>
      <c r="N517" s="7"/>
      <c r="O517" s="7"/>
      <c r="P517" s="7"/>
      <c r="Q517" s="7"/>
      <c r="R517" s="7">
        <v>0.27209299999999997</v>
      </c>
      <c r="S517" s="7"/>
      <c r="T517" s="7"/>
      <c r="U517" s="7"/>
      <c r="V517" s="7"/>
      <c r="AR517" s="15" t="s">
        <v>249</v>
      </c>
      <c r="AS517" s="15" t="s">
        <v>567</v>
      </c>
      <c r="AT517" s="15" t="s">
        <v>882</v>
      </c>
      <c r="AU517" s="15"/>
      <c r="AV517" s="15"/>
      <c r="AW517" s="15"/>
      <c r="AX517" s="15"/>
      <c r="AY517" s="15"/>
      <c r="AZ517" s="18"/>
      <c r="BA517" s="19">
        <v>2.5000000000000001E-2</v>
      </c>
      <c r="BB517" s="18"/>
      <c r="BC517" s="18"/>
      <c r="BD517" s="18"/>
      <c r="BE517" s="18"/>
      <c r="BF517" s="18"/>
      <c r="BG517" s="18"/>
      <c r="BH517" s="18"/>
      <c r="BI517" s="18"/>
      <c r="BJ517" s="18"/>
      <c r="BK517" s="18"/>
      <c r="BL517" s="19">
        <v>0.05</v>
      </c>
      <c r="BM517" s="18"/>
      <c r="BN517" s="18"/>
      <c r="BO517" s="18"/>
      <c r="BP517" s="18"/>
      <c r="BQ517" s="18"/>
      <c r="BR517" s="18"/>
      <c r="BS517" s="18"/>
      <c r="BT517" s="18"/>
      <c r="BU517" s="18"/>
    </row>
    <row r="518" spans="3:73" x14ac:dyDescent="0.45">
      <c r="C518" t="s">
        <v>328</v>
      </c>
      <c r="D518" t="s">
        <v>250</v>
      </c>
      <c r="E518" t="s">
        <v>312</v>
      </c>
      <c r="F518" t="s">
        <v>252</v>
      </c>
      <c r="J518" s="7"/>
      <c r="K518" s="7"/>
      <c r="L518" s="7">
        <v>0.11</v>
      </c>
      <c r="M518" s="7"/>
      <c r="N518" s="7"/>
      <c r="O518" s="7"/>
      <c r="P518" s="7"/>
      <c r="Q518" s="7"/>
      <c r="R518" s="7">
        <v>0.111111</v>
      </c>
      <c r="S518" s="7"/>
      <c r="T518" s="7"/>
      <c r="U518" s="7"/>
      <c r="V518" s="7"/>
      <c r="AR518" s="15" t="s">
        <v>249</v>
      </c>
      <c r="AS518" s="15" t="s">
        <v>567</v>
      </c>
      <c r="AT518" s="15" t="s">
        <v>883</v>
      </c>
      <c r="AU518" s="15"/>
      <c r="AV518" s="15"/>
      <c r="AW518" s="15"/>
      <c r="AX518" s="15"/>
      <c r="AY518" s="15"/>
      <c r="AZ518" s="18"/>
      <c r="BA518" s="19">
        <v>2.5000000000000001E-2</v>
      </c>
      <c r="BB518" s="18"/>
      <c r="BC518" s="18"/>
      <c r="BD518" s="18"/>
      <c r="BE518" s="18"/>
      <c r="BF518" s="18"/>
      <c r="BG518" s="18"/>
      <c r="BH518" s="18"/>
      <c r="BI518" s="18"/>
      <c r="BJ518" s="18"/>
      <c r="BK518" s="18"/>
      <c r="BL518" s="19">
        <v>0.05</v>
      </c>
      <c r="BM518" s="18"/>
      <c r="BN518" s="18"/>
      <c r="BO518" s="18"/>
      <c r="BP518" s="18"/>
      <c r="BQ518" s="18"/>
      <c r="BR518" s="18"/>
      <c r="BS518" s="18"/>
      <c r="BT518" s="18"/>
      <c r="BU518" s="18"/>
    </row>
    <row r="519" spans="3:73" x14ac:dyDescent="0.45">
      <c r="C519" t="s">
        <v>328</v>
      </c>
      <c r="D519" t="s">
        <v>250</v>
      </c>
      <c r="E519" t="s">
        <v>313</v>
      </c>
      <c r="F519" t="s">
        <v>252</v>
      </c>
      <c r="J519" s="7"/>
      <c r="K519" s="7"/>
      <c r="L519" s="7">
        <v>0.39</v>
      </c>
      <c r="M519" s="7"/>
      <c r="N519" s="7"/>
      <c r="O519" s="7"/>
      <c r="P519" s="7"/>
      <c r="Q519" s="7"/>
      <c r="R519" s="7">
        <v>0.38647300000000001</v>
      </c>
      <c r="S519" s="7"/>
      <c r="T519" s="7"/>
      <c r="U519" s="7"/>
      <c r="V519" s="7"/>
      <c r="AR519" s="15" t="s">
        <v>249</v>
      </c>
      <c r="AS519" s="15" t="s">
        <v>567</v>
      </c>
      <c r="AT519" s="15" t="s">
        <v>884</v>
      </c>
      <c r="AU519" s="15"/>
      <c r="AV519" s="15"/>
      <c r="AW519" s="15"/>
      <c r="AX519" s="15"/>
      <c r="AY519" s="15"/>
      <c r="AZ519" s="18"/>
      <c r="BA519" s="19">
        <v>2.5000000000000001E-2</v>
      </c>
      <c r="BB519" s="18"/>
      <c r="BC519" s="18"/>
      <c r="BD519" s="18"/>
      <c r="BE519" s="18"/>
      <c r="BF519" s="18"/>
      <c r="BG519" s="18"/>
      <c r="BH519" s="18"/>
      <c r="BI519" s="18"/>
      <c r="BJ519" s="18"/>
      <c r="BK519" s="18"/>
      <c r="BL519" s="19">
        <v>0.05</v>
      </c>
      <c r="BM519" s="18"/>
      <c r="BN519" s="18"/>
      <c r="BO519" s="18"/>
      <c r="BP519" s="18"/>
      <c r="BQ519" s="18"/>
      <c r="BR519" s="18"/>
      <c r="BS519" s="18"/>
      <c r="BT519" s="18"/>
      <c r="BU519" s="18"/>
    </row>
    <row r="520" spans="3:73" x14ac:dyDescent="0.45">
      <c r="C520" t="s">
        <v>328</v>
      </c>
      <c r="D520" t="s">
        <v>250</v>
      </c>
      <c r="E520" t="s">
        <v>314</v>
      </c>
      <c r="F520" t="s">
        <v>252</v>
      </c>
      <c r="J520" s="7"/>
      <c r="K520" s="7"/>
      <c r="L520" s="7">
        <v>0.24</v>
      </c>
      <c r="M520" s="7"/>
      <c r="N520" s="7"/>
      <c r="O520" s="7"/>
      <c r="P520" s="7"/>
      <c r="Q520" s="7"/>
      <c r="R520" s="7">
        <v>0.24154600000000001</v>
      </c>
      <c r="S520" s="7"/>
      <c r="T520" s="7"/>
      <c r="U520" s="7"/>
      <c r="V520" s="7"/>
      <c r="AR520" s="15" t="s">
        <v>249</v>
      </c>
      <c r="AS520" s="15" t="s">
        <v>567</v>
      </c>
      <c r="AT520" s="15" t="s">
        <v>885</v>
      </c>
      <c r="AU520" s="15"/>
      <c r="AV520" s="15"/>
      <c r="AW520" s="15"/>
      <c r="AX520" s="15"/>
      <c r="AY520" s="15"/>
      <c r="AZ520" s="18"/>
      <c r="BA520" s="19">
        <v>2.5000000000000001E-2</v>
      </c>
      <c r="BB520" s="18"/>
      <c r="BC520" s="18"/>
      <c r="BD520" s="18"/>
      <c r="BE520" s="18"/>
      <c r="BF520" s="18"/>
      <c r="BG520" s="18"/>
      <c r="BH520" s="18"/>
      <c r="BI520" s="18"/>
      <c r="BJ520" s="18"/>
      <c r="BK520" s="18"/>
      <c r="BL520" s="19">
        <v>0.05</v>
      </c>
      <c r="BM520" s="18"/>
      <c r="BN520" s="18"/>
      <c r="BO520" s="18"/>
      <c r="BP520" s="18"/>
      <c r="BQ520" s="18"/>
      <c r="BR520" s="18"/>
      <c r="BS520" s="18"/>
      <c r="BT520" s="18"/>
      <c r="BU520" s="18"/>
    </row>
    <row r="521" spans="3:73" x14ac:dyDescent="0.45">
      <c r="C521" t="s">
        <v>328</v>
      </c>
      <c r="D521" t="s">
        <v>250</v>
      </c>
      <c r="E521" t="s">
        <v>315</v>
      </c>
      <c r="F521" t="s">
        <v>252</v>
      </c>
      <c r="J521" s="7"/>
      <c r="K521" s="7"/>
      <c r="L521" s="7">
        <v>0.23</v>
      </c>
      <c r="M521" s="7"/>
      <c r="N521" s="7"/>
      <c r="O521" s="7"/>
      <c r="P521" s="7"/>
      <c r="Q521" s="7"/>
      <c r="R521" s="7">
        <v>0.23</v>
      </c>
      <c r="S521" s="7"/>
      <c r="T521" s="7"/>
      <c r="U521" s="7"/>
      <c r="V521" s="7"/>
      <c r="AR521" s="15" t="s">
        <v>249</v>
      </c>
      <c r="AS521" s="15" t="s">
        <v>567</v>
      </c>
      <c r="AT521" s="15" t="s">
        <v>886</v>
      </c>
      <c r="AU521" s="15"/>
      <c r="AV521" s="15"/>
      <c r="AW521" s="15"/>
      <c r="AX521" s="15"/>
      <c r="AY521" s="15"/>
      <c r="AZ521" s="18"/>
      <c r="BA521" s="19">
        <v>2.5000000000000001E-2</v>
      </c>
      <c r="BB521" s="18"/>
      <c r="BC521" s="18"/>
      <c r="BD521" s="18"/>
      <c r="BE521" s="18"/>
      <c r="BF521" s="18"/>
      <c r="BG521" s="18"/>
      <c r="BH521" s="18"/>
      <c r="BI521" s="18"/>
      <c r="BJ521" s="18"/>
      <c r="BK521" s="18"/>
      <c r="BL521" s="19">
        <v>0.05</v>
      </c>
      <c r="BM521" s="18"/>
      <c r="BN521" s="18"/>
      <c r="BO521" s="18"/>
      <c r="BP521" s="18"/>
      <c r="BQ521" s="18"/>
      <c r="BR521" s="18"/>
      <c r="BS521" s="18"/>
      <c r="BT521" s="18"/>
      <c r="BU521" s="18"/>
    </row>
    <row r="522" spans="3:73" x14ac:dyDescent="0.45">
      <c r="C522" t="s">
        <v>328</v>
      </c>
      <c r="D522" t="s">
        <v>250</v>
      </c>
      <c r="E522" t="s">
        <v>316</v>
      </c>
      <c r="F522" t="s">
        <v>252</v>
      </c>
      <c r="J522" s="7"/>
      <c r="K522" s="7"/>
      <c r="L522" s="7">
        <v>0.8</v>
      </c>
      <c r="M522" s="7"/>
      <c r="N522" s="7"/>
      <c r="O522" s="7"/>
      <c r="P522" s="7"/>
      <c r="Q522" s="7"/>
      <c r="R522" s="7">
        <v>0.8</v>
      </c>
      <c r="S522" s="7"/>
      <c r="T522" s="7"/>
      <c r="U522" s="7"/>
      <c r="V522" s="7"/>
      <c r="AR522" s="15" t="s">
        <v>249</v>
      </c>
      <c r="AS522" s="15" t="s">
        <v>567</v>
      </c>
      <c r="AT522" s="15" t="s">
        <v>887</v>
      </c>
      <c r="AU522" s="15"/>
      <c r="AV522" s="15"/>
      <c r="AW522" s="15"/>
      <c r="AX522" s="15"/>
      <c r="AY522" s="15"/>
      <c r="AZ522" s="18"/>
      <c r="BA522" s="19">
        <v>2.5000000000000001E-2</v>
      </c>
      <c r="BB522" s="18"/>
      <c r="BC522" s="18"/>
      <c r="BD522" s="18"/>
      <c r="BE522" s="18"/>
      <c r="BF522" s="18"/>
      <c r="BG522" s="18"/>
      <c r="BH522" s="18"/>
      <c r="BI522" s="18"/>
      <c r="BJ522" s="18"/>
      <c r="BK522" s="18"/>
      <c r="BL522" s="19">
        <v>0.05</v>
      </c>
      <c r="BM522" s="18"/>
      <c r="BN522" s="18"/>
      <c r="BO522" s="18"/>
      <c r="BP522" s="18"/>
      <c r="BQ522" s="18"/>
      <c r="BR522" s="18"/>
      <c r="BS522" s="18"/>
      <c r="BT522" s="18"/>
      <c r="BU522" s="18"/>
    </row>
    <row r="523" spans="3:73" x14ac:dyDescent="0.45">
      <c r="C523" t="s">
        <v>328</v>
      </c>
      <c r="D523" t="s">
        <v>250</v>
      </c>
      <c r="E523" t="s">
        <v>317</v>
      </c>
      <c r="F523" t="s">
        <v>252</v>
      </c>
      <c r="J523" s="7"/>
      <c r="K523" s="7"/>
      <c r="L523" s="7">
        <v>0.5</v>
      </c>
      <c r="M523" s="7"/>
      <c r="N523" s="7"/>
      <c r="O523" s="7"/>
      <c r="P523" s="7"/>
      <c r="Q523" s="7"/>
      <c r="R523" s="7">
        <v>0.5</v>
      </c>
      <c r="S523" s="7"/>
      <c r="T523" s="7"/>
      <c r="U523" s="7"/>
      <c r="V523" s="7"/>
      <c r="AR523" s="15" t="s">
        <v>249</v>
      </c>
      <c r="AS523" s="15" t="s">
        <v>567</v>
      </c>
      <c r="AT523" s="15" t="s">
        <v>888</v>
      </c>
      <c r="AU523" s="15"/>
      <c r="AV523" s="15"/>
      <c r="AW523" s="15"/>
      <c r="AX523" s="15"/>
      <c r="AY523" s="15"/>
      <c r="AZ523" s="18"/>
      <c r="BA523" s="19">
        <v>2.5000000000000001E-2</v>
      </c>
      <c r="BB523" s="18"/>
      <c r="BC523" s="18"/>
      <c r="BD523" s="18"/>
      <c r="BE523" s="18"/>
      <c r="BF523" s="18"/>
      <c r="BG523" s="18"/>
      <c r="BH523" s="18"/>
      <c r="BI523" s="18"/>
      <c r="BJ523" s="18"/>
      <c r="BK523" s="18"/>
      <c r="BL523" s="19">
        <v>0.05</v>
      </c>
      <c r="BM523" s="18"/>
      <c r="BN523" s="18"/>
      <c r="BO523" s="18"/>
      <c r="BP523" s="18"/>
      <c r="BQ523" s="18"/>
      <c r="BR523" s="18"/>
      <c r="BS523" s="18"/>
      <c r="BT523" s="18"/>
      <c r="BU523" s="18"/>
    </row>
    <row r="524" spans="3:73" x14ac:dyDescent="0.45">
      <c r="C524" t="s">
        <v>328</v>
      </c>
      <c r="D524" t="s">
        <v>318</v>
      </c>
      <c r="E524" t="s">
        <v>274</v>
      </c>
      <c r="G524" t="s">
        <v>319</v>
      </c>
      <c r="H524" t="s">
        <v>320</v>
      </c>
      <c r="J524" s="7"/>
      <c r="K524" s="7"/>
      <c r="L524" s="7">
        <v>1</v>
      </c>
      <c r="M524" s="7"/>
      <c r="N524" s="7"/>
      <c r="O524" s="7"/>
      <c r="P524" s="7"/>
      <c r="Q524" s="7"/>
      <c r="R524" s="7">
        <v>0.1</v>
      </c>
      <c r="S524" s="7"/>
      <c r="T524" s="7"/>
      <c r="U524" s="7">
        <v>1</v>
      </c>
      <c r="V524" s="7"/>
      <c r="AR524" s="15" t="s">
        <v>249</v>
      </c>
      <c r="AS524" s="15" t="s">
        <v>567</v>
      </c>
      <c r="AT524" s="15" t="s">
        <v>889</v>
      </c>
      <c r="AU524" s="15"/>
      <c r="AV524" s="15"/>
      <c r="AW524" s="15"/>
      <c r="AX524" s="15"/>
      <c r="AY524" s="15"/>
      <c r="AZ524" s="18"/>
      <c r="BA524" s="19">
        <v>2.5000000000000001E-2</v>
      </c>
      <c r="BB524" s="18"/>
      <c r="BC524" s="18"/>
      <c r="BD524" s="18"/>
      <c r="BE524" s="18"/>
      <c r="BF524" s="18"/>
      <c r="BG524" s="18"/>
      <c r="BH524" s="18"/>
      <c r="BI524" s="18"/>
      <c r="BJ524" s="18"/>
      <c r="BK524" s="18"/>
      <c r="BL524" s="19">
        <v>0.05</v>
      </c>
      <c r="BM524" s="18"/>
      <c r="BN524" s="18"/>
      <c r="BO524" s="18"/>
      <c r="BP524" s="18"/>
      <c r="BQ524" s="18"/>
      <c r="BR524" s="18"/>
      <c r="BS524" s="18"/>
      <c r="BT524" s="18"/>
      <c r="BU524" s="18"/>
    </row>
    <row r="525" spans="3:73" x14ac:dyDescent="0.45">
      <c r="C525" t="s">
        <v>328</v>
      </c>
      <c r="D525" t="s">
        <v>321</v>
      </c>
      <c r="E525" t="s">
        <v>251</v>
      </c>
      <c r="H525" t="s">
        <v>320</v>
      </c>
      <c r="J525" s="7"/>
      <c r="K525" s="7"/>
      <c r="L525" s="7">
        <v>0.16</v>
      </c>
      <c r="M525" s="7"/>
      <c r="N525" s="7"/>
      <c r="O525" s="7"/>
      <c r="P525" s="7"/>
      <c r="Q525" s="7"/>
      <c r="R525" s="7">
        <v>0.16</v>
      </c>
      <c r="S525" s="7"/>
      <c r="T525" s="7"/>
      <c r="U525" s="7"/>
      <c r="V525" s="7"/>
      <c r="AR525" s="15" t="s">
        <v>249</v>
      </c>
      <c r="AS525" s="15" t="s">
        <v>567</v>
      </c>
      <c r="AT525" s="15" t="s">
        <v>890</v>
      </c>
      <c r="AU525" s="15"/>
      <c r="AV525" s="15"/>
      <c r="AW525" s="15"/>
      <c r="AX525" s="15"/>
      <c r="AY525" s="15"/>
      <c r="AZ525" s="18"/>
      <c r="BA525" s="19">
        <v>2.5000000000000001E-2</v>
      </c>
      <c r="BB525" s="18"/>
      <c r="BC525" s="18"/>
      <c r="BD525" s="18"/>
      <c r="BE525" s="18"/>
      <c r="BF525" s="18"/>
      <c r="BG525" s="18"/>
      <c r="BH525" s="18"/>
      <c r="BI525" s="18"/>
      <c r="BJ525" s="18"/>
      <c r="BK525" s="18"/>
      <c r="BL525" s="19">
        <v>0.05</v>
      </c>
      <c r="BM525" s="18"/>
      <c r="BN525" s="18"/>
      <c r="BO525" s="18"/>
      <c r="BP525" s="18"/>
      <c r="BQ525" s="18"/>
      <c r="BR525" s="18"/>
      <c r="BS525" s="18"/>
      <c r="BT525" s="18"/>
      <c r="BU525" s="18"/>
    </row>
    <row r="526" spans="3:73" x14ac:dyDescent="0.45">
      <c r="C526" t="s">
        <v>328</v>
      </c>
      <c r="D526" t="s">
        <v>321</v>
      </c>
      <c r="E526" t="s">
        <v>253</v>
      </c>
      <c r="H526" t="s">
        <v>320</v>
      </c>
      <c r="J526" s="7"/>
      <c r="K526" s="7"/>
      <c r="L526" s="7">
        <v>0.16</v>
      </c>
      <c r="M526" s="7"/>
      <c r="N526" s="7"/>
      <c r="O526" s="7"/>
      <c r="P526" s="7"/>
      <c r="Q526" s="7"/>
      <c r="R526" s="7">
        <v>0.16</v>
      </c>
      <c r="S526" s="7"/>
      <c r="T526" s="7"/>
      <c r="U526" s="7"/>
      <c r="V526" s="7"/>
      <c r="AR526" s="15" t="s">
        <v>249</v>
      </c>
      <c r="AS526" s="15" t="s">
        <v>567</v>
      </c>
      <c r="AT526" s="15" t="s">
        <v>891</v>
      </c>
      <c r="AU526" s="15"/>
      <c r="AV526" s="15"/>
      <c r="AW526" s="15"/>
      <c r="AX526" s="15"/>
      <c r="AY526" s="15"/>
      <c r="AZ526" s="18"/>
      <c r="BA526" s="19">
        <v>2.5000000000000001E-2</v>
      </c>
      <c r="BB526" s="18"/>
      <c r="BC526" s="18"/>
      <c r="BD526" s="18"/>
      <c r="BE526" s="18"/>
      <c r="BF526" s="18"/>
      <c r="BG526" s="18"/>
      <c r="BH526" s="18"/>
      <c r="BI526" s="18"/>
      <c r="BJ526" s="18"/>
      <c r="BK526" s="18"/>
      <c r="BL526" s="19">
        <v>0.05</v>
      </c>
      <c r="BM526" s="18"/>
      <c r="BN526" s="18"/>
      <c r="BO526" s="18"/>
      <c r="BP526" s="18"/>
      <c r="BQ526" s="18"/>
      <c r="BR526" s="18"/>
      <c r="BS526" s="18"/>
      <c r="BT526" s="18"/>
      <c r="BU526" s="18"/>
    </row>
    <row r="527" spans="3:73" x14ac:dyDescent="0.45">
      <c r="C527" t="s">
        <v>328</v>
      </c>
      <c r="D527" t="s">
        <v>321</v>
      </c>
      <c r="E527" t="s">
        <v>254</v>
      </c>
      <c r="H527" t="s">
        <v>320</v>
      </c>
      <c r="J527" s="7"/>
      <c r="K527" s="7"/>
      <c r="L527" s="7">
        <v>0.23</v>
      </c>
      <c r="M527" s="7"/>
      <c r="N527" s="7"/>
      <c r="O527" s="7"/>
      <c r="P527" s="7"/>
      <c r="Q527" s="7"/>
      <c r="R527" s="7">
        <v>0.23</v>
      </c>
      <c r="S527" s="7"/>
      <c r="T527" s="7"/>
      <c r="U527" s="7"/>
      <c r="V527" s="7"/>
      <c r="AR527" s="15" t="s">
        <v>249</v>
      </c>
      <c r="AS527" s="15" t="s">
        <v>567</v>
      </c>
      <c r="AT527" s="15" t="s">
        <v>892</v>
      </c>
      <c r="AU527" s="15"/>
      <c r="AV527" s="15"/>
      <c r="AW527" s="15"/>
      <c r="AX527" s="15"/>
      <c r="AY527" s="15"/>
      <c r="AZ527" s="18"/>
      <c r="BA527" s="19">
        <v>2.5000000000000001E-2</v>
      </c>
      <c r="BB527" s="18"/>
      <c r="BC527" s="18"/>
      <c r="BD527" s="18"/>
      <c r="BE527" s="18"/>
      <c r="BF527" s="18"/>
      <c r="BG527" s="18"/>
      <c r="BH527" s="18"/>
      <c r="BI527" s="18"/>
      <c r="BJ527" s="18"/>
      <c r="BK527" s="18"/>
      <c r="BL527" s="19">
        <v>0.05</v>
      </c>
      <c r="BM527" s="18"/>
      <c r="BN527" s="18"/>
      <c r="BO527" s="18"/>
      <c r="BP527" s="18"/>
      <c r="BQ527" s="18"/>
      <c r="BR527" s="18"/>
      <c r="BS527" s="18"/>
      <c r="BT527" s="18"/>
      <c r="BU527" s="18"/>
    </row>
    <row r="528" spans="3:73" x14ac:dyDescent="0.45">
      <c r="C528" t="s">
        <v>328</v>
      </c>
      <c r="D528" t="s">
        <v>321</v>
      </c>
      <c r="E528" t="s">
        <v>255</v>
      </c>
      <c r="H528" t="s">
        <v>320</v>
      </c>
      <c r="J528" s="7"/>
      <c r="K528" s="7"/>
      <c r="L528" s="7">
        <v>0.25</v>
      </c>
      <c r="M528" s="7"/>
      <c r="N528" s="7"/>
      <c r="O528" s="7"/>
      <c r="P528" s="7"/>
      <c r="Q528" s="7"/>
      <c r="R528" s="7">
        <v>0.25</v>
      </c>
      <c r="S528" s="7"/>
      <c r="T528" s="7"/>
      <c r="U528" s="7"/>
      <c r="V528" s="7"/>
      <c r="AR528" s="15" t="s">
        <v>249</v>
      </c>
      <c r="AS528" s="15" t="s">
        <v>567</v>
      </c>
      <c r="AT528" s="15" t="s">
        <v>893</v>
      </c>
      <c r="AU528" s="15"/>
      <c r="AV528" s="15"/>
      <c r="AW528" s="15"/>
      <c r="AX528" s="15"/>
      <c r="AY528" s="15"/>
      <c r="AZ528" s="18"/>
      <c r="BA528" s="19">
        <v>2.5000000000000001E-2</v>
      </c>
      <c r="BB528" s="18"/>
      <c r="BC528" s="18"/>
      <c r="BD528" s="18"/>
      <c r="BE528" s="18"/>
      <c r="BF528" s="18"/>
      <c r="BG528" s="18"/>
      <c r="BH528" s="18"/>
      <c r="BI528" s="18"/>
      <c r="BJ528" s="18"/>
      <c r="BK528" s="18"/>
      <c r="BL528" s="19">
        <v>0.05</v>
      </c>
      <c r="BM528" s="18"/>
      <c r="BN528" s="18"/>
      <c r="BO528" s="18"/>
      <c r="BP528" s="18"/>
      <c r="BQ528" s="18"/>
      <c r="BR528" s="18"/>
      <c r="BS528" s="18"/>
      <c r="BT528" s="18"/>
      <c r="BU528" s="18"/>
    </row>
    <row r="529" spans="3:73" x14ac:dyDescent="0.45">
      <c r="C529" t="s">
        <v>328</v>
      </c>
      <c r="D529" t="s">
        <v>321</v>
      </c>
      <c r="E529" t="s">
        <v>256</v>
      </c>
      <c r="H529" t="s">
        <v>320</v>
      </c>
      <c r="J529" s="7"/>
      <c r="K529" s="7"/>
      <c r="L529" s="7">
        <v>0.25</v>
      </c>
      <c r="M529" s="7"/>
      <c r="N529" s="7"/>
      <c r="O529" s="7"/>
      <c r="P529" s="7"/>
      <c r="Q529" s="7"/>
      <c r="R529" s="7">
        <v>0.25</v>
      </c>
      <c r="S529" s="7"/>
      <c r="T529" s="7"/>
      <c r="U529" s="7"/>
      <c r="V529" s="7"/>
      <c r="AR529" s="15" t="s">
        <v>249</v>
      </c>
      <c r="AS529" s="15" t="s">
        <v>567</v>
      </c>
      <c r="AT529" s="15" t="s">
        <v>894</v>
      </c>
      <c r="AU529" s="15"/>
      <c r="AV529" s="15"/>
      <c r="AW529" s="15"/>
      <c r="AX529" s="15"/>
      <c r="AY529" s="15"/>
      <c r="AZ529" s="18"/>
      <c r="BA529" s="19">
        <v>2.5000000000000001E-2</v>
      </c>
      <c r="BB529" s="18"/>
      <c r="BC529" s="18"/>
      <c r="BD529" s="18"/>
      <c r="BE529" s="18"/>
      <c r="BF529" s="18"/>
      <c r="BG529" s="18"/>
      <c r="BH529" s="18"/>
      <c r="BI529" s="18"/>
      <c r="BJ529" s="18"/>
      <c r="BK529" s="18"/>
      <c r="BL529" s="19">
        <v>0.05</v>
      </c>
      <c r="BM529" s="18"/>
      <c r="BN529" s="18"/>
      <c r="BO529" s="18"/>
      <c r="BP529" s="18"/>
      <c r="BQ529" s="18"/>
      <c r="BR529" s="18"/>
      <c r="BS529" s="18"/>
      <c r="BT529" s="18"/>
      <c r="BU529" s="18"/>
    </row>
    <row r="530" spans="3:73" x14ac:dyDescent="0.45">
      <c r="C530" t="s">
        <v>328</v>
      </c>
      <c r="D530" t="s">
        <v>321</v>
      </c>
      <c r="E530" t="s">
        <v>257</v>
      </c>
      <c r="H530" t="s">
        <v>320</v>
      </c>
      <c r="J530" s="7"/>
      <c r="K530" s="7"/>
      <c r="L530" s="7">
        <v>0.02</v>
      </c>
      <c r="M530" s="7"/>
      <c r="N530" s="7"/>
      <c r="O530" s="7"/>
      <c r="P530" s="7"/>
      <c r="Q530" s="7"/>
      <c r="R530" s="7">
        <v>0.02</v>
      </c>
      <c r="S530" s="7"/>
      <c r="T530" s="7"/>
      <c r="U530" s="7"/>
      <c r="V530" s="7"/>
      <c r="AR530" s="15" t="s">
        <v>249</v>
      </c>
      <c r="AS530" s="15" t="s">
        <v>567</v>
      </c>
      <c r="AT530" s="15" t="s">
        <v>895</v>
      </c>
      <c r="AU530" s="15"/>
      <c r="AV530" s="15"/>
      <c r="AW530" s="15"/>
      <c r="AX530" s="15"/>
      <c r="AY530" s="15"/>
      <c r="AZ530" s="18"/>
      <c r="BA530" s="19">
        <v>2.5000000000000001E-2</v>
      </c>
      <c r="BB530" s="18"/>
      <c r="BC530" s="18"/>
      <c r="BD530" s="18"/>
      <c r="BE530" s="18"/>
      <c r="BF530" s="18"/>
      <c r="BG530" s="18"/>
      <c r="BH530" s="18"/>
      <c r="BI530" s="18"/>
      <c r="BJ530" s="18"/>
      <c r="BK530" s="18"/>
      <c r="BL530" s="19">
        <v>0.05</v>
      </c>
      <c r="BM530" s="18"/>
      <c r="BN530" s="18"/>
      <c r="BO530" s="18"/>
      <c r="BP530" s="18"/>
      <c r="BQ530" s="18"/>
      <c r="BR530" s="18"/>
      <c r="BS530" s="18"/>
      <c r="BT530" s="18"/>
      <c r="BU530" s="18"/>
    </row>
    <row r="531" spans="3:73" x14ac:dyDescent="0.45">
      <c r="C531" t="s">
        <v>328</v>
      </c>
      <c r="D531" t="s">
        <v>321</v>
      </c>
      <c r="E531" t="s">
        <v>258</v>
      </c>
      <c r="H531" t="s">
        <v>320</v>
      </c>
      <c r="J531" s="7"/>
      <c r="K531" s="7"/>
      <c r="L531" s="7">
        <v>0.02</v>
      </c>
      <c r="M531" s="7"/>
      <c r="N531" s="7"/>
      <c r="O531" s="7"/>
      <c r="P531" s="7"/>
      <c r="Q531" s="7"/>
      <c r="R531" s="7">
        <v>0.02</v>
      </c>
      <c r="S531" s="7"/>
      <c r="T531" s="7"/>
      <c r="U531" s="7"/>
      <c r="V531" s="7"/>
      <c r="AR531" s="15" t="s">
        <v>249</v>
      </c>
      <c r="AS531" s="15" t="s">
        <v>567</v>
      </c>
      <c r="AT531" s="15" t="s">
        <v>896</v>
      </c>
      <c r="AU531" s="15"/>
      <c r="AV531" s="15"/>
      <c r="AW531" s="15"/>
      <c r="AX531" s="15"/>
      <c r="AY531" s="15"/>
      <c r="AZ531" s="18"/>
      <c r="BA531" s="19">
        <v>2.5000000000000001E-2</v>
      </c>
      <c r="BB531" s="18"/>
      <c r="BC531" s="18"/>
      <c r="BD531" s="18"/>
      <c r="BE531" s="18"/>
      <c r="BF531" s="18"/>
      <c r="BG531" s="18"/>
      <c r="BH531" s="18"/>
      <c r="BI531" s="18"/>
      <c r="BJ531" s="18"/>
      <c r="BK531" s="18"/>
      <c r="BL531" s="19">
        <v>0.05</v>
      </c>
      <c r="BM531" s="18"/>
      <c r="BN531" s="18"/>
      <c r="BO531" s="18"/>
      <c r="BP531" s="18"/>
      <c r="BQ531" s="18"/>
      <c r="BR531" s="18"/>
      <c r="BS531" s="18"/>
      <c r="BT531" s="18"/>
      <c r="BU531" s="18"/>
    </row>
    <row r="532" spans="3:73" x14ac:dyDescent="0.45">
      <c r="C532" t="s">
        <v>328</v>
      </c>
      <c r="D532" t="s">
        <v>321</v>
      </c>
      <c r="E532" t="s">
        <v>259</v>
      </c>
      <c r="H532" t="s">
        <v>320</v>
      </c>
      <c r="J532" s="7"/>
      <c r="K532" s="7"/>
      <c r="L532" s="7">
        <v>0.02</v>
      </c>
      <c r="M532" s="7"/>
      <c r="N532" s="7"/>
      <c r="O532" s="7"/>
      <c r="P532" s="7"/>
      <c r="Q532" s="7"/>
      <c r="R532" s="7">
        <v>0.02</v>
      </c>
      <c r="S532" s="7"/>
      <c r="T532" s="7"/>
      <c r="U532" s="7"/>
      <c r="V532" s="7"/>
      <c r="AR532" s="15" t="s">
        <v>249</v>
      </c>
      <c r="AS532" s="15" t="s">
        <v>567</v>
      </c>
      <c r="AT532" s="15" t="s">
        <v>897</v>
      </c>
      <c r="AU532" s="15"/>
      <c r="AV532" s="15"/>
      <c r="AW532" s="15"/>
      <c r="AX532" s="15"/>
      <c r="AY532" s="15"/>
      <c r="AZ532" s="18"/>
      <c r="BA532" s="19">
        <v>2.5000000000000001E-2</v>
      </c>
      <c r="BB532" s="18"/>
      <c r="BC532" s="18"/>
      <c r="BD532" s="18"/>
      <c r="BE532" s="18"/>
      <c r="BF532" s="18"/>
      <c r="BG532" s="18"/>
      <c r="BH532" s="18"/>
      <c r="BI532" s="18"/>
      <c r="BJ532" s="18"/>
      <c r="BK532" s="18"/>
      <c r="BL532" s="19">
        <v>0.05</v>
      </c>
      <c r="BM532" s="18"/>
      <c r="BN532" s="18"/>
      <c r="BO532" s="18"/>
      <c r="BP532" s="18"/>
      <c r="BQ532" s="18"/>
      <c r="BR532" s="18"/>
      <c r="BS532" s="18"/>
      <c r="BT532" s="18"/>
      <c r="BU532" s="18"/>
    </row>
    <row r="533" spans="3:73" x14ac:dyDescent="0.45">
      <c r="C533" t="s">
        <v>328</v>
      </c>
      <c r="D533" t="s">
        <v>321</v>
      </c>
      <c r="E533" t="s">
        <v>260</v>
      </c>
      <c r="H533" t="s">
        <v>320</v>
      </c>
      <c r="J533" s="7"/>
      <c r="K533" s="7"/>
      <c r="L533" s="7">
        <v>0.09</v>
      </c>
      <c r="M533" s="7"/>
      <c r="N533" s="7"/>
      <c r="O533" s="7"/>
      <c r="P533" s="7"/>
      <c r="Q533" s="7"/>
      <c r="R533" s="7">
        <v>0.09</v>
      </c>
      <c r="S533" s="7"/>
      <c r="T533" s="7"/>
      <c r="U533" s="7"/>
      <c r="V533" s="7"/>
      <c r="AR533" s="15" t="s">
        <v>249</v>
      </c>
      <c r="AS533" s="15" t="s">
        <v>567</v>
      </c>
      <c r="AT533" s="15" t="s">
        <v>898</v>
      </c>
      <c r="AU533" s="15"/>
      <c r="AV533" s="15"/>
      <c r="AW533" s="15"/>
      <c r="AX533" s="15"/>
      <c r="AY533" s="15"/>
      <c r="AZ533" s="18"/>
      <c r="BA533" s="19">
        <v>2.5000000000000001E-2</v>
      </c>
      <c r="BB533" s="18"/>
      <c r="BC533" s="18"/>
      <c r="BD533" s="18"/>
      <c r="BE533" s="18"/>
      <c r="BF533" s="18"/>
      <c r="BG533" s="18"/>
      <c r="BH533" s="18"/>
      <c r="BI533" s="18"/>
      <c r="BJ533" s="18"/>
      <c r="BK533" s="18"/>
      <c r="BL533" s="19">
        <v>0.05</v>
      </c>
      <c r="BM533" s="18"/>
      <c r="BN533" s="18"/>
      <c r="BO533" s="18"/>
      <c r="BP533" s="18"/>
      <c r="BQ533" s="18"/>
      <c r="BR533" s="18"/>
      <c r="BS533" s="18"/>
      <c r="BT533" s="18"/>
      <c r="BU533" s="18"/>
    </row>
    <row r="534" spans="3:73" x14ac:dyDescent="0.45">
      <c r="C534" t="s">
        <v>328</v>
      </c>
      <c r="D534" t="s">
        <v>321</v>
      </c>
      <c r="E534" t="s">
        <v>261</v>
      </c>
      <c r="H534" t="s">
        <v>320</v>
      </c>
      <c r="J534" s="7"/>
      <c r="K534" s="7"/>
      <c r="L534" s="7">
        <v>0.09</v>
      </c>
      <c r="M534" s="7"/>
      <c r="N534" s="7"/>
      <c r="O534" s="7"/>
      <c r="P534" s="7"/>
      <c r="Q534" s="7"/>
      <c r="R534" s="7">
        <v>0.09</v>
      </c>
      <c r="S534" s="7"/>
      <c r="T534" s="7"/>
      <c r="U534" s="7"/>
      <c r="V534" s="7"/>
      <c r="AR534" s="15" t="s">
        <v>249</v>
      </c>
      <c r="AS534" s="15" t="s">
        <v>567</v>
      </c>
      <c r="AT534" s="15" t="s">
        <v>899</v>
      </c>
      <c r="AU534" s="15"/>
      <c r="AV534" s="15"/>
      <c r="AW534" s="15"/>
      <c r="AX534" s="15"/>
      <c r="AY534" s="15"/>
      <c r="AZ534" s="18"/>
      <c r="BA534" s="19">
        <v>2.5000000000000001E-2</v>
      </c>
      <c r="BB534" s="18"/>
      <c r="BC534" s="18"/>
      <c r="BD534" s="18"/>
      <c r="BE534" s="18"/>
      <c r="BF534" s="18"/>
      <c r="BG534" s="18"/>
      <c r="BH534" s="18"/>
      <c r="BI534" s="18"/>
      <c r="BJ534" s="18"/>
      <c r="BK534" s="18"/>
      <c r="BL534" s="19">
        <v>0.05</v>
      </c>
      <c r="BM534" s="18"/>
      <c r="BN534" s="18"/>
      <c r="BO534" s="18"/>
      <c r="BP534" s="18"/>
      <c r="BQ534" s="18"/>
      <c r="BR534" s="18"/>
      <c r="BS534" s="18"/>
      <c r="BT534" s="18"/>
      <c r="BU534" s="18"/>
    </row>
    <row r="535" spans="3:73" x14ac:dyDescent="0.45">
      <c r="C535" t="s">
        <v>328</v>
      </c>
      <c r="D535" t="s">
        <v>321</v>
      </c>
      <c r="E535" t="s">
        <v>262</v>
      </c>
      <c r="H535" t="s">
        <v>320</v>
      </c>
      <c r="J535" s="7"/>
      <c r="K535" s="7"/>
      <c r="L535" s="7">
        <v>0.09</v>
      </c>
      <c r="M535" s="7"/>
      <c r="N535" s="7"/>
      <c r="O535" s="7"/>
      <c r="P535" s="7"/>
      <c r="Q535" s="7"/>
      <c r="R535" s="7">
        <v>0.09</v>
      </c>
      <c r="S535" s="7"/>
      <c r="T535" s="7"/>
      <c r="U535" s="7"/>
      <c r="V535" s="7"/>
      <c r="AR535" s="15" t="s">
        <v>249</v>
      </c>
      <c r="AS535" s="15" t="s">
        <v>567</v>
      </c>
      <c r="AT535" s="15" t="s">
        <v>900</v>
      </c>
      <c r="AU535" s="15"/>
      <c r="AV535" s="15"/>
      <c r="AW535" s="15"/>
      <c r="AX535" s="15"/>
      <c r="AY535" s="15"/>
      <c r="AZ535" s="18"/>
      <c r="BA535" s="19">
        <v>2.5000000000000001E-2</v>
      </c>
      <c r="BB535" s="18"/>
      <c r="BC535" s="18"/>
      <c r="BD535" s="18"/>
      <c r="BE535" s="18"/>
      <c r="BF535" s="18"/>
      <c r="BG535" s="18"/>
      <c r="BH535" s="18"/>
      <c r="BI535" s="18"/>
      <c r="BJ535" s="18"/>
      <c r="BK535" s="18"/>
      <c r="BL535" s="19">
        <v>0.05</v>
      </c>
      <c r="BM535" s="18"/>
      <c r="BN535" s="18"/>
      <c r="BO535" s="18"/>
      <c r="BP535" s="18"/>
      <c r="BQ535" s="18"/>
      <c r="BR535" s="18"/>
      <c r="BS535" s="18"/>
      <c r="BT535" s="18"/>
      <c r="BU535" s="18"/>
    </row>
    <row r="536" spans="3:73" x14ac:dyDescent="0.45">
      <c r="C536" t="s">
        <v>328</v>
      </c>
      <c r="D536" t="s">
        <v>321</v>
      </c>
      <c r="E536" t="s">
        <v>263</v>
      </c>
      <c r="H536" t="s">
        <v>320</v>
      </c>
      <c r="J536" s="7"/>
      <c r="K536" s="7"/>
      <c r="L536" s="7">
        <v>0.09</v>
      </c>
      <c r="M536" s="7"/>
      <c r="N536" s="7"/>
      <c r="O536" s="7"/>
      <c r="P536" s="7"/>
      <c r="Q536" s="7"/>
      <c r="R536" s="7">
        <v>0.09</v>
      </c>
      <c r="S536" s="7"/>
      <c r="T536" s="7"/>
      <c r="U536" s="7"/>
      <c r="V536" s="7"/>
      <c r="AR536" s="15" t="s">
        <v>249</v>
      </c>
      <c r="AS536" s="15" t="s">
        <v>567</v>
      </c>
      <c r="AT536" s="15" t="s">
        <v>901</v>
      </c>
      <c r="AU536" s="15"/>
      <c r="AV536" s="15"/>
      <c r="AW536" s="15"/>
      <c r="AX536" s="15"/>
      <c r="AY536" s="15"/>
      <c r="AZ536" s="18"/>
      <c r="BA536" s="19">
        <v>2.5000000000000001E-2</v>
      </c>
      <c r="BB536" s="18"/>
      <c r="BC536" s="18"/>
      <c r="BD536" s="18"/>
      <c r="BE536" s="18"/>
      <c r="BF536" s="18"/>
      <c r="BG536" s="18"/>
      <c r="BH536" s="18"/>
      <c r="BI536" s="18"/>
      <c r="BJ536" s="18"/>
      <c r="BK536" s="18"/>
      <c r="BL536" s="19">
        <v>0.05</v>
      </c>
      <c r="BM536" s="18"/>
      <c r="BN536" s="18"/>
      <c r="BO536" s="18"/>
      <c r="BP536" s="18"/>
      <c r="BQ536" s="18"/>
      <c r="BR536" s="18"/>
      <c r="BS536" s="18"/>
      <c r="BT536" s="18"/>
      <c r="BU536" s="18"/>
    </row>
    <row r="537" spans="3:73" x14ac:dyDescent="0.45">
      <c r="C537" t="s">
        <v>328</v>
      </c>
      <c r="D537" t="s">
        <v>321</v>
      </c>
      <c r="E537" t="s">
        <v>264</v>
      </c>
      <c r="H537" t="s">
        <v>320</v>
      </c>
      <c r="J537" s="7"/>
      <c r="K537" s="7"/>
      <c r="L537" s="7">
        <v>0.09</v>
      </c>
      <c r="M537" s="7"/>
      <c r="N537" s="7"/>
      <c r="O537" s="7"/>
      <c r="P537" s="7"/>
      <c r="Q537" s="7"/>
      <c r="R537" s="7">
        <v>0.09</v>
      </c>
      <c r="S537" s="7"/>
      <c r="T537" s="7"/>
      <c r="U537" s="7"/>
      <c r="V537" s="7"/>
      <c r="AR537" s="15" t="s">
        <v>249</v>
      </c>
      <c r="AS537" s="15" t="s">
        <v>567</v>
      </c>
      <c r="AT537" s="15" t="s">
        <v>902</v>
      </c>
      <c r="AU537" s="15"/>
      <c r="AV537" s="15"/>
      <c r="AW537" s="15"/>
      <c r="AX537" s="15"/>
      <c r="AY537" s="15"/>
      <c r="AZ537" s="18"/>
      <c r="BA537" s="19">
        <v>2.5000000000000001E-2</v>
      </c>
      <c r="BB537" s="18"/>
      <c r="BC537" s="18"/>
      <c r="BD537" s="18"/>
      <c r="BE537" s="18"/>
      <c r="BF537" s="18"/>
      <c r="BG537" s="18"/>
      <c r="BH537" s="18"/>
      <c r="BI537" s="18"/>
      <c r="BJ537" s="18"/>
      <c r="BK537" s="18"/>
      <c r="BL537" s="19">
        <v>0.05</v>
      </c>
      <c r="BM537" s="18"/>
      <c r="BN537" s="18"/>
      <c r="BO537" s="18"/>
      <c r="BP537" s="18"/>
      <c r="BQ537" s="18"/>
      <c r="BR537" s="18"/>
      <c r="BS537" s="18"/>
      <c r="BT537" s="18"/>
      <c r="BU537" s="18"/>
    </row>
    <row r="538" spans="3:73" x14ac:dyDescent="0.45">
      <c r="C538" t="s">
        <v>328</v>
      </c>
      <c r="D538" t="s">
        <v>321</v>
      </c>
      <c r="E538" t="s">
        <v>265</v>
      </c>
      <c r="H538" t="s">
        <v>320</v>
      </c>
      <c r="J538" s="7"/>
      <c r="K538" s="7"/>
      <c r="L538" s="7">
        <v>0.09</v>
      </c>
      <c r="M538" s="7"/>
      <c r="N538" s="7"/>
      <c r="O538" s="7"/>
      <c r="P538" s="7"/>
      <c r="Q538" s="7"/>
      <c r="R538" s="7">
        <v>0.09</v>
      </c>
      <c r="S538" s="7"/>
      <c r="T538" s="7"/>
      <c r="U538" s="7"/>
      <c r="V538" s="7"/>
      <c r="AR538" s="15" t="s">
        <v>249</v>
      </c>
      <c r="AS538" s="15" t="s">
        <v>567</v>
      </c>
      <c r="AT538" s="15" t="s">
        <v>903</v>
      </c>
      <c r="AU538" s="15"/>
      <c r="AV538" s="15"/>
      <c r="AW538" s="15"/>
      <c r="AX538" s="15"/>
      <c r="AY538" s="15"/>
      <c r="AZ538" s="18"/>
      <c r="BA538" s="19">
        <v>2.5000000000000001E-2</v>
      </c>
      <c r="BB538" s="18"/>
      <c r="BC538" s="18"/>
      <c r="BD538" s="18"/>
      <c r="BE538" s="18"/>
      <c r="BF538" s="18"/>
      <c r="BG538" s="18"/>
      <c r="BH538" s="18"/>
      <c r="BI538" s="18"/>
      <c r="BJ538" s="18"/>
      <c r="BK538" s="18"/>
      <c r="BL538" s="19">
        <v>0.05</v>
      </c>
      <c r="BM538" s="18"/>
      <c r="BN538" s="18"/>
      <c r="BO538" s="18"/>
      <c r="BP538" s="18"/>
      <c r="BQ538" s="18"/>
      <c r="BR538" s="18"/>
      <c r="BS538" s="18"/>
      <c r="BT538" s="18"/>
      <c r="BU538" s="18"/>
    </row>
    <row r="539" spans="3:73" x14ac:dyDescent="0.45">
      <c r="C539" t="s">
        <v>328</v>
      </c>
      <c r="D539" t="s">
        <v>321</v>
      </c>
      <c r="E539" t="s">
        <v>266</v>
      </c>
      <c r="H539" t="s">
        <v>320</v>
      </c>
      <c r="J539" s="7"/>
      <c r="K539" s="7"/>
      <c r="L539" s="7">
        <v>0.23</v>
      </c>
      <c r="M539" s="7"/>
      <c r="N539" s="7"/>
      <c r="O539" s="7"/>
      <c r="P539" s="7"/>
      <c r="Q539" s="7"/>
      <c r="R539" s="7">
        <v>0.23</v>
      </c>
      <c r="S539" s="7"/>
      <c r="T539" s="7"/>
      <c r="U539" s="7"/>
      <c r="V539" s="7"/>
      <c r="AR539" s="15" t="s">
        <v>249</v>
      </c>
      <c r="AS539" s="15" t="s">
        <v>567</v>
      </c>
      <c r="AT539" s="15" t="s">
        <v>904</v>
      </c>
      <c r="AU539" s="15"/>
      <c r="AV539" s="15"/>
      <c r="AW539" s="15"/>
      <c r="AX539" s="15"/>
      <c r="AY539" s="15"/>
      <c r="AZ539" s="18"/>
      <c r="BA539" s="19">
        <v>2.5000000000000001E-2</v>
      </c>
      <c r="BB539" s="18"/>
      <c r="BC539" s="18"/>
      <c r="BD539" s="18"/>
      <c r="BE539" s="18"/>
      <c r="BF539" s="18"/>
      <c r="BG539" s="18"/>
      <c r="BH539" s="18"/>
      <c r="BI539" s="18"/>
      <c r="BJ539" s="18"/>
      <c r="BK539" s="18"/>
      <c r="BL539" s="19">
        <v>0.05</v>
      </c>
      <c r="BM539" s="18"/>
      <c r="BN539" s="18"/>
      <c r="BO539" s="18"/>
      <c r="BP539" s="18"/>
      <c r="BQ539" s="18"/>
      <c r="BR539" s="18"/>
      <c r="BS539" s="18"/>
      <c r="BT539" s="18"/>
      <c r="BU539" s="18"/>
    </row>
    <row r="540" spans="3:73" x14ac:dyDescent="0.45">
      <c r="C540" t="s">
        <v>328</v>
      </c>
      <c r="D540" t="s">
        <v>321</v>
      </c>
      <c r="E540" t="s">
        <v>267</v>
      </c>
      <c r="H540" t="s">
        <v>320</v>
      </c>
      <c r="J540" s="7"/>
      <c r="K540" s="7"/>
      <c r="L540" s="7">
        <v>0.23</v>
      </c>
      <c r="M540" s="7"/>
      <c r="N540" s="7"/>
      <c r="O540" s="7"/>
      <c r="P540" s="7"/>
      <c r="Q540" s="7"/>
      <c r="R540" s="7">
        <v>0.23</v>
      </c>
      <c r="S540" s="7"/>
      <c r="T540" s="7"/>
      <c r="U540" s="7"/>
      <c r="V540" s="7"/>
      <c r="AR540" s="15" t="s">
        <v>249</v>
      </c>
      <c r="AS540" s="15" t="s">
        <v>567</v>
      </c>
      <c r="AT540" s="15" t="s">
        <v>905</v>
      </c>
      <c r="AU540" s="15"/>
      <c r="AV540" s="15"/>
      <c r="AW540" s="15"/>
      <c r="AX540" s="15"/>
      <c r="AY540" s="15"/>
      <c r="AZ540" s="18"/>
      <c r="BA540" s="19">
        <v>2.5000000000000001E-2</v>
      </c>
      <c r="BB540" s="18"/>
      <c r="BC540" s="18"/>
      <c r="BD540" s="18"/>
      <c r="BE540" s="18"/>
      <c r="BF540" s="18"/>
      <c r="BG540" s="18"/>
      <c r="BH540" s="18"/>
      <c r="BI540" s="18"/>
      <c r="BJ540" s="18"/>
      <c r="BK540" s="18"/>
      <c r="BL540" s="19">
        <v>0.05</v>
      </c>
      <c r="BM540" s="18"/>
      <c r="BN540" s="18"/>
      <c r="BO540" s="18"/>
      <c r="BP540" s="18"/>
      <c r="BQ540" s="18"/>
      <c r="BR540" s="18"/>
      <c r="BS540" s="18"/>
      <c r="BT540" s="18"/>
      <c r="BU540" s="18"/>
    </row>
    <row r="541" spans="3:73" x14ac:dyDescent="0.45">
      <c r="C541" t="s">
        <v>328</v>
      </c>
      <c r="D541" t="s">
        <v>321</v>
      </c>
      <c r="E541" t="s">
        <v>268</v>
      </c>
      <c r="H541" t="s">
        <v>320</v>
      </c>
      <c r="J541" s="7"/>
      <c r="K541" s="7"/>
      <c r="L541" s="7">
        <v>0.23</v>
      </c>
      <c r="M541" s="7"/>
      <c r="N541" s="7"/>
      <c r="O541" s="7"/>
      <c r="P541" s="7"/>
      <c r="Q541" s="7"/>
      <c r="R541" s="7">
        <v>0.23</v>
      </c>
      <c r="S541" s="7"/>
      <c r="T541" s="7"/>
      <c r="U541" s="7"/>
      <c r="V541" s="7"/>
      <c r="AR541" s="15" t="s">
        <v>249</v>
      </c>
      <c r="AS541" s="15" t="s">
        <v>567</v>
      </c>
      <c r="AT541" s="15" t="s">
        <v>906</v>
      </c>
      <c r="AU541" s="15"/>
      <c r="AV541" s="15"/>
      <c r="AW541" s="15"/>
      <c r="AX541" s="15"/>
      <c r="AY541" s="15"/>
      <c r="AZ541" s="18"/>
      <c r="BA541" s="19">
        <v>2.5000000000000001E-2</v>
      </c>
      <c r="BB541" s="18"/>
      <c r="BC541" s="18"/>
      <c r="BD541" s="18"/>
      <c r="BE541" s="18"/>
      <c r="BF541" s="18"/>
      <c r="BG541" s="18"/>
      <c r="BH541" s="18"/>
      <c r="BI541" s="18"/>
      <c r="BJ541" s="18"/>
      <c r="BK541" s="18"/>
      <c r="BL541" s="19">
        <v>0.05</v>
      </c>
      <c r="BM541" s="18"/>
      <c r="BN541" s="18"/>
      <c r="BO541" s="18"/>
      <c r="BP541" s="18"/>
      <c r="BQ541" s="18"/>
      <c r="BR541" s="18"/>
      <c r="BS541" s="18"/>
      <c r="BT541" s="18"/>
      <c r="BU541" s="18"/>
    </row>
    <row r="542" spans="3:73" x14ac:dyDescent="0.45">
      <c r="C542" t="s">
        <v>328</v>
      </c>
      <c r="D542" t="s">
        <v>321</v>
      </c>
      <c r="E542" t="s">
        <v>269</v>
      </c>
      <c r="H542" t="s">
        <v>320</v>
      </c>
      <c r="J542" s="7"/>
      <c r="K542" s="7"/>
      <c r="L542" s="7">
        <v>0.23</v>
      </c>
      <c r="M542" s="7"/>
      <c r="N542" s="7"/>
      <c r="O542" s="7"/>
      <c r="P542" s="7"/>
      <c r="Q542" s="7"/>
      <c r="R542" s="7">
        <v>0.23</v>
      </c>
      <c r="S542" s="7"/>
      <c r="T542" s="7"/>
      <c r="U542" s="7"/>
      <c r="V542" s="7"/>
      <c r="AR542" s="15" t="s">
        <v>249</v>
      </c>
      <c r="AS542" s="15" t="s">
        <v>567</v>
      </c>
      <c r="AT542" s="15" t="s">
        <v>907</v>
      </c>
      <c r="AU542" s="15"/>
      <c r="AV542" s="15"/>
      <c r="AW542" s="15"/>
      <c r="AX542" s="15"/>
      <c r="AY542" s="15"/>
      <c r="AZ542" s="18"/>
      <c r="BA542" s="19">
        <v>2.5000000000000001E-2</v>
      </c>
      <c r="BB542" s="18"/>
      <c r="BC542" s="18"/>
      <c r="BD542" s="18"/>
      <c r="BE542" s="18"/>
      <c r="BF542" s="18"/>
      <c r="BG542" s="18"/>
      <c r="BH542" s="18"/>
      <c r="BI542" s="18"/>
      <c r="BJ542" s="18"/>
      <c r="BK542" s="18"/>
      <c r="BL542" s="19">
        <v>0.05</v>
      </c>
      <c r="BM542" s="18"/>
      <c r="BN542" s="18"/>
      <c r="BO542" s="18"/>
      <c r="BP542" s="18"/>
      <c r="BQ542" s="18"/>
      <c r="BR542" s="18"/>
      <c r="BS542" s="18"/>
      <c r="BT542" s="18"/>
      <c r="BU542" s="18"/>
    </row>
    <row r="543" spans="3:73" x14ac:dyDescent="0.45">
      <c r="C543" t="s">
        <v>328</v>
      </c>
      <c r="D543" t="s">
        <v>321</v>
      </c>
      <c r="E543" t="s">
        <v>270</v>
      </c>
      <c r="H543" t="s">
        <v>320</v>
      </c>
      <c r="J543" s="7"/>
      <c r="K543" s="7"/>
      <c r="L543" s="7">
        <v>0.23</v>
      </c>
      <c r="M543" s="7"/>
      <c r="N543" s="7"/>
      <c r="O543" s="7"/>
      <c r="P543" s="7"/>
      <c r="Q543" s="7"/>
      <c r="R543" s="7">
        <v>0.23</v>
      </c>
      <c r="S543" s="7"/>
      <c r="T543" s="7"/>
      <c r="U543" s="7"/>
      <c r="V543" s="7"/>
      <c r="AR543" s="15" t="s">
        <v>249</v>
      </c>
      <c r="AS543" s="15" t="s">
        <v>567</v>
      </c>
      <c r="AT543" s="15" t="s">
        <v>908</v>
      </c>
      <c r="AU543" s="15"/>
      <c r="AV543" s="15"/>
      <c r="AW543" s="15"/>
      <c r="AX543" s="15"/>
      <c r="AY543" s="15"/>
      <c r="AZ543" s="18"/>
      <c r="BA543" s="19">
        <v>2.5000000000000001E-2</v>
      </c>
      <c r="BB543" s="18"/>
      <c r="BC543" s="18"/>
      <c r="BD543" s="18"/>
      <c r="BE543" s="18"/>
      <c r="BF543" s="18"/>
      <c r="BG543" s="18"/>
      <c r="BH543" s="18"/>
      <c r="BI543" s="18"/>
      <c r="BJ543" s="18"/>
      <c r="BK543" s="18"/>
      <c r="BL543" s="19">
        <v>0.05</v>
      </c>
      <c r="BM543" s="18"/>
      <c r="BN543" s="18"/>
      <c r="BO543" s="18"/>
      <c r="BP543" s="18"/>
      <c r="BQ543" s="18"/>
      <c r="BR543" s="18"/>
      <c r="BS543" s="18"/>
      <c r="BT543" s="18"/>
      <c r="BU543" s="18"/>
    </row>
    <row r="544" spans="3:73" x14ac:dyDescent="0.45">
      <c r="C544" t="s">
        <v>328</v>
      </c>
      <c r="D544" t="s">
        <v>321</v>
      </c>
      <c r="E544" t="s">
        <v>271</v>
      </c>
      <c r="H544" t="s">
        <v>320</v>
      </c>
      <c r="J544" s="7"/>
      <c r="K544" s="7"/>
      <c r="L544" s="7">
        <v>0.23</v>
      </c>
      <c r="M544" s="7"/>
      <c r="N544" s="7"/>
      <c r="O544" s="7"/>
      <c r="P544" s="7"/>
      <c r="Q544" s="7"/>
      <c r="R544" s="7">
        <v>0.23</v>
      </c>
      <c r="S544" s="7"/>
      <c r="T544" s="7"/>
      <c r="U544" s="7"/>
      <c r="V544" s="7"/>
      <c r="AR544" s="15" t="s">
        <v>249</v>
      </c>
      <c r="AS544" s="15" t="s">
        <v>567</v>
      </c>
      <c r="AT544" s="15" t="s">
        <v>909</v>
      </c>
      <c r="AU544" s="15"/>
      <c r="AV544" s="15"/>
      <c r="AW544" s="15"/>
      <c r="AX544" s="15"/>
      <c r="AY544" s="15"/>
      <c r="AZ544" s="18"/>
      <c r="BA544" s="19">
        <v>2.5000000000000001E-2</v>
      </c>
      <c r="BB544" s="18"/>
      <c r="BC544" s="18"/>
      <c r="BD544" s="18"/>
      <c r="BE544" s="18"/>
      <c r="BF544" s="18"/>
      <c r="BG544" s="18"/>
      <c r="BH544" s="18"/>
      <c r="BI544" s="18"/>
      <c r="BJ544" s="18"/>
      <c r="BK544" s="18"/>
      <c r="BL544" s="19">
        <v>0.05</v>
      </c>
      <c r="BM544" s="18"/>
      <c r="BN544" s="18"/>
      <c r="BO544" s="18"/>
      <c r="BP544" s="18"/>
      <c r="BQ544" s="18"/>
      <c r="BR544" s="18"/>
      <c r="BS544" s="18"/>
      <c r="BT544" s="18"/>
      <c r="BU544" s="18"/>
    </row>
    <row r="545" spans="3:73" x14ac:dyDescent="0.45">
      <c r="C545" t="s">
        <v>328</v>
      </c>
      <c r="D545" t="s">
        <v>321</v>
      </c>
      <c r="E545" t="s">
        <v>272</v>
      </c>
      <c r="H545" t="s">
        <v>320</v>
      </c>
      <c r="J545" s="7"/>
      <c r="K545" s="7"/>
      <c r="L545" s="7">
        <v>0.23</v>
      </c>
      <c r="M545" s="7"/>
      <c r="N545" s="7"/>
      <c r="O545" s="7"/>
      <c r="P545" s="7"/>
      <c r="Q545" s="7"/>
      <c r="R545" s="7">
        <v>0.23</v>
      </c>
      <c r="S545" s="7"/>
      <c r="T545" s="7"/>
      <c r="U545" s="7"/>
      <c r="V545" s="7"/>
      <c r="AR545" s="15" t="s">
        <v>249</v>
      </c>
      <c r="AS545" s="15" t="s">
        <v>567</v>
      </c>
      <c r="AT545" s="15" t="s">
        <v>910</v>
      </c>
      <c r="AU545" s="15"/>
      <c r="AV545" s="15"/>
      <c r="AW545" s="15"/>
      <c r="AX545" s="15"/>
      <c r="AY545" s="15"/>
      <c r="AZ545" s="18"/>
      <c r="BA545" s="19">
        <v>2.5000000000000001E-2</v>
      </c>
      <c r="BB545" s="18"/>
      <c r="BC545" s="18"/>
      <c r="BD545" s="18"/>
      <c r="BE545" s="18"/>
      <c r="BF545" s="18"/>
      <c r="BG545" s="18"/>
      <c r="BH545" s="18"/>
      <c r="BI545" s="18"/>
      <c r="BJ545" s="18"/>
      <c r="BK545" s="18"/>
      <c r="BL545" s="19">
        <v>0.05</v>
      </c>
      <c r="BM545" s="18"/>
      <c r="BN545" s="18"/>
      <c r="BO545" s="18"/>
      <c r="BP545" s="18"/>
      <c r="BQ545" s="18"/>
      <c r="BR545" s="18"/>
      <c r="BS545" s="18"/>
      <c r="BT545" s="18"/>
      <c r="BU545" s="18"/>
    </row>
    <row r="546" spans="3:73" x14ac:dyDescent="0.45">
      <c r="C546" t="s">
        <v>328</v>
      </c>
      <c r="D546" t="s">
        <v>321</v>
      </c>
      <c r="E546" t="s">
        <v>273</v>
      </c>
      <c r="H546" t="s">
        <v>320</v>
      </c>
      <c r="J546" s="7"/>
      <c r="K546" s="7"/>
      <c r="L546" s="7">
        <v>1</v>
      </c>
      <c r="M546" s="7"/>
      <c r="N546" s="7"/>
      <c r="O546" s="7"/>
      <c r="P546" s="7"/>
      <c r="Q546" s="7"/>
      <c r="R546" s="7">
        <v>1</v>
      </c>
      <c r="S546" s="7"/>
      <c r="T546" s="7"/>
      <c r="U546" s="7"/>
      <c r="V546" s="7"/>
      <c r="AR546" s="15" t="s">
        <v>249</v>
      </c>
      <c r="AS546" s="15" t="s">
        <v>567</v>
      </c>
      <c r="AT546" s="15" t="s">
        <v>911</v>
      </c>
      <c r="AU546" s="15"/>
      <c r="AV546" s="15"/>
      <c r="AW546" s="15"/>
      <c r="AX546" s="15"/>
      <c r="AY546" s="15"/>
      <c r="AZ546" s="18"/>
      <c r="BA546" s="19">
        <v>2.5000000000000001E-2</v>
      </c>
      <c r="BB546" s="18"/>
      <c r="BC546" s="18"/>
      <c r="BD546" s="18"/>
      <c r="BE546" s="18"/>
      <c r="BF546" s="18"/>
      <c r="BG546" s="18"/>
      <c r="BH546" s="18"/>
      <c r="BI546" s="18"/>
      <c r="BJ546" s="18"/>
      <c r="BK546" s="18"/>
      <c r="BL546" s="19">
        <v>0.05</v>
      </c>
      <c r="BM546" s="18"/>
      <c r="BN546" s="18"/>
      <c r="BO546" s="18"/>
      <c r="BP546" s="18"/>
      <c r="BQ546" s="18"/>
      <c r="BR546" s="18"/>
      <c r="BS546" s="18"/>
      <c r="BT546" s="18"/>
      <c r="BU546" s="18"/>
    </row>
    <row r="547" spans="3:73" x14ac:dyDescent="0.45">
      <c r="C547" t="s">
        <v>328</v>
      </c>
      <c r="D547" t="s">
        <v>321</v>
      </c>
      <c r="E547" t="s">
        <v>274</v>
      </c>
      <c r="H547" t="s">
        <v>320</v>
      </c>
      <c r="J547" s="7"/>
      <c r="K547" s="7"/>
      <c r="L547" s="7">
        <v>1</v>
      </c>
      <c r="M547" s="7"/>
      <c r="N547" s="7"/>
      <c r="O547" s="7"/>
      <c r="P547" s="7"/>
      <c r="Q547" s="7"/>
      <c r="R547" s="7">
        <v>1</v>
      </c>
      <c r="S547" s="7"/>
      <c r="T547" s="7"/>
      <c r="U547" s="7"/>
      <c r="V547" s="7"/>
      <c r="AR547" s="15" t="s">
        <v>249</v>
      </c>
      <c r="AS547" s="15" t="s">
        <v>567</v>
      </c>
      <c r="AT547" s="15" t="s">
        <v>912</v>
      </c>
      <c r="AU547" s="15"/>
      <c r="AV547" s="15"/>
      <c r="AW547" s="15"/>
      <c r="AX547" s="15"/>
      <c r="AY547" s="15"/>
      <c r="AZ547" s="18"/>
      <c r="BA547" s="19">
        <v>2.5000000000000001E-2</v>
      </c>
      <c r="BB547" s="18"/>
      <c r="BC547" s="18"/>
      <c r="BD547" s="18"/>
      <c r="BE547" s="18"/>
      <c r="BF547" s="18"/>
      <c r="BG547" s="18"/>
      <c r="BH547" s="18"/>
      <c r="BI547" s="18"/>
      <c r="BJ547" s="18"/>
      <c r="BK547" s="18"/>
      <c r="BL547" s="19">
        <v>0.05</v>
      </c>
      <c r="BM547" s="18"/>
      <c r="BN547" s="18"/>
      <c r="BO547" s="18"/>
      <c r="BP547" s="18"/>
      <c r="BQ547" s="18"/>
      <c r="BR547" s="18"/>
      <c r="BS547" s="18"/>
      <c r="BT547" s="18"/>
      <c r="BU547" s="18"/>
    </row>
    <row r="548" spans="3:73" x14ac:dyDescent="0.45">
      <c r="C548" t="s">
        <v>328</v>
      </c>
      <c r="D548" t="s">
        <v>321</v>
      </c>
      <c r="E548" t="s">
        <v>275</v>
      </c>
      <c r="H548" t="s">
        <v>320</v>
      </c>
      <c r="J548" s="7"/>
      <c r="K548" s="7"/>
      <c r="L548" s="7">
        <v>0.23</v>
      </c>
      <c r="M548" s="7"/>
      <c r="N548" s="7"/>
      <c r="O548" s="7"/>
      <c r="P548" s="7"/>
      <c r="Q548" s="7"/>
      <c r="R548" s="7">
        <v>0.23</v>
      </c>
      <c r="S548" s="7"/>
      <c r="T548" s="7"/>
      <c r="U548" s="7"/>
      <c r="V548" s="7"/>
      <c r="AR548" s="15" t="s">
        <v>249</v>
      </c>
      <c r="AS548" s="15" t="s">
        <v>567</v>
      </c>
      <c r="AT548" s="15" t="s">
        <v>913</v>
      </c>
      <c r="AU548" s="15"/>
      <c r="AV548" s="15"/>
      <c r="AW548" s="15"/>
      <c r="AX548" s="15"/>
      <c r="AY548" s="15"/>
      <c r="AZ548" s="18"/>
      <c r="BA548" s="19">
        <v>2.5000000000000001E-2</v>
      </c>
      <c r="BB548" s="18"/>
      <c r="BC548" s="18"/>
      <c r="BD548" s="18"/>
      <c r="BE548" s="18"/>
      <c r="BF548" s="18"/>
      <c r="BG548" s="18"/>
      <c r="BH548" s="18"/>
      <c r="BI548" s="18"/>
      <c r="BJ548" s="18"/>
      <c r="BK548" s="18"/>
      <c r="BL548" s="19">
        <v>0.05</v>
      </c>
      <c r="BM548" s="18"/>
      <c r="BN548" s="18"/>
      <c r="BO548" s="18"/>
      <c r="BP548" s="18"/>
      <c r="BQ548" s="18"/>
      <c r="BR548" s="18"/>
      <c r="BS548" s="18"/>
      <c r="BT548" s="18"/>
      <c r="BU548" s="18"/>
    </row>
    <row r="549" spans="3:73" x14ac:dyDescent="0.45">
      <c r="C549" t="s">
        <v>328</v>
      </c>
      <c r="D549" t="s">
        <v>321</v>
      </c>
      <c r="E549" t="s">
        <v>276</v>
      </c>
      <c r="H549" t="s">
        <v>320</v>
      </c>
      <c r="J549" s="7"/>
      <c r="K549" s="7"/>
      <c r="L549" s="7">
        <v>1</v>
      </c>
      <c r="M549" s="7"/>
      <c r="N549" s="7"/>
      <c r="O549" s="7"/>
      <c r="P549" s="7"/>
      <c r="Q549" s="7"/>
      <c r="R549" s="7">
        <v>1</v>
      </c>
      <c r="S549" s="7"/>
      <c r="T549" s="7"/>
      <c r="U549" s="7"/>
      <c r="V549" s="7"/>
      <c r="AR549" s="15" t="s">
        <v>249</v>
      </c>
      <c r="AS549" s="15" t="s">
        <v>567</v>
      </c>
      <c r="AT549" s="15" t="s">
        <v>914</v>
      </c>
      <c r="AU549" s="15"/>
      <c r="AV549" s="15"/>
      <c r="AW549" s="15"/>
      <c r="AX549" s="15"/>
      <c r="AY549" s="15"/>
      <c r="AZ549" s="18"/>
      <c r="BA549" s="19">
        <v>2.5000000000000001E-2</v>
      </c>
      <c r="BB549" s="18"/>
      <c r="BC549" s="18"/>
      <c r="BD549" s="18"/>
      <c r="BE549" s="18"/>
      <c r="BF549" s="18"/>
      <c r="BG549" s="18"/>
      <c r="BH549" s="18"/>
      <c r="BI549" s="18"/>
      <c r="BJ549" s="18"/>
      <c r="BK549" s="18"/>
      <c r="BL549" s="19">
        <v>0.05</v>
      </c>
      <c r="BM549" s="18"/>
      <c r="BN549" s="18"/>
      <c r="BO549" s="18"/>
      <c r="BP549" s="18"/>
      <c r="BQ549" s="18"/>
      <c r="BR549" s="18"/>
      <c r="BS549" s="18"/>
      <c r="BT549" s="18"/>
      <c r="BU549" s="18"/>
    </row>
    <row r="550" spans="3:73" x14ac:dyDescent="0.45">
      <c r="C550" t="s">
        <v>328</v>
      </c>
      <c r="D550" t="s">
        <v>321</v>
      </c>
      <c r="E550" t="s">
        <v>277</v>
      </c>
      <c r="H550" t="s">
        <v>320</v>
      </c>
      <c r="J550" s="7"/>
      <c r="K550" s="7"/>
      <c r="L550" s="7">
        <v>0.23</v>
      </c>
      <c r="M550" s="7"/>
      <c r="N550" s="7"/>
      <c r="O550" s="7"/>
      <c r="P550" s="7"/>
      <c r="Q550" s="7"/>
      <c r="R550" s="7">
        <v>0.23</v>
      </c>
      <c r="S550" s="7"/>
      <c r="T550" s="7"/>
      <c r="U550" s="7"/>
      <c r="V550" s="7"/>
      <c r="AR550" s="15" t="s">
        <v>249</v>
      </c>
      <c r="AS550" s="15" t="s">
        <v>567</v>
      </c>
      <c r="AT550" s="15" t="s">
        <v>915</v>
      </c>
      <c r="AU550" s="15"/>
      <c r="AV550" s="15"/>
      <c r="AW550" s="15"/>
      <c r="AX550" s="15"/>
      <c r="AY550" s="15"/>
      <c r="AZ550" s="18"/>
      <c r="BA550" s="19">
        <v>2.5000000000000001E-2</v>
      </c>
      <c r="BB550" s="18"/>
      <c r="BC550" s="18"/>
      <c r="BD550" s="18"/>
      <c r="BE550" s="18"/>
      <c r="BF550" s="18"/>
      <c r="BG550" s="18"/>
      <c r="BH550" s="18"/>
      <c r="BI550" s="18"/>
      <c r="BJ550" s="18"/>
      <c r="BK550" s="18"/>
      <c r="BL550" s="19">
        <v>0.05</v>
      </c>
      <c r="BM550" s="18"/>
      <c r="BN550" s="18"/>
      <c r="BO550" s="18"/>
      <c r="BP550" s="18"/>
      <c r="BQ550" s="18"/>
      <c r="BR550" s="18"/>
      <c r="BS550" s="18"/>
      <c r="BT550" s="18"/>
      <c r="BU550" s="18"/>
    </row>
    <row r="551" spans="3:73" x14ac:dyDescent="0.45">
      <c r="C551" t="s">
        <v>328</v>
      </c>
      <c r="D551" t="s">
        <v>321</v>
      </c>
      <c r="E551" t="s">
        <v>278</v>
      </c>
      <c r="H551" t="s">
        <v>320</v>
      </c>
      <c r="J551" s="7"/>
      <c r="K551" s="7"/>
      <c r="L551" s="7">
        <v>0.15</v>
      </c>
      <c r="M551" s="7"/>
      <c r="N551" s="7"/>
      <c r="O551" s="7"/>
      <c r="P551" s="7"/>
      <c r="Q551" s="7"/>
      <c r="R551" s="7">
        <v>0.15</v>
      </c>
      <c r="S551" s="7"/>
      <c r="T551" s="7"/>
      <c r="U551" s="7"/>
      <c r="V551" s="7"/>
      <c r="AR551" s="15" t="s">
        <v>249</v>
      </c>
      <c r="AS551" s="15" t="s">
        <v>567</v>
      </c>
      <c r="AT551" s="15" t="s">
        <v>916</v>
      </c>
      <c r="AU551" s="15"/>
      <c r="AV551" s="15"/>
      <c r="AW551" s="15"/>
      <c r="AX551" s="15"/>
      <c r="AY551" s="15"/>
      <c r="AZ551" s="18"/>
      <c r="BA551" s="19">
        <v>2.5000000000000001E-2</v>
      </c>
      <c r="BB551" s="18"/>
      <c r="BC551" s="18"/>
      <c r="BD551" s="18"/>
      <c r="BE551" s="18"/>
      <c r="BF551" s="18"/>
      <c r="BG551" s="18"/>
      <c r="BH551" s="18"/>
      <c r="BI551" s="18"/>
      <c r="BJ551" s="18"/>
      <c r="BK551" s="18"/>
      <c r="BL551" s="19">
        <v>0.05</v>
      </c>
      <c r="BM551" s="18"/>
      <c r="BN551" s="18"/>
      <c r="BO551" s="18"/>
      <c r="BP551" s="18"/>
      <c r="BQ551" s="18"/>
      <c r="BR551" s="18"/>
      <c r="BS551" s="18"/>
      <c r="BT551" s="18"/>
      <c r="BU551" s="18"/>
    </row>
    <row r="552" spans="3:73" x14ac:dyDescent="0.45">
      <c r="C552" t="s">
        <v>328</v>
      </c>
      <c r="D552" t="s">
        <v>321</v>
      </c>
      <c r="E552" t="s">
        <v>279</v>
      </c>
      <c r="H552" t="s">
        <v>320</v>
      </c>
      <c r="J552" s="7"/>
      <c r="K552" s="7"/>
      <c r="L552" s="7">
        <v>0.15</v>
      </c>
      <c r="M552" s="7"/>
      <c r="N552" s="7"/>
      <c r="O552" s="7"/>
      <c r="P552" s="7"/>
      <c r="Q552" s="7"/>
      <c r="R552" s="7">
        <v>0.15</v>
      </c>
      <c r="S552" s="7"/>
      <c r="T552" s="7"/>
      <c r="U552" s="7"/>
      <c r="V552" s="7"/>
      <c r="AR552" s="15" t="s">
        <v>249</v>
      </c>
      <c r="AS552" s="15" t="s">
        <v>567</v>
      </c>
      <c r="AT552" s="15" t="s">
        <v>917</v>
      </c>
      <c r="AU552" s="15"/>
      <c r="AV552" s="15"/>
      <c r="AW552" s="15"/>
      <c r="AX552" s="15"/>
      <c r="AY552" s="15"/>
      <c r="AZ552" s="18"/>
      <c r="BA552" s="19">
        <v>2.5000000000000001E-2</v>
      </c>
      <c r="BB552" s="18"/>
      <c r="BC552" s="18"/>
      <c r="BD552" s="18"/>
      <c r="BE552" s="18"/>
      <c r="BF552" s="18"/>
      <c r="BG552" s="18"/>
      <c r="BH552" s="18"/>
      <c r="BI552" s="18"/>
      <c r="BJ552" s="18"/>
      <c r="BK552" s="18"/>
      <c r="BL552" s="19">
        <v>0.05</v>
      </c>
      <c r="BM552" s="18"/>
      <c r="BN552" s="18"/>
      <c r="BO552" s="18"/>
      <c r="BP552" s="18"/>
      <c r="BQ552" s="18"/>
      <c r="BR552" s="18"/>
      <c r="BS552" s="18"/>
      <c r="BT552" s="18"/>
      <c r="BU552" s="18"/>
    </row>
    <row r="553" spans="3:73" x14ac:dyDescent="0.45">
      <c r="C553" t="s">
        <v>328</v>
      </c>
      <c r="D553" t="s">
        <v>321</v>
      </c>
      <c r="E553" t="s">
        <v>280</v>
      </c>
      <c r="H553" t="s">
        <v>320</v>
      </c>
      <c r="J553" s="7"/>
      <c r="K553" s="7"/>
      <c r="L553" s="7">
        <v>0.15</v>
      </c>
      <c r="M553" s="7"/>
      <c r="N553" s="7"/>
      <c r="O553" s="7"/>
      <c r="P553" s="7"/>
      <c r="Q553" s="7"/>
      <c r="R553" s="7">
        <v>0.15</v>
      </c>
      <c r="S553" s="7"/>
      <c r="T553" s="7"/>
      <c r="U553" s="7"/>
      <c r="V553" s="7"/>
      <c r="AR553" s="15" t="s">
        <v>249</v>
      </c>
      <c r="AS553" s="15" t="s">
        <v>567</v>
      </c>
      <c r="AT553" s="15" t="s">
        <v>918</v>
      </c>
      <c r="AU553" s="15"/>
      <c r="AV553" s="15"/>
      <c r="AW553" s="15"/>
      <c r="AX553" s="15"/>
      <c r="AY553" s="15"/>
      <c r="AZ553" s="18"/>
      <c r="BA553" s="19">
        <v>2.5000000000000001E-2</v>
      </c>
      <c r="BB553" s="18"/>
      <c r="BC553" s="18"/>
      <c r="BD553" s="18"/>
      <c r="BE553" s="18"/>
      <c r="BF553" s="18"/>
      <c r="BG553" s="18"/>
      <c r="BH553" s="18"/>
      <c r="BI553" s="18"/>
      <c r="BJ553" s="18"/>
      <c r="BK553" s="18"/>
      <c r="BL553" s="19">
        <v>0.05</v>
      </c>
      <c r="BM553" s="18"/>
      <c r="BN553" s="18"/>
      <c r="BO553" s="18"/>
      <c r="BP553" s="18"/>
      <c r="BQ553" s="18"/>
      <c r="BR553" s="18"/>
      <c r="BS553" s="18"/>
      <c r="BT553" s="18"/>
      <c r="BU553" s="18"/>
    </row>
    <row r="554" spans="3:73" x14ac:dyDescent="0.45">
      <c r="C554" t="s">
        <v>328</v>
      </c>
      <c r="D554" t="s">
        <v>321</v>
      </c>
      <c r="E554" t="s">
        <v>281</v>
      </c>
      <c r="H554" t="s">
        <v>320</v>
      </c>
      <c r="J554" s="7"/>
      <c r="K554" s="7"/>
      <c r="L554" s="7">
        <v>0.15</v>
      </c>
      <c r="M554" s="7"/>
      <c r="N554" s="7"/>
      <c r="O554" s="7"/>
      <c r="P554" s="7"/>
      <c r="Q554" s="7"/>
      <c r="R554" s="7">
        <v>0.15</v>
      </c>
      <c r="S554" s="7"/>
      <c r="T554" s="7"/>
      <c r="U554" s="7"/>
      <c r="V554" s="7"/>
      <c r="AR554" s="15" t="s">
        <v>249</v>
      </c>
      <c r="AS554" s="15" t="s">
        <v>567</v>
      </c>
      <c r="AT554" s="15" t="s">
        <v>919</v>
      </c>
      <c r="AU554" s="15"/>
      <c r="AV554" s="15"/>
      <c r="AW554" s="15"/>
      <c r="AX554" s="15"/>
      <c r="AY554" s="15"/>
      <c r="AZ554" s="18"/>
      <c r="BA554" s="19">
        <v>2.5000000000000001E-2</v>
      </c>
      <c r="BB554" s="18"/>
      <c r="BC554" s="18"/>
      <c r="BD554" s="18"/>
      <c r="BE554" s="18"/>
      <c r="BF554" s="18"/>
      <c r="BG554" s="18"/>
      <c r="BH554" s="18"/>
      <c r="BI554" s="18"/>
      <c r="BJ554" s="18"/>
      <c r="BK554" s="18"/>
      <c r="BL554" s="19">
        <v>0.05</v>
      </c>
      <c r="BM554" s="18"/>
      <c r="BN554" s="18"/>
      <c r="BO554" s="18"/>
      <c r="BP554" s="18"/>
      <c r="BQ554" s="18"/>
      <c r="BR554" s="18"/>
      <c r="BS554" s="18"/>
      <c r="BT554" s="18"/>
      <c r="BU554" s="18"/>
    </row>
    <row r="555" spans="3:73" x14ac:dyDescent="0.45">
      <c r="C555" t="s">
        <v>328</v>
      </c>
      <c r="D555" t="s">
        <v>321</v>
      </c>
      <c r="E555" t="s">
        <v>282</v>
      </c>
      <c r="H555" t="s">
        <v>320</v>
      </c>
      <c r="J555" s="7"/>
      <c r="K555" s="7"/>
      <c r="L555" s="7">
        <v>0.15</v>
      </c>
      <c r="M555" s="7"/>
      <c r="N555" s="7"/>
      <c r="O555" s="7"/>
      <c r="P555" s="7"/>
      <c r="Q555" s="7"/>
      <c r="R555" s="7">
        <v>0.15</v>
      </c>
      <c r="S555" s="7"/>
      <c r="T555" s="7"/>
      <c r="U555" s="7"/>
      <c r="V555" s="7"/>
      <c r="AR555" s="15" t="s">
        <v>249</v>
      </c>
      <c r="AS555" s="15" t="s">
        <v>567</v>
      </c>
      <c r="AT555" s="15" t="s">
        <v>920</v>
      </c>
      <c r="AU555" s="15"/>
      <c r="AV555" s="15"/>
      <c r="AW555" s="15"/>
      <c r="AX555" s="15"/>
      <c r="AY555" s="15"/>
      <c r="AZ555" s="18"/>
      <c r="BA555" s="19">
        <v>2.5000000000000001E-2</v>
      </c>
      <c r="BB555" s="18"/>
      <c r="BC555" s="18"/>
      <c r="BD555" s="18"/>
      <c r="BE555" s="18"/>
      <c r="BF555" s="18"/>
      <c r="BG555" s="18"/>
      <c r="BH555" s="18"/>
      <c r="BI555" s="18"/>
      <c r="BJ555" s="18"/>
      <c r="BK555" s="18"/>
      <c r="BL555" s="19">
        <v>0.05</v>
      </c>
      <c r="BM555" s="18"/>
      <c r="BN555" s="18"/>
      <c r="BO555" s="18"/>
      <c r="BP555" s="18"/>
      <c r="BQ555" s="18"/>
      <c r="BR555" s="18"/>
      <c r="BS555" s="18"/>
      <c r="BT555" s="18"/>
      <c r="BU555" s="18"/>
    </row>
    <row r="556" spans="3:73" x14ac:dyDescent="0.45">
      <c r="C556" t="s">
        <v>328</v>
      </c>
      <c r="D556" t="s">
        <v>321</v>
      </c>
      <c r="E556" t="s">
        <v>283</v>
      </c>
      <c r="H556" t="s">
        <v>320</v>
      </c>
      <c r="J556" s="7"/>
      <c r="K556" s="7"/>
      <c r="L556" s="7">
        <v>0.15</v>
      </c>
      <c r="M556" s="7"/>
      <c r="N556" s="7"/>
      <c r="O556" s="7"/>
      <c r="P556" s="7"/>
      <c r="Q556" s="7"/>
      <c r="R556" s="7">
        <v>0.15</v>
      </c>
      <c r="S556" s="7"/>
      <c r="T556" s="7"/>
      <c r="U556" s="7"/>
      <c r="V556" s="7"/>
      <c r="AR556" s="15" t="s">
        <v>249</v>
      </c>
      <c r="AS556" s="15" t="s">
        <v>567</v>
      </c>
      <c r="AT556" s="15" t="s">
        <v>921</v>
      </c>
      <c r="AU556" s="15"/>
      <c r="AV556" s="15"/>
      <c r="AW556" s="15"/>
      <c r="AX556" s="15"/>
      <c r="AY556" s="15"/>
      <c r="AZ556" s="18"/>
      <c r="BA556" s="19">
        <v>2.5000000000000001E-2</v>
      </c>
      <c r="BB556" s="18"/>
      <c r="BC556" s="18"/>
      <c r="BD556" s="18"/>
      <c r="BE556" s="18"/>
      <c r="BF556" s="18"/>
      <c r="BG556" s="18"/>
      <c r="BH556" s="18"/>
      <c r="BI556" s="18"/>
      <c r="BJ556" s="18"/>
      <c r="BK556" s="18"/>
      <c r="BL556" s="19">
        <v>0.05</v>
      </c>
      <c r="BM556" s="18"/>
      <c r="BN556" s="18"/>
      <c r="BO556" s="18"/>
      <c r="BP556" s="18"/>
      <c r="BQ556" s="18"/>
      <c r="BR556" s="18"/>
      <c r="BS556" s="18"/>
      <c r="BT556" s="18"/>
      <c r="BU556" s="18"/>
    </row>
    <row r="557" spans="3:73" x14ac:dyDescent="0.45">
      <c r="C557" t="s">
        <v>328</v>
      </c>
      <c r="D557" t="s">
        <v>321</v>
      </c>
      <c r="E557" t="s">
        <v>284</v>
      </c>
      <c r="H557" t="s">
        <v>320</v>
      </c>
      <c r="J557" s="7"/>
      <c r="K557" s="7"/>
      <c r="L557" s="7">
        <v>0.15</v>
      </c>
      <c r="M557" s="7"/>
      <c r="N557" s="7"/>
      <c r="O557" s="7"/>
      <c r="P557" s="7"/>
      <c r="Q557" s="7"/>
      <c r="R557" s="7">
        <v>0.15</v>
      </c>
      <c r="S557" s="7"/>
      <c r="T557" s="7"/>
      <c r="U557" s="7"/>
      <c r="V557" s="7"/>
      <c r="AR557" s="15" t="s">
        <v>249</v>
      </c>
      <c r="AS557" s="15" t="s">
        <v>567</v>
      </c>
      <c r="AT557" s="15" t="s">
        <v>922</v>
      </c>
      <c r="AU557" s="15"/>
      <c r="AV557" s="15"/>
      <c r="AW557" s="15"/>
      <c r="AX557" s="15"/>
      <c r="AY557" s="15"/>
      <c r="AZ557" s="18"/>
      <c r="BA557" s="19">
        <v>2.5000000000000001E-2</v>
      </c>
      <c r="BB557" s="18"/>
      <c r="BC557" s="18"/>
      <c r="BD557" s="18"/>
      <c r="BE557" s="18"/>
      <c r="BF557" s="18"/>
      <c r="BG557" s="18"/>
      <c r="BH557" s="18"/>
      <c r="BI557" s="18"/>
      <c r="BJ557" s="18"/>
      <c r="BK557" s="18"/>
      <c r="BL557" s="19">
        <v>0.05</v>
      </c>
      <c r="BM557" s="18"/>
      <c r="BN557" s="18"/>
      <c r="BO557" s="18"/>
      <c r="BP557" s="18"/>
      <c r="BQ557" s="18"/>
      <c r="BR557" s="18"/>
      <c r="BS557" s="18"/>
      <c r="BT557" s="18"/>
      <c r="BU557" s="18"/>
    </row>
    <row r="558" spans="3:73" x14ac:dyDescent="0.45">
      <c r="C558" t="s">
        <v>328</v>
      </c>
      <c r="D558" t="s">
        <v>321</v>
      </c>
      <c r="E558" t="s">
        <v>285</v>
      </c>
      <c r="H558" t="s">
        <v>320</v>
      </c>
      <c r="J558" s="7"/>
      <c r="K558" s="7"/>
      <c r="L558" s="7">
        <v>0.16</v>
      </c>
      <c r="M558" s="7"/>
      <c r="N558" s="7"/>
      <c r="O558" s="7"/>
      <c r="P558" s="7"/>
      <c r="Q558" s="7"/>
      <c r="R558" s="7">
        <v>0.16</v>
      </c>
      <c r="S558" s="7"/>
      <c r="T558" s="7"/>
      <c r="U558" s="7"/>
      <c r="V558" s="7"/>
      <c r="AR558" s="15" t="s">
        <v>249</v>
      </c>
      <c r="AS558" s="15" t="s">
        <v>567</v>
      </c>
      <c r="AT558" s="15" t="s">
        <v>923</v>
      </c>
      <c r="AU558" s="15"/>
      <c r="AV558" s="15"/>
      <c r="AW558" s="15"/>
      <c r="AX558" s="15"/>
      <c r="AY558" s="15"/>
      <c r="AZ558" s="18"/>
      <c r="BA558" s="19">
        <v>2.5000000000000001E-2</v>
      </c>
      <c r="BB558" s="18"/>
      <c r="BC558" s="18"/>
      <c r="BD558" s="18"/>
      <c r="BE558" s="18"/>
      <c r="BF558" s="18"/>
      <c r="BG558" s="18"/>
      <c r="BH558" s="18"/>
      <c r="BI558" s="18"/>
      <c r="BJ558" s="18"/>
      <c r="BK558" s="18"/>
      <c r="BL558" s="19">
        <v>0.05</v>
      </c>
      <c r="BM558" s="18"/>
      <c r="BN558" s="18"/>
      <c r="BO558" s="18"/>
      <c r="BP558" s="18"/>
      <c r="BQ558" s="18"/>
      <c r="BR558" s="18"/>
      <c r="BS558" s="18"/>
      <c r="BT558" s="18"/>
      <c r="BU558" s="18"/>
    </row>
    <row r="559" spans="3:73" x14ac:dyDescent="0.45">
      <c r="C559" t="s">
        <v>328</v>
      </c>
      <c r="D559" t="s">
        <v>321</v>
      </c>
      <c r="E559" t="s">
        <v>286</v>
      </c>
      <c r="H559" t="s">
        <v>320</v>
      </c>
      <c r="J559" s="7"/>
      <c r="K559" s="7"/>
      <c r="L559" s="7">
        <v>0.16</v>
      </c>
      <c r="M559" s="7"/>
      <c r="N559" s="7"/>
      <c r="O559" s="7"/>
      <c r="P559" s="7"/>
      <c r="Q559" s="7"/>
      <c r="R559" s="7">
        <v>0.16</v>
      </c>
      <c r="S559" s="7"/>
      <c r="T559" s="7"/>
      <c r="U559" s="7"/>
      <c r="V559" s="7"/>
      <c r="AR559" s="15" t="s">
        <v>249</v>
      </c>
      <c r="AS559" s="15" t="s">
        <v>567</v>
      </c>
      <c r="AT559" s="15" t="s">
        <v>924</v>
      </c>
      <c r="AU559" s="15"/>
      <c r="AV559" s="15"/>
      <c r="AW559" s="15"/>
      <c r="AX559" s="15"/>
      <c r="AY559" s="15"/>
      <c r="AZ559" s="18"/>
      <c r="BA559" s="19">
        <v>2.5000000000000001E-2</v>
      </c>
      <c r="BB559" s="18"/>
      <c r="BC559" s="18"/>
      <c r="BD559" s="18"/>
      <c r="BE559" s="18"/>
      <c r="BF559" s="18"/>
      <c r="BG559" s="18"/>
      <c r="BH559" s="18"/>
      <c r="BI559" s="18"/>
      <c r="BJ559" s="18"/>
      <c r="BK559" s="18"/>
      <c r="BL559" s="19">
        <v>0.05</v>
      </c>
      <c r="BM559" s="18"/>
      <c r="BN559" s="18"/>
      <c r="BO559" s="18"/>
      <c r="BP559" s="18"/>
      <c r="BQ559" s="18"/>
      <c r="BR559" s="18"/>
      <c r="BS559" s="18"/>
      <c r="BT559" s="18"/>
      <c r="BU559" s="18"/>
    </row>
    <row r="560" spans="3:73" x14ac:dyDescent="0.45">
      <c r="C560" t="s">
        <v>328</v>
      </c>
      <c r="D560" t="s">
        <v>321</v>
      </c>
      <c r="E560" t="s">
        <v>287</v>
      </c>
      <c r="H560" t="s">
        <v>320</v>
      </c>
      <c r="J560" s="7"/>
      <c r="K560" s="7"/>
      <c r="L560" s="7">
        <v>0.23</v>
      </c>
      <c r="M560" s="7"/>
      <c r="N560" s="7"/>
      <c r="O560" s="7"/>
      <c r="P560" s="7"/>
      <c r="Q560" s="7"/>
      <c r="R560" s="7">
        <v>0.23</v>
      </c>
      <c r="S560" s="7"/>
      <c r="T560" s="7"/>
      <c r="U560" s="7"/>
      <c r="V560" s="7"/>
      <c r="AR560" s="15" t="s">
        <v>249</v>
      </c>
      <c r="AS560" s="15" t="s">
        <v>567</v>
      </c>
      <c r="AT560" s="15" t="s">
        <v>925</v>
      </c>
      <c r="AU560" s="15"/>
      <c r="AV560" s="15"/>
      <c r="AW560" s="15"/>
      <c r="AX560" s="15"/>
      <c r="AY560" s="15"/>
      <c r="AZ560" s="18"/>
      <c r="BA560" s="19">
        <v>2.5000000000000001E-2</v>
      </c>
      <c r="BB560" s="18"/>
      <c r="BC560" s="18"/>
      <c r="BD560" s="18"/>
      <c r="BE560" s="18"/>
      <c r="BF560" s="18"/>
      <c r="BG560" s="18"/>
      <c r="BH560" s="18"/>
      <c r="BI560" s="18"/>
      <c r="BJ560" s="18"/>
      <c r="BK560" s="18"/>
      <c r="BL560" s="19">
        <v>0.05</v>
      </c>
      <c r="BM560" s="18"/>
      <c r="BN560" s="18"/>
      <c r="BO560" s="18"/>
      <c r="BP560" s="18"/>
      <c r="BQ560" s="18"/>
      <c r="BR560" s="18"/>
      <c r="BS560" s="18"/>
      <c r="BT560" s="18"/>
      <c r="BU560" s="18"/>
    </row>
    <row r="561" spans="3:73" x14ac:dyDescent="0.45">
      <c r="C561" t="s">
        <v>328</v>
      </c>
      <c r="D561" t="s">
        <v>321</v>
      </c>
      <c r="E561" t="s">
        <v>288</v>
      </c>
      <c r="H561" t="s">
        <v>320</v>
      </c>
      <c r="J561" s="7"/>
      <c r="K561" s="7"/>
      <c r="L561" s="7">
        <v>0.02</v>
      </c>
      <c r="M561" s="7"/>
      <c r="N561" s="7"/>
      <c r="O561" s="7"/>
      <c r="P561" s="7"/>
      <c r="Q561" s="7"/>
      <c r="R561" s="7">
        <v>0.02</v>
      </c>
      <c r="S561" s="7"/>
      <c r="T561" s="7"/>
      <c r="U561" s="7"/>
      <c r="V561" s="7"/>
      <c r="AR561" s="15" t="s">
        <v>249</v>
      </c>
      <c r="AS561" s="15" t="s">
        <v>567</v>
      </c>
      <c r="AT561" s="15" t="s">
        <v>926</v>
      </c>
      <c r="AU561" s="15"/>
      <c r="AV561" s="15"/>
      <c r="AW561" s="15"/>
      <c r="AX561" s="15"/>
      <c r="AY561" s="15"/>
      <c r="AZ561" s="18"/>
      <c r="BA561" s="19">
        <v>2.5000000000000001E-2</v>
      </c>
      <c r="BB561" s="18"/>
      <c r="BC561" s="18"/>
      <c r="BD561" s="18"/>
      <c r="BE561" s="18"/>
      <c r="BF561" s="18"/>
      <c r="BG561" s="18"/>
      <c r="BH561" s="18"/>
      <c r="BI561" s="18"/>
      <c r="BJ561" s="18"/>
      <c r="BK561" s="18"/>
      <c r="BL561" s="19">
        <v>0.05</v>
      </c>
      <c r="BM561" s="18"/>
      <c r="BN561" s="18"/>
      <c r="BO561" s="18"/>
      <c r="BP561" s="18"/>
      <c r="BQ561" s="18"/>
      <c r="BR561" s="18"/>
      <c r="BS561" s="18"/>
      <c r="BT561" s="18"/>
      <c r="BU561" s="18"/>
    </row>
    <row r="562" spans="3:73" x14ac:dyDescent="0.45">
      <c r="C562" t="s">
        <v>328</v>
      </c>
      <c r="D562" t="s">
        <v>321</v>
      </c>
      <c r="E562" t="s">
        <v>289</v>
      </c>
      <c r="H562" t="s">
        <v>320</v>
      </c>
      <c r="J562" s="7"/>
      <c r="K562" s="7"/>
      <c r="L562" s="7">
        <v>0.02</v>
      </c>
      <c r="M562" s="7"/>
      <c r="N562" s="7"/>
      <c r="O562" s="7"/>
      <c r="P562" s="7"/>
      <c r="Q562" s="7"/>
      <c r="R562" s="7">
        <v>0.02</v>
      </c>
      <c r="S562" s="7"/>
      <c r="T562" s="7"/>
      <c r="U562" s="7"/>
      <c r="V562" s="7"/>
      <c r="AR562" s="15" t="s">
        <v>249</v>
      </c>
      <c r="AS562" s="15" t="s">
        <v>567</v>
      </c>
      <c r="AT562" s="15" t="s">
        <v>927</v>
      </c>
      <c r="AU562" s="15"/>
      <c r="AV562" s="15"/>
      <c r="AW562" s="15"/>
      <c r="AX562" s="15"/>
      <c r="AY562" s="15"/>
      <c r="AZ562" s="18"/>
      <c r="BA562" s="19">
        <v>2.5000000000000001E-2</v>
      </c>
      <c r="BB562" s="18"/>
      <c r="BC562" s="18"/>
      <c r="BD562" s="18"/>
      <c r="BE562" s="18"/>
      <c r="BF562" s="18"/>
      <c r="BG562" s="18"/>
      <c r="BH562" s="18"/>
      <c r="BI562" s="18"/>
      <c r="BJ562" s="18"/>
      <c r="BK562" s="18"/>
      <c r="BL562" s="19">
        <v>0.05</v>
      </c>
      <c r="BM562" s="18"/>
      <c r="BN562" s="18"/>
      <c r="BO562" s="18"/>
      <c r="BP562" s="18"/>
      <c r="BQ562" s="18"/>
      <c r="BR562" s="18"/>
      <c r="BS562" s="18"/>
      <c r="BT562" s="18"/>
      <c r="BU562" s="18"/>
    </row>
    <row r="563" spans="3:73" x14ac:dyDescent="0.45">
      <c r="C563" t="s">
        <v>328</v>
      </c>
      <c r="D563" t="s">
        <v>321</v>
      </c>
      <c r="E563" t="s">
        <v>290</v>
      </c>
      <c r="H563" t="s">
        <v>320</v>
      </c>
      <c r="J563" s="7"/>
      <c r="K563" s="7"/>
      <c r="L563" s="7">
        <v>0.02</v>
      </c>
      <c r="M563" s="7"/>
      <c r="N563" s="7"/>
      <c r="O563" s="7"/>
      <c r="P563" s="7"/>
      <c r="Q563" s="7"/>
      <c r="R563" s="7">
        <v>0.02</v>
      </c>
      <c r="S563" s="7"/>
      <c r="T563" s="7"/>
      <c r="U563" s="7"/>
      <c r="V563" s="7"/>
      <c r="AR563" s="15" t="s">
        <v>249</v>
      </c>
      <c r="AS563" s="15" t="s">
        <v>567</v>
      </c>
      <c r="AT563" s="15" t="s">
        <v>928</v>
      </c>
      <c r="AU563" s="15"/>
      <c r="AV563" s="15"/>
      <c r="AW563" s="15"/>
      <c r="AX563" s="15"/>
      <c r="AY563" s="15"/>
      <c r="AZ563" s="18"/>
      <c r="BA563" s="19">
        <v>2.5000000000000001E-2</v>
      </c>
      <c r="BB563" s="18"/>
      <c r="BC563" s="18"/>
      <c r="BD563" s="18"/>
      <c r="BE563" s="18"/>
      <c r="BF563" s="18"/>
      <c r="BG563" s="18"/>
      <c r="BH563" s="18"/>
      <c r="BI563" s="18"/>
      <c r="BJ563" s="18"/>
      <c r="BK563" s="18"/>
      <c r="BL563" s="19">
        <v>0.05</v>
      </c>
      <c r="BM563" s="18"/>
      <c r="BN563" s="18"/>
      <c r="BO563" s="18"/>
      <c r="BP563" s="18"/>
      <c r="BQ563" s="18"/>
      <c r="BR563" s="18"/>
      <c r="BS563" s="18"/>
      <c r="BT563" s="18"/>
      <c r="BU563" s="18"/>
    </row>
    <row r="564" spans="3:73" x14ac:dyDescent="0.45">
      <c r="C564" t="s">
        <v>328</v>
      </c>
      <c r="D564" t="s">
        <v>321</v>
      </c>
      <c r="E564" t="s">
        <v>291</v>
      </c>
      <c r="H564" t="s">
        <v>320</v>
      </c>
      <c r="J564" s="7"/>
      <c r="K564" s="7"/>
      <c r="L564" s="7">
        <v>0.06</v>
      </c>
      <c r="M564" s="7"/>
      <c r="N564" s="7"/>
      <c r="O564" s="7"/>
      <c r="P564" s="7"/>
      <c r="Q564" s="7"/>
      <c r="R564" s="7">
        <v>0.06</v>
      </c>
      <c r="S564" s="7"/>
      <c r="T564" s="7"/>
      <c r="U564" s="7"/>
      <c r="V564" s="7"/>
      <c r="AR564" s="15" t="s">
        <v>249</v>
      </c>
      <c r="AS564" s="15" t="s">
        <v>567</v>
      </c>
      <c r="AT564" s="15" t="s">
        <v>929</v>
      </c>
      <c r="AU564" s="15"/>
      <c r="AV564" s="15"/>
      <c r="AW564" s="15"/>
      <c r="AX564" s="15"/>
      <c r="AY564" s="15"/>
      <c r="AZ564" s="18"/>
      <c r="BA564" s="19">
        <v>2.5000000000000001E-2</v>
      </c>
      <c r="BB564" s="18"/>
      <c r="BC564" s="18"/>
      <c r="BD564" s="18"/>
      <c r="BE564" s="18"/>
      <c r="BF564" s="18"/>
      <c r="BG564" s="18"/>
      <c r="BH564" s="18"/>
      <c r="BI564" s="18"/>
      <c r="BJ564" s="18"/>
      <c r="BK564" s="18"/>
      <c r="BL564" s="19">
        <v>0.05</v>
      </c>
      <c r="BM564" s="18"/>
      <c r="BN564" s="18"/>
      <c r="BO564" s="18"/>
      <c r="BP564" s="18"/>
      <c r="BQ564" s="18"/>
      <c r="BR564" s="18"/>
      <c r="BS564" s="18"/>
      <c r="BT564" s="18"/>
      <c r="BU564" s="18"/>
    </row>
    <row r="565" spans="3:73" x14ac:dyDescent="0.45">
      <c r="C565" t="s">
        <v>328</v>
      </c>
      <c r="D565" t="s">
        <v>321</v>
      </c>
      <c r="E565" t="s">
        <v>292</v>
      </c>
      <c r="H565" t="s">
        <v>320</v>
      </c>
      <c r="J565" s="7"/>
      <c r="K565" s="7"/>
      <c r="L565" s="7">
        <v>0.06</v>
      </c>
      <c r="M565" s="7"/>
      <c r="N565" s="7"/>
      <c r="O565" s="7"/>
      <c r="P565" s="7"/>
      <c r="Q565" s="7"/>
      <c r="R565" s="7">
        <v>0.06</v>
      </c>
      <c r="S565" s="7"/>
      <c r="T565" s="7"/>
      <c r="U565" s="7"/>
      <c r="V565" s="7"/>
      <c r="AR565" s="15" t="s">
        <v>249</v>
      </c>
      <c r="AS565" s="15" t="s">
        <v>567</v>
      </c>
      <c r="AT565" s="15" t="s">
        <v>930</v>
      </c>
      <c r="AU565" s="15"/>
      <c r="AV565" s="15"/>
      <c r="AW565" s="15"/>
      <c r="AX565" s="15"/>
      <c r="AY565" s="15"/>
      <c r="AZ565" s="18"/>
      <c r="BA565" s="19">
        <v>2.5000000000000001E-2</v>
      </c>
      <c r="BB565" s="18"/>
      <c r="BC565" s="18"/>
      <c r="BD565" s="18"/>
      <c r="BE565" s="18"/>
      <c r="BF565" s="18"/>
      <c r="BG565" s="18"/>
      <c r="BH565" s="18"/>
      <c r="BI565" s="18"/>
      <c r="BJ565" s="18"/>
      <c r="BK565" s="18"/>
      <c r="BL565" s="19">
        <v>0.05</v>
      </c>
      <c r="BM565" s="18"/>
      <c r="BN565" s="18"/>
      <c r="BO565" s="18"/>
      <c r="BP565" s="18"/>
      <c r="BQ565" s="18"/>
      <c r="BR565" s="18"/>
      <c r="BS565" s="18"/>
      <c r="BT565" s="18"/>
      <c r="BU565" s="18"/>
    </row>
    <row r="566" spans="3:73" x14ac:dyDescent="0.45">
      <c r="C566" t="s">
        <v>328</v>
      </c>
      <c r="D566" t="s">
        <v>321</v>
      </c>
      <c r="E566" t="s">
        <v>293</v>
      </c>
      <c r="H566" t="s">
        <v>320</v>
      </c>
      <c r="J566" s="7"/>
      <c r="K566" s="7"/>
      <c r="L566" s="7">
        <v>0.06</v>
      </c>
      <c r="M566" s="7"/>
      <c r="N566" s="7"/>
      <c r="O566" s="7"/>
      <c r="P566" s="7"/>
      <c r="Q566" s="7"/>
      <c r="R566" s="7">
        <v>0.06</v>
      </c>
      <c r="S566" s="7"/>
      <c r="T566" s="7"/>
      <c r="U566" s="7"/>
      <c r="V566" s="7"/>
      <c r="AR566" s="15" t="s">
        <v>249</v>
      </c>
      <c r="AS566" s="15" t="s">
        <v>567</v>
      </c>
      <c r="AT566" s="15" t="s">
        <v>931</v>
      </c>
      <c r="AU566" s="15"/>
      <c r="AV566" s="15"/>
      <c r="AW566" s="15"/>
      <c r="AX566" s="15"/>
      <c r="AY566" s="15"/>
      <c r="AZ566" s="18"/>
      <c r="BA566" s="19">
        <v>2.5000000000000001E-2</v>
      </c>
      <c r="BB566" s="18"/>
      <c r="BC566" s="18"/>
      <c r="BD566" s="18"/>
      <c r="BE566" s="18"/>
      <c r="BF566" s="18"/>
      <c r="BG566" s="18"/>
      <c r="BH566" s="18"/>
      <c r="BI566" s="18"/>
      <c r="BJ566" s="18"/>
      <c r="BK566" s="18"/>
      <c r="BL566" s="19">
        <v>0.05</v>
      </c>
      <c r="BM566" s="18"/>
      <c r="BN566" s="18"/>
      <c r="BO566" s="18"/>
      <c r="BP566" s="18"/>
      <c r="BQ566" s="18"/>
      <c r="BR566" s="18"/>
      <c r="BS566" s="18"/>
      <c r="BT566" s="18"/>
      <c r="BU566" s="18"/>
    </row>
    <row r="567" spans="3:73" x14ac:dyDescent="0.45">
      <c r="C567" t="s">
        <v>328</v>
      </c>
      <c r="D567" t="s">
        <v>321</v>
      </c>
      <c r="E567" t="s">
        <v>294</v>
      </c>
      <c r="H567" t="s">
        <v>320</v>
      </c>
      <c r="J567" s="7"/>
      <c r="K567" s="7"/>
      <c r="L567" s="7">
        <v>0.09</v>
      </c>
      <c r="M567" s="7"/>
      <c r="N567" s="7"/>
      <c r="O567" s="7"/>
      <c r="P567" s="7"/>
      <c r="Q567" s="7"/>
      <c r="R567" s="7">
        <v>0.09</v>
      </c>
      <c r="S567" s="7"/>
      <c r="T567" s="7"/>
      <c r="U567" s="7"/>
      <c r="V567" s="7"/>
      <c r="AR567" s="15" t="s">
        <v>249</v>
      </c>
      <c r="AS567" s="15" t="s">
        <v>567</v>
      </c>
      <c r="AT567" s="15" t="s">
        <v>932</v>
      </c>
      <c r="AU567" s="15"/>
      <c r="AV567" s="15"/>
      <c r="AW567" s="15"/>
      <c r="AX567" s="15"/>
      <c r="AY567" s="15"/>
      <c r="AZ567" s="18"/>
      <c r="BA567" s="19">
        <v>2.5000000000000001E-2</v>
      </c>
      <c r="BB567" s="18"/>
      <c r="BC567" s="18"/>
      <c r="BD567" s="18"/>
      <c r="BE567" s="18"/>
      <c r="BF567" s="18"/>
      <c r="BG567" s="18"/>
      <c r="BH567" s="18"/>
      <c r="BI567" s="18"/>
      <c r="BJ567" s="18"/>
      <c r="BK567" s="18"/>
      <c r="BL567" s="19">
        <v>0.05</v>
      </c>
      <c r="BM567" s="18"/>
      <c r="BN567" s="18"/>
      <c r="BO567" s="18"/>
      <c r="BP567" s="18"/>
      <c r="BQ567" s="18"/>
      <c r="BR567" s="18"/>
      <c r="BS567" s="18"/>
      <c r="BT567" s="18"/>
      <c r="BU567" s="18"/>
    </row>
    <row r="568" spans="3:73" x14ac:dyDescent="0.45">
      <c r="C568" t="s">
        <v>328</v>
      </c>
      <c r="D568" t="s">
        <v>321</v>
      </c>
      <c r="E568" t="s">
        <v>295</v>
      </c>
      <c r="H568" t="s">
        <v>320</v>
      </c>
      <c r="J568" s="7"/>
      <c r="K568" s="7"/>
      <c r="L568" s="7">
        <v>0.09</v>
      </c>
      <c r="M568" s="7"/>
      <c r="N568" s="7"/>
      <c r="O568" s="7"/>
      <c r="P568" s="7"/>
      <c r="Q568" s="7"/>
      <c r="R568" s="7">
        <v>0.09</v>
      </c>
      <c r="S568" s="7"/>
      <c r="T568" s="7"/>
      <c r="U568" s="7"/>
      <c r="V568" s="7"/>
      <c r="AR568" s="15" t="s">
        <v>249</v>
      </c>
      <c r="AS568" s="15" t="s">
        <v>567</v>
      </c>
      <c r="AT568" s="15" t="s">
        <v>933</v>
      </c>
      <c r="AU568" s="15"/>
      <c r="AV568" s="15"/>
      <c r="AW568" s="15"/>
      <c r="AX568" s="15"/>
      <c r="AY568" s="15"/>
      <c r="AZ568" s="18"/>
      <c r="BA568" s="19">
        <v>2.5000000000000001E-2</v>
      </c>
      <c r="BB568" s="18"/>
      <c r="BC568" s="18"/>
      <c r="BD568" s="18"/>
      <c r="BE568" s="18"/>
      <c r="BF568" s="18"/>
      <c r="BG568" s="18"/>
      <c r="BH568" s="18"/>
      <c r="BI568" s="18"/>
      <c r="BJ568" s="18"/>
      <c r="BK568" s="18"/>
      <c r="BL568" s="19">
        <v>0.05</v>
      </c>
      <c r="BM568" s="18"/>
      <c r="BN568" s="18"/>
      <c r="BO568" s="18"/>
      <c r="BP568" s="18"/>
      <c r="BQ568" s="18"/>
      <c r="BR568" s="18"/>
      <c r="BS568" s="18"/>
      <c r="BT568" s="18"/>
      <c r="BU568" s="18"/>
    </row>
    <row r="569" spans="3:73" x14ac:dyDescent="0.45">
      <c r="C569" t="s">
        <v>328</v>
      </c>
      <c r="D569" t="s">
        <v>321</v>
      </c>
      <c r="E569" t="s">
        <v>296</v>
      </c>
      <c r="H569" t="s">
        <v>320</v>
      </c>
      <c r="J569" s="7"/>
      <c r="K569" s="7"/>
      <c r="L569" s="7">
        <v>0.09</v>
      </c>
      <c r="M569" s="7"/>
      <c r="N569" s="7"/>
      <c r="O569" s="7"/>
      <c r="P569" s="7"/>
      <c r="Q569" s="7"/>
      <c r="R569" s="7">
        <v>0.09</v>
      </c>
      <c r="S569" s="7"/>
      <c r="T569" s="7"/>
      <c r="U569" s="7"/>
      <c r="V569" s="7"/>
      <c r="AR569" s="15" t="s">
        <v>249</v>
      </c>
      <c r="AS569" s="15" t="s">
        <v>567</v>
      </c>
      <c r="AT569" s="15" t="s">
        <v>934</v>
      </c>
      <c r="AU569" s="15"/>
      <c r="AV569" s="15"/>
      <c r="AW569" s="15"/>
      <c r="AX569" s="15"/>
      <c r="AY569" s="15"/>
      <c r="AZ569" s="18"/>
      <c r="BA569" s="19">
        <v>2.5000000000000001E-2</v>
      </c>
      <c r="BB569" s="18"/>
      <c r="BC569" s="18"/>
      <c r="BD569" s="18"/>
      <c r="BE569" s="18"/>
      <c r="BF569" s="18"/>
      <c r="BG569" s="18"/>
      <c r="BH569" s="18"/>
      <c r="BI569" s="18"/>
      <c r="BJ569" s="18"/>
      <c r="BK569" s="18"/>
      <c r="BL569" s="19">
        <v>0.05</v>
      </c>
      <c r="BM569" s="18"/>
      <c r="BN569" s="18"/>
      <c r="BO569" s="18"/>
      <c r="BP569" s="18"/>
      <c r="BQ569" s="18"/>
      <c r="BR569" s="18"/>
      <c r="BS569" s="18"/>
      <c r="BT569" s="18"/>
      <c r="BU569" s="18"/>
    </row>
    <row r="570" spans="3:73" x14ac:dyDescent="0.45">
      <c r="C570" t="s">
        <v>328</v>
      </c>
      <c r="D570" t="s">
        <v>321</v>
      </c>
      <c r="E570" t="s">
        <v>297</v>
      </c>
      <c r="H570" t="s">
        <v>320</v>
      </c>
      <c r="J570" s="7"/>
      <c r="K570" s="7"/>
      <c r="L570" s="7">
        <v>0.17</v>
      </c>
      <c r="M570" s="7"/>
      <c r="N570" s="7"/>
      <c r="O570" s="7"/>
      <c r="P570" s="7"/>
      <c r="Q570" s="7"/>
      <c r="R570" s="7">
        <v>0.17</v>
      </c>
      <c r="S570" s="7"/>
      <c r="T570" s="7"/>
      <c r="U570" s="7"/>
      <c r="V570" s="7"/>
      <c r="AR570" s="15" t="s">
        <v>249</v>
      </c>
      <c r="AS570" s="15" t="s">
        <v>567</v>
      </c>
      <c r="AT570" s="15" t="s">
        <v>935</v>
      </c>
      <c r="AU570" s="15"/>
      <c r="AV570" s="15"/>
      <c r="AW570" s="15"/>
      <c r="AX570" s="15"/>
      <c r="AY570" s="15"/>
      <c r="AZ570" s="18"/>
      <c r="BA570" s="19">
        <v>2.5000000000000001E-2</v>
      </c>
      <c r="BB570" s="18"/>
      <c r="BC570" s="18"/>
      <c r="BD570" s="18"/>
      <c r="BE570" s="18"/>
      <c r="BF570" s="18"/>
      <c r="BG570" s="18"/>
      <c r="BH570" s="18"/>
      <c r="BI570" s="18"/>
      <c r="BJ570" s="18"/>
      <c r="BK570" s="18"/>
      <c r="BL570" s="19">
        <v>0.05</v>
      </c>
      <c r="BM570" s="18"/>
      <c r="BN570" s="18"/>
      <c r="BO570" s="18"/>
      <c r="BP570" s="18"/>
      <c r="BQ570" s="18"/>
      <c r="BR570" s="18"/>
      <c r="BS570" s="18"/>
      <c r="BT570" s="18"/>
      <c r="BU570" s="18"/>
    </row>
    <row r="571" spans="3:73" x14ac:dyDescent="0.45">
      <c r="C571" t="s">
        <v>328</v>
      </c>
      <c r="D571" t="s">
        <v>321</v>
      </c>
      <c r="E571" t="s">
        <v>298</v>
      </c>
      <c r="H571" t="s">
        <v>320</v>
      </c>
      <c r="J571" s="7"/>
      <c r="K571" s="7"/>
      <c r="L571" s="7">
        <v>0.23</v>
      </c>
      <c r="M571" s="7"/>
      <c r="N571" s="7"/>
      <c r="O571" s="7"/>
      <c r="P571" s="7"/>
      <c r="Q571" s="7"/>
      <c r="R571" s="7">
        <v>0.23</v>
      </c>
      <c r="S571" s="7"/>
      <c r="T571" s="7"/>
      <c r="U571" s="7"/>
      <c r="V571" s="7"/>
      <c r="AR571" s="15" t="s">
        <v>249</v>
      </c>
      <c r="AS571" s="15" t="s">
        <v>567</v>
      </c>
      <c r="AT571" s="15" t="s">
        <v>936</v>
      </c>
      <c r="AU571" s="15"/>
      <c r="AV571" s="15"/>
      <c r="AW571" s="15"/>
      <c r="AX571" s="15"/>
      <c r="AY571" s="15"/>
      <c r="AZ571" s="18"/>
      <c r="BA571" s="19">
        <v>2.5000000000000001E-2</v>
      </c>
      <c r="BB571" s="18"/>
      <c r="BC571" s="18"/>
      <c r="BD571" s="18"/>
      <c r="BE571" s="18"/>
      <c r="BF571" s="18"/>
      <c r="BG571" s="18"/>
      <c r="BH571" s="18"/>
      <c r="BI571" s="18"/>
      <c r="BJ571" s="18"/>
      <c r="BK571" s="18"/>
      <c r="BL571" s="19">
        <v>0.05</v>
      </c>
      <c r="BM571" s="18"/>
      <c r="BN571" s="18"/>
      <c r="BO571" s="18"/>
      <c r="BP571" s="18"/>
      <c r="BQ571" s="18"/>
      <c r="BR571" s="18"/>
      <c r="BS571" s="18"/>
      <c r="BT571" s="18"/>
      <c r="BU571" s="18"/>
    </row>
    <row r="572" spans="3:73" x14ac:dyDescent="0.45">
      <c r="C572" t="s">
        <v>328</v>
      </c>
      <c r="D572" t="s">
        <v>321</v>
      </c>
      <c r="E572" t="s">
        <v>299</v>
      </c>
      <c r="H572" t="s">
        <v>320</v>
      </c>
      <c r="J572" s="7"/>
      <c r="K572" s="7"/>
      <c r="L572" s="7">
        <v>0.27</v>
      </c>
      <c r="M572" s="7"/>
      <c r="N572" s="7"/>
      <c r="O572" s="7"/>
      <c r="P572" s="7"/>
      <c r="Q572" s="7"/>
      <c r="R572" s="7">
        <v>0.27</v>
      </c>
      <c r="S572" s="7"/>
      <c r="T572" s="7"/>
      <c r="U572" s="7"/>
      <c r="V572" s="7"/>
      <c r="AR572" s="15" t="s">
        <v>249</v>
      </c>
      <c r="AS572" s="15" t="s">
        <v>567</v>
      </c>
      <c r="AT572" s="15" t="s">
        <v>937</v>
      </c>
      <c r="AU572" s="15"/>
      <c r="AV572" s="15"/>
      <c r="AW572" s="15"/>
      <c r="AX572" s="15"/>
      <c r="AY572" s="15"/>
      <c r="AZ572" s="18"/>
      <c r="BA572" s="19">
        <v>2.5000000000000001E-2</v>
      </c>
      <c r="BB572" s="18"/>
      <c r="BC572" s="18"/>
      <c r="BD572" s="18"/>
      <c r="BE572" s="18"/>
      <c r="BF572" s="18"/>
      <c r="BG572" s="18"/>
      <c r="BH572" s="18"/>
      <c r="BI572" s="18"/>
      <c r="BJ572" s="18"/>
      <c r="BK572" s="18"/>
      <c r="BL572" s="19">
        <v>0.05</v>
      </c>
      <c r="BM572" s="18"/>
      <c r="BN572" s="18"/>
      <c r="BO572" s="18"/>
      <c r="BP572" s="18"/>
      <c r="BQ572" s="18"/>
      <c r="BR572" s="18"/>
      <c r="BS572" s="18"/>
      <c r="BT572" s="18"/>
      <c r="BU572" s="18"/>
    </row>
    <row r="573" spans="3:73" x14ac:dyDescent="0.45">
      <c r="C573" t="s">
        <v>328</v>
      </c>
      <c r="D573" t="s">
        <v>321</v>
      </c>
      <c r="E573" t="s">
        <v>300</v>
      </c>
      <c r="H573" t="s">
        <v>320</v>
      </c>
      <c r="J573" s="7"/>
      <c r="K573" s="7"/>
      <c r="L573" s="7">
        <v>0.27</v>
      </c>
      <c r="M573" s="7"/>
      <c r="N573" s="7"/>
      <c r="O573" s="7"/>
      <c r="P573" s="7"/>
      <c r="Q573" s="7"/>
      <c r="R573" s="7">
        <v>0.27</v>
      </c>
      <c r="S573" s="7"/>
      <c r="T573" s="7"/>
      <c r="U573" s="7"/>
      <c r="V573" s="7"/>
      <c r="AR573" s="15" t="s">
        <v>249</v>
      </c>
      <c r="AS573" s="15" t="s">
        <v>567</v>
      </c>
      <c r="AT573" s="15" t="s">
        <v>938</v>
      </c>
      <c r="AU573" s="15"/>
      <c r="AV573" s="15"/>
      <c r="AW573" s="15"/>
      <c r="AX573" s="15"/>
      <c r="AY573" s="15"/>
      <c r="AZ573" s="18"/>
      <c r="BA573" s="19">
        <v>2.5000000000000001E-2</v>
      </c>
      <c r="BB573" s="18"/>
      <c r="BC573" s="18"/>
      <c r="BD573" s="18"/>
      <c r="BE573" s="18"/>
      <c r="BF573" s="18"/>
      <c r="BG573" s="18"/>
      <c r="BH573" s="18"/>
      <c r="BI573" s="18"/>
      <c r="BJ573" s="18"/>
      <c r="BK573" s="18"/>
      <c r="BL573" s="19">
        <v>0.05</v>
      </c>
      <c r="BM573" s="18"/>
      <c r="BN573" s="18"/>
      <c r="BO573" s="18"/>
      <c r="BP573" s="18"/>
      <c r="BQ573" s="18"/>
      <c r="BR573" s="18"/>
      <c r="BS573" s="18"/>
      <c r="BT573" s="18"/>
      <c r="BU573" s="18"/>
    </row>
    <row r="574" spans="3:73" x14ac:dyDescent="0.45">
      <c r="C574" t="s">
        <v>328</v>
      </c>
      <c r="D574" t="s">
        <v>321</v>
      </c>
      <c r="E574" t="s">
        <v>302</v>
      </c>
      <c r="H574" t="s">
        <v>320</v>
      </c>
      <c r="J574" s="7"/>
      <c r="K574" s="7"/>
      <c r="L574" s="7">
        <v>0.27</v>
      </c>
      <c r="M574" s="7"/>
      <c r="N574" s="7"/>
      <c r="O574" s="7"/>
      <c r="P574" s="7"/>
      <c r="Q574" s="7"/>
      <c r="R574" s="7">
        <v>0.27</v>
      </c>
      <c r="S574" s="7"/>
      <c r="T574" s="7"/>
      <c r="U574" s="7"/>
      <c r="V574" s="7"/>
      <c r="AR574" s="15" t="s">
        <v>249</v>
      </c>
      <c r="AS574" s="15" t="s">
        <v>567</v>
      </c>
      <c r="AT574" s="15" t="s">
        <v>939</v>
      </c>
      <c r="AU574" s="15"/>
      <c r="AV574" s="15"/>
      <c r="AW574" s="15"/>
      <c r="AX574" s="15"/>
      <c r="AY574" s="15"/>
      <c r="AZ574" s="18"/>
      <c r="BA574" s="19">
        <v>2.5000000000000001E-2</v>
      </c>
      <c r="BB574" s="18"/>
      <c r="BC574" s="18"/>
      <c r="BD574" s="18"/>
      <c r="BE574" s="18"/>
      <c r="BF574" s="18"/>
      <c r="BG574" s="18"/>
      <c r="BH574" s="18"/>
      <c r="BI574" s="18"/>
      <c r="BJ574" s="18"/>
      <c r="BK574" s="18"/>
      <c r="BL574" s="19">
        <v>0.05</v>
      </c>
      <c r="BM574" s="18"/>
      <c r="BN574" s="18"/>
      <c r="BO574" s="18"/>
      <c r="BP574" s="18"/>
      <c r="BQ574" s="18"/>
      <c r="BR574" s="18"/>
      <c r="BS574" s="18"/>
      <c r="BT574" s="18"/>
      <c r="BU574" s="18"/>
    </row>
    <row r="575" spans="3:73" x14ac:dyDescent="0.45">
      <c r="C575" t="s">
        <v>328</v>
      </c>
      <c r="D575" t="s">
        <v>321</v>
      </c>
      <c r="E575" t="s">
        <v>303</v>
      </c>
      <c r="H575" t="s">
        <v>320</v>
      </c>
      <c r="J575" s="7"/>
      <c r="K575" s="7"/>
      <c r="L575" s="7">
        <v>0.27</v>
      </c>
      <c r="M575" s="7"/>
      <c r="N575" s="7"/>
      <c r="O575" s="7"/>
      <c r="P575" s="7"/>
      <c r="Q575" s="7"/>
      <c r="R575" s="7">
        <v>0.27</v>
      </c>
      <c r="S575" s="7"/>
      <c r="T575" s="7"/>
      <c r="U575" s="7"/>
      <c r="V575" s="7"/>
      <c r="AR575" s="15" t="s">
        <v>249</v>
      </c>
      <c r="AS575" s="15" t="s">
        <v>567</v>
      </c>
      <c r="AT575" s="15" t="s">
        <v>940</v>
      </c>
      <c r="AU575" s="15"/>
      <c r="AV575" s="15"/>
      <c r="AW575" s="15"/>
      <c r="AX575" s="15"/>
      <c r="AY575" s="15"/>
      <c r="AZ575" s="18"/>
      <c r="BA575" s="19">
        <v>2.5000000000000001E-2</v>
      </c>
      <c r="BB575" s="18"/>
      <c r="BC575" s="18"/>
      <c r="BD575" s="18"/>
      <c r="BE575" s="18"/>
      <c r="BF575" s="18"/>
      <c r="BG575" s="18"/>
      <c r="BH575" s="18"/>
      <c r="BI575" s="18"/>
      <c r="BJ575" s="18"/>
      <c r="BK575" s="18"/>
      <c r="BL575" s="19">
        <v>0.05</v>
      </c>
      <c r="BM575" s="18"/>
      <c r="BN575" s="18"/>
      <c r="BO575" s="18"/>
      <c r="BP575" s="18"/>
      <c r="BQ575" s="18"/>
      <c r="BR575" s="18"/>
      <c r="BS575" s="18"/>
      <c r="BT575" s="18"/>
      <c r="BU575" s="18"/>
    </row>
    <row r="576" spans="3:73" x14ac:dyDescent="0.45">
      <c r="C576" t="s">
        <v>328</v>
      </c>
      <c r="D576" t="s">
        <v>321</v>
      </c>
      <c r="E576" t="s">
        <v>304</v>
      </c>
      <c r="H576" t="s">
        <v>320</v>
      </c>
      <c r="J576" s="7"/>
      <c r="K576" s="7"/>
      <c r="L576" s="7">
        <v>0.16</v>
      </c>
      <c r="M576" s="7"/>
      <c r="N576" s="7"/>
      <c r="O576" s="7"/>
      <c r="P576" s="7"/>
      <c r="Q576" s="7"/>
      <c r="R576" s="7">
        <v>0.16</v>
      </c>
      <c r="S576" s="7"/>
      <c r="T576" s="7"/>
      <c r="U576" s="7"/>
      <c r="V576" s="7"/>
      <c r="AR576" s="15" t="s">
        <v>249</v>
      </c>
      <c r="AS576" s="15" t="s">
        <v>567</v>
      </c>
      <c r="AT576" s="15" t="s">
        <v>941</v>
      </c>
      <c r="AU576" s="15"/>
      <c r="AV576" s="15"/>
      <c r="AW576" s="15"/>
      <c r="AX576" s="15"/>
      <c r="AY576" s="15"/>
      <c r="AZ576" s="18"/>
      <c r="BA576" s="19">
        <v>2.5000000000000001E-2</v>
      </c>
      <c r="BB576" s="18"/>
      <c r="BC576" s="18"/>
      <c r="BD576" s="18"/>
      <c r="BE576" s="18"/>
      <c r="BF576" s="18"/>
      <c r="BG576" s="18"/>
      <c r="BH576" s="18"/>
      <c r="BI576" s="18"/>
      <c r="BJ576" s="18"/>
      <c r="BK576" s="18"/>
      <c r="BL576" s="19">
        <v>0.05</v>
      </c>
      <c r="BM576" s="18"/>
      <c r="BN576" s="18"/>
      <c r="BO576" s="18"/>
      <c r="BP576" s="18"/>
      <c r="BQ576" s="18"/>
      <c r="BR576" s="18"/>
      <c r="BS576" s="18"/>
      <c r="BT576" s="18"/>
      <c r="BU576" s="18"/>
    </row>
    <row r="577" spans="3:73" x14ac:dyDescent="0.45">
      <c r="C577" t="s">
        <v>328</v>
      </c>
      <c r="D577" t="s">
        <v>321</v>
      </c>
      <c r="E577" t="s">
        <v>305</v>
      </c>
      <c r="H577" t="s">
        <v>320</v>
      </c>
      <c r="J577" s="7"/>
      <c r="K577" s="7"/>
      <c r="L577" s="7">
        <v>0.16</v>
      </c>
      <c r="M577" s="7"/>
      <c r="N577" s="7"/>
      <c r="O577" s="7"/>
      <c r="P577" s="7"/>
      <c r="Q577" s="7"/>
      <c r="R577" s="7">
        <v>0.16</v>
      </c>
      <c r="S577" s="7"/>
      <c r="T577" s="7"/>
      <c r="U577" s="7"/>
      <c r="V577" s="7"/>
      <c r="AR577" s="15" t="s">
        <v>249</v>
      </c>
      <c r="AS577" s="15" t="s">
        <v>567</v>
      </c>
      <c r="AT577" s="15" t="s">
        <v>942</v>
      </c>
      <c r="AU577" s="15"/>
      <c r="AV577" s="15"/>
      <c r="AW577" s="15"/>
      <c r="AX577" s="15"/>
      <c r="AY577" s="15"/>
      <c r="AZ577" s="18"/>
      <c r="BA577" s="19">
        <v>2.5000000000000001E-2</v>
      </c>
      <c r="BB577" s="18"/>
      <c r="BC577" s="18"/>
      <c r="BD577" s="18"/>
      <c r="BE577" s="18"/>
      <c r="BF577" s="18"/>
      <c r="BG577" s="18"/>
      <c r="BH577" s="18"/>
      <c r="BI577" s="18"/>
      <c r="BJ577" s="18"/>
      <c r="BK577" s="18"/>
      <c r="BL577" s="19">
        <v>0.05</v>
      </c>
      <c r="BM577" s="18"/>
      <c r="BN577" s="18"/>
      <c r="BO577" s="18"/>
      <c r="BP577" s="18"/>
      <c r="BQ577" s="18"/>
      <c r="BR577" s="18"/>
      <c r="BS577" s="18"/>
      <c r="BT577" s="18"/>
      <c r="BU577" s="18"/>
    </row>
    <row r="578" spans="3:73" x14ac:dyDescent="0.45">
      <c r="C578" t="s">
        <v>328</v>
      </c>
      <c r="D578" t="s">
        <v>321</v>
      </c>
      <c r="E578" t="s">
        <v>306</v>
      </c>
      <c r="H578" t="s">
        <v>320</v>
      </c>
      <c r="J578" s="7"/>
      <c r="K578" s="7"/>
      <c r="L578" s="7">
        <v>0.23</v>
      </c>
      <c r="M578" s="7"/>
      <c r="N578" s="7"/>
      <c r="O578" s="7"/>
      <c r="P578" s="7"/>
      <c r="Q578" s="7"/>
      <c r="R578" s="7">
        <v>0.23</v>
      </c>
      <c r="S578" s="7"/>
      <c r="T578" s="7"/>
      <c r="U578" s="7"/>
      <c r="V578" s="7"/>
      <c r="AR578" s="15" t="s">
        <v>249</v>
      </c>
      <c r="AS578" s="15" t="s">
        <v>567</v>
      </c>
      <c r="AT578" s="15" t="s">
        <v>943</v>
      </c>
      <c r="AU578" s="15"/>
      <c r="AV578" s="15"/>
      <c r="AW578" s="15"/>
      <c r="AX578" s="15"/>
      <c r="AY578" s="15"/>
      <c r="AZ578" s="18"/>
      <c r="BA578" s="19">
        <v>2.5000000000000001E-2</v>
      </c>
      <c r="BB578" s="18"/>
      <c r="BC578" s="18"/>
      <c r="BD578" s="18"/>
      <c r="BE578" s="18"/>
      <c r="BF578" s="18"/>
      <c r="BG578" s="18"/>
      <c r="BH578" s="18"/>
      <c r="BI578" s="18"/>
      <c r="BJ578" s="18"/>
      <c r="BK578" s="18"/>
      <c r="BL578" s="19">
        <v>0.05</v>
      </c>
      <c r="BM578" s="18"/>
      <c r="BN578" s="18"/>
      <c r="BO578" s="18"/>
      <c r="BP578" s="18"/>
      <c r="BQ578" s="18"/>
      <c r="BR578" s="18"/>
      <c r="BS578" s="18"/>
      <c r="BT578" s="18"/>
      <c r="BU578" s="18"/>
    </row>
    <row r="579" spans="3:73" x14ac:dyDescent="0.45">
      <c r="C579" t="s">
        <v>328</v>
      </c>
      <c r="D579" t="s">
        <v>321</v>
      </c>
      <c r="E579" t="s">
        <v>307</v>
      </c>
      <c r="H579" t="s">
        <v>320</v>
      </c>
      <c r="J579" s="7"/>
      <c r="K579" s="7"/>
      <c r="L579" s="7">
        <v>0.25</v>
      </c>
      <c r="M579" s="7"/>
      <c r="N579" s="7"/>
      <c r="O579" s="7"/>
      <c r="P579" s="7"/>
      <c r="Q579" s="7"/>
      <c r="R579" s="7">
        <v>0.25</v>
      </c>
      <c r="S579" s="7"/>
      <c r="T579" s="7"/>
      <c r="U579" s="7"/>
      <c r="V579" s="7"/>
      <c r="AR579" s="15" t="s">
        <v>249</v>
      </c>
      <c r="AS579" s="15" t="s">
        <v>567</v>
      </c>
      <c r="AT579" s="15" t="s">
        <v>944</v>
      </c>
      <c r="AU579" s="15"/>
      <c r="AV579" s="15"/>
      <c r="AW579" s="15"/>
      <c r="AX579" s="15"/>
      <c r="AY579" s="15"/>
      <c r="AZ579" s="18"/>
      <c r="BA579" s="19">
        <v>2.5000000000000001E-2</v>
      </c>
      <c r="BB579" s="18"/>
      <c r="BC579" s="18"/>
      <c r="BD579" s="18"/>
      <c r="BE579" s="18"/>
      <c r="BF579" s="18"/>
      <c r="BG579" s="18"/>
      <c r="BH579" s="18"/>
      <c r="BI579" s="18"/>
      <c r="BJ579" s="18"/>
      <c r="BK579" s="18"/>
      <c r="BL579" s="19">
        <v>0.05</v>
      </c>
      <c r="BM579" s="18"/>
      <c r="BN579" s="18"/>
      <c r="BO579" s="18"/>
      <c r="BP579" s="18"/>
      <c r="BQ579" s="18"/>
      <c r="BR579" s="18"/>
      <c r="BS579" s="18"/>
      <c r="BT579" s="18"/>
      <c r="BU579" s="18"/>
    </row>
    <row r="580" spans="3:73" x14ac:dyDescent="0.45">
      <c r="C580" t="s">
        <v>328</v>
      </c>
      <c r="D580" t="s">
        <v>321</v>
      </c>
      <c r="E580" t="s">
        <v>308</v>
      </c>
      <c r="H580" t="s">
        <v>320</v>
      </c>
      <c r="J580" s="7"/>
      <c r="K580" s="7"/>
      <c r="L580" s="7">
        <v>0.25</v>
      </c>
      <c r="M580" s="7"/>
      <c r="N580" s="7"/>
      <c r="O580" s="7"/>
      <c r="P580" s="7"/>
      <c r="Q580" s="7"/>
      <c r="R580" s="7">
        <v>0.25</v>
      </c>
      <c r="S580" s="7"/>
      <c r="T580" s="7"/>
      <c r="U580" s="7"/>
      <c r="V580" s="7"/>
      <c r="AR580" s="15" t="s">
        <v>249</v>
      </c>
      <c r="AS580" s="15" t="s">
        <v>567</v>
      </c>
      <c r="AT580" s="15" t="s">
        <v>945</v>
      </c>
      <c r="AU580" s="15"/>
      <c r="AV580" s="15"/>
      <c r="AW580" s="15"/>
      <c r="AX580" s="15"/>
      <c r="AY580" s="15"/>
      <c r="AZ580" s="18"/>
      <c r="BA580" s="19">
        <v>2.5000000000000001E-2</v>
      </c>
      <c r="BB580" s="18"/>
      <c r="BC580" s="18"/>
      <c r="BD580" s="18"/>
      <c r="BE580" s="18"/>
      <c r="BF580" s="18"/>
      <c r="BG580" s="18"/>
      <c r="BH580" s="18"/>
      <c r="BI580" s="18"/>
      <c r="BJ580" s="18"/>
      <c r="BK580" s="18"/>
      <c r="BL580" s="19">
        <v>0.05</v>
      </c>
      <c r="BM580" s="18"/>
      <c r="BN580" s="18"/>
      <c r="BO580" s="18"/>
      <c r="BP580" s="18"/>
      <c r="BQ580" s="18"/>
      <c r="BR580" s="18"/>
      <c r="BS580" s="18"/>
      <c r="BT580" s="18"/>
      <c r="BU580" s="18"/>
    </row>
    <row r="581" spans="3:73" x14ac:dyDescent="0.45">
      <c r="C581" t="s">
        <v>328</v>
      </c>
      <c r="D581" t="s">
        <v>321</v>
      </c>
      <c r="E581" t="s">
        <v>309</v>
      </c>
      <c r="H581" t="s">
        <v>320</v>
      </c>
      <c r="J581" s="7"/>
      <c r="K581" s="7"/>
      <c r="L581" s="7">
        <v>0.02</v>
      </c>
      <c r="M581" s="7"/>
      <c r="N581" s="7"/>
      <c r="O581" s="7"/>
      <c r="P581" s="7"/>
      <c r="Q581" s="7"/>
      <c r="R581" s="7">
        <v>0.02</v>
      </c>
      <c r="S581" s="7"/>
      <c r="T581" s="7"/>
      <c r="U581" s="7"/>
      <c r="V581" s="7"/>
      <c r="AR581" s="15" t="s">
        <v>249</v>
      </c>
      <c r="AS581" s="15" t="s">
        <v>567</v>
      </c>
      <c r="AT581" s="15" t="s">
        <v>946</v>
      </c>
      <c r="AU581" s="15"/>
      <c r="AV581" s="15"/>
      <c r="AW581" s="15"/>
      <c r="AX581" s="15"/>
      <c r="AY581" s="15"/>
      <c r="AZ581" s="18"/>
      <c r="BA581" s="19">
        <v>2.5000000000000001E-2</v>
      </c>
      <c r="BB581" s="18"/>
      <c r="BC581" s="18"/>
      <c r="BD581" s="18"/>
      <c r="BE581" s="18"/>
      <c r="BF581" s="18"/>
      <c r="BG581" s="18"/>
      <c r="BH581" s="18"/>
      <c r="BI581" s="18"/>
      <c r="BJ581" s="18"/>
      <c r="BK581" s="18"/>
      <c r="BL581" s="19">
        <v>0.05</v>
      </c>
      <c r="BM581" s="18"/>
      <c r="BN581" s="18"/>
      <c r="BO581" s="18"/>
      <c r="BP581" s="18"/>
      <c r="BQ581" s="18"/>
      <c r="BR581" s="18"/>
      <c r="BS581" s="18"/>
      <c r="BT581" s="18"/>
      <c r="BU581" s="18"/>
    </row>
    <row r="582" spans="3:73" x14ac:dyDescent="0.45">
      <c r="C582" t="s">
        <v>328</v>
      </c>
      <c r="D582" t="s">
        <v>321</v>
      </c>
      <c r="E582" t="s">
        <v>310</v>
      </c>
      <c r="H582" t="s">
        <v>320</v>
      </c>
      <c r="J582" s="7"/>
      <c r="K582" s="7"/>
      <c r="L582" s="7">
        <v>0.02</v>
      </c>
      <c r="M582" s="7"/>
      <c r="N582" s="7"/>
      <c r="O582" s="7"/>
      <c r="P582" s="7"/>
      <c r="Q582" s="7"/>
      <c r="R582" s="7">
        <v>0.02</v>
      </c>
      <c r="S582" s="7"/>
      <c r="T582" s="7"/>
      <c r="U582" s="7"/>
      <c r="V582" s="7"/>
      <c r="AR582" s="15" t="s">
        <v>249</v>
      </c>
      <c r="AS582" s="15" t="s">
        <v>567</v>
      </c>
      <c r="AT582" s="15" t="s">
        <v>947</v>
      </c>
      <c r="AU582" s="15"/>
      <c r="AV582" s="15"/>
      <c r="AW582" s="15"/>
      <c r="AX582" s="15"/>
      <c r="AY582" s="15"/>
      <c r="AZ582" s="18"/>
      <c r="BA582" s="19">
        <v>2.5000000000000001E-2</v>
      </c>
      <c r="BB582" s="18"/>
      <c r="BC582" s="18"/>
      <c r="BD582" s="18"/>
      <c r="BE582" s="18"/>
      <c r="BF582" s="18"/>
      <c r="BG582" s="18"/>
      <c r="BH582" s="18"/>
      <c r="BI582" s="18"/>
      <c r="BJ582" s="18"/>
      <c r="BK582" s="18"/>
      <c r="BL582" s="19">
        <v>0.05</v>
      </c>
      <c r="BM582" s="18"/>
      <c r="BN582" s="18"/>
      <c r="BO582" s="18"/>
      <c r="BP582" s="18"/>
      <c r="BQ582" s="18"/>
      <c r="BR582" s="18"/>
      <c r="BS582" s="18"/>
      <c r="BT582" s="18"/>
      <c r="BU582" s="18"/>
    </row>
    <row r="583" spans="3:73" x14ac:dyDescent="0.45">
      <c r="C583" t="s">
        <v>328</v>
      </c>
      <c r="D583" t="s">
        <v>321</v>
      </c>
      <c r="E583" t="s">
        <v>311</v>
      </c>
      <c r="H583" t="s">
        <v>320</v>
      </c>
      <c r="J583" s="7"/>
      <c r="K583" s="7"/>
      <c r="L583" s="7">
        <v>0.02</v>
      </c>
      <c r="M583" s="7"/>
      <c r="N583" s="7"/>
      <c r="O583" s="7"/>
      <c r="P583" s="7"/>
      <c r="Q583" s="7"/>
      <c r="R583" s="7">
        <v>0.02</v>
      </c>
      <c r="S583" s="7"/>
      <c r="T583" s="7"/>
      <c r="U583" s="7"/>
      <c r="V583" s="7"/>
      <c r="AR583" s="15" t="s">
        <v>249</v>
      </c>
      <c r="AS583" s="15" t="s">
        <v>567</v>
      </c>
      <c r="AT583" s="15" t="s">
        <v>948</v>
      </c>
      <c r="AU583" s="15"/>
      <c r="AV583" s="15"/>
      <c r="AW583" s="15"/>
      <c r="AX583" s="15"/>
      <c r="AY583" s="15"/>
      <c r="AZ583" s="18"/>
      <c r="BA583" s="19">
        <v>2.5000000000000001E-2</v>
      </c>
      <c r="BB583" s="18"/>
      <c r="BC583" s="18"/>
      <c r="BD583" s="18"/>
      <c r="BE583" s="18"/>
      <c r="BF583" s="18"/>
      <c r="BG583" s="18"/>
      <c r="BH583" s="18"/>
      <c r="BI583" s="18"/>
      <c r="BJ583" s="18"/>
      <c r="BK583" s="18"/>
      <c r="BL583" s="19">
        <v>0.05</v>
      </c>
      <c r="BM583" s="18"/>
      <c r="BN583" s="18"/>
      <c r="BO583" s="18"/>
      <c r="BP583" s="18"/>
      <c r="BQ583" s="18"/>
      <c r="BR583" s="18"/>
      <c r="BS583" s="18"/>
      <c r="BT583" s="18"/>
      <c r="BU583" s="18"/>
    </row>
    <row r="584" spans="3:73" x14ac:dyDescent="0.45">
      <c r="C584" t="s">
        <v>328</v>
      </c>
      <c r="D584" t="s">
        <v>321</v>
      </c>
      <c r="E584" t="s">
        <v>312</v>
      </c>
      <c r="H584" t="s">
        <v>320</v>
      </c>
      <c r="J584" s="7"/>
      <c r="K584" s="7"/>
      <c r="L584" s="7">
        <v>0.09</v>
      </c>
      <c r="M584" s="7"/>
      <c r="N584" s="7"/>
      <c r="O584" s="7"/>
      <c r="P584" s="7"/>
      <c r="Q584" s="7"/>
      <c r="R584" s="7">
        <v>0.09</v>
      </c>
      <c r="S584" s="7"/>
      <c r="T584" s="7"/>
      <c r="U584" s="7"/>
      <c r="V584" s="7"/>
      <c r="AR584" s="15" t="s">
        <v>249</v>
      </c>
      <c r="AS584" s="15" t="s">
        <v>567</v>
      </c>
      <c r="AT584" s="15" t="s">
        <v>949</v>
      </c>
      <c r="AU584" s="15"/>
      <c r="AV584" s="15"/>
      <c r="AW584" s="15"/>
      <c r="AX584" s="15"/>
      <c r="AY584" s="15"/>
      <c r="AZ584" s="18"/>
      <c r="BA584" s="19">
        <v>2.5000000000000001E-2</v>
      </c>
      <c r="BB584" s="18"/>
      <c r="BC584" s="18"/>
      <c r="BD584" s="18"/>
      <c r="BE584" s="18"/>
      <c r="BF584" s="18"/>
      <c r="BG584" s="18"/>
      <c r="BH584" s="18"/>
      <c r="BI584" s="18"/>
      <c r="BJ584" s="18"/>
      <c r="BK584" s="18"/>
      <c r="BL584" s="19">
        <v>0.05</v>
      </c>
      <c r="BM584" s="18"/>
      <c r="BN584" s="18"/>
      <c r="BO584" s="18"/>
      <c r="BP584" s="18"/>
      <c r="BQ584" s="18"/>
      <c r="BR584" s="18"/>
      <c r="BS584" s="18"/>
      <c r="BT584" s="18"/>
      <c r="BU584" s="18"/>
    </row>
    <row r="585" spans="3:73" x14ac:dyDescent="0.45">
      <c r="C585" t="s">
        <v>328</v>
      </c>
      <c r="D585" t="s">
        <v>321</v>
      </c>
      <c r="E585" t="s">
        <v>313</v>
      </c>
      <c r="H585" t="s">
        <v>320</v>
      </c>
      <c r="J585" s="7"/>
      <c r="K585" s="7"/>
      <c r="L585" s="7">
        <v>0.09</v>
      </c>
      <c r="M585" s="7"/>
      <c r="N585" s="7"/>
      <c r="O585" s="7"/>
      <c r="P585" s="7"/>
      <c r="Q585" s="7"/>
      <c r="R585" s="7">
        <v>0.09</v>
      </c>
      <c r="S585" s="7"/>
      <c r="T585" s="7"/>
      <c r="U585" s="7"/>
      <c r="V585" s="7"/>
      <c r="AR585" s="15" t="s">
        <v>249</v>
      </c>
      <c r="AS585" s="15" t="s">
        <v>567</v>
      </c>
      <c r="AT585" s="15" t="s">
        <v>950</v>
      </c>
      <c r="AU585" s="15"/>
      <c r="AV585" s="15"/>
      <c r="AW585" s="15"/>
      <c r="AX585" s="15"/>
      <c r="AY585" s="15"/>
      <c r="AZ585" s="18"/>
      <c r="BA585" s="19">
        <v>2.5000000000000001E-2</v>
      </c>
      <c r="BB585" s="18"/>
      <c r="BC585" s="18"/>
      <c r="BD585" s="18"/>
      <c r="BE585" s="18"/>
      <c r="BF585" s="18"/>
      <c r="BG585" s="18"/>
      <c r="BH585" s="18"/>
      <c r="BI585" s="18"/>
      <c r="BJ585" s="18"/>
      <c r="BK585" s="18"/>
      <c r="BL585" s="19">
        <v>0.05</v>
      </c>
      <c r="BM585" s="18"/>
      <c r="BN585" s="18"/>
      <c r="BO585" s="18"/>
      <c r="BP585" s="18"/>
      <c r="BQ585" s="18"/>
      <c r="BR585" s="18"/>
      <c r="BS585" s="18"/>
      <c r="BT585" s="18"/>
      <c r="BU585" s="18"/>
    </row>
    <row r="586" spans="3:73" x14ac:dyDescent="0.45">
      <c r="C586" t="s">
        <v>328</v>
      </c>
      <c r="D586" t="s">
        <v>321</v>
      </c>
      <c r="E586" t="s">
        <v>314</v>
      </c>
      <c r="H586" t="s">
        <v>320</v>
      </c>
      <c r="J586" s="7"/>
      <c r="K586" s="7"/>
      <c r="L586" s="7">
        <v>0.09</v>
      </c>
      <c r="M586" s="7"/>
      <c r="N586" s="7"/>
      <c r="O586" s="7"/>
      <c r="P586" s="7"/>
      <c r="Q586" s="7"/>
      <c r="R586" s="7">
        <v>0.09</v>
      </c>
      <c r="S586" s="7"/>
      <c r="T586" s="7"/>
      <c r="U586" s="7"/>
      <c r="V586" s="7"/>
      <c r="AR586" s="15" t="s">
        <v>249</v>
      </c>
      <c r="AS586" s="15" t="s">
        <v>567</v>
      </c>
      <c r="AT586" s="15" t="s">
        <v>951</v>
      </c>
      <c r="AU586" s="15"/>
      <c r="AV586" s="15"/>
      <c r="AW586" s="15"/>
      <c r="AX586" s="15"/>
      <c r="AY586" s="15"/>
      <c r="AZ586" s="18"/>
      <c r="BA586" s="19">
        <v>2.5000000000000001E-2</v>
      </c>
      <c r="BB586" s="18"/>
      <c r="BC586" s="18"/>
      <c r="BD586" s="18"/>
      <c r="BE586" s="18"/>
      <c r="BF586" s="18"/>
      <c r="BG586" s="18"/>
      <c r="BH586" s="18"/>
      <c r="BI586" s="18"/>
      <c r="BJ586" s="18"/>
      <c r="BK586" s="18"/>
      <c r="BL586" s="19">
        <v>0.05</v>
      </c>
      <c r="BM586" s="18"/>
      <c r="BN586" s="18"/>
      <c r="BO586" s="18"/>
      <c r="BP586" s="18"/>
      <c r="BQ586" s="18"/>
      <c r="BR586" s="18"/>
      <c r="BS586" s="18"/>
      <c r="BT586" s="18"/>
      <c r="BU586" s="18"/>
    </row>
    <row r="587" spans="3:73" x14ac:dyDescent="0.45">
      <c r="C587" t="s">
        <v>328</v>
      </c>
      <c r="D587" t="s">
        <v>321</v>
      </c>
      <c r="E587" t="s">
        <v>315</v>
      </c>
      <c r="H587" t="s">
        <v>320</v>
      </c>
      <c r="J587" s="7"/>
      <c r="K587" s="7"/>
      <c r="L587" s="7">
        <v>0.09</v>
      </c>
      <c r="M587" s="7"/>
      <c r="N587" s="7"/>
      <c r="O587" s="7"/>
      <c r="P587" s="7"/>
      <c r="Q587" s="7"/>
      <c r="R587" s="7">
        <v>0.09</v>
      </c>
      <c r="S587" s="7"/>
      <c r="T587" s="7"/>
      <c r="U587" s="7"/>
      <c r="V587" s="7"/>
      <c r="AR587" s="15" t="s">
        <v>249</v>
      </c>
      <c r="AS587" s="15" t="s">
        <v>567</v>
      </c>
      <c r="AT587" s="15" t="s">
        <v>952</v>
      </c>
      <c r="AU587" s="15"/>
      <c r="AV587" s="15"/>
      <c r="AW587" s="15"/>
      <c r="AX587" s="15"/>
      <c r="AY587" s="15"/>
      <c r="AZ587" s="18"/>
      <c r="BA587" s="19">
        <v>2.5000000000000001E-2</v>
      </c>
      <c r="BB587" s="18"/>
      <c r="BC587" s="18"/>
      <c r="BD587" s="18"/>
      <c r="BE587" s="18"/>
      <c r="BF587" s="18"/>
      <c r="BG587" s="18"/>
      <c r="BH587" s="18"/>
      <c r="BI587" s="18"/>
      <c r="BJ587" s="18"/>
      <c r="BK587" s="18"/>
      <c r="BL587" s="19">
        <v>0.05</v>
      </c>
      <c r="BM587" s="18"/>
      <c r="BN587" s="18"/>
      <c r="BO587" s="18"/>
      <c r="BP587" s="18"/>
      <c r="BQ587" s="18"/>
      <c r="BR587" s="18"/>
      <c r="BS587" s="18"/>
      <c r="BT587" s="18"/>
      <c r="BU587" s="18"/>
    </row>
    <row r="588" spans="3:73" x14ac:dyDescent="0.45">
      <c r="C588" t="s">
        <v>328</v>
      </c>
      <c r="D588" t="s">
        <v>321</v>
      </c>
      <c r="E588" t="s">
        <v>316</v>
      </c>
      <c r="H588" t="s">
        <v>320</v>
      </c>
      <c r="J588" s="7"/>
      <c r="K588" s="7"/>
      <c r="L588" s="7">
        <v>0.09</v>
      </c>
      <c r="M588" s="7"/>
      <c r="N588" s="7"/>
      <c r="O588" s="7"/>
      <c r="P588" s="7"/>
      <c r="Q588" s="7"/>
      <c r="R588" s="7">
        <v>0.09</v>
      </c>
      <c r="S588" s="7"/>
      <c r="T588" s="7"/>
      <c r="U588" s="7"/>
      <c r="V588" s="7"/>
      <c r="AR588" s="15" t="s">
        <v>249</v>
      </c>
      <c r="AS588" s="15" t="s">
        <v>567</v>
      </c>
      <c r="AT588" s="15" t="s">
        <v>953</v>
      </c>
      <c r="AU588" s="15"/>
      <c r="AV588" s="15"/>
      <c r="AW588" s="15"/>
      <c r="AX588" s="15"/>
      <c r="AY588" s="15"/>
      <c r="AZ588" s="18"/>
      <c r="BA588" s="19">
        <v>2.5000000000000001E-2</v>
      </c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9">
        <v>0.05</v>
      </c>
      <c r="BM588" s="18"/>
      <c r="BN588" s="18"/>
      <c r="BO588" s="18"/>
      <c r="BP588" s="18"/>
      <c r="BQ588" s="18"/>
      <c r="BR588" s="18"/>
      <c r="BS588" s="18"/>
      <c r="BT588" s="18"/>
      <c r="BU588" s="18"/>
    </row>
    <row r="589" spans="3:73" x14ac:dyDescent="0.45">
      <c r="C589" t="s">
        <v>328</v>
      </c>
      <c r="D589" t="s">
        <v>321</v>
      </c>
      <c r="E589" t="s">
        <v>317</v>
      </c>
      <c r="H589" t="s">
        <v>320</v>
      </c>
      <c r="J589" s="7"/>
      <c r="K589" s="7"/>
      <c r="L589" s="7">
        <v>0.09</v>
      </c>
      <c r="M589" s="7"/>
      <c r="N589" s="7"/>
      <c r="O589" s="7"/>
      <c r="P589" s="7"/>
      <c r="Q589" s="7"/>
      <c r="R589" s="7">
        <v>0.09</v>
      </c>
      <c r="S589" s="7"/>
      <c r="T589" s="7"/>
      <c r="U589" s="7"/>
      <c r="V589" s="7"/>
      <c r="AR589" s="15" t="s">
        <v>249</v>
      </c>
      <c r="AS589" s="15" t="s">
        <v>567</v>
      </c>
      <c r="AT589" s="15" t="s">
        <v>954</v>
      </c>
      <c r="AU589" s="15"/>
      <c r="AV589" s="15"/>
      <c r="AW589" s="15"/>
      <c r="AX589" s="15"/>
      <c r="AY589" s="15"/>
      <c r="AZ589" s="18"/>
      <c r="BA589" s="19">
        <v>2.5000000000000001E-2</v>
      </c>
      <c r="BB589" s="18"/>
      <c r="BC589" s="18"/>
      <c r="BD589" s="18"/>
      <c r="BE589" s="18"/>
      <c r="BF589" s="18"/>
      <c r="BG589" s="18"/>
      <c r="BH589" s="18"/>
      <c r="BI589" s="18"/>
      <c r="BJ589" s="18"/>
      <c r="BK589" s="18"/>
      <c r="BL589" s="19">
        <v>0.05</v>
      </c>
      <c r="BM589" s="18"/>
      <c r="BN589" s="18"/>
      <c r="BO589" s="18"/>
      <c r="BP589" s="18"/>
      <c r="BQ589" s="18"/>
      <c r="BR589" s="18"/>
      <c r="BS589" s="18"/>
      <c r="BT589" s="18"/>
      <c r="BU589" s="18"/>
    </row>
    <row r="590" spans="3:73" x14ac:dyDescent="0.45">
      <c r="C590" t="s">
        <v>328</v>
      </c>
      <c r="D590" t="s">
        <v>322</v>
      </c>
      <c r="E590" t="s">
        <v>251</v>
      </c>
      <c r="I590" t="s">
        <v>323</v>
      </c>
      <c r="J590" s="7"/>
      <c r="K590" s="7"/>
      <c r="L590" s="7">
        <v>6000</v>
      </c>
      <c r="M590" s="7"/>
      <c r="N590" s="7"/>
      <c r="O590" s="7"/>
      <c r="P590" s="7"/>
      <c r="Q590" s="7"/>
      <c r="R590" s="7">
        <v>6000</v>
      </c>
      <c r="S590" s="7"/>
      <c r="T590" s="7"/>
      <c r="U590" s="7"/>
      <c r="V590" s="7"/>
      <c r="AR590" s="15" t="s">
        <v>249</v>
      </c>
      <c r="AS590" s="15" t="s">
        <v>567</v>
      </c>
      <c r="AT590" s="15" t="s">
        <v>955</v>
      </c>
      <c r="AU590" s="15"/>
      <c r="AV590" s="15"/>
      <c r="AW590" s="15"/>
      <c r="AX590" s="15"/>
      <c r="AY590" s="15"/>
      <c r="AZ590" s="18"/>
      <c r="BA590" s="19">
        <v>2.5000000000000001E-2</v>
      </c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9">
        <v>0.05</v>
      </c>
      <c r="BM590" s="18"/>
      <c r="BN590" s="18"/>
      <c r="BO590" s="18"/>
      <c r="BP590" s="18"/>
      <c r="BQ590" s="18"/>
      <c r="BR590" s="18"/>
      <c r="BS590" s="18"/>
      <c r="BT590" s="18"/>
      <c r="BU590" s="18"/>
    </row>
    <row r="591" spans="3:73" x14ac:dyDescent="0.45">
      <c r="C591" t="s">
        <v>328</v>
      </c>
      <c r="D591" t="s">
        <v>322</v>
      </c>
      <c r="E591" t="s">
        <v>253</v>
      </c>
      <c r="I591" t="s">
        <v>323</v>
      </c>
      <c r="J591" s="7"/>
      <c r="K591" s="7"/>
      <c r="L591" s="7">
        <v>6257.14</v>
      </c>
      <c r="M591" s="7"/>
      <c r="N591" s="7"/>
      <c r="O591" s="7"/>
      <c r="P591" s="7"/>
      <c r="Q591" s="7"/>
      <c r="R591" s="7">
        <v>6257.1428569999998</v>
      </c>
      <c r="S591" s="7"/>
      <c r="T591" s="7"/>
      <c r="U591" s="7"/>
      <c r="V591" s="7"/>
      <c r="AR591" s="15" t="s">
        <v>249</v>
      </c>
      <c r="AS591" s="15" t="s">
        <v>567</v>
      </c>
      <c r="AT591" s="15" t="s">
        <v>956</v>
      </c>
      <c r="AU591" s="15"/>
      <c r="AV591" s="15"/>
      <c r="AW591" s="15"/>
      <c r="AX591" s="15"/>
      <c r="AY591" s="15"/>
      <c r="AZ591" s="18"/>
      <c r="BA591" s="19">
        <v>2.5000000000000001E-2</v>
      </c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9">
        <v>0.05</v>
      </c>
      <c r="BM591" s="18"/>
      <c r="BN591" s="18"/>
      <c r="BO591" s="18"/>
      <c r="BP591" s="18"/>
      <c r="BQ591" s="18"/>
      <c r="BR591" s="18"/>
      <c r="BS591" s="18"/>
      <c r="BT591" s="18"/>
      <c r="BU591" s="18"/>
    </row>
    <row r="592" spans="3:73" x14ac:dyDescent="0.45">
      <c r="C592" t="s">
        <v>328</v>
      </c>
      <c r="D592" t="s">
        <v>322</v>
      </c>
      <c r="E592" t="s">
        <v>254</v>
      </c>
      <c r="I592" t="s">
        <v>323</v>
      </c>
      <c r="J592" s="7"/>
      <c r="K592" s="7"/>
      <c r="L592" s="7">
        <v>1076.0899999999999</v>
      </c>
      <c r="M592" s="7"/>
      <c r="N592" s="7"/>
      <c r="O592" s="7"/>
      <c r="P592" s="7"/>
      <c r="Q592" s="7"/>
      <c r="R592" s="7">
        <v>1076.086957</v>
      </c>
      <c r="S592" s="7"/>
      <c r="T592" s="7"/>
      <c r="U592" s="7"/>
      <c r="V592" s="7"/>
      <c r="AR592" s="15" t="s">
        <v>249</v>
      </c>
      <c r="AS592" s="15" t="s">
        <v>567</v>
      </c>
      <c r="AT592" s="15" t="s">
        <v>957</v>
      </c>
      <c r="AU592" s="15"/>
      <c r="AV592" s="15"/>
      <c r="AW592" s="15"/>
      <c r="AX592" s="15"/>
      <c r="AY592" s="15"/>
      <c r="AZ592" s="18"/>
      <c r="BA592" s="19">
        <v>2.5000000000000001E-2</v>
      </c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9">
        <v>0.05</v>
      </c>
      <c r="BM592" s="18"/>
      <c r="BN592" s="18"/>
      <c r="BO592" s="18"/>
      <c r="BP592" s="18"/>
      <c r="BQ592" s="18"/>
      <c r="BR592" s="18"/>
      <c r="BS592" s="18"/>
      <c r="BT592" s="18"/>
      <c r="BU592" s="18"/>
    </row>
    <row r="593" spans="3:73" x14ac:dyDescent="0.45">
      <c r="C593" t="s">
        <v>328</v>
      </c>
      <c r="D593" t="s">
        <v>322</v>
      </c>
      <c r="E593" t="s">
        <v>255</v>
      </c>
      <c r="I593" t="s">
        <v>323</v>
      </c>
      <c r="J593" s="7"/>
      <c r="K593" s="7"/>
      <c r="L593" s="7">
        <v>483.48</v>
      </c>
      <c r="M593" s="7">
        <v>356.25</v>
      </c>
      <c r="N593" s="7">
        <v>157.77000000000001</v>
      </c>
      <c r="O593" s="7">
        <v>157.77000000000001</v>
      </c>
      <c r="P593" s="7">
        <v>157.77000000000001</v>
      </c>
      <c r="Q593" s="7"/>
      <c r="R593" s="7">
        <v>483</v>
      </c>
      <c r="S593" s="7">
        <v>379</v>
      </c>
      <c r="T593" s="7">
        <v>287</v>
      </c>
      <c r="U593" s="7">
        <v>189</v>
      </c>
      <c r="V593" s="7">
        <v>189</v>
      </c>
      <c r="AR593" s="15" t="s">
        <v>249</v>
      </c>
      <c r="AS593" s="15" t="s">
        <v>567</v>
      </c>
      <c r="AT593" s="15" t="s">
        <v>958</v>
      </c>
      <c r="AU593" s="15"/>
      <c r="AV593" s="15"/>
      <c r="AW593" s="15"/>
      <c r="AX593" s="15"/>
      <c r="AY593" s="15"/>
      <c r="AZ593" s="18"/>
      <c r="BA593" s="19">
        <v>2.5000000000000001E-2</v>
      </c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9">
        <v>0.05</v>
      </c>
      <c r="BM593" s="18"/>
      <c r="BN593" s="18"/>
      <c r="BO593" s="18"/>
      <c r="BP593" s="18"/>
      <c r="BQ593" s="18"/>
      <c r="BR593" s="18"/>
      <c r="BS593" s="18"/>
      <c r="BT593" s="18"/>
      <c r="BU593" s="18"/>
    </row>
    <row r="594" spans="3:73" x14ac:dyDescent="0.45">
      <c r="C594" t="s">
        <v>328</v>
      </c>
      <c r="D594" t="s">
        <v>322</v>
      </c>
      <c r="E594" t="s">
        <v>256</v>
      </c>
      <c r="I594" t="s">
        <v>323</v>
      </c>
      <c r="J594" s="7"/>
      <c r="K594" s="7"/>
      <c r="L594" s="7">
        <v>264.04000000000002</v>
      </c>
      <c r="M594" s="7">
        <v>264.04000000000002</v>
      </c>
      <c r="N594" s="7">
        <v>264.04000000000002</v>
      </c>
      <c r="O594" s="7">
        <v>264.04000000000002</v>
      </c>
      <c r="P594" s="7">
        <v>264.04000000000002</v>
      </c>
      <c r="Q594" s="7"/>
      <c r="R594" s="7">
        <v>264</v>
      </c>
      <c r="S594" s="7">
        <v>264</v>
      </c>
      <c r="T594" s="7">
        <v>264</v>
      </c>
      <c r="U594" s="7">
        <v>264</v>
      </c>
      <c r="V594" s="7">
        <v>264</v>
      </c>
      <c r="AR594" s="15" t="s">
        <v>249</v>
      </c>
      <c r="AS594" s="15" t="s">
        <v>567</v>
      </c>
      <c r="AT594" s="15" t="s">
        <v>959</v>
      </c>
      <c r="AU594" s="15"/>
      <c r="AV594" s="15"/>
      <c r="AW594" s="15"/>
      <c r="AX594" s="15"/>
      <c r="AY594" s="15"/>
      <c r="AZ594" s="18"/>
      <c r="BA594" s="19">
        <v>2.5000000000000001E-2</v>
      </c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9">
        <v>0.05</v>
      </c>
      <c r="BM594" s="18"/>
      <c r="BN594" s="18"/>
      <c r="BO594" s="18"/>
      <c r="BP594" s="18"/>
      <c r="BQ594" s="18"/>
      <c r="BR594" s="18"/>
      <c r="BS594" s="18"/>
      <c r="BT594" s="18"/>
      <c r="BU594" s="18"/>
    </row>
    <row r="595" spans="3:73" x14ac:dyDescent="0.45">
      <c r="C595" t="s">
        <v>328</v>
      </c>
      <c r="D595" t="s">
        <v>322</v>
      </c>
      <c r="E595" t="s">
        <v>257</v>
      </c>
      <c r="I595" t="s">
        <v>323</v>
      </c>
      <c r="J595" s="7"/>
      <c r="K595" s="7"/>
      <c r="L595" s="7">
        <v>1851.87</v>
      </c>
      <c r="M595" s="7">
        <v>1898.16</v>
      </c>
      <c r="N595" s="7">
        <v>1962.98</v>
      </c>
      <c r="O595" s="7">
        <v>2042.5</v>
      </c>
      <c r="P595" s="7">
        <v>2096.9699999999998</v>
      </c>
      <c r="Q595" s="7"/>
      <c r="R595" s="7">
        <v>1851.866667</v>
      </c>
      <c r="S595" s="7">
        <v>1898.163333</v>
      </c>
      <c r="T595" s="7">
        <v>1962.9786670000001</v>
      </c>
      <c r="U595" s="7">
        <v>2042.5</v>
      </c>
      <c r="V595" s="7">
        <v>2096.9666670000001</v>
      </c>
      <c r="AR595" s="15" t="s">
        <v>249</v>
      </c>
      <c r="AS595" s="15" t="s">
        <v>567</v>
      </c>
      <c r="AT595" s="15" t="s">
        <v>960</v>
      </c>
      <c r="AU595" s="15"/>
      <c r="AV595" s="15"/>
      <c r="AW595" s="15"/>
      <c r="AX595" s="15"/>
      <c r="AY595" s="15"/>
      <c r="AZ595" s="18"/>
      <c r="BA595" s="19">
        <v>2.5000000000000001E-2</v>
      </c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9">
        <v>0.05</v>
      </c>
      <c r="BM595" s="18"/>
      <c r="BN595" s="18"/>
      <c r="BO595" s="18"/>
      <c r="BP595" s="18"/>
      <c r="BQ595" s="18"/>
      <c r="BR595" s="18"/>
      <c r="BS595" s="18"/>
      <c r="BT595" s="18"/>
      <c r="BU595" s="18"/>
    </row>
    <row r="596" spans="3:73" x14ac:dyDescent="0.45">
      <c r="C596" t="s">
        <v>328</v>
      </c>
      <c r="D596" t="s">
        <v>322</v>
      </c>
      <c r="E596" t="s">
        <v>258</v>
      </c>
      <c r="I596" t="s">
        <v>323</v>
      </c>
      <c r="J596" s="7"/>
      <c r="K596" s="7"/>
      <c r="L596" s="7">
        <v>6565.01</v>
      </c>
      <c r="M596" s="7">
        <v>3423.68</v>
      </c>
      <c r="N596" s="7">
        <v>2040.4</v>
      </c>
      <c r="O596" s="7">
        <v>2040.4</v>
      </c>
      <c r="P596" s="7">
        <v>2040.4</v>
      </c>
      <c r="Q596" s="7"/>
      <c r="R596" s="7">
        <v>6565.0101119999999</v>
      </c>
      <c r="S596" s="7">
        <v>3455.2448639999998</v>
      </c>
      <c r="T596" s="7">
        <v>2084.8753830000001</v>
      </c>
      <c r="U596" s="7">
        <v>2084.8753830000001</v>
      </c>
      <c r="V596" s="7">
        <v>2084.8753830000001</v>
      </c>
      <c r="AR596" s="15" t="s">
        <v>249</v>
      </c>
      <c r="AS596" s="15" t="s">
        <v>567</v>
      </c>
      <c r="AT596" s="15" t="s">
        <v>961</v>
      </c>
      <c r="AU596" s="15"/>
      <c r="AV596" s="15"/>
      <c r="AW596" s="15"/>
      <c r="AX596" s="15"/>
      <c r="AY596" s="15"/>
      <c r="AZ596" s="18"/>
      <c r="BA596" s="19">
        <v>2.5000000000000001E-2</v>
      </c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9">
        <v>0.05</v>
      </c>
      <c r="BM596" s="18"/>
      <c r="BN596" s="18"/>
      <c r="BO596" s="18"/>
      <c r="BP596" s="18"/>
      <c r="BQ596" s="18"/>
      <c r="BR596" s="18"/>
      <c r="BS596" s="18"/>
      <c r="BT596" s="18"/>
      <c r="BU596" s="18"/>
    </row>
    <row r="597" spans="3:73" x14ac:dyDescent="0.45">
      <c r="C597" t="s">
        <v>328</v>
      </c>
      <c r="D597" t="s">
        <v>322</v>
      </c>
      <c r="E597" t="s">
        <v>259</v>
      </c>
      <c r="I597" t="s">
        <v>323</v>
      </c>
      <c r="J597" s="7"/>
      <c r="K597" s="7"/>
      <c r="L597" s="7">
        <v>7542.15</v>
      </c>
      <c r="M597" s="7">
        <v>4158.21</v>
      </c>
      <c r="N597" s="7">
        <v>3104.03</v>
      </c>
      <c r="O597" s="7">
        <v>2612.63</v>
      </c>
      <c r="P597" s="7">
        <v>2501.4</v>
      </c>
      <c r="Q597" s="7"/>
      <c r="R597" s="7">
        <v>7542.1452920000002</v>
      </c>
      <c r="S597" s="7">
        <v>4158.2148360000001</v>
      </c>
      <c r="T597" s="7">
        <v>3104.0293999999999</v>
      </c>
      <c r="U597" s="7">
        <v>2612.626886</v>
      </c>
      <c r="V597" s="7">
        <v>2501.4005379999999</v>
      </c>
      <c r="AR597" s="15" t="s">
        <v>249</v>
      </c>
      <c r="AS597" s="15" t="s">
        <v>567</v>
      </c>
      <c r="AT597" s="15" t="s">
        <v>962</v>
      </c>
      <c r="AU597" s="15"/>
      <c r="AV597" s="15"/>
      <c r="AW597" s="15"/>
      <c r="AX597" s="15"/>
      <c r="AY597" s="15"/>
      <c r="AZ597" s="18"/>
      <c r="BA597" s="19">
        <v>2.5000000000000001E-2</v>
      </c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9">
        <v>0.05</v>
      </c>
      <c r="BM597" s="18"/>
      <c r="BN597" s="18"/>
      <c r="BO597" s="18"/>
      <c r="BP597" s="18"/>
      <c r="BQ597" s="18"/>
      <c r="BR597" s="18"/>
      <c r="BS597" s="18"/>
      <c r="BT597" s="18"/>
      <c r="BU597" s="18"/>
    </row>
    <row r="598" spans="3:73" x14ac:dyDescent="0.45">
      <c r="C598" t="s">
        <v>328</v>
      </c>
      <c r="D598" t="s">
        <v>322</v>
      </c>
      <c r="E598" t="s">
        <v>260</v>
      </c>
      <c r="I598" t="s">
        <v>323</v>
      </c>
      <c r="J598" s="7"/>
      <c r="K598" s="7"/>
      <c r="L598" s="7">
        <v>965.29</v>
      </c>
      <c r="M598" s="7"/>
      <c r="N598" s="7"/>
      <c r="O598" s="7"/>
      <c r="P598" s="7"/>
      <c r="Q598" s="7"/>
      <c r="R598" s="7">
        <v>965.29408179999996</v>
      </c>
      <c r="S598" s="7"/>
      <c r="T598" s="7"/>
      <c r="U598" s="7"/>
      <c r="V598" s="7"/>
      <c r="AR598" s="15" t="s">
        <v>249</v>
      </c>
      <c r="AS598" s="15" t="s">
        <v>567</v>
      </c>
      <c r="AT598" s="15" t="s">
        <v>963</v>
      </c>
      <c r="AU598" s="15"/>
      <c r="AV598" s="15"/>
      <c r="AW598" s="15"/>
      <c r="AX598" s="15"/>
      <c r="AY598" s="15"/>
      <c r="AZ598" s="18"/>
      <c r="BA598" s="19">
        <v>2.5000000000000001E-2</v>
      </c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9">
        <v>0.05</v>
      </c>
      <c r="BM598" s="18"/>
      <c r="BN598" s="18"/>
      <c r="BO598" s="18"/>
      <c r="BP598" s="18"/>
      <c r="BQ598" s="18"/>
      <c r="BR598" s="18"/>
      <c r="BS598" s="18"/>
      <c r="BT598" s="18"/>
      <c r="BU598" s="18"/>
    </row>
    <row r="599" spans="3:73" x14ac:dyDescent="0.45">
      <c r="C599" t="s">
        <v>328</v>
      </c>
      <c r="D599" t="s">
        <v>322</v>
      </c>
      <c r="E599" t="s">
        <v>261</v>
      </c>
      <c r="I599" t="s">
        <v>323</v>
      </c>
      <c r="J599" s="7"/>
      <c r="K599" s="7"/>
      <c r="L599" s="7"/>
      <c r="M599" s="7">
        <v>3039.58</v>
      </c>
      <c r="N599" s="7">
        <v>1245.6600000000001</v>
      </c>
      <c r="O599" s="7">
        <v>1072.05</v>
      </c>
      <c r="P599" s="7">
        <v>1072.05</v>
      </c>
      <c r="Q599" s="7"/>
      <c r="R599" s="7"/>
      <c r="S599" s="7">
        <v>3076.969325</v>
      </c>
      <c r="T599" s="7">
        <v>1595.220724</v>
      </c>
      <c r="U599" s="7">
        <v>1071.7593999999999</v>
      </c>
      <c r="V599" s="7">
        <v>1071.7593999999999</v>
      </c>
      <c r="AR599" s="15" t="s">
        <v>249</v>
      </c>
      <c r="AS599" s="15" t="s">
        <v>567</v>
      </c>
      <c r="AT599" s="15" t="s">
        <v>964</v>
      </c>
      <c r="AU599" s="15"/>
      <c r="AV599" s="15"/>
      <c r="AW599" s="15"/>
      <c r="AX599" s="15"/>
      <c r="AY599" s="15"/>
      <c r="AZ599" s="18"/>
      <c r="BA599" s="19">
        <v>2.5000000000000001E-2</v>
      </c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9">
        <v>0.05</v>
      </c>
      <c r="BM599" s="18"/>
      <c r="BN599" s="18"/>
      <c r="BO599" s="18"/>
      <c r="BP599" s="18"/>
      <c r="BQ599" s="18"/>
      <c r="BR599" s="18"/>
      <c r="BS599" s="18"/>
      <c r="BT599" s="18"/>
      <c r="BU599" s="18"/>
    </row>
    <row r="600" spans="3:73" x14ac:dyDescent="0.45">
      <c r="C600" t="s">
        <v>328</v>
      </c>
      <c r="D600" t="s">
        <v>322</v>
      </c>
      <c r="E600" t="s">
        <v>262</v>
      </c>
      <c r="I600" t="s">
        <v>323</v>
      </c>
      <c r="J600" s="7"/>
      <c r="K600" s="7"/>
      <c r="L600" s="7"/>
      <c r="M600" s="7">
        <v>2304.09</v>
      </c>
      <c r="N600" s="7">
        <v>1136.31</v>
      </c>
      <c r="O600" s="7">
        <v>666.85</v>
      </c>
      <c r="P600" s="7">
        <v>634.71</v>
      </c>
      <c r="Q600" s="7"/>
      <c r="R600" s="7"/>
      <c r="S600" s="7">
        <v>2307.2582419999999</v>
      </c>
      <c r="T600" s="7">
        <v>2140.7867959999999</v>
      </c>
      <c r="U600" s="7">
        <v>819.54217649999998</v>
      </c>
      <c r="V600" s="7">
        <v>675.35594379999998</v>
      </c>
      <c r="AR600" s="15" t="s">
        <v>249</v>
      </c>
      <c r="AS600" s="15" t="s">
        <v>567</v>
      </c>
      <c r="AT600" s="15" t="s">
        <v>965</v>
      </c>
      <c r="AU600" s="15"/>
      <c r="AV600" s="15"/>
      <c r="AW600" s="15"/>
      <c r="AX600" s="15"/>
      <c r="AY600" s="15"/>
      <c r="AZ600" s="18"/>
      <c r="BA600" s="19">
        <v>2.5000000000000001E-2</v>
      </c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9">
        <v>0.05</v>
      </c>
      <c r="BM600" s="18"/>
      <c r="BN600" s="18"/>
      <c r="BO600" s="18"/>
      <c r="BP600" s="18"/>
      <c r="BQ600" s="18"/>
      <c r="BR600" s="18"/>
      <c r="BS600" s="18"/>
      <c r="BT600" s="18"/>
      <c r="BU600" s="18"/>
    </row>
    <row r="601" spans="3:73" x14ac:dyDescent="0.45">
      <c r="C601" t="s">
        <v>328</v>
      </c>
      <c r="D601" t="s">
        <v>322</v>
      </c>
      <c r="E601" t="s">
        <v>263</v>
      </c>
      <c r="I601" t="s">
        <v>323</v>
      </c>
      <c r="J601" s="7"/>
      <c r="K601" s="7"/>
      <c r="L601" s="7">
        <v>363.43</v>
      </c>
      <c r="M601" s="7">
        <v>368.42</v>
      </c>
      <c r="N601" s="7">
        <v>375.08</v>
      </c>
      <c r="O601" s="7">
        <v>383.4</v>
      </c>
      <c r="P601" s="7">
        <v>394.6</v>
      </c>
      <c r="Q601" s="7"/>
      <c r="R601" s="7">
        <v>363.43</v>
      </c>
      <c r="S601" s="7">
        <v>368.42</v>
      </c>
      <c r="T601" s="7">
        <v>375.08</v>
      </c>
      <c r="U601" s="7">
        <v>383.4</v>
      </c>
      <c r="V601" s="7">
        <v>394.6</v>
      </c>
      <c r="AR601" s="15" t="s">
        <v>249</v>
      </c>
      <c r="AS601" s="15" t="s">
        <v>567</v>
      </c>
      <c r="AT601" s="15" t="s">
        <v>966</v>
      </c>
      <c r="AU601" s="15"/>
      <c r="AV601" s="15"/>
      <c r="AW601" s="15"/>
      <c r="AX601" s="15"/>
      <c r="AY601" s="15"/>
      <c r="AZ601" s="18"/>
      <c r="BA601" s="19">
        <v>2.5000000000000001E-2</v>
      </c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9">
        <v>0.05</v>
      </c>
      <c r="BM601" s="18"/>
      <c r="BN601" s="18"/>
      <c r="BO601" s="18"/>
      <c r="BP601" s="18"/>
      <c r="BQ601" s="18"/>
      <c r="BR601" s="18"/>
      <c r="BS601" s="18"/>
      <c r="BT601" s="18"/>
      <c r="BU601" s="18"/>
    </row>
    <row r="602" spans="3:73" x14ac:dyDescent="0.45">
      <c r="C602" t="s">
        <v>328</v>
      </c>
      <c r="D602" t="s">
        <v>322</v>
      </c>
      <c r="E602" t="s">
        <v>264</v>
      </c>
      <c r="I602" t="s">
        <v>323</v>
      </c>
      <c r="J602" s="7"/>
      <c r="K602" s="7"/>
      <c r="L602" s="7">
        <v>563.28</v>
      </c>
      <c r="M602" s="7">
        <v>536.36</v>
      </c>
      <c r="N602" s="7">
        <v>378.82</v>
      </c>
      <c r="O602" s="7">
        <v>378.82</v>
      </c>
      <c r="P602" s="7">
        <v>378.82</v>
      </c>
      <c r="Q602" s="7"/>
      <c r="R602" s="7">
        <v>563.28</v>
      </c>
      <c r="S602" s="7">
        <v>549.55999999999995</v>
      </c>
      <c r="T602" s="7">
        <v>413.47</v>
      </c>
      <c r="U602" s="7">
        <v>413.47</v>
      </c>
      <c r="V602" s="7">
        <v>413.47</v>
      </c>
      <c r="AR602" s="15" t="s">
        <v>249</v>
      </c>
      <c r="AS602" s="15" t="s">
        <v>567</v>
      </c>
      <c r="AT602" s="15" t="s">
        <v>967</v>
      </c>
      <c r="AU602" s="15"/>
      <c r="AV602" s="15"/>
      <c r="AW602" s="15"/>
      <c r="AX602" s="15"/>
      <c r="AY602" s="15"/>
      <c r="AZ602" s="18"/>
      <c r="BA602" s="19">
        <v>2.5000000000000001E-2</v>
      </c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9">
        <v>0.05</v>
      </c>
      <c r="BM602" s="18"/>
      <c r="BN602" s="18"/>
      <c r="BO602" s="18"/>
      <c r="BP602" s="18"/>
      <c r="BQ602" s="18"/>
      <c r="BR602" s="18"/>
      <c r="BS602" s="18"/>
      <c r="BT602" s="18"/>
      <c r="BU602" s="18"/>
    </row>
    <row r="603" spans="3:73" x14ac:dyDescent="0.45">
      <c r="C603" t="s">
        <v>328</v>
      </c>
      <c r="D603" t="s">
        <v>322</v>
      </c>
      <c r="E603" t="s">
        <v>265</v>
      </c>
      <c r="I603" t="s">
        <v>323</v>
      </c>
      <c r="J603" s="7"/>
      <c r="K603" s="7"/>
      <c r="L603" s="7">
        <v>748.66</v>
      </c>
      <c r="M603" s="7">
        <v>644.29999999999995</v>
      </c>
      <c r="N603" s="7">
        <v>537.66999999999996</v>
      </c>
      <c r="O603" s="7">
        <v>431.38</v>
      </c>
      <c r="P603" s="7">
        <v>408.55</v>
      </c>
      <c r="Q603" s="7"/>
      <c r="R603" s="7">
        <v>748.66</v>
      </c>
      <c r="S603" s="7">
        <v>644.29999999999995</v>
      </c>
      <c r="T603" s="7">
        <v>431.38</v>
      </c>
      <c r="U603" s="7">
        <v>431.38</v>
      </c>
      <c r="V603" s="7">
        <v>408.55</v>
      </c>
      <c r="AR603" s="15" t="s">
        <v>249</v>
      </c>
      <c r="AS603" s="15" t="s">
        <v>567</v>
      </c>
      <c r="AT603" s="15" t="s">
        <v>968</v>
      </c>
      <c r="AU603" s="15"/>
      <c r="AV603" s="15"/>
      <c r="AW603" s="15"/>
      <c r="AX603" s="15"/>
      <c r="AY603" s="15"/>
      <c r="AZ603" s="18"/>
      <c r="BA603" s="19">
        <v>2.5000000000000001E-2</v>
      </c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9">
        <v>0.05</v>
      </c>
      <c r="BM603" s="18"/>
      <c r="BN603" s="18"/>
      <c r="BO603" s="18"/>
      <c r="BP603" s="18"/>
      <c r="BQ603" s="18"/>
      <c r="BR603" s="18"/>
      <c r="BS603" s="18"/>
      <c r="BT603" s="18"/>
      <c r="BU603" s="18"/>
    </row>
    <row r="604" spans="3:73" x14ac:dyDescent="0.45">
      <c r="C604" t="s">
        <v>328</v>
      </c>
      <c r="D604" t="s">
        <v>322</v>
      </c>
      <c r="E604" t="s">
        <v>266</v>
      </c>
      <c r="I604" t="s">
        <v>323</v>
      </c>
      <c r="J604" s="7"/>
      <c r="K604" s="7"/>
      <c r="L604" s="7">
        <v>410.61</v>
      </c>
      <c r="M604" s="7"/>
      <c r="N604" s="7"/>
      <c r="O604" s="7"/>
      <c r="P604" s="7"/>
      <c r="Q604" s="7"/>
      <c r="R604" s="7">
        <v>410.6135299</v>
      </c>
      <c r="S604" s="7"/>
      <c r="T604" s="7"/>
      <c r="U604" s="7"/>
      <c r="V604" s="7"/>
      <c r="AR604" s="15" t="s">
        <v>249</v>
      </c>
      <c r="AS604" s="15" t="s">
        <v>567</v>
      </c>
      <c r="AT604" s="15" t="s">
        <v>969</v>
      </c>
      <c r="AU604" s="15"/>
      <c r="AV604" s="15"/>
      <c r="AW604" s="15"/>
      <c r="AX604" s="15"/>
      <c r="AY604" s="15"/>
      <c r="AZ604" s="18"/>
      <c r="BA604" s="19">
        <v>2.5000000000000001E-2</v>
      </c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9">
        <v>0.05</v>
      </c>
      <c r="BM604" s="18"/>
      <c r="BN604" s="18"/>
      <c r="BO604" s="18"/>
      <c r="BP604" s="18"/>
      <c r="BQ604" s="18"/>
      <c r="BR604" s="18"/>
      <c r="BS604" s="18"/>
      <c r="BT604" s="18"/>
      <c r="BU604" s="18"/>
    </row>
    <row r="605" spans="3:73" x14ac:dyDescent="0.45">
      <c r="C605" t="s">
        <v>328</v>
      </c>
      <c r="D605" t="s">
        <v>322</v>
      </c>
      <c r="E605" t="s">
        <v>267</v>
      </c>
      <c r="I605" t="s">
        <v>323</v>
      </c>
      <c r="J605" s="7"/>
      <c r="K605" s="7"/>
      <c r="L605" s="7">
        <v>643.41</v>
      </c>
      <c r="M605" s="7"/>
      <c r="N605" s="7"/>
      <c r="O605" s="7"/>
      <c r="P605" s="7"/>
      <c r="Q605" s="7"/>
      <c r="R605" s="7">
        <v>643.41352989999996</v>
      </c>
      <c r="S605" s="7"/>
      <c r="T605" s="7"/>
      <c r="U605" s="7"/>
      <c r="V605" s="7"/>
      <c r="AR605" s="15" t="s">
        <v>249</v>
      </c>
      <c r="AS605" s="15" t="s">
        <v>567</v>
      </c>
      <c r="AT605" s="15" t="s">
        <v>970</v>
      </c>
      <c r="AU605" s="15"/>
      <c r="AV605" s="15"/>
      <c r="AW605" s="15"/>
      <c r="AX605" s="15"/>
      <c r="AY605" s="15"/>
      <c r="AZ605" s="18"/>
      <c r="BA605" s="19">
        <v>2.5000000000000001E-2</v>
      </c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9">
        <v>0.05</v>
      </c>
      <c r="BM605" s="18"/>
      <c r="BN605" s="18"/>
      <c r="BO605" s="18"/>
      <c r="BP605" s="18"/>
      <c r="BQ605" s="18"/>
      <c r="BR605" s="18"/>
      <c r="BS605" s="18"/>
      <c r="BT605" s="18"/>
      <c r="BU605" s="18"/>
    </row>
    <row r="606" spans="3:73" x14ac:dyDescent="0.45">
      <c r="C606" t="s">
        <v>328</v>
      </c>
      <c r="D606" t="s">
        <v>322</v>
      </c>
      <c r="E606" t="s">
        <v>268</v>
      </c>
      <c r="I606" t="s">
        <v>323</v>
      </c>
      <c r="J606" s="7"/>
      <c r="K606" s="7"/>
      <c r="L606" s="7">
        <v>886.91</v>
      </c>
      <c r="M606" s="7"/>
      <c r="N606" s="7"/>
      <c r="O606" s="7"/>
      <c r="P606" s="7"/>
      <c r="Q606" s="7"/>
      <c r="R606" s="7">
        <v>886.90625</v>
      </c>
      <c r="S606" s="7"/>
      <c r="T606" s="7"/>
      <c r="U606" s="7"/>
      <c r="V606" s="7"/>
      <c r="AR606" s="15" t="s">
        <v>249</v>
      </c>
      <c r="AS606" s="15" t="s">
        <v>567</v>
      </c>
      <c r="AT606" s="15" t="s">
        <v>971</v>
      </c>
      <c r="AU606" s="15"/>
      <c r="AV606" s="15"/>
      <c r="AW606" s="15"/>
      <c r="AX606" s="15"/>
      <c r="AY606" s="15"/>
      <c r="AZ606" s="18"/>
      <c r="BA606" s="19">
        <v>2.5000000000000001E-2</v>
      </c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9">
        <v>0.05</v>
      </c>
      <c r="BM606" s="18"/>
      <c r="BN606" s="18"/>
      <c r="BO606" s="18"/>
      <c r="BP606" s="18"/>
      <c r="BQ606" s="18"/>
      <c r="BR606" s="18"/>
      <c r="BS606" s="18"/>
      <c r="BT606" s="18"/>
      <c r="BU606" s="18"/>
    </row>
    <row r="607" spans="3:73" x14ac:dyDescent="0.45">
      <c r="C607" t="s">
        <v>328</v>
      </c>
      <c r="D607" t="s">
        <v>322</v>
      </c>
      <c r="E607" t="s">
        <v>269</v>
      </c>
      <c r="I607" t="s">
        <v>323</v>
      </c>
      <c r="J607" s="7"/>
      <c r="K607" s="7"/>
      <c r="L607" s="7">
        <v>545.78</v>
      </c>
      <c r="M607" s="7"/>
      <c r="N607" s="7"/>
      <c r="O607" s="7"/>
      <c r="P607" s="7"/>
      <c r="Q607" s="7"/>
      <c r="R607" s="7">
        <v>545.78192360000003</v>
      </c>
      <c r="S607" s="7"/>
      <c r="T607" s="7"/>
      <c r="U607" s="7"/>
      <c r="V607" s="7"/>
      <c r="AR607" s="15" t="s">
        <v>249</v>
      </c>
      <c r="AS607" s="15" t="s">
        <v>567</v>
      </c>
      <c r="AT607" s="15" t="s">
        <v>972</v>
      </c>
      <c r="AU607" s="15"/>
      <c r="AV607" s="15"/>
      <c r="AW607" s="15"/>
      <c r="AX607" s="15"/>
      <c r="AY607" s="15"/>
      <c r="AZ607" s="18"/>
      <c r="BA607" s="19">
        <v>2.5000000000000001E-2</v>
      </c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9">
        <v>0.05</v>
      </c>
      <c r="BM607" s="18"/>
      <c r="BN607" s="18"/>
      <c r="BO607" s="18"/>
      <c r="BP607" s="18"/>
      <c r="BQ607" s="18"/>
      <c r="BR607" s="18"/>
      <c r="BS607" s="18"/>
      <c r="BT607" s="18"/>
      <c r="BU607" s="18"/>
    </row>
    <row r="608" spans="3:73" x14ac:dyDescent="0.45">
      <c r="C608" t="s">
        <v>328</v>
      </c>
      <c r="D608" t="s">
        <v>322</v>
      </c>
      <c r="E608" t="s">
        <v>270</v>
      </c>
      <c r="I608" t="s">
        <v>323</v>
      </c>
      <c r="J608" s="7"/>
      <c r="K608" s="7"/>
      <c r="L608" s="7">
        <v>684.45</v>
      </c>
      <c r="M608" s="7"/>
      <c r="N608" s="7"/>
      <c r="O608" s="7"/>
      <c r="P608" s="7"/>
      <c r="Q608" s="7"/>
      <c r="R608" s="7">
        <v>684.44859020000001</v>
      </c>
      <c r="S608" s="7"/>
      <c r="T608" s="7"/>
      <c r="U608" s="7"/>
      <c r="V608" s="7"/>
      <c r="AR608" s="15" t="s">
        <v>249</v>
      </c>
      <c r="AS608" s="15" t="s">
        <v>567</v>
      </c>
      <c r="AT608" s="15" t="s">
        <v>973</v>
      </c>
      <c r="AU608" s="15"/>
      <c r="AV608" s="15"/>
      <c r="AW608" s="15"/>
      <c r="AX608" s="15"/>
      <c r="AY608" s="15"/>
      <c r="AZ608" s="18"/>
      <c r="BA608" s="19">
        <v>2.5000000000000001E-2</v>
      </c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9">
        <v>0.05</v>
      </c>
      <c r="BM608" s="18"/>
      <c r="BN608" s="18"/>
      <c r="BO608" s="18"/>
      <c r="BP608" s="18"/>
      <c r="BQ608" s="18"/>
      <c r="BR608" s="18"/>
      <c r="BS608" s="18"/>
      <c r="BT608" s="18"/>
      <c r="BU608" s="18"/>
    </row>
    <row r="609" spans="3:73" x14ac:dyDescent="0.45">
      <c r="C609" t="s">
        <v>328</v>
      </c>
      <c r="D609" t="s">
        <v>322</v>
      </c>
      <c r="E609" t="s">
        <v>271</v>
      </c>
      <c r="I609" t="s">
        <v>323</v>
      </c>
      <c r="J609" s="7"/>
      <c r="K609" s="7"/>
      <c r="L609" s="7">
        <v>466.67</v>
      </c>
      <c r="M609" s="7"/>
      <c r="N609" s="7"/>
      <c r="O609" s="7"/>
      <c r="P609" s="7"/>
      <c r="Q609" s="7"/>
      <c r="R609" s="7">
        <v>466.66521740000002</v>
      </c>
      <c r="S609" s="7"/>
      <c r="T609" s="7"/>
      <c r="U609" s="7"/>
      <c r="V609" s="7"/>
      <c r="AR609" s="15" t="s">
        <v>249</v>
      </c>
      <c r="AS609" s="15" t="s">
        <v>567</v>
      </c>
      <c r="AT609" s="15" t="s">
        <v>974</v>
      </c>
      <c r="AU609" s="15"/>
      <c r="AV609" s="15"/>
      <c r="AW609" s="15"/>
      <c r="AX609" s="15"/>
      <c r="AY609" s="15"/>
      <c r="AZ609" s="18"/>
      <c r="BA609" s="19">
        <v>2.5000000000000001E-2</v>
      </c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9">
        <v>0.05</v>
      </c>
      <c r="BM609" s="18"/>
      <c r="BN609" s="18"/>
      <c r="BO609" s="18"/>
      <c r="BP609" s="18"/>
      <c r="BQ609" s="18"/>
      <c r="BR609" s="18"/>
      <c r="BS609" s="18"/>
      <c r="BT609" s="18"/>
      <c r="BU609" s="18"/>
    </row>
    <row r="610" spans="3:73" x14ac:dyDescent="0.45">
      <c r="C610" t="s">
        <v>328</v>
      </c>
      <c r="D610" t="s">
        <v>322</v>
      </c>
      <c r="E610" t="s">
        <v>272</v>
      </c>
      <c r="I610" t="s">
        <v>323</v>
      </c>
      <c r="J610" s="7"/>
      <c r="K610" s="7"/>
      <c r="L610" s="7">
        <v>435.73</v>
      </c>
      <c r="M610" s="7"/>
      <c r="N610" s="7"/>
      <c r="O610" s="7"/>
      <c r="P610" s="7"/>
      <c r="Q610" s="7"/>
      <c r="R610" s="7">
        <v>435.7348447</v>
      </c>
      <c r="S610" s="7"/>
      <c r="T610" s="7"/>
      <c r="U610" s="7"/>
      <c r="V610" s="7"/>
      <c r="AR610" s="15" t="s">
        <v>249</v>
      </c>
      <c r="AS610" s="15" t="s">
        <v>567</v>
      </c>
      <c r="AT610" s="15" t="s">
        <v>975</v>
      </c>
      <c r="AU610" s="15"/>
      <c r="AV610" s="15"/>
      <c r="AW610" s="15"/>
      <c r="AX610" s="15"/>
      <c r="AY610" s="15"/>
      <c r="AZ610" s="18"/>
      <c r="BA610" s="19">
        <v>2.5000000000000001E-2</v>
      </c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9">
        <v>0.05</v>
      </c>
      <c r="BM610" s="18"/>
      <c r="BN610" s="18"/>
      <c r="BO610" s="18"/>
      <c r="BP610" s="18"/>
      <c r="BQ610" s="18"/>
      <c r="BR610" s="18"/>
      <c r="BS610" s="18"/>
      <c r="BT610" s="18"/>
      <c r="BU610" s="18"/>
    </row>
    <row r="611" spans="3:73" x14ac:dyDescent="0.45">
      <c r="C611" t="s">
        <v>328</v>
      </c>
      <c r="D611" t="s">
        <v>322</v>
      </c>
      <c r="E611" t="s">
        <v>273</v>
      </c>
      <c r="I611" t="s">
        <v>323</v>
      </c>
      <c r="J611" s="7"/>
      <c r="K611" s="7"/>
      <c r="L611" s="7">
        <v>986.67560319999995</v>
      </c>
      <c r="M611" s="7"/>
      <c r="N611" s="7"/>
      <c r="O611" s="7"/>
      <c r="P611" s="7"/>
      <c r="Q611" s="7"/>
      <c r="R611" s="7">
        <v>986.67560319999995</v>
      </c>
      <c r="S611" s="7"/>
      <c r="T611" s="7"/>
      <c r="U611" s="7"/>
      <c r="V611" s="7"/>
      <c r="AR611" s="15" t="s">
        <v>249</v>
      </c>
      <c r="AS611" s="15" t="s">
        <v>567</v>
      </c>
      <c r="AT611" s="15" t="s">
        <v>976</v>
      </c>
      <c r="AU611" s="15"/>
      <c r="AV611" s="15"/>
      <c r="AW611" s="15"/>
      <c r="AX611" s="15"/>
      <c r="AY611" s="15"/>
      <c r="AZ611" s="18"/>
      <c r="BA611" s="19">
        <v>2.5000000000000001E-2</v>
      </c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9">
        <v>0.05</v>
      </c>
      <c r="BM611" s="18"/>
      <c r="BN611" s="18"/>
      <c r="BO611" s="18"/>
      <c r="BP611" s="18"/>
      <c r="BQ611" s="18"/>
      <c r="BR611" s="18"/>
      <c r="BS611" s="18"/>
      <c r="BT611" s="18"/>
      <c r="BU611" s="18"/>
    </row>
    <row r="612" spans="3:73" x14ac:dyDescent="0.45">
      <c r="C612" t="s">
        <v>328</v>
      </c>
      <c r="D612" t="s">
        <v>322</v>
      </c>
      <c r="E612" t="s">
        <v>274</v>
      </c>
      <c r="I612" t="s">
        <v>323</v>
      </c>
      <c r="J612" s="7"/>
      <c r="K612" s="7"/>
      <c r="L612" s="7">
        <v>1480.0134048</v>
      </c>
      <c r="M612" s="7"/>
      <c r="N612" s="7"/>
      <c r="O612" s="7"/>
      <c r="P612" s="7"/>
      <c r="Q612" s="7"/>
      <c r="R612" s="7">
        <v>1480.0134048</v>
      </c>
      <c r="S612" s="7"/>
      <c r="T612" s="7"/>
      <c r="U612" s="7"/>
      <c r="V612" s="7"/>
      <c r="AR612" s="15" t="s">
        <v>249</v>
      </c>
      <c r="AS612" s="15" t="s">
        <v>567</v>
      </c>
      <c r="AT612" s="15" t="s">
        <v>977</v>
      </c>
      <c r="AU612" s="15"/>
      <c r="AV612" s="15"/>
      <c r="AW612" s="15"/>
      <c r="AX612" s="15"/>
      <c r="AY612" s="15"/>
      <c r="AZ612" s="18"/>
      <c r="BA612" s="19">
        <v>2.5000000000000001E-2</v>
      </c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9">
        <v>0.05</v>
      </c>
      <c r="BM612" s="18"/>
      <c r="BN612" s="18"/>
      <c r="BO612" s="18"/>
      <c r="BP612" s="18"/>
      <c r="BQ612" s="18"/>
      <c r="BR612" s="18"/>
      <c r="BS612" s="18"/>
      <c r="BT612" s="18"/>
      <c r="BU612" s="18"/>
    </row>
    <row r="613" spans="3:73" x14ac:dyDescent="0.45">
      <c r="C613" t="s">
        <v>328</v>
      </c>
      <c r="D613" t="s">
        <v>322</v>
      </c>
      <c r="E613" t="s">
        <v>275</v>
      </c>
      <c r="I613" t="s">
        <v>323</v>
      </c>
      <c r="J613" s="7"/>
      <c r="K613" s="7"/>
      <c r="L613" s="7">
        <v>1076.086957</v>
      </c>
      <c r="M613" s="7"/>
      <c r="N613" s="7"/>
      <c r="O613" s="7"/>
      <c r="P613" s="7"/>
      <c r="Q613" s="7"/>
      <c r="R613" s="7">
        <v>1076.086957</v>
      </c>
      <c r="S613" s="7"/>
      <c r="T613" s="7"/>
      <c r="U613" s="7"/>
      <c r="V613" s="7"/>
      <c r="AR613" s="15" t="s">
        <v>249</v>
      </c>
      <c r="AS613" s="15" t="s">
        <v>567</v>
      </c>
      <c r="AT613" s="15" t="s">
        <v>978</v>
      </c>
      <c r="AU613" s="15"/>
      <c r="AV613" s="15"/>
      <c r="AW613" s="15"/>
      <c r="AX613" s="15"/>
      <c r="AY613" s="15"/>
      <c r="AZ613" s="18"/>
      <c r="BA613" s="19">
        <v>2.5000000000000001E-2</v>
      </c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9">
        <v>0.05</v>
      </c>
      <c r="BM613" s="18"/>
      <c r="BN613" s="18"/>
      <c r="BO613" s="18"/>
      <c r="BP613" s="18"/>
      <c r="BQ613" s="18"/>
      <c r="BR613" s="18"/>
      <c r="BS613" s="18"/>
      <c r="BT613" s="18"/>
      <c r="BU613" s="18"/>
    </row>
    <row r="614" spans="3:73" x14ac:dyDescent="0.45">
      <c r="C614" t="s">
        <v>328</v>
      </c>
      <c r="D614" t="s">
        <v>322</v>
      </c>
      <c r="E614" t="s">
        <v>276</v>
      </c>
      <c r="I614" t="s">
        <v>323</v>
      </c>
      <c r="J614" s="7"/>
      <c r="K614" s="7"/>
      <c r="L614" s="7">
        <v>545.78192360000003</v>
      </c>
      <c r="M614" s="7"/>
      <c r="N614" s="7"/>
      <c r="O614" s="7"/>
      <c r="P614" s="7"/>
      <c r="Q614" s="7"/>
      <c r="R614" s="7">
        <v>545.78192360000003</v>
      </c>
      <c r="S614" s="7"/>
      <c r="T614" s="7"/>
      <c r="U614" s="7"/>
      <c r="V614" s="7"/>
      <c r="AR614" s="15" t="s">
        <v>249</v>
      </c>
      <c r="AS614" s="15" t="s">
        <v>567</v>
      </c>
      <c r="AT614" s="15" t="s">
        <v>979</v>
      </c>
      <c r="AU614" s="15"/>
      <c r="AV614" s="15"/>
      <c r="AW614" s="15"/>
      <c r="AX614" s="15"/>
      <c r="AY614" s="15"/>
      <c r="AZ614" s="18"/>
      <c r="BA614" s="19">
        <v>2.5000000000000001E-2</v>
      </c>
      <c r="BB614" s="18"/>
      <c r="BC614" s="18"/>
      <c r="BD614" s="18"/>
      <c r="BE614" s="18"/>
      <c r="BF614" s="18"/>
      <c r="BG614" s="18"/>
      <c r="BH614" s="18"/>
      <c r="BI614" s="18"/>
      <c r="BJ614" s="18"/>
      <c r="BK614" s="18"/>
      <c r="BL614" s="19">
        <v>0.05</v>
      </c>
      <c r="BM614" s="18"/>
      <c r="BN614" s="18"/>
      <c r="BO614" s="18"/>
      <c r="BP614" s="18"/>
      <c r="BQ614" s="18"/>
      <c r="BR614" s="18"/>
      <c r="BS614" s="18"/>
      <c r="BT614" s="18"/>
      <c r="BU614" s="18"/>
    </row>
    <row r="615" spans="3:73" x14ac:dyDescent="0.45">
      <c r="C615" t="s">
        <v>328</v>
      </c>
      <c r="D615" t="s">
        <v>322</v>
      </c>
      <c r="E615" t="s">
        <v>277</v>
      </c>
      <c r="I615" t="s">
        <v>323</v>
      </c>
      <c r="J615" s="7"/>
      <c r="K615" s="7"/>
      <c r="L615" s="7">
        <v>1076.086957</v>
      </c>
      <c r="M615" s="7"/>
      <c r="N615" s="7"/>
      <c r="O615" s="7"/>
      <c r="P615" s="7"/>
      <c r="Q615" s="7"/>
      <c r="R615" s="7">
        <v>1076.086957</v>
      </c>
      <c r="S615" s="7"/>
      <c r="T615" s="7"/>
      <c r="U615" s="7"/>
      <c r="V615" s="7"/>
      <c r="AR615" s="15" t="s">
        <v>249</v>
      </c>
      <c r="AS615" s="15" t="s">
        <v>567</v>
      </c>
      <c r="AT615" s="15" t="s">
        <v>980</v>
      </c>
      <c r="AU615" s="15"/>
      <c r="AV615" s="15"/>
      <c r="AW615" s="15"/>
      <c r="AX615" s="15"/>
      <c r="AY615" s="15"/>
      <c r="AZ615" s="18"/>
      <c r="BA615" s="19">
        <v>2.5000000000000001E-2</v>
      </c>
      <c r="BB615" s="18"/>
      <c r="BC615" s="18"/>
      <c r="BD615" s="18"/>
      <c r="BE615" s="18"/>
      <c r="BF615" s="18"/>
      <c r="BG615" s="18"/>
      <c r="BH615" s="18"/>
      <c r="BI615" s="18"/>
      <c r="BJ615" s="18"/>
      <c r="BK615" s="18"/>
      <c r="BL615" s="19">
        <v>0.05</v>
      </c>
      <c r="BM615" s="18"/>
      <c r="BN615" s="18"/>
      <c r="BO615" s="18"/>
      <c r="BP615" s="18"/>
      <c r="BQ615" s="18"/>
      <c r="BR615" s="18"/>
      <c r="BS615" s="18"/>
      <c r="BT615" s="18"/>
      <c r="BU615" s="18"/>
    </row>
    <row r="616" spans="3:73" x14ac:dyDescent="0.45">
      <c r="C616" t="s">
        <v>328</v>
      </c>
      <c r="D616" t="s">
        <v>322</v>
      </c>
      <c r="E616" t="s">
        <v>278</v>
      </c>
      <c r="I616" t="s">
        <v>323</v>
      </c>
      <c r="J616" s="7"/>
      <c r="K616" s="7"/>
      <c r="L616" s="7">
        <v>805.55166150000002</v>
      </c>
      <c r="M616" s="7"/>
      <c r="N616" s="7"/>
      <c r="O616" s="7"/>
      <c r="P616" s="7"/>
      <c r="Q616" s="7"/>
      <c r="R616" s="7">
        <v>805.55166150000002</v>
      </c>
      <c r="S616" s="7"/>
      <c r="T616" s="7"/>
      <c r="U616" s="7"/>
      <c r="V616" s="7"/>
      <c r="AR616" s="15" t="s">
        <v>249</v>
      </c>
      <c r="AS616" s="15" t="s">
        <v>567</v>
      </c>
      <c r="AT616" s="15" t="s">
        <v>981</v>
      </c>
      <c r="AU616" s="15"/>
      <c r="AV616" s="15"/>
      <c r="AW616" s="15"/>
      <c r="AX616" s="15"/>
      <c r="AY616" s="15"/>
      <c r="AZ616" s="18"/>
      <c r="BA616" s="19">
        <v>2.5000000000000001E-2</v>
      </c>
      <c r="BB616" s="18"/>
      <c r="BC616" s="18"/>
      <c r="BD616" s="18"/>
      <c r="BE616" s="18"/>
      <c r="BF616" s="18"/>
      <c r="BG616" s="18"/>
      <c r="BH616" s="18"/>
      <c r="BI616" s="18"/>
      <c r="BJ616" s="18"/>
      <c r="BK616" s="18"/>
      <c r="BL616" s="19">
        <v>0.05</v>
      </c>
      <c r="BM616" s="18"/>
      <c r="BN616" s="18"/>
      <c r="BO616" s="18"/>
      <c r="BP616" s="18"/>
      <c r="BQ616" s="18"/>
      <c r="BR616" s="18"/>
      <c r="BS616" s="18"/>
      <c r="BT616" s="18"/>
      <c r="BU616" s="18"/>
    </row>
    <row r="617" spans="3:73" x14ac:dyDescent="0.45">
      <c r="C617" t="s">
        <v>328</v>
      </c>
      <c r="D617" t="s">
        <v>322</v>
      </c>
      <c r="E617" t="s">
        <v>279</v>
      </c>
      <c r="I617" t="s">
        <v>323</v>
      </c>
      <c r="J617" s="7"/>
      <c r="K617" s="7"/>
      <c r="L617" s="7"/>
      <c r="M617" s="7"/>
      <c r="N617" s="7">
        <v>8324.9303490000002</v>
      </c>
      <c r="O617" s="7">
        <v>3100.938658</v>
      </c>
      <c r="P617" s="7">
        <v>2603.4835670000002</v>
      </c>
      <c r="Q617" s="7"/>
      <c r="R617" s="7"/>
      <c r="S617" s="7"/>
      <c r="T617" s="7">
        <v>8412.925432</v>
      </c>
      <c r="U617" s="7">
        <v>4519.7524839999996</v>
      </c>
      <c r="V617" s="7">
        <v>2771.3656569999998</v>
      </c>
      <c r="AR617" s="15" t="s">
        <v>249</v>
      </c>
      <c r="AS617" s="15" t="s">
        <v>567</v>
      </c>
      <c r="AT617" s="15" t="s">
        <v>982</v>
      </c>
      <c r="AU617" s="15"/>
      <c r="AV617" s="15"/>
      <c r="AW617" s="15"/>
      <c r="AX617" s="15"/>
      <c r="AY617" s="15"/>
      <c r="AZ617" s="18"/>
      <c r="BA617" s="19">
        <v>2.5000000000000001E-2</v>
      </c>
      <c r="BB617" s="18"/>
      <c r="BC617" s="18"/>
      <c r="BD617" s="18"/>
      <c r="BE617" s="18"/>
      <c r="BF617" s="18"/>
      <c r="BG617" s="18"/>
      <c r="BH617" s="18"/>
      <c r="BI617" s="18"/>
      <c r="BJ617" s="18"/>
      <c r="BK617" s="18"/>
      <c r="BL617" s="19">
        <v>0.05</v>
      </c>
      <c r="BM617" s="18"/>
      <c r="BN617" s="18"/>
      <c r="BO617" s="18"/>
      <c r="BP617" s="18"/>
      <c r="BQ617" s="18"/>
      <c r="BR617" s="18"/>
      <c r="BS617" s="18"/>
      <c r="BT617" s="18"/>
      <c r="BU617" s="18"/>
    </row>
    <row r="618" spans="3:73" x14ac:dyDescent="0.45">
      <c r="C618" t="s">
        <v>328</v>
      </c>
      <c r="D618" t="s">
        <v>322</v>
      </c>
      <c r="E618" t="s">
        <v>280</v>
      </c>
      <c r="I618" t="s">
        <v>323</v>
      </c>
      <c r="J618" s="7"/>
      <c r="K618" s="7"/>
      <c r="L618" s="7"/>
      <c r="M618" s="7"/>
      <c r="N618" s="7">
        <v>2655.8181939999999</v>
      </c>
      <c r="O618" s="7">
        <v>1462.702403</v>
      </c>
      <c r="P618" s="7">
        <v>915.34298969999998</v>
      </c>
      <c r="Q618" s="7"/>
      <c r="R618" s="7"/>
      <c r="S618" s="7"/>
      <c r="T618" s="7">
        <v>2742.3666739999999</v>
      </c>
      <c r="U618" s="7">
        <v>2658.4979920000001</v>
      </c>
      <c r="V618" s="7">
        <v>1086.065515</v>
      </c>
      <c r="AR618" s="15" t="s">
        <v>249</v>
      </c>
      <c r="AS618" s="15" t="s">
        <v>567</v>
      </c>
      <c r="AT618" s="15" t="s">
        <v>983</v>
      </c>
      <c r="AU618" s="15"/>
      <c r="AV618" s="15"/>
      <c r="AW618" s="15"/>
      <c r="AX618" s="15"/>
      <c r="AY618" s="15"/>
      <c r="AZ618" s="18"/>
      <c r="BA618" s="19">
        <v>2.5000000000000001E-2</v>
      </c>
      <c r="BB618" s="18"/>
      <c r="BC618" s="18"/>
      <c r="BD618" s="18"/>
      <c r="BE618" s="18"/>
      <c r="BF618" s="18"/>
      <c r="BG618" s="18"/>
      <c r="BH618" s="18"/>
      <c r="BI618" s="18"/>
      <c r="BJ618" s="18"/>
      <c r="BK618" s="18"/>
      <c r="BL618" s="19">
        <v>0.05</v>
      </c>
      <c r="BM618" s="18"/>
      <c r="BN618" s="18"/>
      <c r="BO618" s="18"/>
      <c r="BP618" s="18"/>
      <c r="BQ618" s="18"/>
      <c r="BR618" s="18"/>
      <c r="BS618" s="18"/>
      <c r="BT618" s="18"/>
      <c r="BU618" s="18"/>
    </row>
    <row r="619" spans="3:73" x14ac:dyDescent="0.45">
      <c r="C619" t="s">
        <v>328</v>
      </c>
      <c r="D619" t="s">
        <v>322</v>
      </c>
      <c r="E619" t="s">
        <v>281</v>
      </c>
      <c r="I619" t="s">
        <v>323</v>
      </c>
      <c r="J619" s="7"/>
      <c r="K619" s="7"/>
      <c r="L619" s="7">
        <v>1273.6606770000001</v>
      </c>
      <c r="M619" s="7"/>
      <c r="N619" s="7"/>
      <c r="O619" s="7"/>
      <c r="P619" s="7"/>
      <c r="Q619" s="7"/>
      <c r="R619" s="7">
        <v>1273.6606770000001</v>
      </c>
      <c r="S619" s="7"/>
      <c r="T619" s="7"/>
      <c r="U619" s="7"/>
      <c r="V619" s="7"/>
      <c r="AR619" s="15" t="s">
        <v>249</v>
      </c>
      <c r="AS619" s="15" t="s">
        <v>567</v>
      </c>
      <c r="AT619" s="15" t="s">
        <v>984</v>
      </c>
      <c r="AU619" s="15"/>
      <c r="AV619" s="15"/>
      <c r="AW619" s="15"/>
      <c r="AX619" s="15"/>
      <c r="AY619" s="15"/>
      <c r="AZ619" s="18"/>
      <c r="BA619" s="19">
        <v>2.5000000000000001E-2</v>
      </c>
      <c r="BB619" s="18"/>
      <c r="BC619" s="18"/>
      <c r="BD619" s="18"/>
      <c r="BE619" s="18"/>
      <c r="BF619" s="18"/>
      <c r="BG619" s="18"/>
      <c r="BH619" s="18"/>
      <c r="BI619" s="18"/>
      <c r="BJ619" s="18"/>
      <c r="BK619" s="18"/>
      <c r="BL619" s="19">
        <v>0.05</v>
      </c>
      <c r="BM619" s="18"/>
      <c r="BN619" s="18"/>
      <c r="BO619" s="18"/>
      <c r="BP619" s="18"/>
      <c r="BQ619" s="18"/>
      <c r="BR619" s="18"/>
      <c r="BS619" s="18"/>
      <c r="BT619" s="18"/>
      <c r="BU619" s="18"/>
    </row>
    <row r="620" spans="3:73" x14ac:dyDescent="0.45">
      <c r="C620" t="s">
        <v>328</v>
      </c>
      <c r="D620" t="s">
        <v>322</v>
      </c>
      <c r="E620" t="s">
        <v>282</v>
      </c>
      <c r="I620" t="s">
        <v>323</v>
      </c>
      <c r="J620" s="7"/>
      <c r="K620" s="7"/>
      <c r="L620" s="7"/>
      <c r="M620" s="7"/>
      <c r="N620" s="7">
        <v>3705.3622009999999</v>
      </c>
      <c r="O620" s="7">
        <v>2259.0593899999999</v>
      </c>
      <c r="P620" s="7">
        <v>2192.975156</v>
      </c>
      <c r="Q620" s="7"/>
      <c r="R620" s="7"/>
      <c r="S620" s="7"/>
      <c r="T620" s="7">
        <v>6998.6691650000002</v>
      </c>
      <c r="U620" s="7">
        <v>2677.2720060000001</v>
      </c>
      <c r="V620" s="7">
        <v>2331.8507960000002</v>
      </c>
      <c r="AR620" s="15" t="s">
        <v>249</v>
      </c>
      <c r="AS620" s="15" t="s">
        <v>567</v>
      </c>
      <c r="AT620" s="15" t="s">
        <v>985</v>
      </c>
      <c r="AU620" s="15"/>
      <c r="AV620" s="15"/>
      <c r="AW620" s="15"/>
      <c r="AX620" s="15"/>
      <c r="AY620" s="15"/>
      <c r="AZ620" s="18"/>
      <c r="BA620" s="19">
        <v>2.5000000000000001E-2</v>
      </c>
      <c r="BB620" s="18"/>
      <c r="BC620" s="18"/>
      <c r="BD620" s="18"/>
      <c r="BE620" s="18"/>
      <c r="BF620" s="18"/>
      <c r="BG620" s="18"/>
      <c r="BH620" s="18"/>
      <c r="BI620" s="18"/>
      <c r="BJ620" s="18"/>
      <c r="BK620" s="18"/>
      <c r="BL620" s="19">
        <v>0.05</v>
      </c>
      <c r="BM620" s="18"/>
      <c r="BN620" s="18"/>
      <c r="BO620" s="18"/>
      <c r="BP620" s="18"/>
      <c r="BQ620" s="18"/>
      <c r="BR620" s="18"/>
      <c r="BS620" s="18"/>
      <c r="BT620" s="18"/>
      <c r="BU620" s="18"/>
    </row>
    <row r="621" spans="3:73" x14ac:dyDescent="0.45">
      <c r="C621" t="s">
        <v>328</v>
      </c>
      <c r="D621" t="s">
        <v>322</v>
      </c>
      <c r="E621" t="s">
        <v>283</v>
      </c>
      <c r="I621" t="s">
        <v>323</v>
      </c>
      <c r="J621" s="7"/>
      <c r="K621" s="7"/>
      <c r="L621" s="7"/>
      <c r="M621" s="7"/>
      <c r="N621" s="7">
        <v>2363.437582</v>
      </c>
      <c r="O621" s="7">
        <v>957.61579400000005</v>
      </c>
      <c r="P621" s="7">
        <v>814.89585390000002</v>
      </c>
      <c r="Q621" s="7"/>
      <c r="R621" s="7"/>
      <c r="S621" s="7"/>
      <c r="T621" s="7">
        <v>2440.4418000000001</v>
      </c>
      <c r="U621" s="7">
        <v>1358.6703199999999</v>
      </c>
      <c r="V621" s="7">
        <v>858.76815669999996</v>
      </c>
      <c r="AR621" s="15" t="s">
        <v>249</v>
      </c>
      <c r="AS621" s="15" t="s">
        <v>567</v>
      </c>
      <c r="AT621" s="15" t="s">
        <v>986</v>
      </c>
      <c r="AU621" s="15"/>
      <c r="AV621" s="15"/>
      <c r="AW621" s="15"/>
      <c r="AX621" s="15"/>
      <c r="AY621" s="15"/>
      <c r="AZ621" s="18"/>
      <c r="BA621" s="19">
        <v>2.5000000000000001E-2</v>
      </c>
      <c r="BB621" s="18"/>
      <c r="BC621" s="18"/>
      <c r="BD621" s="18"/>
      <c r="BE621" s="18"/>
      <c r="BF621" s="18"/>
      <c r="BG621" s="18"/>
      <c r="BH621" s="18"/>
      <c r="BI621" s="18"/>
      <c r="BJ621" s="18"/>
      <c r="BK621" s="18"/>
      <c r="BL621" s="19">
        <v>0.05</v>
      </c>
      <c r="BM621" s="18"/>
      <c r="BN621" s="18"/>
      <c r="BO621" s="18"/>
      <c r="BP621" s="18"/>
      <c r="BQ621" s="18"/>
      <c r="BR621" s="18"/>
      <c r="BS621" s="18"/>
      <c r="BT621" s="18"/>
      <c r="BU621" s="18"/>
    </row>
    <row r="622" spans="3:73" x14ac:dyDescent="0.45">
      <c r="C622" t="s">
        <v>328</v>
      </c>
      <c r="D622" t="s">
        <v>322</v>
      </c>
      <c r="E622" t="s">
        <v>284</v>
      </c>
      <c r="I622" t="s">
        <v>323</v>
      </c>
      <c r="J622" s="7"/>
      <c r="K622" s="7"/>
      <c r="L622" s="7">
        <v>174.66122179999999</v>
      </c>
      <c r="M622" s="7"/>
      <c r="N622" s="7"/>
      <c r="O622" s="7"/>
      <c r="P622" s="7"/>
      <c r="Q622" s="7"/>
      <c r="R622" s="7">
        <v>174.66122179999999</v>
      </c>
      <c r="S622" s="7"/>
      <c r="T622" s="7"/>
      <c r="U622" s="7"/>
      <c r="V622" s="7"/>
      <c r="AR622" s="15" t="s">
        <v>249</v>
      </c>
      <c r="AS622" s="15" t="s">
        <v>567</v>
      </c>
      <c r="AT622" s="15" t="s">
        <v>987</v>
      </c>
      <c r="AU622" s="15"/>
      <c r="AV622" s="15"/>
      <c r="AW622" s="15"/>
      <c r="AX622" s="15"/>
      <c r="AY622" s="15"/>
      <c r="AZ622" s="18"/>
      <c r="BA622" s="19">
        <v>2.5000000000000001E-2</v>
      </c>
      <c r="BB622" s="18"/>
      <c r="BC622" s="18"/>
      <c r="BD622" s="18"/>
      <c r="BE622" s="18"/>
      <c r="BF622" s="18"/>
      <c r="BG622" s="18"/>
      <c r="BH622" s="18"/>
      <c r="BI622" s="18"/>
      <c r="BJ622" s="18"/>
      <c r="BK622" s="18"/>
      <c r="BL622" s="19">
        <v>0.05</v>
      </c>
      <c r="BM622" s="18"/>
      <c r="BN622" s="18"/>
      <c r="BO622" s="18"/>
      <c r="BP622" s="18"/>
      <c r="BQ622" s="18"/>
      <c r="BR622" s="18"/>
      <c r="BS622" s="18"/>
      <c r="BT622" s="18"/>
      <c r="BU622" s="18"/>
    </row>
    <row r="623" spans="3:73" x14ac:dyDescent="0.45">
      <c r="C623" t="s">
        <v>328</v>
      </c>
      <c r="D623" t="s">
        <v>322</v>
      </c>
      <c r="E623" t="s">
        <v>285</v>
      </c>
      <c r="I623" t="s">
        <v>323</v>
      </c>
      <c r="J623" s="7"/>
      <c r="K623" s="7"/>
      <c r="L623" s="7">
        <v>6000</v>
      </c>
      <c r="M623" s="7"/>
      <c r="N623" s="7"/>
      <c r="O623" s="7"/>
      <c r="P623" s="7"/>
      <c r="Q623" s="7"/>
      <c r="R623" s="7">
        <v>6000</v>
      </c>
      <c r="S623" s="7"/>
      <c r="T623" s="7"/>
      <c r="U623" s="7"/>
      <c r="V623" s="7"/>
      <c r="AR623" s="15" t="s">
        <v>249</v>
      </c>
      <c r="AS623" s="15" t="s">
        <v>567</v>
      </c>
      <c r="AT623" s="15" t="s">
        <v>988</v>
      </c>
      <c r="AU623" s="15"/>
      <c r="AV623" s="15"/>
      <c r="AW623" s="15"/>
      <c r="AX623" s="15"/>
      <c r="AY623" s="15"/>
      <c r="AZ623" s="18"/>
      <c r="BA623" s="19">
        <v>2.5000000000000001E-2</v>
      </c>
      <c r="BB623" s="18"/>
      <c r="BC623" s="18"/>
      <c r="BD623" s="18"/>
      <c r="BE623" s="18"/>
      <c r="BF623" s="18"/>
      <c r="BG623" s="18"/>
      <c r="BH623" s="18"/>
      <c r="BI623" s="18"/>
      <c r="BJ623" s="18"/>
      <c r="BK623" s="18"/>
      <c r="BL623" s="19">
        <v>0.05</v>
      </c>
      <c r="BM623" s="18"/>
      <c r="BN623" s="18"/>
      <c r="BO623" s="18"/>
      <c r="BP623" s="18"/>
      <c r="BQ623" s="18"/>
      <c r="BR623" s="18"/>
      <c r="BS623" s="18"/>
      <c r="BT623" s="18"/>
      <c r="BU623" s="18"/>
    </row>
    <row r="624" spans="3:73" x14ac:dyDescent="0.45">
      <c r="C624" t="s">
        <v>328</v>
      </c>
      <c r="D624" t="s">
        <v>322</v>
      </c>
      <c r="E624" t="s">
        <v>286</v>
      </c>
      <c r="I624" t="s">
        <v>323</v>
      </c>
      <c r="J624" s="7"/>
      <c r="K624" s="7"/>
      <c r="L624" s="7">
        <v>6257.14</v>
      </c>
      <c r="M624" s="7"/>
      <c r="N624" s="7"/>
      <c r="O624" s="7"/>
      <c r="P624" s="7"/>
      <c r="Q624" s="7"/>
      <c r="R624" s="7">
        <v>6257.1428569999998</v>
      </c>
      <c r="S624" s="7"/>
      <c r="T624" s="7"/>
      <c r="U624" s="7"/>
      <c r="V624" s="7"/>
      <c r="AR624" s="15" t="s">
        <v>249</v>
      </c>
      <c r="AS624" s="15" t="s">
        <v>567</v>
      </c>
      <c r="AT624" s="15" t="s">
        <v>989</v>
      </c>
      <c r="AU624" s="15"/>
      <c r="AV624" s="15"/>
      <c r="AW624" s="15"/>
      <c r="AX624" s="15"/>
      <c r="AY624" s="15"/>
      <c r="AZ624" s="18"/>
      <c r="BA624" s="19">
        <v>2.5000000000000001E-2</v>
      </c>
      <c r="BB624" s="18"/>
      <c r="BC624" s="18"/>
      <c r="BD624" s="18"/>
      <c r="BE624" s="18"/>
      <c r="BF624" s="18"/>
      <c r="BG624" s="18"/>
      <c r="BH624" s="18"/>
      <c r="BI624" s="18"/>
      <c r="BJ624" s="18"/>
      <c r="BK624" s="18"/>
      <c r="BL624" s="19">
        <v>0.05</v>
      </c>
      <c r="BM624" s="18"/>
      <c r="BN624" s="18"/>
      <c r="BO624" s="18"/>
      <c r="BP624" s="18"/>
      <c r="BQ624" s="18"/>
      <c r="BR624" s="18"/>
      <c r="BS624" s="18"/>
      <c r="BT624" s="18"/>
      <c r="BU624" s="18"/>
    </row>
    <row r="625" spans="3:73" x14ac:dyDescent="0.45">
      <c r="C625" t="s">
        <v>328</v>
      </c>
      <c r="D625" t="s">
        <v>322</v>
      </c>
      <c r="E625" t="s">
        <v>287</v>
      </c>
      <c r="I625" t="s">
        <v>323</v>
      </c>
      <c r="J625" s="7"/>
      <c r="K625" s="7"/>
      <c r="L625" s="7">
        <v>1076.0899999999999</v>
      </c>
      <c r="M625" s="7"/>
      <c r="N625" s="7"/>
      <c r="O625" s="7"/>
      <c r="P625" s="7"/>
      <c r="Q625" s="7"/>
      <c r="R625" s="7">
        <v>1076.086957</v>
      </c>
      <c r="S625" s="7"/>
      <c r="T625" s="7"/>
      <c r="U625" s="7"/>
      <c r="V625" s="7"/>
      <c r="AR625" s="15" t="s">
        <v>249</v>
      </c>
      <c r="AS625" s="15" t="s">
        <v>567</v>
      </c>
      <c r="AT625" s="15" t="s">
        <v>990</v>
      </c>
      <c r="AU625" s="15"/>
      <c r="AV625" s="15"/>
      <c r="AW625" s="15"/>
      <c r="AX625" s="15"/>
      <c r="AY625" s="15"/>
      <c r="AZ625" s="18"/>
      <c r="BA625" s="19">
        <v>2.5000000000000001E-2</v>
      </c>
      <c r="BB625" s="18"/>
      <c r="BC625" s="18"/>
      <c r="BD625" s="18"/>
      <c r="BE625" s="18"/>
      <c r="BF625" s="18"/>
      <c r="BG625" s="18"/>
      <c r="BH625" s="18"/>
      <c r="BI625" s="18"/>
      <c r="BJ625" s="18"/>
      <c r="BK625" s="18"/>
      <c r="BL625" s="19">
        <v>0.05</v>
      </c>
      <c r="BM625" s="18"/>
      <c r="BN625" s="18"/>
      <c r="BO625" s="18"/>
      <c r="BP625" s="18"/>
      <c r="BQ625" s="18"/>
      <c r="BR625" s="18"/>
      <c r="BS625" s="18"/>
      <c r="BT625" s="18"/>
      <c r="BU625" s="18"/>
    </row>
    <row r="626" spans="3:73" x14ac:dyDescent="0.45">
      <c r="C626" t="s">
        <v>328</v>
      </c>
      <c r="D626" t="s">
        <v>322</v>
      </c>
      <c r="E626" t="s">
        <v>288</v>
      </c>
      <c r="I626" t="s">
        <v>323</v>
      </c>
      <c r="J626" s="7"/>
      <c r="K626" s="7"/>
      <c r="L626" s="7">
        <v>1851.87</v>
      </c>
      <c r="M626" s="7">
        <v>1898.16</v>
      </c>
      <c r="N626" s="7">
        <v>1962.98</v>
      </c>
      <c r="O626" s="7">
        <v>2042.5</v>
      </c>
      <c r="P626" s="7">
        <v>2096.9699999999998</v>
      </c>
      <c r="Q626" s="7"/>
      <c r="R626" s="7">
        <v>1851.866667</v>
      </c>
      <c r="S626" s="7">
        <v>1898.163333</v>
      </c>
      <c r="T626" s="7">
        <v>1962.9786670000001</v>
      </c>
      <c r="U626" s="7">
        <v>2042.5</v>
      </c>
      <c r="V626" s="7">
        <v>2096.9666670000001</v>
      </c>
      <c r="AR626" s="15" t="s">
        <v>249</v>
      </c>
      <c r="AS626" s="15" t="s">
        <v>567</v>
      </c>
      <c r="AT626" s="15" t="s">
        <v>991</v>
      </c>
      <c r="AU626" s="15"/>
      <c r="AV626" s="15"/>
      <c r="AW626" s="15"/>
      <c r="AX626" s="15"/>
      <c r="AY626" s="15"/>
      <c r="AZ626" s="18"/>
      <c r="BA626" s="19">
        <v>2.5000000000000001E-2</v>
      </c>
      <c r="BB626" s="18"/>
      <c r="BC626" s="18"/>
      <c r="BD626" s="18"/>
      <c r="BE626" s="18"/>
      <c r="BF626" s="18"/>
      <c r="BG626" s="18"/>
      <c r="BH626" s="18"/>
      <c r="BI626" s="18"/>
      <c r="BJ626" s="18"/>
      <c r="BK626" s="18"/>
      <c r="BL626" s="19">
        <v>0.05</v>
      </c>
      <c r="BM626" s="18"/>
      <c r="BN626" s="18"/>
      <c r="BO626" s="18"/>
      <c r="BP626" s="18"/>
      <c r="BQ626" s="18"/>
      <c r="BR626" s="18"/>
      <c r="BS626" s="18"/>
      <c r="BT626" s="18"/>
      <c r="BU626" s="18"/>
    </row>
    <row r="627" spans="3:73" x14ac:dyDescent="0.45">
      <c r="C627" t="s">
        <v>328</v>
      </c>
      <c r="D627" t="s">
        <v>322</v>
      </c>
      <c r="E627" t="s">
        <v>289</v>
      </c>
      <c r="I627" t="s">
        <v>323</v>
      </c>
      <c r="J627" s="7"/>
      <c r="K627" s="7"/>
      <c r="L627" s="7">
        <v>6565.01</v>
      </c>
      <c r="M627" s="7">
        <v>3423.68</v>
      </c>
      <c r="N627" s="7">
        <v>2040.4</v>
      </c>
      <c r="O627" s="7">
        <v>2040.4</v>
      </c>
      <c r="P627" s="7">
        <v>2040.4</v>
      </c>
      <c r="Q627" s="7"/>
      <c r="R627" s="7">
        <v>6565.0101119999999</v>
      </c>
      <c r="S627" s="7">
        <v>3455.2448639999998</v>
      </c>
      <c r="T627" s="7">
        <v>2084.8753830000001</v>
      </c>
      <c r="U627" s="7">
        <v>2084.8753830000001</v>
      </c>
      <c r="V627" s="7">
        <v>2084.8753830000001</v>
      </c>
      <c r="AR627" s="15" t="s">
        <v>249</v>
      </c>
      <c r="AS627" s="15" t="s">
        <v>567</v>
      </c>
      <c r="AT627" s="15" t="s">
        <v>992</v>
      </c>
      <c r="AU627" s="15"/>
      <c r="AV627" s="15"/>
      <c r="AW627" s="15"/>
      <c r="AX627" s="15"/>
      <c r="AY627" s="15"/>
      <c r="AZ627" s="18"/>
      <c r="BA627" s="19">
        <v>2.5000000000000001E-2</v>
      </c>
      <c r="BB627" s="18"/>
      <c r="BC627" s="18"/>
      <c r="BD627" s="18"/>
      <c r="BE627" s="18"/>
      <c r="BF627" s="18"/>
      <c r="BG627" s="18"/>
      <c r="BH627" s="18"/>
      <c r="BI627" s="18"/>
      <c r="BJ627" s="18"/>
      <c r="BK627" s="18"/>
      <c r="BL627" s="19">
        <v>0.05</v>
      </c>
      <c r="BM627" s="18"/>
      <c r="BN627" s="18"/>
      <c r="BO627" s="18"/>
      <c r="BP627" s="18"/>
      <c r="BQ627" s="18"/>
      <c r="BR627" s="18"/>
      <c r="BS627" s="18"/>
      <c r="BT627" s="18"/>
      <c r="BU627" s="18"/>
    </row>
    <row r="628" spans="3:73" x14ac:dyDescent="0.45">
      <c r="C628" t="s">
        <v>328</v>
      </c>
      <c r="D628" t="s">
        <v>322</v>
      </c>
      <c r="E628" t="s">
        <v>290</v>
      </c>
      <c r="I628" t="s">
        <v>323</v>
      </c>
      <c r="J628" s="7"/>
      <c r="K628" s="7"/>
      <c r="L628" s="7">
        <v>7542.15</v>
      </c>
      <c r="M628" s="7">
        <v>4158.21</v>
      </c>
      <c r="N628" s="7">
        <v>3104.03</v>
      </c>
      <c r="O628" s="7">
        <v>2612.63</v>
      </c>
      <c r="P628" s="7">
        <v>2501.4</v>
      </c>
      <c r="Q628" s="7"/>
      <c r="R628" s="7">
        <v>7542.1452920000002</v>
      </c>
      <c r="S628" s="7">
        <v>4158.2148360000001</v>
      </c>
      <c r="T628" s="7">
        <v>3104.0293999999999</v>
      </c>
      <c r="U628" s="7">
        <v>2612.626886</v>
      </c>
      <c r="V628" s="7">
        <v>2501.4005379999999</v>
      </c>
      <c r="AR628" s="15" t="s">
        <v>249</v>
      </c>
      <c r="AS628" s="15" t="s">
        <v>567</v>
      </c>
      <c r="AT628" s="15" t="s">
        <v>993</v>
      </c>
      <c r="AU628" s="15"/>
      <c r="AV628" s="15"/>
      <c r="AW628" s="15"/>
      <c r="AX628" s="15"/>
      <c r="AY628" s="15"/>
      <c r="AZ628" s="18"/>
      <c r="BA628" s="19">
        <v>2.5000000000000001E-2</v>
      </c>
      <c r="BB628" s="18"/>
      <c r="BC628" s="18"/>
      <c r="BD628" s="18"/>
      <c r="BE628" s="18"/>
      <c r="BF628" s="18"/>
      <c r="BG628" s="18"/>
      <c r="BH628" s="18"/>
      <c r="BI628" s="18"/>
      <c r="BJ628" s="18"/>
      <c r="BK628" s="18"/>
      <c r="BL628" s="19">
        <v>0.05</v>
      </c>
      <c r="BM628" s="18"/>
      <c r="BN628" s="18"/>
      <c r="BO628" s="18"/>
      <c r="BP628" s="18"/>
      <c r="BQ628" s="18"/>
      <c r="BR628" s="18"/>
      <c r="BS628" s="18"/>
      <c r="BT628" s="18"/>
      <c r="BU628" s="18"/>
    </row>
    <row r="629" spans="3:73" x14ac:dyDescent="0.45">
      <c r="C629" t="s">
        <v>328</v>
      </c>
      <c r="D629" t="s">
        <v>322</v>
      </c>
      <c r="E629" t="s">
        <v>291</v>
      </c>
      <c r="I629" t="s">
        <v>323</v>
      </c>
      <c r="J629" s="7"/>
      <c r="K629" s="7"/>
      <c r="L629" s="7">
        <v>1560.07</v>
      </c>
      <c r="M629" s="7">
        <v>1560.07</v>
      </c>
      <c r="N629" s="7"/>
      <c r="O629" s="7"/>
      <c r="P629" s="7"/>
      <c r="Q629" s="7"/>
      <c r="R629" s="7">
        <v>1560.0712430000001</v>
      </c>
      <c r="S629" s="7">
        <v>1560.0712430000001</v>
      </c>
      <c r="T629" s="7"/>
      <c r="U629" s="7"/>
      <c r="V629" s="7"/>
      <c r="AR629" s="15" t="s">
        <v>249</v>
      </c>
      <c r="AS629" s="15" t="s">
        <v>567</v>
      </c>
      <c r="AT629" s="15" t="s">
        <v>994</v>
      </c>
      <c r="AU629" s="15"/>
      <c r="AV629" s="15"/>
      <c r="AW629" s="15"/>
      <c r="AX629" s="15"/>
      <c r="AY629" s="15"/>
      <c r="AZ629" s="18"/>
      <c r="BA629" s="19">
        <v>2.5000000000000001E-2</v>
      </c>
      <c r="BB629" s="18"/>
      <c r="BC629" s="18"/>
      <c r="BD629" s="18"/>
      <c r="BE629" s="18"/>
      <c r="BF629" s="18"/>
      <c r="BG629" s="18"/>
      <c r="BH629" s="18"/>
      <c r="BI629" s="18"/>
      <c r="BJ629" s="18"/>
      <c r="BK629" s="18"/>
      <c r="BL629" s="19">
        <v>0.05</v>
      </c>
      <c r="BM629" s="18"/>
      <c r="BN629" s="18"/>
      <c r="BO629" s="18"/>
      <c r="BP629" s="18"/>
      <c r="BQ629" s="18"/>
      <c r="BR629" s="18"/>
      <c r="BS629" s="18"/>
      <c r="BT629" s="18"/>
      <c r="BU629" s="18"/>
    </row>
    <row r="630" spans="3:73" x14ac:dyDescent="0.45">
      <c r="C630" t="s">
        <v>328</v>
      </c>
      <c r="D630" t="s">
        <v>322</v>
      </c>
      <c r="E630" t="s">
        <v>292</v>
      </c>
      <c r="I630" t="s">
        <v>323</v>
      </c>
      <c r="J630" s="7"/>
      <c r="K630" s="7"/>
      <c r="L630" s="7"/>
      <c r="M630" s="7">
        <v>10778.63</v>
      </c>
      <c r="N630" s="7">
        <v>4403.3599999999997</v>
      </c>
      <c r="O630" s="7">
        <v>3838.55</v>
      </c>
      <c r="P630" s="7">
        <v>3838.55</v>
      </c>
      <c r="Q630" s="7"/>
      <c r="R630" s="7"/>
      <c r="S630" s="7">
        <v>10961.1096</v>
      </c>
      <c r="T630" s="7">
        <v>5626.2886559999997</v>
      </c>
      <c r="U630" s="7">
        <v>3923.314973</v>
      </c>
      <c r="V630" s="7">
        <v>3923.314973</v>
      </c>
      <c r="AR630" s="15" t="s">
        <v>249</v>
      </c>
      <c r="AS630" s="15" t="s">
        <v>567</v>
      </c>
      <c r="AT630" s="15" t="s">
        <v>995</v>
      </c>
      <c r="AU630" s="15"/>
      <c r="AV630" s="15"/>
      <c r="AW630" s="15"/>
      <c r="AX630" s="15"/>
      <c r="AY630" s="15"/>
      <c r="AZ630" s="18"/>
      <c r="BA630" s="19">
        <v>2.5000000000000001E-2</v>
      </c>
      <c r="BB630" s="18"/>
      <c r="BC630" s="18"/>
      <c r="BD630" s="18"/>
      <c r="BE630" s="18"/>
      <c r="BF630" s="18"/>
      <c r="BG630" s="18"/>
      <c r="BH630" s="18"/>
      <c r="BI630" s="18"/>
      <c r="BJ630" s="18"/>
      <c r="BK630" s="18"/>
      <c r="BL630" s="19">
        <v>0.05</v>
      </c>
      <c r="BM630" s="18"/>
      <c r="BN630" s="18"/>
      <c r="BO630" s="18"/>
      <c r="BP630" s="18"/>
      <c r="BQ630" s="18"/>
      <c r="BR630" s="18"/>
      <c r="BS630" s="18"/>
      <c r="BT630" s="18"/>
      <c r="BU630" s="18"/>
    </row>
    <row r="631" spans="3:73" x14ac:dyDescent="0.45">
      <c r="C631" t="s">
        <v>328</v>
      </c>
      <c r="D631" t="s">
        <v>322</v>
      </c>
      <c r="E631" t="s">
        <v>293</v>
      </c>
      <c r="I631" t="s">
        <v>323</v>
      </c>
      <c r="J631" s="7"/>
      <c r="K631" s="7"/>
      <c r="L631" s="7"/>
      <c r="M631" s="7">
        <v>10787.46</v>
      </c>
      <c r="N631" s="7">
        <v>5195.41</v>
      </c>
      <c r="O631" s="7">
        <v>2947.36</v>
      </c>
      <c r="P631" s="7">
        <v>2793.42</v>
      </c>
      <c r="Q631" s="7"/>
      <c r="R631" s="7"/>
      <c r="S631" s="7">
        <v>10802.64415</v>
      </c>
      <c r="T631" s="7">
        <v>10005.474490000001</v>
      </c>
      <c r="U631" s="7">
        <v>3678.5268190000002</v>
      </c>
      <c r="V631" s="7">
        <v>2988.0727310000002</v>
      </c>
      <c r="AR631" s="15" t="s">
        <v>249</v>
      </c>
      <c r="AS631" s="15" t="s">
        <v>567</v>
      </c>
      <c r="AT631" s="15" t="s">
        <v>996</v>
      </c>
      <c r="AU631" s="15"/>
      <c r="AV631" s="15"/>
      <c r="AW631" s="15"/>
      <c r="AX631" s="15"/>
      <c r="AY631" s="15"/>
      <c r="AZ631" s="18"/>
      <c r="BA631" s="19">
        <v>2.5000000000000001E-2</v>
      </c>
      <c r="BB631" s="18"/>
      <c r="BC631" s="18"/>
      <c r="BD631" s="18"/>
      <c r="BE631" s="18"/>
      <c r="BF631" s="18"/>
      <c r="BG631" s="18"/>
      <c r="BH631" s="18"/>
      <c r="BI631" s="18"/>
      <c r="BJ631" s="18"/>
      <c r="BK631" s="18"/>
      <c r="BL631" s="19">
        <v>0.05</v>
      </c>
      <c r="BM631" s="18"/>
      <c r="BN631" s="18"/>
      <c r="BO631" s="18"/>
      <c r="BP631" s="18"/>
      <c r="BQ631" s="18"/>
      <c r="BR631" s="18"/>
      <c r="BS631" s="18"/>
      <c r="BT631" s="18"/>
      <c r="BU631" s="18"/>
    </row>
    <row r="632" spans="3:73" x14ac:dyDescent="0.45">
      <c r="C632" t="s">
        <v>328</v>
      </c>
      <c r="D632" t="s">
        <v>322</v>
      </c>
      <c r="E632" t="s">
        <v>294</v>
      </c>
      <c r="I632" t="s">
        <v>323</v>
      </c>
      <c r="J632" s="7"/>
      <c r="K632" s="7"/>
      <c r="L632" s="7">
        <v>363.43</v>
      </c>
      <c r="M632" s="7">
        <v>368.42</v>
      </c>
      <c r="N632" s="7">
        <v>375.08</v>
      </c>
      <c r="O632" s="7">
        <v>383.4</v>
      </c>
      <c r="P632" s="7">
        <v>394.6</v>
      </c>
      <c r="Q632" s="7"/>
      <c r="R632" s="7">
        <v>363.4257824</v>
      </c>
      <c r="S632" s="7">
        <v>368.41876059999998</v>
      </c>
      <c r="T632" s="7">
        <v>375.07606479999998</v>
      </c>
      <c r="U632" s="7">
        <v>383.39769510000002</v>
      </c>
      <c r="V632" s="7">
        <v>394.6036532</v>
      </c>
      <c r="AR632" s="15" t="s">
        <v>249</v>
      </c>
      <c r="AS632" s="15" t="s">
        <v>567</v>
      </c>
      <c r="AT632" s="15" t="s">
        <v>997</v>
      </c>
      <c r="AU632" s="15"/>
      <c r="AV632" s="15"/>
      <c r="AW632" s="15"/>
      <c r="AX632" s="15"/>
      <c r="AY632" s="15"/>
      <c r="AZ632" s="18"/>
      <c r="BA632" s="19">
        <v>2.5000000000000001E-2</v>
      </c>
      <c r="BB632" s="18"/>
      <c r="BC632" s="18"/>
      <c r="BD632" s="18"/>
      <c r="BE632" s="18"/>
      <c r="BF632" s="18"/>
      <c r="BG632" s="18"/>
      <c r="BH632" s="18"/>
      <c r="BI632" s="18"/>
      <c r="BJ632" s="18"/>
      <c r="BK632" s="18"/>
      <c r="BL632" s="19">
        <v>0.05</v>
      </c>
      <c r="BM632" s="18"/>
      <c r="BN632" s="18"/>
      <c r="BO632" s="18"/>
      <c r="BP632" s="18"/>
      <c r="BQ632" s="18"/>
      <c r="BR632" s="18"/>
      <c r="BS632" s="18"/>
      <c r="BT632" s="18"/>
      <c r="BU632" s="18"/>
    </row>
    <row r="633" spans="3:73" x14ac:dyDescent="0.45">
      <c r="C633" t="s">
        <v>328</v>
      </c>
      <c r="D633" t="s">
        <v>322</v>
      </c>
      <c r="E633" t="s">
        <v>295</v>
      </c>
      <c r="I633" t="s">
        <v>323</v>
      </c>
      <c r="J633" s="7"/>
      <c r="K633" s="7"/>
      <c r="L633" s="7">
        <v>563.28</v>
      </c>
      <c r="M633" s="7">
        <v>536.36</v>
      </c>
      <c r="N633" s="7">
        <v>378.82</v>
      </c>
      <c r="O633" s="7">
        <v>378.82</v>
      </c>
      <c r="P633" s="7">
        <v>378.82</v>
      </c>
      <c r="Q633" s="7"/>
      <c r="R633" s="7">
        <v>563.27611109999998</v>
      </c>
      <c r="S633" s="7">
        <v>549.55551390000005</v>
      </c>
      <c r="T633" s="7">
        <v>413.47444419999999</v>
      </c>
      <c r="U633" s="7">
        <v>413.47444419999999</v>
      </c>
      <c r="V633" s="7">
        <v>413.47444419999999</v>
      </c>
      <c r="AR633" s="15" t="s">
        <v>249</v>
      </c>
      <c r="AS633" s="15" t="s">
        <v>567</v>
      </c>
      <c r="AT633" s="15" t="s">
        <v>998</v>
      </c>
      <c r="AU633" s="15"/>
      <c r="AV633" s="15"/>
      <c r="AW633" s="15"/>
      <c r="AX633" s="15"/>
      <c r="AY633" s="15"/>
      <c r="AZ633" s="18"/>
      <c r="BA633" s="19">
        <v>2.5000000000000001E-2</v>
      </c>
      <c r="BB633" s="18"/>
      <c r="BC633" s="18"/>
      <c r="BD633" s="18"/>
      <c r="BE633" s="18"/>
      <c r="BF633" s="18"/>
      <c r="BG633" s="18"/>
      <c r="BH633" s="18"/>
      <c r="BI633" s="18"/>
      <c r="BJ633" s="18"/>
      <c r="BK633" s="18"/>
      <c r="BL633" s="19">
        <v>0.05</v>
      </c>
      <c r="BM633" s="18"/>
      <c r="BN633" s="18"/>
      <c r="BO633" s="18"/>
      <c r="BP633" s="18"/>
      <c r="BQ633" s="18"/>
      <c r="BR633" s="18"/>
      <c r="BS633" s="18"/>
      <c r="BT633" s="18"/>
      <c r="BU633" s="18"/>
    </row>
    <row r="634" spans="3:73" x14ac:dyDescent="0.45">
      <c r="C634" t="s">
        <v>328</v>
      </c>
      <c r="D634" t="s">
        <v>322</v>
      </c>
      <c r="E634" t="s">
        <v>296</v>
      </c>
      <c r="I634" t="s">
        <v>323</v>
      </c>
      <c r="J634" s="7"/>
      <c r="K634" s="7"/>
      <c r="L634" s="7">
        <v>748.66</v>
      </c>
      <c r="M634" s="7">
        <v>644.29999999999995</v>
      </c>
      <c r="N634" s="7">
        <v>537.66999999999996</v>
      </c>
      <c r="O634" s="7">
        <v>431.38</v>
      </c>
      <c r="P634" s="7">
        <v>408.55</v>
      </c>
      <c r="Q634" s="7"/>
      <c r="R634" s="7">
        <v>748.66000750000001</v>
      </c>
      <c r="S634" s="7">
        <v>644.29869440000004</v>
      </c>
      <c r="T634" s="7">
        <v>431.38474459999998</v>
      </c>
      <c r="U634" s="7">
        <v>431.38474459999998</v>
      </c>
      <c r="V634" s="7">
        <v>408.55235640000001</v>
      </c>
      <c r="AR634" s="15" t="s">
        <v>249</v>
      </c>
      <c r="AS634" s="15" t="s">
        <v>567</v>
      </c>
      <c r="AT634" s="15" t="s">
        <v>999</v>
      </c>
      <c r="AU634" s="15"/>
      <c r="AV634" s="15"/>
      <c r="AW634" s="15"/>
      <c r="AX634" s="15"/>
      <c r="AY634" s="15"/>
      <c r="AZ634" s="18"/>
      <c r="BA634" s="19">
        <v>2.5000000000000001E-2</v>
      </c>
      <c r="BB634" s="18"/>
      <c r="BC634" s="18"/>
      <c r="BD634" s="18"/>
      <c r="BE634" s="18"/>
      <c r="BF634" s="18"/>
      <c r="BG634" s="18"/>
      <c r="BH634" s="18"/>
      <c r="BI634" s="18"/>
      <c r="BJ634" s="18"/>
      <c r="BK634" s="18"/>
      <c r="BL634" s="19">
        <v>0.05</v>
      </c>
      <c r="BM634" s="18"/>
      <c r="BN634" s="18"/>
      <c r="BO634" s="18"/>
      <c r="BP634" s="18"/>
      <c r="BQ634" s="18"/>
      <c r="BR634" s="18"/>
      <c r="BS634" s="18"/>
      <c r="BT634" s="18"/>
      <c r="BU634" s="18"/>
    </row>
    <row r="635" spans="3:73" x14ac:dyDescent="0.45">
      <c r="C635" t="s">
        <v>328</v>
      </c>
      <c r="D635" t="s">
        <v>322</v>
      </c>
      <c r="E635" t="s">
        <v>297</v>
      </c>
      <c r="I635" t="s">
        <v>323</v>
      </c>
      <c r="J635" s="7"/>
      <c r="K635" s="7"/>
      <c r="L635" s="7">
        <v>2400</v>
      </c>
      <c r="M635" s="7"/>
      <c r="N635" s="7"/>
      <c r="O635" s="7"/>
      <c r="P635" s="7"/>
      <c r="Q635" s="7"/>
      <c r="R635" s="7">
        <v>2400</v>
      </c>
      <c r="S635" s="7"/>
      <c r="T635" s="7"/>
      <c r="U635" s="7"/>
      <c r="V635" s="7"/>
      <c r="AR635" s="15" t="s">
        <v>249</v>
      </c>
      <c r="AS635" s="15" t="s">
        <v>567</v>
      </c>
      <c r="AT635" s="15" t="s">
        <v>1000</v>
      </c>
      <c r="AU635" s="15"/>
      <c r="AV635" s="15"/>
      <c r="AW635" s="15"/>
      <c r="AX635" s="15"/>
      <c r="AY635" s="15"/>
      <c r="AZ635" s="18"/>
      <c r="BA635" s="19">
        <v>2.5000000000000001E-2</v>
      </c>
      <c r="BB635" s="18"/>
      <c r="BC635" s="18"/>
      <c r="BD635" s="18"/>
      <c r="BE635" s="18"/>
      <c r="BF635" s="18"/>
      <c r="BG635" s="18"/>
      <c r="BH635" s="18"/>
      <c r="BI635" s="18"/>
      <c r="BJ635" s="18"/>
      <c r="BK635" s="18"/>
      <c r="BL635" s="19">
        <v>0.05</v>
      </c>
      <c r="BM635" s="18"/>
      <c r="BN635" s="18"/>
      <c r="BO635" s="18"/>
      <c r="BP635" s="18"/>
      <c r="BQ635" s="18"/>
      <c r="BR635" s="18"/>
      <c r="BS635" s="18"/>
      <c r="BT635" s="18"/>
      <c r="BU635" s="18"/>
    </row>
    <row r="636" spans="3:73" x14ac:dyDescent="0.45">
      <c r="C636" t="s">
        <v>328</v>
      </c>
      <c r="D636" t="s">
        <v>322</v>
      </c>
      <c r="E636" t="s">
        <v>298</v>
      </c>
      <c r="I636" t="s">
        <v>323</v>
      </c>
      <c r="J636" s="7"/>
      <c r="K636" s="7"/>
      <c r="L636" s="7">
        <v>1076.086957</v>
      </c>
      <c r="M636" s="7"/>
      <c r="N636" s="7"/>
      <c r="O636" s="7"/>
      <c r="P636" s="7"/>
      <c r="Q636" s="7"/>
      <c r="R636" s="7">
        <v>1076.086957</v>
      </c>
      <c r="S636" s="7"/>
      <c r="T636" s="7"/>
      <c r="U636" s="7"/>
      <c r="V636" s="7"/>
      <c r="AR636" s="15" t="s">
        <v>249</v>
      </c>
      <c r="AS636" s="15" t="s">
        <v>567</v>
      </c>
      <c r="AT636" s="15" t="s">
        <v>1001</v>
      </c>
      <c r="AU636" s="15"/>
      <c r="AV636" s="15"/>
      <c r="AW636" s="15"/>
      <c r="AX636" s="15"/>
      <c r="AY636" s="15"/>
      <c r="AZ636" s="18"/>
      <c r="BA636" s="19">
        <v>2.5000000000000001E-2</v>
      </c>
      <c r="BB636" s="18"/>
      <c r="BC636" s="18"/>
      <c r="BD636" s="18"/>
      <c r="BE636" s="18"/>
      <c r="BF636" s="18"/>
      <c r="BG636" s="18"/>
      <c r="BH636" s="18"/>
      <c r="BI636" s="18"/>
      <c r="BJ636" s="18"/>
      <c r="BK636" s="18"/>
      <c r="BL636" s="19">
        <v>0.05</v>
      </c>
      <c r="BM636" s="18"/>
      <c r="BN636" s="18"/>
      <c r="BO636" s="18"/>
      <c r="BP636" s="18"/>
      <c r="BQ636" s="18"/>
      <c r="BR636" s="18"/>
      <c r="BS636" s="18"/>
      <c r="BT636" s="18"/>
      <c r="BU636" s="18"/>
    </row>
    <row r="637" spans="3:73" x14ac:dyDescent="0.45">
      <c r="C637" t="s">
        <v>328</v>
      </c>
      <c r="D637" t="s">
        <v>322</v>
      </c>
      <c r="E637" t="s">
        <v>299</v>
      </c>
      <c r="I637" t="s">
        <v>323</v>
      </c>
      <c r="J637" s="7"/>
      <c r="K637" s="7"/>
      <c r="L637" s="7">
        <v>370.5</v>
      </c>
      <c r="M637" s="7">
        <v>250</v>
      </c>
      <c r="N637" s="7">
        <v>250</v>
      </c>
      <c r="O637" s="7">
        <v>250</v>
      </c>
      <c r="P637" s="7">
        <v>250</v>
      </c>
      <c r="Q637" s="7"/>
      <c r="R637" s="7">
        <v>370.5</v>
      </c>
      <c r="S637" s="7">
        <v>250</v>
      </c>
      <c r="T637" s="7">
        <v>250</v>
      </c>
      <c r="U637" s="7">
        <v>250</v>
      </c>
      <c r="V637" s="7">
        <v>250</v>
      </c>
      <c r="AR637" s="15" t="s">
        <v>249</v>
      </c>
      <c r="AS637" s="15" t="s">
        <v>567</v>
      </c>
      <c r="AT637" s="15" t="s">
        <v>1002</v>
      </c>
      <c r="AU637" s="15"/>
      <c r="AV637" s="15"/>
      <c r="AW637" s="15"/>
      <c r="AX637" s="15"/>
      <c r="AY637" s="15"/>
      <c r="AZ637" s="18"/>
      <c r="BA637" s="19">
        <v>2.5000000000000001E-2</v>
      </c>
      <c r="BB637" s="18"/>
      <c r="BC637" s="18"/>
      <c r="BD637" s="18"/>
      <c r="BE637" s="18"/>
      <c r="BF637" s="18"/>
      <c r="BG637" s="18"/>
      <c r="BH637" s="18"/>
      <c r="BI637" s="18"/>
      <c r="BJ637" s="18"/>
      <c r="BK637" s="18"/>
      <c r="BL637" s="19">
        <v>0.05</v>
      </c>
      <c r="BM637" s="18"/>
      <c r="BN637" s="18"/>
      <c r="BO637" s="18"/>
      <c r="BP637" s="18"/>
      <c r="BQ637" s="18"/>
      <c r="BR637" s="18"/>
      <c r="BS637" s="18"/>
      <c r="BT637" s="18"/>
      <c r="BU637" s="18"/>
    </row>
    <row r="638" spans="3:73" x14ac:dyDescent="0.45">
      <c r="C638" t="s">
        <v>328</v>
      </c>
      <c r="D638" t="s">
        <v>322</v>
      </c>
      <c r="E638" t="s">
        <v>300</v>
      </c>
      <c r="I638" t="s">
        <v>323</v>
      </c>
      <c r="J638" s="7"/>
      <c r="K638" s="7"/>
      <c r="L638" s="7">
        <v>174.82499999999999</v>
      </c>
      <c r="M638" s="7"/>
      <c r="N638" s="7"/>
      <c r="O638" s="7"/>
      <c r="P638" s="7"/>
      <c r="Q638" s="7"/>
      <c r="R638" s="7">
        <v>174.82499999999999</v>
      </c>
      <c r="S638" s="7"/>
      <c r="T638" s="7"/>
      <c r="U638" s="7"/>
      <c r="V638" s="7"/>
      <c r="AR638" s="15" t="s">
        <v>249</v>
      </c>
      <c r="AS638" s="15" t="s">
        <v>567</v>
      </c>
      <c r="AT638" s="15" t="s">
        <v>1003</v>
      </c>
      <c r="AU638" s="15"/>
      <c r="AV638" s="15"/>
      <c r="AW638" s="15"/>
      <c r="AX638" s="15"/>
      <c r="AY638" s="15"/>
      <c r="AZ638" s="18"/>
      <c r="BA638" s="19">
        <v>2.5000000000000001E-2</v>
      </c>
      <c r="BB638" s="18"/>
      <c r="BC638" s="18"/>
      <c r="BD638" s="18"/>
      <c r="BE638" s="18"/>
      <c r="BF638" s="18"/>
      <c r="BG638" s="18"/>
      <c r="BH638" s="18"/>
      <c r="BI638" s="18"/>
      <c r="BJ638" s="18"/>
      <c r="BK638" s="18"/>
      <c r="BL638" s="19">
        <v>0.05</v>
      </c>
      <c r="BM638" s="18"/>
      <c r="BN638" s="18"/>
      <c r="BO638" s="18"/>
      <c r="BP638" s="18"/>
      <c r="BQ638" s="18"/>
      <c r="BR638" s="18"/>
      <c r="BS638" s="18"/>
      <c r="BT638" s="18"/>
      <c r="BU638" s="18"/>
    </row>
    <row r="639" spans="3:73" x14ac:dyDescent="0.45">
      <c r="C639" t="s">
        <v>328</v>
      </c>
      <c r="D639" t="s">
        <v>322</v>
      </c>
      <c r="E639" t="s">
        <v>302</v>
      </c>
      <c r="I639" t="s">
        <v>323</v>
      </c>
      <c r="J639" s="7"/>
      <c r="K639" s="7"/>
      <c r="L639" s="7">
        <v>705.8823529</v>
      </c>
      <c r="M639" s="7"/>
      <c r="N639" s="7"/>
      <c r="O639" s="7"/>
      <c r="P639" s="7"/>
      <c r="Q639" s="7"/>
      <c r="R639" s="7">
        <v>705.8823529</v>
      </c>
      <c r="S639" s="7"/>
      <c r="T639" s="7"/>
      <c r="U639" s="7"/>
      <c r="V639" s="7"/>
      <c r="AR639" s="15" t="s">
        <v>249</v>
      </c>
      <c r="AS639" s="15" t="s">
        <v>567</v>
      </c>
      <c r="AT639" s="15" t="s">
        <v>1004</v>
      </c>
      <c r="AU639" s="15"/>
      <c r="AV639" s="15"/>
      <c r="AW639" s="15"/>
      <c r="AX639" s="15"/>
      <c r="AY639" s="15"/>
      <c r="AZ639" s="18"/>
      <c r="BA639" s="19">
        <v>2.5000000000000001E-2</v>
      </c>
      <c r="BB639" s="18"/>
      <c r="BC639" s="18"/>
      <c r="BD639" s="18"/>
      <c r="BE639" s="18"/>
      <c r="BF639" s="18"/>
      <c r="BG639" s="18"/>
      <c r="BH639" s="18"/>
      <c r="BI639" s="18"/>
      <c r="BJ639" s="18"/>
      <c r="BK639" s="18"/>
      <c r="BL639" s="19">
        <v>0.05</v>
      </c>
      <c r="BM639" s="18"/>
      <c r="BN639" s="18"/>
      <c r="BO639" s="18"/>
      <c r="BP639" s="18"/>
      <c r="BQ639" s="18"/>
      <c r="BR639" s="18"/>
      <c r="BS639" s="18"/>
      <c r="BT639" s="18"/>
      <c r="BU639" s="18"/>
    </row>
    <row r="640" spans="3:73" x14ac:dyDescent="0.45">
      <c r="C640" t="s">
        <v>328</v>
      </c>
      <c r="D640" t="s">
        <v>322</v>
      </c>
      <c r="E640" t="s">
        <v>303</v>
      </c>
      <c r="I640" t="s">
        <v>323</v>
      </c>
      <c r="J640" s="7"/>
      <c r="K640" s="7"/>
      <c r="L640" s="7">
        <v>1071.4285709999999</v>
      </c>
      <c r="M640" s="7"/>
      <c r="N640" s="7"/>
      <c r="O640" s="7"/>
      <c r="P640" s="7"/>
      <c r="Q640" s="7"/>
      <c r="R640" s="7">
        <v>1071.4285709999999</v>
      </c>
      <c r="S640" s="7"/>
      <c r="T640" s="7"/>
      <c r="U640" s="7"/>
      <c r="V640" s="7"/>
      <c r="AR640" s="15" t="s">
        <v>249</v>
      </c>
      <c r="AS640" s="15" t="s">
        <v>567</v>
      </c>
      <c r="AT640" s="15" t="s">
        <v>1005</v>
      </c>
      <c r="AU640" s="15"/>
      <c r="AV640" s="15"/>
      <c r="AW640" s="15"/>
      <c r="AX640" s="15"/>
      <c r="AY640" s="15"/>
      <c r="AZ640" s="18"/>
      <c r="BA640" s="19">
        <v>2.5000000000000001E-2</v>
      </c>
      <c r="BB640" s="18"/>
      <c r="BC640" s="18"/>
      <c r="BD640" s="18"/>
      <c r="BE640" s="18"/>
      <c r="BF640" s="18"/>
      <c r="BG640" s="18"/>
      <c r="BH640" s="18"/>
      <c r="BI640" s="18"/>
      <c r="BJ640" s="18"/>
      <c r="BK640" s="18"/>
      <c r="BL640" s="19">
        <v>0.05</v>
      </c>
      <c r="BM640" s="18"/>
      <c r="BN640" s="18"/>
      <c r="BO640" s="18"/>
      <c r="BP640" s="18"/>
      <c r="BQ640" s="18"/>
      <c r="BR640" s="18"/>
      <c r="BS640" s="18"/>
      <c r="BT640" s="18"/>
      <c r="BU640" s="18"/>
    </row>
    <row r="641" spans="3:73" x14ac:dyDescent="0.45">
      <c r="C641" t="s">
        <v>328</v>
      </c>
      <c r="D641" t="s">
        <v>322</v>
      </c>
      <c r="E641" t="s">
        <v>304</v>
      </c>
      <c r="I641" t="s">
        <v>323</v>
      </c>
      <c r="J641" s="7"/>
      <c r="K641" s="7"/>
      <c r="L641" s="7">
        <v>6000</v>
      </c>
      <c r="M641" s="7"/>
      <c r="N641" s="7"/>
      <c r="O641" s="7"/>
      <c r="P641" s="7"/>
      <c r="Q641" s="7"/>
      <c r="R641" s="7">
        <v>6000</v>
      </c>
      <c r="S641" s="7"/>
      <c r="T641" s="7"/>
      <c r="U641" s="7"/>
      <c r="V641" s="7"/>
      <c r="AR641" s="15" t="s">
        <v>249</v>
      </c>
      <c r="AS641" s="15" t="s">
        <v>567</v>
      </c>
      <c r="AT641" s="15" t="s">
        <v>1006</v>
      </c>
      <c r="AU641" s="15"/>
      <c r="AV641" s="15"/>
      <c r="AW641" s="15"/>
      <c r="AX641" s="15"/>
      <c r="AY641" s="15"/>
      <c r="AZ641" s="18"/>
      <c r="BA641" s="19">
        <v>2.5000000000000001E-2</v>
      </c>
      <c r="BB641" s="18"/>
      <c r="BC641" s="18"/>
      <c r="BD641" s="18"/>
      <c r="BE641" s="18"/>
      <c r="BF641" s="18"/>
      <c r="BG641" s="18"/>
      <c r="BH641" s="18"/>
      <c r="BI641" s="18"/>
      <c r="BJ641" s="18"/>
      <c r="BK641" s="18"/>
      <c r="BL641" s="19">
        <v>0.05</v>
      </c>
      <c r="BM641" s="18"/>
      <c r="BN641" s="18"/>
      <c r="BO641" s="18"/>
      <c r="BP641" s="18"/>
      <c r="BQ641" s="18"/>
      <c r="BR641" s="18"/>
      <c r="BS641" s="18"/>
      <c r="BT641" s="18"/>
      <c r="BU641" s="18"/>
    </row>
    <row r="642" spans="3:73" x14ac:dyDescent="0.45">
      <c r="C642" t="s">
        <v>328</v>
      </c>
      <c r="D642" t="s">
        <v>322</v>
      </c>
      <c r="E642" t="s">
        <v>305</v>
      </c>
      <c r="I642" t="s">
        <v>323</v>
      </c>
      <c r="J642" s="7"/>
      <c r="K642" s="7"/>
      <c r="L642" s="7">
        <v>6257.14</v>
      </c>
      <c r="M642" s="7"/>
      <c r="N642" s="7"/>
      <c r="O642" s="7"/>
      <c r="P642" s="7"/>
      <c r="Q642" s="7"/>
      <c r="R642" s="7">
        <v>6257.1428569999998</v>
      </c>
      <c r="S642" s="7"/>
      <c r="T642" s="7"/>
      <c r="U642" s="7"/>
      <c r="V642" s="7"/>
      <c r="AR642" s="15" t="s">
        <v>249</v>
      </c>
      <c r="AS642" s="15" t="s">
        <v>567</v>
      </c>
      <c r="AT642" s="15" t="s">
        <v>1007</v>
      </c>
      <c r="AU642" s="15"/>
      <c r="AV642" s="15"/>
      <c r="AW642" s="15"/>
      <c r="AX642" s="15"/>
      <c r="AY642" s="15"/>
      <c r="AZ642" s="18"/>
      <c r="BA642" s="19">
        <v>2.5000000000000001E-2</v>
      </c>
      <c r="BB642" s="18"/>
      <c r="BC642" s="18"/>
      <c r="BD642" s="18"/>
      <c r="BE642" s="18"/>
      <c r="BF642" s="18"/>
      <c r="BG642" s="18"/>
      <c r="BH642" s="18"/>
      <c r="BI642" s="18"/>
      <c r="BJ642" s="18"/>
      <c r="BK642" s="18"/>
      <c r="BL642" s="19">
        <v>0.05</v>
      </c>
      <c r="BM642" s="18"/>
      <c r="BN642" s="18"/>
      <c r="BO642" s="18"/>
      <c r="BP642" s="18"/>
      <c r="BQ642" s="18"/>
      <c r="BR642" s="18"/>
      <c r="BS642" s="18"/>
      <c r="BT642" s="18"/>
      <c r="BU642" s="18"/>
    </row>
    <row r="643" spans="3:73" x14ac:dyDescent="0.45">
      <c r="C643" t="s">
        <v>328</v>
      </c>
      <c r="D643" t="s">
        <v>322</v>
      </c>
      <c r="E643" t="s">
        <v>306</v>
      </c>
      <c r="I643" t="s">
        <v>323</v>
      </c>
      <c r="J643" s="7"/>
      <c r="K643" s="7"/>
      <c r="L643" s="7">
        <v>1076.0899999999999</v>
      </c>
      <c r="M643" s="7"/>
      <c r="N643" s="7"/>
      <c r="O643" s="7"/>
      <c r="P643" s="7"/>
      <c r="Q643" s="7"/>
      <c r="R643" s="7">
        <v>1076.086957</v>
      </c>
      <c r="S643" s="7"/>
      <c r="T643" s="7"/>
      <c r="U643" s="7"/>
      <c r="V643" s="7"/>
      <c r="AR643" s="15" t="s">
        <v>249</v>
      </c>
      <c r="AS643" s="15" t="s">
        <v>567</v>
      </c>
      <c r="AT643" s="15" t="s">
        <v>1008</v>
      </c>
      <c r="AU643" s="15"/>
      <c r="AV643" s="15"/>
      <c r="AW643" s="15"/>
      <c r="AX643" s="15"/>
      <c r="AY643" s="15"/>
      <c r="AZ643" s="18"/>
      <c r="BA643" s="19">
        <v>2.5000000000000001E-2</v>
      </c>
      <c r="BB643" s="18"/>
      <c r="BC643" s="18"/>
      <c r="BD643" s="18"/>
      <c r="BE643" s="18"/>
      <c r="BF643" s="18"/>
      <c r="BG643" s="18"/>
      <c r="BH643" s="18"/>
      <c r="BI643" s="18"/>
      <c r="BJ643" s="18"/>
      <c r="BK643" s="18"/>
      <c r="BL643" s="19">
        <v>0.05</v>
      </c>
      <c r="BM643" s="18"/>
      <c r="BN643" s="18"/>
      <c r="BO643" s="18"/>
      <c r="BP643" s="18"/>
      <c r="BQ643" s="18"/>
      <c r="BR643" s="18"/>
      <c r="BS643" s="18"/>
      <c r="BT643" s="18"/>
      <c r="BU643" s="18"/>
    </row>
    <row r="644" spans="3:73" x14ac:dyDescent="0.45">
      <c r="C644" t="s">
        <v>328</v>
      </c>
      <c r="D644" t="s">
        <v>322</v>
      </c>
      <c r="E644" t="s">
        <v>307</v>
      </c>
      <c r="I644" t="s">
        <v>323</v>
      </c>
      <c r="J644" s="7"/>
      <c r="K644" s="7"/>
      <c r="L644" s="7">
        <v>483.48</v>
      </c>
      <c r="M644" s="7">
        <v>356.25</v>
      </c>
      <c r="N644" s="7">
        <v>157.77000000000001</v>
      </c>
      <c r="O644" s="7">
        <v>157.77000000000001</v>
      </c>
      <c r="P644" s="7">
        <v>157.77000000000001</v>
      </c>
      <c r="Q644" s="7"/>
      <c r="R644" s="7">
        <v>483.4846187</v>
      </c>
      <c r="S644" s="7">
        <v>378.64479610000001</v>
      </c>
      <c r="T644" s="7">
        <v>287.03718409999999</v>
      </c>
      <c r="U644" s="7">
        <v>189.32239809999999</v>
      </c>
      <c r="V644" s="7">
        <v>189.32239809999999</v>
      </c>
      <c r="AR644" s="15" t="s">
        <v>249</v>
      </c>
      <c r="AS644" s="15" t="s">
        <v>567</v>
      </c>
      <c r="AT644" s="15" t="s">
        <v>1009</v>
      </c>
      <c r="AU644" s="15"/>
      <c r="AV644" s="15"/>
      <c r="AW644" s="15"/>
      <c r="AX644" s="15"/>
      <c r="AY644" s="15"/>
      <c r="AZ644" s="18"/>
      <c r="BA644" s="19">
        <v>2.5000000000000001E-2</v>
      </c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9">
        <v>0.05</v>
      </c>
      <c r="BM644" s="18"/>
      <c r="BN644" s="18"/>
      <c r="BO644" s="18"/>
      <c r="BP644" s="18"/>
      <c r="BQ644" s="18"/>
      <c r="BR644" s="18"/>
      <c r="BS644" s="18"/>
      <c r="BT644" s="18"/>
      <c r="BU644" s="18"/>
    </row>
    <row r="645" spans="3:73" x14ac:dyDescent="0.45">
      <c r="C645" t="s">
        <v>328</v>
      </c>
      <c r="D645" t="s">
        <v>322</v>
      </c>
      <c r="E645" t="s">
        <v>308</v>
      </c>
      <c r="I645" t="s">
        <v>323</v>
      </c>
      <c r="J645" s="7"/>
      <c r="K645" s="7"/>
      <c r="L645" s="7">
        <v>264.04000000000002</v>
      </c>
      <c r="M645" s="7">
        <v>264.04000000000002</v>
      </c>
      <c r="N645" s="7">
        <v>264.04000000000002</v>
      </c>
      <c r="O645" s="7">
        <v>264.04000000000002</v>
      </c>
      <c r="P645" s="7">
        <v>264.04000000000002</v>
      </c>
      <c r="Q645" s="7"/>
      <c r="R645" s="7">
        <v>264.0430374</v>
      </c>
      <c r="S645" s="7">
        <v>264.0430374</v>
      </c>
      <c r="T645" s="7">
        <v>264.0430374</v>
      </c>
      <c r="U645" s="7">
        <v>264.0430374</v>
      </c>
      <c r="V645" s="7">
        <v>264.0430374</v>
      </c>
      <c r="AR645" s="15" t="s">
        <v>249</v>
      </c>
      <c r="AS645" s="15" t="s">
        <v>567</v>
      </c>
      <c r="AT645" s="15" t="s">
        <v>1010</v>
      </c>
      <c r="AU645" s="15"/>
      <c r="AV645" s="15"/>
      <c r="AW645" s="15"/>
      <c r="AX645" s="15"/>
      <c r="AY645" s="15"/>
      <c r="AZ645" s="18"/>
      <c r="BA645" s="19">
        <v>2.5000000000000001E-2</v>
      </c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9">
        <v>0.05</v>
      </c>
      <c r="BM645" s="18"/>
      <c r="BN645" s="18"/>
      <c r="BO645" s="18"/>
      <c r="BP645" s="18"/>
      <c r="BQ645" s="18"/>
      <c r="BR645" s="18"/>
      <c r="BS645" s="18"/>
      <c r="BT645" s="18"/>
      <c r="BU645" s="18"/>
    </row>
    <row r="646" spans="3:73" x14ac:dyDescent="0.45">
      <c r="C646" t="s">
        <v>328</v>
      </c>
      <c r="D646" t="s">
        <v>322</v>
      </c>
      <c r="E646" t="s">
        <v>309</v>
      </c>
      <c r="I646" t="s">
        <v>323</v>
      </c>
      <c r="J646" s="7"/>
      <c r="K646" s="7"/>
      <c r="L646" s="7">
        <v>1851.87</v>
      </c>
      <c r="M646" s="7">
        <v>1898.16</v>
      </c>
      <c r="N646" s="7">
        <v>1962.98</v>
      </c>
      <c r="O646" s="7">
        <v>2042.5</v>
      </c>
      <c r="P646" s="7">
        <v>2096.9699999999998</v>
      </c>
      <c r="Q646" s="7"/>
      <c r="R646" s="7">
        <v>1851.866667</v>
      </c>
      <c r="S646" s="7">
        <v>1898.163333</v>
      </c>
      <c r="T646" s="7">
        <v>1962.9786670000001</v>
      </c>
      <c r="U646" s="7">
        <v>2042.5</v>
      </c>
      <c r="V646" s="7">
        <v>2096.9666670000001</v>
      </c>
      <c r="AR646" s="15" t="s">
        <v>249</v>
      </c>
      <c r="AS646" s="15" t="s">
        <v>567</v>
      </c>
      <c r="AT646" s="15" t="s">
        <v>1011</v>
      </c>
      <c r="AU646" s="15"/>
      <c r="AV646" s="15"/>
      <c r="AW646" s="15"/>
      <c r="AX646" s="15"/>
      <c r="AY646" s="15"/>
      <c r="AZ646" s="18"/>
      <c r="BA646" s="19">
        <v>2.5000000000000001E-2</v>
      </c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9">
        <v>0.05</v>
      </c>
      <c r="BM646" s="18"/>
      <c r="BN646" s="18"/>
      <c r="BO646" s="18"/>
      <c r="BP646" s="18"/>
      <c r="BQ646" s="18"/>
      <c r="BR646" s="18"/>
      <c r="BS646" s="18"/>
      <c r="BT646" s="18"/>
      <c r="BU646" s="18"/>
    </row>
    <row r="647" spans="3:73" x14ac:dyDescent="0.45">
      <c r="C647" t="s">
        <v>328</v>
      </c>
      <c r="D647" t="s">
        <v>322</v>
      </c>
      <c r="E647" t="s">
        <v>310</v>
      </c>
      <c r="I647" t="s">
        <v>323</v>
      </c>
      <c r="J647" s="7"/>
      <c r="K647" s="7"/>
      <c r="L647" s="7">
        <v>6565.01</v>
      </c>
      <c r="M647" s="7">
        <v>3423.68</v>
      </c>
      <c r="N647" s="7">
        <v>2040.4</v>
      </c>
      <c r="O647" s="7">
        <v>2040.4</v>
      </c>
      <c r="P647" s="7">
        <v>2040.4</v>
      </c>
      <c r="Q647" s="7"/>
      <c r="R647" s="7">
        <v>6565.0101119999999</v>
      </c>
      <c r="S647" s="7">
        <v>3455.2448639999998</v>
      </c>
      <c r="T647" s="7">
        <v>2084.8753830000001</v>
      </c>
      <c r="U647" s="7">
        <v>2084.8753830000001</v>
      </c>
      <c r="V647" s="7">
        <v>2084.8753830000001</v>
      </c>
      <c r="AR647" s="15" t="s">
        <v>249</v>
      </c>
      <c r="AS647" s="15" t="s">
        <v>567</v>
      </c>
      <c r="AT647" s="15" t="s">
        <v>1012</v>
      </c>
      <c r="AU647" s="15"/>
      <c r="AV647" s="15"/>
      <c r="AW647" s="15"/>
      <c r="AX647" s="15"/>
      <c r="AY647" s="15"/>
      <c r="AZ647" s="18"/>
      <c r="BA647" s="19">
        <v>2.5000000000000001E-2</v>
      </c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9">
        <v>0.05</v>
      </c>
      <c r="BM647" s="18"/>
      <c r="BN647" s="18"/>
      <c r="BO647" s="18"/>
      <c r="BP647" s="18"/>
      <c r="BQ647" s="18"/>
      <c r="BR647" s="18"/>
      <c r="BS647" s="18"/>
      <c r="BT647" s="18"/>
      <c r="BU647" s="18"/>
    </row>
    <row r="648" spans="3:73" x14ac:dyDescent="0.45">
      <c r="C648" t="s">
        <v>328</v>
      </c>
      <c r="D648" t="s">
        <v>322</v>
      </c>
      <c r="E648" t="s">
        <v>311</v>
      </c>
      <c r="I648" t="s">
        <v>323</v>
      </c>
      <c r="J648" s="7"/>
      <c r="K648" s="7"/>
      <c r="L648" s="7">
        <v>7542.15</v>
      </c>
      <c r="M648" s="7">
        <v>4158.21</v>
      </c>
      <c r="N648" s="7">
        <v>3104.03</v>
      </c>
      <c r="O648" s="7">
        <v>2612.63</v>
      </c>
      <c r="P648" s="7">
        <v>2501.4</v>
      </c>
      <c r="Q648" s="7"/>
      <c r="R648" s="7">
        <v>7542.1452920000002</v>
      </c>
      <c r="S648" s="7">
        <v>4158.2148360000001</v>
      </c>
      <c r="T648" s="7">
        <v>3104.0293999999999</v>
      </c>
      <c r="U648" s="7">
        <v>2612.626886</v>
      </c>
      <c r="V648" s="7">
        <v>2501.4005379999999</v>
      </c>
      <c r="AR648" s="15" t="s">
        <v>249</v>
      </c>
      <c r="AS648" s="15" t="s">
        <v>567</v>
      </c>
      <c r="AT648" s="15" t="s">
        <v>1013</v>
      </c>
      <c r="AU648" s="15"/>
      <c r="AV648" s="15"/>
      <c r="AW648" s="15"/>
      <c r="AX648" s="15"/>
      <c r="AY648" s="15"/>
      <c r="AZ648" s="18"/>
      <c r="BA648" s="19">
        <v>2.5000000000000001E-2</v>
      </c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9">
        <v>0.05</v>
      </c>
      <c r="BM648" s="18"/>
      <c r="BN648" s="18"/>
      <c r="BO648" s="18"/>
      <c r="BP648" s="18"/>
      <c r="BQ648" s="18"/>
      <c r="BR648" s="18"/>
      <c r="BS648" s="18"/>
      <c r="BT648" s="18"/>
      <c r="BU648" s="18"/>
    </row>
    <row r="649" spans="3:73" x14ac:dyDescent="0.45">
      <c r="C649" t="s">
        <v>328</v>
      </c>
      <c r="D649" t="s">
        <v>322</v>
      </c>
      <c r="E649" t="s">
        <v>312</v>
      </c>
      <c r="I649" t="s">
        <v>323</v>
      </c>
      <c r="J649" s="7"/>
      <c r="K649" s="7"/>
      <c r="L649" s="7">
        <v>965.29</v>
      </c>
      <c r="M649" s="7"/>
      <c r="N649" s="7"/>
      <c r="O649" s="7"/>
      <c r="P649" s="7"/>
      <c r="Q649" s="7"/>
      <c r="R649" s="7">
        <v>965.29408179999996</v>
      </c>
      <c r="S649" s="7"/>
      <c r="T649" s="7"/>
      <c r="U649" s="7"/>
      <c r="V649" s="7"/>
      <c r="AR649" s="15" t="s">
        <v>249</v>
      </c>
      <c r="AS649" s="15" t="s">
        <v>567</v>
      </c>
      <c r="AT649" s="15" t="s">
        <v>1014</v>
      </c>
      <c r="AU649" s="15"/>
      <c r="AV649" s="15"/>
      <c r="AW649" s="15"/>
      <c r="AX649" s="15"/>
      <c r="AY649" s="15"/>
      <c r="AZ649" s="18"/>
      <c r="BA649" s="19">
        <v>2.5000000000000001E-2</v>
      </c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9">
        <v>0.05</v>
      </c>
      <c r="BM649" s="18"/>
      <c r="BN649" s="18"/>
      <c r="BO649" s="18"/>
      <c r="BP649" s="18"/>
      <c r="BQ649" s="18"/>
      <c r="BR649" s="18"/>
      <c r="BS649" s="18"/>
      <c r="BT649" s="18"/>
      <c r="BU649" s="18"/>
    </row>
    <row r="650" spans="3:73" x14ac:dyDescent="0.45">
      <c r="C650" t="s">
        <v>328</v>
      </c>
      <c r="D650" t="s">
        <v>322</v>
      </c>
      <c r="E650" t="s">
        <v>313</v>
      </c>
      <c r="I650" t="s">
        <v>323</v>
      </c>
      <c r="J650" s="7"/>
      <c r="K650" s="7"/>
      <c r="L650" s="7"/>
      <c r="M650" s="7">
        <v>3039.58</v>
      </c>
      <c r="N650" s="7">
        <v>1245.6600000000001</v>
      </c>
      <c r="O650" s="7">
        <v>1072.05</v>
      </c>
      <c r="P650" s="7">
        <v>1072.05</v>
      </c>
      <c r="Q650" s="7"/>
      <c r="R650" s="7"/>
      <c r="S650" s="7">
        <v>3076.969325</v>
      </c>
      <c r="T650" s="7">
        <v>1595.220724</v>
      </c>
      <c r="U650" s="7">
        <v>1071.7593999999999</v>
      </c>
      <c r="V650" s="7">
        <v>1071.7593999999999</v>
      </c>
      <c r="AR650" s="15" t="s">
        <v>249</v>
      </c>
      <c r="AS650" s="15" t="s">
        <v>567</v>
      </c>
      <c r="AT650" s="15" t="s">
        <v>1015</v>
      </c>
      <c r="AU650" s="15"/>
      <c r="AV650" s="15"/>
      <c r="AW650" s="15"/>
      <c r="AX650" s="15"/>
      <c r="AY650" s="15"/>
      <c r="AZ650" s="18"/>
      <c r="BA650" s="19">
        <v>2.5000000000000001E-2</v>
      </c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9">
        <v>0.05</v>
      </c>
      <c r="BM650" s="18"/>
      <c r="BN650" s="18"/>
      <c r="BO650" s="18"/>
      <c r="BP650" s="18"/>
      <c r="BQ650" s="18"/>
      <c r="BR650" s="18"/>
      <c r="BS650" s="18"/>
      <c r="BT650" s="18"/>
      <c r="BU650" s="18"/>
    </row>
    <row r="651" spans="3:73" x14ac:dyDescent="0.45">
      <c r="C651" t="s">
        <v>328</v>
      </c>
      <c r="D651" t="s">
        <v>322</v>
      </c>
      <c r="E651" t="s">
        <v>314</v>
      </c>
      <c r="I651" t="s">
        <v>323</v>
      </c>
      <c r="J651" s="7"/>
      <c r="K651" s="7"/>
      <c r="L651" s="7"/>
      <c r="M651" s="7">
        <v>2304.09</v>
      </c>
      <c r="N651" s="7">
        <v>1136.31</v>
      </c>
      <c r="O651" s="7">
        <v>666.85</v>
      </c>
      <c r="P651" s="7">
        <v>634.71</v>
      </c>
      <c r="Q651" s="7"/>
      <c r="R651" s="7"/>
      <c r="S651" s="7">
        <v>2307.2582419999999</v>
      </c>
      <c r="T651" s="7">
        <v>2140.7867959999999</v>
      </c>
      <c r="U651" s="7">
        <v>819.54217649999998</v>
      </c>
      <c r="V651" s="7">
        <v>675.35594379999998</v>
      </c>
      <c r="AR651" s="15" t="s">
        <v>249</v>
      </c>
      <c r="AS651" s="15" t="s">
        <v>567</v>
      </c>
      <c r="AT651" s="15" t="s">
        <v>1016</v>
      </c>
      <c r="AU651" s="15"/>
      <c r="AV651" s="15"/>
      <c r="AW651" s="15"/>
      <c r="AX651" s="15"/>
      <c r="AY651" s="15"/>
      <c r="AZ651" s="18"/>
      <c r="BA651" s="19">
        <v>2.5000000000000001E-2</v>
      </c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9">
        <v>0.05</v>
      </c>
      <c r="BM651" s="18"/>
      <c r="BN651" s="18"/>
      <c r="BO651" s="18"/>
      <c r="BP651" s="18"/>
      <c r="BQ651" s="18"/>
      <c r="BR651" s="18"/>
      <c r="BS651" s="18"/>
      <c r="BT651" s="18"/>
      <c r="BU651" s="18"/>
    </row>
    <row r="652" spans="3:73" x14ac:dyDescent="0.45">
      <c r="C652" t="s">
        <v>328</v>
      </c>
      <c r="D652" t="s">
        <v>322</v>
      </c>
      <c r="E652" t="s">
        <v>315</v>
      </c>
      <c r="I652" t="s">
        <v>323</v>
      </c>
      <c r="J652" s="7"/>
      <c r="K652" s="7"/>
      <c r="L652" s="7">
        <v>363.43</v>
      </c>
      <c r="M652" s="7">
        <v>368.42</v>
      </c>
      <c r="N652" s="7">
        <v>375.08</v>
      </c>
      <c r="O652" s="7">
        <v>383.4</v>
      </c>
      <c r="P652" s="7">
        <v>394.6</v>
      </c>
      <c r="Q652" s="7"/>
      <c r="R652" s="7">
        <v>363.4257824</v>
      </c>
      <c r="S652" s="7">
        <v>368.41876059999998</v>
      </c>
      <c r="T652" s="7">
        <v>375.07606479999998</v>
      </c>
      <c r="U652" s="7">
        <v>383.39769510000002</v>
      </c>
      <c r="V652" s="7">
        <v>394.6036532</v>
      </c>
      <c r="AR652" s="15" t="s">
        <v>249</v>
      </c>
      <c r="AS652" s="15" t="s">
        <v>567</v>
      </c>
      <c r="AT652" s="15" t="s">
        <v>1017</v>
      </c>
      <c r="AU652" s="15"/>
      <c r="AV652" s="15"/>
      <c r="AW652" s="15"/>
      <c r="AX652" s="15"/>
      <c r="AY652" s="15"/>
      <c r="AZ652" s="18"/>
      <c r="BA652" s="19">
        <v>2.5000000000000001E-2</v>
      </c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9">
        <v>0.05</v>
      </c>
      <c r="BM652" s="18"/>
      <c r="BN652" s="18"/>
      <c r="BO652" s="18"/>
      <c r="BP652" s="18"/>
      <c r="BQ652" s="18"/>
      <c r="BR652" s="18"/>
      <c r="BS652" s="18"/>
      <c r="BT652" s="18"/>
      <c r="BU652" s="18"/>
    </row>
    <row r="653" spans="3:73" x14ac:dyDescent="0.45">
      <c r="C653" t="s">
        <v>328</v>
      </c>
      <c r="D653" t="s">
        <v>322</v>
      </c>
      <c r="E653" t="s">
        <v>316</v>
      </c>
      <c r="I653" t="s">
        <v>323</v>
      </c>
      <c r="J653" s="7"/>
      <c r="K653" s="7"/>
      <c r="L653" s="7">
        <v>563.28</v>
      </c>
      <c r="M653" s="7">
        <v>536.36</v>
      </c>
      <c r="N653" s="7">
        <v>378.82</v>
      </c>
      <c r="O653" s="7">
        <v>378.82</v>
      </c>
      <c r="P653" s="7">
        <v>378.82</v>
      </c>
      <c r="Q653" s="7"/>
      <c r="R653" s="7">
        <v>563.27611109999998</v>
      </c>
      <c r="S653" s="7">
        <v>549.55551390000005</v>
      </c>
      <c r="T653" s="7">
        <v>413.47444419999999</v>
      </c>
      <c r="U653" s="7">
        <v>413.47444419999999</v>
      </c>
      <c r="V653" s="7">
        <v>413.47444419999999</v>
      </c>
      <c r="AR653" s="15" t="s">
        <v>249</v>
      </c>
      <c r="AS653" s="15" t="s">
        <v>567</v>
      </c>
      <c r="AT653" s="15" t="s">
        <v>1018</v>
      </c>
      <c r="AU653" s="15"/>
      <c r="AV653" s="15"/>
      <c r="AW653" s="15"/>
      <c r="AX653" s="15"/>
      <c r="AY653" s="15"/>
      <c r="AZ653" s="18"/>
      <c r="BA653" s="19">
        <v>2.5000000000000001E-2</v>
      </c>
      <c r="BB653" s="18"/>
      <c r="BC653" s="18"/>
      <c r="BD653" s="18"/>
      <c r="BE653" s="18"/>
      <c r="BF653" s="18"/>
      <c r="BG653" s="18"/>
      <c r="BH653" s="18"/>
      <c r="BI653" s="18"/>
      <c r="BJ653" s="18"/>
      <c r="BK653" s="18"/>
      <c r="BL653" s="19">
        <v>0.05</v>
      </c>
      <c r="BM653" s="18"/>
      <c r="BN653" s="18"/>
      <c r="BO653" s="18"/>
      <c r="BP653" s="18"/>
      <c r="BQ653" s="18"/>
      <c r="BR653" s="18"/>
      <c r="BS653" s="18"/>
      <c r="BT653" s="18"/>
      <c r="BU653" s="18"/>
    </row>
    <row r="654" spans="3:73" x14ac:dyDescent="0.45">
      <c r="C654" t="s">
        <v>328</v>
      </c>
      <c r="D654" t="s">
        <v>322</v>
      </c>
      <c r="E654" t="s">
        <v>317</v>
      </c>
      <c r="I654" t="s">
        <v>323</v>
      </c>
      <c r="J654" s="7"/>
      <c r="K654" s="7"/>
      <c r="L654" s="7">
        <v>748.66</v>
      </c>
      <c r="M654" s="7">
        <v>644.29999999999995</v>
      </c>
      <c r="N654" s="7">
        <v>537.66999999999996</v>
      </c>
      <c r="O654" s="7">
        <v>431.38</v>
      </c>
      <c r="P654" s="7">
        <v>408.55</v>
      </c>
      <c r="Q654" s="7"/>
      <c r="R654" s="7">
        <v>748.66000750000001</v>
      </c>
      <c r="S654" s="7">
        <v>644.29869440000004</v>
      </c>
      <c r="T654" s="7">
        <v>431.38474459999998</v>
      </c>
      <c r="U654" s="7">
        <v>431.38474459999998</v>
      </c>
      <c r="V654" s="7">
        <v>408.55235640000001</v>
      </c>
      <c r="AR654" s="15" t="s">
        <v>249</v>
      </c>
      <c r="AS654" s="15" t="s">
        <v>567</v>
      </c>
      <c r="AT654" s="15" t="s">
        <v>1019</v>
      </c>
      <c r="AU654" s="15"/>
      <c r="AV654" s="15"/>
      <c r="AW654" s="15"/>
      <c r="AX654" s="15"/>
      <c r="AY654" s="15"/>
      <c r="AZ654" s="18"/>
      <c r="BA654" s="19">
        <v>2.5000000000000001E-2</v>
      </c>
      <c r="BB654" s="18"/>
      <c r="BC654" s="18"/>
      <c r="BD654" s="18"/>
      <c r="BE654" s="18"/>
      <c r="BF654" s="18"/>
      <c r="BG654" s="18"/>
      <c r="BH654" s="18"/>
      <c r="BI654" s="18"/>
      <c r="BJ654" s="18"/>
      <c r="BK654" s="18"/>
      <c r="BL654" s="19">
        <v>0.05</v>
      </c>
      <c r="BM654" s="18"/>
      <c r="BN654" s="18"/>
      <c r="BO654" s="18"/>
      <c r="BP654" s="18"/>
      <c r="BQ654" s="18"/>
      <c r="BR654" s="18"/>
      <c r="BS654" s="18"/>
      <c r="BT654" s="18"/>
      <c r="BU654" s="18"/>
    </row>
    <row r="655" spans="3:73" x14ac:dyDescent="0.45">
      <c r="C655" t="s">
        <v>328</v>
      </c>
      <c r="D655" t="s">
        <v>324</v>
      </c>
      <c r="E655" t="s">
        <v>251</v>
      </c>
      <c r="I655" t="s">
        <v>323</v>
      </c>
      <c r="J655" s="7"/>
      <c r="K655" s="7"/>
      <c r="L655" s="7">
        <v>917.19</v>
      </c>
      <c r="M655" s="7"/>
      <c r="N655" s="7"/>
      <c r="O655" s="7"/>
      <c r="P655" s="7"/>
      <c r="Q655" s="7"/>
      <c r="R655" s="7">
        <v>917.19322629999999</v>
      </c>
      <c r="S655" s="7"/>
      <c r="T655" s="7"/>
      <c r="U655" s="7"/>
      <c r="V655" s="7"/>
      <c r="AR655" s="15" t="s">
        <v>249</v>
      </c>
      <c r="AS655" s="15" t="s">
        <v>567</v>
      </c>
      <c r="AT655" s="15" t="s">
        <v>1020</v>
      </c>
      <c r="AU655" s="15"/>
      <c r="AV655" s="15"/>
      <c r="AW655" s="15"/>
      <c r="AX655" s="15"/>
      <c r="AY655" s="15"/>
      <c r="AZ655" s="18"/>
      <c r="BA655" s="19">
        <v>2.5000000000000001E-2</v>
      </c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9">
        <v>0.05</v>
      </c>
      <c r="BM655" s="18"/>
      <c r="BN655" s="18"/>
      <c r="BO655" s="18"/>
      <c r="BP655" s="18"/>
      <c r="BQ655" s="18"/>
      <c r="BR655" s="18"/>
      <c r="BS655" s="18"/>
      <c r="BT655" s="18"/>
      <c r="BU655" s="18"/>
    </row>
    <row r="656" spans="3:73" x14ac:dyDescent="0.45">
      <c r="C656" t="s">
        <v>328</v>
      </c>
      <c r="D656" t="s">
        <v>324</v>
      </c>
      <c r="E656" t="s">
        <v>253</v>
      </c>
      <c r="I656" t="s">
        <v>323</v>
      </c>
      <c r="J656" s="7"/>
      <c r="K656" s="7"/>
      <c r="L656" s="7">
        <v>917.19</v>
      </c>
      <c r="M656" s="7"/>
      <c r="N656" s="7"/>
      <c r="O656" s="7"/>
      <c r="P656" s="7"/>
      <c r="Q656" s="7"/>
      <c r="R656" s="7">
        <v>917.19322629999999</v>
      </c>
      <c r="S656" s="7"/>
      <c r="T656" s="7"/>
      <c r="U656" s="7"/>
      <c r="V656" s="7"/>
      <c r="AR656" s="15" t="s">
        <v>249</v>
      </c>
      <c r="AS656" s="15" t="s">
        <v>567</v>
      </c>
      <c r="AT656" s="15" t="s">
        <v>1021</v>
      </c>
      <c r="AU656" s="15"/>
      <c r="AV656" s="15"/>
      <c r="AW656" s="15"/>
      <c r="AX656" s="15"/>
      <c r="AY656" s="15"/>
      <c r="AZ656" s="18"/>
      <c r="BA656" s="19">
        <v>2.5000000000000001E-2</v>
      </c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9">
        <v>0.05</v>
      </c>
      <c r="BM656" s="18"/>
      <c r="BN656" s="18"/>
      <c r="BO656" s="18"/>
      <c r="BP656" s="18"/>
      <c r="BQ656" s="18"/>
      <c r="BR656" s="18"/>
      <c r="BS656" s="18"/>
      <c r="BT656" s="18"/>
      <c r="BU656" s="18"/>
    </row>
    <row r="657" spans="3:73" x14ac:dyDescent="0.45">
      <c r="C657" t="s">
        <v>328</v>
      </c>
      <c r="D657" t="s">
        <v>324</v>
      </c>
      <c r="E657" t="s">
        <v>255</v>
      </c>
      <c r="I657" t="s">
        <v>323</v>
      </c>
      <c r="J657" s="7"/>
      <c r="K657" s="7"/>
      <c r="L657" s="7">
        <v>250</v>
      </c>
      <c r="M657" s="7"/>
      <c r="N657" s="7"/>
      <c r="O657" s="7"/>
      <c r="P657" s="7"/>
      <c r="Q657" s="7"/>
      <c r="R657" s="7">
        <v>250</v>
      </c>
      <c r="S657" s="7"/>
      <c r="T657" s="7"/>
      <c r="U657" s="7"/>
      <c r="V657" s="7"/>
      <c r="AR657" s="15" t="s">
        <v>249</v>
      </c>
      <c r="AS657" s="15" t="s">
        <v>567</v>
      </c>
      <c r="AT657" s="15" t="s">
        <v>1022</v>
      </c>
      <c r="AU657" s="15"/>
      <c r="AV657" s="15"/>
      <c r="AW657" s="15"/>
      <c r="AX657" s="15"/>
      <c r="AY657" s="15"/>
      <c r="AZ657" s="18"/>
      <c r="BA657" s="19">
        <v>2.5000000000000001E-2</v>
      </c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9">
        <v>0.05</v>
      </c>
      <c r="BM657" s="18"/>
      <c r="BN657" s="18"/>
      <c r="BO657" s="18"/>
      <c r="BP657" s="18"/>
      <c r="BQ657" s="18"/>
      <c r="BR657" s="18"/>
      <c r="BS657" s="18"/>
      <c r="BT657" s="18"/>
      <c r="BU657" s="18"/>
    </row>
    <row r="658" spans="3:73" x14ac:dyDescent="0.45">
      <c r="C658" t="s">
        <v>328</v>
      </c>
      <c r="D658" t="s">
        <v>324</v>
      </c>
      <c r="E658" t="s">
        <v>256</v>
      </c>
      <c r="I658" t="s">
        <v>323</v>
      </c>
      <c r="J658" s="7"/>
      <c r="K658" s="7"/>
      <c r="L658" s="7">
        <v>500</v>
      </c>
      <c r="M658" s="7"/>
      <c r="N658" s="7"/>
      <c r="O658" s="7"/>
      <c r="P658" s="7"/>
      <c r="Q658" s="7"/>
      <c r="R658" s="7">
        <v>500</v>
      </c>
      <c r="S658" s="7"/>
      <c r="T658" s="7"/>
      <c r="U658" s="7"/>
      <c r="V658" s="7"/>
      <c r="AR658" s="15" t="s">
        <v>249</v>
      </c>
      <c r="AS658" s="15" t="s">
        <v>567</v>
      </c>
      <c r="AT658" s="15" t="s">
        <v>1023</v>
      </c>
      <c r="AU658" s="15"/>
      <c r="AV658" s="15"/>
      <c r="AW658" s="15"/>
      <c r="AX658" s="15"/>
      <c r="AY658" s="15"/>
      <c r="AZ658" s="18"/>
      <c r="BA658" s="19">
        <v>2.5000000000000001E-2</v>
      </c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9">
        <v>0.05</v>
      </c>
      <c r="BM658" s="18"/>
      <c r="BN658" s="18"/>
      <c r="BO658" s="18"/>
      <c r="BP658" s="18"/>
      <c r="BQ658" s="18"/>
      <c r="BR658" s="18"/>
      <c r="BS658" s="18"/>
      <c r="BT658" s="18"/>
      <c r="BU658" s="18"/>
    </row>
    <row r="659" spans="3:73" x14ac:dyDescent="0.45">
      <c r="C659" t="s">
        <v>328</v>
      </c>
      <c r="D659" t="s">
        <v>324</v>
      </c>
      <c r="E659" t="s">
        <v>257</v>
      </c>
      <c r="I659" t="s">
        <v>323</v>
      </c>
      <c r="J659" s="7"/>
      <c r="K659" s="7"/>
      <c r="L659" s="7">
        <v>70.400000000000006</v>
      </c>
      <c r="M659" s="7"/>
      <c r="N659" s="7"/>
      <c r="O659" s="7"/>
      <c r="P659" s="7"/>
      <c r="Q659" s="7"/>
      <c r="R659" s="7">
        <v>70.396141889999996</v>
      </c>
      <c r="S659" s="7"/>
      <c r="T659" s="7"/>
      <c r="U659" s="7"/>
      <c r="V659" s="7"/>
      <c r="AR659" s="15" t="s">
        <v>249</v>
      </c>
      <c r="AS659" s="15" t="s">
        <v>567</v>
      </c>
      <c r="AT659" s="15" t="s">
        <v>1024</v>
      </c>
      <c r="AU659" s="15"/>
      <c r="AV659" s="15"/>
      <c r="AW659" s="15"/>
      <c r="AX659" s="15"/>
      <c r="AY659" s="15"/>
      <c r="AZ659" s="18"/>
      <c r="BA659" s="19">
        <v>2.5000000000000001E-2</v>
      </c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9">
        <v>0.05</v>
      </c>
      <c r="BM659" s="18"/>
      <c r="BN659" s="18"/>
      <c r="BO659" s="18"/>
      <c r="BP659" s="18"/>
      <c r="BQ659" s="18"/>
      <c r="BR659" s="18"/>
      <c r="BS659" s="18"/>
      <c r="BT659" s="18"/>
      <c r="BU659" s="18"/>
    </row>
    <row r="660" spans="3:73" x14ac:dyDescent="0.45">
      <c r="C660" t="s">
        <v>328</v>
      </c>
      <c r="D660" t="s">
        <v>324</v>
      </c>
      <c r="E660" t="s">
        <v>258</v>
      </c>
      <c r="I660" t="s">
        <v>323</v>
      </c>
      <c r="J660" s="7"/>
      <c r="K660" s="7"/>
      <c r="L660" s="7">
        <v>65.44</v>
      </c>
      <c r="M660" s="7"/>
      <c r="N660" s="7"/>
      <c r="O660" s="7">
        <v>46.49</v>
      </c>
      <c r="P660" s="7"/>
      <c r="Q660" s="7"/>
      <c r="R660" s="7">
        <v>65.43796571</v>
      </c>
      <c r="S660" s="7"/>
      <c r="T660" s="7"/>
      <c r="U660" s="7">
        <v>48.324291950000003</v>
      </c>
      <c r="V660" s="7"/>
      <c r="AR660" s="15" t="s">
        <v>249</v>
      </c>
      <c r="AS660" s="15" t="s">
        <v>567</v>
      </c>
      <c r="AT660" s="15" t="s">
        <v>1025</v>
      </c>
      <c r="AU660" s="15"/>
      <c r="AV660" s="15"/>
      <c r="AW660" s="15"/>
      <c r="AX660" s="15"/>
      <c r="AY660" s="15"/>
      <c r="AZ660" s="18"/>
      <c r="BA660" s="19">
        <v>2.5000000000000001E-2</v>
      </c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9">
        <v>0.05</v>
      </c>
      <c r="BM660" s="18"/>
      <c r="BN660" s="18"/>
      <c r="BO660" s="18"/>
      <c r="BP660" s="18"/>
      <c r="BQ660" s="18"/>
      <c r="BR660" s="18"/>
      <c r="BS660" s="18"/>
      <c r="BT660" s="18"/>
      <c r="BU660" s="18"/>
    </row>
    <row r="661" spans="3:73" x14ac:dyDescent="0.45">
      <c r="C661" t="s">
        <v>328</v>
      </c>
      <c r="D661" t="s">
        <v>324</v>
      </c>
      <c r="E661" t="s">
        <v>259</v>
      </c>
      <c r="I661" t="s">
        <v>323</v>
      </c>
      <c r="J661" s="7"/>
      <c r="K661" s="7"/>
      <c r="L661" s="7">
        <v>71.34</v>
      </c>
      <c r="M661" s="7"/>
      <c r="N661" s="7"/>
      <c r="O661" s="7"/>
      <c r="P661" s="7"/>
      <c r="Q661" s="7"/>
      <c r="R661" s="7">
        <v>71.343269989999996</v>
      </c>
      <c r="S661" s="7"/>
      <c r="T661" s="7"/>
      <c r="U661" s="7"/>
      <c r="V661" s="7"/>
      <c r="AR661" s="15" t="s">
        <v>249</v>
      </c>
      <c r="AS661" s="15" t="s">
        <v>567</v>
      </c>
      <c r="AT661" s="15" t="s">
        <v>1026</v>
      </c>
      <c r="AU661" s="15"/>
      <c r="AV661" s="15"/>
      <c r="AW661" s="15"/>
      <c r="AX661" s="15"/>
      <c r="AY661" s="15"/>
      <c r="AZ661" s="18"/>
      <c r="BA661" s="19">
        <v>2.5000000000000001E-2</v>
      </c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9">
        <v>0.05</v>
      </c>
      <c r="BM661" s="18"/>
      <c r="BN661" s="18"/>
      <c r="BO661" s="18"/>
      <c r="BP661" s="18"/>
      <c r="BQ661" s="18"/>
      <c r="BR661" s="18"/>
      <c r="BS661" s="18"/>
      <c r="BT661" s="18"/>
      <c r="BU661" s="18"/>
    </row>
    <row r="662" spans="3:73" x14ac:dyDescent="0.45">
      <c r="C662" t="s">
        <v>328</v>
      </c>
      <c r="D662" t="s">
        <v>324</v>
      </c>
      <c r="E662" t="s">
        <v>260</v>
      </c>
      <c r="I662" t="s">
        <v>323</v>
      </c>
      <c r="J662" s="7"/>
      <c r="K662" s="7"/>
      <c r="L662" s="7">
        <v>38.61</v>
      </c>
      <c r="M662" s="7"/>
      <c r="N662" s="7"/>
      <c r="O662" s="7"/>
      <c r="P662" s="7"/>
      <c r="Q662" s="7"/>
      <c r="R662" s="7">
        <v>38.611763269999997</v>
      </c>
      <c r="S662" s="7"/>
      <c r="T662" s="7"/>
      <c r="U662" s="7"/>
      <c r="V662" s="7"/>
      <c r="AR662" s="15" t="s">
        <v>249</v>
      </c>
      <c r="AS662" s="15" t="s">
        <v>567</v>
      </c>
      <c r="AT662" s="15" t="s">
        <v>1027</v>
      </c>
      <c r="AU662" s="15"/>
      <c r="AV662" s="15"/>
      <c r="AW662" s="15"/>
      <c r="AX662" s="15"/>
      <c r="AY662" s="15"/>
      <c r="AZ662" s="18"/>
      <c r="BA662" s="19">
        <v>2.5000000000000001E-2</v>
      </c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9">
        <v>0.05</v>
      </c>
      <c r="BM662" s="18"/>
      <c r="BN662" s="18"/>
      <c r="BO662" s="18"/>
      <c r="BP662" s="18"/>
      <c r="BQ662" s="18"/>
      <c r="BR662" s="18"/>
      <c r="BS662" s="18"/>
      <c r="BT662" s="18"/>
      <c r="BU662" s="18"/>
    </row>
    <row r="663" spans="3:73" x14ac:dyDescent="0.45">
      <c r="C663" t="s">
        <v>328</v>
      </c>
      <c r="D663" t="s">
        <v>324</v>
      </c>
      <c r="E663" t="s">
        <v>261</v>
      </c>
      <c r="I663" t="s">
        <v>323</v>
      </c>
      <c r="J663" s="7"/>
      <c r="K663" s="7"/>
      <c r="L663" s="7">
        <v>57.07</v>
      </c>
      <c r="M663" s="7"/>
      <c r="N663" s="7">
        <v>28.54</v>
      </c>
      <c r="O663" s="7"/>
      <c r="P663" s="7"/>
      <c r="Q663" s="7"/>
      <c r="R663" s="7">
        <v>57.071275049999997</v>
      </c>
      <c r="S663" s="7"/>
      <c r="T663" s="7">
        <v>28.535637529999999</v>
      </c>
      <c r="U663" s="7"/>
      <c r="V663" s="7"/>
      <c r="AR663" s="15" t="s">
        <v>249</v>
      </c>
      <c r="AS663" s="15" t="s">
        <v>567</v>
      </c>
      <c r="AT663" s="15" t="s">
        <v>1028</v>
      </c>
      <c r="AU663" s="15"/>
      <c r="AV663" s="15"/>
      <c r="AW663" s="15"/>
      <c r="AX663" s="15"/>
      <c r="AY663" s="15"/>
      <c r="AZ663" s="18"/>
      <c r="BA663" s="19">
        <v>2.5000000000000001E-2</v>
      </c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9">
        <v>0.05</v>
      </c>
      <c r="BM663" s="18"/>
      <c r="BN663" s="18"/>
      <c r="BO663" s="18"/>
      <c r="BP663" s="18"/>
      <c r="BQ663" s="18"/>
      <c r="BR663" s="18"/>
      <c r="BS663" s="18"/>
      <c r="BT663" s="18"/>
      <c r="BU663" s="18"/>
    </row>
    <row r="664" spans="3:73" x14ac:dyDescent="0.45">
      <c r="C664" t="s">
        <v>328</v>
      </c>
      <c r="D664" t="s">
        <v>324</v>
      </c>
      <c r="E664" t="s">
        <v>262</v>
      </c>
      <c r="I664" t="s">
        <v>323</v>
      </c>
      <c r="J664" s="7"/>
      <c r="K664" s="7"/>
      <c r="L664" s="7">
        <v>34.75</v>
      </c>
      <c r="M664" s="7"/>
      <c r="N664" s="7"/>
      <c r="O664" s="7"/>
      <c r="P664" s="7"/>
      <c r="Q664" s="7"/>
      <c r="R664" s="7">
        <v>34.750586939999998</v>
      </c>
      <c r="S664" s="7"/>
      <c r="T664" s="7"/>
      <c r="U664" s="7"/>
      <c r="V664" s="7"/>
      <c r="AR664" s="15" t="s">
        <v>249</v>
      </c>
      <c r="AS664" s="15" t="s">
        <v>567</v>
      </c>
      <c r="AT664" s="15" t="s">
        <v>1029</v>
      </c>
      <c r="AU664" s="15"/>
      <c r="AV664" s="15"/>
      <c r="AW664" s="15"/>
      <c r="AX664" s="15"/>
      <c r="AY664" s="15"/>
      <c r="AZ664" s="18"/>
      <c r="BA664" s="19">
        <v>2.5000000000000001E-2</v>
      </c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9">
        <v>0.05</v>
      </c>
      <c r="BM664" s="18"/>
      <c r="BN664" s="18"/>
      <c r="BO664" s="18"/>
      <c r="BP664" s="18"/>
      <c r="BQ664" s="18"/>
      <c r="BR664" s="18"/>
      <c r="BS664" s="18"/>
      <c r="BT664" s="18"/>
      <c r="BU664" s="18"/>
    </row>
    <row r="665" spans="3:73" x14ac:dyDescent="0.45">
      <c r="C665" t="s">
        <v>328</v>
      </c>
      <c r="D665" t="s">
        <v>324</v>
      </c>
      <c r="E665" t="s">
        <v>263</v>
      </c>
      <c r="I665" t="s">
        <v>323</v>
      </c>
      <c r="J665" s="7"/>
      <c r="K665" s="7"/>
      <c r="L665" s="7">
        <v>11.88</v>
      </c>
      <c r="M665" s="7"/>
      <c r="N665" s="7"/>
      <c r="O665" s="7"/>
      <c r="P665" s="7"/>
      <c r="Q665" s="7"/>
      <c r="R665" s="7">
        <v>11.87981166</v>
      </c>
      <c r="S665" s="7"/>
      <c r="T665" s="7"/>
      <c r="U665" s="7"/>
      <c r="V665" s="7"/>
      <c r="AR665" s="15" t="s">
        <v>249</v>
      </c>
      <c r="AS665" s="15" t="s">
        <v>567</v>
      </c>
      <c r="AT665" s="15" t="s">
        <v>1030</v>
      </c>
      <c r="AU665" s="15"/>
      <c r="AV665" s="15"/>
      <c r="AW665" s="15"/>
      <c r="AX665" s="15"/>
      <c r="AY665" s="15"/>
      <c r="AZ665" s="18"/>
      <c r="BA665" s="19">
        <v>2.5000000000000001E-2</v>
      </c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9">
        <v>0.05</v>
      </c>
      <c r="BM665" s="18"/>
      <c r="BN665" s="18"/>
      <c r="BO665" s="18"/>
      <c r="BP665" s="18"/>
      <c r="BQ665" s="18"/>
      <c r="BR665" s="18"/>
      <c r="BS665" s="18"/>
      <c r="BT665" s="18"/>
      <c r="BU665" s="18"/>
    </row>
    <row r="666" spans="3:73" x14ac:dyDescent="0.45">
      <c r="C666" t="s">
        <v>328</v>
      </c>
      <c r="D666" t="s">
        <v>324</v>
      </c>
      <c r="E666" t="s">
        <v>264</v>
      </c>
      <c r="I666" t="s">
        <v>323</v>
      </c>
      <c r="J666" s="7"/>
      <c r="K666" s="7"/>
      <c r="L666" s="7">
        <v>10.53</v>
      </c>
      <c r="M666" s="7"/>
      <c r="N666" s="7"/>
      <c r="O666" s="7">
        <v>8.43</v>
      </c>
      <c r="P666" s="7"/>
      <c r="Q666" s="7"/>
      <c r="R666" s="7">
        <v>10.52998122</v>
      </c>
      <c r="S666" s="7"/>
      <c r="T666" s="7"/>
      <c r="U666" s="7">
        <v>9.0149809019999996</v>
      </c>
      <c r="V666" s="7"/>
      <c r="AR666" s="15" t="s">
        <v>249</v>
      </c>
      <c r="AS666" s="15" t="s">
        <v>567</v>
      </c>
      <c r="AT666" s="15" t="s">
        <v>1031</v>
      </c>
      <c r="AU666" s="15"/>
      <c r="AV666" s="15"/>
      <c r="AW666" s="15"/>
      <c r="AX666" s="15"/>
      <c r="AY666" s="15"/>
      <c r="AZ666" s="18"/>
      <c r="BA666" s="19">
        <v>2.5000000000000001E-2</v>
      </c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9">
        <v>0.05</v>
      </c>
      <c r="BM666" s="18"/>
      <c r="BN666" s="18"/>
      <c r="BO666" s="18"/>
      <c r="BP666" s="18"/>
      <c r="BQ666" s="18"/>
      <c r="BR666" s="18"/>
      <c r="BS666" s="18"/>
      <c r="BT666" s="18"/>
      <c r="BU666" s="18"/>
    </row>
    <row r="667" spans="3:73" x14ac:dyDescent="0.45">
      <c r="C667" t="s">
        <v>328</v>
      </c>
      <c r="D667" t="s">
        <v>324</v>
      </c>
      <c r="E667" t="s">
        <v>265</v>
      </c>
      <c r="I667" t="s">
        <v>323</v>
      </c>
      <c r="J667" s="7"/>
      <c r="K667" s="7"/>
      <c r="L667" s="7">
        <v>13.06</v>
      </c>
      <c r="M667" s="7"/>
      <c r="N667" s="7"/>
      <c r="O667" s="7"/>
      <c r="P667" s="7"/>
      <c r="Q667" s="7"/>
      <c r="R667" s="7">
        <v>13.06071596</v>
      </c>
      <c r="S667" s="7"/>
      <c r="T667" s="7"/>
      <c r="U667" s="7"/>
      <c r="V667" s="7"/>
      <c r="AR667" s="15" t="s">
        <v>249</v>
      </c>
      <c r="AS667" s="15" t="s">
        <v>567</v>
      </c>
      <c r="AT667" s="15" t="s">
        <v>1032</v>
      </c>
      <c r="AU667" s="15"/>
      <c r="AV667" s="15"/>
      <c r="AW667" s="15"/>
      <c r="AX667" s="15"/>
      <c r="AY667" s="15"/>
      <c r="AZ667" s="18"/>
      <c r="BA667" s="19">
        <v>2.5000000000000001E-2</v>
      </c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9">
        <v>0.05</v>
      </c>
      <c r="BM667" s="18"/>
      <c r="BN667" s="18"/>
      <c r="BO667" s="18"/>
      <c r="BP667" s="18"/>
      <c r="BQ667" s="18"/>
      <c r="BR667" s="18"/>
      <c r="BS667" s="18"/>
      <c r="BT667" s="18"/>
      <c r="BU667" s="18"/>
    </row>
    <row r="668" spans="3:73" x14ac:dyDescent="0.45">
      <c r="C668" t="s">
        <v>328</v>
      </c>
      <c r="D668" t="s">
        <v>324</v>
      </c>
      <c r="E668" t="s">
        <v>266</v>
      </c>
      <c r="I668" t="s">
        <v>323</v>
      </c>
      <c r="J668" s="7"/>
      <c r="K668" s="7"/>
      <c r="L668" s="7">
        <v>21.6</v>
      </c>
      <c r="M668" s="7"/>
      <c r="N668" s="7"/>
      <c r="O668" s="7"/>
      <c r="P668" s="7"/>
      <c r="Q668" s="7"/>
      <c r="R668" s="7">
        <v>21.595994860000001</v>
      </c>
      <c r="S668" s="7"/>
      <c r="T668" s="7"/>
      <c r="U668" s="7"/>
      <c r="V668" s="7"/>
      <c r="AR668" s="15" t="s">
        <v>249</v>
      </c>
      <c r="AS668" s="15" t="s">
        <v>567</v>
      </c>
      <c r="AT668" s="15" t="s">
        <v>1033</v>
      </c>
      <c r="AU668" s="15"/>
      <c r="AV668" s="15"/>
      <c r="AW668" s="15"/>
      <c r="AX668" s="15"/>
      <c r="AY668" s="15"/>
      <c r="AZ668" s="18"/>
      <c r="BA668" s="19">
        <v>2.5000000000000001E-2</v>
      </c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9">
        <v>0.05</v>
      </c>
      <c r="BM668" s="18"/>
      <c r="BN668" s="18"/>
      <c r="BO668" s="18"/>
      <c r="BP668" s="18"/>
      <c r="BQ668" s="18"/>
      <c r="BR668" s="18"/>
      <c r="BS668" s="18"/>
      <c r="BT668" s="18"/>
      <c r="BU668" s="18"/>
    </row>
    <row r="669" spans="3:73" x14ac:dyDescent="0.45">
      <c r="C669" t="s">
        <v>328</v>
      </c>
      <c r="D669" t="s">
        <v>324</v>
      </c>
      <c r="E669" t="s">
        <v>267</v>
      </c>
      <c r="I669" t="s">
        <v>323</v>
      </c>
      <c r="J669" s="7"/>
      <c r="K669" s="7"/>
      <c r="L669" s="7">
        <v>21.6</v>
      </c>
      <c r="M669" s="7"/>
      <c r="N669" s="7"/>
      <c r="O669" s="7"/>
      <c r="P669" s="7"/>
      <c r="Q669" s="7"/>
      <c r="R669" s="7">
        <v>21.595994860000001</v>
      </c>
      <c r="S669" s="7"/>
      <c r="T669" s="7"/>
      <c r="U669" s="7"/>
      <c r="V669" s="7"/>
      <c r="AR669" s="15" t="s">
        <v>249</v>
      </c>
      <c r="AS669" s="15" t="s">
        <v>567</v>
      </c>
      <c r="AT669" s="15" t="s">
        <v>1034</v>
      </c>
      <c r="AU669" s="15"/>
      <c r="AV669" s="15"/>
      <c r="AW669" s="15"/>
      <c r="AX669" s="15"/>
      <c r="AY669" s="15"/>
      <c r="AZ669" s="18"/>
      <c r="BA669" s="19">
        <v>2.5000000000000001E-2</v>
      </c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9">
        <v>0.05</v>
      </c>
      <c r="BM669" s="18"/>
      <c r="BN669" s="18"/>
      <c r="BO669" s="18"/>
      <c r="BP669" s="18"/>
      <c r="BQ669" s="18"/>
      <c r="BR669" s="18"/>
      <c r="BS669" s="18"/>
      <c r="BT669" s="18"/>
      <c r="BU669" s="18"/>
    </row>
    <row r="670" spans="3:73" x14ac:dyDescent="0.45">
      <c r="C670" t="s">
        <v>328</v>
      </c>
      <c r="D670" t="s">
        <v>324</v>
      </c>
      <c r="E670" t="s">
        <v>268</v>
      </c>
      <c r="I670" t="s">
        <v>323</v>
      </c>
      <c r="J670" s="7"/>
      <c r="K670" s="7"/>
      <c r="L670" s="7">
        <v>46.65</v>
      </c>
      <c r="M670" s="7"/>
      <c r="N670" s="7"/>
      <c r="O670" s="7"/>
      <c r="P670" s="7"/>
      <c r="Q670" s="7"/>
      <c r="R670" s="7">
        <v>46.646350929999997</v>
      </c>
      <c r="S670" s="7"/>
      <c r="T670" s="7"/>
      <c r="U670" s="7"/>
      <c r="V670" s="7"/>
      <c r="AR670" s="15" t="s">
        <v>249</v>
      </c>
      <c r="AS670" s="15" t="s">
        <v>567</v>
      </c>
      <c r="AT670" s="15" t="s">
        <v>1035</v>
      </c>
      <c r="AU670" s="15"/>
      <c r="AV670" s="15"/>
      <c r="AW670" s="15"/>
      <c r="AX670" s="15"/>
      <c r="AY670" s="15"/>
      <c r="AZ670" s="18"/>
      <c r="BA670" s="19">
        <v>2.5000000000000001E-2</v>
      </c>
      <c r="BB670" s="18"/>
      <c r="BC670" s="18"/>
      <c r="BD670" s="18"/>
      <c r="BE670" s="18"/>
      <c r="BF670" s="18"/>
      <c r="BG670" s="18"/>
      <c r="BH670" s="18"/>
      <c r="BI670" s="18"/>
      <c r="BJ670" s="18"/>
      <c r="BK670" s="18"/>
      <c r="BL670" s="19">
        <v>0.05</v>
      </c>
      <c r="BM670" s="18"/>
      <c r="BN670" s="18"/>
      <c r="BO670" s="18"/>
      <c r="BP670" s="18"/>
      <c r="BQ670" s="18"/>
      <c r="BR670" s="18"/>
      <c r="BS670" s="18"/>
      <c r="BT670" s="18"/>
      <c r="BU670" s="18"/>
    </row>
    <row r="671" spans="3:73" x14ac:dyDescent="0.45">
      <c r="C671" t="s">
        <v>328</v>
      </c>
      <c r="D671" t="s">
        <v>324</v>
      </c>
      <c r="E671" t="s">
        <v>269</v>
      </c>
      <c r="I671" t="s">
        <v>323</v>
      </c>
      <c r="J671" s="7"/>
      <c r="K671" s="7"/>
      <c r="L671" s="7">
        <v>28.71</v>
      </c>
      <c r="M671" s="7"/>
      <c r="N671" s="7"/>
      <c r="O671" s="7"/>
      <c r="P671" s="7"/>
      <c r="Q671" s="7"/>
      <c r="R671" s="7">
        <v>28.705102870000001</v>
      </c>
      <c r="S671" s="7"/>
      <c r="T671" s="7"/>
      <c r="U671" s="7"/>
      <c r="V671" s="7"/>
      <c r="AR671" s="15" t="s">
        <v>249</v>
      </c>
      <c r="AS671" s="15" t="s">
        <v>567</v>
      </c>
      <c r="AT671" s="15" t="s">
        <v>1036</v>
      </c>
      <c r="AU671" s="15"/>
      <c r="AV671" s="15"/>
      <c r="AW671" s="15"/>
      <c r="AX671" s="15"/>
      <c r="AY671" s="15"/>
      <c r="AZ671" s="18"/>
      <c r="BA671" s="19">
        <v>2.5000000000000001E-2</v>
      </c>
      <c r="BB671" s="18"/>
      <c r="BC671" s="18"/>
      <c r="BD671" s="18"/>
      <c r="BE671" s="18"/>
      <c r="BF671" s="18"/>
      <c r="BG671" s="18"/>
      <c r="BH671" s="18"/>
      <c r="BI671" s="18"/>
      <c r="BJ671" s="18"/>
      <c r="BK671" s="18"/>
      <c r="BL671" s="19">
        <v>0.05</v>
      </c>
      <c r="BM671" s="18"/>
      <c r="BN671" s="18"/>
      <c r="BO671" s="18"/>
      <c r="BP671" s="18"/>
      <c r="BQ671" s="18"/>
      <c r="BR671" s="18"/>
      <c r="BS671" s="18"/>
      <c r="BT671" s="18"/>
      <c r="BU671" s="18"/>
    </row>
    <row r="672" spans="3:73" x14ac:dyDescent="0.45">
      <c r="C672" t="s">
        <v>328</v>
      </c>
      <c r="D672" t="s">
        <v>324</v>
      </c>
      <c r="E672" t="s">
        <v>270</v>
      </c>
      <c r="I672" t="s">
        <v>323</v>
      </c>
      <c r="J672" s="7"/>
      <c r="K672" s="7"/>
      <c r="L672" s="7">
        <v>36</v>
      </c>
      <c r="M672" s="7"/>
      <c r="N672" s="7"/>
      <c r="O672" s="7"/>
      <c r="P672" s="7"/>
      <c r="Q672" s="7"/>
      <c r="R672" s="7">
        <v>35.99820064</v>
      </c>
      <c r="S672" s="7"/>
      <c r="T672" s="7"/>
      <c r="U672" s="7"/>
      <c r="V672" s="7"/>
      <c r="AR672" s="15" t="s">
        <v>249</v>
      </c>
      <c r="AS672" s="15" t="s">
        <v>567</v>
      </c>
      <c r="AT672" s="15" t="s">
        <v>1037</v>
      </c>
      <c r="AU672" s="15"/>
      <c r="AV672" s="15"/>
      <c r="AW672" s="15"/>
      <c r="AX672" s="15"/>
      <c r="AY672" s="15"/>
      <c r="AZ672" s="18"/>
      <c r="BA672" s="19">
        <v>2.5000000000000001E-2</v>
      </c>
      <c r="BB672" s="18"/>
      <c r="BC672" s="18"/>
      <c r="BD672" s="18"/>
      <c r="BE672" s="18"/>
      <c r="BF672" s="18"/>
      <c r="BG672" s="18"/>
      <c r="BH672" s="18"/>
      <c r="BI672" s="18"/>
      <c r="BJ672" s="18"/>
      <c r="BK672" s="18"/>
      <c r="BL672" s="19">
        <v>0.05</v>
      </c>
      <c r="BM672" s="18"/>
      <c r="BN672" s="18"/>
      <c r="BO672" s="18"/>
      <c r="BP672" s="18"/>
      <c r="BQ672" s="18"/>
      <c r="BR672" s="18"/>
      <c r="BS672" s="18"/>
      <c r="BT672" s="18"/>
      <c r="BU672" s="18"/>
    </row>
    <row r="673" spans="3:73" x14ac:dyDescent="0.45">
      <c r="C673" t="s">
        <v>328</v>
      </c>
      <c r="D673" t="s">
        <v>324</v>
      </c>
      <c r="E673" t="s">
        <v>271</v>
      </c>
      <c r="I673" t="s">
        <v>323</v>
      </c>
      <c r="J673" s="7"/>
      <c r="K673" s="7"/>
      <c r="L673" s="7">
        <v>24.54</v>
      </c>
      <c r="M673" s="7"/>
      <c r="N673" s="7"/>
      <c r="O673" s="7"/>
      <c r="P673" s="7"/>
      <c r="Q673" s="7"/>
      <c r="R673" s="7">
        <v>24.544002819999999</v>
      </c>
      <c r="S673" s="7"/>
      <c r="T673" s="7"/>
      <c r="U673" s="7"/>
      <c r="V673" s="7"/>
      <c r="AR673" s="15" t="s">
        <v>249</v>
      </c>
      <c r="AS673" s="15" t="s">
        <v>567</v>
      </c>
      <c r="AT673" s="15" t="s">
        <v>1038</v>
      </c>
      <c r="AU673" s="15"/>
      <c r="AV673" s="15"/>
      <c r="AW673" s="15"/>
      <c r="AX673" s="15"/>
      <c r="AY673" s="15"/>
      <c r="AZ673" s="18"/>
      <c r="BA673" s="19">
        <v>2.5000000000000001E-2</v>
      </c>
      <c r="BB673" s="18"/>
      <c r="BC673" s="18"/>
      <c r="BD673" s="18"/>
      <c r="BE673" s="18"/>
      <c r="BF673" s="18"/>
      <c r="BG673" s="18"/>
      <c r="BH673" s="18"/>
      <c r="BI673" s="18"/>
      <c r="BJ673" s="18"/>
      <c r="BK673" s="18"/>
      <c r="BL673" s="19">
        <v>0.05</v>
      </c>
      <c r="BM673" s="18"/>
      <c r="BN673" s="18"/>
      <c r="BO673" s="18"/>
      <c r="BP673" s="18"/>
      <c r="BQ673" s="18"/>
      <c r="BR673" s="18"/>
      <c r="BS673" s="18"/>
      <c r="BT673" s="18"/>
      <c r="BU673" s="18"/>
    </row>
    <row r="674" spans="3:73" x14ac:dyDescent="0.45">
      <c r="C674" t="s">
        <v>328</v>
      </c>
      <c r="D674" t="s">
        <v>324</v>
      </c>
      <c r="E674" t="s">
        <v>272</v>
      </c>
      <c r="I674" t="s">
        <v>323</v>
      </c>
      <c r="J674" s="7"/>
      <c r="K674" s="7"/>
      <c r="L674" s="7">
        <v>22.92</v>
      </c>
      <c r="M674" s="7"/>
      <c r="N674" s="7"/>
      <c r="O674" s="7"/>
      <c r="P674" s="7"/>
      <c r="Q674" s="7"/>
      <c r="R674" s="7">
        <v>22.917236719999998</v>
      </c>
      <c r="S674" s="7"/>
      <c r="T674" s="7"/>
      <c r="U674" s="7"/>
      <c r="V674" s="7"/>
      <c r="AR674" s="15" t="s">
        <v>249</v>
      </c>
      <c r="AS674" s="15" t="s">
        <v>567</v>
      </c>
      <c r="AT674" s="15" t="s">
        <v>1039</v>
      </c>
      <c r="AU674" s="15"/>
      <c r="AV674" s="15"/>
      <c r="AW674" s="15"/>
      <c r="AX674" s="15"/>
      <c r="AY674" s="15"/>
      <c r="AZ674" s="18"/>
      <c r="BA674" s="19">
        <v>2.5000000000000001E-2</v>
      </c>
      <c r="BB674" s="18"/>
      <c r="BC674" s="18"/>
      <c r="BD674" s="18"/>
      <c r="BE674" s="18"/>
      <c r="BF674" s="18"/>
      <c r="BG674" s="18"/>
      <c r="BH674" s="18"/>
      <c r="BI674" s="18"/>
      <c r="BJ674" s="18"/>
      <c r="BK674" s="18"/>
      <c r="BL674" s="19">
        <v>0.05</v>
      </c>
      <c r="BM674" s="18"/>
      <c r="BN674" s="18"/>
      <c r="BO674" s="18"/>
      <c r="BP674" s="18"/>
      <c r="BQ674" s="18"/>
      <c r="BR674" s="18"/>
      <c r="BS674" s="18"/>
      <c r="BT674" s="18"/>
      <c r="BU674" s="18"/>
    </row>
    <row r="675" spans="3:73" x14ac:dyDescent="0.45">
      <c r="C675" t="s">
        <v>328</v>
      </c>
      <c r="D675" t="s">
        <v>324</v>
      </c>
      <c r="E675" t="s">
        <v>274</v>
      </c>
      <c r="I675" t="s">
        <v>323</v>
      </c>
      <c r="J675" s="7"/>
      <c r="K675" s="7">
        <v>0.1</v>
      </c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AR675" s="15" t="s">
        <v>249</v>
      </c>
      <c r="AS675" s="15" t="s">
        <v>567</v>
      </c>
      <c r="AT675" s="15" t="s">
        <v>1040</v>
      </c>
      <c r="AU675" s="15"/>
      <c r="AV675" s="15"/>
      <c r="AW675" s="15"/>
      <c r="AX675" s="15"/>
      <c r="AY675" s="15"/>
      <c r="AZ675" s="18"/>
      <c r="BA675" s="19">
        <v>2.5000000000000001E-2</v>
      </c>
      <c r="BB675" s="18"/>
      <c r="BC675" s="18"/>
      <c r="BD675" s="18"/>
      <c r="BE675" s="18"/>
      <c r="BF675" s="18"/>
      <c r="BG675" s="18"/>
      <c r="BH675" s="18"/>
      <c r="BI675" s="18"/>
      <c r="BJ675" s="18"/>
      <c r="BK675" s="18"/>
      <c r="BL675" s="19">
        <v>0.05</v>
      </c>
      <c r="BM675" s="18"/>
      <c r="BN675" s="18"/>
      <c r="BO675" s="18"/>
      <c r="BP675" s="18"/>
      <c r="BQ675" s="18"/>
      <c r="BR675" s="18"/>
      <c r="BS675" s="18"/>
      <c r="BT675" s="18"/>
      <c r="BU675" s="18"/>
    </row>
    <row r="676" spans="3:73" x14ac:dyDescent="0.45">
      <c r="C676" t="s">
        <v>328</v>
      </c>
      <c r="D676" t="s">
        <v>324</v>
      </c>
      <c r="E676" t="s">
        <v>278</v>
      </c>
      <c r="I676" t="s">
        <v>323</v>
      </c>
      <c r="J676" s="7"/>
      <c r="K676" s="7"/>
      <c r="L676" s="7">
        <v>32.222066460000001</v>
      </c>
      <c r="M676" s="7"/>
      <c r="N676" s="7"/>
      <c r="O676" s="7"/>
      <c r="P676" s="7"/>
      <c r="Q676" s="7"/>
      <c r="R676" s="7">
        <v>32.222066460000001</v>
      </c>
      <c r="S676" s="7"/>
      <c r="T676" s="7"/>
      <c r="U676" s="7"/>
      <c r="V676" s="7"/>
      <c r="AR676" s="15" t="s">
        <v>249</v>
      </c>
      <c r="AS676" s="15" t="s">
        <v>567</v>
      </c>
      <c r="AT676" s="15" t="s">
        <v>1041</v>
      </c>
      <c r="AU676" s="15"/>
      <c r="AV676" s="15"/>
      <c r="AW676" s="15"/>
      <c r="AX676" s="15"/>
      <c r="AY676" s="15"/>
      <c r="AZ676" s="18"/>
      <c r="BA676" s="19">
        <v>2.5000000000000001E-2</v>
      </c>
      <c r="BB676" s="18"/>
      <c r="BC676" s="18"/>
      <c r="BD676" s="18"/>
      <c r="BE676" s="18"/>
      <c r="BF676" s="18"/>
      <c r="BG676" s="18"/>
      <c r="BH676" s="18"/>
      <c r="BI676" s="18"/>
      <c r="BJ676" s="18"/>
      <c r="BK676" s="18"/>
      <c r="BL676" s="19">
        <v>0.05</v>
      </c>
      <c r="BM676" s="18"/>
      <c r="BN676" s="18"/>
      <c r="BO676" s="18"/>
      <c r="BP676" s="18"/>
      <c r="BQ676" s="18"/>
      <c r="BR676" s="18"/>
      <c r="BS676" s="18"/>
      <c r="BT676" s="18"/>
      <c r="BU676" s="18"/>
    </row>
    <row r="677" spans="3:73" x14ac:dyDescent="0.45">
      <c r="C677" t="s">
        <v>328</v>
      </c>
      <c r="D677" t="s">
        <v>324</v>
      </c>
      <c r="E677" t="s">
        <v>279</v>
      </c>
      <c r="I677" t="s">
        <v>323</v>
      </c>
      <c r="J677" s="7"/>
      <c r="K677" s="7"/>
      <c r="L677" s="7">
        <v>11.906698</v>
      </c>
      <c r="M677" s="7"/>
      <c r="N677" s="7"/>
      <c r="O677" s="7"/>
      <c r="P677" s="7"/>
      <c r="Q677" s="7"/>
      <c r="R677" s="7">
        <v>11.906698</v>
      </c>
      <c r="S677" s="7"/>
      <c r="T677" s="7"/>
      <c r="U677" s="7"/>
      <c r="V677" s="7"/>
      <c r="AR677" s="15" t="s">
        <v>249</v>
      </c>
      <c r="AS677" s="15" t="s">
        <v>567</v>
      </c>
      <c r="AT677" s="15" t="s">
        <v>1042</v>
      </c>
      <c r="AU677" s="15"/>
      <c r="AV677" s="15"/>
      <c r="AW677" s="15"/>
      <c r="AX677" s="15"/>
      <c r="AY677" s="15"/>
      <c r="AZ677" s="18"/>
      <c r="BA677" s="19">
        <v>2.5000000000000001E-2</v>
      </c>
      <c r="BB677" s="18"/>
      <c r="BC677" s="18"/>
      <c r="BD677" s="18"/>
      <c r="BE677" s="18"/>
      <c r="BF677" s="18"/>
      <c r="BG677" s="18"/>
      <c r="BH677" s="18"/>
      <c r="BI677" s="18"/>
      <c r="BJ677" s="18"/>
      <c r="BK677" s="18"/>
      <c r="BL677" s="19">
        <v>0.05</v>
      </c>
      <c r="BM677" s="18"/>
      <c r="BN677" s="18"/>
      <c r="BO677" s="18"/>
      <c r="BP677" s="18"/>
      <c r="BQ677" s="18"/>
      <c r="BR677" s="18"/>
      <c r="BS677" s="18"/>
      <c r="BT677" s="18"/>
      <c r="BU677" s="18"/>
    </row>
    <row r="678" spans="3:73" x14ac:dyDescent="0.45">
      <c r="C678" t="s">
        <v>328</v>
      </c>
      <c r="D678" t="s">
        <v>324</v>
      </c>
      <c r="E678" t="s">
        <v>280</v>
      </c>
      <c r="I678" t="s">
        <v>323</v>
      </c>
      <c r="J678" s="7"/>
      <c r="K678" s="7"/>
      <c r="L678" s="7">
        <v>28.99985981</v>
      </c>
      <c r="M678" s="7"/>
      <c r="N678" s="7"/>
      <c r="O678" s="7"/>
      <c r="P678" s="7"/>
      <c r="Q678" s="7"/>
      <c r="R678" s="7">
        <v>28.99985981</v>
      </c>
      <c r="S678" s="7"/>
      <c r="T678" s="7"/>
      <c r="U678" s="7"/>
      <c r="V678" s="7"/>
      <c r="AR678" s="15" t="s">
        <v>249</v>
      </c>
      <c r="AS678" s="15" t="s">
        <v>567</v>
      </c>
      <c r="AT678" s="15" t="s">
        <v>1043</v>
      </c>
      <c r="AU678" s="15"/>
      <c r="AV678" s="15"/>
      <c r="AW678" s="15"/>
      <c r="AX678" s="15"/>
      <c r="AY678" s="15"/>
      <c r="AZ678" s="18"/>
      <c r="BA678" s="19">
        <v>2.5000000000000001E-2</v>
      </c>
      <c r="BB678" s="18"/>
      <c r="BC678" s="18"/>
      <c r="BD678" s="18"/>
      <c r="BE678" s="18"/>
      <c r="BF678" s="18"/>
      <c r="BG678" s="18"/>
      <c r="BH678" s="18"/>
      <c r="BI678" s="18"/>
      <c r="BJ678" s="18"/>
      <c r="BK678" s="18"/>
      <c r="BL678" s="19">
        <v>0.05</v>
      </c>
      <c r="BM678" s="18"/>
      <c r="BN678" s="18"/>
      <c r="BO678" s="18"/>
      <c r="BP678" s="18"/>
      <c r="BQ678" s="18"/>
      <c r="BR678" s="18"/>
      <c r="BS678" s="18"/>
      <c r="BT678" s="18"/>
      <c r="BU678" s="18"/>
    </row>
    <row r="679" spans="3:73" x14ac:dyDescent="0.45">
      <c r="C679" t="s">
        <v>328</v>
      </c>
      <c r="D679" t="s">
        <v>324</v>
      </c>
      <c r="E679" t="s">
        <v>281</v>
      </c>
      <c r="I679" t="s">
        <v>323</v>
      </c>
      <c r="J679" s="7"/>
      <c r="K679" s="7"/>
      <c r="L679" s="7">
        <v>50.94642709</v>
      </c>
      <c r="M679" s="7"/>
      <c r="N679" s="7"/>
      <c r="O679" s="7"/>
      <c r="P679" s="7"/>
      <c r="Q679" s="7"/>
      <c r="R679" s="7">
        <v>50.94642709</v>
      </c>
      <c r="S679" s="7"/>
      <c r="T679" s="7"/>
      <c r="U679" s="7"/>
      <c r="V679" s="7"/>
      <c r="AR679" s="15" t="s">
        <v>249</v>
      </c>
      <c r="AS679" s="15" t="s">
        <v>567</v>
      </c>
      <c r="AT679" s="15" t="s">
        <v>1044</v>
      </c>
      <c r="AU679" s="15"/>
      <c r="AV679" s="15"/>
      <c r="AW679" s="15"/>
      <c r="AX679" s="15"/>
      <c r="AY679" s="15"/>
      <c r="AZ679" s="18"/>
      <c r="BA679" s="19">
        <v>2.5000000000000001E-2</v>
      </c>
      <c r="BB679" s="18"/>
      <c r="BC679" s="18"/>
      <c r="BD679" s="18"/>
      <c r="BE679" s="18"/>
      <c r="BF679" s="18"/>
      <c r="BG679" s="18"/>
      <c r="BH679" s="18"/>
      <c r="BI679" s="18"/>
      <c r="BJ679" s="18"/>
      <c r="BK679" s="18"/>
      <c r="BL679" s="19">
        <v>0.05</v>
      </c>
      <c r="BM679" s="18"/>
      <c r="BN679" s="18"/>
      <c r="BO679" s="18"/>
      <c r="BP679" s="18"/>
      <c r="BQ679" s="18"/>
      <c r="BR679" s="18"/>
      <c r="BS679" s="18"/>
      <c r="BT679" s="18"/>
      <c r="BU679" s="18"/>
    </row>
    <row r="680" spans="3:73" x14ac:dyDescent="0.45">
      <c r="C680" t="s">
        <v>328</v>
      </c>
      <c r="D680" t="s">
        <v>324</v>
      </c>
      <c r="E680" t="s">
        <v>282</v>
      </c>
      <c r="I680" t="s">
        <v>323</v>
      </c>
      <c r="J680" s="7"/>
      <c r="K680" s="7"/>
      <c r="L680" s="7">
        <v>18.825723740000001</v>
      </c>
      <c r="M680" s="7"/>
      <c r="N680" s="7"/>
      <c r="O680" s="7"/>
      <c r="P680" s="7"/>
      <c r="Q680" s="7"/>
      <c r="R680" s="7">
        <v>18.825723740000001</v>
      </c>
      <c r="S680" s="7"/>
      <c r="T680" s="7"/>
      <c r="U680" s="7"/>
      <c r="V680" s="7"/>
      <c r="AR680" s="15" t="s">
        <v>249</v>
      </c>
      <c r="AS680" s="15" t="s">
        <v>567</v>
      </c>
      <c r="AT680" s="15" t="s">
        <v>1045</v>
      </c>
      <c r="AU680" s="15"/>
      <c r="AV680" s="15"/>
      <c r="AW680" s="15"/>
      <c r="AX680" s="15"/>
      <c r="AY680" s="15"/>
      <c r="AZ680" s="18"/>
      <c r="BA680" s="19">
        <v>2.5000000000000001E-2</v>
      </c>
      <c r="BB680" s="18"/>
      <c r="BC680" s="18"/>
      <c r="BD680" s="18"/>
      <c r="BE680" s="18"/>
      <c r="BF680" s="18"/>
      <c r="BG680" s="18"/>
      <c r="BH680" s="18"/>
      <c r="BI680" s="18"/>
      <c r="BJ680" s="18"/>
      <c r="BK680" s="18"/>
      <c r="BL680" s="19">
        <v>0.05</v>
      </c>
      <c r="BM680" s="18"/>
      <c r="BN680" s="18"/>
      <c r="BO680" s="18"/>
      <c r="BP680" s="18"/>
      <c r="BQ680" s="18"/>
      <c r="BR680" s="18"/>
      <c r="BS680" s="18"/>
      <c r="BT680" s="18"/>
      <c r="BU680" s="18"/>
    </row>
    <row r="681" spans="3:73" x14ac:dyDescent="0.45">
      <c r="C681" t="s">
        <v>328</v>
      </c>
      <c r="D681" t="s">
        <v>324</v>
      </c>
      <c r="E681" t="s">
        <v>283</v>
      </c>
      <c r="I681" t="s">
        <v>323</v>
      </c>
      <c r="J681" s="7"/>
      <c r="K681" s="7"/>
      <c r="L681" s="7">
        <v>45.851784379999998</v>
      </c>
      <c r="M681" s="7"/>
      <c r="N681" s="7"/>
      <c r="O681" s="7"/>
      <c r="P681" s="7"/>
      <c r="Q681" s="7"/>
      <c r="R681" s="7">
        <v>45.851784379999998</v>
      </c>
      <c r="S681" s="7"/>
      <c r="T681" s="7"/>
      <c r="U681" s="7"/>
      <c r="V681" s="7"/>
      <c r="AR681" s="15" t="s">
        <v>249</v>
      </c>
      <c r="AS681" s="15" t="s">
        <v>567</v>
      </c>
      <c r="AT681" s="15" t="s">
        <v>1046</v>
      </c>
      <c r="AU681" s="15"/>
      <c r="AV681" s="15"/>
      <c r="AW681" s="15"/>
      <c r="AX681" s="15"/>
      <c r="AY681" s="15"/>
      <c r="AZ681" s="18"/>
      <c r="BA681" s="19">
        <v>2.5000000000000001E-2</v>
      </c>
      <c r="BB681" s="18"/>
      <c r="BC681" s="18"/>
      <c r="BD681" s="18"/>
      <c r="BE681" s="18"/>
      <c r="BF681" s="18"/>
      <c r="BG681" s="18"/>
      <c r="BH681" s="18"/>
      <c r="BI681" s="18"/>
      <c r="BJ681" s="18"/>
      <c r="BK681" s="18"/>
      <c r="BL681" s="19">
        <v>0.05</v>
      </c>
      <c r="BM681" s="18"/>
      <c r="BN681" s="18"/>
      <c r="BO681" s="18"/>
      <c r="BP681" s="18"/>
      <c r="BQ681" s="18"/>
      <c r="BR681" s="18"/>
      <c r="BS681" s="18"/>
      <c r="BT681" s="18"/>
      <c r="BU681" s="18"/>
    </row>
    <row r="682" spans="3:73" x14ac:dyDescent="0.45">
      <c r="C682" t="s">
        <v>328</v>
      </c>
      <c r="D682" t="s">
        <v>324</v>
      </c>
      <c r="E682" t="s">
        <v>285</v>
      </c>
      <c r="I682" t="s">
        <v>323</v>
      </c>
      <c r="J682" s="7"/>
      <c r="K682" s="7"/>
      <c r="L682" s="7">
        <v>917.19</v>
      </c>
      <c r="M682" s="7"/>
      <c r="N682" s="7"/>
      <c r="O682" s="7"/>
      <c r="P682" s="7"/>
      <c r="Q682" s="7"/>
      <c r="R682" s="7">
        <v>917.19322629999999</v>
      </c>
      <c r="S682" s="7"/>
      <c r="T682" s="7"/>
      <c r="U682" s="7"/>
      <c r="V682" s="7"/>
      <c r="AR682" s="15" t="s">
        <v>249</v>
      </c>
      <c r="AS682" s="15" t="s">
        <v>567</v>
      </c>
      <c r="AT682" s="15" t="s">
        <v>1047</v>
      </c>
      <c r="AU682" s="15"/>
      <c r="AV682" s="15"/>
      <c r="AW682" s="15"/>
      <c r="AX682" s="15"/>
      <c r="AY682" s="15"/>
      <c r="AZ682" s="18"/>
      <c r="BA682" s="19">
        <v>2.5000000000000001E-2</v>
      </c>
      <c r="BB682" s="18"/>
      <c r="BC682" s="18"/>
      <c r="BD682" s="18"/>
      <c r="BE682" s="18"/>
      <c r="BF682" s="18"/>
      <c r="BG682" s="18"/>
      <c r="BH682" s="18"/>
      <c r="BI682" s="18"/>
      <c r="BJ682" s="18"/>
      <c r="BK682" s="18"/>
      <c r="BL682" s="19">
        <v>0.05</v>
      </c>
      <c r="BM682" s="18"/>
      <c r="BN682" s="18"/>
      <c r="BO682" s="18"/>
      <c r="BP682" s="18"/>
      <c r="BQ682" s="18"/>
      <c r="BR682" s="18"/>
      <c r="BS682" s="18"/>
      <c r="BT682" s="18"/>
      <c r="BU682" s="18"/>
    </row>
    <row r="683" spans="3:73" x14ac:dyDescent="0.45">
      <c r="C683" t="s">
        <v>328</v>
      </c>
      <c r="D683" t="s">
        <v>324</v>
      </c>
      <c r="E683" t="s">
        <v>286</v>
      </c>
      <c r="I683" t="s">
        <v>323</v>
      </c>
      <c r="J683" s="7"/>
      <c r="K683" s="7"/>
      <c r="L683" s="7">
        <v>917.19</v>
      </c>
      <c r="M683" s="7"/>
      <c r="N683" s="7"/>
      <c r="O683" s="7"/>
      <c r="P683" s="7"/>
      <c r="Q683" s="7"/>
      <c r="R683" s="7">
        <v>917.19322629999999</v>
      </c>
      <c r="S683" s="7"/>
      <c r="T683" s="7"/>
      <c r="U683" s="7"/>
      <c r="V683" s="7"/>
      <c r="AR683" s="15" t="s">
        <v>249</v>
      </c>
      <c r="AS683" s="15" t="s">
        <v>567</v>
      </c>
      <c r="AT683" s="15" t="s">
        <v>1048</v>
      </c>
      <c r="AU683" s="15"/>
      <c r="AV683" s="15"/>
      <c r="AW683" s="15"/>
      <c r="AX683" s="15"/>
      <c r="AY683" s="15"/>
      <c r="AZ683" s="18"/>
      <c r="BA683" s="19">
        <v>2.5000000000000001E-2</v>
      </c>
      <c r="BB683" s="18"/>
      <c r="BC683" s="18"/>
      <c r="BD683" s="18"/>
      <c r="BE683" s="18"/>
      <c r="BF683" s="18"/>
      <c r="BG683" s="18"/>
      <c r="BH683" s="18"/>
      <c r="BI683" s="18"/>
      <c r="BJ683" s="18"/>
      <c r="BK683" s="18"/>
      <c r="BL683" s="19">
        <v>0.05</v>
      </c>
      <c r="BM683" s="18"/>
      <c r="BN683" s="18"/>
      <c r="BO683" s="18"/>
      <c r="BP683" s="18"/>
      <c r="BQ683" s="18"/>
      <c r="BR683" s="18"/>
      <c r="BS683" s="18"/>
      <c r="BT683" s="18"/>
      <c r="BU683" s="18"/>
    </row>
    <row r="684" spans="3:73" x14ac:dyDescent="0.45">
      <c r="C684" t="s">
        <v>328</v>
      </c>
      <c r="D684" t="s">
        <v>324</v>
      </c>
      <c r="E684" t="s">
        <v>288</v>
      </c>
      <c r="I684" t="s">
        <v>323</v>
      </c>
      <c r="J684" s="7"/>
      <c r="K684" s="7"/>
      <c r="L684" s="7">
        <v>70.400000000000006</v>
      </c>
      <c r="M684" s="7"/>
      <c r="N684" s="7"/>
      <c r="O684" s="7"/>
      <c r="P684" s="7"/>
      <c r="Q684" s="7"/>
      <c r="R684" s="7">
        <v>70.396141889999996</v>
      </c>
      <c r="S684" s="7"/>
      <c r="T684" s="7"/>
      <c r="U684" s="7"/>
      <c r="V684" s="7"/>
      <c r="AR684" s="15" t="s">
        <v>249</v>
      </c>
      <c r="AS684" s="15" t="s">
        <v>567</v>
      </c>
      <c r="AT684" s="15" t="s">
        <v>1049</v>
      </c>
      <c r="AU684" s="15"/>
      <c r="AV684" s="15"/>
      <c r="AW684" s="15"/>
      <c r="AX684" s="15"/>
      <c r="AY684" s="15"/>
      <c r="AZ684" s="18"/>
      <c r="BA684" s="19">
        <v>2.5000000000000001E-2</v>
      </c>
      <c r="BB684" s="18"/>
      <c r="BC684" s="18"/>
      <c r="BD684" s="18"/>
      <c r="BE684" s="18"/>
      <c r="BF684" s="18"/>
      <c r="BG684" s="18"/>
      <c r="BH684" s="18"/>
      <c r="BI684" s="18"/>
      <c r="BJ684" s="18"/>
      <c r="BK684" s="18"/>
      <c r="BL684" s="19">
        <v>0.05</v>
      </c>
      <c r="BM684" s="18"/>
      <c r="BN684" s="18"/>
      <c r="BO684" s="18"/>
      <c r="BP684" s="18"/>
      <c r="BQ684" s="18"/>
      <c r="BR684" s="18"/>
      <c r="BS684" s="18"/>
      <c r="BT684" s="18"/>
      <c r="BU684" s="18"/>
    </row>
    <row r="685" spans="3:73" x14ac:dyDescent="0.45">
      <c r="C685" t="s">
        <v>328</v>
      </c>
      <c r="D685" t="s">
        <v>324</v>
      </c>
      <c r="E685" t="s">
        <v>289</v>
      </c>
      <c r="I685" t="s">
        <v>323</v>
      </c>
      <c r="J685" s="7"/>
      <c r="K685" s="7"/>
      <c r="L685" s="7">
        <v>65.44</v>
      </c>
      <c r="M685" s="7"/>
      <c r="N685" s="7"/>
      <c r="O685" s="7">
        <v>46.49</v>
      </c>
      <c r="P685" s="7"/>
      <c r="Q685" s="7"/>
      <c r="R685" s="7">
        <v>65.43796571</v>
      </c>
      <c r="S685" s="7"/>
      <c r="T685" s="7"/>
      <c r="U685" s="7">
        <v>48.324291950000003</v>
      </c>
      <c r="V685" s="7"/>
      <c r="AR685" s="15" t="s">
        <v>249</v>
      </c>
      <c r="AS685" s="15" t="s">
        <v>567</v>
      </c>
      <c r="AT685" s="15" t="s">
        <v>1050</v>
      </c>
      <c r="AU685" s="15"/>
      <c r="AV685" s="15"/>
      <c r="AW685" s="15"/>
      <c r="AX685" s="15"/>
      <c r="AY685" s="15"/>
      <c r="AZ685" s="18"/>
      <c r="BA685" s="19">
        <v>2.5000000000000001E-2</v>
      </c>
      <c r="BB685" s="18"/>
      <c r="BC685" s="18"/>
      <c r="BD685" s="18"/>
      <c r="BE685" s="18"/>
      <c r="BF685" s="18"/>
      <c r="BG685" s="18"/>
      <c r="BH685" s="18"/>
      <c r="BI685" s="18"/>
      <c r="BJ685" s="18"/>
      <c r="BK685" s="18"/>
      <c r="BL685" s="19">
        <v>0.05</v>
      </c>
      <c r="BM685" s="18"/>
      <c r="BN685" s="18"/>
      <c r="BO685" s="18"/>
      <c r="BP685" s="18"/>
      <c r="BQ685" s="18"/>
      <c r="BR685" s="18"/>
      <c r="BS685" s="18"/>
      <c r="BT685" s="18"/>
      <c r="BU685" s="18"/>
    </row>
    <row r="686" spans="3:73" x14ac:dyDescent="0.45">
      <c r="C686" t="s">
        <v>328</v>
      </c>
      <c r="D686" t="s">
        <v>324</v>
      </c>
      <c r="E686" t="s">
        <v>290</v>
      </c>
      <c r="I686" t="s">
        <v>323</v>
      </c>
      <c r="J686" s="7"/>
      <c r="K686" s="7"/>
      <c r="L686" s="7">
        <v>71.34</v>
      </c>
      <c r="M686" s="7"/>
      <c r="N686" s="7"/>
      <c r="O686" s="7"/>
      <c r="P686" s="7"/>
      <c r="Q686" s="7"/>
      <c r="R686" s="7">
        <v>71.343269989999996</v>
      </c>
      <c r="S686" s="7"/>
      <c r="T686" s="7"/>
      <c r="U686" s="7"/>
      <c r="V686" s="7"/>
      <c r="AR686" s="15" t="s">
        <v>249</v>
      </c>
      <c r="AS686" s="15" t="s">
        <v>567</v>
      </c>
      <c r="AT686" s="15" t="s">
        <v>1051</v>
      </c>
      <c r="AU686" s="15"/>
      <c r="AV686" s="15"/>
      <c r="AW686" s="15"/>
      <c r="AX686" s="15"/>
      <c r="AY686" s="15"/>
      <c r="AZ686" s="18"/>
      <c r="BA686" s="19">
        <v>2.5000000000000001E-2</v>
      </c>
      <c r="BB686" s="18"/>
      <c r="BC686" s="18"/>
      <c r="BD686" s="18"/>
      <c r="BE686" s="18"/>
      <c r="BF686" s="18"/>
      <c r="BG686" s="18"/>
      <c r="BH686" s="18"/>
      <c r="BI686" s="18"/>
      <c r="BJ686" s="18"/>
      <c r="BK686" s="18"/>
      <c r="BL686" s="19">
        <v>0.05</v>
      </c>
      <c r="BM686" s="18"/>
      <c r="BN686" s="18"/>
      <c r="BO686" s="18"/>
      <c r="BP686" s="18"/>
      <c r="BQ686" s="18"/>
      <c r="BR686" s="18"/>
      <c r="BS686" s="18"/>
      <c r="BT686" s="18"/>
      <c r="BU686" s="18"/>
    </row>
    <row r="687" spans="3:73" x14ac:dyDescent="0.45">
      <c r="C687" t="s">
        <v>328</v>
      </c>
      <c r="D687" t="s">
        <v>324</v>
      </c>
      <c r="E687" t="s">
        <v>291</v>
      </c>
      <c r="I687" t="s">
        <v>323</v>
      </c>
      <c r="J687" s="7"/>
      <c r="K687" s="7"/>
      <c r="L687" s="7">
        <v>62.4</v>
      </c>
      <c r="M687" s="7"/>
      <c r="N687" s="7"/>
      <c r="O687" s="7"/>
      <c r="P687" s="7"/>
      <c r="Q687" s="7"/>
      <c r="R687" s="7">
        <v>62.40284973</v>
      </c>
      <c r="S687" s="7"/>
      <c r="T687" s="7"/>
      <c r="U687" s="7"/>
      <c r="V687" s="7"/>
      <c r="AR687" s="15" t="s">
        <v>249</v>
      </c>
      <c r="AS687" s="15" t="s">
        <v>567</v>
      </c>
      <c r="AT687" s="15" t="s">
        <v>1052</v>
      </c>
      <c r="AU687" s="15"/>
      <c r="AV687" s="15"/>
      <c r="AW687" s="15"/>
      <c r="AX687" s="15"/>
      <c r="AY687" s="15"/>
      <c r="AZ687" s="18"/>
      <c r="BA687" s="19">
        <v>2.5000000000000001E-2</v>
      </c>
      <c r="BB687" s="18"/>
      <c r="BC687" s="18"/>
      <c r="BD687" s="18"/>
      <c r="BE687" s="18"/>
      <c r="BF687" s="18"/>
      <c r="BG687" s="18"/>
      <c r="BH687" s="18"/>
      <c r="BI687" s="18"/>
      <c r="BJ687" s="18"/>
      <c r="BK687" s="18"/>
      <c r="BL687" s="19">
        <v>0.05</v>
      </c>
      <c r="BM687" s="18"/>
      <c r="BN687" s="18"/>
      <c r="BO687" s="18"/>
      <c r="BP687" s="18"/>
      <c r="BQ687" s="18"/>
      <c r="BR687" s="18"/>
      <c r="BS687" s="18"/>
      <c r="BT687" s="18"/>
      <c r="BU687" s="18"/>
    </row>
    <row r="688" spans="3:73" x14ac:dyDescent="0.45">
      <c r="C688" t="s">
        <v>328</v>
      </c>
      <c r="D688" t="s">
        <v>324</v>
      </c>
      <c r="E688" t="s">
        <v>292</v>
      </c>
      <c r="I688" t="s">
        <v>323</v>
      </c>
      <c r="J688" s="7"/>
      <c r="K688" s="7"/>
      <c r="L688" s="7">
        <v>138.35</v>
      </c>
      <c r="M688" s="7"/>
      <c r="N688" s="7">
        <v>69.180000000000007</v>
      </c>
      <c r="O688" s="7"/>
      <c r="P688" s="7"/>
      <c r="Q688" s="7"/>
      <c r="R688" s="7">
        <v>138.35460620000001</v>
      </c>
      <c r="S688" s="7"/>
      <c r="T688" s="7">
        <v>69.177303100000003</v>
      </c>
      <c r="U688" s="7"/>
      <c r="V688" s="7"/>
      <c r="AR688" s="15" t="s">
        <v>249</v>
      </c>
      <c r="AS688" s="15" t="s">
        <v>567</v>
      </c>
      <c r="AT688" s="15" t="s">
        <v>1053</v>
      </c>
      <c r="AU688" s="15"/>
      <c r="AV688" s="15"/>
      <c r="AW688" s="15"/>
      <c r="AX688" s="15"/>
      <c r="AY688" s="15"/>
      <c r="AZ688" s="18"/>
      <c r="BA688" s="19">
        <v>2.5000000000000001E-2</v>
      </c>
      <c r="BB688" s="18"/>
      <c r="BC688" s="18"/>
      <c r="BD688" s="18"/>
      <c r="BE688" s="18"/>
      <c r="BF688" s="18"/>
      <c r="BG688" s="18"/>
      <c r="BH688" s="18"/>
      <c r="BI688" s="18"/>
      <c r="BJ688" s="18"/>
      <c r="BK688" s="18"/>
      <c r="BL688" s="19">
        <v>0.05</v>
      </c>
      <c r="BM688" s="18"/>
      <c r="BN688" s="18"/>
      <c r="BO688" s="18"/>
      <c r="BP688" s="18"/>
      <c r="BQ688" s="18"/>
      <c r="BR688" s="18"/>
      <c r="BS688" s="18"/>
      <c r="BT688" s="18"/>
      <c r="BU688" s="18"/>
    </row>
    <row r="689" spans="3:73" x14ac:dyDescent="0.45">
      <c r="C689" t="s">
        <v>328</v>
      </c>
      <c r="D689" t="s">
        <v>324</v>
      </c>
      <c r="E689" t="s">
        <v>293</v>
      </c>
      <c r="I689" t="s">
        <v>323</v>
      </c>
      <c r="J689" s="7"/>
      <c r="K689" s="7"/>
      <c r="L689" s="7">
        <v>56.16</v>
      </c>
      <c r="M689" s="7"/>
      <c r="N689" s="7"/>
      <c r="O689" s="7"/>
      <c r="P689" s="7"/>
      <c r="Q689" s="7"/>
      <c r="R689" s="7">
        <v>56.162564760000002</v>
      </c>
      <c r="S689" s="7"/>
      <c r="T689" s="7"/>
      <c r="U689" s="7"/>
      <c r="V689" s="7"/>
      <c r="AR689" s="15" t="s">
        <v>249</v>
      </c>
      <c r="AS689" s="15" t="s">
        <v>567</v>
      </c>
      <c r="AT689" s="15" t="s">
        <v>1054</v>
      </c>
      <c r="AU689" s="15"/>
      <c r="AV689" s="15"/>
      <c r="AW689" s="15"/>
      <c r="AX689" s="15"/>
      <c r="AY689" s="15"/>
      <c r="AZ689" s="18"/>
      <c r="BA689" s="19">
        <v>2.5000000000000001E-2</v>
      </c>
      <c r="BB689" s="18"/>
      <c r="BC689" s="18"/>
      <c r="BD689" s="18"/>
      <c r="BE689" s="18"/>
      <c r="BF689" s="18"/>
      <c r="BG689" s="18"/>
      <c r="BH689" s="18"/>
      <c r="BI689" s="18"/>
      <c r="BJ689" s="18"/>
      <c r="BK689" s="18"/>
      <c r="BL689" s="19">
        <v>0.05</v>
      </c>
      <c r="BM689" s="18"/>
      <c r="BN689" s="18"/>
      <c r="BO689" s="18"/>
      <c r="BP689" s="18"/>
      <c r="BQ689" s="18"/>
      <c r="BR689" s="18"/>
      <c r="BS689" s="18"/>
      <c r="BT689" s="18"/>
      <c r="BU689" s="18"/>
    </row>
    <row r="690" spans="3:73" x14ac:dyDescent="0.45">
      <c r="C690" t="s">
        <v>328</v>
      </c>
      <c r="D690" t="s">
        <v>324</v>
      </c>
      <c r="E690" t="s">
        <v>294</v>
      </c>
      <c r="I690" t="s">
        <v>323</v>
      </c>
      <c r="J690" s="7"/>
      <c r="K690" s="7"/>
      <c r="L690" s="7">
        <v>11.88</v>
      </c>
      <c r="M690" s="7"/>
      <c r="N690" s="7"/>
      <c r="O690" s="7"/>
      <c r="P690" s="7"/>
      <c r="Q690" s="7"/>
      <c r="R690" s="7">
        <v>11.87981166</v>
      </c>
      <c r="S690" s="7"/>
      <c r="T690" s="7"/>
      <c r="U690" s="7"/>
      <c r="V690" s="7"/>
      <c r="AR690" s="15" t="s">
        <v>249</v>
      </c>
      <c r="AS690" s="15" t="s">
        <v>567</v>
      </c>
      <c r="AT690" s="15" t="s">
        <v>1055</v>
      </c>
      <c r="AU690" s="15"/>
      <c r="AV690" s="15"/>
      <c r="AW690" s="15"/>
      <c r="AX690" s="15"/>
      <c r="AY690" s="15"/>
      <c r="AZ690" s="18"/>
      <c r="BA690" s="19">
        <v>2.5000000000000001E-2</v>
      </c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9">
        <v>0.05</v>
      </c>
      <c r="BM690" s="18"/>
      <c r="BN690" s="18"/>
      <c r="BO690" s="18"/>
      <c r="BP690" s="18"/>
      <c r="BQ690" s="18"/>
      <c r="BR690" s="18"/>
      <c r="BS690" s="18"/>
      <c r="BT690" s="18"/>
      <c r="BU690" s="18"/>
    </row>
    <row r="691" spans="3:73" x14ac:dyDescent="0.45">
      <c r="C691" t="s">
        <v>328</v>
      </c>
      <c r="D691" t="s">
        <v>324</v>
      </c>
      <c r="E691" t="s">
        <v>295</v>
      </c>
      <c r="I691" t="s">
        <v>323</v>
      </c>
      <c r="J691" s="7"/>
      <c r="K691" s="7"/>
      <c r="L691" s="7">
        <v>10.53</v>
      </c>
      <c r="M691" s="7"/>
      <c r="N691" s="7"/>
      <c r="O691" s="7">
        <v>8.43</v>
      </c>
      <c r="P691" s="7"/>
      <c r="Q691" s="7"/>
      <c r="R691" s="7">
        <v>10.52998122</v>
      </c>
      <c r="S691" s="7"/>
      <c r="T691" s="7"/>
      <c r="U691" s="7">
        <v>9.0149809019999996</v>
      </c>
      <c r="V691" s="7"/>
      <c r="AR691" s="15" t="s">
        <v>249</v>
      </c>
      <c r="AS691" s="15" t="s">
        <v>567</v>
      </c>
      <c r="AT691" s="15" t="s">
        <v>1056</v>
      </c>
      <c r="AU691" s="15"/>
      <c r="AV691" s="15"/>
      <c r="AW691" s="15"/>
      <c r="AX691" s="15"/>
      <c r="AY691" s="15"/>
      <c r="AZ691" s="18"/>
      <c r="BA691" s="19">
        <v>2.5000000000000001E-2</v>
      </c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9">
        <v>0.05</v>
      </c>
      <c r="BM691" s="18"/>
      <c r="BN691" s="18"/>
      <c r="BO691" s="18"/>
      <c r="BP691" s="18"/>
      <c r="BQ691" s="18"/>
      <c r="BR691" s="18"/>
      <c r="BS691" s="18"/>
      <c r="BT691" s="18"/>
      <c r="BU691" s="18"/>
    </row>
    <row r="692" spans="3:73" x14ac:dyDescent="0.45">
      <c r="C692" t="s">
        <v>328</v>
      </c>
      <c r="D692" t="s">
        <v>324</v>
      </c>
      <c r="E692" t="s">
        <v>296</v>
      </c>
      <c r="I692" t="s">
        <v>323</v>
      </c>
      <c r="J692" s="7"/>
      <c r="K692" s="7"/>
      <c r="L692" s="7">
        <v>13.06</v>
      </c>
      <c r="M692" s="7"/>
      <c r="N692" s="7"/>
      <c r="O692" s="7"/>
      <c r="P692" s="7"/>
      <c r="Q692" s="7"/>
      <c r="R692" s="7">
        <v>13.06071596</v>
      </c>
      <c r="S692" s="7"/>
      <c r="T692" s="7"/>
      <c r="U692" s="7"/>
      <c r="V692" s="7"/>
      <c r="AR692" s="15" t="s">
        <v>249</v>
      </c>
      <c r="AS692" s="15" t="s">
        <v>567</v>
      </c>
      <c r="AT692" s="15" t="s">
        <v>1057</v>
      </c>
      <c r="AU692" s="15"/>
      <c r="AV692" s="15"/>
      <c r="AW692" s="15"/>
      <c r="AX692" s="15"/>
      <c r="AY692" s="15"/>
      <c r="AZ692" s="18"/>
      <c r="BA692" s="19">
        <v>2.5000000000000001E-2</v>
      </c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9">
        <v>0.05</v>
      </c>
      <c r="BM692" s="18"/>
      <c r="BN692" s="18"/>
      <c r="BO692" s="18"/>
      <c r="BP692" s="18"/>
      <c r="BQ692" s="18"/>
      <c r="BR692" s="18"/>
      <c r="BS692" s="18"/>
      <c r="BT692" s="18"/>
      <c r="BU692" s="18"/>
    </row>
    <row r="693" spans="3:73" x14ac:dyDescent="0.45">
      <c r="C693" t="s">
        <v>328</v>
      </c>
      <c r="D693" t="s">
        <v>324</v>
      </c>
      <c r="E693" t="s">
        <v>300</v>
      </c>
      <c r="I693" t="s">
        <v>323</v>
      </c>
      <c r="J693" s="7"/>
      <c r="K693" s="7"/>
      <c r="L693" s="7">
        <v>6.62</v>
      </c>
      <c r="M693" s="7"/>
      <c r="N693" s="7"/>
      <c r="O693" s="7"/>
      <c r="P693" s="7"/>
      <c r="Q693" s="7"/>
      <c r="R693" s="7">
        <v>6.62</v>
      </c>
      <c r="S693" s="7"/>
      <c r="T693" s="7"/>
      <c r="U693" s="7"/>
      <c r="V693" s="7"/>
      <c r="AR693" s="15" t="s">
        <v>249</v>
      </c>
      <c r="AS693" s="15" t="s">
        <v>567</v>
      </c>
      <c r="AT693" s="15" t="s">
        <v>1058</v>
      </c>
      <c r="AU693" s="15"/>
      <c r="AV693" s="15"/>
      <c r="AW693" s="15"/>
      <c r="AX693" s="15"/>
      <c r="AY693" s="15"/>
      <c r="AZ693" s="18"/>
      <c r="BA693" s="19">
        <v>2.5000000000000001E-2</v>
      </c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9">
        <v>0.05</v>
      </c>
      <c r="BM693" s="18"/>
      <c r="BN693" s="18"/>
      <c r="BO693" s="18"/>
      <c r="BP693" s="18"/>
      <c r="BQ693" s="18"/>
      <c r="BR693" s="18"/>
      <c r="BS693" s="18"/>
      <c r="BT693" s="18"/>
      <c r="BU693" s="18"/>
    </row>
    <row r="694" spans="3:73" x14ac:dyDescent="0.45">
      <c r="C694" t="s">
        <v>328</v>
      </c>
      <c r="D694" t="s">
        <v>324</v>
      </c>
      <c r="E694" t="s">
        <v>302</v>
      </c>
      <c r="I694" t="s">
        <v>323</v>
      </c>
      <c r="J694" s="7"/>
      <c r="K694" s="7"/>
      <c r="L694" s="7">
        <v>6.67</v>
      </c>
      <c r="M694" s="7"/>
      <c r="N694" s="7"/>
      <c r="O694" s="7"/>
      <c r="P694" s="7"/>
      <c r="Q694" s="7"/>
      <c r="R694" s="7">
        <v>11.25</v>
      </c>
      <c r="S694" s="7"/>
      <c r="T694" s="7"/>
      <c r="U694" s="7"/>
      <c r="V694" s="7"/>
      <c r="AR694" s="15" t="s">
        <v>249</v>
      </c>
      <c r="AS694" s="15" t="s">
        <v>567</v>
      </c>
      <c r="AT694" s="15" t="s">
        <v>1059</v>
      </c>
      <c r="AU694" s="15"/>
      <c r="AV694" s="15"/>
      <c r="AW694" s="15"/>
      <c r="AX694" s="15"/>
      <c r="AY694" s="15"/>
      <c r="AZ694" s="18"/>
      <c r="BA694" s="19">
        <v>2.5000000000000001E-2</v>
      </c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9">
        <v>0.05</v>
      </c>
      <c r="BM694" s="18"/>
      <c r="BN694" s="18"/>
      <c r="BO694" s="18"/>
      <c r="BP694" s="18"/>
      <c r="BQ694" s="18"/>
      <c r="BR694" s="18"/>
      <c r="BS694" s="18"/>
      <c r="BT694" s="18"/>
      <c r="BU694" s="18"/>
    </row>
    <row r="695" spans="3:73" x14ac:dyDescent="0.45">
      <c r="C695" t="s">
        <v>328</v>
      </c>
      <c r="D695" t="s">
        <v>324</v>
      </c>
      <c r="E695" t="s">
        <v>304</v>
      </c>
      <c r="I695" t="s">
        <v>323</v>
      </c>
      <c r="J695" s="7"/>
      <c r="K695" s="7"/>
      <c r="L695" s="7">
        <v>917.19</v>
      </c>
      <c r="M695" s="7"/>
      <c r="N695" s="7"/>
      <c r="O695" s="7"/>
      <c r="P695" s="7"/>
      <c r="Q695" s="7"/>
      <c r="R695" s="7">
        <v>917.19322629999999</v>
      </c>
      <c r="S695" s="7"/>
      <c r="T695" s="7"/>
      <c r="U695" s="7"/>
      <c r="V695" s="7"/>
      <c r="AR695" s="15" t="s">
        <v>249</v>
      </c>
      <c r="AS695" s="15" t="s">
        <v>567</v>
      </c>
      <c r="AT695" s="15" t="s">
        <v>1060</v>
      </c>
      <c r="AU695" s="15"/>
      <c r="AV695" s="15"/>
      <c r="AW695" s="15"/>
      <c r="AX695" s="15"/>
      <c r="AY695" s="15"/>
      <c r="AZ695" s="18"/>
      <c r="BA695" s="19">
        <v>2.5000000000000001E-2</v>
      </c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9">
        <v>0.05</v>
      </c>
      <c r="BM695" s="18"/>
      <c r="BN695" s="18"/>
      <c r="BO695" s="18"/>
      <c r="BP695" s="18"/>
      <c r="BQ695" s="18"/>
      <c r="BR695" s="18"/>
      <c r="BS695" s="18"/>
      <c r="BT695" s="18"/>
      <c r="BU695" s="18"/>
    </row>
    <row r="696" spans="3:73" x14ac:dyDescent="0.45">
      <c r="C696" t="s">
        <v>328</v>
      </c>
      <c r="D696" t="s">
        <v>324</v>
      </c>
      <c r="E696" t="s">
        <v>305</v>
      </c>
      <c r="I696" t="s">
        <v>323</v>
      </c>
      <c r="J696" s="7"/>
      <c r="K696" s="7"/>
      <c r="L696" s="7">
        <v>917.19</v>
      </c>
      <c r="M696" s="7"/>
      <c r="N696" s="7"/>
      <c r="O696" s="7"/>
      <c r="P696" s="7"/>
      <c r="Q696" s="7"/>
      <c r="R696" s="7">
        <v>917.19322629999999</v>
      </c>
      <c r="S696" s="7"/>
      <c r="T696" s="7"/>
      <c r="U696" s="7"/>
      <c r="V696" s="7"/>
      <c r="AR696" s="15" t="s">
        <v>249</v>
      </c>
      <c r="AS696" s="15" t="s">
        <v>567</v>
      </c>
      <c r="AT696" s="15" t="s">
        <v>1061</v>
      </c>
      <c r="AU696" s="15"/>
      <c r="AV696" s="15"/>
      <c r="AW696" s="15"/>
      <c r="AX696" s="15"/>
      <c r="AY696" s="15"/>
      <c r="AZ696" s="18"/>
      <c r="BA696" s="19">
        <v>2.5000000000000001E-2</v>
      </c>
      <c r="BB696" s="18"/>
      <c r="BC696" s="18"/>
      <c r="BD696" s="18"/>
      <c r="BE696" s="18"/>
      <c r="BF696" s="18"/>
      <c r="BG696" s="18"/>
      <c r="BH696" s="18"/>
      <c r="BI696" s="18"/>
      <c r="BJ696" s="18"/>
      <c r="BK696" s="18"/>
      <c r="BL696" s="19">
        <v>0.05</v>
      </c>
      <c r="BM696" s="18"/>
      <c r="BN696" s="18"/>
      <c r="BO696" s="18"/>
      <c r="BP696" s="18"/>
      <c r="BQ696" s="18"/>
      <c r="BR696" s="18"/>
      <c r="BS696" s="18"/>
      <c r="BT696" s="18"/>
      <c r="BU696" s="18"/>
    </row>
    <row r="697" spans="3:73" x14ac:dyDescent="0.45">
      <c r="C697" t="s">
        <v>328</v>
      </c>
      <c r="D697" t="s">
        <v>324</v>
      </c>
      <c r="E697" t="s">
        <v>307</v>
      </c>
      <c r="I697" t="s">
        <v>323</v>
      </c>
      <c r="J697" s="7"/>
      <c r="K697" s="7"/>
      <c r="L697" s="7">
        <v>17.38</v>
      </c>
      <c r="M697" s="7"/>
      <c r="N697" s="7"/>
      <c r="O697" s="7"/>
      <c r="P697" s="7"/>
      <c r="Q697" s="7"/>
      <c r="R697" s="7">
        <v>17.375228480000001</v>
      </c>
      <c r="S697" s="7"/>
      <c r="T697" s="7"/>
      <c r="U697" s="7"/>
      <c r="V697" s="7"/>
      <c r="AR697" s="15" t="s">
        <v>249</v>
      </c>
      <c r="AS697" s="15" t="s">
        <v>567</v>
      </c>
      <c r="AT697" s="15" t="s">
        <v>1062</v>
      </c>
      <c r="AU697" s="15"/>
      <c r="AV697" s="15"/>
      <c r="AW697" s="15"/>
      <c r="AX697" s="15"/>
      <c r="AY697" s="15"/>
      <c r="AZ697" s="18"/>
      <c r="BA697" s="19">
        <v>2.5000000000000001E-2</v>
      </c>
      <c r="BB697" s="18"/>
      <c r="BC697" s="18"/>
      <c r="BD697" s="18"/>
      <c r="BE697" s="18"/>
      <c r="BF697" s="18"/>
      <c r="BG697" s="18"/>
      <c r="BH697" s="18"/>
      <c r="BI697" s="18"/>
      <c r="BJ697" s="18"/>
      <c r="BK697" s="18"/>
      <c r="BL697" s="19">
        <v>0.05</v>
      </c>
      <c r="BM697" s="18"/>
      <c r="BN697" s="18"/>
      <c r="BO697" s="18"/>
      <c r="BP697" s="18"/>
      <c r="BQ697" s="18"/>
      <c r="BR697" s="18"/>
      <c r="BS697" s="18"/>
      <c r="BT697" s="18"/>
      <c r="BU697" s="18"/>
    </row>
    <row r="698" spans="3:73" x14ac:dyDescent="0.45">
      <c r="C698" t="s">
        <v>328</v>
      </c>
      <c r="D698" t="s">
        <v>324</v>
      </c>
      <c r="E698" t="s">
        <v>308</v>
      </c>
      <c r="I698" t="s">
        <v>323</v>
      </c>
      <c r="J698" s="7"/>
      <c r="K698" s="7"/>
      <c r="L698" s="7">
        <v>34.75</v>
      </c>
      <c r="M698" s="7"/>
      <c r="N698" s="7"/>
      <c r="O698" s="7"/>
      <c r="P698" s="7"/>
      <c r="Q698" s="7"/>
      <c r="R698" s="7">
        <v>34.750456970000002</v>
      </c>
      <c r="S698" s="7"/>
      <c r="T698" s="7"/>
      <c r="U698" s="7"/>
      <c r="V698" s="7"/>
      <c r="AR698" s="15" t="s">
        <v>249</v>
      </c>
      <c r="AS698" s="15" t="s">
        <v>567</v>
      </c>
      <c r="AT698" s="15" t="s">
        <v>1063</v>
      </c>
      <c r="AU698" s="15"/>
      <c r="AV698" s="15"/>
      <c r="AW698" s="15"/>
      <c r="AX698" s="15"/>
      <c r="AY698" s="15"/>
      <c r="AZ698" s="18"/>
      <c r="BA698" s="19">
        <v>2.5000000000000001E-2</v>
      </c>
      <c r="BB698" s="18"/>
      <c r="BC698" s="18"/>
      <c r="BD698" s="18"/>
      <c r="BE698" s="18"/>
      <c r="BF698" s="18"/>
      <c r="BG698" s="18"/>
      <c r="BH698" s="18"/>
      <c r="BI698" s="18"/>
      <c r="BJ698" s="18"/>
      <c r="BK698" s="18"/>
      <c r="BL698" s="19">
        <v>0.05</v>
      </c>
      <c r="BM698" s="18"/>
      <c r="BN698" s="18"/>
      <c r="BO698" s="18"/>
      <c r="BP698" s="18"/>
      <c r="BQ698" s="18"/>
      <c r="BR698" s="18"/>
      <c r="BS698" s="18"/>
      <c r="BT698" s="18"/>
      <c r="BU698" s="18"/>
    </row>
    <row r="699" spans="3:73" x14ac:dyDescent="0.45">
      <c r="C699" t="s">
        <v>328</v>
      </c>
      <c r="D699" t="s">
        <v>324</v>
      </c>
      <c r="E699" t="s">
        <v>309</v>
      </c>
      <c r="I699" t="s">
        <v>323</v>
      </c>
      <c r="J699" s="7"/>
      <c r="K699" s="7"/>
      <c r="L699" s="7">
        <v>70.400000000000006</v>
      </c>
      <c r="M699" s="7"/>
      <c r="N699" s="7"/>
      <c r="O699" s="7"/>
      <c r="P699" s="7"/>
      <c r="Q699" s="7"/>
      <c r="R699" s="7">
        <v>70.396141889999996</v>
      </c>
      <c r="S699" s="7"/>
      <c r="T699" s="7"/>
      <c r="U699" s="7"/>
      <c r="V699" s="7"/>
      <c r="AR699" s="15" t="s">
        <v>249</v>
      </c>
      <c r="AS699" s="15" t="s">
        <v>567</v>
      </c>
      <c r="AT699" s="15" t="s">
        <v>1064</v>
      </c>
      <c r="AU699" s="15"/>
      <c r="AV699" s="15"/>
      <c r="AW699" s="15"/>
      <c r="AX699" s="15"/>
      <c r="AY699" s="15"/>
      <c r="AZ699" s="18"/>
      <c r="BA699" s="19">
        <v>2.5000000000000001E-2</v>
      </c>
      <c r="BB699" s="18"/>
      <c r="BC699" s="18"/>
      <c r="BD699" s="18"/>
      <c r="BE699" s="18"/>
      <c r="BF699" s="18"/>
      <c r="BG699" s="18"/>
      <c r="BH699" s="18"/>
      <c r="BI699" s="18"/>
      <c r="BJ699" s="18"/>
      <c r="BK699" s="18"/>
      <c r="BL699" s="19">
        <v>0.05</v>
      </c>
      <c r="BM699" s="18"/>
      <c r="BN699" s="18"/>
      <c r="BO699" s="18"/>
      <c r="BP699" s="18"/>
      <c r="BQ699" s="18"/>
      <c r="BR699" s="18"/>
      <c r="BS699" s="18"/>
      <c r="BT699" s="18"/>
      <c r="BU699" s="18"/>
    </row>
    <row r="700" spans="3:73" x14ac:dyDescent="0.45">
      <c r="C700" t="s">
        <v>328</v>
      </c>
      <c r="D700" t="s">
        <v>324</v>
      </c>
      <c r="E700" t="s">
        <v>310</v>
      </c>
      <c r="I700" t="s">
        <v>323</v>
      </c>
      <c r="J700" s="7"/>
      <c r="K700" s="7"/>
      <c r="L700" s="7">
        <v>65.44</v>
      </c>
      <c r="M700" s="7"/>
      <c r="N700" s="7"/>
      <c r="O700" s="7">
        <v>46.49</v>
      </c>
      <c r="P700" s="7"/>
      <c r="Q700" s="7"/>
      <c r="R700" s="7">
        <v>65.43796571</v>
      </c>
      <c r="S700" s="7"/>
      <c r="T700" s="7"/>
      <c r="U700" s="7">
        <v>48.324291950000003</v>
      </c>
      <c r="V700" s="7"/>
      <c r="AR700" s="15" t="s">
        <v>249</v>
      </c>
      <c r="AS700" s="15" t="s">
        <v>567</v>
      </c>
      <c r="AT700" s="15" t="s">
        <v>1065</v>
      </c>
      <c r="AU700" s="15"/>
      <c r="AV700" s="15"/>
      <c r="AW700" s="15"/>
      <c r="AX700" s="15"/>
      <c r="AY700" s="15"/>
      <c r="AZ700" s="18"/>
      <c r="BA700" s="19">
        <v>2.5000000000000001E-2</v>
      </c>
      <c r="BB700" s="18"/>
      <c r="BC700" s="18"/>
      <c r="BD700" s="18"/>
      <c r="BE700" s="18"/>
      <c r="BF700" s="18"/>
      <c r="BG700" s="18"/>
      <c r="BH700" s="18"/>
      <c r="BI700" s="18"/>
      <c r="BJ700" s="18"/>
      <c r="BK700" s="18"/>
      <c r="BL700" s="19">
        <v>0.05</v>
      </c>
      <c r="BM700" s="18"/>
      <c r="BN700" s="18"/>
      <c r="BO700" s="18"/>
      <c r="BP700" s="18"/>
      <c r="BQ700" s="18"/>
      <c r="BR700" s="18"/>
      <c r="BS700" s="18"/>
      <c r="BT700" s="18"/>
      <c r="BU700" s="18"/>
    </row>
    <row r="701" spans="3:73" x14ac:dyDescent="0.45">
      <c r="C701" t="s">
        <v>328</v>
      </c>
      <c r="D701" t="s">
        <v>324</v>
      </c>
      <c r="E701" t="s">
        <v>311</v>
      </c>
      <c r="I701" t="s">
        <v>323</v>
      </c>
      <c r="J701" s="7"/>
      <c r="K701" s="7"/>
      <c r="L701" s="7">
        <v>71.34</v>
      </c>
      <c r="M701" s="7"/>
      <c r="N701" s="7"/>
      <c r="O701" s="7"/>
      <c r="P701" s="7"/>
      <c r="Q701" s="7"/>
      <c r="R701" s="7">
        <v>71.343269989999996</v>
      </c>
      <c r="S701" s="7"/>
      <c r="T701" s="7"/>
      <c r="U701" s="7"/>
      <c r="V701" s="7"/>
      <c r="AR701" s="15" t="s">
        <v>249</v>
      </c>
      <c r="AS701" s="15" t="s">
        <v>567</v>
      </c>
      <c r="AT701" s="15" t="s">
        <v>1066</v>
      </c>
      <c r="AU701" s="15"/>
      <c r="AV701" s="15"/>
      <c r="AW701" s="15"/>
      <c r="AX701" s="15"/>
      <c r="AY701" s="15"/>
      <c r="AZ701" s="18"/>
      <c r="BA701" s="19">
        <v>2.5000000000000001E-2</v>
      </c>
      <c r="BB701" s="18"/>
      <c r="BC701" s="18"/>
      <c r="BD701" s="18"/>
      <c r="BE701" s="18"/>
      <c r="BF701" s="18"/>
      <c r="BG701" s="18"/>
      <c r="BH701" s="18"/>
      <c r="BI701" s="18"/>
      <c r="BJ701" s="18"/>
      <c r="BK701" s="18"/>
      <c r="BL701" s="19">
        <v>0.05</v>
      </c>
      <c r="BM701" s="18"/>
      <c r="BN701" s="18"/>
      <c r="BO701" s="18"/>
      <c r="BP701" s="18"/>
      <c r="BQ701" s="18"/>
      <c r="BR701" s="18"/>
      <c r="BS701" s="18"/>
      <c r="BT701" s="18"/>
      <c r="BU701" s="18"/>
    </row>
    <row r="702" spans="3:73" x14ac:dyDescent="0.45">
      <c r="C702" t="s">
        <v>328</v>
      </c>
      <c r="D702" t="s">
        <v>324</v>
      </c>
      <c r="E702" t="s">
        <v>312</v>
      </c>
      <c r="I702" t="s">
        <v>323</v>
      </c>
      <c r="J702" s="7"/>
      <c r="K702" s="7"/>
      <c r="L702" s="7">
        <v>38.61</v>
      </c>
      <c r="M702" s="7"/>
      <c r="N702" s="7"/>
      <c r="O702" s="7"/>
      <c r="P702" s="7"/>
      <c r="Q702" s="7"/>
      <c r="R702" s="7">
        <v>38.611763269999997</v>
      </c>
      <c r="S702" s="7"/>
      <c r="T702" s="7"/>
      <c r="U702" s="7"/>
      <c r="V702" s="7"/>
      <c r="AR702" s="15" t="s">
        <v>249</v>
      </c>
      <c r="AS702" s="15" t="s">
        <v>567</v>
      </c>
      <c r="AT702" s="15" t="s">
        <v>1067</v>
      </c>
      <c r="AU702" s="15"/>
      <c r="AV702" s="15"/>
      <c r="AW702" s="15"/>
      <c r="AX702" s="15"/>
      <c r="AY702" s="15"/>
      <c r="AZ702" s="18"/>
      <c r="BA702" s="19">
        <v>2.5000000000000001E-2</v>
      </c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9">
        <v>0.05</v>
      </c>
      <c r="BM702" s="18"/>
      <c r="BN702" s="18"/>
      <c r="BO702" s="18"/>
      <c r="BP702" s="18"/>
      <c r="BQ702" s="18"/>
      <c r="BR702" s="18"/>
      <c r="BS702" s="18"/>
      <c r="BT702" s="18"/>
      <c r="BU702" s="18"/>
    </row>
    <row r="703" spans="3:73" x14ac:dyDescent="0.45">
      <c r="C703" t="s">
        <v>328</v>
      </c>
      <c r="D703" t="s">
        <v>324</v>
      </c>
      <c r="E703" t="s">
        <v>313</v>
      </c>
      <c r="I703" t="s">
        <v>323</v>
      </c>
      <c r="J703" s="7"/>
      <c r="K703" s="7"/>
      <c r="L703" s="7">
        <v>57.07</v>
      </c>
      <c r="M703" s="7"/>
      <c r="N703" s="7">
        <v>28.54</v>
      </c>
      <c r="O703" s="7"/>
      <c r="P703" s="7"/>
      <c r="Q703" s="7"/>
      <c r="R703" s="7">
        <v>57.071275049999997</v>
      </c>
      <c r="S703" s="7"/>
      <c r="T703" s="7">
        <v>28.535637529999999</v>
      </c>
      <c r="U703" s="7"/>
      <c r="V703" s="7"/>
      <c r="AR703" s="15" t="s">
        <v>249</v>
      </c>
      <c r="AS703" s="15" t="s">
        <v>567</v>
      </c>
      <c r="AT703" s="15" t="s">
        <v>1068</v>
      </c>
      <c r="AU703" s="15"/>
      <c r="AV703" s="15"/>
      <c r="AW703" s="15"/>
      <c r="AX703" s="15"/>
      <c r="AY703" s="15"/>
      <c r="AZ703" s="18"/>
      <c r="BA703" s="19">
        <v>2.5000000000000001E-2</v>
      </c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9">
        <v>0.05</v>
      </c>
      <c r="BM703" s="18"/>
      <c r="BN703" s="18"/>
      <c r="BO703" s="18"/>
      <c r="BP703" s="18"/>
      <c r="BQ703" s="18"/>
      <c r="BR703" s="18"/>
      <c r="BS703" s="18"/>
      <c r="BT703" s="18"/>
      <c r="BU703" s="18"/>
    </row>
    <row r="704" spans="3:73" x14ac:dyDescent="0.45">
      <c r="C704" t="s">
        <v>328</v>
      </c>
      <c r="D704" t="s">
        <v>324</v>
      </c>
      <c r="E704" t="s">
        <v>314</v>
      </c>
      <c r="I704" t="s">
        <v>323</v>
      </c>
      <c r="J704" s="7"/>
      <c r="K704" s="7"/>
      <c r="L704" s="7">
        <v>34.75</v>
      </c>
      <c r="M704" s="7"/>
      <c r="N704" s="7"/>
      <c r="O704" s="7"/>
      <c r="P704" s="7"/>
      <c r="Q704" s="7"/>
      <c r="R704" s="7">
        <v>34.750586939999998</v>
      </c>
      <c r="S704" s="7"/>
      <c r="T704" s="7"/>
      <c r="U704" s="7"/>
      <c r="V704" s="7"/>
      <c r="AR704" s="15" t="s">
        <v>249</v>
      </c>
      <c r="AS704" s="15" t="s">
        <v>567</v>
      </c>
      <c r="AT704" s="15" t="s">
        <v>1069</v>
      </c>
      <c r="AU704" s="15"/>
      <c r="AV704" s="15"/>
      <c r="AW704" s="15"/>
      <c r="AX704" s="15"/>
      <c r="AY704" s="15"/>
      <c r="AZ704" s="18"/>
      <c r="BA704" s="19">
        <v>2.5000000000000001E-2</v>
      </c>
      <c r="BB704" s="18"/>
      <c r="BC704" s="18"/>
      <c r="BD704" s="18"/>
      <c r="BE704" s="18"/>
      <c r="BF704" s="18"/>
      <c r="BG704" s="18"/>
      <c r="BH704" s="18"/>
      <c r="BI704" s="18"/>
      <c r="BJ704" s="18"/>
      <c r="BK704" s="18"/>
      <c r="BL704" s="19">
        <v>0.05</v>
      </c>
      <c r="BM704" s="18"/>
      <c r="BN704" s="18"/>
      <c r="BO704" s="18"/>
      <c r="BP704" s="18"/>
      <c r="BQ704" s="18"/>
      <c r="BR704" s="18"/>
      <c r="BS704" s="18"/>
      <c r="BT704" s="18"/>
      <c r="BU704" s="18"/>
    </row>
    <row r="705" spans="3:73" x14ac:dyDescent="0.45">
      <c r="C705" t="s">
        <v>328</v>
      </c>
      <c r="D705" t="s">
        <v>324</v>
      </c>
      <c r="E705" t="s">
        <v>315</v>
      </c>
      <c r="I705" t="s">
        <v>323</v>
      </c>
      <c r="J705" s="7"/>
      <c r="K705" s="7"/>
      <c r="L705" s="7">
        <v>11.88</v>
      </c>
      <c r="M705" s="7"/>
      <c r="N705" s="7"/>
      <c r="O705" s="7"/>
      <c r="P705" s="7"/>
      <c r="Q705" s="7"/>
      <c r="R705" s="7">
        <v>11.87981166</v>
      </c>
      <c r="S705" s="7"/>
      <c r="T705" s="7"/>
      <c r="U705" s="7"/>
      <c r="V705" s="7"/>
      <c r="AR705" s="15" t="s">
        <v>249</v>
      </c>
      <c r="AS705" s="15" t="s">
        <v>567</v>
      </c>
      <c r="AT705" s="15" t="s">
        <v>1070</v>
      </c>
      <c r="AU705" s="15"/>
      <c r="AV705" s="15"/>
      <c r="AW705" s="15"/>
      <c r="AX705" s="15"/>
      <c r="AY705" s="15"/>
      <c r="AZ705" s="18"/>
      <c r="BA705" s="19">
        <v>2.5000000000000001E-2</v>
      </c>
      <c r="BB705" s="18"/>
      <c r="BC705" s="18"/>
      <c r="BD705" s="18"/>
      <c r="BE705" s="18"/>
      <c r="BF705" s="18"/>
      <c r="BG705" s="18"/>
      <c r="BH705" s="18"/>
      <c r="BI705" s="18"/>
      <c r="BJ705" s="18"/>
      <c r="BK705" s="18"/>
      <c r="BL705" s="19">
        <v>0.05</v>
      </c>
      <c r="BM705" s="18"/>
      <c r="BN705" s="18"/>
      <c r="BO705" s="18"/>
      <c r="BP705" s="18"/>
      <c r="BQ705" s="18"/>
      <c r="BR705" s="18"/>
      <c r="BS705" s="18"/>
      <c r="BT705" s="18"/>
      <c r="BU705" s="18"/>
    </row>
    <row r="706" spans="3:73" x14ac:dyDescent="0.45">
      <c r="C706" t="s">
        <v>328</v>
      </c>
      <c r="D706" t="s">
        <v>324</v>
      </c>
      <c r="E706" t="s">
        <v>316</v>
      </c>
      <c r="I706" t="s">
        <v>323</v>
      </c>
      <c r="J706" s="7"/>
      <c r="K706" s="7"/>
      <c r="L706" s="7">
        <v>10.53</v>
      </c>
      <c r="M706" s="7"/>
      <c r="N706" s="7"/>
      <c r="O706" s="7">
        <v>8.43</v>
      </c>
      <c r="P706" s="7"/>
      <c r="Q706" s="7"/>
      <c r="R706" s="7">
        <v>10.52998122</v>
      </c>
      <c r="S706" s="7"/>
      <c r="T706" s="7"/>
      <c r="U706" s="7">
        <v>9.0149809019999996</v>
      </c>
      <c r="V706" s="7"/>
      <c r="AR706" s="15" t="s">
        <v>249</v>
      </c>
      <c r="AS706" s="15" t="s">
        <v>567</v>
      </c>
      <c r="AT706" s="15" t="s">
        <v>1071</v>
      </c>
      <c r="AU706" s="15"/>
      <c r="AV706" s="15"/>
      <c r="AW706" s="15"/>
      <c r="AX706" s="15"/>
      <c r="AY706" s="15"/>
      <c r="AZ706" s="18"/>
      <c r="BA706" s="19">
        <v>2.5000000000000001E-2</v>
      </c>
      <c r="BB706" s="18"/>
      <c r="BC706" s="18"/>
      <c r="BD706" s="18"/>
      <c r="BE706" s="18"/>
      <c r="BF706" s="18"/>
      <c r="BG706" s="18"/>
      <c r="BH706" s="18"/>
      <c r="BI706" s="18"/>
      <c r="BJ706" s="18"/>
      <c r="BK706" s="18"/>
      <c r="BL706" s="19">
        <v>0.05</v>
      </c>
      <c r="BM706" s="18"/>
      <c r="BN706" s="18"/>
      <c r="BO706" s="18"/>
      <c r="BP706" s="18"/>
      <c r="BQ706" s="18"/>
      <c r="BR706" s="18"/>
      <c r="BS706" s="18"/>
      <c r="BT706" s="18"/>
      <c r="BU706" s="18"/>
    </row>
    <row r="707" spans="3:73" x14ac:dyDescent="0.45">
      <c r="C707" t="s">
        <v>328</v>
      </c>
      <c r="D707" t="s">
        <v>324</v>
      </c>
      <c r="E707" t="s">
        <v>317</v>
      </c>
      <c r="I707" t="s">
        <v>323</v>
      </c>
      <c r="J707" s="7"/>
      <c r="K707" s="7"/>
      <c r="L707" s="7">
        <v>13.06</v>
      </c>
      <c r="M707" s="7"/>
      <c r="N707" s="7"/>
      <c r="O707" s="7"/>
      <c r="P707" s="7"/>
      <c r="Q707" s="7"/>
      <c r="R707" s="7">
        <v>13.06071596</v>
      </c>
      <c r="S707" s="7"/>
      <c r="T707" s="7"/>
      <c r="U707" s="7"/>
      <c r="V707" s="7"/>
      <c r="AR707" s="15" t="s">
        <v>249</v>
      </c>
      <c r="AS707" s="15" t="s">
        <v>567</v>
      </c>
      <c r="AT707" s="15" t="s">
        <v>1072</v>
      </c>
      <c r="AU707" s="15"/>
      <c r="AV707" s="15"/>
      <c r="AW707" s="15"/>
      <c r="AX707" s="15"/>
      <c r="AY707" s="15"/>
      <c r="AZ707" s="18"/>
      <c r="BA707" s="19">
        <v>2.5000000000000001E-2</v>
      </c>
      <c r="BB707" s="18"/>
      <c r="BC707" s="18"/>
      <c r="BD707" s="18"/>
      <c r="BE707" s="18"/>
      <c r="BF707" s="18"/>
      <c r="BG707" s="18"/>
      <c r="BH707" s="18"/>
      <c r="BI707" s="18"/>
      <c r="BJ707" s="18"/>
      <c r="BK707" s="18"/>
      <c r="BL707" s="19">
        <v>0.05</v>
      </c>
      <c r="BM707" s="18"/>
      <c r="BN707" s="18"/>
      <c r="BO707" s="18"/>
      <c r="BP707" s="18"/>
      <c r="BQ707" s="18"/>
      <c r="BR707" s="18"/>
      <c r="BS707" s="18"/>
      <c r="BT707" s="18"/>
      <c r="BU707" s="18"/>
    </row>
    <row r="708" spans="3:73" x14ac:dyDescent="0.45">
      <c r="C708" t="s">
        <v>328</v>
      </c>
      <c r="D708" t="s">
        <v>325</v>
      </c>
      <c r="E708" t="s">
        <v>251</v>
      </c>
      <c r="J708" s="7">
        <v>2020</v>
      </c>
      <c r="K708" s="7"/>
      <c r="L708" s="7"/>
      <c r="M708" s="7"/>
      <c r="N708" s="7"/>
      <c r="O708" s="7"/>
      <c r="P708" s="7"/>
      <c r="Q708" s="7">
        <v>2020</v>
      </c>
      <c r="R708" s="7"/>
      <c r="S708" s="7"/>
      <c r="T708" s="7"/>
      <c r="U708" s="7"/>
      <c r="V708" s="7"/>
      <c r="AR708" s="15" t="s">
        <v>249</v>
      </c>
      <c r="AS708" s="15" t="s">
        <v>567</v>
      </c>
      <c r="AT708" s="15" t="s">
        <v>1073</v>
      </c>
      <c r="AU708" s="15"/>
      <c r="AV708" s="15"/>
      <c r="AW708" s="15"/>
      <c r="AX708" s="15"/>
      <c r="AY708" s="15"/>
      <c r="AZ708" s="18"/>
      <c r="BA708" s="19">
        <v>2.5000000000000001E-2</v>
      </c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9">
        <v>0.05</v>
      </c>
      <c r="BM708" s="18"/>
      <c r="BN708" s="18"/>
      <c r="BO708" s="18"/>
      <c r="BP708" s="18"/>
      <c r="BQ708" s="18"/>
      <c r="BR708" s="18"/>
      <c r="BS708" s="18"/>
      <c r="BT708" s="18"/>
      <c r="BU708" s="18"/>
    </row>
    <row r="709" spans="3:73" x14ac:dyDescent="0.45">
      <c r="C709" t="s">
        <v>328</v>
      </c>
      <c r="D709" t="s">
        <v>325</v>
      </c>
      <c r="E709" t="s">
        <v>253</v>
      </c>
      <c r="J709" s="7">
        <v>2020</v>
      </c>
      <c r="K709" s="7"/>
      <c r="L709" s="7"/>
      <c r="M709" s="7"/>
      <c r="N709" s="7"/>
      <c r="O709" s="7"/>
      <c r="P709" s="7"/>
      <c r="Q709" s="7">
        <v>2020</v>
      </c>
      <c r="R709" s="7"/>
      <c r="S709" s="7"/>
      <c r="T709" s="7"/>
      <c r="U709" s="7"/>
      <c r="V709" s="7"/>
      <c r="AR709" s="15" t="s">
        <v>249</v>
      </c>
      <c r="AS709" s="15" t="s">
        <v>567</v>
      </c>
      <c r="AT709" s="15" t="s">
        <v>1074</v>
      </c>
      <c r="AU709" s="15"/>
      <c r="AV709" s="15"/>
      <c r="AW709" s="15"/>
      <c r="AX709" s="15"/>
      <c r="AY709" s="15"/>
      <c r="AZ709" s="18"/>
      <c r="BA709" s="19">
        <v>2.5000000000000001E-2</v>
      </c>
      <c r="BB709" s="18"/>
      <c r="BC709" s="18"/>
      <c r="BD709" s="18"/>
      <c r="BE709" s="18"/>
      <c r="BF709" s="18"/>
      <c r="BG709" s="18"/>
      <c r="BH709" s="18"/>
      <c r="BI709" s="18"/>
      <c r="BJ709" s="18"/>
      <c r="BK709" s="18"/>
      <c r="BL709" s="19">
        <v>0.05</v>
      </c>
      <c r="BM709" s="18"/>
      <c r="BN709" s="18"/>
      <c r="BO709" s="18"/>
      <c r="BP709" s="18"/>
      <c r="BQ709" s="18"/>
      <c r="BR709" s="18"/>
      <c r="BS709" s="18"/>
      <c r="BT709" s="18"/>
      <c r="BU709" s="18"/>
    </row>
    <row r="710" spans="3:73" x14ac:dyDescent="0.45">
      <c r="C710" t="s">
        <v>328</v>
      </c>
      <c r="D710" t="s">
        <v>325</v>
      </c>
      <c r="E710" t="s">
        <v>254</v>
      </c>
      <c r="J710" s="7">
        <v>2020</v>
      </c>
      <c r="K710" s="7"/>
      <c r="L710" s="7"/>
      <c r="M710" s="7"/>
      <c r="N710" s="7"/>
      <c r="O710" s="7"/>
      <c r="P710" s="7"/>
      <c r="Q710" s="7">
        <v>2020</v>
      </c>
      <c r="R710" s="7"/>
      <c r="S710" s="7"/>
      <c r="T710" s="7"/>
      <c r="U710" s="7"/>
      <c r="V710" s="7"/>
      <c r="AR710" s="15" t="s">
        <v>249</v>
      </c>
      <c r="AS710" s="15" t="s">
        <v>567</v>
      </c>
      <c r="AT710" s="15" t="s">
        <v>1075</v>
      </c>
      <c r="AU710" s="15"/>
      <c r="AV710" s="15"/>
      <c r="AW710" s="15"/>
      <c r="AX710" s="15"/>
      <c r="AY710" s="15"/>
      <c r="AZ710" s="18"/>
      <c r="BA710" s="19">
        <v>2.5000000000000001E-2</v>
      </c>
      <c r="BB710" s="18"/>
      <c r="BC710" s="18"/>
      <c r="BD710" s="18"/>
      <c r="BE710" s="18"/>
      <c r="BF710" s="18"/>
      <c r="BG710" s="18"/>
      <c r="BH710" s="18"/>
      <c r="BI710" s="18"/>
      <c r="BJ710" s="18"/>
      <c r="BK710" s="18"/>
      <c r="BL710" s="19">
        <v>0.05</v>
      </c>
      <c r="BM710" s="18"/>
      <c r="BN710" s="18"/>
      <c r="BO710" s="18"/>
      <c r="BP710" s="18"/>
      <c r="BQ710" s="18"/>
      <c r="BR710" s="18"/>
      <c r="BS710" s="18"/>
      <c r="BT710" s="18"/>
      <c r="BU710" s="18"/>
    </row>
    <row r="711" spans="3:73" x14ac:dyDescent="0.45">
      <c r="C711" t="s">
        <v>328</v>
      </c>
      <c r="D711" t="s">
        <v>325</v>
      </c>
      <c r="E711" t="s">
        <v>255</v>
      </c>
      <c r="J711" s="7">
        <v>2020</v>
      </c>
      <c r="K711" s="7"/>
      <c r="L711" s="7"/>
      <c r="M711" s="7"/>
      <c r="N711" s="7"/>
      <c r="O711" s="7"/>
      <c r="P711" s="7"/>
      <c r="Q711" s="7">
        <v>2020</v>
      </c>
      <c r="R711" s="7"/>
      <c r="S711" s="7"/>
      <c r="T711" s="7"/>
      <c r="U711" s="7"/>
      <c r="V711" s="7"/>
      <c r="AR711" s="15" t="s">
        <v>249</v>
      </c>
      <c r="AS711" s="15" t="s">
        <v>567</v>
      </c>
      <c r="AT711" s="15" t="s">
        <v>1076</v>
      </c>
      <c r="AU711" s="15"/>
      <c r="AV711" s="15"/>
      <c r="AW711" s="15"/>
      <c r="AX711" s="15"/>
      <c r="AY711" s="15"/>
      <c r="AZ711" s="18"/>
      <c r="BA711" s="19">
        <v>2.5000000000000001E-2</v>
      </c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9">
        <v>0.05</v>
      </c>
      <c r="BM711" s="18"/>
      <c r="BN711" s="18"/>
      <c r="BO711" s="18"/>
      <c r="BP711" s="18"/>
      <c r="BQ711" s="18"/>
      <c r="BR711" s="18"/>
      <c r="BS711" s="18"/>
      <c r="BT711" s="18"/>
      <c r="BU711" s="18"/>
    </row>
    <row r="712" spans="3:73" x14ac:dyDescent="0.45">
      <c r="C712" t="s">
        <v>328</v>
      </c>
      <c r="D712" t="s">
        <v>325</v>
      </c>
      <c r="E712" t="s">
        <v>256</v>
      </c>
      <c r="J712" s="7">
        <v>2020</v>
      </c>
      <c r="K712" s="7"/>
      <c r="L712" s="7"/>
      <c r="M712" s="7"/>
      <c r="N712" s="7"/>
      <c r="O712" s="7"/>
      <c r="P712" s="7"/>
      <c r="Q712" s="7">
        <v>2020</v>
      </c>
      <c r="R712" s="7"/>
      <c r="S712" s="7"/>
      <c r="T712" s="7"/>
      <c r="U712" s="7"/>
      <c r="V712" s="7"/>
      <c r="AR712" s="15" t="s">
        <v>249</v>
      </c>
      <c r="AS712" s="15" t="s">
        <v>567</v>
      </c>
      <c r="AT712" s="15" t="s">
        <v>1077</v>
      </c>
      <c r="AU712" s="15"/>
      <c r="AV712" s="15"/>
      <c r="AW712" s="15"/>
      <c r="AX712" s="15"/>
      <c r="AY712" s="15"/>
      <c r="AZ712" s="18"/>
      <c r="BA712" s="19">
        <v>2.5000000000000001E-2</v>
      </c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9">
        <v>0.05</v>
      </c>
      <c r="BM712" s="18"/>
      <c r="BN712" s="18"/>
      <c r="BO712" s="18"/>
      <c r="BP712" s="18"/>
      <c r="BQ712" s="18"/>
      <c r="BR712" s="18"/>
      <c r="BS712" s="18"/>
      <c r="BT712" s="18"/>
      <c r="BU712" s="18"/>
    </row>
    <row r="713" spans="3:73" x14ac:dyDescent="0.45">
      <c r="C713" t="s">
        <v>328</v>
      </c>
      <c r="D713" t="s">
        <v>325</v>
      </c>
      <c r="E713" t="s">
        <v>257</v>
      </c>
      <c r="J713" s="7">
        <v>2020</v>
      </c>
      <c r="K713" s="7"/>
      <c r="L713" s="7"/>
      <c r="M713" s="7"/>
      <c r="N713" s="7"/>
      <c r="O713" s="7"/>
      <c r="P713" s="7"/>
      <c r="Q713" s="7">
        <v>2020</v>
      </c>
      <c r="R713" s="7"/>
      <c r="S713" s="7"/>
      <c r="T713" s="7"/>
      <c r="U713" s="7"/>
      <c r="V713" s="7"/>
      <c r="AR713" s="15" t="s">
        <v>249</v>
      </c>
      <c r="AS713" s="15" t="s">
        <v>567</v>
      </c>
      <c r="AT713" s="15" t="s">
        <v>1078</v>
      </c>
      <c r="AU713" s="15"/>
      <c r="AV713" s="15"/>
      <c r="AW713" s="15"/>
      <c r="AX713" s="15"/>
      <c r="AY713" s="15"/>
      <c r="AZ713" s="18"/>
      <c r="BA713" s="19">
        <v>2.5000000000000001E-2</v>
      </c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9">
        <v>0.05</v>
      </c>
      <c r="BM713" s="18"/>
      <c r="BN713" s="18"/>
      <c r="BO713" s="18"/>
      <c r="BP713" s="18"/>
      <c r="BQ713" s="18"/>
      <c r="BR713" s="18"/>
      <c r="BS713" s="18"/>
      <c r="BT713" s="18"/>
      <c r="BU713" s="18"/>
    </row>
    <row r="714" spans="3:73" x14ac:dyDescent="0.45">
      <c r="C714" t="s">
        <v>328</v>
      </c>
      <c r="D714" t="s">
        <v>325</v>
      </c>
      <c r="E714" t="s">
        <v>258</v>
      </c>
      <c r="J714" s="7">
        <v>2020</v>
      </c>
      <c r="K714" s="7"/>
      <c r="L714" s="7"/>
      <c r="M714" s="7"/>
      <c r="N714" s="7"/>
      <c r="O714" s="7"/>
      <c r="P714" s="7"/>
      <c r="Q714" s="7">
        <v>2020</v>
      </c>
      <c r="R714" s="7"/>
      <c r="S714" s="7"/>
      <c r="T714" s="7"/>
      <c r="U714" s="7"/>
      <c r="V714" s="7"/>
      <c r="AR714" s="15" t="s">
        <v>249</v>
      </c>
      <c r="AS714" s="15" t="s">
        <v>567</v>
      </c>
      <c r="AT714" s="15" t="s">
        <v>1079</v>
      </c>
      <c r="AU714" s="15"/>
      <c r="AV714" s="15"/>
      <c r="AW714" s="15"/>
      <c r="AX714" s="15"/>
      <c r="AY714" s="15"/>
      <c r="AZ714" s="18"/>
      <c r="BA714" s="19">
        <v>2.5000000000000001E-2</v>
      </c>
      <c r="BB714" s="18"/>
      <c r="BC714" s="18"/>
      <c r="BD714" s="18"/>
      <c r="BE714" s="18"/>
      <c r="BF714" s="18"/>
      <c r="BG714" s="18"/>
      <c r="BH714" s="18"/>
      <c r="BI714" s="18"/>
      <c r="BJ714" s="18"/>
      <c r="BK714" s="18"/>
      <c r="BL714" s="19">
        <v>0.05</v>
      </c>
      <c r="BM714" s="18"/>
      <c r="BN714" s="18"/>
      <c r="BO714" s="18"/>
      <c r="BP714" s="18"/>
      <c r="BQ714" s="18"/>
      <c r="BR714" s="18"/>
      <c r="BS714" s="18"/>
      <c r="BT714" s="18"/>
      <c r="BU714" s="18"/>
    </row>
    <row r="715" spans="3:73" x14ac:dyDescent="0.45">
      <c r="C715" t="s">
        <v>328</v>
      </c>
      <c r="D715" t="s">
        <v>325</v>
      </c>
      <c r="E715" t="s">
        <v>259</v>
      </c>
      <c r="J715" s="7">
        <v>2020</v>
      </c>
      <c r="K715" s="7"/>
      <c r="L715" s="7"/>
      <c r="M715" s="7"/>
      <c r="N715" s="7"/>
      <c r="O715" s="7"/>
      <c r="P715" s="7"/>
      <c r="Q715" s="7">
        <v>2020</v>
      </c>
      <c r="R715" s="7"/>
      <c r="S715" s="7"/>
      <c r="T715" s="7"/>
      <c r="U715" s="7"/>
      <c r="V715" s="7"/>
      <c r="AR715" s="15" t="s">
        <v>249</v>
      </c>
      <c r="AS715" s="15" t="s">
        <v>567</v>
      </c>
      <c r="AT715" s="15" t="s">
        <v>1080</v>
      </c>
      <c r="AU715" s="15"/>
      <c r="AV715" s="15"/>
      <c r="AW715" s="15"/>
      <c r="AX715" s="15"/>
      <c r="AY715" s="15"/>
      <c r="AZ715" s="18"/>
      <c r="BA715" s="19">
        <v>2.5000000000000001E-2</v>
      </c>
      <c r="BB715" s="18"/>
      <c r="BC715" s="18"/>
      <c r="BD715" s="18"/>
      <c r="BE715" s="18"/>
      <c r="BF715" s="18"/>
      <c r="BG715" s="18"/>
      <c r="BH715" s="18"/>
      <c r="BI715" s="18"/>
      <c r="BJ715" s="18"/>
      <c r="BK715" s="18"/>
      <c r="BL715" s="19">
        <v>0.05</v>
      </c>
      <c r="BM715" s="18"/>
      <c r="BN715" s="18"/>
      <c r="BO715" s="18"/>
      <c r="BP715" s="18"/>
      <c r="BQ715" s="18"/>
      <c r="BR715" s="18"/>
      <c r="BS715" s="18"/>
      <c r="BT715" s="18"/>
      <c r="BU715" s="18"/>
    </row>
    <row r="716" spans="3:73" x14ac:dyDescent="0.45">
      <c r="C716" t="s">
        <v>328</v>
      </c>
      <c r="D716" t="s">
        <v>325</v>
      </c>
      <c r="E716" t="s">
        <v>260</v>
      </c>
      <c r="J716" s="7">
        <v>2020</v>
      </c>
      <c r="K716" s="7"/>
      <c r="L716" s="7"/>
      <c r="M716" s="7"/>
      <c r="N716" s="7"/>
      <c r="O716" s="7"/>
      <c r="P716" s="7"/>
      <c r="Q716" s="7">
        <v>2020</v>
      </c>
      <c r="R716" s="7"/>
      <c r="S716" s="7"/>
      <c r="T716" s="7"/>
      <c r="U716" s="7"/>
      <c r="V716" s="7"/>
      <c r="AR716" s="15" t="s">
        <v>249</v>
      </c>
      <c r="AS716" s="15" t="s">
        <v>567</v>
      </c>
      <c r="AT716" s="15" t="s">
        <v>1081</v>
      </c>
      <c r="AU716" s="15"/>
      <c r="AV716" s="15"/>
      <c r="AW716" s="15"/>
      <c r="AX716" s="15"/>
      <c r="AY716" s="15"/>
      <c r="AZ716" s="18"/>
      <c r="BA716" s="19">
        <v>2.5000000000000001E-2</v>
      </c>
      <c r="BB716" s="18"/>
      <c r="BC716" s="18"/>
      <c r="BD716" s="18"/>
      <c r="BE716" s="18"/>
      <c r="BF716" s="18"/>
      <c r="BG716" s="18"/>
      <c r="BH716" s="18"/>
      <c r="BI716" s="18"/>
      <c r="BJ716" s="18"/>
      <c r="BK716" s="18"/>
      <c r="BL716" s="19">
        <v>0.05</v>
      </c>
      <c r="BM716" s="18"/>
      <c r="BN716" s="18"/>
      <c r="BO716" s="18"/>
      <c r="BP716" s="18"/>
      <c r="BQ716" s="18"/>
      <c r="BR716" s="18"/>
      <c r="BS716" s="18"/>
      <c r="BT716" s="18"/>
      <c r="BU716" s="18"/>
    </row>
    <row r="717" spans="3:73" x14ac:dyDescent="0.45">
      <c r="C717" t="s">
        <v>328</v>
      </c>
      <c r="D717" t="s">
        <v>325</v>
      </c>
      <c r="E717" t="s">
        <v>261</v>
      </c>
      <c r="J717" s="7">
        <v>2020</v>
      </c>
      <c r="K717" s="7"/>
      <c r="L717" s="7"/>
      <c r="M717" s="7"/>
      <c r="N717" s="7"/>
      <c r="O717" s="7"/>
      <c r="P717" s="7"/>
      <c r="Q717" s="7">
        <v>2020</v>
      </c>
      <c r="R717" s="7"/>
      <c r="S717" s="7"/>
      <c r="T717" s="7"/>
      <c r="U717" s="7"/>
      <c r="V717" s="7"/>
      <c r="AR717" s="15" t="s">
        <v>249</v>
      </c>
      <c r="AS717" s="15" t="s">
        <v>567</v>
      </c>
      <c r="AT717" s="15" t="s">
        <v>1082</v>
      </c>
      <c r="AU717" s="15"/>
      <c r="AV717" s="15"/>
      <c r="AW717" s="15"/>
      <c r="AX717" s="15"/>
      <c r="AY717" s="15"/>
      <c r="AZ717" s="18"/>
      <c r="BA717" s="19">
        <v>2.5000000000000001E-2</v>
      </c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9">
        <v>0.05</v>
      </c>
      <c r="BM717" s="18"/>
      <c r="BN717" s="18"/>
      <c r="BO717" s="18"/>
      <c r="BP717" s="18"/>
      <c r="BQ717" s="18"/>
      <c r="BR717" s="18"/>
      <c r="BS717" s="18"/>
      <c r="BT717" s="18"/>
      <c r="BU717" s="18"/>
    </row>
    <row r="718" spans="3:73" x14ac:dyDescent="0.45">
      <c r="C718" t="s">
        <v>328</v>
      </c>
      <c r="D718" t="s">
        <v>325</v>
      </c>
      <c r="E718" t="s">
        <v>262</v>
      </c>
      <c r="J718" s="7">
        <v>2020</v>
      </c>
      <c r="K718" s="7"/>
      <c r="L718" s="7"/>
      <c r="M718" s="7"/>
      <c r="N718" s="7"/>
      <c r="O718" s="7"/>
      <c r="P718" s="7"/>
      <c r="Q718" s="7">
        <v>2020</v>
      </c>
      <c r="R718" s="7"/>
      <c r="S718" s="7"/>
      <c r="T718" s="7"/>
      <c r="U718" s="7"/>
      <c r="V718" s="7"/>
      <c r="AR718" s="15" t="s">
        <v>249</v>
      </c>
      <c r="AS718" s="15" t="s">
        <v>567</v>
      </c>
      <c r="AT718" s="15" t="s">
        <v>1083</v>
      </c>
      <c r="AU718" s="15"/>
      <c r="AV718" s="15"/>
      <c r="AW718" s="15"/>
      <c r="AX718" s="15"/>
      <c r="AY718" s="15"/>
      <c r="AZ718" s="18"/>
      <c r="BA718" s="19">
        <v>2.5000000000000001E-2</v>
      </c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9">
        <v>0.05</v>
      </c>
      <c r="BM718" s="18"/>
      <c r="BN718" s="18"/>
      <c r="BO718" s="18"/>
      <c r="BP718" s="18"/>
      <c r="BQ718" s="18"/>
      <c r="BR718" s="18"/>
      <c r="BS718" s="18"/>
      <c r="BT718" s="18"/>
      <c r="BU718" s="18"/>
    </row>
    <row r="719" spans="3:73" x14ac:dyDescent="0.45">
      <c r="C719" t="s">
        <v>328</v>
      </c>
      <c r="D719" t="s">
        <v>325</v>
      </c>
      <c r="E719" t="s">
        <v>263</v>
      </c>
      <c r="J719" s="7">
        <v>2020</v>
      </c>
      <c r="K719" s="7"/>
      <c r="L719" s="7"/>
      <c r="M719" s="7"/>
      <c r="N719" s="7"/>
      <c r="O719" s="7"/>
      <c r="P719" s="7"/>
      <c r="Q719" s="7">
        <v>2020</v>
      </c>
      <c r="R719" s="7"/>
      <c r="S719" s="7"/>
      <c r="T719" s="7"/>
      <c r="U719" s="7"/>
      <c r="V719" s="7"/>
      <c r="AR719" s="15" t="s">
        <v>249</v>
      </c>
      <c r="AS719" s="15" t="s">
        <v>567</v>
      </c>
      <c r="AT719" s="15" t="s">
        <v>1084</v>
      </c>
      <c r="AU719" s="15"/>
      <c r="AV719" s="15"/>
      <c r="AW719" s="15"/>
      <c r="AX719" s="15"/>
      <c r="AY719" s="15"/>
      <c r="AZ719" s="18"/>
      <c r="BA719" s="19">
        <v>2.5000000000000001E-2</v>
      </c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9">
        <v>0.05</v>
      </c>
      <c r="BM719" s="18"/>
      <c r="BN719" s="18"/>
      <c r="BO719" s="18"/>
      <c r="BP719" s="18"/>
      <c r="BQ719" s="18"/>
      <c r="BR719" s="18"/>
      <c r="BS719" s="18"/>
      <c r="BT719" s="18"/>
      <c r="BU719" s="18"/>
    </row>
    <row r="720" spans="3:73" x14ac:dyDescent="0.45">
      <c r="C720" t="s">
        <v>328</v>
      </c>
      <c r="D720" t="s">
        <v>325</v>
      </c>
      <c r="E720" t="s">
        <v>264</v>
      </c>
      <c r="J720" s="7">
        <v>2020</v>
      </c>
      <c r="K720" s="7"/>
      <c r="L720" s="7"/>
      <c r="M720" s="7"/>
      <c r="N720" s="7"/>
      <c r="O720" s="7"/>
      <c r="P720" s="7"/>
      <c r="Q720" s="7">
        <v>2020</v>
      </c>
      <c r="R720" s="7"/>
      <c r="S720" s="7"/>
      <c r="T720" s="7"/>
      <c r="U720" s="7"/>
      <c r="V720" s="7"/>
      <c r="AR720" s="15" t="s">
        <v>249</v>
      </c>
      <c r="AS720" s="15" t="s">
        <v>567</v>
      </c>
      <c r="AT720" s="15" t="s">
        <v>1085</v>
      </c>
      <c r="AU720" s="15"/>
      <c r="AV720" s="15"/>
      <c r="AW720" s="15"/>
      <c r="AX720" s="15"/>
      <c r="AY720" s="15"/>
      <c r="AZ720" s="18"/>
      <c r="BA720" s="19">
        <v>2.5000000000000001E-2</v>
      </c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19">
        <v>0.05</v>
      </c>
      <c r="BM720" s="18"/>
      <c r="BN720" s="18"/>
      <c r="BO720" s="18"/>
      <c r="BP720" s="18"/>
      <c r="BQ720" s="18"/>
      <c r="BR720" s="18"/>
      <c r="BS720" s="18"/>
      <c r="BT720" s="18"/>
      <c r="BU720" s="18"/>
    </row>
    <row r="721" spans="3:73" x14ac:dyDescent="0.45">
      <c r="C721" t="s">
        <v>328</v>
      </c>
      <c r="D721" t="s">
        <v>325</v>
      </c>
      <c r="E721" t="s">
        <v>265</v>
      </c>
      <c r="J721" s="7">
        <v>2020</v>
      </c>
      <c r="K721" s="7"/>
      <c r="L721" s="7"/>
      <c r="M721" s="7"/>
      <c r="N721" s="7"/>
      <c r="O721" s="7"/>
      <c r="P721" s="7"/>
      <c r="Q721" s="7">
        <v>2020</v>
      </c>
      <c r="R721" s="7"/>
      <c r="S721" s="7"/>
      <c r="T721" s="7"/>
      <c r="U721" s="7"/>
      <c r="V721" s="7"/>
      <c r="AR721" s="15" t="s">
        <v>249</v>
      </c>
      <c r="AS721" s="15" t="s">
        <v>567</v>
      </c>
      <c r="AT721" s="15" t="s">
        <v>1086</v>
      </c>
      <c r="AU721" s="15"/>
      <c r="AV721" s="15"/>
      <c r="AW721" s="15"/>
      <c r="AX721" s="15"/>
      <c r="AY721" s="15"/>
      <c r="AZ721" s="18"/>
      <c r="BA721" s="19">
        <v>2.5000000000000001E-2</v>
      </c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9">
        <v>0.05</v>
      </c>
      <c r="BM721" s="18"/>
      <c r="BN721" s="18"/>
      <c r="BO721" s="18"/>
      <c r="BP721" s="18"/>
      <c r="BQ721" s="18"/>
      <c r="BR721" s="18"/>
      <c r="BS721" s="18"/>
      <c r="BT721" s="18"/>
      <c r="BU721" s="18"/>
    </row>
    <row r="722" spans="3:73" x14ac:dyDescent="0.45">
      <c r="C722" t="s">
        <v>328</v>
      </c>
      <c r="D722" t="s">
        <v>325</v>
      </c>
      <c r="E722" t="s">
        <v>266</v>
      </c>
      <c r="J722" s="7">
        <v>2020</v>
      </c>
      <c r="K722" s="7"/>
      <c r="L722" s="7"/>
      <c r="M722" s="7"/>
      <c r="N722" s="7"/>
      <c r="O722" s="7"/>
      <c r="P722" s="7"/>
      <c r="Q722" s="7">
        <v>2020</v>
      </c>
      <c r="R722" s="7"/>
      <c r="S722" s="7"/>
      <c r="T722" s="7"/>
      <c r="U722" s="7"/>
      <c r="V722" s="7"/>
      <c r="AR722" s="15" t="s">
        <v>249</v>
      </c>
      <c r="AS722" s="15" t="s">
        <v>567</v>
      </c>
      <c r="AT722" s="15" t="s">
        <v>1087</v>
      </c>
      <c r="AU722" s="15"/>
      <c r="AV722" s="15"/>
      <c r="AW722" s="15"/>
      <c r="AX722" s="15"/>
      <c r="AY722" s="15"/>
      <c r="AZ722" s="18"/>
      <c r="BA722" s="19">
        <v>2.5000000000000001E-2</v>
      </c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9">
        <v>0.05</v>
      </c>
      <c r="BM722" s="18"/>
      <c r="BN722" s="18"/>
      <c r="BO722" s="18"/>
      <c r="BP722" s="18"/>
      <c r="BQ722" s="18"/>
      <c r="BR722" s="18"/>
      <c r="BS722" s="18"/>
      <c r="BT722" s="18"/>
      <c r="BU722" s="18"/>
    </row>
    <row r="723" spans="3:73" x14ac:dyDescent="0.45">
      <c r="C723" t="s">
        <v>328</v>
      </c>
      <c r="D723" t="s">
        <v>325</v>
      </c>
      <c r="E723" t="s">
        <v>267</v>
      </c>
      <c r="J723" s="7">
        <v>2020</v>
      </c>
      <c r="K723" s="7"/>
      <c r="L723" s="7"/>
      <c r="M723" s="7"/>
      <c r="N723" s="7"/>
      <c r="O723" s="7"/>
      <c r="P723" s="7"/>
      <c r="Q723" s="7">
        <v>2020</v>
      </c>
      <c r="R723" s="7"/>
      <c r="S723" s="7"/>
      <c r="T723" s="7"/>
      <c r="U723" s="7"/>
      <c r="V723" s="7"/>
      <c r="AR723" s="15" t="s">
        <v>249</v>
      </c>
      <c r="AS723" s="15" t="s">
        <v>567</v>
      </c>
      <c r="AT723" s="15" t="s">
        <v>1088</v>
      </c>
      <c r="AU723" s="15"/>
      <c r="AV723" s="15"/>
      <c r="AW723" s="15"/>
      <c r="AX723" s="15"/>
      <c r="AY723" s="15"/>
      <c r="AZ723" s="18"/>
      <c r="BA723" s="19">
        <v>2.5000000000000001E-2</v>
      </c>
      <c r="BB723" s="18"/>
      <c r="BC723" s="18"/>
      <c r="BD723" s="18"/>
      <c r="BE723" s="18"/>
      <c r="BF723" s="18"/>
      <c r="BG723" s="18"/>
      <c r="BH723" s="18"/>
      <c r="BI723" s="18"/>
      <c r="BJ723" s="18"/>
      <c r="BK723" s="18"/>
      <c r="BL723" s="19">
        <v>0.05</v>
      </c>
      <c r="BM723" s="18"/>
      <c r="BN723" s="18"/>
      <c r="BO723" s="18"/>
      <c r="BP723" s="18"/>
      <c r="BQ723" s="18"/>
      <c r="BR723" s="18"/>
      <c r="BS723" s="18"/>
      <c r="BT723" s="18"/>
      <c r="BU723" s="18"/>
    </row>
    <row r="724" spans="3:73" x14ac:dyDescent="0.45">
      <c r="C724" t="s">
        <v>328</v>
      </c>
      <c r="D724" t="s">
        <v>325</v>
      </c>
      <c r="E724" t="s">
        <v>268</v>
      </c>
      <c r="J724" s="7">
        <v>2020</v>
      </c>
      <c r="K724" s="7"/>
      <c r="L724" s="7"/>
      <c r="M724" s="7"/>
      <c r="N724" s="7"/>
      <c r="O724" s="7"/>
      <c r="P724" s="7"/>
      <c r="Q724" s="7">
        <v>2020</v>
      </c>
      <c r="R724" s="7"/>
      <c r="S724" s="7"/>
      <c r="T724" s="7"/>
      <c r="U724" s="7"/>
      <c r="V724" s="7"/>
      <c r="AR724" s="15" t="s">
        <v>249</v>
      </c>
      <c r="AS724" s="15" t="s">
        <v>567</v>
      </c>
      <c r="AT724" s="15" t="s">
        <v>1089</v>
      </c>
      <c r="AU724" s="15"/>
      <c r="AV724" s="15"/>
      <c r="AW724" s="15"/>
      <c r="AX724" s="15"/>
      <c r="AY724" s="15"/>
      <c r="AZ724" s="18"/>
      <c r="BA724" s="19">
        <v>2.5000000000000001E-2</v>
      </c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9">
        <v>0.05</v>
      </c>
      <c r="BM724" s="18"/>
      <c r="BN724" s="18"/>
      <c r="BO724" s="18"/>
      <c r="BP724" s="18"/>
      <c r="BQ724" s="18"/>
      <c r="BR724" s="18"/>
      <c r="BS724" s="18"/>
      <c r="BT724" s="18"/>
      <c r="BU724" s="18"/>
    </row>
    <row r="725" spans="3:73" x14ac:dyDescent="0.45">
      <c r="C725" t="s">
        <v>328</v>
      </c>
      <c r="D725" t="s">
        <v>325</v>
      </c>
      <c r="E725" t="s">
        <v>269</v>
      </c>
      <c r="J725" s="7">
        <v>2020</v>
      </c>
      <c r="K725" s="7"/>
      <c r="L725" s="7"/>
      <c r="M725" s="7"/>
      <c r="N725" s="7"/>
      <c r="O725" s="7"/>
      <c r="P725" s="7"/>
      <c r="Q725" s="7">
        <v>2020</v>
      </c>
      <c r="R725" s="7"/>
      <c r="S725" s="7"/>
      <c r="T725" s="7"/>
      <c r="U725" s="7"/>
      <c r="V725" s="7"/>
      <c r="AR725" s="15" t="s">
        <v>249</v>
      </c>
      <c r="AS725" s="15" t="s">
        <v>567</v>
      </c>
      <c r="AT725" s="15" t="s">
        <v>1090</v>
      </c>
      <c r="AU725" s="15"/>
      <c r="AV725" s="15"/>
      <c r="AW725" s="15"/>
      <c r="AX725" s="15"/>
      <c r="AY725" s="15"/>
      <c r="AZ725" s="18"/>
      <c r="BA725" s="19">
        <v>2.5000000000000001E-2</v>
      </c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9">
        <v>0.05</v>
      </c>
      <c r="BM725" s="18"/>
      <c r="BN725" s="18"/>
      <c r="BO725" s="18"/>
      <c r="BP725" s="18"/>
      <c r="BQ725" s="18"/>
      <c r="BR725" s="18"/>
      <c r="BS725" s="18"/>
      <c r="BT725" s="18"/>
      <c r="BU725" s="18"/>
    </row>
    <row r="726" spans="3:73" x14ac:dyDescent="0.45">
      <c r="C726" t="s">
        <v>328</v>
      </c>
      <c r="D726" t="s">
        <v>325</v>
      </c>
      <c r="E726" t="s">
        <v>270</v>
      </c>
      <c r="J726" s="7">
        <v>2020</v>
      </c>
      <c r="K726" s="7"/>
      <c r="L726" s="7"/>
      <c r="M726" s="7"/>
      <c r="N726" s="7"/>
      <c r="O726" s="7"/>
      <c r="P726" s="7"/>
      <c r="Q726" s="7">
        <v>2020</v>
      </c>
      <c r="R726" s="7"/>
      <c r="S726" s="7"/>
      <c r="T726" s="7"/>
      <c r="U726" s="7"/>
      <c r="V726" s="7"/>
      <c r="AR726" s="15" t="s">
        <v>249</v>
      </c>
      <c r="AS726" s="15" t="s">
        <v>567</v>
      </c>
      <c r="AT726" s="15" t="s">
        <v>1091</v>
      </c>
      <c r="AU726" s="15"/>
      <c r="AV726" s="15"/>
      <c r="AW726" s="15"/>
      <c r="AX726" s="15"/>
      <c r="AY726" s="15"/>
      <c r="AZ726" s="18"/>
      <c r="BA726" s="19">
        <v>2.5000000000000001E-2</v>
      </c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9">
        <v>0.05</v>
      </c>
      <c r="BM726" s="18"/>
      <c r="BN726" s="18"/>
      <c r="BO726" s="18"/>
      <c r="BP726" s="18"/>
      <c r="BQ726" s="18"/>
      <c r="BR726" s="18"/>
      <c r="BS726" s="18"/>
      <c r="BT726" s="18"/>
      <c r="BU726" s="18"/>
    </row>
    <row r="727" spans="3:73" x14ac:dyDescent="0.45">
      <c r="C727" t="s">
        <v>328</v>
      </c>
      <c r="D727" t="s">
        <v>325</v>
      </c>
      <c r="E727" t="s">
        <v>271</v>
      </c>
      <c r="J727" s="7">
        <v>2020</v>
      </c>
      <c r="K727" s="7"/>
      <c r="L727" s="7"/>
      <c r="M727" s="7"/>
      <c r="N727" s="7"/>
      <c r="O727" s="7"/>
      <c r="P727" s="7"/>
      <c r="Q727" s="7">
        <v>2020</v>
      </c>
      <c r="R727" s="7"/>
      <c r="S727" s="7"/>
      <c r="T727" s="7"/>
      <c r="U727" s="7"/>
      <c r="V727" s="7"/>
      <c r="AR727" s="15" t="s">
        <v>249</v>
      </c>
      <c r="AS727" s="15" t="s">
        <v>567</v>
      </c>
      <c r="AT727" s="15" t="s">
        <v>1092</v>
      </c>
      <c r="AU727" s="15"/>
      <c r="AV727" s="15"/>
      <c r="AW727" s="15"/>
      <c r="AX727" s="15"/>
      <c r="AY727" s="15"/>
      <c r="AZ727" s="18"/>
      <c r="BA727" s="19">
        <v>2.5000000000000001E-2</v>
      </c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9">
        <v>0.05</v>
      </c>
      <c r="BM727" s="18"/>
      <c r="BN727" s="18"/>
      <c r="BO727" s="18"/>
      <c r="BP727" s="18"/>
      <c r="BQ727" s="18"/>
      <c r="BR727" s="18"/>
      <c r="BS727" s="18"/>
      <c r="BT727" s="18"/>
      <c r="BU727" s="18"/>
    </row>
    <row r="728" spans="3:73" x14ac:dyDescent="0.45">
      <c r="C728" t="s">
        <v>328</v>
      </c>
      <c r="D728" t="s">
        <v>325</v>
      </c>
      <c r="E728" t="s">
        <v>272</v>
      </c>
      <c r="J728" s="7">
        <v>2020</v>
      </c>
      <c r="K728" s="7"/>
      <c r="L728" s="7"/>
      <c r="M728" s="7"/>
      <c r="N728" s="7"/>
      <c r="O728" s="7"/>
      <c r="P728" s="7"/>
      <c r="Q728" s="7">
        <v>2020</v>
      </c>
      <c r="R728" s="7"/>
      <c r="S728" s="7"/>
      <c r="T728" s="7"/>
      <c r="U728" s="7"/>
      <c r="V728" s="7"/>
      <c r="AR728" s="15" t="s">
        <v>249</v>
      </c>
      <c r="AS728" s="15" t="s">
        <v>567</v>
      </c>
      <c r="AT728" s="15" t="s">
        <v>1093</v>
      </c>
      <c r="AU728" s="15"/>
      <c r="AV728" s="15"/>
      <c r="AW728" s="15"/>
      <c r="AX728" s="15"/>
      <c r="AY728" s="15"/>
      <c r="AZ728" s="18"/>
      <c r="BA728" s="19">
        <v>2.5000000000000001E-2</v>
      </c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9">
        <v>0.05</v>
      </c>
      <c r="BM728" s="18"/>
      <c r="BN728" s="18"/>
      <c r="BO728" s="18"/>
      <c r="BP728" s="18"/>
      <c r="BQ728" s="18"/>
      <c r="BR728" s="18"/>
      <c r="BS728" s="18"/>
      <c r="BT728" s="18"/>
      <c r="BU728" s="18"/>
    </row>
    <row r="729" spans="3:73" x14ac:dyDescent="0.45">
      <c r="C729" t="s">
        <v>328</v>
      </c>
      <c r="D729" t="s">
        <v>325</v>
      </c>
      <c r="E729" t="s">
        <v>273</v>
      </c>
      <c r="J729" s="7">
        <v>2020</v>
      </c>
      <c r="K729" s="7"/>
      <c r="L729" s="7"/>
      <c r="M729" s="7"/>
      <c r="N729" s="7"/>
      <c r="O729" s="7"/>
      <c r="P729" s="7"/>
      <c r="Q729" s="7">
        <v>2020</v>
      </c>
      <c r="R729" s="7"/>
      <c r="S729" s="7"/>
      <c r="T729" s="7"/>
      <c r="U729" s="7"/>
      <c r="V729" s="7"/>
      <c r="AR729" s="15" t="s">
        <v>249</v>
      </c>
      <c r="AS729" s="15" t="s">
        <v>567</v>
      </c>
      <c r="AT729" s="15" t="s">
        <v>1094</v>
      </c>
      <c r="AU729" s="15"/>
      <c r="AV729" s="15"/>
      <c r="AW729" s="15"/>
      <c r="AX729" s="15"/>
      <c r="AY729" s="15"/>
      <c r="AZ729" s="18"/>
      <c r="BA729" s="19">
        <v>2.5000000000000001E-2</v>
      </c>
      <c r="BB729" s="18"/>
      <c r="BC729" s="18"/>
      <c r="BD729" s="18"/>
      <c r="BE729" s="18"/>
      <c r="BF729" s="18"/>
      <c r="BG729" s="18"/>
      <c r="BH729" s="18"/>
      <c r="BI729" s="18"/>
      <c r="BJ729" s="18"/>
      <c r="BK729" s="18"/>
      <c r="BL729" s="19">
        <v>0.05</v>
      </c>
      <c r="BM729" s="18"/>
      <c r="BN729" s="18"/>
      <c r="BO729" s="18"/>
      <c r="BP729" s="18"/>
      <c r="BQ729" s="18"/>
      <c r="BR729" s="18"/>
      <c r="BS729" s="18"/>
      <c r="BT729" s="18"/>
      <c r="BU729" s="18"/>
    </row>
    <row r="730" spans="3:73" x14ac:dyDescent="0.45">
      <c r="C730" t="s">
        <v>328</v>
      </c>
      <c r="D730" t="s">
        <v>325</v>
      </c>
      <c r="E730" t="s">
        <v>274</v>
      </c>
      <c r="J730" s="7">
        <v>2020</v>
      </c>
      <c r="K730" s="7"/>
      <c r="L730" s="7"/>
      <c r="M730" s="7"/>
      <c r="N730" s="7"/>
      <c r="O730" s="7"/>
      <c r="P730" s="7"/>
      <c r="Q730" s="7">
        <v>2020</v>
      </c>
      <c r="R730" s="7"/>
      <c r="S730" s="7"/>
      <c r="T730" s="7"/>
      <c r="U730" s="7"/>
      <c r="V730" s="7"/>
      <c r="AR730" s="15" t="s">
        <v>249</v>
      </c>
      <c r="AS730" s="15" t="s">
        <v>567</v>
      </c>
      <c r="AT730" s="15" t="s">
        <v>330</v>
      </c>
      <c r="AU730" s="15"/>
      <c r="AV730" s="15"/>
      <c r="AW730" s="15"/>
      <c r="AX730" s="15"/>
      <c r="AY730" s="15"/>
      <c r="AZ730" s="18"/>
      <c r="BA730" s="19">
        <v>2.5000000000000001E-2</v>
      </c>
      <c r="BB730" s="18"/>
      <c r="BC730" s="18"/>
      <c r="BD730" s="18"/>
      <c r="BE730" s="18"/>
      <c r="BF730" s="18"/>
      <c r="BG730" s="18"/>
      <c r="BH730" s="18">
        <v>7.0000000000000007E-2</v>
      </c>
      <c r="BI730" s="18"/>
      <c r="BJ730" s="18"/>
      <c r="BK730" s="18"/>
      <c r="BL730" s="19">
        <v>0.05</v>
      </c>
      <c r="BM730" s="18"/>
      <c r="BN730" s="18"/>
      <c r="BO730" s="18"/>
      <c r="BP730" s="18"/>
      <c r="BQ730" s="18"/>
      <c r="BR730" s="18"/>
      <c r="BS730" s="18">
        <v>7.0000000000000007E-2</v>
      </c>
      <c r="BT730" s="18"/>
      <c r="BU730" s="18"/>
    </row>
    <row r="731" spans="3:73" x14ac:dyDescent="0.45">
      <c r="C731" t="s">
        <v>328</v>
      </c>
      <c r="D731" t="s">
        <v>325</v>
      </c>
      <c r="E731" t="s">
        <v>275</v>
      </c>
      <c r="J731" s="7">
        <v>2020</v>
      </c>
      <c r="K731" s="7"/>
      <c r="L731" s="7"/>
      <c r="M731" s="7"/>
      <c r="N731" s="7"/>
      <c r="O731" s="7"/>
      <c r="P731" s="7"/>
      <c r="Q731" s="7">
        <v>2020</v>
      </c>
      <c r="R731" s="7"/>
      <c r="S731" s="7"/>
      <c r="T731" s="7"/>
      <c r="U731" s="7"/>
      <c r="V731" s="7"/>
      <c r="AR731" s="15" t="s">
        <v>249</v>
      </c>
      <c r="AS731" s="15" t="s">
        <v>567</v>
      </c>
      <c r="AT731" s="15" t="s">
        <v>1095</v>
      </c>
      <c r="AU731" s="15"/>
      <c r="AV731" s="15"/>
      <c r="AW731" s="15"/>
      <c r="AX731" s="15"/>
      <c r="AY731" s="15"/>
      <c r="AZ731" s="18"/>
      <c r="BA731" s="19">
        <v>2.5000000000000001E-2</v>
      </c>
      <c r="BB731" s="18"/>
      <c r="BC731" s="18"/>
      <c r="BD731" s="18"/>
      <c r="BE731" s="18"/>
      <c r="BF731" s="18"/>
      <c r="BG731" s="18"/>
      <c r="BH731" s="18">
        <v>7.0000000000000007E-2</v>
      </c>
      <c r="BI731" s="18"/>
      <c r="BJ731" s="18"/>
      <c r="BK731" s="18"/>
      <c r="BL731" s="19">
        <v>0.05</v>
      </c>
      <c r="BM731" s="18"/>
      <c r="BN731" s="18"/>
      <c r="BO731" s="18"/>
      <c r="BP731" s="18"/>
      <c r="BQ731" s="18"/>
      <c r="BR731" s="18"/>
      <c r="BS731" s="18">
        <v>7.0000000000000007E-2</v>
      </c>
      <c r="BT731" s="18"/>
      <c r="BU731" s="18"/>
    </row>
    <row r="732" spans="3:73" x14ac:dyDescent="0.45">
      <c r="C732" t="s">
        <v>328</v>
      </c>
      <c r="D732" t="s">
        <v>325</v>
      </c>
      <c r="E732" t="s">
        <v>276</v>
      </c>
      <c r="J732" s="7">
        <v>2020</v>
      </c>
      <c r="K732" s="7"/>
      <c r="L732" s="7"/>
      <c r="M732" s="7"/>
      <c r="N732" s="7"/>
      <c r="O732" s="7"/>
      <c r="P732" s="7"/>
      <c r="Q732" s="7">
        <v>2020</v>
      </c>
      <c r="R732" s="7"/>
      <c r="S732" s="7"/>
      <c r="T732" s="7"/>
      <c r="U732" s="7"/>
      <c r="V732" s="7"/>
      <c r="AR732" s="15" t="s">
        <v>249</v>
      </c>
      <c r="AS732" s="15" t="s">
        <v>567</v>
      </c>
      <c r="AT732" s="15" t="s">
        <v>331</v>
      </c>
      <c r="AU732" s="15"/>
      <c r="AV732" s="15"/>
      <c r="AW732" s="15"/>
      <c r="AX732" s="15"/>
      <c r="AY732" s="15"/>
      <c r="AZ732" s="18"/>
      <c r="BA732" s="19">
        <v>2.5000000000000001E-2</v>
      </c>
      <c r="BB732" s="18"/>
      <c r="BC732" s="18"/>
      <c r="BD732" s="18"/>
      <c r="BE732" s="18"/>
      <c r="BF732" s="18"/>
      <c r="BG732" s="18"/>
      <c r="BH732" s="18">
        <v>7.0000000000000007E-2</v>
      </c>
      <c r="BI732" s="18"/>
      <c r="BJ732" s="18"/>
      <c r="BK732" s="18"/>
      <c r="BL732" s="19">
        <v>0.05</v>
      </c>
      <c r="BM732" s="18"/>
      <c r="BN732" s="18"/>
      <c r="BO732" s="18"/>
      <c r="BP732" s="18"/>
      <c r="BQ732" s="18"/>
      <c r="BR732" s="18"/>
      <c r="BS732" s="18">
        <v>7.0000000000000007E-2</v>
      </c>
      <c r="BT732" s="18"/>
      <c r="BU732" s="18"/>
    </row>
    <row r="733" spans="3:73" x14ac:dyDescent="0.45">
      <c r="C733" t="s">
        <v>328</v>
      </c>
      <c r="D733" t="s">
        <v>325</v>
      </c>
      <c r="E733" t="s">
        <v>277</v>
      </c>
      <c r="J733" s="7">
        <v>2020</v>
      </c>
      <c r="K733" s="7"/>
      <c r="L733" s="7"/>
      <c r="M733" s="7"/>
      <c r="N733" s="7"/>
      <c r="O733" s="7"/>
      <c r="P733" s="7"/>
      <c r="Q733" s="7">
        <v>2020</v>
      </c>
      <c r="R733" s="7"/>
      <c r="S733" s="7"/>
      <c r="T733" s="7"/>
      <c r="U733" s="7"/>
      <c r="V733" s="7"/>
      <c r="AR733" s="15" t="s">
        <v>249</v>
      </c>
      <c r="AS733" s="15" t="s">
        <v>567</v>
      </c>
      <c r="AT733" s="15" t="s">
        <v>341</v>
      </c>
      <c r="AU733" s="15"/>
      <c r="AV733" s="15"/>
      <c r="AW733" s="15"/>
      <c r="AX733" s="15"/>
      <c r="AY733" s="15"/>
      <c r="AZ733" s="18"/>
      <c r="BA733" s="19">
        <v>2.5000000000000001E-2</v>
      </c>
      <c r="BB733" s="18"/>
      <c r="BC733" s="18"/>
      <c r="BD733" s="18"/>
      <c r="BE733" s="18"/>
      <c r="BF733" s="18"/>
      <c r="BG733" s="18"/>
      <c r="BH733" s="18"/>
      <c r="BI733" s="18"/>
      <c r="BJ733" s="18"/>
      <c r="BK733" s="18"/>
      <c r="BL733" s="19">
        <v>0.05</v>
      </c>
      <c r="BM733" s="18"/>
      <c r="BN733" s="18"/>
      <c r="BO733" s="18"/>
      <c r="BP733" s="18"/>
      <c r="BQ733" s="18"/>
      <c r="BR733" s="18"/>
      <c r="BS733" s="18"/>
      <c r="BT733" s="18"/>
      <c r="BU733" s="18"/>
    </row>
    <row r="734" spans="3:73" x14ac:dyDescent="0.45">
      <c r="C734" t="s">
        <v>328</v>
      </c>
      <c r="D734" t="s">
        <v>325</v>
      </c>
      <c r="E734" t="s">
        <v>278</v>
      </c>
      <c r="J734" s="7">
        <v>2020</v>
      </c>
      <c r="K734" s="7"/>
      <c r="L734" s="7"/>
      <c r="M734" s="7"/>
      <c r="N734" s="7"/>
      <c r="O734" s="7"/>
      <c r="P734" s="7"/>
      <c r="Q734" s="7">
        <v>2020</v>
      </c>
      <c r="R734" s="7"/>
      <c r="S734" s="7"/>
      <c r="T734" s="7"/>
      <c r="U734" s="7"/>
      <c r="V734" s="7"/>
      <c r="AR734" s="15" t="s">
        <v>249</v>
      </c>
      <c r="AS734" s="15" t="s">
        <v>567</v>
      </c>
      <c r="AT734" s="15" t="s">
        <v>342</v>
      </c>
      <c r="AU734" s="15"/>
      <c r="AV734" s="15"/>
      <c r="AW734" s="15"/>
      <c r="AX734" s="15"/>
      <c r="AY734" s="15"/>
      <c r="AZ734" s="18"/>
      <c r="BA734" s="19">
        <v>2.5000000000000001E-2</v>
      </c>
      <c r="BB734" s="18"/>
      <c r="BC734" s="18"/>
      <c r="BD734" s="18"/>
      <c r="BE734" s="18"/>
      <c r="BF734" s="18"/>
      <c r="BG734" s="18"/>
      <c r="BH734" s="18"/>
      <c r="BI734" s="18"/>
      <c r="BJ734" s="18"/>
      <c r="BK734" s="18"/>
      <c r="BL734" s="19">
        <v>0.05</v>
      </c>
      <c r="BM734" s="18"/>
      <c r="BN734" s="18"/>
      <c r="BO734" s="18"/>
      <c r="BP734" s="18"/>
      <c r="BQ734" s="18"/>
      <c r="BR734" s="18"/>
      <c r="BS734" s="18"/>
      <c r="BT734" s="18"/>
      <c r="BU734" s="18"/>
    </row>
    <row r="735" spans="3:73" x14ac:dyDescent="0.45">
      <c r="C735" t="s">
        <v>328</v>
      </c>
      <c r="D735" t="s">
        <v>325</v>
      </c>
      <c r="E735" t="s">
        <v>279</v>
      </c>
      <c r="J735" s="7">
        <v>2020</v>
      </c>
      <c r="K735" s="7"/>
      <c r="L735" s="7"/>
      <c r="M735" s="7"/>
      <c r="N735" s="7"/>
      <c r="O735" s="7"/>
      <c r="P735" s="7"/>
      <c r="Q735" s="7">
        <v>2020</v>
      </c>
      <c r="R735" s="7"/>
      <c r="S735" s="7"/>
      <c r="T735" s="7"/>
      <c r="U735" s="7"/>
      <c r="V735" s="7"/>
      <c r="AR735" s="15" t="s">
        <v>249</v>
      </c>
      <c r="AS735" s="15" t="s">
        <v>567</v>
      </c>
      <c r="AT735" s="15" t="s">
        <v>1096</v>
      </c>
      <c r="AU735" s="15"/>
      <c r="AV735" s="15"/>
      <c r="AW735" s="15"/>
      <c r="AX735" s="15"/>
      <c r="AY735" s="15"/>
      <c r="AZ735" s="18"/>
      <c r="BA735" s="19">
        <v>2.5000000000000001E-2</v>
      </c>
      <c r="BB735" s="18"/>
      <c r="BC735" s="18"/>
      <c r="BD735" s="18"/>
      <c r="BE735" s="18"/>
      <c r="BF735" s="18"/>
      <c r="BG735" s="18"/>
      <c r="BH735" s="18"/>
      <c r="BI735" s="18"/>
      <c r="BJ735" s="18"/>
      <c r="BK735" s="18"/>
      <c r="BL735" s="19">
        <v>0.05</v>
      </c>
      <c r="BM735" s="18"/>
      <c r="BN735" s="18"/>
      <c r="BO735" s="18"/>
      <c r="BP735" s="18"/>
      <c r="BQ735" s="18"/>
      <c r="BR735" s="18"/>
      <c r="BS735" s="18"/>
      <c r="BT735" s="18"/>
      <c r="BU735" s="18"/>
    </row>
    <row r="736" spans="3:73" x14ac:dyDescent="0.45">
      <c r="C736" t="s">
        <v>328</v>
      </c>
      <c r="D736" t="s">
        <v>325</v>
      </c>
      <c r="E736" t="s">
        <v>280</v>
      </c>
      <c r="J736" s="7">
        <v>2020</v>
      </c>
      <c r="K736" s="7"/>
      <c r="L736" s="7"/>
      <c r="M736" s="7"/>
      <c r="N736" s="7"/>
      <c r="O736" s="7"/>
      <c r="P736" s="7"/>
      <c r="Q736" s="7">
        <v>2020</v>
      </c>
      <c r="R736" s="7"/>
      <c r="S736" s="7"/>
      <c r="T736" s="7"/>
      <c r="U736" s="7"/>
      <c r="V736" s="7"/>
      <c r="AR736" s="15" t="s">
        <v>249</v>
      </c>
      <c r="AS736" s="15" t="s">
        <v>567</v>
      </c>
      <c r="AT736" s="15" t="s">
        <v>344</v>
      </c>
      <c r="AU736" s="15"/>
      <c r="AV736" s="15"/>
      <c r="AW736" s="15"/>
      <c r="AX736" s="15"/>
      <c r="AY736" s="15"/>
      <c r="AZ736" s="18"/>
      <c r="BA736" s="19">
        <v>2.5000000000000001E-2</v>
      </c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9">
        <v>0.05</v>
      </c>
      <c r="BM736" s="18"/>
      <c r="BN736" s="18"/>
      <c r="BO736" s="18"/>
      <c r="BP736" s="18"/>
      <c r="BQ736" s="18"/>
      <c r="BR736" s="18"/>
      <c r="BS736" s="18"/>
      <c r="BT736" s="18"/>
      <c r="BU736" s="18"/>
    </row>
    <row r="737" spans="3:73" x14ac:dyDescent="0.45">
      <c r="C737" t="s">
        <v>328</v>
      </c>
      <c r="D737" t="s">
        <v>325</v>
      </c>
      <c r="E737" t="s">
        <v>281</v>
      </c>
      <c r="J737" s="7">
        <v>2020</v>
      </c>
      <c r="K737" s="7"/>
      <c r="L737" s="7"/>
      <c r="M737" s="7"/>
      <c r="N737" s="7"/>
      <c r="O737" s="7"/>
      <c r="P737" s="7"/>
      <c r="Q737" s="7">
        <v>2020</v>
      </c>
      <c r="R737" s="7"/>
      <c r="S737" s="7"/>
      <c r="T737" s="7"/>
      <c r="U737" s="7"/>
      <c r="V737" s="7"/>
      <c r="AR737" s="15" t="s">
        <v>249</v>
      </c>
      <c r="AS737" s="15" t="s">
        <v>567</v>
      </c>
      <c r="AT737" s="15" t="s">
        <v>345</v>
      </c>
      <c r="AU737" s="15"/>
      <c r="AV737" s="15"/>
      <c r="AW737" s="15"/>
      <c r="AX737" s="15"/>
      <c r="AY737" s="15"/>
      <c r="AZ737" s="18"/>
      <c r="BA737" s="19">
        <v>2.5000000000000001E-2</v>
      </c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9">
        <v>0.05</v>
      </c>
      <c r="BM737" s="18"/>
      <c r="BN737" s="18"/>
      <c r="BO737" s="18"/>
      <c r="BP737" s="18"/>
      <c r="BQ737" s="18"/>
      <c r="BR737" s="18"/>
      <c r="BS737" s="18"/>
      <c r="BT737" s="18"/>
      <c r="BU737" s="18"/>
    </row>
    <row r="738" spans="3:73" x14ac:dyDescent="0.45">
      <c r="C738" t="s">
        <v>328</v>
      </c>
      <c r="D738" t="s">
        <v>325</v>
      </c>
      <c r="E738" t="s">
        <v>282</v>
      </c>
      <c r="J738" s="7">
        <v>2020</v>
      </c>
      <c r="K738" s="7"/>
      <c r="L738" s="7"/>
      <c r="M738" s="7"/>
      <c r="N738" s="7"/>
      <c r="O738" s="7"/>
      <c r="P738" s="7"/>
      <c r="Q738" s="7">
        <v>2020</v>
      </c>
      <c r="R738" s="7"/>
      <c r="S738" s="7"/>
      <c r="T738" s="7"/>
      <c r="U738" s="7"/>
      <c r="V738" s="7"/>
      <c r="AR738" s="15" t="s">
        <v>249</v>
      </c>
      <c r="AS738" s="15" t="s">
        <v>567</v>
      </c>
      <c r="AT738" s="15" t="s">
        <v>347</v>
      </c>
      <c r="AU738" s="15"/>
      <c r="AV738" s="15"/>
      <c r="AW738" s="15"/>
      <c r="AX738" s="15"/>
      <c r="AY738" s="15"/>
      <c r="AZ738" s="18"/>
      <c r="BA738" s="19">
        <v>2.5000000000000001E-2</v>
      </c>
      <c r="BB738" s="18"/>
      <c r="BC738" s="18"/>
      <c r="BD738" s="18"/>
      <c r="BE738" s="18"/>
      <c r="BF738" s="18"/>
      <c r="BG738" s="18"/>
      <c r="BH738" s="18"/>
      <c r="BI738" s="18"/>
      <c r="BJ738" s="18"/>
      <c r="BK738" s="18"/>
      <c r="BL738" s="19">
        <v>0.05</v>
      </c>
      <c r="BM738" s="18"/>
      <c r="BN738" s="18"/>
      <c r="BO738" s="18"/>
      <c r="BP738" s="18"/>
      <c r="BQ738" s="18"/>
      <c r="BR738" s="18"/>
      <c r="BS738" s="18"/>
      <c r="BT738" s="18"/>
      <c r="BU738" s="18"/>
    </row>
    <row r="739" spans="3:73" x14ac:dyDescent="0.45">
      <c r="C739" t="s">
        <v>328</v>
      </c>
      <c r="D739" t="s">
        <v>325</v>
      </c>
      <c r="E739" t="s">
        <v>283</v>
      </c>
      <c r="J739" s="7">
        <v>2020</v>
      </c>
      <c r="K739" s="7"/>
      <c r="L739" s="7"/>
      <c r="M739" s="7"/>
      <c r="N739" s="7"/>
      <c r="O739" s="7"/>
      <c r="P739" s="7"/>
      <c r="Q739" s="7">
        <v>2020</v>
      </c>
      <c r="R739" s="7"/>
      <c r="S739" s="7"/>
      <c r="T739" s="7"/>
      <c r="U739" s="7"/>
      <c r="V739" s="7"/>
      <c r="AR739" s="15" t="s">
        <v>249</v>
      </c>
      <c r="AS739" s="15" t="s">
        <v>567</v>
      </c>
      <c r="AT739" s="15" t="s">
        <v>348</v>
      </c>
      <c r="AU739" s="15"/>
      <c r="AV739" s="15"/>
      <c r="AW739" s="15"/>
      <c r="AX739" s="15"/>
      <c r="AY739" s="15"/>
      <c r="AZ739" s="18"/>
      <c r="BA739" s="19">
        <v>2.5000000000000001E-2</v>
      </c>
      <c r="BB739" s="18"/>
      <c r="BC739" s="18"/>
      <c r="BD739" s="18"/>
      <c r="BE739" s="18"/>
      <c r="BF739" s="18"/>
      <c r="BG739" s="18"/>
      <c r="BH739" s="18"/>
      <c r="BI739" s="18"/>
      <c r="BJ739" s="18"/>
      <c r="BK739" s="18"/>
      <c r="BL739" s="19">
        <v>0.05</v>
      </c>
      <c r="BM739" s="18"/>
      <c r="BN739" s="18"/>
      <c r="BO739" s="18"/>
      <c r="BP739" s="18"/>
      <c r="BQ739" s="18"/>
      <c r="BR739" s="18"/>
      <c r="BS739" s="18"/>
      <c r="BT739" s="18"/>
      <c r="BU739" s="18"/>
    </row>
    <row r="740" spans="3:73" x14ac:dyDescent="0.45">
      <c r="C740" t="s">
        <v>328</v>
      </c>
      <c r="D740" t="s">
        <v>325</v>
      </c>
      <c r="E740" t="s">
        <v>284</v>
      </c>
      <c r="J740" s="7">
        <v>2020</v>
      </c>
      <c r="K740" s="7"/>
      <c r="L740" s="7"/>
      <c r="M740" s="7"/>
      <c r="N740" s="7"/>
      <c r="O740" s="7"/>
      <c r="P740" s="7"/>
      <c r="Q740" s="7">
        <v>2020</v>
      </c>
      <c r="R740" s="7"/>
      <c r="S740" s="7"/>
      <c r="T740" s="7"/>
      <c r="U740" s="7"/>
      <c r="V740" s="7"/>
      <c r="AR740" s="15" t="s">
        <v>249</v>
      </c>
      <c r="AS740" s="15" t="s">
        <v>567</v>
      </c>
      <c r="AT740" s="15" t="s">
        <v>1097</v>
      </c>
      <c r="AU740" s="15"/>
      <c r="AV740" s="15"/>
      <c r="AW740" s="15"/>
      <c r="AX740" s="15"/>
      <c r="AY740" s="15"/>
      <c r="AZ740" s="18"/>
      <c r="BA740" s="19">
        <v>0.02</v>
      </c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9">
        <v>0.02</v>
      </c>
      <c r="BM740" s="18"/>
      <c r="BN740" s="18"/>
      <c r="BO740" s="18"/>
      <c r="BP740" s="18"/>
      <c r="BQ740" s="18"/>
      <c r="BR740" s="18"/>
      <c r="BS740" s="18"/>
      <c r="BT740" s="18"/>
      <c r="BU740" s="18"/>
    </row>
    <row r="741" spans="3:73" x14ac:dyDescent="0.45">
      <c r="C741" t="s">
        <v>328</v>
      </c>
      <c r="D741" t="s">
        <v>325</v>
      </c>
      <c r="E741" t="s">
        <v>285</v>
      </c>
      <c r="J741" s="7">
        <v>2020</v>
      </c>
      <c r="K741" s="7"/>
      <c r="L741" s="7"/>
      <c r="M741" s="7"/>
      <c r="N741" s="7"/>
      <c r="O741" s="7"/>
      <c r="P741" s="7"/>
      <c r="Q741" s="7">
        <v>2020</v>
      </c>
      <c r="R741" s="7"/>
      <c r="S741" s="7"/>
      <c r="T741" s="7"/>
      <c r="U741" s="7"/>
      <c r="V741" s="7"/>
      <c r="AR741" s="15" t="s">
        <v>249</v>
      </c>
      <c r="AS741" s="15" t="s">
        <v>567</v>
      </c>
      <c r="AT741" s="15" t="s">
        <v>350</v>
      </c>
      <c r="AU741" s="15"/>
      <c r="AV741" s="15"/>
      <c r="AW741" s="15"/>
      <c r="AX741" s="15"/>
      <c r="AY741" s="15"/>
      <c r="AZ741" s="18"/>
      <c r="BA741" s="19">
        <v>0.02</v>
      </c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9">
        <v>0.02</v>
      </c>
      <c r="BM741" s="18"/>
      <c r="BN741" s="18"/>
      <c r="BO741" s="18"/>
      <c r="BP741" s="18"/>
      <c r="BQ741" s="18"/>
      <c r="BR741" s="18"/>
      <c r="BS741" s="18"/>
      <c r="BT741" s="18"/>
      <c r="BU741" s="18"/>
    </row>
    <row r="742" spans="3:73" x14ac:dyDescent="0.45">
      <c r="C742" t="s">
        <v>328</v>
      </c>
      <c r="D742" t="s">
        <v>325</v>
      </c>
      <c r="E742" t="s">
        <v>286</v>
      </c>
      <c r="J742" s="7">
        <v>2020</v>
      </c>
      <c r="K742" s="7"/>
      <c r="L742" s="7"/>
      <c r="M742" s="7"/>
      <c r="N742" s="7"/>
      <c r="O742" s="7"/>
      <c r="P742" s="7"/>
      <c r="Q742" s="7">
        <v>2020</v>
      </c>
      <c r="R742" s="7"/>
      <c r="S742" s="7"/>
      <c r="T742" s="7"/>
      <c r="U742" s="7"/>
      <c r="V742" s="7"/>
      <c r="AR742" s="15" t="s">
        <v>249</v>
      </c>
      <c r="AS742" s="15" t="s">
        <v>567</v>
      </c>
      <c r="AT742" s="15" t="s">
        <v>351</v>
      </c>
      <c r="AU742" s="15"/>
      <c r="AV742" s="15"/>
      <c r="AW742" s="15"/>
      <c r="AX742" s="15"/>
      <c r="AY742" s="15"/>
      <c r="AZ742" s="18"/>
      <c r="BA742" s="19">
        <v>0.02</v>
      </c>
      <c r="BB742" s="18"/>
      <c r="BC742" s="18"/>
      <c r="BD742" s="18"/>
      <c r="BE742" s="18"/>
      <c r="BF742" s="18"/>
      <c r="BG742" s="18"/>
      <c r="BH742" s="18"/>
      <c r="BI742" s="18"/>
      <c r="BJ742" s="18"/>
      <c r="BK742" s="18"/>
      <c r="BL742" s="19">
        <v>0.02</v>
      </c>
      <c r="BM742" s="18"/>
      <c r="BN742" s="18"/>
      <c r="BO742" s="18"/>
      <c r="BP742" s="18"/>
      <c r="BQ742" s="18"/>
      <c r="BR742" s="18"/>
      <c r="BS742" s="18"/>
      <c r="BT742" s="18"/>
      <c r="BU742" s="18"/>
    </row>
    <row r="743" spans="3:73" x14ac:dyDescent="0.45">
      <c r="C743" t="s">
        <v>328</v>
      </c>
      <c r="D743" t="s">
        <v>325</v>
      </c>
      <c r="E743" t="s">
        <v>287</v>
      </c>
      <c r="J743" s="7">
        <v>2020</v>
      </c>
      <c r="K743" s="7"/>
      <c r="L743" s="7"/>
      <c r="M743" s="7"/>
      <c r="N743" s="7"/>
      <c r="O743" s="7"/>
      <c r="P743" s="7"/>
      <c r="Q743" s="7">
        <v>2020</v>
      </c>
      <c r="R743" s="7"/>
      <c r="S743" s="7"/>
      <c r="T743" s="7"/>
      <c r="U743" s="7"/>
      <c r="V743" s="7"/>
      <c r="AR743" s="15" t="s">
        <v>249</v>
      </c>
      <c r="AS743" s="15" t="s">
        <v>567</v>
      </c>
      <c r="AT743" s="15" t="s">
        <v>353</v>
      </c>
      <c r="AU743" s="15"/>
      <c r="AV743" s="15"/>
      <c r="AW743" s="15"/>
      <c r="AX743" s="15"/>
      <c r="AY743" s="15"/>
      <c r="AZ743" s="18"/>
      <c r="BA743" s="19">
        <v>0.02</v>
      </c>
      <c r="BB743" s="18"/>
      <c r="BC743" s="18"/>
      <c r="BD743" s="18"/>
      <c r="BE743" s="18"/>
      <c r="BF743" s="18"/>
      <c r="BG743" s="18"/>
      <c r="BH743" s="18">
        <f>BA743*2</f>
        <v>0.04</v>
      </c>
      <c r="BI743" s="18"/>
      <c r="BJ743" s="18"/>
      <c r="BK743" s="18"/>
      <c r="BL743" s="19">
        <v>0.02</v>
      </c>
      <c r="BM743" s="18"/>
      <c r="BN743" s="18"/>
      <c r="BO743" s="18"/>
      <c r="BP743" s="18"/>
      <c r="BQ743" s="18"/>
      <c r="BR743" s="18"/>
      <c r="BS743" s="18">
        <f>BL743*2</f>
        <v>0.04</v>
      </c>
      <c r="BT743" s="18"/>
      <c r="BU743" s="18"/>
    </row>
    <row r="744" spans="3:73" x14ac:dyDescent="0.45">
      <c r="C744" t="s">
        <v>328</v>
      </c>
      <c r="D744" t="s">
        <v>325</v>
      </c>
      <c r="E744" t="s">
        <v>288</v>
      </c>
      <c r="J744" s="7">
        <v>2020</v>
      </c>
      <c r="K744" s="7"/>
      <c r="L744" s="7"/>
      <c r="M744" s="7"/>
      <c r="N744" s="7"/>
      <c r="O744" s="7"/>
      <c r="P744" s="7"/>
      <c r="Q744" s="7">
        <v>2020</v>
      </c>
      <c r="R744" s="7"/>
      <c r="S744" s="7"/>
      <c r="T744" s="7"/>
      <c r="U744" s="7"/>
      <c r="V744" s="7"/>
      <c r="AR744" s="15" t="s">
        <v>249</v>
      </c>
      <c r="AS744" s="15" t="s">
        <v>567</v>
      </c>
      <c r="AT744" s="15" t="s">
        <v>1098</v>
      </c>
      <c r="AU744" s="15"/>
      <c r="AV744" s="15"/>
      <c r="AW744" s="15"/>
      <c r="AX744" s="15"/>
      <c r="AY744" s="15"/>
      <c r="AZ744" s="18"/>
      <c r="BA744" s="19">
        <v>0.02</v>
      </c>
      <c r="BB744" s="18"/>
      <c r="BC744" s="18"/>
      <c r="BD744" s="18"/>
      <c r="BE744" s="18"/>
      <c r="BF744" s="18"/>
      <c r="BG744" s="18"/>
      <c r="BH744" s="18">
        <f t="shared" ref="BH744:BH746" si="12">BA744*2</f>
        <v>0.04</v>
      </c>
      <c r="BI744" s="18"/>
      <c r="BJ744" s="18"/>
      <c r="BK744" s="18"/>
      <c r="BL744" s="19">
        <v>0.02</v>
      </c>
      <c r="BM744" s="18"/>
      <c r="BN744" s="18"/>
      <c r="BO744" s="18"/>
      <c r="BP744" s="18"/>
      <c r="BQ744" s="18"/>
      <c r="BR744" s="18"/>
      <c r="BS744" s="18">
        <f t="shared" ref="BS744:BS746" si="13">BL744*2</f>
        <v>0.04</v>
      </c>
      <c r="BT744" s="18"/>
      <c r="BU744" s="18"/>
    </row>
    <row r="745" spans="3:73" x14ac:dyDescent="0.45">
      <c r="C745" t="s">
        <v>328</v>
      </c>
      <c r="D745" t="s">
        <v>325</v>
      </c>
      <c r="E745" t="s">
        <v>289</v>
      </c>
      <c r="J745" s="7">
        <v>2020</v>
      </c>
      <c r="K745" s="7"/>
      <c r="L745" s="7"/>
      <c r="M745" s="7"/>
      <c r="N745" s="7"/>
      <c r="O745" s="7"/>
      <c r="P745" s="7"/>
      <c r="Q745" s="7">
        <v>2020</v>
      </c>
      <c r="R745" s="7"/>
      <c r="S745" s="7"/>
      <c r="T745" s="7"/>
      <c r="U745" s="7"/>
      <c r="V745" s="7"/>
      <c r="AR745" s="15" t="s">
        <v>249</v>
      </c>
      <c r="AS745" s="15" t="s">
        <v>567</v>
      </c>
      <c r="AT745" s="15" t="s">
        <v>1099</v>
      </c>
      <c r="AU745" s="15"/>
      <c r="AV745" s="15"/>
      <c r="AW745" s="15"/>
      <c r="AX745" s="15"/>
      <c r="AY745" s="15"/>
      <c r="AZ745" s="18"/>
      <c r="BA745" s="19">
        <v>0.02</v>
      </c>
      <c r="BB745" s="18"/>
      <c r="BC745" s="18"/>
      <c r="BD745" s="18"/>
      <c r="BE745" s="18"/>
      <c r="BF745" s="18"/>
      <c r="BG745" s="18"/>
      <c r="BH745" s="18">
        <f t="shared" si="12"/>
        <v>0.04</v>
      </c>
      <c r="BI745" s="18"/>
      <c r="BJ745" s="18"/>
      <c r="BK745" s="18"/>
      <c r="BL745" s="19">
        <v>0.02</v>
      </c>
      <c r="BM745" s="18"/>
      <c r="BN745" s="18"/>
      <c r="BO745" s="18"/>
      <c r="BP745" s="18"/>
      <c r="BQ745" s="18"/>
      <c r="BR745" s="18"/>
      <c r="BS745" s="18">
        <f t="shared" si="13"/>
        <v>0.04</v>
      </c>
      <c r="BT745" s="18"/>
      <c r="BU745" s="18"/>
    </row>
    <row r="746" spans="3:73" x14ac:dyDescent="0.45">
      <c r="C746" t="s">
        <v>328</v>
      </c>
      <c r="D746" t="s">
        <v>325</v>
      </c>
      <c r="E746" t="s">
        <v>290</v>
      </c>
      <c r="J746" s="7">
        <v>2020</v>
      </c>
      <c r="K746" s="7"/>
      <c r="L746" s="7"/>
      <c r="M746" s="7"/>
      <c r="N746" s="7"/>
      <c r="O746" s="7"/>
      <c r="P746" s="7"/>
      <c r="Q746" s="7">
        <v>2020</v>
      </c>
      <c r="R746" s="7"/>
      <c r="S746" s="7"/>
      <c r="T746" s="7"/>
      <c r="U746" s="7"/>
      <c r="V746" s="7"/>
      <c r="AR746" s="15" t="s">
        <v>249</v>
      </c>
      <c r="AS746" s="15" t="s">
        <v>567</v>
      </c>
      <c r="AT746" s="15" t="s">
        <v>354</v>
      </c>
      <c r="AU746" s="15"/>
      <c r="AV746" s="15"/>
      <c r="AW746" s="15"/>
      <c r="AX746" s="15"/>
      <c r="AY746" s="15"/>
      <c r="AZ746" s="18"/>
      <c r="BA746" s="19">
        <v>0.02</v>
      </c>
      <c r="BB746" s="18"/>
      <c r="BC746" s="18"/>
      <c r="BD746" s="18"/>
      <c r="BE746" s="18"/>
      <c r="BF746" s="18"/>
      <c r="BG746" s="18"/>
      <c r="BH746" s="18">
        <f t="shared" si="12"/>
        <v>0.04</v>
      </c>
      <c r="BI746" s="18"/>
      <c r="BJ746" s="18"/>
      <c r="BK746" s="18"/>
      <c r="BL746" s="19">
        <v>0.02</v>
      </c>
      <c r="BM746" s="18"/>
      <c r="BN746" s="18"/>
      <c r="BO746" s="18"/>
      <c r="BP746" s="18"/>
      <c r="BQ746" s="18"/>
      <c r="BR746" s="18"/>
      <c r="BS746" s="18">
        <f t="shared" si="13"/>
        <v>0.04</v>
      </c>
      <c r="BT746" s="18"/>
      <c r="BU746" s="18"/>
    </row>
    <row r="747" spans="3:73" x14ac:dyDescent="0.45">
      <c r="C747" t="s">
        <v>328</v>
      </c>
      <c r="D747" t="s">
        <v>325</v>
      </c>
      <c r="E747" t="s">
        <v>291</v>
      </c>
      <c r="J747" s="7">
        <v>2020</v>
      </c>
      <c r="K747" s="7"/>
      <c r="L747" s="7"/>
      <c r="M747" s="7"/>
      <c r="N747" s="7"/>
      <c r="O747" s="7"/>
      <c r="P747" s="7"/>
      <c r="Q747" s="7">
        <v>2020</v>
      </c>
      <c r="R747" s="7"/>
      <c r="S747" s="7"/>
      <c r="T747" s="7"/>
      <c r="U747" s="7"/>
      <c r="V747" s="7"/>
      <c r="AR747" s="15" t="s">
        <v>249</v>
      </c>
      <c r="AS747" s="15" t="s">
        <v>567</v>
      </c>
      <c r="AT747" s="15" t="s">
        <v>361</v>
      </c>
      <c r="AU747" s="15"/>
      <c r="AV747" s="15"/>
      <c r="AW747" s="15"/>
      <c r="AX747" s="15"/>
      <c r="AY747" s="15"/>
      <c r="AZ747" s="18"/>
      <c r="BA747" s="19">
        <v>0.02</v>
      </c>
      <c r="BB747" s="18"/>
      <c r="BC747" s="18"/>
      <c r="BD747" s="18"/>
      <c r="BE747" s="18"/>
      <c r="BF747" s="18"/>
      <c r="BG747" s="18"/>
      <c r="BH747" s="18"/>
      <c r="BI747" s="18"/>
      <c r="BJ747" s="18"/>
      <c r="BK747" s="18"/>
      <c r="BL747" s="19">
        <v>0.02</v>
      </c>
      <c r="BM747" s="18"/>
      <c r="BN747" s="18"/>
      <c r="BO747" s="18"/>
      <c r="BP747" s="18"/>
      <c r="BQ747" s="18"/>
      <c r="BR747" s="18"/>
      <c r="BS747" s="18"/>
      <c r="BT747" s="18"/>
      <c r="BU747" s="18"/>
    </row>
    <row r="748" spans="3:73" x14ac:dyDescent="0.45">
      <c r="C748" t="s">
        <v>328</v>
      </c>
      <c r="D748" t="s">
        <v>325</v>
      </c>
      <c r="E748" t="s">
        <v>292</v>
      </c>
      <c r="J748" s="7">
        <v>2020</v>
      </c>
      <c r="K748" s="7"/>
      <c r="L748" s="7"/>
      <c r="M748" s="7"/>
      <c r="N748" s="7"/>
      <c r="O748" s="7"/>
      <c r="P748" s="7"/>
      <c r="Q748" s="7">
        <v>2020</v>
      </c>
      <c r="R748" s="7"/>
      <c r="S748" s="7"/>
      <c r="T748" s="7"/>
      <c r="U748" s="7"/>
      <c r="V748" s="7"/>
      <c r="AR748" s="15" t="s">
        <v>249</v>
      </c>
      <c r="AS748" s="15" t="s">
        <v>324</v>
      </c>
      <c r="AT748" s="15" t="s">
        <v>1100</v>
      </c>
      <c r="AU748" s="15"/>
      <c r="AV748" s="15"/>
      <c r="AW748" s="15"/>
      <c r="AX748" s="15"/>
      <c r="AY748" s="15" t="s">
        <v>323</v>
      </c>
      <c r="AZ748" s="18"/>
      <c r="BA748" s="18"/>
      <c r="BB748" s="18"/>
      <c r="BC748" s="18"/>
      <c r="BD748" s="18"/>
      <c r="BE748" s="18"/>
      <c r="BF748" s="19">
        <v>5</v>
      </c>
      <c r="BG748" s="18"/>
      <c r="BH748" s="19">
        <v>5</v>
      </c>
      <c r="BI748" s="18"/>
      <c r="BJ748" s="18"/>
      <c r="BK748" s="18"/>
      <c r="BL748" s="18"/>
      <c r="BM748" s="18"/>
      <c r="BN748" s="18"/>
      <c r="BO748" s="18"/>
      <c r="BP748" s="18"/>
      <c r="BQ748" s="19">
        <v>10</v>
      </c>
      <c r="BR748" s="18"/>
      <c r="BS748" s="18"/>
      <c r="BT748" s="18"/>
      <c r="BU748" s="18"/>
    </row>
    <row r="749" spans="3:73" x14ac:dyDescent="0.45">
      <c r="C749" t="s">
        <v>328</v>
      </c>
      <c r="D749" t="s">
        <v>325</v>
      </c>
      <c r="E749" t="s">
        <v>293</v>
      </c>
      <c r="J749" s="7">
        <v>2020</v>
      </c>
      <c r="K749" s="7"/>
      <c r="L749" s="7"/>
      <c r="M749" s="7"/>
      <c r="N749" s="7"/>
      <c r="O749" s="7"/>
      <c r="P749" s="7"/>
      <c r="Q749" s="7">
        <v>2020</v>
      </c>
      <c r="R749" s="7"/>
      <c r="S749" s="7"/>
      <c r="T749" s="7"/>
      <c r="U749" s="7"/>
      <c r="V749" s="7"/>
      <c r="AR749" s="15" t="s">
        <v>249</v>
      </c>
      <c r="AS749" s="15" t="s">
        <v>324</v>
      </c>
      <c r="AT749" s="15" t="s">
        <v>1101</v>
      </c>
      <c r="AU749" s="15"/>
      <c r="AV749" s="15"/>
      <c r="AW749" s="15"/>
      <c r="AX749" s="15"/>
      <c r="AY749" s="15" t="s">
        <v>323</v>
      </c>
      <c r="AZ749" s="18"/>
      <c r="BA749" s="18"/>
      <c r="BB749" s="18"/>
      <c r="BC749" s="18"/>
      <c r="BD749" s="18"/>
      <c r="BE749" s="18"/>
      <c r="BF749" s="19">
        <v>5</v>
      </c>
      <c r="BG749" s="18"/>
      <c r="BH749" s="19">
        <v>5</v>
      </c>
      <c r="BI749" s="18"/>
      <c r="BJ749" s="18"/>
      <c r="BK749" s="18"/>
      <c r="BL749" s="18"/>
      <c r="BM749" s="18"/>
      <c r="BN749" s="18"/>
      <c r="BO749" s="18"/>
      <c r="BP749" s="18"/>
      <c r="BQ749" s="19">
        <v>10</v>
      </c>
      <c r="BR749" s="18"/>
      <c r="BS749" s="18"/>
      <c r="BT749" s="18"/>
      <c r="BU749" s="18"/>
    </row>
    <row r="750" spans="3:73" x14ac:dyDescent="0.45">
      <c r="C750" t="s">
        <v>328</v>
      </c>
      <c r="D750" t="s">
        <v>325</v>
      </c>
      <c r="E750" t="s">
        <v>294</v>
      </c>
      <c r="J750" s="7">
        <v>2020</v>
      </c>
      <c r="K750" s="7"/>
      <c r="L750" s="7"/>
      <c r="M750" s="7"/>
      <c r="N750" s="7"/>
      <c r="O750" s="7"/>
      <c r="P750" s="7"/>
      <c r="Q750" s="7">
        <v>2020</v>
      </c>
      <c r="R750" s="7"/>
      <c r="S750" s="7"/>
      <c r="T750" s="7"/>
      <c r="U750" s="7"/>
      <c r="V750" s="7"/>
      <c r="AR750" s="15" t="s">
        <v>249</v>
      </c>
      <c r="AS750" s="15" t="s">
        <v>324</v>
      </c>
      <c r="AT750" s="15" t="s">
        <v>1102</v>
      </c>
      <c r="AU750" s="15"/>
      <c r="AV750" s="15"/>
      <c r="AW750" s="15"/>
      <c r="AX750" s="15"/>
      <c r="AY750" s="15" t="s">
        <v>323</v>
      </c>
      <c r="AZ750" s="18"/>
      <c r="BA750" s="18"/>
      <c r="BB750" s="18"/>
      <c r="BC750" s="18"/>
      <c r="BD750" s="18"/>
      <c r="BE750" s="18"/>
      <c r="BF750" s="19">
        <v>5</v>
      </c>
      <c r="BG750" s="18"/>
      <c r="BH750" s="19">
        <v>5</v>
      </c>
      <c r="BI750" s="18"/>
      <c r="BJ750" s="18"/>
      <c r="BK750" s="18"/>
      <c r="BL750" s="18"/>
      <c r="BM750" s="18"/>
      <c r="BN750" s="18"/>
      <c r="BO750" s="18"/>
      <c r="BP750" s="18"/>
      <c r="BQ750" s="19">
        <v>10</v>
      </c>
      <c r="BR750" s="18"/>
      <c r="BS750" s="18"/>
      <c r="BT750" s="18"/>
      <c r="BU750" s="18"/>
    </row>
    <row r="751" spans="3:73" x14ac:dyDescent="0.45">
      <c r="C751" t="s">
        <v>328</v>
      </c>
      <c r="D751" t="s">
        <v>325</v>
      </c>
      <c r="E751" t="s">
        <v>295</v>
      </c>
      <c r="J751" s="7">
        <v>2020</v>
      </c>
      <c r="K751" s="7"/>
      <c r="L751" s="7"/>
      <c r="M751" s="7"/>
      <c r="N751" s="7"/>
      <c r="O751" s="7"/>
      <c r="P751" s="7"/>
      <c r="Q751" s="7">
        <v>2020</v>
      </c>
      <c r="R751" s="7"/>
      <c r="S751" s="7"/>
      <c r="T751" s="7"/>
      <c r="U751" s="7"/>
      <c r="V751" s="7"/>
      <c r="AR751" s="15" t="s">
        <v>249</v>
      </c>
      <c r="AS751" s="15" t="s">
        <v>324</v>
      </c>
      <c r="AT751" s="15" t="s">
        <v>1103</v>
      </c>
      <c r="AU751" s="15"/>
      <c r="AV751" s="15"/>
      <c r="AW751" s="15"/>
      <c r="AX751" s="15"/>
      <c r="AY751" s="15" t="s">
        <v>323</v>
      </c>
      <c r="AZ751" s="18"/>
      <c r="BA751" s="18"/>
      <c r="BB751" s="18"/>
      <c r="BC751" s="18"/>
      <c r="BD751" s="18"/>
      <c r="BE751" s="18"/>
      <c r="BF751" s="19">
        <v>5</v>
      </c>
      <c r="BG751" s="18"/>
      <c r="BH751" s="19">
        <v>5</v>
      </c>
      <c r="BI751" s="18"/>
      <c r="BJ751" s="18"/>
      <c r="BK751" s="18"/>
      <c r="BL751" s="18"/>
      <c r="BM751" s="18"/>
      <c r="BN751" s="18"/>
      <c r="BO751" s="18"/>
      <c r="BP751" s="18"/>
      <c r="BQ751" s="19">
        <v>10</v>
      </c>
      <c r="BR751" s="18"/>
      <c r="BS751" s="18"/>
      <c r="BT751" s="18"/>
      <c r="BU751" s="18"/>
    </row>
    <row r="752" spans="3:73" x14ac:dyDescent="0.45">
      <c r="C752" t="s">
        <v>328</v>
      </c>
      <c r="D752" t="s">
        <v>325</v>
      </c>
      <c r="E752" t="s">
        <v>296</v>
      </c>
      <c r="J752" s="7">
        <v>2020</v>
      </c>
      <c r="K752" s="7"/>
      <c r="L752" s="7"/>
      <c r="M752" s="7"/>
      <c r="N752" s="7"/>
      <c r="O752" s="7"/>
      <c r="P752" s="7"/>
      <c r="Q752" s="7">
        <v>2020</v>
      </c>
      <c r="R752" s="7"/>
      <c r="S752" s="7"/>
      <c r="T752" s="7"/>
      <c r="U752" s="7"/>
      <c r="V752" s="7"/>
      <c r="AR752" s="15" t="s">
        <v>249</v>
      </c>
      <c r="AS752" s="15" t="s">
        <v>324</v>
      </c>
      <c r="AT752" s="15" t="s">
        <v>1104</v>
      </c>
      <c r="AU752" s="15"/>
      <c r="AV752" s="15"/>
      <c r="AW752" s="15"/>
      <c r="AX752" s="15"/>
      <c r="AY752" s="15" t="s">
        <v>323</v>
      </c>
      <c r="AZ752" s="18"/>
      <c r="BA752" s="18"/>
      <c r="BB752" s="18"/>
      <c r="BC752" s="18"/>
      <c r="BD752" s="18"/>
      <c r="BE752" s="18"/>
      <c r="BF752" s="19">
        <v>5</v>
      </c>
      <c r="BG752" s="18"/>
      <c r="BH752" s="19">
        <v>5</v>
      </c>
      <c r="BI752" s="18"/>
      <c r="BJ752" s="18"/>
      <c r="BK752" s="18"/>
      <c r="BL752" s="18"/>
      <c r="BM752" s="18"/>
      <c r="BN752" s="18"/>
      <c r="BO752" s="18"/>
      <c r="BP752" s="18"/>
      <c r="BQ752" s="19">
        <v>10</v>
      </c>
      <c r="BR752" s="18"/>
      <c r="BS752" s="18"/>
      <c r="BT752" s="18"/>
      <c r="BU752" s="18"/>
    </row>
    <row r="753" spans="3:73" x14ac:dyDescent="0.45">
      <c r="C753" t="s">
        <v>328</v>
      </c>
      <c r="D753" t="s">
        <v>325</v>
      </c>
      <c r="E753" t="s">
        <v>297</v>
      </c>
      <c r="J753" s="7">
        <v>2020</v>
      </c>
      <c r="K753" s="7"/>
      <c r="L753" s="7"/>
      <c r="M753" s="7"/>
      <c r="N753" s="7"/>
      <c r="O753" s="7"/>
      <c r="P753" s="7"/>
      <c r="Q753" s="7">
        <v>2020</v>
      </c>
      <c r="R753" s="7"/>
      <c r="S753" s="7"/>
      <c r="T753" s="7"/>
      <c r="U753" s="7"/>
      <c r="V753" s="7"/>
      <c r="AR753" s="15" t="s">
        <v>249</v>
      </c>
      <c r="AS753" s="15" t="s">
        <v>324</v>
      </c>
      <c r="AT753" s="15" t="s">
        <v>1105</v>
      </c>
      <c r="AU753" s="15"/>
      <c r="AV753" s="15"/>
      <c r="AW753" s="15"/>
      <c r="AX753" s="15"/>
      <c r="AY753" s="15" t="s">
        <v>323</v>
      </c>
      <c r="AZ753" s="18"/>
      <c r="BA753" s="18"/>
      <c r="BB753" s="18"/>
      <c r="BC753" s="18"/>
      <c r="BD753" s="18"/>
      <c r="BE753" s="18"/>
      <c r="BF753" s="19">
        <v>5</v>
      </c>
      <c r="BG753" s="18"/>
      <c r="BH753" s="19">
        <v>5</v>
      </c>
      <c r="BI753" s="18"/>
      <c r="BJ753" s="18"/>
      <c r="BK753" s="18"/>
      <c r="BL753" s="18"/>
      <c r="BM753" s="18"/>
      <c r="BN753" s="18"/>
      <c r="BO753" s="18"/>
      <c r="BP753" s="18"/>
      <c r="BQ753" s="19">
        <v>10</v>
      </c>
      <c r="BR753" s="18"/>
      <c r="BS753" s="18"/>
      <c r="BT753" s="18"/>
      <c r="BU753" s="18"/>
    </row>
    <row r="754" spans="3:73" x14ac:dyDescent="0.45">
      <c r="C754" t="s">
        <v>328</v>
      </c>
      <c r="D754" t="s">
        <v>325</v>
      </c>
      <c r="E754" t="s">
        <v>298</v>
      </c>
      <c r="J754" s="7">
        <v>2020</v>
      </c>
      <c r="K754" s="7"/>
      <c r="L754" s="7"/>
      <c r="M754" s="7"/>
      <c r="N754" s="7"/>
      <c r="O754" s="7"/>
      <c r="P754" s="7"/>
      <c r="Q754" s="7">
        <v>2020</v>
      </c>
      <c r="R754" s="7"/>
      <c r="S754" s="7"/>
      <c r="T754" s="7"/>
      <c r="U754" s="7"/>
      <c r="V754" s="7"/>
      <c r="AR754" s="15" t="s">
        <v>249</v>
      </c>
      <c r="AS754" s="15" t="s">
        <v>324</v>
      </c>
      <c r="AT754" s="15" t="s">
        <v>1106</v>
      </c>
      <c r="AU754" s="15"/>
      <c r="AV754" s="15"/>
      <c r="AW754" s="15"/>
      <c r="AX754" s="15"/>
      <c r="AY754" s="15" t="s">
        <v>323</v>
      </c>
      <c r="AZ754" s="18"/>
      <c r="BA754" s="18"/>
      <c r="BB754" s="18"/>
      <c r="BC754" s="18"/>
      <c r="BD754" s="18"/>
      <c r="BE754" s="18"/>
      <c r="BF754" s="19">
        <v>5</v>
      </c>
      <c r="BG754" s="18"/>
      <c r="BH754" s="19">
        <v>5</v>
      </c>
      <c r="BI754" s="18"/>
      <c r="BJ754" s="18"/>
      <c r="BK754" s="18"/>
      <c r="BL754" s="18"/>
      <c r="BM754" s="18"/>
      <c r="BN754" s="18"/>
      <c r="BO754" s="18"/>
      <c r="BP754" s="18"/>
      <c r="BQ754" s="19">
        <v>10</v>
      </c>
      <c r="BR754" s="18"/>
      <c r="BS754" s="18"/>
      <c r="BT754" s="18"/>
      <c r="BU754" s="18"/>
    </row>
    <row r="755" spans="3:73" x14ac:dyDescent="0.45">
      <c r="C755" t="s">
        <v>328</v>
      </c>
      <c r="D755" t="s">
        <v>325</v>
      </c>
      <c r="E755" t="s">
        <v>299</v>
      </c>
      <c r="J755" s="7">
        <v>2020</v>
      </c>
      <c r="K755" s="7"/>
      <c r="L755" s="7"/>
      <c r="M755" s="7"/>
      <c r="N755" s="7"/>
      <c r="O755" s="7"/>
      <c r="P755" s="7"/>
      <c r="Q755" s="7">
        <v>2020</v>
      </c>
      <c r="R755" s="7"/>
      <c r="S755" s="7"/>
      <c r="T755" s="7"/>
      <c r="U755" s="7"/>
      <c r="V755" s="7"/>
      <c r="AR755" s="15" t="s">
        <v>328</v>
      </c>
      <c r="AS755" s="15" t="s">
        <v>12</v>
      </c>
      <c r="AT755" s="15" t="s">
        <v>368</v>
      </c>
      <c r="AU755" s="15"/>
      <c r="AV755" s="15"/>
      <c r="AW755" s="15" t="s">
        <v>320</v>
      </c>
      <c r="AX755" s="15"/>
      <c r="AY755" s="15"/>
      <c r="AZ755" s="19">
        <v>5</v>
      </c>
      <c r="BA755" s="18"/>
      <c r="BB755" s="18"/>
      <c r="BC755" s="18"/>
      <c r="BD755" s="18"/>
      <c r="BE755" s="18"/>
      <c r="BF755" s="19">
        <v>0</v>
      </c>
      <c r="BG755" s="18"/>
      <c r="BH755" s="18"/>
      <c r="BI755" s="18"/>
      <c r="BJ755" s="18"/>
      <c r="BK755" s="18"/>
      <c r="BL755" s="18"/>
      <c r="BM755" s="18"/>
      <c r="BN755" s="18"/>
      <c r="BO755" s="18"/>
      <c r="BP755" s="18"/>
      <c r="BQ755" s="18"/>
      <c r="BR755" s="18"/>
      <c r="BS755" s="18"/>
      <c r="BT755" s="18"/>
      <c r="BU755" s="18"/>
    </row>
    <row r="756" spans="3:73" x14ac:dyDescent="0.45">
      <c r="C756" t="s">
        <v>328</v>
      </c>
      <c r="D756" t="s">
        <v>325</v>
      </c>
      <c r="E756" t="s">
        <v>300</v>
      </c>
      <c r="J756" s="7">
        <v>2020</v>
      </c>
      <c r="K756" s="7"/>
      <c r="L756" s="7"/>
      <c r="M756" s="7"/>
      <c r="N756" s="7"/>
      <c r="O756" s="7"/>
      <c r="P756" s="7"/>
      <c r="Q756" s="7">
        <v>2020</v>
      </c>
      <c r="R756" s="7"/>
      <c r="S756" s="7"/>
      <c r="T756" s="7"/>
      <c r="U756" s="7"/>
      <c r="V756" s="7"/>
      <c r="AR756" s="15" t="s">
        <v>328</v>
      </c>
      <c r="AS756" s="15" t="s">
        <v>369</v>
      </c>
      <c r="AT756" s="15"/>
      <c r="AU756" s="15"/>
      <c r="AV756" s="15" t="s">
        <v>370</v>
      </c>
      <c r="AW756" s="15"/>
      <c r="AX756" s="15"/>
      <c r="AY756" s="15"/>
      <c r="AZ756" s="18"/>
      <c r="BA756" s="18"/>
      <c r="BB756" s="19">
        <v>0.89095872226570405</v>
      </c>
      <c r="BC756" s="19">
        <v>0.83151818253560095</v>
      </c>
      <c r="BD756" s="19">
        <v>0.76538325828599796</v>
      </c>
      <c r="BE756" s="19">
        <v>0.70209213602006004</v>
      </c>
      <c r="BF756" s="19">
        <v>0.64182432835071501</v>
      </c>
      <c r="BG756" s="19">
        <v>0.586729928066132</v>
      </c>
      <c r="BH756" s="19">
        <v>0.53636484826480002</v>
      </c>
      <c r="BI756" s="19">
        <v>0.49032312260317501</v>
      </c>
      <c r="BJ756" s="19">
        <v>0.44823363301510699</v>
      </c>
      <c r="BK756" s="18"/>
      <c r="BL756" s="18"/>
      <c r="BM756" s="19">
        <v>0.91003199999999995</v>
      </c>
      <c r="BN756" s="19">
        <v>0.88757699999999995</v>
      </c>
      <c r="BO756" s="19">
        <v>0.83226800000000001</v>
      </c>
      <c r="BP756" s="19">
        <v>0.78040600000000004</v>
      </c>
      <c r="BQ756" s="19">
        <v>0.74093699999999996</v>
      </c>
      <c r="BR756" s="19">
        <v>0.71225000000000005</v>
      </c>
      <c r="BS756" s="19">
        <v>0.68467299999999998</v>
      </c>
      <c r="BT756" s="19">
        <v>0.65816300000000005</v>
      </c>
      <c r="BU756" s="19">
        <v>0.63268100000000005</v>
      </c>
    </row>
    <row r="757" spans="3:73" x14ac:dyDescent="0.45">
      <c r="C757" t="s">
        <v>328</v>
      </c>
      <c r="D757" t="s">
        <v>325</v>
      </c>
      <c r="E757" t="s">
        <v>302</v>
      </c>
      <c r="J757" s="7">
        <v>2020</v>
      </c>
      <c r="K757" s="7"/>
      <c r="L757" s="7"/>
      <c r="M757" s="7"/>
      <c r="N757" s="7"/>
      <c r="O757" s="7"/>
      <c r="P757" s="7"/>
      <c r="Q757" s="7">
        <v>2020</v>
      </c>
      <c r="R757" s="7"/>
      <c r="S757" s="7"/>
      <c r="T757" s="7"/>
      <c r="U757" s="7"/>
      <c r="V757" s="7"/>
      <c r="AR757" s="15" t="s">
        <v>328</v>
      </c>
      <c r="AS757" s="15" t="s">
        <v>369</v>
      </c>
      <c r="AT757" s="15"/>
      <c r="AU757" s="15"/>
      <c r="AV757" s="15" t="s">
        <v>371</v>
      </c>
      <c r="AW757" s="15"/>
      <c r="AX757" s="15"/>
      <c r="AY757" s="15"/>
      <c r="AZ757" s="18"/>
      <c r="BA757" s="18"/>
      <c r="BB757" s="19">
        <v>4.7016325814268796E-3</v>
      </c>
      <c r="BC757" s="19">
        <v>4.5688852925220499E-3</v>
      </c>
      <c r="BD757" s="19">
        <v>4.4233541715989503E-3</v>
      </c>
      <c r="BE757" s="19">
        <v>4.2677710742663102E-3</v>
      </c>
      <c r="BF757" s="19">
        <v>4.1035283028680999E-3</v>
      </c>
      <c r="BG757" s="19">
        <v>3.9456063222262604E-3</v>
      </c>
      <c r="BH757" s="19">
        <v>3.7937618802606999E-3</v>
      </c>
      <c r="BI757" s="19">
        <v>3.6477610863108901E-3</v>
      </c>
      <c r="BJ757" s="19">
        <v>3.5073790508669501E-3</v>
      </c>
      <c r="BK757" s="18"/>
      <c r="BL757" s="18"/>
      <c r="BM757" s="19">
        <v>4.7299999999999998E-3</v>
      </c>
      <c r="BN757" s="19">
        <v>4.7070000000000002E-3</v>
      </c>
      <c r="BO757" s="19">
        <v>4.5259999999999996E-3</v>
      </c>
      <c r="BP757" s="19">
        <v>4.352E-3</v>
      </c>
      <c r="BQ757" s="19">
        <v>4.2370000000000003E-3</v>
      </c>
      <c r="BR757" s="19">
        <v>4.176E-3</v>
      </c>
      <c r="BS757" s="19">
        <v>4.117E-3</v>
      </c>
      <c r="BT757" s="19">
        <v>4.058E-3</v>
      </c>
      <c r="BU757" s="19">
        <v>4.0000000000000001E-3</v>
      </c>
    </row>
    <row r="758" spans="3:73" x14ac:dyDescent="0.45">
      <c r="C758" t="s">
        <v>328</v>
      </c>
      <c r="D758" t="s">
        <v>325</v>
      </c>
      <c r="E758" t="s">
        <v>303</v>
      </c>
      <c r="J758" s="7">
        <v>2020</v>
      </c>
      <c r="K758" s="7"/>
      <c r="L758" s="7"/>
      <c r="M758" s="7"/>
      <c r="N758" s="7"/>
      <c r="O758" s="7"/>
      <c r="P758" s="7"/>
      <c r="Q758" s="7">
        <v>2020</v>
      </c>
      <c r="R758" s="7"/>
      <c r="S758" s="7"/>
      <c r="T758" s="7"/>
      <c r="U758" s="7"/>
      <c r="V758" s="7"/>
      <c r="AR758" s="15" t="s">
        <v>328</v>
      </c>
      <c r="AS758" s="15" t="s">
        <v>369</v>
      </c>
      <c r="AT758" s="15"/>
      <c r="AU758" s="15"/>
      <c r="AV758" s="15" t="s">
        <v>372</v>
      </c>
      <c r="AW758" s="15"/>
      <c r="AX758" s="15"/>
      <c r="AY758" s="15"/>
      <c r="AZ758" s="18"/>
      <c r="BA758" s="18"/>
      <c r="BB758" s="19">
        <v>2.77523065743117E-2</v>
      </c>
      <c r="BC758" s="19">
        <v>2.6430726896137E-2</v>
      </c>
      <c r="BD758" s="19">
        <v>2.4952331750480099E-2</v>
      </c>
      <c r="BE758" s="19">
        <v>2.3475838146683099E-2</v>
      </c>
      <c r="BF758" s="19">
        <v>2.2010909771084199E-2</v>
      </c>
      <c r="BG758" s="19">
        <v>2.0637395177273501E-2</v>
      </c>
      <c r="BH758" s="19">
        <v>1.9349590004792101E-2</v>
      </c>
      <c r="BI758" s="19">
        <v>1.8142145854039698E-2</v>
      </c>
      <c r="BJ758" s="19">
        <v>1.7010048073769799E-2</v>
      </c>
      <c r="BK758" s="18"/>
      <c r="BL758" s="18"/>
      <c r="BM758" s="19">
        <v>2.8131E-2</v>
      </c>
      <c r="BN758" s="19">
        <v>2.7713999999999999E-2</v>
      </c>
      <c r="BO758" s="19">
        <v>2.6315999999999999E-2</v>
      </c>
      <c r="BP758" s="19">
        <v>2.4988E-2</v>
      </c>
      <c r="BQ758" s="19">
        <v>2.4025000000000001E-2</v>
      </c>
      <c r="BR758" s="19">
        <v>2.3387000000000002E-2</v>
      </c>
      <c r="BS758" s="19">
        <v>2.2766000000000002E-2</v>
      </c>
      <c r="BT758" s="19">
        <v>2.2162000000000001E-2</v>
      </c>
      <c r="BU758" s="19">
        <v>2.1572999999999998E-2</v>
      </c>
    </row>
    <row r="759" spans="3:73" x14ac:dyDescent="0.45">
      <c r="C759" t="s">
        <v>328</v>
      </c>
      <c r="D759" t="s">
        <v>325</v>
      </c>
      <c r="E759" t="s">
        <v>304</v>
      </c>
      <c r="J759" s="7">
        <v>2020</v>
      </c>
      <c r="K759" s="7"/>
      <c r="L759" s="7"/>
      <c r="M759" s="7"/>
      <c r="N759" s="7"/>
      <c r="O759" s="7"/>
      <c r="P759" s="7"/>
      <c r="Q759" s="7">
        <v>2020</v>
      </c>
      <c r="R759" s="7"/>
      <c r="S759" s="7"/>
      <c r="T759" s="7"/>
      <c r="U759" s="7"/>
      <c r="V759" s="7"/>
      <c r="AR759" s="15" t="s">
        <v>328</v>
      </c>
      <c r="AS759" s="15" t="s">
        <v>369</v>
      </c>
      <c r="AT759" s="15"/>
      <c r="AU759" s="15"/>
      <c r="AV759" s="15" t="s">
        <v>373</v>
      </c>
      <c r="AW759" s="15"/>
      <c r="AX759" s="15"/>
      <c r="AY759" s="15"/>
      <c r="AZ759" s="18"/>
      <c r="BA759" s="18"/>
      <c r="BB759" s="19">
        <v>4.8410608091660798E-2</v>
      </c>
      <c r="BC759" s="19">
        <v>4.6105269049275102E-2</v>
      </c>
      <c r="BD759" s="19">
        <v>4.3526384018246503E-2</v>
      </c>
      <c r="BE759" s="19">
        <v>4.0950816001517301E-2</v>
      </c>
      <c r="BF759" s="19">
        <v>3.8395422154033902E-2</v>
      </c>
      <c r="BG759" s="19">
        <v>3.5999488809499103E-2</v>
      </c>
      <c r="BH759" s="19">
        <v>3.3753065387486403E-2</v>
      </c>
      <c r="BI759" s="19">
        <v>3.1646822239078998E-2</v>
      </c>
      <c r="BJ759" s="19">
        <v>2.9672011899789401E-2</v>
      </c>
      <c r="BK759" s="18"/>
      <c r="BL759" s="18"/>
      <c r="BM759" s="19">
        <v>4.9070000000000003E-2</v>
      </c>
      <c r="BN759" s="19">
        <v>4.8343999999999998E-2</v>
      </c>
      <c r="BO759" s="19">
        <v>4.5905000000000001E-2</v>
      </c>
      <c r="BP759" s="19">
        <v>4.3589000000000003E-2</v>
      </c>
      <c r="BQ759" s="19">
        <v>4.1909000000000002E-2</v>
      </c>
      <c r="BR759" s="19">
        <v>4.0795999999999999E-2</v>
      </c>
      <c r="BS759" s="19">
        <v>3.9712999999999998E-2</v>
      </c>
      <c r="BT759" s="19">
        <v>3.8657999999999998E-2</v>
      </c>
      <c r="BU759" s="19">
        <v>3.7631999999999999E-2</v>
      </c>
    </row>
    <row r="760" spans="3:73" x14ac:dyDescent="0.45">
      <c r="C760" t="s">
        <v>328</v>
      </c>
      <c r="D760" t="s">
        <v>325</v>
      </c>
      <c r="E760" t="s">
        <v>305</v>
      </c>
      <c r="J760" s="7">
        <v>2020</v>
      </c>
      <c r="K760" s="7"/>
      <c r="L760" s="7"/>
      <c r="M760" s="7"/>
      <c r="N760" s="7"/>
      <c r="O760" s="7"/>
      <c r="P760" s="7"/>
      <c r="Q760" s="7">
        <v>2020</v>
      </c>
      <c r="R760" s="7"/>
      <c r="S760" s="7"/>
      <c r="T760" s="7"/>
      <c r="U760" s="7"/>
      <c r="V760" s="7"/>
      <c r="AR760" s="15" t="s">
        <v>328</v>
      </c>
      <c r="AS760" s="15" t="s">
        <v>369</v>
      </c>
      <c r="AT760" s="15"/>
      <c r="AU760" s="15"/>
      <c r="AV760" s="15" t="s">
        <v>374</v>
      </c>
      <c r="AW760" s="15"/>
      <c r="AX760" s="15"/>
      <c r="AY760" s="15"/>
      <c r="AZ760" s="18"/>
      <c r="BA760" s="18"/>
      <c r="BB760" s="19">
        <v>0.15041465637853499</v>
      </c>
      <c r="BC760" s="19">
        <v>0.14325183001535599</v>
      </c>
      <c r="BD760" s="19">
        <v>0.13523907989564199</v>
      </c>
      <c r="BE760" s="19">
        <v>0.127236635937855</v>
      </c>
      <c r="BF760" s="19">
        <v>0.1192968743312</v>
      </c>
      <c r="BG760" s="19">
        <v>0.11185256604980499</v>
      </c>
      <c r="BH760" s="19">
        <v>0.104872794044815</v>
      </c>
      <c r="BI760" s="19">
        <v>9.8328570538729398E-2</v>
      </c>
      <c r="BJ760" s="19">
        <v>9.2192716635910998E-2</v>
      </c>
      <c r="BK760" s="18"/>
      <c r="BL760" s="18"/>
      <c r="BM760" s="19">
        <v>0.15246499999999999</v>
      </c>
      <c r="BN760" s="19">
        <v>0.15020700000000001</v>
      </c>
      <c r="BO760" s="19">
        <v>0.14263000000000001</v>
      </c>
      <c r="BP760" s="19">
        <v>0.135435</v>
      </c>
      <c r="BQ760" s="19">
        <v>0.130213</v>
      </c>
      <c r="BR760" s="19">
        <v>0.12675600000000001</v>
      </c>
      <c r="BS760" s="19">
        <v>0.12339</v>
      </c>
      <c r="BT760" s="19">
        <v>0.120114</v>
      </c>
      <c r="BU760" s="19">
        <v>0.116925</v>
      </c>
    </row>
    <row r="761" spans="3:73" x14ac:dyDescent="0.45">
      <c r="C761" t="s">
        <v>328</v>
      </c>
      <c r="D761" t="s">
        <v>325</v>
      </c>
      <c r="E761" t="s">
        <v>306</v>
      </c>
      <c r="J761" s="7">
        <v>2020</v>
      </c>
      <c r="K761" s="7"/>
      <c r="L761" s="7"/>
      <c r="M761" s="7"/>
      <c r="N761" s="7"/>
      <c r="O761" s="7"/>
      <c r="P761" s="7"/>
      <c r="Q761" s="7">
        <v>2020</v>
      </c>
      <c r="R761" s="7"/>
      <c r="S761" s="7"/>
      <c r="T761" s="7"/>
      <c r="U761" s="7"/>
      <c r="V761" s="7"/>
      <c r="AR761" s="15" t="s">
        <v>328</v>
      </c>
      <c r="AS761" s="15" t="s">
        <v>369</v>
      </c>
      <c r="AT761" s="15"/>
      <c r="AU761" s="15"/>
      <c r="AV761" s="15" t="s">
        <v>375</v>
      </c>
      <c r="AW761" s="15"/>
      <c r="AX761" s="15"/>
      <c r="AY761" s="15"/>
      <c r="AZ761" s="18"/>
      <c r="BA761" s="18"/>
      <c r="BB761" s="19">
        <v>4.4479762671938303E-2</v>
      </c>
      <c r="BC761" s="19">
        <v>4.23616125902554E-2</v>
      </c>
      <c r="BD761" s="19">
        <v>3.9992127911996897E-2</v>
      </c>
      <c r="BE761" s="19">
        <v>3.7625690913051603E-2</v>
      </c>
      <c r="BF761" s="19">
        <v>3.52777899807976E-2</v>
      </c>
      <c r="BG761" s="19">
        <v>3.3076401674728098E-2</v>
      </c>
      <c r="BH761" s="19">
        <v>3.1012383381823799E-2</v>
      </c>
      <c r="BI761" s="19">
        <v>2.9077163002167099E-2</v>
      </c>
      <c r="BJ761" s="19">
        <v>2.7262703348047999E-2</v>
      </c>
      <c r="BK761" s="18"/>
      <c r="BL761" s="18"/>
      <c r="BM761" s="19">
        <v>4.5086000000000001E-2</v>
      </c>
      <c r="BN761" s="19">
        <v>4.4417999999999999E-2</v>
      </c>
      <c r="BO761" s="19">
        <v>4.2178E-2</v>
      </c>
      <c r="BP761" s="19">
        <v>4.0050000000000002E-2</v>
      </c>
      <c r="BQ761" s="19">
        <v>3.8505999999999999E-2</v>
      </c>
      <c r="BR761" s="19">
        <v>3.7483000000000002E-2</v>
      </c>
      <c r="BS761" s="19">
        <v>3.6488E-2</v>
      </c>
      <c r="BT761" s="19">
        <v>3.5519000000000002E-2</v>
      </c>
      <c r="BU761" s="19">
        <v>3.4576000000000003E-2</v>
      </c>
    </row>
    <row r="762" spans="3:73" x14ac:dyDescent="0.45">
      <c r="C762" t="s">
        <v>328</v>
      </c>
      <c r="D762" t="s">
        <v>325</v>
      </c>
      <c r="E762" t="s">
        <v>307</v>
      </c>
      <c r="J762" s="7">
        <v>2020</v>
      </c>
      <c r="K762" s="7"/>
      <c r="L762" s="7"/>
      <c r="M762" s="7"/>
      <c r="N762" s="7"/>
      <c r="O762" s="7"/>
      <c r="P762" s="7"/>
      <c r="Q762" s="7">
        <v>2020</v>
      </c>
      <c r="R762" s="7"/>
      <c r="S762" s="7"/>
      <c r="T762" s="7"/>
      <c r="U762" s="7"/>
      <c r="V762" s="7"/>
      <c r="AR762" s="15" t="s">
        <v>328</v>
      </c>
      <c r="AS762" s="15" t="s">
        <v>369</v>
      </c>
      <c r="AT762" s="15"/>
      <c r="AU762" s="15"/>
      <c r="AV762" s="15" t="s">
        <v>376</v>
      </c>
      <c r="AW762" s="15"/>
      <c r="AX762" s="15"/>
      <c r="AY762" s="15"/>
      <c r="AZ762" s="18"/>
      <c r="BA762" s="18"/>
      <c r="BB762" s="19">
        <v>0.40471828747621602</v>
      </c>
      <c r="BC762" s="19">
        <v>0.39329135129985399</v>
      </c>
      <c r="BD762" s="19">
        <v>0.38076397809183998</v>
      </c>
      <c r="BE762" s="19">
        <v>0.36737132700262998</v>
      </c>
      <c r="BF762" s="19">
        <v>0.35323324793766397</v>
      </c>
      <c r="BG762" s="19">
        <v>0.33963926490021901</v>
      </c>
      <c r="BH762" s="19">
        <v>0.32656843866044599</v>
      </c>
      <c r="BI762" s="19">
        <v>0.31400063582298998</v>
      </c>
      <c r="BJ762" s="19">
        <v>0.30191649781489999</v>
      </c>
      <c r="BK762" s="18"/>
      <c r="BL762" s="18"/>
      <c r="BM762" s="19">
        <v>0.40713500000000002</v>
      </c>
      <c r="BN762" s="19">
        <v>0.40515099999999998</v>
      </c>
      <c r="BO762" s="19">
        <v>0.389571</v>
      </c>
      <c r="BP762" s="19">
        <v>0.37458999999999998</v>
      </c>
      <c r="BQ762" s="19">
        <v>0.36469400000000002</v>
      </c>
      <c r="BR762" s="19">
        <v>0.35949399999999998</v>
      </c>
      <c r="BS762" s="19">
        <v>0.35436800000000002</v>
      </c>
      <c r="BT762" s="19">
        <v>0.34931499999999999</v>
      </c>
      <c r="BU762" s="19">
        <v>0.34433399999999997</v>
      </c>
    </row>
    <row r="763" spans="3:73" x14ac:dyDescent="0.45">
      <c r="C763" t="s">
        <v>328</v>
      </c>
      <c r="D763" t="s">
        <v>325</v>
      </c>
      <c r="E763" t="s">
        <v>308</v>
      </c>
      <c r="J763" s="7">
        <v>2020</v>
      </c>
      <c r="K763" s="7"/>
      <c r="L763" s="7"/>
      <c r="M763" s="7"/>
      <c r="N763" s="7"/>
      <c r="O763" s="7"/>
      <c r="P763" s="7"/>
      <c r="Q763" s="7">
        <v>2020</v>
      </c>
      <c r="R763" s="7"/>
      <c r="S763" s="7"/>
      <c r="T763" s="7"/>
      <c r="U763" s="7"/>
      <c r="V763" s="7"/>
      <c r="AR763" s="15" t="s">
        <v>328</v>
      </c>
      <c r="AS763" s="15" t="s">
        <v>369</v>
      </c>
      <c r="AT763" s="15"/>
      <c r="AU763" s="15"/>
      <c r="AV763" s="15" t="s">
        <v>377</v>
      </c>
      <c r="AW763" s="15"/>
      <c r="AX763" s="15"/>
      <c r="AY763" s="15"/>
      <c r="AZ763" s="18"/>
      <c r="BA763" s="18"/>
      <c r="BB763" s="19">
        <v>0.35582783072368601</v>
      </c>
      <c r="BC763" s="19">
        <v>0.345781282205189</v>
      </c>
      <c r="BD763" s="19">
        <v>0.33476723077432602</v>
      </c>
      <c r="BE763" s="19">
        <v>0.322992428072848</v>
      </c>
      <c r="BF763" s="19">
        <v>0.31056224599321403</v>
      </c>
      <c r="BG763" s="19">
        <v>0.29861043248542202</v>
      </c>
      <c r="BH763" s="19">
        <v>0.287118577803818</v>
      </c>
      <c r="BI763" s="19">
        <v>0.27606898069146102</v>
      </c>
      <c r="BJ763" s="19">
        <v>0.26544462111433897</v>
      </c>
      <c r="BK763" s="18"/>
      <c r="BL763" s="18"/>
      <c r="BM763" s="19">
        <v>0.35795300000000002</v>
      </c>
      <c r="BN763" s="19">
        <v>0.356209</v>
      </c>
      <c r="BO763" s="19">
        <v>0.34250999999999998</v>
      </c>
      <c r="BP763" s="19">
        <v>0.32933899999999999</v>
      </c>
      <c r="BQ763" s="19">
        <v>0.32063900000000001</v>
      </c>
      <c r="BR763" s="19">
        <v>0.31606699999999999</v>
      </c>
      <c r="BS763" s="19">
        <v>0.31156</v>
      </c>
      <c r="BT763" s="19">
        <v>0.30711699999999997</v>
      </c>
      <c r="BU763" s="19">
        <v>0.30273800000000001</v>
      </c>
    </row>
    <row r="764" spans="3:73" x14ac:dyDescent="0.45">
      <c r="C764" t="s">
        <v>328</v>
      </c>
      <c r="D764" t="s">
        <v>325</v>
      </c>
      <c r="E764" t="s">
        <v>309</v>
      </c>
      <c r="J764" s="7">
        <v>2020</v>
      </c>
      <c r="K764" s="7"/>
      <c r="L764" s="7"/>
      <c r="M764" s="7"/>
      <c r="N764" s="7"/>
      <c r="O764" s="7"/>
      <c r="P764" s="7"/>
      <c r="Q764" s="7">
        <v>2020</v>
      </c>
      <c r="R764" s="7"/>
      <c r="S764" s="7"/>
      <c r="T764" s="7"/>
      <c r="U764" s="7"/>
      <c r="V764" s="7"/>
      <c r="AR764" s="15" t="s">
        <v>328</v>
      </c>
      <c r="AS764" s="15" t="s">
        <v>369</v>
      </c>
      <c r="AT764" s="15"/>
      <c r="AU764" s="15"/>
      <c r="AV764" s="15" t="s">
        <v>378</v>
      </c>
      <c r="AW764" s="15"/>
      <c r="AX764" s="15"/>
      <c r="AY764" s="15"/>
      <c r="AZ764" s="18"/>
      <c r="BA764" s="18"/>
      <c r="BB764" s="19">
        <v>1.3428741046024799</v>
      </c>
      <c r="BC764" s="19">
        <v>1.3049589988090899</v>
      </c>
      <c r="BD764" s="19">
        <v>1.26339259175435</v>
      </c>
      <c r="BE764" s="19">
        <v>1.2189551524386599</v>
      </c>
      <c r="BF764" s="19">
        <v>1.17204434842345</v>
      </c>
      <c r="BG764" s="19">
        <v>1.1269388803379199</v>
      </c>
      <c r="BH764" s="19">
        <v>1.08356927084336</v>
      </c>
      <c r="BI764" s="19">
        <v>1.0418687163974201</v>
      </c>
      <c r="BJ764" s="19">
        <v>1.00177298435452</v>
      </c>
      <c r="BK764" s="18"/>
      <c r="BL764" s="18"/>
      <c r="BM764" s="19">
        <v>1.3508929999999999</v>
      </c>
      <c r="BN764" s="19">
        <v>1.344311</v>
      </c>
      <c r="BO764" s="19">
        <v>1.2926150000000001</v>
      </c>
      <c r="BP764" s="19">
        <v>1.242907</v>
      </c>
      <c r="BQ764" s="19">
        <v>1.210072</v>
      </c>
      <c r="BR764" s="19">
        <v>1.192817</v>
      </c>
      <c r="BS764" s="19">
        <v>1.175808</v>
      </c>
      <c r="BT764" s="19">
        <v>1.1590419999999999</v>
      </c>
      <c r="BU764" s="19">
        <v>1.1425149999999999</v>
      </c>
    </row>
    <row r="765" spans="3:73" x14ac:dyDescent="0.45">
      <c r="C765" t="s">
        <v>328</v>
      </c>
      <c r="D765" t="s">
        <v>325</v>
      </c>
      <c r="E765" t="s">
        <v>310</v>
      </c>
      <c r="J765" s="7">
        <v>2020</v>
      </c>
      <c r="K765" s="7"/>
      <c r="L765" s="7"/>
      <c r="M765" s="7"/>
      <c r="N765" s="7"/>
      <c r="O765" s="7"/>
      <c r="P765" s="7"/>
      <c r="Q765" s="7">
        <v>2020</v>
      </c>
      <c r="R765" s="7"/>
      <c r="S765" s="7"/>
      <c r="T765" s="7"/>
      <c r="U765" s="7"/>
      <c r="V765" s="7"/>
      <c r="AR765" s="15" t="s">
        <v>328</v>
      </c>
      <c r="AS765" s="15" t="s">
        <v>369</v>
      </c>
      <c r="AT765" s="15"/>
      <c r="AU765" s="15"/>
      <c r="AV765" s="15" t="s">
        <v>379</v>
      </c>
      <c r="AW765" s="15"/>
      <c r="AX765" s="15"/>
      <c r="AY765" s="15"/>
      <c r="AZ765" s="18"/>
      <c r="BA765" s="18"/>
      <c r="BB765" s="19">
        <v>0.82623562527493299</v>
      </c>
      <c r="BC765" s="19">
        <v>0.80290744355246002</v>
      </c>
      <c r="BD765" s="19">
        <v>0.77733271081645905</v>
      </c>
      <c r="BE765" s="19">
        <v>0.74999150635598</v>
      </c>
      <c r="BF765" s="19">
        <v>0.72112850471285606</v>
      </c>
      <c r="BG765" s="19">
        <v>0.69337627946758496</v>
      </c>
      <c r="BH765" s="19">
        <v>0.66669208301472904</v>
      </c>
      <c r="BI765" s="19">
        <v>0.64103481286642106</v>
      </c>
      <c r="BJ765" s="19">
        <v>0.61636494834094002</v>
      </c>
      <c r="BK765" s="18"/>
      <c r="BL765" s="18"/>
      <c r="BM765" s="19">
        <v>0.83116900000000005</v>
      </c>
      <c r="BN765" s="19">
        <v>0.82711999999999997</v>
      </c>
      <c r="BO765" s="19">
        <v>0.79531200000000002</v>
      </c>
      <c r="BP765" s="19">
        <v>0.76472799999999996</v>
      </c>
      <c r="BQ765" s="19">
        <v>0.74452600000000002</v>
      </c>
      <c r="BR765" s="19">
        <v>0.73390999999999995</v>
      </c>
      <c r="BS765" s="19">
        <v>0.72344399999999998</v>
      </c>
      <c r="BT765" s="19">
        <v>0.71312900000000001</v>
      </c>
      <c r="BU765" s="19">
        <v>0.70296000000000003</v>
      </c>
    </row>
    <row r="766" spans="3:73" x14ac:dyDescent="0.45">
      <c r="C766" t="s">
        <v>328</v>
      </c>
      <c r="D766" t="s">
        <v>325</v>
      </c>
      <c r="E766" t="s">
        <v>311</v>
      </c>
      <c r="J766" s="7">
        <v>2020</v>
      </c>
      <c r="K766" s="7"/>
      <c r="L766" s="7"/>
      <c r="M766" s="7"/>
      <c r="N766" s="7"/>
      <c r="O766" s="7"/>
      <c r="P766" s="7"/>
      <c r="Q766" s="7">
        <v>2020</v>
      </c>
      <c r="R766" s="7"/>
      <c r="S766" s="7"/>
      <c r="T766" s="7"/>
      <c r="U766" s="7"/>
      <c r="V766" s="7"/>
      <c r="AR766" s="15" t="s">
        <v>328</v>
      </c>
      <c r="AS766" s="15" t="s">
        <v>369</v>
      </c>
      <c r="AT766" s="15"/>
      <c r="AU766" s="15"/>
      <c r="AV766" s="15" t="s">
        <v>319</v>
      </c>
      <c r="AW766" s="15"/>
      <c r="AX766" s="15"/>
      <c r="AY766" s="15"/>
      <c r="AZ766" s="18"/>
      <c r="BA766" s="18"/>
      <c r="BB766" s="19">
        <v>0.32243923968340199</v>
      </c>
      <c r="BC766" s="19">
        <v>0.303827486945212</v>
      </c>
      <c r="BD766" s="19">
        <v>0.28199568633572802</v>
      </c>
      <c r="BE766" s="19">
        <v>0.26179805624413399</v>
      </c>
      <c r="BF766" s="19">
        <v>0.24310781178854099</v>
      </c>
      <c r="BG766" s="19">
        <v>0.22575189823983699</v>
      </c>
      <c r="BH766" s="19">
        <v>0.20963505526189599</v>
      </c>
      <c r="BI766" s="19">
        <v>0.19466882332909399</v>
      </c>
      <c r="BJ766" s="19">
        <v>0.18077105820393799</v>
      </c>
      <c r="BK766" s="18"/>
      <c r="BL766" s="18"/>
      <c r="BM766" s="19">
        <v>0.32986100000000002</v>
      </c>
      <c r="BN766" s="19">
        <v>0.320716</v>
      </c>
      <c r="BO766" s="19">
        <v>0.30948700000000001</v>
      </c>
      <c r="BP766" s="19">
        <v>0.298427</v>
      </c>
      <c r="BQ766" s="19">
        <v>0.28754600000000002</v>
      </c>
      <c r="BR766" s="19">
        <v>0.27706199999999997</v>
      </c>
      <c r="BS766" s="19">
        <v>0.26695999999999998</v>
      </c>
      <c r="BT766" s="19">
        <v>0.25722699999999998</v>
      </c>
      <c r="BU766" s="19">
        <v>0.24784800000000001</v>
      </c>
    </row>
    <row r="767" spans="3:73" x14ac:dyDescent="0.45">
      <c r="C767" t="s">
        <v>328</v>
      </c>
      <c r="D767" t="s">
        <v>325</v>
      </c>
      <c r="E767" t="s">
        <v>312</v>
      </c>
      <c r="J767" s="7">
        <v>2020</v>
      </c>
      <c r="K767" s="7"/>
      <c r="L767" s="7"/>
      <c r="M767" s="7"/>
      <c r="N767" s="7"/>
      <c r="O767" s="7"/>
      <c r="P767" s="7"/>
      <c r="Q767" s="7">
        <v>2020</v>
      </c>
      <c r="R767" s="7"/>
      <c r="S767" s="7"/>
      <c r="T767" s="7"/>
      <c r="U767" s="7"/>
      <c r="V767" s="7"/>
      <c r="AR767" s="15" t="s">
        <v>328</v>
      </c>
      <c r="AS767" s="15" t="s">
        <v>369</v>
      </c>
      <c r="AT767" s="15"/>
      <c r="AU767" s="15"/>
      <c r="AV767" s="15" t="s">
        <v>380</v>
      </c>
      <c r="AW767" s="15"/>
      <c r="AX767" s="15"/>
      <c r="AY767" s="15"/>
      <c r="AZ767" s="18"/>
      <c r="BA767" s="18"/>
      <c r="BB767" s="19">
        <v>1.94029636170744E-3</v>
      </c>
      <c r="BC767" s="19">
        <v>1.9036830513664E-3</v>
      </c>
      <c r="BD767" s="19">
        <v>1.8584218294808599E-3</v>
      </c>
      <c r="BE767" s="19">
        <v>1.81469023448861E-3</v>
      </c>
      <c r="BF767" s="19">
        <v>1.7724306433450499E-3</v>
      </c>
      <c r="BG767" s="19">
        <v>1.7311551722511199E-3</v>
      </c>
      <c r="BH767" s="19">
        <v>1.6908409035153299E-3</v>
      </c>
      <c r="BI767" s="19">
        <v>1.65146545314184E-3</v>
      </c>
      <c r="BJ767" s="19">
        <v>1.61300695840202E-3</v>
      </c>
      <c r="BK767" s="18"/>
      <c r="BL767" s="18"/>
      <c r="BM767" s="19">
        <v>1.9550000000000001E-3</v>
      </c>
      <c r="BN767" s="19">
        <v>1.939E-3</v>
      </c>
      <c r="BO767" s="19">
        <v>1.9189999999999999E-3</v>
      </c>
      <c r="BP767" s="19">
        <v>1.8979999999999999E-3</v>
      </c>
      <c r="BQ767" s="19">
        <v>1.8749999999999999E-3</v>
      </c>
      <c r="BR767" s="19">
        <v>1.853E-3</v>
      </c>
      <c r="BS767" s="19">
        <v>1.83E-3</v>
      </c>
      <c r="BT767" s="19">
        <v>1.8090000000000001E-3</v>
      </c>
      <c r="BU767" s="19">
        <v>1.787E-3</v>
      </c>
    </row>
    <row r="768" spans="3:73" x14ac:dyDescent="0.45">
      <c r="C768" t="s">
        <v>328</v>
      </c>
      <c r="D768" t="s">
        <v>325</v>
      </c>
      <c r="E768" t="s">
        <v>313</v>
      </c>
      <c r="J768" s="7">
        <v>2020</v>
      </c>
      <c r="K768" s="7"/>
      <c r="L768" s="7"/>
      <c r="M768" s="7"/>
      <c r="N768" s="7"/>
      <c r="O768" s="7"/>
      <c r="P768" s="7"/>
      <c r="Q768" s="7">
        <v>2020</v>
      </c>
      <c r="R768" s="7"/>
      <c r="S768" s="7"/>
      <c r="T768" s="7"/>
      <c r="U768" s="7"/>
      <c r="V768" s="7"/>
      <c r="AR768" s="15" t="s">
        <v>328</v>
      </c>
      <c r="AS768" s="15" t="s">
        <v>369</v>
      </c>
      <c r="AT768" s="15"/>
      <c r="AU768" s="15"/>
      <c r="AV768" s="15" t="s">
        <v>381</v>
      </c>
      <c r="AW768" s="15"/>
      <c r="AX768" s="15"/>
      <c r="AY768" s="15"/>
      <c r="AZ768" s="18"/>
      <c r="BA768" s="18"/>
      <c r="BB768" s="19">
        <v>0.159067674724504</v>
      </c>
      <c r="BC768" s="19">
        <v>0.15606607442526399</v>
      </c>
      <c r="BD768" s="19">
        <v>0.152355508625828</v>
      </c>
      <c r="BE768" s="19">
        <v>0.148770343356905</v>
      </c>
      <c r="BF768" s="19">
        <v>0.14530585461658799</v>
      </c>
      <c r="BG768" s="19">
        <v>0.14192204514312501</v>
      </c>
      <c r="BH768" s="19">
        <v>0.13861703611843301</v>
      </c>
      <c r="BI768" s="19">
        <v>0.135388992477393</v>
      </c>
      <c r="BJ768" s="19">
        <v>0.132236121888962</v>
      </c>
      <c r="BK768" s="18"/>
      <c r="BL768" s="18"/>
      <c r="BM768" s="19">
        <v>0.16027</v>
      </c>
      <c r="BN768" s="19">
        <v>0.15899099999999999</v>
      </c>
      <c r="BO768" s="19">
        <v>0.15732699999999999</v>
      </c>
      <c r="BP768" s="19">
        <v>0.15556500000000001</v>
      </c>
      <c r="BQ768" s="19">
        <v>0.15370700000000001</v>
      </c>
      <c r="BR768" s="19">
        <v>0.15187100000000001</v>
      </c>
      <c r="BS768" s="19">
        <v>0.150057</v>
      </c>
      <c r="BT768" s="19">
        <v>0.14826500000000001</v>
      </c>
      <c r="BU768" s="19">
        <v>0.14649400000000001</v>
      </c>
    </row>
    <row r="769" spans="3:73" x14ac:dyDescent="0.45">
      <c r="C769" t="s">
        <v>328</v>
      </c>
      <c r="D769" t="s">
        <v>325</v>
      </c>
      <c r="E769" t="s">
        <v>314</v>
      </c>
      <c r="J769" s="7">
        <v>2020</v>
      </c>
      <c r="K769" s="7"/>
      <c r="L769" s="7"/>
      <c r="M769" s="7"/>
      <c r="N769" s="7"/>
      <c r="O769" s="7"/>
      <c r="P769" s="7"/>
      <c r="Q769" s="7">
        <v>2020</v>
      </c>
      <c r="R769" s="7"/>
      <c r="S769" s="7"/>
      <c r="T769" s="7"/>
      <c r="U769" s="7"/>
      <c r="V769" s="7"/>
      <c r="AR769" s="15" t="s">
        <v>328</v>
      </c>
      <c r="AS769" s="15" t="s">
        <v>369</v>
      </c>
      <c r="AT769" s="15"/>
      <c r="AU769" s="15"/>
      <c r="AV769" s="15" t="s">
        <v>382</v>
      </c>
      <c r="AW769" s="15"/>
      <c r="AX769" s="15"/>
      <c r="AY769" s="15"/>
      <c r="AZ769" s="18"/>
      <c r="BA769" s="18"/>
      <c r="BB769" s="19">
        <v>2.0809564217117E-3</v>
      </c>
      <c r="BC769" s="19">
        <v>2.1569328692652599E-3</v>
      </c>
      <c r="BD769" s="19">
        <v>2.2047529550088098E-3</v>
      </c>
      <c r="BE769" s="19">
        <v>2.2760498684605301E-3</v>
      </c>
      <c r="BF769" s="19">
        <v>2.3677403526991899E-3</v>
      </c>
      <c r="BG769" s="19">
        <v>2.4753629039052402E-3</v>
      </c>
      <c r="BH769" s="19">
        <v>2.5942805885786299E-3</v>
      </c>
      <c r="BI769" s="19">
        <v>2.4671350263869899E-3</v>
      </c>
      <c r="BJ769" s="19">
        <v>2.3462208618538101E-3</v>
      </c>
      <c r="BK769" s="18"/>
      <c r="BL769" s="18"/>
      <c r="BM769" s="19">
        <v>2.1129999999999999E-3</v>
      </c>
      <c r="BN769" s="19">
        <v>2.2339999999999999E-3</v>
      </c>
      <c r="BO769" s="19">
        <v>2.3419999999999999E-3</v>
      </c>
      <c r="BP769" s="19">
        <v>2.48E-3</v>
      </c>
      <c r="BQ769" s="19">
        <v>2.6450000000000002E-3</v>
      </c>
      <c r="BR769" s="19">
        <v>2.836E-3</v>
      </c>
      <c r="BS769" s="19">
        <v>3.0479999999999999E-3</v>
      </c>
      <c r="BT769" s="19">
        <v>2.9729999999999999E-3</v>
      </c>
      <c r="BU769" s="19">
        <v>2.8990000000000001E-3</v>
      </c>
    </row>
    <row r="770" spans="3:73" x14ac:dyDescent="0.45">
      <c r="C770" t="s">
        <v>328</v>
      </c>
      <c r="D770" t="s">
        <v>325</v>
      </c>
      <c r="E770" t="s">
        <v>315</v>
      </c>
      <c r="J770" s="7">
        <v>2020</v>
      </c>
      <c r="K770" s="7"/>
      <c r="L770" s="7"/>
      <c r="M770" s="7"/>
      <c r="N770" s="7"/>
      <c r="O770" s="7"/>
      <c r="P770" s="7"/>
      <c r="Q770" s="7">
        <v>2020</v>
      </c>
      <c r="R770" s="7"/>
      <c r="S770" s="7"/>
      <c r="T770" s="7"/>
      <c r="U770" s="7"/>
      <c r="V770" s="7"/>
      <c r="AR770" s="15" t="s">
        <v>328</v>
      </c>
      <c r="AS770" s="15" t="s">
        <v>369</v>
      </c>
      <c r="AT770" s="15"/>
      <c r="AU770" s="15"/>
      <c r="AV770" s="15" t="s">
        <v>383</v>
      </c>
      <c r="AW770" s="15"/>
      <c r="AX770" s="15"/>
      <c r="AY770" s="15"/>
      <c r="AZ770" s="18"/>
      <c r="BA770" s="18"/>
      <c r="BB770" s="19">
        <v>1.8335362329028E-2</v>
      </c>
      <c r="BC770" s="19">
        <v>1.93916464416772E-2</v>
      </c>
      <c r="BD770" s="19">
        <v>2.0327193423367099E-2</v>
      </c>
      <c r="BE770" s="19">
        <v>2.151982277265E-2</v>
      </c>
      <c r="BF770" s="19">
        <v>2.29578082178328E-2</v>
      </c>
      <c r="BG770" s="19">
        <v>2.46135727010834E-2</v>
      </c>
      <c r="BH770" s="19">
        <v>2.6454049108875301E-2</v>
      </c>
      <c r="BI770" s="19">
        <v>2.57992784084555E-2</v>
      </c>
      <c r="BJ770" s="19">
        <v>2.51607140992904E-2</v>
      </c>
      <c r="BK770" s="18"/>
      <c r="BL770" s="18"/>
      <c r="BM770" s="19">
        <v>1.8474000000000001E-2</v>
      </c>
      <c r="BN770" s="19">
        <v>1.9734999999999999E-2</v>
      </c>
      <c r="BO770" s="19">
        <v>2.0948999999999999E-2</v>
      </c>
      <c r="BP770" s="19">
        <v>2.2457999999999999E-2</v>
      </c>
      <c r="BQ770" s="19">
        <v>2.4261000000000001E-2</v>
      </c>
      <c r="BR770" s="19">
        <v>2.6339000000000001E-2</v>
      </c>
      <c r="BS770" s="19">
        <v>2.8666000000000001E-2</v>
      </c>
      <c r="BT770" s="19">
        <v>2.8309000000000001E-2</v>
      </c>
      <c r="BU770" s="19">
        <v>2.7956999999999999E-2</v>
      </c>
    </row>
    <row r="771" spans="3:73" x14ac:dyDescent="0.45">
      <c r="C771" t="s">
        <v>328</v>
      </c>
      <c r="D771" t="s">
        <v>325</v>
      </c>
      <c r="E771" t="s">
        <v>316</v>
      </c>
      <c r="J771" s="7">
        <v>2020</v>
      </c>
      <c r="K771" s="7"/>
      <c r="L771" s="7"/>
      <c r="M771" s="7"/>
      <c r="N771" s="7"/>
      <c r="O771" s="7"/>
      <c r="P771" s="7"/>
      <c r="Q771" s="7">
        <v>2020</v>
      </c>
      <c r="R771" s="7"/>
      <c r="S771" s="7"/>
      <c r="T771" s="7"/>
      <c r="U771" s="7"/>
      <c r="V771" s="7"/>
      <c r="AR771" s="15" t="s">
        <v>328</v>
      </c>
      <c r="AS771" s="15" t="s">
        <v>369</v>
      </c>
      <c r="AT771" s="15"/>
      <c r="AU771" s="15"/>
      <c r="AV771" s="15" t="s">
        <v>384</v>
      </c>
      <c r="AW771" s="15"/>
      <c r="AX771" s="15"/>
      <c r="AY771" s="15"/>
      <c r="AZ771" s="18"/>
      <c r="BA771" s="18"/>
      <c r="BB771" s="19">
        <v>2.3309580261087599E-2</v>
      </c>
      <c r="BC771" s="19">
        <v>2.4652424698000101E-2</v>
      </c>
      <c r="BD771" s="19">
        <v>2.58417771125522E-2</v>
      </c>
      <c r="BE771" s="19">
        <v>2.7357956015372598E-2</v>
      </c>
      <c r="BF771" s="19">
        <v>2.9186053903337301E-2</v>
      </c>
      <c r="BG771" s="19">
        <v>3.12910123122958E-2</v>
      </c>
      <c r="BH771" s="19">
        <v>3.3630793319957997E-2</v>
      </c>
      <c r="BI771" s="19">
        <v>3.2798389251788497E-2</v>
      </c>
      <c r="BJ771" s="19">
        <v>3.1986588222212703E-2</v>
      </c>
      <c r="BK771" s="18"/>
      <c r="BL771" s="18"/>
      <c r="BM771" s="19">
        <v>2.3486E-2</v>
      </c>
      <c r="BN771" s="19">
        <v>2.5089E-2</v>
      </c>
      <c r="BO771" s="19">
        <v>2.6631999999999999E-2</v>
      </c>
      <c r="BP771" s="19">
        <v>2.8549999999999999E-2</v>
      </c>
      <c r="BQ771" s="19">
        <v>3.0842999999999999E-2</v>
      </c>
      <c r="BR771" s="19">
        <v>3.3485000000000001E-2</v>
      </c>
      <c r="BS771" s="19">
        <v>3.6443000000000003E-2</v>
      </c>
      <c r="BT771" s="19">
        <v>3.5990000000000001E-2</v>
      </c>
      <c r="BU771" s="19">
        <v>3.5541999999999997E-2</v>
      </c>
    </row>
    <row r="772" spans="3:73" x14ac:dyDescent="0.45">
      <c r="C772" t="s">
        <v>328</v>
      </c>
      <c r="D772" t="s">
        <v>325</v>
      </c>
      <c r="E772" t="s">
        <v>317</v>
      </c>
      <c r="J772" s="7">
        <v>2020</v>
      </c>
      <c r="K772" s="7"/>
      <c r="L772" s="7"/>
      <c r="M772" s="7"/>
      <c r="N772" s="7"/>
      <c r="O772" s="7"/>
      <c r="P772" s="7"/>
      <c r="Q772" s="7">
        <v>2020</v>
      </c>
      <c r="R772" s="7"/>
      <c r="S772" s="7"/>
      <c r="T772" s="7"/>
      <c r="U772" s="7"/>
      <c r="V772" s="7"/>
      <c r="AR772" s="15" t="s">
        <v>328</v>
      </c>
      <c r="AS772" s="15" t="s">
        <v>369</v>
      </c>
      <c r="AT772" s="15"/>
      <c r="AU772" s="15"/>
      <c r="AV772" s="15" t="s">
        <v>385</v>
      </c>
      <c r="AW772" s="15"/>
      <c r="AX772" s="15"/>
      <c r="AY772" s="15"/>
      <c r="AZ772" s="18"/>
      <c r="BA772" s="18"/>
      <c r="BB772" s="19">
        <v>5.4150624844947599E-2</v>
      </c>
      <c r="BC772" s="19">
        <v>5.72701947605741E-2</v>
      </c>
      <c r="BD772" s="19">
        <v>6.00331864441421E-2</v>
      </c>
      <c r="BE772" s="19">
        <v>6.3555430690706599E-2</v>
      </c>
      <c r="BF772" s="19">
        <v>6.7802295790901995E-2</v>
      </c>
      <c r="BG772" s="19">
        <v>7.2692337217688904E-2</v>
      </c>
      <c r="BH772" s="19">
        <v>7.8127896423221099E-2</v>
      </c>
      <c r="BI772" s="19">
        <v>7.6194133570781405E-2</v>
      </c>
      <c r="BJ772" s="19">
        <v>7.4308233760106202E-2</v>
      </c>
      <c r="BK772" s="18"/>
      <c r="BL772" s="18"/>
      <c r="BM772" s="19">
        <v>5.4559999999999997E-2</v>
      </c>
      <c r="BN772" s="19">
        <v>5.8285000000000003E-2</v>
      </c>
      <c r="BO772" s="19">
        <v>6.1867999999999999E-2</v>
      </c>
      <c r="BP772" s="19">
        <v>6.6324999999999995E-2</v>
      </c>
      <c r="BQ772" s="19">
        <v>7.1651000000000006E-2</v>
      </c>
      <c r="BR772" s="19">
        <v>7.7787999999999996E-2</v>
      </c>
      <c r="BS772" s="19">
        <v>8.4659999999999999E-2</v>
      </c>
      <c r="BT772" s="19">
        <v>8.3607000000000001E-2</v>
      </c>
      <c r="BU772" s="19">
        <v>8.2568000000000003E-2</v>
      </c>
    </row>
    <row r="773" spans="3:73" x14ac:dyDescent="0.45">
      <c r="C773" t="s">
        <v>328</v>
      </c>
      <c r="D773" t="s">
        <v>326</v>
      </c>
      <c r="E773" t="s">
        <v>251</v>
      </c>
      <c r="J773" s="7"/>
      <c r="K773" s="7"/>
      <c r="L773" s="7">
        <v>20</v>
      </c>
      <c r="M773" s="7"/>
      <c r="N773" s="7"/>
      <c r="O773" s="7"/>
      <c r="P773" s="7"/>
      <c r="Q773" s="7"/>
      <c r="R773" s="7">
        <v>20</v>
      </c>
      <c r="S773" s="7"/>
      <c r="T773" s="7"/>
      <c r="U773" s="7"/>
      <c r="V773" s="7"/>
      <c r="AR773" s="15" t="s">
        <v>328</v>
      </c>
      <c r="AS773" s="15" t="s">
        <v>369</v>
      </c>
      <c r="AT773" s="15"/>
      <c r="AU773" s="15"/>
      <c r="AV773" s="15" t="s">
        <v>386</v>
      </c>
      <c r="AW773" s="15"/>
      <c r="AX773" s="15"/>
      <c r="AY773" s="15"/>
      <c r="AZ773" s="18"/>
      <c r="BA773" s="18"/>
      <c r="BB773" s="19">
        <v>0.46819873262118</v>
      </c>
      <c r="BC773" s="19">
        <v>0.44578201288746</v>
      </c>
      <c r="BD773" s="19">
        <v>0.39187577509559701</v>
      </c>
      <c r="BE773" s="19">
        <v>0.36766680262067297</v>
      </c>
      <c r="BF773" s="19">
        <v>0.34500690473324602</v>
      </c>
      <c r="BG773" s="19">
        <v>0.32379384719561899</v>
      </c>
      <c r="BH773" s="19">
        <v>0.30393231771588203</v>
      </c>
      <c r="BI773" s="19">
        <v>0.281811060588398</v>
      </c>
      <c r="BJ773" s="19">
        <v>0.261299865926721</v>
      </c>
      <c r="BK773" s="18"/>
      <c r="BL773" s="18"/>
      <c r="BM773" s="19">
        <v>0.47897499999999998</v>
      </c>
      <c r="BN773" s="19">
        <v>0.47009200000000001</v>
      </c>
      <c r="BO773" s="19">
        <v>0.42921999999999999</v>
      </c>
      <c r="BP773" s="19">
        <v>0.418271</v>
      </c>
      <c r="BQ773" s="19">
        <v>0.40766400000000003</v>
      </c>
      <c r="BR773" s="19">
        <v>0.39738800000000002</v>
      </c>
      <c r="BS773" s="19">
        <v>0.38743100000000003</v>
      </c>
      <c r="BT773" s="19">
        <v>0.37311800000000001</v>
      </c>
      <c r="BU773" s="19">
        <v>0.35933500000000002</v>
      </c>
    </row>
    <row r="774" spans="3:73" x14ac:dyDescent="0.45">
      <c r="C774" t="s">
        <v>328</v>
      </c>
      <c r="D774" t="s">
        <v>326</v>
      </c>
      <c r="E774" t="s">
        <v>253</v>
      </c>
      <c r="J774" s="7"/>
      <c r="K774" s="7"/>
      <c r="L774" s="7">
        <v>20</v>
      </c>
      <c r="M774" s="7"/>
      <c r="N774" s="7"/>
      <c r="O774" s="7"/>
      <c r="P774" s="7"/>
      <c r="Q774" s="7"/>
      <c r="R774" s="7">
        <v>20</v>
      </c>
      <c r="S774" s="7"/>
      <c r="T774" s="7"/>
      <c r="U774" s="7"/>
      <c r="V774" s="7"/>
      <c r="AR774" s="15" t="s">
        <v>328</v>
      </c>
      <c r="AS774" s="15" t="s">
        <v>369</v>
      </c>
      <c r="AT774" s="15"/>
      <c r="AU774" s="15"/>
      <c r="AV774" s="15" t="s">
        <v>387</v>
      </c>
      <c r="AW774" s="15"/>
      <c r="AX774" s="15"/>
      <c r="AY774" s="15"/>
      <c r="AZ774" s="18"/>
      <c r="BA774" s="18"/>
      <c r="BB774" s="19">
        <v>2.2928850437912802E-3</v>
      </c>
      <c r="BC774" s="19">
        <v>2.2731180449880699E-3</v>
      </c>
      <c r="BD774" s="19">
        <v>2.10175513476802E-3</v>
      </c>
      <c r="BE774" s="19">
        <v>2.0740650319263799E-3</v>
      </c>
      <c r="BF774" s="19">
        <v>2.04705725243865E-3</v>
      </c>
      <c r="BG774" s="19">
        <v>2.0207149083311801E-3</v>
      </c>
      <c r="BH774" s="19">
        <v>1.9950215296286699E-3</v>
      </c>
      <c r="BI774" s="19">
        <v>1.94564225922166E-3</v>
      </c>
      <c r="BJ774" s="19">
        <v>1.8974851873271501E-3</v>
      </c>
      <c r="BK774" s="18"/>
      <c r="BL774" s="18"/>
      <c r="BM774" s="19">
        <v>2.31E-3</v>
      </c>
      <c r="BN774" s="19">
        <v>2.313E-3</v>
      </c>
      <c r="BO774" s="19">
        <v>2.166E-3</v>
      </c>
      <c r="BP774" s="19">
        <v>2.1640000000000001E-3</v>
      </c>
      <c r="BQ774" s="19">
        <v>2.163E-3</v>
      </c>
      <c r="BR774" s="19">
        <v>2.1619999999999999E-3</v>
      </c>
      <c r="BS774" s="19">
        <v>2.1619999999999999E-3</v>
      </c>
      <c r="BT774" s="19">
        <v>2.1350000000000002E-3</v>
      </c>
      <c r="BU774" s="19">
        <v>2.1080000000000001E-3</v>
      </c>
    </row>
    <row r="775" spans="3:73" x14ac:dyDescent="0.45">
      <c r="C775" t="s">
        <v>328</v>
      </c>
      <c r="D775" t="s">
        <v>326</v>
      </c>
      <c r="E775" t="s">
        <v>254</v>
      </c>
      <c r="J775" s="7"/>
      <c r="K775" s="7"/>
      <c r="L775" s="7">
        <v>17.123290000000001</v>
      </c>
      <c r="M775" s="7"/>
      <c r="N775" s="7"/>
      <c r="O775" s="7"/>
      <c r="P775" s="7"/>
      <c r="Q775" s="7"/>
      <c r="R775" s="7">
        <v>17.123290000000001</v>
      </c>
      <c r="S775" s="7"/>
      <c r="T775" s="7"/>
      <c r="U775" s="7"/>
      <c r="V775" s="7"/>
      <c r="AR775" s="15" t="s">
        <v>328</v>
      </c>
      <c r="AS775" s="15" t="s">
        <v>369</v>
      </c>
      <c r="AT775" s="15"/>
      <c r="AU775" s="15"/>
      <c r="AV775" s="15" t="s">
        <v>388</v>
      </c>
      <c r="AW775" s="15"/>
      <c r="AX775" s="15"/>
      <c r="AY775" s="15"/>
      <c r="AZ775" s="18"/>
      <c r="BA775" s="18"/>
      <c r="BB775" s="19">
        <v>8.1957675625299806E-3</v>
      </c>
      <c r="BC775" s="19">
        <v>7.9630198176908803E-3</v>
      </c>
      <c r="BD775" s="19">
        <v>7.1795709778154403E-3</v>
      </c>
      <c r="BE775" s="19">
        <v>6.9087474130795998E-3</v>
      </c>
      <c r="BF775" s="19">
        <v>6.6491710296171097E-3</v>
      </c>
      <c r="BG775" s="19">
        <v>6.4003412427605004E-3</v>
      </c>
      <c r="BH775" s="19">
        <v>6.1617807356831597E-3</v>
      </c>
      <c r="BI775" s="19">
        <v>5.8597921693001797E-3</v>
      </c>
      <c r="BJ775" s="19">
        <v>5.5726040474864099E-3</v>
      </c>
      <c r="BK775" s="18"/>
      <c r="BL775" s="18"/>
      <c r="BM775" s="19">
        <v>8.3210000000000003E-3</v>
      </c>
      <c r="BN775" s="19">
        <v>8.2489999999999994E-3</v>
      </c>
      <c r="BO775" s="19">
        <v>7.6270000000000001E-3</v>
      </c>
      <c r="BP775" s="19">
        <v>7.5269999999999998E-3</v>
      </c>
      <c r="BQ775" s="19">
        <v>7.4279999999999997E-3</v>
      </c>
      <c r="BR775" s="19">
        <v>7.3330000000000001E-3</v>
      </c>
      <c r="BS775" s="19">
        <v>7.2399999999999999E-3</v>
      </c>
      <c r="BT775" s="19">
        <v>7.0600000000000003E-3</v>
      </c>
      <c r="BU775" s="19">
        <v>6.8859999999999998E-3</v>
      </c>
    </row>
    <row r="776" spans="3:73" x14ac:dyDescent="0.45">
      <c r="C776" t="s">
        <v>328</v>
      </c>
      <c r="D776" t="s">
        <v>326</v>
      </c>
      <c r="E776" t="s">
        <v>255</v>
      </c>
      <c r="J776" s="7"/>
      <c r="K776" s="7"/>
      <c r="L776" s="7">
        <v>10</v>
      </c>
      <c r="M776" s="7"/>
      <c r="N776" s="7"/>
      <c r="O776" s="7"/>
      <c r="P776" s="7"/>
      <c r="Q776" s="7"/>
      <c r="R776" s="7">
        <v>10</v>
      </c>
      <c r="S776" s="7"/>
      <c r="T776" s="7"/>
      <c r="U776" s="7"/>
      <c r="V776" s="7"/>
      <c r="AR776" s="15" t="s">
        <v>328</v>
      </c>
      <c r="AS776" s="15" t="s">
        <v>369</v>
      </c>
      <c r="AT776" s="15"/>
      <c r="AU776" s="15"/>
      <c r="AV776" s="15" t="s">
        <v>389</v>
      </c>
      <c r="AW776" s="15"/>
      <c r="AX776" s="15"/>
      <c r="AY776" s="15"/>
      <c r="AZ776" s="18"/>
      <c r="BA776" s="18"/>
      <c r="BB776" s="19">
        <v>0.13096152142143899</v>
      </c>
      <c r="BC776" s="19">
        <v>0.127242406824913</v>
      </c>
      <c r="BD776" s="19">
        <v>0.11472354861631399</v>
      </c>
      <c r="BE776" s="19">
        <v>0.110396014214688</v>
      </c>
      <c r="BF776" s="19">
        <v>0.106248200377367</v>
      </c>
      <c r="BG776" s="19">
        <v>0.10227210817940199</v>
      </c>
      <c r="BH776" s="19">
        <v>9.8460110496505895E-2</v>
      </c>
      <c r="BI776" s="19">
        <v>9.3634585394231695E-2</v>
      </c>
      <c r="BJ776" s="19">
        <v>8.9045559036426206E-2</v>
      </c>
      <c r="BK776" s="18"/>
      <c r="BL776" s="18"/>
      <c r="BM776" s="19">
        <v>0.13295599999999999</v>
      </c>
      <c r="BN776" s="19">
        <v>0.13181000000000001</v>
      </c>
      <c r="BO776" s="19">
        <v>0.121873</v>
      </c>
      <c r="BP776" s="19">
        <v>0.120267</v>
      </c>
      <c r="BQ776" s="19">
        <v>0.118701</v>
      </c>
      <c r="BR776" s="19">
        <v>0.117174</v>
      </c>
      <c r="BS776" s="19">
        <v>0.115684</v>
      </c>
      <c r="BT776" s="19">
        <v>0.112821</v>
      </c>
      <c r="BU776" s="19">
        <v>0.110028</v>
      </c>
    </row>
    <row r="777" spans="3:73" x14ac:dyDescent="0.45">
      <c r="C777" t="s">
        <v>328</v>
      </c>
      <c r="D777" t="s">
        <v>326</v>
      </c>
      <c r="E777" t="s">
        <v>256</v>
      </c>
      <c r="J777" s="7"/>
      <c r="K777" s="7"/>
      <c r="L777" s="7">
        <v>10</v>
      </c>
      <c r="M777" s="7"/>
      <c r="N777" s="7"/>
      <c r="O777" s="7"/>
      <c r="P777" s="7"/>
      <c r="Q777" s="7"/>
      <c r="R777" s="7">
        <v>10</v>
      </c>
      <c r="S777" s="7"/>
      <c r="T777" s="7"/>
      <c r="U777" s="7"/>
      <c r="V777" s="7"/>
      <c r="AR777" s="15" t="s">
        <v>328</v>
      </c>
      <c r="AS777" s="15" t="s">
        <v>369</v>
      </c>
      <c r="AT777" s="15"/>
      <c r="AU777" s="15"/>
      <c r="AV777" s="15" t="s">
        <v>390</v>
      </c>
      <c r="AW777" s="15"/>
      <c r="AX777" s="15"/>
      <c r="AY777" s="15"/>
      <c r="AZ777" s="18"/>
      <c r="BA777" s="18"/>
      <c r="BB777" s="19">
        <v>1.50605749634655E-2</v>
      </c>
      <c r="BC777" s="19">
        <v>1.4632876784865001E-2</v>
      </c>
      <c r="BD777" s="19">
        <v>1.31932080908761E-2</v>
      </c>
      <c r="BE777" s="19">
        <v>1.2695541634689099E-2</v>
      </c>
      <c r="BF777" s="19">
        <v>1.22185430433973E-2</v>
      </c>
      <c r="BG777" s="19">
        <v>1.17612924406312E-2</v>
      </c>
      <c r="BH777" s="19">
        <v>1.13229127070982E-2</v>
      </c>
      <c r="BI777" s="19">
        <v>1.0767977320336601E-2</v>
      </c>
      <c r="BJ777" s="19">
        <v>1.0240239289189001E-2</v>
      </c>
      <c r="BK777" s="18"/>
      <c r="BL777" s="18"/>
      <c r="BM777" s="19">
        <v>1.529E-2</v>
      </c>
      <c r="BN777" s="19">
        <v>1.5158E-2</v>
      </c>
      <c r="BO777" s="19">
        <v>1.4015E-2</v>
      </c>
      <c r="BP777" s="19">
        <v>1.3831E-2</v>
      </c>
      <c r="BQ777" s="19">
        <v>1.3651E-2</v>
      </c>
      <c r="BR777" s="19">
        <v>1.3475000000000001E-2</v>
      </c>
      <c r="BS777" s="19">
        <v>1.3304E-2</v>
      </c>
      <c r="BT777" s="19">
        <v>1.2973999999999999E-2</v>
      </c>
      <c r="BU777" s="19">
        <v>1.2652999999999999E-2</v>
      </c>
    </row>
    <row r="778" spans="3:73" x14ac:dyDescent="0.45">
      <c r="C778" t="s">
        <v>328</v>
      </c>
      <c r="D778" t="s">
        <v>326</v>
      </c>
      <c r="E778" t="s">
        <v>257</v>
      </c>
      <c r="J778" s="7"/>
      <c r="K778" s="7"/>
      <c r="L778" s="7">
        <v>22</v>
      </c>
      <c r="M778" s="7"/>
      <c r="N778" s="7"/>
      <c r="O778" s="7"/>
      <c r="P778" s="7"/>
      <c r="Q778" s="7"/>
      <c r="R778" s="7">
        <v>22</v>
      </c>
      <c r="S778" s="7"/>
      <c r="T778" s="7"/>
      <c r="U778" s="7"/>
      <c r="V778" s="7"/>
      <c r="AR778" s="15" t="s">
        <v>328</v>
      </c>
      <c r="AS778" s="15" t="s">
        <v>369</v>
      </c>
      <c r="AT778" s="15"/>
      <c r="AU778" s="15"/>
      <c r="AV778" s="15" t="s">
        <v>391</v>
      </c>
      <c r="AW778" s="15"/>
      <c r="AX778" s="15"/>
      <c r="AY778" s="15"/>
      <c r="AZ778" s="18"/>
      <c r="BA778" s="18"/>
      <c r="BB778" s="19">
        <v>6.9010783020328204E-2</v>
      </c>
      <c r="BC778" s="19">
        <v>6.70509782802578E-2</v>
      </c>
      <c r="BD778" s="19">
        <v>6.0454107702405301E-2</v>
      </c>
      <c r="BE778" s="19">
        <v>5.8173693315322898E-2</v>
      </c>
      <c r="BF778" s="19">
        <v>5.5987983515763701E-2</v>
      </c>
      <c r="BG778" s="19">
        <v>5.3892763233008997E-2</v>
      </c>
      <c r="BH778" s="19">
        <v>5.1884013318430802E-2</v>
      </c>
      <c r="BI778" s="19">
        <v>4.9341180414706802E-2</v>
      </c>
      <c r="BJ778" s="19">
        <v>4.6922971624706898E-2</v>
      </c>
      <c r="BK778" s="18"/>
      <c r="BL778" s="18"/>
      <c r="BM778" s="19">
        <v>7.0061999999999999E-2</v>
      </c>
      <c r="BN778" s="19">
        <v>6.9458000000000006E-2</v>
      </c>
      <c r="BO778" s="19">
        <v>6.4222000000000001E-2</v>
      </c>
      <c r="BP778" s="19">
        <v>6.3375000000000001E-2</v>
      </c>
      <c r="BQ778" s="19">
        <v>6.2549999999999994E-2</v>
      </c>
      <c r="BR778" s="19">
        <v>6.1745000000000001E-2</v>
      </c>
      <c r="BS778" s="19">
        <v>6.096E-2</v>
      </c>
      <c r="BT778" s="19">
        <v>5.9450999999999997E-2</v>
      </c>
      <c r="BU778" s="19">
        <v>5.7979999999999997E-2</v>
      </c>
    </row>
    <row r="779" spans="3:73" x14ac:dyDescent="0.45">
      <c r="C779" t="s">
        <v>328</v>
      </c>
      <c r="D779" t="s">
        <v>326</v>
      </c>
      <c r="E779" t="s">
        <v>258</v>
      </c>
      <c r="J779" s="7"/>
      <c r="K779" s="7"/>
      <c r="L779" s="7">
        <v>22</v>
      </c>
      <c r="M779" s="7"/>
      <c r="N779" s="7"/>
      <c r="O779" s="7"/>
      <c r="P779" s="7"/>
      <c r="Q779" s="7"/>
      <c r="R779" s="7">
        <v>22</v>
      </c>
      <c r="S779" s="7"/>
      <c r="T779" s="7"/>
      <c r="U779" s="7"/>
      <c r="V779" s="7"/>
      <c r="AR779" s="15" t="s">
        <v>328</v>
      </c>
      <c r="AS779" s="15" t="s">
        <v>369</v>
      </c>
      <c r="AT779" s="15"/>
      <c r="AU779" s="15"/>
      <c r="AV779" s="15" t="s">
        <v>392</v>
      </c>
      <c r="AW779" s="15"/>
      <c r="AX779" s="15"/>
      <c r="AY779" s="15"/>
      <c r="AZ779" s="18"/>
      <c r="BA779" s="18"/>
      <c r="BB779" s="19">
        <v>1.07706386189922E-3</v>
      </c>
      <c r="BC779" s="19">
        <v>1.08296085682364E-3</v>
      </c>
      <c r="BD779" s="19">
        <v>1.0776770289229801E-3</v>
      </c>
      <c r="BE779" s="19">
        <v>1.08987009891478E-3</v>
      </c>
      <c r="BF779" s="19">
        <v>1.0970088789387499E-3</v>
      </c>
      <c r="BG779" s="19">
        <v>1.09942991857448E-3</v>
      </c>
      <c r="BH779" s="19">
        <v>1.09745388159161E-3</v>
      </c>
      <c r="BI779" s="19">
        <v>1.0918256764264099E-3</v>
      </c>
      <c r="BJ779" s="19">
        <v>1.0840892954332201E-3</v>
      </c>
      <c r="BK779" s="18"/>
      <c r="BL779" s="18"/>
      <c r="BM779" s="19">
        <v>1.0939999999999999E-3</v>
      </c>
      <c r="BN779" s="19">
        <v>1.1540000000000001E-3</v>
      </c>
      <c r="BO779" s="19">
        <v>1.2080000000000001E-3</v>
      </c>
      <c r="BP779" s="19">
        <v>1.2329999999999999E-3</v>
      </c>
      <c r="BQ779" s="19">
        <v>1.2310000000000001E-3</v>
      </c>
      <c r="BR779" s="19">
        <v>1.2260000000000001E-3</v>
      </c>
      <c r="BS779" s="19">
        <v>1.2160000000000001E-3</v>
      </c>
      <c r="BT779" s="19">
        <v>1.2030000000000001E-3</v>
      </c>
      <c r="BU779" s="19">
        <v>1.188E-3</v>
      </c>
    </row>
    <row r="780" spans="3:73" x14ac:dyDescent="0.45">
      <c r="C780" t="s">
        <v>328</v>
      </c>
      <c r="D780" t="s">
        <v>326</v>
      </c>
      <c r="E780" t="s">
        <v>259</v>
      </c>
      <c r="J780" s="7"/>
      <c r="K780" s="7"/>
      <c r="L780" s="7">
        <v>22</v>
      </c>
      <c r="M780" s="7"/>
      <c r="N780" s="7"/>
      <c r="O780" s="7"/>
      <c r="P780" s="7"/>
      <c r="Q780" s="7"/>
      <c r="R780" s="7">
        <v>22</v>
      </c>
      <c r="S780" s="7"/>
      <c r="T780" s="7"/>
      <c r="U780" s="7"/>
      <c r="V780" s="7"/>
      <c r="AR780" s="15" t="s">
        <v>328</v>
      </c>
      <c r="AS780" s="15" t="s">
        <v>369</v>
      </c>
      <c r="AT780" s="15"/>
      <c r="AU780" s="15"/>
      <c r="AV780" s="15" t="s">
        <v>393</v>
      </c>
      <c r="AW780" s="15"/>
      <c r="AX780" s="15"/>
      <c r="AY780" s="15"/>
      <c r="AZ780" s="18"/>
      <c r="BA780" s="18"/>
      <c r="BB780" s="19">
        <v>1.2321152155046899</v>
      </c>
      <c r="BC780" s="19">
        <v>1.2141464689830399</v>
      </c>
      <c r="BD780" s="19">
        <v>1.17816879744875</v>
      </c>
      <c r="BE780" s="19">
        <v>1.1618610636484701</v>
      </c>
      <c r="BF780" s="19">
        <v>1.1403815231296599</v>
      </c>
      <c r="BG780" s="19">
        <v>1.1144694033388001</v>
      </c>
      <c r="BH780" s="19">
        <v>1.08479443063374</v>
      </c>
      <c r="BI780" s="19">
        <v>1.0523859481396001</v>
      </c>
      <c r="BJ780" s="19">
        <v>1.0189370699075</v>
      </c>
      <c r="BK780" s="18"/>
      <c r="BL780" s="18"/>
      <c r="BM780" s="19">
        <v>1.2605470000000001</v>
      </c>
      <c r="BN780" s="19">
        <v>1.316562</v>
      </c>
      <c r="BO780" s="19">
        <v>1.360808</v>
      </c>
      <c r="BP780" s="19">
        <v>1.3722650000000001</v>
      </c>
      <c r="BQ780" s="19">
        <v>1.353267</v>
      </c>
      <c r="BR780" s="19">
        <v>1.330076</v>
      </c>
      <c r="BS780" s="19">
        <v>1.3030170000000001</v>
      </c>
      <c r="BT780" s="19">
        <v>1.2729090000000001</v>
      </c>
      <c r="BU780" s="19">
        <v>1.241503</v>
      </c>
    </row>
    <row r="781" spans="3:73" x14ac:dyDescent="0.45">
      <c r="C781" t="s">
        <v>328</v>
      </c>
      <c r="D781" t="s">
        <v>326</v>
      </c>
      <c r="E781" t="s">
        <v>260</v>
      </c>
      <c r="J781" s="7"/>
      <c r="K781" s="7"/>
      <c r="L781" s="7">
        <v>15</v>
      </c>
      <c r="M781" s="7"/>
      <c r="N781" s="7"/>
      <c r="O781" s="7"/>
      <c r="P781" s="7"/>
      <c r="Q781" s="7"/>
      <c r="R781" s="7">
        <v>15</v>
      </c>
      <c r="S781" s="7"/>
      <c r="T781" s="7"/>
      <c r="U781" s="7"/>
      <c r="V781" s="7"/>
      <c r="AR781" s="15" t="s">
        <v>328</v>
      </c>
      <c r="AS781" s="15" t="s">
        <v>369</v>
      </c>
      <c r="AT781" s="15"/>
      <c r="AU781" s="15"/>
      <c r="AV781" s="15" t="s">
        <v>394</v>
      </c>
      <c r="AW781" s="15"/>
      <c r="AX781" s="15"/>
      <c r="AY781" s="15"/>
      <c r="AZ781" s="18"/>
      <c r="BA781" s="18"/>
      <c r="BB781" s="19">
        <v>0.45184740382638799</v>
      </c>
      <c r="BC781" s="19">
        <v>0.43378510629253902</v>
      </c>
      <c r="BD781" s="19">
        <v>0.38964623327447001</v>
      </c>
      <c r="BE781" s="19">
        <v>0.34999861660209802</v>
      </c>
      <c r="BF781" s="19">
        <v>0.309959148579463</v>
      </c>
      <c r="BG781" s="19">
        <v>0.27062465836818</v>
      </c>
      <c r="BH781" s="19">
        <v>0.23628180052933101</v>
      </c>
      <c r="BI781" s="19">
        <v>0.20629712605651801</v>
      </c>
      <c r="BJ781" s="19">
        <v>0.18011757200020101</v>
      </c>
      <c r="BK781" s="18"/>
      <c r="BL781" s="18"/>
      <c r="BM781" s="19">
        <v>0.46224799999999999</v>
      </c>
      <c r="BN781" s="19">
        <v>0.45744099999999999</v>
      </c>
      <c r="BO781" s="19">
        <v>0.40314899999999998</v>
      </c>
      <c r="BP781" s="19">
        <v>0.35530099999999998</v>
      </c>
      <c r="BQ781" s="19">
        <v>0.326818</v>
      </c>
      <c r="BR781" s="19">
        <v>0.31364399999999998</v>
      </c>
      <c r="BS781" s="19">
        <v>0.30099999999999999</v>
      </c>
      <c r="BT781" s="19">
        <v>0.28886699999999998</v>
      </c>
      <c r="BU781" s="19">
        <v>0.27722200000000002</v>
      </c>
    </row>
    <row r="782" spans="3:73" x14ac:dyDescent="0.45">
      <c r="C782" t="s">
        <v>328</v>
      </c>
      <c r="D782" t="s">
        <v>326</v>
      </c>
      <c r="E782" t="s">
        <v>261</v>
      </c>
      <c r="J782" s="7"/>
      <c r="K782" s="7"/>
      <c r="L782" s="7">
        <v>15</v>
      </c>
      <c r="M782" s="7"/>
      <c r="N782" s="7"/>
      <c r="O782" s="7"/>
      <c r="P782" s="7"/>
      <c r="Q782" s="7"/>
      <c r="R782" s="7">
        <v>15</v>
      </c>
      <c r="S782" s="7"/>
      <c r="T782" s="7"/>
      <c r="U782" s="7"/>
      <c r="V782" s="7"/>
      <c r="AR782" s="15" t="s">
        <v>328</v>
      </c>
      <c r="AS782" s="15" t="s">
        <v>369</v>
      </c>
      <c r="AT782" s="15"/>
      <c r="AU782" s="15"/>
      <c r="AV782" s="15" t="s">
        <v>395</v>
      </c>
      <c r="AW782" s="15"/>
      <c r="AX782" s="15"/>
      <c r="AY782" s="15"/>
      <c r="AZ782" s="18"/>
      <c r="BA782" s="18"/>
      <c r="BB782" s="19">
        <v>3.13439953069879E-2</v>
      </c>
      <c r="BC782" s="19">
        <v>3.1331746209407998E-2</v>
      </c>
      <c r="BD782" s="19">
        <v>2.9601566670112101E-2</v>
      </c>
      <c r="BE782" s="19">
        <v>2.79669298821901E-2</v>
      </c>
      <c r="BF782" s="19">
        <v>2.6050566759402E-2</v>
      </c>
      <c r="BG782" s="19">
        <v>2.3922928029464201E-2</v>
      </c>
      <c r="BH782" s="19">
        <v>2.1969060818854198E-2</v>
      </c>
      <c r="BI782" s="19">
        <v>2.01747726142921E-2</v>
      </c>
      <c r="BJ782" s="19">
        <v>1.8527030053513999E-2</v>
      </c>
      <c r="BK782" s="18"/>
      <c r="BL782" s="18"/>
      <c r="BM782" s="19">
        <v>3.1580999999999998E-2</v>
      </c>
      <c r="BN782" s="19">
        <v>3.1886999999999999E-2</v>
      </c>
      <c r="BO782" s="19">
        <v>2.8816999999999999E-2</v>
      </c>
      <c r="BP782" s="19">
        <v>2.6043E-2</v>
      </c>
      <c r="BQ782" s="19">
        <v>2.4565E-2</v>
      </c>
      <c r="BR782" s="19">
        <v>2.4174999999999999E-2</v>
      </c>
      <c r="BS782" s="19">
        <v>2.3791E-2</v>
      </c>
      <c r="BT782" s="19">
        <v>2.3413E-2</v>
      </c>
      <c r="BU782" s="19">
        <v>2.3040000000000001E-2</v>
      </c>
    </row>
    <row r="783" spans="3:73" x14ac:dyDescent="0.45">
      <c r="C783" t="s">
        <v>328</v>
      </c>
      <c r="D783" t="s">
        <v>326</v>
      </c>
      <c r="E783" t="s">
        <v>262</v>
      </c>
      <c r="J783" s="7"/>
      <c r="K783" s="7"/>
      <c r="L783" s="7">
        <v>15</v>
      </c>
      <c r="M783" s="7"/>
      <c r="N783" s="7"/>
      <c r="O783" s="7"/>
      <c r="P783" s="7"/>
      <c r="Q783" s="7"/>
      <c r="R783" s="7">
        <v>15</v>
      </c>
      <c r="S783" s="7"/>
      <c r="T783" s="7"/>
      <c r="U783" s="7"/>
      <c r="V783" s="7"/>
      <c r="AR783" s="15" t="s">
        <v>328</v>
      </c>
      <c r="AS783" s="15" t="s">
        <v>369</v>
      </c>
      <c r="AT783" s="15"/>
      <c r="AU783" s="15"/>
      <c r="AV783" s="15" t="s">
        <v>396</v>
      </c>
      <c r="AW783" s="15"/>
      <c r="AX783" s="15"/>
      <c r="AY783" s="15"/>
      <c r="AZ783" s="18"/>
      <c r="BA783" s="18"/>
      <c r="BB783" s="19">
        <v>2.0337203030097301E-2</v>
      </c>
      <c r="BC783" s="19">
        <v>1.9923696897981898E-2</v>
      </c>
      <c r="BD783" s="19">
        <v>1.8355262177950998E-2</v>
      </c>
      <c r="BE783" s="19">
        <v>1.6910297890319899E-2</v>
      </c>
      <c r="BF783" s="19">
        <v>1.5359752232147699E-2</v>
      </c>
      <c r="BG783" s="19">
        <v>1.37544090790695E-2</v>
      </c>
      <c r="BH783" s="19">
        <v>1.23168503147097E-2</v>
      </c>
      <c r="BI783" s="19">
        <v>1.10295397499713E-2</v>
      </c>
      <c r="BJ783" s="19">
        <v>9.8767740118521196E-3</v>
      </c>
      <c r="BK783" s="18"/>
      <c r="BL783" s="18"/>
      <c r="BM783" s="19">
        <v>2.0646999999999999E-2</v>
      </c>
      <c r="BN783" s="19">
        <v>2.0639000000000001E-2</v>
      </c>
      <c r="BO783" s="19">
        <v>1.8419999999999999E-2</v>
      </c>
      <c r="BP783" s="19">
        <v>1.6438999999999999E-2</v>
      </c>
      <c r="BQ783" s="19">
        <v>1.5311999999999999E-2</v>
      </c>
      <c r="BR783" s="19">
        <v>1.4881E-2</v>
      </c>
      <c r="BS783" s="19">
        <v>1.4461999999999999E-2</v>
      </c>
      <c r="BT783" s="19">
        <v>1.4055E-2</v>
      </c>
      <c r="BU783" s="19">
        <v>1.3658999999999999E-2</v>
      </c>
    </row>
    <row r="784" spans="3:73" x14ac:dyDescent="0.45">
      <c r="C784" t="s">
        <v>328</v>
      </c>
      <c r="D784" t="s">
        <v>326</v>
      </c>
      <c r="E784" t="s">
        <v>263</v>
      </c>
      <c r="J784" s="7"/>
      <c r="K784" s="7"/>
      <c r="L784" s="7">
        <v>22</v>
      </c>
      <c r="M784" s="7"/>
      <c r="N784" s="7"/>
      <c r="O784" s="7"/>
      <c r="P784" s="7"/>
      <c r="Q784" s="7"/>
      <c r="R784" s="7">
        <v>22</v>
      </c>
      <c r="S784" s="7"/>
      <c r="T784" s="7"/>
      <c r="U784" s="7"/>
      <c r="V784" s="7"/>
      <c r="AR784" s="15" t="s">
        <v>328</v>
      </c>
      <c r="AS784" s="15" t="s">
        <v>369</v>
      </c>
      <c r="AT784" s="15"/>
      <c r="AU784" s="15"/>
      <c r="AV784" s="15" t="s">
        <v>397</v>
      </c>
      <c r="AW784" s="15"/>
      <c r="AX784" s="15"/>
      <c r="AY784" s="15"/>
      <c r="AZ784" s="18"/>
      <c r="BA784" s="18"/>
      <c r="BB784" s="19">
        <v>6.9101953595680698E-3</v>
      </c>
      <c r="BC784" s="19">
        <v>6.7696938288970502E-3</v>
      </c>
      <c r="BD784" s="19">
        <v>6.23676949765523E-3</v>
      </c>
      <c r="BE784" s="19">
        <v>5.7457980744780599E-3</v>
      </c>
      <c r="BF784" s="19">
        <v>5.2189521067192097E-3</v>
      </c>
      <c r="BG784" s="19">
        <v>4.6734869908673397E-3</v>
      </c>
      <c r="BH784" s="19">
        <v>4.1850318238571696E-3</v>
      </c>
      <c r="BI784" s="19">
        <v>3.7476281416687499E-3</v>
      </c>
      <c r="BJ784" s="19">
        <v>3.3559402363834601E-3</v>
      </c>
      <c r="BK784" s="18"/>
      <c r="BL784" s="18"/>
      <c r="BM784" s="19">
        <v>7.0150000000000004E-3</v>
      </c>
      <c r="BN784" s="19">
        <v>7.0130000000000001E-3</v>
      </c>
      <c r="BO784" s="19">
        <v>6.2589999999999998E-3</v>
      </c>
      <c r="BP784" s="19">
        <v>5.5859999999999998E-3</v>
      </c>
      <c r="BQ784" s="19">
        <v>5.2030000000000002E-3</v>
      </c>
      <c r="BR784" s="19">
        <v>5.0559999999999997E-3</v>
      </c>
      <c r="BS784" s="19">
        <v>4.914E-3</v>
      </c>
      <c r="BT784" s="19">
        <v>4.7759999999999999E-3</v>
      </c>
      <c r="BU784" s="19">
        <v>4.6410000000000002E-3</v>
      </c>
    </row>
    <row r="785" spans="3:73" x14ac:dyDescent="0.45">
      <c r="C785" t="s">
        <v>328</v>
      </c>
      <c r="D785" t="s">
        <v>326</v>
      </c>
      <c r="E785" t="s">
        <v>264</v>
      </c>
      <c r="J785" s="7"/>
      <c r="K785" s="7"/>
      <c r="L785" s="7">
        <v>22</v>
      </c>
      <c r="M785" s="7"/>
      <c r="N785" s="7"/>
      <c r="O785" s="7"/>
      <c r="P785" s="7"/>
      <c r="Q785" s="7"/>
      <c r="R785" s="7">
        <v>22</v>
      </c>
      <c r="S785" s="7"/>
      <c r="T785" s="7"/>
      <c r="U785" s="7"/>
      <c r="V785" s="7"/>
      <c r="AR785" s="15" t="s">
        <v>328</v>
      </c>
      <c r="AS785" s="15" t="s">
        <v>369</v>
      </c>
      <c r="AT785" s="15"/>
      <c r="AU785" s="15"/>
      <c r="AV785" s="15" t="s">
        <v>398</v>
      </c>
      <c r="AW785" s="15"/>
      <c r="AX785" s="15"/>
      <c r="AY785" s="15"/>
      <c r="AZ785" s="18"/>
      <c r="BA785" s="18"/>
      <c r="BB785" s="19">
        <v>0.11041915119040401</v>
      </c>
      <c r="BC785" s="19">
        <v>0.10817405406212</v>
      </c>
      <c r="BD785" s="19">
        <v>9.9658368290232405E-2</v>
      </c>
      <c r="BE785" s="19">
        <v>9.1813054954640205E-2</v>
      </c>
      <c r="BF785" s="19">
        <v>8.3394496355212094E-2</v>
      </c>
      <c r="BG785" s="19">
        <v>7.4678419317977293E-2</v>
      </c>
      <c r="BH785" s="19">
        <v>6.6873313654625705E-2</v>
      </c>
      <c r="BI785" s="19">
        <v>5.9883968085990197E-2</v>
      </c>
      <c r="BJ785" s="19">
        <v>5.3625122455343503E-2</v>
      </c>
      <c r="BK785" s="18"/>
      <c r="BL785" s="18"/>
      <c r="BM785" s="19">
        <v>0.11210100000000001</v>
      </c>
      <c r="BN785" s="19">
        <v>0.112057</v>
      </c>
      <c r="BO785" s="19">
        <v>0.100007</v>
      </c>
      <c r="BP785" s="19">
        <v>8.9254E-2</v>
      </c>
      <c r="BQ785" s="19">
        <v>8.3138000000000004E-2</v>
      </c>
      <c r="BR785" s="19">
        <v>8.0796000000000007E-2</v>
      </c>
      <c r="BS785" s="19">
        <v>7.8520999999999994E-2</v>
      </c>
      <c r="BT785" s="19">
        <v>7.6309000000000002E-2</v>
      </c>
      <c r="BU785" s="19">
        <v>7.4160000000000004E-2</v>
      </c>
    </row>
    <row r="786" spans="3:73" x14ac:dyDescent="0.45">
      <c r="C786" t="s">
        <v>328</v>
      </c>
      <c r="D786" t="s">
        <v>326</v>
      </c>
      <c r="E786" t="s">
        <v>265</v>
      </c>
      <c r="J786" s="7"/>
      <c r="K786" s="7"/>
      <c r="L786" s="7">
        <v>22</v>
      </c>
      <c r="M786" s="7"/>
      <c r="N786" s="7"/>
      <c r="O786" s="7"/>
      <c r="P786" s="7"/>
      <c r="Q786" s="7"/>
      <c r="R786" s="7">
        <v>22</v>
      </c>
      <c r="S786" s="7"/>
      <c r="T786" s="7"/>
      <c r="U786" s="7"/>
      <c r="V786" s="7"/>
      <c r="AR786" s="15" t="s">
        <v>328</v>
      </c>
      <c r="AS786" s="15" t="s">
        <v>369</v>
      </c>
      <c r="AT786" s="15"/>
      <c r="AU786" s="15"/>
      <c r="AV786" s="15" t="s">
        <v>399</v>
      </c>
      <c r="AW786" s="15"/>
      <c r="AX786" s="15"/>
      <c r="AY786" s="15"/>
      <c r="AZ786" s="18"/>
      <c r="BA786" s="18"/>
      <c r="BB786" s="19">
        <v>1.2698202386896401E-2</v>
      </c>
      <c r="BC786" s="19">
        <v>1.2440016217143799E-2</v>
      </c>
      <c r="BD786" s="19">
        <v>1.1460712353376701E-2</v>
      </c>
      <c r="BE786" s="19">
        <v>1.05585013197836E-2</v>
      </c>
      <c r="BF786" s="19">
        <v>9.5903670808494008E-3</v>
      </c>
      <c r="BG786" s="19">
        <v>8.5880182215673905E-3</v>
      </c>
      <c r="BH786" s="19">
        <v>7.6904310702819601E-3</v>
      </c>
      <c r="BI786" s="19">
        <v>6.8866563298888798E-3</v>
      </c>
      <c r="BJ786" s="19">
        <v>6.1668890823644998E-3</v>
      </c>
      <c r="BK786" s="18"/>
      <c r="BL786" s="18"/>
      <c r="BM786" s="19">
        <v>1.2892000000000001E-2</v>
      </c>
      <c r="BN786" s="19">
        <v>1.2886999999999999E-2</v>
      </c>
      <c r="BO786" s="19">
        <v>1.1501000000000001E-2</v>
      </c>
      <c r="BP786" s="19">
        <v>1.0264000000000001E-2</v>
      </c>
      <c r="BQ786" s="19">
        <v>9.5610000000000001E-3</v>
      </c>
      <c r="BR786" s="19">
        <v>9.2919999999999999E-3</v>
      </c>
      <c r="BS786" s="19">
        <v>9.0299999999999998E-3</v>
      </c>
      <c r="BT786" s="19">
        <v>8.7760000000000008E-3</v>
      </c>
      <c r="BU786" s="19">
        <v>8.5280000000000009E-3</v>
      </c>
    </row>
    <row r="787" spans="3:73" x14ac:dyDescent="0.45">
      <c r="C787" t="s">
        <v>328</v>
      </c>
      <c r="D787" t="s">
        <v>326</v>
      </c>
      <c r="E787" t="s">
        <v>266</v>
      </c>
      <c r="J787" s="7"/>
      <c r="K787" s="7"/>
      <c r="L787" s="7">
        <v>25</v>
      </c>
      <c r="M787" s="7"/>
      <c r="N787" s="7"/>
      <c r="O787" s="7"/>
      <c r="P787" s="7"/>
      <c r="Q787" s="7"/>
      <c r="R787" s="7">
        <v>25</v>
      </c>
      <c r="S787" s="7"/>
      <c r="T787" s="7"/>
      <c r="U787" s="7"/>
      <c r="V787" s="7"/>
      <c r="AR787" s="15" t="s">
        <v>328</v>
      </c>
      <c r="AS787" s="15" t="s">
        <v>369</v>
      </c>
      <c r="AT787" s="15"/>
      <c r="AU787" s="15"/>
      <c r="AV787" s="15" t="s">
        <v>400</v>
      </c>
      <c r="AW787" s="15"/>
      <c r="AX787" s="15"/>
      <c r="AY787" s="15"/>
      <c r="AZ787" s="18"/>
      <c r="BA787" s="18"/>
      <c r="BB787" s="19">
        <v>14.6282</v>
      </c>
      <c r="BC787" s="19">
        <v>14.6282</v>
      </c>
      <c r="BD787" s="19">
        <v>0</v>
      </c>
      <c r="BE787" s="19">
        <v>0</v>
      </c>
      <c r="BF787" s="19">
        <v>0</v>
      </c>
      <c r="BG787" s="19">
        <v>0</v>
      </c>
      <c r="BH787" s="19">
        <v>0</v>
      </c>
      <c r="BI787" s="19">
        <v>0</v>
      </c>
      <c r="BJ787" s="19">
        <v>0</v>
      </c>
      <c r="BK787" s="18"/>
      <c r="BL787" s="18"/>
      <c r="BM787" s="19">
        <v>14.6282</v>
      </c>
      <c r="BN787" s="19">
        <v>14.6282</v>
      </c>
      <c r="BO787" s="19">
        <v>14.6282</v>
      </c>
      <c r="BP787" s="19">
        <v>14.6282</v>
      </c>
      <c r="BQ787" s="19">
        <v>14.6282</v>
      </c>
      <c r="BR787" s="19">
        <v>14.6282</v>
      </c>
      <c r="BS787" s="19">
        <v>14.6282</v>
      </c>
      <c r="BT787" s="19">
        <v>14.6282</v>
      </c>
      <c r="BU787" s="19">
        <v>14.6282</v>
      </c>
    </row>
    <row r="788" spans="3:73" x14ac:dyDescent="0.45">
      <c r="C788" t="s">
        <v>328</v>
      </c>
      <c r="D788" t="s">
        <v>326</v>
      </c>
      <c r="E788" t="s">
        <v>267</v>
      </c>
      <c r="J788" s="7"/>
      <c r="K788" s="7"/>
      <c r="L788" s="7">
        <v>25</v>
      </c>
      <c r="M788" s="7"/>
      <c r="N788" s="7"/>
      <c r="O788" s="7"/>
      <c r="P788" s="7"/>
      <c r="Q788" s="7"/>
      <c r="R788" s="7">
        <v>25</v>
      </c>
      <c r="S788" s="7"/>
      <c r="T788" s="7"/>
      <c r="U788" s="7"/>
      <c r="V788" s="7"/>
      <c r="AR788" s="15" t="s">
        <v>328</v>
      </c>
      <c r="AS788" s="15" t="s">
        <v>369</v>
      </c>
      <c r="AT788" s="15"/>
      <c r="AU788" s="15"/>
      <c r="AV788" s="15" t="s">
        <v>401</v>
      </c>
      <c r="AW788" s="15"/>
      <c r="AX788" s="15"/>
      <c r="AY788" s="15"/>
      <c r="AZ788" s="18"/>
      <c r="BA788" s="18"/>
      <c r="BB788" s="19">
        <v>1.1299595657923E-2</v>
      </c>
      <c r="BC788" s="19">
        <v>1.08543465036142E-2</v>
      </c>
      <c r="BD788" s="19">
        <v>1.03223755231039E-2</v>
      </c>
      <c r="BE788" s="19">
        <v>9.8164764138031404E-3</v>
      </c>
      <c r="BF788" s="19">
        <v>9.3353713946048196E-3</v>
      </c>
      <c r="BG788" s="19">
        <v>8.8778453083902704E-3</v>
      </c>
      <c r="BH788" s="19">
        <v>8.4427425528305396E-3</v>
      </c>
      <c r="BI788" s="19">
        <v>8.02896416160917E-3</v>
      </c>
      <c r="BJ788" s="19">
        <v>7.6354650286940204E-3</v>
      </c>
      <c r="BK788" s="18"/>
      <c r="BL788" s="18"/>
      <c r="BM788" s="19">
        <v>1.1472E-2</v>
      </c>
      <c r="BN788" s="19">
        <v>1.1244000000000001E-2</v>
      </c>
      <c r="BO788" s="19">
        <v>1.0966E-2</v>
      </c>
      <c r="BP788" s="19">
        <v>1.0694E-2</v>
      </c>
      <c r="BQ788" s="19">
        <v>1.043E-2</v>
      </c>
      <c r="BR788" s="19">
        <v>1.0170999999999999E-2</v>
      </c>
      <c r="BS788" s="19">
        <v>9.92E-3</v>
      </c>
      <c r="BT788" s="19">
        <v>9.6740000000000003E-3</v>
      </c>
      <c r="BU788" s="19">
        <v>9.4350000000000007E-3</v>
      </c>
    </row>
    <row r="789" spans="3:73" x14ac:dyDescent="0.45">
      <c r="C789" t="s">
        <v>328</v>
      </c>
      <c r="D789" t="s">
        <v>326</v>
      </c>
      <c r="E789" t="s">
        <v>268</v>
      </c>
      <c r="J789" s="7"/>
      <c r="K789" s="7"/>
      <c r="L789" s="7">
        <v>25</v>
      </c>
      <c r="M789" s="7"/>
      <c r="N789" s="7"/>
      <c r="O789" s="7"/>
      <c r="P789" s="7"/>
      <c r="Q789" s="7"/>
      <c r="R789" s="7">
        <v>25</v>
      </c>
      <c r="S789" s="7"/>
      <c r="T789" s="7"/>
      <c r="U789" s="7"/>
      <c r="V789" s="7"/>
      <c r="AR789" s="15" t="s">
        <v>328</v>
      </c>
      <c r="AS789" s="15" t="s">
        <v>369</v>
      </c>
      <c r="AT789" s="15"/>
      <c r="AU789" s="15"/>
      <c r="AV789" s="15" t="s">
        <v>402</v>
      </c>
      <c r="AW789" s="15"/>
      <c r="AX789" s="15"/>
      <c r="AY789" s="15"/>
      <c r="AZ789" s="18"/>
      <c r="BA789" s="18"/>
      <c r="BB789" s="19">
        <v>1.54688224903246E-2</v>
      </c>
      <c r="BC789" s="19">
        <v>1.4859289163604E-2</v>
      </c>
      <c r="BD789" s="19">
        <v>1.41310361431743E-2</v>
      </c>
      <c r="BE789" s="19">
        <v>1.34384747669361E-2</v>
      </c>
      <c r="BF789" s="19">
        <v>1.27798557891884E-2</v>
      </c>
      <c r="BG789" s="19">
        <v>1.2153515694675101E-2</v>
      </c>
      <c r="BH789" s="19">
        <v>1.15578724969395E-2</v>
      </c>
      <c r="BI789" s="19">
        <v>1.09914217426023E-2</v>
      </c>
      <c r="BJ789" s="19">
        <v>1.0452732711469299E-2</v>
      </c>
      <c r="BK789" s="18"/>
      <c r="BL789" s="18"/>
      <c r="BM789" s="19">
        <v>1.5703999999999999E-2</v>
      </c>
      <c r="BN789" s="19">
        <v>1.5393E-2</v>
      </c>
      <c r="BO789" s="19">
        <v>1.5011999999999999E-2</v>
      </c>
      <c r="BP789" s="19">
        <v>1.464E-2</v>
      </c>
      <c r="BQ789" s="19">
        <v>1.4278000000000001E-2</v>
      </c>
      <c r="BR789" s="19">
        <v>1.3924000000000001E-2</v>
      </c>
      <c r="BS789" s="19">
        <v>1.358E-2</v>
      </c>
      <c r="BT789" s="19">
        <v>1.3244000000000001E-2</v>
      </c>
      <c r="BU789" s="19">
        <v>1.2916E-2</v>
      </c>
    </row>
    <row r="790" spans="3:73" x14ac:dyDescent="0.45">
      <c r="C790" t="s">
        <v>328</v>
      </c>
      <c r="D790" t="s">
        <v>326</v>
      </c>
      <c r="E790" t="s">
        <v>269</v>
      </c>
      <c r="J790" s="7"/>
      <c r="K790" s="7"/>
      <c r="L790" s="7">
        <v>15</v>
      </c>
      <c r="M790" s="7"/>
      <c r="N790" s="7"/>
      <c r="O790" s="7"/>
      <c r="P790" s="7"/>
      <c r="Q790" s="7"/>
      <c r="R790" s="7">
        <v>15</v>
      </c>
      <c r="S790" s="7"/>
      <c r="T790" s="7"/>
      <c r="U790" s="7"/>
      <c r="V790" s="7"/>
      <c r="AR790" s="15" t="s">
        <v>328</v>
      </c>
      <c r="AS790" s="15" t="s">
        <v>369</v>
      </c>
      <c r="AT790" s="15"/>
      <c r="AU790" s="15"/>
      <c r="AV790" s="15" t="s">
        <v>403</v>
      </c>
      <c r="AW790" s="15"/>
      <c r="AX790" s="15"/>
      <c r="AY790" s="15"/>
      <c r="AZ790" s="18"/>
      <c r="BA790" s="18"/>
      <c r="BB790" s="19">
        <v>5.37816975560865E-2</v>
      </c>
      <c r="BC790" s="19">
        <v>5.1662484083403397E-2</v>
      </c>
      <c r="BD790" s="19">
        <v>4.9130508316433799E-2</v>
      </c>
      <c r="BE790" s="19">
        <v>4.6722624555457698E-2</v>
      </c>
      <c r="BF790" s="19">
        <v>4.4432751057453701E-2</v>
      </c>
      <c r="BG790" s="19">
        <v>4.22551041453222E-2</v>
      </c>
      <c r="BH790" s="19">
        <v>4.0184183599689602E-2</v>
      </c>
      <c r="BI790" s="19">
        <v>3.8214758766659598E-2</v>
      </c>
      <c r="BJ790" s="19">
        <v>3.6341855346422099E-2</v>
      </c>
      <c r="BK790" s="18"/>
      <c r="BL790" s="18"/>
      <c r="BM790" s="19">
        <v>5.4600999999999997E-2</v>
      </c>
      <c r="BN790" s="19">
        <v>5.3517000000000002E-2</v>
      </c>
      <c r="BO790" s="19">
        <v>5.2192000000000002E-2</v>
      </c>
      <c r="BP790" s="19">
        <v>5.0900000000000001E-2</v>
      </c>
      <c r="BQ790" s="19">
        <v>4.9640999999999998E-2</v>
      </c>
      <c r="BR790" s="19">
        <v>4.8411999999999997E-2</v>
      </c>
      <c r="BS790" s="19">
        <v>4.7213999999999999E-2</v>
      </c>
      <c r="BT790" s="19">
        <v>4.6045000000000003E-2</v>
      </c>
      <c r="BU790" s="19">
        <v>4.4905E-2</v>
      </c>
    </row>
    <row r="791" spans="3:73" x14ac:dyDescent="0.45">
      <c r="C791" t="s">
        <v>328</v>
      </c>
      <c r="D791" t="s">
        <v>326</v>
      </c>
      <c r="E791" t="s">
        <v>270</v>
      </c>
      <c r="J791" s="7"/>
      <c r="K791" s="7"/>
      <c r="L791" s="7">
        <v>15</v>
      </c>
      <c r="M791" s="7"/>
      <c r="N791" s="7"/>
      <c r="O791" s="7"/>
      <c r="P791" s="7"/>
      <c r="Q791" s="7"/>
      <c r="R791" s="7">
        <v>15</v>
      </c>
      <c r="S791" s="7"/>
      <c r="T791" s="7"/>
      <c r="U791" s="7"/>
      <c r="V791" s="7"/>
      <c r="AR791" s="15" t="s">
        <v>328</v>
      </c>
      <c r="AS791" s="15" t="s">
        <v>369</v>
      </c>
      <c r="AT791" s="15"/>
      <c r="AU791" s="15"/>
      <c r="AV791" s="15" t="s">
        <v>405</v>
      </c>
      <c r="AW791" s="15"/>
      <c r="AX791" s="15"/>
      <c r="AY791" s="15"/>
      <c r="AZ791" s="18"/>
      <c r="BA791" s="18"/>
      <c r="BB791" s="19">
        <v>6.7362547182976398E-3</v>
      </c>
      <c r="BC791" s="19">
        <v>6.4708194047403801E-3</v>
      </c>
      <c r="BD791" s="19">
        <v>6.1536848686079403E-3</v>
      </c>
      <c r="BE791" s="19">
        <v>5.8520930802663396E-3</v>
      </c>
      <c r="BF791" s="19">
        <v>5.5652822904219299E-3</v>
      </c>
      <c r="BG791" s="19">
        <v>5.2925280830759397E-3</v>
      </c>
      <c r="BH791" s="19">
        <v>5.0331415458215404E-3</v>
      </c>
      <c r="BI791" s="19">
        <v>4.7864675298145897E-3</v>
      </c>
      <c r="BJ791" s="19">
        <v>4.5518829950230997E-3</v>
      </c>
      <c r="BK791" s="18"/>
      <c r="BL791" s="18"/>
      <c r="BM791" s="19">
        <v>6.8389999999999996E-3</v>
      </c>
      <c r="BN791" s="19">
        <v>6.7029999999999998E-3</v>
      </c>
      <c r="BO791" s="19">
        <v>6.5370000000000003E-3</v>
      </c>
      <c r="BP791" s="19">
        <v>6.3749999999999996E-3</v>
      </c>
      <c r="BQ791" s="19">
        <v>6.2179999999999996E-3</v>
      </c>
      <c r="BR791" s="19">
        <v>6.0639999999999999E-3</v>
      </c>
      <c r="BS791" s="19">
        <v>5.914E-3</v>
      </c>
      <c r="BT791" s="19">
        <v>5.7670000000000004E-3</v>
      </c>
      <c r="BU791" s="19">
        <v>5.6239999999999997E-3</v>
      </c>
    </row>
    <row r="792" spans="3:73" x14ac:dyDescent="0.45">
      <c r="C792" t="s">
        <v>328</v>
      </c>
      <c r="D792" t="s">
        <v>326</v>
      </c>
      <c r="E792" t="s">
        <v>271</v>
      </c>
      <c r="J792" s="7"/>
      <c r="K792" s="7"/>
      <c r="L792" s="7">
        <v>20</v>
      </c>
      <c r="M792" s="7"/>
      <c r="N792" s="7"/>
      <c r="O792" s="7"/>
      <c r="P792" s="7"/>
      <c r="Q792" s="7"/>
      <c r="R792" s="7">
        <v>20</v>
      </c>
      <c r="S792" s="7"/>
      <c r="T792" s="7"/>
      <c r="U792" s="7"/>
      <c r="V792" s="7"/>
      <c r="AR792" s="15" t="s">
        <v>328</v>
      </c>
      <c r="AS792" s="15" t="s">
        <v>369</v>
      </c>
      <c r="AT792" s="15"/>
      <c r="AU792" s="15"/>
      <c r="AV792" s="15" t="s">
        <v>406</v>
      </c>
      <c r="AW792" s="15"/>
      <c r="AX792" s="15"/>
      <c r="AY792" s="15"/>
      <c r="AZ792" s="18"/>
      <c r="BA792" s="18"/>
      <c r="BB792" s="19">
        <v>2.28363440579459E-2</v>
      </c>
      <c r="BC792" s="19">
        <v>2.38012226802258E-2</v>
      </c>
      <c r="BD792" s="19">
        <v>2.4711217771705801E-2</v>
      </c>
      <c r="BE792" s="19">
        <v>2.5945371171182102E-2</v>
      </c>
      <c r="BF792" s="19">
        <v>2.6978943841009899E-2</v>
      </c>
      <c r="BG792" s="19">
        <v>2.7794017726842798E-2</v>
      </c>
      <c r="BH792" s="19">
        <v>2.8462415032762901E-2</v>
      </c>
      <c r="BI792" s="19">
        <v>2.9049620344083898E-2</v>
      </c>
      <c r="BJ792" s="19">
        <v>2.9590608962185402E-2</v>
      </c>
      <c r="BK792" s="18"/>
      <c r="BL792" s="18"/>
      <c r="BM792" s="19">
        <v>2.3012863684920101E-2</v>
      </c>
      <c r="BN792" s="19">
        <v>2.4914614564373001E-2</v>
      </c>
      <c r="BO792" s="19">
        <v>2.6867595009983199E-2</v>
      </c>
      <c r="BP792" s="19">
        <v>2.8128703124937999E-2</v>
      </c>
      <c r="BQ792" s="19">
        <v>2.8656617299769399E-2</v>
      </c>
      <c r="BR792" s="19">
        <v>2.89525468008879E-2</v>
      </c>
      <c r="BS792" s="19">
        <v>2.9097923133699698E-2</v>
      </c>
      <c r="BT792" s="19">
        <v>2.9161584161307E-2</v>
      </c>
      <c r="BU792" s="19">
        <v>2.9178504792534001E-2</v>
      </c>
    </row>
    <row r="793" spans="3:73" x14ac:dyDescent="0.45">
      <c r="C793" t="s">
        <v>328</v>
      </c>
      <c r="D793" t="s">
        <v>326</v>
      </c>
      <c r="E793" t="s">
        <v>272</v>
      </c>
      <c r="J793" s="7"/>
      <c r="K793" s="7"/>
      <c r="L793" s="7">
        <v>20</v>
      </c>
      <c r="M793" s="7"/>
      <c r="N793" s="7"/>
      <c r="O793" s="7"/>
      <c r="P793" s="7"/>
      <c r="Q793" s="7"/>
      <c r="R793" s="7">
        <v>20</v>
      </c>
      <c r="S793" s="7"/>
      <c r="T793" s="7"/>
      <c r="U793" s="7"/>
      <c r="V793" s="7"/>
      <c r="AR793" s="15" t="s">
        <v>328</v>
      </c>
      <c r="AS793" s="15" t="s">
        <v>369</v>
      </c>
      <c r="AT793" s="15"/>
      <c r="AU793" s="15"/>
      <c r="AV793" s="15" t="s">
        <v>407</v>
      </c>
      <c r="AW793" s="15"/>
      <c r="AX793" s="15"/>
      <c r="AY793" s="15"/>
      <c r="AZ793" s="18"/>
      <c r="BA793" s="18"/>
      <c r="BB793" s="19">
        <v>2.2311099928141401E-2</v>
      </c>
      <c r="BC793" s="19">
        <v>2.3253785994947498E-2</v>
      </c>
      <c r="BD793" s="19">
        <v>2.4142850871909E-2</v>
      </c>
      <c r="BE793" s="19">
        <v>2.5348618299151401E-2</v>
      </c>
      <c r="BF793" s="19">
        <v>2.63584184256958E-2</v>
      </c>
      <c r="BG793" s="19">
        <v>2.71547453188925E-2</v>
      </c>
      <c r="BH793" s="19">
        <v>2.7807769246288399E-2</v>
      </c>
      <c r="BI793" s="19">
        <v>2.8381468624173699E-2</v>
      </c>
      <c r="BJ793" s="19">
        <v>2.8910014309412198E-2</v>
      </c>
      <c r="BK793" s="18"/>
      <c r="BL793" s="18"/>
      <c r="BM793" s="19">
        <v>2.2483559540183801E-2</v>
      </c>
      <c r="BN793" s="19">
        <v>2.4341569465163099E-2</v>
      </c>
      <c r="BO793" s="19">
        <v>2.6249630657845701E-2</v>
      </c>
      <c r="BP793" s="19">
        <v>2.7481732832412301E-2</v>
      </c>
      <c r="BQ793" s="19">
        <v>2.7997504791280201E-2</v>
      </c>
      <c r="BR793" s="19">
        <v>2.8286627807398101E-2</v>
      </c>
      <c r="BS793" s="19">
        <v>2.8428660432249099E-2</v>
      </c>
      <c r="BT793" s="19">
        <v>2.8490857233316302E-2</v>
      </c>
      <c r="BU793" s="19">
        <v>2.8507388683936999E-2</v>
      </c>
    </row>
    <row r="794" spans="3:73" x14ac:dyDescent="0.45">
      <c r="C794" t="s">
        <v>328</v>
      </c>
      <c r="D794" t="s">
        <v>326</v>
      </c>
      <c r="E794" t="s">
        <v>273</v>
      </c>
      <c r="J794" s="7"/>
      <c r="K794" s="7"/>
      <c r="L794" s="7">
        <v>20</v>
      </c>
      <c r="M794" s="7"/>
      <c r="N794" s="7"/>
      <c r="O794" s="7"/>
      <c r="P794" s="7"/>
      <c r="Q794" s="7"/>
      <c r="R794" s="7">
        <v>20</v>
      </c>
      <c r="S794" s="7"/>
      <c r="T794" s="7"/>
      <c r="U794" s="7"/>
      <c r="V794" s="7"/>
      <c r="AR794" s="15" t="s">
        <v>328</v>
      </c>
      <c r="AS794" s="15" t="s">
        <v>369</v>
      </c>
      <c r="AT794" s="15"/>
      <c r="AU794" s="15"/>
      <c r="AV794" s="15" t="s">
        <v>408</v>
      </c>
      <c r="AW794" s="15"/>
      <c r="AX794" s="15"/>
      <c r="AY794" s="15"/>
      <c r="AZ794" s="18"/>
      <c r="BA794" s="18"/>
      <c r="BB794" s="19">
        <v>2.38556350753858E-3</v>
      </c>
      <c r="BC794" s="19">
        <v>2.4863580666271302E-3</v>
      </c>
      <c r="BD794" s="19">
        <v>2.5814193022069302E-3</v>
      </c>
      <c r="BE794" s="19">
        <v>2.7103432361354398E-3</v>
      </c>
      <c r="BF794" s="19">
        <v>2.8183138130926902E-3</v>
      </c>
      <c r="BG794" s="19">
        <v>2.90345925113026E-3</v>
      </c>
      <c r="BH794" s="19">
        <v>2.9732823461709598E-3</v>
      </c>
      <c r="BI794" s="19">
        <v>3.0346238445546699E-3</v>
      </c>
      <c r="BJ794" s="19">
        <v>3.0911373872680699E-3</v>
      </c>
      <c r="BK794" s="18"/>
      <c r="BL794" s="18"/>
      <c r="BM794" s="19">
        <v>2.4040033584799298E-3</v>
      </c>
      <c r="BN794" s="19">
        <v>2.6026668348639202E-3</v>
      </c>
      <c r="BO794" s="19">
        <v>2.8066819289684001E-3</v>
      </c>
      <c r="BP794" s="19">
        <v>2.9384216457314298E-3</v>
      </c>
      <c r="BQ794" s="19">
        <v>2.99356938686699E-3</v>
      </c>
      <c r="BR794" s="19">
        <v>3.0244832063856101E-3</v>
      </c>
      <c r="BS794" s="19">
        <v>3.0396697210718299E-3</v>
      </c>
      <c r="BT794" s="19">
        <v>3.0463199722647002E-3</v>
      </c>
      <c r="BU794" s="19">
        <v>3.0480875599432399E-3</v>
      </c>
    </row>
    <row r="795" spans="3:73" x14ac:dyDescent="0.45">
      <c r="C795" t="s">
        <v>328</v>
      </c>
      <c r="D795" t="s">
        <v>326</v>
      </c>
      <c r="E795" t="s">
        <v>274</v>
      </c>
      <c r="J795" s="7"/>
      <c r="K795" s="7"/>
      <c r="L795" s="7">
        <v>20</v>
      </c>
      <c r="M795" s="7"/>
      <c r="N795" s="7"/>
      <c r="O795" s="7"/>
      <c r="P795" s="7"/>
      <c r="Q795" s="7"/>
      <c r="R795" s="7">
        <v>20</v>
      </c>
      <c r="S795" s="7"/>
      <c r="T795" s="7"/>
      <c r="U795" s="7"/>
      <c r="V795" s="7"/>
      <c r="AR795" s="15" t="s">
        <v>328</v>
      </c>
      <c r="AS795" s="15" t="s">
        <v>369</v>
      </c>
      <c r="AT795" s="15"/>
      <c r="AU795" s="15"/>
      <c r="AV795" s="15" t="s">
        <v>409</v>
      </c>
      <c r="AW795" s="15"/>
      <c r="AX795" s="15"/>
      <c r="AY795" s="15"/>
      <c r="AZ795" s="18"/>
      <c r="BA795" s="18"/>
      <c r="BB795" s="19">
        <v>2.4147225293910401E-2</v>
      </c>
      <c r="BC795" s="19">
        <v>2.5167491121678199E-2</v>
      </c>
      <c r="BD795" s="19">
        <v>2.6129722923518301E-2</v>
      </c>
      <c r="BE795" s="19">
        <v>2.7434720786082601E-2</v>
      </c>
      <c r="BF795" s="19">
        <v>2.8527623925597E-2</v>
      </c>
      <c r="BG795" s="19">
        <v>2.9389485732480299E-2</v>
      </c>
      <c r="BH795" s="19">
        <v>3.00962512414839E-2</v>
      </c>
      <c r="BI795" s="19">
        <v>3.07171640684351E-2</v>
      </c>
      <c r="BJ795" s="19">
        <v>3.1289207212013198E-2</v>
      </c>
      <c r="BK795" s="18"/>
      <c r="BL795" s="18"/>
      <c r="BM795" s="19">
        <v>2.43338777278783E-2</v>
      </c>
      <c r="BN795" s="19">
        <v>2.63447953608635E-2</v>
      </c>
      <c r="BO795" s="19">
        <v>2.8409883305548798E-2</v>
      </c>
      <c r="BP795" s="19">
        <v>2.97433831728884E-2</v>
      </c>
      <c r="BQ795" s="19">
        <v>3.03016013571633E-2</v>
      </c>
      <c r="BR795" s="19">
        <v>3.0614518184677E-2</v>
      </c>
      <c r="BS795" s="19">
        <v>3.0768239596996799E-2</v>
      </c>
      <c r="BT795" s="19">
        <v>3.0835554976909402E-2</v>
      </c>
      <c r="BU795" s="19">
        <v>3.0853446908004699E-2</v>
      </c>
    </row>
    <row r="796" spans="3:73" x14ac:dyDescent="0.45">
      <c r="C796" t="s">
        <v>328</v>
      </c>
      <c r="D796" t="s">
        <v>326</v>
      </c>
      <c r="E796" t="s">
        <v>275</v>
      </c>
      <c r="J796" s="7"/>
      <c r="K796" s="7"/>
      <c r="L796" s="7">
        <v>17.123290000000001</v>
      </c>
      <c r="M796" s="7"/>
      <c r="N796" s="7"/>
      <c r="O796" s="7"/>
      <c r="P796" s="7"/>
      <c r="Q796" s="7"/>
      <c r="R796" s="7">
        <v>17.123290000000001</v>
      </c>
      <c r="S796" s="7"/>
      <c r="T796" s="7"/>
      <c r="U796" s="7"/>
      <c r="V796" s="7"/>
      <c r="AR796" s="15" t="s">
        <v>328</v>
      </c>
      <c r="AS796" s="15" t="s">
        <v>369</v>
      </c>
      <c r="AT796" s="15"/>
      <c r="AU796" s="15"/>
      <c r="AV796" s="15" t="s">
        <v>410</v>
      </c>
      <c r="AW796" s="15"/>
      <c r="AX796" s="15"/>
      <c r="AY796" s="15"/>
      <c r="AZ796" s="18"/>
      <c r="BA796" s="18"/>
      <c r="BB796" s="19">
        <v>8.6510352302485995E-4</v>
      </c>
      <c r="BC796" s="19">
        <v>9.0165577908246999E-4</v>
      </c>
      <c r="BD796" s="19">
        <v>9.3612889603924198E-4</v>
      </c>
      <c r="BE796" s="19">
        <v>9.8288202128253501E-4</v>
      </c>
      <c r="BF796" s="19">
        <v>1.02203659680047E-3</v>
      </c>
      <c r="BG796" s="19">
        <v>1.0529138374117601E-3</v>
      </c>
      <c r="BH796" s="19">
        <v>1.07823456575009E-3</v>
      </c>
      <c r="BI796" s="19">
        <v>1.1004795180188801E-3</v>
      </c>
      <c r="BJ796" s="19">
        <v>1.1209736548320401E-3</v>
      </c>
      <c r="BK796" s="18"/>
      <c r="BL796" s="18"/>
      <c r="BM796" s="19">
        <v>8.7179057200218097E-4</v>
      </c>
      <c r="BN796" s="19">
        <v>9.4383412597718295E-4</v>
      </c>
      <c r="BO796" s="19">
        <v>1.01781839682233E-3</v>
      </c>
      <c r="BP796" s="19">
        <v>1.0655926408254101E-3</v>
      </c>
      <c r="BQ796" s="19">
        <v>1.08559148176696E-3</v>
      </c>
      <c r="BR796" s="19">
        <v>1.09680210520717E-3</v>
      </c>
      <c r="BS796" s="19">
        <v>1.1023093605437E-3</v>
      </c>
      <c r="BT796" s="19">
        <v>1.1047210153656199E-3</v>
      </c>
      <c r="BU796" s="19">
        <v>1.1053620154157699E-3</v>
      </c>
    </row>
    <row r="797" spans="3:73" x14ac:dyDescent="0.45">
      <c r="C797" t="s">
        <v>328</v>
      </c>
      <c r="D797" t="s">
        <v>326</v>
      </c>
      <c r="E797" t="s">
        <v>276</v>
      </c>
      <c r="J797" s="7"/>
      <c r="K797" s="7"/>
      <c r="L797" s="7">
        <v>15</v>
      </c>
      <c r="M797" s="7"/>
      <c r="N797" s="7"/>
      <c r="O797" s="7"/>
      <c r="P797" s="7"/>
      <c r="Q797" s="7"/>
      <c r="R797" s="7">
        <v>15</v>
      </c>
      <c r="S797" s="7"/>
      <c r="T797" s="7"/>
      <c r="U797" s="7"/>
      <c r="V797" s="7"/>
      <c r="AR797" s="15" t="s">
        <v>328</v>
      </c>
      <c r="AS797" s="15" t="s">
        <v>369</v>
      </c>
      <c r="AT797" s="15"/>
      <c r="AU797" s="15"/>
      <c r="AV797" s="15" t="s">
        <v>411</v>
      </c>
      <c r="AW797" s="15"/>
      <c r="AX797" s="15"/>
      <c r="AY797" s="15"/>
      <c r="AZ797" s="18"/>
      <c r="BA797" s="18"/>
      <c r="BB797" s="19">
        <v>0.107367534492427</v>
      </c>
      <c r="BC797" s="19">
        <v>0.111904015397417</v>
      </c>
      <c r="BD797" s="19">
        <v>0.11618245546315099</v>
      </c>
      <c r="BE797" s="19">
        <v>0.121984960774465</v>
      </c>
      <c r="BF797" s="19">
        <v>0.12684441415266701</v>
      </c>
      <c r="BG797" s="19">
        <v>0.13067657193278201</v>
      </c>
      <c r="BH797" s="19">
        <v>0.13381911395334001</v>
      </c>
      <c r="BI797" s="19">
        <v>0.136579923054719</v>
      </c>
      <c r="BJ797" s="19">
        <v>0.13912343938844701</v>
      </c>
      <c r="BK797" s="18"/>
      <c r="BL797" s="18"/>
      <c r="BM797" s="19">
        <v>0.108197460556321</v>
      </c>
      <c r="BN797" s="19">
        <v>0.117138747420259</v>
      </c>
      <c r="BO797" s="19">
        <v>0.126320895614603</v>
      </c>
      <c r="BP797" s="19">
        <v>0.13225013142781</v>
      </c>
      <c r="BQ797" s="19">
        <v>0.134732176856422</v>
      </c>
      <c r="BR797" s="19">
        <v>0.13612352132198299</v>
      </c>
      <c r="BS797" s="19">
        <v>0.136807023829563</v>
      </c>
      <c r="BT797" s="19">
        <v>0.13710633301671199</v>
      </c>
      <c r="BU797" s="19">
        <v>0.13718588718931901</v>
      </c>
    </row>
    <row r="798" spans="3:73" x14ac:dyDescent="0.45">
      <c r="C798" t="s">
        <v>328</v>
      </c>
      <c r="D798" t="s">
        <v>326</v>
      </c>
      <c r="E798" t="s">
        <v>277</v>
      </c>
      <c r="J798" s="7"/>
      <c r="K798" s="7"/>
      <c r="L798" s="7">
        <v>17.123290000000001</v>
      </c>
      <c r="M798" s="7"/>
      <c r="N798" s="7"/>
      <c r="O798" s="7"/>
      <c r="P798" s="7"/>
      <c r="Q798" s="7"/>
      <c r="R798" s="7">
        <v>17.123290000000001</v>
      </c>
      <c r="S798" s="7"/>
      <c r="T798" s="7"/>
      <c r="U798" s="7"/>
      <c r="V798" s="7"/>
      <c r="AR798" s="15" t="s">
        <v>328</v>
      </c>
      <c r="AS798" s="15" t="s">
        <v>369</v>
      </c>
      <c r="AT798" s="15"/>
      <c r="AU798" s="15"/>
      <c r="AV798" s="15" t="s">
        <v>412</v>
      </c>
      <c r="AW798" s="15"/>
      <c r="AX798" s="15"/>
      <c r="AY798" s="15"/>
      <c r="AZ798" s="18"/>
      <c r="BA798" s="18"/>
      <c r="BB798" s="19">
        <v>0.363902670595601</v>
      </c>
      <c r="BC798" s="19">
        <v>0.37927824501142299</v>
      </c>
      <c r="BD798" s="19">
        <v>0.39377923707820001</v>
      </c>
      <c r="BE798" s="19">
        <v>0.413445770252445</v>
      </c>
      <c r="BF798" s="19">
        <v>0.42991600094482701</v>
      </c>
      <c r="BG798" s="19">
        <v>0.44290440062188102</v>
      </c>
      <c r="BH798" s="19">
        <v>0.45355547349177899</v>
      </c>
      <c r="BI798" s="19">
        <v>0.46291273227345697</v>
      </c>
      <c r="BJ798" s="19">
        <v>0.47153351686092898</v>
      </c>
      <c r="BK798" s="18"/>
      <c r="BL798" s="18"/>
      <c r="BM798" s="19">
        <v>0.36671555358183899</v>
      </c>
      <c r="BN798" s="19">
        <v>0.39702041420595602</v>
      </c>
      <c r="BO798" s="19">
        <v>0.428141630368017</v>
      </c>
      <c r="BP798" s="19">
        <v>0.44823769345838599</v>
      </c>
      <c r="BQ798" s="19">
        <v>0.45665013362739698</v>
      </c>
      <c r="BR798" s="19">
        <v>0.46136584186387303</v>
      </c>
      <c r="BS798" s="19">
        <v>0.46368244891872201</v>
      </c>
      <c r="BT798" s="19">
        <v>0.46469690280417603</v>
      </c>
      <c r="BU798" s="19">
        <v>0.464966537158784</v>
      </c>
    </row>
    <row r="799" spans="3:73" x14ac:dyDescent="0.45">
      <c r="C799" t="s">
        <v>328</v>
      </c>
      <c r="D799" t="s">
        <v>326</v>
      </c>
      <c r="E799" t="s">
        <v>278</v>
      </c>
      <c r="J799" s="7"/>
      <c r="K799" s="7"/>
      <c r="L799" s="7">
        <v>15</v>
      </c>
      <c r="M799" s="7"/>
      <c r="N799" s="7"/>
      <c r="O799" s="7"/>
      <c r="P799" s="7"/>
      <c r="Q799" s="7"/>
      <c r="R799" s="7">
        <v>15</v>
      </c>
      <c r="S799" s="7"/>
      <c r="T799" s="7"/>
      <c r="U799" s="7"/>
      <c r="V799" s="7"/>
      <c r="AR799" s="15" t="s">
        <v>328</v>
      </c>
      <c r="AS799" s="15" t="s">
        <v>369</v>
      </c>
      <c r="AT799" s="15"/>
      <c r="AU799" s="15"/>
      <c r="AV799" s="15" t="s">
        <v>413</v>
      </c>
      <c r="AW799" s="15"/>
      <c r="AX799" s="15"/>
      <c r="AY799" s="15"/>
      <c r="AZ799" s="18"/>
      <c r="BA799" s="18"/>
      <c r="BB799" s="19">
        <v>2.9260592404175299E-2</v>
      </c>
      <c r="BC799" s="19">
        <v>3.0496907639853701E-2</v>
      </c>
      <c r="BD799" s="19">
        <v>3.1662899682802101E-2</v>
      </c>
      <c r="BE799" s="19">
        <v>3.3244241227432497E-2</v>
      </c>
      <c r="BF799" s="19">
        <v>3.4568575303639597E-2</v>
      </c>
      <c r="BG799" s="19">
        <v>3.5612943206493303E-2</v>
      </c>
      <c r="BH799" s="19">
        <v>3.6469371936194997E-2</v>
      </c>
      <c r="BI799" s="19">
        <v>3.7221767995237201E-2</v>
      </c>
      <c r="BJ799" s="19">
        <v>3.7914945826566099E-2</v>
      </c>
      <c r="BK799" s="18"/>
      <c r="BL799" s="18"/>
      <c r="BM799" s="19">
        <v>2.94867699763437E-2</v>
      </c>
      <c r="BN799" s="19">
        <v>3.1923515420218297E-2</v>
      </c>
      <c r="BO799" s="19">
        <v>3.4425902170361899E-2</v>
      </c>
      <c r="BP799" s="19">
        <v>3.6041781246086903E-2</v>
      </c>
      <c r="BQ799" s="19">
        <v>3.67182065729664E-2</v>
      </c>
      <c r="BR799" s="19">
        <v>3.7097386028777199E-2</v>
      </c>
      <c r="BS799" s="19">
        <v>3.7283659173411199E-2</v>
      </c>
      <c r="BT799" s="19">
        <v>3.7365229120689999E-2</v>
      </c>
      <c r="BU799" s="19">
        <v>3.73869098105718E-2</v>
      </c>
    </row>
    <row r="800" spans="3:73" x14ac:dyDescent="0.45">
      <c r="C800" t="s">
        <v>328</v>
      </c>
      <c r="D800" t="s">
        <v>326</v>
      </c>
      <c r="E800" t="s">
        <v>279</v>
      </c>
      <c r="J800" s="7"/>
      <c r="K800" s="7"/>
      <c r="L800" s="7">
        <v>15</v>
      </c>
      <c r="M800" s="7"/>
      <c r="N800" s="7"/>
      <c r="O800" s="7"/>
      <c r="P800" s="7"/>
      <c r="Q800" s="7"/>
      <c r="R800" s="7">
        <v>15</v>
      </c>
      <c r="S800" s="7"/>
      <c r="T800" s="7"/>
      <c r="U800" s="7"/>
      <c r="V800" s="7"/>
      <c r="AR800" s="15" t="s">
        <v>328</v>
      </c>
      <c r="AS800" s="15" t="s">
        <v>369</v>
      </c>
      <c r="AT800" s="15"/>
      <c r="AU800" s="15"/>
      <c r="AV800" s="15" t="s">
        <v>414</v>
      </c>
      <c r="AW800" s="15"/>
      <c r="AX800" s="15"/>
      <c r="AY800" s="15"/>
      <c r="AZ800" s="18"/>
      <c r="BA800" s="18"/>
      <c r="BB800" s="19">
        <v>1.9756799301953398E-2</v>
      </c>
      <c r="BC800" s="19">
        <v>2.0591561348047901E-2</v>
      </c>
      <c r="BD800" s="19">
        <v>2.13788410607074E-2</v>
      </c>
      <c r="BE800" s="19">
        <v>2.24465654284699E-2</v>
      </c>
      <c r="BF800" s="19">
        <v>2.3340757938004601E-2</v>
      </c>
      <c r="BG800" s="19">
        <v>2.40459168346214E-2</v>
      </c>
      <c r="BH800" s="19">
        <v>2.46241788976523E-2</v>
      </c>
      <c r="BI800" s="19">
        <v>2.5132197933246302E-2</v>
      </c>
      <c r="BJ800" s="19">
        <v>2.5600232725739799E-2</v>
      </c>
      <c r="BK800" s="18"/>
      <c r="BL800" s="18"/>
      <c r="BM800" s="19">
        <v>1.9909514764381901E-2</v>
      </c>
      <c r="BN800" s="19">
        <v>2.1554809227993299E-2</v>
      </c>
      <c r="BO800" s="19">
        <v>2.3244424807731201E-2</v>
      </c>
      <c r="BP800" s="19">
        <v>2.4335468972331499E-2</v>
      </c>
      <c r="BQ800" s="19">
        <v>2.4792192446734199E-2</v>
      </c>
      <c r="BR800" s="19">
        <v>2.50482150283826E-2</v>
      </c>
      <c r="BS800" s="19">
        <v>2.5173986956819501E-2</v>
      </c>
      <c r="BT800" s="19">
        <v>2.52290631171103E-2</v>
      </c>
      <c r="BU800" s="19">
        <v>2.5243701953973501E-2</v>
      </c>
    </row>
    <row r="801" spans="3:73" x14ac:dyDescent="0.45">
      <c r="C801" t="s">
        <v>328</v>
      </c>
      <c r="D801" t="s">
        <v>326</v>
      </c>
      <c r="E801" t="s">
        <v>280</v>
      </c>
      <c r="J801" s="7"/>
      <c r="K801" s="7"/>
      <c r="L801" s="7">
        <v>15</v>
      </c>
      <c r="M801" s="7"/>
      <c r="N801" s="7"/>
      <c r="O801" s="7"/>
      <c r="P801" s="7"/>
      <c r="Q801" s="7"/>
      <c r="R801" s="7">
        <v>15</v>
      </c>
      <c r="S801" s="7"/>
      <c r="T801" s="7"/>
      <c r="U801" s="7"/>
      <c r="V801" s="7"/>
      <c r="AR801" s="15" t="s">
        <v>328</v>
      </c>
      <c r="AS801" s="15" t="s">
        <v>369</v>
      </c>
      <c r="AT801" s="15"/>
      <c r="AU801" s="15"/>
      <c r="AV801" s="15" t="s">
        <v>415</v>
      </c>
      <c r="AW801" s="15"/>
      <c r="AX801" s="15"/>
      <c r="AY801" s="15"/>
      <c r="AZ801" s="18"/>
      <c r="BA801" s="18"/>
      <c r="BB801" s="19">
        <v>3.4479166883405799E-3</v>
      </c>
      <c r="BC801" s="19">
        <v>3.5935976736830898E-3</v>
      </c>
      <c r="BD801" s="19">
        <v>3.7309921381499201E-3</v>
      </c>
      <c r="BE801" s="19">
        <v>3.9173292370843701E-3</v>
      </c>
      <c r="BF801" s="19">
        <v>4.0733819068054797E-3</v>
      </c>
      <c r="BG801" s="19">
        <v>4.1964448124116698E-3</v>
      </c>
      <c r="BH801" s="19">
        <v>4.2973619390619102E-3</v>
      </c>
      <c r="BI801" s="19">
        <v>4.3860203945155704E-3</v>
      </c>
      <c r="BJ801" s="19">
        <v>4.4677008806661301E-3</v>
      </c>
      <c r="BK801" s="18"/>
      <c r="BL801" s="18"/>
      <c r="BM801" s="19">
        <v>3.4745682822261799E-3</v>
      </c>
      <c r="BN801" s="19">
        <v>3.7617017470966399E-3</v>
      </c>
      <c r="BO801" s="19">
        <v>4.0565700435864702E-3</v>
      </c>
      <c r="BP801" s="19">
        <v>4.2469768663388804E-3</v>
      </c>
      <c r="BQ801" s="19">
        <v>4.3266833241148803E-3</v>
      </c>
      <c r="BR801" s="19">
        <v>4.3713638676769204E-3</v>
      </c>
      <c r="BS801" s="19">
        <v>4.3933133304595697E-3</v>
      </c>
      <c r="BT801" s="19">
        <v>4.4029251106520104E-3</v>
      </c>
      <c r="BU801" s="19">
        <v>4.4054798508782397E-3</v>
      </c>
    </row>
    <row r="802" spans="3:73" x14ac:dyDescent="0.45">
      <c r="C802" t="s">
        <v>328</v>
      </c>
      <c r="D802" t="s">
        <v>326</v>
      </c>
      <c r="E802" t="s">
        <v>281</v>
      </c>
      <c r="J802" s="7"/>
      <c r="K802" s="7"/>
      <c r="L802" s="7">
        <v>15</v>
      </c>
      <c r="M802" s="7"/>
      <c r="N802" s="7"/>
      <c r="O802" s="7"/>
      <c r="P802" s="7"/>
      <c r="Q802" s="7"/>
      <c r="R802" s="7">
        <v>15</v>
      </c>
      <c r="S802" s="7"/>
      <c r="T802" s="7"/>
      <c r="U802" s="7"/>
      <c r="V802" s="7"/>
      <c r="AR802" s="15" t="s">
        <v>328</v>
      </c>
      <c r="AS802" s="15" t="s">
        <v>369</v>
      </c>
      <c r="AT802" s="15"/>
      <c r="AU802" s="15"/>
      <c r="AV802" s="15" t="s">
        <v>416</v>
      </c>
      <c r="AW802" s="15"/>
      <c r="AX802" s="15"/>
      <c r="AY802" s="15"/>
      <c r="AZ802" s="18"/>
      <c r="BA802" s="18"/>
      <c r="BB802" s="19">
        <v>1.7175330159371099E-2</v>
      </c>
      <c r="BC802" s="19">
        <v>1.7901020263677E-2</v>
      </c>
      <c r="BD802" s="19">
        <v>1.8585432186177201E-2</v>
      </c>
      <c r="BE802" s="19">
        <v>1.9513645215790399E-2</v>
      </c>
      <c r="BF802" s="19">
        <v>2.02910004615755E-2</v>
      </c>
      <c r="BG802" s="19">
        <v>2.0904021664003399E-2</v>
      </c>
      <c r="BH802" s="19">
        <v>2.1406726666944501E-2</v>
      </c>
      <c r="BI802" s="19">
        <v>2.1848366759057401E-2</v>
      </c>
      <c r="BJ802" s="19">
        <v>2.22552470418548E-2</v>
      </c>
      <c r="BK802" s="18"/>
      <c r="BL802" s="18"/>
      <c r="BM802" s="19">
        <v>1.7308091465874299E-2</v>
      </c>
      <c r="BN802" s="19">
        <v>1.8738407945280901E-2</v>
      </c>
      <c r="BO802" s="19">
        <v>2.0207254441157702E-2</v>
      </c>
      <c r="BP802" s="19">
        <v>2.1155740248958201E-2</v>
      </c>
      <c r="BQ802" s="19">
        <v>2.1552787176677201E-2</v>
      </c>
      <c r="BR802" s="19">
        <v>2.1775357255001099E-2</v>
      </c>
      <c r="BS802" s="19">
        <v>2.1884695532050399E-2</v>
      </c>
      <c r="BT802" s="19">
        <v>2.1932575313711799E-2</v>
      </c>
      <c r="BU802" s="19">
        <v>2.1945301406254902E-2</v>
      </c>
    </row>
    <row r="803" spans="3:73" x14ac:dyDescent="0.45">
      <c r="C803" t="s">
        <v>328</v>
      </c>
      <c r="D803" t="s">
        <v>326</v>
      </c>
      <c r="E803" t="s">
        <v>282</v>
      </c>
      <c r="J803" s="7"/>
      <c r="K803" s="7"/>
      <c r="L803" s="7">
        <v>15</v>
      </c>
      <c r="M803" s="7"/>
      <c r="N803" s="7"/>
      <c r="O803" s="7"/>
      <c r="P803" s="7"/>
      <c r="Q803" s="7"/>
      <c r="R803" s="7">
        <v>15</v>
      </c>
      <c r="S803" s="7"/>
      <c r="T803" s="7"/>
      <c r="U803" s="7"/>
      <c r="V803" s="7"/>
      <c r="AR803" s="15" t="s">
        <v>328</v>
      </c>
      <c r="AS803" s="15" t="s">
        <v>369</v>
      </c>
      <c r="AT803" s="15"/>
      <c r="AU803" s="15"/>
      <c r="AV803" s="15" t="s">
        <v>417</v>
      </c>
      <c r="AW803" s="15"/>
      <c r="AX803" s="15"/>
      <c r="AY803" s="15"/>
      <c r="AZ803" s="18"/>
      <c r="BA803" s="18"/>
      <c r="BB803" s="19">
        <v>6.1089593550214302E-2</v>
      </c>
      <c r="BC803" s="19">
        <v>6.3670744136788193E-2</v>
      </c>
      <c r="BD803" s="19">
        <v>6.6105075574873898E-2</v>
      </c>
      <c r="BE803" s="19">
        <v>6.9406564173982305E-2</v>
      </c>
      <c r="BF803" s="19">
        <v>7.2171478476559706E-2</v>
      </c>
      <c r="BG803" s="19">
        <v>7.4351885825151703E-2</v>
      </c>
      <c r="BH803" s="19">
        <v>7.6139918079575306E-2</v>
      </c>
      <c r="BI803" s="19">
        <v>7.7710753310823499E-2</v>
      </c>
      <c r="BJ803" s="19">
        <v>7.9157954084785098E-2</v>
      </c>
      <c r="BK803" s="18"/>
      <c r="BL803" s="18"/>
      <c r="BM803" s="19">
        <v>6.1561801896617203E-2</v>
      </c>
      <c r="BN803" s="19">
        <v>6.6649183132630602E-2</v>
      </c>
      <c r="BO803" s="19">
        <v>7.1873608781986204E-2</v>
      </c>
      <c r="BP803" s="19">
        <v>7.52472040461835E-2</v>
      </c>
      <c r="BQ803" s="19">
        <v>7.6659429325677306E-2</v>
      </c>
      <c r="BR803" s="19">
        <v>7.7451071494711698E-2</v>
      </c>
      <c r="BS803" s="19">
        <v>7.78399682927612E-2</v>
      </c>
      <c r="BT803" s="19">
        <v>7.8010268157382601E-2</v>
      </c>
      <c r="BU803" s="19">
        <v>7.8055532604338201E-2</v>
      </c>
    </row>
    <row r="804" spans="3:73" x14ac:dyDescent="0.45">
      <c r="C804" t="s">
        <v>328</v>
      </c>
      <c r="D804" t="s">
        <v>326</v>
      </c>
      <c r="E804" t="s">
        <v>283</v>
      </c>
      <c r="J804" s="7"/>
      <c r="K804" s="7"/>
      <c r="L804" s="7">
        <v>15</v>
      </c>
      <c r="M804" s="7"/>
      <c r="N804" s="7"/>
      <c r="O804" s="7"/>
      <c r="P804" s="7"/>
      <c r="Q804" s="7"/>
      <c r="R804" s="7">
        <v>15</v>
      </c>
      <c r="S804" s="7"/>
      <c r="T804" s="7"/>
      <c r="U804" s="7"/>
      <c r="V804" s="7"/>
      <c r="AR804" s="15" t="s">
        <v>328</v>
      </c>
      <c r="AS804" s="15" t="s">
        <v>369</v>
      </c>
      <c r="AT804" s="15"/>
      <c r="AU804" s="15"/>
      <c r="AV804" s="15" t="s">
        <v>418</v>
      </c>
      <c r="AW804" s="15"/>
      <c r="AX804" s="15"/>
      <c r="AY804" s="15"/>
      <c r="AZ804" s="18"/>
      <c r="BA804" s="18"/>
      <c r="BB804" s="19">
        <v>8.2200181146361698E-2</v>
      </c>
      <c r="BC804" s="19">
        <v>8.5673293888681806E-2</v>
      </c>
      <c r="BD804" s="19">
        <v>8.8948851533642306E-2</v>
      </c>
      <c r="BE804" s="19">
        <v>9.3391227806391405E-2</v>
      </c>
      <c r="BF804" s="19">
        <v>9.7111607061152905E-2</v>
      </c>
      <c r="BG804" s="19">
        <v>0.100045492664432</v>
      </c>
      <c r="BH804" s="19">
        <v>0.102451411032318</v>
      </c>
      <c r="BI804" s="19">
        <v>0.104565076111028</v>
      </c>
      <c r="BJ804" s="19">
        <v>0.106512382662953</v>
      </c>
      <c r="BK804" s="18"/>
      <c r="BL804" s="18"/>
      <c r="BM804" s="19">
        <v>8.2835569423764993E-2</v>
      </c>
      <c r="BN804" s="19">
        <v>8.9680985064272897E-2</v>
      </c>
      <c r="BO804" s="19">
        <v>9.6710803234690598E-2</v>
      </c>
      <c r="BP804" s="19">
        <v>0.101250203903703</v>
      </c>
      <c r="BQ804" s="19">
        <v>0.10315044856155001</v>
      </c>
      <c r="BR804" s="19">
        <v>0.10421565665864201</v>
      </c>
      <c r="BS804" s="19">
        <v>0.104738943611282</v>
      </c>
      <c r="BT804" s="19">
        <v>0.10496809360079</v>
      </c>
      <c r="BU804" s="19">
        <v>0.105028999976541</v>
      </c>
    </row>
    <row r="805" spans="3:73" x14ac:dyDescent="0.45">
      <c r="C805" t="s">
        <v>328</v>
      </c>
      <c r="D805" t="s">
        <v>326</v>
      </c>
      <c r="E805" t="s">
        <v>284</v>
      </c>
      <c r="J805" s="7"/>
      <c r="K805" s="7"/>
      <c r="L805" s="7">
        <v>20</v>
      </c>
      <c r="M805" s="7"/>
      <c r="N805" s="7"/>
      <c r="O805" s="7"/>
      <c r="P805" s="7"/>
      <c r="Q805" s="7"/>
      <c r="R805" s="7">
        <v>20</v>
      </c>
      <c r="S805" s="7"/>
      <c r="T805" s="7"/>
      <c r="U805" s="7"/>
      <c r="V805" s="7"/>
      <c r="AR805" s="15" t="s">
        <v>328</v>
      </c>
      <c r="AS805" s="15" t="s">
        <v>369</v>
      </c>
      <c r="AT805" s="15"/>
      <c r="AU805" s="15"/>
      <c r="AV805" s="15" t="s">
        <v>419</v>
      </c>
      <c r="AW805" s="15"/>
      <c r="AX805" s="15"/>
      <c r="AY805" s="15"/>
      <c r="AZ805" s="18"/>
      <c r="BA805" s="18"/>
      <c r="BB805" s="19">
        <v>3.3913551701942997E-2</v>
      </c>
      <c r="BC805" s="19">
        <v>3.5346463246792602E-2</v>
      </c>
      <c r="BD805" s="19">
        <v>3.66978689492602E-2</v>
      </c>
      <c r="BE805" s="19">
        <v>3.8530672177967303E-2</v>
      </c>
      <c r="BF805" s="19">
        <v>4.0065599138560497E-2</v>
      </c>
      <c r="BG805" s="19">
        <v>4.12760402800127E-2</v>
      </c>
      <c r="BH805" s="19">
        <v>4.2268656547058102E-2</v>
      </c>
      <c r="BI805" s="19">
        <v>4.3140697081856902E-2</v>
      </c>
      <c r="BJ805" s="19">
        <v>4.3944102628015798E-2</v>
      </c>
      <c r="BK805" s="18"/>
      <c r="BL805" s="18"/>
      <c r="BM805" s="19">
        <v>3.4175695567029603E-2</v>
      </c>
      <c r="BN805" s="19">
        <v>3.6999927265890402E-2</v>
      </c>
      <c r="BO805" s="19">
        <v>3.9900238416704398E-2</v>
      </c>
      <c r="BP805" s="19">
        <v>4.1773071263754499E-2</v>
      </c>
      <c r="BQ805" s="19">
        <v>4.25570603566192E-2</v>
      </c>
      <c r="BR805" s="19">
        <v>4.2996536150592499E-2</v>
      </c>
      <c r="BS805" s="19">
        <v>4.3212430068048799E-2</v>
      </c>
      <c r="BT805" s="19">
        <v>4.3306971100784998E-2</v>
      </c>
      <c r="BU805" s="19">
        <v>4.3332099409435901E-2</v>
      </c>
    </row>
    <row r="806" spans="3:73" x14ac:dyDescent="0.45">
      <c r="C806" t="s">
        <v>328</v>
      </c>
      <c r="D806" t="s">
        <v>326</v>
      </c>
      <c r="E806" t="s">
        <v>285</v>
      </c>
      <c r="J806" s="7"/>
      <c r="K806" s="7"/>
      <c r="L806" s="7">
        <v>20</v>
      </c>
      <c r="M806" s="7"/>
      <c r="N806" s="7"/>
      <c r="O806" s="7"/>
      <c r="P806" s="7"/>
      <c r="Q806" s="7"/>
      <c r="R806" s="7">
        <v>20</v>
      </c>
      <c r="S806" s="7"/>
      <c r="T806" s="7"/>
      <c r="U806" s="7"/>
      <c r="V806" s="7"/>
      <c r="AR806" s="15" t="s">
        <v>328</v>
      </c>
      <c r="AS806" s="15" t="s">
        <v>369</v>
      </c>
      <c r="AT806" s="15"/>
      <c r="AU806" s="15"/>
      <c r="AV806" s="15" t="s">
        <v>420</v>
      </c>
      <c r="AW806" s="15"/>
      <c r="AX806" s="15"/>
      <c r="AY806" s="15"/>
      <c r="AZ806" s="18"/>
      <c r="BA806" s="18"/>
      <c r="BB806" s="19">
        <v>0.20897145287496299</v>
      </c>
      <c r="BC806" s="19">
        <v>0.217800891029958</v>
      </c>
      <c r="BD806" s="19">
        <v>0.22612809944357901</v>
      </c>
      <c r="BE806" s="19">
        <v>0.237421624725241</v>
      </c>
      <c r="BF806" s="19">
        <v>0.246879670282696</v>
      </c>
      <c r="BG806" s="19">
        <v>0.25433827108546597</v>
      </c>
      <c r="BH806" s="19">
        <v>0.260454659757901</v>
      </c>
      <c r="BI806" s="19">
        <v>0.26582807446610801</v>
      </c>
      <c r="BJ806" s="19">
        <v>0.27077856817152002</v>
      </c>
      <c r="BK806" s="18"/>
      <c r="BL806" s="18"/>
      <c r="BM806" s="19">
        <v>0.210586753591056</v>
      </c>
      <c r="BN806" s="19">
        <v>0.227989348475645</v>
      </c>
      <c r="BO806" s="19">
        <v>0.24586073630024499</v>
      </c>
      <c r="BP806" s="19">
        <v>0.25740091954261501</v>
      </c>
      <c r="BQ806" s="19">
        <v>0.26223177126861302</v>
      </c>
      <c r="BR806" s="19">
        <v>0.26493977118490403</v>
      </c>
      <c r="BS806" s="19">
        <v>0.26627008497787502</v>
      </c>
      <c r="BT806" s="19">
        <v>0.266852636081363</v>
      </c>
      <c r="BU806" s="19">
        <v>0.267007473864596</v>
      </c>
    </row>
    <row r="807" spans="3:73" x14ac:dyDescent="0.45">
      <c r="C807" t="s">
        <v>328</v>
      </c>
      <c r="D807" t="s">
        <v>326</v>
      </c>
      <c r="E807" t="s">
        <v>286</v>
      </c>
      <c r="J807" s="7"/>
      <c r="K807" s="7"/>
      <c r="L807" s="7">
        <v>20</v>
      </c>
      <c r="M807" s="7"/>
      <c r="N807" s="7"/>
      <c r="O807" s="7"/>
      <c r="P807" s="7"/>
      <c r="Q807" s="7"/>
      <c r="R807" s="7">
        <v>20</v>
      </c>
      <c r="S807" s="7"/>
      <c r="T807" s="7"/>
      <c r="U807" s="7"/>
      <c r="V807" s="7"/>
      <c r="AR807" s="15" t="s">
        <v>328</v>
      </c>
      <c r="AS807" s="15" t="s">
        <v>369</v>
      </c>
      <c r="AT807" s="15"/>
      <c r="AU807" s="15"/>
      <c r="AV807" s="15" t="s">
        <v>421</v>
      </c>
      <c r="AW807" s="15"/>
      <c r="AX807" s="15"/>
      <c r="AY807" s="15"/>
      <c r="AZ807" s="18"/>
      <c r="BA807" s="18"/>
      <c r="BB807" s="19">
        <v>0.264851067904953</v>
      </c>
      <c r="BC807" s="19">
        <v>0.27604152522426101</v>
      </c>
      <c r="BD807" s="19">
        <v>0.28659545501070999</v>
      </c>
      <c r="BE807" s="19">
        <v>0.30090890400151199</v>
      </c>
      <c r="BF807" s="19">
        <v>0.312896060293547</v>
      </c>
      <c r="BG807" s="19">
        <v>0.322349114098329</v>
      </c>
      <c r="BH807" s="19">
        <v>0.33010104408364299</v>
      </c>
      <c r="BI807" s="19">
        <v>0.33691132656091699</v>
      </c>
      <c r="BJ807" s="19">
        <v>0.34318559764673701</v>
      </c>
      <c r="BK807" s="18"/>
      <c r="BL807" s="18"/>
      <c r="BM807" s="19">
        <v>0.26689830504552498</v>
      </c>
      <c r="BN807" s="19">
        <v>0.28895440781023302</v>
      </c>
      <c r="BO807" s="19">
        <v>0.31160466020198402</v>
      </c>
      <c r="BP807" s="19">
        <v>0.32623072425767802</v>
      </c>
      <c r="BQ807" s="19">
        <v>0.332353360727486</v>
      </c>
      <c r="BR807" s="19">
        <v>0.33578548822551901</v>
      </c>
      <c r="BS807" s="19">
        <v>0.33747153205528502</v>
      </c>
      <c r="BT807" s="19">
        <v>0.33820985913176099</v>
      </c>
      <c r="BU807" s="19">
        <v>0.33840610101876001</v>
      </c>
    </row>
    <row r="808" spans="3:73" x14ac:dyDescent="0.45">
      <c r="C808" t="s">
        <v>328</v>
      </c>
      <c r="D808" t="s">
        <v>326</v>
      </c>
      <c r="E808" t="s">
        <v>287</v>
      </c>
      <c r="J808" s="7"/>
      <c r="K808" s="7"/>
      <c r="L808" s="7">
        <v>17.123290000000001</v>
      </c>
      <c r="M808" s="7"/>
      <c r="N808" s="7"/>
      <c r="O808" s="7"/>
      <c r="P808" s="7"/>
      <c r="Q808" s="7"/>
      <c r="R808" s="7">
        <v>17.123290000000001</v>
      </c>
      <c r="S808" s="7"/>
      <c r="T808" s="7"/>
      <c r="U808" s="7"/>
      <c r="V808" s="7"/>
      <c r="AR808" s="15" t="s">
        <v>328</v>
      </c>
      <c r="AS808" s="15" t="s">
        <v>369</v>
      </c>
      <c r="AT808" s="15"/>
      <c r="AU808" s="15"/>
      <c r="AV808" s="15" t="s">
        <v>422</v>
      </c>
      <c r="AW808" s="15"/>
      <c r="AX808" s="15"/>
      <c r="AY808" s="15"/>
      <c r="AZ808" s="18"/>
      <c r="BA808" s="18"/>
      <c r="BB808" s="19">
        <v>0.15974047676630099</v>
      </c>
      <c r="BC808" s="19">
        <v>0.16648981329554199</v>
      </c>
      <c r="BD808" s="19">
        <v>0.17285523892580701</v>
      </c>
      <c r="BE808" s="19">
        <v>0.18148815547036701</v>
      </c>
      <c r="BF808" s="19">
        <v>0.18871800761447499</v>
      </c>
      <c r="BG808" s="19">
        <v>0.19441945837175501</v>
      </c>
      <c r="BH808" s="19">
        <v>0.199094904846291</v>
      </c>
      <c r="BI808" s="19">
        <v>0.20320241242947101</v>
      </c>
      <c r="BJ808" s="19">
        <v>0.20698663373746101</v>
      </c>
      <c r="BK808" s="18"/>
      <c r="BL808" s="18"/>
      <c r="BM808" s="19">
        <v>0.16097523349005399</v>
      </c>
      <c r="BN808" s="19">
        <v>0.17427800171791499</v>
      </c>
      <c r="BO808" s="19">
        <v>0.187939121322061</v>
      </c>
      <c r="BP808" s="19">
        <v>0.19676058639657401</v>
      </c>
      <c r="BQ808" s="19">
        <v>0.200453351830712</v>
      </c>
      <c r="BR808" s="19">
        <v>0.202523381931762</v>
      </c>
      <c r="BS808" s="19">
        <v>0.20354029097179799</v>
      </c>
      <c r="BT808" s="19">
        <v>0.203985600557063</v>
      </c>
      <c r="BU808" s="19">
        <v>0.20410396055779301</v>
      </c>
    </row>
    <row r="809" spans="3:73" x14ac:dyDescent="0.45">
      <c r="C809" t="s">
        <v>328</v>
      </c>
      <c r="D809" t="s">
        <v>326</v>
      </c>
      <c r="E809" t="s">
        <v>288</v>
      </c>
      <c r="J809" s="7"/>
      <c r="K809" s="7"/>
      <c r="L809" s="7">
        <v>22</v>
      </c>
      <c r="M809" s="7"/>
      <c r="N809" s="7"/>
      <c r="O809" s="7"/>
      <c r="P809" s="7"/>
      <c r="Q809" s="7"/>
      <c r="R809" s="7">
        <v>22</v>
      </c>
      <c r="S809" s="7"/>
      <c r="T809" s="7"/>
      <c r="U809" s="7"/>
      <c r="V809" s="7"/>
      <c r="AR809" s="15" t="s">
        <v>328</v>
      </c>
      <c r="AS809" s="15" t="s">
        <v>369</v>
      </c>
      <c r="AT809" s="15"/>
      <c r="AU809" s="15"/>
      <c r="AV809" s="15" t="s">
        <v>423</v>
      </c>
      <c r="AW809" s="15"/>
      <c r="AX809" s="15"/>
      <c r="AY809" s="15"/>
      <c r="AZ809" s="18"/>
      <c r="BA809" s="18"/>
      <c r="BB809" s="19">
        <v>0.132907990302704</v>
      </c>
      <c r="BC809" s="19">
        <v>0.13852360365341701</v>
      </c>
      <c r="BD809" s="19">
        <v>0.143819793730385</v>
      </c>
      <c r="BE809" s="19">
        <v>0.15100259180145301</v>
      </c>
      <c r="BF809" s="19">
        <v>0.15701800591634099</v>
      </c>
      <c r="BG809" s="19">
        <v>0.161761752631638</v>
      </c>
      <c r="BH809" s="19">
        <v>0.16565183864663999</v>
      </c>
      <c r="BI809" s="19">
        <v>0.169069385589562</v>
      </c>
      <c r="BJ809" s="19">
        <v>0.172217950431029</v>
      </c>
      <c r="BK809" s="18"/>
      <c r="BL809" s="18"/>
      <c r="BM809" s="19">
        <v>0.13393533814833999</v>
      </c>
      <c r="BN809" s="19">
        <v>0.145003567231031</v>
      </c>
      <c r="BO809" s="19">
        <v>0.15636995343838</v>
      </c>
      <c r="BP809" s="19">
        <v>0.16370962850579801</v>
      </c>
      <c r="BQ809" s="19">
        <v>0.166782099819556</v>
      </c>
      <c r="BR809" s="19">
        <v>0.16850441557925699</v>
      </c>
      <c r="BS809" s="19">
        <v>0.169350508814784</v>
      </c>
      <c r="BT809" s="19">
        <v>0.169721017299785</v>
      </c>
      <c r="BU809" s="19">
        <v>0.16981949572020699</v>
      </c>
    </row>
    <row r="810" spans="3:73" x14ac:dyDescent="0.45">
      <c r="C810" t="s">
        <v>328</v>
      </c>
      <c r="D810" t="s">
        <v>326</v>
      </c>
      <c r="E810" t="s">
        <v>289</v>
      </c>
      <c r="J810" s="7"/>
      <c r="K810" s="7"/>
      <c r="L810" s="7">
        <v>22</v>
      </c>
      <c r="M810" s="7"/>
      <c r="N810" s="7"/>
      <c r="O810" s="7"/>
      <c r="P810" s="7"/>
      <c r="Q810" s="7"/>
      <c r="R810" s="7">
        <v>22</v>
      </c>
      <c r="S810" s="7"/>
      <c r="T810" s="7"/>
      <c r="U810" s="7"/>
      <c r="V810" s="7"/>
      <c r="AR810" s="15" t="s">
        <v>328</v>
      </c>
      <c r="AS810" s="15" t="s">
        <v>369</v>
      </c>
      <c r="AT810" s="15"/>
      <c r="AU810" s="15"/>
      <c r="AV810" s="15" t="s">
        <v>424</v>
      </c>
      <c r="AW810" s="15"/>
      <c r="AX810" s="15"/>
      <c r="AY810" s="15"/>
      <c r="AZ810" s="18"/>
      <c r="BA810" s="18"/>
      <c r="BB810" s="19">
        <v>7.1121582126324606E-2</v>
      </c>
      <c r="BC810" s="19">
        <v>7.4126603157812193E-2</v>
      </c>
      <c r="BD810" s="19">
        <v>7.6960694747473898E-2</v>
      </c>
      <c r="BE810" s="19">
        <v>8.0804345996317098E-2</v>
      </c>
      <c r="BF810" s="19">
        <v>8.4023307986649795E-2</v>
      </c>
      <c r="BG810" s="19">
        <v>8.6561776673370699E-2</v>
      </c>
      <c r="BH810" s="19">
        <v>8.8643435355924796E-2</v>
      </c>
      <c r="BI810" s="19">
        <v>9.0472229433827905E-2</v>
      </c>
      <c r="BJ810" s="19">
        <v>9.2157086096263996E-2</v>
      </c>
      <c r="BK810" s="18"/>
      <c r="BL810" s="18"/>
      <c r="BM810" s="19">
        <v>7.1671335410602499E-2</v>
      </c>
      <c r="BN810" s="19">
        <v>7.7594154361552606E-2</v>
      </c>
      <c r="BO810" s="19">
        <v>8.3676522835294406E-2</v>
      </c>
      <c r="BP810" s="19">
        <v>8.7604121935235396E-2</v>
      </c>
      <c r="BQ810" s="19">
        <v>8.92482595102191E-2</v>
      </c>
      <c r="BR810" s="19">
        <v>9.0169903284020997E-2</v>
      </c>
      <c r="BS810" s="19">
        <v>9.0622663794506494E-2</v>
      </c>
      <c r="BT810" s="19">
        <v>9.0820929900137307E-2</v>
      </c>
      <c r="BU810" s="19">
        <v>9.0873627567521695E-2</v>
      </c>
    </row>
    <row r="811" spans="3:73" x14ac:dyDescent="0.45">
      <c r="C811" t="s">
        <v>328</v>
      </c>
      <c r="D811" t="s">
        <v>326</v>
      </c>
      <c r="E811" t="s">
        <v>290</v>
      </c>
      <c r="J811" s="7"/>
      <c r="K811" s="7"/>
      <c r="L811" s="7">
        <v>22</v>
      </c>
      <c r="M811" s="7"/>
      <c r="N811" s="7"/>
      <c r="O811" s="7"/>
      <c r="P811" s="7"/>
      <c r="Q811" s="7"/>
      <c r="R811" s="7">
        <v>22</v>
      </c>
      <c r="S811" s="7"/>
      <c r="T811" s="7"/>
      <c r="U811" s="7"/>
      <c r="V811" s="7"/>
      <c r="AR811" s="15" t="s">
        <v>328</v>
      </c>
      <c r="AS811" s="15" t="s">
        <v>369</v>
      </c>
      <c r="AT811" s="15"/>
      <c r="AU811" s="15"/>
      <c r="AV811" s="15" t="s">
        <v>425</v>
      </c>
      <c r="AW811" s="15"/>
      <c r="AX811" s="15"/>
      <c r="AY811" s="15"/>
      <c r="AZ811" s="18"/>
      <c r="BA811" s="18"/>
      <c r="BB811" s="19">
        <v>0.15108807236211699</v>
      </c>
      <c r="BC811" s="19">
        <v>0.15747182848060001</v>
      </c>
      <c r="BD811" s="19">
        <v>0.163492468381708</v>
      </c>
      <c r="BE811" s="19">
        <v>0.171657779679037</v>
      </c>
      <c r="BF811" s="19">
        <v>0.17849602409916801</v>
      </c>
      <c r="BG811" s="19">
        <v>0.18388865358183401</v>
      </c>
      <c r="BH811" s="19">
        <v>0.188310852698613</v>
      </c>
      <c r="BI811" s="19">
        <v>0.19219587555267301</v>
      </c>
      <c r="BJ811" s="19">
        <v>0.19577512305706299</v>
      </c>
      <c r="BK811" s="18"/>
      <c r="BL811" s="18"/>
      <c r="BM811" s="19">
        <v>0.15225594801270101</v>
      </c>
      <c r="BN811" s="19">
        <v>0.164838166679595</v>
      </c>
      <c r="BO811" s="19">
        <v>0.17775932648255699</v>
      </c>
      <c r="BP811" s="19">
        <v>0.18610297350614599</v>
      </c>
      <c r="BQ811" s="19">
        <v>0.189595718879291</v>
      </c>
      <c r="BR811" s="19">
        <v>0.19155362500321399</v>
      </c>
      <c r="BS811" s="19">
        <v>0.19251545277371401</v>
      </c>
      <c r="BT811" s="19">
        <v>0.19293664199390401</v>
      </c>
      <c r="BU811" s="19">
        <v>0.193048590979642</v>
      </c>
    </row>
    <row r="812" spans="3:73" x14ac:dyDescent="0.45">
      <c r="C812" t="s">
        <v>328</v>
      </c>
      <c r="D812" t="s">
        <v>326</v>
      </c>
      <c r="E812" t="s">
        <v>291</v>
      </c>
      <c r="J812" s="7"/>
      <c r="K812" s="7"/>
      <c r="L812" s="7">
        <v>12</v>
      </c>
      <c r="M812" s="7"/>
      <c r="N812" s="7"/>
      <c r="O812" s="7"/>
      <c r="P812" s="7"/>
      <c r="Q812" s="7"/>
      <c r="R812" s="7">
        <v>12</v>
      </c>
      <c r="S812" s="7"/>
      <c r="T812" s="7"/>
      <c r="U812" s="7"/>
      <c r="V812" s="7"/>
      <c r="AR812" s="15" t="s">
        <v>328</v>
      </c>
      <c r="AS812" s="15" t="s">
        <v>369</v>
      </c>
      <c r="AT812" s="15"/>
      <c r="AU812" s="15"/>
      <c r="AV812" s="15" t="s">
        <v>426</v>
      </c>
      <c r="AW812" s="15"/>
      <c r="AX812" s="15"/>
      <c r="AY812" s="15"/>
      <c r="AZ812" s="18"/>
      <c r="BA812" s="18"/>
      <c r="BB812" s="19">
        <v>0.51475989307598702</v>
      </c>
      <c r="BC812" s="19">
        <v>0.53650946976723901</v>
      </c>
      <c r="BD812" s="19">
        <v>0.557021902703145</v>
      </c>
      <c r="BE812" s="19">
        <v>0.58484127126502095</v>
      </c>
      <c r="BF812" s="19">
        <v>0.60813929811453904</v>
      </c>
      <c r="BG812" s="19">
        <v>0.62651208778944101</v>
      </c>
      <c r="BH812" s="19">
        <v>0.64157860302737502</v>
      </c>
      <c r="BI812" s="19">
        <v>0.65481494867457002</v>
      </c>
      <c r="BJ812" s="19">
        <v>0.66700951197693703</v>
      </c>
      <c r="BK812" s="18"/>
      <c r="BL812" s="18"/>
      <c r="BM812" s="19">
        <v>0.51873886729692598</v>
      </c>
      <c r="BN812" s="19">
        <v>0.56160672201484096</v>
      </c>
      <c r="BO812" s="19">
        <v>0.60562935553318598</v>
      </c>
      <c r="BP812" s="19">
        <v>0.63405631725543798</v>
      </c>
      <c r="BQ812" s="19">
        <v>0.64595616617608698</v>
      </c>
      <c r="BR812" s="19">
        <v>0.65262678902041205</v>
      </c>
      <c r="BS812" s="19">
        <v>0.65590375425373004</v>
      </c>
      <c r="BT812" s="19">
        <v>0.65733875381762896</v>
      </c>
      <c r="BU812" s="19">
        <v>0.65772016610932904</v>
      </c>
    </row>
    <row r="813" spans="3:73" x14ac:dyDescent="0.45">
      <c r="C813" t="s">
        <v>328</v>
      </c>
      <c r="D813" t="s">
        <v>326</v>
      </c>
      <c r="E813" t="s">
        <v>292</v>
      </c>
      <c r="J813" s="7"/>
      <c r="K813" s="7"/>
      <c r="L813" s="7">
        <v>12</v>
      </c>
      <c r="M813" s="7"/>
      <c r="N813" s="7"/>
      <c r="O813" s="7"/>
      <c r="P813" s="7"/>
      <c r="Q813" s="7"/>
      <c r="R813" s="7">
        <v>12</v>
      </c>
      <c r="S813" s="7"/>
      <c r="T813" s="7"/>
      <c r="U813" s="7"/>
      <c r="V813" s="7"/>
      <c r="AR813" s="15" t="s">
        <v>328</v>
      </c>
      <c r="AS813" s="15" t="s">
        <v>369</v>
      </c>
      <c r="AT813" s="15"/>
      <c r="AU813" s="15"/>
      <c r="AV813" s="15" t="s">
        <v>427</v>
      </c>
      <c r="AW813" s="15"/>
      <c r="AX813" s="15"/>
      <c r="AY813" s="15"/>
      <c r="AZ813" s="18"/>
      <c r="BA813" s="18"/>
      <c r="BB813" s="19">
        <v>1.4322928887303401</v>
      </c>
      <c r="BC813" s="19">
        <v>1.4928099656176399</v>
      </c>
      <c r="BD813" s="19">
        <v>1.54988475372728</v>
      </c>
      <c r="BE813" s="19">
        <v>1.62729071385764</v>
      </c>
      <c r="BF813" s="19">
        <v>1.6921162735542401</v>
      </c>
      <c r="BG813" s="19">
        <v>1.74323761449681</v>
      </c>
      <c r="BH813" s="19">
        <v>1.7851594171148999</v>
      </c>
      <c r="BI813" s="19">
        <v>1.8219888671133599</v>
      </c>
      <c r="BJ813" s="19">
        <v>1.85591961139645</v>
      </c>
      <c r="BK813" s="18"/>
      <c r="BL813" s="18"/>
      <c r="BM813" s="19">
        <v>1.4433641795549601</v>
      </c>
      <c r="BN813" s="19">
        <v>1.5626417773116501</v>
      </c>
      <c r="BO813" s="19">
        <v>1.6851324876013101</v>
      </c>
      <c r="BP813" s="19">
        <v>1.7642290444050901</v>
      </c>
      <c r="BQ813" s="19">
        <v>1.7973397611009101</v>
      </c>
      <c r="BR813" s="19">
        <v>1.8159004255812701</v>
      </c>
      <c r="BS813" s="19">
        <v>1.8250184125562301</v>
      </c>
      <c r="BT813" s="19">
        <v>1.82901122493021</v>
      </c>
      <c r="BU813" s="19">
        <v>1.83007248498645</v>
      </c>
    </row>
    <row r="814" spans="3:73" x14ac:dyDescent="0.45">
      <c r="C814" t="s">
        <v>328</v>
      </c>
      <c r="D814" t="s">
        <v>326</v>
      </c>
      <c r="E814" t="s">
        <v>293</v>
      </c>
      <c r="J814" s="7"/>
      <c r="K814" s="7"/>
      <c r="L814" s="7">
        <v>12</v>
      </c>
      <c r="M814" s="7"/>
      <c r="N814" s="7"/>
      <c r="O814" s="7"/>
      <c r="P814" s="7"/>
      <c r="Q814" s="7"/>
      <c r="R814" s="7">
        <v>12</v>
      </c>
      <c r="S814" s="7"/>
      <c r="T814" s="7"/>
      <c r="U814" s="7"/>
      <c r="V814" s="7"/>
      <c r="AR814" s="15" t="s">
        <v>328</v>
      </c>
      <c r="AS814" s="15" t="s">
        <v>369</v>
      </c>
      <c r="AT814" s="15"/>
      <c r="AU814" s="15"/>
      <c r="AV814" s="15" t="s">
        <v>428</v>
      </c>
      <c r="AW814" s="15"/>
      <c r="AX814" s="15"/>
      <c r="AY814" s="15"/>
      <c r="AZ814" s="18"/>
      <c r="BA814" s="18"/>
      <c r="BB814" s="19">
        <v>1.58060862031505</v>
      </c>
      <c r="BC814" s="19">
        <v>1.6473923166923401</v>
      </c>
      <c r="BD814" s="19">
        <v>1.7103772709559399</v>
      </c>
      <c r="BE814" s="19">
        <v>1.7957987156956801</v>
      </c>
      <c r="BF814" s="19">
        <v>1.86733704370066</v>
      </c>
      <c r="BG814" s="19">
        <v>1.9237520638489001</v>
      </c>
      <c r="BH814" s="19">
        <v>1.9700149218988501</v>
      </c>
      <c r="BI814" s="19">
        <v>2.0106581078052201</v>
      </c>
      <c r="BJ814" s="19">
        <v>2.0481024233705201</v>
      </c>
      <c r="BK814" s="18"/>
      <c r="BL814" s="18"/>
      <c r="BM814" s="19">
        <v>1.59282635724099</v>
      </c>
      <c r="BN814" s="19">
        <v>1.72445530039089</v>
      </c>
      <c r="BO814" s="19">
        <v>1.8596300779211901</v>
      </c>
      <c r="BP814" s="19">
        <v>1.9469171827479901</v>
      </c>
      <c r="BQ814" s="19">
        <v>1.98345655583712</v>
      </c>
      <c r="BR814" s="19">
        <v>2.0039392004884098</v>
      </c>
      <c r="BS814" s="19">
        <v>2.01400136649226</v>
      </c>
      <c r="BT814" s="19">
        <v>2.0184076396136801</v>
      </c>
      <c r="BU814" s="19">
        <v>2.0195787944846502</v>
      </c>
    </row>
    <row r="815" spans="3:73" x14ac:dyDescent="0.45">
      <c r="C815" t="s">
        <v>328</v>
      </c>
      <c r="D815" t="s">
        <v>326</v>
      </c>
      <c r="E815" t="s">
        <v>294</v>
      </c>
      <c r="J815" s="7"/>
      <c r="K815" s="7"/>
      <c r="L815" s="7">
        <v>22</v>
      </c>
      <c r="M815" s="7"/>
      <c r="N815" s="7"/>
      <c r="O815" s="7"/>
      <c r="P815" s="7"/>
      <c r="Q815" s="7"/>
      <c r="R815" s="7">
        <v>22</v>
      </c>
      <c r="S815" s="7"/>
      <c r="T815" s="7"/>
      <c r="U815" s="7"/>
      <c r="V815" s="7"/>
      <c r="AR815" s="15" t="s">
        <v>328</v>
      </c>
      <c r="AS815" s="15" t="s">
        <v>369</v>
      </c>
      <c r="AT815" s="15"/>
      <c r="AU815" s="15"/>
      <c r="AV815" s="15" t="s">
        <v>429</v>
      </c>
      <c r="AW815" s="15"/>
      <c r="AX815" s="15"/>
      <c r="AY815" s="15"/>
      <c r="AZ815" s="18"/>
      <c r="BA815" s="18"/>
      <c r="BB815" s="19">
        <v>0.18630784212735099</v>
      </c>
      <c r="BC815" s="19">
        <v>0.19417969996832801</v>
      </c>
      <c r="BD815" s="19">
        <v>0.201603796461616</v>
      </c>
      <c r="BE815" s="19">
        <v>0.21167250343708999</v>
      </c>
      <c r="BF815" s="19">
        <v>0.22010479423236001</v>
      </c>
      <c r="BG815" s="19">
        <v>0.22675448633975501</v>
      </c>
      <c r="BH815" s="19">
        <v>0.23220753344018999</v>
      </c>
      <c r="BI815" s="19">
        <v>0.23699818443758</v>
      </c>
      <c r="BJ815" s="19">
        <v>0.241411781543938</v>
      </c>
      <c r="BK815" s="18"/>
      <c r="BL815" s="18"/>
      <c r="BM815" s="19">
        <v>0.18774795840477501</v>
      </c>
      <c r="BN815" s="19">
        <v>0.20326318718726399</v>
      </c>
      <c r="BO815" s="19">
        <v>0.21919636684225999</v>
      </c>
      <c r="BP815" s="19">
        <v>0.22948498094749201</v>
      </c>
      <c r="BQ815" s="19">
        <v>0.233791911623073</v>
      </c>
      <c r="BR815" s="19">
        <v>0.23620622043867501</v>
      </c>
      <c r="BS815" s="19">
        <v>0.23739225752034701</v>
      </c>
      <c r="BT815" s="19">
        <v>0.23791162912602201</v>
      </c>
      <c r="BU815" s="19">
        <v>0.23804967426509199</v>
      </c>
    </row>
    <row r="816" spans="3:73" x14ac:dyDescent="0.45">
      <c r="C816" t="s">
        <v>328</v>
      </c>
      <c r="D816" t="s">
        <v>326</v>
      </c>
      <c r="E816" t="s">
        <v>295</v>
      </c>
      <c r="J816" s="7"/>
      <c r="K816" s="7"/>
      <c r="L816" s="7">
        <v>22</v>
      </c>
      <c r="M816" s="7"/>
      <c r="N816" s="7"/>
      <c r="O816" s="7"/>
      <c r="P816" s="7"/>
      <c r="Q816" s="7"/>
      <c r="R816" s="7">
        <v>22</v>
      </c>
      <c r="S816" s="7"/>
      <c r="T816" s="7"/>
      <c r="U816" s="7"/>
      <c r="V816" s="7"/>
      <c r="AR816" s="15" t="s">
        <v>328</v>
      </c>
      <c r="AS816" s="15" t="s">
        <v>369</v>
      </c>
      <c r="AT816" s="15"/>
      <c r="AU816" s="15"/>
      <c r="AV816" s="15" t="s">
        <v>430</v>
      </c>
      <c r="AW816" s="15"/>
      <c r="AX816" s="15"/>
      <c r="AY816" s="15"/>
      <c r="AZ816" s="18"/>
      <c r="BA816" s="18"/>
      <c r="BB816" s="19">
        <v>3.5715594794283601E-2</v>
      </c>
      <c r="BC816" s="19">
        <v>3.7224646059738901E-2</v>
      </c>
      <c r="BD816" s="19">
        <v>3.8647860558067397E-2</v>
      </c>
      <c r="BE816" s="19">
        <v>4.0578052300573902E-2</v>
      </c>
      <c r="BF816" s="19">
        <v>4.2194539710833097E-2</v>
      </c>
      <c r="BG816" s="19">
        <v>4.3469299302821202E-2</v>
      </c>
      <c r="BH816" s="19">
        <v>4.4514659596888502E-2</v>
      </c>
      <c r="BI816" s="19">
        <v>4.54330372017702E-2</v>
      </c>
      <c r="BJ816" s="19">
        <v>4.6279132803737202E-2</v>
      </c>
      <c r="BK816" s="18"/>
      <c r="BL816" s="18"/>
      <c r="BM816" s="19">
        <v>3.5991668033250997E-2</v>
      </c>
      <c r="BN816" s="19">
        <v>3.8965969157715698E-2</v>
      </c>
      <c r="BO816" s="19">
        <v>4.2020392320179102E-2</v>
      </c>
      <c r="BP816" s="19">
        <v>4.3992740709712E-2</v>
      </c>
      <c r="BQ816" s="19">
        <v>4.48183881385033E-2</v>
      </c>
      <c r="BR816" s="19">
        <v>4.5281216081662898E-2</v>
      </c>
      <c r="BS816" s="19">
        <v>4.5508581818586899E-2</v>
      </c>
      <c r="BT816" s="19">
        <v>4.5608146418788999E-2</v>
      </c>
      <c r="BU816" s="19">
        <v>4.5634609954591197E-2</v>
      </c>
    </row>
    <row r="817" spans="3:73" x14ac:dyDescent="0.45">
      <c r="C817" t="s">
        <v>328</v>
      </c>
      <c r="D817" t="s">
        <v>326</v>
      </c>
      <c r="E817" t="s">
        <v>296</v>
      </c>
      <c r="J817" s="7"/>
      <c r="K817" s="7"/>
      <c r="L817" s="7">
        <v>22</v>
      </c>
      <c r="M817" s="7"/>
      <c r="N817" s="7"/>
      <c r="O817" s="7"/>
      <c r="P817" s="7"/>
      <c r="Q817" s="7"/>
      <c r="R817" s="7">
        <v>22</v>
      </c>
      <c r="S817" s="7"/>
      <c r="T817" s="7"/>
      <c r="U817" s="7"/>
      <c r="V817" s="7"/>
      <c r="AR817" s="15" t="s">
        <v>328</v>
      </c>
      <c r="AS817" s="15" t="s">
        <v>369</v>
      </c>
      <c r="AT817" s="15"/>
      <c r="AU817" s="15"/>
      <c r="AV817" s="15" t="s">
        <v>431</v>
      </c>
      <c r="AW817" s="15"/>
      <c r="AX817" s="15"/>
      <c r="AY817" s="15"/>
      <c r="AZ817" s="18"/>
      <c r="BA817" s="18"/>
      <c r="BB817" s="19">
        <v>4.1466016344024199E-2</v>
      </c>
      <c r="BC817" s="19">
        <v>4.32180337694026E-2</v>
      </c>
      <c r="BD817" s="19">
        <v>4.4870394201551499E-2</v>
      </c>
      <c r="BE817" s="19">
        <v>4.7111358206291698E-2</v>
      </c>
      <c r="BF817" s="19">
        <v>4.8988109629858799E-2</v>
      </c>
      <c r="BG817" s="19">
        <v>5.0468113039589001E-2</v>
      </c>
      <c r="BH817" s="19">
        <v>5.1681782510554199E-2</v>
      </c>
      <c r="BI817" s="19">
        <v>5.2748024329943098E-2</v>
      </c>
      <c r="BJ817" s="19">
        <v>5.3730346317350797E-2</v>
      </c>
      <c r="BK817" s="18"/>
      <c r="BL817" s="18"/>
      <c r="BM817" s="19">
        <v>4.17865390038063E-2</v>
      </c>
      <c r="BN817" s="19">
        <v>4.5239720163170502E-2</v>
      </c>
      <c r="BO817" s="19">
        <v>4.8785923481518799E-2</v>
      </c>
      <c r="BP817" s="19">
        <v>5.1075831602258599E-2</v>
      </c>
      <c r="BQ817" s="19">
        <v>5.2034413139927502E-2</v>
      </c>
      <c r="BR817" s="19">
        <v>5.2571759113473997E-2</v>
      </c>
      <c r="BS817" s="19">
        <v>5.2835732075919802E-2</v>
      </c>
      <c r="BT817" s="19">
        <v>5.2951327164369198E-2</v>
      </c>
      <c r="BU817" s="19">
        <v>5.2982051485619103E-2</v>
      </c>
    </row>
    <row r="818" spans="3:73" x14ac:dyDescent="0.45">
      <c r="C818" t="s">
        <v>328</v>
      </c>
      <c r="D818" t="s">
        <v>326</v>
      </c>
      <c r="E818" t="s">
        <v>297</v>
      </c>
      <c r="J818" s="7"/>
      <c r="K818" s="7"/>
      <c r="L818" s="7">
        <v>20</v>
      </c>
      <c r="M818" s="7"/>
      <c r="N818" s="7"/>
      <c r="O818" s="7"/>
      <c r="P818" s="7"/>
      <c r="Q818" s="7"/>
      <c r="R818" s="7">
        <v>20</v>
      </c>
      <c r="S818" s="7"/>
      <c r="T818" s="7"/>
      <c r="U818" s="7"/>
      <c r="V818" s="7"/>
      <c r="AR818" s="15" t="s">
        <v>328</v>
      </c>
      <c r="AS818" s="15" t="s">
        <v>369</v>
      </c>
      <c r="AT818" s="15"/>
      <c r="AU818" s="15"/>
      <c r="AV818" s="15" t="s">
        <v>432</v>
      </c>
      <c r="AW818" s="15"/>
      <c r="AX818" s="15"/>
      <c r="AY818" s="15"/>
      <c r="AZ818" s="18"/>
      <c r="BA818" s="18"/>
      <c r="BB818" s="19">
        <v>8.3270692178418301E-2</v>
      </c>
      <c r="BC818" s="19">
        <v>8.6789036031599501E-2</v>
      </c>
      <c r="BD818" s="19">
        <v>9.0107251983952599E-2</v>
      </c>
      <c r="BE818" s="19">
        <v>9.4607482299627094E-2</v>
      </c>
      <c r="BF818" s="19">
        <v>9.8376312871406593E-2</v>
      </c>
      <c r="BG818" s="19">
        <v>0.101348407111957</v>
      </c>
      <c r="BH818" s="19">
        <v>0.103785658283727</v>
      </c>
      <c r="BI818" s="19">
        <v>0.105926850087479</v>
      </c>
      <c r="BJ818" s="19">
        <v>0.10789951684077601</v>
      </c>
      <c r="BK818" s="18"/>
      <c r="BL818" s="18"/>
      <c r="BM818" s="19">
        <v>8.3914355257058301E-2</v>
      </c>
      <c r="BN818" s="19">
        <v>9.0848920250523504E-2</v>
      </c>
      <c r="BO818" s="19">
        <v>9.7970289288589404E-2</v>
      </c>
      <c r="BP818" s="19">
        <v>0.102568807570572</v>
      </c>
      <c r="BQ818" s="19">
        <v>0.104493799532397</v>
      </c>
      <c r="BR818" s="19">
        <v>0.10557288006873899</v>
      </c>
      <c r="BS818" s="19">
        <v>0.106102981902416</v>
      </c>
      <c r="BT818" s="19">
        <v>0.10633511616261999</v>
      </c>
      <c r="BU818" s="19">
        <v>0.10639681573549301</v>
      </c>
    </row>
    <row r="819" spans="3:73" x14ac:dyDescent="0.45">
      <c r="C819" t="s">
        <v>328</v>
      </c>
      <c r="D819" t="s">
        <v>326</v>
      </c>
      <c r="E819" t="s">
        <v>298</v>
      </c>
      <c r="J819" s="7"/>
      <c r="K819" s="7"/>
      <c r="L819" s="7">
        <v>17.123290000000001</v>
      </c>
      <c r="M819" s="7"/>
      <c r="N819" s="7"/>
      <c r="O819" s="7"/>
      <c r="P819" s="7"/>
      <c r="Q819" s="7"/>
      <c r="R819" s="7">
        <v>17.123290000000001</v>
      </c>
      <c r="S819" s="7"/>
      <c r="T819" s="7"/>
      <c r="U819" s="7"/>
      <c r="V819" s="7"/>
      <c r="AR819" s="15" t="s">
        <v>328</v>
      </c>
      <c r="AS819" s="15" t="s">
        <v>369</v>
      </c>
      <c r="AT819" s="15"/>
      <c r="AU819" s="15"/>
      <c r="AV819" s="15" t="s">
        <v>433</v>
      </c>
      <c r="AW819" s="15"/>
      <c r="AX819" s="15"/>
      <c r="AY819" s="15"/>
      <c r="AZ819" s="18"/>
      <c r="BA819" s="18"/>
      <c r="BB819" s="19">
        <v>8.0280328884215699E-2</v>
      </c>
      <c r="BC819" s="19">
        <v>8.3672324246232804E-2</v>
      </c>
      <c r="BD819" s="19">
        <v>8.6871378571288502E-2</v>
      </c>
      <c r="BE819" s="19">
        <v>9.1209999523579693E-2</v>
      </c>
      <c r="BF819" s="19">
        <v>9.4843486287002496E-2</v>
      </c>
      <c r="BG819" s="19">
        <v>9.7708848599531994E-2</v>
      </c>
      <c r="BH819" s="19">
        <v>0.100058574781991</v>
      </c>
      <c r="BI819" s="19">
        <v>0.102122873489165</v>
      </c>
      <c r="BJ819" s="19">
        <v>0.104024699108608</v>
      </c>
      <c r="BK819" s="18"/>
      <c r="BL819" s="18"/>
      <c r="BM819" s="19">
        <v>8.0900877150262604E-2</v>
      </c>
      <c r="BN819" s="19">
        <v>8.7586412526280993E-2</v>
      </c>
      <c r="BO819" s="19">
        <v>9.4452043560749196E-2</v>
      </c>
      <c r="BP819" s="19">
        <v>9.8885422825408603E-2</v>
      </c>
      <c r="BQ819" s="19">
        <v>0.100741285719687</v>
      </c>
      <c r="BR819" s="19">
        <v>0.101781615013029</v>
      </c>
      <c r="BS819" s="19">
        <v>0.102292680172168</v>
      </c>
      <c r="BT819" s="19">
        <v>0.10251647817680699</v>
      </c>
      <c r="BU819" s="19">
        <v>0.102575962034485</v>
      </c>
    </row>
    <row r="820" spans="3:73" x14ac:dyDescent="0.45">
      <c r="C820" t="s">
        <v>328</v>
      </c>
      <c r="D820" t="s">
        <v>326</v>
      </c>
      <c r="E820" t="s">
        <v>299</v>
      </c>
      <c r="J820" s="7"/>
      <c r="K820" s="7"/>
      <c r="L820" s="7">
        <v>25</v>
      </c>
      <c r="M820" s="7"/>
      <c r="N820" s="7"/>
      <c r="O820" s="7"/>
      <c r="P820" s="7"/>
      <c r="Q820" s="7"/>
      <c r="R820" s="7">
        <v>25</v>
      </c>
      <c r="S820" s="7"/>
      <c r="T820" s="7"/>
      <c r="U820" s="7"/>
      <c r="V820" s="7"/>
      <c r="AR820" s="15" t="s">
        <v>328</v>
      </c>
      <c r="AS820" s="15" t="s">
        <v>369</v>
      </c>
      <c r="AT820" s="15"/>
      <c r="AU820" s="15"/>
      <c r="AV820" s="15" t="s">
        <v>434</v>
      </c>
      <c r="AW820" s="15"/>
      <c r="AX820" s="15"/>
      <c r="AY820" s="15"/>
      <c r="AZ820" s="18"/>
      <c r="BA820" s="18"/>
      <c r="BB820" s="19">
        <v>0.34219709029557199</v>
      </c>
      <c r="BC820" s="19">
        <v>0.35665556299132201</v>
      </c>
      <c r="BD820" s="19">
        <v>0.37029161925748899</v>
      </c>
      <c r="BE820" s="19">
        <v>0.38878510933661797</v>
      </c>
      <c r="BF820" s="19">
        <v>0.40427294571387101</v>
      </c>
      <c r="BG820" s="19">
        <v>0.41648663068026298</v>
      </c>
      <c r="BH820" s="19">
        <v>0.42650240258608602</v>
      </c>
      <c r="BI820" s="19">
        <v>0.43530153209780997</v>
      </c>
      <c r="BJ820" s="19">
        <v>0.44340811564409099</v>
      </c>
      <c r="BK820" s="18"/>
      <c r="BL820" s="18"/>
      <c r="BM820" s="19">
        <v>0.34484219419562501</v>
      </c>
      <c r="BN820" s="19">
        <v>0.373339470982335</v>
      </c>
      <c r="BO820" s="19">
        <v>0.40260441042256101</v>
      </c>
      <c r="BP820" s="19">
        <v>0.42150181039125301</v>
      </c>
      <c r="BQ820" s="19">
        <v>0.429412476568585</v>
      </c>
      <c r="BR820" s="19">
        <v>0.43384690854063901</v>
      </c>
      <c r="BS820" s="19">
        <v>0.436025337713006</v>
      </c>
      <c r="BT820" s="19">
        <v>0.43697928280847098</v>
      </c>
      <c r="BU820" s="19">
        <v>0.43723283437334198</v>
      </c>
    </row>
    <row r="821" spans="3:73" x14ac:dyDescent="0.45">
      <c r="C821" t="s">
        <v>328</v>
      </c>
      <c r="D821" t="s">
        <v>326</v>
      </c>
      <c r="E821" t="s">
        <v>300</v>
      </c>
      <c r="J821" s="7"/>
      <c r="K821" s="7"/>
      <c r="L821" s="7">
        <v>25</v>
      </c>
      <c r="M821" s="7"/>
      <c r="N821" s="7"/>
      <c r="O821" s="7"/>
      <c r="P821" s="7"/>
      <c r="Q821" s="7"/>
      <c r="R821" s="7">
        <v>25</v>
      </c>
      <c r="S821" s="7"/>
      <c r="T821" s="7"/>
      <c r="U821" s="7"/>
      <c r="V821" s="7"/>
      <c r="AR821" s="15" t="s">
        <v>328</v>
      </c>
      <c r="AS821" s="15" t="s">
        <v>369</v>
      </c>
      <c r="AT821" s="15"/>
      <c r="AU821" s="15"/>
      <c r="AV821" s="15" t="s">
        <v>435</v>
      </c>
      <c r="AW821" s="15"/>
      <c r="AX821" s="15"/>
      <c r="AY821" s="15"/>
      <c r="AZ821" s="18"/>
      <c r="BA821" s="18"/>
      <c r="BB821" s="19">
        <v>0.37587851440653902</v>
      </c>
      <c r="BC821" s="19">
        <v>0.39176009081846003</v>
      </c>
      <c r="BD821" s="19">
        <v>0.40673830284026202</v>
      </c>
      <c r="BE821" s="19">
        <v>0.42705205118666301</v>
      </c>
      <c r="BF821" s="19">
        <v>0.44406430843240702</v>
      </c>
      <c r="BG821" s="19">
        <v>0.45748014945148702</v>
      </c>
      <c r="BH821" s="19">
        <v>0.46848174347832</v>
      </c>
      <c r="BI821" s="19">
        <v>0.478146944681757</v>
      </c>
      <c r="BJ821" s="19">
        <v>0.48705143471601398</v>
      </c>
      <c r="BK821" s="18"/>
      <c r="BL821" s="18"/>
      <c r="BM821" s="19">
        <v>0.37878396787940199</v>
      </c>
      <c r="BN821" s="19">
        <v>0.41008614538759902</v>
      </c>
      <c r="BO821" s="19">
        <v>0.44223154426135403</v>
      </c>
      <c r="BP821" s="19">
        <v>0.46298895812551899</v>
      </c>
      <c r="BQ821" s="19">
        <v>0.47167824723704599</v>
      </c>
      <c r="BR821" s="19">
        <v>0.47654914692953798</v>
      </c>
      <c r="BS821" s="19">
        <v>0.47894199229342399</v>
      </c>
      <c r="BT821" s="19">
        <v>0.47998983131800199</v>
      </c>
      <c r="BU821" s="19">
        <v>0.48026833919615902</v>
      </c>
    </row>
    <row r="822" spans="3:73" x14ac:dyDescent="0.45">
      <c r="C822" t="s">
        <v>328</v>
      </c>
      <c r="D822" t="s">
        <v>326</v>
      </c>
      <c r="E822" t="s">
        <v>302</v>
      </c>
      <c r="J822" s="7"/>
      <c r="K822" s="7"/>
      <c r="L822" s="7">
        <v>25</v>
      </c>
      <c r="M822" s="7"/>
      <c r="N822" s="7"/>
      <c r="O822" s="7"/>
      <c r="P822" s="7"/>
      <c r="Q822" s="7"/>
      <c r="R822" s="7">
        <v>25</v>
      </c>
      <c r="S822" s="7"/>
      <c r="T822" s="7"/>
      <c r="U822" s="7"/>
      <c r="V822" s="7"/>
      <c r="AR822" s="15" t="s">
        <v>328</v>
      </c>
      <c r="AS822" s="15" t="s">
        <v>369</v>
      </c>
      <c r="AT822" s="15"/>
      <c r="AU822" s="15"/>
      <c r="AV822" s="15" t="s">
        <v>436</v>
      </c>
      <c r="AW822" s="15"/>
      <c r="AX822" s="15"/>
      <c r="AY822" s="15"/>
      <c r="AZ822" s="18"/>
      <c r="BA822" s="18"/>
      <c r="BB822" s="19">
        <v>2.81642256458291E-2</v>
      </c>
      <c r="BC822" s="19">
        <v>2.93542173174282E-2</v>
      </c>
      <c r="BD822" s="19">
        <v>3.0476520739902702E-2</v>
      </c>
      <c r="BE822" s="19">
        <v>3.1998610910563101E-2</v>
      </c>
      <c r="BF822" s="19">
        <v>3.3273323439877399E-2</v>
      </c>
      <c r="BG822" s="19">
        <v>3.4278559863902498E-2</v>
      </c>
      <c r="BH822" s="19">
        <v>3.5102899018069803E-2</v>
      </c>
      <c r="BI822" s="19">
        <v>3.5827103507479703E-2</v>
      </c>
      <c r="BJ822" s="19">
        <v>3.6494308620232202E-2</v>
      </c>
      <c r="BK822" s="18"/>
      <c r="BL822" s="18"/>
      <c r="BM822" s="19">
        <v>2.83819285580117E-2</v>
      </c>
      <c r="BN822" s="19">
        <v>3.0727371451811099E-2</v>
      </c>
      <c r="BO822" s="19">
        <v>3.3135996134137001E-2</v>
      </c>
      <c r="BP822" s="19">
        <v>3.46913297472254E-2</v>
      </c>
      <c r="BQ822" s="19">
        <v>3.5342410056046103E-2</v>
      </c>
      <c r="BR822" s="19">
        <v>3.5707382015813902E-2</v>
      </c>
      <c r="BS822" s="19">
        <v>3.5886675681668798E-2</v>
      </c>
      <c r="BT822" s="19">
        <v>3.5965189280072599E-2</v>
      </c>
      <c r="BU822" s="19">
        <v>3.5986057614983698E-2</v>
      </c>
    </row>
    <row r="823" spans="3:73" x14ac:dyDescent="0.45">
      <c r="C823" t="s">
        <v>328</v>
      </c>
      <c r="D823" t="s">
        <v>326</v>
      </c>
      <c r="E823" t="s">
        <v>303</v>
      </c>
      <c r="J823" s="7"/>
      <c r="K823" s="7"/>
      <c r="L823" s="7">
        <v>20</v>
      </c>
      <c r="M823" s="7"/>
      <c r="N823" s="7"/>
      <c r="O823" s="7"/>
      <c r="P823" s="7"/>
      <c r="Q823" s="7"/>
      <c r="R823" s="7">
        <v>20</v>
      </c>
      <c r="S823" s="7"/>
      <c r="T823" s="7"/>
      <c r="U823" s="7"/>
      <c r="V823" s="7"/>
      <c r="AR823" s="15" t="s">
        <v>328</v>
      </c>
      <c r="AS823" s="15" t="s">
        <v>369</v>
      </c>
      <c r="AT823" s="15"/>
      <c r="AU823" s="15"/>
      <c r="AV823" s="15" t="s">
        <v>437</v>
      </c>
      <c r="AW823" s="15"/>
      <c r="AX823" s="15"/>
      <c r="AY823" s="15"/>
      <c r="AZ823" s="18"/>
      <c r="BA823" s="18"/>
      <c r="BB823" s="19">
        <v>0.26797816222631998</v>
      </c>
      <c r="BC823" s="19">
        <v>0.279300745180664</v>
      </c>
      <c r="BD823" s="19">
        <v>0.28997928512694399</v>
      </c>
      <c r="BE823" s="19">
        <v>0.30446173288906597</v>
      </c>
      <c r="BF823" s="19">
        <v>0.31659042143417698</v>
      </c>
      <c r="BG823" s="19">
        <v>0.32615508736537402</v>
      </c>
      <c r="BH823" s="19">
        <v>0.333998544322539</v>
      </c>
      <c r="BI823" s="19">
        <v>0.34088923574749103</v>
      </c>
      <c r="BJ823" s="19">
        <v>0.34723758709901797</v>
      </c>
      <c r="BK823" s="18"/>
      <c r="BL823" s="18"/>
      <c r="BM823" s="19">
        <v>0</v>
      </c>
      <c r="BN823" s="19">
        <v>0</v>
      </c>
      <c r="BO823" s="19">
        <v>0</v>
      </c>
      <c r="BP823" s="19">
        <v>0</v>
      </c>
      <c r="BQ823" s="19">
        <v>0</v>
      </c>
      <c r="BR823" s="19">
        <v>0</v>
      </c>
      <c r="BS823" s="19">
        <v>0</v>
      </c>
      <c r="BT823" s="19">
        <v>0</v>
      </c>
      <c r="BU823" s="19">
        <v>0</v>
      </c>
    </row>
    <row r="824" spans="3:73" x14ac:dyDescent="0.45">
      <c r="C824" t="s">
        <v>328</v>
      </c>
      <c r="D824" t="s">
        <v>326</v>
      </c>
      <c r="E824" t="s">
        <v>304</v>
      </c>
      <c r="J824" s="7"/>
      <c r="K824" s="7"/>
      <c r="L824" s="7">
        <v>20</v>
      </c>
      <c r="M824" s="7"/>
      <c r="N824" s="7"/>
      <c r="O824" s="7"/>
      <c r="P824" s="7"/>
      <c r="Q824" s="7"/>
      <c r="R824" s="7">
        <v>20</v>
      </c>
      <c r="S824" s="7"/>
      <c r="T824" s="7"/>
      <c r="U824" s="7"/>
      <c r="V824" s="7"/>
      <c r="AR824" s="15" t="s">
        <v>328</v>
      </c>
      <c r="AS824" s="15" t="s">
        <v>369</v>
      </c>
      <c r="AT824" s="15"/>
      <c r="AU824" s="15"/>
      <c r="AV824" s="15" t="s">
        <v>438</v>
      </c>
      <c r="AW824" s="15"/>
      <c r="AX824" s="15"/>
      <c r="AY824" s="15"/>
      <c r="AZ824" s="18"/>
      <c r="BA824" s="18"/>
      <c r="BB824" s="19">
        <v>0.102364518721013</v>
      </c>
      <c r="BC824" s="19">
        <v>0.106689612770361</v>
      </c>
      <c r="BD824" s="19">
        <v>0.11076868993531599</v>
      </c>
      <c r="BE824" s="19">
        <v>0.116300815324772</v>
      </c>
      <c r="BF824" s="19">
        <v>0.12093383226661</v>
      </c>
      <c r="BG824" s="19">
        <v>0.12458742260636101</v>
      </c>
      <c r="BH824" s="19">
        <v>0.12758353128125799</v>
      </c>
      <c r="BI824" s="19">
        <v>0.13021569468409</v>
      </c>
      <c r="BJ824" s="19">
        <v>0.13264069053215499</v>
      </c>
      <c r="BK824" s="18"/>
      <c r="BL824" s="18"/>
      <c r="BM824" s="19">
        <v>0.103155772636884</v>
      </c>
      <c r="BN824" s="19">
        <v>0.111680421460203</v>
      </c>
      <c r="BO824" s="19">
        <v>0.120434708174362</v>
      </c>
      <c r="BP824" s="19">
        <v>0.126087658791805</v>
      </c>
      <c r="BQ824" s="19">
        <v>0.128454048100685</v>
      </c>
      <c r="BR824" s="19">
        <v>0.129780559948662</v>
      </c>
      <c r="BS824" s="19">
        <v>0.13043221322135501</v>
      </c>
      <c r="BT824" s="19">
        <v>0.13071757546829599</v>
      </c>
      <c r="BU824" s="19">
        <v>0.130793422647144</v>
      </c>
    </row>
    <row r="825" spans="3:73" x14ac:dyDescent="0.45">
      <c r="C825" t="s">
        <v>328</v>
      </c>
      <c r="D825" t="s">
        <v>326</v>
      </c>
      <c r="E825" t="s">
        <v>305</v>
      </c>
      <c r="J825" s="7"/>
      <c r="K825" s="7"/>
      <c r="L825" s="7">
        <v>20</v>
      </c>
      <c r="M825" s="7"/>
      <c r="N825" s="7"/>
      <c r="O825" s="7"/>
      <c r="P825" s="7"/>
      <c r="Q825" s="7"/>
      <c r="R825" s="7">
        <v>20</v>
      </c>
      <c r="S825" s="7"/>
      <c r="T825" s="7"/>
      <c r="U825" s="7"/>
      <c r="V825" s="7"/>
      <c r="AR825" s="15" t="s">
        <v>328</v>
      </c>
      <c r="AS825" s="15" t="s">
        <v>369</v>
      </c>
      <c r="AT825" s="15"/>
      <c r="AU825" s="15"/>
      <c r="AV825" s="15" t="s">
        <v>439</v>
      </c>
      <c r="AW825" s="15"/>
      <c r="AX825" s="15"/>
      <c r="AY825" s="15"/>
      <c r="AZ825" s="18"/>
      <c r="BA825" s="18"/>
      <c r="BB825" s="19">
        <v>1.4277356186254401E-2</v>
      </c>
      <c r="BC825" s="19">
        <v>1.4880601422525E-2</v>
      </c>
      <c r="BD825" s="19">
        <v>1.54495332977777E-2</v>
      </c>
      <c r="BE825" s="19">
        <v>1.6221129995922099E-2</v>
      </c>
      <c r="BF825" s="19">
        <v>1.6867322972961899E-2</v>
      </c>
      <c r="BG825" s="19">
        <v>1.73769098033504E-2</v>
      </c>
      <c r="BH825" s="19">
        <v>1.7794793961442502E-2</v>
      </c>
      <c r="BI825" s="19">
        <v>1.81619166218349E-2</v>
      </c>
      <c r="BJ825" s="19">
        <v>1.8500144456104099E-2</v>
      </c>
      <c r="BK825" s="18"/>
      <c r="BL825" s="18"/>
      <c r="BM825" s="19">
        <v>1.43877168281234E-2</v>
      </c>
      <c r="BN825" s="19">
        <v>1.5576697630592299E-2</v>
      </c>
      <c r="BO825" s="19">
        <v>1.6797707323563001E-2</v>
      </c>
      <c r="BP825" s="19">
        <v>1.75861561970297E-2</v>
      </c>
      <c r="BQ825" s="19">
        <v>1.7916209847067301E-2</v>
      </c>
      <c r="BR825" s="19">
        <v>1.8101225928571801E-2</v>
      </c>
      <c r="BS825" s="19">
        <v>1.8192115682174201E-2</v>
      </c>
      <c r="BT825" s="19">
        <v>1.8231916762593399E-2</v>
      </c>
      <c r="BU825" s="19">
        <v>1.8242495595979E-2</v>
      </c>
    </row>
    <row r="826" spans="3:73" x14ac:dyDescent="0.45">
      <c r="C826" t="s">
        <v>328</v>
      </c>
      <c r="D826" t="s">
        <v>326</v>
      </c>
      <c r="E826" t="s">
        <v>306</v>
      </c>
      <c r="J826" s="7"/>
      <c r="K826" s="7"/>
      <c r="L826" s="7">
        <v>17.123290000000001</v>
      </c>
      <c r="M826" s="7"/>
      <c r="N826" s="7"/>
      <c r="O826" s="7"/>
      <c r="P826" s="7"/>
      <c r="Q826" s="7"/>
      <c r="R826" s="7">
        <v>17.123290000000001</v>
      </c>
      <c r="S826" s="7"/>
      <c r="T826" s="7"/>
      <c r="U826" s="7"/>
      <c r="V826" s="7"/>
      <c r="AR826" s="15" t="s">
        <v>328</v>
      </c>
      <c r="AS826" s="15" t="s">
        <v>369</v>
      </c>
      <c r="AT826" s="15"/>
      <c r="AU826" s="15"/>
      <c r="AV826" s="15" t="s">
        <v>440</v>
      </c>
      <c r="AW826" s="15"/>
      <c r="AX826" s="15"/>
      <c r="AY826" s="15"/>
      <c r="AZ826" s="18"/>
      <c r="BA826" s="18"/>
      <c r="BB826" s="19">
        <v>0.31116181604864002</v>
      </c>
      <c r="BC826" s="19">
        <v>0.32430898985252399</v>
      </c>
      <c r="BD826" s="19">
        <v>0.33670833558587598</v>
      </c>
      <c r="BE826" s="19">
        <v>0.35352457430119899</v>
      </c>
      <c r="BF826" s="19">
        <v>0.367607754522421</v>
      </c>
      <c r="BG826" s="19">
        <v>0.37871372971205802</v>
      </c>
      <c r="BH826" s="19">
        <v>0.38782112969799198</v>
      </c>
      <c r="BI826" s="19">
        <v>0.39582222963765101</v>
      </c>
      <c r="BJ826" s="19">
        <v>0.40319359347955802</v>
      </c>
      <c r="BK826" s="18"/>
      <c r="BL826" s="18"/>
      <c r="BM826" s="19">
        <v>0.31356702449873802</v>
      </c>
      <c r="BN826" s="19">
        <v>0.33947976498912202</v>
      </c>
      <c r="BO826" s="19">
        <v>0.36609054562115101</v>
      </c>
      <c r="BP826" s="19">
        <v>0.38327406196191499</v>
      </c>
      <c r="BQ826" s="19">
        <v>0.39046727699412598</v>
      </c>
      <c r="BR826" s="19">
        <v>0.394499531927611</v>
      </c>
      <c r="BS826" s="19">
        <v>0.39648039031778998</v>
      </c>
      <c r="BT826" s="19">
        <v>0.397347818173647</v>
      </c>
      <c r="BU826" s="19">
        <v>0.39757837409485403</v>
      </c>
    </row>
    <row r="827" spans="3:73" x14ac:dyDescent="0.45">
      <c r="C827" t="s">
        <v>328</v>
      </c>
      <c r="D827" t="s">
        <v>326</v>
      </c>
      <c r="E827" t="s">
        <v>307</v>
      </c>
      <c r="J827" s="7"/>
      <c r="K827" s="7"/>
      <c r="L827" s="7">
        <v>12</v>
      </c>
      <c r="M827" s="7"/>
      <c r="N827" s="7"/>
      <c r="O827" s="7"/>
      <c r="P827" s="7"/>
      <c r="Q827" s="7"/>
      <c r="R827" s="7">
        <v>12</v>
      </c>
      <c r="S827" s="7"/>
      <c r="T827" s="7"/>
      <c r="U827" s="7"/>
      <c r="V827" s="7"/>
      <c r="AR827" s="15" t="s">
        <v>328</v>
      </c>
      <c r="AS827" s="15" t="s">
        <v>369</v>
      </c>
      <c r="AT827" s="15"/>
      <c r="AU827" s="15"/>
      <c r="AV827" s="15" t="s">
        <v>441</v>
      </c>
      <c r="AW827" s="15"/>
      <c r="AX827" s="15"/>
      <c r="AY827" s="15"/>
      <c r="AZ827" s="18"/>
      <c r="BA827" s="18"/>
      <c r="BB827" s="19">
        <v>0.16520006664877099</v>
      </c>
      <c r="BC827" s="19">
        <v>0.17218008115127401</v>
      </c>
      <c r="BD827" s="19">
        <v>0.17876306349648199</v>
      </c>
      <c r="BE827" s="19">
        <v>0.187691034774676</v>
      </c>
      <c r="BF827" s="19">
        <v>0.19516798789417</v>
      </c>
      <c r="BG827" s="19">
        <v>0.20106430211686699</v>
      </c>
      <c r="BH827" s="19">
        <v>0.20589954541175201</v>
      </c>
      <c r="BI827" s="19">
        <v>0.210147438871432</v>
      </c>
      <c r="BJ827" s="19">
        <v>0.214060996818352</v>
      </c>
      <c r="BK827" s="18"/>
      <c r="BL827" s="18"/>
      <c r="BM827" s="19">
        <v>0.16647702473220899</v>
      </c>
      <c r="BN827" s="19">
        <v>0.180234453295984</v>
      </c>
      <c r="BO827" s="19">
        <v>0.19436248092421901</v>
      </c>
      <c r="BP827" s="19">
        <v>0.20348544492025999</v>
      </c>
      <c r="BQ827" s="19">
        <v>0.20730442122599799</v>
      </c>
      <c r="BR827" s="19">
        <v>0.209445200554951</v>
      </c>
      <c r="BS827" s="19">
        <v>0.21049686538399401</v>
      </c>
      <c r="BT827" s="19">
        <v>0.21095739470414099</v>
      </c>
      <c r="BU827" s="19">
        <v>0.21107979999806001</v>
      </c>
    </row>
    <row r="828" spans="3:73" x14ac:dyDescent="0.45">
      <c r="C828" t="s">
        <v>328</v>
      </c>
      <c r="D828" t="s">
        <v>326</v>
      </c>
      <c r="E828" t="s">
        <v>308</v>
      </c>
      <c r="J828" s="7"/>
      <c r="K828" s="7"/>
      <c r="L828" s="7">
        <v>10</v>
      </c>
      <c r="M828" s="7"/>
      <c r="N828" s="7"/>
      <c r="O828" s="7"/>
      <c r="P828" s="7"/>
      <c r="Q828" s="7"/>
      <c r="R828" s="7">
        <v>10</v>
      </c>
      <c r="S828" s="7"/>
      <c r="T828" s="7"/>
      <c r="U828" s="7"/>
      <c r="V828" s="7"/>
      <c r="AR828" s="15" t="s">
        <v>328</v>
      </c>
      <c r="AS828" s="15" t="s">
        <v>369</v>
      </c>
      <c r="AT828" s="15"/>
      <c r="AU828" s="15"/>
      <c r="AV828" s="15" t="s">
        <v>442</v>
      </c>
      <c r="AW828" s="15"/>
      <c r="AX828" s="15"/>
      <c r="AY828" s="15"/>
      <c r="AZ828" s="18"/>
      <c r="BA828" s="18"/>
      <c r="BB828" s="19">
        <v>2.34897059419318</v>
      </c>
      <c r="BC828" s="19">
        <v>2.44821903365224</v>
      </c>
      <c r="BD828" s="19">
        <v>2.5418220948656498</v>
      </c>
      <c r="BE828" s="19">
        <v>2.6687684237849201</v>
      </c>
      <c r="BF828" s="19">
        <v>2.7750828059043502</v>
      </c>
      <c r="BG828" s="19">
        <v>2.85892217113103</v>
      </c>
      <c r="BH828" s="19">
        <v>2.9276742276274801</v>
      </c>
      <c r="BI828" s="19">
        <v>2.98807478936132</v>
      </c>
      <c r="BJ828" s="19">
        <v>3.04372145296426</v>
      </c>
      <c r="BK828" s="18"/>
      <c r="BL828" s="18"/>
      <c r="BM828" s="19">
        <v>2.3671275904272702</v>
      </c>
      <c r="BN828" s="19">
        <v>2.5627437048972901</v>
      </c>
      <c r="BO828" s="19">
        <v>2.7636293469305402</v>
      </c>
      <c r="BP828" s="19">
        <v>2.8933482665006101</v>
      </c>
      <c r="BQ828" s="19">
        <v>2.9476500789882101</v>
      </c>
      <c r="BR828" s="19">
        <v>2.97808970164925</v>
      </c>
      <c r="BS828" s="19">
        <v>2.9930432655822501</v>
      </c>
      <c r="BT828" s="19">
        <v>2.9995915064681902</v>
      </c>
      <c r="BU828" s="19">
        <v>3.00133198056013</v>
      </c>
    </row>
    <row r="829" spans="3:73" x14ac:dyDescent="0.45">
      <c r="C829" t="s">
        <v>328</v>
      </c>
      <c r="D829" t="s">
        <v>326</v>
      </c>
      <c r="E829" t="s">
        <v>309</v>
      </c>
      <c r="J829" s="7"/>
      <c r="K829" s="7"/>
      <c r="L829" s="7">
        <v>22</v>
      </c>
      <c r="M829" s="7"/>
      <c r="N829" s="7"/>
      <c r="O829" s="7"/>
      <c r="P829" s="7"/>
      <c r="Q829" s="7"/>
      <c r="R829" s="7">
        <v>22</v>
      </c>
      <c r="S829" s="7"/>
      <c r="T829" s="7"/>
      <c r="U829" s="7"/>
      <c r="V829" s="7"/>
      <c r="AR829" s="15" t="s">
        <v>328</v>
      </c>
      <c r="AS829" s="15" t="s">
        <v>369</v>
      </c>
      <c r="AT829" s="15"/>
      <c r="AU829" s="15"/>
      <c r="AV829" s="15" t="s">
        <v>443</v>
      </c>
      <c r="AW829" s="15"/>
      <c r="AX829" s="15"/>
      <c r="AY829" s="15"/>
      <c r="AZ829" s="18"/>
      <c r="BA829" s="18"/>
      <c r="BB829" s="19">
        <v>0.30989720144062799</v>
      </c>
      <c r="BC829" s="19">
        <v>0.322990942891347</v>
      </c>
      <c r="BD829" s="19">
        <v>0.33533989557216098</v>
      </c>
      <c r="BE829" s="19">
        <v>0.35208779022971598</v>
      </c>
      <c r="BF829" s="19">
        <v>0.3661137340083</v>
      </c>
      <c r="BG829" s="19">
        <v>0.37717457262353599</v>
      </c>
      <c r="BH829" s="19">
        <v>0.38624495858503299</v>
      </c>
      <c r="BI829" s="19">
        <v>0.39421354069203302</v>
      </c>
      <c r="BJ829" s="19">
        <v>0.40155494605602199</v>
      </c>
      <c r="BK829" s="18"/>
      <c r="BL829" s="18"/>
      <c r="BM829" s="19">
        <v>0.31229263471400298</v>
      </c>
      <c r="BN829" s="19">
        <v>0.33810006141436599</v>
      </c>
      <c r="BO829" s="19">
        <v>0.36460269130237</v>
      </c>
      <c r="BP829" s="19">
        <v>0.38171637090655203</v>
      </c>
      <c r="BQ829" s="19">
        <v>0.38888035148794398</v>
      </c>
      <c r="BR829" s="19">
        <v>0.39289621865072799</v>
      </c>
      <c r="BS829" s="19">
        <v>0.39486902649508998</v>
      </c>
      <c r="BT829" s="19">
        <v>0.39573292897642698</v>
      </c>
      <c r="BU829" s="19">
        <v>0.39596254787910901</v>
      </c>
    </row>
    <row r="830" spans="3:73" x14ac:dyDescent="0.45">
      <c r="C830" t="s">
        <v>328</v>
      </c>
      <c r="D830" t="s">
        <v>326</v>
      </c>
      <c r="E830" t="s">
        <v>310</v>
      </c>
      <c r="J830" s="7"/>
      <c r="K830" s="7"/>
      <c r="L830" s="7">
        <v>22</v>
      </c>
      <c r="M830" s="7"/>
      <c r="N830" s="7"/>
      <c r="O830" s="7"/>
      <c r="P830" s="7"/>
      <c r="Q830" s="7"/>
      <c r="R830" s="7">
        <v>22</v>
      </c>
      <c r="S830" s="7"/>
      <c r="T830" s="7"/>
      <c r="U830" s="7"/>
      <c r="V830" s="7"/>
      <c r="AR830" s="15" t="s">
        <v>328</v>
      </c>
      <c r="AS830" s="15" t="s">
        <v>369</v>
      </c>
      <c r="AT830" s="15"/>
      <c r="AU830" s="15"/>
      <c r="AV830" s="15" t="s">
        <v>444</v>
      </c>
      <c r="AW830" s="15"/>
      <c r="AX830" s="15"/>
      <c r="AY830" s="15"/>
      <c r="AZ830" s="18"/>
      <c r="BA830" s="18"/>
      <c r="BB830" s="19">
        <v>0.91590589840926595</v>
      </c>
      <c r="BC830" s="19">
        <v>0.95460465067682398</v>
      </c>
      <c r="BD830" s="19">
        <v>0.99110216839222898</v>
      </c>
      <c r="BE830" s="19">
        <v>1.0406008261131801</v>
      </c>
      <c r="BF830" s="19">
        <v>1.08205471655764</v>
      </c>
      <c r="BG830" s="19">
        <v>1.1147451935350099</v>
      </c>
      <c r="BH830" s="19">
        <v>1.14155285738084</v>
      </c>
      <c r="BI830" s="19">
        <v>1.16510412315488</v>
      </c>
      <c r="BJ830" s="19">
        <v>1.1868017585134201</v>
      </c>
      <c r="BK830" s="18"/>
      <c r="BL830" s="18"/>
      <c r="BM830" s="19">
        <v>0.92298563792976196</v>
      </c>
      <c r="BN830" s="19">
        <v>0.99925988057456305</v>
      </c>
      <c r="BO830" s="19">
        <v>1.07758880682797</v>
      </c>
      <c r="BP830" s="19">
        <v>1.1281685475293699</v>
      </c>
      <c r="BQ830" s="19">
        <v>1.14934180124087</v>
      </c>
      <c r="BR830" s="19">
        <v>1.1612107577997699</v>
      </c>
      <c r="BS830" s="19">
        <v>1.1670414214284801</v>
      </c>
      <c r="BT830" s="19">
        <v>1.1695946983687999</v>
      </c>
      <c r="BU830" s="19">
        <v>1.17027334053263</v>
      </c>
    </row>
    <row r="831" spans="3:73" x14ac:dyDescent="0.45">
      <c r="C831" t="s">
        <v>328</v>
      </c>
      <c r="D831" t="s">
        <v>326</v>
      </c>
      <c r="E831" t="s">
        <v>311</v>
      </c>
      <c r="J831" s="7"/>
      <c r="K831" s="7"/>
      <c r="L831" s="7">
        <v>22</v>
      </c>
      <c r="M831" s="7"/>
      <c r="N831" s="7"/>
      <c r="O831" s="7"/>
      <c r="P831" s="7"/>
      <c r="Q831" s="7"/>
      <c r="R831" s="7">
        <v>22</v>
      </c>
      <c r="S831" s="7"/>
      <c r="T831" s="7"/>
      <c r="U831" s="7"/>
      <c r="V831" s="7"/>
      <c r="AR831" s="15" t="s">
        <v>328</v>
      </c>
      <c r="AS831" s="15" t="s">
        <v>369</v>
      </c>
      <c r="AT831" s="15"/>
      <c r="AU831" s="15"/>
      <c r="AV831" s="15" t="s">
        <v>445</v>
      </c>
      <c r="AW831" s="15"/>
      <c r="AX831" s="15"/>
      <c r="AY831" s="15"/>
      <c r="AZ831" s="18"/>
      <c r="BA831" s="18"/>
      <c r="BB831" s="19">
        <v>0.49730847398832101</v>
      </c>
      <c r="BC831" s="19">
        <v>0.51832069529714297</v>
      </c>
      <c r="BD831" s="19">
        <v>0.538137714568374</v>
      </c>
      <c r="BE831" s="19">
        <v>0.56501394931959803</v>
      </c>
      <c r="BF831" s="19">
        <v>0.58752212514160596</v>
      </c>
      <c r="BG831" s="19">
        <v>0.60527203945900898</v>
      </c>
      <c r="BH831" s="19">
        <v>0.61982776884290702</v>
      </c>
      <c r="BI831" s="19">
        <v>0.63261537514932298</v>
      </c>
      <c r="BJ831" s="19">
        <v>0.64439651767504602</v>
      </c>
      <c r="BK831" s="18"/>
      <c r="BL831" s="18"/>
      <c r="BM831" s="19">
        <v>0.50115255279957005</v>
      </c>
      <c r="BN831" s="19">
        <v>0.54256709907575396</v>
      </c>
      <c r="BO831" s="19">
        <v>0.58509727477598805</v>
      </c>
      <c r="BP831" s="19">
        <v>0.612560504029807</v>
      </c>
      <c r="BQ831" s="19">
        <v>0.62405692359749498</v>
      </c>
      <c r="BR831" s="19">
        <v>0.63050139860785304</v>
      </c>
      <c r="BS831" s="19">
        <v>0.63366726797999096</v>
      </c>
      <c r="BT831" s="19">
        <v>0.63505361810729499</v>
      </c>
      <c r="BU831" s="19">
        <v>0.63542209973785102</v>
      </c>
    </row>
    <row r="832" spans="3:73" x14ac:dyDescent="0.45">
      <c r="C832" t="s">
        <v>328</v>
      </c>
      <c r="D832" t="s">
        <v>326</v>
      </c>
      <c r="E832" t="s">
        <v>312</v>
      </c>
      <c r="J832" s="7"/>
      <c r="K832" s="7"/>
      <c r="L832" s="7">
        <v>15</v>
      </c>
      <c r="M832" s="7"/>
      <c r="N832" s="7"/>
      <c r="O832" s="7"/>
      <c r="P832" s="7"/>
      <c r="Q832" s="7"/>
      <c r="R832" s="7">
        <v>15</v>
      </c>
      <c r="S832" s="7"/>
      <c r="T832" s="7"/>
      <c r="U832" s="7"/>
      <c r="V832" s="7"/>
      <c r="AR832" s="15" t="s">
        <v>328</v>
      </c>
      <c r="AS832" s="15" t="s">
        <v>369</v>
      </c>
      <c r="AT832" s="15"/>
      <c r="AU832" s="15"/>
      <c r="AV832" s="15" t="s">
        <v>446</v>
      </c>
      <c r="AW832" s="15"/>
      <c r="AX832" s="15"/>
      <c r="AY832" s="15"/>
      <c r="AZ832" s="18"/>
      <c r="BA832" s="18"/>
      <c r="BB832" s="19">
        <v>0</v>
      </c>
      <c r="BC832" s="19">
        <v>0</v>
      </c>
      <c r="BD832" s="19">
        <v>0</v>
      </c>
      <c r="BE832" s="19">
        <v>0</v>
      </c>
      <c r="BF832" s="19">
        <v>0</v>
      </c>
      <c r="BG832" s="19">
        <v>0</v>
      </c>
      <c r="BH832" s="19">
        <v>0</v>
      </c>
      <c r="BI832" s="19">
        <v>0</v>
      </c>
      <c r="BJ832" s="19">
        <v>0</v>
      </c>
      <c r="BK832" s="18"/>
      <c r="BL832" s="18"/>
      <c r="BM832" s="19">
        <v>0</v>
      </c>
      <c r="BN832" s="19">
        <v>0</v>
      </c>
      <c r="BO832" s="19">
        <v>0</v>
      </c>
      <c r="BP832" s="19">
        <v>0</v>
      </c>
      <c r="BQ832" s="19">
        <v>0</v>
      </c>
      <c r="BR832" s="19">
        <v>0</v>
      </c>
      <c r="BS832" s="19">
        <v>0</v>
      </c>
      <c r="BT832" s="19">
        <v>0</v>
      </c>
      <c r="BU832" s="19">
        <v>0</v>
      </c>
    </row>
    <row r="833" spans="3:73" x14ac:dyDescent="0.45">
      <c r="C833" t="s">
        <v>328</v>
      </c>
      <c r="D833" t="s">
        <v>326</v>
      </c>
      <c r="E833" t="s">
        <v>313</v>
      </c>
      <c r="J833" s="7"/>
      <c r="K833" s="7"/>
      <c r="L833" s="7">
        <v>15</v>
      </c>
      <c r="M833" s="7"/>
      <c r="N833" s="7"/>
      <c r="O833" s="7"/>
      <c r="P833" s="7"/>
      <c r="Q833" s="7"/>
      <c r="R833" s="7">
        <v>15</v>
      </c>
      <c r="S833" s="7"/>
      <c r="T833" s="7"/>
      <c r="U833" s="7"/>
      <c r="V833" s="7"/>
      <c r="AR833" s="15" t="s">
        <v>328</v>
      </c>
      <c r="AS833" s="15" t="s">
        <v>369</v>
      </c>
      <c r="AT833" s="15"/>
      <c r="AU833" s="15"/>
      <c r="AV833" s="15" t="s">
        <v>447</v>
      </c>
      <c r="AW833" s="15"/>
      <c r="AX833" s="15"/>
      <c r="AY833" s="15"/>
      <c r="AZ833" s="18"/>
      <c r="BA833" s="18"/>
      <c r="BB833" s="19">
        <v>0</v>
      </c>
      <c r="BC833" s="19">
        <v>0</v>
      </c>
      <c r="BD833" s="19">
        <v>0</v>
      </c>
      <c r="BE833" s="19">
        <v>0</v>
      </c>
      <c r="BF833" s="19">
        <v>0</v>
      </c>
      <c r="BG833" s="19">
        <v>0</v>
      </c>
      <c r="BH833" s="19">
        <v>0</v>
      </c>
      <c r="BI833" s="19">
        <v>0</v>
      </c>
      <c r="BJ833" s="19">
        <v>0</v>
      </c>
      <c r="BK833" s="18"/>
      <c r="BL833" s="18"/>
      <c r="BM833" s="19">
        <v>0</v>
      </c>
      <c r="BN833" s="19">
        <v>0</v>
      </c>
      <c r="BO833" s="19">
        <v>0</v>
      </c>
      <c r="BP833" s="19">
        <v>0</v>
      </c>
      <c r="BQ833" s="19">
        <v>0</v>
      </c>
      <c r="BR833" s="19">
        <v>0</v>
      </c>
      <c r="BS833" s="19">
        <v>0</v>
      </c>
      <c r="BT833" s="19">
        <v>0</v>
      </c>
      <c r="BU833" s="19">
        <v>0</v>
      </c>
    </row>
    <row r="834" spans="3:73" x14ac:dyDescent="0.45">
      <c r="C834" t="s">
        <v>328</v>
      </c>
      <c r="D834" t="s">
        <v>326</v>
      </c>
      <c r="E834" t="s">
        <v>314</v>
      </c>
      <c r="J834" s="7"/>
      <c r="K834" s="7"/>
      <c r="L834" s="7">
        <v>15</v>
      </c>
      <c r="M834" s="7"/>
      <c r="N834" s="7"/>
      <c r="O834" s="7"/>
      <c r="P834" s="7"/>
      <c r="Q834" s="7"/>
      <c r="R834" s="7">
        <v>15</v>
      </c>
      <c r="S834" s="7"/>
      <c r="T834" s="7"/>
      <c r="U834" s="7"/>
      <c r="V834" s="7"/>
      <c r="AR834" s="15" t="s">
        <v>328</v>
      </c>
      <c r="AS834" s="15" t="s">
        <v>369</v>
      </c>
      <c r="AT834" s="15"/>
      <c r="AU834" s="15"/>
      <c r="AV834" s="15" t="s">
        <v>448</v>
      </c>
      <c r="AW834" s="15"/>
      <c r="AX834" s="15"/>
      <c r="AY834" s="15"/>
      <c r="AZ834" s="18"/>
      <c r="BA834" s="18"/>
      <c r="BB834" s="19">
        <v>0</v>
      </c>
      <c r="BC834" s="19">
        <v>0</v>
      </c>
      <c r="BD834" s="19">
        <v>0</v>
      </c>
      <c r="BE834" s="19">
        <v>0</v>
      </c>
      <c r="BF834" s="19">
        <v>0</v>
      </c>
      <c r="BG834" s="19">
        <v>0</v>
      </c>
      <c r="BH834" s="19">
        <v>0</v>
      </c>
      <c r="BI834" s="19">
        <v>0</v>
      </c>
      <c r="BJ834" s="19">
        <v>0</v>
      </c>
      <c r="BK834" s="18"/>
      <c r="BL834" s="18"/>
      <c r="BM834" s="19">
        <v>0</v>
      </c>
      <c r="BN834" s="19">
        <v>0</v>
      </c>
      <c r="BO834" s="19">
        <v>0</v>
      </c>
      <c r="BP834" s="19">
        <v>0</v>
      </c>
      <c r="BQ834" s="19">
        <v>0</v>
      </c>
      <c r="BR834" s="19">
        <v>0</v>
      </c>
      <c r="BS834" s="19">
        <v>0</v>
      </c>
      <c r="BT834" s="19">
        <v>0</v>
      </c>
      <c r="BU834" s="19">
        <v>0</v>
      </c>
    </row>
    <row r="835" spans="3:73" x14ac:dyDescent="0.45">
      <c r="C835" t="s">
        <v>328</v>
      </c>
      <c r="D835" t="s">
        <v>326</v>
      </c>
      <c r="E835" t="s">
        <v>315</v>
      </c>
      <c r="J835" s="7"/>
      <c r="K835" s="7"/>
      <c r="L835" s="7">
        <v>22</v>
      </c>
      <c r="M835" s="7"/>
      <c r="N835" s="7"/>
      <c r="O835" s="7"/>
      <c r="P835" s="7"/>
      <c r="Q835" s="7"/>
      <c r="R835" s="7">
        <v>22</v>
      </c>
      <c r="S835" s="7"/>
      <c r="T835" s="7"/>
      <c r="U835" s="7"/>
      <c r="V835" s="7"/>
      <c r="AR835" s="15" t="s">
        <v>328</v>
      </c>
      <c r="AS835" s="15" t="s">
        <v>369</v>
      </c>
      <c r="AT835" s="15"/>
      <c r="AU835" s="15"/>
      <c r="AV835" s="15" t="s">
        <v>449</v>
      </c>
      <c r="AW835" s="15"/>
      <c r="AX835" s="15"/>
      <c r="AY835" s="15"/>
      <c r="AZ835" s="18"/>
      <c r="BA835" s="18"/>
      <c r="BB835" s="19">
        <v>0</v>
      </c>
      <c r="BC835" s="19">
        <v>0</v>
      </c>
      <c r="BD835" s="19">
        <v>0</v>
      </c>
      <c r="BE835" s="19">
        <v>0</v>
      </c>
      <c r="BF835" s="19">
        <v>0</v>
      </c>
      <c r="BG835" s="19">
        <v>0</v>
      </c>
      <c r="BH835" s="19">
        <v>0</v>
      </c>
      <c r="BI835" s="19">
        <v>0</v>
      </c>
      <c r="BJ835" s="19">
        <v>0</v>
      </c>
      <c r="BK835" s="18"/>
      <c r="BL835" s="18"/>
      <c r="BM835" s="19">
        <v>0</v>
      </c>
      <c r="BN835" s="19">
        <v>0</v>
      </c>
      <c r="BO835" s="19">
        <v>0</v>
      </c>
      <c r="BP835" s="19">
        <v>0</v>
      </c>
      <c r="BQ835" s="19">
        <v>0</v>
      </c>
      <c r="BR835" s="19">
        <v>0</v>
      </c>
      <c r="BS835" s="19">
        <v>0</v>
      </c>
      <c r="BT835" s="19">
        <v>0</v>
      </c>
      <c r="BU835" s="19">
        <v>0</v>
      </c>
    </row>
    <row r="836" spans="3:73" x14ac:dyDescent="0.45">
      <c r="C836" t="s">
        <v>328</v>
      </c>
      <c r="D836" t="s">
        <v>326</v>
      </c>
      <c r="E836" t="s">
        <v>316</v>
      </c>
      <c r="J836" s="7"/>
      <c r="K836" s="7"/>
      <c r="L836" s="7">
        <v>22</v>
      </c>
      <c r="M836" s="7"/>
      <c r="N836" s="7"/>
      <c r="O836" s="7"/>
      <c r="P836" s="7"/>
      <c r="Q836" s="7"/>
      <c r="R836" s="7">
        <v>22</v>
      </c>
      <c r="S836" s="7"/>
      <c r="T836" s="7"/>
      <c r="U836" s="7"/>
      <c r="V836" s="7"/>
      <c r="AR836" s="15" t="s">
        <v>328</v>
      </c>
      <c r="AS836" s="15" t="s">
        <v>369</v>
      </c>
      <c r="AT836" s="15"/>
      <c r="AU836" s="15"/>
      <c r="AV836" s="15" t="s">
        <v>450</v>
      </c>
      <c r="AW836" s="15"/>
      <c r="AX836" s="15"/>
      <c r="AY836" s="15"/>
      <c r="AZ836" s="18"/>
      <c r="BA836" s="18"/>
      <c r="BB836" s="19">
        <v>0</v>
      </c>
      <c r="BC836" s="19">
        <v>0</v>
      </c>
      <c r="BD836" s="19">
        <v>0</v>
      </c>
      <c r="BE836" s="19">
        <v>0</v>
      </c>
      <c r="BF836" s="19">
        <v>0</v>
      </c>
      <c r="BG836" s="19">
        <v>0</v>
      </c>
      <c r="BH836" s="19">
        <v>0</v>
      </c>
      <c r="BI836" s="19">
        <v>0</v>
      </c>
      <c r="BJ836" s="19">
        <v>0</v>
      </c>
      <c r="BK836" s="18"/>
      <c r="BL836" s="18"/>
      <c r="BM836" s="19">
        <v>0</v>
      </c>
      <c r="BN836" s="19">
        <v>0</v>
      </c>
      <c r="BO836" s="19">
        <v>0</v>
      </c>
      <c r="BP836" s="19">
        <v>0</v>
      </c>
      <c r="BQ836" s="19">
        <v>0</v>
      </c>
      <c r="BR836" s="19">
        <v>0</v>
      </c>
      <c r="BS836" s="19">
        <v>0</v>
      </c>
      <c r="BT836" s="19">
        <v>0</v>
      </c>
      <c r="BU836" s="19">
        <v>0</v>
      </c>
    </row>
    <row r="837" spans="3:73" x14ac:dyDescent="0.45">
      <c r="C837" t="s">
        <v>328</v>
      </c>
      <c r="D837" t="s">
        <v>326</v>
      </c>
      <c r="E837" t="s">
        <v>317</v>
      </c>
      <c r="J837" s="7"/>
      <c r="K837" s="7"/>
      <c r="L837" s="7">
        <v>22</v>
      </c>
      <c r="M837" s="7"/>
      <c r="N837" s="7"/>
      <c r="O837" s="7"/>
      <c r="P837" s="7"/>
      <c r="Q837" s="7"/>
      <c r="R837" s="7">
        <v>22</v>
      </c>
      <c r="S837" s="7"/>
      <c r="T837" s="7"/>
      <c r="U837" s="7"/>
      <c r="V837" s="7"/>
      <c r="AR837" s="15" t="s">
        <v>328</v>
      </c>
      <c r="AS837" s="15" t="s">
        <v>369</v>
      </c>
      <c r="AT837" s="15"/>
      <c r="AU837" s="15"/>
      <c r="AV837" s="15" t="s">
        <v>451</v>
      </c>
      <c r="AW837" s="15"/>
      <c r="AX837" s="15"/>
      <c r="AY837" s="15"/>
      <c r="AZ837" s="18"/>
      <c r="BA837" s="18"/>
      <c r="BB837" s="19">
        <v>0.35688399999999998</v>
      </c>
      <c r="BC837" s="19">
        <v>0.36769800000000002</v>
      </c>
      <c r="BD837" s="19">
        <v>0.37884000000000001</v>
      </c>
      <c r="BE837" s="19">
        <v>0.40796900000000003</v>
      </c>
      <c r="BF837" s="19">
        <v>0.43933800000000001</v>
      </c>
      <c r="BG837" s="19">
        <v>0.48007699999999998</v>
      </c>
      <c r="BH837" s="19">
        <v>0.52459299999999998</v>
      </c>
      <c r="BI837" s="19">
        <v>0.573237</v>
      </c>
      <c r="BJ837" s="19">
        <v>0.62639100000000003</v>
      </c>
      <c r="BK837" s="18"/>
      <c r="BL837" s="18"/>
      <c r="BM837" s="19">
        <v>0.38964721240617001</v>
      </c>
      <c r="BN837" s="19">
        <v>0.43830668316423299</v>
      </c>
      <c r="BO837" s="19">
        <v>0.493023586570981</v>
      </c>
      <c r="BP837" s="19">
        <v>0.53093968621628296</v>
      </c>
      <c r="BQ837" s="19">
        <v>0.57174163820836399</v>
      </c>
      <c r="BR837" s="19">
        <v>0.58037062245318805</v>
      </c>
      <c r="BS837" s="19">
        <v>0.58911389788006296</v>
      </c>
      <c r="BT837" s="19">
        <v>0.59800003728450102</v>
      </c>
      <c r="BU837" s="19">
        <v>0.60702904066650198</v>
      </c>
    </row>
    <row r="838" spans="3:73" x14ac:dyDescent="0.45">
      <c r="C838" t="s">
        <v>328</v>
      </c>
      <c r="D838" t="s">
        <v>327</v>
      </c>
      <c r="E838" t="s">
        <v>251</v>
      </c>
      <c r="J838" s="7">
        <v>31.536000000000001</v>
      </c>
      <c r="K838" s="7"/>
      <c r="L838" s="7"/>
      <c r="M838" s="7"/>
      <c r="N838" s="7"/>
      <c r="O838" s="7"/>
      <c r="P838" s="7"/>
      <c r="Q838" s="7">
        <v>31.536000000000001</v>
      </c>
      <c r="R838" s="7"/>
      <c r="S838" s="7"/>
      <c r="T838" s="7"/>
      <c r="U838" s="7"/>
      <c r="V838" s="7"/>
      <c r="AR838" s="15" t="s">
        <v>328</v>
      </c>
      <c r="AS838" s="15" t="s">
        <v>369</v>
      </c>
      <c r="AT838" s="15"/>
      <c r="AU838" s="15"/>
      <c r="AV838" s="15" t="s">
        <v>452</v>
      </c>
      <c r="AW838" s="15"/>
      <c r="AX838" s="15"/>
      <c r="AY838" s="15"/>
      <c r="AZ838" s="18"/>
      <c r="BA838" s="18"/>
      <c r="BB838" s="19">
        <v>0.15939999999999999</v>
      </c>
      <c r="BC838" s="19">
        <v>0.16420000000000001</v>
      </c>
      <c r="BD838" s="19">
        <v>0.16919999999999999</v>
      </c>
      <c r="BE838" s="19">
        <v>0.1822</v>
      </c>
      <c r="BF838" s="19">
        <v>0.19620000000000001</v>
      </c>
      <c r="BG838" s="19">
        <v>0.21440000000000001</v>
      </c>
      <c r="BH838" s="19">
        <v>0.23430000000000001</v>
      </c>
      <c r="BI838" s="19">
        <v>0.25600000000000001</v>
      </c>
      <c r="BJ838" s="19">
        <v>0.27979999999999999</v>
      </c>
      <c r="BK838" s="18"/>
      <c r="BL838" s="18"/>
      <c r="BM838" s="19">
        <v>0.17399999999999999</v>
      </c>
      <c r="BN838" s="19">
        <v>0.1958</v>
      </c>
      <c r="BO838" s="19">
        <v>0.22020000000000001</v>
      </c>
      <c r="BP838" s="19">
        <v>0.23710000000000001</v>
      </c>
      <c r="BQ838" s="19">
        <v>0.25540000000000002</v>
      </c>
      <c r="BR838" s="19">
        <v>0.25919999999999999</v>
      </c>
      <c r="BS838" s="19">
        <v>0.2631</v>
      </c>
      <c r="BT838" s="19">
        <v>0.2671</v>
      </c>
      <c r="BU838" s="19">
        <v>0.27110000000000001</v>
      </c>
    </row>
    <row r="839" spans="3:73" x14ac:dyDescent="0.45">
      <c r="C839" t="s">
        <v>328</v>
      </c>
      <c r="D839" t="s">
        <v>327</v>
      </c>
      <c r="E839" t="s">
        <v>253</v>
      </c>
      <c r="J839" s="7">
        <v>31.536000000000001</v>
      </c>
      <c r="K839" s="7"/>
      <c r="L839" s="7"/>
      <c r="M839" s="7"/>
      <c r="N839" s="7"/>
      <c r="O839" s="7"/>
      <c r="P839" s="7"/>
      <c r="Q839" s="7">
        <v>31.536000000000001</v>
      </c>
      <c r="R839" s="7"/>
      <c r="S839" s="7"/>
      <c r="T839" s="7"/>
      <c r="U839" s="7"/>
      <c r="V839" s="7"/>
      <c r="AR839" s="15" t="s">
        <v>328</v>
      </c>
      <c r="AS839" s="15" t="s">
        <v>369</v>
      </c>
      <c r="AT839" s="15"/>
      <c r="AU839" s="15"/>
      <c r="AV839" s="15" t="s">
        <v>453</v>
      </c>
      <c r="AW839" s="15"/>
      <c r="AX839" s="15"/>
      <c r="AY839" s="15"/>
      <c r="AZ839" s="18"/>
      <c r="BA839" s="18"/>
      <c r="BB839" s="19">
        <v>6.5846770900000004E-2</v>
      </c>
      <c r="BC839" s="19">
        <v>6.5283598900000003E-2</v>
      </c>
      <c r="BD839" s="19">
        <v>6.4808207699999995E-2</v>
      </c>
      <c r="BE839" s="19">
        <v>6.4115611899999994E-2</v>
      </c>
      <c r="BF839" s="19">
        <v>6.3212751999999997E-2</v>
      </c>
      <c r="BG839" s="19">
        <v>6.2322649399999999E-2</v>
      </c>
      <c r="BH839" s="19">
        <v>6.1445039700000002E-2</v>
      </c>
      <c r="BI839" s="19">
        <v>6.0579790699999997E-2</v>
      </c>
      <c r="BJ839" s="19">
        <v>5.97267041E-2</v>
      </c>
      <c r="BK839" s="18"/>
      <c r="BL839" s="18"/>
      <c r="BM839" s="19">
        <v>6.5743192199999995E-2</v>
      </c>
      <c r="BN839" s="19">
        <v>6.6081492000000006E-2</v>
      </c>
      <c r="BO839" s="19">
        <v>6.4340417999999996E-2</v>
      </c>
      <c r="BP839" s="19">
        <v>6.2644953000000003E-2</v>
      </c>
      <c r="BQ839" s="19">
        <v>6.1758552000000001E-2</v>
      </c>
      <c r="BR839" s="19">
        <v>6.1644198999999997E-2</v>
      </c>
      <c r="BS839" s="19">
        <v>6.1530506999999998E-2</v>
      </c>
      <c r="BT839" s="19">
        <v>6.1417475999999999E-2</v>
      </c>
      <c r="BU839" s="19">
        <v>6.1303784E-2</v>
      </c>
    </row>
    <row r="840" spans="3:73" x14ac:dyDescent="0.45">
      <c r="C840" t="s">
        <v>328</v>
      </c>
      <c r="D840" t="s">
        <v>327</v>
      </c>
      <c r="E840" t="s">
        <v>254</v>
      </c>
      <c r="J840" s="7">
        <v>31.536000000000001</v>
      </c>
      <c r="K840" s="7"/>
      <c r="L840" s="7"/>
      <c r="M840" s="7"/>
      <c r="N840" s="7"/>
      <c r="O840" s="7"/>
      <c r="P840" s="7"/>
      <c r="Q840" s="7">
        <v>31.536000000000001</v>
      </c>
      <c r="R840" s="7"/>
      <c r="S840" s="7"/>
      <c r="T840" s="7"/>
      <c r="U840" s="7"/>
      <c r="V840" s="7"/>
      <c r="AR840" s="15" t="s">
        <v>328</v>
      </c>
      <c r="AS840" s="15" t="s">
        <v>369</v>
      </c>
      <c r="AT840" s="15"/>
      <c r="AU840" s="15"/>
      <c r="AV840" s="15" t="s">
        <v>454</v>
      </c>
      <c r="AW840" s="15"/>
      <c r="AX840" s="15"/>
      <c r="AY840" s="15"/>
      <c r="AZ840" s="18"/>
      <c r="BA840" s="18"/>
      <c r="BB840" s="19">
        <v>4.9111131699999998E-2</v>
      </c>
      <c r="BC840" s="19">
        <v>4.8691095699999999E-2</v>
      </c>
      <c r="BD840" s="19">
        <v>4.8336530099999997E-2</v>
      </c>
      <c r="BE840" s="19">
        <v>4.7819964700000002E-2</v>
      </c>
      <c r="BF840" s="19">
        <v>4.7146576000000003E-2</v>
      </c>
      <c r="BG840" s="19">
        <v>4.6482702200000003E-2</v>
      </c>
      <c r="BH840" s="19">
        <v>4.5828146100000001E-2</v>
      </c>
      <c r="BI840" s="19">
        <v>4.5182809099999999E-2</v>
      </c>
      <c r="BJ840" s="19">
        <v>4.4546543299999998E-2</v>
      </c>
      <c r="BK840" s="18"/>
      <c r="BL840" s="18"/>
      <c r="BM840" s="19">
        <v>4.9033878599999997E-2</v>
      </c>
      <c r="BN840" s="19">
        <v>4.9286195999999997E-2</v>
      </c>
      <c r="BO840" s="19">
        <v>4.7987634000000001E-2</v>
      </c>
      <c r="BP840" s="19">
        <v>4.6723089000000002E-2</v>
      </c>
      <c r="BQ840" s="19">
        <v>4.6061975999999998E-2</v>
      </c>
      <c r="BR840" s="19">
        <v>4.5976687000000002E-2</v>
      </c>
      <c r="BS840" s="19">
        <v>4.5891890999999997E-2</v>
      </c>
      <c r="BT840" s="19">
        <v>4.5807588000000003E-2</v>
      </c>
      <c r="BU840" s="19">
        <v>4.5722791999999998E-2</v>
      </c>
    </row>
    <row r="841" spans="3:73" x14ac:dyDescent="0.45">
      <c r="C841" t="s">
        <v>328</v>
      </c>
      <c r="D841" t="s">
        <v>327</v>
      </c>
      <c r="E841" t="s">
        <v>255</v>
      </c>
      <c r="J841" s="7">
        <v>1</v>
      </c>
      <c r="K841" s="7"/>
      <c r="L841" s="7"/>
      <c r="M841" s="7"/>
      <c r="N841" s="7"/>
      <c r="O841" s="7"/>
      <c r="P841" s="7"/>
      <c r="Q841" s="7">
        <v>1</v>
      </c>
      <c r="R841" s="7"/>
      <c r="S841" s="7"/>
      <c r="T841" s="7"/>
      <c r="U841" s="7"/>
      <c r="V841" s="7"/>
      <c r="AR841" s="15" t="s">
        <v>328</v>
      </c>
      <c r="AS841" s="15" t="s">
        <v>369</v>
      </c>
      <c r="AT841" s="15"/>
      <c r="AU841" s="15"/>
      <c r="AV841" s="15" t="s">
        <v>455</v>
      </c>
      <c r="AW841" s="15"/>
      <c r="AX841" s="15"/>
      <c r="AY841" s="15"/>
      <c r="AZ841" s="18"/>
      <c r="BA841" s="18"/>
      <c r="BB841" s="19">
        <v>2.7370739444000001</v>
      </c>
      <c r="BC841" s="19">
        <v>2.7136643924000001</v>
      </c>
      <c r="BD841" s="19">
        <v>2.6939036532</v>
      </c>
      <c r="BE841" s="19">
        <v>2.6651143004</v>
      </c>
      <c r="BF841" s="19">
        <v>2.6275848320000001</v>
      </c>
      <c r="BG841" s="19">
        <v>2.5905856504</v>
      </c>
      <c r="BH841" s="19">
        <v>2.5541057652000001</v>
      </c>
      <c r="BI841" s="19">
        <v>2.5181396812000001</v>
      </c>
      <c r="BJ841" s="19">
        <v>2.4826791556000001</v>
      </c>
      <c r="BK841" s="18"/>
      <c r="BL841" s="18"/>
      <c r="BM841" s="19">
        <v>2.7327684552</v>
      </c>
      <c r="BN841" s="19">
        <v>2.7468306720000002</v>
      </c>
      <c r="BO841" s="19">
        <v>2.6744588880000002</v>
      </c>
      <c r="BP841" s="19">
        <v>2.6039829480000001</v>
      </c>
      <c r="BQ841" s="19">
        <v>2.5671376320000001</v>
      </c>
      <c r="BR841" s="19">
        <v>2.5623842840000002</v>
      </c>
      <c r="BS841" s="19">
        <v>2.5576584119999999</v>
      </c>
      <c r="BT841" s="19">
        <v>2.5529600160000001</v>
      </c>
      <c r="BU841" s="19">
        <v>2.5482341439999998</v>
      </c>
    </row>
    <row r="842" spans="3:73" x14ac:dyDescent="0.45">
      <c r="C842" t="s">
        <v>328</v>
      </c>
      <c r="D842" t="s">
        <v>327</v>
      </c>
      <c r="E842" t="s">
        <v>256</v>
      </c>
      <c r="J842" s="7">
        <v>1</v>
      </c>
      <c r="K842" s="7"/>
      <c r="L842" s="7"/>
      <c r="M842" s="7"/>
      <c r="N842" s="7"/>
      <c r="O842" s="7"/>
      <c r="P842" s="7"/>
      <c r="Q842" s="7">
        <v>1</v>
      </c>
      <c r="R842" s="7"/>
      <c r="S842" s="7"/>
      <c r="T842" s="7"/>
      <c r="U842" s="7"/>
      <c r="V842" s="7"/>
      <c r="AR842" s="15" t="s">
        <v>328</v>
      </c>
      <c r="AS842" s="15" t="s">
        <v>369</v>
      </c>
      <c r="AT842" s="15"/>
      <c r="AU842" s="15"/>
      <c r="AV842" s="15" t="s">
        <v>456</v>
      </c>
      <c r="AW842" s="15"/>
      <c r="AX842" s="15"/>
      <c r="AY842" s="15"/>
      <c r="AZ842" s="18"/>
      <c r="BA842" s="18"/>
      <c r="BB842" s="19">
        <v>15.108695989199999</v>
      </c>
      <c r="BC842" s="19">
        <v>14.979474853199999</v>
      </c>
      <c r="BD842" s="19">
        <v>14.8703952276</v>
      </c>
      <c r="BE842" s="19">
        <v>14.711477497200001</v>
      </c>
      <c r="BF842" s="19">
        <v>14.504314175999999</v>
      </c>
      <c r="BG842" s="19">
        <v>14.3000780472</v>
      </c>
      <c r="BH842" s="19">
        <v>14.0987084436</v>
      </c>
      <c r="BI842" s="19">
        <v>13.9001750316</v>
      </c>
      <c r="BJ842" s="19">
        <v>13.7044323108</v>
      </c>
      <c r="BK842" s="18"/>
      <c r="BL842" s="18"/>
      <c r="BM842" s="19">
        <v>15.0849296136</v>
      </c>
      <c r="BN842" s="19">
        <v>15.162553296</v>
      </c>
      <c r="BO842" s="19">
        <v>14.763059783999999</v>
      </c>
      <c r="BP842" s="19">
        <v>14.374031364</v>
      </c>
      <c r="BQ842" s="19">
        <v>14.170644576000001</v>
      </c>
      <c r="BR842" s="19">
        <v>14.144406011999999</v>
      </c>
      <c r="BS842" s="19">
        <v>14.118319116</v>
      </c>
      <c r="BT842" s="19">
        <v>14.092383888000001</v>
      </c>
      <c r="BU842" s="19">
        <v>14.066296992</v>
      </c>
    </row>
    <row r="843" spans="3:73" x14ac:dyDescent="0.45">
      <c r="C843" t="s">
        <v>328</v>
      </c>
      <c r="D843" t="s">
        <v>327</v>
      </c>
      <c r="E843" t="s">
        <v>257</v>
      </c>
      <c r="J843" s="7">
        <v>1</v>
      </c>
      <c r="K843" s="7"/>
      <c r="L843" s="7"/>
      <c r="M843" s="7"/>
      <c r="N843" s="7"/>
      <c r="O843" s="7"/>
      <c r="P843" s="7"/>
      <c r="Q843" s="7">
        <v>1</v>
      </c>
      <c r="R843" s="7"/>
      <c r="S843" s="7"/>
      <c r="T843" s="7"/>
      <c r="U843" s="7"/>
      <c r="V843" s="7"/>
      <c r="AR843" s="15" t="s">
        <v>328</v>
      </c>
      <c r="AS843" s="15" t="s">
        <v>369</v>
      </c>
      <c r="AT843" s="15"/>
      <c r="AU843" s="15"/>
      <c r="AV843" s="15" t="s">
        <v>457</v>
      </c>
      <c r="AW843" s="15"/>
      <c r="AX843" s="15"/>
      <c r="AY843" s="15"/>
      <c r="AZ843" s="18"/>
      <c r="BA843" s="18"/>
      <c r="BB843" s="19">
        <v>0.73188536429999995</v>
      </c>
      <c r="BC843" s="19">
        <v>0.72562572030000005</v>
      </c>
      <c r="BD843" s="19">
        <v>0.72034175789999999</v>
      </c>
      <c r="BE843" s="19">
        <v>0.7126435713</v>
      </c>
      <c r="BF843" s="19">
        <v>0.70260830399999996</v>
      </c>
      <c r="BG843" s="19">
        <v>0.69271483379999998</v>
      </c>
      <c r="BH843" s="19">
        <v>0.68296022190000005</v>
      </c>
      <c r="BI843" s="19">
        <v>0.67334299890000004</v>
      </c>
      <c r="BJ843" s="19">
        <v>0.6638609607</v>
      </c>
      <c r="BK843" s="18"/>
      <c r="BL843" s="18"/>
      <c r="BM843" s="19">
        <v>0.73073408939999995</v>
      </c>
      <c r="BN843" s="19">
        <v>0.73449428400000005</v>
      </c>
      <c r="BO843" s="19">
        <v>0.71514228599999996</v>
      </c>
      <c r="BP843" s="19">
        <v>0.69629723099999996</v>
      </c>
      <c r="BQ843" s="19">
        <v>0.68644490400000002</v>
      </c>
      <c r="BR843" s="19">
        <v>0.68517387299999999</v>
      </c>
      <c r="BS843" s="19">
        <v>0.683910189</v>
      </c>
      <c r="BT843" s="19">
        <v>0.68265385199999995</v>
      </c>
      <c r="BU843" s="19">
        <v>0.68139016799999996</v>
      </c>
    </row>
    <row r="844" spans="3:73" x14ac:dyDescent="0.45">
      <c r="C844" t="s">
        <v>328</v>
      </c>
      <c r="D844" t="s">
        <v>327</v>
      </c>
      <c r="E844" t="s">
        <v>258</v>
      </c>
      <c r="J844" s="7">
        <v>1</v>
      </c>
      <c r="K844" s="7"/>
      <c r="L844" s="7"/>
      <c r="M844" s="7"/>
      <c r="N844" s="7"/>
      <c r="O844" s="7"/>
      <c r="P844" s="7"/>
      <c r="Q844" s="7">
        <v>1</v>
      </c>
      <c r="R844" s="7"/>
      <c r="S844" s="7"/>
      <c r="T844" s="7"/>
      <c r="U844" s="7"/>
      <c r="V844" s="7"/>
      <c r="AR844" s="15" t="s">
        <v>328</v>
      </c>
      <c r="AS844" s="15" t="s">
        <v>369</v>
      </c>
      <c r="AT844" s="15"/>
      <c r="AU844" s="15"/>
      <c r="AV844" s="15" t="s">
        <v>458</v>
      </c>
      <c r="AW844" s="15"/>
      <c r="AX844" s="15"/>
      <c r="AY844" s="15"/>
      <c r="AZ844" s="18"/>
      <c r="BA844" s="18"/>
      <c r="BB844" s="19">
        <v>0.2879924579</v>
      </c>
      <c r="BC844" s="19">
        <v>0.28552932590000002</v>
      </c>
      <c r="BD844" s="19">
        <v>0.28345011869999998</v>
      </c>
      <c r="BE844" s="19">
        <v>0.28042092889999998</v>
      </c>
      <c r="BF844" s="19">
        <v>0.27647211199999999</v>
      </c>
      <c r="BG844" s="19">
        <v>0.27257909139999997</v>
      </c>
      <c r="BH844" s="19">
        <v>0.2687407107</v>
      </c>
      <c r="BI844" s="19">
        <v>0.26495639170000002</v>
      </c>
      <c r="BJ844" s="19">
        <v>0.26122526709999999</v>
      </c>
      <c r="BK844" s="18"/>
      <c r="BL844" s="18"/>
      <c r="BM844" s="19">
        <v>0.2875394382</v>
      </c>
      <c r="BN844" s="19">
        <v>0.289019052</v>
      </c>
      <c r="BO844" s="19">
        <v>0.28140415800000002</v>
      </c>
      <c r="BP844" s="19">
        <v>0.27398874299999998</v>
      </c>
      <c r="BQ844" s="19">
        <v>0.27011191200000001</v>
      </c>
      <c r="BR844" s="19">
        <v>0.269611769</v>
      </c>
      <c r="BS844" s="19">
        <v>0.269114517</v>
      </c>
      <c r="BT844" s="19">
        <v>0.268620156</v>
      </c>
      <c r="BU844" s="19">
        <v>0.268122904</v>
      </c>
    </row>
    <row r="845" spans="3:73" x14ac:dyDescent="0.45">
      <c r="C845" t="s">
        <v>328</v>
      </c>
      <c r="D845" t="s">
        <v>327</v>
      </c>
      <c r="E845" t="s">
        <v>259</v>
      </c>
      <c r="J845" s="7">
        <v>1</v>
      </c>
      <c r="K845" s="7"/>
      <c r="L845" s="7"/>
      <c r="M845" s="7"/>
      <c r="N845" s="7"/>
      <c r="O845" s="7"/>
      <c r="P845" s="7"/>
      <c r="Q845" s="7">
        <v>1</v>
      </c>
      <c r="R845" s="7"/>
      <c r="S845" s="7"/>
      <c r="T845" s="7"/>
      <c r="U845" s="7"/>
      <c r="V845" s="7"/>
      <c r="AR845" s="15" t="s">
        <v>328</v>
      </c>
      <c r="AS845" s="15" t="s">
        <v>369</v>
      </c>
      <c r="AT845" s="15"/>
      <c r="AU845" s="15"/>
      <c r="AV845" s="15" t="s">
        <v>459</v>
      </c>
      <c r="AW845" s="15"/>
      <c r="AX845" s="15"/>
      <c r="AY845" s="15"/>
      <c r="AZ845" s="18"/>
      <c r="BA845" s="18"/>
      <c r="BB845" s="19">
        <v>0.19365525359999999</v>
      </c>
      <c r="BC845" s="19">
        <v>0.19199896559999999</v>
      </c>
      <c r="BD845" s="19">
        <v>0.1906008408</v>
      </c>
      <c r="BE845" s="19">
        <v>0.18856391759999999</v>
      </c>
      <c r="BF845" s="19">
        <v>0.185908608</v>
      </c>
      <c r="BG845" s="19">
        <v>0.18329081759999999</v>
      </c>
      <c r="BH845" s="19">
        <v>0.1807097688</v>
      </c>
      <c r="BI845" s="19">
        <v>0.17816507279999999</v>
      </c>
      <c r="BJ845" s="19">
        <v>0.17565614639999999</v>
      </c>
      <c r="BK845" s="18"/>
      <c r="BL845" s="18"/>
      <c r="BM845" s="19">
        <v>0.19335062880000001</v>
      </c>
      <c r="BN845" s="19">
        <v>0.194345568</v>
      </c>
      <c r="BO845" s="19">
        <v>0.18922507199999999</v>
      </c>
      <c r="BP845" s="19">
        <v>0.184238712</v>
      </c>
      <c r="BQ845" s="19">
        <v>0.18163180800000001</v>
      </c>
      <c r="BR845" s="19">
        <v>0.181295496</v>
      </c>
      <c r="BS845" s="19">
        <v>0.180961128</v>
      </c>
      <c r="BT845" s="19">
        <v>0.180628704</v>
      </c>
      <c r="BU845" s="19">
        <v>0.180294336</v>
      </c>
    </row>
    <row r="846" spans="3:73" x14ac:dyDescent="0.45">
      <c r="C846" t="s">
        <v>328</v>
      </c>
      <c r="D846" t="s">
        <v>327</v>
      </c>
      <c r="E846" t="s">
        <v>260</v>
      </c>
      <c r="J846" s="7">
        <v>1</v>
      </c>
      <c r="K846" s="7"/>
      <c r="L846" s="7"/>
      <c r="M846" s="7"/>
      <c r="N846" s="7"/>
      <c r="O846" s="7"/>
      <c r="P846" s="7"/>
      <c r="Q846" s="7">
        <v>1</v>
      </c>
      <c r="R846" s="7"/>
      <c r="S846" s="7"/>
      <c r="T846" s="7"/>
      <c r="U846" s="7"/>
      <c r="V846" s="7"/>
      <c r="AR846" s="15" t="s">
        <v>328</v>
      </c>
      <c r="AS846" s="15" t="s">
        <v>369</v>
      </c>
      <c r="AT846" s="15"/>
      <c r="AU846" s="15"/>
      <c r="AV846" s="15" t="s">
        <v>460</v>
      </c>
      <c r="AW846" s="15"/>
      <c r="AX846" s="15"/>
      <c r="AY846" s="15"/>
      <c r="AZ846" s="18"/>
      <c r="BA846" s="18"/>
      <c r="BB846" s="19">
        <v>0.59192361979999997</v>
      </c>
      <c r="BC846" s="19">
        <v>0.58686103580000004</v>
      </c>
      <c r="BD846" s="19">
        <v>0.58258754940000002</v>
      </c>
      <c r="BE846" s="19">
        <v>0.5763615218</v>
      </c>
      <c r="BF846" s="19">
        <v>0.56824534400000004</v>
      </c>
      <c r="BG846" s="19">
        <v>0.56024384679999994</v>
      </c>
      <c r="BH846" s="19">
        <v>0.55235465340000001</v>
      </c>
      <c r="BI846" s="19">
        <v>0.54457657540000004</v>
      </c>
      <c r="BJ846" s="19">
        <v>0.53690783019999999</v>
      </c>
      <c r="BK846" s="18"/>
      <c r="BL846" s="18"/>
      <c r="BM846" s="19">
        <v>0.59099250839999995</v>
      </c>
      <c r="BN846" s="19">
        <v>0.59403362400000004</v>
      </c>
      <c r="BO846" s="19">
        <v>0.57838239599999997</v>
      </c>
      <c r="BP846" s="19">
        <v>0.56314116599999997</v>
      </c>
      <c r="BQ846" s="19">
        <v>0.55517294399999995</v>
      </c>
      <c r="BR846" s="19">
        <v>0.55414497799999995</v>
      </c>
      <c r="BS846" s="19">
        <v>0.553122954</v>
      </c>
      <c r="BT846" s="19">
        <v>0.55210687199999997</v>
      </c>
      <c r="BU846" s="19">
        <v>0.55108484800000002</v>
      </c>
    </row>
    <row r="847" spans="3:73" x14ac:dyDescent="0.45">
      <c r="C847" t="s">
        <v>328</v>
      </c>
      <c r="D847" t="s">
        <v>327</v>
      </c>
      <c r="E847" t="s">
        <v>261</v>
      </c>
      <c r="J847" s="7">
        <v>1</v>
      </c>
      <c r="K847" s="7"/>
      <c r="L847" s="7"/>
      <c r="M847" s="7"/>
      <c r="N847" s="7"/>
      <c r="O847" s="7"/>
      <c r="P847" s="7"/>
      <c r="Q847" s="7">
        <v>1</v>
      </c>
      <c r="R847" s="7"/>
      <c r="S847" s="7"/>
      <c r="T847" s="7"/>
      <c r="U847" s="7"/>
      <c r="V847" s="7"/>
      <c r="AR847" s="15" t="s">
        <v>328</v>
      </c>
      <c r="AS847" s="15" t="s">
        <v>369</v>
      </c>
      <c r="AT847" s="15"/>
      <c r="AU847" s="15"/>
      <c r="AV847" s="15" t="s">
        <v>461</v>
      </c>
      <c r="AW847" s="15"/>
      <c r="AX847" s="15"/>
      <c r="AY847" s="15"/>
      <c r="AZ847" s="18"/>
      <c r="BA847" s="18"/>
      <c r="BB847" s="19">
        <v>0.60855964210000002</v>
      </c>
      <c r="BC847" s="19">
        <v>0.60335477410000005</v>
      </c>
      <c r="BD847" s="19">
        <v>0.59896118129999998</v>
      </c>
      <c r="BE847" s="19">
        <v>0.59256017110000003</v>
      </c>
      <c r="BF847" s="19">
        <v>0.58421588800000002</v>
      </c>
      <c r="BG847" s="19">
        <v>0.57598950859999998</v>
      </c>
      <c r="BH847" s="19">
        <v>0.56787858930000001</v>
      </c>
      <c r="BI847" s="19">
        <v>0.55988190829999995</v>
      </c>
      <c r="BJ847" s="19">
        <v>0.55199763290000003</v>
      </c>
      <c r="BK847" s="18"/>
      <c r="BL847" s="18"/>
      <c r="BM847" s="19">
        <v>0.60760236180000005</v>
      </c>
      <c r="BN847" s="19">
        <v>0.61072894799999999</v>
      </c>
      <c r="BO847" s="19">
        <v>0.59463784200000003</v>
      </c>
      <c r="BP847" s="19">
        <v>0.57896825699999999</v>
      </c>
      <c r="BQ847" s="19">
        <v>0.57077608800000001</v>
      </c>
      <c r="BR847" s="19">
        <v>0.56971923099999999</v>
      </c>
      <c r="BS847" s="19">
        <v>0.56866848299999995</v>
      </c>
      <c r="BT847" s="19">
        <v>0.56762384399999999</v>
      </c>
      <c r="BU847" s="19">
        <v>0.56657309600000005</v>
      </c>
    </row>
    <row r="848" spans="3:73" x14ac:dyDescent="0.45">
      <c r="C848" t="s">
        <v>328</v>
      </c>
      <c r="D848" t="s">
        <v>327</v>
      </c>
      <c r="E848" t="s">
        <v>262</v>
      </c>
      <c r="J848" s="7">
        <v>1</v>
      </c>
      <c r="K848" s="7"/>
      <c r="L848" s="7"/>
      <c r="M848" s="7"/>
      <c r="N848" s="7"/>
      <c r="O848" s="7"/>
      <c r="P848" s="7"/>
      <c r="Q848" s="7">
        <v>1</v>
      </c>
      <c r="R848" s="7"/>
      <c r="S848" s="7"/>
      <c r="T848" s="7"/>
      <c r="U848" s="7"/>
      <c r="V848" s="7"/>
      <c r="AR848" s="15" t="s">
        <v>328</v>
      </c>
      <c r="AS848" s="15" t="s">
        <v>369</v>
      </c>
      <c r="AT848" s="15"/>
      <c r="AU848" s="15"/>
      <c r="AV848" s="15" t="s">
        <v>462</v>
      </c>
      <c r="AW848" s="15"/>
      <c r="AX848" s="15"/>
      <c r="AY848" s="15"/>
      <c r="AZ848" s="18"/>
      <c r="BA848" s="18"/>
      <c r="BB848" s="19">
        <v>0.232107377</v>
      </c>
      <c r="BC848" s="19">
        <v>0.23012221699999999</v>
      </c>
      <c r="BD848" s="19">
        <v>0.22844648100000001</v>
      </c>
      <c r="BE848" s="19">
        <v>0.22600510700000001</v>
      </c>
      <c r="BF848" s="19">
        <v>0.22282256</v>
      </c>
      <c r="BG848" s="19">
        <v>0.219684982</v>
      </c>
      <c r="BH848" s="19">
        <v>0.216591441</v>
      </c>
      <c r="BI848" s="19">
        <v>0.21354147100000001</v>
      </c>
      <c r="BJ848" s="19">
        <v>0.210534373</v>
      </c>
      <c r="BK848" s="18"/>
      <c r="BL848" s="18"/>
      <c r="BM848" s="19">
        <v>0.231742266</v>
      </c>
      <c r="BN848" s="19">
        <v>0.23293475999999999</v>
      </c>
      <c r="BO848" s="19">
        <v>0.22679753999999999</v>
      </c>
      <c r="BP848" s="19">
        <v>0.22082109</v>
      </c>
      <c r="BQ848" s="19">
        <v>0.21769656000000001</v>
      </c>
      <c r="BR848" s="19">
        <v>0.21729346999999999</v>
      </c>
      <c r="BS848" s="19">
        <v>0.21689270999999999</v>
      </c>
      <c r="BT848" s="19">
        <v>0.21649428000000001</v>
      </c>
      <c r="BU848" s="19">
        <v>0.21609352000000001</v>
      </c>
    </row>
    <row r="849" spans="3:73" x14ac:dyDescent="0.45">
      <c r="C849" t="s">
        <v>328</v>
      </c>
      <c r="D849" t="s">
        <v>327</v>
      </c>
      <c r="E849" t="s">
        <v>263</v>
      </c>
      <c r="J849" s="7">
        <v>1</v>
      </c>
      <c r="K849" s="7"/>
      <c r="L849" s="7"/>
      <c r="M849" s="7"/>
      <c r="N849" s="7"/>
      <c r="O849" s="7"/>
      <c r="P849" s="7"/>
      <c r="Q849" s="7">
        <v>1</v>
      </c>
      <c r="R849" s="7"/>
      <c r="S849" s="7"/>
      <c r="T849" s="7"/>
      <c r="U849" s="7"/>
      <c r="V849" s="7"/>
      <c r="AR849" s="15" t="s">
        <v>328</v>
      </c>
      <c r="AS849" s="15" t="s">
        <v>369</v>
      </c>
      <c r="AT849" s="15"/>
      <c r="AU849" s="15"/>
      <c r="AV849" s="15" t="s">
        <v>463</v>
      </c>
      <c r="AW849" s="15"/>
      <c r="AX849" s="15"/>
      <c r="AY849" s="15"/>
      <c r="AZ849" s="18"/>
      <c r="BA849" s="18"/>
      <c r="BB849" s="19">
        <v>0.276934982</v>
      </c>
      <c r="BC849" s="19">
        <v>0.27456642199999998</v>
      </c>
      <c r="BD849" s="19">
        <v>0.27256704599999998</v>
      </c>
      <c r="BE849" s="19">
        <v>0.26965416199999998</v>
      </c>
      <c r="BF849" s="19">
        <v>0.26585695999999998</v>
      </c>
      <c r="BG849" s="19">
        <v>0.26211341199999999</v>
      </c>
      <c r="BH849" s="19">
        <v>0.25842240599999999</v>
      </c>
      <c r="BI849" s="19">
        <v>0.254783386</v>
      </c>
      <c r="BJ849" s="19">
        <v>0.25119551800000001</v>
      </c>
      <c r="BK849" s="18"/>
      <c r="BL849" s="18"/>
      <c r="BM849" s="19">
        <v>0.27649935599999997</v>
      </c>
      <c r="BN849" s="19">
        <v>0.27792215999999997</v>
      </c>
      <c r="BO849" s="19">
        <v>0.27059963999999997</v>
      </c>
      <c r="BP849" s="19">
        <v>0.26346893999999998</v>
      </c>
      <c r="BQ849" s="19">
        <v>0.25974096000000002</v>
      </c>
      <c r="BR849" s="19">
        <v>0.25926001999999998</v>
      </c>
      <c r="BS849" s="19">
        <v>0.25878185999999997</v>
      </c>
      <c r="BT849" s="19">
        <v>0.25830648</v>
      </c>
      <c r="BU849" s="19">
        <v>0.25782832</v>
      </c>
    </row>
    <row r="850" spans="3:73" x14ac:dyDescent="0.45">
      <c r="C850" t="s">
        <v>328</v>
      </c>
      <c r="D850" t="s">
        <v>327</v>
      </c>
      <c r="E850" t="s">
        <v>264</v>
      </c>
      <c r="J850" s="7">
        <v>1</v>
      </c>
      <c r="K850" s="7"/>
      <c r="L850" s="7"/>
      <c r="M850" s="7"/>
      <c r="N850" s="7"/>
      <c r="O850" s="7"/>
      <c r="P850" s="7"/>
      <c r="Q850" s="7">
        <v>1</v>
      </c>
      <c r="R850" s="7"/>
      <c r="S850" s="7"/>
      <c r="T850" s="7"/>
      <c r="U850" s="7"/>
      <c r="V850" s="7"/>
      <c r="AR850" s="15" t="s">
        <v>328</v>
      </c>
      <c r="AS850" s="15" t="s">
        <v>369</v>
      </c>
      <c r="AT850" s="15"/>
      <c r="AU850" s="15"/>
      <c r="AV850" s="15" t="s">
        <v>464</v>
      </c>
      <c r="AW850" s="15"/>
      <c r="AX850" s="15"/>
      <c r="AY850" s="15"/>
      <c r="AZ850" s="18"/>
      <c r="BA850" s="18"/>
      <c r="BB850" s="19">
        <v>0.1457038584</v>
      </c>
      <c r="BC850" s="19">
        <v>0.15462210016494701</v>
      </c>
      <c r="BD850" s="19">
        <v>0.16408620967184301</v>
      </c>
      <c r="BE850" s="19">
        <v>0.17670290088739199</v>
      </c>
      <c r="BF850" s="19">
        <v>0.19028969737593701</v>
      </c>
      <c r="BG850" s="19">
        <v>0.20793469014451499</v>
      </c>
      <c r="BH850" s="19">
        <v>0.227215850157546</v>
      </c>
      <c r="BI850" s="19">
        <v>0.248284894295105</v>
      </c>
      <c r="BJ850" s="19">
        <v>0.271307607688407</v>
      </c>
      <c r="BK850" s="18"/>
      <c r="BL850" s="18"/>
      <c r="BM850" s="19">
        <v>0.15444382719999999</v>
      </c>
      <c r="BN850" s="19">
        <v>0.174371</v>
      </c>
      <c r="BO850" s="19">
        <v>0.194966</v>
      </c>
      <c r="BP850" s="19">
        <v>0.21006900000000001</v>
      </c>
      <c r="BQ850" s="19">
        <v>0.226545</v>
      </c>
      <c r="BR850" s="19">
        <v>0.23341000000000001</v>
      </c>
      <c r="BS850" s="19">
        <v>0.24027499999999999</v>
      </c>
      <c r="BT850" s="19">
        <v>0.24851300000000001</v>
      </c>
      <c r="BU850" s="19">
        <v>0.25537799999999999</v>
      </c>
    </row>
    <row r="851" spans="3:73" x14ac:dyDescent="0.45">
      <c r="C851" t="s">
        <v>328</v>
      </c>
      <c r="D851" t="s">
        <v>327</v>
      </c>
      <c r="E851" t="s">
        <v>265</v>
      </c>
      <c r="J851" s="7">
        <v>1</v>
      </c>
      <c r="K851" s="7"/>
      <c r="L851" s="7"/>
      <c r="M851" s="7"/>
      <c r="N851" s="7"/>
      <c r="O851" s="7"/>
      <c r="P851" s="7"/>
      <c r="Q851" s="7">
        <v>1</v>
      </c>
      <c r="R851" s="7"/>
      <c r="S851" s="7"/>
      <c r="T851" s="7"/>
      <c r="U851" s="7"/>
      <c r="V851" s="7"/>
      <c r="AR851" s="15" t="s">
        <v>328</v>
      </c>
      <c r="AS851" s="15" t="s">
        <v>369</v>
      </c>
      <c r="AT851" s="15"/>
      <c r="AU851" s="15"/>
      <c r="AV851" s="15" t="s">
        <v>465</v>
      </c>
      <c r="AW851" s="15"/>
      <c r="AX851" s="15"/>
      <c r="AY851" s="15"/>
      <c r="AZ851" s="18"/>
      <c r="BA851" s="18"/>
      <c r="BB851" s="19">
        <v>2.13302808E-2</v>
      </c>
      <c r="BC851" s="19">
        <v>2.26358646272064E-2</v>
      </c>
      <c r="BD851" s="19">
        <v>2.4021360629308399E-2</v>
      </c>
      <c r="BE851" s="19">
        <v>2.5868378061446401E-2</v>
      </c>
      <c r="BF851" s="19">
        <v>2.7857413818327299E-2</v>
      </c>
      <c r="BG851" s="19">
        <v>3.04405482294593E-2</v>
      </c>
      <c r="BH851" s="19">
        <v>3.3263208945132398E-2</v>
      </c>
      <c r="BI851" s="19">
        <v>3.6347606520987598E-2</v>
      </c>
      <c r="BJ851" s="19">
        <v>3.9718011030859299E-2</v>
      </c>
      <c r="BK851" s="18"/>
      <c r="BL851" s="18"/>
      <c r="BM851" s="19">
        <v>2.2609766399999998E-2</v>
      </c>
      <c r="BN851" s="19">
        <v>2.5527000000000001E-2</v>
      </c>
      <c r="BO851" s="19">
        <v>2.8542000000000001E-2</v>
      </c>
      <c r="BP851" s="19">
        <v>3.0752999999999999E-2</v>
      </c>
      <c r="BQ851" s="19">
        <v>3.3165E-2</v>
      </c>
      <c r="BR851" s="19">
        <v>3.4169999999999999E-2</v>
      </c>
      <c r="BS851" s="19">
        <v>3.5174999999999998E-2</v>
      </c>
      <c r="BT851" s="19">
        <v>3.6380999999999997E-2</v>
      </c>
      <c r="BU851" s="19">
        <v>3.7386000000000003E-2</v>
      </c>
    </row>
    <row r="852" spans="3:73" x14ac:dyDescent="0.45">
      <c r="C852" t="s">
        <v>328</v>
      </c>
      <c r="D852" t="s">
        <v>327</v>
      </c>
      <c r="E852" t="s">
        <v>266</v>
      </c>
      <c r="J852" s="7">
        <v>31.536000000000001</v>
      </c>
      <c r="K852" s="7"/>
      <c r="L852" s="7"/>
      <c r="M852" s="7"/>
      <c r="N852" s="7"/>
      <c r="O852" s="7"/>
      <c r="P852" s="7"/>
      <c r="Q852" s="7">
        <v>31.536000000000001</v>
      </c>
      <c r="R852" s="7"/>
      <c r="S852" s="7"/>
      <c r="T852" s="7"/>
      <c r="U852" s="7"/>
      <c r="V852" s="7"/>
      <c r="AR852" s="15" t="s">
        <v>328</v>
      </c>
      <c r="AS852" s="15" t="s">
        <v>369</v>
      </c>
      <c r="AT852" s="15"/>
      <c r="AU852" s="15"/>
      <c r="AV852" s="15" t="s">
        <v>466</v>
      </c>
      <c r="AW852" s="15"/>
      <c r="AX852" s="15"/>
      <c r="AY852" s="15"/>
      <c r="AZ852" s="18"/>
      <c r="BA852" s="18"/>
      <c r="BB852" s="19">
        <v>8.0015083200000003E-2</v>
      </c>
      <c r="BC852" s="19">
        <v>8.4912646412505594E-2</v>
      </c>
      <c r="BD852" s="19">
        <v>9.0109979674122195E-2</v>
      </c>
      <c r="BE852" s="19">
        <v>9.7038592330002796E-2</v>
      </c>
      <c r="BF852" s="19">
        <v>0.104499950343377</v>
      </c>
      <c r="BG852" s="19">
        <v>0.114189917238867</v>
      </c>
      <c r="BH852" s="19">
        <v>0.12477840569467601</v>
      </c>
      <c r="BI852" s="19">
        <v>0.13634873291952601</v>
      </c>
      <c r="BJ852" s="19">
        <v>0.148991941876955</v>
      </c>
      <c r="BK852" s="18"/>
      <c r="BL852" s="18"/>
      <c r="BM852" s="19">
        <v>8.4814745600000005E-2</v>
      </c>
      <c r="BN852" s="19">
        <v>9.5757999999999996E-2</v>
      </c>
      <c r="BO852" s="19">
        <v>0.107068</v>
      </c>
      <c r="BP852" s="19">
        <v>0.11536200000000001</v>
      </c>
      <c r="BQ852" s="19">
        <v>0.12441000000000001</v>
      </c>
      <c r="BR852" s="19">
        <v>0.12817999999999999</v>
      </c>
      <c r="BS852" s="19">
        <v>0.13195000000000001</v>
      </c>
      <c r="BT852" s="19">
        <v>0.13647400000000001</v>
      </c>
      <c r="BU852" s="19">
        <v>0.14024400000000001</v>
      </c>
    </row>
    <row r="853" spans="3:73" x14ac:dyDescent="0.45">
      <c r="C853" t="s">
        <v>328</v>
      </c>
      <c r="D853" t="s">
        <v>327</v>
      </c>
      <c r="E853" t="s">
        <v>267</v>
      </c>
      <c r="J853" s="7">
        <v>31.536000000000001</v>
      </c>
      <c r="K853" s="7"/>
      <c r="L853" s="7"/>
      <c r="M853" s="7"/>
      <c r="N853" s="7"/>
      <c r="O853" s="7"/>
      <c r="P853" s="7"/>
      <c r="Q853" s="7">
        <v>31.536000000000001</v>
      </c>
      <c r="R853" s="7"/>
      <c r="S853" s="7"/>
      <c r="T853" s="7"/>
      <c r="U853" s="7"/>
      <c r="V853" s="7"/>
      <c r="AR853" s="15" t="s">
        <v>328</v>
      </c>
      <c r="AS853" s="15" t="s">
        <v>369</v>
      </c>
      <c r="AT853" s="15"/>
      <c r="AU853" s="15"/>
      <c r="AV853" s="15" t="s">
        <v>467</v>
      </c>
      <c r="AW853" s="15"/>
      <c r="AX853" s="15"/>
      <c r="AY853" s="15"/>
      <c r="AZ853" s="18"/>
      <c r="BA853" s="18"/>
      <c r="BB853" s="19">
        <v>0.36091684080000003</v>
      </c>
      <c r="BC853" s="19">
        <v>0.38300783879168598</v>
      </c>
      <c r="BD853" s="19">
        <v>0.40645098258844797</v>
      </c>
      <c r="BE853" s="19">
        <v>0.43770325267153798</v>
      </c>
      <c r="BF853" s="19">
        <v>0.47135852933398498</v>
      </c>
      <c r="BG853" s="19">
        <v>0.51506619168353796</v>
      </c>
      <c r="BH853" s="19">
        <v>0.56282673443977704</v>
      </c>
      <c r="BI853" s="19">
        <v>0.61501596904417399</v>
      </c>
      <c r="BJ853" s="19">
        <v>0.672044554805733</v>
      </c>
      <c r="BK853" s="18"/>
      <c r="BL853" s="18"/>
      <c r="BM853" s="19">
        <v>0.38256624639999998</v>
      </c>
      <c r="BN853" s="19">
        <v>0.43192700000000001</v>
      </c>
      <c r="BO853" s="19">
        <v>0.48294199999999998</v>
      </c>
      <c r="BP853" s="19">
        <v>0.52035299999999995</v>
      </c>
      <c r="BQ853" s="19">
        <v>0.56116500000000002</v>
      </c>
      <c r="BR853" s="19">
        <v>0.57816999999999996</v>
      </c>
      <c r="BS853" s="19">
        <v>0.59517500000000001</v>
      </c>
      <c r="BT853" s="19">
        <v>0.61558100000000004</v>
      </c>
      <c r="BU853" s="19">
        <v>0.63258599999999998</v>
      </c>
    </row>
    <row r="854" spans="3:73" x14ac:dyDescent="0.45">
      <c r="C854" t="s">
        <v>328</v>
      </c>
      <c r="D854" t="s">
        <v>327</v>
      </c>
      <c r="E854" t="s">
        <v>268</v>
      </c>
      <c r="J854" s="7">
        <v>31.536000000000001</v>
      </c>
      <c r="K854" s="7"/>
      <c r="L854" s="7"/>
      <c r="M854" s="7"/>
      <c r="N854" s="7"/>
      <c r="O854" s="7"/>
      <c r="P854" s="7"/>
      <c r="Q854" s="7">
        <v>31.536000000000001</v>
      </c>
      <c r="R854" s="7"/>
      <c r="S854" s="7"/>
      <c r="T854" s="7"/>
      <c r="U854" s="7"/>
      <c r="V854" s="7"/>
      <c r="AR854" s="15" t="s">
        <v>328</v>
      </c>
      <c r="AS854" s="15" t="s">
        <v>369</v>
      </c>
      <c r="AT854" s="15"/>
      <c r="AU854" s="15"/>
      <c r="AV854" s="15" t="s">
        <v>468</v>
      </c>
      <c r="AW854" s="15"/>
      <c r="AX854" s="15"/>
      <c r="AY854" s="15"/>
      <c r="AZ854" s="18"/>
      <c r="BA854" s="18"/>
      <c r="BB854" s="19">
        <v>0.22985765280000001</v>
      </c>
      <c r="BC854" s="19">
        <v>0.243926780012582</v>
      </c>
      <c r="BD854" s="19">
        <v>0.25885705036359202</v>
      </c>
      <c r="BE854" s="19">
        <v>0.27876073075170599</v>
      </c>
      <c r="BF854" s="19">
        <v>0.30019481756466099</v>
      </c>
      <c r="BG854" s="19">
        <v>0.32803098241297901</v>
      </c>
      <c r="BH854" s="19">
        <v>0.35844831131918697</v>
      </c>
      <c r="BI854" s="19">
        <v>0.39168614788288197</v>
      </c>
      <c r="BJ854" s="19">
        <v>0.428006029317618</v>
      </c>
      <c r="BK854" s="18"/>
      <c r="BL854" s="18"/>
      <c r="BM854" s="19">
        <v>0.2436455424</v>
      </c>
      <c r="BN854" s="19">
        <v>0.27508199999999999</v>
      </c>
      <c r="BO854" s="19">
        <v>0.30757200000000001</v>
      </c>
      <c r="BP854" s="19">
        <v>0.33139800000000003</v>
      </c>
      <c r="BQ854" s="19">
        <v>0.35738999999999999</v>
      </c>
      <c r="BR854" s="19">
        <v>0.36821999999999999</v>
      </c>
      <c r="BS854" s="19">
        <v>0.37905</v>
      </c>
      <c r="BT854" s="19">
        <v>0.39204600000000001</v>
      </c>
      <c r="BU854" s="19">
        <v>0.40287600000000001</v>
      </c>
    </row>
    <row r="855" spans="3:73" x14ac:dyDescent="0.45">
      <c r="C855" t="s">
        <v>328</v>
      </c>
      <c r="D855" t="s">
        <v>327</v>
      </c>
      <c r="E855" t="s">
        <v>269</v>
      </c>
      <c r="J855" s="7">
        <v>31.536000000000001</v>
      </c>
      <c r="K855" s="7"/>
      <c r="L855" s="7"/>
      <c r="M855" s="7"/>
      <c r="N855" s="7"/>
      <c r="O855" s="7"/>
      <c r="P855" s="7"/>
      <c r="Q855" s="7">
        <v>31.536000000000001</v>
      </c>
      <c r="R855" s="7"/>
      <c r="S855" s="7"/>
      <c r="T855" s="7"/>
      <c r="U855" s="7"/>
      <c r="V855" s="7"/>
      <c r="AR855" s="15" t="s">
        <v>328</v>
      </c>
      <c r="AS855" s="15" t="s">
        <v>369</v>
      </c>
      <c r="AT855" s="15"/>
      <c r="AU855" s="15"/>
      <c r="AV855" s="15" t="s">
        <v>469</v>
      </c>
      <c r="AW855" s="15"/>
      <c r="AX855" s="15"/>
      <c r="AY855" s="15"/>
      <c r="AZ855" s="18"/>
      <c r="BA855" s="18"/>
      <c r="BB855" s="19">
        <v>0.11768796719999999</v>
      </c>
      <c r="BC855" s="19">
        <v>0.124891412296378</v>
      </c>
      <c r="BD855" s="19">
        <v>0.13253576586021401</v>
      </c>
      <c r="BE855" s="19">
        <v>0.14272652373205999</v>
      </c>
      <c r="BF855" s="19">
        <v>0.153700855345895</v>
      </c>
      <c r="BG855" s="19">
        <v>0.16795307455955399</v>
      </c>
      <c r="BH855" s="19">
        <v>0.18352685930423801</v>
      </c>
      <c r="BI855" s="19">
        <v>0.200544754386942</v>
      </c>
      <c r="BJ855" s="19">
        <v>0.21914066782698</v>
      </c>
      <c r="BK855" s="18"/>
      <c r="BL855" s="18"/>
      <c r="BM855" s="19">
        <v>0.12474741759999999</v>
      </c>
      <c r="BN855" s="19">
        <v>0.140843</v>
      </c>
      <c r="BO855" s="19">
        <v>0.15747800000000001</v>
      </c>
      <c r="BP855" s="19">
        <v>0.16967699999999999</v>
      </c>
      <c r="BQ855" s="19">
        <v>0.18298500000000001</v>
      </c>
      <c r="BR855" s="19">
        <v>0.18853</v>
      </c>
      <c r="BS855" s="19">
        <v>0.194075</v>
      </c>
      <c r="BT855" s="19">
        <v>0.20072899999999999</v>
      </c>
      <c r="BU855" s="19">
        <v>0.20627400000000001</v>
      </c>
    </row>
    <row r="856" spans="3:73" x14ac:dyDescent="0.45">
      <c r="C856" t="s">
        <v>328</v>
      </c>
      <c r="D856" t="s">
        <v>327</v>
      </c>
      <c r="E856" t="s">
        <v>270</v>
      </c>
      <c r="J856" s="7">
        <v>31.536000000000001</v>
      </c>
      <c r="K856" s="7"/>
      <c r="L856" s="7"/>
      <c r="M856" s="7"/>
      <c r="N856" s="7"/>
      <c r="O856" s="7"/>
      <c r="P856" s="7"/>
      <c r="Q856" s="7">
        <v>31.536000000000001</v>
      </c>
      <c r="R856" s="7"/>
      <c r="S856" s="7"/>
      <c r="T856" s="7"/>
      <c r="U856" s="7"/>
      <c r="V856" s="7"/>
      <c r="AR856" s="15" t="s">
        <v>328</v>
      </c>
      <c r="AS856" s="15" t="s">
        <v>369</v>
      </c>
      <c r="AT856" s="15"/>
      <c r="AU856" s="15"/>
      <c r="AV856" s="15" t="s">
        <v>470</v>
      </c>
      <c r="AW856" s="15"/>
      <c r="AX856" s="15"/>
      <c r="AY856" s="15"/>
      <c r="AZ856" s="18"/>
      <c r="BA856" s="18"/>
      <c r="BB856" s="19">
        <v>0</v>
      </c>
      <c r="BC856" s="19">
        <v>0</v>
      </c>
      <c r="BD856" s="19">
        <v>0</v>
      </c>
      <c r="BE856" s="19">
        <v>0</v>
      </c>
      <c r="BF856" s="19">
        <v>0</v>
      </c>
      <c r="BG856" s="19">
        <v>0</v>
      </c>
      <c r="BH856" s="19">
        <v>0</v>
      </c>
      <c r="BI856" s="19">
        <v>0</v>
      </c>
      <c r="BJ856" s="19">
        <v>0</v>
      </c>
      <c r="BK856" s="18"/>
      <c r="BL856" s="18"/>
      <c r="BM856" s="19">
        <v>0</v>
      </c>
      <c r="BN856" s="19">
        <v>0</v>
      </c>
      <c r="BO856" s="19">
        <v>0</v>
      </c>
      <c r="BP856" s="19">
        <v>0</v>
      </c>
      <c r="BQ856" s="19">
        <v>0</v>
      </c>
      <c r="BR856" s="19">
        <v>0</v>
      </c>
      <c r="BS856" s="19">
        <v>0</v>
      </c>
      <c r="BT856" s="19">
        <v>0</v>
      </c>
      <c r="BU856" s="19">
        <v>0</v>
      </c>
    </row>
    <row r="857" spans="3:73" x14ac:dyDescent="0.45">
      <c r="C857" t="s">
        <v>328</v>
      </c>
      <c r="D857" t="s">
        <v>327</v>
      </c>
      <c r="E857" t="s">
        <v>271</v>
      </c>
      <c r="J857" s="7">
        <v>31.536000000000001</v>
      </c>
      <c r="K857" s="7"/>
      <c r="L857" s="7"/>
      <c r="M857" s="7"/>
      <c r="N857" s="7"/>
      <c r="O857" s="7"/>
      <c r="P857" s="7"/>
      <c r="Q857" s="7">
        <v>31.536000000000001</v>
      </c>
      <c r="R857" s="7"/>
      <c r="S857" s="7"/>
      <c r="T857" s="7"/>
      <c r="U857" s="7"/>
      <c r="V857" s="7"/>
      <c r="AR857" s="15" t="s">
        <v>328</v>
      </c>
      <c r="AS857" s="15" t="s">
        <v>369</v>
      </c>
      <c r="AT857" s="15"/>
      <c r="AU857" s="15"/>
      <c r="AV857" s="15" t="s">
        <v>471</v>
      </c>
      <c r="AW857" s="15"/>
      <c r="AX857" s="15"/>
      <c r="AY857" s="15"/>
      <c r="AZ857" s="18"/>
      <c r="BA857" s="18"/>
      <c r="BB857" s="19">
        <v>0</v>
      </c>
      <c r="BC857" s="19">
        <v>0</v>
      </c>
      <c r="BD857" s="19">
        <v>0</v>
      </c>
      <c r="BE857" s="19">
        <v>0</v>
      </c>
      <c r="BF857" s="19">
        <v>0</v>
      </c>
      <c r="BG857" s="19">
        <v>0</v>
      </c>
      <c r="BH857" s="19">
        <v>0</v>
      </c>
      <c r="BI857" s="19">
        <v>0</v>
      </c>
      <c r="BJ857" s="19">
        <v>0</v>
      </c>
      <c r="BK857" s="18"/>
      <c r="BL857" s="18"/>
      <c r="BM857" s="19">
        <v>0</v>
      </c>
      <c r="BN857" s="19">
        <v>0</v>
      </c>
      <c r="BO857" s="19">
        <v>0</v>
      </c>
      <c r="BP857" s="19">
        <v>0</v>
      </c>
      <c r="BQ857" s="19">
        <v>0</v>
      </c>
      <c r="BR857" s="19">
        <v>0</v>
      </c>
      <c r="BS857" s="19">
        <v>0</v>
      </c>
      <c r="BT857" s="19">
        <v>0</v>
      </c>
      <c r="BU857" s="19">
        <v>0</v>
      </c>
    </row>
    <row r="858" spans="3:73" x14ac:dyDescent="0.45">
      <c r="C858" t="s">
        <v>328</v>
      </c>
      <c r="D858" t="s">
        <v>327</v>
      </c>
      <c r="E858" t="s">
        <v>272</v>
      </c>
      <c r="J858" s="7">
        <v>31.536000000000001</v>
      </c>
      <c r="K858" s="7"/>
      <c r="L858" s="7"/>
      <c r="M858" s="7"/>
      <c r="N858" s="7"/>
      <c r="O858" s="7"/>
      <c r="P858" s="7"/>
      <c r="Q858" s="7">
        <v>31.536000000000001</v>
      </c>
      <c r="R858" s="7"/>
      <c r="S858" s="7"/>
      <c r="T858" s="7"/>
      <c r="U858" s="7"/>
      <c r="V858" s="7"/>
      <c r="AR858" s="15" t="s">
        <v>328</v>
      </c>
      <c r="AS858" s="15" t="s">
        <v>369</v>
      </c>
      <c r="AT858" s="15"/>
      <c r="AU858" s="15"/>
      <c r="AV858" s="15" t="s">
        <v>472</v>
      </c>
      <c r="AW858" s="15"/>
      <c r="AX858" s="15"/>
      <c r="AY858" s="15"/>
      <c r="AZ858" s="18"/>
      <c r="BA858" s="18"/>
      <c r="BB858" s="19">
        <v>0</v>
      </c>
      <c r="BC858" s="19">
        <v>0</v>
      </c>
      <c r="BD858" s="19">
        <v>0</v>
      </c>
      <c r="BE858" s="19">
        <v>0</v>
      </c>
      <c r="BF858" s="19">
        <v>0</v>
      </c>
      <c r="BG858" s="19">
        <v>0</v>
      </c>
      <c r="BH858" s="19">
        <v>0</v>
      </c>
      <c r="BI858" s="19">
        <v>0</v>
      </c>
      <c r="BJ858" s="19">
        <v>0</v>
      </c>
      <c r="BK858" s="18"/>
      <c r="BL858" s="18"/>
      <c r="BM858" s="19">
        <v>0</v>
      </c>
      <c r="BN858" s="19">
        <v>0</v>
      </c>
      <c r="BO858" s="19">
        <v>0</v>
      </c>
      <c r="BP858" s="19">
        <v>0</v>
      </c>
      <c r="BQ858" s="19">
        <v>0</v>
      </c>
      <c r="BR858" s="19">
        <v>0</v>
      </c>
      <c r="BS858" s="19">
        <v>0</v>
      </c>
      <c r="BT858" s="19">
        <v>0</v>
      </c>
      <c r="BU858" s="19">
        <v>0</v>
      </c>
    </row>
    <row r="859" spans="3:73" x14ac:dyDescent="0.45">
      <c r="C859" t="s">
        <v>328</v>
      </c>
      <c r="D859" t="s">
        <v>327</v>
      </c>
      <c r="E859" t="s">
        <v>273</v>
      </c>
      <c r="J859" s="7">
        <v>31.536000000000001</v>
      </c>
      <c r="K859" s="7"/>
      <c r="L859" s="7"/>
      <c r="M859" s="7"/>
      <c r="N859" s="7"/>
      <c r="O859" s="7"/>
      <c r="P859" s="7"/>
      <c r="Q859" s="7">
        <v>31.536000000000001</v>
      </c>
      <c r="R859" s="7"/>
      <c r="S859" s="7"/>
      <c r="T859" s="7"/>
      <c r="U859" s="7"/>
      <c r="V859" s="7"/>
      <c r="AR859" s="15" t="s">
        <v>328</v>
      </c>
      <c r="AS859" s="15" t="s">
        <v>369</v>
      </c>
      <c r="AT859" s="15"/>
      <c r="AU859" s="15"/>
      <c r="AV859" s="15" t="s">
        <v>473</v>
      </c>
      <c r="AW859" s="15"/>
      <c r="AX859" s="15"/>
      <c r="AY859" s="15"/>
      <c r="AZ859" s="18"/>
      <c r="BA859" s="18"/>
      <c r="BB859" s="19">
        <v>0.20295580320000001</v>
      </c>
      <c r="BC859" s="19">
        <v>0.20698514400000001</v>
      </c>
      <c r="BD859" s="19">
        <v>0.20051821919999999</v>
      </c>
      <c r="BE859" s="19">
        <v>0.19425336000000001</v>
      </c>
      <c r="BF859" s="19">
        <v>0.18553502399999999</v>
      </c>
      <c r="BG859" s="19">
        <v>0.17470583519999999</v>
      </c>
      <c r="BH859" s="19">
        <v>0.16450884960000001</v>
      </c>
      <c r="BI859" s="19">
        <v>0.15490691519999999</v>
      </c>
      <c r="BJ859" s="19">
        <v>0.14586556319999999</v>
      </c>
      <c r="BK859" s="18"/>
      <c r="BL859" s="18"/>
      <c r="BM859" s="19">
        <v>0.20295580320000001</v>
      </c>
      <c r="BN859" s="19">
        <v>0.20698617599999999</v>
      </c>
      <c r="BO859" s="19">
        <v>0.18941740800000001</v>
      </c>
      <c r="BP859" s="19">
        <v>0.17333884799999999</v>
      </c>
      <c r="BQ859" s="19">
        <v>0.16555963200000001</v>
      </c>
      <c r="BR859" s="19">
        <v>0.16497964800000001</v>
      </c>
      <c r="BS859" s="19">
        <v>0.16440379199999999</v>
      </c>
      <c r="BT859" s="19">
        <v>0.16382793600000001</v>
      </c>
      <c r="BU859" s="19">
        <v>0.16325414399999999</v>
      </c>
    </row>
    <row r="860" spans="3:73" x14ac:dyDescent="0.45">
      <c r="C860" t="s">
        <v>328</v>
      </c>
      <c r="D860" t="s">
        <v>327</v>
      </c>
      <c r="E860" t="s">
        <v>274</v>
      </c>
      <c r="J860" s="7">
        <v>31.536000000000001</v>
      </c>
      <c r="K860" s="7"/>
      <c r="L860" s="7"/>
      <c r="M860" s="7"/>
      <c r="N860" s="7"/>
      <c r="O860" s="7"/>
      <c r="P860" s="7"/>
      <c r="Q860" s="7">
        <v>31.536000000000001</v>
      </c>
      <c r="R860" s="7"/>
      <c r="S860" s="7"/>
      <c r="T860" s="7"/>
      <c r="U860" s="7"/>
      <c r="V860" s="7"/>
      <c r="AR860" s="15" t="s">
        <v>328</v>
      </c>
      <c r="AS860" s="15" t="s">
        <v>369</v>
      </c>
      <c r="AT860" s="15"/>
      <c r="AU860" s="15"/>
      <c r="AV860" s="15" t="s">
        <v>474</v>
      </c>
      <c r="AW860" s="15"/>
      <c r="AX860" s="15"/>
      <c r="AY860" s="15"/>
      <c r="AZ860" s="18"/>
      <c r="BA860" s="18"/>
      <c r="BB860" s="19">
        <v>1.3274725500000001E-2</v>
      </c>
      <c r="BC860" s="19">
        <v>1.35382725E-2</v>
      </c>
      <c r="BD860" s="19">
        <v>1.31152905E-2</v>
      </c>
      <c r="BE860" s="19">
        <v>1.2705525E-2</v>
      </c>
      <c r="BF860" s="19">
        <v>1.2135285000000001E-2</v>
      </c>
      <c r="BG860" s="19">
        <v>1.14269805E-2</v>
      </c>
      <c r="BH860" s="19">
        <v>1.07600265E-2</v>
      </c>
      <c r="BI860" s="19">
        <v>1.0131993000000001E-2</v>
      </c>
      <c r="BJ860" s="19">
        <v>9.5406255000000002E-3</v>
      </c>
      <c r="BK860" s="18"/>
      <c r="BL860" s="18"/>
      <c r="BM860" s="19">
        <v>1.3274725500000001E-2</v>
      </c>
      <c r="BN860" s="19">
        <v>1.3538339999999999E-2</v>
      </c>
      <c r="BO860" s="19">
        <v>1.2389219999999999E-2</v>
      </c>
      <c r="BP860" s="19">
        <v>1.133757E-2</v>
      </c>
      <c r="BQ860" s="19">
        <v>1.0828755000000001E-2</v>
      </c>
      <c r="BR860" s="19">
        <v>1.079082E-2</v>
      </c>
      <c r="BS860" s="19">
        <v>1.0753155E-2</v>
      </c>
      <c r="BT860" s="19">
        <v>1.0715489999999999E-2</v>
      </c>
      <c r="BU860" s="19">
        <v>1.067796E-2</v>
      </c>
    </row>
    <row r="861" spans="3:73" x14ac:dyDescent="0.45">
      <c r="C861" t="s">
        <v>328</v>
      </c>
      <c r="D861" t="s">
        <v>327</v>
      </c>
      <c r="E861" t="s">
        <v>275</v>
      </c>
      <c r="J861" s="7">
        <v>31.536000000000001</v>
      </c>
      <c r="K861" s="7"/>
      <c r="L861" s="7"/>
      <c r="M861" s="7"/>
      <c r="N861" s="7"/>
      <c r="O861" s="7"/>
      <c r="P861" s="7"/>
      <c r="Q861" s="7">
        <v>31.536000000000001</v>
      </c>
      <c r="R861" s="7"/>
      <c r="S861" s="7"/>
      <c r="T861" s="7"/>
      <c r="U861" s="7"/>
      <c r="V861" s="7"/>
      <c r="AR861" s="15" t="s">
        <v>328</v>
      </c>
      <c r="AS861" s="15" t="s">
        <v>369</v>
      </c>
      <c r="AT861" s="15"/>
      <c r="AU861" s="15"/>
      <c r="AV861" s="15" t="s">
        <v>475</v>
      </c>
      <c r="AW861" s="15"/>
      <c r="AX861" s="15"/>
      <c r="AY861" s="15"/>
      <c r="AZ861" s="18"/>
      <c r="BA861" s="18"/>
      <c r="BB861" s="19">
        <v>0.79766350559999999</v>
      </c>
      <c r="BC861" s="19">
        <v>0.81349975200000002</v>
      </c>
      <c r="BD861" s="19">
        <v>0.78808323359999999</v>
      </c>
      <c r="BE861" s="19">
        <v>0.76346088000000001</v>
      </c>
      <c r="BF861" s="19">
        <v>0.72919579199999995</v>
      </c>
      <c r="BG861" s="19">
        <v>0.68663456160000003</v>
      </c>
      <c r="BH861" s="19">
        <v>0.64655803680000001</v>
      </c>
      <c r="BI861" s="19">
        <v>0.60882020160000005</v>
      </c>
      <c r="BJ861" s="19">
        <v>0.57328558559999998</v>
      </c>
      <c r="BK861" s="18"/>
      <c r="BL861" s="18"/>
      <c r="BM861" s="19">
        <v>0.79766350559999999</v>
      </c>
      <c r="BN861" s="19">
        <v>0.81350380799999999</v>
      </c>
      <c r="BO861" s="19">
        <v>0.74445446400000004</v>
      </c>
      <c r="BP861" s="19">
        <v>0.68126198400000004</v>
      </c>
      <c r="BQ861" s="19">
        <v>0.65068785600000001</v>
      </c>
      <c r="BR861" s="19">
        <v>0.648408384</v>
      </c>
      <c r="BS861" s="19">
        <v>0.64614513600000001</v>
      </c>
      <c r="BT861" s="19">
        <v>0.64388188800000001</v>
      </c>
      <c r="BU861" s="19">
        <v>0.64162675199999997</v>
      </c>
    </row>
    <row r="862" spans="3:73" x14ac:dyDescent="0.45">
      <c r="C862" t="s">
        <v>328</v>
      </c>
      <c r="D862" t="s">
        <v>327</v>
      </c>
      <c r="E862" t="s">
        <v>276</v>
      </c>
      <c r="J862" s="7">
        <v>31.536000000000001</v>
      </c>
      <c r="K862" s="7"/>
      <c r="L862" s="7"/>
      <c r="M862" s="7"/>
      <c r="N862" s="7"/>
      <c r="O862" s="7"/>
      <c r="P862" s="7"/>
      <c r="Q862" s="7">
        <v>31.536000000000001</v>
      </c>
      <c r="R862" s="7"/>
      <c r="S862" s="7"/>
      <c r="T862" s="7"/>
      <c r="U862" s="7"/>
      <c r="V862" s="7"/>
      <c r="AR862" s="15" t="s">
        <v>328</v>
      </c>
      <c r="AS862" s="15" t="s">
        <v>369</v>
      </c>
      <c r="AT862" s="15"/>
      <c r="AU862" s="15"/>
      <c r="AV862" s="15" t="s">
        <v>476</v>
      </c>
      <c r="AW862" s="15"/>
      <c r="AX862" s="15"/>
      <c r="AY862" s="15"/>
      <c r="AZ862" s="18"/>
      <c r="BA862" s="18"/>
      <c r="BB862" s="19">
        <v>0.47877509969999998</v>
      </c>
      <c r="BC862" s="19">
        <v>0.48828036149999998</v>
      </c>
      <c r="BD862" s="19">
        <v>0.47302481070000002</v>
      </c>
      <c r="BE862" s="19">
        <v>0.45824593499999999</v>
      </c>
      <c r="BF862" s="19">
        <v>0.43767927899999998</v>
      </c>
      <c r="BG862" s="19">
        <v>0.41213309669999998</v>
      </c>
      <c r="BH862" s="19">
        <v>0.38807828909999997</v>
      </c>
      <c r="BI862" s="19">
        <v>0.36542721420000002</v>
      </c>
      <c r="BJ862" s="19">
        <v>0.34409855969999997</v>
      </c>
      <c r="BK862" s="18"/>
      <c r="BL862" s="18"/>
      <c r="BM862" s="19">
        <v>0.47877509969999998</v>
      </c>
      <c r="BN862" s="19">
        <v>0.48828279600000002</v>
      </c>
      <c r="BO862" s="19">
        <v>0.44683786800000003</v>
      </c>
      <c r="BP862" s="19">
        <v>0.40890835800000003</v>
      </c>
      <c r="BQ862" s="19">
        <v>0.39055709700000002</v>
      </c>
      <c r="BR862" s="19">
        <v>0.389188908</v>
      </c>
      <c r="BS862" s="19">
        <v>0.38783045700000002</v>
      </c>
      <c r="BT862" s="19">
        <v>0.38647200599999998</v>
      </c>
      <c r="BU862" s="19">
        <v>0.38511842400000001</v>
      </c>
    </row>
    <row r="863" spans="3:73" x14ac:dyDescent="0.45">
      <c r="C863" t="s">
        <v>328</v>
      </c>
      <c r="D863" t="s">
        <v>327</v>
      </c>
      <c r="E863" t="s">
        <v>277</v>
      </c>
      <c r="J863" s="7">
        <v>31.536000000000001</v>
      </c>
      <c r="K863" s="7"/>
      <c r="L863" s="7"/>
      <c r="M863" s="7"/>
      <c r="N863" s="7"/>
      <c r="O863" s="7"/>
      <c r="P863" s="7"/>
      <c r="Q863" s="7">
        <v>31.536000000000001</v>
      </c>
      <c r="R863" s="7"/>
      <c r="S863" s="7"/>
      <c r="T863" s="7"/>
      <c r="U863" s="7"/>
      <c r="V863" s="7"/>
      <c r="AR863" s="15" t="s">
        <v>328</v>
      </c>
      <c r="AS863" s="15" t="s">
        <v>369</v>
      </c>
      <c r="AT863" s="15"/>
      <c r="AU863" s="15"/>
      <c r="AV863" s="15" t="s">
        <v>477</v>
      </c>
      <c r="AW863" s="15"/>
      <c r="AX863" s="15"/>
      <c r="AY863" s="15"/>
      <c r="AZ863" s="18"/>
      <c r="BA863" s="18"/>
      <c r="BB863" s="19">
        <v>0.1978</v>
      </c>
      <c r="BC863" s="19">
        <v>0.19059999999999999</v>
      </c>
      <c r="BD863" s="19">
        <v>0.18360000000000001</v>
      </c>
      <c r="BE863" s="19">
        <v>0.19769999999999999</v>
      </c>
      <c r="BF863" s="19">
        <v>0.21299999999999999</v>
      </c>
      <c r="BG863" s="19">
        <v>0.23269999999999999</v>
      </c>
      <c r="BH863" s="19">
        <v>0.25430000000000003</v>
      </c>
      <c r="BI863" s="19">
        <v>0.27789999999999998</v>
      </c>
      <c r="BJ863" s="19">
        <v>0.30359999999999998</v>
      </c>
      <c r="BK863" s="18"/>
      <c r="BL863" s="18"/>
      <c r="BM863" s="19">
        <v>0.23080000000000001</v>
      </c>
      <c r="BN863" s="19">
        <v>0.25969999999999999</v>
      </c>
      <c r="BO863" s="19">
        <v>0.29210000000000003</v>
      </c>
      <c r="BP863" s="19">
        <v>0.3145</v>
      </c>
      <c r="BQ863" s="19">
        <v>0.3387</v>
      </c>
      <c r="BR863" s="19">
        <v>0.34379999999999999</v>
      </c>
      <c r="BS863" s="19">
        <v>0.34899999999999998</v>
      </c>
      <c r="BT863" s="19">
        <v>0.3543</v>
      </c>
      <c r="BU863" s="19">
        <v>0.35959999999999998</v>
      </c>
    </row>
    <row r="864" spans="3:73" x14ac:dyDescent="0.45">
      <c r="C864" t="s">
        <v>328</v>
      </c>
      <c r="D864" t="s">
        <v>327</v>
      </c>
      <c r="E864" t="s">
        <v>278</v>
      </c>
      <c r="J864" s="7">
        <v>1</v>
      </c>
      <c r="K864" s="7"/>
      <c r="L864" s="7"/>
      <c r="M864" s="7"/>
      <c r="N864" s="7"/>
      <c r="O864" s="7"/>
      <c r="P864" s="7"/>
      <c r="Q864" s="7">
        <v>1</v>
      </c>
      <c r="R864" s="7"/>
      <c r="S864" s="7"/>
      <c r="T864" s="7"/>
      <c r="U864" s="7"/>
      <c r="V864" s="7"/>
      <c r="AR864" s="15" t="s">
        <v>328</v>
      </c>
      <c r="AS864" s="15" t="s">
        <v>369</v>
      </c>
      <c r="AT864" s="15"/>
      <c r="AU864" s="15"/>
      <c r="AV864" s="15" t="s">
        <v>478</v>
      </c>
      <c r="AW864" s="15"/>
      <c r="AX864" s="15"/>
      <c r="AY864" s="15"/>
      <c r="AZ864" s="18"/>
      <c r="BA864" s="18"/>
      <c r="BB864" s="19">
        <v>0</v>
      </c>
      <c r="BC864" s="19">
        <v>0</v>
      </c>
      <c r="BD864" s="19">
        <v>0</v>
      </c>
      <c r="BE864" s="19">
        <v>0</v>
      </c>
      <c r="BF864" s="19">
        <v>0</v>
      </c>
      <c r="BG864" s="19">
        <v>0</v>
      </c>
      <c r="BH864" s="19">
        <v>0</v>
      </c>
      <c r="BI864" s="19">
        <v>0</v>
      </c>
      <c r="BJ864" s="19">
        <v>0</v>
      </c>
      <c r="BK864" s="18"/>
      <c r="BL864" s="18"/>
      <c r="BM864" s="19">
        <v>0</v>
      </c>
      <c r="BN864" s="19">
        <v>0</v>
      </c>
      <c r="BO864" s="19">
        <v>0</v>
      </c>
      <c r="BP864" s="19">
        <v>0</v>
      </c>
      <c r="BQ864" s="19">
        <v>0</v>
      </c>
      <c r="BR864" s="19">
        <v>0</v>
      </c>
      <c r="BS864" s="19">
        <v>0</v>
      </c>
      <c r="BT864" s="19">
        <v>0</v>
      </c>
      <c r="BU864" s="19">
        <v>0</v>
      </c>
    </row>
    <row r="865" spans="3:73" x14ac:dyDescent="0.45">
      <c r="C865" t="s">
        <v>328</v>
      </c>
      <c r="D865" t="s">
        <v>327</v>
      </c>
      <c r="E865" t="s">
        <v>279</v>
      </c>
      <c r="J865" s="7">
        <v>1</v>
      </c>
      <c r="K865" s="7"/>
      <c r="L865" s="7"/>
      <c r="M865" s="7"/>
      <c r="N865" s="7"/>
      <c r="O865" s="7"/>
      <c r="P865" s="7"/>
      <c r="Q865" s="7">
        <v>1</v>
      </c>
      <c r="R865" s="7"/>
      <c r="S865" s="7"/>
      <c r="T865" s="7"/>
      <c r="U865" s="7"/>
      <c r="V865" s="7"/>
      <c r="AR865" s="15" t="s">
        <v>328</v>
      </c>
      <c r="AS865" s="15" t="s">
        <v>369</v>
      </c>
      <c r="AT865" s="15"/>
      <c r="AU865" s="15"/>
      <c r="AV865" s="15" t="s">
        <v>479</v>
      </c>
      <c r="AW865" s="15"/>
      <c r="AX865" s="15"/>
      <c r="AY865" s="15"/>
      <c r="AZ865" s="18"/>
      <c r="BA865" s="18"/>
      <c r="BB865" s="19">
        <v>0.26950000000000002</v>
      </c>
      <c r="BC865" s="19">
        <v>0.25969999999999999</v>
      </c>
      <c r="BD865" s="19">
        <v>0.25030000000000002</v>
      </c>
      <c r="BE865" s="19">
        <v>0.26950000000000002</v>
      </c>
      <c r="BF865" s="19">
        <v>0.29020000000000001</v>
      </c>
      <c r="BG865" s="19">
        <v>0.31719999999999998</v>
      </c>
      <c r="BH865" s="19">
        <v>0.34660000000000002</v>
      </c>
      <c r="BI865" s="19">
        <v>0.37869999999999998</v>
      </c>
      <c r="BJ865" s="19">
        <v>0.4138</v>
      </c>
      <c r="BK865" s="18"/>
      <c r="BL865" s="18"/>
      <c r="BM865" s="19">
        <v>0.31459999999999999</v>
      </c>
      <c r="BN865" s="19">
        <v>0.35389999999999999</v>
      </c>
      <c r="BO865" s="19">
        <v>0.39810000000000001</v>
      </c>
      <c r="BP865" s="19">
        <v>0.42870000000000003</v>
      </c>
      <c r="BQ865" s="19">
        <v>0.4617</v>
      </c>
      <c r="BR865" s="19">
        <v>0.46860000000000002</v>
      </c>
      <c r="BS865" s="19">
        <v>0.47570000000000001</v>
      </c>
      <c r="BT865" s="19">
        <v>0.4829</v>
      </c>
      <c r="BU865" s="19">
        <v>0.49009999999999998</v>
      </c>
    </row>
    <row r="866" spans="3:73" x14ac:dyDescent="0.45">
      <c r="C866" t="s">
        <v>328</v>
      </c>
      <c r="D866" t="s">
        <v>327</v>
      </c>
      <c r="E866" t="s">
        <v>280</v>
      </c>
      <c r="J866" s="7">
        <v>1</v>
      </c>
      <c r="K866" s="7"/>
      <c r="L866" s="7"/>
      <c r="M866" s="7"/>
      <c r="N866" s="7"/>
      <c r="O866" s="7"/>
      <c r="P866" s="7"/>
      <c r="Q866" s="7">
        <v>1</v>
      </c>
      <c r="R866" s="7"/>
      <c r="S866" s="7"/>
      <c r="T866" s="7"/>
      <c r="U866" s="7"/>
      <c r="V866" s="7"/>
      <c r="AR866" s="15" t="s">
        <v>328</v>
      </c>
      <c r="AS866" s="15" t="s">
        <v>369</v>
      </c>
      <c r="AT866" s="15"/>
      <c r="AU866" s="15"/>
      <c r="AV866" s="15" t="s">
        <v>480</v>
      </c>
      <c r="AW866" s="15"/>
      <c r="AX866" s="15"/>
      <c r="AY866" s="15"/>
      <c r="AZ866" s="18"/>
      <c r="BA866" s="18"/>
      <c r="BB866" s="19">
        <v>5.1499999999999997E-2</v>
      </c>
      <c r="BC866" s="19">
        <v>4.9700000000000001E-2</v>
      </c>
      <c r="BD866" s="19">
        <v>4.7899999999999998E-2</v>
      </c>
      <c r="BE866" s="19">
        <v>5.1499999999999997E-2</v>
      </c>
      <c r="BF866" s="19">
        <v>5.5500000000000001E-2</v>
      </c>
      <c r="BG866" s="19">
        <v>6.0600000000000001E-2</v>
      </c>
      <c r="BH866" s="19">
        <v>6.6299999999999998E-2</v>
      </c>
      <c r="BI866" s="19">
        <v>7.2400000000000006E-2</v>
      </c>
      <c r="BJ866" s="19">
        <v>7.9100000000000004E-2</v>
      </c>
      <c r="BK866" s="18"/>
      <c r="BL866" s="18"/>
      <c r="BM866" s="19">
        <v>6.0199999999999997E-2</v>
      </c>
      <c r="BN866" s="19">
        <v>6.7699999999999996E-2</v>
      </c>
      <c r="BO866" s="19">
        <v>7.6100000000000001E-2</v>
      </c>
      <c r="BP866" s="19">
        <v>8.2000000000000003E-2</v>
      </c>
      <c r="BQ866" s="19">
        <v>8.8300000000000003E-2</v>
      </c>
      <c r="BR866" s="19">
        <v>8.9599999999999999E-2</v>
      </c>
      <c r="BS866" s="19">
        <v>9.0999999999999998E-2</v>
      </c>
      <c r="BT866" s="19">
        <v>9.2299999999999993E-2</v>
      </c>
      <c r="BU866" s="19">
        <v>9.3700000000000006E-2</v>
      </c>
    </row>
    <row r="867" spans="3:73" x14ac:dyDescent="0.45">
      <c r="C867" t="s">
        <v>328</v>
      </c>
      <c r="D867" t="s">
        <v>327</v>
      </c>
      <c r="E867" t="s">
        <v>281</v>
      </c>
      <c r="J867" s="7">
        <v>1</v>
      </c>
      <c r="K867" s="7"/>
      <c r="L867" s="7"/>
      <c r="M867" s="7"/>
      <c r="N867" s="7"/>
      <c r="O867" s="7"/>
      <c r="P867" s="7"/>
      <c r="Q867" s="7">
        <v>1</v>
      </c>
      <c r="R867" s="7"/>
      <c r="S867" s="7"/>
      <c r="T867" s="7"/>
      <c r="U867" s="7"/>
      <c r="V867" s="7"/>
      <c r="AR867" s="15" t="s">
        <v>328</v>
      </c>
      <c r="AS867" s="15" t="s">
        <v>369</v>
      </c>
      <c r="AT867" s="15"/>
      <c r="AU867" s="15"/>
      <c r="AV867" s="15" t="s">
        <v>481</v>
      </c>
      <c r="AW867" s="15"/>
      <c r="AX867" s="15"/>
      <c r="AY867" s="15"/>
      <c r="AZ867" s="18"/>
      <c r="BA867" s="18"/>
      <c r="BB867" s="19">
        <v>0</v>
      </c>
      <c r="BC867" s="19">
        <v>0</v>
      </c>
      <c r="BD867" s="19">
        <v>0</v>
      </c>
      <c r="BE867" s="19">
        <v>0</v>
      </c>
      <c r="BF867" s="19">
        <v>0</v>
      </c>
      <c r="BG867" s="19">
        <v>0</v>
      </c>
      <c r="BH867" s="19">
        <v>0</v>
      </c>
      <c r="BI867" s="19">
        <v>0</v>
      </c>
      <c r="BJ867" s="19">
        <v>0</v>
      </c>
      <c r="BK867" s="18"/>
      <c r="BL867" s="18"/>
      <c r="BM867" s="19">
        <v>0</v>
      </c>
      <c r="BN867" s="19">
        <v>0</v>
      </c>
      <c r="BO867" s="19">
        <v>0</v>
      </c>
      <c r="BP867" s="19">
        <v>0</v>
      </c>
      <c r="BQ867" s="19">
        <v>0</v>
      </c>
      <c r="BR867" s="19">
        <v>0</v>
      </c>
      <c r="BS867" s="19">
        <v>0</v>
      </c>
      <c r="BT867" s="19">
        <v>0</v>
      </c>
      <c r="BU867" s="19">
        <v>0</v>
      </c>
    </row>
    <row r="868" spans="3:73" x14ac:dyDescent="0.45">
      <c r="C868" t="s">
        <v>328</v>
      </c>
      <c r="D868" t="s">
        <v>327</v>
      </c>
      <c r="E868" t="s">
        <v>282</v>
      </c>
      <c r="J868" s="7">
        <v>1</v>
      </c>
      <c r="K868" s="7"/>
      <c r="L868" s="7"/>
      <c r="M868" s="7"/>
      <c r="N868" s="7"/>
      <c r="O868" s="7"/>
      <c r="P868" s="7"/>
      <c r="Q868" s="7">
        <v>1</v>
      </c>
      <c r="R868" s="7"/>
      <c r="S868" s="7"/>
      <c r="T868" s="7"/>
      <c r="U868" s="7"/>
      <c r="V868" s="7"/>
      <c r="AR868" s="15" t="s">
        <v>328</v>
      </c>
      <c r="AS868" s="15" t="s">
        <v>369</v>
      </c>
      <c r="AT868" s="15"/>
      <c r="AU868" s="15"/>
      <c r="AV868" s="15" t="s">
        <v>482</v>
      </c>
      <c r="AW868" s="15"/>
      <c r="AX868" s="15"/>
      <c r="AY868" s="15"/>
      <c r="AZ868" s="18"/>
      <c r="BA868" s="18"/>
      <c r="BB868" s="19">
        <v>0</v>
      </c>
      <c r="BC868" s="19">
        <v>0</v>
      </c>
      <c r="BD868" s="19">
        <v>0</v>
      </c>
      <c r="BE868" s="19">
        <v>0</v>
      </c>
      <c r="BF868" s="19">
        <v>0</v>
      </c>
      <c r="BG868" s="19">
        <v>0</v>
      </c>
      <c r="BH868" s="19">
        <v>0</v>
      </c>
      <c r="BI868" s="19">
        <v>0</v>
      </c>
      <c r="BJ868" s="19">
        <v>0</v>
      </c>
      <c r="BK868" s="18"/>
      <c r="BL868" s="18"/>
      <c r="BM868" s="19">
        <v>0</v>
      </c>
      <c r="BN868" s="19">
        <v>0</v>
      </c>
      <c r="BO868" s="19">
        <v>0</v>
      </c>
      <c r="BP868" s="19">
        <v>0</v>
      </c>
      <c r="BQ868" s="19">
        <v>0</v>
      </c>
      <c r="BR868" s="19">
        <v>0</v>
      </c>
      <c r="BS868" s="19">
        <v>0</v>
      </c>
      <c r="BT868" s="19">
        <v>0</v>
      </c>
      <c r="BU868" s="19">
        <v>0</v>
      </c>
    </row>
    <row r="869" spans="3:73" x14ac:dyDescent="0.45">
      <c r="C869" t="s">
        <v>328</v>
      </c>
      <c r="D869" t="s">
        <v>327</v>
      </c>
      <c r="E869" t="s">
        <v>283</v>
      </c>
      <c r="J869" s="7">
        <v>1</v>
      </c>
      <c r="K869" s="7"/>
      <c r="L869" s="7"/>
      <c r="M869" s="7"/>
      <c r="N869" s="7"/>
      <c r="O869" s="7"/>
      <c r="P869" s="7"/>
      <c r="Q869" s="7">
        <v>1</v>
      </c>
      <c r="R869" s="7"/>
      <c r="S869" s="7"/>
      <c r="T869" s="7"/>
      <c r="U869" s="7"/>
      <c r="V869" s="7"/>
      <c r="AR869" s="15" t="s">
        <v>328</v>
      </c>
      <c r="AS869" s="15" t="s">
        <v>369</v>
      </c>
      <c r="AT869" s="15"/>
      <c r="AU869" s="15"/>
      <c r="AV869" s="15" t="s">
        <v>483</v>
      </c>
      <c r="AW869" s="15"/>
      <c r="AX869" s="15"/>
      <c r="AY869" s="15"/>
      <c r="AZ869" s="18"/>
      <c r="BA869" s="18"/>
      <c r="BB869" s="19">
        <v>0</v>
      </c>
      <c r="BC869" s="19">
        <v>0</v>
      </c>
      <c r="BD869" s="19">
        <v>0</v>
      </c>
      <c r="BE869" s="19">
        <v>0</v>
      </c>
      <c r="BF869" s="19">
        <v>0</v>
      </c>
      <c r="BG869" s="19">
        <v>0</v>
      </c>
      <c r="BH869" s="19">
        <v>0</v>
      </c>
      <c r="BI869" s="19">
        <v>0</v>
      </c>
      <c r="BJ869" s="19">
        <v>0</v>
      </c>
      <c r="BK869" s="18"/>
      <c r="BL869" s="18"/>
      <c r="BM869" s="19">
        <v>0</v>
      </c>
      <c r="BN869" s="19">
        <v>0</v>
      </c>
      <c r="BO869" s="19">
        <v>0</v>
      </c>
      <c r="BP869" s="19">
        <v>0</v>
      </c>
      <c r="BQ869" s="19">
        <v>0</v>
      </c>
      <c r="BR869" s="19">
        <v>0</v>
      </c>
      <c r="BS869" s="19">
        <v>0</v>
      </c>
      <c r="BT869" s="19">
        <v>0</v>
      </c>
      <c r="BU869" s="19">
        <v>0</v>
      </c>
    </row>
    <row r="870" spans="3:73" x14ac:dyDescent="0.45">
      <c r="C870" t="s">
        <v>328</v>
      </c>
      <c r="D870" t="s">
        <v>327</v>
      </c>
      <c r="E870" t="s">
        <v>284</v>
      </c>
      <c r="J870" s="7">
        <v>31.536000000000001</v>
      </c>
      <c r="K870" s="7"/>
      <c r="L870" s="7"/>
      <c r="M870" s="7"/>
      <c r="N870" s="7"/>
      <c r="O870" s="7"/>
      <c r="P870" s="7"/>
      <c r="Q870" s="7">
        <v>31.536000000000001</v>
      </c>
      <c r="R870" s="7"/>
      <c r="S870" s="7"/>
      <c r="T870" s="7"/>
      <c r="U870" s="7"/>
      <c r="V870" s="7"/>
      <c r="AR870" s="15" t="s">
        <v>328</v>
      </c>
      <c r="AS870" s="15" t="s">
        <v>369</v>
      </c>
      <c r="AT870" s="15"/>
      <c r="AU870" s="15"/>
      <c r="AV870" s="15" t="s">
        <v>484</v>
      </c>
      <c r="AW870" s="15"/>
      <c r="AX870" s="15"/>
      <c r="AY870" s="15"/>
      <c r="AZ870" s="18"/>
      <c r="BA870" s="18"/>
      <c r="BB870" s="19">
        <v>0</v>
      </c>
      <c r="BC870" s="19">
        <v>0</v>
      </c>
      <c r="BD870" s="19">
        <v>0</v>
      </c>
      <c r="BE870" s="19">
        <v>0</v>
      </c>
      <c r="BF870" s="19">
        <v>0</v>
      </c>
      <c r="BG870" s="19">
        <v>0</v>
      </c>
      <c r="BH870" s="19">
        <v>0</v>
      </c>
      <c r="BI870" s="19">
        <v>0</v>
      </c>
      <c r="BJ870" s="19">
        <v>0</v>
      </c>
      <c r="BK870" s="18"/>
      <c r="BL870" s="18"/>
      <c r="BM870" s="19">
        <v>0</v>
      </c>
      <c r="BN870" s="19">
        <v>0</v>
      </c>
      <c r="BO870" s="19">
        <v>0</v>
      </c>
      <c r="BP870" s="19">
        <v>0</v>
      </c>
      <c r="BQ870" s="19">
        <v>0</v>
      </c>
      <c r="BR870" s="19">
        <v>0</v>
      </c>
      <c r="BS870" s="19">
        <v>0</v>
      </c>
      <c r="BT870" s="19">
        <v>0</v>
      </c>
      <c r="BU870" s="19">
        <v>0</v>
      </c>
    </row>
    <row r="871" spans="3:73" x14ac:dyDescent="0.45">
      <c r="C871" t="s">
        <v>328</v>
      </c>
      <c r="D871" t="s">
        <v>327</v>
      </c>
      <c r="E871" t="s">
        <v>285</v>
      </c>
      <c r="J871" s="7">
        <v>31.536000000000001</v>
      </c>
      <c r="K871" s="7"/>
      <c r="L871" s="7"/>
      <c r="M871" s="7"/>
      <c r="N871" s="7"/>
      <c r="O871" s="7"/>
      <c r="P871" s="7"/>
      <c r="Q871" s="7">
        <v>31.536000000000001</v>
      </c>
      <c r="R871" s="7"/>
      <c r="S871" s="7"/>
      <c r="T871" s="7"/>
      <c r="U871" s="7"/>
      <c r="V871" s="7"/>
      <c r="AR871" s="15" t="s">
        <v>328</v>
      </c>
      <c r="AS871" s="15" t="s">
        <v>369</v>
      </c>
      <c r="AT871" s="15"/>
      <c r="AU871" s="15"/>
      <c r="AV871" s="15" t="s">
        <v>485</v>
      </c>
      <c r="AW871" s="15"/>
      <c r="AX871" s="15"/>
      <c r="AY871" s="15"/>
      <c r="AZ871" s="18"/>
      <c r="BA871" s="18"/>
      <c r="BB871" s="19">
        <v>0</v>
      </c>
      <c r="BC871" s="19">
        <v>0</v>
      </c>
      <c r="BD871" s="19">
        <v>0</v>
      </c>
      <c r="BE871" s="19">
        <v>0</v>
      </c>
      <c r="BF871" s="19">
        <v>0</v>
      </c>
      <c r="BG871" s="19">
        <v>0</v>
      </c>
      <c r="BH871" s="19">
        <v>0</v>
      </c>
      <c r="BI871" s="19">
        <v>0</v>
      </c>
      <c r="BJ871" s="19">
        <v>0</v>
      </c>
      <c r="BK871" s="18"/>
      <c r="BL871" s="18"/>
      <c r="BM871" s="19">
        <v>0</v>
      </c>
      <c r="BN871" s="19">
        <v>0</v>
      </c>
      <c r="BO871" s="19">
        <v>0</v>
      </c>
      <c r="BP871" s="19">
        <v>0</v>
      </c>
      <c r="BQ871" s="19">
        <v>0</v>
      </c>
      <c r="BR871" s="19">
        <v>0</v>
      </c>
      <c r="BS871" s="19">
        <v>0</v>
      </c>
      <c r="BT871" s="19">
        <v>0</v>
      </c>
      <c r="BU871" s="19">
        <v>0</v>
      </c>
    </row>
    <row r="872" spans="3:73" x14ac:dyDescent="0.45">
      <c r="C872" t="s">
        <v>328</v>
      </c>
      <c r="D872" t="s">
        <v>327</v>
      </c>
      <c r="E872" t="s">
        <v>286</v>
      </c>
      <c r="J872" s="7">
        <v>31.536000000000001</v>
      </c>
      <c r="K872" s="7"/>
      <c r="L872" s="7"/>
      <c r="M872" s="7"/>
      <c r="N872" s="7"/>
      <c r="O872" s="7"/>
      <c r="P872" s="7"/>
      <c r="Q872" s="7">
        <v>31.536000000000001</v>
      </c>
      <c r="R872" s="7"/>
      <c r="S872" s="7"/>
      <c r="T872" s="7"/>
      <c r="U872" s="7"/>
      <c r="V872" s="7"/>
      <c r="AR872" s="15" t="s">
        <v>328</v>
      </c>
      <c r="AS872" s="15" t="s">
        <v>369</v>
      </c>
      <c r="AT872" s="15"/>
      <c r="AU872" s="15"/>
      <c r="AV872" s="15" t="s">
        <v>486</v>
      </c>
      <c r="AW872" s="15"/>
      <c r="AX872" s="15"/>
      <c r="AY872" s="15"/>
      <c r="AZ872" s="18"/>
      <c r="BA872" s="18"/>
      <c r="BB872" s="19">
        <v>0</v>
      </c>
      <c r="BC872" s="19">
        <v>0</v>
      </c>
      <c r="BD872" s="19">
        <v>0</v>
      </c>
      <c r="BE872" s="19">
        <v>0</v>
      </c>
      <c r="BF872" s="19">
        <v>0</v>
      </c>
      <c r="BG872" s="19">
        <v>0</v>
      </c>
      <c r="BH872" s="19">
        <v>0</v>
      </c>
      <c r="BI872" s="19">
        <v>0</v>
      </c>
      <c r="BJ872" s="19">
        <v>0</v>
      </c>
      <c r="BK872" s="18"/>
      <c r="BL872" s="18"/>
      <c r="BM872" s="19">
        <v>0</v>
      </c>
      <c r="BN872" s="19">
        <v>0</v>
      </c>
      <c r="BO872" s="19">
        <v>0</v>
      </c>
      <c r="BP872" s="19">
        <v>0</v>
      </c>
      <c r="BQ872" s="19">
        <v>0</v>
      </c>
      <c r="BR872" s="19">
        <v>0</v>
      </c>
      <c r="BS872" s="19">
        <v>0</v>
      </c>
      <c r="BT872" s="19">
        <v>0</v>
      </c>
      <c r="BU872" s="19">
        <v>0</v>
      </c>
    </row>
    <row r="873" spans="3:73" x14ac:dyDescent="0.45">
      <c r="C873" t="s">
        <v>328</v>
      </c>
      <c r="D873" t="s">
        <v>327</v>
      </c>
      <c r="E873" t="s">
        <v>287</v>
      </c>
      <c r="J873" s="7">
        <v>31.536000000000001</v>
      </c>
      <c r="K873" s="7"/>
      <c r="L873" s="7"/>
      <c r="M873" s="7"/>
      <c r="N873" s="7"/>
      <c r="O873" s="7"/>
      <c r="P873" s="7"/>
      <c r="Q873" s="7">
        <v>31.536000000000001</v>
      </c>
      <c r="R873" s="7"/>
      <c r="S873" s="7"/>
      <c r="T873" s="7"/>
      <c r="U873" s="7"/>
      <c r="V873" s="7"/>
      <c r="AR873" s="15" t="s">
        <v>328</v>
      </c>
      <c r="AS873" s="15" t="s">
        <v>369</v>
      </c>
      <c r="AT873" s="15"/>
      <c r="AU873" s="15"/>
      <c r="AV873" s="15" t="s">
        <v>487</v>
      </c>
      <c r="AW873" s="15"/>
      <c r="AX873" s="15"/>
      <c r="AY873" s="15"/>
      <c r="AZ873" s="18"/>
      <c r="BA873" s="18"/>
      <c r="BB873" s="19">
        <v>0</v>
      </c>
      <c r="BC873" s="19">
        <v>0</v>
      </c>
      <c r="BD873" s="19">
        <v>0</v>
      </c>
      <c r="BE873" s="19">
        <v>0</v>
      </c>
      <c r="BF873" s="19">
        <v>0</v>
      </c>
      <c r="BG873" s="19">
        <v>0</v>
      </c>
      <c r="BH873" s="19">
        <v>0</v>
      </c>
      <c r="BI873" s="19">
        <v>0</v>
      </c>
      <c r="BJ873" s="19">
        <v>0</v>
      </c>
      <c r="BK873" s="18"/>
      <c r="BL873" s="18"/>
      <c r="BM873" s="19">
        <v>0</v>
      </c>
      <c r="BN873" s="19">
        <v>0</v>
      </c>
      <c r="BO873" s="19">
        <v>0</v>
      </c>
      <c r="BP873" s="19">
        <v>0</v>
      </c>
      <c r="BQ873" s="19">
        <v>0</v>
      </c>
      <c r="BR873" s="19">
        <v>0</v>
      </c>
      <c r="BS873" s="19">
        <v>0</v>
      </c>
      <c r="BT873" s="19">
        <v>0</v>
      </c>
      <c r="BU873" s="19">
        <v>0</v>
      </c>
    </row>
    <row r="874" spans="3:73" x14ac:dyDescent="0.45">
      <c r="C874" t="s">
        <v>328</v>
      </c>
      <c r="D874" t="s">
        <v>327</v>
      </c>
      <c r="E874" t="s">
        <v>288</v>
      </c>
      <c r="J874" s="7">
        <v>1</v>
      </c>
      <c r="K874" s="7"/>
      <c r="L874" s="7"/>
      <c r="M874" s="7"/>
      <c r="N874" s="7"/>
      <c r="O874" s="7"/>
      <c r="P874" s="7"/>
      <c r="Q874" s="7">
        <v>1</v>
      </c>
      <c r="R874" s="7"/>
      <c r="S874" s="7"/>
      <c r="T874" s="7"/>
      <c r="U874" s="7"/>
      <c r="V874" s="7"/>
      <c r="AR874" s="15" t="s">
        <v>328</v>
      </c>
      <c r="AS874" s="15" t="s">
        <v>369</v>
      </c>
      <c r="AT874" s="15"/>
      <c r="AU874" s="15"/>
      <c r="AV874" s="15" t="s">
        <v>488</v>
      </c>
      <c r="AW874" s="15"/>
      <c r="AX874" s="15"/>
      <c r="AY874" s="15"/>
      <c r="AZ874" s="18"/>
      <c r="BA874" s="18"/>
      <c r="BB874" s="19">
        <v>0</v>
      </c>
      <c r="BC874" s="19">
        <v>0</v>
      </c>
      <c r="BD874" s="19">
        <v>0</v>
      </c>
      <c r="BE874" s="19">
        <v>0</v>
      </c>
      <c r="BF874" s="19">
        <v>0</v>
      </c>
      <c r="BG874" s="19">
        <v>0</v>
      </c>
      <c r="BH874" s="19">
        <v>0</v>
      </c>
      <c r="BI874" s="19">
        <v>0</v>
      </c>
      <c r="BJ874" s="19">
        <v>0</v>
      </c>
      <c r="BK874" s="18"/>
      <c r="BL874" s="18"/>
      <c r="BM874" s="19">
        <v>0</v>
      </c>
      <c r="BN874" s="19">
        <v>0</v>
      </c>
      <c r="BO874" s="19">
        <v>0</v>
      </c>
      <c r="BP874" s="19">
        <v>0</v>
      </c>
      <c r="BQ874" s="19">
        <v>0</v>
      </c>
      <c r="BR874" s="19">
        <v>0</v>
      </c>
      <c r="BS874" s="19">
        <v>0</v>
      </c>
      <c r="BT874" s="19">
        <v>0</v>
      </c>
      <c r="BU874" s="19">
        <v>0</v>
      </c>
    </row>
    <row r="875" spans="3:73" x14ac:dyDescent="0.45">
      <c r="C875" t="s">
        <v>328</v>
      </c>
      <c r="D875" t="s">
        <v>327</v>
      </c>
      <c r="E875" t="s">
        <v>289</v>
      </c>
      <c r="J875" s="7">
        <v>1</v>
      </c>
      <c r="K875" s="7"/>
      <c r="L875" s="7"/>
      <c r="M875" s="7"/>
      <c r="N875" s="7"/>
      <c r="O875" s="7"/>
      <c r="P875" s="7"/>
      <c r="Q875" s="7">
        <v>1</v>
      </c>
      <c r="R875" s="7"/>
      <c r="S875" s="7"/>
      <c r="T875" s="7"/>
      <c r="U875" s="7"/>
      <c r="V875" s="7"/>
      <c r="AR875" s="15" t="s">
        <v>328</v>
      </c>
      <c r="AS875" s="15" t="s">
        <v>369</v>
      </c>
      <c r="AT875" s="15"/>
      <c r="AU875" s="15"/>
      <c r="AV875" s="15" t="s">
        <v>489</v>
      </c>
      <c r="AW875" s="15"/>
      <c r="AX875" s="15"/>
      <c r="AY875" s="15"/>
      <c r="AZ875" s="18"/>
      <c r="BA875" s="18"/>
      <c r="BB875" s="19">
        <v>1.4E-2</v>
      </c>
      <c r="BC875" s="19">
        <v>1.44E-2</v>
      </c>
      <c r="BD875" s="19">
        <v>1.4800000000000001E-2</v>
      </c>
      <c r="BE875" s="19">
        <v>1.6E-2</v>
      </c>
      <c r="BF875" s="19">
        <v>1.72E-2</v>
      </c>
      <c r="BG875" s="19">
        <v>1.8800000000000001E-2</v>
      </c>
      <c r="BH875" s="19">
        <v>2.0500000000000001E-2</v>
      </c>
      <c r="BI875" s="19">
        <v>2.24E-2</v>
      </c>
      <c r="BJ875" s="19">
        <v>2.4500000000000001E-2</v>
      </c>
      <c r="BK875" s="18"/>
      <c r="BL875" s="18"/>
      <c r="BM875" s="19">
        <v>1.52E-2</v>
      </c>
      <c r="BN875" s="19">
        <v>1.7100000000000001E-2</v>
      </c>
      <c r="BO875" s="19">
        <v>1.9300000000000001E-2</v>
      </c>
      <c r="BP875" s="19">
        <v>2.0799999999999999E-2</v>
      </c>
      <c r="BQ875" s="19">
        <v>2.24E-2</v>
      </c>
      <c r="BR875" s="19">
        <v>2.2700000000000001E-2</v>
      </c>
      <c r="BS875" s="19">
        <v>2.3E-2</v>
      </c>
      <c r="BT875" s="19">
        <v>2.3400000000000001E-2</v>
      </c>
      <c r="BU875" s="19">
        <v>2.3699999999999999E-2</v>
      </c>
    </row>
    <row r="876" spans="3:73" x14ac:dyDescent="0.45">
      <c r="C876" t="s">
        <v>328</v>
      </c>
      <c r="D876" t="s">
        <v>327</v>
      </c>
      <c r="E876" t="s">
        <v>290</v>
      </c>
      <c r="J876" s="7">
        <v>1</v>
      </c>
      <c r="K876" s="7"/>
      <c r="L876" s="7"/>
      <c r="M876" s="7"/>
      <c r="N876" s="7"/>
      <c r="O876" s="7"/>
      <c r="P876" s="7"/>
      <c r="Q876" s="7">
        <v>1</v>
      </c>
      <c r="R876" s="7"/>
      <c r="S876" s="7"/>
      <c r="T876" s="7"/>
      <c r="U876" s="7"/>
      <c r="V876" s="7"/>
      <c r="AR876" s="15" t="s">
        <v>328</v>
      </c>
      <c r="AS876" s="15" t="s">
        <v>369</v>
      </c>
      <c r="AT876" s="15"/>
      <c r="AU876" s="15"/>
      <c r="AV876" s="15" t="s">
        <v>490</v>
      </c>
      <c r="AW876" s="15"/>
      <c r="AX876" s="15"/>
      <c r="AY876" s="15"/>
      <c r="AZ876" s="18"/>
      <c r="BA876" s="18"/>
      <c r="BB876" s="19">
        <v>0.3422</v>
      </c>
      <c r="BC876" s="19">
        <v>0.3422</v>
      </c>
      <c r="BD876" s="19">
        <v>0.3422</v>
      </c>
      <c r="BE876" s="19">
        <v>0.3422</v>
      </c>
      <c r="BF876" s="19">
        <v>0.3422</v>
      </c>
      <c r="BG876" s="19">
        <v>0.3422</v>
      </c>
      <c r="BH876" s="19">
        <v>0.3422</v>
      </c>
      <c r="BI876" s="19">
        <v>0.3422</v>
      </c>
      <c r="BJ876" s="19">
        <v>0.3422</v>
      </c>
      <c r="BK876" s="18"/>
      <c r="BL876" s="18"/>
      <c r="BM876" s="19">
        <v>0.38490000000000002</v>
      </c>
      <c r="BN876" s="19">
        <v>0.433</v>
      </c>
      <c r="BO876" s="19">
        <v>0.48699999999999999</v>
      </c>
      <c r="BP876" s="19">
        <v>0.52449999999999997</v>
      </c>
      <c r="BQ876" s="19">
        <v>0.56479999999999997</v>
      </c>
      <c r="BR876" s="19">
        <v>0.57330000000000003</v>
      </c>
      <c r="BS876" s="19">
        <v>0.58199999999999996</v>
      </c>
      <c r="BT876" s="19">
        <v>0.59079999999999999</v>
      </c>
      <c r="BU876" s="19">
        <v>0.59970000000000001</v>
      </c>
    </row>
    <row r="877" spans="3:73" x14ac:dyDescent="0.45">
      <c r="C877" t="s">
        <v>328</v>
      </c>
      <c r="D877" t="s">
        <v>327</v>
      </c>
      <c r="E877" t="s">
        <v>291</v>
      </c>
      <c r="J877" s="7">
        <v>1</v>
      </c>
      <c r="K877" s="7"/>
      <c r="L877" s="7"/>
      <c r="M877" s="7"/>
      <c r="N877" s="7"/>
      <c r="O877" s="7"/>
      <c r="P877" s="7"/>
      <c r="Q877" s="7">
        <v>1</v>
      </c>
      <c r="R877" s="7"/>
      <c r="S877" s="7"/>
      <c r="T877" s="7"/>
      <c r="U877" s="7"/>
      <c r="V877" s="7"/>
      <c r="AR877" s="15" t="s">
        <v>328</v>
      </c>
      <c r="AS877" s="15" t="s">
        <v>369</v>
      </c>
      <c r="AT877" s="15"/>
      <c r="AU877" s="15"/>
      <c r="AV877" s="15" t="s">
        <v>491</v>
      </c>
      <c r="AW877" s="15"/>
      <c r="AX877" s="15"/>
      <c r="AY877" s="15"/>
      <c r="AZ877" s="18"/>
      <c r="BA877" s="18"/>
      <c r="BB877" s="19">
        <v>1.3781000000000001</v>
      </c>
      <c r="BC877" s="19">
        <v>1.3781000000000001</v>
      </c>
      <c r="BD877" s="19">
        <v>1.3781000000000001</v>
      </c>
      <c r="BE877" s="19">
        <v>1.3781000000000001</v>
      </c>
      <c r="BF877" s="19">
        <v>1.3781000000000001</v>
      </c>
      <c r="BG877" s="19">
        <v>1.3781000000000001</v>
      </c>
      <c r="BH877" s="19">
        <v>1.3781000000000001</v>
      </c>
      <c r="BI877" s="19">
        <v>1.3781000000000001</v>
      </c>
      <c r="BJ877" s="19">
        <v>1.3781000000000001</v>
      </c>
      <c r="BK877" s="18"/>
      <c r="BL877" s="18"/>
      <c r="BM877" s="19">
        <v>1.5501</v>
      </c>
      <c r="BN877" s="19">
        <v>1.7437</v>
      </c>
      <c r="BO877" s="19">
        <v>1.9614</v>
      </c>
      <c r="BP877" s="19">
        <v>2.1122000000000001</v>
      </c>
      <c r="BQ877" s="19">
        <v>2.2746</v>
      </c>
      <c r="BR877" s="19">
        <v>2.3089</v>
      </c>
      <c r="BS877" s="19">
        <v>2.3437000000000001</v>
      </c>
      <c r="BT877" s="19">
        <v>2.3791000000000002</v>
      </c>
      <c r="BU877" s="19">
        <v>2.4148999999999998</v>
      </c>
    </row>
    <row r="878" spans="3:73" x14ac:dyDescent="0.45">
      <c r="C878" t="s">
        <v>328</v>
      </c>
      <c r="D878" t="s">
        <v>327</v>
      </c>
      <c r="E878" t="s">
        <v>292</v>
      </c>
      <c r="J878" s="7">
        <v>1</v>
      </c>
      <c r="K878" s="7"/>
      <c r="L878" s="7"/>
      <c r="M878" s="7"/>
      <c r="N878" s="7"/>
      <c r="O878" s="7"/>
      <c r="P878" s="7"/>
      <c r="Q878" s="7">
        <v>1</v>
      </c>
      <c r="R878" s="7"/>
      <c r="S878" s="7"/>
      <c r="T878" s="7"/>
      <c r="U878" s="7"/>
      <c r="V878" s="7"/>
      <c r="AR878" s="15" t="s">
        <v>328</v>
      </c>
      <c r="AS878" s="15" t="s">
        <v>369</v>
      </c>
      <c r="AT878" s="15"/>
      <c r="AU878" s="15"/>
      <c r="AV878" s="15" t="s">
        <v>492</v>
      </c>
      <c r="AW878" s="15"/>
      <c r="AX878" s="15"/>
      <c r="AY878" s="15"/>
      <c r="AZ878" s="18"/>
      <c r="BA878" s="18"/>
      <c r="BB878" s="19">
        <v>1.4360999999999999</v>
      </c>
      <c r="BC878" s="19">
        <v>1.4796</v>
      </c>
      <c r="BD878" s="19">
        <v>1.5244</v>
      </c>
      <c r="BE878" s="19">
        <v>1.6415999999999999</v>
      </c>
      <c r="BF878" s="19">
        <v>1.7678</v>
      </c>
      <c r="BG878" s="19">
        <v>1.9318</v>
      </c>
      <c r="BH878" s="19">
        <v>2.1109</v>
      </c>
      <c r="BI878" s="19">
        <v>2.3066</v>
      </c>
      <c r="BJ878" s="19">
        <v>2.5205000000000002</v>
      </c>
      <c r="BK878" s="18"/>
      <c r="BL878" s="18"/>
      <c r="BM878" s="19">
        <v>1.5679000000000001</v>
      </c>
      <c r="BN878" s="19">
        <v>1.7636000000000001</v>
      </c>
      <c r="BO878" s="19">
        <v>1.9839</v>
      </c>
      <c r="BP878" s="19">
        <v>2.1364000000000001</v>
      </c>
      <c r="BQ878" s="19">
        <v>2.3007</v>
      </c>
      <c r="BR878" s="19">
        <v>2.3353000000000002</v>
      </c>
      <c r="BS878" s="19">
        <v>2.3704999999999998</v>
      </c>
      <c r="BT878" s="19">
        <v>2.4062999999999999</v>
      </c>
      <c r="BU878" s="19">
        <v>2.4426000000000001</v>
      </c>
    </row>
    <row r="879" spans="3:73" x14ac:dyDescent="0.45">
      <c r="C879" t="s">
        <v>328</v>
      </c>
      <c r="D879" t="s">
        <v>327</v>
      </c>
      <c r="E879" t="s">
        <v>293</v>
      </c>
      <c r="J879" s="7">
        <v>1</v>
      </c>
      <c r="K879" s="7"/>
      <c r="L879" s="7"/>
      <c r="M879" s="7"/>
      <c r="N879" s="7"/>
      <c r="O879" s="7"/>
      <c r="P879" s="7"/>
      <c r="Q879" s="7">
        <v>1</v>
      </c>
      <c r="R879" s="7"/>
      <c r="S879" s="7"/>
      <c r="T879" s="7"/>
      <c r="U879" s="7"/>
      <c r="V879" s="7"/>
      <c r="AR879" s="15" t="s">
        <v>328</v>
      </c>
      <c r="AS879" s="15" t="s">
        <v>369</v>
      </c>
      <c r="AT879" s="15"/>
      <c r="AU879" s="15"/>
      <c r="AV879" s="15" t="s">
        <v>493</v>
      </c>
      <c r="AW879" s="15"/>
      <c r="AX879" s="15"/>
      <c r="AY879" s="15"/>
      <c r="AZ879" s="18"/>
      <c r="BA879" s="18"/>
      <c r="BB879" s="19">
        <v>2.8E-3</v>
      </c>
      <c r="BC879" s="19">
        <v>2.8E-3</v>
      </c>
      <c r="BD879" s="19">
        <v>2.8E-3</v>
      </c>
      <c r="BE879" s="19">
        <v>2.8E-3</v>
      </c>
      <c r="BF879" s="19">
        <v>2.8E-3</v>
      </c>
      <c r="BG879" s="19">
        <v>2.8E-3</v>
      </c>
      <c r="BH879" s="19">
        <v>2.8E-3</v>
      </c>
      <c r="BI879" s="19">
        <v>2.8E-3</v>
      </c>
      <c r="BJ879" s="19">
        <v>2.8E-3</v>
      </c>
      <c r="BK879" s="18"/>
      <c r="BL879" s="18"/>
      <c r="BM879" s="19">
        <v>3.2000000000000002E-3</v>
      </c>
      <c r="BN879" s="19">
        <v>3.5999999999999999E-3</v>
      </c>
      <c r="BO879" s="19">
        <v>4.0000000000000001E-3</v>
      </c>
      <c r="BP879" s="19">
        <v>4.3E-3</v>
      </c>
      <c r="BQ879" s="19">
        <v>4.7000000000000002E-3</v>
      </c>
      <c r="BR879" s="19">
        <v>4.7000000000000002E-3</v>
      </c>
      <c r="BS879" s="19">
        <v>4.7999999999999996E-3</v>
      </c>
      <c r="BT879" s="19">
        <v>4.8999999999999998E-3</v>
      </c>
      <c r="BU879" s="19">
        <v>4.8999999999999998E-3</v>
      </c>
    </row>
    <row r="880" spans="3:73" x14ac:dyDescent="0.45">
      <c r="C880" t="s">
        <v>328</v>
      </c>
      <c r="D880" t="s">
        <v>327</v>
      </c>
      <c r="E880" t="s">
        <v>294</v>
      </c>
      <c r="J880" s="7">
        <v>1</v>
      </c>
      <c r="K880" s="7"/>
      <c r="L880" s="7"/>
      <c r="M880" s="7"/>
      <c r="N880" s="7"/>
      <c r="O880" s="7"/>
      <c r="P880" s="7"/>
      <c r="Q880" s="7">
        <v>1</v>
      </c>
      <c r="R880" s="7"/>
      <c r="S880" s="7"/>
      <c r="T880" s="7"/>
      <c r="U880" s="7"/>
      <c r="V880" s="7"/>
      <c r="AR880" s="15" t="s">
        <v>328</v>
      </c>
      <c r="AS880" s="15" t="s">
        <v>369</v>
      </c>
      <c r="AT880" s="15"/>
      <c r="AU880" s="15"/>
      <c r="AV880" s="15" t="s">
        <v>494</v>
      </c>
      <c r="AW880" s="15"/>
      <c r="AX880" s="15"/>
      <c r="AY880" s="15"/>
      <c r="AZ880" s="18"/>
      <c r="BA880" s="18"/>
      <c r="BB880" s="19">
        <v>0.90580000000000005</v>
      </c>
      <c r="BC880" s="19">
        <v>0.90580000000000005</v>
      </c>
      <c r="BD880" s="19">
        <v>0.90580000000000005</v>
      </c>
      <c r="BE880" s="19">
        <v>0.90580000000000005</v>
      </c>
      <c r="BF880" s="19">
        <v>0.90580000000000005</v>
      </c>
      <c r="BG880" s="19">
        <v>0.90580000000000005</v>
      </c>
      <c r="BH880" s="19">
        <v>0.90580000000000005</v>
      </c>
      <c r="BI880" s="19">
        <v>0.90580000000000005</v>
      </c>
      <c r="BJ880" s="19">
        <v>0.90580000000000005</v>
      </c>
      <c r="BK880" s="18"/>
      <c r="BL880" s="18"/>
      <c r="BM880" s="19">
        <v>1.0188999999999999</v>
      </c>
      <c r="BN880" s="19">
        <v>1.1460999999999999</v>
      </c>
      <c r="BO880" s="19">
        <v>1.2891999999999999</v>
      </c>
      <c r="BP880" s="19">
        <v>1.3883000000000001</v>
      </c>
      <c r="BQ880" s="19">
        <v>1.4951000000000001</v>
      </c>
      <c r="BR880" s="19">
        <v>1.5176000000000001</v>
      </c>
      <c r="BS880" s="19">
        <v>1.5405</v>
      </c>
      <c r="BT880" s="19">
        <v>1.5637000000000001</v>
      </c>
      <c r="BU880" s="19">
        <v>1.5872999999999999</v>
      </c>
    </row>
    <row r="881" spans="3:73" x14ac:dyDescent="0.45">
      <c r="C881" t="s">
        <v>328</v>
      </c>
      <c r="D881" t="s">
        <v>327</v>
      </c>
      <c r="E881" t="s">
        <v>295</v>
      </c>
      <c r="J881" s="7">
        <v>1</v>
      </c>
      <c r="K881" s="7"/>
      <c r="L881" s="7"/>
      <c r="M881" s="7"/>
      <c r="N881" s="7"/>
      <c r="O881" s="7"/>
      <c r="P881" s="7"/>
      <c r="Q881" s="7">
        <v>1</v>
      </c>
      <c r="R881" s="7"/>
      <c r="S881" s="7"/>
      <c r="T881" s="7"/>
      <c r="U881" s="7"/>
      <c r="V881" s="7"/>
      <c r="AR881" s="15" t="s">
        <v>328</v>
      </c>
      <c r="AS881" s="15" t="s">
        <v>369</v>
      </c>
      <c r="AT881" s="15"/>
      <c r="AU881" s="15"/>
      <c r="AV881" s="15" t="s">
        <v>495</v>
      </c>
      <c r="AW881" s="15"/>
      <c r="AX881" s="15"/>
      <c r="AY881" s="15"/>
      <c r="AZ881" s="18"/>
      <c r="BA881" s="18"/>
      <c r="BB881" s="19">
        <v>0</v>
      </c>
      <c r="BC881" s="19">
        <v>0</v>
      </c>
      <c r="BD881" s="19">
        <v>0</v>
      </c>
      <c r="BE881" s="19">
        <v>0</v>
      </c>
      <c r="BF881" s="19">
        <v>0</v>
      </c>
      <c r="BG881" s="19">
        <v>0</v>
      </c>
      <c r="BH881" s="19">
        <v>0</v>
      </c>
      <c r="BI881" s="19">
        <v>0</v>
      </c>
      <c r="BJ881" s="19">
        <v>0</v>
      </c>
      <c r="BK881" s="18"/>
      <c r="BL881" s="18"/>
      <c r="BM881" s="19">
        <v>0</v>
      </c>
      <c r="BN881" s="19">
        <v>0</v>
      </c>
      <c r="BO881" s="19">
        <v>0</v>
      </c>
      <c r="BP881" s="19">
        <v>0</v>
      </c>
      <c r="BQ881" s="19">
        <v>0</v>
      </c>
      <c r="BR881" s="19">
        <v>0</v>
      </c>
      <c r="BS881" s="19">
        <v>0</v>
      </c>
      <c r="BT881" s="19">
        <v>0</v>
      </c>
      <c r="BU881" s="19">
        <v>0</v>
      </c>
    </row>
    <row r="882" spans="3:73" x14ac:dyDescent="0.45">
      <c r="C882" t="s">
        <v>328</v>
      </c>
      <c r="D882" t="s">
        <v>327</v>
      </c>
      <c r="E882" t="s">
        <v>296</v>
      </c>
      <c r="J882" s="7">
        <v>1</v>
      </c>
      <c r="K882" s="7"/>
      <c r="L882" s="7"/>
      <c r="M882" s="7"/>
      <c r="N882" s="7"/>
      <c r="O882" s="7"/>
      <c r="P882" s="7"/>
      <c r="Q882" s="7">
        <v>1</v>
      </c>
      <c r="R882" s="7"/>
      <c r="S882" s="7"/>
      <c r="T882" s="7"/>
      <c r="U882" s="7"/>
      <c r="V882" s="7"/>
      <c r="AR882" s="15" t="s">
        <v>328</v>
      </c>
      <c r="AS882" s="15" t="s">
        <v>369</v>
      </c>
      <c r="AT882" s="15"/>
      <c r="AU882" s="15"/>
      <c r="AV882" s="15" t="s">
        <v>496</v>
      </c>
      <c r="AW882" s="15"/>
      <c r="AX882" s="15"/>
      <c r="AY882" s="15"/>
      <c r="AZ882" s="18"/>
      <c r="BA882" s="18"/>
      <c r="BB882" s="19">
        <v>1.7100000000000001E-2</v>
      </c>
      <c r="BC882" s="19">
        <v>1.8200000000000001E-2</v>
      </c>
      <c r="BD882" s="19">
        <v>1.8700000000000001E-2</v>
      </c>
      <c r="BE882" s="19">
        <v>2.0199999999999999E-2</v>
      </c>
      <c r="BF882" s="19">
        <v>2.1700000000000001E-2</v>
      </c>
      <c r="BG882" s="19">
        <v>2.3699999999999999E-2</v>
      </c>
      <c r="BH882" s="19">
        <v>2.5899999999999999E-2</v>
      </c>
      <c r="BI882" s="19">
        <v>2.8299999999999999E-2</v>
      </c>
      <c r="BJ882" s="19">
        <v>3.09E-2</v>
      </c>
      <c r="BK882" s="18"/>
      <c r="BL882" s="18"/>
      <c r="BM882" s="19">
        <v>1.9300000000000001E-2</v>
      </c>
      <c r="BN882" s="19">
        <v>2.1700000000000001E-2</v>
      </c>
      <c r="BO882" s="19">
        <v>2.4400000000000002E-2</v>
      </c>
      <c r="BP882" s="19">
        <v>2.6200000000000001E-2</v>
      </c>
      <c r="BQ882" s="19">
        <v>2.8199999999999999E-2</v>
      </c>
      <c r="BR882" s="19">
        <v>2.87E-2</v>
      </c>
      <c r="BS882" s="19">
        <v>2.9100000000000001E-2</v>
      </c>
      <c r="BT882" s="19">
        <v>2.9499999999999998E-2</v>
      </c>
      <c r="BU882" s="19">
        <v>0.03</v>
      </c>
    </row>
    <row r="883" spans="3:73" x14ac:dyDescent="0.45">
      <c r="C883" t="s">
        <v>328</v>
      </c>
      <c r="D883" t="s">
        <v>327</v>
      </c>
      <c r="E883" t="s">
        <v>297</v>
      </c>
      <c r="J883" s="7">
        <v>31.536000000000001</v>
      </c>
      <c r="K883" s="7"/>
      <c r="L883" s="7"/>
      <c r="M883" s="7"/>
      <c r="N883" s="7"/>
      <c r="O883" s="7"/>
      <c r="P883" s="7"/>
      <c r="Q883" s="7">
        <v>31.536000000000001</v>
      </c>
      <c r="R883" s="7"/>
      <c r="S883" s="7"/>
      <c r="T883" s="7"/>
      <c r="U883" s="7"/>
      <c r="V883" s="7"/>
      <c r="AR883" s="15" t="s">
        <v>328</v>
      </c>
      <c r="AS883" s="15" t="s">
        <v>369</v>
      </c>
      <c r="AT883" s="15"/>
      <c r="AU883" s="15"/>
      <c r="AV883" s="15" t="s">
        <v>497</v>
      </c>
      <c r="AW883" s="15"/>
      <c r="AX883" s="15"/>
      <c r="AY883" s="15"/>
      <c r="AZ883" s="18"/>
      <c r="BA883" s="18"/>
      <c r="BB883" s="19">
        <v>1E-4</v>
      </c>
      <c r="BC883" s="19">
        <v>1E-4</v>
      </c>
      <c r="BD883" s="19">
        <v>1E-4</v>
      </c>
      <c r="BE883" s="19">
        <v>1E-4</v>
      </c>
      <c r="BF883" s="19">
        <v>1E-4</v>
      </c>
      <c r="BG883" s="19">
        <v>1E-4</v>
      </c>
      <c r="BH883" s="19">
        <v>1E-4</v>
      </c>
      <c r="BI883" s="19">
        <v>1E-4</v>
      </c>
      <c r="BJ883" s="19">
        <v>1E-4</v>
      </c>
      <c r="BK883" s="18"/>
      <c r="BL883" s="18"/>
      <c r="BM883" s="19">
        <v>1E-4</v>
      </c>
      <c r="BN883" s="19">
        <v>1E-4</v>
      </c>
      <c r="BO883" s="19">
        <v>1E-4</v>
      </c>
      <c r="BP883" s="19">
        <v>1E-4</v>
      </c>
      <c r="BQ883" s="19">
        <v>1E-4</v>
      </c>
      <c r="BR883" s="19">
        <v>1E-4</v>
      </c>
      <c r="BS883" s="19">
        <v>1E-4</v>
      </c>
      <c r="BT883" s="19">
        <v>1E-4</v>
      </c>
      <c r="BU883" s="19">
        <v>1E-4</v>
      </c>
    </row>
    <row r="884" spans="3:73" x14ac:dyDescent="0.45">
      <c r="C884" t="s">
        <v>328</v>
      </c>
      <c r="D884" t="s">
        <v>327</v>
      </c>
      <c r="E884" t="s">
        <v>298</v>
      </c>
      <c r="J884" s="7">
        <v>31.536000000000001</v>
      </c>
      <c r="K884" s="7"/>
      <c r="L884" s="7"/>
      <c r="M884" s="7"/>
      <c r="N884" s="7"/>
      <c r="O884" s="7"/>
      <c r="P884" s="7"/>
      <c r="Q884" s="7">
        <v>31.536000000000001</v>
      </c>
      <c r="R884" s="7"/>
      <c r="S884" s="7"/>
      <c r="T884" s="7"/>
      <c r="U884" s="7"/>
      <c r="V884" s="7"/>
      <c r="AR884" s="15" t="s">
        <v>328</v>
      </c>
      <c r="AS884" s="15" t="s">
        <v>369</v>
      </c>
      <c r="AT884" s="15"/>
      <c r="AU884" s="15"/>
      <c r="AV884" s="15" t="s">
        <v>498</v>
      </c>
      <c r="AW884" s="15"/>
      <c r="AX884" s="15"/>
      <c r="AY884" s="15"/>
      <c r="AZ884" s="18"/>
      <c r="BA884" s="18"/>
      <c r="BB884" s="19">
        <v>1.4200000000000001E-2</v>
      </c>
      <c r="BC884" s="19">
        <v>1.4200000000000001E-2</v>
      </c>
      <c r="BD884" s="19">
        <v>1.4200000000000001E-2</v>
      </c>
      <c r="BE884" s="19">
        <v>1.4200000000000001E-2</v>
      </c>
      <c r="BF884" s="19">
        <v>1.4200000000000001E-2</v>
      </c>
      <c r="BG884" s="19">
        <v>1.4200000000000001E-2</v>
      </c>
      <c r="BH884" s="19">
        <v>1.4200000000000001E-2</v>
      </c>
      <c r="BI884" s="19">
        <v>1.4200000000000001E-2</v>
      </c>
      <c r="BJ884" s="19">
        <v>1.4200000000000001E-2</v>
      </c>
      <c r="BK884" s="18"/>
      <c r="BL884" s="18"/>
      <c r="BM884" s="19">
        <v>1.4200000000000001E-2</v>
      </c>
      <c r="BN884" s="19">
        <v>1.4200000000000001E-2</v>
      </c>
      <c r="BO884" s="19">
        <v>1.4200000000000001E-2</v>
      </c>
      <c r="BP884" s="19">
        <v>1.4200000000000001E-2</v>
      </c>
      <c r="BQ884" s="19">
        <v>1.4200000000000001E-2</v>
      </c>
      <c r="BR884" s="19">
        <v>1.4200000000000001E-2</v>
      </c>
      <c r="BS884" s="19">
        <v>1.4200000000000001E-2</v>
      </c>
      <c r="BT884" s="19">
        <v>1.4200000000000001E-2</v>
      </c>
      <c r="BU884" s="19">
        <v>1.4200000000000001E-2</v>
      </c>
    </row>
    <row r="885" spans="3:73" x14ac:dyDescent="0.45">
      <c r="C885" t="s">
        <v>328</v>
      </c>
      <c r="D885" t="s">
        <v>327</v>
      </c>
      <c r="E885" t="s">
        <v>299</v>
      </c>
      <c r="J885" s="7">
        <v>31.536000000000001</v>
      </c>
      <c r="K885" s="7"/>
      <c r="L885" s="7"/>
      <c r="M885" s="7"/>
      <c r="N885" s="7"/>
      <c r="O885" s="7"/>
      <c r="P885" s="7"/>
      <c r="Q885" s="7">
        <v>31.536000000000001</v>
      </c>
      <c r="R885" s="7"/>
      <c r="S885" s="7"/>
      <c r="T885" s="7"/>
      <c r="U885" s="7"/>
      <c r="V885" s="7"/>
      <c r="AR885" s="15" t="s">
        <v>328</v>
      </c>
      <c r="AS885" s="15" t="s">
        <v>369</v>
      </c>
      <c r="AT885" s="15"/>
      <c r="AU885" s="15"/>
      <c r="AV885" s="15" t="s">
        <v>499</v>
      </c>
      <c r="AW885" s="15"/>
      <c r="AX885" s="15"/>
      <c r="AY885" s="15"/>
      <c r="AZ885" s="18"/>
      <c r="BA885" s="18"/>
      <c r="BB885" s="19">
        <v>6.9999999999999999E-4</v>
      </c>
      <c r="BC885" s="19">
        <v>6.9999999999999999E-4</v>
      </c>
      <c r="BD885" s="19">
        <v>6.9999999999999999E-4</v>
      </c>
      <c r="BE885" s="19">
        <v>6.9999999999999999E-4</v>
      </c>
      <c r="BF885" s="19">
        <v>6.9999999999999999E-4</v>
      </c>
      <c r="BG885" s="19">
        <v>6.9999999999999999E-4</v>
      </c>
      <c r="BH885" s="19">
        <v>6.9999999999999999E-4</v>
      </c>
      <c r="BI885" s="19">
        <v>6.9999999999999999E-4</v>
      </c>
      <c r="BJ885" s="19">
        <v>6.9999999999999999E-4</v>
      </c>
      <c r="BK885" s="18"/>
      <c r="BL885" s="18"/>
      <c r="BM885" s="19">
        <v>6.9999999999999999E-4</v>
      </c>
      <c r="BN885" s="19">
        <v>6.9999999999999999E-4</v>
      </c>
      <c r="BO885" s="19">
        <v>6.9999999999999999E-4</v>
      </c>
      <c r="BP885" s="19">
        <v>6.9999999999999999E-4</v>
      </c>
      <c r="BQ885" s="19">
        <v>6.9999999999999999E-4</v>
      </c>
      <c r="BR885" s="19">
        <v>6.9999999999999999E-4</v>
      </c>
      <c r="BS885" s="19">
        <v>6.9999999999999999E-4</v>
      </c>
      <c r="BT885" s="19">
        <v>6.9999999999999999E-4</v>
      </c>
      <c r="BU885" s="19">
        <v>6.9999999999999999E-4</v>
      </c>
    </row>
    <row r="886" spans="3:73" x14ac:dyDescent="0.45">
      <c r="C886" t="s">
        <v>328</v>
      </c>
      <c r="D886" t="s">
        <v>327</v>
      </c>
      <c r="E886" t="s">
        <v>300</v>
      </c>
      <c r="J886" s="7">
        <v>31.536000000000001</v>
      </c>
      <c r="K886" s="7"/>
      <c r="L886" s="7"/>
      <c r="M886" s="7"/>
      <c r="N886" s="7"/>
      <c r="O886" s="7"/>
      <c r="P886" s="7"/>
      <c r="Q886" s="7">
        <v>31.536000000000001</v>
      </c>
      <c r="R886" s="7"/>
      <c r="S886" s="7"/>
      <c r="T886" s="7"/>
      <c r="U886" s="7"/>
      <c r="V886" s="7"/>
      <c r="AR886" s="15" t="s">
        <v>328</v>
      </c>
      <c r="AS886" s="15" t="s">
        <v>369</v>
      </c>
      <c r="AT886" s="15"/>
      <c r="AU886" s="15"/>
      <c r="AV886" s="15" t="s">
        <v>500</v>
      </c>
      <c r="AW886" s="15"/>
      <c r="AX886" s="15"/>
      <c r="AY886" s="15"/>
      <c r="AZ886" s="18"/>
      <c r="BA886" s="18"/>
      <c r="BB886" s="19">
        <v>0</v>
      </c>
      <c r="BC886" s="19">
        <v>0</v>
      </c>
      <c r="BD886" s="19">
        <v>0</v>
      </c>
      <c r="BE886" s="19">
        <v>0</v>
      </c>
      <c r="BF886" s="19">
        <v>0</v>
      </c>
      <c r="BG886" s="19">
        <v>0</v>
      </c>
      <c r="BH886" s="19">
        <v>0</v>
      </c>
      <c r="BI886" s="19">
        <v>0</v>
      </c>
      <c r="BJ886" s="19">
        <v>0</v>
      </c>
      <c r="BK886" s="18"/>
      <c r="BL886" s="18"/>
      <c r="BM886" s="19">
        <v>0</v>
      </c>
      <c r="BN886" s="19">
        <v>0</v>
      </c>
      <c r="BO886" s="19">
        <v>0</v>
      </c>
      <c r="BP886" s="19">
        <v>0</v>
      </c>
      <c r="BQ886" s="19">
        <v>0</v>
      </c>
      <c r="BR886" s="19">
        <v>0</v>
      </c>
      <c r="BS886" s="19">
        <v>0</v>
      </c>
      <c r="BT886" s="19">
        <v>0</v>
      </c>
      <c r="BU886" s="19">
        <v>0</v>
      </c>
    </row>
    <row r="887" spans="3:73" x14ac:dyDescent="0.45">
      <c r="C887" t="s">
        <v>328</v>
      </c>
      <c r="D887" t="s">
        <v>327</v>
      </c>
      <c r="E887" t="s">
        <v>302</v>
      </c>
      <c r="J887" s="7">
        <v>31.536000000000001</v>
      </c>
      <c r="K887" s="7"/>
      <c r="L887" s="7"/>
      <c r="M887" s="7"/>
      <c r="N887" s="7"/>
      <c r="O887" s="7"/>
      <c r="P887" s="7"/>
      <c r="Q887" s="7">
        <v>31.536000000000001</v>
      </c>
      <c r="R887" s="7"/>
      <c r="S887" s="7"/>
      <c r="T887" s="7"/>
      <c r="U887" s="7"/>
      <c r="V887" s="7"/>
      <c r="AR887" s="15" t="s">
        <v>328</v>
      </c>
      <c r="AS887" s="15" t="s">
        <v>369</v>
      </c>
      <c r="AT887" s="15"/>
      <c r="AU887" s="15"/>
      <c r="AV887" s="15" t="s">
        <v>501</v>
      </c>
      <c r="AW887" s="15"/>
      <c r="AX887" s="15"/>
      <c r="AY887" s="15"/>
      <c r="AZ887" s="18"/>
      <c r="BA887" s="18"/>
      <c r="BB887" s="19">
        <v>0</v>
      </c>
      <c r="BC887" s="19">
        <v>0</v>
      </c>
      <c r="BD887" s="19">
        <v>0</v>
      </c>
      <c r="BE887" s="19">
        <v>0</v>
      </c>
      <c r="BF887" s="19">
        <v>0</v>
      </c>
      <c r="BG887" s="19">
        <v>0</v>
      </c>
      <c r="BH887" s="19">
        <v>0</v>
      </c>
      <c r="BI887" s="19">
        <v>0</v>
      </c>
      <c r="BJ887" s="19">
        <v>0</v>
      </c>
      <c r="BK887" s="18"/>
      <c r="BL887" s="18"/>
      <c r="BM887" s="19">
        <v>0</v>
      </c>
      <c r="BN887" s="19">
        <v>0</v>
      </c>
      <c r="BO887" s="19">
        <v>0</v>
      </c>
      <c r="BP887" s="19">
        <v>0</v>
      </c>
      <c r="BQ887" s="19">
        <v>0</v>
      </c>
      <c r="BR887" s="19">
        <v>0</v>
      </c>
      <c r="BS887" s="19">
        <v>0</v>
      </c>
      <c r="BT887" s="19">
        <v>0</v>
      </c>
      <c r="BU887" s="19">
        <v>0</v>
      </c>
    </row>
    <row r="888" spans="3:73" x14ac:dyDescent="0.45">
      <c r="C888" t="s">
        <v>328</v>
      </c>
      <c r="D888" t="s">
        <v>327</v>
      </c>
      <c r="E888" t="s">
        <v>303</v>
      </c>
      <c r="J888" s="7">
        <v>31.536000000000001</v>
      </c>
      <c r="K888" s="7"/>
      <c r="L888" s="7"/>
      <c r="M888" s="7"/>
      <c r="N888" s="7"/>
      <c r="O888" s="7"/>
      <c r="P888" s="7"/>
      <c r="Q888" s="7">
        <v>31.536000000000001</v>
      </c>
      <c r="R888" s="7"/>
      <c r="S888" s="7"/>
      <c r="T888" s="7"/>
      <c r="U888" s="7"/>
      <c r="V888" s="7"/>
      <c r="AR888" s="15" t="s">
        <v>328</v>
      </c>
      <c r="AS888" s="15" t="s">
        <v>369</v>
      </c>
      <c r="AT888" s="15"/>
      <c r="AU888" s="15"/>
      <c r="AV888" s="15" t="s">
        <v>502</v>
      </c>
      <c r="AW888" s="15"/>
      <c r="AX888" s="15"/>
      <c r="AY888" s="15"/>
      <c r="AZ888" s="18"/>
      <c r="BA888" s="18"/>
      <c r="BB888" s="19">
        <v>2.24E-2</v>
      </c>
      <c r="BC888" s="19">
        <v>2.24E-2</v>
      </c>
      <c r="BD888" s="19">
        <v>2.24E-2</v>
      </c>
      <c r="BE888" s="19">
        <v>2.24E-2</v>
      </c>
      <c r="BF888" s="19">
        <v>2.24E-2</v>
      </c>
      <c r="BG888" s="19">
        <v>2.24E-2</v>
      </c>
      <c r="BH888" s="19">
        <v>2.24E-2</v>
      </c>
      <c r="BI888" s="19">
        <v>2.24E-2</v>
      </c>
      <c r="BJ888" s="19">
        <v>2.24E-2</v>
      </c>
      <c r="BK888" s="18"/>
      <c r="BL888" s="18"/>
      <c r="BM888" s="19">
        <v>2.24E-2</v>
      </c>
      <c r="BN888" s="19">
        <v>2.24E-2</v>
      </c>
      <c r="BO888" s="19">
        <v>2.24E-2</v>
      </c>
      <c r="BP888" s="19">
        <v>2.24E-2</v>
      </c>
      <c r="BQ888" s="19">
        <v>2.24E-2</v>
      </c>
      <c r="BR888" s="19">
        <v>2.24E-2</v>
      </c>
      <c r="BS888" s="19">
        <v>2.24E-2</v>
      </c>
      <c r="BT888" s="19">
        <v>2.24E-2</v>
      </c>
      <c r="BU888" s="19">
        <v>2.24E-2</v>
      </c>
    </row>
    <row r="889" spans="3:73" x14ac:dyDescent="0.45">
      <c r="C889" t="s">
        <v>328</v>
      </c>
      <c r="D889" t="s">
        <v>327</v>
      </c>
      <c r="E889" t="s">
        <v>304</v>
      </c>
      <c r="J889" s="7">
        <v>31.536000000000001</v>
      </c>
      <c r="K889" s="7"/>
      <c r="L889" s="7"/>
      <c r="M889" s="7"/>
      <c r="N889" s="7"/>
      <c r="O889" s="7"/>
      <c r="P889" s="7"/>
      <c r="Q889" s="7">
        <v>31.536000000000001</v>
      </c>
      <c r="R889" s="7"/>
      <c r="S889" s="7"/>
      <c r="T889" s="7"/>
      <c r="U889" s="7"/>
      <c r="V889" s="7"/>
      <c r="AR889" s="15" t="s">
        <v>328</v>
      </c>
      <c r="AS889" s="15" t="s">
        <v>369</v>
      </c>
      <c r="AT889" s="15"/>
      <c r="AU889" s="15"/>
      <c r="AV889" s="15" t="s">
        <v>503</v>
      </c>
      <c r="AW889" s="15"/>
      <c r="AX889" s="15"/>
      <c r="AY889" s="15"/>
      <c r="AZ889" s="18"/>
      <c r="BA889" s="18"/>
      <c r="BB889" s="19">
        <v>8.9999999999999998E-4</v>
      </c>
      <c r="BC889" s="19">
        <v>8.9999999999999998E-4</v>
      </c>
      <c r="BD889" s="19">
        <v>8.9999999999999998E-4</v>
      </c>
      <c r="BE889" s="19">
        <v>8.9999999999999998E-4</v>
      </c>
      <c r="BF889" s="19">
        <v>8.9999999999999998E-4</v>
      </c>
      <c r="BG889" s="19">
        <v>8.9999999999999998E-4</v>
      </c>
      <c r="BH889" s="19">
        <v>8.9999999999999998E-4</v>
      </c>
      <c r="BI889" s="19">
        <v>8.9999999999999998E-4</v>
      </c>
      <c r="BJ889" s="19">
        <v>8.9999999999999998E-4</v>
      </c>
      <c r="BK889" s="18"/>
      <c r="BL889" s="18"/>
      <c r="BM889" s="19">
        <v>8.9999999999999998E-4</v>
      </c>
      <c r="BN889" s="19">
        <v>8.9999999999999998E-4</v>
      </c>
      <c r="BO889" s="19">
        <v>8.9999999999999998E-4</v>
      </c>
      <c r="BP889" s="19">
        <v>8.9999999999999998E-4</v>
      </c>
      <c r="BQ889" s="19">
        <v>8.9999999999999998E-4</v>
      </c>
      <c r="BR889" s="19">
        <v>8.9999999999999998E-4</v>
      </c>
      <c r="BS889" s="19">
        <v>8.9999999999999998E-4</v>
      </c>
      <c r="BT889" s="19">
        <v>8.9999999999999998E-4</v>
      </c>
      <c r="BU889" s="19">
        <v>8.9999999999999998E-4</v>
      </c>
    </row>
    <row r="890" spans="3:73" x14ac:dyDescent="0.45">
      <c r="C890" t="s">
        <v>328</v>
      </c>
      <c r="D890" t="s">
        <v>327</v>
      </c>
      <c r="E890" t="s">
        <v>305</v>
      </c>
      <c r="J890" s="7">
        <v>31.536000000000001</v>
      </c>
      <c r="K890" s="7"/>
      <c r="L890" s="7"/>
      <c r="M890" s="7"/>
      <c r="N890" s="7"/>
      <c r="O890" s="7"/>
      <c r="P890" s="7"/>
      <c r="Q890" s="7">
        <v>31.536000000000001</v>
      </c>
      <c r="R890" s="7"/>
      <c r="S890" s="7"/>
      <c r="T890" s="7"/>
      <c r="U890" s="7"/>
      <c r="V890" s="7"/>
      <c r="AR890" s="15" t="s">
        <v>328</v>
      </c>
      <c r="AS890" s="15" t="s">
        <v>369</v>
      </c>
      <c r="AT890" s="15"/>
      <c r="AU890" s="15"/>
      <c r="AV890" s="15" t="s">
        <v>504</v>
      </c>
      <c r="AW890" s="15"/>
      <c r="AX890" s="15"/>
      <c r="AY890" s="15"/>
      <c r="AZ890" s="18"/>
      <c r="BA890" s="18"/>
      <c r="BB890" s="19">
        <v>3.3E-3</v>
      </c>
      <c r="BC890" s="19">
        <v>3.3E-3</v>
      </c>
      <c r="BD890" s="19">
        <v>3.3E-3</v>
      </c>
      <c r="BE890" s="19">
        <v>3.3E-3</v>
      </c>
      <c r="BF890" s="19">
        <v>3.3E-3</v>
      </c>
      <c r="BG890" s="19">
        <v>3.3E-3</v>
      </c>
      <c r="BH890" s="19">
        <v>3.3E-3</v>
      </c>
      <c r="BI890" s="19">
        <v>3.3E-3</v>
      </c>
      <c r="BJ890" s="19">
        <v>3.3E-3</v>
      </c>
      <c r="BK890" s="18"/>
      <c r="BL890" s="18"/>
      <c r="BM890" s="19">
        <v>3.3E-3</v>
      </c>
      <c r="BN890" s="19">
        <v>3.3E-3</v>
      </c>
      <c r="BO890" s="19">
        <v>3.3E-3</v>
      </c>
      <c r="BP890" s="19">
        <v>3.3E-3</v>
      </c>
      <c r="BQ890" s="19">
        <v>3.3E-3</v>
      </c>
      <c r="BR890" s="19">
        <v>3.3E-3</v>
      </c>
      <c r="BS890" s="19">
        <v>3.3E-3</v>
      </c>
      <c r="BT890" s="19">
        <v>3.3E-3</v>
      </c>
      <c r="BU890" s="19">
        <v>3.3E-3</v>
      </c>
    </row>
    <row r="891" spans="3:73" x14ac:dyDescent="0.45">
      <c r="C891" t="s">
        <v>328</v>
      </c>
      <c r="D891" t="s">
        <v>327</v>
      </c>
      <c r="E891" t="s">
        <v>306</v>
      </c>
      <c r="J891" s="7">
        <v>31.536000000000001</v>
      </c>
      <c r="K891" s="7"/>
      <c r="L891" s="7"/>
      <c r="M891" s="7"/>
      <c r="N891" s="7"/>
      <c r="O891" s="7"/>
      <c r="P891" s="7"/>
      <c r="Q891" s="7">
        <v>31.536000000000001</v>
      </c>
      <c r="R891" s="7"/>
      <c r="S891" s="7"/>
      <c r="T891" s="7"/>
      <c r="U891" s="7"/>
      <c r="V891" s="7"/>
      <c r="AR891" s="15" t="s">
        <v>328</v>
      </c>
      <c r="AS891" s="15" t="s">
        <v>369</v>
      </c>
      <c r="AT891" s="15"/>
      <c r="AU891" s="15"/>
      <c r="AV891" s="15" t="s">
        <v>505</v>
      </c>
      <c r="AW891" s="15"/>
      <c r="AX891" s="15"/>
      <c r="AY891" s="15"/>
      <c r="AZ891" s="18"/>
      <c r="BA891" s="18"/>
      <c r="BB891" s="19">
        <v>5.49126286939942E-2</v>
      </c>
      <c r="BC891" s="19">
        <v>5.6040276436908697E-2</v>
      </c>
      <c r="BD891" s="19">
        <v>5.69525307907272E-2</v>
      </c>
      <c r="BE891" s="19">
        <v>5.8641890705206E-2</v>
      </c>
      <c r="BF891" s="19">
        <v>6.0162314628236797E-2</v>
      </c>
      <c r="BG891" s="19">
        <v>6.1513802559819801E-2</v>
      </c>
      <c r="BH891" s="19">
        <v>6.2696354499954907E-2</v>
      </c>
      <c r="BI891" s="19">
        <v>6.3731087447573095E-2</v>
      </c>
      <c r="BJ891" s="19">
        <v>6.4681352399467401E-2</v>
      </c>
      <c r="BK891" s="18"/>
      <c r="BL891" s="18"/>
      <c r="BM891" s="19">
        <v>5.5249972751916697E-2</v>
      </c>
      <c r="BN891" s="19">
        <v>5.8134554805889103E-2</v>
      </c>
      <c r="BO891" s="19">
        <v>6.0938892263923801E-2</v>
      </c>
      <c r="BP891" s="19">
        <v>6.2628252178402496E-2</v>
      </c>
      <c r="BQ891" s="19">
        <v>6.3202634549325204E-2</v>
      </c>
      <c r="BR891" s="19">
        <v>6.3608080928800104E-2</v>
      </c>
      <c r="BS891" s="19">
        <v>6.3844591316827196E-2</v>
      </c>
      <c r="BT891" s="19">
        <v>6.3933282712337294E-2</v>
      </c>
      <c r="BU891" s="19">
        <v>6.3937506112123496E-2</v>
      </c>
    </row>
    <row r="892" spans="3:73" x14ac:dyDescent="0.45">
      <c r="C892" t="s">
        <v>328</v>
      </c>
      <c r="D892" t="s">
        <v>327</v>
      </c>
      <c r="E892" t="s">
        <v>307</v>
      </c>
      <c r="J892" s="7">
        <v>1</v>
      </c>
      <c r="K892" s="7"/>
      <c r="L892" s="7"/>
      <c r="M892" s="7"/>
      <c r="N892" s="7"/>
      <c r="O892" s="7"/>
      <c r="P892" s="7"/>
      <c r="Q892" s="7">
        <v>1</v>
      </c>
      <c r="R892" s="7"/>
      <c r="S892" s="7"/>
      <c r="T892" s="7"/>
      <c r="U892" s="7"/>
      <c r="V892" s="7"/>
      <c r="AR892" s="15" t="s">
        <v>328</v>
      </c>
      <c r="AS892" s="15" t="s">
        <v>369</v>
      </c>
      <c r="AT892" s="15"/>
      <c r="AU892" s="15"/>
      <c r="AV892" s="15" t="s">
        <v>506</v>
      </c>
      <c r="AW892" s="15"/>
      <c r="AX892" s="15"/>
      <c r="AY892" s="15"/>
      <c r="AZ892" s="18"/>
      <c r="BA892" s="18"/>
      <c r="BB892" s="19">
        <v>0.64045508112579397</v>
      </c>
      <c r="BC892" s="19">
        <v>0.65360702347213895</v>
      </c>
      <c r="BD892" s="19">
        <v>0.664246797055698</v>
      </c>
      <c r="BE892" s="19">
        <v>0.68395008146969805</v>
      </c>
      <c r="BF892" s="19">
        <v>0.70168303744229799</v>
      </c>
      <c r="BG892" s="19">
        <v>0.71744566497349804</v>
      </c>
      <c r="BH892" s="19">
        <v>0.731237964063298</v>
      </c>
      <c r="BI892" s="19">
        <v>0.743306225766873</v>
      </c>
      <c r="BJ892" s="19">
        <v>0.75438932324974795</v>
      </c>
      <c r="BK892" s="18"/>
      <c r="BL892" s="18"/>
      <c r="BM892" s="19">
        <v>0.64438958073221397</v>
      </c>
      <c r="BN892" s="19">
        <v>0.67803293886911897</v>
      </c>
      <c r="BO892" s="19">
        <v>0.71074039099635899</v>
      </c>
      <c r="BP892" s="19">
        <v>0.73044367541035804</v>
      </c>
      <c r="BQ892" s="19">
        <v>0.73714279211111799</v>
      </c>
      <c r="BR892" s="19">
        <v>0.74187158037047796</v>
      </c>
      <c r="BS892" s="19">
        <v>0.74463004018843804</v>
      </c>
      <c r="BT892" s="19">
        <v>0.74566446262017305</v>
      </c>
      <c r="BU892" s="19">
        <v>0.74571372083120802</v>
      </c>
    </row>
    <row r="893" spans="3:73" x14ac:dyDescent="0.45">
      <c r="C893" t="s">
        <v>328</v>
      </c>
      <c r="D893" t="s">
        <v>327</v>
      </c>
      <c r="E893" t="s">
        <v>308</v>
      </c>
      <c r="J893" s="7">
        <v>1</v>
      </c>
      <c r="K893" s="7"/>
      <c r="L893" s="7"/>
      <c r="M893" s="7"/>
      <c r="N893" s="7"/>
      <c r="O893" s="7"/>
      <c r="P893" s="7"/>
      <c r="Q893" s="7">
        <v>1</v>
      </c>
      <c r="R893" s="7"/>
      <c r="S893" s="7"/>
      <c r="T893" s="7"/>
      <c r="U893" s="7"/>
      <c r="V893" s="7"/>
      <c r="AR893" s="15" t="s">
        <v>328</v>
      </c>
      <c r="AS893" s="15" t="s">
        <v>369</v>
      </c>
      <c r="AT893" s="15"/>
      <c r="AU893" s="15"/>
      <c r="AV893" s="15" t="s">
        <v>507</v>
      </c>
      <c r="AW893" s="15"/>
      <c r="AX893" s="15"/>
      <c r="AY893" s="15"/>
      <c r="AZ893" s="18"/>
      <c r="BA893" s="18"/>
      <c r="BB893" s="19">
        <v>0.17773197964499399</v>
      </c>
      <c r="BC893" s="19">
        <v>0.18138176058713901</v>
      </c>
      <c r="BD893" s="19">
        <v>0.18433439236055901</v>
      </c>
      <c r="BE893" s="19">
        <v>0.189802228978005</v>
      </c>
      <c r="BF893" s="19">
        <v>0.194723281933705</v>
      </c>
      <c r="BG893" s="19">
        <v>0.19909755122766201</v>
      </c>
      <c r="BH893" s="19">
        <v>0.20292503685987301</v>
      </c>
      <c r="BI893" s="19">
        <v>0.206274086788059</v>
      </c>
      <c r="BJ893" s="19">
        <v>0.209349744885372</v>
      </c>
      <c r="BK893" s="18"/>
      <c r="BL893" s="18"/>
      <c r="BM893" s="19">
        <v>0.17882383826953999</v>
      </c>
      <c r="BN893" s="19">
        <v>0.18816016929382801</v>
      </c>
      <c r="BO893" s="19">
        <v>0.19723677807878701</v>
      </c>
      <c r="BP893" s="19">
        <v>0.20270461469623299</v>
      </c>
      <c r="BQ893" s="19">
        <v>0.204563679146164</v>
      </c>
      <c r="BR893" s="19">
        <v>0.20587595993435101</v>
      </c>
      <c r="BS893" s="19">
        <v>0.20664145706079301</v>
      </c>
      <c r="BT893" s="19">
        <v>0.20692851848320901</v>
      </c>
      <c r="BU893" s="19">
        <v>0.20694218807475301</v>
      </c>
    </row>
    <row r="894" spans="3:73" x14ac:dyDescent="0.45">
      <c r="C894" t="s">
        <v>328</v>
      </c>
      <c r="D894" t="s">
        <v>327</v>
      </c>
      <c r="E894" t="s">
        <v>309</v>
      </c>
      <c r="J894" s="7">
        <v>1</v>
      </c>
      <c r="K894" s="7"/>
      <c r="L894" s="7"/>
      <c r="M894" s="7"/>
      <c r="N894" s="7"/>
      <c r="O894" s="7"/>
      <c r="P894" s="7"/>
      <c r="Q894" s="7">
        <v>1</v>
      </c>
      <c r="R894" s="7"/>
      <c r="S894" s="7"/>
      <c r="T894" s="7"/>
      <c r="U894" s="7"/>
      <c r="V894" s="7"/>
      <c r="AR894" s="15" t="s">
        <v>328</v>
      </c>
      <c r="AS894" s="15" t="s">
        <v>369</v>
      </c>
      <c r="AT894" s="15"/>
      <c r="AU894" s="15"/>
      <c r="AV894" s="15" t="s">
        <v>508</v>
      </c>
      <c r="AW894" s="15"/>
      <c r="AX894" s="15"/>
      <c r="AY894" s="15"/>
      <c r="AZ894" s="18"/>
      <c r="BA894" s="18"/>
      <c r="BB894" s="19">
        <v>5.9027189795647E-2</v>
      </c>
      <c r="BC894" s="19">
        <v>6.0239331318038297E-2</v>
      </c>
      <c r="BD894" s="19">
        <v>6.1219940190085302E-2</v>
      </c>
      <c r="BE894" s="19">
        <v>6.3035882545727798E-2</v>
      </c>
      <c r="BF894" s="19">
        <v>6.4670230665806003E-2</v>
      </c>
      <c r="BG894" s="19">
        <v>6.6122984550319994E-2</v>
      </c>
      <c r="BH894" s="19">
        <v>6.7394144199269798E-2</v>
      </c>
      <c r="BI894" s="19">
        <v>6.8506408892100801E-2</v>
      </c>
      <c r="BJ894" s="19">
        <v>6.9527876467149696E-2</v>
      </c>
      <c r="BK894" s="18"/>
      <c r="BL894" s="18"/>
      <c r="BM894" s="19">
        <v>5.9389810784789297E-2</v>
      </c>
      <c r="BN894" s="19">
        <v>6.2490532357048899E-2</v>
      </c>
      <c r="BO894" s="19">
        <v>6.5504996667415397E-2</v>
      </c>
      <c r="BP894" s="19">
        <v>6.7320939023057899E-2</v>
      </c>
      <c r="BQ894" s="19">
        <v>6.7938359423976399E-2</v>
      </c>
      <c r="BR894" s="19">
        <v>6.8374185589330505E-2</v>
      </c>
      <c r="BS894" s="19">
        <v>6.8628417519120494E-2</v>
      </c>
      <c r="BT894" s="19">
        <v>6.8723754492791694E-2</v>
      </c>
      <c r="BU894" s="19">
        <v>6.8728294348680899E-2</v>
      </c>
    </row>
    <row r="895" spans="3:73" x14ac:dyDescent="0.45">
      <c r="C895" t="s">
        <v>328</v>
      </c>
      <c r="D895" t="s">
        <v>327</v>
      </c>
      <c r="E895" t="s">
        <v>310</v>
      </c>
      <c r="J895" s="7">
        <v>1</v>
      </c>
      <c r="K895" s="7"/>
      <c r="L895" s="7"/>
      <c r="M895" s="7"/>
      <c r="N895" s="7"/>
      <c r="O895" s="7"/>
      <c r="P895" s="7"/>
      <c r="Q895" s="7">
        <v>1</v>
      </c>
      <c r="R895" s="7"/>
      <c r="S895" s="7"/>
      <c r="T895" s="7"/>
      <c r="U895" s="7"/>
      <c r="V895" s="7"/>
      <c r="AR895" s="15" t="s">
        <v>328</v>
      </c>
      <c r="AS895" s="15" t="s">
        <v>369</v>
      </c>
      <c r="AT895" s="15"/>
      <c r="AU895" s="15"/>
      <c r="AV895" s="15" t="s">
        <v>509</v>
      </c>
      <c r="AW895" s="15"/>
      <c r="AX895" s="15"/>
      <c r="AY895" s="15"/>
      <c r="AZ895" s="18"/>
      <c r="BA895" s="18"/>
      <c r="BB895" s="19">
        <v>0.18342358713339799</v>
      </c>
      <c r="BC895" s="19">
        <v>0.18719024698829001</v>
      </c>
      <c r="BD895" s="19">
        <v>0.19023743248887701</v>
      </c>
      <c r="BE895" s="19">
        <v>0.19588036860107499</v>
      </c>
      <c r="BF895" s="19">
        <v>0.200959011102053</v>
      </c>
      <c r="BG895" s="19">
        <v>0.20547335999181099</v>
      </c>
      <c r="BH895" s="19">
        <v>0.20942341527034999</v>
      </c>
      <c r="BI895" s="19">
        <v>0.21287971363907099</v>
      </c>
      <c r="BJ895" s="19">
        <v>0.216053865202182</v>
      </c>
      <c r="BK895" s="18"/>
      <c r="BL895" s="18"/>
      <c r="BM895" s="19">
        <v>0.18455041093830199</v>
      </c>
      <c r="BN895" s="19">
        <v>0.19418572434987999</v>
      </c>
      <c r="BO895" s="19">
        <v>0.203552998296129</v>
      </c>
      <c r="BP895" s="19">
        <v>0.20919593440832701</v>
      </c>
      <c r="BQ895" s="19">
        <v>0.21111453268647401</v>
      </c>
      <c r="BR895" s="19">
        <v>0.212468837353402</v>
      </c>
      <c r="BS895" s="19">
        <v>0.213258848409109</v>
      </c>
      <c r="BT895" s="19">
        <v>0.21355510255499999</v>
      </c>
      <c r="BU895" s="19">
        <v>0.21356920989528</v>
      </c>
    </row>
    <row r="896" spans="3:73" x14ac:dyDescent="0.45">
      <c r="C896" t="s">
        <v>328</v>
      </c>
      <c r="D896" t="s">
        <v>327</v>
      </c>
      <c r="E896" t="s">
        <v>311</v>
      </c>
      <c r="J896" s="7">
        <v>1</v>
      </c>
      <c r="K896" s="7"/>
      <c r="L896" s="7"/>
      <c r="M896" s="7"/>
      <c r="N896" s="7"/>
      <c r="O896" s="7"/>
      <c r="P896" s="7"/>
      <c r="Q896" s="7">
        <v>1</v>
      </c>
      <c r="R896" s="7"/>
      <c r="S896" s="7"/>
      <c r="T896" s="7"/>
      <c r="U896" s="7"/>
      <c r="V896" s="7"/>
      <c r="AR896" s="15" t="s">
        <v>328</v>
      </c>
      <c r="AS896" s="15" t="s">
        <v>369</v>
      </c>
      <c r="AT896" s="15"/>
      <c r="AU896" s="15"/>
      <c r="AV896" s="15" t="s">
        <v>510</v>
      </c>
      <c r="AW896" s="15"/>
      <c r="AX896" s="15"/>
      <c r="AY896" s="15"/>
      <c r="AZ896" s="18"/>
      <c r="BA896" s="18"/>
      <c r="BB896" s="19">
        <v>1.3649235347867099E-5</v>
      </c>
      <c r="BC896" s="19">
        <v>1.3929526599599099E-5</v>
      </c>
      <c r="BD896" s="19">
        <v>1.41562790729103E-5</v>
      </c>
      <c r="BE896" s="19">
        <v>1.4576191060523701E-5</v>
      </c>
      <c r="BF896" s="19">
        <v>1.49541118493758E-5</v>
      </c>
      <c r="BG896" s="19">
        <v>1.52900414394665E-5</v>
      </c>
      <c r="BH896" s="19">
        <v>1.5583979830795899E-5</v>
      </c>
      <c r="BI896" s="19">
        <v>1.5841175923209099E-5</v>
      </c>
      <c r="BJ896" s="19">
        <v>1.6077376416241701E-5</v>
      </c>
      <c r="BK896" s="18"/>
      <c r="BL896" s="18"/>
      <c r="BM896" s="19">
        <v>1.37330865228937E-5</v>
      </c>
      <c r="BN896" s="19">
        <v>1.44500862417436E-5</v>
      </c>
      <c r="BO896" s="19">
        <v>1.51471401411818E-5</v>
      </c>
      <c r="BP896" s="19">
        <v>1.5567052128795301E-5</v>
      </c>
      <c r="BQ896" s="19">
        <v>1.57098222045838E-5</v>
      </c>
      <c r="BR896" s="19">
        <v>1.5810601081611001E-5</v>
      </c>
      <c r="BS896" s="19">
        <v>1.5869388759876901E-5</v>
      </c>
      <c r="BT896" s="19">
        <v>1.58914341392266E-5</v>
      </c>
      <c r="BU896" s="19">
        <v>1.58924839191957E-5</v>
      </c>
    </row>
    <row r="897" spans="3:73" x14ac:dyDescent="0.45">
      <c r="C897" t="s">
        <v>328</v>
      </c>
      <c r="D897" t="s">
        <v>327</v>
      </c>
      <c r="E897" t="s">
        <v>312</v>
      </c>
      <c r="J897" s="7">
        <v>1</v>
      </c>
      <c r="K897" s="7"/>
      <c r="L897" s="7"/>
      <c r="M897" s="7"/>
      <c r="N897" s="7"/>
      <c r="O897" s="7"/>
      <c r="P897" s="7"/>
      <c r="Q897" s="7">
        <v>1</v>
      </c>
      <c r="R897" s="7"/>
      <c r="S897" s="7"/>
      <c r="T897" s="7"/>
      <c r="U897" s="7"/>
      <c r="V897" s="7"/>
      <c r="AR897" s="15" t="s">
        <v>328</v>
      </c>
      <c r="AS897" s="15" t="s">
        <v>369</v>
      </c>
      <c r="AT897" s="15"/>
      <c r="AU897" s="15"/>
      <c r="AV897" s="15" t="s">
        <v>511</v>
      </c>
      <c r="AW897" s="15"/>
      <c r="AX897" s="15"/>
      <c r="AY897" s="15"/>
      <c r="AZ897" s="18"/>
      <c r="BA897" s="18"/>
      <c r="BB897" s="19">
        <v>5.4419583746707398E-2</v>
      </c>
      <c r="BC897" s="19">
        <v>5.55371066597753E-2</v>
      </c>
      <c r="BD897" s="19">
        <v>5.6441170140009898E-2</v>
      </c>
      <c r="BE897" s="19">
        <v>5.8115361770074002E-2</v>
      </c>
      <c r="BF897" s="19">
        <v>5.9622134237131801E-2</v>
      </c>
      <c r="BG897" s="19">
        <v>6.09614875411831E-2</v>
      </c>
      <c r="BH897" s="19">
        <v>6.2133421682227997E-2</v>
      </c>
      <c r="BI897" s="19">
        <v>6.3158864055642305E-2</v>
      </c>
      <c r="BJ897" s="19">
        <v>6.4100596847553398E-2</v>
      </c>
      <c r="BK897" s="18"/>
      <c r="BL897" s="18"/>
      <c r="BM897" s="19">
        <v>5.4753898887835897E-2</v>
      </c>
      <c r="BN897" s="19">
        <v>5.7612581096170401E-2</v>
      </c>
      <c r="BO897" s="19">
        <v>6.0391739202076897E-2</v>
      </c>
      <c r="BP897" s="19">
        <v>6.2065930832141E-2</v>
      </c>
      <c r="BQ897" s="19">
        <v>6.2635155986362795E-2</v>
      </c>
      <c r="BR897" s="19">
        <v>6.3036961977578201E-2</v>
      </c>
      <c r="BS897" s="19">
        <v>6.3271348805787206E-2</v>
      </c>
      <c r="BT897" s="19">
        <v>6.33592438663656E-2</v>
      </c>
      <c r="BU897" s="19">
        <v>6.33634293454408E-2</v>
      </c>
    </row>
    <row r="898" spans="3:73" x14ac:dyDescent="0.45">
      <c r="C898" t="s">
        <v>328</v>
      </c>
      <c r="D898" t="s">
        <v>327</v>
      </c>
      <c r="E898" t="s">
        <v>313</v>
      </c>
      <c r="J898" s="7">
        <v>1</v>
      </c>
      <c r="K898" s="7"/>
      <c r="L898" s="7"/>
      <c r="M898" s="7"/>
      <c r="N898" s="7"/>
      <c r="O898" s="7"/>
      <c r="P898" s="7"/>
      <c r="Q898" s="7">
        <v>1</v>
      </c>
      <c r="R898" s="7"/>
      <c r="S898" s="7"/>
      <c r="T898" s="7"/>
      <c r="U898" s="7"/>
      <c r="V898" s="7"/>
      <c r="AR898" s="15" t="s">
        <v>328</v>
      </c>
      <c r="AS898" s="15" t="s">
        <v>369</v>
      </c>
      <c r="AT898" s="15"/>
      <c r="AU898" s="15"/>
      <c r="AV898" s="15" t="s">
        <v>512</v>
      </c>
      <c r="AW898" s="15"/>
      <c r="AX898" s="15"/>
      <c r="AY898" s="15"/>
      <c r="AZ898" s="18"/>
      <c r="BA898" s="18"/>
      <c r="BB898" s="19">
        <v>0.68621217475143803</v>
      </c>
      <c r="BC898" s="19">
        <v>0.70030375310823201</v>
      </c>
      <c r="BD898" s="19">
        <v>0.71170368166653697</v>
      </c>
      <c r="BE898" s="19">
        <v>0.73281466047821298</v>
      </c>
      <c r="BF898" s="19">
        <v>0.75181454140872195</v>
      </c>
      <c r="BG898" s="19">
        <v>0.768703324458063</v>
      </c>
      <c r="BH898" s="19">
        <v>0.78348100962623601</v>
      </c>
      <c r="BI898" s="19">
        <v>0.79641148414838803</v>
      </c>
      <c r="BJ898" s="19">
        <v>0.80828640972995602</v>
      </c>
      <c r="BK898" s="18"/>
      <c r="BL898" s="18"/>
      <c r="BM898" s="19">
        <v>0.69042777333289496</v>
      </c>
      <c r="BN898" s="19">
        <v>0.72647476965383195</v>
      </c>
      <c r="BO898" s="19">
        <v>0.76151899448121396</v>
      </c>
      <c r="BP898" s="19">
        <v>0.78262997329288997</v>
      </c>
      <c r="BQ898" s="19">
        <v>0.78980770608885997</v>
      </c>
      <c r="BR898" s="19">
        <v>0.79487434100366205</v>
      </c>
      <c r="BS898" s="19">
        <v>0.79782987803729699</v>
      </c>
      <c r="BT898" s="19">
        <v>0.79893820442491004</v>
      </c>
      <c r="BU898" s="19">
        <v>0.79899098187193895</v>
      </c>
    </row>
    <row r="899" spans="3:73" x14ac:dyDescent="0.45">
      <c r="C899" t="s">
        <v>328</v>
      </c>
      <c r="D899" t="s">
        <v>327</v>
      </c>
      <c r="E899" t="s">
        <v>314</v>
      </c>
      <c r="J899" s="7">
        <v>1</v>
      </c>
      <c r="K899" s="7"/>
      <c r="L899" s="7"/>
      <c r="M899" s="7"/>
      <c r="N899" s="7"/>
      <c r="O899" s="7"/>
      <c r="P899" s="7"/>
      <c r="Q899" s="7">
        <v>1</v>
      </c>
      <c r="R899" s="7"/>
      <c r="S899" s="7"/>
      <c r="T899" s="7"/>
      <c r="U899" s="7"/>
      <c r="V899" s="7"/>
      <c r="AR899" s="15" t="s">
        <v>328</v>
      </c>
      <c r="AS899" s="15" t="s">
        <v>369</v>
      </c>
      <c r="AT899" s="15"/>
      <c r="AU899" s="15"/>
      <c r="AV899" s="15" t="s">
        <v>513</v>
      </c>
      <c r="AW899" s="15"/>
      <c r="AX899" s="15"/>
      <c r="AY899" s="15"/>
      <c r="AZ899" s="18"/>
      <c r="BA899" s="18"/>
      <c r="BB899" s="19">
        <v>1.8890892722965</v>
      </c>
      <c r="BC899" s="19">
        <v>1.92788230232863</v>
      </c>
      <c r="BD899" s="19">
        <v>1.95926542774788</v>
      </c>
      <c r="BE899" s="19">
        <v>2.01738232667241</v>
      </c>
      <c r="BF899" s="19">
        <v>2.0696875357044999</v>
      </c>
      <c r="BG899" s="19">
        <v>2.1161810548441302</v>
      </c>
      <c r="BH899" s="19">
        <v>2.1568628840913</v>
      </c>
      <c r="BI899" s="19">
        <v>2.1924594846825798</v>
      </c>
      <c r="BJ899" s="19">
        <v>2.22515024032763</v>
      </c>
      <c r="BK899" s="18"/>
      <c r="BL899" s="18"/>
      <c r="BM899" s="19">
        <v>1.9006944905504899</v>
      </c>
      <c r="BN899" s="19">
        <v>1.99992909546414</v>
      </c>
      <c r="BO899" s="19">
        <v>2.09640314767887</v>
      </c>
      <c r="BP899" s="19">
        <v>2.1545200466034098</v>
      </c>
      <c r="BQ899" s="19">
        <v>2.1742797922377499</v>
      </c>
      <c r="BR899" s="19">
        <v>2.1882278479796402</v>
      </c>
      <c r="BS899" s="19">
        <v>2.19636421382907</v>
      </c>
      <c r="BT899" s="19">
        <v>2.1994153510226102</v>
      </c>
      <c r="BU899" s="19">
        <v>2.19956064326992</v>
      </c>
    </row>
    <row r="900" spans="3:73" x14ac:dyDescent="0.45">
      <c r="C900" t="s">
        <v>328</v>
      </c>
      <c r="D900" t="s">
        <v>327</v>
      </c>
      <c r="E900" t="s">
        <v>315</v>
      </c>
      <c r="J900" s="7">
        <v>1</v>
      </c>
      <c r="K900" s="7"/>
      <c r="L900" s="7"/>
      <c r="M900" s="7"/>
      <c r="N900" s="7"/>
      <c r="O900" s="7"/>
      <c r="P900" s="7"/>
      <c r="Q900" s="7">
        <v>1</v>
      </c>
      <c r="R900" s="7"/>
      <c r="S900" s="7"/>
      <c r="T900" s="7"/>
      <c r="U900" s="7"/>
      <c r="V900" s="7"/>
      <c r="AR900" s="15" t="s">
        <v>328</v>
      </c>
      <c r="AS900" s="15" t="s">
        <v>369</v>
      </c>
      <c r="AT900" s="15"/>
      <c r="AU900" s="15"/>
      <c r="AV900" s="15" t="s">
        <v>514</v>
      </c>
      <c r="AW900" s="15"/>
      <c r="AX900" s="15"/>
      <c r="AY900" s="15"/>
      <c r="AZ900" s="18"/>
      <c r="BA900" s="18"/>
      <c r="BB900" s="19">
        <v>0.38977817354168498</v>
      </c>
      <c r="BC900" s="19">
        <v>0.39778238838415703</v>
      </c>
      <c r="BD900" s="19">
        <v>0.40425770825671897</v>
      </c>
      <c r="BE900" s="19">
        <v>0.41624904135405599</v>
      </c>
      <c r="BF900" s="19">
        <v>0.42704124114165898</v>
      </c>
      <c r="BG900" s="19">
        <v>0.43663430761952798</v>
      </c>
      <c r="BH900" s="19">
        <v>0.44502824078766401</v>
      </c>
      <c r="BI900" s="19">
        <v>0.45237293230978298</v>
      </c>
      <c r="BJ900" s="19">
        <v>0.45911805717703502</v>
      </c>
      <c r="BK900" s="18"/>
      <c r="BL900" s="18"/>
      <c r="BM900" s="19">
        <v>0.39217269286956002</v>
      </c>
      <c r="BN900" s="19">
        <v>0.41264789413326203</v>
      </c>
      <c r="BO900" s="19">
        <v>0.43255350707484103</v>
      </c>
      <c r="BP900" s="19">
        <v>0.44454484017217799</v>
      </c>
      <c r="BQ900" s="19">
        <v>0.44862189342527198</v>
      </c>
      <c r="BR900" s="19">
        <v>0.45149981336863299</v>
      </c>
      <c r="BS900" s="19">
        <v>0.45317860000226001</v>
      </c>
      <c r="BT900" s="19">
        <v>0.45380814498986999</v>
      </c>
      <c r="BU900" s="19">
        <v>0.45383812332261397</v>
      </c>
    </row>
    <row r="901" spans="3:73" x14ac:dyDescent="0.45">
      <c r="C901" t="s">
        <v>328</v>
      </c>
      <c r="D901" t="s">
        <v>327</v>
      </c>
      <c r="E901" t="s">
        <v>316</v>
      </c>
      <c r="J901" s="7">
        <v>1</v>
      </c>
      <c r="K901" s="7"/>
      <c r="L901" s="7"/>
      <c r="M901" s="7"/>
      <c r="N901" s="7"/>
      <c r="O901" s="7"/>
      <c r="P901" s="7"/>
      <c r="Q901" s="7">
        <v>1</v>
      </c>
      <c r="R901" s="7"/>
      <c r="S901" s="7"/>
      <c r="T901" s="7"/>
      <c r="U901" s="7"/>
      <c r="V901" s="7"/>
      <c r="AR901" s="15" t="s">
        <v>328</v>
      </c>
      <c r="AS901" s="15" t="s">
        <v>369</v>
      </c>
      <c r="AT901" s="15"/>
      <c r="AU901" s="15"/>
      <c r="AV901" s="15" t="s">
        <v>515</v>
      </c>
      <c r="AW901" s="15"/>
      <c r="AX901" s="15"/>
      <c r="AY901" s="15"/>
      <c r="AZ901" s="18"/>
      <c r="BA901" s="18"/>
      <c r="BB901" s="19">
        <v>10.6287950567244</v>
      </c>
      <c r="BC901" s="19">
        <v>10.8470606368044</v>
      </c>
      <c r="BD901" s="19">
        <v>11.023635038667001</v>
      </c>
      <c r="BE901" s="19">
        <v>11.350624671745701</v>
      </c>
      <c r="BF901" s="19">
        <v>11.644915341516599</v>
      </c>
      <c r="BG901" s="19">
        <v>11.9065070479796</v>
      </c>
      <c r="BH901" s="19">
        <v>12.1353997911348</v>
      </c>
      <c r="BI901" s="19">
        <v>12.3356809413955</v>
      </c>
      <c r="BJ901" s="19">
        <v>12.5196126100023</v>
      </c>
      <c r="BK901" s="18"/>
      <c r="BL901" s="18"/>
      <c r="BM901" s="19">
        <v>10.694090799079801</v>
      </c>
      <c r="BN901" s="19">
        <v>11.2524255975618</v>
      </c>
      <c r="BO901" s="19">
        <v>11.7952283884725</v>
      </c>
      <c r="BP901" s="19">
        <v>12.1222180215513</v>
      </c>
      <c r="BQ901" s="19">
        <v>12.2333944967981</v>
      </c>
      <c r="BR901" s="19">
        <v>12.311872008737</v>
      </c>
      <c r="BS901" s="19">
        <v>12.357650557368</v>
      </c>
      <c r="BT901" s="19">
        <v>12.374817513104601</v>
      </c>
      <c r="BU901" s="19">
        <v>12.375634987187301</v>
      </c>
    </row>
    <row r="902" spans="3:73" x14ac:dyDescent="0.45">
      <c r="C902" t="s">
        <v>328</v>
      </c>
      <c r="D902" t="s">
        <v>327</v>
      </c>
      <c r="E902" t="s">
        <v>317</v>
      </c>
      <c r="J902" s="7">
        <v>1</v>
      </c>
      <c r="K902" s="7"/>
      <c r="L902" s="7"/>
      <c r="M902" s="7"/>
      <c r="N902" s="7"/>
      <c r="O902" s="7"/>
      <c r="P902" s="7"/>
      <c r="Q902" s="7">
        <v>1</v>
      </c>
      <c r="R902" s="7"/>
      <c r="S902" s="7"/>
      <c r="T902" s="7"/>
      <c r="U902" s="7"/>
      <c r="V902" s="7"/>
      <c r="AR902" s="15" t="s">
        <v>328</v>
      </c>
      <c r="AS902" s="15" t="s">
        <v>369</v>
      </c>
      <c r="AT902" s="15"/>
      <c r="AU902" s="15"/>
      <c r="AV902" s="15" t="s">
        <v>517</v>
      </c>
      <c r="AW902" s="15"/>
      <c r="AX902" s="15"/>
      <c r="AY902" s="15"/>
      <c r="AZ902" s="18"/>
      <c r="BA902" s="18"/>
      <c r="BB902" s="19">
        <v>3.4864275345254501</v>
      </c>
      <c r="BC902" s="19">
        <v>3.5580223977408201</v>
      </c>
      <c r="BD902" s="19">
        <v>3.61594183764538</v>
      </c>
      <c r="BE902" s="19">
        <v>3.7232000596908801</v>
      </c>
      <c r="BF902" s="19">
        <v>3.8197324595318198</v>
      </c>
      <c r="BG902" s="19">
        <v>3.9055390371682202</v>
      </c>
      <c r="BH902" s="19">
        <v>3.9806197926000602</v>
      </c>
      <c r="BI902" s="19">
        <v>4.0463154536029302</v>
      </c>
      <c r="BJ902" s="19">
        <v>4.1066482035035197</v>
      </c>
      <c r="BK902" s="18"/>
      <c r="BL902" s="18"/>
      <c r="BM902" s="19">
        <v>3.50784566074016</v>
      </c>
      <c r="BN902" s="19">
        <v>3.69098907488284</v>
      </c>
      <c r="BO902" s="19">
        <v>3.8690377234783599</v>
      </c>
      <c r="BP902" s="19">
        <v>3.9762959455238498</v>
      </c>
      <c r="BQ902" s="19">
        <v>4.0127637410193202</v>
      </c>
      <c r="BR902" s="19">
        <v>4.0385057143102401</v>
      </c>
      <c r="BS902" s="19">
        <v>4.0535218653966103</v>
      </c>
      <c r="BT902" s="19">
        <v>4.0591529220540004</v>
      </c>
      <c r="BU902" s="19">
        <v>4.0594210676091098</v>
      </c>
    </row>
    <row r="903" spans="3:73" x14ac:dyDescent="0.45">
      <c r="AR903" s="15" t="s">
        <v>328</v>
      </c>
      <c r="AS903" s="15" t="s">
        <v>369</v>
      </c>
      <c r="AT903" s="15"/>
      <c r="AU903" s="15"/>
      <c r="AV903" s="15" t="s">
        <v>518</v>
      </c>
      <c r="AW903" s="15"/>
      <c r="AX903" s="15"/>
      <c r="AY903" s="15"/>
      <c r="AZ903" s="18"/>
      <c r="BA903" s="18"/>
      <c r="BB903" s="19">
        <v>1.2926392303726299E-2</v>
      </c>
      <c r="BC903" s="19">
        <v>1.3559426062643499E-2</v>
      </c>
      <c r="BD903" s="19">
        <v>1.40715432608687E-2</v>
      </c>
      <c r="BE903" s="19">
        <v>1.50199084427672E-2</v>
      </c>
      <c r="BF903" s="19">
        <v>1.5873437106475801E-2</v>
      </c>
      <c r="BG903" s="19">
        <v>1.6632129251994601E-2</v>
      </c>
      <c r="BH903" s="19">
        <v>1.72959848793236E-2</v>
      </c>
      <c r="BI903" s="19">
        <v>1.78768585532364E-2</v>
      </c>
      <c r="BJ903" s="19">
        <v>1.8410313968054301E-2</v>
      </c>
      <c r="BK903" s="18"/>
      <c r="BL903" s="18"/>
      <c r="BM903" s="19">
        <v>1.31157689759866E-2</v>
      </c>
      <c r="BN903" s="19">
        <v>1.47351025240783E-2</v>
      </c>
      <c r="BO903" s="19">
        <v>1.63093887260298E-2</v>
      </c>
      <c r="BP903" s="19">
        <v>1.7257753907928299E-2</v>
      </c>
      <c r="BQ903" s="19">
        <v>1.75801980697738E-2</v>
      </c>
      <c r="BR903" s="19">
        <v>1.7807805713429398E-2</v>
      </c>
      <c r="BS903" s="19">
        <v>1.79405768388952E-2</v>
      </c>
      <c r="BT903" s="19">
        <v>1.7990366010944898E-2</v>
      </c>
      <c r="BU903" s="19">
        <v>1.7992736923899601E-2</v>
      </c>
    </row>
    <row r="904" spans="3:73" x14ac:dyDescent="0.45">
      <c r="AR904" s="15" t="s">
        <v>328</v>
      </c>
      <c r="AS904" s="15" t="s">
        <v>369</v>
      </c>
      <c r="AT904" s="15"/>
      <c r="AU904" s="15"/>
      <c r="AV904" s="15" t="s">
        <v>519</v>
      </c>
      <c r="AW904" s="15"/>
      <c r="AX904" s="15"/>
      <c r="AY904" s="15"/>
      <c r="AZ904" s="18"/>
      <c r="BA904" s="18"/>
      <c r="BB904" s="19">
        <v>0.15074702637703699</v>
      </c>
      <c r="BC904" s="19">
        <v>0.15812943861633899</v>
      </c>
      <c r="BD904" s="19">
        <v>0.16410172716948199</v>
      </c>
      <c r="BE904" s="19">
        <v>0.175161520786415</v>
      </c>
      <c r="BF904" s="19">
        <v>0.18511533504165401</v>
      </c>
      <c r="BG904" s="19">
        <v>0.19396316993519999</v>
      </c>
      <c r="BH904" s="19">
        <v>0.20170502546705199</v>
      </c>
      <c r="BI904" s="19">
        <v>0.20847914905742301</v>
      </c>
      <c r="BJ904" s="19">
        <v>0.21470028296694799</v>
      </c>
      <c r="BK904" s="18"/>
      <c r="BL904" s="18"/>
      <c r="BM904" s="19">
        <v>0.15295552891491801</v>
      </c>
      <c r="BN904" s="19">
        <v>0.17184012651583</v>
      </c>
      <c r="BO904" s="19">
        <v>0.19019938391993699</v>
      </c>
      <c r="BP904" s="19">
        <v>0.20125917753687</v>
      </c>
      <c r="BQ904" s="19">
        <v>0.205019507366627</v>
      </c>
      <c r="BR904" s="19">
        <v>0.20767385783469</v>
      </c>
      <c r="BS904" s="19">
        <v>0.20922222894106099</v>
      </c>
      <c r="BT904" s="19">
        <v>0.20980286810595</v>
      </c>
      <c r="BU904" s="19">
        <v>0.20983051758999199</v>
      </c>
    </row>
    <row r="905" spans="3:73" x14ac:dyDescent="0.45">
      <c r="AR905" s="15" t="s">
        <v>328</v>
      </c>
      <c r="AS905" s="15" t="s">
        <v>369</v>
      </c>
      <c r="AT905" s="15"/>
      <c r="AU905" s="15"/>
      <c r="AV905" s="15" t="s">
        <v>520</v>
      </c>
      <c r="AW905" s="15"/>
      <c r="AX905" s="15"/>
      <c r="AY905" s="15"/>
      <c r="AZ905" s="18"/>
      <c r="BA905" s="18"/>
      <c r="BB905" s="19">
        <v>4.18379769544771E-2</v>
      </c>
      <c r="BC905" s="19">
        <v>4.3886874372618401E-2</v>
      </c>
      <c r="BD905" s="19">
        <v>4.5544409362575297E-2</v>
      </c>
      <c r="BE905" s="19">
        <v>4.86139186032363E-2</v>
      </c>
      <c r="BF905" s="19">
        <v>5.1376476919831299E-2</v>
      </c>
      <c r="BG905" s="19">
        <v>5.3832084312360098E-2</v>
      </c>
      <c r="BH905" s="19">
        <v>5.5980740780822803E-2</v>
      </c>
      <c r="BI905" s="19">
        <v>5.78608151907277E-2</v>
      </c>
      <c r="BJ905" s="19">
        <v>5.9587414138599602E-2</v>
      </c>
      <c r="BK905" s="18"/>
      <c r="BL905" s="18"/>
      <c r="BM905" s="19">
        <v>4.2450919580971601E-2</v>
      </c>
      <c r="BN905" s="19">
        <v>4.7692106609400299E-2</v>
      </c>
      <c r="BO905" s="19">
        <v>5.2787491948897702E-2</v>
      </c>
      <c r="BP905" s="19">
        <v>5.5857001189558698E-2</v>
      </c>
      <c r="BQ905" s="19">
        <v>5.6900634331383398E-2</v>
      </c>
      <c r="BR905" s="19">
        <v>5.7637316549142101E-2</v>
      </c>
      <c r="BS905" s="19">
        <v>5.8067047842834597E-2</v>
      </c>
      <c r="BT905" s="19">
        <v>5.82281970779693E-2</v>
      </c>
      <c r="BU905" s="19">
        <v>5.8235870851071E-2</v>
      </c>
    </row>
    <row r="906" spans="3:73" x14ac:dyDescent="0.45">
      <c r="AR906" s="15" t="s">
        <v>328</v>
      </c>
      <c r="AS906" s="15" t="s">
        <v>369</v>
      </c>
      <c r="AT906" s="15"/>
      <c r="AU906" s="15"/>
      <c r="AV906" s="15" t="s">
        <v>521</v>
      </c>
      <c r="AW906" s="15"/>
      <c r="AX906" s="15"/>
      <c r="AY906" s="15"/>
      <c r="AZ906" s="18"/>
      <c r="BA906" s="18"/>
      <c r="BB906" s="19">
        <v>1.3894956953107799E-2</v>
      </c>
      <c r="BC906" s="19">
        <v>1.45754234454858E-2</v>
      </c>
      <c r="BD906" s="19">
        <v>1.51259131921288E-2</v>
      </c>
      <c r="BE906" s="19">
        <v>1.61453386488749E-2</v>
      </c>
      <c r="BF906" s="19">
        <v>1.7062821559946401E-2</v>
      </c>
      <c r="BG906" s="19">
        <v>1.7878361925343301E-2</v>
      </c>
      <c r="BH906" s="19">
        <v>1.8591959745065601E-2</v>
      </c>
      <c r="BI906" s="19">
        <v>1.92163578373226E-2</v>
      </c>
      <c r="BJ906" s="19">
        <v>1.9789784656742301E-2</v>
      </c>
      <c r="BK906" s="18"/>
      <c r="BL906" s="18"/>
      <c r="BM906" s="19">
        <v>1.40985234740018E-2</v>
      </c>
      <c r="BN906" s="19">
        <v>1.58391924413958E-2</v>
      </c>
      <c r="BO906" s="19">
        <v>1.75314386995944E-2</v>
      </c>
      <c r="BP906" s="19">
        <v>1.85508641563405E-2</v>
      </c>
      <c r="BQ906" s="19">
        <v>1.8897468811634201E-2</v>
      </c>
      <c r="BR906" s="19">
        <v>1.91421309212533E-2</v>
      </c>
      <c r="BS906" s="19">
        <v>1.9284850485197701E-2</v>
      </c>
      <c r="BT906" s="19">
        <v>1.9338370321676901E-2</v>
      </c>
      <c r="BU906" s="19">
        <v>1.93409188853188E-2</v>
      </c>
    </row>
    <row r="907" spans="3:73" x14ac:dyDescent="0.45">
      <c r="AR907" s="15" t="s">
        <v>328</v>
      </c>
      <c r="AS907" s="15" t="s">
        <v>369</v>
      </c>
      <c r="AT907" s="15"/>
      <c r="AU907" s="15"/>
      <c r="AV907" s="15" t="s">
        <v>522</v>
      </c>
      <c r="AW907" s="15"/>
      <c r="AX907" s="15"/>
      <c r="AY907" s="15"/>
      <c r="AZ907" s="18"/>
      <c r="BA907" s="18"/>
      <c r="BB907" s="19">
        <v>3.9912602096500799E-2</v>
      </c>
      <c r="BC907" s="19">
        <v>4.1867209688445303E-2</v>
      </c>
      <c r="BD907" s="19">
        <v>4.3448465268445299E-2</v>
      </c>
      <c r="BE907" s="19">
        <v>4.6376716342519497E-2</v>
      </c>
      <c r="BF907" s="19">
        <v>4.9012142309186199E-2</v>
      </c>
      <c r="BG907" s="19">
        <v>5.1354743168445502E-2</v>
      </c>
      <c r="BH907" s="19">
        <v>5.3404518920297399E-2</v>
      </c>
      <c r="BI907" s="19">
        <v>5.5198072703167803E-2</v>
      </c>
      <c r="BJ907" s="19">
        <v>5.68452139323345E-2</v>
      </c>
      <c r="BK907" s="18"/>
      <c r="BL907" s="18"/>
      <c r="BM907" s="19">
        <v>4.0497337232855E-2</v>
      </c>
      <c r="BN907" s="19">
        <v>4.54973259418366E-2</v>
      </c>
      <c r="BO907" s="19">
        <v>5.0358222724799603E-2</v>
      </c>
      <c r="BP907" s="19">
        <v>5.3286473798873801E-2</v>
      </c>
      <c r="BQ907" s="19">
        <v>5.4282079164058999E-2</v>
      </c>
      <c r="BR907" s="19">
        <v>5.4984859421836799E-2</v>
      </c>
      <c r="BS907" s="19">
        <v>5.5394814572207199E-2</v>
      </c>
      <c r="BT907" s="19">
        <v>5.5548547753596002E-2</v>
      </c>
      <c r="BU907" s="19">
        <v>5.5555868381281202E-2</v>
      </c>
    </row>
    <row r="908" spans="3:73" x14ac:dyDescent="0.45">
      <c r="AR908" s="15" t="s">
        <v>328</v>
      </c>
      <c r="AS908" s="15" t="s">
        <v>369</v>
      </c>
      <c r="AT908" s="15"/>
      <c r="AU908" s="15"/>
      <c r="AV908" s="15" t="s">
        <v>523</v>
      </c>
      <c r="AW908" s="15"/>
      <c r="AX908" s="15"/>
      <c r="AY908" s="15"/>
      <c r="AZ908" s="18"/>
      <c r="BA908" s="18"/>
      <c r="BB908" s="19">
        <v>3.2130199363723899E-6</v>
      </c>
      <c r="BC908" s="19">
        <v>3.37036856389405E-6</v>
      </c>
      <c r="BD908" s="19">
        <v>3.4976618355969699E-6</v>
      </c>
      <c r="BE908" s="19">
        <v>3.7333901165282901E-6</v>
      </c>
      <c r="BF908" s="19">
        <v>3.94554556936648E-6</v>
      </c>
      <c r="BG908" s="19">
        <v>4.1341281941115402E-6</v>
      </c>
      <c r="BH908" s="19">
        <v>4.2991379907634596E-6</v>
      </c>
      <c r="BI908" s="19">
        <v>4.4435215628338997E-6</v>
      </c>
      <c r="BJ908" s="19">
        <v>4.5761187208577702E-6</v>
      </c>
      <c r="BK908" s="18"/>
      <c r="BL908" s="18"/>
      <c r="BM908" s="19">
        <v>3.2600919274708698E-6</v>
      </c>
      <c r="BN908" s="19">
        <v>3.6625979671611E-6</v>
      </c>
      <c r="BO908" s="19">
        <v>4.0539069135071002E-6</v>
      </c>
      <c r="BP908" s="19">
        <v>4.28963519443842E-6</v>
      </c>
      <c r="BQ908" s="19">
        <v>4.3697828099550702E-6</v>
      </c>
      <c r="BR908" s="19">
        <v>4.4263575973785898E-6</v>
      </c>
      <c r="BS908" s="19">
        <v>4.4593595567089702E-6</v>
      </c>
      <c r="BT908" s="19">
        <v>4.4717352914578697E-6</v>
      </c>
      <c r="BU908" s="19">
        <v>4.4723246121601996E-6</v>
      </c>
    </row>
    <row r="909" spans="3:73" x14ac:dyDescent="0.45">
      <c r="AR909" s="15" t="s">
        <v>328</v>
      </c>
      <c r="AS909" s="15" t="s">
        <v>369</v>
      </c>
      <c r="AT909" s="15"/>
      <c r="AU909" s="15"/>
      <c r="AV909" s="15" t="s">
        <v>524</v>
      </c>
      <c r="AW909" s="15"/>
      <c r="AX909" s="15"/>
      <c r="AY909" s="15"/>
      <c r="AZ909" s="18"/>
      <c r="BA909" s="18"/>
      <c r="BB909" s="19">
        <v>1.2810329886690799E-2</v>
      </c>
      <c r="BC909" s="19">
        <v>1.3437679814698501E-2</v>
      </c>
      <c r="BD909" s="19">
        <v>1.3945198857581101E-2</v>
      </c>
      <c r="BE909" s="19">
        <v>1.48850489369933E-2</v>
      </c>
      <c r="BF909" s="19">
        <v>1.5730914008464401E-2</v>
      </c>
      <c r="BG909" s="19">
        <v>1.6482794071994201E-2</v>
      </c>
      <c r="BH909" s="19">
        <v>1.7140689127582799E-2</v>
      </c>
      <c r="BI909" s="19">
        <v>1.7716347301222801E-2</v>
      </c>
      <c r="BJ909" s="19">
        <v>1.8245012970892201E-2</v>
      </c>
      <c r="BK909" s="18"/>
      <c r="BL909" s="18"/>
      <c r="BM909" s="19">
        <v>1.2998006199423401E-2</v>
      </c>
      <c r="BN909" s="19">
        <v>1.4602800210019799E-2</v>
      </c>
      <c r="BO909" s="19">
        <v>1.6162951341844201E-2</v>
      </c>
      <c r="BP909" s="19">
        <v>1.7102801421256499E-2</v>
      </c>
      <c r="BQ909" s="19">
        <v>1.7422350448256602E-2</v>
      </c>
      <c r="BR909" s="19">
        <v>1.76479144673156E-2</v>
      </c>
      <c r="BS909" s="19">
        <v>1.77794934784333E-2</v>
      </c>
      <c r="BT909" s="19">
        <v>1.78288356076024E-2</v>
      </c>
      <c r="BU909" s="19">
        <v>1.7831185232801E-2</v>
      </c>
    </row>
    <row r="910" spans="3:73" x14ac:dyDescent="0.45">
      <c r="AR910" s="15" t="s">
        <v>328</v>
      </c>
      <c r="AS910" s="15" t="s">
        <v>369</v>
      </c>
      <c r="AT910" s="15"/>
      <c r="AU910" s="15"/>
      <c r="AV910" s="15" t="s">
        <v>525</v>
      </c>
      <c r="AW910" s="15"/>
      <c r="AX910" s="15"/>
      <c r="AY910" s="15"/>
      <c r="AZ910" s="18"/>
      <c r="BA910" s="18"/>
      <c r="BB910" s="19">
        <v>0.16153383994528001</v>
      </c>
      <c r="BC910" s="19">
        <v>0.169444506084</v>
      </c>
      <c r="BD910" s="19">
        <v>0.175844146106336</v>
      </c>
      <c r="BE910" s="19">
        <v>0.18769533133288199</v>
      </c>
      <c r="BF910" s="19">
        <v>0.19836139803677399</v>
      </c>
      <c r="BG910" s="19">
        <v>0.20784234621801201</v>
      </c>
      <c r="BH910" s="19">
        <v>0.21613817587659401</v>
      </c>
      <c r="BI910" s="19">
        <v>0.22339702682785401</v>
      </c>
      <c r="BJ910" s="19">
        <v>0.230063318517787</v>
      </c>
      <c r="BK910" s="18"/>
      <c r="BL910" s="18"/>
      <c r="BM910" s="19">
        <v>0.163900373495206</v>
      </c>
      <c r="BN910" s="19">
        <v>0.184136272269535</v>
      </c>
      <c r="BO910" s="19">
        <v>0.203809239745602</v>
      </c>
      <c r="BP910" s="19">
        <v>0.21566042497214899</v>
      </c>
      <c r="BQ910" s="19">
        <v>0.21968982794917499</v>
      </c>
      <c r="BR910" s="19">
        <v>0.22253411240354601</v>
      </c>
      <c r="BS910" s="19">
        <v>0.22419327833526301</v>
      </c>
      <c r="BT910" s="19">
        <v>0.22481546555965601</v>
      </c>
      <c r="BU910" s="19">
        <v>0.224845093522723</v>
      </c>
    </row>
    <row r="911" spans="3:73" x14ac:dyDescent="0.45">
      <c r="AR911" s="15" t="s">
        <v>328</v>
      </c>
      <c r="AS911" s="15" t="s">
        <v>369</v>
      </c>
      <c r="AT911" s="15"/>
      <c r="AU911" s="15"/>
      <c r="AV911" s="15" t="s">
        <v>526</v>
      </c>
      <c r="AW911" s="15"/>
      <c r="AX911" s="15"/>
      <c r="AY911" s="15"/>
      <c r="AZ911" s="18"/>
      <c r="BA911" s="18"/>
      <c r="BB911" s="19">
        <v>0.44469022174376599</v>
      </c>
      <c r="BC911" s="19">
        <v>0.46646767642793502</v>
      </c>
      <c r="BD911" s="19">
        <v>0.48408539257692601</v>
      </c>
      <c r="BE911" s="19">
        <v>0.51671079285283605</v>
      </c>
      <c r="BF911" s="19">
        <v>0.54607365310115397</v>
      </c>
      <c r="BG911" s="19">
        <v>0.57217397332188202</v>
      </c>
      <c r="BH911" s="19">
        <v>0.595011753515019</v>
      </c>
      <c r="BI911" s="19">
        <v>0.614994811184013</v>
      </c>
      <c r="BJ911" s="19">
        <v>0.63334659883921196</v>
      </c>
      <c r="BK911" s="18"/>
      <c r="BL911" s="18"/>
      <c r="BM911" s="19">
        <v>0.45120510636136102</v>
      </c>
      <c r="BN911" s="19">
        <v>0.50691297733247698</v>
      </c>
      <c r="BO911" s="19">
        <v>0.561071141790487</v>
      </c>
      <c r="BP911" s="19">
        <v>0.59369654206639599</v>
      </c>
      <c r="BQ911" s="19">
        <v>0.60478917816020505</v>
      </c>
      <c r="BR911" s="19">
        <v>0.61261927422642404</v>
      </c>
      <c r="BS911" s="19">
        <v>0.61718683026505095</v>
      </c>
      <c r="BT911" s="19">
        <v>0.61889966377953598</v>
      </c>
      <c r="BU911" s="19">
        <v>0.61898122728022598</v>
      </c>
    </row>
    <row r="912" spans="3:73" x14ac:dyDescent="0.45">
      <c r="AR912" s="15" t="s">
        <v>328</v>
      </c>
      <c r="AS912" s="15" t="s">
        <v>369</v>
      </c>
      <c r="AT912" s="15"/>
      <c r="AU912" s="15"/>
      <c r="AV912" s="15" t="s">
        <v>527</v>
      </c>
      <c r="AW912" s="15"/>
      <c r="AX912" s="15"/>
      <c r="AY912" s="15"/>
      <c r="AZ912" s="18"/>
      <c r="BA912" s="18"/>
      <c r="BB912" s="19">
        <v>9.1753494641584707E-2</v>
      </c>
      <c r="BC912" s="19">
        <v>9.6246864349234101E-2</v>
      </c>
      <c r="BD912" s="19">
        <v>9.9881949955422294E-2</v>
      </c>
      <c r="BE912" s="19">
        <v>0.106613589966882</v>
      </c>
      <c r="BF912" s="19">
        <v>0.11267206597719601</v>
      </c>
      <c r="BG912" s="19">
        <v>0.118057377986364</v>
      </c>
      <c r="BH912" s="19">
        <v>0.122769525994385</v>
      </c>
      <c r="BI912" s="19">
        <v>0.12689265550140399</v>
      </c>
      <c r="BJ912" s="19">
        <v>0.13067920300784999</v>
      </c>
      <c r="BK912" s="18"/>
      <c r="BL912" s="18"/>
      <c r="BM912" s="19">
        <v>9.3097719006373106E-2</v>
      </c>
      <c r="BN912" s="19">
        <v>0.104591994325941</v>
      </c>
      <c r="BO912" s="19">
        <v>0.11576651674496399</v>
      </c>
      <c r="BP912" s="19">
        <v>0.122498156756423</v>
      </c>
      <c r="BQ912" s="19">
        <v>0.12478691436031999</v>
      </c>
      <c r="BR912" s="19">
        <v>0.12640250796307001</v>
      </c>
      <c r="BS912" s="19">
        <v>0.12734493756467399</v>
      </c>
      <c r="BT912" s="19">
        <v>0.12769834866527599</v>
      </c>
      <c r="BU912" s="19">
        <v>0.127715177765305</v>
      </c>
    </row>
    <row r="913" spans="44:73" x14ac:dyDescent="0.45">
      <c r="AR913" s="15" t="s">
        <v>328</v>
      </c>
      <c r="AS913" s="15" t="s">
        <v>369</v>
      </c>
      <c r="AT913" s="15"/>
      <c r="AU913" s="15"/>
      <c r="AV913" s="15" t="s">
        <v>528</v>
      </c>
      <c r="AW913" s="15"/>
      <c r="AX913" s="15"/>
      <c r="AY913" s="15"/>
      <c r="AZ913" s="18"/>
      <c r="BA913" s="18"/>
      <c r="BB913" s="19">
        <v>1.5359840919547001</v>
      </c>
      <c r="BC913" s="19">
        <v>1.6112045990011199</v>
      </c>
      <c r="BD913" s="19">
        <v>1.6720571440274301</v>
      </c>
      <c r="BE913" s="19">
        <v>1.7847470422243099</v>
      </c>
      <c r="BF913" s="19">
        <v>1.8861679506015001</v>
      </c>
      <c r="BG913" s="19">
        <v>1.976319869159</v>
      </c>
      <c r="BH913" s="19">
        <v>2.0552027978968201</v>
      </c>
      <c r="BI913" s="19">
        <v>2.1242253605424</v>
      </c>
      <c r="BJ913" s="19">
        <v>2.1876134282781501</v>
      </c>
      <c r="BK913" s="18"/>
      <c r="BL913" s="18"/>
      <c r="BM913" s="19">
        <v>1.55848685600089</v>
      </c>
      <c r="BN913" s="19">
        <v>1.75090485717206</v>
      </c>
      <c r="BO913" s="19">
        <v>1.9379700881788799</v>
      </c>
      <c r="BP913" s="19">
        <v>2.0506599863757602</v>
      </c>
      <c r="BQ913" s="19">
        <v>2.0889745517626901</v>
      </c>
      <c r="BR913" s="19">
        <v>2.1160201273299402</v>
      </c>
      <c r="BS913" s="19">
        <v>2.13179671307751</v>
      </c>
      <c r="BT913" s="19">
        <v>2.1377129327328399</v>
      </c>
      <c r="BU913" s="19">
        <v>2.13799465747833</v>
      </c>
    </row>
    <row r="914" spans="44:73" x14ac:dyDescent="0.45">
      <c r="AR914" s="15" t="s">
        <v>328</v>
      </c>
      <c r="AS914" s="15" t="s">
        <v>369</v>
      </c>
      <c r="AT914" s="15"/>
      <c r="AU914" s="15"/>
      <c r="AV914" s="15" t="s">
        <v>530</v>
      </c>
      <c r="AW914" s="15"/>
      <c r="AX914" s="15"/>
      <c r="AY914" s="15"/>
      <c r="AZ914" s="18"/>
      <c r="BA914" s="18"/>
      <c r="BB914" s="19">
        <v>0.85778045075644305</v>
      </c>
      <c r="BC914" s="19">
        <v>0.89978783923029804</v>
      </c>
      <c r="BD914" s="19">
        <v>0.93377134451251698</v>
      </c>
      <c r="BE914" s="19">
        <v>0.99670376170181296</v>
      </c>
      <c r="BF914" s="19">
        <v>1.0533429371721801</v>
      </c>
      <c r="BG914" s="19">
        <v>1.1036888709236199</v>
      </c>
      <c r="BH914" s="19">
        <v>1.1477415629561201</v>
      </c>
      <c r="BI914" s="19">
        <v>1.18628766848457</v>
      </c>
      <c r="BJ914" s="19">
        <v>1.22168715315355</v>
      </c>
      <c r="BK914" s="18"/>
      <c r="BL914" s="18"/>
      <c r="BM914" s="19">
        <v>0.87034726781393001</v>
      </c>
      <c r="BN914" s="19">
        <v>0.97780437016465305</v>
      </c>
      <c r="BO914" s="19">
        <v>1.0822721826988799</v>
      </c>
      <c r="BP914" s="19">
        <v>1.1452045998881799</v>
      </c>
      <c r="BQ914" s="19">
        <v>1.1666016217325399</v>
      </c>
      <c r="BR914" s="19">
        <v>1.18170540185797</v>
      </c>
      <c r="BS914" s="19">
        <v>1.1905159402644701</v>
      </c>
      <c r="BT914" s="19">
        <v>1.1938198921669101</v>
      </c>
      <c r="BU914" s="19">
        <v>1.19397722320988</v>
      </c>
    </row>
    <row r="915" spans="44:73" x14ac:dyDescent="0.45">
      <c r="AR915" s="15" t="s">
        <v>328</v>
      </c>
      <c r="AS915" s="15" t="s">
        <v>369</v>
      </c>
      <c r="AT915" s="15"/>
      <c r="AU915" s="15"/>
      <c r="AV915" s="15" t="s">
        <v>531</v>
      </c>
      <c r="AW915" s="15"/>
      <c r="AX915" s="15"/>
      <c r="AY915" s="15"/>
      <c r="AZ915" s="18"/>
      <c r="BA915" s="18"/>
      <c r="BB915" s="19">
        <v>0</v>
      </c>
      <c r="BC915" s="19">
        <v>0</v>
      </c>
      <c r="BD915" s="19">
        <v>0</v>
      </c>
      <c r="BE915" s="19">
        <v>0</v>
      </c>
      <c r="BF915" s="19">
        <v>0</v>
      </c>
      <c r="BG915" s="19">
        <v>0</v>
      </c>
      <c r="BH915" s="19">
        <v>0</v>
      </c>
      <c r="BI915" s="19">
        <v>0</v>
      </c>
      <c r="BJ915" s="19">
        <v>0</v>
      </c>
      <c r="BK915" s="18"/>
      <c r="BL915" s="18"/>
      <c r="BM915" s="19">
        <v>0</v>
      </c>
      <c r="BN915" s="19">
        <v>0</v>
      </c>
      <c r="BO915" s="19">
        <v>0</v>
      </c>
      <c r="BP915" s="19">
        <v>0</v>
      </c>
      <c r="BQ915" s="19">
        <v>0</v>
      </c>
      <c r="BR915" s="19">
        <v>0</v>
      </c>
      <c r="BS915" s="19">
        <v>0</v>
      </c>
      <c r="BT915" s="19">
        <v>0</v>
      </c>
      <c r="BU915" s="19">
        <v>0</v>
      </c>
    </row>
    <row r="916" spans="44:73" x14ac:dyDescent="0.45">
      <c r="AR916" s="15" t="s">
        <v>328</v>
      </c>
      <c r="AS916" s="15" t="s">
        <v>369</v>
      </c>
      <c r="AT916" s="15"/>
      <c r="AU916" s="15"/>
      <c r="AV916" s="15" t="s">
        <v>532</v>
      </c>
      <c r="AW916" s="15"/>
      <c r="AX916" s="15"/>
      <c r="AY916" s="15"/>
      <c r="AZ916" s="18"/>
      <c r="BA916" s="18"/>
      <c r="BB916" s="19">
        <v>0</v>
      </c>
      <c r="BC916" s="19">
        <v>0</v>
      </c>
      <c r="BD916" s="19">
        <v>0</v>
      </c>
      <c r="BE916" s="19">
        <v>0</v>
      </c>
      <c r="BF916" s="19">
        <v>0</v>
      </c>
      <c r="BG916" s="19">
        <v>0</v>
      </c>
      <c r="BH916" s="19">
        <v>0</v>
      </c>
      <c r="BI916" s="19">
        <v>0</v>
      </c>
      <c r="BJ916" s="19">
        <v>0</v>
      </c>
      <c r="BK916" s="18"/>
      <c r="BL916" s="18"/>
      <c r="BM916" s="19">
        <v>0</v>
      </c>
      <c r="BN916" s="19">
        <v>0</v>
      </c>
      <c r="BO916" s="19">
        <v>0</v>
      </c>
      <c r="BP916" s="19">
        <v>0</v>
      </c>
      <c r="BQ916" s="19">
        <v>0</v>
      </c>
      <c r="BR916" s="19">
        <v>0</v>
      </c>
      <c r="BS916" s="19">
        <v>0</v>
      </c>
      <c r="BT916" s="19">
        <v>0</v>
      </c>
      <c r="BU916" s="19">
        <v>0</v>
      </c>
    </row>
    <row r="917" spans="44:73" x14ac:dyDescent="0.45">
      <c r="AR917" s="15" t="s">
        <v>328</v>
      </c>
      <c r="AS917" s="15" t="s">
        <v>369</v>
      </c>
      <c r="AT917" s="15"/>
      <c r="AU917" s="15"/>
      <c r="AV917" s="15" t="s">
        <v>533</v>
      </c>
      <c r="AW917" s="15"/>
      <c r="AX917" s="15"/>
      <c r="AY917" s="15"/>
      <c r="AZ917" s="18"/>
      <c r="BA917" s="18"/>
      <c r="BB917" s="19">
        <v>0</v>
      </c>
      <c r="BC917" s="19">
        <v>0</v>
      </c>
      <c r="BD917" s="19">
        <v>0</v>
      </c>
      <c r="BE917" s="19">
        <v>0</v>
      </c>
      <c r="BF917" s="19">
        <v>0</v>
      </c>
      <c r="BG917" s="19">
        <v>0</v>
      </c>
      <c r="BH917" s="19">
        <v>0</v>
      </c>
      <c r="BI917" s="19">
        <v>0</v>
      </c>
      <c r="BJ917" s="19">
        <v>0</v>
      </c>
      <c r="BK917" s="18"/>
      <c r="BL917" s="18"/>
      <c r="BM917" s="19">
        <v>0</v>
      </c>
      <c r="BN917" s="19">
        <v>0</v>
      </c>
      <c r="BO917" s="19">
        <v>0</v>
      </c>
      <c r="BP917" s="19">
        <v>0</v>
      </c>
      <c r="BQ917" s="19">
        <v>0</v>
      </c>
      <c r="BR917" s="19">
        <v>0</v>
      </c>
      <c r="BS917" s="19">
        <v>0</v>
      </c>
      <c r="BT917" s="19">
        <v>0</v>
      </c>
      <c r="BU917" s="19">
        <v>0</v>
      </c>
    </row>
    <row r="918" spans="44:73" x14ac:dyDescent="0.45">
      <c r="AR918" s="15" t="s">
        <v>328</v>
      </c>
      <c r="AS918" s="15" t="s">
        <v>369</v>
      </c>
      <c r="AT918" s="15"/>
      <c r="AU918" s="15"/>
      <c r="AV918" s="15" t="s">
        <v>534</v>
      </c>
      <c r="AW918" s="15"/>
      <c r="AX918" s="15"/>
      <c r="AY918" s="15"/>
      <c r="AZ918" s="18"/>
      <c r="BA918" s="18"/>
      <c r="BB918" s="19">
        <v>2.8111738675748401</v>
      </c>
      <c r="BC918" s="19">
        <v>2.9300216369026399</v>
      </c>
      <c r="BD918" s="19">
        <v>3.1068736629917</v>
      </c>
      <c r="BE918" s="19">
        <v>3.2881963346476102</v>
      </c>
      <c r="BF918" s="19">
        <v>3.51521131970126</v>
      </c>
      <c r="BG918" s="19">
        <v>3.75458244233084</v>
      </c>
      <c r="BH918" s="19">
        <v>4.0267918447503197</v>
      </c>
      <c r="BI918" s="19">
        <v>4.4095838944854204</v>
      </c>
      <c r="BJ918" s="19">
        <v>4.7987472810893603</v>
      </c>
      <c r="BK918" s="18"/>
      <c r="BL918" s="18"/>
      <c r="BM918" s="19">
        <v>2.64901823516507</v>
      </c>
      <c r="BN918" s="19">
        <v>2.95214052158755</v>
      </c>
      <c r="BO918" s="19">
        <v>3.3094362913429398</v>
      </c>
      <c r="BP918" s="19">
        <v>3.8261375430694402</v>
      </c>
      <c r="BQ918" s="19">
        <v>4.3551499023907798</v>
      </c>
      <c r="BR918" s="19">
        <v>4.8201926654253002</v>
      </c>
      <c r="BS918" s="19">
        <v>5.3581557749837803</v>
      </c>
      <c r="BT918" s="19">
        <v>5.9388347286653902</v>
      </c>
      <c r="BU918" s="19">
        <v>6.49384707622972</v>
      </c>
    </row>
    <row r="919" spans="44:73" x14ac:dyDescent="0.45">
      <c r="AR919" s="15" t="s">
        <v>328</v>
      </c>
      <c r="AS919" s="15" t="s">
        <v>369</v>
      </c>
      <c r="AT919" s="15"/>
      <c r="AU919" s="15"/>
      <c r="AV919" s="15" t="s">
        <v>535</v>
      </c>
      <c r="AW919" s="15"/>
      <c r="AX919" s="15"/>
      <c r="AY919" s="15"/>
      <c r="AZ919" s="18"/>
      <c r="BA919" s="18"/>
      <c r="BB919" s="19">
        <v>2.4973180909125801</v>
      </c>
      <c r="BC919" s="19">
        <v>2.5779588517219199</v>
      </c>
      <c r="BD919" s="19">
        <v>2.6598585233076499</v>
      </c>
      <c r="BE919" s="19">
        <v>2.7744497889507498</v>
      </c>
      <c r="BF919" s="19">
        <v>2.9108354506321001</v>
      </c>
      <c r="BG919" s="19">
        <v>3.01726220963991</v>
      </c>
      <c r="BH919" s="19">
        <v>3.10371636686535</v>
      </c>
      <c r="BI919" s="19">
        <v>3.19017052409079</v>
      </c>
      <c r="BJ919" s="19">
        <v>3.2766246813162301</v>
      </c>
      <c r="BK919" s="18"/>
      <c r="BL919" s="18"/>
      <c r="BM919" s="19">
        <v>2.4027775754843002</v>
      </c>
      <c r="BN919" s="19">
        <v>2.49277596301383</v>
      </c>
      <c r="BO919" s="19">
        <v>2.5861048144440999</v>
      </c>
      <c r="BP919" s="19">
        <v>2.6829278725895098</v>
      </c>
      <c r="BQ919" s="19">
        <v>2.7833759595954102</v>
      </c>
      <c r="BR919" s="19">
        <v>2.8875847955525802</v>
      </c>
      <c r="BS919" s="19">
        <v>2.9956951818749</v>
      </c>
      <c r="BT919" s="19">
        <v>3.1078531915427901</v>
      </c>
      <c r="BU919" s="19">
        <v>3.22421036646913</v>
      </c>
    </row>
    <row r="920" spans="44:73" x14ac:dyDescent="0.45">
      <c r="AR920" s="15" t="s">
        <v>328</v>
      </c>
      <c r="AS920" s="15" t="s">
        <v>369</v>
      </c>
      <c r="AT920" s="15"/>
      <c r="AU920" s="15"/>
      <c r="AV920" s="15" t="s">
        <v>536</v>
      </c>
      <c r="AW920" s="15"/>
      <c r="AX920" s="15"/>
      <c r="AY920" s="15"/>
      <c r="AZ920" s="18"/>
      <c r="BA920" s="18"/>
      <c r="BB920" s="19">
        <v>0.203373819163293</v>
      </c>
      <c r="BC920" s="19">
        <v>0.20953666216824099</v>
      </c>
      <c r="BD920" s="19">
        <v>0.212618083670715</v>
      </c>
      <c r="BE920" s="19">
        <v>0.215699505173189</v>
      </c>
      <c r="BF920" s="19">
        <v>0.21878092667566401</v>
      </c>
      <c r="BG920" s="19">
        <v>0.21878092667566401</v>
      </c>
      <c r="BH920" s="19">
        <v>0.224943769680612</v>
      </c>
      <c r="BI920" s="19">
        <v>0.23418803418803399</v>
      </c>
      <c r="BJ920" s="19">
        <v>0.24035087719298201</v>
      </c>
      <c r="BK920" s="18"/>
      <c r="BL920" s="18"/>
      <c r="BM920" s="19">
        <v>0.21</v>
      </c>
      <c r="BN920" s="19">
        <v>0.22</v>
      </c>
      <c r="BO920" s="19">
        <v>0.24</v>
      </c>
      <c r="BP920" s="19">
        <v>0.25</v>
      </c>
      <c r="BQ920" s="19">
        <v>0.25</v>
      </c>
      <c r="BR920" s="19">
        <v>0.26</v>
      </c>
      <c r="BS920" s="19">
        <v>0.26</v>
      </c>
      <c r="BT920" s="19">
        <v>0.26</v>
      </c>
      <c r="BU920" s="19">
        <v>0.26</v>
      </c>
    </row>
    <row r="921" spans="44:73" x14ac:dyDescent="0.45">
      <c r="AR921" s="15" t="s">
        <v>328</v>
      </c>
      <c r="AS921" s="15" t="s">
        <v>369</v>
      </c>
      <c r="AT921" s="15"/>
      <c r="AU921" s="15"/>
      <c r="AV921" s="15" t="s">
        <v>537</v>
      </c>
      <c r="AW921" s="15"/>
      <c r="AX921" s="15"/>
      <c r="AY921" s="15"/>
      <c r="AZ921" s="18"/>
      <c r="BA921" s="18"/>
      <c r="BB921" s="19">
        <v>2.4754688745572402</v>
      </c>
      <c r="BC921" s="19">
        <v>2.3544303508125402</v>
      </c>
      <c r="BD921" s="19">
        <v>2.2532124119153698</v>
      </c>
      <c r="BE921" s="19">
        <v>2.32402975374674</v>
      </c>
      <c r="BF921" s="19">
        <v>2.43215196416423</v>
      </c>
      <c r="BG921" s="19">
        <v>2.69760044924459</v>
      </c>
      <c r="BH921" s="19">
        <v>2.9920203552187501</v>
      </c>
      <c r="BI921" s="19">
        <v>3.3185736636981198</v>
      </c>
      <c r="BJ921" s="19">
        <v>3.6807674594130901</v>
      </c>
      <c r="BK921" s="18"/>
      <c r="BL921" s="18"/>
      <c r="BM921" s="19">
        <v>2.8963923999999999</v>
      </c>
      <c r="BN921" s="19">
        <v>2.7261477881576601</v>
      </c>
      <c r="BO921" s="19">
        <v>2.9818500363101101</v>
      </c>
      <c r="BP921" s="19">
        <v>3.3600729421153899</v>
      </c>
      <c r="BQ921" s="19">
        <v>3.8430121443334602</v>
      </c>
      <c r="BR921" s="19">
        <v>4.14721845799086</v>
      </c>
      <c r="BS921" s="19">
        <v>4.4536734939034304</v>
      </c>
      <c r="BT921" s="19">
        <v>4.6901319676574804</v>
      </c>
      <c r="BU921" s="19">
        <v>4.9391447092281204</v>
      </c>
    </row>
    <row r="922" spans="44:73" x14ac:dyDescent="0.45">
      <c r="AR922" s="15" t="s">
        <v>328</v>
      </c>
      <c r="AS922" s="15" t="s">
        <v>369</v>
      </c>
      <c r="AT922" s="15"/>
      <c r="AU922" s="15"/>
      <c r="AV922" s="15" t="s">
        <v>538</v>
      </c>
      <c r="AW922" s="15"/>
      <c r="AX922" s="15"/>
      <c r="AY922" s="15"/>
      <c r="AZ922" s="18"/>
      <c r="BA922" s="18"/>
      <c r="BB922" s="19">
        <v>0.26518694759122302</v>
      </c>
      <c r="BC922" s="19">
        <v>0.27182808323451801</v>
      </c>
      <c r="BD922" s="19">
        <v>0.27721453760903297</v>
      </c>
      <c r="BE922" s="19">
        <v>0.27978198042628399</v>
      </c>
      <c r="BF922" s="19">
        <v>0.28229848950064901</v>
      </c>
      <c r="BG922" s="19">
        <v>0.28479135026461999</v>
      </c>
      <c r="BH922" s="19">
        <v>0.28931824437815801</v>
      </c>
      <c r="BI922" s="19">
        <v>0.301225620527794</v>
      </c>
      <c r="BJ922" s="19">
        <v>0.31263056247471899</v>
      </c>
      <c r="BK922" s="18"/>
      <c r="BL922" s="18"/>
      <c r="BM922" s="19">
        <v>0.26803478214548898</v>
      </c>
      <c r="BN922" s="19">
        <v>0.26707779878244903</v>
      </c>
      <c r="BO922" s="19">
        <v>0.28526398852097001</v>
      </c>
      <c r="BP922" s="19">
        <v>0.306291560091565</v>
      </c>
      <c r="BQ922" s="19">
        <v>0.32171363978369999</v>
      </c>
      <c r="BR922" s="19">
        <v>0.325783411745802</v>
      </c>
      <c r="BS922" s="19">
        <v>0.33246780414098398</v>
      </c>
      <c r="BT922" s="19">
        <v>0.33852908459974601</v>
      </c>
      <c r="BU922" s="19">
        <v>0.33886734029182503</v>
      </c>
    </row>
    <row r="923" spans="44:73" x14ac:dyDescent="0.45">
      <c r="AR923" s="15" t="s">
        <v>328</v>
      </c>
      <c r="AS923" s="15" t="s">
        <v>369</v>
      </c>
      <c r="AT923" s="15"/>
      <c r="AU923" s="15"/>
      <c r="AV923" s="15" t="s">
        <v>539</v>
      </c>
      <c r="AW923" s="15"/>
      <c r="AX923" s="15"/>
      <c r="AY923" s="15"/>
      <c r="AZ923" s="18"/>
      <c r="BA923" s="18"/>
      <c r="BB923" s="19">
        <v>0.398304802890662</v>
      </c>
      <c r="BC923" s="19">
        <v>0.405054204564263</v>
      </c>
      <c r="BD923" s="19">
        <v>0.42297886999423001</v>
      </c>
      <c r="BE923" s="19">
        <v>0.442062197674989</v>
      </c>
      <c r="BF923" s="19">
        <v>0.46191796685627601</v>
      </c>
      <c r="BG923" s="19">
        <v>0.47800616807929902</v>
      </c>
      <c r="BH923" s="19">
        <v>0.491582657330147</v>
      </c>
      <c r="BI923" s="19">
        <v>0.50515914658099403</v>
      </c>
      <c r="BJ923" s="19">
        <v>0.51873563583184101</v>
      </c>
      <c r="BK923" s="18"/>
      <c r="BL923" s="18"/>
      <c r="BM923" s="19">
        <v>0.424373609798393</v>
      </c>
      <c r="BN923" s="19">
        <v>0.40098626255164299</v>
      </c>
      <c r="BO923" s="19">
        <v>0.41336946414317399</v>
      </c>
      <c r="BP923" s="19">
        <v>0.43919409629137102</v>
      </c>
      <c r="BQ923" s="19">
        <v>0.46044461506310203</v>
      </c>
      <c r="BR923" s="19">
        <v>0.47864572491718899</v>
      </c>
      <c r="BS923" s="19">
        <v>0.48957769763415199</v>
      </c>
      <c r="BT923" s="19">
        <v>0.49566357892636598</v>
      </c>
      <c r="BU923" s="19">
        <v>0.50174946021858002</v>
      </c>
    </row>
    <row r="924" spans="44:73" x14ac:dyDescent="0.45">
      <c r="AR924" s="15" t="s">
        <v>328</v>
      </c>
      <c r="AS924" s="15" t="s">
        <v>369</v>
      </c>
      <c r="AT924" s="15"/>
      <c r="AU924" s="15"/>
      <c r="AV924" s="15" t="s">
        <v>540</v>
      </c>
      <c r="AW924" s="15"/>
      <c r="AX924" s="15"/>
      <c r="AY924" s="15"/>
      <c r="AZ924" s="18"/>
      <c r="BA924" s="18"/>
      <c r="BB924" s="19">
        <v>0.45662618083670697</v>
      </c>
      <c r="BC924" s="19">
        <v>0.47046333783175898</v>
      </c>
      <c r="BD924" s="19">
        <v>0.47738191632928501</v>
      </c>
      <c r="BE924" s="19">
        <v>0.48430049482681098</v>
      </c>
      <c r="BF924" s="19">
        <v>0.49121907332433701</v>
      </c>
      <c r="BG924" s="19">
        <v>0.49121907332433701</v>
      </c>
      <c r="BH924" s="19">
        <v>0.50505623031938796</v>
      </c>
      <c r="BI924" s="19">
        <v>0.52581196581196599</v>
      </c>
      <c r="BJ924" s="19">
        <v>0.53964912280701804</v>
      </c>
      <c r="BK924" s="18"/>
      <c r="BL924" s="18"/>
      <c r="BM924" s="19">
        <v>0.46</v>
      </c>
      <c r="BN924" s="19">
        <v>0.5</v>
      </c>
      <c r="BO924" s="19">
        <v>0.53</v>
      </c>
      <c r="BP924" s="19">
        <v>0.56000000000000005</v>
      </c>
      <c r="BQ924" s="19">
        <v>0.56999999999999995</v>
      </c>
      <c r="BR924" s="19">
        <v>0.56999999999999995</v>
      </c>
      <c r="BS924" s="19">
        <v>0.59</v>
      </c>
      <c r="BT924" s="19">
        <v>0.59</v>
      </c>
      <c r="BU924" s="19">
        <v>0.59</v>
      </c>
    </row>
    <row r="925" spans="44:73" x14ac:dyDescent="0.45">
      <c r="AR925" s="15" t="s">
        <v>328</v>
      </c>
      <c r="AS925" s="15" t="s">
        <v>369</v>
      </c>
      <c r="AT925" s="15"/>
      <c r="AU925" s="15"/>
      <c r="AV925" s="15" t="s">
        <v>541</v>
      </c>
      <c r="AW925" s="15"/>
      <c r="AX925" s="15"/>
      <c r="AY925" s="15"/>
      <c r="AZ925" s="18"/>
      <c r="BA925" s="18"/>
      <c r="BB925" s="19">
        <v>5.6660332058386196</v>
      </c>
      <c r="BC925" s="19">
        <v>5.84794763203206</v>
      </c>
      <c r="BD925" s="19">
        <v>6.0991224667561799</v>
      </c>
      <c r="BE925" s="19">
        <v>6.2542826141461001</v>
      </c>
      <c r="BF925" s="19">
        <v>6.7375021163970201</v>
      </c>
      <c r="BG925" s="19">
        <v>6.9939054472000803</v>
      </c>
      <c r="BH925" s="19">
        <v>7.26006649932346</v>
      </c>
      <c r="BI925" s="19">
        <v>7.5363566139859701</v>
      </c>
      <c r="BJ925" s="19">
        <v>7.8231612642202002</v>
      </c>
      <c r="BK925" s="18"/>
      <c r="BL925" s="18"/>
      <c r="BM925" s="19">
        <v>5.5187570918086397</v>
      </c>
      <c r="BN925" s="19">
        <v>6.0397063105684001</v>
      </c>
      <c r="BO925" s="19">
        <v>6.7962652425810601</v>
      </c>
      <c r="BP925" s="19">
        <v>7.7839879702488801</v>
      </c>
      <c r="BQ925" s="19">
        <v>8.7298825360324699</v>
      </c>
      <c r="BR925" s="19">
        <v>10.3899443292547</v>
      </c>
      <c r="BS925" s="19">
        <v>11.676368078238299</v>
      </c>
      <c r="BT925" s="19">
        <v>13.1220694912311</v>
      </c>
      <c r="BU925" s="19">
        <v>14.7467694217017</v>
      </c>
    </row>
    <row r="926" spans="44:73" x14ac:dyDescent="0.45">
      <c r="AR926" s="15" t="s">
        <v>328</v>
      </c>
      <c r="AS926" s="15" t="s">
        <v>369</v>
      </c>
      <c r="AT926" s="15"/>
      <c r="AU926" s="15"/>
      <c r="AV926" s="15" t="s">
        <v>542</v>
      </c>
      <c r="AW926" s="15"/>
      <c r="AX926" s="15"/>
      <c r="AY926" s="15"/>
      <c r="AZ926" s="18"/>
      <c r="BA926" s="18"/>
      <c r="BB926" s="19">
        <v>12.159827353090099</v>
      </c>
      <c r="BC926" s="19">
        <v>13.295971292806099</v>
      </c>
      <c r="BD926" s="19">
        <v>14.668573777883999</v>
      </c>
      <c r="BE926" s="19">
        <v>15.9893880039485</v>
      </c>
      <c r="BF926" s="19">
        <v>17.106945884079298</v>
      </c>
      <c r="BG926" s="19">
        <v>17.337361748427998</v>
      </c>
      <c r="BH926" s="19">
        <v>16.525932428403699</v>
      </c>
      <c r="BI926" s="19">
        <v>15.6239150982162</v>
      </c>
      <c r="BJ926" s="19">
        <v>14.771131617161499</v>
      </c>
      <c r="BK926" s="18"/>
      <c r="BL926" s="18"/>
      <c r="BM926" s="19">
        <v>11.429025798843901</v>
      </c>
      <c r="BN926" s="19">
        <v>12.296695710347599</v>
      </c>
      <c r="BO926" s="19">
        <v>13.775821234589401</v>
      </c>
      <c r="BP926" s="19">
        <v>15.884485297205201</v>
      </c>
      <c r="BQ926" s="19">
        <v>18.165421391822299</v>
      </c>
      <c r="BR926" s="19">
        <v>20.793191090819398</v>
      </c>
      <c r="BS926" s="19">
        <v>23.2653937575854</v>
      </c>
      <c r="BT926" s="19">
        <v>25.086355853535402</v>
      </c>
      <c r="BU926" s="19">
        <v>27.049843065949599</v>
      </c>
    </row>
    <row r="927" spans="44:73" x14ac:dyDescent="0.45">
      <c r="AR927" s="15" t="s">
        <v>328</v>
      </c>
      <c r="AS927" s="15" t="s">
        <v>369</v>
      </c>
      <c r="AT927" s="15"/>
      <c r="AU927" s="15"/>
      <c r="AV927" s="15" t="s">
        <v>543</v>
      </c>
      <c r="AW927" s="15"/>
      <c r="AX927" s="15"/>
      <c r="AY927" s="15"/>
      <c r="AZ927" s="18"/>
      <c r="BA927" s="18"/>
      <c r="BB927" s="19">
        <v>0.15237687012738599</v>
      </c>
      <c r="BC927" s="19">
        <v>0.181642441225078</v>
      </c>
      <c r="BD927" s="19">
        <v>0.203372056531021</v>
      </c>
      <c r="BE927" s="19">
        <v>0.22171780536876401</v>
      </c>
      <c r="BF927" s="19">
        <v>0.241667065726207</v>
      </c>
      <c r="BG927" s="19">
        <v>0.26456979495625299</v>
      </c>
      <c r="BH927" s="19">
        <v>0.29282476966794102</v>
      </c>
      <c r="BI927" s="19">
        <v>0.33133335818624798</v>
      </c>
      <c r="BJ927" s="19">
        <v>0.37096234614948997</v>
      </c>
      <c r="BK927" s="18"/>
      <c r="BL927" s="18"/>
      <c r="BM927" s="19">
        <v>0.100874307681245</v>
      </c>
      <c r="BN927" s="19">
        <v>0.114388725535639</v>
      </c>
      <c r="BO927" s="19">
        <v>0.13077942572509099</v>
      </c>
      <c r="BP927" s="19">
        <v>0.15324669908558899</v>
      </c>
      <c r="BQ927" s="19">
        <v>0.176645749906926</v>
      </c>
      <c r="BR927" s="19">
        <v>0.19935821977507001</v>
      </c>
      <c r="BS927" s="19">
        <v>0.22492317205147999</v>
      </c>
      <c r="BT927" s="19">
        <v>0.25109754267132001</v>
      </c>
      <c r="BU927" s="19">
        <v>0.27683203107855497</v>
      </c>
    </row>
    <row r="928" spans="44:73" x14ac:dyDescent="0.45">
      <c r="AR928" s="15" t="s">
        <v>328</v>
      </c>
      <c r="AS928" s="15" t="s">
        <v>369</v>
      </c>
      <c r="AT928" s="15"/>
      <c r="AU928" s="15"/>
      <c r="AV928" s="15" t="s">
        <v>544</v>
      </c>
      <c r="AW928" s="15"/>
      <c r="AX928" s="15"/>
      <c r="AY928" s="15"/>
      <c r="AZ928" s="18"/>
      <c r="BA928" s="18"/>
      <c r="BB928" s="19">
        <v>9.2199163917908198</v>
      </c>
      <c r="BC928" s="19">
        <v>9.2937436388495307</v>
      </c>
      <c r="BD928" s="19">
        <v>9.5469159343940202</v>
      </c>
      <c r="BE928" s="19">
        <v>9.7948126110297302</v>
      </c>
      <c r="BF928" s="19">
        <v>10.1327235766888</v>
      </c>
      <c r="BG928" s="19">
        <v>10.4624772589718</v>
      </c>
      <c r="BH928" s="19">
        <v>10.8621047255071</v>
      </c>
      <c r="BI928" s="19">
        <v>11.5532512081374</v>
      </c>
      <c r="BJ928" s="19">
        <v>12.240563285076</v>
      </c>
      <c r="BK928" s="18"/>
      <c r="BL928" s="18"/>
      <c r="BM928" s="19">
        <v>9.3206390888875603</v>
      </c>
      <c r="BN928" s="19">
        <v>9.8984634338919903</v>
      </c>
      <c r="BO928" s="19">
        <v>10.8042686127487</v>
      </c>
      <c r="BP928" s="19">
        <v>12.0541698995585</v>
      </c>
      <c r="BQ928" s="19">
        <v>13.1989595476026</v>
      </c>
      <c r="BR928" s="19">
        <v>13.9839339900154</v>
      </c>
      <c r="BS928" s="19">
        <v>14.88201418939</v>
      </c>
      <c r="BT928" s="19">
        <v>15.8434714671635</v>
      </c>
      <c r="BU928" s="19">
        <v>16.684753149514499</v>
      </c>
    </row>
    <row r="929" spans="44:73" x14ac:dyDescent="0.45">
      <c r="AR929" s="15" t="s">
        <v>328</v>
      </c>
      <c r="AS929" s="15" t="s">
        <v>369</v>
      </c>
      <c r="AT929" s="15"/>
      <c r="AU929" s="15"/>
      <c r="AV929" s="15" t="s">
        <v>545</v>
      </c>
      <c r="AW929" s="15"/>
      <c r="AX929" s="15"/>
      <c r="AY929" s="15"/>
      <c r="AZ929" s="18"/>
      <c r="BA929" s="18"/>
      <c r="BB929" s="19">
        <v>0.11819320524810201</v>
      </c>
      <c r="BC929" s="19">
        <v>0.11930884524977101</v>
      </c>
      <c r="BD929" s="19">
        <v>0.119643004354025</v>
      </c>
      <c r="BE929" s="19">
        <v>0.118502370880013</v>
      </c>
      <c r="BF929" s="19">
        <v>0.117300657289768</v>
      </c>
      <c r="BG929" s="19">
        <v>0.11765472424739699</v>
      </c>
      <c r="BH929" s="19">
        <v>0.12062155017547101</v>
      </c>
      <c r="BI929" s="19">
        <v>0.12654353516704001</v>
      </c>
      <c r="BJ929" s="19">
        <v>0.13231500567870499</v>
      </c>
      <c r="BK929" s="18"/>
      <c r="BL929" s="18"/>
      <c r="BM929" s="19">
        <v>0.115666189304028</v>
      </c>
      <c r="BN929" s="19">
        <v>0.121258121534307</v>
      </c>
      <c r="BO929" s="19">
        <v>0.128843379432205</v>
      </c>
      <c r="BP929" s="19">
        <v>0.13656076928997701</v>
      </c>
      <c r="BQ929" s="19">
        <v>0.14003876770373599</v>
      </c>
      <c r="BR929" s="19">
        <v>0.137480942186228</v>
      </c>
      <c r="BS929" s="19">
        <v>0.138660591208419</v>
      </c>
      <c r="BT929" s="19">
        <v>0.143355125628508</v>
      </c>
      <c r="BU929" s="19">
        <v>0.14648112924241</v>
      </c>
    </row>
    <row r="930" spans="44:73" x14ac:dyDescent="0.45">
      <c r="AR930" s="15" t="s">
        <v>328</v>
      </c>
      <c r="AS930" s="15" t="s">
        <v>369</v>
      </c>
      <c r="AT930" s="15"/>
      <c r="AU930" s="15"/>
      <c r="AV930" s="15" t="s">
        <v>546</v>
      </c>
      <c r="AW930" s="15"/>
      <c r="AX930" s="15"/>
      <c r="AY930" s="15"/>
      <c r="AZ930" s="18"/>
      <c r="BA930" s="18"/>
      <c r="BB930" s="19">
        <v>0</v>
      </c>
      <c r="BC930" s="19">
        <v>0</v>
      </c>
      <c r="BD930" s="19">
        <v>0</v>
      </c>
      <c r="BE930" s="19">
        <v>0</v>
      </c>
      <c r="BF930" s="19">
        <v>0</v>
      </c>
      <c r="BG930" s="19">
        <v>0</v>
      </c>
      <c r="BH930" s="19">
        <v>0</v>
      </c>
      <c r="BI930" s="19">
        <v>0</v>
      </c>
      <c r="BJ930" s="19">
        <v>0</v>
      </c>
      <c r="BK930" s="18"/>
      <c r="BL930" s="18"/>
      <c r="BM930" s="19">
        <v>1.4497948717948701E-2</v>
      </c>
      <c r="BN930" s="19">
        <v>0</v>
      </c>
      <c r="BO930" s="19">
        <v>0</v>
      </c>
      <c r="BP930" s="19">
        <v>0</v>
      </c>
      <c r="BQ930" s="19">
        <v>0</v>
      </c>
      <c r="BR930" s="19">
        <v>0</v>
      </c>
      <c r="BS930" s="19">
        <v>0</v>
      </c>
      <c r="BT930" s="19">
        <v>0</v>
      </c>
      <c r="BU930" s="19">
        <v>0</v>
      </c>
    </row>
    <row r="931" spans="44:73" x14ac:dyDescent="0.45">
      <c r="AR931" s="15" t="s">
        <v>328</v>
      </c>
      <c r="AS931" s="15" t="s">
        <v>369</v>
      </c>
      <c r="AT931" s="15"/>
      <c r="AU931" s="15"/>
      <c r="AV931" s="15" t="s">
        <v>547</v>
      </c>
      <c r="AW931" s="15"/>
      <c r="AX931" s="15"/>
      <c r="AY931" s="15"/>
      <c r="AZ931" s="18"/>
      <c r="BA931" s="18"/>
      <c r="BB931" s="19">
        <v>0</v>
      </c>
      <c r="BC931" s="19">
        <v>0</v>
      </c>
      <c r="BD931" s="19">
        <v>0</v>
      </c>
      <c r="BE931" s="19">
        <v>0</v>
      </c>
      <c r="BF931" s="19">
        <v>0</v>
      </c>
      <c r="BG931" s="19">
        <v>0</v>
      </c>
      <c r="BH931" s="19">
        <v>0</v>
      </c>
      <c r="BI931" s="19">
        <v>0</v>
      </c>
      <c r="BJ931" s="19">
        <v>0</v>
      </c>
      <c r="BK931" s="18"/>
      <c r="BL931" s="18"/>
      <c r="BM931" s="19">
        <v>0</v>
      </c>
      <c r="BN931" s="19">
        <v>0</v>
      </c>
      <c r="BO931" s="19">
        <v>0</v>
      </c>
      <c r="BP931" s="19">
        <v>0</v>
      </c>
      <c r="BQ931" s="19">
        <v>0</v>
      </c>
      <c r="BR931" s="19">
        <v>0</v>
      </c>
      <c r="BS931" s="19">
        <v>0</v>
      </c>
      <c r="BT931" s="19">
        <v>0</v>
      </c>
      <c r="BU931" s="19">
        <v>0</v>
      </c>
    </row>
    <row r="932" spans="44:73" x14ac:dyDescent="0.45">
      <c r="AR932" s="15" t="s">
        <v>328</v>
      </c>
      <c r="AS932" s="15" t="s">
        <v>369</v>
      </c>
      <c r="AT932" s="15"/>
      <c r="AU932" s="15"/>
      <c r="AV932" s="15" t="s">
        <v>548</v>
      </c>
      <c r="AW932" s="15"/>
      <c r="AX932" s="15"/>
      <c r="AY932" s="15"/>
      <c r="AZ932" s="18"/>
      <c r="BA932" s="18"/>
      <c r="BB932" s="19">
        <v>0</v>
      </c>
      <c r="BC932" s="19">
        <v>0</v>
      </c>
      <c r="BD932" s="19">
        <v>0</v>
      </c>
      <c r="BE932" s="19">
        <v>0</v>
      </c>
      <c r="BF932" s="19">
        <v>0</v>
      </c>
      <c r="BG932" s="19">
        <v>0</v>
      </c>
      <c r="BH932" s="19">
        <v>0</v>
      </c>
      <c r="BI932" s="19">
        <v>0</v>
      </c>
      <c r="BJ932" s="19">
        <v>0</v>
      </c>
      <c r="BK932" s="18"/>
      <c r="BL932" s="18"/>
      <c r="BM932" s="19">
        <v>0</v>
      </c>
      <c r="BN932" s="19">
        <v>0</v>
      </c>
      <c r="BO932" s="19">
        <v>0</v>
      </c>
      <c r="BP932" s="19">
        <v>0</v>
      </c>
      <c r="BQ932" s="19">
        <v>0</v>
      </c>
      <c r="BR932" s="19">
        <v>0</v>
      </c>
      <c r="BS932" s="19">
        <v>0</v>
      </c>
      <c r="BT932" s="19">
        <v>0</v>
      </c>
      <c r="BU932" s="19">
        <v>0</v>
      </c>
    </row>
    <row r="933" spans="44:73" x14ac:dyDescent="0.45">
      <c r="AR933" s="15" t="s">
        <v>328</v>
      </c>
      <c r="AS933" s="15" t="s">
        <v>369</v>
      </c>
      <c r="AT933" s="15"/>
      <c r="AU933" s="15"/>
      <c r="AV933" s="15" t="s">
        <v>549</v>
      </c>
      <c r="AW933" s="15"/>
      <c r="AX933" s="15"/>
      <c r="AY933" s="15"/>
      <c r="AZ933" s="18"/>
      <c r="BA933" s="18"/>
      <c r="BB933" s="19">
        <v>6.4507532846715301E-2</v>
      </c>
      <c r="BC933" s="19">
        <v>6.9913326845093299E-2</v>
      </c>
      <c r="BD933" s="19">
        <v>7.5777648012976498E-2</v>
      </c>
      <c r="BE933" s="19">
        <v>8.1617836171938393E-2</v>
      </c>
      <c r="BF933" s="19">
        <v>8.78924184914842E-2</v>
      </c>
      <c r="BG933" s="19">
        <v>9.6025242497972396E-2</v>
      </c>
      <c r="BH933" s="19">
        <v>0.10493032278994301</v>
      </c>
      <c r="BI933" s="19">
        <v>0.114680058394161</v>
      </c>
      <c r="BJ933" s="19">
        <v>0.12529858231954599</v>
      </c>
      <c r="BK933" s="18"/>
      <c r="BL933" s="18"/>
      <c r="BM933" s="19">
        <v>6.6944966747769702E-2</v>
      </c>
      <c r="BN933" s="19">
        <v>7.5294987834549895E-2</v>
      </c>
      <c r="BO933" s="19">
        <v>8.4706861313868606E-2</v>
      </c>
      <c r="BP933" s="19">
        <v>9.1222773722627701E-2</v>
      </c>
      <c r="BQ933" s="19">
        <v>9.8245479318734799E-2</v>
      </c>
      <c r="BR933" s="19">
        <v>0.106474835360908</v>
      </c>
      <c r="BS933" s="19">
        <v>0.1154040486618</v>
      </c>
      <c r="BT933" s="19">
        <v>0.12508138523925399</v>
      </c>
      <c r="BU933" s="19">
        <v>0.135579244120032</v>
      </c>
    </row>
    <row r="934" spans="44:73" x14ac:dyDescent="0.45">
      <c r="AR934" s="15" t="s">
        <v>328</v>
      </c>
      <c r="AS934" s="15" t="s">
        <v>369</v>
      </c>
      <c r="AT934" s="15"/>
      <c r="AU934" s="15"/>
      <c r="AV934" s="15" t="s">
        <v>550</v>
      </c>
      <c r="AW934" s="15"/>
      <c r="AX934" s="15"/>
      <c r="AY934" s="15"/>
      <c r="AZ934" s="18"/>
      <c r="BA934" s="18"/>
      <c r="BB934" s="19">
        <v>24.853937607922798</v>
      </c>
      <c r="BC934" s="19">
        <v>26.938561365355699</v>
      </c>
      <c r="BD934" s="19">
        <v>29.198054117305301</v>
      </c>
      <c r="BE934" s="19">
        <v>31.443115229906201</v>
      </c>
      <c r="BF934" s="19">
        <v>33.860776818464103</v>
      </c>
      <c r="BG934" s="19">
        <v>37.000599570687399</v>
      </c>
      <c r="BH934" s="19">
        <v>40.431540827031</v>
      </c>
      <c r="BI934" s="19">
        <v>44.180653877979701</v>
      </c>
      <c r="BJ934" s="19">
        <v>48.277381198459203</v>
      </c>
      <c r="BK934" s="18"/>
      <c r="BL934" s="18"/>
      <c r="BM934" s="19">
        <v>25.793828286980201</v>
      </c>
      <c r="BN934" s="19">
        <v>29.014569578896399</v>
      </c>
      <c r="BO934" s="19">
        <v>32.637441985307902</v>
      </c>
      <c r="BP934" s="19">
        <v>35.146954442362897</v>
      </c>
      <c r="BQ934" s="19">
        <v>37.849411642885002</v>
      </c>
      <c r="BR934" s="19">
        <v>41.0240344351432</v>
      </c>
      <c r="BS934" s="19">
        <v>44.464942693244403</v>
      </c>
      <c r="BT934" s="19">
        <v>48.194459605144303</v>
      </c>
      <c r="BU934" s="19">
        <v>52.236790746540102</v>
      </c>
    </row>
    <row r="935" spans="44:73" x14ac:dyDescent="0.45">
      <c r="AR935" s="15" t="s">
        <v>328</v>
      </c>
      <c r="AS935" s="15" t="s">
        <v>369</v>
      </c>
      <c r="AT935" s="15"/>
      <c r="AU935" s="15"/>
      <c r="AV935" s="15" t="s">
        <v>551</v>
      </c>
      <c r="AW935" s="15"/>
      <c r="AX935" s="15"/>
      <c r="AY935" s="15"/>
      <c r="AZ935" s="18"/>
      <c r="BA935" s="18"/>
      <c r="BB935" s="19">
        <v>0.25846641028236</v>
      </c>
      <c r="BC935" s="19">
        <v>0.28013801032284202</v>
      </c>
      <c r="BD935" s="19">
        <v>0.30364373241574699</v>
      </c>
      <c r="BE935" s="19">
        <v>0.32698052221435098</v>
      </c>
      <c r="BF935" s="19">
        <v>0.352127300880478</v>
      </c>
      <c r="BG935" s="19">
        <v>0.38477950005060202</v>
      </c>
      <c r="BH935" s="19">
        <v>0.42044834733326603</v>
      </c>
      <c r="BI935" s="19">
        <v>0.45944757413217302</v>
      </c>
      <c r="BJ935" s="19">
        <v>0.50204264548122701</v>
      </c>
      <c r="BK935" s="18"/>
      <c r="BL935" s="18"/>
      <c r="BM935" s="19">
        <v>0.268240350166987</v>
      </c>
      <c r="BN935" s="19">
        <v>0.30171307762372201</v>
      </c>
      <c r="BO935" s="19">
        <v>0.33940911243801197</v>
      </c>
      <c r="BP935" s="19">
        <v>0.36549708531525099</v>
      </c>
      <c r="BQ935" s="19">
        <v>0.39358811253921699</v>
      </c>
      <c r="BR935" s="19">
        <v>0.426602309482846</v>
      </c>
      <c r="BS935" s="19">
        <v>0.462391822690011</v>
      </c>
      <c r="BT935" s="19">
        <v>0.50117385082481503</v>
      </c>
      <c r="BU935" s="19">
        <v>0.54321385892116203</v>
      </c>
    </row>
    <row r="936" spans="44:73" x14ac:dyDescent="0.45">
      <c r="AR936" s="15" t="s">
        <v>328</v>
      </c>
      <c r="AS936" s="15" t="s">
        <v>369</v>
      </c>
      <c r="AT936" s="15"/>
      <c r="AU936" s="15"/>
      <c r="AV936" s="15" t="s">
        <v>552</v>
      </c>
      <c r="AW936" s="15"/>
      <c r="AX936" s="15"/>
      <c r="AY936" s="15"/>
      <c r="AZ936" s="18"/>
      <c r="BA936" s="18"/>
      <c r="BB936" s="19">
        <v>6.8572437818068405E-2</v>
      </c>
      <c r="BC936" s="19">
        <v>7.4310837786863801E-2</v>
      </c>
      <c r="BD936" s="19">
        <v>8.0539452828370495E-2</v>
      </c>
      <c r="BE936" s="19">
        <v>8.6739231689129406E-2</v>
      </c>
      <c r="BF936" s="19">
        <v>9.3400389441851694E-2</v>
      </c>
      <c r="BG936" s="19">
        <v>0.102080079846914</v>
      </c>
      <c r="BH936" s="19">
        <v>0.111538347132165</v>
      </c>
      <c r="BI936" s="19">
        <v>0.12189053602059501</v>
      </c>
      <c r="BJ936" s="19">
        <v>0.133165482692952</v>
      </c>
      <c r="BK936" s="18"/>
      <c r="BL936" s="18"/>
      <c r="BM936" s="19">
        <v>0</v>
      </c>
      <c r="BN936" s="19">
        <v>0</v>
      </c>
      <c r="BO936" s="19">
        <v>0</v>
      </c>
      <c r="BP936" s="19">
        <v>0</v>
      </c>
      <c r="BQ936" s="19">
        <v>0</v>
      </c>
      <c r="BR936" s="19">
        <v>0</v>
      </c>
      <c r="BS936" s="19">
        <v>0</v>
      </c>
      <c r="BT936" s="19">
        <v>0</v>
      </c>
      <c r="BU936" s="19">
        <v>0</v>
      </c>
    </row>
    <row r="937" spans="44:73" x14ac:dyDescent="0.45">
      <c r="AR937" s="15" t="s">
        <v>328</v>
      </c>
      <c r="AS937" s="15" t="s">
        <v>369</v>
      </c>
      <c r="AT937" s="15"/>
      <c r="AU937" s="15"/>
      <c r="AV937" s="15" t="s">
        <v>553</v>
      </c>
      <c r="AW937" s="15"/>
      <c r="AX937" s="15"/>
      <c r="AY937" s="15"/>
      <c r="AZ937" s="18"/>
      <c r="BA937" s="18"/>
      <c r="BB937" s="19">
        <v>3.4054750991757898</v>
      </c>
      <c r="BC937" s="19">
        <v>3.6911168183605598</v>
      </c>
      <c r="BD937" s="19">
        <v>4.0007074984862196</v>
      </c>
      <c r="BE937" s="19">
        <v>4.3083285444410402</v>
      </c>
      <c r="BF937" s="19">
        <v>4.6395852004459401</v>
      </c>
      <c r="BG937" s="19">
        <v>5.0698159735355501</v>
      </c>
      <c r="BH937" s="19">
        <v>5.5399094563781803</v>
      </c>
      <c r="BI937" s="19">
        <v>6.0536034774571297</v>
      </c>
      <c r="BJ937" s="19">
        <v>6.6149492161465204</v>
      </c>
      <c r="BK937" s="18"/>
      <c r="BL937" s="18"/>
      <c r="BM937" s="19">
        <v>3.53426231530094</v>
      </c>
      <c r="BN937" s="19">
        <v>3.9755722806015199</v>
      </c>
      <c r="BO937" s="19">
        <v>4.4719648560661698</v>
      </c>
      <c r="BP937" s="19">
        <v>4.8158226943231401</v>
      </c>
      <c r="BQ937" s="19">
        <v>5.1861139184410598</v>
      </c>
      <c r="BR937" s="19">
        <v>5.6210897193058704</v>
      </c>
      <c r="BS937" s="19">
        <v>6.0925708989506804</v>
      </c>
      <c r="BT937" s="19">
        <v>6.6035790552512204</v>
      </c>
      <c r="BU937" s="19">
        <v>7.1574715191804898</v>
      </c>
    </row>
    <row r="938" spans="44:73" x14ac:dyDescent="0.45">
      <c r="AR938" s="15" t="s">
        <v>328</v>
      </c>
      <c r="AS938" s="15" t="s">
        <v>369</v>
      </c>
      <c r="AT938" s="15"/>
      <c r="AU938" s="15"/>
      <c r="AV938" s="15" t="s">
        <v>554</v>
      </c>
      <c r="AW938" s="15"/>
      <c r="AX938" s="15"/>
      <c r="AY938" s="15"/>
      <c r="AZ938" s="18"/>
      <c r="BA938" s="18"/>
      <c r="BB938" s="19">
        <v>8.0990455279302598E-2</v>
      </c>
      <c r="BC938" s="19">
        <v>8.7795970293832806E-2</v>
      </c>
      <c r="BD938" s="19">
        <v>9.5156545043590599E-2</v>
      </c>
      <c r="BE938" s="19">
        <v>0.102468853729416</v>
      </c>
      <c r="BF938" s="19">
        <v>0.110360355182435</v>
      </c>
      <c r="BG938" s="19">
        <v>0.120592760736196</v>
      </c>
      <c r="BH938" s="19">
        <v>0.13176635453664801</v>
      </c>
      <c r="BI938" s="19">
        <v>0.14397766871165599</v>
      </c>
      <c r="BJ938" s="19">
        <v>0.15732323538908599</v>
      </c>
      <c r="BK938" s="18"/>
      <c r="BL938" s="18"/>
      <c r="BM938" s="19">
        <v>8.4055350339037799E-2</v>
      </c>
      <c r="BN938" s="19">
        <v>9.4553219244430095E-2</v>
      </c>
      <c r="BO938" s="19">
        <v>0.106354271876009</v>
      </c>
      <c r="BP938" s="19">
        <v>0.114535369712625</v>
      </c>
      <c r="BQ938" s="19">
        <v>0.12334392638036799</v>
      </c>
      <c r="BR938" s="19">
        <v>0.13369699709396199</v>
      </c>
      <c r="BS938" s="19">
        <v>0.144918856958347</v>
      </c>
      <c r="BT938" s="19">
        <v>0.15705777203745599</v>
      </c>
      <c r="BU938" s="19">
        <v>0.17023440749112001</v>
      </c>
    </row>
    <row r="939" spans="44:73" x14ac:dyDescent="0.45">
      <c r="AR939" s="15" t="s">
        <v>328</v>
      </c>
      <c r="AS939" s="15" t="s">
        <v>369</v>
      </c>
      <c r="AT939" s="15"/>
      <c r="AU939" s="15"/>
      <c r="AV939" s="15" t="s">
        <v>555</v>
      </c>
      <c r="AW939" s="15"/>
      <c r="AX939" s="15"/>
      <c r="AY939" s="15"/>
      <c r="AZ939" s="18"/>
      <c r="BA939" s="18"/>
      <c r="BB939" s="19">
        <v>0.12747147178329599</v>
      </c>
      <c r="BC939" s="19">
        <v>0.13816247178329599</v>
      </c>
      <c r="BD939" s="19">
        <v>0.149746399548533</v>
      </c>
      <c r="BE939" s="19">
        <v>0.16125792776523701</v>
      </c>
      <c r="BF939" s="19">
        <v>0.17366238374717799</v>
      </c>
      <c r="BG939" s="19">
        <v>0.189759216704289</v>
      </c>
      <c r="BH939" s="19">
        <v>0.20735230699774301</v>
      </c>
      <c r="BI939" s="19">
        <v>0.22658645372460501</v>
      </c>
      <c r="BJ939" s="19">
        <v>0.247582322799097</v>
      </c>
      <c r="BK939" s="18"/>
      <c r="BL939" s="18"/>
      <c r="BM939" s="19">
        <v>0.13227397516930001</v>
      </c>
      <c r="BN939" s="19">
        <v>0.148805205417607</v>
      </c>
      <c r="BO939" s="19">
        <v>0.16738775620767499</v>
      </c>
      <c r="BP939" s="19">
        <v>0.18025074266365701</v>
      </c>
      <c r="BQ939" s="19">
        <v>0.194103189616253</v>
      </c>
      <c r="BR939" s="19">
        <v>0.210393088036117</v>
      </c>
      <c r="BS939" s="19">
        <v>0.22803444469525999</v>
      </c>
      <c r="BT939" s="19">
        <v>0.24717205869074499</v>
      </c>
      <c r="BU939" s="19">
        <v>0.26790246275395002</v>
      </c>
    </row>
    <row r="940" spans="44:73" x14ac:dyDescent="0.45">
      <c r="AR940" s="15" t="s">
        <v>328</v>
      </c>
      <c r="AS940" s="22" t="s">
        <v>1154</v>
      </c>
      <c r="AT940" s="15"/>
      <c r="AU940" s="15"/>
      <c r="AV940" s="15" t="s">
        <v>556</v>
      </c>
      <c r="AW940" s="15"/>
      <c r="AX940" s="15"/>
      <c r="AY940" s="15" t="s">
        <v>323</v>
      </c>
      <c r="AZ940" s="19">
        <v>0</v>
      </c>
      <c r="BA940" s="18"/>
      <c r="BB940" s="19">
        <v>0.04</v>
      </c>
      <c r="BC940" s="19">
        <v>0.06</v>
      </c>
      <c r="BD940" s="19">
        <v>0.105</v>
      </c>
      <c r="BE940" s="19">
        <v>0.12</v>
      </c>
      <c r="BF940" s="19">
        <v>0.14000000000000001</v>
      </c>
      <c r="BG940" s="19">
        <v>0.155</v>
      </c>
      <c r="BH940" s="19">
        <v>0.17</v>
      </c>
      <c r="BI940" s="19">
        <v>0.185</v>
      </c>
      <c r="BJ940" s="19">
        <v>0.20499999999999999</v>
      </c>
      <c r="BK940" s="19">
        <v>5</v>
      </c>
      <c r="BL940" s="18"/>
      <c r="BM940" s="19">
        <v>0.04</v>
      </c>
      <c r="BN940" s="19">
        <v>4.4999999999999998E-2</v>
      </c>
      <c r="BO940" s="19">
        <v>0.05</v>
      </c>
      <c r="BP940" s="19">
        <v>0.06</v>
      </c>
      <c r="BQ940" s="19">
        <v>7.0000000000000007E-2</v>
      </c>
      <c r="BR940" s="19">
        <v>0.08</v>
      </c>
      <c r="BS940" s="19">
        <v>9.5000000000000001E-2</v>
      </c>
      <c r="BT940" s="19">
        <v>0.115</v>
      </c>
      <c r="BU940" s="19">
        <v>0.13</v>
      </c>
    </row>
    <row r="941" spans="44:73" x14ac:dyDescent="0.45">
      <c r="AR941" s="15" t="s">
        <v>328</v>
      </c>
      <c r="AS941" s="15" t="s">
        <v>363</v>
      </c>
      <c r="AT941" s="15" t="s">
        <v>557</v>
      </c>
      <c r="AU941" s="15" t="s">
        <v>558</v>
      </c>
      <c r="AV941" s="15" t="s">
        <v>559</v>
      </c>
      <c r="AW941" s="15" t="s">
        <v>320</v>
      </c>
      <c r="AX941" s="15"/>
      <c r="AY941" s="15"/>
      <c r="AZ941" s="18"/>
      <c r="BA941" s="18"/>
      <c r="BB941" s="18"/>
      <c r="BC941" s="18"/>
      <c r="BD941" s="18"/>
      <c r="BE941" s="18"/>
      <c r="BF941" s="18"/>
      <c r="BG941" s="18"/>
      <c r="BH941" s="18"/>
      <c r="BI941" s="18"/>
      <c r="BJ941" s="19">
        <v>0.15</v>
      </c>
      <c r="BK941" s="18"/>
      <c r="BL941" s="18"/>
      <c r="BM941" s="18"/>
      <c r="BN941" s="18"/>
      <c r="BO941" s="18"/>
      <c r="BP941" s="18"/>
      <c r="BQ941" s="18"/>
      <c r="BR941" s="18"/>
      <c r="BS941" s="18"/>
      <c r="BT941" s="18"/>
      <c r="BU941" s="18"/>
    </row>
    <row r="942" spans="44:73" x14ac:dyDescent="0.45">
      <c r="AR942" s="15" t="s">
        <v>328</v>
      </c>
      <c r="AS942" s="15" t="s">
        <v>560</v>
      </c>
      <c r="AT942" s="15" t="s">
        <v>561</v>
      </c>
      <c r="AU942" s="15"/>
      <c r="AV942" s="15" t="s">
        <v>562</v>
      </c>
      <c r="AW942" s="15"/>
      <c r="AX942" s="15" t="s">
        <v>1107</v>
      </c>
      <c r="AY942" s="15" t="s">
        <v>323</v>
      </c>
      <c r="AZ942" s="19">
        <v>5</v>
      </c>
      <c r="BA942" s="18"/>
      <c r="BB942" s="19">
        <v>3.71</v>
      </c>
      <c r="BC942" s="19">
        <v>4.0999999999999996</v>
      </c>
      <c r="BD942" s="19">
        <v>4.3499999999999996</v>
      </c>
      <c r="BE942" s="19">
        <v>4.4800000000000004</v>
      </c>
      <c r="BF942" s="19">
        <v>4.6100000000000003</v>
      </c>
      <c r="BG942" s="19">
        <v>0</v>
      </c>
      <c r="BH942" s="19">
        <v>0</v>
      </c>
      <c r="BI942" s="19">
        <v>0</v>
      </c>
      <c r="BJ942" s="19">
        <v>0</v>
      </c>
      <c r="BK942" s="19">
        <v>5</v>
      </c>
      <c r="BL942" s="18"/>
      <c r="BM942" s="19">
        <v>3.71</v>
      </c>
      <c r="BN942" s="19">
        <v>4.0999999999999996</v>
      </c>
      <c r="BO942" s="19">
        <v>4.3499999999999996</v>
      </c>
      <c r="BP942" s="19">
        <v>4.4800000000000004</v>
      </c>
      <c r="BQ942" s="19">
        <v>4.6100000000000003</v>
      </c>
      <c r="BR942" s="19">
        <v>0</v>
      </c>
      <c r="BS942" s="19">
        <v>0</v>
      </c>
      <c r="BT942" s="19">
        <v>0</v>
      </c>
      <c r="BU942" s="19">
        <v>0</v>
      </c>
    </row>
    <row r="943" spans="44:73" x14ac:dyDescent="0.45">
      <c r="AR943" s="15" t="s">
        <v>328</v>
      </c>
      <c r="AS943" s="15" t="s">
        <v>321</v>
      </c>
      <c r="AT943" s="15" t="s">
        <v>349</v>
      </c>
      <c r="AU943" s="15"/>
      <c r="AV943" s="15"/>
      <c r="AW943" s="15" t="s">
        <v>563</v>
      </c>
      <c r="AX943" s="15"/>
      <c r="AY943" s="15"/>
      <c r="AZ943" s="19">
        <v>5</v>
      </c>
      <c r="BA943" s="18"/>
      <c r="BB943" s="19">
        <v>1.3</v>
      </c>
      <c r="BC943" s="18"/>
      <c r="BD943" s="18"/>
      <c r="BE943" s="18"/>
      <c r="BF943" s="19">
        <v>1.3</v>
      </c>
      <c r="BG943" s="18"/>
      <c r="BH943" s="19">
        <v>0</v>
      </c>
      <c r="BI943" s="18"/>
      <c r="BJ943" s="18"/>
      <c r="BK943" s="19">
        <v>5</v>
      </c>
      <c r="BL943" s="18"/>
      <c r="BM943" s="19">
        <v>1.3</v>
      </c>
      <c r="BN943" s="18"/>
      <c r="BO943" s="18"/>
      <c r="BP943" s="18"/>
      <c r="BQ943" s="19">
        <v>1.3</v>
      </c>
      <c r="BR943" s="18"/>
      <c r="BS943" s="19">
        <v>0</v>
      </c>
      <c r="BT943" s="18"/>
      <c r="BU943" s="18"/>
    </row>
    <row r="944" spans="44:73" x14ac:dyDescent="0.45">
      <c r="AR944" s="15" t="s">
        <v>328</v>
      </c>
      <c r="AS944" s="15" t="s">
        <v>321</v>
      </c>
      <c r="AT944" s="15" t="s">
        <v>564</v>
      </c>
      <c r="AU944" s="15"/>
      <c r="AV944" s="15"/>
      <c r="AW944" s="15" t="s">
        <v>563</v>
      </c>
      <c r="AX944" s="15"/>
      <c r="AY944" s="15"/>
      <c r="AZ944" s="19">
        <v>5</v>
      </c>
      <c r="BA944" s="18"/>
      <c r="BB944" s="19">
        <v>1.3</v>
      </c>
      <c r="BC944" s="18"/>
      <c r="BD944" s="18"/>
      <c r="BE944" s="18"/>
      <c r="BF944" s="19">
        <v>1.3</v>
      </c>
      <c r="BG944" s="18"/>
      <c r="BH944" s="19">
        <v>0</v>
      </c>
      <c r="BI944" s="18"/>
      <c r="BJ944" s="18"/>
      <c r="BK944" s="19">
        <v>5</v>
      </c>
      <c r="BL944" s="18"/>
      <c r="BM944" s="19">
        <v>1.3</v>
      </c>
      <c r="BN944" s="18"/>
      <c r="BO944" s="18"/>
      <c r="BP944" s="18"/>
      <c r="BQ944" s="19">
        <v>1.3</v>
      </c>
      <c r="BR944" s="18"/>
      <c r="BS944" s="19">
        <v>0</v>
      </c>
      <c r="BT944" s="18"/>
      <c r="BU944" s="18"/>
    </row>
    <row r="945" spans="44:73" x14ac:dyDescent="0.45">
      <c r="AR945" s="15" t="s">
        <v>328</v>
      </c>
      <c r="AS945" s="15" t="s">
        <v>322</v>
      </c>
      <c r="AT945" s="15" t="s">
        <v>565</v>
      </c>
      <c r="AU945" s="15"/>
      <c r="AV945" s="15"/>
      <c r="AW945" s="15"/>
      <c r="AX945" s="15"/>
      <c r="AY945" s="15" t="s">
        <v>323</v>
      </c>
      <c r="AZ945" s="18"/>
      <c r="BA945" s="18"/>
      <c r="BB945" s="18"/>
      <c r="BC945" s="18"/>
      <c r="BD945" s="18"/>
      <c r="BE945" s="19">
        <v>574.75</v>
      </c>
      <c r="BF945" s="18"/>
      <c r="BG945" s="18"/>
      <c r="BH945" s="19">
        <v>503.5</v>
      </c>
      <c r="BI945" s="18"/>
      <c r="BJ945" s="18"/>
      <c r="BK945" s="18"/>
      <c r="BL945" s="18"/>
      <c r="BM945" s="18"/>
      <c r="BN945" s="18"/>
      <c r="BO945" s="18"/>
      <c r="BP945" s="18"/>
      <c r="BQ945" s="18"/>
      <c r="BR945" s="18"/>
      <c r="BS945" s="18"/>
      <c r="BT945" s="18"/>
      <c r="BU945" s="18"/>
    </row>
    <row r="946" spans="44:73" x14ac:dyDescent="0.45">
      <c r="AR946" s="15" t="s">
        <v>328</v>
      </c>
      <c r="AS946" s="15" t="s">
        <v>322</v>
      </c>
      <c r="AT946" s="15" t="s">
        <v>566</v>
      </c>
      <c r="AU946" s="15"/>
      <c r="AV946" s="15"/>
      <c r="AW946" s="15"/>
      <c r="AX946" s="15"/>
      <c r="AY946" s="15" t="s">
        <v>323</v>
      </c>
      <c r="AZ946" s="18"/>
      <c r="BA946" s="18"/>
      <c r="BB946" s="18"/>
      <c r="BC946" s="18"/>
      <c r="BD946" s="18"/>
      <c r="BE946" s="19">
        <v>804.65</v>
      </c>
      <c r="BF946" s="18"/>
      <c r="BG946" s="18"/>
      <c r="BH946" s="19">
        <v>704.9</v>
      </c>
      <c r="BI946" s="18"/>
      <c r="BJ946" s="18"/>
      <c r="BK946" s="18"/>
      <c r="BL946" s="18"/>
      <c r="BM946" s="18"/>
      <c r="BN946" s="18"/>
      <c r="BO946" s="18"/>
      <c r="BP946" s="18"/>
      <c r="BQ946" s="18"/>
      <c r="BR946" s="18"/>
      <c r="BS946" s="18"/>
      <c r="BT946" s="18"/>
      <c r="BU946" s="18"/>
    </row>
    <row r="947" spans="44:73" x14ac:dyDescent="0.45">
      <c r="AR947" s="15" t="s">
        <v>328</v>
      </c>
      <c r="AS947" s="15" t="s">
        <v>567</v>
      </c>
      <c r="AT947" s="15" t="s">
        <v>568</v>
      </c>
      <c r="AU947" s="15"/>
      <c r="AV947" s="15"/>
      <c r="AW947" s="15"/>
      <c r="AX947" s="15"/>
      <c r="AY947" s="15"/>
      <c r="AZ947" s="18"/>
      <c r="BA947" s="19">
        <v>2.5000000000000001E-2</v>
      </c>
      <c r="BB947" s="18"/>
      <c r="BC947" s="18"/>
      <c r="BD947" s="18"/>
      <c r="BE947" s="18"/>
      <c r="BF947" s="18"/>
      <c r="BG947" s="18"/>
      <c r="BH947" s="18"/>
      <c r="BI947" s="18"/>
      <c r="BJ947" s="18"/>
      <c r="BK947" s="18"/>
      <c r="BL947" s="19">
        <v>0.05</v>
      </c>
      <c r="BM947" s="18"/>
      <c r="BN947" s="18"/>
      <c r="BO947" s="18"/>
      <c r="BP947" s="18"/>
      <c r="BQ947" s="18"/>
      <c r="BR947" s="18"/>
      <c r="BS947" s="18"/>
      <c r="BT947" s="18"/>
      <c r="BU947" s="18"/>
    </row>
    <row r="948" spans="44:73" x14ac:dyDescent="0.45">
      <c r="AR948" s="15" t="s">
        <v>328</v>
      </c>
      <c r="AS948" s="15" t="s">
        <v>567</v>
      </c>
      <c r="AT948" s="15" t="s">
        <v>569</v>
      </c>
      <c r="AU948" s="15"/>
      <c r="AV948" s="15"/>
      <c r="AW948" s="15"/>
      <c r="AX948" s="15"/>
      <c r="AY948" s="15"/>
      <c r="AZ948" s="18"/>
      <c r="BA948" s="19">
        <v>2.5000000000000001E-2</v>
      </c>
      <c r="BB948" s="18"/>
      <c r="BC948" s="18"/>
      <c r="BD948" s="18"/>
      <c r="BE948" s="18"/>
      <c r="BF948" s="18"/>
      <c r="BG948" s="18"/>
      <c r="BH948" s="18"/>
      <c r="BI948" s="18"/>
      <c r="BJ948" s="18"/>
      <c r="BK948" s="18"/>
      <c r="BL948" s="19">
        <v>0.05</v>
      </c>
      <c r="BM948" s="18"/>
      <c r="BN948" s="18"/>
      <c r="BO948" s="18"/>
      <c r="BP948" s="18"/>
      <c r="BQ948" s="18"/>
      <c r="BR948" s="18"/>
      <c r="BS948" s="18"/>
      <c r="BT948" s="18"/>
      <c r="BU948" s="18"/>
    </row>
    <row r="949" spans="44:73" x14ac:dyDescent="0.45">
      <c r="AR949" s="15" t="s">
        <v>328</v>
      </c>
      <c r="AS949" s="15" t="s">
        <v>567</v>
      </c>
      <c r="AT949" s="15" t="s">
        <v>570</v>
      </c>
      <c r="AU949" s="15"/>
      <c r="AV949" s="15"/>
      <c r="AW949" s="15"/>
      <c r="AX949" s="15"/>
      <c r="AY949" s="15"/>
      <c r="AZ949" s="18"/>
      <c r="BA949" s="19">
        <v>2.5000000000000001E-2</v>
      </c>
      <c r="BB949" s="18"/>
      <c r="BC949" s="18"/>
      <c r="BD949" s="18"/>
      <c r="BE949" s="18"/>
      <c r="BF949" s="18"/>
      <c r="BG949" s="18"/>
      <c r="BH949" s="18"/>
      <c r="BI949" s="18"/>
      <c r="BJ949" s="18"/>
      <c r="BK949" s="18"/>
      <c r="BL949" s="19">
        <v>0.05</v>
      </c>
      <c r="BM949" s="18"/>
      <c r="BN949" s="18"/>
      <c r="BO949" s="18"/>
      <c r="BP949" s="18"/>
      <c r="BQ949" s="18"/>
      <c r="BR949" s="18"/>
      <c r="BS949" s="18"/>
      <c r="BT949" s="18"/>
      <c r="BU949" s="18"/>
    </row>
    <row r="950" spans="44:73" x14ac:dyDescent="0.45">
      <c r="AR950" s="15" t="s">
        <v>328</v>
      </c>
      <c r="AS950" s="15" t="s">
        <v>567</v>
      </c>
      <c r="AT950" s="15" t="s">
        <v>571</v>
      </c>
      <c r="AU950" s="15"/>
      <c r="AV950" s="15"/>
      <c r="AW950" s="15"/>
      <c r="AX950" s="15"/>
      <c r="AY950" s="15"/>
      <c r="AZ950" s="18"/>
      <c r="BA950" s="19">
        <v>2.5000000000000001E-2</v>
      </c>
      <c r="BB950" s="18"/>
      <c r="BC950" s="18"/>
      <c r="BD950" s="18"/>
      <c r="BE950" s="18"/>
      <c r="BF950" s="18"/>
      <c r="BG950" s="18"/>
      <c r="BH950" s="18"/>
      <c r="BI950" s="18"/>
      <c r="BJ950" s="18"/>
      <c r="BK950" s="18"/>
      <c r="BL950" s="19">
        <v>0.05</v>
      </c>
      <c r="BM950" s="18"/>
      <c r="BN950" s="18"/>
      <c r="BO950" s="18"/>
      <c r="BP950" s="18"/>
      <c r="BQ950" s="18"/>
      <c r="BR950" s="18"/>
      <c r="BS950" s="18"/>
      <c r="BT950" s="18"/>
      <c r="BU950" s="18"/>
    </row>
    <row r="951" spans="44:73" x14ac:dyDescent="0.45">
      <c r="AR951" s="15" t="s">
        <v>328</v>
      </c>
      <c r="AS951" s="15" t="s">
        <v>567</v>
      </c>
      <c r="AT951" s="15" t="s">
        <v>572</v>
      </c>
      <c r="AU951" s="15"/>
      <c r="AV951" s="15"/>
      <c r="AW951" s="15"/>
      <c r="AX951" s="15"/>
      <c r="AY951" s="15"/>
      <c r="AZ951" s="18"/>
      <c r="BA951" s="19">
        <v>2.5000000000000001E-2</v>
      </c>
      <c r="BB951" s="18"/>
      <c r="BC951" s="18"/>
      <c r="BD951" s="18"/>
      <c r="BE951" s="18"/>
      <c r="BF951" s="18"/>
      <c r="BG951" s="18"/>
      <c r="BH951" s="18"/>
      <c r="BI951" s="18"/>
      <c r="BJ951" s="18"/>
      <c r="BK951" s="18"/>
      <c r="BL951" s="19">
        <v>0.05</v>
      </c>
      <c r="BM951" s="18"/>
      <c r="BN951" s="18"/>
      <c r="BO951" s="18"/>
      <c r="BP951" s="18"/>
      <c r="BQ951" s="18"/>
      <c r="BR951" s="18"/>
      <c r="BS951" s="18"/>
      <c r="BT951" s="18"/>
      <c r="BU951" s="18"/>
    </row>
    <row r="952" spans="44:73" x14ac:dyDescent="0.45">
      <c r="AR952" s="15" t="s">
        <v>328</v>
      </c>
      <c r="AS952" s="15" t="s">
        <v>567</v>
      </c>
      <c r="AT952" s="15" t="s">
        <v>573</v>
      </c>
      <c r="AU952" s="15"/>
      <c r="AV952" s="15"/>
      <c r="AW952" s="15"/>
      <c r="AX952" s="15"/>
      <c r="AY952" s="15"/>
      <c r="AZ952" s="18"/>
      <c r="BA952" s="19">
        <v>2.5000000000000001E-2</v>
      </c>
      <c r="BB952" s="18"/>
      <c r="BC952" s="18"/>
      <c r="BD952" s="18"/>
      <c r="BE952" s="18"/>
      <c r="BF952" s="18"/>
      <c r="BG952" s="18"/>
      <c r="BH952" s="18"/>
      <c r="BI952" s="18"/>
      <c r="BJ952" s="18"/>
      <c r="BK952" s="18"/>
      <c r="BL952" s="19">
        <v>0.05</v>
      </c>
      <c r="BM952" s="18"/>
      <c r="BN952" s="18"/>
      <c r="BO952" s="18"/>
      <c r="BP952" s="18"/>
      <c r="BQ952" s="18"/>
      <c r="BR952" s="18"/>
      <c r="BS952" s="18"/>
      <c r="BT952" s="18"/>
      <c r="BU952" s="18"/>
    </row>
    <row r="953" spans="44:73" x14ac:dyDescent="0.45">
      <c r="AR953" s="15" t="s">
        <v>328</v>
      </c>
      <c r="AS953" s="15" t="s">
        <v>567</v>
      </c>
      <c r="AT953" s="15" t="s">
        <v>574</v>
      </c>
      <c r="AU953" s="15"/>
      <c r="AV953" s="15"/>
      <c r="AW953" s="15"/>
      <c r="AX953" s="15"/>
      <c r="AY953" s="15"/>
      <c r="AZ953" s="18"/>
      <c r="BA953" s="19">
        <v>2.5000000000000001E-2</v>
      </c>
      <c r="BB953" s="18"/>
      <c r="BC953" s="18"/>
      <c r="BD953" s="18"/>
      <c r="BE953" s="18"/>
      <c r="BF953" s="18"/>
      <c r="BG953" s="18"/>
      <c r="BH953" s="18"/>
      <c r="BI953" s="18"/>
      <c r="BJ953" s="18"/>
      <c r="BK953" s="18"/>
      <c r="BL953" s="19">
        <v>0.05</v>
      </c>
      <c r="BM953" s="18"/>
      <c r="BN953" s="18"/>
      <c r="BO953" s="18"/>
      <c r="BP953" s="18"/>
      <c r="BQ953" s="18"/>
      <c r="BR953" s="18"/>
      <c r="BS953" s="18"/>
      <c r="BT953" s="18"/>
      <c r="BU953" s="18"/>
    </row>
    <row r="954" spans="44:73" x14ac:dyDescent="0.45">
      <c r="AR954" s="15" t="s">
        <v>328</v>
      </c>
      <c r="AS954" s="15" t="s">
        <v>567</v>
      </c>
      <c r="AT954" s="15" t="s">
        <v>575</v>
      </c>
      <c r="AU954" s="15"/>
      <c r="AV954" s="15"/>
      <c r="AW954" s="15"/>
      <c r="AX954" s="15"/>
      <c r="AY954" s="15"/>
      <c r="AZ954" s="18"/>
      <c r="BA954" s="19">
        <v>2.5000000000000001E-2</v>
      </c>
      <c r="BB954" s="18"/>
      <c r="BC954" s="18"/>
      <c r="BD954" s="18"/>
      <c r="BE954" s="18"/>
      <c r="BF954" s="18"/>
      <c r="BG954" s="18"/>
      <c r="BH954" s="18"/>
      <c r="BI954" s="18"/>
      <c r="BJ954" s="18"/>
      <c r="BK954" s="18"/>
      <c r="BL954" s="19">
        <v>0.05</v>
      </c>
      <c r="BM954" s="18"/>
      <c r="BN954" s="18"/>
      <c r="BO954" s="18"/>
      <c r="BP954" s="18"/>
      <c r="BQ954" s="18"/>
      <c r="BR954" s="18"/>
      <c r="BS954" s="18"/>
      <c r="BT954" s="18"/>
      <c r="BU954" s="18"/>
    </row>
    <row r="955" spans="44:73" x14ac:dyDescent="0.45">
      <c r="AR955" s="15" t="s">
        <v>328</v>
      </c>
      <c r="AS955" s="15" t="s">
        <v>567</v>
      </c>
      <c r="AT955" s="15" t="s">
        <v>576</v>
      </c>
      <c r="AU955" s="15"/>
      <c r="AV955" s="15"/>
      <c r="AW955" s="15"/>
      <c r="AX955" s="15"/>
      <c r="AY955" s="15"/>
      <c r="AZ955" s="18"/>
      <c r="BA955" s="19">
        <v>2.5000000000000001E-2</v>
      </c>
      <c r="BB955" s="18"/>
      <c r="BC955" s="18"/>
      <c r="BD955" s="18"/>
      <c r="BE955" s="18"/>
      <c r="BF955" s="18"/>
      <c r="BG955" s="18"/>
      <c r="BH955" s="18"/>
      <c r="BI955" s="18"/>
      <c r="BJ955" s="18"/>
      <c r="BK955" s="18"/>
      <c r="BL955" s="19">
        <v>0.05</v>
      </c>
      <c r="BM955" s="18"/>
      <c r="BN955" s="18"/>
      <c r="BO955" s="18"/>
      <c r="BP955" s="18"/>
      <c r="BQ955" s="18"/>
      <c r="BR955" s="18"/>
      <c r="BS955" s="18"/>
      <c r="BT955" s="18"/>
      <c r="BU955" s="18"/>
    </row>
    <row r="956" spans="44:73" x14ac:dyDescent="0.45">
      <c r="AR956" s="15" t="s">
        <v>328</v>
      </c>
      <c r="AS956" s="15" t="s">
        <v>567</v>
      </c>
      <c r="AT956" s="15" t="s">
        <v>577</v>
      </c>
      <c r="AU956" s="15"/>
      <c r="AV956" s="15"/>
      <c r="AW956" s="15"/>
      <c r="AX956" s="15"/>
      <c r="AY956" s="15"/>
      <c r="AZ956" s="18"/>
      <c r="BA956" s="19">
        <v>2.5000000000000001E-2</v>
      </c>
      <c r="BB956" s="18"/>
      <c r="BC956" s="18"/>
      <c r="BD956" s="18"/>
      <c r="BE956" s="18"/>
      <c r="BF956" s="18"/>
      <c r="BG956" s="18"/>
      <c r="BH956" s="18"/>
      <c r="BI956" s="18"/>
      <c r="BJ956" s="18"/>
      <c r="BK956" s="18"/>
      <c r="BL956" s="19">
        <v>0.05</v>
      </c>
      <c r="BM956" s="18"/>
      <c r="BN956" s="18"/>
      <c r="BO956" s="18"/>
      <c r="BP956" s="18"/>
      <c r="BQ956" s="18"/>
      <c r="BR956" s="18"/>
      <c r="BS956" s="18"/>
      <c r="BT956" s="18"/>
      <c r="BU956" s="18"/>
    </row>
    <row r="957" spans="44:73" x14ac:dyDescent="0.45">
      <c r="AR957" s="15" t="s">
        <v>328</v>
      </c>
      <c r="AS957" s="15" t="s">
        <v>567</v>
      </c>
      <c r="AT957" s="15" t="s">
        <v>578</v>
      </c>
      <c r="AU957" s="15"/>
      <c r="AV957" s="15"/>
      <c r="AW957" s="15"/>
      <c r="AX957" s="15"/>
      <c r="AY957" s="15"/>
      <c r="AZ957" s="18"/>
      <c r="BA957" s="19">
        <v>2.5000000000000001E-2</v>
      </c>
      <c r="BB957" s="18"/>
      <c r="BC957" s="18"/>
      <c r="BD957" s="18"/>
      <c r="BE957" s="18"/>
      <c r="BF957" s="18"/>
      <c r="BG957" s="18"/>
      <c r="BH957" s="18"/>
      <c r="BI957" s="18"/>
      <c r="BJ957" s="18"/>
      <c r="BK957" s="18"/>
      <c r="BL957" s="19">
        <v>0.05</v>
      </c>
      <c r="BM957" s="18"/>
      <c r="BN957" s="18"/>
      <c r="BO957" s="18"/>
      <c r="BP957" s="18"/>
      <c r="BQ957" s="18"/>
      <c r="BR957" s="18"/>
      <c r="BS957" s="18"/>
      <c r="BT957" s="18"/>
      <c r="BU957" s="18"/>
    </row>
    <row r="958" spans="44:73" x14ac:dyDescent="0.45">
      <c r="AR958" s="15" t="s">
        <v>328</v>
      </c>
      <c r="AS958" s="15" t="s">
        <v>567</v>
      </c>
      <c r="AT958" s="15" t="s">
        <v>579</v>
      </c>
      <c r="AU958" s="15"/>
      <c r="AV958" s="15"/>
      <c r="AW958" s="15"/>
      <c r="AX958" s="15"/>
      <c r="AY958" s="15"/>
      <c r="AZ958" s="18"/>
      <c r="BA958" s="19">
        <v>2.5000000000000001E-2</v>
      </c>
      <c r="BB958" s="18"/>
      <c r="BC958" s="18"/>
      <c r="BD958" s="18"/>
      <c r="BE958" s="18"/>
      <c r="BF958" s="18"/>
      <c r="BG958" s="18"/>
      <c r="BH958" s="18"/>
      <c r="BI958" s="18"/>
      <c r="BJ958" s="18"/>
      <c r="BK958" s="18"/>
      <c r="BL958" s="19">
        <v>0.05</v>
      </c>
      <c r="BM958" s="18"/>
      <c r="BN958" s="18"/>
      <c r="BO958" s="18"/>
      <c r="BP958" s="18"/>
      <c r="BQ958" s="18"/>
      <c r="BR958" s="18"/>
      <c r="BS958" s="18"/>
      <c r="BT958" s="18"/>
      <c r="BU958" s="18"/>
    </row>
    <row r="959" spans="44:73" x14ac:dyDescent="0.45">
      <c r="AR959" s="15" t="s">
        <v>328</v>
      </c>
      <c r="AS959" s="15" t="s">
        <v>567</v>
      </c>
      <c r="AT959" s="15" t="s">
        <v>580</v>
      </c>
      <c r="AU959" s="15"/>
      <c r="AV959" s="15"/>
      <c r="AW959" s="15"/>
      <c r="AX959" s="15"/>
      <c r="AY959" s="15"/>
      <c r="AZ959" s="18"/>
      <c r="BA959" s="19">
        <v>2.5000000000000001E-2</v>
      </c>
      <c r="BB959" s="18"/>
      <c r="BC959" s="18"/>
      <c r="BD959" s="18"/>
      <c r="BE959" s="18"/>
      <c r="BF959" s="18"/>
      <c r="BG959" s="18"/>
      <c r="BH959" s="18"/>
      <c r="BI959" s="18"/>
      <c r="BJ959" s="18"/>
      <c r="BK959" s="18"/>
      <c r="BL959" s="19">
        <v>0.05</v>
      </c>
      <c r="BM959" s="18"/>
      <c r="BN959" s="18"/>
      <c r="BO959" s="18"/>
      <c r="BP959" s="18"/>
      <c r="BQ959" s="18"/>
      <c r="BR959" s="18"/>
      <c r="BS959" s="18"/>
      <c r="BT959" s="18"/>
      <c r="BU959" s="18"/>
    </row>
    <row r="960" spans="44:73" x14ac:dyDescent="0.45">
      <c r="AR960" s="15" t="s">
        <v>328</v>
      </c>
      <c r="AS960" s="15" t="s">
        <v>567</v>
      </c>
      <c r="AT960" s="15" t="s">
        <v>581</v>
      </c>
      <c r="AU960" s="15"/>
      <c r="AV960" s="15"/>
      <c r="AW960" s="15"/>
      <c r="AX960" s="15"/>
      <c r="AY960" s="15"/>
      <c r="AZ960" s="18"/>
      <c r="BA960" s="19">
        <v>2.5000000000000001E-2</v>
      </c>
      <c r="BB960" s="18"/>
      <c r="BC960" s="18"/>
      <c r="BD960" s="18"/>
      <c r="BE960" s="18"/>
      <c r="BF960" s="18"/>
      <c r="BG960" s="18"/>
      <c r="BH960" s="18"/>
      <c r="BI960" s="18"/>
      <c r="BJ960" s="18"/>
      <c r="BK960" s="18"/>
      <c r="BL960" s="19">
        <v>0.05</v>
      </c>
      <c r="BM960" s="18"/>
      <c r="BN960" s="18"/>
      <c r="BO960" s="18"/>
      <c r="BP960" s="18"/>
      <c r="BQ960" s="18"/>
      <c r="BR960" s="18"/>
      <c r="BS960" s="18"/>
      <c r="BT960" s="18"/>
      <c r="BU960" s="18"/>
    </row>
    <row r="961" spans="44:73" x14ac:dyDescent="0.45">
      <c r="AR961" s="15" t="s">
        <v>328</v>
      </c>
      <c r="AS961" s="15" t="s">
        <v>567</v>
      </c>
      <c r="AT961" s="15" t="s">
        <v>582</v>
      </c>
      <c r="AU961" s="15"/>
      <c r="AV961" s="15"/>
      <c r="AW961" s="15"/>
      <c r="AX961" s="15"/>
      <c r="AY961" s="15"/>
      <c r="AZ961" s="18"/>
      <c r="BA961" s="19">
        <v>2.5000000000000001E-2</v>
      </c>
      <c r="BB961" s="18"/>
      <c r="BC961" s="18"/>
      <c r="BD961" s="18"/>
      <c r="BE961" s="18"/>
      <c r="BF961" s="18"/>
      <c r="BG961" s="18"/>
      <c r="BH961" s="18"/>
      <c r="BI961" s="18"/>
      <c r="BJ961" s="18"/>
      <c r="BK961" s="18"/>
      <c r="BL961" s="19">
        <v>0.05</v>
      </c>
      <c r="BM961" s="18"/>
      <c r="BN961" s="18"/>
      <c r="BO961" s="18"/>
      <c r="BP961" s="18"/>
      <c r="BQ961" s="18"/>
      <c r="BR961" s="18"/>
      <c r="BS961" s="18"/>
      <c r="BT961" s="18"/>
      <c r="BU961" s="18"/>
    </row>
    <row r="962" spans="44:73" x14ac:dyDescent="0.45">
      <c r="AR962" s="15" t="s">
        <v>328</v>
      </c>
      <c r="AS962" s="15" t="s">
        <v>567</v>
      </c>
      <c r="AT962" s="15" t="s">
        <v>583</v>
      </c>
      <c r="AU962" s="15"/>
      <c r="AV962" s="15"/>
      <c r="AW962" s="15"/>
      <c r="AX962" s="15"/>
      <c r="AY962" s="15"/>
      <c r="AZ962" s="18"/>
      <c r="BA962" s="19">
        <v>2.5000000000000001E-2</v>
      </c>
      <c r="BB962" s="18"/>
      <c r="BC962" s="18"/>
      <c r="BD962" s="18"/>
      <c r="BE962" s="18"/>
      <c r="BF962" s="18"/>
      <c r="BG962" s="18"/>
      <c r="BH962" s="18"/>
      <c r="BI962" s="18"/>
      <c r="BJ962" s="18"/>
      <c r="BK962" s="18"/>
      <c r="BL962" s="19">
        <v>0.05</v>
      </c>
      <c r="BM962" s="18"/>
      <c r="BN962" s="18"/>
      <c r="BO962" s="18"/>
      <c r="BP962" s="18"/>
      <c r="BQ962" s="18"/>
      <c r="BR962" s="18"/>
      <c r="BS962" s="18"/>
      <c r="BT962" s="18"/>
      <c r="BU962" s="18"/>
    </row>
    <row r="963" spans="44:73" x14ac:dyDescent="0.45">
      <c r="AR963" s="15" t="s">
        <v>328</v>
      </c>
      <c r="AS963" s="15" t="s">
        <v>567</v>
      </c>
      <c r="AT963" s="15" t="s">
        <v>584</v>
      </c>
      <c r="AU963" s="15"/>
      <c r="AV963" s="15"/>
      <c r="AW963" s="15"/>
      <c r="AX963" s="15"/>
      <c r="AY963" s="15"/>
      <c r="AZ963" s="18"/>
      <c r="BA963" s="19">
        <v>2.5000000000000001E-2</v>
      </c>
      <c r="BB963" s="18"/>
      <c r="BC963" s="18"/>
      <c r="BD963" s="18"/>
      <c r="BE963" s="18"/>
      <c r="BF963" s="18"/>
      <c r="BG963" s="18"/>
      <c r="BH963" s="18"/>
      <c r="BI963" s="18"/>
      <c r="BJ963" s="18"/>
      <c r="BK963" s="18"/>
      <c r="BL963" s="19">
        <v>0.05</v>
      </c>
      <c r="BM963" s="18"/>
      <c r="BN963" s="18"/>
      <c r="BO963" s="18"/>
      <c r="BP963" s="18"/>
      <c r="BQ963" s="18"/>
      <c r="BR963" s="18"/>
      <c r="BS963" s="18"/>
      <c r="BT963" s="18"/>
      <c r="BU963" s="18"/>
    </row>
    <row r="964" spans="44:73" x14ac:dyDescent="0.45">
      <c r="AR964" s="15" t="s">
        <v>328</v>
      </c>
      <c r="AS964" s="15" t="s">
        <v>567</v>
      </c>
      <c r="AT964" s="15" t="s">
        <v>585</v>
      </c>
      <c r="AU964" s="15"/>
      <c r="AV964" s="15"/>
      <c r="AW964" s="15"/>
      <c r="AX964" s="15"/>
      <c r="AY964" s="15"/>
      <c r="AZ964" s="18"/>
      <c r="BA964" s="19">
        <v>2.5000000000000001E-2</v>
      </c>
      <c r="BB964" s="18"/>
      <c r="BC964" s="18"/>
      <c r="BD964" s="18"/>
      <c r="BE964" s="18"/>
      <c r="BF964" s="18"/>
      <c r="BG964" s="18"/>
      <c r="BH964" s="18"/>
      <c r="BI964" s="18"/>
      <c r="BJ964" s="18"/>
      <c r="BK964" s="18"/>
      <c r="BL964" s="19">
        <v>0.05</v>
      </c>
      <c r="BM964" s="18"/>
      <c r="BN964" s="18"/>
      <c r="BO964" s="18"/>
      <c r="BP964" s="18"/>
      <c r="BQ964" s="18"/>
      <c r="BR964" s="18"/>
      <c r="BS964" s="18"/>
      <c r="BT964" s="18"/>
      <c r="BU964" s="18"/>
    </row>
    <row r="965" spans="44:73" x14ac:dyDescent="0.45">
      <c r="AR965" s="15" t="s">
        <v>328</v>
      </c>
      <c r="AS965" s="15" t="s">
        <v>567</v>
      </c>
      <c r="AT965" s="15" t="s">
        <v>586</v>
      </c>
      <c r="AU965" s="15"/>
      <c r="AV965" s="15"/>
      <c r="AW965" s="15"/>
      <c r="AX965" s="15"/>
      <c r="AY965" s="15"/>
      <c r="AZ965" s="18"/>
      <c r="BA965" s="19">
        <v>2.5000000000000001E-2</v>
      </c>
      <c r="BB965" s="18"/>
      <c r="BC965" s="18"/>
      <c r="BD965" s="18"/>
      <c r="BE965" s="18"/>
      <c r="BF965" s="18"/>
      <c r="BG965" s="18"/>
      <c r="BH965" s="18"/>
      <c r="BI965" s="18"/>
      <c r="BJ965" s="18"/>
      <c r="BK965" s="18"/>
      <c r="BL965" s="19">
        <v>0.05</v>
      </c>
      <c r="BM965" s="18"/>
      <c r="BN965" s="18"/>
      <c r="BO965" s="18"/>
      <c r="BP965" s="18"/>
      <c r="BQ965" s="18"/>
      <c r="BR965" s="18"/>
      <c r="BS965" s="18"/>
      <c r="BT965" s="18"/>
      <c r="BU965" s="18"/>
    </row>
    <row r="966" spans="44:73" x14ac:dyDescent="0.45">
      <c r="AR966" s="15" t="s">
        <v>328</v>
      </c>
      <c r="AS966" s="15" t="s">
        <v>567</v>
      </c>
      <c r="AT966" s="15" t="s">
        <v>587</v>
      </c>
      <c r="AU966" s="15"/>
      <c r="AV966" s="15"/>
      <c r="AW966" s="15"/>
      <c r="AX966" s="15"/>
      <c r="AY966" s="15"/>
      <c r="AZ966" s="18"/>
      <c r="BA966" s="19">
        <v>2.5000000000000001E-2</v>
      </c>
      <c r="BB966" s="18"/>
      <c r="BC966" s="18"/>
      <c r="BD966" s="18"/>
      <c r="BE966" s="18"/>
      <c r="BF966" s="18"/>
      <c r="BG966" s="18"/>
      <c r="BH966" s="18"/>
      <c r="BI966" s="18"/>
      <c r="BJ966" s="18"/>
      <c r="BK966" s="18"/>
      <c r="BL966" s="19">
        <v>0.05</v>
      </c>
      <c r="BM966" s="18"/>
      <c r="BN966" s="18"/>
      <c r="BO966" s="18"/>
      <c r="BP966" s="18"/>
      <c r="BQ966" s="18"/>
      <c r="BR966" s="18"/>
      <c r="BS966" s="18"/>
      <c r="BT966" s="18"/>
      <c r="BU966" s="18"/>
    </row>
    <row r="967" spans="44:73" x14ac:dyDescent="0.45">
      <c r="AR967" s="15" t="s">
        <v>328</v>
      </c>
      <c r="AS967" s="15" t="s">
        <v>567</v>
      </c>
      <c r="AT967" s="15" t="s">
        <v>588</v>
      </c>
      <c r="AU967" s="15"/>
      <c r="AV967" s="15"/>
      <c r="AW967" s="15"/>
      <c r="AX967" s="15"/>
      <c r="AY967" s="15"/>
      <c r="AZ967" s="18"/>
      <c r="BA967" s="19">
        <v>2.5000000000000001E-2</v>
      </c>
      <c r="BB967" s="18"/>
      <c r="BC967" s="18"/>
      <c r="BD967" s="18"/>
      <c r="BE967" s="18"/>
      <c r="BF967" s="18"/>
      <c r="BG967" s="18"/>
      <c r="BH967" s="18"/>
      <c r="BI967" s="18"/>
      <c r="BJ967" s="18"/>
      <c r="BK967" s="18"/>
      <c r="BL967" s="19">
        <v>0.05</v>
      </c>
      <c r="BM967" s="18"/>
      <c r="BN967" s="18"/>
      <c r="BO967" s="18"/>
      <c r="BP967" s="18"/>
      <c r="BQ967" s="18"/>
      <c r="BR967" s="18"/>
      <c r="BS967" s="18"/>
      <c r="BT967" s="18"/>
      <c r="BU967" s="18"/>
    </row>
    <row r="968" spans="44:73" x14ac:dyDescent="0.45">
      <c r="AR968" s="15" t="s">
        <v>328</v>
      </c>
      <c r="AS968" s="15" t="s">
        <v>567</v>
      </c>
      <c r="AT968" s="15" t="s">
        <v>589</v>
      </c>
      <c r="AU968" s="15"/>
      <c r="AV968" s="15"/>
      <c r="AW968" s="15"/>
      <c r="AX968" s="15"/>
      <c r="AY968" s="15"/>
      <c r="AZ968" s="18"/>
      <c r="BA968" s="19">
        <v>2.5000000000000001E-2</v>
      </c>
      <c r="BB968" s="18"/>
      <c r="BC968" s="18"/>
      <c r="BD968" s="18"/>
      <c r="BE968" s="18"/>
      <c r="BF968" s="18"/>
      <c r="BG968" s="18"/>
      <c r="BH968" s="18"/>
      <c r="BI968" s="18"/>
      <c r="BJ968" s="18"/>
      <c r="BK968" s="18"/>
      <c r="BL968" s="19">
        <v>0.05</v>
      </c>
      <c r="BM968" s="18"/>
      <c r="BN968" s="18"/>
      <c r="BO968" s="18"/>
      <c r="BP968" s="18"/>
      <c r="BQ968" s="18"/>
      <c r="BR968" s="18"/>
      <c r="BS968" s="18"/>
      <c r="BT968" s="18"/>
      <c r="BU968" s="18"/>
    </row>
    <row r="969" spans="44:73" x14ac:dyDescent="0.45">
      <c r="AR969" s="15" t="s">
        <v>328</v>
      </c>
      <c r="AS969" s="15" t="s">
        <v>567</v>
      </c>
      <c r="AT969" s="15" t="s">
        <v>590</v>
      </c>
      <c r="AU969" s="15"/>
      <c r="AV969" s="15"/>
      <c r="AW969" s="15"/>
      <c r="AX969" s="15"/>
      <c r="AY969" s="15"/>
      <c r="AZ969" s="18"/>
      <c r="BA969" s="19">
        <v>2.5000000000000001E-2</v>
      </c>
      <c r="BB969" s="18"/>
      <c r="BC969" s="18"/>
      <c r="BD969" s="18"/>
      <c r="BE969" s="18"/>
      <c r="BF969" s="18"/>
      <c r="BG969" s="18"/>
      <c r="BH969" s="18"/>
      <c r="BI969" s="18"/>
      <c r="BJ969" s="18"/>
      <c r="BK969" s="18"/>
      <c r="BL969" s="19">
        <v>0.05</v>
      </c>
      <c r="BM969" s="18"/>
      <c r="BN969" s="18"/>
      <c r="BO969" s="18"/>
      <c r="BP969" s="18"/>
      <c r="BQ969" s="18"/>
      <c r="BR969" s="18"/>
      <c r="BS969" s="18"/>
      <c r="BT969" s="18"/>
      <c r="BU969" s="18"/>
    </row>
    <row r="970" spans="44:73" x14ac:dyDescent="0.45">
      <c r="AR970" s="15" t="s">
        <v>328</v>
      </c>
      <c r="AS970" s="15" t="s">
        <v>567</v>
      </c>
      <c r="AT970" s="15" t="s">
        <v>591</v>
      </c>
      <c r="AU970" s="15"/>
      <c r="AV970" s="15"/>
      <c r="AW970" s="15"/>
      <c r="AX970" s="15"/>
      <c r="AY970" s="15"/>
      <c r="AZ970" s="18"/>
      <c r="BA970" s="19">
        <v>2.5000000000000001E-2</v>
      </c>
      <c r="BB970" s="18"/>
      <c r="BC970" s="18"/>
      <c r="BD970" s="18"/>
      <c r="BE970" s="18"/>
      <c r="BF970" s="18"/>
      <c r="BG970" s="18"/>
      <c r="BH970" s="18"/>
      <c r="BI970" s="18"/>
      <c r="BJ970" s="18"/>
      <c r="BK970" s="18"/>
      <c r="BL970" s="19">
        <v>0.05</v>
      </c>
      <c r="BM970" s="18"/>
      <c r="BN970" s="18"/>
      <c r="BO970" s="18"/>
      <c r="BP970" s="18"/>
      <c r="BQ970" s="18"/>
      <c r="BR970" s="18"/>
      <c r="BS970" s="18"/>
      <c r="BT970" s="18"/>
      <c r="BU970" s="18"/>
    </row>
    <row r="971" spans="44:73" x14ac:dyDescent="0.45">
      <c r="AR971" s="15" t="s">
        <v>328</v>
      </c>
      <c r="AS971" s="15" t="s">
        <v>567</v>
      </c>
      <c r="AT971" s="15" t="s">
        <v>592</v>
      </c>
      <c r="AU971" s="15"/>
      <c r="AV971" s="15"/>
      <c r="AW971" s="15"/>
      <c r="AX971" s="15"/>
      <c r="AY971" s="15"/>
      <c r="AZ971" s="18"/>
      <c r="BA971" s="19">
        <v>2.5000000000000001E-2</v>
      </c>
      <c r="BB971" s="18"/>
      <c r="BC971" s="18"/>
      <c r="BD971" s="18"/>
      <c r="BE971" s="18"/>
      <c r="BF971" s="18"/>
      <c r="BG971" s="18"/>
      <c r="BH971" s="18"/>
      <c r="BI971" s="18"/>
      <c r="BJ971" s="18"/>
      <c r="BK971" s="18"/>
      <c r="BL971" s="19">
        <v>0.05</v>
      </c>
      <c r="BM971" s="18"/>
      <c r="BN971" s="18"/>
      <c r="BO971" s="18"/>
      <c r="BP971" s="18"/>
      <c r="BQ971" s="18"/>
      <c r="BR971" s="18"/>
      <c r="BS971" s="18"/>
      <c r="BT971" s="18"/>
      <c r="BU971" s="18"/>
    </row>
    <row r="972" spans="44:73" x14ac:dyDescent="0.45">
      <c r="AR972" s="15" t="s">
        <v>328</v>
      </c>
      <c r="AS972" s="15" t="s">
        <v>567</v>
      </c>
      <c r="AT972" s="15" t="s">
        <v>593</v>
      </c>
      <c r="AU972" s="15"/>
      <c r="AV972" s="15"/>
      <c r="AW972" s="15"/>
      <c r="AX972" s="15"/>
      <c r="AY972" s="15"/>
      <c r="AZ972" s="18"/>
      <c r="BA972" s="19">
        <v>2.5000000000000001E-2</v>
      </c>
      <c r="BB972" s="18"/>
      <c r="BC972" s="18"/>
      <c r="BD972" s="18"/>
      <c r="BE972" s="18"/>
      <c r="BF972" s="18"/>
      <c r="BG972" s="18"/>
      <c r="BH972" s="18"/>
      <c r="BI972" s="18"/>
      <c r="BJ972" s="18"/>
      <c r="BK972" s="18"/>
      <c r="BL972" s="19">
        <v>0.05</v>
      </c>
      <c r="BM972" s="18"/>
      <c r="BN972" s="18"/>
      <c r="BO972" s="18"/>
      <c r="BP972" s="18"/>
      <c r="BQ972" s="18"/>
      <c r="BR972" s="18"/>
      <c r="BS972" s="18"/>
      <c r="BT972" s="18"/>
      <c r="BU972" s="18"/>
    </row>
    <row r="973" spans="44:73" x14ac:dyDescent="0.45">
      <c r="AR973" s="15" t="s">
        <v>328</v>
      </c>
      <c r="AS973" s="15" t="s">
        <v>567</v>
      </c>
      <c r="AT973" s="15" t="s">
        <v>594</v>
      </c>
      <c r="AU973" s="15"/>
      <c r="AV973" s="15"/>
      <c r="AW973" s="15"/>
      <c r="AX973" s="15"/>
      <c r="AY973" s="15"/>
      <c r="AZ973" s="18"/>
      <c r="BA973" s="19">
        <v>2.5000000000000001E-2</v>
      </c>
      <c r="BB973" s="18"/>
      <c r="BC973" s="18"/>
      <c r="BD973" s="18"/>
      <c r="BE973" s="18"/>
      <c r="BF973" s="18"/>
      <c r="BG973" s="18"/>
      <c r="BH973" s="18"/>
      <c r="BI973" s="18"/>
      <c r="BJ973" s="18"/>
      <c r="BK973" s="18"/>
      <c r="BL973" s="19">
        <v>0.05</v>
      </c>
      <c r="BM973" s="18"/>
      <c r="BN973" s="18"/>
      <c r="BO973" s="18"/>
      <c r="BP973" s="18"/>
      <c r="BQ973" s="18"/>
      <c r="BR973" s="18"/>
      <c r="BS973" s="18"/>
      <c r="BT973" s="18"/>
      <c r="BU973" s="18"/>
    </row>
    <row r="974" spans="44:73" x14ac:dyDescent="0.45">
      <c r="AR974" s="15" t="s">
        <v>328</v>
      </c>
      <c r="AS974" s="15" t="s">
        <v>567</v>
      </c>
      <c r="AT974" s="15" t="s">
        <v>595</v>
      </c>
      <c r="AU974" s="15"/>
      <c r="AV974" s="15"/>
      <c r="AW974" s="15"/>
      <c r="AX974" s="15"/>
      <c r="AY974" s="15"/>
      <c r="AZ974" s="18"/>
      <c r="BA974" s="19">
        <v>2.5000000000000001E-2</v>
      </c>
      <c r="BB974" s="18"/>
      <c r="BC974" s="18"/>
      <c r="BD974" s="18"/>
      <c r="BE974" s="18"/>
      <c r="BF974" s="18"/>
      <c r="BG974" s="18"/>
      <c r="BH974" s="18"/>
      <c r="BI974" s="18"/>
      <c r="BJ974" s="18"/>
      <c r="BK974" s="18"/>
      <c r="BL974" s="19">
        <v>0.05</v>
      </c>
      <c r="BM974" s="18"/>
      <c r="BN974" s="18"/>
      <c r="BO974" s="18"/>
      <c r="BP974" s="18"/>
      <c r="BQ974" s="18"/>
      <c r="BR974" s="18"/>
      <c r="BS974" s="18"/>
      <c r="BT974" s="18"/>
      <c r="BU974" s="18"/>
    </row>
    <row r="975" spans="44:73" x14ac:dyDescent="0.45">
      <c r="AR975" s="15" t="s">
        <v>328</v>
      </c>
      <c r="AS975" s="15" t="s">
        <v>567</v>
      </c>
      <c r="AT975" s="15" t="s">
        <v>596</v>
      </c>
      <c r="AU975" s="15"/>
      <c r="AV975" s="15"/>
      <c r="AW975" s="15"/>
      <c r="AX975" s="15"/>
      <c r="AY975" s="15"/>
      <c r="AZ975" s="18"/>
      <c r="BA975" s="19">
        <v>2.5000000000000001E-2</v>
      </c>
      <c r="BB975" s="18"/>
      <c r="BC975" s="18"/>
      <c r="BD975" s="18"/>
      <c r="BE975" s="18"/>
      <c r="BF975" s="18"/>
      <c r="BG975" s="18"/>
      <c r="BH975" s="18"/>
      <c r="BI975" s="18"/>
      <c r="BJ975" s="18"/>
      <c r="BK975" s="18"/>
      <c r="BL975" s="19">
        <v>0.05</v>
      </c>
      <c r="BM975" s="18"/>
      <c r="BN975" s="18"/>
      <c r="BO975" s="18"/>
      <c r="BP975" s="18"/>
      <c r="BQ975" s="18"/>
      <c r="BR975" s="18"/>
      <c r="BS975" s="18"/>
      <c r="BT975" s="18"/>
      <c r="BU975" s="18"/>
    </row>
    <row r="976" spans="44:73" x14ac:dyDescent="0.45">
      <c r="AR976" s="15" t="s">
        <v>328</v>
      </c>
      <c r="AS976" s="15" t="s">
        <v>567</v>
      </c>
      <c r="AT976" s="15" t="s">
        <v>597</v>
      </c>
      <c r="AU976" s="15"/>
      <c r="AV976" s="15"/>
      <c r="AW976" s="15"/>
      <c r="AX976" s="15"/>
      <c r="AY976" s="15"/>
      <c r="AZ976" s="18"/>
      <c r="BA976" s="19">
        <v>2.5000000000000001E-2</v>
      </c>
      <c r="BB976" s="18"/>
      <c r="BC976" s="18"/>
      <c r="BD976" s="18"/>
      <c r="BE976" s="18"/>
      <c r="BF976" s="18"/>
      <c r="BG976" s="18"/>
      <c r="BH976" s="18"/>
      <c r="BI976" s="18"/>
      <c r="BJ976" s="18"/>
      <c r="BK976" s="18"/>
      <c r="BL976" s="19">
        <v>0.05</v>
      </c>
      <c r="BM976" s="18"/>
      <c r="BN976" s="18"/>
      <c r="BO976" s="18"/>
      <c r="BP976" s="18"/>
      <c r="BQ976" s="18"/>
      <c r="BR976" s="18"/>
      <c r="BS976" s="18"/>
      <c r="BT976" s="18"/>
      <c r="BU976" s="18"/>
    </row>
    <row r="977" spans="44:73" x14ac:dyDescent="0.45">
      <c r="AR977" s="15" t="s">
        <v>328</v>
      </c>
      <c r="AS977" s="15" t="s">
        <v>567</v>
      </c>
      <c r="AT977" s="15" t="s">
        <v>598</v>
      </c>
      <c r="AU977" s="15"/>
      <c r="AV977" s="15"/>
      <c r="AW977" s="15"/>
      <c r="AX977" s="15"/>
      <c r="AY977" s="15"/>
      <c r="AZ977" s="18"/>
      <c r="BA977" s="19">
        <v>2.5000000000000001E-2</v>
      </c>
      <c r="BB977" s="18"/>
      <c r="BC977" s="18"/>
      <c r="BD977" s="18"/>
      <c r="BE977" s="18"/>
      <c r="BF977" s="18"/>
      <c r="BG977" s="18"/>
      <c r="BH977" s="18"/>
      <c r="BI977" s="18"/>
      <c r="BJ977" s="18"/>
      <c r="BK977" s="18"/>
      <c r="BL977" s="19">
        <v>0.05</v>
      </c>
      <c r="BM977" s="18"/>
      <c r="BN977" s="18"/>
      <c r="BO977" s="18"/>
      <c r="BP977" s="18"/>
      <c r="BQ977" s="18"/>
      <c r="BR977" s="18"/>
      <c r="BS977" s="18"/>
      <c r="BT977" s="18"/>
      <c r="BU977" s="18"/>
    </row>
    <row r="978" spans="44:73" x14ac:dyDescent="0.45">
      <c r="AR978" s="15" t="s">
        <v>328</v>
      </c>
      <c r="AS978" s="15" t="s">
        <v>567</v>
      </c>
      <c r="AT978" s="15" t="s">
        <v>599</v>
      </c>
      <c r="AU978" s="15"/>
      <c r="AV978" s="15"/>
      <c r="AW978" s="15"/>
      <c r="AX978" s="15"/>
      <c r="AY978" s="15"/>
      <c r="AZ978" s="18"/>
      <c r="BA978" s="19">
        <v>2.5000000000000001E-2</v>
      </c>
      <c r="BB978" s="18"/>
      <c r="BC978" s="18"/>
      <c r="BD978" s="18"/>
      <c r="BE978" s="18"/>
      <c r="BF978" s="18"/>
      <c r="BG978" s="18"/>
      <c r="BH978" s="18"/>
      <c r="BI978" s="18"/>
      <c r="BJ978" s="18"/>
      <c r="BK978" s="18"/>
      <c r="BL978" s="19">
        <v>0.05</v>
      </c>
      <c r="BM978" s="18"/>
      <c r="BN978" s="18"/>
      <c r="BO978" s="18"/>
      <c r="BP978" s="18"/>
      <c r="BQ978" s="18"/>
      <c r="BR978" s="18"/>
      <c r="BS978" s="18"/>
      <c r="BT978" s="18"/>
      <c r="BU978" s="18"/>
    </row>
    <row r="979" spans="44:73" x14ac:dyDescent="0.45">
      <c r="AR979" s="15" t="s">
        <v>328</v>
      </c>
      <c r="AS979" s="15" t="s">
        <v>567</v>
      </c>
      <c r="AT979" s="15" t="s">
        <v>600</v>
      </c>
      <c r="AU979" s="15"/>
      <c r="AV979" s="15"/>
      <c r="AW979" s="15"/>
      <c r="AX979" s="15"/>
      <c r="AY979" s="15"/>
      <c r="AZ979" s="18"/>
      <c r="BA979" s="19">
        <v>2.5000000000000001E-2</v>
      </c>
      <c r="BB979" s="18"/>
      <c r="BC979" s="18"/>
      <c r="BD979" s="18"/>
      <c r="BE979" s="18"/>
      <c r="BF979" s="18"/>
      <c r="BG979" s="18"/>
      <c r="BH979" s="18"/>
      <c r="BI979" s="18"/>
      <c r="BJ979" s="18"/>
      <c r="BK979" s="18"/>
      <c r="BL979" s="19">
        <v>0.05</v>
      </c>
      <c r="BM979" s="18"/>
      <c r="BN979" s="18"/>
      <c r="BO979" s="18"/>
      <c r="BP979" s="18"/>
      <c r="BQ979" s="18"/>
      <c r="BR979" s="18"/>
      <c r="BS979" s="18"/>
      <c r="BT979" s="18"/>
      <c r="BU979" s="18"/>
    </row>
    <row r="980" spans="44:73" x14ac:dyDescent="0.45">
      <c r="AR980" s="15" t="s">
        <v>328</v>
      </c>
      <c r="AS980" s="15" t="s">
        <v>567</v>
      </c>
      <c r="AT980" s="15" t="s">
        <v>601</v>
      </c>
      <c r="AU980" s="15"/>
      <c r="AV980" s="15"/>
      <c r="AW980" s="15"/>
      <c r="AX980" s="15"/>
      <c r="AY980" s="15"/>
      <c r="AZ980" s="18"/>
      <c r="BA980" s="19">
        <v>2.5000000000000001E-2</v>
      </c>
      <c r="BB980" s="18"/>
      <c r="BC980" s="18"/>
      <c r="BD980" s="18"/>
      <c r="BE980" s="18"/>
      <c r="BF980" s="18"/>
      <c r="BG980" s="18"/>
      <c r="BH980" s="18"/>
      <c r="BI980" s="18"/>
      <c r="BJ980" s="18"/>
      <c r="BK980" s="18"/>
      <c r="BL980" s="19">
        <v>0.05</v>
      </c>
      <c r="BM980" s="18"/>
      <c r="BN980" s="18"/>
      <c r="BO980" s="18"/>
      <c r="BP980" s="18"/>
      <c r="BQ980" s="18"/>
      <c r="BR980" s="18"/>
      <c r="BS980" s="18"/>
      <c r="BT980" s="18"/>
      <c r="BU980" s="18"/>
    </row>
    <row r="981" spans="44:73" x14ac:dyDescent="0.45">
      <c r="AR981" s="15" t="s">
        <v>328</v>
      </c>
      <c r="AS981" s="15" t="s">
        <v>567</v>
      </c>
      <c r="AT981" s="15" t="s">
        <v>602</v>
      </c>
      <c r="AU981" s="15"/>
      <c r="AV981" s="15"/>
      <c r="AW981" s="15"/>
      <c r="AX981" s="15"/>
      <c r="AY981" s="15"/>
      <c r="AZ981" s="18"/>
      <c r="BA981" s="19">
        <v>2.5000000000000001E-2</v>
      </c>
      <c r="BB981" s="18"/>
      <c r="BC981" s="18"/>
      <c r="BD981" s="18"/>
      <c r="BE981" s="18"/>
      <c r="BF981" s="18"/>
      <c r="BG981" s="18"/>
      <c r="BH981" s="18"/>
      <c r="BI981" s="18"/>
      <c r="BJ981" s="18"/>
      <c r="BK981" s="18"/>
      <c r="BL981" s="19">
        <v>0.05</v>
      </c>
      <c r="BM981" s="18"/>
      <c r="BN981" s="18"/>
      <c r="BO981" s="18"/>
      <c r="BP981" s="18"/>
      <c r="BQ981" s="18"/>
      <c r="BR981" s="18"/>
      <c r="BS981" s="18"/>
      <c r="BT981" s="18"/>
      <c r="BU981" s="18"/>
    </row>
    <row r="982" spans="44:73" x14ac:dyDescent="0.45">
      <c r="AR982" s="15" t="s">
        <v>328</v>
      </c>
      <c r="AS982" s="15" t="s">
        <v>567</v>
      </c>
      <c r="AT982" s="15" t="s">
        <v>603</v>
      </c>
      <c r="AU982" s="15"/>
      <c r="AV982" s="15"/>
      <c r="AW982" s="15"/>
      <c r="AX982" s="15"/>
      <c r="AY982" s="15"/>
      <c r="AZ982" s="18"/>
      <c r="BA982" s="19">
        <v>2.5000000000000001E-2</v>
      </c>
      <c r="BB982" s="18"/>
      <c r="BC982" s="18"/>
      <c r="BD982" s="18"/>
      <c r="BE982" s="18"/>
      <c r="BF982" s="18"/>
      <c r="BG982" s="18"/>
      <c r="BH982" s="18"/>
      <c r="BI982" s="18"/>
      <c r="BJ982" s="18"/>
      <c r="BK982" s="18"/>
      <c r="BL982" s="19">
        <v>0.05</v>
      </c>
      <c r="BM982" s="18"/>
      <c r="BN982" s="18"/>
      <c r="BO982" s="18"/>
      <c r="BP982" s="18"/>
      <c r="BQ982" s="18"/>
      <c r="BR982" s="18"/>
      <c r="BS982" s="18"/>
      <c r="BT982" s="18"/>
      <c r="BU982" s="18"/>
    </row>
    <row r="983" spans="44:73" x14ac:dyDescent="0.45">
      <c r="AR983" s="15" t="s">
        <v>328</v>
      </c>
      <c r="AS983" s="15" t="s">
        <v>567</v>
      </c>
      <c r="AT983" s="15" t="s">
        <v>604</v>
      </c>
      <c r="AU983" s="15"/>
      <c r="AV983" s="15"/>
      <c r="AW983" s="15"/>
      <c r="AX983" s="15"/>
      <c r="AY983" s="15"/>
      <c r="AZ983" s="18"/>
      <c r="BA983" s="19">
        <v>2.5000000000000001E-2</v>
      </c>
      <c r="BB983" s="18"/>
      <c r="BC983" s="18"/>
      <c r="BD983" s="18"/>
      <c r="BE983" s="18"/>
      <c r="BF983" s="18"/>
      <c r="BG983" s="18"/>
      <c r="BH983" s="18"/>
      <c r="BI983" s="18"/>
      <c r="BJ983" s="18"/>
      <c r="BK983" s="18"/>
      <c r="BL983" s="19">
        <v>0.05</v>
      </c>
      <c r="BM983" s="18"/>
      <c r="BN983" s="18"/>
      <c r="BO983" s="18"/>
      <c r="BP983" s="18"/>
      <c r="BQ983" s="18"/>
      <c r="BR983" s="18"/>
      <c r="BS983" s="18"/>
      <c r="BT983" s="18"/>
      <c r="BU983" s="18"/>
    </row>
    <row r="984" spans="44:73" x14ac:dyDescent="0.45">
      <c r="AR984" s="15" t="s">
        <v>328</v>
      </c>
      <c r="AS984" s="15" t="s">
        <v>567</v>
      </c>
      <c r="AT984" s="15" t="s">
        <v>605</v>
      </c>
      <c r="AU984" s="15"/>
      <c r="AV984" s="15"/>
      <c r="AW984" s="15"/>
      <c r="AX984" s="15"/>
      <c r="AY984" s="15"/>
      <c r="AZ984" s="18"/>
      <c r="BA984" s="19">
        <v>2.5000000000000001E-2</v>
      </c>
      <c r="BB984" s="18"/>
      <c r="BC984" s="18"/>
      <c r="BD984" s="18"/>
      <c r="BE984" s="18"/>
      <c r="BF984" s="18"/>
      <c r="BG984" s="18"/>
      <c r="BH984" s="18"/>
      <c r="BI984" s="18"/>
      <c r="BJ984" s="18"/>
      <c r="BK984" s="18"/>
      <c r="BL984" s="19">
        <v>0.05</v>
      </c>
      <c r="BM984" s="18"/>
      <c r="BN984" s="18"/>
      <c r="BO984" s="18"/>
      <c r="BP984" s="18"/>
      <c r="BQ984" s="18"/>
      <c r="BR984" s="18"/>
      <c r="BS984" s="18"/>
      <c r="BT984" s="18"/>
      <c r="BU984" s="18"/>
    </row>
    <row r="985" spans="44:73" x14ac:dyDescent="0.45">
      <c r="AR985" s="15" t="s">
        <v>328</v>
      </c>
      <c r="AS985" s="15" t="s">
        <v>567</v>
      </c>
      <c r="AT985" s="15" t="s">
        <v>606</v>
      </c>
      <c r="AU985" s="15"/>
      <c r="AV985" s="15"/>
      <c r="AW985" s="15"/>
      <c r="AX985" s="15"/>
      <c r="AY985" s="15"/>
      <c r="AZ985" s="18"/>
      <c r="BA985" s="19">
        <v>2.5000000000000001E-2</v>
      </c>
      <c r="BB985" s="18"/>
      <c r="BC985" s="18"/>
      <c r="BD985" s="18"/>
      <c r="BE985" s="18"/>
      <c r="BF985" s="18"/>
      <c r="BG985" s="18"/>
      <c r="BH985" s="18"/>
      <c r="BI985" s="18"/>
      <c r="BJ985" s="18"/>
      <c r="BK985" s="18"/>
      <c r="BL985" s="19">
        <v>0.05</v>
      </c>
      <c r="BM985" s="18"/>
      <c r="BN985" s="18"/>
      <c r="BO985" s="18"/>
      <c r="BP985" s="18"/>
      <c r="BQ985" s="18"/>
      <c r="BR985" s="18"/>
      <c r="BS985" s="18"/>
      <c r="BT985" s="18"/>
      <c r="BU985" s="18"/>
    </row>
    <row r="986" spans="44:73" x14ac:dyDescent="0.45">
      <c r="AR986" s="15" t="s">
        <v>328</v>
      </c>
      <c r="AS986" s="15" t="s">
        <v>567</v>
      </c>
      <c r="AT986" s="15" t="s">
        <v>607</v>
      </c>
      <c r="AU986" s="15"/>
      <c r="AV986" s="15"/>
      <c r="AW986" s="15"/>
      <c r="AX986" s="15"/>
      <c r="AY986" s="15"/>
      <c r="AZ986" s="18"/>
      <c r="BA986" s="19">
        <v>2.5000000000000001E-2</v>
      </c>
      <c r="BB986" s="18"/>
      <c r="BC986" s="18"/>
      <c r="BD986" s="18"/>
      <c r="BE986" s="18"/>
      <c r="BF986" s="18"/>
      <c r="BG986" s="18"/>
      <c r="BH986" s="18"/>
      <c r="BI986" s="18"/>
      <c r="BJ986" s="18"/>
      <c r="BK986" s="18"/>
      <c r="BL986" s="19">
        <v>0.05</v>
      </c>
      <c r="BM986" s="18"/>
      <c r="BN986" s="18"/>
      <c r="BO986" s="18"/>
      <c r="BP986" s="18"/>
      <c r="BQ986" s="18"/>
      <c r="BR986" s="18"/>
      <c r="BS986" s="18"/>
      <c r="BT986" s="18"/>
      <c r="BU986" s="18"/>
    </row>
    <row r="987" spans="44:73" x14ac:dyDescent="0.45">
      <c r="AR987" s="15" t="s">
        <v>328</v>
      </c>
      <c r="AS987" s="15" t="s">
        <v>567</v>
      </c>
      <c r="AT987" s="15" t="s">
        <v>608</v>
      </c>
      <c r="AU987" s="15"/>
      <c r="AV987" s="15"/>
      <c r="AW987" s="15"/>
      <c r="AX987" s="15"/>
      <c r="AY987" s="15"/>
      <c r="AZ987" s="18"/>
      <c r="BA987" s="19">
        <v>2.5000000000000001E-2</v>
      </c>
      <c r="BB987" s="18"/>
      <c r="BC987" s="18"/>
      <c r="BD987" s="18"/>
      <c r="BE987" s="18"/>
      <c r="BF987" s="18"/>
      <c r="BG987" s="18"/>
      <c r="BH987" s="18"/>
      <c r="BI987" s="18"/>
      <c r="BJ987" s="18"/>
      <c r="BK987" s="18"/>
      <c r="BL987" s="19">
        <v>0.05</v>
      </c>
      <c r="BM987" s="18"/>
      <c r="BN987" s="18"/>
      <c r="BO987" s="18"/>
      <c r="BP987" s="18"/>
      <c r="BQ987" s="18"/>
      <c r="BR987" s="18"/>
      <c r="BS987" s="18"/>
      <c r="BT987" s="18"/>
      <c r="BU987" s="18"/>
    </row>
    <row r="988" spans="44:73" x14ac:dyDescent="0.45">
      <c r="AR988" s="15" t="s">
        <v>328</v>
      </c>
      <c r="AS988" s="15" t="s">
        <v>567</v>
      </c>
      <c r="AT988" s="15" t="s">
        <v>609</v>
      </c>
      <c r="AU988" s="15"/>
      <c r="AV988" s="15"/>
      <c r="AW988" s="15"/>
      <c r="AX988" s="15"/>
      <c r="AY988" s="15"/>
      <c r="AZ988" s="18"/>
      <c r="BA988" s="19">
        <v>2.5000000000000001E-2</v>
      </c>
      <c r="BB988" s="18"/>
      <c r="BC988" s="18"/>
      <c r="BD988" s="18"/>
      <c r="BE988" s="18"/>
      <c r="BF988" s="18"/>
      <c r="BG988" s="18"/>
      <c r="BH988" s="18"/>
      <c r="BI988" s="18"/>
      <c r="BJ988" s="18"/>
      <c r="BK988" s="18"/>
      <c r="BL988" s="19">
        <v>0.05</v>
      </c>
      <c r="BM988" s="18"/>
      <c r="BN988" s="18"/>
      <c r="BO988" s="18"/>
      <c r="BP988" s="18"/>
      <c r="BQ988" s="18"/>
      <c r="BR988" s="18"/>
      <c r="BS988" s="18"/>
      <c r="BT988" s="18"/>
      <c r="BU988" s="18"/>
    </row>
    <row r="989" spans="44:73" x14ac:dyDescent="0.45">
      <c r="AR989" s="15" t="s">
        <v>328</v>
      </c>
      <c r="AS989" s="15" t="s">
        <v>567</v>
      </c>
      <c r="AT989" s="15" t="s">
        <v>610</v>
      </c>
      <c r="AU989" s="15"/>
      <c r="AV989" s="15"/>
      <c r="AW989" s="15"/>
      <c r="AX989" s="15"/>
      <c r="AY989" s="15"/>
      <c r="AZ989" s="18"/>
      <c r="BA989" s="19">
        <v>2.5000000000000001E-2</v>
      </c>
      <c r="BB989" s="18"/>
      <c r="BC989" s="18"/>
      <c r="BD989" s="18"/>
      <c r="BE989" s="18"/>
      <c r="BF989" s="18"/>
      <c r="BG989" s="18"/>
      <c r="BH989" s="18"/>
      <c r="BI989" s="18"/>
      <c r="BJ989" s="18"/>
      <c r="BK989" s="18"/>
      <c r="BL989" s="19">
        <v>0.05</v>
      </c>
      <c r="BM989" s="18"/>
      <c r="BN989" s="18"/>
      <c r="BO989" s="18"/>
      <c r="BP989" s="18"/>
      <c r="BQ989" s="18"/>
      <c r="BR989" s="18"/>
      <c r="BS989" s="18"/>
      <c r="BT989" s="18"/>
      <c r="BU989" s="18"/>
    </row>
    <row r="990" spans="44:73" x14ac:dyDescent="0.45">
      <c r="AR990" s="15" t="s">
        <v>328</v>
      </c>
      <c r="AS990" s="15" t="s">
        <v>567</v>
      </c>
      <c r="AT990" s="15" t="s">
        <v>611</v>
      </c>
      <c r="AU990" s="15"/>
      <c r="AV990" s="15"/>
      <c r="AW990" s="15"/>
      <c r="AX990" s="15"/>
      <c r="AY990" s="15"/>
      <c r="AZ990" s="18"/>
      <c r="BA990" s="19">
        <v>2.5000000000000001E-2</v>
      </c>
      <c r="BB990" s="18"/>
      <c r="BC990" s="18"/>
      <c r="BD990" s="18"/>
      <c r="BE990" s="18"/>
      <c r="BF990" s="18"/>
      <c r="BG990" s="18"/>
      <c r="BH990" s="18"/>
      <c r="BI990" s="18"/>
      <c r="BJ990" s="18"/>
      <c r="BK990" s="18"/>
      <c r="BL990" s="19">
        <v>0.05</v>
      </c>
      <c r="BM990" s="18"/>
      <c r="BN990" s="18"/>
      <c r="BO990" s="18"/>
      <c r="BP990" s="18"/>
      <c r="BQ990" s="18"/>
      <c r="BR990" s="18"/>
      <c r="BS990" s="18"/>
      <c r="BT990" s="18"/>
      <c r="BU990" s="18"/>
    </row>
    <row r="991" spans="44:73" x14ac:dyDescent="0.45">
      <c r="AR991" s="15" t="s">
        <v>328</v>
      </c>
      <c r="AS991" s="15" t="s">
        <v>567</v>
      </c>
      <c r="AT991" s="15" t="s">
        <v>612</v>
      </c>
      <c r="AU991" s="15"/>
      <c r="AV991" s="15"/>
      <c r="AW991" s="15"/>
      <c r="AX991" s="15"/>
      <c r="AY991" s="15"/>
      <c r="AZ991" s="18"/>
      <c r="BA991" s="19">
        <v>2.5000000000000001E-2</v>
      </c>
      <c r="BB991" s="18"/>
      <c r="BC991" s="18"/>
      <c r="BD991" s="18"/>
      <c r="BE991" s="18"/>
      <c r="BF991" s="18"/>
      <c r="BG991" s="18"/>
      <c r="BH991" s="18"/>
      <c r="BI991" s="18"/>
      <c r="BJ991" s="18"/>
      <c r="BK991" s="18"/>
      <c r="BL991" s="19">
        <v>0.05</v>
      </c>
      <c r="BM991" s="18"/>
      <c r="BN991" s="18"/>
      <c r="BO991" s="18"/>
      <c r="BP991" s="18"/>
      <c r="BQ991" s="18"/>
      <c r="BR991" s="18"/>
      <c r="BS991" s="18"/>
      <c r="BT991" s="18"/>
      <c r="BU991" s="18"/>
    </row>
    <row r="992" spans="44:73" x14ac:dyDescent="0.45">
      <c r="AR992" s="15" t="s">
        <v>328</v>
      </c>
      <c r="AS992" s="15" t="s">
        <v>567</v>
      </c>
      <c r="AT992" s="15" t="s">
        <v>613</v>
      </c>
      <c r="AU992" s="15"/>
      <c r="AV992" s="15"/>
      <c r="AW992" s="15"/>
      <c r="AX992" s="15"/>
      <c r="AY992" s="15"/>
      <c r="AZ992" s="18"/>
      <c r="BA992" s="19">
        <v>2.5000000000000001E-2</v>
      </c>
      <c r="BB992" s="18"/>
      <c r="BC992" s="18"/>
      <c r="BD992" s="18"/>
      <c r="BE992" s="18"/>
      <c r="BF992" s="18"/>
      <c r="BG992" s="18"/>
      <c r="BH992" s="18"/>
      <c r="BI992" s="18"/>
      <c r="BJ992" s="18"/>
      <c r="BK992" s="18"/>
      <c r="BL992" s="19">
        <v>0.05</v>
      </c>
      <c r="BM992" s="18"/>
      <c r="BN992" s="18"/>
      <c r="BO992" s="18"/>
      <c r="BP992" s="18"/>
      <c r="BQ992" s="18"/>
      <c r="BR992" s="18"/>
      <c r="BS992" s="18"/>
      <c r="BT992" s="18"/>
      <c r="BU992" s="18"/>
    </row>
    <row r="993" spans="44:73" x14ac:dyDescent="0.45">
      <c r="AR993" s="15" t="s">
        <v>328</v>
      </c>
      <c r="AS993" s="15" t="s">
        <v>567</v>
      </c>
      <c r="AT993" s="15" t="s">
        <v>614</v>
      </c>
      <c r="AU993" s="15"/>
      <c r="AV993" s="15"/>
      <c r="AW993" s="15"/>
      <c r="AX993" s="15"/>
      <c r="AY993" s="15"/>
      <c r="AZ993" s="18"/>
      <c r="BA993" s="19">
        <v>2.5000000000000001E-2</v>
      </c>
      <c r="BB993" s="18"/>
      <c r="BC993" s="18"/>
      <c r="BD993" s="18"/>
      <c r="BE993" s="18"/>
      <c r="BF993" s="18"/>
      <c r="BG993" s="18"/>
      <c r="BH993" s="18"/>
      <c r="BI993" s="18"/>
      <c r="BJ993" s="18"/>
      <c r="BK993" s="18"/>
      <c r="BL993" s="19">
        <v>0.05</v>
      </c>
      <c r="BM993" s="18"/>
      <c r="BN993" s="18"/>
      <c r="BO993" s="18"/>
      <c r="BP993" s="18"/>
      <c r="BQ993" s="18"/>
      <c r="BR993" s="18"/>
      <c r="BS993" s="18"/>
      <c r="BT993" s="18"/>
      <c r="BU993" s="18"/>
    </row>
    <row r="994" spans="44:73" x14ac:dyDescent="0.45">
      <c r="AR994" s="15" t="s">
        <v>328</v>
      </c>
      <c r="AS994" s="15" t="s">
        <v>567</v>
      </c>
      <c r="AT994" s="15" t="s">
        <v>615</v>
      </c>
      <c r="AU994" s="15"/>
      <c r="AV994" s="15"/>
      <c r="AW994" s="15"/>
      <c r="AX994" s="15"/>
      <c r="AY994" s="15"/>
      <c r="AZ994" s="18"/>
      <c r="BA994" s="19">
        <v>2.5000000000000001E-2</v>
      </c>
      <c r="BB994" s="18"/>
      <c r="BC994" s="18"/>
      <c r="BD994" s="18"/>
      <c r="BE994" s="18"/>
      <c r="BF994" s="18"/>
      <c r="BG994" s="18"/>
      <c r="BH994" s="18"/>
      <c r="BI994" s="18"/>
      <c r="BJ994" s="18"/>
      <c r="BK994" s="18"/>
      <c r="BL994" s="19">
        <v>0.05</v>
      </c>
      <c r="BM994" s="18"/>
      <c r="BN994" s="18"/>
      <c r="BO994" s="18"/>
      <c r="BP994" s="18"/>
      <c r="BQ994" s="18"/>
      <c r="BR994" s="18"/>
      <c r="BS994" s="18"/>
      <c r="BT994" s="18"/>
      <c r="BU994" s="18"/>
    </row>
    <row r="995" spans="44:73" x14ac:dyDescent="0.45">
      <c r="AR995" s="15" t="s">
        <v>328</v>
      </c>
      <c r="AS995" s="15" t="s">
        <v>567</v>
      </c>
      <c r="AT995" s="15" t="s">
        <v>616</v>
      </c>
      <c r="AU995" s="15"/>
      <c r="AV995" s="15"/>
      <c r="AW995" s="15"/>
      <c r="AX995" s="15"/>
      <c r="AY995" s="15"/>
      <c r="AZ995" s="18"/>
      <c r="BA995" s="19">
        <v>2.5000000000000001E-2</v>
      </c>
      <c r="BB995" s="18"/>
      <c r="BC995" s="18"/>
      <c r="BD995" s="18"/>
      <c r="BE995" s="18"/>
      <c r="BF995" s="18"/>
      <c r="BG995" s="18"/>
      <c r="BH995" s="18"/>
      <c r="BI995" s="18"/>
      <c r="BJ995" s="18"/>
      <c r="BK995" s="18"/>
      <c r="BL995" s="19">
        <v>0.05</v>
      </c>
      <c r="BM995" s="18"/>
      <c r="BN995" s="18"/>
      <c r="BO995" s="18"/>
      <c r="BP995" s="18"/>
      <c r="BQ995" s="18"/>
      <c r="BR995" s="18"/>
      <c r="BS995" s="18"/>
      <c r="BT995" s="18"/>
      <c r="BU995" s="18"/>
    </row>
    <row r="996" spans="44:73" x14ac:dyDescent="0.45">
      <c r="AR996" s="15" t="s">
        <v>328</v>
      </c>
      <c r="AS996" s="15" t="s">
        <v>567</v>
      </c>
      <c r="AT996" s="15" t="s">
        <v>617</v>
      </c>
      <c r="AU996" s="15"/>
      <c r="AV996" s="15"/>
      <c r="AW996" s="15"/>
      <c r="AX996" s="15"/>
      <c r="AY996" s="15"/>
      <c r="AZ996" s="18"/>
      <c r="BA996" s="19">
        <v>2.5000000000000001E-2</v>
      </c>
      <c r="BB996" s="18"/>
      <c r="BC996" s="18"/>
      <c r="BD996" s="18"/>
      <c r="BE996" s="18"/>
      <c r="BF996" s="18"/>
      <c r="BG996" s="18"/>
      <c r="BH996" s="18"/>
      <c r="BI996" s="18"/>
      <c r="BJ996" s="18"/>
      <c r="BK996" s="18"/>
      <c r="BL996" s="19">
        <v>0.05</v>
      </c>
      <c r="BM996" s="18"/>
      <c r="BN996" s="18"/>
      <c r="BO996" s="18"/>
      <c r="BP996" s="18"/>
      <c r="BQ996" s="18"/>
      <c r="BR996" s="18"/>
      <c r="BS996" s="18"/>
      <c r="BT996" s="18"/>
      <c r="BU996" s="18"/>
    </row>
    <row r="997" spans="44:73" x14ac:dyDescent="0.45">
      <c r="AR997" s="15" t="s">
        <v>328</v>
      </c>
      <c r="AS997" s="15" t="s">
        <v>567</v>
      </c>
      <c r="AT997" s="15" t="s">
        <v>618</v>
      </c>
      <c r="AU997" s="15"/>
      <c r="AV997" s="15"/>
      <c r="AW997" s="15"/>
      <c r="AX997" s="15"/>
      <c r="AY997" s="15"/>
      <c r="AZ997" s="18"/>
      <c r="BA997" s="19">
        <v>2.5000000000000001E-2</v>
      </c>
      <c r="BB997" s="18"/>
      <c r="BC997" s="18"/>
      <c r="BD997" s="18"/>
      <c r="BE997" s="18"/>
      <c r="BF997" s="18"/>
      <c r="BG997" s="18"/>
      <c r="BH997" s="18"/>
      <c r="BI997" s="18"/>
      <c r="BJ997" s="18"/>
      <c r="BK997" s="18"/>
      <c r="BL997" s="19">
        <v>0.05</v>
      </c>
      <c r="BM997" s="18"/>
      <c r="BN997" s="18"/>
      <c r="BO997" s="18"/>
      <c r="BP997" s="18"/>
      <c r="BQ997" s="18"/>
      <c r="BR997" s="18"/>
      <c r="BS997" s="18"/>
      <c r="BT997" s="18"/>
      <c r="BU997" s="18"/>
    </row>
    <row r="998" spans="44:73" x14ac:dyDescent="0.45">
      <c r="AR998" s="15" t="s">
        <v>328</v>
      </c>
      <c r="AS998" s="15" t="s">
        <v>567</v>
      </c>
      <c r="AT998" s="15" t="s">
        <v>619</v>
      </c>
      <c r="AU998" s="15"/>
      <c r="AV998" s="15"/>
      <c r="AW998" s="15"/>
      <c r="AX998" s="15"/>
      <c r="AY998" s="15"/>
      <c r="AZ998" s="18"/>
      <c r="BA998" s="19">
        <v>2.5000000000000001E-2</v>
      </c>
      <c r="BB998" s="18"/>
      <c r="BC998" s="18"/>
      <c r="BD998" s="18"/>
      <c r="BE998" s="18"/>
      <c r="BF998" s="18"/>
      <c r="BG998" s="18"/>
      <c r="BH998" s="18"/>
      <c r="BI998" s="18"/>
      <c r="BJ998" s="18"/>
      <c r="BK998" s="18"/>
      <c r="BL998" s="19">
        <v>0.05</v>
      </c>
      <c r="BM998" s="18"/>
      <c r="BN998" s="18"/>
      <c r="BO998" s="18"/>
      <c r="BP998" s="18"/>
      <c r="BQ998" s="18"/>
      <c r="BR998" s="18"/>
      <c r="BS998" s="18"/>
      <c r="BT998" s="18"/>
      <c r="BU998" s="18"/>
    </row>
    <row r="999" spans="44:73" x14ac:dyDescent="0.45">
      <c r="AR999" s="15" t="s">
        <v>328</v>
      </c>
      <c r="AS999" s="15" t="s">
        <v>567</v>
      </c>
      <c r="AT999" s="15" t="s">
        <v>620</v>
      </c>
      <c r="AU999" s="15"/>
      <c r="AV999" s="15"/>
      <c r="AW999" s="15"/>
      <c r="AX999" s="15"/>
      <c r="AY999" s="15"/>
      <c r="AZ999" s="18"/>
      <c r="BA999" s="19">
        <v>2.5000000000000001E-2</v>
      </c>
      <c r="BB999" s="18"/>
      <c r="BC999" s="18"/>
      <c r="BD999" s="18"/>
      <c r="BE999" s="18"/>
      <c r="BF999" s="18"/>
      <c r="BG999" s="18"/>
      <c r="BH999" s="18"/>
      <c r="BI999" s="18"/>
      <c r="BJ999" s="18"/>
      <c r="BK999" s="18"/>
      <c r="BL999" s="19">
        <v>0.05</v>
      </c>
      <c r="BM999" s="18"/>
      <c r="BN999" s="18"/>
      <c r="BO999" s="18"/>
      <c r="BP999" s="18"/>
      <c r="BQ999" s="18"/>
      <c r="BR999" s="18"/>
      <c r="BS999" s="18"/>
      <c r="BT999" s="18"/>
      <c r="BU999" s="18"/>
    </row>
    <row r="1000" spans="44:73" x14ac:dyDescent="0.45">
      <c r="AR1000" s="15" t="s">
        <v>328</v>
      </c>
      <c r="AS1000" s="15" t="s">
        <v>567</v>
      </c>
      <c r="AT1000" s="15" t="s">
        <v>621</v>
      </c>
      <c r="AU1000" s="15"/>
      <c r="AV1000" s="15"/>
      <c r="AW1000" s="15"/>
      <c r="AX1000" s="15"/>
      <c r="AY1000" s="15"/>
      <c r="AZ1000" s="18"/>
      <c r="BA1000" s="19">
        <v>2.5000000000000001E-2</v>
      </c>
      <c r="BB1000" s="18"/>
      <c r="BC1000" s="18"/>
      <c r="BD1000" s="18"/>
      <c r="BE1000" s="18"/>
      <c r="BF1000" s="18"/>
      <c r="BG1000" s="18"/>
      <c r="BH1000" s="18"/>
      <c r="BI1000" s="18"/>
      <c r="BJ1000" s="18"/>
      <c r="BK1000" s="18"/>
      <c r="BL1000" s="19">
        <v>0.05</v>
      </c>
      <c r="BM1000" s="18"/>
      <c r="BN1000" s="18"/>
      <c r="BO1000" s="18"/>
      <c r="BP1000" s="18"/>
      <c r="BQ1000" s="18"/>
      <c r="BR1000" s="18"/>
      <c r="BS1000" s="18"/>
      <c r="BT1000" s="18"/>
      <c r="BU1000" s="18"/>
    </row>
    <row r="1001" spans="44:73" x14ac:dyDescent="0.45">
      <c r="AR1001" s="15" t="s">
        <v>328</v>
      </c>
      <c r="AS1001" s="15" t="s">
        <v>567</v>
      </c>
      <c r="AT1001" s="15" t="s">
        <v>622</v>
      </c>
      <c r="AU1001" s="15"/>
      <c r="AV1001" s="15"/>
      <c r="AW1001" s="15"/>
      <c r="AX1001" s="15"/>
      <c r="AY1001" s="15"/>
      <c r="AZ1001" s="18"/>
      <c r="BA1001" s="19">
        <v>2.5000000000000001E-2</v>
      </c>
      <c r="BB1001" s="18"/>
      <c r="BC1001" s="18"/>
      <c r="BD1001" s="18"/>
      <c r="BE1001" s="18"/>
      <c r="BF1001" s="18"/>
      <c r="BG1001" s="18"/>
      <c r="BH1001" s="18"/>
      <c r="BI1001" s="18"/>
      <c r="BJ1001" s="18"/>
      <c r="BK1001" s="18"/>
      <c r="BL1001" s="19">
        <v>0.05</v>
      </c>
      <c r="BM1001" s="18"/>
      <c r="BN1001" s="18"/>
      <c r="BO1001" s="18"/>
      <c r="BP1001" s="18"/>
      <c r="BQ1001" s="18"/>
      <c r="BR1001" s="18"/>
      <c r="BS1001" s="18"/>
      <c r="BT1001" s="18"/>
      <c r="BU1001" s="18"/>
    </row>
    <row r="1002" spans="44:73" x14ac:dyDescent="0.45">
      <c r="AR1002" s="15" t="s">
        <v>328</v>
      </c>
      <c r="AS1002" s="15" t="s">
        <v>567</v>
      </c>
      <c r="AT1002" s="15" t="s">
        <v>623</v>
      </c>
      <c r="AU1002" s="15"/>
      <c r="AV1002" s="15"/>
      <c r="AW1002" s="15"/>
      <c r="AX1002" s="15"/>
      <c r="AY1002" s="15"/>
      <c r="AZ1002" s="18"/>
      <c r="BA1002" s="19">
        <v>2.5000000000000001E-2</v>
      </c>
      <c r="BB1002" s="18"/>
      <c r="BC1002" s="18"/>
      <c r="BD1002" s="18"/>
      <c r="BE1002" s="18"/>
      <c r="BF1002" s="18"/>
      <c r="BG1002" s="18"/>
      <c r="BH1002" s="18"/>
      <c r="BI1002" s="18"/>
      <c r="BJ1002" s="18"/>
      <c r="BK1002" s="18"/>
      <c r="BL1002" s="19">
        <v>0.05</v>
      </c>
      <c r="BM1002" s="18"/>
      <c r="BN1002" s="18"/>
      <c r="BO1002" s="18"/>
      <c r="BP1002" s="18"/>
      <c r="BQ1002" s="18"/>
      <c r="BR1002" s="18"/>
      <c r="BS1002" s="18"/>
      <c r="BT1002" s="18"/>
      <c r="BU1002" s="18"/>
    </row>
    <row r="1003" spans="44:73" x14ac:dyDescent="0.45">
      <c r="AR1003" s="15" t="s">
        <v>328</v>
      </c>
      <c r="AS1003" s="15" t="s">
        <v>567</v>
      </c>
      <c r="AT1003" s="15" t="s">
        <v>624</v>
      </c>
      <c r="AU1003" s="15"/>
      <c r="AV1003" s="15"/>
      <c r="AW1003" s="15"/>
      <c r="AX1003" s="15"/>
      <c r="AY1003" s="15"/>
      <c r="AZ1003" s="18"/>
      <c r="BA1003" s="19">
        <v>2.5000000000000001E-2</v>
      </c>
      <c r="BB1003" s="18"/>
      <c r="BC1003" s="18"/>
      <c r="BD1003" s="18"/>
      <c r="BE1003" s="18"/>
      <c r="BF1003" s="18"/>
      <c r="BG1003" s="18"/>
      <c r="BH1003" s="18"/>
      <c r="BI1003" s="18"/>
      <c r="BJ1003" s="18"/>
      <c r="BK1003" s="18"/>
      <c r="BL1003" s="19">
        <v>0.05</v>
      </c>
      <c r="BM1003" s="18"/>
      <c r="BN1003" s="18"/>
      <c r="BO1003" s="18"/>
      <c r="BP1003" s="18"/>
      <c r="BQ1003" s="18"/>
      <c r="BR1003" s="18"/>
      <c r="BS1003" s="18"/>
      <c r="BT1003" s="18"/>
      <c r="BU1003" s="18"/>
    </row>
    <row r="1004" spans="44:73" x14ac:dyDescent="0.45">
      <c r="AR1004" s="15" t="s">
        <v>328</v>
      </c>
      <c r="AS1004" s="15" t="s">
        <v>567</v>
      </c>
      <c r="AT1004" s="15" t="s">
        <v>625</v>
      </c>
      <c r="AU1004" s="15"/>
      <c r="AV1004" s="15"/>
      <c r="AW1004" s="15"/>
      <c r="AX1004" s="15"/>
      <c r="AY1004" s="15"/>
      <c r="AZ1004" s="18"/>
      <c r="BA1004" s="19">
        <v>2.5000000000000001E-2</v>
      </c>
      <c r="BB1004" s="18"/>
      <c r="BC1004" s="18"/>
      <c r="BD1004" s="18"/>
      <c r="BE1004" s="18"/>
      <c r="BF1004" s="18"/>
      <c r="BG1004" s="18"/>
      <c r="BH1004" s="18"/>
      <c r="BI1004" s="18"/>
      <c r="BJ1004" s="18"/>
      <c r="BK1004" s="18"/>
      <c r="BL1004" s="19">
        <v>0.05</v>
      </c>
      <c r="BM1004" s="18"/>
      <c r="BN1004" s="18"/>
      <c r="BO1004" s="18"/>
      <c r="BP1004" s="18"/>
      <c r="BQ1004" s="18"/>
      <c r="BR1004" s="18"/>
      <c r="BS1004" s="18"/>
      <c r="BT1004" s="18"/>
      <c r="BU1004" s="18"/>
    </row>
    <row r="1005" spans="44:73" x14ac:dyDescent="0.45">
      <c r="AR1005" s="15" t="s">
        <v>328</v>
      </c>
      <c r="AS1005" s="15" t="s">
        <v>567</v>
      </c>
      <c r="AT1005" s="15" t="s">
        <v>626</v>
      </c>
      <c r="AU1005" s="15"/>
      <c r="AV1005" s="15"/>
      <c r="AW1005" s="15"/>
      <c r="AX1005" s="15"/>
      <c r="AY1005" s="15"/>
      <c r="AZ1005" s="18"/>
      <c r="BA1005" s="19">
        <v>2.5000000000000001E-2</v>
      </c>
      <c r="BB1005" s="18"/>
      <c r="BC1005" s="18"/>
      <c r="BD1005" s="18"/>
      <c r="BE1005" s="18"/>
      <c r="BF1005" s="18"/>
      <c r="BG1005" s="18"/>
      <c r="BH1005" s="18"/>
      <c r="BI1005" s="18"/>
      <c r="BJ1005" s="18"/>
      <c r="BK1005" s="18"/>
      <c r="BL1005" s="19">
        <v>0.05</v>
      </c>
      <c r="BM1005" s="18"/>
      <c r="BN1005" s="18"/>
      <c r="BO1005" s="18"/>
      <c r="BP1005" s="18"/>
      <c r="BQ1005" s="18"/>
      <c r="BR1005" s="18"/>
      <c r="BS1005" s="18"/>
      <c r="BT1005" s="18"/>
      <c r="BU1005" s="18"/>
    </row>
    <row r="1006" spans="44:73" x14ac:dyDescent="0.45">
      <c r="AR1006" s="15" t="s">
        <v>328</v>
      </c>
      <c r="AS1006" s="15" t="s">
        <v>567</v>
      </c>
      <c r="AT1006" s="15" t="s">
        <v>627</v>
      </c>
      <c r="AU1006" s="15"/>
      <c r="AV1006" s="15"/>
      <c r="AW1006" s="15"/>
      <c r="AX1006" s="15"/>
      <c r="AY1006" s="15"/>
      <c r="AZ1006" s="18"/>
      <c r="BA1006" s="19">
        <v>2.5000000000000001E-2</v>
      </c>
      <c r="BB1006" s="18"/>
      <c r="BC1006" s="18"/>
      <c r="BD1006" s="18"/>
      <c r="BE1006" s="18"/>
      <c r="BF1006" s="18"/>
      <c r="BG1006" s="18"/>
      <c r="BH1006" s="18"/>
      <c r="BI1006" s="18"/>
      <c r="BJ1006" s="18"/>
      <c r="BK1006" s="18"/>
      <c r="BL1006" s="19">
        <v>0.05</v>
      </c>
      <c r="BM1006" s="18"/>
      <c r="BN1006" s="18"/>
      <c r="BO1006" s="18"/>
      <c r="BP1006" s="18"/>
      <c r="BQ1006" s="18"/>
      <c r="BR1006" s="18"/>
      <c r="BS1006" s="18"/>
      <c r="BT1006" s="18"/>
      <c r="BU1006" s="18"/>
    </row>
    <row r="1007" spans="44:73" x14ac:dyDescent="0.45">
      <c r="AR1007" s="15" t="s">
        <v>328</v>
      </c>
      <c r="AS1007" s="15" t="s">
        <v>567</v>
      </c>
      <c r="AT1007" s="15" t="s">
        <v>628</v>
      </c>
      <c r="AU1007" s="15"/>
      <c r="AV1007" s="15"/>
      <c r="AW1007" s="15"/>
      <c r="AX1007" s="15"/>
      <c r="AY1007" s="15"/>
      <c r="AZ1007" s="18"/>
      <c r="BA1007" s="19">
        <v>2.5000000000000001E-2</v>
      </c>
      <c r="BB1007" s="18"/>
      <c r="BC1007" s="18"/>
      <c r="BD1007" s="18"/>
      <c r="BE1007" s="18"/>
      <c r="BF1007" s="18"/>
      <c r="BG1007" s="18"/>
      <c r="BH1007" s="18"/>
      <c r="BI1007" s="18"/>
      <c r="BJ1007" s="18"/>
      <c r="BK1007" s="18"/>
      <c r="BL1007" s="19">
        <v>0.05</v>
      </c>
      <c r="BM1007" s="18"/>
      <c r="BN1007" s="18"/>
      <c r="BO1007" s="18"/>
      <c r="BP1007" s="18"/>
      <c r="BQ1007" s="18"/>
      <c r="BR1007" s="18"/>
      <c r="BS1007" s="18"/>
      <c r="BT1007" s="18"/>
      <c r="BU1007" s="18"/>
    </row>
    <row r="1008" spans="44:73" x14ac:dyDescent="0.45">
      <c r="AR1008" s="15" t="s">
        <v>328</v>
      </c>
      <c r="AS1008" s="15" t="s">
        <v>567</v>
      </c>
      <c r="AT1008" s="15" t="s">
        <v>629</v>
      </c>
      <c r="AU1008" s="15"/>
      <c r="AV1008" s="15"/>
      <c r="AW1008" s="15"/>
      <c r="AX1008" s="15"/>
      <c r="AY1008" s="15"/>
      <c r="AZ1008" s="18"/>
      <c r="BA1008" s="19">
        <v>2.5000000000000001E-2</v>
      </c>
      <c r="BB1008" s="18"/>
      <c r="BC1008" s="18"/>
      <c r="BD1008" s="18"/>
      <c r="BE1008" s="18"/>
      <c r="BF1008" s="18"/>
      <c r="BG1008" s="18"/>
      <c r="BH1008" s="18"/>
      <c r="BI1008" s="18"/>
      <c r="BJ1008" s="18"/>
      <c r="BK1008" s="18"/>
      <c r="BL1008" s="19">
        <v>0.05</v>
      </c>
      <c r="BM1008" s="18"/>
      <c r="BN1008" s="18"/>
      <c r="BO1008" s="18"/>
      <c r="BP1008" s="18"/>
      <c r="BQ1008" s="18"/>
      <c r="BR1008" s="18"/>
      <c r="BS1008" s="18"/>
      <c r="BT1008" s="18"/>
      <c r="BU1008" s="18"/>
    </row>
    <row r="1009" spans="44:73" x14ac:dyDescent="0.45">
      <c r="AR1009" s="15" t="s">
        <v>328</v>
      </c>
      <c r="AS1009" s="15" t="s">
        <v>567</v>
      </c>
      <c r="AT1009" s="15" t="s">
        <v>630</v>
      </c>
      <c r="AU1009" s="15"/>
      <c r="AV1009" s="15"/>
      <c r="AW1009" s="15"/>
      <c r="AX1009" s="15"/>
      <c r="AY1009" s="15"/>
      <c r="AZ1009" s="18"/>
      <c r="BA1009" s="19">
        <v>2.5000000000000001E-2</v>
      </c>
      <c r="BB1009" s="18"/>
      <c r="BC1009" s="18"/>
      <c r="BD1009" s="18"/>
      <c r="BE1009" s="18"/>
      <c r="BF1009" s="18"/>
      <c r="BG1009" s="18"/>
      <c r="BH1009" s="18"/>
      <c r="BI1009" s="18"/>
      <c r="BJ1009" s="18"/>
      <c r="BK1009" s="18"/>
      <c r="BL1009" s="19">
        <v>0.05</v>
      </c>
      <c r="BM1009" s="18"/>
      <c r="BN1009" s="18"/>
      <c r="BO1009" s="18"/>
      <c r="BP1009" s="18"/>
      <c r="BQ1009" s="18"/>
      <c r="BR1009" s="18"/>
      <c r="BS1009" s="18"/>
      <c r="BT1009" s="18"/>
      <c r="BU1009" s="18"/>
    </row>
    <row r="1010" spans="44:73" x14ac:dyDescent="0.45">
      <c r="AR1010" s="15" t="s">
        <v>328</v>
      </c>
      <c r="AS1010" s="15" t="s">
        <v>567</v>
      </c>
      <c r="AT1010" s="15" t="s">
        <v>631</v>
      </c>
      <c r="AU1010" s="15"/>
      <c r="AV1010" s="15"/>
      <c r="AW1010" s="15"/>
      <c r="AX1010" s="15"/>
      <c r="AY1010" s="15"/>
      <c r="AZ1010" s="18"/>
      <c r="BA1010" s="19">
        <v>2.5000000000000001E-2</v>
      </c>
      <c r="BB1010" s="18"/>
      <c r="BC1010" s="18"/>
      <c r="BD1010" s="18"/>
      <c r="BE1010" s="18"/>
      <c r="BF1010" s="18"/>
      <c r="BG1010" s="18"/>
      <c r="BH1010" s="18"/>
      <c r="BI1010" s="18"/>
      <c r="BJ1010" s="18"/>
      <c r="BK1010" s="18"/>
      <c r="BL1010" s="19">
        <v>0.05</v>
      </c>
      <c r="BM1010" s="18"/>
      <c r="BN1010" s="18"/>
      <c r="BO1010" s="18"/>
      <c r="BP1010" s="18"/>
      <c r="BQ1010" s="18"/>
      <c r="BR1010" s="18"/>
      <c r="BS1010" s="18"/>
      <c r="BT1010" s="18"/>
      <c r="BU1010" s="18"/>
    </row>
    <row r="1011" spans="44:73" x14ac:dyDescent="0.45">
      <c r="AR1011" s="15" t="s">
        <v>328</v>
      </c>
      <c r="AS1011" s="15" t="s">
        <v>567</v>
      </c>
      <c r="AT1011" s="15" t="s">
        <v>632</v>
      </c>
      <c r="AU1011" s="15"/>
      <c r="AV1011" s="15"/>
      <c r="AW1011" s="15"/>
      <c r="AX1011" s="15"/>
      <c r="AY1011" s="15"/>
      <c r="AZ1011" s="18"/>
      <c r="BA1011" s="19">
        <v>2.5000000000000001E-2</v>
      </c>
      <c r="BB1011" s="18"/>
      <c r="BC1011" s="18"/>
      <c r="BD1011" s="18"/>
      <c r="BE1011" s="18"/>
      <c r="BF1011" s="18"/>
      <c r="BG1011" s="18"/>
      <c r="BH1011" s="18"/>
      <c r="BI1011" s="18"/>
      <c r="BJ1011" s="18"/>
      <c r="BK1011" s="18"/>
      <c r="BL1011" s="19">
        <v>0.05</v>
      </c>
      <c r="BM1011" s="18"/>
      <c r="BN1011" s="18"/>
      <c r="BO1011" s="18"/>
      <c r="BP1011" s="18"/>
      <c r="BQ1011" s="18"/>
      <c r="BR1011" s="18"/>
      <c r="BS1011" s="18"/>
      <c r="BT1011" s="18"/>
      <c r="BU1011" s="18"/>
    </row>
    <row r="1012" spans="44:73" x14ac:dyDescent="0.45">
      <c r="AR1012" s="15" t="s">
        <v>328</v>
      </c>
      <c r="AS1012" s="15" t="s">
        <v>567</v>
      </c>
      <c r="AT1012" s="15" t="s">
        <v>633</v>
      </c>
      <c r="AU1012" s="15"/>
      <c r="AV1012" s="15"/>
      <c r="AW1012" s="15"/>
      <c r="AX1012" s="15"/>
      <c r="AY1012" s="15"/>
      <c r="AZ1012" s="18"/>
      <c r="BA1012" s="19">
        <v>2.5000000000000001E-2</v>
      </c>
      <c r="BB1012" s="18"/>
      <c r="BC1012" s="18"/>
      <c r="BD1012" s="18"/>
      <c r="BE1012" s="18"/>
      <c r="BF1012" s="18"/>
      <c r="BG1012" s="18"/>
      <c r="BH1012" s="18"/>
      <c r="BI1012" s="18"/>
      <c r="BJ1012" s="18"/>
      <c r="BK1012" s="18"/>
      <c r="BL1012" s="19">
        <v>0.05</v>
      </c>
      <c r="BM1012" s="18"/>
      <c r="BN1012" s="18"/>
      <c r="BO1012" s="18"/>
      <c r="BP1012" s="18"/>
      <c r="BQ1012" s="18"/>
      <c r="BR1012" s="18"/>
      <c r="BS1012" s="18"/>
      <c r="BT1012" s="18"/>
      <c r="BU1012" s="18"/>
    </row>
    <row r="1013" spans="44:73" x14ac:dyDescent="0.45">
      <c r="AR1013" s="15" t="s">
        <v>328</v>
      </c>
      <c r="AS1013" s="15" t="s">
        <v>567</v>
      </c>
      <c r="AT1013" s="15" t="s">
        <v>634</v>
      </c>
      <c r="AU1013" s="15"/>
      <c r="AV1013" s="15"/>
      <c r="AW1013" s="15"/>
      <c r="AX1013" s="15"/>
      <c r="AY1013" s="15"/>
      <c r="AZ1013" s="18"/>
      <c r="BA1013" s="19">
        <v>2.5000000000000001E-2</v>
      </c>
      <c r="BB1013" s="18"/>
      <c r="BC1013" s="18"/>
      <c r="BD1013" s="18"/>
      <c r="BE1013" s="18"/>
      <c r="BF1013" s="18"/>
      <c r="BG1013" s="18"/>
      <c r="BH1013" s="18"/>
      <c r="BI1013" s="18"/>
      <c r="BJ1013" s="18"/>
      <c r="BK1013" s="18"/>
      <c r="BL1013" s="19">
        <v>0.05</v>
      </c>
      <c r="BM1013" s="18"/>
      <c r="BN1013" s="18"/>
      <c r="BO1013" s="18"/>
      <c r="BP1013" s="18"/>
      <c r="BQ1013" s="18"/>
      <c r="BR1013" s="18"/>
      <c r="BS1013" s="18"/>
      <c r="BT1013" s="18"/>
      <c r="BU1013" s="18"/>
    </row>
    <row r="1014" spans="44:73" x14ac:dyDescent="0.45">
      <c r="AR1014" s="15" t="s">
        <v>328</v>
      </c>
      <c r="AS1014" s="15" t="s">
        <v>567</v>
      </c>
      <c r="AT1014" s="15" t="s">
        <v>635</v>
      </c>
      <c r="AU1014" s="15"/>
      <c r="AV1014" s="15"/>
      <c r="AW1014" s="15"/>
      <c r="AX1014" s="15"/>
      <c r="AY1014" s="15"/>
      <c r="AZ1014" s="18"/>
      <c r="BA1014" s="19">
        <v>2.5000000000000001E-2</v>
      </c>
      <c r="BB1014" s="18"/>
      <c r="BC1014" s="18"/>
      <c r="BD1014" s="18"/>
      <c r="BE1014" s="18"/>
      <c r="BF1014" s="18"/>
      <c r="BG1014" s="18"/>
      <c r="BH1014" s="18"/>
      <c r="BI1014" s="18"/>
      <c r="BJ1014" s="18"/>
      <c r="BK1014" s="18"/>
      <c r="BL1014" s="19">
        <v>0.05</v>
      </c>
      <c r="BM1014" s="18"/>
      <c r="BN1014" s="18"/>
      <c r="BO1014" s="18"/>
      <c r="BP1014" s="18"/>
      <c r="BQ1014" s="18"/>
      <c r="BR1014" s="18"/>
      <c r="BS1014" s="18"/>
      <c r="BT1014" s="18"/>
      <c r="BU1014" s="18"/>
    </row>
    <row r="1015" spans="44:73" x14ac:dyDescent="0.45">
      <c r="AR1015" s="15" t="s">
        <v>328</v>
      </c>
      <c r="AS1015" s="15" t="s">
        <v>567</v>
      </c>
      <c r="AT1015" s="15" t="s">
        <v>636</v>
      </c>
      <c r="AU1015" s="15"/>
      <c r="AV1015" s="15"/>
      <c r="AW1015" s="15"/>
      <c r="AX1015" s="15"/>
      <c r="AY1015" s="15"/>
      <c r="AZ1015" s="18"/>
      <c r="BA1015" s="19">
        <v>2.5000000000000001E-2</v>
      </c>
      <c r="BB1015" s="18"/>
      <c r="BC1015" s="18"/>
      <c r="BD1015" s="18"/>
      <c r="BE1015" s="18"/>
      <c r="BF1015" s="18"/>
      <c r="BG1015" s="18"/>
      <c r="BH1015" s="18"/>
      <c r="BI1015" s="18"/>
      <c r="BJ1015" s="18"/>
      <c r="BK1015" s="18"/>
      <c r="BL1015" s="19">
        <v>0.05</v>
      </c>
      <c r="BM1015" s="18"/>
      <c r="BN1015" s="18"/>
      <c r="BO1015" s="18"/>
      <c r="BP1015" s="18"/>
      <c r="BQ1015" s="18"/>
      <c r="BR1015" s="18"/>
      <c r="BS1015" s="18"/>
      <c r="BT1015" s="18"/>
      <c r="BU1015" s="18"/>
    </row>
    <row r="1016" spans="44:73" x14ac:dyDescent="0.45">
      <c r="AR1016" s="15" t="s">
        <v>328</v>
      </c>
      <c r="AS1016" s="15" t="s">
        <v>567</v>
      </c>
      <c r="AT1016" s="15" t="s">
        <v>637</v>
      </c>
      <c r="AU1016" s="15"/>
      <c r="AV1016" s="15"/>
      <c r="AW1016" s="15"/>
      <c r="AX1016" s="15"/>
      <c r="AY1016" s="15"/>
      <c r="AZ1016" s="18"/>
      <c r="BA1016" s="19">
        <v>2.5000000000000001E-2</v>
      </c>
      <c r="BB1016" s="18"/>
      <c r="BC1016" s="18"/>
      <c r="BD1016" s="18"/>
      <c r="BE1016" s="18"/>
      <c r="BF1016" s="18"/>
      <c r="BG1016" s="18"/>
      <c r="BH1016" s="18"/>
      <c r="BI1016" s="18"/>
      <c r="BJ1016" s="18"/>
      <c r="BK1016" s="18"/>
      <c r="BL1016" s="19">
        <v>0.05</v>
      </c>
      <c r="BM1016" s="18"/>
      <c r="BN1016" s="18"/>
      <c r="BO1016" s="18"/>
      <c r="BP1016" s="18"/>
      <c r="BQ1016" s="18"/>
      <c r="BR1016" s="18"/>
      <c r="BS1016" s="18"/>
      <c r="BT1016" s="18"/>
      <c r="BU1016" s="18"/>
    </row>
    <row r="1017" spans="44:73" x14ac:dyDescent="0.45">
      <c r="AR1017" s="15" t="s">
        <v>328</v>
      </c>
      <c r="AS1017" s="15" t="s">
        <v>567</v>
      </c>
      <c r="AT1017" s="15" t="s">
        <v>638</v>
      </c>
      <c r="AU1017" s="15"/>
      <c r="AV1017" s="15"/>
      <c r="AW1017" s="15"/>
      <c r="AX1017" s="15"/>
      <c r="AY1017" s="15"/>
      <c r="AZ1017" s="18"/>
      <c r="BA1017" s="19">
        <v>2.5000000000000001E-2</v>
      </c>
      <c r="BB1017" s="18"/>
      <c r="BC1017" s="18"/>
      <c r="BD1017" s="18"/>
      <c r="BE1017" s="18"/>
      <c r="BF1017" s="18"/>
      <c r="BG1017" s="18"/>
      <c r="BH1017" s="18"/>
      <c r="BI1017" s="18"/>
      <c r="BJ1017" s="18"/>
      <c r="BK1017" s="18"/>
      <c r="BL1017" s="19">
        <v>0.05</v>
      </c>
      <c r="BM1017" s="18"/>
      <c r="BN1017" s="18"/>
      <c r="BO1017" s="18"/>
      <c r="BP1017" s="18"/>
      <c r="BQ1017" s="18"/>
      <c r="BR1017" s="18"/>
      <c r="BS1017" s="18"/>
      <c r="BT1017" s="18"/>
      <c r="BU1017" s="18"/>
    </row>
    <row r="1018" spans="44:73" x14ac:dyDescent="0.45">
      <c r="AR1018" s="15" t="s">
        <v>328</v>
      </c>
      <c r="AS1018" s="15" t="s">
        <v>567</v>
      </c>
      <c r="AT1018" s="15" t="s">
        <v>639</v>
      </c>
      <c r="AU1018" s="15"/>
      <c r="AV1018" s="15"/>
      <c r="AW1018" s="15"/>
      <c r="AX1018" s="15"/>
      <c r="AY1018" s="15"/>
      <c r="AZ1018" s="18"/>
      <c r="BA1018" s="19">
        <v>2.5000000000000001E-2</v>
      </c>
      <c r="BB1018" s="18"/>
      <c r="BC1018" s="18"/>
      <c r="BD1018" s="18"/>
      <c r="BE1018" s="18"/>
      <c r="BF1018" s="18"/>
      <c r="BG1018" s="18"/>
      <c r="BH1018" s="18"/>
      <c r="BI1018" s="18"/>
      <c r="BJ1018" s="18"/>
      <c r="BK1018" s="18"/>
      <c r="BL1018" s="19">
        <v>0.05</v>
      </c>
      <c r="BM1018" s="18"/>
      <c r="BN1018" s="18"/>
      <c r="BO1018" s="18"/>
      <c r="BP1018" s="18"/>
      <c r="BQ1018" s="18"/>
      <c r="BR1018" s="18"/>
      <c r="BS1018" s="18"/>
      <c r="BT1018" s="18"/>
      <c r="BU1018" s="18"/>
    </row>
    <row r="1019" spans="44:73" x14ac:dyDescent="0.45">
      <c r="AR1019" s="15" t="s">
        <v>328</v>
      </c>
      <c r="AS1019" s="15" t="s">
        <v>567</v>
      </c>
      <c r="AT1019" s="15" t="s">
        <v>640</v>
      </c>
      <c r="AU1019" s="15"/>
      <c r="AV1019" s="15"/>
      <c r="AW1019" s="15"/>
      <c r="AX1019" s="15"/>
      <c r="AY1019" s="15"/>
      <c r="AZ1019" s="18"/>
      <c r="BA1019" s="19">
        <v>2.5000000000000001E-2</v>
      </c>
      <c r="BB1019" s="18"/>
      <c r="BC1019" s="18"/>
      <c r="BD1019" s="18"/>
      <c r="BE1019" s="18"/>
      <c r="BF1019" s="18"/>
      <c r="BG1019" s="18"/>
      <c r="BH1019" s="18"/>
      <c r="BI1019" s="18"/>
      <c r="BJ1019" s="18"/>
      <c r="BK1019" s="18"/>
      <c r="BL1019" s="19">
        <v>0.05</v>
      </c>
      <c r="BM1019" s="18"/>
      <c r="BN1019" s="18"/>
      <c r="BO1019" s="18"/>
      <c r="BP1019" s="18"/>
      <c r="BQ1019" s="18"/>
      <c r="BR1019" s="18"/>
      <c r="BS1019" s="18"/>
      <c r="BT1019" s="18"/>
      <c r="BU1019" s="18"/>
    </row>
    <row r="1020" spans="44:73" x14ac:dyDescent="0.45">
      <c r="AR1020" s="15" t="s">
        <v>328</v>
      </c>
      <c r="AS1020" s="15" t="s">
        <v>567</v>
      </c>
      <c r="AT1020" s="15" t="s">
        <v>641</v>
      </c>
      <c r="AU1020" s="15"/>
      <c r="AV1020" s="15"/>
      <c r="AW1020" s="15"/>
      <c r="AX1020" s="15"/>
      <c r="AY1020" s="15"/>
      <c r="AZ1020" s="18"/>
      <c r="BA1020" s="19">
        <v>2.5000000000000001E-2</v>
      </c>
      <c r="BB1020" s="18"/>
      <c r="BC1020" s="18"/>
      <c r="BD1020" s="18"/>
      <c r="BE1020" s="18"/>
      <c r="BF1020" s="18"/>
      <c r="BG1020" s="18"/>
      <c r="BH1020" s="18"/>
      <c r="BI1020" s="18"/>
      <c r="BJ1020" s="18"/>
      <c r="BK1020" s="18"/>
      <c r="BL1020" s="19">
        <v>0.05</v>
      </c>
      <c r="BM1020" s="18"/>
      <c r="BN1020" s="18"/>
      <c r="BO1020" s="18"/>
      <c r="BP1020" s="18"/>
      <c r="BQ1020" s="18"/>
      <c r="BR1020" s="18"/>
      <c r="BS1020" s="18"/>
      <c r="BT1020" s="18"/>
      <c r="BU1020" s="18"/>
    </row>
    <row r="1021" spans="44:73" x14ac:dyDescent="0.45">
      <c r="AR1021" s="15" t="s">
        <v>328</v>
      </c>
      <c r="AS1021" s="15" t="s">
        <v>567</v>
      </c>
      <c r="AT1021" s="15" t="s">
        <v>642</v>
      </c>
      <c r="AU1021" s="15"/>
      <c r="AV1021" s="15"/>
      <c r="AW1021" s="15"/>
      <c r="AX1021" s="15"/>
      <c r="AY1021" s="15"/>
      <c r="AZ1021" s="18"/>
      <c r="BA1021" s="19">
        <v>2.5000000000000001E-2</v>
      </c>
      <c r="BB1021" s="18"/>
      <c r="BC1021" s="18"/>
      <c r="BD1021" s="18"/>
      <c r="BE1021" s="18"/>
      <c r="BF1021" s="18"/>
      <c r="BG1021" s="18"/>
      <c r="BH1021" s="18"/>
      <c r="BI1021" s="18"/>
      <c r="BJ1021" s="18"/>
      <c r="BK1021" s="18"/>
      <c r="BL1021" s="19">
        <v>0.05</v>
      </c>
      <c r="BM1021" s="18"/>
      <c r="BN1021" s="18"/>
      <c r="BO1021" s="18"/>
      <c r="BP1021" s="18"/>
      <c r="BQ1021" s="18"/>
      <c r="BR1021" s="18"/>
      <c r="BS1021" s="18"/>
      <c r="BT1021" s="18"/>
      <c r="BU1021" s="18"/>
    </row>
    <row r="1022" spans="44:73" x14ac:dyDescent="0.45">
      <c r="AR1022" s="15" t="s">
        <v>328</v>
      </c>
      <c r="AS1022" s="15" t="s">
        <v>567</v>
      </c>
      <c r="AT1022" s="15" t="s">
        <v>643</v>
      </c>
      <c r="AU1022" s="15"/>
      <c r="AV1022" s="15"/>
      <c r="AW1022" s="15"/>
      <c r="AX1022" s="15"/>
      <c r="AY1022" s="15"/>
      <c r="AZ1022" s="18"/>
      <c r="BA1022" s="19">
        <v>2.5000000000000001E-2</v>
      </c>
      <c r="BB1022" s="18"/>
      <c r="BC1022" s="18"/>
      <c r="BD1022" s="18"/>
      <c r="BE1022" s="18"/>
      <c r="BF1022" s="18"/>
      <c r="BG1022" s="18"/>
      <c r="BH1022" s="18"/>
      <c r="BI1022" s="18"/>
      <c r="BJ1022" s="18"/>
      <c r="BK1022" s="18"/>
      <c r="BL1022" s="19">
        <v>0.05</v>
      </c>
      <c r="BM1022" s="18"/>
      <c r="BN1022" s="18"/>
      <c r="BO1022" s="18"/>
      <c r="BP1022" s="18"/>
      <c r="BQ1022" s="18"/>
      <c r="BR1022" s="18"/>
      <c r="BS1022" s="18"/>
      <c r="BT1022" s="18"/>
      <c r="BU1022" s="18"/>
    </row>
    <row r="1023" spans="44:73" x14ac:dyDescent="0.45">
      <c r="AR1023" s="15" t="s">
        <v>328</v>
      </c>
      <c r="AS1023" s="15" t="s">
        <v>567</v>
      </c>
      <c r="AT1023" s="15" t="s">
        <v>644</v>
      </c>
      <c r="AU1023" s="15"/>
      <c r="AV1023" s="15"/>
      <c r="AW1023" s="15"/>
      <c r="AX1023" s="15"/>
      <c r="AY1023" s="15"/>
      <c r="AZ1023" s="18"/>
      <c r="BA1023" s="19">
        <v>2.5000000000000001E-2</v>
      </c>
      <c r="BB1023" s="18"/>
      <c r="BC1023" s="18"/>
      <c r="BD1023" s="18"/>
      <c r="BE1023" s="18"/>
      <c r="BF1023" s="18"/>
      <c r="BG1023" s="18"/>
      <c r="BH1023" s="18"/>
      <c r="BI1023" s="18"/>
      <c r="BJ1023" s="18"/>
      <c r="BK1023" s="18"/>
      <c r="BL1023" s="19">
        <v>0.05</v>
      </c>
      <c r="BM1023" s="18"/>
      <c r="BN1023" s="18"/>
      <c r="BO1023" s="18"/>
      <c r="BP1023" s="18"/>
      <c r="BQ1023" s="18"/>
      <c r="BR1023" s="18"/>
      <c r="BS1023" s="18"/>
      <c r="BT1023" s="18"/>
      <c r="BU1023" s="18"/>
    </row>
    <row r="1024" spans="44:73" x14ac:dyDescent="0.45">
      <c r="AR1024" s="15" t="s">
        <v>328</v>
      </c>
      <c r="AS1024" s="15" t="s">
        <v>567</v>
      </c>
      <c r="AT1024" s="15" t="s">
        <v>645</v>
      </c>
      <c r="AU1024" s="15"/>
      <c r="AV1024" s="15"/>
      <c r="AW1024" s="15"/>
      <c r="AX1024" s="15"/>
      <c r="AY1024" s="15"/>
      <c r="AZ1024" s="18"/>
      <c r="BA1024" s="19">
        <v>2.5000000000000001E-2</v>
      </c>
      <c r="BB1024" s="18"/>
      <c r="BC1024" s="18"/>
      <c r="BD1024" s="18"/>
      <c r="BE1024" s="18"/>
      <c r="BF1024" s="18"/>
      <c r="BG1024" s="18"/>
      <c r="BH1024" s="18"/>
      <c r="BI1024" s="18"/>
      <c r="BJ1024" s="18"/>
      <c r="BK1024" s="18"/>
      <c r="BL1024" s="19">
        <v>0.05</v>
      </c>
      <c r="BM1024" s="18"/>
      <c r="BN1024" s="18"/>
      <c r="BO1024" s="18"/>
      <c r="BP1024" s="18"/>
      <c r="BQ1024" s="18"/>
      <c r="BR1024" s="18"/>
      <c r="BS1024" s="18"/>
      <c r="BT1024" s="18"/>
      <c r="BU1024" s="18"/>
    </row>
    <row r="1025" spans="44:73" x14ac:dyDescent="0.45">
      <c r="AR1025" s="15" t="s">
        <v>328</v>
      </c>
      <c r="AS1025" s="15" t="s">
        <v>567</v>
      </c>
      <c r="AT1025" s="15" t="s">
        <v>646</v>
      </c>
      <c r="AU1025" s="15"/>
      <c r="AV1025" s="15"/>
      <c r="AW1025" s="15"/>
      <c r="AX1025" s="15"/>
      <c r="AY1025" s="15"/>
      <c r="AZ1025" s="18"/>
      <c r="BA1025" s="19">
        <v>2.5000000000000001E-2</v>
      </c>
      <c r="BB1025" s="18"/>
      <c r="BC1025" s="18"/>
      <c r="BD1025" s="18"/>
      <c r="BE1025" s="18"/>
      <c r="BF1025" s="18"/>
      <c r="BG1025" s="18"/>
      <c r="BH1025" s="18"/>
      <c r="BI1025" s="18"/>
      <c r="BJ1025" s="18"/>
      <c r="BK1025" s="18"/>
      <c r="BL1025" s="19">
        <v>0.05</v>
      </c>
      <c r="BM1025" s="18"/>
      <c r="BN1025" s="18"/>
      <c r="BO1025" s="18"/>
      <c r="BP1025" s="18"/>
      <c r="BQ1025" s="18"/>
      <c r="BR1025" s="18"/>
      <c r="BS1025" s="18"/>
      <c r="BT1025" s="18"/>
      <c r="BU1025" s="18"/>
    </row>
    <row r="1026" spans="44:73" x14ac:dyDescent="0.45">
      <c r="AR1026" s="15" t="s">
        <v>328</v>
      </c>
      <c r="AS1026" s="15" t="s">
        <v>567</v>
      </c>
      <c r="AT1026" s="15" t="s">
        <v>647</v>
      </c>
      <c r="AU1026" s="15"/>
      <c r="AV1026" s="15"/>
      <c r="AW1026" s="15"/>
      <c r="AX1026" s="15"/>
      <c r="AY1026" s="15"/>
      <c r="AZ1026" s="18"/>
      <c r="BA1026" s="19">
        <v>2.5000000000000001E-2</v>
      </c>
      <c r="BB1026" s="18"/>
      <c r="BC1026" s="18"/>
      <c r="BD1026" s="18"/>
      <c r="BE1026" s="18"/>
      <c r="BF1026" s="18"/>
      <c r="BG1026" s="18"/>
      <c r="BH1026" s="18"/>
      <c r="BI1026" s="18"/>
      <c r="BJ1026" s="18"/>
      <c r="BK1026" s="18"/>
      <c r="BL1026" s="19">
        <v>0.05</v>
      </c>
      <c r="BM1026" s="18"/>
      <c r="BN1026" s="18"/>
      <c r="BO1026" s="18"/>
      <c r="BP1026" s="18"/>
      <c r="BQ1026" s="18"/>
      <c r="BR1026" s="18"/>
      <c r="BS1026" s="18"/>
      <c r="BT1026" s="18"/>
      <c r="BU1026" s="18"/>
    </row>
    <row r="1027" spans="44:73" x14ac:dyDescent="0.45">
      <c r="AR1027" s="15" t="s">
        <v>328</v>
      </c>
      <c r="AS1027" s="15" t="s">
        <v>567</v>
      </c>
      <c r="AT1027" s="15" t="s">
        <v>648</v>
      </c>
      <c r="AU1027" s="15"/>
      <c r="AV1027" s="15"/>
      <c r="AW1027" s="15"/>
      <c r="AX1027" s="15"/>
      <c r="AY1027" s="15"/>
      <c r="AZ1027" s="18"/>
      <c r="BA1027" s="19">
        <v>2.5000000000000001E-2</v>
      </c>
      <c r="BB1027" s="18"/>
      <c r="BC1027" s="18"/>
      <c r="BD1027" s="18"/>
      <c r="BE1027" s="18"/>
      <c r="BF1027" s="18"/>
      <c r="BG1027" s="18"/>
      <c r="BH1027" s="18"/>
      <c r="BI1027" s="18"/>
      <c r="BJ1027" s="18"/>
      <c r="BK1027" s="18"/>
      <c r="BL1027" s="19">
        <v>0.05</v>
      </c>
      <c r="BM1027" s="18"/>
      <c r="BN1027" s="18"/>
      <c r="BO1027" s="18"/>
      <c r="BP1027" s="18"/>
      <c r="BQ1027" s="18"/>
      <c r="BR1027" s="18"/>
      <c r="BS1027" s="18"/>
      <c r="BT1027" s="18"/>
      <c r="BU1027" s="18"/>
    </row>
    <row r="1028" spans="44:73" x14ac:dyDescent="0.45">
      <c r="AR1028" s="15" t="s">
        <v>328</v>
      </c>
      <c r="AS1028" s="15" t="s">
        <v>567</v>
      </c>
      <c r="AT1028" s="15" t="s">
        <v>649</v>
      </c>
      <c r="AU1028" s="15"/>
      <c r="AV1028" s="15"/>
      <c r="AW1028" s="15"/>
      <c r="AX1028" s="15"/>
      <c r="AY1028" s="15"/>
      <c r="AZ1028" s="18"/>
      <c r="BA1028" s="19">
        <v>2.5000000000000001E-2</v>
      </c>
      <c r="BB1028" s="18"/>
      <c r="BC1028" s="18"/>
      <c r="BD1028" s="18"/>
      <c r="BE1028" s="18"/>
      <c r="BF1028" s="18"/>
      <c r="BG1028" s="18"/>
      <c r="BH1028" s="18"/>
      <c r="BI1028" s="18"/>
      <c r="BJ1028" s="18"/>
      <c r="BK1028" s="18"/>
      <c r="BL1028" s="19">
        <v>0.05</v>
      </c>
      <c r="BM1028" s="18"/>
      <c r="BN1028" s="18"/>
      <c r="BO1028" s="18"/>
      <c r="BP1028" s="18"/>
      <c r="BQ1028" s="18"/>
      <c r="BR1028" s="18"/>
      <c r="BS1028" s="18"/>
      <c r="BT1028" s="18"/>
      <c r="BU1028" s="18"/>
    </row>
    <row r="1029" spans="44:73" x14ac:dyDescent="0.45">
      <c r="AR1029" s="15" t="s">
        <v>328</v>
      </c>
      <c r="AS1029" s="15" t="s">
        <v>567</v>
      </c>
      <c r="AT1029" s="15" t="s">
        <v>650</v>
      </c>
      <c r="AU1029" s="15"/>
      <c r="AV1029" s="15"/>
      <c r="AW1029" s="15"/>
      <c r="AX1029" s="15"/>
      <c r="AY1029" s="15"/>
      <c r="AZ1029" s="18"/>
      <c r="BA1029" s="19">
        <v>2.5000000000000001E-2</v>
      </c>
      <c r="BB1029" s="18"/>
      <c r="BC1029" s="18"/>
      <c r="BD1029" s="18"/>
      <c r="BE1029" s="18"/>
      <c r="BF1029" s="18"/>
      <c r="BG1029" s="18"/>
      <c r="BH1029" s="18"/>
      <c r="BI1029" s="18"/>
      <c r="BJ1029" s="18"/>
      <c r="BK1029" s="18"/>
      <c r="BL1029" s="19">
        <v>0.05</v>
      </c>
      <c r="BM1029" s="18"/>
      <c r="BN1029" s="18"/>
      <c r="BO1029" s="18"/>
      <c r="BP1029" s="18"/>
      <c r="BQ1029" s="18"/>
      <c r="BR1029" s="18"/>
      <c r="BS1029" s="18"/>
      <c r="BT1029" s="18"/>
      <c r="BU1029" s="18"/>
    </row>
    <row r="1030" spans="44:73" x14ac:dyDescent="0.45">
      <c r="AR1030" s="15" t="s">
        <v>328</v>
      </c>
      <c r="AS1030" s="15" t="s">
        <v>567</v>
      </c>
      <c r="AT1030" s="15" t="s">
        <v>651</v>
      </c>
      <c r="AU1030" s="15"/>
      <c r="AV1030" s="15"/>
      <c r="AW1030" s="15"/>
      <c r="AX1030" s="15"/>
      <c r="AY1030" s="15"/>
      <c r="AZ1030" s="18"/>
      <c r="BA1030" s="19">
        <v>2.5000000000000001E-2</v>
      </c>
      <c r="BB1030" s="18"/>
      <c r="BC1030" s="18"/>
      <c r="BD1030" s="18"/>
      <c r="BE1030" s="18"/>
      <c r="BF1030" s="18"/>
      <c r="BG1030" s="18"/>
      <c r="BH1030" s="18"/>
      <c r="BI1030" s="18"/>
      <c r="BJ1030" s="18"/>
      <c r="BK1030" s="18"/>
      <c r="BL1030" s="19">
        <v>0.05</v>
      </c>
      <c r="BM1030" s="18"/>
      <c r="BN1030" s="18"/>
      <c r="BO1030" s="18"/>
      <c r="BP1030" s="18"/>
      <c r="BQ1030" s="18"/>
      <c r="BR1030" s="18"/>
      <c r="BS1030" s="18"/>
      <c r="BT1030" s="18"/>
      <c r="BU1030" s="18"/>
    </row>
    <row r="1031" spans="44:73" x14ac:dyDescent="0.45">
      <c r="AR1031" s="15" t="s">
        <v>328</v>
      </c>
      <c r="AS1031" s="15" t="s">
        <v>567</v>
      </c>
      <c r="AT1031" s="15" t="s">
        <v>652</v>
      </c>
      <c r="AU1031" s="15"/>
      <c r="AV1031" s="15"/>
      <c r="AW1031" s="15"/>
      <c r="AX1031" s="15"/>
      <c r="AY1031" s="15"/>
      <c r="AZ1031" s="18"/>
      <c r="BA1031" s="19">
        <v>2.5000000000000001E-2</v>
      </c>
      <c r="BB1031" s="18"/>
      <c r="BC1031" s="18"/>
      <c r="BD1031" s="18"/>
      <c r="BE1031" s="18"/>
      <c r="BF1031" s="18"/>
      <c r="BG1031" s="18"/>
      <c r="BH1031" s="18"/>
      <c r="BI1031" s="18"/>
      <c r="BJ1031" s="18"/>
      <c r="BK1031" s="18"/>
      <c r="BL1031" s="19">
        <v>0.05</v>
      </c>
      <c r="BM1031" s="18"/>
      <c r="BN1031" s="18"/>
      <c r="BO1031" s="18"/>
      <c r="BP1031" s="18"/>
      <c r="BQ1031" s="18"/>
      <c r="BR1031" s="18"/>
      <c r="BS1031" s="18"/>
      <c r="BT1031" s="18"/>
      <c r="BU1031" s="18"/>
    </row>
    <row r="1032" spans="44:73" x14ac:dyDescent="0.45">
      <c r="AR1032" s="15" t="s">
        <v>328</v>
      </c>
      <c r="AS1032" s="15" t="s">
        <v>567</v>
      </c>
      <c r="AT1032" s="15" t="s">
        <v>653</v>
      </c>
      <c r="AU1032" s="15"/>
      <c r="AV1032" s="15"/>
      <c r="AW1032" s="15"/>
      <c r="AX1032" s="15"/>
      <c r="AY1032" s="15"/>
      <c r="AZ1032" s="18"/>
      <c r="BA1032" s="19">
        <v>2.5000000000000001E-2</v>
      </c>
      <c r="BB1032" s="18"/>
      <c r="BC1032" s="18"/>
      <c r="BD1032" s="18"/>
      <c r="BE1032" s="18"/>
      <c r="BF1032" s="18"/>
      <c r="BG1032" s="18"/>
      <c r="BH1032" s="18"/>
      <c r="BI1032" s="18"/>
      <c r="BJ1032" s="18"/>
      <c r="BK1032" s="18"/>
      <c r="BL1032" s="19">
        <v>0.05</v>
      </c>
      <c r="BM1032" s="18"/>
      <c r="BN1032" s="18"/>
      <c r="BO1032" s="18"/>
      <c r="BP1032" s="18"/>
      <c r="BQ1032" s="18"/>
      <c r="BR1032" s="18"/>
      <c r="BS1032" s="18"/>
      <c r="BT1032" s="18"/>
      <c r="BU1032" s="18"/>
    </row>
    <row r="1033" spans="44:73" x14ac:dyDescent="0.45">
      <c r="AR1033" s="15" t="s">
        <v>328</v>
      </c>
      <c r="AS1033" s="15" t="s">
        <v>567</v>
      </c>
      <c r="AT1033" s="15" t="s">
        <v>654</v>
      </c>
      <c r="AU1033" s="15"/>
      <c r="AV1033" s="15"/>
      <c r="AW1033" s="15"/>
      <c r="AX1033" s="15"/>
      <c r="AY1033" s="15"/>
      <c r="AZ1033" s="18"/>
      <c r="BA1033" s="19">
        <v>2.5000000000000001E-2</v>
      </c>
      <c r="BB1033" s="18"/>
      <c r="BC1033" s="18"/>
      <c r="BD1033" s="18"/>
      <c r="BE1033" s="18"/>
      <c r="BF1033" s="18"/>
      <c r="BG1033" s="18"/>
      <c r="BH1033" s="18"/>
      <c r="BI1033" s="18"/>
      <c r="BJ1033" s="18"/>
      <c r="BK1033" s="18"/>
      <c r="BL1033" s="19">
        <v>0.05</v>
      </c>
      <c r="BM1033" s="18"/>
      <c r="BN1033" s="18"/>
      <c r="BO1033" s="18"/>
      <c r="BP1033" s="18"/>
      <c r="BQ1033" s="18"/>
      <c r="BR1033" s="18"/>
      <c r="BS1033" s="18"/>
      <c r="BT1033" s="18"/>
      <c r="BU1033" s="18"/>
    </row>
    <row r="1034" spans="44:73" x14ac:dyDescent="0.45">
      <c r="AR1034" s="15" t="s">
        <v>328</v>
      </c>
      <c r="AS1034" s="15" t="s">
        <v>567</v>
      </c>
      <c r="AT1034" s="15" t="s">
        <v>655</v>
      </c>
      <c r="AU1034" s="15"/>
      <c r="AV1034" s="15"/>
      <c r="AW1034" s="15"/>
      <c r="AX1034" s="15"/>
      <c r="AY1034" s="15"/>
      <c r="AZ1034" s="18"/>
      <c r="BA1034" s="19">
        <v>2.5000000000000001E-2</v>
      </c>
      <c r="BB1034" s="18"/>
      <c r="BC1034" s="18"/>
      <c r="BD1034" s="18"/>
      <c r="BE1034" s="18"/>
      <c r="BF1034" s="18"/>
      <c r="BG1034" s="18"/>
      <c r="BH1034" s="18"/>
      <c r="BI1034" s="18"/>
      <c r="BJ1034" s="18"/>
      <c r="BK1034" s="18"/>
      <c r="BL1034" s="19">
        <v>0.05</v>
      </c>
      <c r="BM1034" s="18"/>
      <c r="BN1034" s="18"/>
      <c r="BO1034" s="18"/>
      <c r="BP1034" s="18"/>
      <c r="BQ1034" s="18"/>
      <c r="BR1034" s="18"/>
      <c r="BS1034" s="18"/>
      <c r="BT1034" s="18"/>
      <c r="BU1034" s="18"/>
    </row>
    <row r="1035" spans="44:73" x14ac:dyDescent="0.45">
      <c r="AR1035" s="15" t="s">
        <v>328</v>
      </c>
      <c r="AS1035" s="15" t="s">
        <v>567</v>
      </c>
      <c r="AT1035" s="15" t="s">
        <v>656</v>
      </c>
      <c r="AU1035" s="15"/>
      <c r="AV1035" s="15"/>
      <c r="AW1035" s="15"/>
      <c r="AX1035" s="15"/>
      <c r="AY1035" s="15"/>
      <c r="AZ1035" s="18"/>
      <c r="BA1035" s="19">
        <v>2.5000000000000001E-2</v>
      </c>
      <c r="BB1035" s="18"/>
      <c r="BC1035" s="18"/>
      <c r="BD1035" s="18"/>
      <c r="BE1035" s="18"/>
      <c r="BF1035" s="18"/>
      <c r="BG1035" s="18"/>
      <c r="BH1035" s="18"/>
      <c r="BI1035" s="18"/>
      <c r="BJ1035" s="18"/>
      <c r="BK1035" s="18"/>
      <c r="BL1035" s="19">
        <v>0.05</v>
      </c>
      <c r="BM1035" s="18"/>
      <c r="BN1035" s="18"/>
      <c r="BO1035" s="18"/>
      <c r="BP1035" s="18"/>
      <c r="BQ1035" s="18"/>
      <c r="BR1035" s="18"/>
      <c r="BS1035" s="18"/>
      <c r="BT1035" s="18"/>
      <c r="BU1035" s="18"/>
    </row>
    <row r="1036" spans="44:73" x14ac:dyDescent="0.45">
      <c r="AR1036" s="15" t="s">
        <v>328</v>
      </c>
      <c r="AS1036" s="15" t="s">
        <v>567</v>
      </c>
      <c r="AT1036" s="15" t="s">
        <v>657</v>
      </c>
      <c r="AU1036" s="15"/>
      <c r="AV1036" s="15"/>
      <c r="AW1036" s="15"/>
      <c r="AX1036" s="15"/>
      <c r="AY1036" s="15"/>
      <c r="AZ1036" s="18"/>
      <c r="BA1036" s="19">
        <v>2.5000000000000001E-2</v>
      </c>
      <c r="BB1036" s="18"/>
      <c r="BC1036" s="18"/>
      <c r="BD1036" s="18"/>
      <c r="BE1036" s="18"/>
      <c r="BF1036" s="18"/>
      <c r="BG1036" s="18"/>
      <c r="BH1036" s="18"/>
      <c r="BI1036" s="18"/>
      <c r="BJ1036" s="18"/>
      <c r="BK1036" s="18"/>
      <c r="BL1036" s="19">
        <v>0.05</v>
      </c>
      <c r="BM1036" s="18"/>
      <c r="BN1036" s="18"/>
      <c r="BO1036" s="18"/>
      <c r="BP1036" s="18"/>
      <c r="BQ1036" s="18"/>
      <c r="BR1036" s="18"/>
      <c r="BS1036" s="18"/>
      <c r="BT1036" s="18"/>
      <c r="BU1036" s="18"/>
    </row>
    <row r="1037" spans="44:73" x14ac:dyDescent="0.45">
      <c r="AR1037" s="15" t="s">
        <v>328</v>
      </c>
      <c r="AS1037" s="15" t="s">
        <v>567</v>
      </c>
      <c r="AT1037" s="15" t="s">
        <v>658</v>
      </c>
      <c r="AU1037" s="15"/>
      <c r="AV1037" s="15"/>
      <c r="AW1037" s="15"/>
      <c r="AX1037" s="15"/>
      <c r="AY1037" s="15"/>
      <c r="AZ1037" s="18"/>
      <c r="BA1037" s="19">
        <v>2.5000000000000001E-2</v>
      </c>
      <c r="BB1037" s="18"/>
      <c r="BC1037" s="18"/>
      <c r="BD1037" s="18"/>
      <c r="BE1037" s="18"/>
      <c r="BF1037" s="18"/>
      <c r="BG1037" s="18"/>
      <c r="BH1037" s="18"/>
      <c r="BI1037" s="18"/>
      <c r="BJ1037" s="18"/>
      <c r="BK1037" s="18"/>
      <c r="BL1037" s="19">
        <v>0.05</v>
      </c>
      <c r="BM1037" s="18"/>
      <c r="BN1037" s="18"/>
      <c r="BO1037" s="18"/>
      <c r="BP1037" s="18"/>
      <c r="BQ1037" s="18"/>
      <c r="BR1037" s="18"/>
      <c r="BS1037" s="18"/>
      <c r="BT1037" s="18"/>
      <c r="BU1037" s="18"/>
    </row>
    <row r="1038" spans="44:73" x14ac:dyDescent="0.45">
      <c r="AR1038" s="15" t="s">
        <v>328</v>
      </c>
      <c r="AS1038" s="15" t="s">
        <v>567</v>
      </c>
      <c r="AT1038" s="15" t="s">
        <v>659</v>
      </c>
      <c r="AU1038" s="15"/>
      <c r="AV1038" s="15"/>
      <c r="AW1038" s="15"/>
      <c r="AX1038" s="15"/>
      <c r="AY1038" s="15"/>
      <c r="AZ1038" s="18"/>
      <c r="BA1038" s="19">
        <v>2.5000000000000001E-2</v>
      </c>
      <c r="BB1038" s="18"/>
      <c r="BC1038" s="18"/>
      <c r="BD1038" s="18"/>
      <c r="BE1038" s="18"/>
      <c r="BF1038" s="18"/>
      <c r="BG1038" s="18"/>
      <c r="BH1038" s="18"/>
      <c r="BI1038" s="18"/>
      <c r="BJ1038" s="18"/>
      <c r="BK1038" s="18"/>
      <c r="BL1038" s="19">
        <v>0.05</v>
      </c>
      <c r="BM1038" s="18"/>
      <c r="BN1038" s="18"/>
      <c r="BO1038" s="18"/>
      <c r="BP1038" s="18"/>
      <c r="BQ1038" s="18"/>
      <c r="BR1038" s="18"/>
      <c r="BS1038" s="18"/>
      <c r="BT1038" s="18"/>
      <c r="BU1038" s="18"/>
    </row>
    <row r="1039" spans="44:73" x14ac:dyDescent="0.45">
      <c r="AR1039" s="15" t="s">
        <v>328</v>
      </c>
      <c r="AS1039" s="15" t="s">
        <v>567</v>
      </c>
      <c r="AT1039" s="15" t="s">
        <v>660</v>
      </c>
      <c r="AU1039" s="15"/>
      <c r="AV1039" s="15"/>
      <c r="AW1039" s="15"/>
      <c r="AX1039" s="15"/>
      <c r="AY1039" s="15"/>
      <c r="AZ1039" s="18"/>
      <c r="BA1039" s="19">
        <v>2.5000000000000001E-2</v>
      </c>
      <c r="BB1039" s="18"/>
      <c r="BC1039" s="18"/>
      <c r="BD1039" s="18"/>
      <c r="BE1039" s="18"/>
      <c r="BF1039" s="18"/>
      <c r="BG1039" s="18"/>
      <c r="BH1039" s="18"/>
      <c r="BI1039" s="18"/>
      <c r="BJ1039" s="18"/>
      <c r="BK1039" s="18"/>
      <c r="BL1039" s="19">
        <v>0.05</v>
      </c>
      <c r="BM1039" s="18"/>
      <c r="BN1039" s="18"/>
      <c r="BO1039" s="18"/>
      <c r="BP1039" s="18"/>
      <c r="BQ1039" s="18"/>
      <c r="BR1039" s="18"/>
      <c r="BS1039" s="18"/>
      <c r="BT1039" s="18"/>
      <c r="BU1039" s="18"/>
    </row>
    <row r="1040" spans="44:73" x14ac:dyDescent="0.45">
      <c r="AR1040" s="15" t="s">
        <v>328</v>
      </c>
      <c r="AS1040" s="15" t="s">
        <v>567</v>
      </c>
      <c r="AT1040" s="15" t="s">
        <v>661</v>
      </c>
      <c r="AU1040" s="15"/>
      <c r="AV1040" s="15"/>
      <c r="AW1040" s="15"/>
      <c r="AX1040" s="15"/>
      <c r="AY1040" s="15"/>
      <c r="AZ1040" s="18"/>
      <c r="BA1040" s="19">
        <v>2.5000000000000001E-2</v>
      </c>
      <c r="BB1040" s="18"/>
      <c r="BC1040" s="18"/>
      <c r="BD1040" s="18"/>
      <c r="BE1040" s="18"/>
      <c r="BF1040" s="18"/>
      <c r="BG1040" s="18"/>
      <c r="BH1040" s="18"/>
      <c r="BI1040" s="18"/>
      <c r="BJ1040" s="18"/>
      <c r="BK1040" s="18"/>
      <c r="BL1040" s="19">
        <v>0.05</v>
      </c>
      <c r="BM1040" s="18"/>
      <c r="BN1040" s="18"/>
      <c r="BO1040" s="18"/>
      <c r="BP1040" s="18"/>
      <c r="BQ1040" s="18"/>
      <c r="BR1040" s="18"/>
      <c r="BS1040" s="18"/>
      <c r="BT1040" s="18"/>
      <c r="BU1040" s="18"/>
    </row>
    <row r="1041" spans="44:73" x14ac:dyDescent="0.45">
      <c r="AR1041" s="15" t="s">
        <v>328</v>
      </c>
      <c r="AS1041" s="15" t="s">
        <v>567</v>
      </c>
      <c r="AT1041" s="15" t="s">
        <v>662</v>
      </c>
      <c r="AU1041" s="15"/>
      <c r="AV1041" s="15"/>
      <c r="AW1041" s="15"/>
      <c r="AX1041" s="15"/>
      <c r="AY1041" s="15"/>
      <c r="AZ1041" s="18"/>
      <c r="BA1041" s="19">
        <v>2.5000000000000001E-2</v>
      </c>
      <c r="BB1041" s="18"/>
      <c r="BC1041" s="18"/>
      <c r="BD1041" s="18"/>
      <c r="BE1041" s="18"/>
      <c r="BF1041" s="18"/>
      <c r="BG1041" s="18"/>
      <c r="BH1041" s="18"/>
      <c r="BI1041" s="18"/>
      <c r="BJ1041" s="18"/>
      <c r="BK1041" s="18"/>
      <c r="BL1041" s="19">
        <v>0.05</v>
      </c>
      <c r="BM1041" s="18"/>
      <c r="BN1041" s="18"/>
      <c r="BO1041" s="18"/>
      <c r="BP1041" s="18"/>
      <c r="BQ1041" s="18"/>
      <c r="BR1041" s="18"/>
      <c r="BS1041" s="18"/>
      <c r="BT1041" s="18"/>
      <c r="BU1041" s="18"/>
    </row>
    <row r="1042" spans="44:73" x14ac:dyDescent="0.45">
      <c r="AR1042" s="15" t="s">
        <v>328</v>
      </c>
      <c r="AS1042" s="15" t="s">
        <v>567</v>
      </c>
      <c r="AT1042" s="15" t="s">
        <v>663</v>
      </c>
      <c r="AU1042" s="15"/>
      <c r="AV1042" s="15"/>
      <c r="AW1042" s="15"/>
      <c r="AX1042" s="15"/>
      <c r="AY1042" s="15"/>
      <c r="AZ1042" s="18"/>
      <c r="BA1042" s="19">
        <v>2.5000000000000001E-2</v>
      </c>
      <c r="BB1042" s="18"/>
      <c r="BC1042" s="18"/>
      <c r="BD1042" s="18"/>
      <c r="BE1042" s="18"/>
      <c r="BF1042" s="18"/>
      <c r="BG1042" s="18"/>
      <c r="BH1042" s="18"/>
      <c r="BI1042" s="18"/>
      <c r="BJ1042" s="18"/>
      <c r="BK1042" s="18"/>
      <c r="BL1042" s="19">
        <v>0.05</v>
      </c>
      <c r="BM1042" s="18"/>
      <c r="BN1042" s="18"/>
      <c r="BO1042" s="18"/>
      <c r="BP1042" s="18"/>
      <c r="BQ1042" s="18"/>
      <c r="BR1042" s="18"/>
      <c r="BS1042" s="18"/>
      <c r="BT1042" s="18"/>
      <c r="BU1042" s="18"/>
    </row>
    <row r="1043" spans="44:73" x14ac:dyDescent="0.45">
      <c r="AR1043" s="15" t="s">
        <v>328</v>
      </c>
      <c r="AS1043" s="15" t="s">
        <v>567</v>
      </c>
      <c r="AT1043" s="15" t="s">
        <v>664</v>
      </c>
      <c r="AU1043" s="15"/>
      <c r="AV1043" s="15"/>
      <c r="AW1043" s="15"/>
      <c r="AX1043" s="15"/>
      <c r="AY1043" s="15"/>
      <c r="AZ1043" s="18"/>
      <c r="BA1043" s="19">
        <v>2.5000000000000001E-2</v>
      </c>
      <c r="BB1043" s="18"/>
      <c r="BC1043" s="18"/>
      <c r="BD1043" s="18"/>
      <c r="BE1043" s="18"/>
      <c r="BF1043" s="18"/>
      <c r="BG1043" s="18"/>
      <c r="BH1043" s="18"/>
      <c r="BI1043" s="18"/>
      <c r="BJ1043" s="18"/>
      <c r="BK1043" s="18"/>
      <c r="BL1043" s="19">
        <v>0.05</v>
      </c>
      <c r="BM1043" s="18"/>
      <c r="BN1043" s="18"/>
      <c r="BO1043" s="18"/>
      <c r="BP1043" s="18"/>
      <c r="BQ1043" s="18"/>
      <c r="BR1043" s="18"/>
      <c r="BS1043" s="18"/>
      <c r="BT1043" s="18"/>
      <c r="BU1043" s="18"/>
    </row>
    <row r="1044" spans="44:73" x14ac:dyDescent="0.45">
      <c r="AR1044" s="15" t="s">
        <v>328</v>
      </c>
      <c r="AS1044" s="15" t="s">
        <v>567</v>
      </c>
      <c r="AT1044" s="15" t="s">
        <v>665</v>
      </c>
      <c r="AU1044" s="15"/>
      <c r="AV1044" s="15"/>
      <c r="AW1044" s="15"/>
      <c r="AX1044" s="15"/>
      <c r="AY1044" s="15"/>
      <c r="AZ1044" s="18"/>
      <c r="BA1044" s="19">
        <v>2.5000000000000001E-2</v>
      </c>
      <c r="BB1044" s="18"/>
      <c r="BC1044" s="18"/>
      <c r="BD1044" s="18"/>
      <c r="BE1044" s="18"/>
      <c r="BF1044" s="18"/>
      <c r="BG1044" s="18"/>
      <c r="BH1044" s="18"/>
      <c r="BI1044" s="18"/>
      <c r="BJ1044" s="18"/>
      <c r="BK1044" s="18"/>
      <c r="BL1044" s="19">
        <v>0.05</v>
      </c>
      <c r="BM1044" s="18"/>
      <c r="BN1044" s="18"/>
      <c r="BO1044" s="18"/>
      <c r="BP1044" s="18"/>
      <c r="BQ1044" s="18"/>
      <c r="BR1044" s="18"/>
      <c r="BS1044" s="18"/>
      <c r="BT1044" s="18"/>
      <c r="BU1044" s="18"/>
    </row>
    <row r="1045" spans="44:73" x14ac:dyDescent="0.45">
      <c r="AR1045" s="15" t="s">
        <v>328</v>
      </c>
      <c r="AS1045" s="15" t="s">
        <v>567</v>
      </c>
      <c r="AT1045" s="15" t="s">
        <v>666</v>
      </c>
      <c r="AU1045" s="15"/>
      <c r="AV1045" s="15"/>
      <c r="AW1045" s="15"/>
      <c r="AX1045" s="15"/>
      <c r="AY1045" s="15"/>
      <c r="AZ1045" s="18"/>
      <c r="BA1045" s="19">
        <v>2.5000000000000001E-2</v>
      </c>
      <c r="BB1045" s="18"/>
      <c r="BC1045" s="18"/>
      <c r="BD1045" s="18"/>
      <c r="BE1045" s="18"/>
      <c r="BF1045" s="18"/>
      <c r="BG1045" s="18"/>
      <c r="BH1045" s="18"/>
      <c r="BI1045" s="18"/>
      <c r="BJ1045" s="18"/>
      <c r="BK1045" s="18"/>
      <c r="BL1045" s="19">
        <v>0.05</v>
      </c>
      <c r="BM1045" s="18"/>
      <c r="BN1045" s="18"/>
      <c r="BO1045" s="18"/>
      <c r="BP1045" s="18"/>
      <c r="BQ1045" s="18"/>
      <c r="BR1045" s="18"/>
      <c r="BS1045" s="18"/>
      <c r="BT1045" s="18"/>
      <c r="BU1045" s="18"/>
    </row>
    <row r="1046" spans="44:73" x14ac:dyDescent="0.45">
      <c r="AR1046" s="15" t="s">
        <v>328</v>
      </c>
      <c r="AS1046" s="15" t="s">
        <v>567</v>
      </c>
      <c r="AT1046" s="15" t="s">
        <v>667</v>
      </c>
      <c r="AU1046" s="15"/>
      <c r="AV1046" s="15"/>
      <c r="AW1046" s="15"/>
      <c r="AX1046" s="15"/>
      <c r="AY1046" s="15"/>
      <c r="AZ1046" s="18"/>
      <c r="BA1046" s="19">
        <v>2.5000000000000001E-2</v>
      </c>
      <c r="BB1046" s="18"/>
      <c r="BC1046" s="18"/>
      <c r="BD1046" s="18"/>
      <c r="BE1046" s="18"/>
      <c r="BF1046" s="18"/>
      <c r="BG1046" s="18"/>
      <c r="BH1046" s="18"/>
      <c r="BI1046" s="18"/>
      <c r="BJ1046" s="18"/>
      <c r="BK1046" s="18"/>
      <c r="BL1046" s="19">
        <v>0.05</v>
      </c>
      <c r="BM1046" s="18"/>
      <c r="BN1046" s="18"/>
      <c r="BO1046" s="18"/>
      <c r="BP1046" s="18"/>
      <c r="BQ1046" s="18"/>
      <c r="BR1046" s="18"/>
      <c r="BS1046" s="18"/>
      <c r="BT1046" s="18"/>
      <c r="BU1046" s="18"/>
    </row>
    <row r="1047" spans="44:73" x14ac:dyDescent="0.45">
      <c r="AR1047" s="15" t="s">
        <v>328</v>
      </c>
      <c r="AS1047" s="15" t="s">
        <v>567</v>
      </c>
      <c r="AT1047" s="15" t="s">
        <v>668</v>
      </c>
      <c r="AU1047" s="15"/>
      <c r="AV1047" s="15"/>
      <c r="AW1047" s="15"/>
      <c r="AX1047" s="15"/>
      <c r="AY1047" s="15"/>
      <c r="AZ1047" s="18"/>
      <c r="BA1047" s="19">
        <v>2.5000000000000001E-2</v>
      </c>
      <c r="BB1047" s="18"/>
      <c r="BC1047" s="18"/>
      <c r="BD1047" s="18"/>
      <c r="BE1047" s="18"/>
      <c r="BF1047" s="18"/>
      <c r="BG1047" s="18"/>
      <c r="BH1047" s="18"/>
      <c r="BI1047" s="18"/>
      <c r="BJ1047" s="18"/>
      <c r="BK1047" s="18"/>
      <c r="BL1047" s="19">
        <v>0.05</v>
      </c>
      <c r="BM1047" s="18"/>
      <c r="BN1047" s="18"/>
      <c r="BO1047" s="18"/>
      <c r="BP1047" s="18"/>
      <c r="BQ1047" s="18"/>
      <c r="BR1047" s="18"/>
      <c r="BS1047" s="18"/>
      <c r="BT1047" s="18"/>
      <c r="BU1047" s="18"/>
    </row>
    <row r="1048" spans="44:73" x14ac:dyDescent="0.45">
      <c r="AR1048" s="15" t="s">
        <v>328</v>
      </c>
      <c r="AS1048" s="15" t="s">
        <v>567</v>
      </c>
      <c r="AT1048" s="15" t="s">
        <v>669</v>
      </c>
      <c r="AU1048" s="15"/>
      <c r="AV1048" s="15"/>
      <c r="AW1048" s="15"/>
      <c r="AX1048" s="15"/>
      <c r="AY1048" s="15"/>
      <c r="AZ1048" s="18"/>
      <c r="BA1048" s="19">
        <v>2.5000000000000001E-2</v>
      </c>
      <c r="BB1048" s="18"/>
      <c r="BC1048" s="18"/>
      <c r="BD1048" s="18"/>
      <c r="BE1048" s="18"/>
      <c r="BF1048" s="18"/>
      <c r="BG1048" s="18"/>
      <c r="BH1048" s="18"/>
      <c r="BI1048" s="18"/>
      <c r="BJ1048" s="18"/>
      <c r="BK1048" s="18"/>
      <c r="BL1048" s="19">
        <v>0.05</v>
      </c>
      <c r="BM1048" s="18"/>
      <c r="BN1048" s="18"/>
      <c r="BO1048" s="18"/>
      <c r="BP1048" s="18"/>
      <c r="BQ1048" s="18"/>
      <c r="BR1048" s="18"/>
      <c r="BS1048" s="18"/>
      <c r="BT1048" s="18"/>
      <c r="BU1048" s="18"/>
    </row>
    <row r="1049" spans="44:73" x14ac:dyDescent="0.45">
      <c r="AR1049" s="15" t="s">
        <v>328</v>
      </c>
      <c r="AS1049" s="15" t="s">
        <v>567</v>
      </c>
      <c r="AT1049" s="15" t="s">
        <v>670</v>
      </c>
      <c r="AU1049" s="15"/>
      <c r="AV1049" s="15"/>
      <c r="AW1049" s="15"/>
      <c r="AX1049" s="15"/>
      <c r="AY1049" s="15"/>
      <c r="AZ1049" s="18"/>
      <c r="BA1049" s="19">
        <v>2.5000000000000001E-2</v>
      </c>
      <c r="BB1049" s="18"/>
      <c r="BC1049" s="18"/>
      <c r="BD1049" s="18"/>
      <c r="BE1049" s="18"/>
      <c r="BF1049" s="18"/>
      <c r="BG1049" s="18"/>
      <c r="BH1049" s="18"/>
      <c r="BI1049" s="18"/>
      <c r="BJ1049" s="18"/>
      <c r="BK1049" s="18"/>
      <c r="BL1049" s="19">
        <v>0.05</v>
      </c>
      <c r="BM1049" s="18"/>
      <c r="BN1049" s="18"/>
      <c r="BO1049" s="18"/>
      <c r="BP1049" s="18"/>
      <c r="BQ1049" s="18"/>
      <c r="BR1049" s="18"/>
      <c r="BS1049" s="18"/>
      <c r="BT1049" s="18"/>
      <c r="BU1049" s="18"/>
    </row>
    <row r="1050" spans="44:73" x14ac:dyDescent="0.45">
      <c r="AR1050" s="15" t="s">
        <v>328</v>
      </c>
      <c r="AS1050" s="15" t="s">
        <v>567</v>
      </c>
      <c r="AT1050" s="15" t="s">
        <v>671</v>
      </c>
      <c r="AU1050" s="15"/>
      <c r="AV1050" s="15"/>
      <c r="AW1050" s="15"/>
      <c r="AX1050" s="15"/>
      <c r="AY1050" s="15"/>
      <c r="AZ1050" s="18"/>
      <c r="BA1050" s="19">
        <v>2.5000000000000001E-2</v>
      </c>
      <c r="BB1050" s="18"/>
      <c r="BC1050" s="18"/>
      <c r="BD1050" s="18"/>
      <c r="BE1050" s="18"/>
      <c r="BF1050" s="18"/>
      <c r="BG1050" s="18"/>
      <c r="BH1050" s="18"/>
      <c r="BI1050" s="18"/>
      <c r="BJ1050" s="18"/>
      <c r="BK1050" s="18"/>
      <c r="BL1050" s="19">
        <v>0.05</v>
      </c>
      <c r="BM1050" s="18"/>
      <c r="BN1050" s="18"/>
      <c r="BO1050" s="18"/>
      <c r="BP1050" s="18"/>
      <c r="BQ1050" s="18"/>
      <c r="BR1050" s="18"/>
      <c r="BS1050" s="18"/>
      <c r="BT1050" s="18"/>
      <c r="BU1050" s="18"/>
    </row>
    <row r="1051" spans="44:73" x14ac:dyDescent="0.45">
      <c r="AR1051" s="15" t="s">
        <v>328</v>
      </c>
      <c r="AS1051" s="15" t="s">
        <v>567</v>
      </c>
      <c r="AT1051" s="15" t="s">
        <v>672</v>
      </c>
      <c r="AU1051" s="15"/>
      <c r="AV1051" s="15"/>
      <c r="AW1051" s="15"/>
      <c r="AX1051" s="15"/>
      <c r="AY1051" s="15"/>
      <c r="AZ1051" s="18"/>
      <c r="BA1051" s="19">
        <v>2.5000000000000001E-2</v>
      </c>
      <c r="BB1051" s="18"/>
      <c r="BC1051" s="18"/>
      <c r="BD1051" s="18"/>
      <c r="BE1051" s="18"/>
      <c r="BF1051" s="18"/>
      <c r="BG1051" s="18"/>
      <c r="BH1051" s="18"/>
      <c r="BI1051" s="18"/>
      <c r="BJ1051" s="18"/>
      <c r="BK1051" s="18"/>
      <c r="BL1051" s="19">
        <v>0.05</v>
      </c>
      <c r="BM1051" s="18"/>
      <c r="BN1051" s="18"/>
      <c r="BO1051" s="18"/>
      <c r="BP1051" s="18"/>
      <c r="BQ1051" s="18"/>
      <c r="BR1051" s="18"/>
      <c r="BS1051" s="18"/>
      <c r="BT1051" s="18"/>
      <c r="BU1051" s="18"/>
    </row>
    <row r="1052" spans="44:73" x14ac:dyDescent="0.45">
      <c r="AR1052" s="15" t="s">
        <v>328</v>
      </c>
      <c r="AS1052" s="15" t="s">
        <v>567</v>
      </c>
      <c r="AT1052" s="15" t="s">
        <v>673</v>
      </c>
      <c r="AU1052" s="15"/>
      <c r="AV1052" s="15"/>
      <c r="AW1052" s="15"/>
      <c r="AX1052" s="15"/>
      <c r="AY1052" s="15"/>
      <c r="AZ1052" s="18"/>
      <c r="BA1052" s="19">
        <v>2.5000000000000001E-2</v>
      </c>
      <c r="BB1052" s="18"/>
      <c r="BC1052" s="18"/>
      <c r="BD1052" s="18"/>
      <c r="BE1052" s="18"/>
      <c r="BF1052" s="18"/>
      <c r="BG1052" s="18"/>
      <c r="BH1052" s="18"/>
      <c r="BI1052" s="18"/>
      <c r="BJ1052" s="18"/>
      <c r="BK1052" s="18"/>
      <c r="BL1052" s="19">
        <v>0.05</v>
      </c>
      <c r="BM1052" s="18"/>
      <c r="BN1052" s="18"/>
      <c r="BO1052" s="18"/>
      <c r="BP1052" s="18"/>
      <c r="BQ1052" s="18"/>
      <c r="BR1052" s="18"/>
      <c r="BS1052" s="18"/>
      <c r="BT1052" s="18"/>
      <c r="BU1052" s="18"/>
    </row>
    <row r="1053" spans="44:73" x14ac:dyDescent="0.45">
      <c r="AR1053" s="15" t="s">
        <v>328</v>
      </c>
      <c r="AS1053" s="15" t="s">
        <v>567</v>
      </c>
      <c r="AT1053" s="15" t="s">
        <v>674</v>
      </c>
      <c r="AU1053" s="15"/>
      <c r="AV1053" s="15"/>
      <c r="AW1053" s="15"/>
      <c r="AX1053" s="15"/>
      <c r="AY1053" s="15"/>
      <c r="AZ1053" s="18"/>
      <c r="BA1053" s="19">
        <v>2.5000000000000001E-2</v>
      </c>
      <c r="BB1053" s="18"/>
      <c r="BC1053" s="18"/>
      <c r="BD1053" s="18"/>
      <c r="BE1053" s="18"/>
      <c r="BF1053" s="18"/>
      <c r="BG1053" s="18"/>
      <c r="BH1053" s="18"/>
      <c r="BI1053" s="18"/>
      <c r="BJ1053" s="18"/>
      <c r="BK1053" s="18"/>
      <c r="BL1053" s="19">
        <v>0.05</v>
      </c>
      <c r="BM1053" s="18"/>
      <c r="BN1053" s="18"/>
      <c r="BO1053" s="18"/>
      <c r="BP1053" s="18"/>
      <c r="BQ1053" s="18"/>
      <c r="BR1053" s="18"/>
      <c r="BS1053" s="18"/>
      <c r="BT1053" s="18"/>
      <c r="BU1053" s="18"/>
    </row>
    <row r="1054" spans="44:73" x14ac:dyDescent="0.45">
      <c r="AR1054" s="15" t="s">
        <v>328</v>
      </c>
      <c r="AS1054" s="15" t="s">
        <v>567</v>
      </c>
      <c r="AT1054" s="15" t="s">
        <v>675</v>
      </c>
      <c r="AU1054" s="15"/>
      <c r="AV1054" s="15"/>
      <c r="AW1054" s="15"/>
      <c r="AX1054" s="15"/>
      <c r="AY1054" s="15"/>
      <c r="AZ1054" s="18"/>
      <c r="BA1054" s="19">
        <v>2.5000000000000001E-2</v>
      </c>
      <c r="BB1054" s="18"/>
      <c r="BC1054" s="18"/>
      <c r="BD1054" s="18"/>
      <c r="BE1054" s="18"/>
      <c r="BF1054" s="18"/>
      <c r="BG1054" s="18"/>
      <c r="BH1054" s="18"/>
      <c r="BI1054" s="18"/>
      <c r="BJ1054" s="18"/>
      <c r="BK1054" s="18"/>
      <c r="BL1054" s="19">
        <v>0.05</v>
      </c>
      <c r="BM1054" s="18"/>
      <c r="BN1054" s="18"/>
      <c r="BO1054" s="18"/>
      <c r="BP1054" s="18"/>
      <c r="BQ1054" s="18"/>
      <c r="BR1054" s="18"/>
      <c r="BS1054" s="18"/>
      <c r="BT1054" s="18"/>
      <c r="BU1054" s="18"/>
    </row>
    <row r="1055" spans="44:73" x14ac:dyDescent="0.45">
      <c r="AR1055" s="15" t="s">
        <v>328</v>
      </c>
      <c r="AS1055" s="15" t="s">
        <v>567</v>
      </c>
      <c r="AT1055" s="15" t="s">
        <v>676</v>
      </c>
      <c r="AU1055" s="15"/>
      <c r="AV1055" s="15"/>
      <c r="AW1055" s="15"/>
      <c r="AX1055" s="15"/>
      <c r="AY1055" s="15"/>
      <c r="AZ1055" s="18"/>
      <c r="BA1055" s="19">
        <v>2.5000000000000001E-2</v>
      </c>
      <c r="BB1055" s="18"/>
      <c r="BC1055" s="18"/>
      <c r="BD1055" s="18"/>
      <c r="BE1055" s="18"/>
      <c r="BF1055" s="18"/>
      <c r="BG1055" s="18"/>
      <c r="BH1055" s="18"/>
      <c r="BI1055" s="18"/>
      <c r="BJ1055" s="18"/>
      <c r="BK1055" s="18"/>
      <c r="BL1055" s="19">
        <v>0.05</v>
      </c>
      <c r="BM1055" s="18"/>
      <c r="BN1055" s="18"/>
      <c r="BO1055" s="18"/>
      <c r="BP1055" s="18"/>
      <c r="BQ1055" s="18"/>
      <c r="BR1055" s="18"/>
      <c r="BS1055" s="18"/>
      <c r="BT1055" s="18"/>
      <c r="BU1055" s="18"/>
    </row>
    <row r="1056" spans="44:73" x14ac:dyDescent="0.45">
      <c r="AR1056" s="15" t="s">
        <v>328</v>
      </c>
      <c r="AS1056" s="15" t="s">
        <v>567</v>
      </c>
      <c r="AT1056" s="15" t="s">
        <v>677</v>
      </c>
      <c r="AU1056" s="15"/>
      <c r="AV1056" s="15"/>
      <c r="AW1056" s="15"/>
      <c r="AX1056" s="15"/>
      <c r="AY1056" s="15"/>
      <c r="AZ1056" s="18"/>
      <c r="BA1056" s="19">
        <v>2.5000000000000001E-2</v>
      </c>
      <c r="BB1056" s="18"/>
      <c r="BC1056" s="18"/>
      <c r="BD1056" s="18"/>
      <c r="BE1056" s="18"/>
      <c r="BF1056" s="18"/>
      <c r="BG1056" s="18"/>
      <c r="BH1056" s="18"/>
      <c r="BI1056" s="18"/>
      <c r="BJ1056" s="18"/>
      <c r="BK1056" s="18"/>
      <c r="BL1056" s="19">
        <v>0.05</v>
      </c>
      <c r="BM1056" s="18"/>
      <c r="BN1056" s="18"/>
      <c r="BO1056" s="18"/>
      <c r="BP1056" s="18"/>
      <c r="BQ1056" s="18"/>
      <c r="BR1056" s="18"/>
      <c r="BS1056" s="18"/>
      <c r="BT1056" s="18"/>
      <c r="BU1056" s="18"/>
    </row>
    <row r="1057" spans="44:73" x14ac:dyDescent="0.45">
      <c r="AR1057" s="15" t="s">
        <v>328</v>
      </c>
      <c r="AS1057" s="15" t="s">
        <v>567</v>
      </c>
      <c r="AT1057" s="15" t="s">
        <v>678</v>
      </c>
      <c r="AU1057" s="15"/>
      <c r="AV1057" s="15"/>
      <c r="AW1057" s="15"/>
      <c r="AX1057" s="15"/>
      <c r="AY1057" s="15"/>
      <c r="AZ1057" s="18"/>
      <c r="BA1057" s="19">
        <v>2.5000000000000001E-2</v>
      </c>
      <c r="BB1057" s="18"/>
      <c r="BC1057" s="18"/>
      <c r="BD1057" s="18"/>
      <c r="BE1057" s="18"/>
      <c r="BF1057" s="18"/>
      <c r="BG1057" s="18"/>
      <c r="BH1057" s="18"/>
      <c r="BI1057" s="18"/>
      <c r="BJ1057" s="18"/>
      <c r="BK1057" s="18"/>
      <c r="BL1057" s="19">
        <v>0.05</v>
      </c>
      <c r="BM1057" s="18"/>
      <c r="BN1057" s="18"/>
      <c r="BO1057" s="18"/>
      <c r="BP1057" s="18"/>
      <c r="BQ1057" s="18"/>
      <c r="BR1057" s="18"/>
      <c r="BS1057" s="18"/>
      <c r="BT1057" s="18"/>
      <c r="BU1057" s="18"/>
    </row>
    <row r="1058" spans="44:73" x14ac:dyDescent="0.45">
      <c r="AR1058" s="15" t="s">
        <v>328</v>
      </c>
      <c r="AS1058" s="15" t="s">
        <v>567</v>
      </c>
      <c r="AT1058" s="15" t="s">
        <v>679</v>
      </c>
      <c r="AU1058" s="15"/>
      <c r="AV1058" s="15"/>
      <c r="AW1058" s="15"/>
      <c r="AX1058" s="15"/>
      <c r="AY1058" s="15"/>
      <c r="AZ1058" s="18"/>
      <c r="BA1058" s="19">
        <v>2.5000000000000001E-2</v>
      </c>
      <c r="BB1058" s="18"/>
      <c r="BC1058" s="18"/>
      <c r="BD1058" s="18"/>
      <c r="BE1058" s="18"/>
      <c r="BF1058" s="18"/>
      <c r="BG1058" s="18"/>
      <c r="BH1058" s="18"/>
      <c r="BI1058" s="18"/>
      <c r="BJ1058" s="18"/>
      <c r="BK1058" s="18"/>
      <c r="BL1058" s="19">
        <v>0.05</v>
      </c>
      <c r="BM1058" s="18"/>
      <c r="BN1058" s="18"/>
      <c r="BO1058" s="18"/>
      <c r="BP1058" s="18"/>
      <c r="BQ1058" s="18"/>
      <c r="BR1058" s="18"/>
      <c r="BS1058" s="18"/>
      <c r="BT1058" s="18"/>
      <c r="BU1058" s="18"/>
    </row>
    <row r="1059" spans="44:73" x14ac:dyDescent="0.45">
      <c r="AR1059" s="15" t="s">
        <v>328</v>
      </c>
      <c r="AS1059" s="15" t="s">
        <v>567</v>
      </c>
      <c r="AT1059" s="15" t="s">
        <v>680</v>
      </c>
      <c r="AU1059" s="15"/>
      <c r="AV1059" s="15"/>
      <c r="AW1059" s="15"/>
      <c r="AX1059" s="15"/>
      <c r="AY1059" s="15"/>
      <c r="AZ1059" s="18"/>
      <c r="BA1059" s="19">
        <v>2.5000000000000001E-2</v>
      </c>
      <c r="BB1059" s="18"/>
      <c r="BC1059" s="18"/>
      <c r="BD1059" s="18"/>
      <c r="BE1059" s="18"/>
      <c r="BF1059" s="18"/>
      <c r="BG1059" s="18"/>
      <c r="BH1059" s="18"/>
      <c r="BI1059" s="18"/>
      <c r="BJ1059" s="18"/>
      <c r="BK1059" s="18"/>
      <c r="BL1059" s="19">
        <v>0.05</v>
      </c>
      <c r="BM1059" s="18"/>
      <c r="BN1059" s="18"/>
      <c r="BO1059" s="18"/>
      <c r="BP1059" s="18"/>
      <c r="BQ1059" s="18"/>
      <c r="BR1059" s="18"/>
      <c r="BS1059" s="18"/>
      <c r="BT1059" s="18"/>
      <c r="BU1059" s="18"/>
    </row>
    <row r="1060" spans="44:73" x14ac:dyDescent="0.45">
      <c r="AR1060" s="15" t="s">
        <v>328</v>
      </c>
      <c r="AS1060" s="15" t="s">
        <v>567</v>
      </c>
      <c r="AT1060" s="15" t="s">
        <v>681</v>
      </c>
      <c r="AU1060" s="15"/>
      <c r="AV1060" s="15"/>
      <c r="AW1060" s="15"/>
      <c r="AX1060" s="15"/>
      <c r="AY1060" s="15"/>
      <c r="AZ1060" s="18"/>
      <c r="BA1060" s="19">
        <v>2.5000000000000001E-2</v>
      </c>
      <c r="BB1060" s="18"/>
      <c r="BC1060" s="18"/>
      <c r="BD1060" s="18"/>
      <c r="BE1060" s="18"/>
      <c r="BF1060" s="18"/>
      <c r="BG1060" s="18"/>
      <c r="BH1060" s="18"/>
      <c r="BI1060" s="18"/>
      <c r="BJ1060" s="18"/>
      <c r="BK1060" s="18"/>
      <c r="BL1060" s="19">
        <v>0.05</v>
      </c>
      <c r="BM1060" s="18"/>
      <c r="BN1060" s="18"/>
      <c r="BO1060" s="18"/>
      <c r="BP1060" s="18"/>
      <c r="BQ1060" s="18"/>
      <c r="BR1060" s="18"/>
      <c r="BS1060" s="18"/>
      <c r="BT1060" s="18"/>
      <c r="BU1060" s="18"/>
    </row>
    <row r="1061" spans="44:73" x14ac:dyDescent="0.45">
      <c r="AR1061" s="15" t="s">
        <v>328</v>
      </c>
      <c r="AS1061" s="15" t="s">
        <v>567</v>
      </c>
      <c r="AT1061" s="15" t="s">
        <v>682</v>
      </c>
      <c r="AU1061" s="15"/>
      <c r="AV1061" s="15"/>
      <c r="AW1061" s="15"/>
      <c r="AX1061" s="15"/>
      <c r="AY1061" s="15"/>
      <c r="AZ1061" s="18"/>
      <c r="BA1061" s="19">
        <v>2.5000000000000001E-2</v>
      </c>
      <c r="BB1061" s="18"/>
      <c r="BC1061" s="18"/>
      <c r="BD1061" s="18"/>
      <c r="BE1061" s="18"/>
      <c r="BF1061" s="18"/>
      <c r="BG1061" s="18"/>
      <c r="BH1061" s="18"/>
      <c r="BI1061" s="18"/>
      <c r="BJ1061" s="18"/>
      <c r="BK1061" s="18"/>
      <c r="BL1061" s="19">
        <v>0.05</v>
      </c>
      <c r="BM1061" s="18"/>
      <c r="BN1061" s="18"/>
      <c r="BO1061" s="18"/>
      <c r="BP1061" s="18"/>
      <c r="BQ1061" s="18"/>
      <c r="BR1061" s="18"/>
      <c r="BS1061" s="18"/>
      <c r="BT1061" s="18"/>
      <c r="BU1061" s="18"/>
    </row>
    <row r="1062" spans="44:73" x14ac:dyDescent="0.45">
      <c r="AR1062" s="15" t="s">
        <v>328</v>
      </c>
      <c r="AS1062" s="15" t="s">
        <v>567</v>
      </c>
      <c r="AT1062" s="15" t="s">
        <v>683</v>
      </c>
      <c r="AU1062" s="15"/>
      <c r="AV1062" s="15"/>
      <c r="AW1062" s="15"/>
      <c r="AX1062" s="15"/>
      <c r="AY1062" s="15"/>
      <c r="AZ1062" s="18"/>
      <c r="BA1062" s="19">
        <v>2.5000000000000001E-2</v>
      </c>
      <c r="BB1062" s="18"/>
      <c r="BC1062" s="18"/>
      <c r="BD1062" s="18"/>
      <c r="BE1062" s="18"/>
      <c r="BF1062" s="18"/>
      <c r="BG1062" s="18"/>
      <c r="BH1062" s="18"/>
      <c r="BI1062" s="18"/>
      <c r="BJ1062" s="18"/>
      <c r="BK1062" s="18"/>
      <c r="BL1062" s="19">
        <v>0.05</v>
      </c>
      <c r="BM1062" s="18"/>
      <c r="BN1062" s="18"/>
      <c r="BO1062" s="18"/>
      <c r="BP1062" s="18"/>
      <c r="BQ1062" s="18"/>
      <c r="BR1062" s="18"/>
      <c r="BS1062" s="18"/>
      <c r="BT1062" s="18"/>
      <c r="BU1062" s="18"/>
    </row>
    <row r="1063" spans="44:73" x14ac:dyDescent="0.45">
      <c r="AR1063" s="15" t="s">
        <v>328</v>
      </c>
      <c r="AS1063" s="15" t="s">
        <v>567</v>
      </c>
      <c r="AT1063" s="15" t="s">
        <v>684</v>
      </c>
      <c r="AU1063" s="15"/>
      <c r="AV1063" s="15"/>
      <c r="AW1063" s="15"/>
      <c r="AX1063" s="15"/>
      <c r="AY1063" s="15"/>
      <c r="AZ1063" s="18"/>
      <c r="BA1063" s="19">
        <v>2.5000000000000001E-2</v>
      </c>
      <c r="BB1063" s="18"/>
      <c r="BC1063" s="18"/>
      <c r="BD1063" s="18"/>
      <c r="BE1063" s="18"/>
      <c r="BF1063" s="18"/>
      <c r="BG1063" s="18"/>
      <c r="BH1063" s="18"/>
      <c r="BI1063" s="18"/>
      <c r="BJ1063" s="18"/>
      <c r="BK1063" s="18"/>
      <c r="BL1063" s="19">
        <v>0.05</v>
      </c>
      <c r="BM1063" s="18"/>
      <c r="BN1063" s="18"/>
      <c r="BO1063" s="18"/>
      <c r="BP1063" s="18"/>
      <c r="BQ1063" s="18"/>
      <c r="BR1063" s="18"/>
      <c r="BS1063" s="18"/>
      <c r="BT1063" s="18"/>
      <c r="BU1063" s="18"/>
    </row>
    <row r="1064" spans="44:73" x14ac:dyDescent="0.45">
      <c r="AR1064" s="15" t="s">
        <v>328</v>
      </c>
      <c r="AS1064" s="15" t="s">
        <v>567</v>
      </c>
      <c r="AT1064" s="15" t="s">
        <v>685</v>
      </c>
      <c r="AU1064" s="15"/>
      <c r="AV1064" s="15"/>
      <c r="AW1064" s="15"/>
      <c r="AX1064" s="15"/>
      <c r="AY1064" s="15"/>
      <c r="AZ1064" s="18"/>
      <c r="BA1064" s="19">
        <v>2.5000000000000001E-2</v>
      </c>
      <c r="BB1064" s="18"/>
      <c r="BC1064" s="18"/>
      <c r="BD1064" s="18"/>
      <c r="BE1064" s="18"/>
      <c r="BF1064" s="18"/>
      <c r="BG1064" s="18"/>
      <c r="BH1064" s="18"/>
      <c r="BI1064" s="18"/>
      <c r="BJ1064" s="18"/>
      <c r="BK1064" s="18"/>
      <c r="BL1064" s="19">
        <v>0.05</v>
      </c>
      <c r="BM1064" s="18"/>
      <c r="BN1064" s="18"/>
      <c r="BO1064" s="18"/>
      <c r="BP1064" s="18"/>
      <c r="BQ1064" s="18"/>
      <c r="BR1064" s="18"/>
      <c r="BS1064" s="18"/>
      <c r="BT1064" s="18"/>
      <c r="BU1064" s="18"/>
    </row>
    <row r="1065" spans="44:73" x14ac:dyDescent="0.45">
      <c r="AR1065" s="15" t="s">
        <v>328</v>
      </c>
      <c r="AS1065" s="15" t="s">
        <v>567</v>
      </c>
      <c r="AT1065" s="15" t="s">
        <v>686</v>
      </c>
      <c r="AU1065" s="15"/>
      <c r="AV1065" s="15"/>
      <c r="AW1065" s="15"/>
      <c r="AX1065" s="15"/>
      <c r="AY1065" s="15"/>
      <c r="AZ1065" s="18"/>
      <c r="BA1065" s="19">
        <v>2.5000000000000001E-2</v>
      </c>
      <c r="BB1065" s="18"/>
      <c r="BC1065" s="18"/>
      <c r="BD1065" s="18"/>
      <c r="BE1065" s="18"/>
      <c r="BF1065" s="18"/>
      <c r="BG1065" s="18"/>
      <c r="BH1065" s="18"/>
      <c r="BI1065" s="18"/>
      <c r="BJ1065" s="18"/>
      <c r="BK1065" s="18"/>
      <c r="BL1065" s="19">
        <v>0.05</v>
      </c>
      <c r="BM1065" s="18"/>
      <c r="BN1065" s="18"/>
      <c r="BO1065" s="18"/>
      <c r="BP1065" s="18"/>
      <c r="BQ1065" s="18"/>
      <c r="BR1065" s="18"/>
      <c r="BS1065" s="18"/>
      <c r="BT1065" s="18"/>
      <c r="BU1065" s="18"/>
    </row>
    <row r="1066" spans="44:73" x14ac:dyDescent="0.45">
      <c r="AR1066" s="15" t="s">
        <v>328</v>
      </c>
      <c r="AS1066" s="15" t="s">
        <v>567</v>
      </c>
      <c r="AT1066" s="15" t="s">
        <v>687</v>
      </c>
      <c r="AU1066" s="15"/>
      <c r="AV1066" s="15"/>
      <c r="AW1066" s="15"/>
      <c r="AX1066" s="15"/>
      <c r="AY1066" s="15"/>
      <c r="AZ1066" s="18"/>
      <c r="BA1066" s="19">
        <v>2.5000000000000001E-2</v>
      </c>
      <c r="BB1066" s="18"/>
      <c r="BC1066" s="18"/>
      <c r="BD1066" s="18"/>
      <c r="BE1066" s="18"/>
      <c r="BF1066" s="18"/>
      <c r="BG1066" s="18"/>
      <c r="BH1066" s="18"/>
      <c r="BI1066" s="18"/>
      <c r="BJ1066" s="18"/>
      <c r="BK1066" s="18"/>
      <c r="BL1066" s="19">
        <v>0.05</v>
      </c>
      <c r="BM1066" s="18"/>
      <c r="BN1066" s="18"/>
      <c r="BO1066" s="18"/>
      <c r="BP1066" s="18"/>
      <c r="BQ1066" s="18"/>
      <c r="BR1066" s="18"/>
      <c r="BS1066" s="18"/>
      <c r="BT1066" s="18"/>
      <c r="BU1066" s="18"/>
    </row>
    <row r="1067" spans="44:73" x14ac:dyDescent="0.45">
      <c r="AR1067" s="15" t="s">
        <v>328</v>
      </c>
      <c r="AS1067" s="15" t="s">
        <v>567</v>
      </c>
      <c r="AT1067" s="15" t="s">
        <v>688</v>
      </c>
      <c r="AU1067" s="15"/>
      <c r="AV1067" s="15"/>
      <c r="AW1067" s="15"/>
      <c r="AX1067" s="15"/>
      <c r="AY1067" s="15"/>
      <c r="AZ1067" s="18"/>
      <c r="BA1067" s="19">
        <v>2.5000000000000001E-2</v>
      </c>
      <c r="BB1067" s="18"/>
      <c r="BC1067" s="18"/>
      <c r="BD1067" s="18"/>
      <c r="BE1067" s="18"/>
      <c r="BF1067" s="18"/>
      <c r="BG1067" s="18"/>
      <c r="BH1067" s="18"/>
      <c r="BI1067" s="18"/>
      <c r="BJ1067" s="18"/>
      <c r="BK1067" s="18"/>
      <c r="BL1067" s="19">
        <v>0.05</v>
      </c>
      <c r="BM1067" s="18"/>
      <c r="BN1067" s="18"/>
      <c r="BO1067" s="18"/>
      <c r="BP1067" s="18"/>
      <c r="BQ1067" s="18"/>
      <c r="BR1067" s="18"/>
      <c r="BS1067" s="18"/>
      <c r="BT1067" s="18"/>
      <c r="BU1067" s="18"/>
    </row>
    <row r="1068" spans="44:73" x14ac:dyDescent="0.45">
      <c r="AR1068" s="15" t="s">
        <v>328</v>
      </c>
      <c r="AS1068" s="15" t="s">
        <v>567</v>
      </c>
      <c r="AT1068" s="15" t="s">
        <v>689</v>
      </c>
      <c r="AU1068" s="15"/>
      <c r="AV1068" s="15"/>
      <c r="AW1068" s="15"/>
      <c r="AX1068" s="15"/>
      <c r="AY1068" s="15"/>
      <c r="AZ1068" s="18"/>
      <c r="BA1068" s="19">
        <v>2.5000000000000001E-2</v>
      </c>
      <c r="BB1068" s="18"/>
      <c r="BC1068" s="18"/>
      <c r="BD1068" s="18"/>
      <c r="BE1068" s="18"/>
      <c r="BF1068" s="18"/>
      <c r="BG1068" s="18"/>
      <c r="BH1068" s="18"/>
      <c r="BI1068" s="18"/>
      <c r="BJ1068" s="18"/>
      <c r="BK1068" s="18"/>
      <c r="BL1068" s="19">
        <v>0.05</v>
      </c>
      <c r="BM1068" s="18"/>
      <c r="BN1068" s="18"/>
      <c r="BO1068" s="18"/>
      <c r="BP1068" s="18"/>
      <c r="BQ1068" s="18"/>
      <c r="BR1068" s="18"/>
      <c r="BS1068" s="18"/>
      <c r="BT1068" s="18"/>
      <c r="BU1068" s="18"/>
    </row>
    <row r="1069" spans="44:73" x14ac:dyDescent="0.45">
      <c r="AR1069" s="15" t="s">
        <v>328</v>
      </c>
      <c r="AS1069" s="15" t="s">
        <v>567</v>
      </c>
      <c r="AT1069" s="15" t="s">
        <v>690</v>
      </c>
      <c r="AU1069" s="15"/>
      <c r="AV1069" s="15"/>
      <c r="AW1069" s="15"/>
      <c r="AX1069" s="15"/>
      <c r="AY1069" s="15"/>
      <c r="AZ1069" s="18"/>
      <c r="BA1069" s="19">
        <v>2.5000000000000001E-2</v>
      </c>
      <c r="BB1069" s="18"/>
      <c r="BC1069" s="18"/>
      <c r="BD1069" s="18"/>
      <c r="BE1069" s="18"/>
      <c r="BF1069" s="18"/>
      <c r="BG1069" s="18"/>
      <c r="BH1069" s="18"/>
      <c r="BI1069" s="18"/>
      <c r="BJ1069" s="18"/>
      <c r="BK1069" s="18"/>
      <c r="BL1069" s="19">
        <v>0.05</v>
      </c>
      <c r="BM1069" s="18"/>
      <c r="BN1069" s="18"/>
      <c r="BO1069" s="18"/>
      <c r="BP1069" s="18"/>
      <c r="BQ1069" s="18"/>
      <c r="BR1069" s="18"/>
      <c r="BS1069" s="18"/>
      <c r="BT1069" s="18"/>
      <c r="BU1069" s="18"/>
    </row>
    <row r="1070" spans="44:73" x14ac:dyDescent="0.45">
      <c r="AR1070" s="15" t="s">
        <v>328</v>
      </c>
      <c r="AS1070" s="15" t="s">
        <v>567</v>
      </c>
      <c r="AT1070" s="15" t="s">
        <v>691</v>
      </c>
      <c r="AU1070" s="15"/>
      <c r="AV1070" s="15"/>
      <c r="AW1070" s="15"/>
      <c r="AX1070" s="15"/>
      <c r="AY1070" s="15"/>
      <c r="AZ1070" s="18"/>
      <c r="BA1070" s="19">
        <v>2.5000000000000001E-2</v>
      </c>
      <c r="BB1070" s="18"/>
      <c r="BC1070" s="18"/>
      <c r="BD1070" s="18"/>
      <c r="BE1070" s="18"/>
      <c r="BF1070" s="18"/>
      <c r="BG1070" s="18"/>
      <c r="BH1070" s="18"/>
      <c r="BI1070" s="18"/>
      <c r="BJ1070" s="18"/>
      <c r="BK1070" s="18"/>
      <c r="BL1070" s="19">
        <v>0.05</v>
      </c>
      <c r="BM1070" s="18"/>
      <c r="BN1070" s="18"/>
      <c r="BO1070" s="18"/>
      <c r="BP1070" s="18"/>
      <c r="BQ1070" s="18"/>
      <c r="BR1070" s="18"/>
      <c r="BS1070" s="18"/>
      <c r="BT1070" s="18"/>
      <c r="BU1070" s="18"/>
    </row>
    <row r="1071" spans="44:73" x14ac:dyDescent="0.45">
      <c r="AR1071" s="15" t="s">
        <v>328</v>
      </c>
      <c r="AS1071" s="15" t="s">
        <v>567</v>
      </c>
      <c r="AT1071" s="15" t="s">
        <v>692</v>
      </c>
      <c r="AU1071" s="15"/>
      <c r="AV1071" s="15"/>
      <c r="AW1071" s="15"/>
      <c r="AX1071" s="15"/>
      <c r="AY1071" s="15"/>
      <c r="AZ1071" s="18"/>
      <c r="BA1071" s="19">
        <v>2.5000000000000001E-2</v>
      </c>
      <c r="BB1071" s="18"/>
      <c r="BC1071" s="18"/>
      <c r="BD1071" s="18"/>
      <c r="BE1071" s="18"/>
      <c r="BF1071" s="18"/>
      <c r="BG1071" s="18"/>
      <c r="BH1071" s="18"/>
      <c r="BI1071" s="18"/>
      <c r="BJ1071" s="18"/>
      <c r="BK1071" s="18"/>
      <c r="BL1071" s="19">
        <v>0.05</v>
      </c>
      <c r="BM1071" s="18"/>
      <c r="BN1071" s="18"/>
      <c r="BO1071" s="18"/>
      <c r="BP1071" s="18"/>
      <c r="BQ1071" s="18"/>
      <c r="BR1071" s="18"/>
      <c r="BS1071" s="18"/>
      <c r="BT1071" s="18"/>
      <c r="BU1071" s="18"/>
    </row>
    <row r="1072" spans="44:73" x14ac:dyDescent="0.45">
      <c r="AR1072" s="15" t="s">
        <v>328</v>
      </c>
      <c r="AS1072" s="15" t="s">
        <v>567</v>
      </c>
      <c r="AT1072" s="15" t="s">
        <v>693</v>
      </c>
      <c r="AU1072" s="15"/>
      <c r="AV1072" s="15"/>
      <c r="AW1072" s="15"/>
      <c r="AX1072" s="15"/>
      <c r="AY1072" s="15"/>
      <c r="AZ1072" s="18"/>
      <c r="BA1072" s="19">
        <v>2.5000000000000001E-2</v>
      </c>
      <c r="BB1072" s="18"/>
      <c r="BC1072" s="18"/>
      <c r="BD1072" s="18"/>
      <c r="BE1072" s="18"/>
      <c r="BF1072" s="18"/>
      <c r="BG1072" s="18"/>
      <c r="BH1072" s="18"/>
      <c r="BI1072" s="18"/>
      <c r="BJ1072" s="18"/>
      <c r="BK1072" s="18"/>
      <c r="BL1072" s="19">
        <v>0.05</v>
      </c>
      <c r="BM1072" s="18"/>
      <c r="BN1072" s="18"/>
      <c r="BO1072" s="18"/>
      <c r="BP1072" s="18"/>
      <c r="BQ1072" s="18"/>
      <c r="BR1072" s="18"/>
      <c r="BS1072" s="18"/>
      <c r="BT1072" s="18"/>
      <c r="BU1072" s="18"/>
    </row>
    <row r="1073" spans="44:73" x14ac:dyDescent="0.45">
      <c r="AR1073" s="15" t="s">
        <v>328</v>
      </c>
      <c r="AS1073" s="15" t="s">
        <v>567</v>
      </c>
      <c r="AT1073" s="15" t="s">
        <v>694</v>
      </c>
      <c r="AU1073" s="15"/>
      <c r="AV1073" s="15"/>
      <c r="AW1073" s="15"/>
      <c r="AX1073" s="15"/>
      <c r="AY1073" s="15"/>
      <c r="AZ1073" s="18"/>
      <c r="BA1073" s="19">
        <v>2.5000000000000001E-2</v>
      </c>
      <c r="BB1073" s="18"/>
      <c r="BC1073" s="18"/>
      <c r="BD1073" s="18"/>
      <c r="BE1073" s="18"/>
      <c r="BF1073" s="18"/>
      <c r="BG1073" s="18"/>
      <c r="BH1073" s="18"/>
      <c r="BI1073" s="18"/>
      <c r="BJ1073" s="18"/>
      <c r="BK1073" s="18"/>
      <c r="BL1073" s="19">
        <v>0.05</v>
      </c>
      <c r="BM1073" s="18"/>
      <c r="BN1073" s="18"/>
      <c r="BO1073" s="18"/>
      <c r="BP1073" s="18"/>
      <c r="BQ1073" s="18"/>
      <c r="BR1073" s="18"/>
      <c r="BS1073" s="18"/>
      <c r="BT1073" s="18"/>
      <c r="BU1073" s="18"/>
    </row>
    <row r="1074" spans="44:73" x14ac:dyDescent="0.45">
      <c r="AR1074" s="15" t="s">
        <v>328</v>
      </c>
      <c r="AS1074" s="15" t="s">
        <v>567</v>
      </c>
      <c r="AT1074" s="15" t="s">
        <v>695</v>
      </c>
      <c r="AU1074" s="15"/>
      <c r="AV1074" s="15"/>
      <c r="AW1074" s="15"/>
      <c r="AX1074" s="15"/>
      <c r="AY1074" s="15"/>
      <c r="AZ1074" s="18"/>
      <c r="BA1074" s="19">
        <v>2.5000000000000001E-2</v>
      </c>
      <c r="BB1074" s="18"/>
      <c r="BC1074" s="18"/>
      <c r="BD1074" s="18"/>
      <c r="BE1074" s="18"/>
      <c r="BF1074" s="18"/>
      <c r="BG1074" s="18"/>
      <c r="BH1074" s="18"/>
      <c r="BI1074" s="18"/>
      <c r="BJ1074" s="18"/>
      <c r="BK1074" s="18"/>
      <c r="BL1074" s="19">
        <v>0.05</v>
      </c>
      <c r="BM1074" s="18"/>
      <c r="BN1074" s="18"/>
      <c r="BO1074" s="18"/>
      <c r="BP1074" s="18"/>
      <c r="BQ1074" s="18"/>
      <c r="BR1074" s="18"/>
      <c r="BS1074" s="18"/>
      <c r="BT1074" s="18"/>
      <c r="BU1074" s="18"/>
    </row>
    <row r="1075" spans="44:73" x14ac:dyDescent="0.45">
      <c r="AR1075" s="15" t="s">
        <v>328</v>
      </c>
      <c r="AS1075" s="15" t="s">
        <v>567</v>
      </c>
      <c r="AT1075" s="15" t="s">
        <v>696</v>
      </c>
      <c r="AU1075" s="15"/>
      <c r="AV1075" s="15"/>
      <c r="AW1075" s="15"/>
      <c r="AX1075" s="15"/>
      <c r="AY1075" s="15"/>
      <c r="AZ1075" s="18"/>
      <c r="BA1075" s="19">
        <v>2.5000000000000001E-2</v>
      </c>
      <c r="BB1075" s="18"/>
      <c r="BC1075" s="18"/>
      <c r="BD1075" s="18"/>
      <c r="BE1075" s="18"/>
      <c r="BF1075" s="18"/>
      <c r="BG1075" s="18"/>
      <c r="BH1075" s="18"/>
      <c r="BI1075" s="18"/>
      <c r="BJ1075" s="18"/>
      <c r="BK1075" s="18"/>
      <c r="BL1075" s="19">
        <v>0.05</v>
      </c>
      <c r="BM1075" s="18"/>
      <c r="BN1075" s="18"/>
      <c r="BO1075" s="18"/>
      <c r="BP1075" s="18"/>
      <c r="BQ1075" s="18"/>
      <c r="BR1075" s="18"/>
      <c r="BS1075" s="18"/>
      <c r="BT1075" s="18"/>
      <c r="BU1075" s="18"/>
    </row>
    <row r="1076" spans="44:73" x14ac:dyDescent="0.45">
      <c r="AR1076" s="15" t="s">
        <v>328</v>
      </c>
      <c r="AS1076" s="15" t="s">
        <v>567</v>
      </c>
      <c r="AT1076" s="15" t="s">
        <v>697</v>
      </c>
      <c r="AU1076" s="15"/>
      <c r="AV1076" s="15"/>
      <c r="AW1076" s="15"/>
      <c r="AX1076" s="15"/>
      <c r="AY1076" s="15"/>
      <c r="AZ1076" s="18"/>
      <c r="BA1076" s="19">
        <v>2.5000000000000001E-2</v>
      </c>
      <c r="BB1076" s="18"/>
      <c r="BC1076" s="18"/>
      <c r="BD1076" s="18"/>
      <c r="BE1076" s="18"/>
      <c r="BF1076" s="18"/>
      <c r="BG1076" s="18"/>
      <c r="BH1076" s="18"/>
      <c r="BI1076" s="18"/>
      <c r="BJ1076" s="18"/>
      <c r="BK1076" s="18"/>
      <c r="BL1076" s="19">
        <v>0.05</v>
      </c>
      <c r="BM1076" s="18"/>
      <c r="BN1076" s="18"/>
      <c r="BO1076" s="18"/>
      <c r="BP1076" s="18"/>
      <c r="BQ1076" s="18"/>
      <c r="BR1076" s="18"/>
      <c r="BS1076" s="18"/>
      <c r="BT1076" s="18"/>
      <c r="BU1076" s="18"/>
    </row>
    <row r="1077" spans="44:73" x14ac:dyDescent="0.45">
      <c r="AR1077" s="15" t="s">
        <v>328</v>
      </c>
      <c r="AS1077" s="15" t="s">
        <v>567</v>
      </c>
      <c r="AT1077" s="15" t="s">
        <v>698</v>
      </c>
      <c r="AU1077" s="15"/>
      <c r="AV1077" s="15"/>
      <c r="AW1077" s="15"/>
      <c r="AX1077" s="15"/>
      <c r="AY1077" s="15"/>
      <c r="AZ1077" s="18"/>
      <c r="BA1077" s="19">
        <v>2.5000000000000001E-2</v>
      </c>
      <c r="BB1077" s="18"/>
      <c r="BC1077" s="18"/>
      <c r="BD1077" s="18"/>
      <c r="BE1077" s="18"/>
      <c r="BF1077" s="18"/>
      <c r="BG1077" s="18"/>
      <c r="BH1077" s="18"/>
      <c r="BI1077" s="18"/>
      <c r="BJ1077" s="18"/>
      <c r="BK1077" s="18"/>
      <c r="BL1077" s="19">
        <v>0.05</v>
      </c>
      <c r="BM1077" s="18"/>
      <c r="BN1077" s="18"/>
      <c r="BO1077" s="18"/>
      <c r="BP1077" s="18"/>
      <c r="BQ1077" s="18"/>
      <c r="BR1077" s="18"/>
      <c r="BS1077" s="18"/>
      <c r="BT1077" s="18"/>
      <c r="BU1077" s="18"/>
    </row>
    <row r="1078" spans="44:73" x14ac:dyDescent="0.45">
      <c r="AR1078" s="15" t="s">
        <v>328</v>
      </c>
      <c r="AS1078" s="15" t="s">
        <v>567</v>
      </c>
      <c r="AT1078" s="15" t="s">
        <v>699</v>
      </c>
      <c r="AU1078" s="15"/>
      <c r="AV1078" s="15"/>
      <c r="AW1078" s="15"/>
      <c r="AX1078" s="15"/>
      <c r="AY1078" s="15"/>
      <c r="AZ1078" s="18"/>
      <c r="BA1078" s="19">
        <v>2.5000000000000001E-2</v>
      </c>
      <c r="BB1078" s="18"/>
      <c r="BC1078" s="18"/>
      <c r="BD1078" s="18"/>
      <c r="BE1078" s="18"/>
      <c r="BF1078" s="18"/>
      <c r="BG1078" s="18"/>
      <c r="BH1078" s="18"/>
      <c r="BI1078" s="18"/>
      <c r="BJ1078" s="18"/>
      <c r="BK1078" s="18"/>
      <c r="BL1078" s="19">
        <v>0.05</v>
      </c>
      <c r="BM1078" s="18"/>
      <c r="BN1078" s="18"/>
      <c r="BO1078" s="18"/>
      <c r="BP1078" s="18"/>
      <c r="BQ1078" s="18"/>
      <c r="BR1078" s="18"/>
      <c r="BS1078" s="18"/>
      <c r="BT1078" s="18"/>
      <c r="BU1078" s="18"/>
    </row>
    <row r="1079" spans="44:73" x14ac:dyDescent="0.45">
      <c r="AR1079" s="15" t="s">
        <v>328</v>
      </c>
      <c r="AS1079" s="15" t="s">
        <v>567</v>
      </c>
      <c r="AT1079" s="15" t="s">
        <v>700</v>
      </c>
      <c r="AU1079" s="15"/>
      <c r="AV1079" s="15"/>
      <c r="AW1079" s="15"/>
      <c r="AX1079" s="15"/>
      <c r="AY1079" s="15"/>
      <c r="AZ1079" s="18"/>
      <c r="BA1079" s="19">
        <v>2.5000000000000001E-2</v>
      </c>
      <c r="BB1079" s="18"/>
      <c r="BC1079" s="18"/>
      <c r="BD1079" s="18"/>
      <c r="BE1079" s="18"/>
      <c r="BF1079" s="18"/>
      <c r="BG1079" s="18"/>
      <c r="BH1079" s="18"/>
      <c r="BI1079" s="18"/>
      <c r="BJ1079" s="18"/>
      <c r="BK1079" s="18"/>
      <c r="BL1079" s="19">
        <v>0.05</v>
      </c>
      <c r="BM1079" s="18"/>
      <c r="BN1079" s="18"/>
      <c r="BO1079" s="18"/>
      <c r="BP1079" s="18"/>
      <c r="BQ1079" s="18"/>
      <c r="BR1079" s="18"/>
      <c r="BS1079" s="18"/>
      <c r="BT1079" s="18"/>
      <c r="BU1079" s="18"/>
    </row>
    <row r="1080" spans="44:73" x14ac:dyDescent="0.45">
      <c r="AR1080" s="15" t="s">
        <v>328</v>
      </c>
      <c r="AS1080" s="15" t="s">
        <v>567</v>
      </c>
      <c r="AT1080" s="15" t="s">
        <v>701</v>
      </c>
      <c r="AU1080" s="15"/>
      <c r="AV1080" s="15"/>
      <c r="AW1080" s="15"/>
      <c r="AX1080" s="15"/>
      <c r="AY1080" s="15"/>
      <c r="AZ1080" s="18"/>
      <c r="BA1080" s="19">
        <v>2.5000000000000001E-2</v>
      </c>
      <c r="BB1080" s="18"/>
      <c r="BC1080" s="18"/>
      <c r="BD1080" s="18"/>
      <c r="BE1080" s="18"/>
      <c r="BF1080" s="18"/>
      <c r="BG1080" s="18"/>
      <c r="BH1080" s="18"/>
      <c r="BI1080" s="18"/>
      <c r="BJ1080" s="18"/>
      <c r="BK1080" s="18"/>
      <c r="BL1080" s="19">
        <v>0.05</v>
      </c>
      <c r="BM1080" s="18"/>
      <c r="BN1080" s="18"/>
      <c r="BO1080" s="18"/>
      <c r="BP1080" s="18"/>
      <c r="BQ1080" s="18"/>
      <c r="BR1080" s="18"/>
      <c r="BS1080" s="18"/>
      <c r="BT1080" s="18"/>
      <c r="BU1080" s="18"/>
    </row>
    <row r="1081" spans="44:73" x14ac:dyDescent="0.45">
      <c r="AR1081" s="15" t="s">
        <v>328</v>
      </c>
      <c r="AS1081" s="15" t="s">
        <v>567</v>
      </c>
      <c r="AT1081" s="15" t="s">
        <v>702</v>
      </c>
      <c r="AU1081" s="15"/>
      <c r="AV1081" s="15"/>
      <c r="AW1081" s="15"/>
      <c r="AX1081" s="15"/>
      <c r="AY1081" s="15"/>
      <c r="AZ1081" s="18"/>
      <c r="BA1081" s="19">
        <v>2.5000000000000001E-2</v>
      </c>
      <c r="BB1081" s="18"/>
      <c r="BC1081" s="18"/>
      <c r="BD1081" s="18"/>
      <c r="BE1081" s="18"/>
      <c r="BF1081" s="18"/>
      <c r="BG1081" s="18"/>
      <c r="BH1081" s="18"/>
      <c r="BI1081" s="18"/>
      <c r="BJ1081" s="18"/>
      <c r="BK1081" s="18"/>
      <c r="BL1081" s="19">
        <v>0.05</v>
      </c>
      <c r="BM1081" s="18"/>
      <c r="BN1081" s="18"/>
      <c r="BO1081" s="18"/>
      <c r="BP1081" s="18"/>
      <c r="BQ1081" s="18"/>
      <c r="BR1081" s="18"/>
      <c r="BS1081" s="18"/>
      <c r="BT1081" s="18"/>
      <c r="BU1081" s="18"/>
    </row>
    <row r="1082" spans="44:73" x14ac:dyDescent="0.45">
      <c r="AR1082" s="15" t="s">
        <v>328</v>
      </c>
      <c r="AS1082" s="15" t="s">
        <v>567</v>
      </c>
      <c r="AT1082" s="15" t="s">
        <v>703</v>
      </c>
      <c r="AU1082" s="15"/>
      <c r="AV1082" s="15"/>
      <c r="AW1082" s="15"/>
      <c r="AX1082" s="15"/>
      <c r="AY1082" s="15"/>
      <c r="AZ1082" s="18"/>
      <c r="BA1082" s="19">
        <v>2.5000000000000001E-2</v>
      </c>
      <c r="BB1082" s="18"/>
      <c r="BC1082" s="18"/>
      <c r="BD1082" s="18"/>
      <c r="BE1082" s="18"/>
      <c r="BF1082" s="18"/>
      <c r="BG1082" s="18"/>
      <c r="BH1082" s="18"/>
      <c r="BI1082" s="18"/>
      <c r="BJ1082" s="18"/>
      <c r="BK1082" s="18"/>
      <c r="BL1082" s="19">
        <v>0.05</v>
      </c>
      <c r="BM1082" s="18"/>
      <c r="BN1082" s="18"/>
      <c r="BO1082" s="18"/>
      <c r="BP1082" s="18"/>
      <c r="BQ1082" s="18"/>
      <c r="BR1082" s="18"/>
      <c r="BS1082" s="18"/>
      <c r="BT1082" s="18"/>
      <c r="BU1082" s="18"/>
    </row>
    <row r="1083" spans="44:73" x14ac:dyDescent="0.45">
      <c r="AR1083" s="15" t="s">
        <v>328</v>
      </c>
      <c r="AS1083" s="15" t="s">
        <v>567</v>
      </c>
      <c r="AT1083" s="15" t="s">
        <v>704</v>
      </c>
      <c r="AU1083" s="15"/>
      <c r="AV1083" s="15"/>
      <c r="AW1083" s="15"/>
      <c r="AX1083" s="15"/>
      <c r="AY1083" s="15"/>
      <c r="AZ1083" s="18"/>
      <c r="BA1083" s="19">
        <v>2.5000000000000001E-2</v>
      </c>
      <c r="BB1083" s="18"/>
      <c r="BC1083" s="18"/>
      <c r="BD1083" s="18"/>
      <c r="BE1083" s="18"/>
      <c r="BF1083" s="18"/>
      <c r="BG1083" s="18"/>
      <c r="BH1083" s="18"/>
      <c r="BI1083" s="18"/>
      <c r="BJ1083" s="18"/>
      <c r="BK1083" s="18"/>
      <c r="BL1083" s="19">
        <v>0.05</v>
      </c>
      <c r="BM1083" s="18"/>
      <c r="BN1083" s="18"/>
      <c r="BO1083" s="18"/>
      <c r="BP1083" s="18"/>
      <c r="BQ1083" s="18"/>
      <c r="BR1083" s="18"/>
      <c r="BS1083" s="18"/>
      <c r="BT1083" s="18"/>
      <c r="BU1083" s="18"/>
    </row>
    <row r="1084" spans="44:73" x14ac:dyDescent="0.45">
      <c r="AR1084" s="15" t="s">
        <v>328</v>
      </c>
      <c r="AS1084" s="15" t="s">
        <v>567</v>
      </c>
      <c r="AT1084" s="15" t="s">
        <v>705</v>
      </c>
      <c r="AU1084" s="15"/>
      <c r="AV1084" s="15"/>
      <c r="AW1084" s="15"/>
      <c r="AX1084" s="15"/>
      <c r="AY1084" s="15"/>
      <c r="AZ1084" s="18"/>
      <c r="BA1084" s="19">
        <v>2.5000000000000001E-2</v>
      </c>
      <c r="BB1084" s="18"/>
      <c r="BC1084" s="18"/>
      <c r="BD1084" s="18"/>
      <c r="BE1084" s="18"/>
      <c r="BF1084" s="18"/>
      <c r="BG1084" s="18"/>
      <c r="BH1084" s="18"/>
      <c r="BI1084" s="18"/>
      <c r="BJ1084" s="18"/>
      <c r="BK1084" s="18"/>
      <c r="BL1084" s="19">
        <v>0.05</v>
      </c>
      <c r="BM1084" s="18"/>
      <c r="BN1084" s="18"/>
      <c r="BO1084" s="18"/>
      <c r="BP1084" s="18"/>
      <c r="BQ1084" s="18"/>
      <c r="BR1084" s="18"/>
      <c r="BS1084" s="18"/>
      <c r="BT1084" s="18"/>
      <c r="BU1084" s="18"/>
    </row>
    <row r="1085" spans="44:73" x14ac:dyDescent="0.45">
      <c r="AR1085" s="15" t="s">
        <v>328</v>
      </c>
      <c r="AS1085" s="15" t="s">
        <v>567</v>
      </c>
      <c r="AT1085" s="15" t="s">
        <v>706</v>
      </c>
      <c r="AU1085" s="15"/>
      <c r="AV1085" s="15"/>
      <c r="AW1085" s="15"/>
      <c r="AX1085" s="15"/>
      <c r="AY1085" s="15"/>
      <c r="AZ1085" s="18"/>
      <c r="BA1085" s="19">
        <v>2.5000000000000001E-2</v>
      </c>
      <c r="BB1085" s="18"/>
      <c r="BC1085" s="18"/>
      <c r="BD1085" s="18"/>
      <c r="BE1085" s="18"/>
      <c r="BF1085" s="18"/>
      <c r="BG1085" s="18"/>
      <c r="BH1085" s="18"/>
      <c r="BI1085" s="18"/>
      <c r="BJ1085" s="18"/>
      <c r="BK1085" s="18"/>
      <c r="BL1085" s="19">
        <v>0.05</v>
      </c>
      <c r="BM1085" s="18"/>
      <c r="BN1085" s="18"/>
      <c r="BO1085" s="18"/>
      <c r="BP1085" s="18"/>
      <c r="BQ1085" s="18"/>
      <c r="BR1085" s="18"/>
      <c r="BS1085" s="18"/>
      <c r="BT1085" s="18"/>
      <c r="BU1085" s="18"/>
    </row>
    <row r="1086" spans="44:73" x14ac:dyDescent="0.45">
      <c r="AR1086" s="15" t="s">
        <v>328</v>
      </c>
      <c r="AS1086" s="15" t="s">
        <v>567</v>
      </c>
      <c r="AT1086" s="15" t="s">
        <v>707</v>
      </c>
      <c r="AU1086" s="15"/>
      <c r="AV1086" s="15"/>
      <c r="AW1086" s="15"/>
      <c r="AX1086" s="15"/>
      <c r="AY1086" s="15"/>
      <c r="AZ1086" s="18"/>
      <c r="BA1086" s="19">
        <v>2.5000000000000001E-2</v>
      </c>
      <c r="BB1086" s="18"/>
      <c r="BC1086" s="18"/>
      <c r="BD1086" s="18"/>
      <c r="BE1086" s="18"/>
      <c r="BF1086" s="18"/>
      <c r="BG1086" s="18"/>
      <c r="BH1086" s="18"/>
      <c r="BI1086" s="18"/>
      <c r="BJ1086" s="18"/>
      <c r="BK1086" s="18"/>
      <c r="BL1086" s="19">
        <v>0.05</v>
      </c>
      <c r="BM1086" s="18"/>
      <c r="BN1086" s="18"/>
      <c r="BO1086" s="18"/>
      <c r="BP1086" s="18"/>
      <c r="BQ1086" s="18"/>
      <c r="BR1086" s="18"/>
      <c r="BS1086" s="18"/>
      <c r="BT1086" s="18"/>
      <c r="BU1086" s="18"/>
    </row>
    <row r="1087" spans="44:73" x14ac:dyDescent="0.45">
      <c r="AR1087" s="15" t="s">
        <v>328</v>
      </c>
      <c r="AS1087" s="15" t="s">
        <v>567</v>
      </c>
      <c r="AT1087" s="15" t="s">
        <v>708</v>
      </c>
      <c r="AU1087" s="15"/>
      <c r="AV1087" s="15"/>
      <c r="AW1087" s="15"/>
      <c r="AX1087" s="15"/>
      <c r="AY1087" s="15"/>
      <c r="AZ1087" s="18"/>
      <c r="BA1087" s="19">
        <v>2.5000000000000001E-2</v>
      </c>
      <c r="BB1087" s="18"/>
      <c r="BC1087" s="18"/>
      <c r="BD1087" s="18"/>
      <c r="BE1087" s="18"/>
      <c r="BF1087" s="18"/>
      <c r="BG1087" s="18"/>
      <c r="BH1087" s="18"/>
      <c r="BI1087" s="18"/>
      <c r="BJ1087" s="18"/>
      <c r="BK1087" s="18"/>
      <c r="BL1087" s="19">
        <v>0.05</v>
      </c>
      <c r="BM1087" s="18"/>
      <c r="BN1087" s="18"/>
      <c r="BO1087" s="18"/>
      <c r="BP1087" s="18"/>
      <c r="BQ1087" s="18"/>
      <c r="BR1087" s="18"/>
      <c r="BS1087" s="18"/>
      <c r="BT1087" s="18"/>
      <c r="BU1087" s="18"/>
    </row>
    <row r="1088" spans="44:73" x14ac:dyDescent="0.45">
      <c r="AR1088" s="15" t="s">
        <v>328</v>
      </c>
      <c r="AS1088" s="15" t="s">
        <v>567</v>
      </c>
      <c r="AT1088" s="15" t="s">
        <v>709</v>
      </c>
      <c r="AU1088" s="15"/>
      <c r="AV1088" s="15"/>
      <c r="AW1088" s="15"/>
      <c r="AX1088" s="15"/>
      <c r="AY1088" s="15"/>
      <c r="AZ1088" s="18"/>
      <c r="BA1088" s="19">
        <v>2.5000000000000001E-2</v>
      </c>
      <c r="BB1088" s="18"/>
      <c r="BC1088" s="18"/>
      <c r="BD1088" s="18"/>
      <c r="BE1088" s="18"/>
      <c r="BF1088" s="18"/>
      <c r="BG1088" s="18"/>
      <c r="BH1088" s="18"/>
      <c r="BI1088" s="18"/>
      <c r="BJ1088" s="18"/>
      <c r="BK1088" s="18"/>
      <c r="BL1088" s="19">
        <v>0.05</v>
      </c>
      <c r="BM1088" s="18"/>
      <c r="BN1088" s="18"/>
      <c r="BO1088" s="18"/>
      <c r="BP1088" s="18"/>
      <c r="BQ1088" s="18"/>
      <c r="BR1088" s="18"/>
      <c r="BS1088" s="18"/>
      <c r="BT1088" s="18"/>
      <c r="BU1088" s="18"/>
    </row>
    <row r="1089" spans="44:73" x14ac:dyDescent="0.45">
      <c r="AR1089" s="15" t="s">
        <v>328</v>
      </c>
      <c r="AS1089" s="15" t="s">
        <v>567</v>
      </c>
      <c r="AT1089" s="15" t="s">
        <v>710</v>
      </c>
      <c r="AU1089" s="15"/>
      <c r="AV1089" s="15"/>
      <c r="AW1089" s="15"/>
      <c r="AX1089" s="15"/>
      <c r="AY1089" s="15"/>
      <c r="AZ1089" s="18"/>
      <c r="BA1089" s="19">
        <v>2.5000000000000001E-2</v>
      </c>
      <c r="BB1089" s="18"/>
      <c r="BC1089" s="18"/>
      <c r="BD1089" s="18"/>
      <c r="BE1089" s="18"/>
      <c r="BF1089" s="18"/>
      <c r="BG1089" s="18"/>
      <c r="BH1089" s="18"/>
      <c r="BI1089" s="18"/>
      <c r="BJ1089" s="18"/>
      <c r="BK1089" s="18"/>
      <c r="BL1089" s="19">
        <v>0.05</v>
      </c>
      <c r="BM1089" s="18"/>
      <c r="BN1089" s="18"/>
      <c r="BO1089" s="18"/>
      <c r="BP1089" s="18"/>
      <c r="BQ1089" s="18"/>
      <c r="BR1089" s="18"/>
      <c r="BS1089" s="18"/>
      <c r="BT1089" s="18"/>
      <c r="BU1089" s="18"/>
    </row>
    <row r="1090" spans="44:73" x14ac:dyDescent="0.45">
      <c r="AR1090" s="15" t="s">
        <v>328</v>
      </c>
      <c r="AS1090" s="15" t="s">
        <v>567</v>
      </c>
      <c r="AT1090" s="15" t="s">
        <v>711</v>
      </c>
      <c r="AU1090" s="15"/>
      <c r="AV1090" s="15"/>
      <c r="AW1090" s="15"/>
      <c r="AX1090" s="15"/>
      <c r="AY1090" s="15"/>
      <c r="AZ1090" s="18"/>
      <c r="BA1090" s="19">
        <v>2.5000000000000001E-2</v>
      </c>
      <c r="BB1090" s="18"/>
      <c r="BC1090" s="18"/>
      <c r="BD1090" s="18"/>
      <c r="BE1090" s="18"/>
      <c r="BF1090" s="18"/>
      <c r="BG1090" s="18"/>
      <c r="BH1090" s="18"/>
      <c r="BI1090" s="18"/>
      <c r="BJ1090" s="18"/>
      <c r="BK1090" s="18"/>
      <c r="BL1090" s="19">
        <v>0.05</v>
      </c>
      <c r="BM1090" s="18"/>
      <c r="BN1090" s="18"/>
      <c r="BO1090" s="18"/>
      <c r="BP1090" s="18"/>
      <c r="BQ1090" s="18"/>
      <c r="BR1090" s="18"/>
      <c r="BS1090" s="18"/>
      <c r="BT1090" s="18"/>
      <c r="BU1090" s="18"/>
    </row>
    <row r="1091" spans="44:73" x14ac:dyDescent="0.45">
      <c r="AR1091" s="15" t="s">
        <v>328</v>
      </c>
      <c r="AS1091" s="15" t="s">
        <v>567</v>
      </c>
      <c r="AT1091" s="15" t="s">
        <v>712</v>
      </c>
      <c r="AU1091" s="15"/>
      <c r="AV1091" s="15"/>
      <c r="AW1091" s="15"/>
      <c r="AX1091" s="15"/>
      <c r="AY1091" s="15"/>
      <c r="AZ1091" s="18"/>
      <c r="BA1091" s="19">
        <v>2.5000000000000001E-2</v>
      </c>
      <c r="BB1091" s="18"/>
      <c r="BC1091" s="18"/>
      <c r="BD1091" s="18"/>
      <c r="BE1091" s="18"/>
      <c r="BF1091" s="18"/>
      <c r="BG1091" s="18"/>
      <c r="BH1091" s="18"/>
      <c r="BI1091" s="18"/>
      <c r="BJ1091" s="18"/>
      <c r="BK1091" s="18"/>
      <c r="BL1091" s="19">
        <v>0.05</v>
      </c>
      <c r="BM1091" s="18"/>
      <c r="BN1091" s="18"/>
      <c r="BO1091" s="18"/>
      <c r="BP1091" s="18"/>
      <c r="BQ1091" s="18"/>
      <c r="BR1091" s="18"/>
      <c r="BS1091" s="18"/>
      <c r="BT1091" s="18"/>
      <c r="BU1091" s="18"/>
    </row>
    <row r="1092" spans="44:73" x14ac:dyDescent="0.45">
      <c r="AR1092" s="15" t="s">
        <v>328</v>
      </c>
      <c r="AS1092" s="15" t="s">
        <v>567</v>
      </c>
      <c r="AT1092" s="15" t="s">
        <v>713</v>
      </c>
      <c r="AU1092" s="15"/>
      <c r="AV1092" s="15"/>
      <c r="AW1092" s="15"/>
      <c r="AX1092" s="15"/>
      <c r="AY1092" s="15"/>
      <c r="AZ1092" s="18"/>
      <c r="BA1092" s="19">
        <v>2.5000000000000001E-2</v>
      </c>
      <c r="BB1092" s="18"/>
      <c r="BC1092" s="18"/>
      <c r="BD1092" s="18"/>
      <c r="BE1092" s="18"/>
      <c r="BF1092" s="18"/>
      <c r="BG1092" s="18"/>
      <c r="BH1092" s="18"/>
      <c r="BI1092" s="18"/>
      <c r="BJ1092" s="18"/>
      <c r="BK1092" s="18"/>
      <c r="BL1092" s="19">
        <v>0.05</v>
      </c>
      <c r="BM1092" s="18"/>
      <c r="BN1092" s="18"/>
      <c r="BO1092" s="18"/>
      <c r="BP1092" s="18"/>
      <c r="BQ1092" s="18"/>
      <c r="BR1092" s="18"/>
      <c r="BS1092" s="18"/>
      <c r="BT1092" s="18"/>
      <c r="BU1092" s="18"/>
    </row>
    <row r="1093" spans="44:73" x14ac:dyDescent="0.45">
      <c r="AR1093" s="15" t="s">
        <v>328</v>
      </c>
      <c r="AS1093" s="15" t="s">
        <v>567</v>
      </c>
      <c r="AT1093" s="15" t="s">
        <v>714</v>
      </c>
      <c r="AU1093" s="15"/>
      <c r="AV1093" s="15"/>
      <c r="AW1093" s="15"/>
      <c r="AX1093" s="15"/>
      <c r="AY1093" s="15"/>
      <c r="AZ1093" s="18"/>
      <c r="BA1093" s="19">
        <v>2.5000000000000001E-2</v>
      </c>
      <c r="BB1093" s="18"/>
      <c r="BC1093" s="18"/>
      <c r="BD1093" s="18"/>
      <c r="BE1093" s="18"/>
      <c r="BF1093" s="18"/>
      <c r="BG1093" s="18"/>
      <c r="BH1093" s="18"/>
      <c r="BI1093" s="18"/>
      <c r="BJ1093" s="18"/>
      <c r="BK1093" s="18"/>
      <c r="BL1093" s="19">
        <v>0.05</v>
      </c>
      <c r="BM1093" s="18"/>
      <c r="BN1093" s="18"/>
      <c r="BO1093" s="18"/>
      <c r="BP1093" s="18"/>
      <c r="BQ1093" s="18"/>
      <c r="BR1093" s="18"/>
      <c r="BS1093" s="18"/>
      <c r="BT1093" s="18"/>
      <c r="BU1093" s="18"/>
    </row>
    <row r="1094" spans="44:73" x14ac:dyDescent="0.45">
      <c r="AR1094" s="15" t="s">
        <v>328</v>
      </c>
      <c r="AS1094" s="15" t="s">
        <v>567</v>
      </c>
      <c r="AT1094" s="15" t="s">
        <v>715</v>
      </c>
      <c r="AU1094" s="15"/>
      <c r="AV1094" s="15"/>
      <c r="AW1094" s="15"/>
      <c r="AX1094" s="15"/>
      <c r="AY1094" s="15"/>
      <c r="AZ1094" s="18"/>
      <c r="BA1094" s="19">
        <v>2.5000000000000001E-2</v>
      </c>
      <c r="BB1094" s="18"/>
      <c r="BC1094" s="18"/>
      <c r="BD1094" s="18"/>
      <c r="BE1094" s="18"/>
      <c r="BF1094" s="18"/>
      <c r="BG1094" s="18"/>
      <c r="BH1094" s="18"/>
      <c r="BI1094" s="18"/>
      <c r="BJ1094" s="18"/>
      <c r="BK1094" s="18"/>
      <c r="BL1094" s="19">
        <v>0.05</v>
      </c>
      <c r="BM1094" s="18"/>
      <c r="BN1094" s="18"/>
      <c r="BO1094" s="18"/>
      <c r="BP1094" s="18"/>
      <c r="BQ1094" s="18"/>
      <c r="BR1094" s="18"/>
      <c r="BS1094" s="18"/>
      <c r="BT1094" s="18"/>
      <c r="BU1094" s="18"/>
    </row>
    <row r="1095" spans="44:73" x14ac:dyDescent="0.45">
      <c r="AR1095" s="15" t="s">
        <v>328</v>
      </c>
      <c r="AS1095" s="15" t="s">
        <v>567</v>
      </c>
      <c r="AT1095" s="15" t="s">
        <v>716</v>
      </c>
      <c r="AU1095" s="15"/>
      <c r="AV1095" s="15"/>
      <c r="AW1095" s="15"/>
      <c r="AX1095" s="15"/>
      <c r="AY1095" s="15"/>
      <c r="AZ1095" s="18"/>
      <c r="BA1095" s="19">
        <v>2.5000000000000001E-2</v>
      </c>
      <c r="BB1095" s="18"/>
      <c r="BC1095" s="18"/>
      <c r="BD1095" s="18"/>
      <c r="BE1095" s="18"/>
      <c r="BF1095" s="18"/>
      <c r="BG1095" s="18"/>
      <c r="BH1095" s="18"/>
      <c r="BI1095" s="18"/>
      <c r="BJ1095" s="18"/>
      <c r="BK1095" s="18"/>
      <c r="BL1095" s="19">
        <v>0.05</v>
      </c>
      <c r="BM1095" s="18"/>
      <c r="BN1095" s="18"/>
      <c r="BO1095" s="18"/>
      <c r="BP1095" s="18"/>
      <c r="BQ1095" s="18"/>
      <c r="BR1095" s="18"/>
      <c r="BS1095" s="18"/>
      <c r="BT1095" s="18"/>
      <c r="BU1095" s="18"/>
    </row>
    <row r="1096" spans="44:73" x14ac:dyDescent="0.45">
      <c r="AR1096" s="15" t="s">
        <v>328</v>
      </c>
      <c r="AS1096" s="15" t="s">
        <v>567</v>
      </c>
      <c r="AT1096" s="15" t="s">
        <v>717</v>
      </c>
      <c r="AU1096" s="15"/>
      <c r="AV1096" s="15"/>
      <c r="AW1096" s="15"/>
      <c r="AX1096" s="15"/>
      <c r="AY1096" s="15"/>
      <c r="AZ1096" s="18"/>
      <c r="BA1096" s="19">
        <v>2.5000000000000001E-2</v>
      </c>
      <c r="BB1096" s="18"/>
      <c r="BC1096" s="18"/>
      <c r="BD1096" s="18"/>
      <c r="BE1096" s="18"/>
      <c r="BF1096" s="18"/>
      <c r="BG1096" s="18"/>
      <c r="BH1096" s="18"/>
      <c r="BI1096" s="18"/>
      <c r="BJ1096" s="18"/>
      <c r="BK1096" s="18"/>
      <c r="BL1096" s="19">
        <v>0.05</v>
      </c>
      <c r="BM1096" s="18"/>
      <c r="BN1096" s="18"/>
      <c r="BO1096" s="18"/>
      <c r="BP1096" s="18"/>
      <c r="BQ1096" s="18"/>
      <c r="BR1096" s="18"/>
      <c r="BS1096" s="18"/>
      <c r="BT1096" s="18"/>
      <c r="BU1096" s="18"/>
    </row>
    <row r="1097" spans="44:73" x14ac:dyDescent="0.45">
      <c r="AR1097" s="15" t="s">
        <v>328</v>
      </c>
      <c r="AS1097" s="15" t="s">
        <v>567</v>
      </c>
      <c r="AT1097" s="15" t="s">
        <v>718</v>
      </c>
      <c r="AU1097" s="15"/>
      <c r="AV1097" s="15"/>
      <c r="AW1097" s="15"/>
      <c r="AX1097" s="15"/>
      <c r="AY1097" s="15"/>
      <c r="AZ1097" s="18"/>
      <c r="BA1097" s="19">
        <v>2.5000000000000001E-2</v>
      </c>
      <c r="BB1097" s="18"/>
      <c r="BC1097" s="18"/>
      <c r="BD1097" s="18"/>
      <c r="BE1097" s="18"/>
      <c r="BF1097" s="18"/>
      <c r="BG1097" s="18"/>
      <c r="BH1097" s="18"/>
      <c r="BI1097" s="18"/>
      <c r="BJ1097" s="18"/>
      <c r="BK1097" s="18"/>
      <c r="BL1097" s="19">
        <v>0.05</v>
      </c>
      <c r="BM1097" s="18"/>
      <c r="BN1097" s="18"/>
      <c r="BO1097" s="18"/>
      <c r="BP1097" s="18"/>
      <c r="BQ1097" s="18"/>
      <c r="BR1097" s="18"/>
      <c r="BS1097" s="18"/>
      <c r="BT1097" s="18"/>
      <c r="BU1097" s="18"/>
    </row>
    <row r="1098" spans="44:73" x14ac:dyDescent="0.45">
      <c r="AR1098" s="15" t="s">
        <v>328</v>
      </c>
      <c r="AS1098" s="15" t="s">
        <v>567</v>
      </c>
      <c r="AT1098" s="15" t="s">
        <v>719</v>
      </c>
      <c r="AU1098" s="15"/>
      <c r="AV1098" s="15"/>
      <c r="AW1098" s="15"/>
      <c r="AX1098" s="15"/>
      <c r="AY1098" s="15"/>
      <c r="AZ1098" s="18"/>
      <c r="BA1098" s="19">
        <v>2.5000000000000001E-2</v>
      </c>
      <c r="BB1098" s="18"/>
      <c r="BC1098" s="18"/>
      <c r="BD1098" s="18"/>
      <c r="BE1098" s="18"/>
      <c r="BF1098" s="18"/>
      <c r="BG1098" s="18"/>
      <c r="BH1098" s="18"/>
      <c r="BI1098" s="18"/>
      <c r="BJ1098" s="18"/>
      <c r="BK1098" s="18"/>
      <c r="BL1098" s="19">
        <v>0.05</v>
      </c>
      <c r="BM1098" s="18"/>
      <c r="BN1098" s="18"/>
      <c r="BO1098" s="18"/>
      <c r="BP1098" s="18"/>
      <c r="BQ1098" s="18"/>
      <c r="BR1098" s="18"/>
      <c r="BS1098" s="18"/>
      <c r="BT1098" s="18"/>
      <c r="BU1098" s="18"/>
    </row>
    <row r="1099" spans="44:73" x14ac:dyDescent="0.45">
      <c r="AR1099" s="15" t="s">
        <v>328</v>
      </c>
      <c r="AS1099" s="15" t="s">
        <v>567</v>
      </c>
      <c r="AT1099" s="15" t="s">
        <v>720</v>
      </c>
      <c r="AU1099" s="15"/>
      <c r="AV1099" s="15"/>
      <c r="AW1099" s="15"/>
      <c r="AX1099" s="15"/>
      <c r="AY1099" s="15"/>
      <c r="AZ1099" s="18"/>
      <c r="BA1099" s="19">
        <v>2.5000000000000001E-2</v>
      </c>
      <c r="BB1099" s="18"/>
      <c r="BC1099" s="18"/>
      <c r="BD1099" s="18"/>
      <c r="BE1099" s="18"/>
      <c r="BF1099" s="18"/>
      <c r="BG1099" s="18"/>
      <c r="BH1099" s="18"/>
      <c r="BI1099" s="18"/>
      <c r="BJ1099" s="18"/>
      <c r="BK1099" s="18"/>
      <c r="BL1099" s="19">
        <v>0.05</v>
      </c>
      <c r="BM1099" s="18"/>
      <c r="BN1099" s="18"/>
      <c r="BO1099" s="18"/>
      <c r="BP1099" s="18"/>
      <c r="BQ1099" s="18"/>
      <c r="BR1099" s="18"/>
      <c r="BS1099" s="18"/>
      <c r="BT1099" s="18"/>
      <c r="BU1099" s="18"/>
    </row>
    <row r="1100" spans="44:73" x14ac:dyDescent="0.45">
      <c r="AR1100" s="15" t="s">
        <v>328</v>
      </c>
      <c r="AS1100" s="15" t="s">
        <v>567</v>
      </c>
      <c r="AT1100" s="15" t="s">
        <v>721</v>
      </c>
      <c r="AU1100" s="15"/>
      <c r="AV1100" s="15"/>
      <c r="AW1100" s="15"/>
      <c r="AX1100" s="15"/>
      <c r="AY1100" s="15"/>
      <c r="AZ1100" s="18"/>
      <c r="BA1100" s="19">
        <v>2.5000000000000001E-2</v>
      </c>
      <c r="BB1100" s="18"/>
      <c r="BC1100" s="18"/>
      <c r="BD1100" s="18"/>
      <c r="BE1100" s="18"/>
      <c r="BF1100" s="18"/>
      <c r="BG1100" s="18"/>
      <c r="BH1100" s="18"/>
      <c r="BI1100" s="18"/>
      <c r="BJ1100" s="18"/>
      <c r="BK1100" s="18"/>
      <c r="BL1100" s="19">
        <v>0.05</v>
      </c>
      <c r="BM1100" s="18"/>
      <c r="BN1100" s="18"/>
      <c r="BO1100" s="18"/>
      <c r="BP1100" s="18"/>
      <c r="BQ1100" s="18"/>
      <c r="BR1100" s="18"/>
      <c r="BS1100" s="18"/>
      <c r="BT1100" s="18"/>
      <c r="BU1100" s="18"/>
    </row>
    <row r="1101" spans="44:73" x14ac:dyDescent="0.45">
      <c r="AR1101" s="15" t="s">
        <v>328</v>
      </c>
      <c r="AS1101" s="15" t="s">
        <v>567</v>
      </c>
      <c r="AT1101" s="15" t="s">
        <v>722</v>
      </c>
      <c r="AU1101" s="15"/>
      <c r="AV1101" s="15"/>
      <c r="AW1101" s="15"/>
      <c r="AX1101" s="15"/>
      <c r="AY1101" s="15"/>
      <c r="AZ1101" s="18"/>
      <c r="BA1101" s="19">
        <v>2.5000000000000001E-2</v>
      </c>
      <c r="BB1101" s="18"/>
      <c r="BC1101" s="18"/>
      <c r="BD1101" s="18"/>
      <c r="BE1101" s="18"/>
      <c r="BF1101" s="18"/>
      <c r="BG1101" s="18"/>
      <c r="BH1101" s="18"/>
      <c r="BI1101" s="18"/>
      <c r="BJ1101" s="18"/>
      <c r="BK1101" s="18"/>
      <c r="BL1101" s="19">
        <v>0.05</v>
      </c>
      <c r="BM1101" s="18"/>
      <c r="BN1101" s="18"/>
      <c r="BO1101" s="18"/>
      <c r="BP1101" s="18"/>
      <c r="BQ1101" s="18"/>
      <c r="BR1101" s="18"/>
      <c r="BS1101" s="18"/>
      <c r="BT1101" s="18"/>
      <c r="BU1101" s="18"/>
    </row>
    <row r="1102" spans="44:73" x14ac:dyDescent="0.45">
      <c r="AR1102" s="15" t="s">
        <v>328</v>
      </c>
      <c r="AS1102" s="15" t="s">
        <v>567</v>
      </c>
      <c r="AT1102" s="15" t="s">
        <v>723</v>
      </c>
      <c r="AU1102" s="15"/>
      <c r="AV1102" s="15"/>
      <c r="AW1102" s="15"/>
      <c r="AX1102" s="15"/>
      <c r="AY1102" s="15"/>
      <c r="AZ1102" s="18"/>
      <c r="BA1102" s="19">
        <v>2.5000000000000001E-2</v>
      </c>
      <c r="BB1102" s="18"/>
      <c r="BC1102" s="18"/>
      <c r="BD1102" s="18"/>
      <c r="BE1102" s="18"/>
      <c r="BF1102" s="18"/>
      <c r="BG1102" s="18"/>
      <c r="BH1102" s="18"/>
      <c r="BI1102" s="18"/>
      <c r="BJ1102" s="18"/>
      <c r="BK1102" s="18"/>
      <c r="BL1102" s="19">
        <v>0.05</v>
      </c>
      <c r="BM1102" s="18"/>
      <c r="BN1102" s="18"/>
      <c r="BO1102" s="18"/>
      <c r="BP1102" s="18"/>
      <c r="BQ1102" s="18"/>
      <c r="BR1102" s="18"/>
      <c r="BS1102" s="18"/>
      <c r="BT1102" s="18"/>
      <c r="BU1102" s="18"/>
    </row>
    <row r="1103" spans="44:73" x14ac:dyDescent="0.45">
      <c r="AR1103" s="15" t="s">
        <v>328</v>
      </c>
      <c r="AS1103" s="15" t="s">
        <v>567</v>
      </c>
      <c r="AT1103" s="15" t="s">
        <v>724</v>
      </c>
      <c r="AU1103" s="15"/>
      <c r="AV1103" s="15"/>
      <c r="AW1103" s="15"/>
      <c r="AX1103" s="15"/>
      <c r="AY1103" s="15"/>
      <c r="AZ1103" s="18"/>
      <c r="BA1103" s="19">
        <v>2.5000000000000001E-2</v>
      </c>
      <c r="BB1103" s="18"/>
      <c r="BC1103" s="18"/>
      <c r="BD1103" s="18"/>
      <c r="BE1103" s="18"/>
      <c r="BF1103" s="18"/>
      <c r="BG1103" s="18"/>
      <c r="BH1103" s="18"/>
      <c r="BI1103" s="18"/>
      <c r="BJ1103" s="18"/>
      <c r="BK1103" s="18"/>
      <c r="BL1103" s="19">
        <v>0.05</v>
      </c>
      <c r="BM1103" s="18"/>
      <c r="BN1103" s="18"/>
      <c r="BO1103" s="18"/>
      <c r="BP1103" s="18"/>
      <c r="BQ1103" s="18"/>
      <c r="BR1103" s="18"/>
      <c r="BS1103" s="18"/>
      <c r="BT1103" s="18"/>
      <c r="BU1103" s="18"/>
    </row>
    <row r="1104" spans="44:73" x14ac:dyDescent="0.45">
      <c r="AR1104" s="15" t="s">
        <v>328</v>
      </c>
      <c r="AS1104" s="15" t="s">
        <v>567</v>
      </c>
      <c r="AT1104" s="15" t="s">
        <v>725</v>
      </c>
      <c r="AU1104" s="15"/>
      <c r="AV1104" s="15"/>
      <c r="AW1104" s="15"/>
      <c r="AX1104" s="15"/>
      <c r="AY1104" s="15"/>
      <c r="AZ1104" s="18"/>
      <c r="BA1104" s="19">
        <v>2.5000000000000001E-2</v>
      </c>
      <c r="BB1104" s="18"/>
      <c r="BC1104" s="18"/>
      <c r="BD1104" s="18"/>
      <c r="BE1104" s="18"/>
      <c r="BF1104" s="18"/>
      <c r="BG1104" s="18"/>
      <c r="BH1104" s="18"/>
      <c r="BI1104" s="18"/>
      <c r="BJ1104" s="18"/>
      <c r="BK1104" s="18"/>
      <c r="BL1104" s="19">
        <v>0.05</v>
      </c>
      <c r="BM1104" s="18"/>
      <c r="BN1104" s="18"/>
      <c r="BO1104" s="18"/>
      <c r="BP1104" s="18"/>
      <c r="BQ1104" s="18"/>
      <c r="BR1104" s="18"/>
      <c r="BS1104" s="18"/>
      <c r="BT1104" s="18"/>
      <c r="BU1104" s="18"/>
    </row>
    <row r="1105" spans="44:73" x14ac:dyDescent="0.45">
      <c r="AR1105" s="15" t="s">
        <v>328</v>
      </c>
      <c r="AS1105" s="15" t="s">
        <v>567</v>
      </c>
      <c r="AT1105" s="15" t="s">
        <v>726</v>
      </c>
      <c r="AU1105" s="15"/>
      <c r="AV1105" s="15"/>
      <c r="AW1105" s="15"/>
      <c r="AX1105" s="15"/>
      <c r="AY1105" s="15"/>
      <c r="AZ1105" s="18"/>
      <c r="BA1105" s="19">
        <v>2.5000000000000001E-2</v>
      </c>
      <c r="BB1105" s="18"/>
      <c r="BC1105" s="18"/>
      <c r="BD1105" s="18"/>
      <c r="BE1105" s="18"/>
      <c r="BF1105" s="18"/>
      <c r="BG1105" s="18"/>
      <c r="BH1105" s="18"/>
      <c r="BI1105" s="18"/>
      <c r="BJ1105" s="18"/>
      <c r="BK1105" s="18"/>
      <c r="BL1105" s="19">
        <v>0.05</v>
      </c>
      <c r="BM1105" s="18"/>
      <c r="BN1105" s="18"/>
      <c r="BO1105" s="18"/>
      <c r="BP1105" s="18"/>
      <c r="BQ1105" s="18"/>
      <c r="BR1105" s="18"/>
      <c r="BS1105" s="18"/>
      <c r="BT1105" s="18"/>
      <c r="BU1105" s="18"/>
    </row>
    <row r="1106" spans="44:73" x14ac:dyDescent="0.45">
      <c r="AR1106" s="15" t="s">
        <v>328</v>
      </c>
      <c r="AS1106" s="15" t="s">
        <v>567</v>
      </c>
      <c r="AT1106" s="15" t="s">
        <v>727</v>
      </c>
      <c r="AU1106" s="15"/>
      <c r="AV1106" s="15"/>
      <c r="AW1106" s="15"/>
      <c r="AX1106" s="15"/>
      <c r="AY1106" s="15"/>
      <c r="AZ1106" s="18"/>
      <c r="BA1106" s="19">
        <v>2.5000000000000001E-2</v>
      </c>
      <c r="BB1106" s="18"/>
      <c r="BC1106" s="18"/>
      <c r="BD1106" s="18"/>
      <c r="BE1106" s="18"/>
      <c r="BF1106" s="18"/>
      <c r="BG1106" s="18"/>
      <c r="BH1106" s="18"/>
      <c r="BI1106" s="18"/>
      <c r="BJ1106" s="18"/>
      <c r="BK1106" s="18"/>
      <c r="BL1106" s="19">
        <v>0.05</v>
      </c>
      <c r="BM1106" s="18"/>
      <c r="BN1106" s="18"/>
      <c r="BO1106" s="18"/>
      <c r="BP1106" s="18"/>
      <c r="BQ1106" s="18"/>
      <c r="BR1106" s="18"/>
      <c r="BS1106" s="18"/>
      <c r="BT1106" s="18"/>
      <c r="BU1106" s="18"/>
    </row>
    <row r="1107" spans="44:73" x14ac:dyDescent="0.45">
      <c r="AR1107" s="15" t="s">
        <v>328</v>
      </c>
      <c r="AS1107" s="15" t="s">
        <v>567</v>
      </c>
      <c r="AT1107" s="15" t="s">
        <v>728</v>
      </c>
      <c r="AU1107" s="15"/>
      <c r="AV1107" s="15"/>
      <c r="AW1107" s="15"/>
      <c r="AX1107" s="15"/>
      <c r="AY1107" s="15"/>
      <c r="AZ1107" s="18"/>
      <c r="BA1107" s="19">
        <v>2.5000000000000001E-2</v>
      </c>
      <c r="BB1107" s="18"/>
      <c r="BC1107" s="18"/>
      <c r="BD1107" s="18"/>
      <c r="BE1107" s="18"/>
      <c r="BF1107" s="18"/>
      <c r="BG1107" s="18"/>
      <c r="BH1107" s="18"/>
      <c r="BI1107" s="18"/>
      <c r="BJ1107" s="18"/>
      <c r="BK1107" s="18"/>
      <c r="BL1107" s="19">
        <v>0.05</v>
      </c>
      <c r="BM1107" s="18"/>
      <c r="BN1107" s="18"/>
      <c r="BO1107" s="18"/>
      <c r="BP1107" s="18"/>
      <c r="BQ1107" s="18"/>
      <c r="BR1107" s="18"/>
      <c r="BS1107" s="18"/>
      <c r="BT1107" s="18"/>
      <c r="BU1107" s="18"/>
    </row>
    <row r="1108" spans="44:73" x14ac:dyDescent="0.45">
      <c r="AR1108" s="15" t="s">
        <v>328</v>
      </c>
      <c r="AS1108" s="15" t="s">
        <v>567</v>
      </c>
      <c r="AT1108" s="15" t="s">
        <v>729</v>
      </c>
      <c r="AU1108" s="15"/>
      <c r="AV1108" s="15"/>
      <c r="AW1108" s="15"/>
      <c r="AX1108" s="15"/>
      <c r="AY1108" s="15"/>
      <c r="AZ1108" s="18"/>
      <c r="BA1108" s="19">
        <v>2.5000000000000001E-2</v>
      </c>
      <c r="BB1108" s="18"/>
      <c r="BC1108" s="18"/>
      <c r="BD1108" s="18"/>
      <c r="BE1108" s="18"/>
      <c r="BF1108" s="18"/>
      <c r="BG1108" s="18"/>
      <c r="BH1108" s="18"/>
      <c r="BI1108" s="18"/>
      <c r="BJ1108" s="18"/>
      <c r="BK1108" s="18"/>
      <c r="BL1108" s="19">
        <v>0.05</v>
      </c>
      <c r="BM1108" s="18"/>
      <c r="BN1108" s="18"/>
      <c r="BO1108" s="18"/>
      <c r="BP1108" s="18"/>
      <c r="BQ1108" s="18"/>
      <c r="BR1108" s="18"/>
      <c r="BS1108" s="18"/>
      <c r="BT1108" s="18"/>
      <c r="BU1108" s="18"/>
    </row>
    <row r="1109" spans="44:73" x14ac:dyDescent="0.45">
      <c r="AR1109" s="15" t="s">
        <v>328</v>
      </c>
      <c r="AS1109" s="15" t="s">
        <v>567</v>
      </c>
      <c r="AT1109" s="15" t="s">
        <v>730</v>
      </c>
      <c r="AU1109" s="15"/>
      <c r="AV1109" s="15"/>
      <c r="AW1109" s="15"/>
      <c r="AX1109" s="15"/>
      <c r="AY1109" s="15"/>
      <c r="AZ1109" s="18"/>
      <c r="BA1109" s="19">
        <v>2.5000000000000001E-2</v>
      </c>
      <c r="BB1109" s="18"/>
      <c r="BC1109" s="18"/>
      <c r="BD1109" s="18"/>
      <c r="BE1109" s="18"/>
      <c r="BF1109" s="18"/>
      <c r="BG1109" s="18"/>
      <c r="BH1109" s="18"/>
      <c r="BI1109" s="18"/>
      <c r="BJ1109" s="18"/>
      <c r="BK1109" s="18"/>
      <c r="BL1109" s="19">
        <v>0.05</v>
      </c>
      <c r="BM1109" s="18"/>
      <c r="BN1109" s="18"/>
      <c r="BO1109" s="18"/>
      <c r="BP1109" s="18"/>
      <c r="BQ1109" s="18"/>
      <c r="BR1109" s="18"/>
      <c r="BS1109" s="18"/>
      <c r="BT1109" s="18"/>
      <c r="BU1109" s="18"/>
    </row>
    <row r="1110" spans="44:73" x14ac:dyDescent="0.45">
      <c r="AR1110" s="15" t="s">
        <v>328</v>
      </c>
      <c r="AS1110" s="15" t="s">
        <v>567</v>
      </c>
      <c r="AT1110" s="15" t="s">
        <v>731</v>
      </c>
      <c r="AU1110" s="15"/>
      <c r="AV1110" s="15"/>
      <c r="AW1110" s="15"/>
      <c r="AX1110" s="15"/>
      <c r="AY1110" s="15"/>
      <c r="AZ1110" s="18"/>
      <c r="BA1110" s="19">
        <v>2.5000000000000001E-2</v>
      </c>
      <c r="BB1110" s="18"/>
      <c r="BC1110" s="18"/>
      <c r="BD1110" s="18"/>
      <c r="BE1110" s="18"/>
      <c r="BF1110" s="18"/>
      <c r="BG1110" s="18"/>
      <c r="BH1110" s="18"/>
      <c r="BI1110" s="18"/>
      <c r="BJ1110" s="18"/>
      <c r="BK1110" s="18"/>
      <c r="BL1110" s="19">
        <v>0.05</v>
      </c>
      <c r="BM1110" s="18"/>
      <c r="BN1110" s="18"/>
      <c r="BO1110" s="18"/>
      <c r="BP1110" s="18"/>
      <c r="BQ1110" s="18"/>
      <c r="BR1110" s="18"/>
      <c r="BS1110" s="18"/>
      <c r="BT1110" s="18"/>
      <c r="BU1110" s="18"/>
    </row>
    <row r="1111" spans="44:73" x14ac:dyDescent="0.45">
      <c r="AR1111" s="15" t="s">
        <v>328</v>
      </c>
      <c r="AS1111" s="15" t="s">
        <v>567</v>
      </c>
      <c r="AT1111" s="15" t="s">
        <v>732</v>
      </c>
      <c r="AU1111" s="15"/>
      <c r="AV1111" s="15"/>
      <c r="AW1111" s="15"/>
      <c r="AX1111" s="15"/>
      <c r="AY1111" s="15"/>
      <c r="AZ1111" s="18"/>
      <c r="BA1111" s="19">
        <v>2.5000000000000001E-2</v>
      </c>
      <c r="BB1111" s="18"/>
      <c r="BC1111" s="18"/>
      <c r="BD1111" s="18"/>
      <c r="BE1111" s="18"/>
      <c r="BF1111" s="18"/>
      <c r="BG1111" s="18"/>
      <c r="BH1111" s="18"/>
      <c r="BI1111" s="18"/>
      <c r="BJ1111" s="18"/>
      <c r="BK1111" s="18"/>
      <c r="BL1111" s="19">
        <v>0.05</v>
      </c>
      <c r="BM1111" s="18"/>
      <c r="BN1111" s="18"/>
      <c r="BO1111" s="18"/>
      <c r="BP1111" s="18"/>
      <c r="BQ1111" s="18"/>
      <c r="BR1111" s="18"/>
      <c r="BS1111" s="18"/>
      <c r="BT1111" s="18"/>
      <c r="BU1111" s="18"/>
    </row>
    <row r="1112" spans="44:73" x14ac:dyDescent="0.45">
      <c r="AR1112" s="15" t="s">
        <v>328</v>
      </c>
      <c r="AS1112" s="15" t="s">
        <v>567</v>
      </c>
      <c r="AT1112" s="15" t="s">
        <v>733</v>
      </c>
      <c r="AU1112" s="15"/>
      <c r="AV1112" s="15"/>
      <c r="AW1112" s="15"/>
      <c r="AX1112" s="15"/>
      <c r="AY1112" s="15"/>
      <c r="AZ1112" s="18"/>
      <c r="BA1112" s="19">
        <v>2.5000000000000001E-2</v>
      </c>
      <c r="BB1112" s="18"/>
      <c r="BC1112" s="18"/>
      <c r="BD1112" s="18"/>
      <c r="BE1112" s="18"/>
      <c r="BF1112" s="18"/>
      <c r="BG1112" s="18"/>
      <c r="BH1112" s="18"/>
      <c r="BI1112" s="18"/>
      <c r="BJ1112" s="18"/>
      <c r="BK1112" s="18"/>
      <c r="BL1112" s="19">
        <v>0.05</v>
      </c>
      <c r="BM1112" s="18"/>
      <c r="BN1112" s="18"/>
      <c r="BO1112" s="18"/>
      <c r="BP1112" s="18"/>
      <c r="BQ1112" s="18"/>
      <c r="BR1112" s="18"/>
      <c r="BS1112" s="18"/>
      <c r="BT1112" s="18"/>
      <c r="BU1112" s="18"/>
    </row>
    <row r="1113" spans="44:73" x14ac:dyDescent="0.45">
      <c r="AR1113" s="15" t="s">
        <v>328</v>
      </c>
      <c r="AS1113" s="15" t="s">
        <v>567</v>
      </c>
      <c r="AT1113" s="15" t="s">
        <v>734</v>
      </c>
      <c r="AU1113" s="15"/>
      <c r="AV1113" s="15"/>
      <c r="AW1113" s="15"/>
      <c r="AX1113" s="15"/>
      <c r="AY1113" s="15"/>
      <c r="AZ1113" s="18"/>
      <c r="BA1113" s="19">
        <v>2.5000000000000001E-2</v>
      </c>
      <c r="BB1113" s="18"/>
      <c r="BC1113" s="18"/>
      <c r="BD1113" s="18"/>
      <c r="BE1113" s="18"/>
      <c r="BF1113" s="18"/>
      <c r="BG1113" s="18"/>
      <c r="BH1113" s="18"/>
      <c r="BI1113" s="18"/>
      <c r="BJ1113" s="18"/>
      <c r="BK1113" s="18"/>
      <c r="BL1113" s="19">
        <v>0.05</v>
      </c>
      <c r="BM1113" s="18"/>
      <c r="BN1113" s="18"/>
      <c r="BO1113" s="18"/>
      <c r="BP1113" s="18"/>
      <c r="BQ1113" s="18"/>
      <c r="BR1113" s="18"/>
      <c r="BS1113" s="18"/>
      <c r="BT1113" s="18"/>
      <c r="BU1113" s="18"/>
    </row>
    <row r="1114" spans="44:73" x14ac:dyDescent="0.45">
      <c r="AR1114" s="15" t="s">
        <v>328</v>
      </c>
      <c r="AS1114" s="15" t="s">
        <v>567</v>
      </c>
      <c r="AT1114" s="15" t="s">
        <v>735</v>
      </c>
      <c r="AU1114" s="15"/>
      <c r="AV1114" s="15"/>
      <c r="AW1114" s="15"/>
      <c r="AX1114" s="15"/>
      <c r="AY1114" s="15"/>
      <c r="AZ1114" s="18"/>
      <c r="BA1114" s="19">
        <v>2.5000000000000001E-2</v>
      </c>
      <c r="BB1114" s="18"/>
      <c r="BC1114" s="18"/>
      <c r="BD1114" s="18"/>
      <c r="BE1114" s="18"/>
      <c r="BF1114" s="18"/>
      <c r="BG1114" s="18"/>
      <c r="BH1114" s="18"/>
      <c r="BI1114" s="18"/>
      <c r="BJ1114" s="18"/>
      <c r="BK1114" s="18"/>
      <c r="BL1114" s="19">
        <v>0.05</v>
      </c>
      <c r="BM1114" s="18"/>
      <c r="BN1114" s="18"/>
      <c r="BO1114" s="18"/>
      <c r="BP1114" s="18"/>
      <c r="BQ1114" s="18"/>
      <c r="BR1114" s="18"/>
      <c r="BS1114" s="18"/>
      <c r="BT1114" s="18"/>
      <c r="BU1114" s="18"/>
    </row>
    <row r="1115" spans="44:73" x14ac:dyDescent="0.45">
      <c r="AR1115" s="15" t="s">
        <v>328</v>
      </c>
      <c r="AS1115" s="15" t="s">
        <v>567</v>
      </c>
      <c r="AT1115" s="15" t="s">
        <v>736</v>
      </c>
      <c r="AU1115" s="15"/>
      <c r="AV1115" s="15"/>
      <c r="AW1115" s="15"/>
      <c r="AX1115" s="15"/>
      <c r="AY1115" s="15"/>
      <c r="AZ1115" s="18"/>
      <c r="BA1115" s="19">
        <v>2.5000000000000001E-2</v>
      </c>
      <c r="BB1115" s="18"/>
      <c r="BC1115" s="18"/>
      <c r="BD1115" s="18"/>
      <c r="BE1115" s="18"/>
      <c r="BF1115" s="18"/>
      <c r="BG1115" s="18"/>
      <c r="BH1115" s="18"/>
      <c r="BI1115" s="18"/>
      <c r="BJ1115" s="18"/>
      <c r="BK1115" s="18"/>
      <c r="BL1115" s="19">
        <v>0.05</v>
      </c>
      <c r="BM1115" s="18"/>
      <c r="BN1115" s="18"/>
      <c r="BO1115" s="18"/>
      <c r="BP1115" s="18"/>
      <c r="BQ1115" s="18"/>
      <c r="BR1115" s="18"/>
      <c r="BS1115" s="18"/>
      <c r="BT1115" s="18"/>
      <c r="BU1115" s="18"/>
    </row>
    <row r="1116" spans="44:73" x14ac:dyDescent="0.45">
      <c r="AR1116" s="15" t="s">
        <v>328</v>
      </c>
      <c r="AS1116" s="15" t="s">
        <v>567</v>
      </c>
      <c r="AT1116" s="15" t="s">
        <v>737</v>
      </c>
      <c r="AU1116" s="15"/>
      <c r="AV1116" s="15"/>
      <c r="AW1116" s="15"/>
      <c r="AX1116" s="15"/>
      <c r="AY1116" s="15"/>
      <c r="AZ1116" s="18"/>
      <c r="BA1116" s="19">
        <v>2.5000000000000001E-2</v>
      </c>
      <c r="BB1116" s="18"/>
      <c r="BC1116" s="18"/>
      <c r="BD1116" s="18"/>
      <c r="BE1116" s="18"/>
      <c r="BF1116" s="18"/>
      <c r="BG1116" s="18"/>
      <c r="BH1116" s="18"/>
      <c r="BI1116" s="18"/>
      <c r="BJ1116" s="18"/>
      <c r="BK1116" s="18"/>
      <c r="BL1116" s="19">
        <v>0.05</v>
      </c>
      <c r="BM1116" s="18"/>
      <c r="BN1116" s="18"/>
      <c r="BO1116" s="18"/>
      <c r="BP1116" s="18"/>
      <c r="BQ1116" s="18"/>
      <c r="BR1116" s="18"/>
      <c r="BS1116" s="18"/>
      <c r="BT1116" s="18"/>
      <c r="BU1116" s="18"/>
    </row>
    <row r="1117" spans="44:73" x14ac:dyDescent="0.45">
      <c r="AR1117" s="15" t="s">
        <v>328</v>
      </c>
      <c r="AS1117" s="15" t="s">
        <v>567</v>
      </c>
      <c r="AT1117" s="15" t="s">
        <v>738</v>
      </c>
      <c r="AU1117" s="15"/>
      <c r="AV1117" s="15"/>
      <c r="AW1117" s="15"/>
      <c r="AX1117" s="15"/>
      <c r="AY1117" s="15"/>
      <c r="AZ1117" s="18"/>
      <c r="BA1117" s="19">
        <v>2.5000000000000001E-2</v>
      </c>
      <c r="BB1117" s="18"/>
      <c r="BC1117" s="18"/>
      <c r="BD1117" s="18"/>
      <c r="BE1117" s="18"/>
      <c r="BF1117" s="18"/>
      <c r="BG1117" s="18"/>
      <c r="BH1117" s="18"/>
      <c r="BI1117" s="18"/>
      <c r="BJ1117" s="18"/>
      <c r="BK1117" s="18"/>
      <c r="BL1117" s="19">
        <v>0.05</v>
      </c>
      <c r="BM1117" s="18"/>
      <c r="BN1117" s="18"/>
      <c r="BO1117" s="18"/>
      <c r="BP1117" s="18"/>
      <c r="BQ1117" s="18"/>
      <c r="BR1117" s="18"/>
      <c r="BS1117" s="18"/>
      <c r="BT1117" s="18"/>
      <c r="BU1117" s="18"/>
    </row>
    <row r="1118" spans="44:73" x14ac:dyDescent="0.45">
      <c r="AR1118" s="15" t="s">
        <v>328</v>
      </c>
      <c r="AS1118" s="15" t="s">
        <v>567</v>
      </c>
      <c r="AT1118" s="15" t="s">
        <v>739</v>
      </c>
      <c r="AU1118" s="15"/>
      <c r="AV1118" s="15"/>
      <c r="AW1118" s="15"/>
      <c r="AX1118" s="15"/>
      <c r="AY1118" s="15"/>
      <c r="AZ1118" s="18"/>
      <c r="BA1118" s="19">
        <v>2.5000000000000001E-2</v>
      </c>
      <c r="BB1118" s="18"/>
      <c r="BC1118" s="18"/>
      <c r="BD1118" s="18"/>
      <c r="BE1118" s="18"/>
      <c r="BF1118" s="18"/>
      <c r="BG1118" s="18"/>
      <c r="BH1118" s="18"/>
      <c r="BI1118" s="18"/>
      <c r="BJ1118" s="18"/>
      <c r="BK1118" s="18"/>
      <c r="BL1118" s="19">
        <v>0.05</v>
      </c>
      <c r="BM1118" s="18"/>
      <c r="BN1118" s="18"/>
      <c r="BO1118" s="18"/>
      <c r="BP1118" s="18"/>
      <c r="BQ1118" s="18"/>
      <c r="BR1118" s="18"/>
      <c r="BS1118" s="18"/>
      <c r="BT1118" s="18"/>
      <c r="BU1118" s="18"/>
    </row>
    <row r="1119" spans="44:73" x14ac:dyDescent="0.45">
      <c r="AR1119" s="15" t="s">
        <v>328</v>
      </c>
      <c r="AS1119" s="15" t="s">
        <v>567</v>
      </c>
      <c r="AT1119" s="15" t="s">
        <v>740</v>
      </c>
      <c r="AU1119" s="15"/>
      <c r="AV1119" s="15"/>
      <c r="AW1119" s="15"/>
      <c r="AX1119" s="15"/>
      <c r="AY1119" s="15"/>
      <c r="AZ1119" s="18"/>
      <c r="BA1119" s="19">
        <v>2.5000000000000001E-2</v>
      </c>
      <c r="BB1119" s="18"/>
      <c r="BC1119" s="18"/>
      <c r="BD1119" s="18"/>
      <c r="BE1119" s="18"/>
      <c r="BF1119" s="18"/>
      <c r="BG1119" s="18"/>
      <c r="BH1119" s="18"/>
      <c r="BI1119" s="18"/>
      <c r="BJ1119" s="18"/>
      <c r="BK1119" s="18"/>
      <c r="BL1119" s="19">
        <v>0.05</v>
      </c>
      <c r="BM1119" s="18"/>
      <c r="BN1119" s="18"/>
      <c r="BO1119" s="18"/>
      <c r="BP1119" s="18"/>
      <c r="BQ1119" s="18"/>
      <c r="BR1119" s="18"/>
      <c r="BS1119" s="18"/>
      <c r="BT1119" s="18"/>
      <c r="BU1119" s="18"/>
    </row>
    <row r="1120" spans="44:73" x14ac:dyDescent="0.45">
      <c r="AR1120" s="15" t="s">
        <v>328</v>
      </c>
      <c r="AS1120" s="15" t="s">
        <v>567</v>
      </c>
      <c r="AT1120" s="15" t="s">
        <v>741</v>
      </c>
      <c r="AU1120" s="15"/>
      <c r="AV1120" s="15"/>
      <c r="AW1120" s="15"/>
      <c r="AX1120" s="15"/>
      <c r="AY1120" s="15"/>
      <c r="AZ1120" s="18"/>
      <c r="BA1120" s="19">
        <v>2.5000000000000001E-2</v>
      </c>
      <c r="BB1120" s="18"/>
      <c r="BC1120" s="18"/>
      <c r="BD1120" s="18"/>
      <c r="BE1120" s="18"/>
      <c r="BF1120" s="18"/>
      <c r="BG1120" s="18"/>
      <c r="BH1120" s="18"/>
      <c r="BI1120" s="18"/>
      <c r="BJ1120" s="18"/>
      <c r="BK1120" s="18"/>
      <c r="BL1120" s="19">
        <v>0.05</v>
      </c>
      <c r="BM1120" s="18"/>
      <c r="BN1120" s="18"/>
      <c r="BO1120" s="18"/>
      <c r="BP1120" s="18"/>
      <c r="BQ1120" s="18"/>
      <c r="BR1120" s="18"/>
      <c r="BS1120" s="18"/>
      <c r="BT1120" s="18"/>
      <c r="BU1120" s="18"/>
    </row>
    <row r="1121" spans="44:73" x14ac:dyDescent="0.45">
      <c r="AR1121" s="15" t="s">
        <v>328</v>
      </c>
      <c r="AS1121" s="15" t="s">
        <v>567</v>
      </c>
      <c r="AT1121" s="15" t="s">
        <v>742</v>
      </c>
      <c r="AU1121" s="15"/>
      <c r="AV1121" s="15"/>
      <c r="AW1121" s="15"/>
      <c r="AX1121" s="15"/>
      <c r="AY1121" s="15"/>
      <c r="AZ1121" s="18"/>
      <c r="BA1121" s="19">
        <v>2.5000000000000001E-2</v>
      </c>
      <c r="BB1121" s="18"/>
      <c r="BC1121" s="18"/>
      <c r="BD1121" s="18"/>
      <c r="BE1121" s="18"/>
      <c r="BF1121" s="18"/>
      <c r="BG1121" s="18"/>
      <c r="BH1121" s="18"/>
      <c r="BI1121" s="18"/>
      <c r="BJ1121" s="18"/>
      <c r="BK1121" s="18"/>
      <c r="BL1121" s="19">
        <v>0.05</v>
      </c>
      <c r="BM1121" s="18"/>
      <c r="BN1121" s="18"/>
      <c r="BO1121" s="18"/>
      <c r="BP1121" s="18"/>
      <c r="BQ1121" s="18"/>
      <c r="BR1121" s="18"/>
      <c r="BS1121" s="18"/>
      <c r="BT1121" s="18"/>
      <c r="BU1121" s="18"/>
    </row>
    <row r="1122" spans="44:73" x14ac:dyDescent="0.45">
      <c r="AR1122" s="15" t="s">
        <v>328</v>
      </c>
      <c r="AS1122" s="15" t="s">
        <v>567</v>
      </c>
      <c r="AT1122" s="15" t="s">
        <v>743</v>
      </c>
      <c r="AU1122" s="15"/>
      <c r="AV1122" s="15"/>
      <c r="AW1122" s="15"/>
      <c r="AX1122" s="15"/>
      <c r="AY1122" s="15"/>
      <c r="AZ1122" s="18"/>
      <c r="BA1122" s="19">
        <v>2.5000000000000001E-2</v>
      </c>
      <c r="BB1122" s="18"/>
      <c r="BC1122" s="18"/>
      <c r="BD1122" s="18"/>
      <c r="BE1122" s="18"/>
      <c r="BF1122" s="18"/>
      <c r="BG1122" s="18"/>
      <c r="BH1122" s="18"/>
      <c r="BI1122" s="18"/>
      <c r="BJ1122" s="18"/>
      <c r="BK1122" s="18"/>
      <c r="BL1122" s="19">
        <v>0.05</v>
      </c>
      <c r="BM1122" s="18"/>
      <c r="BN1122" s="18"/>
      <c r="BO1122" s="18"/>
      <c r="BP1122" s="18"/>
      <c r="BQ1122" s="18"/>
      <c r="BR1122" s="18"/>
      <c r="BS1122" s="18"/>
      <c r="BT1122" s="18"/>
      <c r="BU1122" s="18"/>
    </row>
    <row r="1123" spans="44:73" x14ac:dyDescent="0.45">
      <c r="AR1123" s="15" t="s">
        <v>328</v>
      </c>
      <c r="AS1123" s="15" t="s">
        <v>567</v>
      </c>
      <c r="AT1123" s="15" t="s">
        <v>744</v>
      </c>
      <c r="AU1123" s="15"/>
      <c r="AV1123" s="15"/>
      <c r="AW1123" s="15"/>
      <c r="AX1123" s="15"/>
      <c r="AY1123" s="15"/>
      <c r="AZ1123" s="18"/>
      <c r="BA1123" s="19">
        <v>2.5000000000000001E-2</v>
      </c>
      <c r="BB1123" s="18"/>
      <c r="BC1123" s="18"/>
      <c r="BD1123" s="18"/>
      <c r="BE1123" s="18"/>
      <c r="BF1123" s="18"/>
      <c r="BG1123" s="18"/>
      <c r="BH1123" s="18"/>
      <c r="BI1123" s="18"/>
      <c r="BJ1123" s="18"/>
      <c r="BK1123" s="18"/>
      <c r="BL1123" s="19">
        <v>0.05</v>
      </c>
      <c r="BM1123" s="18"/>
      <c r="BN1123" s="18"/>
      <c r="BO1123" s="18"/>
      <c r="BP1123" s="18"/>
      <c r="BQ1123" s="18"/>
      <c r="BR1123" s="18"/>
      <c r="BS1123" s="18"/>
      <c r="BT1123" s="18"/>
      <c r="BU1123" s="18"/>
    </row>
    <row r="1124" spans="44:73" x14ac:dyDescent="0.45">
      <c r="AR1124" s="15" t="s">
        <v>328</v>
      </c>
      <c r="AS1124" s="15" t="s">
        <v>567</v>
      </c>
      <c r="AT1124" s="15" t="s">
        <v>745</v>
      </c>
      <c r="AU1124" s="15"/>
      <c r="AV1124" s="15"/>
      <c r="AW1124" s="15"/>
      <c r="AX1124" s="15"/>
      <c r="AY1124" s="15"/>
      <c r="AZ1124" s="18"/>
      <c r="BA1124" s="19">
        <v>2.5000000000000001E-2</v>
      </c>
      <c r="BB1124" s="18"/>
      <c r="BC1124" s="18"/>
      <c r="BD1124" s="18"/>
      <c r="BE1124" s="18"/>
      <c r="BF1124" s="18"/>
      <c r="BG1124" s="18"/>
      <c r="BH1124" s="18"/>
      <c r="BI1124" s="18"/>
      <c r="BJ1124" s="18"/>
      <c r="BK1124" s="18"/>
      <c r="BL1124" s="19">
        <v>0.05</v>
      </c>
      <c r="BM1124" s="18"/>
      <c r="BN1124" s="18"/>
      <c r="BO1124" s="18"/>
      <c r="BP1124" s="18"/>
      <c r="BQ1124" s="18"/>
      <c r="BR1124" s="18"/>
      <c r="BS1124" s="18"/>
      <c r="BT1124" s="18"/>
      <c r="BU1124" s="18"/>
    </row>
    <row r="1125" spans="44:73" x14ac:dyDescent="0.45">
      <c r="AR1125" s="15" t="s">
        <v>328</v>
      </c>
      <c r="AS1125" s="15" t="s">
        <v>567</v>
      </c>
      <c r="AT1125" s="15" t="s">
        <v>746</v>
      </c>
      <c r="AU1125" s="15"/>
      <c r="AV1125" s="15"/>
      <c r="AW1125" s="15"/>
      <c r="AX1125" s="15"/>
      <c r="AY1125" s="15"/>
      <c r="AZ1125" s="18"/>
      <c r="BA1125" s="19">
        <v>2.5000000000000001E-2</v>
      </c>
      <c r="BB1125" s="18"/>
      <c r="BC1125" s="18"/>
      <c r="BD1125" s="18"/>
      <c r="BE1125" s="18"/>
      <c r="BF1125" s="18"/>
      <c r="BG1125" s="18"/>
      <c r="BH1125" s="18"/>
      <c r="BI1125" s="18"/>
      <c r="BJ1125" s="18"/>
      <c r="BK1125" s="18"/>
      <c r="BL1125" s="19">
        <v>0.05</v>
      </c>
      <c r="BM1125" s="18"/>
      <c r="BN1125" s="18"/>
      <c r="BO1125" s="18"/>
      <c r="BP1125" s="18"/>
      <c r="BQ1125" s="18"/>
      <c r="BR1125" s="18"/>
      <c r="BS1125" s="18"/>
      <c r="BT1125" s="18"/>
      <c r="BU1125" s="18"/>
    </row>
    <row r="1126" spans="44:73" x14ac:dyDescent="0.45">
      <c r="AR1126" s="15" t="s">
        <v>328</v>
      </c>
      <c r="AS1126" s="15" t="s">
        <v>567</v>
      </c>
      <c r="AT1126" s="15" t="s">
        <v>747</v>
      </c>
      <c r="AU1126" s="15"/>
      <c r="AV1126" s="15"/>
      <c r="AW1126" s="15"/>
      <c r="AX1126" s="15"/>
      <c r="AY1126" s="15"/>
      <c r="AZ1126" s="18"/>
      <c r="BA1126" s="19">
        <v>2.5000000000000001E-2</v>
      </c>
      <c r="BB1126" s="18"/>
      <c r="BC1126" s="18"/>
      <c r="BD1126" s="18"/>
      <c r="BE1126" s="18"/>
      <c r="BF1126" s="18"/>
      <c r="BG1126" s="18"/>
      <c r="BH1126" s="18"/>
      <c r="BI1126" s="18"/>
      <c r="BJ1126" s="18"/>
      <c r="BK1126" s="18"/>
      <c r="BL1126" s="19">
        <v>0.05</v>
      </c>
      <c r="BM1126" s="18"/>
      <c r="BN1126" s="18"/>
      <c r="BO1126" s="18"/>
      <c r="BP1126" s="18"/>
      <c r="BQ1126" s="18"/>
      <c r="BR1126" s="18"/>
      <c r="BS1126" s="18"/>
      <c r="BT1126" s="18"/>
      <c r="BU1126" s="18"/>
    </row>
    <row r="1127" spans="44:73" x14ac:dyDescent="0.45">
      <c r="AR1127" s="15" t="s">
        <v>328</v>
      </c>
      <c r="AS1127" s="15" t="s">
        <v>567</v>
      </c>
      <c r="AT1127" s="15" t="s">
        <v>748</v>
      </c>
      <c r="AU1127" s="15"/>
      <c r="AV1127" s="15"/>
      <c r="AW1127" s="15"/>
      <c r="AX1127" s="15"/>
      <c r="AY1127" s="15"/>
      <c r="AZ1127" s="18"/>
      <c r="BA1127" s="19">
        <v>2.5000000000000001E-2</v>
      </c>
      <c r="BB1127" s="18"/>
      <c r="BC1127" s="18"/>
      <c r="BD1127" s="18"/>
      <c r="BE1127" s="18"/>
      <c r="BF1127" s="18"/>
      <c r="BG1127" s="18"/>
      <c r="BH1127" s="18"/>
      <c r="BI1127" s="18"/>
      <c r="BJ1127" s="18"/>
      <c r="BK1127" s="18"/>
      <c r="BL1127" s="19">
        <v>0.05</v>
      </c>
      <c r="BM1127" s="18"/>
      <c r="BN1127" s="18"/>
      <c r="BO1127" s="18"/>
      <c r="BP1127" s="18"/>
      <c r="BQ1127" s="18"/>
      <c r="BR1127" s="18"/>
      <c r="BS1127" s="18"/>
      <c r="BT1127" s="18"/>
      <c r="BU1127" s="18"/>
    </row>
    <row r="1128" spans="44:73" x14ac:dyDescent="0.45">
      <c r="AR1128" s="15" t="s">
        <v>328</v>
      </c>
      <c r="AS1128" s="15" t="s">
        <v>567</v>
      </c>
      <c r="AT1128" s="15" t="s">
        <v>749</v>
      </c>
      <c r="AU1128" s="15"/>
      <c r="AV1128" s="15"/>
      <c r="AW1128" s="15"/>
      <c r="AX1128" s="15"/>
      <c r="AY1128" s="15"/>
      <c r="AZ1128" s="18"/>
      <c r="BA1128" s="19">
        <v>2.5000000000000001E-2</v>
      </c>
      <c r="BB1128" s="18"/>
      <c r="BC1128" s="18"/>
      <c r="BD1128" s="18"/>
      <c r="BE1128" s="18"/>
      <c r="BF1128" s="18"/>
      <c r="BG1128" s="18"/>
      <c r="BH1128" s="18"/>
      <c r="BI1128" s="18"/>
      <c r="BJ1128" s="18"/>
      <c r="BK1128" s="18"/>
      <c r="BL1128" s="19">
        <v>0.05</v>
      </c>
      <c r="BM1128" s="18"/>
      <c r="BN1128" s="18"/>
      <c r="BO1128" s="18"/>
      <c r="BP1128" s="18"/>
      <c r="BQ1128" s="18"/>
      <c r="BR1128" s="18"/>
      <c r="BS1128" s="18"/>
      <c r="BT1128" s="18"/>
      <c r="BU1128" s="18"/>
    </row>
    <row r="1129" spans="44:73" x14ac:dyDescent="0.45">
      <c r="AR1129" s="15" t="s">
        <v>328</v>
      </c>
      <c r="AS1129" s="15" t="s">
        <v>567</v>
      </c>
      <c r="AT1129" s="15" t="s">
        <v>750</v>
      </c>
      <c r="AU1129" s="15"/>
      <c r="AV1129" s="15"/>
      <c r="AW1129" s="15"/>
      <c r="AX1129" s="15"/>
      <c r="AY1129" s="15"/>
      <c r="AZ1129" s="18"/>
      <c r="BA1129" s="19">
        <v>2.5000000000000001E-2</v>
      </c>
      <c r="BB1129" s="18"/>
      <c r="BC1129" s="18"/>
      <c r="BD1129" s="18"/>
      <c r="BE1129" s="18"/>
      <c r="BF1129" s="18"/>
      <c r="BG1129" s="18"/>
      <c r="BH1129" s="18"/>
      <c r="BI1129" s="18"/>
      <c r="BJ1129" s="18"/>
      <c r="BK1129" s="18"/>
      <c r="BL1129" s="19">
        <v>0.05</v>
      </c>
      <c r="BM1129" s="18"/>
      <c r="BN1129" s="18"/>
      <c r="BO1129" s="18"/>
      <c r="BP1129" s="18"/>
      <c r="BQ1129" s="18"/>
      <c r="BR1129" s="18"/>
      <c r="BS1129" s="18"/>
      <c r="BT1129" s="18"/>
      <c r="BU1129" s="18"/>
    </row>
    <row r="1130" spans="44:73" x14ac:dyDescent="0.45">
      <c r="AR1130" s="15" t="s">
        <v>328</v>
      </c>
      <c r="AS1130" s="15" t="s">
        <v>567</v>
      </c>
      <c r="AT1130" s="15" t="s">
        <v>751</v>
      </c>
      <c r="AU1130" s="15"/>
      <c r="AV1130" s="15"/>
      <c r="AW1130" s="15"/>
      <c r="AX1130" s="15"/>
      <c r="AY1130" s="15"/>
      <c r="AZ1130" s="18"/>
      <c r="BA1130" s="19">
        <v>2.5000000000000001E-2</v>
      </c>
      <c r="BB1130" s="18"/>
      <c r="BC1130" s="18"/>
      <c r="BD1130" s="18"/>
      <c r="BE1130" s="18"/>
      <c r="BF1130" s="18"/>
      <c r="BG1130" s="18"/>
      <c r="BH1130" s="18"/>
      <c r="BI1130" s="18"/>
      <c r="BJ1130" s="18"/>
      <c r="BK1130" s="18"/>
      <c r="BL1130" s="19">
        <v>0.05</v>
      </c>
      <c r="BM1130" s="18"/>
      <c r="BN1130" s="18"/>
      <c r="BO1130" s="18"/>
      <c r="BP1130" s="18"/>
      <c r="BQ1130" s="18"/>
      <c r="BR1130" s="18"/>
      <c r="BS1130" s="18"/>
      <c r="BT1130" s="18"/>
      <c r="BU1130" s="18"/>
    </row>
    <row r="1131" spans="44:73" x14ac:dyDescent="0.45">
      <c r="AR1131" s="15" t="s">
        <v>328</v>
      </c>
      <c r="AS1131" s="15" t="s">
        <v>567</v>
      </c>
      <c r="AT1131" s="15" t="s">
        <v>752</v>
      </c>
      <c r="AU1131" s="15"/>
      <c r="AV1131" s="15"/>
      <c r="AW1131" s="15"/>
      <c r="AX1131" s="15"/>
      <c r="AY1131" s="15"/>
      <c r="AZ1131" s="18"/>
      <c r="BA1131" s="19">
        <v>2.5000000000000001E-2</v>
      </c>
      <c r="BB1131" s="18"/>
      <c r="BC1131" s="18"/>
      <c r="BD1131" s="18"/>
      <c r="BE1131" s="18"/>
      <c r="BF1131" s="18"/>
      <c r="BG1131" s="18"/>
      <c r="BH1131" s="18"/>
      <c r="BI1131" s="18"/>
      <c r="BJ1131" s="18"/>
      <c r="BK1131" s="18"/>
      <c r="BL1131" s="19">
        <v>0.05</v>
      </c>
      <c r="BM1131" s="18"/>
      <c r="BN1131" s="18"/>
      <c r="BO1131" s="18"/>
      <c r="BP1131" s="18"/>
      <c r="BQ1131" s="18"/>
      <c r="BR1131" s="18"/>
      <c r="BS1131" s="18"/>
      <c r="BT1131" s="18"/>
      <c r="BU1131" s="18"/>
    </row>
    <row r="1132" spans="44:73" x14ac:dyDescent="0.45">
      <c r="AR1132" s="15" t="s">
        <v>328</v>
      </c>
      <c r="AS1132" s="15" t="s">
        <v>567</v>
      </c>
      <c r="AT1132" s="15" t="s">
        <v>753</v>
      </c>
      <c r="AU1132" s="15"/>
      <c r="AV1132" s="15"/>
      <c r="AW1132" s="15"/>
      <c r="AX1132" s="15"/>
      <c r="AY1132" s="15"/>
      <c r="AZ1132" s="18"/>
      <c r="BA1132" s="19">
        <v>2.5000000000000001E-2</v>
      </c>
      <c r="BB1132" s="18"/>
      <c r="BC1132" s="18"/>
      <c r="BD1132" s="18"/>
      <c r="BE1132" s="18"/>
      <c r="BF1132" s="18"/>
      <c r="BG1132" s="18"/>
      <c r="BH1132" s="18"/>
      <c r="BI1132" s="18"/>
      <c r="BJ1132" s="18"/>
      <c r="BK1132" s="18"/>
      <c r="BL1132" s="19">
        <v>0.05</v>
      </c>
      <c r="BM1132" s="18"/>
      <c r="BN1132" s="18"/>
      <c r="BO1132" s="18"/>
      <c r="BP1132" s="18"/>
      <c r="BQ1132" s="18"/>
      <c r="BR1132" s="18"/>
      <c r="BS1132" s="18"/>
      <c r="BT1132" s="18"/>
      <c r="BU1132" s="18"/>
    </row>
    <row r="1133" spans="44:73" x14ac:dyDescent="0.45">
      <c r="AR1133" s="15" t="s">
        <v>328</v>
      </c>
      <c r="AS1133" s="15" t="s">
        <v>567</v>
      </c>
      <c r="AT1133" s="15" t="s">
        <v>754</v>
      </c>
      <c r="AU1133" s="15"/>
      <c r="AV1133" s="15"/>
      <c r="AW1133" s="15"/>
      <c r="AX1133" s="15"/>
      <c r="AY1133" s="15"/>
      <c r="AZ1133" s="18"/>
      <c r="BA1133" s="19">
        <v>2.5000000000000001E-2</v>
      </c>
      <c r="BB1133" s="18"/>
      <c r="BC1133" s="18"/>
      <c r="BD1133" s="18"/>
      <c r="BE1133" s="18"/>
      <c r="BF1133" s="18"/>
      <c r="BG1133" s="18"/>
      <c r="BH1133" s="18"/>
      <c r="BI1133" s="18"/>
      <c r="BJ1133" s="18"/>
      <c r="BK1133" s="18"/>
      <c r="BL1133" s="19">
        <v>0.05</v>
      </c>
      <c r="BM1133" s="18"/>
      <c r="BN1133" s="18"/>
      <c r="BO1133" s="18"/>
      <c r="BP1133" s="18"/>
      <c r="BQ1133" s="18"/>
      <c r="BR1133" s="18"/>
      <c r="BS1133" s="18"/>
      <c r="BT1133" s="18"/>
      <c r="BU1133" s="18"/>
    </row>
    <row r="1134" spans="44:73" x14ac:dyDescent="0.45">
      <c r="AR1134" s="15" t="s">
        <v>328</v>
      </c>
      <c r="AS1134" s="15" t="s">
        <v>567</v>
      </c>
      <c r="AT1134" s="15" t="s">
        <v>755</v>
      </c>
      <c r="AU1134" s="15"/>
      <c r="AV1134" s="15"/>
      <c r="AW1134" s="15"/>
      <c r="AX1134" s="15"/>
      <c r="AY1134" s="15"/>
      <c r="AZ1134" s="18"/>
      <c r="BA1134" s="19">
        <v>2.5000000000000001E-2</v>
      </c>
      <c r="BB1134" s="18"/>
      <c r="BC1134" s="18"/>
      <c r="BD1134" s="18"/>
      <c r="BE1134" s="18"/>
      <c r="BF1134" s="18"/>
      <c r="BG1134" s="18"/>
      <c r="BH1134" s="18"/>
      <c r="BI1134" s="18"/>
      <c r="BJ1134" s="18"/>
      <c r="BK1134" s="18"/>
      <c r="BL1134" s="19">
        <v>0.05</v>
      </c>
      <c r="BM1134" s="18"/>
      <c r="BN1134" s="18"/>
      <c r="BO1134" s="18"/>
      <c r="BP1134" s="18"/>
      <c r="BQ1134" s="18"/>
      <c r="BR1134" s="18"/>
      <c r="BS1134" s="18"/>
      <c r="BT1134" s="18"/>
      <c r="BU1134" s="18"/>
    </row>
    <row r="1135" spans="44:73" x14ac:dyDescent="0.45">
      <c r="AR1135" s="15" t="s">
        <v>328</v>
      </c>
      <c r="AS1135" s="15" t="s">
        <v>567</v>
      </c>
      <c r="AT1135" s="15" t="s">
        <v>756</v>
      </c>
      <c r="AU1135" s="15"/>
      <c r="AV1135" s="15"/>
      <c r="AW1135" s="15"/>
      <c r="AX1135" s="15"/>
      <c r="AY1135" s="15"/>
      <c r="AZ1135" s="18"/>
      <c r="BA1135" s="19">
        <v>2.5000000000000001E-2</v>
      </c>
      <c r="BB1135" s="18"/>
      <c r="BC1135" s="18"/>
      <c r="BD1135" s="18"/>
      <c r="BE1135" s="18"/>
      <c r="BF1135" s="18"/>
      <c r="BG1135" s="18"/>
      <c r="BH1135" s="18"/>
      <c r="BI1135" s="18"/>
      <c r="BJ1135" s="18"/>
      <c r="BK1135" s="18"/>
      <c r="BL1135" s="19">
        <v>0.05</v>
      </c>
      <c r="BM1135" s="18"/>
      <c r="BN1135" s="18"/>
      <c r="BO1135" s="18"/>
      <c r="BP1135" s="18"/>
      <c r="BQ1135" s="18"/>
      <c r="BR1135" s="18"/>
      <c r="BS1135" s="18"/>
      <c r="BT1135" s="18"/>
      <c r="BU1135" s="18"/>
    </row>
    <row r="1136" spans="44:73" x14ac:dyDescent="0.45">
      <c r="AR1136" s="15" t="s">
        <v>328</v>
      </c>
      <c r="AS1136" s="15" t="s">
        <v>567</v>
      </c>
      <c r="AT1136" s="15" t="s">
        <v>757</v>
      </c>
      <c r="AU1136" s="15"/>
      <c r="AV1136" s="15"/>
      <c r="AW1136" s="15"/>
      <c r="AX1136" s="15"/>
      <c r="AY1136" s="15"/>
      <c r="AZ1136" s="18"/>
      <c r="BA1136" s="19">
        <v>2.5000000000000001E-2</v>
      </c>
      <c r="BB1136" s="18"/>
      <c r="BC1136" s="18"/>
      <c r="BD1136" s="18"/>
      <c r="BE1136" s="18"/>
      <c r="BF1136" s="18"/>
      <c r="BG1136" s="18"/>
      <c r="BH1136" s="18"/>
      <c r="BI1136" s="18"/>
      <c r="BJ1136" s="18"/>
      <c r="BK1136" s="18"/>
      <c r="BL1136" s="19">
        <v>0.05</v>
      </c>
      <c r="BM1136" s="18"/>
      <c r="BN1136" s="18"/>
      <c r="BO1136" s="18"/>
      <c r="BP1136" s="18"/>
      <c r="BQ1136" s="18"/>
      <c r="BR1136" s="18"/>
      <c r="BS1136" s="18"/>
      <c r="BT1136" s="18"/>
      <c r="BU1136" s="18"/>
    </row>
    <row r="1137" spans="44:73" x14ac:dyDescent="0.45">
      <c r="AR1137" s="15" t="s">
        <v>328</v>
      </c>
      <c r="AS1137" s="15" t="s">
        <v>567</v>
      </c>
      <c r="AT1137" s="15" t="s">
        <v>758</v>
      </c>
      <c r="AU1137" s="15"/>
      <c r="AV1137" s="15"/>
      <c r="AW1137" s="15"/>
      <c r="AX1137" s="15"/>
      <c r="AY1137" s="15"/>
      <c r="AZ1137" s="18"/>
      <c r="BA1137" s="19">
        <v>2.5000000000000001E-2</v>
      </c>
      <c r="BB1137" s="18"/>
      <c r="BC1137" s="18"/>
      <c r="BD1137" s="18"/>
      <c r="BE1137" s="18"/>
      <c r="BF1137" s="18"/>
      <c r="BG1137" s="18"/>
      <c r="BH1137" s="18"/>
      <c r="BI1137" s="18"/>
      <c r="BJ1137" s="18"/>
      <c r="BK1137" s="18"/>
      <c r="BL1137" s="19">
        <v>0.05</v>
      </c>
      <c r="BM1137" s="18"/>
      <c r="BN1137" s="18"/>
      <c r="BO1137" s="18"/>
      <c r="BP1137" s="18"/>
      <c r="BQ1137" s="18"/>
      <c r="BR1137" s="18"/>
      <c r="BS1137" s="18"/>
      <c r="BT1137" s="18"/>
      <c r="BU1137" s="18"/>
    </row>
    <row r="1138" spans="44:73" x14ac:dyDescent="0.45">
      <c r="AR1138" s="15" t="s">
        <v>328</v>
      </c>
      <c r="AS1138" s="15" t="s">
        <v>567</v>
      </c>
      <c r="AT1138" s="15" t="s">
        <v>759</v>
      </c>
      <c r="AU1138" s="15"/>
      <c r="AV1138" s="15"/>
      <c r="AW1138" s="15"/>
      <c r="AX1138" s="15"/>
      <c r="AY1138" s="15"/>
      <c r="AZ1138" s="18"/>
      <c r="BA1138" s="19">
        <v>2.5000000000000001E-2</v>
      </c>
      <c r="BB1138" s="18"/>
      <c r="BC1138" s="18"/>
      <c r="BD1138" s="18"/>
      <c r="BE1138" s="18"/>
      <c r="BF1138" s="18"/>
      <c r="BG1138" s="18"/>
      <c r="BH1138" s="18"/>
      <c r="BI1138" s="18"/>
      <c r="BJ1138" s="18"/>
      <c r="BK1138" s="18"/>
      <c r="BL1138" s="19">
        <v>0.05</v>
      </c>
      <c r="BM1138" s="18"/>
      <c r="BN1138" s="18"/>
      <c r="BO1138" s="18"/>
      <c r="BP1138" s="18"/>
      <c r="BQ1138" s="18"/>
      <c r="BR1138" s="18"/>
      <c r="BS1138" s="18"/>
      <c r="BT1138" s="18"/>
      <c r="BU1138" s="18"/>
    </row>
    <row r="1139" spans="44:73" x14ac:dyDescent="0.45">
      <c r="AR1139" s="15" t="s">
        <v>328</v>
      </c>
      <c r="AS1139" s="15" t="s">
        <v>567</v>
      </c>
      <c r="AT1139" s="15" t="s">
        <v>760</v>
      </c>
      <c r="AU1139" s="15"/>
      <c r="AV1139" s="15"/>
      <c r="AW1139" s="15"/>
      <c r="AX1139" s="15"/>
      <c r="AY1139" s="15"/>
      <c r="AZ1139" s="18"/>
      <c r="BA1139" s="19">
        <v>2.5000000000000001E-2</v>
      </c>
      <c r="BB1139" s="18"/>
      <c r="BC1139" s="18"/>
      <c r="BD1139" s="18"/>
      <c r="BE1139" s="18"/>
      <c r="BF1139" s="18"/>
      <c r="BG1139" s="18"/>
      <c r="BH1139" s="18"/>
      <c r="BI1139" s="18"/>
      <c r="BJ1139" s="18"/>
      <c r="BK1139" s="18"/>
      <c r="BL1139" s="19">
        <v>0.05</v>
      </c>
      <c r="BM1139" s="18"/>
      <c r="BN1139" s="18"/>
      <c r="BO1139" s="18"/>
      <c r="BP1139" s="18"/>
      <c r="BQ1139" s="18"/>
      <c r="BR1139" s="18"/>
      <c r="BS1139" s="18"/>
      <c r="BT1139" s="18"/>
      <c r="BU1139" s="18"/>
    </row>
    <row r="1140" spans="44:73" x14ac:dyDescent="0.45">
      <c r="AR1140" s="15" t="s">
        <v>328</v>
      </c>
      <c r="AS1140" s="15" t="s">
        <v>567</v>
      </c>
      <c r="AT1140" s="15" t="s">
        <v>761</v>
      </c>
      <c r="AU1140" s="15"/>
      <c r="AV1140" s="15"/>
      <c r="AW1140" s="15"/>
      <c r="AX1140" s="15"/>
      <c r="AY1140" s="15"/>
      <c r="AZ1140" s="18"/>
      <c r="BA1140" s="19">
        <v>2.5000000000000001E-2</v>
      </c>
      <c r="BB1140" s="18"/>
      <c r="BC1140" s="18"/>
      <c r="BD1140" s="18"/>
      <c r="BE1140" s="18"/>
      <c r="BF1140" s="18"/>
      <c r="BG1140" s="18"/>
      <c r="BH1140" s="18"/>
      <c r="BI1140" s="18"/>
      <c r="BJ1140" s="18"/>
      <c r="BK1140" s="18"/>
      <c r="BL1140" s="19">
        <v>0.05</v>
      </c>
      <c r="BM1140" s="18"/>
      <c r="BN1140" s="18"/>
      <c r="BO1140" s="18"/>
      <c r="BP1140" s="18"/>
      <c r="BQ1140" s="18"/>
      <c r="BR1140" s="18"/>
      <c r="BS1140" s="18"/>
      <c r="BT1140" s="18"/>
      <c r="BU1140" s="18"/>
    </row>
    <row r="1141" spans="44:73" x14ac:dyDescent="0.45">
      <c r="AR1141" s="15" t="s">
        <v>328</v>
      </c>
      <c r="AS1141" s="15" t="s">
        <v>567</v>
      </c>
      <c r="AT1141" s="15" t="s">
        <v>762</v>
      </c>
      <c r="AU1141" s="15"/>
      <c r="AV1141" s="15"/>
      <c r="AW1141" s="15"/>
      <c r="AX1141" s="15"/>
      <c r="AY1141" s="15"/>
      <c r="AZ1141" s="18"/>
      <c r="BA1141" s="19">
        <v>2.5000000000000001E-2</v>
      </c>
      <c r="BB1141" s="18"/>
      <c r="BC1141" s="18"/>
      <c r="BD1141" s="18"/>
      <c r="BE1141" s="18"/>
      <c r="BF1141" s="18"/>
      <c r="BG1141" s="18"/>
      <c r="BH1141" s="18"/>
      <c r="BI1141" s="18"/>
      <c r="BJ1141" s="18"/>
      <c r="BK1141" s="18"/>
      <c r="BL1141" s="19">
        <v>0.05</v>
      </c>
      <c r="BM1141" s="18"/>
      <c r="BN1141" s="18"/>
      <c r="BO1141" s="18"/>
      <c r="BP1141" s="18"/>
      <c r="BQ1141" s="18"/>
      <c r="BR1141" s="18"/>
      <c r="BS1141" s="18"/>
      <c r="BT1141" s="18"/>
      <c r="BU1141" s="18"/>
    </row>
    <row r="1142" spans="44:73" x14ac:dyDescent="0.45">
      <c r="AR1142" s="15" t="s">
        <v>328</v>
      </c>
      <c r="AS1142" s="15" t="s">
        <v>567</v>
      </c>
      <c r="AT1142" s="15" t="s">
        <v>763</v>
      </c>
      <c r="AU1142" s="15"/>
      <c r="AV1142" s="15"/>
      <c r="AW1142" s="15"/>
      <c r="AX1142" s="15"/>
      <c r="AY1142" s="15"/>
      <c r="AZ1142" s="18"/>
      <c r="BA1142" s="19">
        <v>2.5000000000000001E-2</v>
      </c>
      <c r="BB1142" s="18"/>
      <c r="BC1142" s="18"/>
      <c r="BD1142" s="18"/>
      <c r="BE1142" s="18"/>
      <c r="BF1142" s="18"/>
      <c r="BG1142" s="18"/>
      <c r="BH1142" s="18"/>
      <c r="BI1142" s="18"/>
      <c r="BJ1142" s="18"/>
      <c r="BK1142" s="18"/>
      <c r="BL1142" s="19">
        <v>0.05</v>
      </c>
      <c r="BM1142" s="18"/>
      <c r="BN1142" s="18"/>
      <c r="BO1142" s="18"/>
      <c r="BP1142" s="18"/>
      <c r="BQ1142" s="18"/>
      <c r="BR1142" s="18"/>
      <c r="BS1142" s="18"/>
      <c r="BT1142" s="18"/>
      <c r="BU1142" s="18"/>
    </row>
    <row r="1143" spans="44:73" x14ac:dyDescent="0.45">
      <c r="AR1143" s="15" t="s">
        <v>328</v>
      </c>
      <c r="AS1143" s="15" t="s">
        <v>567</v>
      </c>
      <c r="AT1143" s="15" t="s">
        <v>764</v>
      </c>
      <c r="AU1143" s="15"/>
      <c r="AV1143" s="15"/>
      <c r="AW1143" s="15"/>
      <c r="AX1143" s="15"/>
      <c r="AY1143" s="15"/>
      <c r="AZ1143" s="18"/>
      <c r="BA1143" s="19">
        <v>2.5000000000000001E-2</v>
      </c>
      <c r="BB1143" s="18"/>
      <c r="BC1143" s="18"/>
      <c r="BD1143" s="18"/>
      <c r="BE1143" s="18"/>
      <c r="BF1143" s="18"/>
      <c r="BG1143" s="18"/>
      <c r="BH1143" s="18"/>
      <c r="BI1143" s="18"/>
      <c r="BJ1143" s="18"/>
      <c r="BK1143" s="18"/>
      <c r="BL1143" s="19">
        <v>0.05</v>
      </c>
      <c r="BM1143" s="18"/>
      <c r="BN1143" s="18"/>
      <c r="BO1143" s="18"/>
      <c r="BP1143" s="18"/>
      <c r="BQ1143" s="18"/>
      <c r="BR1143" s="18"/>
      <c r="BS1143" s="18"/>
      <c r="BT1143" s="18"/>
      <c r="BU1143" s="18"/>
    </row>
    <row r="1144" spans="44:73" x14ac:dyDescent="0.45">
      <c r="AR1144" s="15" t="s">
        <v>328</v>
      </c>
      <c r="AS1144" s="15" t="s">
        <v>567</v>
      </c>
      <c r="AT1144" s="15" t="s">
        <v>765</v>
      </c>
      <c r="AU1144" s="15"/>
      <c r="AV1144" s="15"/>
      <c r="AW1144" s="15"/>
      <c r="AX1144" s="15"/>
      <c r="AY1144" s="15"/>
      <c r="AZ1144" s="18"/>
      <c r="BA1144" s="19">
        <v>2.5000000000000001E-2</v>
      </c>
      <c r="BB1144" s="18"/>
      <c r="BC1144" s="18"/>
      <c r="BD1144" s="18"/>
      <c r="BE1144" s="18"/>
      <c r="BF1144" s="18"/>
      <c r="BG1144" s="18"/>
      <c r="BH1144" s="18"/>
      <c r="BI1144" s="18"/>
      <c r="BJ1144" s="18"/>
      <c r="BK1144" s="18"/>
      <c r="BL1144" s="19">
        <v>0.05</v>
      </c>
      <c r="BM1144" s="18"/>
      <c r="BN1144" s="18"/>
      <c r="BO1144" s="18"/>
      <c r="BP1144" s="18"/>
      <c r="BQ1144" s="18"/>
      <c r="BR1144" s="18"/>
      <c r="BS1144" s="18"/>
      <c r="BT1144" s="18"/>
      <c r="BU1144" s="18"/>
    </row>
    <row r="1145" spans="44:73" x14ac:dyDescent="0.45">
      <c r="AR1145" s="15" t="s">
        <v>328</v>
      </c>
      <c r="AS1145" s="15" t="s">
        <v>567</v>
      </c>
      <c r="AT1145" s="15" t="s">
        <v>766</v>
      </c>
      <c r="AU1145" s="15"/>
      <c r="AV1145" s="15"/>
      <c r="AW1145" s="15"/>
      <c r="AX1145" s="15"/>
      <c r="AY1145" s="15"/>
      <c r="AZ1145" s="18"/>
      <c r="BA1145" s="19">
        <v>2.5000000000000001E-2</v>
      </c>
      <c r="BB1145" s="18"/>
      <c r="BC1145" s="18"/>
      <c r="BD1145" s="18"/>
      <c r="BE1145" s="18"/>
      <c r="BF1145" s="18"/>
      <c r="BG1145" s="18"/>
      <c r="BH1145" s="18"/>
      <c r="BI1145" s="18"/>
      <c r="BJ1145" s="18"/>
      <c r="BK1145" s="18"/>
      <c r="BL1145" s="19">
        <v>0.05</v>
      </c>
      <c r="BM1145" s="18"/>
      <c r="BN1145" s="18"/>
      <c r="BO1145" s="18"/>
      <c r="BP1145" s="18"/>
      <c r="BQ1145" s="18"/>
      <c r="BR1145" s="18"/>
      <c r="BS1145" s="18"/>
      <c r="BT1145" s="18"/>
      <c r="BU1145" s="18"/>
    </row>
    <row r="1146" spans="44:73" x14ac:dyDescent="0.45">
      <c r="AR1146" s="15" t="s">
        <v>328</v>
      </c>
      <c r="AS1146" s="15" t="s">
        <v>567</v>
      </c>
      <c r="AT1146" s="15" t="s">
        <v>767</v>
      </c>
      <c r="AU1146" s="15"/>
      <c r="AV1146" s="15"/>
      <c r="AW1146" s="15"/>
      <c r="AX1146" s="15"/>
      <c r="AY1146" s="15"/>
      <c r="AZ1146" s="18"/>
      <c r="BA1146" s="19">
        <v>2.5000000000000001E-2</v>
      </c>
      <c r="BB1146" s="18"/>
      <c r="BC1146" s="18"/>
      <c r="BD1146" s="18"/>
      <c r="BE1146" s="18"/>
      <c r="BF1146" s="18"/>
      <c r="BG1146" s="18"/>
      <c r="BH1146" s="18"/>
      <c r="BI1146" s="18"/>
      <c r="BJ1146" s="18"/>
      <c r="BK1146" s="18"/>
      <c r="BL1146" s="19">
        <v>0.05</v>
      </c>
      <c r="BM1146" s="18"/>
      <c r="BN1146" s="18"/>
      <c r="BO1146" s="18"/>
      <c r="BP1146" s="18"/>
      <c r="BQ1146" s="18"/>
      <c r="BR1146" s="18"/>
      <c r="BS1146" s="18"/>
      <c r="BT1146" s="18"/>
      <c r="BU1146" s="18"/>
    </row>
    <row r="1147" spans="44:73" x14ac:dyDescent="0.45">
      <c r="AR1147" s="15" t="s">
        <v>328</v>
      </c>
      <c r="AS1147" s="15" t="s">
        <v>567</v>
      </c>
      <c r="AT1147" s="15" t="s">
        <v>768</v>
      </c>
      <c r="AU1147" s="15"/>
      <c r="AV1147" s="15"/>
      <c r="AW1147" s="15"/>
      <c r="AX1147" s="15"/>
      <c r="AY1147" s="15"/>
      <c r="AZ1147" s="18"/>
      <c r="BA1147" s="19">
        <v>2.5000000000000001E-2</v>
      </c>
      <c r="BB1147" s="18"/>
      <c r="BC1147" s="18"/>
      <c r="BD1147" s="18"/>
      <c r="BE1147" s="18"/>
      <c r="BF1147" s="18"/>
      <c r="BG1147" s="18"/>
      <c r="BH1147" s="18"/>
      <c r="BI1147" s="18"/>
      <c r="BJ1147" s="18"/>
      <c r="BK1147" s="18"/>
      <c r="BL1147" s="19">
        <v>0.05</v>
      </c>
      <c r="BM1147" s="18"/>
      <c r="BN1147" s="18"/>
      <c r="BO1147" s="18"/>
      <c r="BP1147" s="18"/>
      <c r="BQ1147" s="18"/>
      <c r="BR1147" s="18"/>
      <c r="BS1147" s="18"/>
      <c r="BT1147" s="18"/>
      <c r="BU1147" s="18"/>
    </row>
    <row r="1148" spans="44:73" x14ac:dyDescent="0.45">
      <c r="AR1148" s="15" t="s">
        <v>328</v>
      </c>
      <c r="AS1148" s="15" t="s">
        <v>567</v>
      </c>
      <c r="AT1148" s="15" t="s">
        <v>769</v>
      </c>
      <c r="AU1148" s="15"/>
      <c r="AV1148" s="15"/>
      <c r="AW1148" s="15"/>
      <c r="AX1148" s="15"/>
      <c r="AY1148" s="15"/>
      <c r="AZ1148" s="18"/>
      <c r="BA1148" s="19">
        <v>2.5000000000000001E-2</v>
      </c>
      <c r="BB1148" s="18"/>
      <c r="BC1148" s="18"/>
      <c r="BD1148" s="18"/>
      <c r="BE1148" s="18"/>
      <c r="BF1148" s="18"/>
      <c r="BG1148" s="18"/>
      <c r="BH1148" s="18"/>
      <c r="BI1148" s="18"/>
      <c r="BJ1148" s="18"/>
      <c r="BK1148" s="18"/>
      <c r="BL1148" s="19">
        <v>0.05</v>
      </c>
      <c r="BM1148" s="18"/>
      <c r="BN1148" s="18"/>
      <c r="BO1148" s="18"/>
      <c r="BP1148" s="18"/>
      <c r="BQ1148" s="18"/>
      <c r="BR1148" s="18"/>
      <c r="BS1148" s="18"/>
      <c r="BT1148" s="18"/>
      <c r="BU1148" s="18"/>
    </row>
    <row r="1149" spans="44:73" x14ac:dyDescent="0.45">
      <c r="AR1149" s="15" t="s">
        <v>328</v>
      </c>
      <c r="AS1149" s="15" t="s">
        <v>567</v>
      </c>
      <c r="AT1149" s="15" t="s">
        <v>770</v>
      </c>
      <c r="AU1149" s="15"/>
      <c r="AV1149" s="15"/>
      <c r="AW1149" s="15"/>
      <c r="AX1149" s="15"/>
      <c r="AY1149" s="15"/>
      <c r="AZ1149" s="18"/>
      <c r="BA1149" s="19">
        <v>2.5000000000000001E-2</v>
      </c>
      <c r="BB1149" s="18"/>
      <c r="BC1149" s="18"/>
      <c r="BD1149" s="18"/>
      <c r="BE1149" s="18"/>
      <c r="BF1149" s="18"/>
      <c r="BG1149" s="18"/>
      <c r="BH1149" s="18"/>
      <c r="BI1149" s="18"/>
      <c r="BJ1149" s="18"/>
      <c r="BK1149" s="18"/>
      <c r="BL1149" s="19">
        <v>0.05</v>
      </c>
      <c r="BM1149" s="18"/>
      <c r="BN1149" s="18"/>
      <c r="BO1149" s="18"/>
      <c r="BP1149" s="18"/>
      <c r="BQ1149" s="18"/>
      <c r="BR1149" s="18"/>
      <c r="BS1149" s="18"/>
      <c r="BT1149" s="18"/>
      <c r="BU1149" s="18"/>
    </row>
    <row r="1150" spans="44:73" x14ac:dyDescent="0.45">
      <c r="AR1150" s="15" t="s">
        <v>328</v>
      </c>
      <c r="AS1150" s="15" t="s">
        <v>567</v>
      </c>
      <c r="AT1150" s="15" t="s">
        <v>771</v>
      </c>
      <c r="AU1150" s="15"/>
      <c r="AV1150" s="15"/>
      <c r="AW1150" s="15"/>
      <c r="AX1150" s="15"/>
      <c r="AY1150" s="15"/>
      <c r="AZ1150" s="18"/>
      <c r="BA1150" s="19">
        <v>2.5000000000000001E-2</v>
      </c>
      <c r="BB1150" s="18"/>
      <c r="BC1150" s="18"/>
      <c r="BD1150" s="18"/>
      <c r="BE1150" s="18"/>
      <c r="BF1150" s="18"/>
      <c r="BG1150" s="18"/>
      <c r="BH1150" s="18"/>
      <c r="BI1150" s="18"/>
      <c r="BJ1150" s="18"/>
      <c r="BK1150" s="18"/>
      <c r="BL1150" s="19">
        <v>0.05</v>
      </c>
      <c r="BM1150" s="18"/>
      <c r="BN1150" s="18"/>
      <c r="BO1150" s="18"/>
      <c r="BP1150" s="18"/>
      <c r="BQ1150" s="18"/>
      <c r="BR1150" s="18"/>
      <c r="BS1150" s="18"/>
      <c r="BT1150" s="18"/>
      <c r="BU1150" s="18"/>
    </row>
    <row r="1151" spans="44:73" x14ac:dyDescent="0.45">
      <c r="AR1151" s="15" t="s">
        <v>328</v>
      </c>
      <c r="AS1151" s="15" t="s">
        <v>567</v>
      </c>
      <c r="AT1151" s="15" t="s">
        <v>772</v>
      </c>
      <c r="AU1151" s="15"/>
      <c r="AV1151" s="15"/>
      <c r="AW1151" s="15"/>
      <c r="AX1151" s="15"/>
      <c r="AY1151" s="15"/>
      <c r="AZ1151" s="18"/>
      <c r="BA1151" s="19">
        <v>2.5000000000000001E-2</v>
      </c>
      <c r="BB1151" s="18"/>
      <c r="BC1151" s="18"/>
      <c r="BD1151" s="18"/>
      <c r="BE1151" s="18"/>
      <c r="BF1151" s="18"/>
      <c r="BG1151" s="18"/>
      <c r="BH1151" s="18"/>
      <c r="BI1151" s="18"/>
      <c r="BJ1151" s="18"/>
      <c r="BK1151" s="18"/>
      <c r="BL1151" s="19">
        <v>0.05</v>
      </c>
      <c r="BM1151" s="18"/>
      <c r="BN1151" s="18"/>
      <c r="BO1151" s="18"/>
      <c r="BP1151" s="18"/>
      <c r="BQ1151" s="18"/>
      <c r="BR1151" s="18"/>
      <c r="BS1151" s="18"/>
      <c r="BT1151" s="18"/>
      <c r="BU1151" s="18"/>
    </row>
    <row r="1152" spans="44:73" x14ac:dyDescent="0.45">
      <c r="AR1152" s="15" t="s">
        <v>328</v>
      </c>
      <c r="AS1152" s="15" t="s">
        <v>567</v>
      </c>
      <c r="AT1152" s="15" t="s">
        <v>773</v>
      </c>
      <c r="AU1152" s="15"/>
      <c r="AV1152" s="15"/>
      <c r="AW1152" s="15"/>
      <c r="AX1152" s="15"/>
      <c r="AY1152" s="15"/>
      <c r="AZ1152" s="18"/>
      <c r="BA1152" s="19">
        <v>2.5000000000000001E-2</v>
      </c>
      <c r="BB1152" s="18"/>
      <c r="BC1152" s="18"/>
      <c r="BD1152" s="18"/>
      <c r="BE1152" s="18"/>
      <c r="BF1152" s="18"/>
      <c r="BG1152" s="18"/>
      <c r="BH1152" s="18"/>
      <c r="BI1152" s="18"/>
      <c r="BJ1152" s="18"/>
      <c r="BK1152" s="18"/>
      <c r="BL1152" s="19">
        <v>0.05</v>
      </c>
      <c r="BM1152" s="18"/>
      <c r="BN1152" s="18"/>
      <c r="BO1152" s="18"/>
      <c r="BP1152" s="18"/>
      <c r="BQ1152" s="18"/>
      <c r="BR1152" s="18"/>
      <c r="BS1152" s="18"/>
      <c r="BT1152" s="18"/>
      <c r="BU1152" s="18"/>
    </row>
    <row r="1153" spans="44:73" x14ac:dyDescent="0.45">
      <c r="AR1153" s="15" t="s">
        <v>328</v>
      </c>
      <c r="AS1153" s="15" t="s">
        <v>567</v>
      </c>
      <c r="AT1153" s="15" t="s">
        <v>774</v>
      </c>
      <c r="AU1153" s="15"/>
      <c r="AV1153" s="15"/>
      <c r="AW1153" s="15"/>
      <c r="AX1153" s="15"/>
      <c r="AY1153" s="15"/>
      <c r="AZ1153" s="18"/>
      <c r="BA1153" s="19">
        <v>2.5000000000000001E-2</v>
      </c>
      <c r="BB1153" s="18"/>
      <c r="BC1153" s="18"/>
      <c r="BD1153" s="18"/>
      <c r="BE1153" s="18"/>
      <c r="BF1153" s="18"/>
      <c r="BG1153" s="18"/>
      <c r="BH1153" s="18"/>
      <c r="BI1153" s="18"/>
      <c r="BJ1153" s="18"/>
      <c r="BK1153" s="18"/>
      <c r="BL1153" s="19">
        <v>0.05</v>
      </c>
      <c r="BM1153" s="18"/>
      <c r="BN1153" s="18"/>
      <c r="BO1153" s="18"/>
      <c r="BP1153" s="18"/>
      <c r="BQ1153" s="18"/>
      <c r="BR1153" s="18"/>
      <c r="BS1153" s="18"/>
      <c r="BT1153" s="18"/>
      <c r="BU1153" s="18"/>
    </row>
    <row r="1154" spans="44:73" x14ac:dyDescent="0.45">
      <c r="AR1154" s="15" t="s">
        <v>328</v>
      </c>
      <c r="AS1154" s="15" t="s">
        <v>567</v>
      </c>
      <c r="AT1154" s="15" t="s">
        <v>775</v>
      </c>
      <c r="AU1154" s="15"/>
      <c r="AV1154" s="15"/>
      <c r="AW1154" s="15"/>
      <c r="AX1154" s="15"/>
      <c r="AY1154" s="15"/>
      <c r="AZ1154" s="18"/>
      <c r="BA1154" s="19">
        <v>2.5000000000000001E-2</v>
      </c>
      <c r="BB1154" s="18"/>
      <c r="BC1154" s="18"/>
      <c r="BD1154" s="18"/>
      <c r="BE1154" s="18"/>
      <c r="BF1154" s="18"/>
      <c r="BG1154" s="18"/>
      <c r="BH1154" s="18"/>
      <c r="BI1154" s="18"/>
      <c r="BJ1154" s="18"/>
      <c r="BK1154" s="18"/>
      <c r="BL1154" s="19">
        <v>0.05</v>
      </c>
      <c r="BM1154" s="18"/>
      <c r="BN1154" s="18"/>
      <c r="BO1154" s="18"/>
      <c r="BP1154" s="18"/>
      <c r="BQ1154" s="18"/>
      <c r="BR1154" s="18"/>
      <c r="BS1154" s="18"/>
      <c r="BT1154" s="18"/>
      <c r="BU1154" s="18"/>
    </row>
    <row r="1155" spans="44:73" x14ac:dyDescent="0.45">
      <c r="AR1155" s="15" t="s">
        <v>328</v>
      </c>
      <c r="AS1155" s="15" t="s">
        <v>567</v>
      </c>
      <c r="AT1155" s="15" t="s">
        <v>776</v>
      </c>
      <c r="AU1155" s="15"/>
      <c r="AV1155" s="15"/>
      <c r="AW1155" s="15"/>
      <c r="AX1155" s="15"/>
      <c r="AY1155" s="15"/>
      <c r="AZ1155" s="18"/>
      <c r="BA1155" s="19">
        <v>2.5000000000000001E-2</v>
      </c>
      <c r="BB1155" s="18"/>
      <c r="BC1155" s="18"/>
      <c r="BD1155" s="18"/>
      <c r="BE1155" s="18"/>
      <c r="BF1155" s="18"/>
      <c r="BG1155" s="18"/>
      <c r="BH1155" s="18"/>
      <c r="BI1155" s="18"/>
      <c r="BJ1155" s="18"/>
      <c r="BK1155" s="18"/>
      <c r="BL1155" s="19">
        <v>0.05</v>
      </c>
      <c r="BM1155" s="18"/>
      <c r="BN1155" s="18"/>
      <c r="BO1155" s="18"/>
      <c r="BP1155" s="18"/>
      <c r="BQ1155" s="18"/>
      <c r="BR1155" s="18"/>
      <c r="BS1155" s="18"/>
      <c r="BT1155" s="18"/>
      <c r="BU1155" s="18"/>
    </row>
    <row r="1156" spans="44:73" x14ac:dyDescent="0.45">
      <c r="AR1156" s="15" t="s">
        <v>328</v>
      </c>
      <c r="AS1156" s="15" t="s">
        <v>567</v>
      </c>
      <c r="AT1156" s="15" t="s">
        <v>777</v>
      </c>
      <c r="AU1156" s="15"/>
      <c r="AV1156" s="15"/>
      <c r="AW1156" s="15"/>
      <c r="AX1156" s="15"/>
      <c r="AY1156" s="15"/>
      <c r="AZ1156" s="18"/>
      <c r="BA1156" s="19">
        <v>2.5000000000000001E-2</v>
      </c>
      <c r="BB1156" s="18"/>
      <c r="BC1156" s="18"/>
      <c r="BD1156" s="18"/>
      <c r="BE1156" s="18"/>
      <c r="BF1156" s="18"/>
      <c r="BG1156" s="18"/>
      <c r="BH1156" s="18"/>
      <c r="BI1156" s="18"/>
      <c r="BJ1156" s="18"/>
      <c r="BK1156" s="18"/>
      <c r="BL1156" s="19">
        <v>0.05</v>
      </c>
      <c r="BM1156" s="18"/>
      <c r="BN1156" s="18"/>
      <c r="BO1156" s="18"/>
      <c r="BP1156" s="18"/>
      <c r="BQ1156" s="18"/>
      <c r="BR1156" s="18"/>
      <c r="BS1156" s="18"/>
      <c r="BT1156" s="18"/>
      <c r="BU1156" s="18"/>
    </row>
    <row r="1157" spans="44:73" x14ac:dyDescent="0.45">
      <c r="AR1157" s="15" t="s">
        <v>328</v>
      </c>
      <c r="AS1157" s="15" t="s">
        <v>567</v>
      </c>
      <c r="AT1157" s="15" t="s">
        <v>778</v>
      </c>
      <c r="AU1157" s="15"/>
      <c r="AV1157" s="15"/>
      <c r="AW1157" s="15"/>
      <c r="AX1157" s="15"/>
      <c r="AY1157" s="15"/>
      <c r="AZ1157" s="18"/>
      <c r="BA1157" s="19">
        <v>2.5000000000000001E-2</v>
      </c>
      <c r="BB1157" s="18"/>
      <c r="BC1157" s="18"/>
      <c r="BD1157" s="18"/>
      <c r="BE1157" s="18"/>
      <c r="BF1157" s="18"/>
      <c r="BG1157" s="18"/>
      <c r="BH1157" s="18"/>
      <c r="BI1157" s="18"/>
      <c r="BJ1157" s="18"/>
      <c r="BK1157" s="18"/>
      <c r="BL1157" s="19">
        <v>0.05</v>
      </c>
      <c r="BM1157" s="18"/>
      <c r="BN1157" s="18"/>
      <c r="BO1157" s="18"/>
      <c r="BP1157" s="18"/>
      <c r="BQ1157" s="18"/>
      <c r="BR1157" s="18"/>
      <c r="BS1157" s="18"/>
      <c r="BT1157" s="18"/>
      <c r="BU1157" s="18"/>
    </row>
    <row r="1158" spans="44:73" x14ac:dyDescent="0.45">
      <c r="AR1158" s="15" t="s">
        <v>328</v>
      </c>
      <c r="AS1158" s="15" t="s">
        <v>567</v>
      </c>
      <c r="AT1158" s="15" t="s">
        <v>779</v>
      </c>
      <c r="AU1158" s="15"/>
      <c r="AV1158" s="15"/>
      <c r="AW1158" s="15"/>
      <c r="AX1158" s="15"/>
      <c r="AY1158" s="15"/>
      <c r="AZ1158" s="18"/>
      <c r="BA1158" s="19">
        <v>2.5000000000000001E-2</v>
      </c>
      <c r="BB1158" s="18"/>
      <c r="BC1158" s="18"/>
      <c r="BD1158" s="18"/>
      <c r="BE1158" s="18"/>
      <c r="BF1158" s="18"/>
      <c r="BG1158" s="18"/>
      <c r="BH1158" s="18"/>
      <c r="BI1158" s="18"/>
      <c r="BJ1158" s="18"/>
      <c r="BK1158" s="18"/>
      <c r="BL1158" s="19">
        <v>0.05</v>
      </c>
      <c r="BM1158" s="18"/>
      <c r="BN1158" s="18"/>
      <c r="BO1158" s="18"/>
      <c r="BP1158" s="18"/>
      <c r="BQ1158" s="18"/>
      <c r="BR1158" s="18"/>
      <c r="BS1158" s="18"/>
      <c r="BT1158" s="18"/>
      <c r="BU1158" s="18"/>
    </row>
    <row r="1159" spans="44:73" x14ac:dyDescent="0.45">
      <c r="AR1159" s="15" t="s">
        <v>328</v>
      </c>
      <c r="AS1159" s="15" t="s">
        <v>567</v>
      </c>
      <c r="AT1159" s="15" t="s">
        <v>780</v>
      </c>
      <c r="AU1159" s="15"/>
      <c r="AV1159" s="15"/>
      <c r="AW1159" s="15"/>
      <c r="AX1159" s="15"/>
      <c r="AY1159" s="15"/>
      <c r="AZ1159" s="18"/>
      <c r="BA1159" s="19">
        <v>2.5000000000000001E-2</v>
      </c>
      <c r="BB1159" s="18"/>
      <c r="BC1159" s="18"/>
      <c r="BD1159" s="18"/>
      <c r="BE1159" s="18"/>
      <c r="BF1159" s="18"/>
      <c r="BG1159" s="18"/>
      <c r="BH1159" s="18"/>
      <c r="BI1159" s="18"/>
      <c r="BJ1159" s="18"/>
      <c r="BK1159" s="18"/>
      <c r="BL1159" s="19">
        <v>0.05</v>
      </c>
      <c r="BM1159" s="18"/>
      <c r="BN1159" s="18"/>
      <c r="BO1159" s="18"/>
      <c r="BP1159" s="18"/>
      <c r="BQ1159" s="18"/>
      <c r="BR1159" s="18"/>
      <c r="BS1159" s="18"/>
      <c r="BT1159" s="18"/>
      <c r="BU1159" s="18"/>
    </row>
    <row r="1160" spans="44:73" x14ac:dyDescent="0.45">
      <c r="AR1160" s="15" t="s">
        <v>328</v>
      </c>
      <c r="AS1160" s="15" t="s">
        <v>567</v>
      </c>
      <c r="AT1160" s="15" t="s">
        <v>781</v>
      </c>
      <c r="AU1160" s="15"/>
      <c r="AV1160" s="15"/>
      <c r="AW1160" s="15"/>
      <c r="AX1160" s="15"/>
      <c r="AY1160" s="15"/>
      <c r="AZ1160" s="18"/>
      <c r="BA1160" s="19">
        <v>2.5000000000000001E-2</v>
      </c>
      <c r="BB1160" s="18"/>
      <c r="BC1160" s="18"/>
      <c r="BD1160" s="18"/>
      <c r="BE1160" s="18"/>
      <c r="BF1160" s="18"/>
      <c r="BG1160" s="18"/>
      <c r="BH1160" s="18"/>
      <c r="BI1160" s="18"/>
      <c r="BJ1160" s="18"/>
      <c r="BK1160" s="18"/>
      <c r="BL1160" s="19">
        <v>0.05</v>
      </c>
      <c r="BM1160" s="18"/>
      <c r="BN1160" s="18"/>
      <c r="BO1160" s="18"/>
      <c r="BP1160" s="18"/>
      <c r="BQ1160" s="18"/>
      <c r="BR1160" s="18"/>
      <c r="BS1160" s="18"/>
      <c r="BT1160" s="18"/>
      <c r="BU1160" s="18"/>
    </row>
    <row r="1161" spans="44:73" x14ac:dyDescent="0.45">
      <c r="AR1161" s="15" t="s">
        <v>328</v>
      </c>
      <c r="AS1161" s="15" t="s">
        <v>567</v>
      </c>
      <c r="AT1161" s="15" t="s">
        <v>782</v>
      </c>
      <c r="AU1161" s="15"/>
      <c r="AV1161" s="15"/>
      <c r="AW1161" s="15"/>
      <c r="AX1161" s="15"/>
      <c r="AY1161" s="15"/>
      <c r="AZ1161" s="18"/>
      <c r="BA1161" s="19">
        <v>2.5000000000000001E-2</v>
      </c>
      <c r="BB1161" s="18"/>
      <c r="BC1161" s="18"/>
      <c r="BD1161" s="18"/>
      <c r="BE1161" s="18"/>
      <c r="BF1161" s="18"/>
      <c r="BG1161" s="18"/>
      <c r="BH1161" s="18"/>
      <c r="BI1161" s="18"/>
      <c r="BJ1161" s="18"/>
      <c r="BK1161" s="18"/>
      <c r="BL1161" s="19">
        <v>0.05</v>
      </c>
      <c r="BM1161" s="18"/>
      <c r="BN1161" s="18"/>
      <c r="BO1161" s="18"/>
      <c r="BP1161" s="18"/>
      <c r="BQ1161" s="18"/>
      <c r="BR1161" s="18"/>
      <c r="BS1161" s="18"/>
      <c r="BT1161" s="18"/>
      <c r="BU1161" s="18"/>
    </row>
    <row r="1162" spans="44:73" x14ac:dyDescent="0.45">
      <c r="AR1162" s="15" t="s">
        <v>328</v>
      </c>
      <c r="AS1162" s="15" t="s">
        <v>567</v>
      </c>
      <c r="AT1162" s="15" t="s">
        <v>783</v>
      </c>
      <c r="AU1162" s="15"/>
      <c r="AV1162" s="15"/>
      <c r="AW1162" s="15"/>
      <c r="AX1162" s="15"/>
      <c r="AY1162" s="15"/>
      <c r="AZ1162" s="18"/>
      <c r="BA1162" s="19">
        <v>2.5000000000000001E-2</v>
      </c>
      <c r="BB1162" s="18"/>
      <c r="BC1162" s="18"/>
      <c r="BD1162" s="18"/>
      <c r="BE1162" s="18"/>
      <c r="BF1162" s="18"/>
      <c r="BG1162" s="18"/>
      <c r="BH1162" s="18"/>
      <c r="BI1162" s="18"/>
      <c r="BJ1162" s="18"/>
      <c r="BK1162" s="18"/>
      <c r="BL1162" s="19">
        <v>0.05</v>
      </c>
      <c r="BM1162" s="18"/>
      <c r="BN1162" s="18"/>
      <c r="BO1162" s="18"/>
      <c r="BP1162" s="18"/>
      <c r="BQ1162" s="18"/>
      <c r="BR1162" s="18"/>
      <c r="BS1162" s="18"/>
      <c r="BT1162" s="18"/>
      <c r="BU1162" s="18"/>
    </row>
    <row r="1163" spans="44:73" x14ac:dyDescent="0.45">
      <c r="AR1163" s="15" t="s">
        <v>328</v>
      </c>
      <c r="AS1163" s="15" t="s">
        <v>567</v>
      </c>
      <c r="AT1163" s="15" t="s">
        <v>784</v>
      </c>
      <c r="AU1163" s="15"/>
      <c r="AV1163" s="15"/>
      <c r="AW1163" s="15"/>
      <c r="AX1163" s="15"/>
      <c r="AY1163" s="15"/>
      <c r="AZ1163" s="18"/>
      <c r="BA1163" s="19">
        <v>2.5000000000000001E-2</v>
      </c>
      <c r="BB1163" s="18"/>
      <c r="BC1163" s="18"/>
      <c r="BD1163" s="18"/>
      <c r="BE1163" s="18"/>
      <c r="BF1163" s="18"/>
      <c r="BG1163" s="18"/>
      <c r="BH1163" s="18"/>
      <c r="BI1163" s="18"/>
      <c r="BJ1163" s="18"/>
      <c r="BK1163" s="18"/>
      <c r="BL1163" s="19">
        <v>0.05</v>
      </c>
      <c r="BM1163" s="18"/>
      <c r="BN1163" s="18"/>
      <c r="BO1163" s="18"/>
      <c r="BP1163" s="18"/>
      <c r="BQ1163" s="18"/>
      <c r="BR1163" s="18"/>
      <c r="BS1163" s="18"/>
      <c r="BT1163" s="18"/>
      <c r="BU1163" s="18"/>
    </row>
    <row r="1164" spans="44:73" x14ac:dyDescent="0.45">
      <c r="AR1164" s="15" t="s">
        <v>328</v>
      </c>
      <c r="AS1164" s="15" t="s">
        <v>567</v>
      </c>
      <c r="AT1164" s="15" t="s">
        <v>785</v>
      </c>
      <c r="AU1164" s="15"/>
      <c r="AV1164" s="15"/>
      <c r="AW1164" s="15"/>
      <c r="AX1164" s="15"/>
      <c r="AY1164" s="15"/>
      <c r="AZ1164" s="18"/>
      <c r="BA1164" s="19">
        <v>2.5000000000000001E-2</v>
      </c>
      <c r="BB1164" s="18"/>
      <c r="BC1164" s="18"/>
      <c r="BD1164" s="18"/>
      <c r="BE1164" s="18"/>
      <c r="BF1164" s="18"/>
      <c r="BG1164" s="18"/>
      <c r="BH1164" s="18"/>
      <c r="BI1164" s="18"/>
      <c r="BJ1164" s="18"/>
      <c r="BK1164" s="18"/>
      <c r="BL1164" s="19">
        <v>0.05</v>
      </c>
      <c r="BM1164" s="18"/>
      <c r="BN1164" s="18"/>
      <c r="BO1164" s="18"/>
      <c r="BP1164" s="18"/>
      <c r="BQ1164" s="18"/>
      <c r="BR1164" s="18"/>
      <c r="BS1164" s="18"/>
      <c r="BT1164" s="18"/>
      <c r="BU1164" s="18"/>
    </row>
    <row r="1165" spans="44:73" x14ac:dyDescent="0.45">
      <c r="AR1165" s="15" t="s">
        <v>328</v>
      </c>
      <c r="AS1165" s="15" t="s">
        <v>567</v>
      </c>
      <c r="AT1165" s="15" t="s">
        <v>786</v>
      </c>
      <c r="AU1165" s="15"/>
      <c r="AV1165" s="15"/>
      <c r="AW1165" s="15"/>
      <c r="AX1165" s="15"/>
      <c r="AY1165" s="15"/>
      <c r="AZ1165" s="18"/>
      <c r="BA1165" s="19">
        <v>2.5000000000000001E-2</v>
      </c>
      <c r="BB1165" s="18"/>
      <c r="BC1165" s="18"/>
      <c r="BD1165" s="18"/>
      <c r="BE1165" s="18"/>
      <c r="BF1165" s="18"/>
      <c r="BG1165" s="18"/>
      <c r="BH1165" s="18"/>
      <c r="BI1165" s="18"/>
      <c r="BJ1165" s="18"/>
      <c r="BK1165" s="18"/>
      <c r="BL1165" s="19">
        <v>0.05</v>
      </c>
      <c r="BM1165" s="18"/>
      <c r="BN1165" s="18"/>
      <c r="BO1165" s="18"/>
      <c r="BP1165" s="18"/>
      <c r="BQ1165" s="18"/>
      <c r="BR1165" s="18"/>
      <c r="BS1165" s="18"/>
      <c r="BT1165" s="18"/>
      <c r="BU1165" s="18"/>
    </row>
    <row r="1166" spans="44:73" x14ac:dyDescent="0.45">
      <c r="AR1166" s="15" t="s">
        <v>328</v>
      </c>
      <c r="AS1166" s="15" t="s">
        <v>567</v>
      </c>
      <c r="AT1166" s="15" t="s">
        <v>787</v>
      </c>
      <c r="AU1166" s="15"/>
      <c r="AV1166" s="15"/>
      <c r="AW1166" s="15"/>
      <c r="AX1166" s="15"/>
      <c r="AY1166" s="15"/>
      <c r="AZ1166" s="18"/>
      <c r="BA1166" s="19">
        <v>2.5000000000000001E-2</v>
      </c>
      <c r="BB1166" s="18"/>
      <c r="BC1166" s="18"/>
      <c r="BD1166" s="18"/>
      <c r="BE1166" s="18"/>
      <c r="BF1166" s="18"/>
      <c r="BG1166" s="18"/>
      <c r="BH1166" s="18"/>
      <c r="BI1166" s="18"/>
      <c r="BJ1166" s="18"/>
      <c r="BK1166" s="18"/>
      <c r="BL1166" s="19">
        <v>0.05</v>
      </c>
      <c r="BM1166" s="18"/>
      <c r="BN1166" s="18"/>
      <c r="BO1166" s="18"/>
      <c r="BP1166" s="18"/>
      <c r="BQ1166" s="18"/>
      <c r="BR1166" s="18"/>
      <c r="BS1166" s="18"/>
      <c r="BT1166" s="18"/>
      <c r="BU1166" s="18"/>
    </row>
    <row r="1167" spans="44:73" x14ac:dyDescent="0.45">
      <c r="AR1167" s="15" t="s">
        <v>328</v>
      </c>
      <c r="AS1167" s="15" t="s">
        <v>567</v>
      </c>
      <c r="AT1167" s="15" t="s">
        <v>788</v>
      </c>
      <c r="AU1167" s="15"/>
      <c r="AV1167" s="15"/>
      <c r="AW1167" s="15"/>
      <c r="AX1167" s="15"/>
      <c r="AY1167" s="15"/>
      <c r="AZ1167" s="18"/>
      <c r="BA1167" s="19">
        <v>2.5000000000000001E-2</v>
      </c>
      <c r="BB1167" s="18"/>
      <c r="BC1167" s="18"/>
      <c r="BD1167" s="18"/>
      <c r="BE1167" s="18"/>
      <c r="BF1167" s="18"/>
      <c r="BG1167" s="18"/>
      <c r="BH1167" s="18"/>
      <c r="BI1167" s="18"/>
      <c r="BJ1167" s="18"/>
      <c r="BK1167" s="18"/>
      <c r="BL1167" s="19">
        <v>0.05</v>
      </c>
      <c r="BM1167" s="18"/>
      <c r="BN1167" s="18"/>
      <c r="BO1167" s="18"/>
      <c r="BP1167" s="18"/>
      <c r="BQ1167" s="18"/>
      <c r="BR1167" s="18"/>
      <c r="BS1167" s="18"/>
      <c r="BT1167" s="18"/>
      <c r="BU1167" s="18"/>
    </row>
    <row r="1168" spans="44:73" x14ac:dyDescent="0.45">
      <c r="AR1168" s="15" t="s">
        <v>328</v>
      </c>
      <c r="AS1168" s="15" t="s">
        <v>567</v>
      </c>
      <c r="AT1168" s="15" t="s">
        <v>789</v>
      </c>
      <c r="AU1168" s="15"/>
      <c r="AV1168" s="15"/>
      <c r="AW1168" s="15"/>
      <c r="AX1168" s="15"/>
      <c r="AY1168" s="15"/>
      <c r="AZ1168" s="18"/>
      <c r="BA1168" s="19">
        <v>2.5000000000000001E-2</v>
      </c>
      <c r="BB1168" s="18"/>
      <c r="BC1168" s="18"/>
      <c r="BD1168" s="18"/>
      <c r="BE1168" s="18"/>
      <c r="BF1168" s="18"/>
      <c r="BG1168" s="18"/>
      <c r="BH1168" s="18"/>
      <c r="BI1168" s="18"/>
      <c r="BJ1168" s="18"/>
      <c r="BK1168" s="18"/>
      <c r="BL1168" s="19">
        <v>0.05</v>
      </c>
      <c r="BM1168" s="18"/>
      <c r="BN1168" s="18"/>
      <c r="BO1168" s="18"/>
      <c r="BP1168" s="18"/>
      <c r="BQ1168" s="18"/>
      <c r="BR1168" s="18"/>
      <c r="BS1168" s="18"/>
      <c r="BT1168" s="18"/>
      <c r="BU1168" s="18"/>
    </row>
    <row r="1169" spans="44:73" x14ac:dyDescent="0.45">
      <c r="AR1169" s="15" t="s">
        <v>328</v>
      </c>
      <c r="AS1169" s="15" t="s">
        <v>567</v>
      </c>
      <c r="AT1169" s="15" t="s">
        <v>790</v>
      </c>
      <c r="AU1169" s="15"/>
      <c r="AV1169" s="15"/>
      <c r="AW1169" s="15"/>
      <c r="AX1169" s="15"/>
      <c r="AY1169" s="15"/>
      <c r="AZ1169" s="18"/>
      <c r="BA1169" s="19">
        <v>2.5000000000000001E-2</v>
      </c>
      <c r="BB1169" s="18"/>
      <c r="BC1169" s="18"/>
      <c r="BD1169" s="18"/>
      <c r="BE1169" s="18"/>
      <c r="BF1169" s="18"/>
      <c r="BG1169" s="18"/>
      <c r="BH1169" s="18"/>
      <c r="BI1169" s="18"/>
      <c r="BJ1169" s="18"/>
      <c r="BK1169" s="18"/>
      <c r="BL1169" s="19">
        <v>0.05</v>
      </c>
      <c r="BM1169" s="18"/>
      <c r="BN1169" s="18"/>
      <c r="BO1169" s="18"/>
      <c r="BP1169" s="18"/>
      <c r="BQ1169" s="18"/>
      <c r="BR1169" s="18"/>
      <c r="BS1169" s="18"/>
      <c r="BT1169" s="18"/>
      <c r="BU1169" s="18"/>
    </row>
    <row r="1170" spans="44:73" x14ac:dyDescent="0.45">
      <c r="AR1170" s="15" t="s">
        <v>328</v>
      </c>
      <c r="AS1170" s="15" t="s">
        <v>567</v>
      </c>
      <c r="AT1170" s="15" t="s">
        <v>791</v>
      </c>
      <c r="AU1170" s="15"/>
      <c r="AV1170" s="15"/>
      <c r="AW1170" s="15"/>
      <c r="AX1170" s="15"/>
      <c r="AY1170" s="15"/>
      <c r="AZ1170" s="18"/>
      <c r="BA1170" s="19">
        <v>2.5000000000000001E-2</v>
      </c>
      <c r="BB1170" s="18"/>
      <c r="BC1170" s="18"/>
      <c r="BD1170" s="18"/>
      <c r="BE1170" s="18"/>
      <c r="BF1170" s="18"/>
      <c r="BG1170" s="18"/>
      <c r="BH1170" s="18"/>
      <c r="BI1170" s="18"/>
      <c r="BJ1170" s="18"/>
      <c r="BK1170" s="18"/>
      <c r="BL1170" s="19">
        <v>0.05</v>
      </c>
      <c r="BM1170" s="18"/>
      <c r="BN1170" s="18"/>
      <c r="BO1170" s="18"/>
      <c r="BP1170" s="18"/>
      <c r="BQ1170" s="18"/>
      <c r="BR1170" s="18"/>
      <c r="BS1170" s="18"/>
      <c r="BT1170" s="18"/>
      <c r="BU1170" s="18"/>
    </row>
    <row r="1171" spans="44:73" x14ac:dyDescent="0.45">
      <c r="AR1171" s="15" t="s">
        <v>328</v>
      </c>
      <c r="AS1171" s="15" t="s">
        <v>567</v>
      </c>
      <c r="AT1171" s="15" t="s">
        <v>792</v>
      </c>
      <c r="AU1171" s="15"/>
      <c r="AV1171" s="15"/>
      <c r="AW1171" s="15"/>
      <c r="AX1171" s="15"/>
      <c r="AY1171" s="15"/>
      <c r="AZ1171" s="18"/>
      <c r="BA1171" s="19">
        <v>2.5000000000000001E-2</v>
      </c>
      <c r="BB1171" s="18"/>
      <c r="BC1171" s="18"/>
      <c r="BD1171" s="18"/>
      <c r="BE1171" s="18"/>
      <c r="BF1171" s="18"/>
      <c r="BG1171" s="18"/>
      <c r="BH1171" s="18"/>
      <c r="BI1171" s="18"/>
      <c r="BJ1171" s="18"/>
      <c r="BK1171" s="18"/>
      <c r="BL1171" s="19">
        <v>0.05</v>
      </c>
      <c r="BM1171" s="18"/>
      <c r="BN1171" s="18"/>
      <c r="BO1171" s="18"/>
      <c r="BP1171" s="18"/>
      <c r="BQ1171" s="18"/>
      <c r="BR1171" s="18"/>
      <c r="BS1171" s="18"/>
      <c r="BT1171" s="18"/>
      <c r="BU1171" s="18"/>
    </row>
    <row r="1172" spans="44:73" x14ac:dyDescent="0.45">
      <c r="AR1172" s="15" t="s">
        <v>328</v>
      </c>
      <c r="AS1172" s="15" t="s">
        <v>567</v>
      </c>
      <c r="AT1172" s="15" t="s">
        <v>793</v>
      </c>
      <c r="AU1172" s="15"/>
      <c r="AV1172" s="15"/>
      <c r="AW1172" s="15"/>
      <c r="AX1172" s="15"/>
      <c r="AY1172" s="15"/>
      <c r="AZ1172" s="18"/>
      <c r="BA1172" s="19">
        <v>2.5000000000000001E-2</v>
      </c>
      <c r="BB1172" s="18"/>
      <c r="BC1172" s="18"/>
      <c r="BD1172" s="18"/>
      <c r="BE1172" s="18"/>
      <c r="BF1172" s="18"/>
      <c r="BG1172" s="18"/>
      <c r="BH1172" s="18"/>
      <c r="BI1172" s="18"/>
      <c r="BJ1172" s="18"/>
      <c r="BK1172" s="18"/>
      <c r="BL1172" s="19">
        <v>0.05</v>
      </c>
      <c r="BM1172" s="18"/>
      <c r="BN1172" s="18"/>
      <c r="BO1172" s="18"/>
      <c r="BP1172" s="18"/>
      <c r="BQ1172" s="18"/>
      <c r="BR1172" s="18"/>
      <c r="BS1172" s="18"/>
      <c r="BT1172" s="18"/>
      <c r="BU1172" s="18"/>
    </row>
    <row r="1173" spans="44:73" x14ac:dyDescent="0.45">
      <c r="AR1173" s="15" t="s">
        <v>328</v>
      </c>
      <c r="AS1173" s="15" t="s">
        <v>567</v>
      </c>
      <c r="AT1173" s="15" t="s">
        <v>794</v>
      </c>
      <c r="AU1173" s="15"/>
      <c r="AV1173" s="15"/>
      <c r="AW1173" s="15"/>
      <c r="AX1173" s="15"/>
      <c r="AY1173" s="15"/>
      <c r="AZ1173" s="18"/>
      <c r="BA1173" s="19">
        <v>2.5000000000000001E-2</v>
      </c>
      <c r="BB1173" s="18"/>
      <c r="BC1173" s="18"/>
      <c r="BD1173" s="18"/>
      <c r="BE1173" s="18"/>
      <c r="BF1173" s="18"/>
      <c r="BG1173" s="18"/>
      <c r="BH1173" s="18"/>
      <c r="BI1173" s="18"/>
      <c r="BJ1173" s="18"/>
      <c r="BK1173" s="18"/>
      <c r="BL1173" s="19">
        <v>0.05</v>
      </c>
      <c r="BM1173" s="18"/>
      <c r="BN1173" s="18"/>
      <c r="BO1173" s="18"/>
      <c r="BP1173" s="18"/>
      <c r="BQ1173" s="18"/>
      <c r="BR1173" s="18"/>
      <c r="BS1173" s="18"/>
      <c r="BT1173" s="18"/>
      <c r="BU1173" s="18"/>
    </row>
    <row r="1174" spans="44:73" x14ac:dyDescent="0.45">
      <c r="AR1174" s="15" t="s">
        <v>328</v>
      </c>
      <c r="AS1174" s="15" t="s">
        <v>567</v>
      </c>
      <c r="AT1174" s="15" t="s">
        <v>795</v>
      </c>
      <c r="AU1174" s="15"/>
      <c r="AV1174" s="15"/>
      <c r="AW1174" s="15"/>
      <c r="AX1174" s="15"/>
      <c r="AY1174" s="15"/>
      <c r="AZ1174" s="18"/>
      <c r="BA1174" s="19">
        <v>2.5000000000000001E-2</v>
      </c>
      <c r="BB1174" s="18"/>
      <c r="BC1174" s="18"/>
      <c r="BD1174" s="18"/>
      <c r="BE1174" s="18"/>
      <c r="BF1174" s="18"/>
      <c r="BG1174" s="18"/>
      <c r="BH1174" s="18"/>
      <c r="BI1174" s="18"/>
      <c r="BJ1174" s="18"/>
      <c r="BK1174" s="18"/>
      <c r="BL1174" s="19">
        <v>0.05</v>
      </c>
      <c r="BM1174" s="18"/>
      <c r="BN1174" s="18"/>
      <c r="BO1174" s="18"/>
      <c r="BP1174" s="18"/>
      <c r="BQ1174" s="18"/>
      <c r="BR1174" s="18"/>
      <c r="BS1174" s="18"/>
      <c r="BT1174" s="18"/>
      <c r="BU1174" s="18"/>
    </row>
    <row r="1175" spans="44:73" x14ac:dyDescent="0.45">
      <c r="AR1175" s="15" t="s">
        <v>328</v>
      </c>
      <c r="AS1175" s="15" t="s">
        <v>567</v>
      </c>
      <c r="AT1175" s="15" t="s">
        <v>796</v>
      </c>
      <c r="AU1175" s="15"/>
      <c r="AV1175" s="15"/>
      <c r="AW1175" s="15"/>
      <c r="AX1175" s="15"/>
      <c r="AY1175" s="15"/>
      <c r="AZ1175" s="18"/>
      <c r="BA1175" s="19">
        <v>2.5000000000000001E-2</v>
      </c>
      <c r="BB1175" s="18"/>
      <c r="BC1175" s="18"/>
      <c r="BD1175" s="18"/>
      <c r="BE1175" s="18"/>
      <c r="BF1175" s="18"/>
      <c r="BG1175" s="18"/>
      <c r="BH1175" s="18"/>
      <c r="BI1175" s="18"/>
      <c r="BJ1175" s="18"/>
      <c r="BK1175" s="18"/>
      <c r="BL1175" s="19">
        <v>0.05</v>
      </c>
      <c r="BM1175" s="18"/>
      <c r="BN1175" s="18"/>
      <c r="BO1175" s="18"/>
      <c r="BP1175" s="18"/>
      <c r="BQ1175" s="18"/>
      <c r="BR1175" s="18"/>
      <c r="BS1175" s="18"/>
      <c r="BT1175" s="18"/>
      <c r="BU1175" s="18"/>
    </row>
    <row r="1176" spans="44:73" x14ac:dyDescent="0.45">
      <c r="AR1176" s="15" t="s">
        <v>328</v>
      </c>
      <c r="AS1176" s="15" t="s">
        <v>567</v>
      </c>
      <c r="AT1176" s="15" t="s">
        <v>797</v>
      </c>
      <c r="AU1176" s="15"/>
      <c r="AV1176" s="15"/>
      <c r="AW1176" s="15"/>
      <c r="AX1176" s="15"/>
      <c r="AY1176" s="15"/>
      <c r="AZ1176" s="18"/>
      <c r="BA1176" s="19">
        <v>2.5000000000000001E-2</v>
      </c>
      <c r="BB1176" s="18"/>
      <c r="BC1176" s="18"/>
      <c r="BD1176" s="18"/>
      <c r="BE1176" s="18"/>
      <c r="BF1176" s="18"/>
      <c r="BG1176" s="18"/>
      <c r="BH1176" s="18"/>
      <c r="BI1176" s="18"/>
      <c r="BJ1176" s="18"/>
      <c r="BK1176" s="18"/>
      <c r="BL1176" s="19">
        <v>0.05</v>
      </c>
      <c r="BM1176" s="18"/>
      <c r="BN1176" s="18"/>
      <c r="BO1176" s="18"/>
      <c r="BP1176" s="18"/>
      <c r="BQ1176" s="18"/>
      <c r="BR1176" s="18"/>
      <c r="BS1176" s="18"/>
      <c r="BT1176" s="18"/>
      <c r="BU1176" s="18"/>
    </row>
    <row r="1177" spans="44:73" x14ac:dyDescent="0.45">
      <c r="AR1177" s="15" t="s">
        <v>328</v>
      </c>
      <c r="AS1177" s="15" t="s">
        <v>567</v>
      </c>
      <c r="AT1177" s="15" t="s">
        <v>798</v>
      </c>
      <c r="AU1177" s="15"/>
      <c r="AV1177" s="15"/>
      <c r="AW1177" s="15"/>
      <c r="AX1177" s="15"/>
      <c r="AY1177" s="15"/>
      <c r="AZ1177" s="18"/>
      <c r="BA1177" s="19">
        <v>2.5000000000000001E-2</v>
      </c>
      <c r="BB1177" s="18"/>
      <c r="BC1177" s="18"/>
      <c r="BD1177" s="18"/>
      <c r="BE1177" s="18"/>
      <c r="BF1177" s="18"/>
      <c r="BG1177" s="18"/>
      <c r="BH1177" s="18"/>
      <c r="BI1177" s="18"/>
      <c r="BJ1177" s="18"/>
      <c r="BK1177" s="18"/>
      <c r="BL1177" s="19">
        <v>0.05</v>
      </c>
      <c r="BM1177" s="18"/>
      <c r="BN1177" s="18"/>
      <c r="BO1177" s="18"/>
      <c r="BP1177" s="18"/>
      <c r="BQ1177" s="18"/>
      <c r="BR1177" s="18"/>
      <c r="BS1177" s="18"/>
      <c r="BT1177" s="18"/>
      <c r="BU1177" s="18"/>
    </row>
    <row r="1178" spans="44:73" x14ac:dyDescent="0.45">
      <c r="AR1178" s="15" t="s">
        <v>328</v>
      </c>
      <c r="AS1178" s="15" t="s">
        <v>567</v>
      </c>
      <c r="AT1178" s="15" t="s">
        <v>799</v>
      </c>
      <c r="AU1178" s="15"/>
      <c r="AV1178" s="15"/>
      <c r="AW1178" s="15"/>
      <c r="AX1178" s="15"/>
      <c r="AY1178" s="15"/>
      <c r="AZ1178" s="18"/>
      <c r="BA1178" s="19">
        <v>2.5000000000000001E-2</v>
      </c>
      <c r="BB1178" s="18"/>
      <c r="BC1178" s="18"/>
      <c r="BD1178" s="18"/>
      <c r="BE1178" s="18"/>
      <c r="BF1178" s="18"/>
      <c r="BG1178" s="18"/>
      <c r="BH1178" s="18"/>
      <c r="BI1178" s="18"/>
      <c r="BJ1178" s="18"/>
      <c r="BK1178" s="18"/>
      <c r="BL1178" s="19">
        <v>0.05</v>
      </c>
      <c r="BM1178" s="18"/>
      <c r="BN1178" s="18"/>
      <c r="BO1178" s="18"/>
      <c r="BP1178" s="18"/>
      <c r="BQ1178" s="18"/>
      <c r="BR1178" s="18"/>
      <c r="BS1178" s="18"/>
      <c r="BT1178" s="18"/>
      <c r="BU1178" s="18"/>
    </row>
    <row r="1179" spans="44:73" x14ac:dyDescent="0.45">
      <c r="AR1179" s="15" t="s">
        <v>328</v>
      </c>
      <c r="AS1179" s="15" t="s">
        <v>567</v>
      </c>
      <c r="AT1179" s="15" t="s">
        <v>800</v>
      </c>
      <c r="AU1179" s="15"/>
      <c r="AV1179" s="15"/>
      <c r="AW1179" s="15"/>
      <c r="AX1179" s="15"/>
      <c r="AY1179" s="15"/>
      <c r="AZ1179" s="18"/>
      <c r="BA1179" s="19">
        <v>2.5000000000000001E-2</v>
      </c>
      <c r="BB1179" s="18"/>
      <c r="BC1179" s="18"/>
      <c r="BD1179" s="18"/>
      <c r="BE1179" s="18"/>
      <c r="BF1179" s="18"/>
      <c r="BG1179" s="18"/>
      <c r="BH1179" s="18"/>
      <c r="BI1179" s="18"/>
      <c r="BJ1179" s="18"/>
      <c r="BK1179" s="18"/>
      <c r="BL1179" s="19">
        <v>0.05</v>
      </c>
      <c r="BM1179" s="18"/>
      <c r="BN1179" s="18"/>
      <c r="BO1179" s="18"/>
      <c r="BP1179" s="18"/>
      <c r="BQ1179" s="18"/>
      <c r="BR1179" s="18"/>
      <c r="BS1179" s="18"/>
      <c r="BT1179" s="18"/>
      <c r="BU1179" s="18"/>
    </row>
    <row r="1180" spans="44:73" x14ac:dyDescent="0.45">
      <c r="AR1180" s="15" t="s">
        <v>328</v>
      </c>
      <c r="AS1180" s="15" t="s">
        <v>567</v>
      </c>
      <c r="AT1180" s="15" t="s">
        <v>801</v>
      </c>
      <c r="AU1180" s="15"/>
      <c r="AV1180" s="15"/>
      <c r="AW1180" s="15"/>
      <c r="AX1180" s="15"/>
      <c r="AY1180" s="15"/>
      <c r="AZ1180" s="18"/>
      <c r="BA1180" s="19">
        <v>2.5000000000000001E-2</v>
      </c>
      <c r="BB1180" s="18"/>
      <c r="BC1180" s="18"/>
      <c r="BD1180" s="18"/>
      <c r="BE1180" s="18"/>
      <c r="BF1180" s="18"/>
      <c r="BG1180" s="18"/>
      <c r="BH1180" s="18"/>
      <c r="BI1180" s="18"/>
      <c r="BJ1180" s="18"/>
      <c r="BK1180" s="18"/>
      <c r="BL1180" s="19">
        <v>0.05</v>
      </c>
      <c r="BM1180" s="18"/>
      <c r="BN1180" s="18"/>
      <c r="BO1180" s="18"/>
      <c r="BP1180" s="18"/>
      <c r="BQ1180" s="18"/>
      <c r="BR1180" s="18"/>
      <c r="BS1180" s="18"/>
      <c r="BT1180" s="18"/>
      <c r="BU1180" s="18"/>
    </row>
    <row r="1181" spans="44:73" x14ac:dyDescent="0.45">
      <c r="AR1181" s="15" t="s">
        <v>328</v>
      </c>
      <c r="AS1181" s="15" t="s">
        <v>567</v>
      </c>
      <c r="AT1181" s="15" t="s">
        <v>802</v>
      </c>
      <c r="AU1181" s="15"/>
      <c r="AV1181" s="15"/>
      <c r="AW1181" s="15"/>
      <c r="AX1181" s="15"/>
      <c r="AY1181" s="15"/>
      <c r="AZ1181" s="18"/>
      <c r="BA1181" s="19">
        <v>2.5000000000000001E-2</v>
      </c>
      <c r="BB1181" s="18"/>
      <c r="BC1181" s="18"/>
      <c r="BD1181" s="18"/>
      <c r="BE1181" s="18"/>
      <c r="BF1181" s="18"/>
      <c r="BG1181" s="18"/>
      <c r="BH1181" s="18"/>
      <c r="BI1181" s="18"/>
      <c r="BJ1181" s="18"/>
      <c r="BK1181" s="18"/>
      <c r="BL1181" s="19">
        <v>0.05</v>
      </c>
      <c r="BM1181" s="18"/>
      <c r="BN1181" s="18"/>
      <c r="BO1181" s="18"/>
      <c r="BP1181" s="18"/>
      <c r="BQ1181" s="18"/>
      <c r="BR1181" s="18"/>
      <c r="BS1181" s="18"/>
      <c r="BT1181" s="18"/>
      <c r="BU1181" s="18"/>
    </row>
    <row r="1182" spans="44:73" x14ac:dyDescent="0.45">
      <c r="AR1182" s="15" t="s">
        <v>328</v>
      </c>
      <c r="AS1182" s="15" t="s">
        <v>567</v>
      </c>
      <c r="AT1182" s="15" t="s">
        <v>803</v>
      </c>
      <c r="AU1182" s="15"/>
      <c r="AV1182" s="15"/>
      <c r="AW1182" s="15"/>
      <c r="AX1182" s="15"/>
      <c r="AY1182" s="15"/>
      <c r="AZ1182" s="18"/>
      <c r="BA1182" s="19">
        <v>2.5000000000000001E-2</v>
      </c>
      <c r="BB1182" s="18"/>
      <c r="BC1182" s="18"/>
      <c r="BD1182" s="18"/>
      <c r="BE1182" s="18"/>
      <c r="BF1182" s="18"/>
      <c r="BG1182" s="18"/>
      <c r="BH1182" s="18"/>
      <c r="BI1182" s="18"/>
      <c r="BJ1182" s="18"/>
      <c r="BK1182" s="18"/>
      <c r="BL1182" s="19">
        <v>0.05</v>
      </c>
      <c r="BM1182" s="18"/>
      <c r="BN1182" s="18"/>
      <c r="BO1182" s="18"/>
      <c r="BP1182" s="18"/>
      <c r="BQ1182" s="18"/>
      <c r="BR1182" s="18"/>
      <c r="BS1182" s="18"/>
      <c r="BT1182" s="18"/>
      <c r="BU1182" s="18"/>
    </row>
    <row r="1183" spans="44:73" x14ac:dyDescent="0.45">
      <c r="AR1183" s="15" t="s">
        <v>328</v>
      </c>
      <c r="AS1183" s="15" t="s">
        <v>567</v>
      </c>
      <c r="AT1183" s="15" t="s">
        <v>804</v>
      </c>
      <c r="AU1183" s="15"/>
      <c r="AV1183" s="15"/>
      <c r="AW1183" s="15"/>
      <c r="AX1183" s="15"/>
      <c r="AY1183" s="15"/>
      <c r="AZ1183" s="18"/>
      <c r="BA1183" s="19">
        <v>2.5000000000000001E-2</v>
      </c>
      <c r="BB1183" s="18"/>
      <c r="BC1183" s="18"/>
      <c r="BD1183" s="18"/>
      <c r="BE1183" s="18"/>
      <c r="BF1183" s="18"/>
      <c r="BG1183" s="18"/>
      <c r="BH1183" s="18"/>
      <c r="BI1183" s="18"/>
      <c r="BJ1183" s="18"/>
      <c r="BK1183" s="18"/>
      <c r="BL1183" s="19">
        <v>0.05</v>
      </c>
      <c r="BM1183" s="18"/>
      <c r="BN1183" s="18"/>
      <c r="BO1183" s="18"/>
      <c r="BP1183" s="18"/>
      <c r="BQ1183" s="18"/>
      <c r="BR1183" s="18"/>
      <c r="BS1183" s="18"/>
      <c r="BT1183" s="18"/>
      <c r="BU1183" s="18"/>
    </row>
    <row r="1184" spans="44:73" x14ac:dyDescent="0.45">
      <c r="AR1184" s="15" t="s">
        <v>328</v>
      </c>
      <c r="AS1184" s="15" t="s">
        <v>567</v>
      </c>
      <c r="AT1184" s="15" t="s">
        <v>805</v>
      </c>
      <c r="AU1184" s="15"/>
      <c r="AV1184" s="15"/>
      <c r="AW1184" s="15"/>
      <c r="AX1184" s="15"/>
      <c r="AY1184" s="15"/>
      <c r="AZ1184" s="18"/>
      <c r="BA1184" s="19">
        <v>2.5000000000000001E-2</v>
      </c>
      <c r="BB1184" s="18"/>
      <c r="BC1184" s="18"/>
      <c r="BD1184" s="18"/>
      <c r="BE1184" s="18"/>
      <c r="BF1184" s="18"/>
      <c r="BG1184" s="18"/>
      <c r="BH1184" s="18"/>
      <c r="BI1184" s="18"/>
      <c r="BJ1184" s="18"/>
      <c r="BK1184" s="18"/>
      <c r="BL1184" s="19">
        <v>0.05</v>
      </c>
      <c r="BM1184" s="18"/>
      <c r="BN1184" s="18"/>
      <c r="BO1184" s="18"/>
      <c r="BP1184" s="18"/>
      <c r="BQ1184" s="18"/>
      <c r="BR1184" s="18"/>
      <c r="BS1184" s="18"/>
      <c r="BT1184" s="18"/>
      <c r="BU1184" s="18"/>
    </row>
    <row r="1185" spans="44:73" x14ac:dyDescent="0.45">
      <c r="AR1185" s="15" t="s">
        <v>328</v>
      </c>
      <c r="AS1185" s="15" t="s">
        <v>567</v>
      </c>
      <c r="AT1185" s="15" t="s">
        <v>806</v>
      </c>
      <c r="AU1185" s="15"/>
      <c r="AV1185" s="15"/>
      <c r="AW1185" s="15"/>
      <c r="AX1185" s="15"/>
      <c r="AY1185" s="15"/>
      <c r="AZ1185" s="18"/>
      <c r="BA1185" s="19">
        <v>2.5000000000000001E-2</v>
      </c>
      <c r="BB1185" s="18"/>
      <c r="BC1185" s="18"/>
      <c r="BD1185" s="18"/>
      <c r="BE1185" s="18"/>
      <c r="BF1185" s="18"/>
      <c r="BG1185" s="18"/>
      <c r="BH1185" s="18"/>
      <c r="BI1185" s="18"/>
      <c r="BJ1185" s="18"/>
      <c r="BK1185" s="18"/>
      <c r="BL1185" s="19">
        <v>0.05</v>
      </c>
      <c r="BM1185" s="18"/>
      <c r="BN1185" s="18"/>
      <c r="BO1185" s="18"/>
      <c r="BP1185" s="18"/>
      <c r="BQ1185" s="18"/>
      <c r="BR1185" s="18"/>
      <c r="BS1185" s="18"/>
      <c r="BT1185" s="18"/>
      <c r="BU1185" s="18"/>
    </row>
    <row r="1186" spans="44:73" x14ac:dyDescent="0.45">
      <c r="AR1186" s="15" t="s">
        <v>328</v>
      </c>
      <c r="AS1186" s="15" t="s">
        <v>567</v>
      </c>
      <c r="AT1186" s="15" t="s">
        <v>807</v>
      </c>
      <c r="AU1186" s="15"/>
      <c r="AV1186" s="15"/>
      <c r="AW1186" s="15"/>
      <c r="AX1186" s="15"/>
      <c r="AY1186" s="15"/>
      <c r="AZ1186" s="18"/>
      <c r="BA1186" s="19">
        <v>2.5000000000000001E-2</v>
      </c>
      <c r="BB1186" s="18"/>
      <c r="BC1186" s="18"/>
      <c r="BD1186" s="18"/>
      <c r="BE1186" s="18"/>
      <c r="BF1186" s="18"/>
      <c r="BG1186" s="18"/>
      <c r="BH1186" s="18"/>
      <c r="BI1186" s="18"/>
      <c r="BJ1186" s="18"/>
      <c r="BK1186" s="18"/>
      <c r="BL1186" s="19">
        <v>0.05</v>
      </c>
      <c r="BM1186" s="18"/>
      <c r="BN1186" s="18"/>
      <c r="BO1186" s="18"/>
      <c r="BP1186" s="18"/>
      <c r="BQ1186" s="18"/>
      <c r="BR1186" s="18"/>
      <c r="BS1186" s="18"/>
      <c r="BT1186" s="18"/>
      <c r="BU1186" s="18"/>
    </row>
    <row r="1187" spans="44:73" x14ac:dyDescent="0.45">
      <c r="AR1187" s="15" t="s">
        <v>328</v>
      </c>
      <c r="AS1187" s="15" t="s">
        <v>567</v>
      </c>
      <c r="AT1187" s="15" t="s">
        <v>808</v>
      </c>
      <c r="AU1187" s="15"/>
      <c r="AV1187" s="15"/>
      <c r="AW1187" s="15"/>
      <c r="AX1187" s="15"/>
      <c r="AY1187" s="15"/>
      <c r="AZ1187" s="18"/>
      <c r="BA1187" s="19">
        <v>2.5000000000000001E-2</v>
      </c>
      <c r="BB1187" s="18"/>
      <c r="BC1187" s="18"/>
      <c r="BD1187" s="18"/>
      <c r="BE1187" s="18"/>
      <c r="BF1187" s="18"/>
      <c r="BG1187" s="18"/>
      <c r="BH1187" s="18"/>
      <c r="BI1187" s="18"/>
      <c r="BJ1187" s="18"/>
      <c r="BK1187" s="18"/>
      <c r="BL1187" s="19">
        <v>0.05</v>
      </c>
      <c r="BM1187" s="18"/>
      <c r="BN1187" s="18"/>
      <c r="BO1187" s="18"/>
      <c r="BP1187" s="18"/>
      <c r="BQ1187" s="18"/>
      <c r="BR1187" s="18"/>
      <c r="BS1187" s="18"/>
      <c r="BT1187" s="18"/>
      <c r="BU1187" s="18"/>
    </row>
    <row r="1188" spans="44:73" x14ac:dyDescent="0.45">
      <c r="AR1188" s="15" t="s">
        <v>328</v>
      </c>
      <c r="AS1188" s="15" t="s">
        <v>567</v>
      </c>
      <c r="AT1188" s="15" t="s">
        <v>809</v>
      </c>
      <c r="AU1188" s="15"/>
      <c r="AV1188" s="15"/>
      <c r="AW1188" s="15"/>
      <c r="AX1188" s="15"/>
      <c r="AY1188" s="15"/>
      <c r="AZ1188" s="18"/>
      <c r="BA1188" s="19">
        <v>2.5000000000000001E-2</v>
      </c>
      <c r="BB1188" s="18"/>
      <c r="BC1188" s="18"/>
      <c r="BD1188" s="18"/>
      <c r="BE1188" s="18"/>
      <c r="BF1188" s="18"/>
      <c r="BG1188" s="18"/>
      <c r="BH1188" s="18"/>
      <c r="BI1188" s="18"/>
      <c r="BJ1188" s="18"/>
      <c r="BK1188" s="18"/>
      <c r="BL1188" s="19">
        <v>0.05</v>
      </c>
      <c r="BM1188" s="18"/>
      <c r="BN1188" s="18"/>
      <c r="BO1188" s="18"/>
      <c r="BP1188" s="18"/>
      <c r="BQ1188" s="18"/>
      <c r="BR1188" s="18"/>
      <c r="BS1188" s="18"/>
      <c r="BT1188" s="18"/>
      <c r="BU1188" s="18"/>
    </row>
    <row r="1189" spans="44:73" x14ac:dyDescent="0.45">
      <c r="AR1189" s="15" t="s">
        <v>328</v>
      </c>
      <c r="AS1189" s="15" t="s">
        <v>567</v>
      </c>
      <c r="AT1189" s="15" t="s">
        <v>810</v>
      </c>
      <c r="AU1189" s="15"/>
      <c r="AV1189" s="15"/>
      <c r="AW1189" s="15"/>
      <c r="AX1189" s="15"/>
      <c r="AY1189" s="15"/>
      <c r="AZ1189" s="18"/>
      <c r="BA1189" s="19">
        <v>2.5000000000000001E-2</v>
      </c>
      <c r="BB1189" s="18"/>
      <c r="BC1189" s="18"/>
      <c r="BD1189" s="18"/>
      <c r="BE1189" s="18"/>
      <c r="BF1189" s="18"/>
      <c r="BG1189" s="18"/>
      <c r="BH1189" s="18"/>
      <c r="BI1189" s="18"/>
      <c r="BJ1189" s="18"/>
      <c r="BK1189" s="18"/>
      <c r="BL1189" s="19">
        <v>0.05</v>
      </c>
      <c r="BM1189" s="18"/>
      <c r="BN1189" s="18"/>
      <c r="BO1189" s="18"/>
      <c r="BP1189" s="18"/>
      <c r="BQ1189" s="18"/>
      <c r="BR1189" s="18"/>
      <c r="BS1189" s="18"/>
      <c r="BT1189" s="18"/>
      <c r="BU1189" s="18"/>
    </row>
    <row r="1190" spans="44:73" x14ac:dyDescent="0.45">
      <c r="AR1190" s="15" t="s">
        <v>328</v>
      </c>
      <c r="AS1190" s="15" t="s">
        <v>567</v>
      </c>
      <c r="AT1190" s="15" t="s">
        <v>811</v>
      </c>
      <c r="AU1190" s="15"/>
      <c r="AV1190" s="15"/>
      <c r="AW1190" s="15"/>
      <c r="AX1190" s="15"/>
      <c r="AY1190" s="15"/>
      <c r="AZ1190" s="18"/>
      <c r="BA1190" s="19">
        <v>2.5000000000000001E-2</v>
      </c>
      <c r="BB1190" s="18"/>
      <c r="BC1190" s="18"/>
      <c r="BD1190" s="18"/>
      <c r="BE1190" s="18"/>
      <c r="BF1190" s="18"/>
      <c r="BG1190" s="18"/>
      <c r="BH1190" s="18"/>
      <c r="BI1190" s="18"/>
      <c r="BJ1190" s="18"/>
      <c r="BK1190" s="18"/>
      <c r="BL1190" s="19">
        <v>0.05</v>
      </c>
      <c r="BM1190" s="18"/>
      <c r="BN1190" s="18"/>
      <c r="BO1190" s="18"/>
      <c r="BP1190" s="18"/>
      <c r="BQ1190" s="18"/>
      <c r="BR1190" s="18"/>
      <c r="BS1190" s="18"/>
      <c r="BT1190" s="18"/>
      <c r="BU1190" s="18"/>
    </row>
    <row r="1191" spans="44:73" x14ac:dyDescent="0.45">
      <c r="AR1191" s="15" t="s">
        <v>328</v>
      </c>
      <c r="AS1191" s="15" t="s">
        <v>567</v>
      </c>
      <c r="AT1191" s="15" t="s">
        <v>812</v>
      </c>
      <c r="AU1191" s="15"/>
      <c r="AV1191" s="15"/>
      <c r="AW1191" s="15"/>
      <c r="AX1191" s="15"/>
      <c r="AY1191" s="15"/>
      <c r="AZ1191" s="18"/>
      <c r="BA1191" s="19">
        <v>2.5000000000000001E-2</v>
      </c>
      <c r="BB1191" s="18"/>
      <c r="BC1191" s="18"/>
      <c r="BD1191" s="18"/>
      <c r="BE1191" s="18"/>
      <c r="BF1191" s="18"/>
      <c r="BG1191" s="18"/>
      <c r="BH1191" s="18"/>
      <c r="BI1191" s="18"/>
      <c r="BJ1191" s="18"/>
      <c r="BK1191" s="18"/>
      <c r="BL1191" s="19">
        <v>0.05</v>
      </c>
      <c r="BM1191" s="18"/>
      <c r="BN1191" s="18"/>
      <c r="BO1191" s="18"/>
      <c r="BP1191" s="18"/>
      <c r="BQ1191" s="18"/>
      <c r="BR1191" s="18"/>
      <c r="BS1191" s="18"/>
      <c r="BT1191" s="18"/>
      <c r="BU1191" s="18"/>
    </row>
    <row r="1192" spans="44:73" x14ac:dyDescent="0.45">
      <c r="AR1192" s="15" t="s">
        <v>328</v>
      </c>
      <c r="AS1192" s="15" t="s">
        <v>567</v>
      </c>
      <c r="AT1192" s="15" t="s">
        <v>813</v>
      </c>
      <c r="AU1192" s="15"/>
      <c r="AV1192" s="15"/>
      <c r="AW1192" s="15"/>
      <c r="AX1192" s="15"/>
      <c r="AY1192" s="15"/>
      <c r="AZ1192" s="18"/>
      <c r="BA1192" s="19">
        <v>2.5000000000000001E-2</v>
      </c>
      <c r="BB1192" s="18"/>
      <c r="BC1192" s="18"/>
      <c r="BD1192" s="18"/>
      <c r="BE1192" s="18"/>
      <c r="BF1192" s="18"/>
      <c r="BG1192" s="18"/>
      <c r="BH1192" s="18"/>
      <c r="BI1192" s="18"/>
      <c r="BJ1192" s="18"/>
      <c r="BK1192" s="18"/>
      <c r="BL1192" s="19">
        <v>0.05</v>
      </c>
      <c r="BM1192" s="18"/>
      <c r="BN1192" s="18"/>
      <c r="BO1192" s="18"/>
      <c r="BP1192" s="18"/>
      <c r="BQ1192" s="18"/>
      <c r="BR1192" s="18"/>
      <c r="BS1192" s="18"/>
      <c r="BT1192" s="18"/>
      <c r="BU1192" s="18"/>
    </row>
    <row r="1193" spans="44:73" x14ac:dyDescent="0.45">
      <c r="AR1193" s="15" t="s">
        <v>328</v>
      </c>
      <c r="AS1193" s="15" t="s">
        <v>567</v>
      </c>
      <c r="AT1193" s="15" t="s">
        <v>814</v>
      </c>
      <c r="AU1193" s="15"/>
      <c r="AV1193" s="15"/>
      <c r="AW1193" s="15"/>
      <c r="AX1193" s="15"/>
      <c r="AY1193" s="15"/>
      <c r="AZ1193" s="18"/>
      <c r="BA1193" s="19">
        <v>2.5000000000000001E-2</v>
      </c>
      <c r="BB1193" s="18"/>
      <c r="BC1193" s="18"/>
      <c r="BD1193" s="18"/>
      <c r="BE1193" s="18"/>
      <c r="BF1193" s="18"/>
      <c r="BG1193" s="18"/>
      <c r="BH1193" s="18"/>
      <c r="BI1193" s="18"/>
      <c r="BJ1193" s="18"/>
      <c r="BK1193" s="18"/>
      <c r="BL1193" s="19">
        <v>0.05</v>
      </c>
      <c r="BM1193" s="18"/>
      <c r="BN1193" s="18"/>
      <c r="BO1193" s="18"/>
      <c r="BP1193" s="18"/>
      <c r="BQ1193" s="18"/>
      <c r="BR1193" s="18"/>
      <c r="BS1193" s="18"/>
      <c r="BT1193" s="18"/>
      <c r="BU1193" s="18"/>
    </row>
    <row r="1194" spans="44:73" x14ac:dyDescent="0.45">
      <c r="AR1194" s="15" t="s">
        <v>328</v>
      </c>
      <c r="AS1194" s="15" t="s">
        <v>567</v>
      </c>
      <c r="AT1194" s="15" t="s">
        <v>815</v>
      </c>
      <c r="AU1194" s="15"/>
      <c r="AV1194" s="15"/>
      <c r="AW1194" s="15"/>
      <c r="AX1194" s="15"/>
      <c r="AY1194" s="15"/>
      <c r="AZ1194" s="18"/>
      <c r="BA1194" s="19">
        <v>2.5000000000000001E-2</v>
      </c>
      <c r="BB1194" s="18"/>
      <c r="BC1194" s="18"/>
      <c r="BD1194" s="18"/>
      <c r="BE1194" s="18"/>
      <c r="BF1194" s="18"/>
      <c r="BG1194" s="18"/>
      <c r="BH1194" s="18"/>
      <c r="BI1194" s="18"/>
      <c r="BJ1194" s="18"/>
      <c r="BK1194" s="18"/>
      <c r="BL1194" s="19">
        <v>0.05</v>
      </c>
      <c r="BM1194" s="18"/>
      <c r="BN1194" s="18"/>
      <c r="BO1194" s="18"/>
      <c r="BP1194" s="18"/>
      <c r="BQ1194" s="18"/>
      <c r="BR1194" s="18"/>
      <c r="BS1194" s="18"/>
      <c r="BT1194" s="18"/>
      <c r="BU1194" s="18"/>
    </row>
    <row r="1195" spans="44:73" x14ac:dyDescent="0.45">
      <c r="AR1195" s="15" t="s">
        <v>328</v>
      </c>
      <c r="AS1195" s="15" t="s">
        <v>567</v>
      </c>
      <c r="AT1195" s="15" t="s">
        <v>816</v>
      </c>
      <c r="AU1195" s="15"/>
      <c r="AV1195" s="15"/>
      <c r="AW1195" s="15"/>
      <c r="AX1195" s="15"/>
      <c r="AY1195" s="15"/>
      <c r="AZ1195" s="18"/>
      <c r="BA1195" s="19">
        <v>2.5000000000000001E-2</v>
      </c>
      <c r="BB1195" s="18"/>
      <c r="BC1195" s="18"/>
      <c r="BD1195" s="18"/>
      <c r="BE1195" s="18"/>
      <c r="BF1195" s="18"/>
      <c r="BG1195" s="18"/>
      <c r="BH1195" s="18"/>
      <c r="BI1195" s="18"/>
      <c r="BJ1195" s="18"/>
      <c r="BK1195" s="18"/>
      <c r="BL1195" s="19">
        <v>0.05</v>
      </c>
      <c r="BM1195" s="18"/>
      <c r="BN1195" s="18"/>
      <c r="BO1195" s="18"/>
      <c r="BP1195" s="18"/>
      <c r="BQ1195" s="18"/>
      <c r="BR1195" s="18"/>
      <c r="BS1195" s="18"/>
      <c r="BT1195" s="18"/>
      <c r="BU1195" s="18"/>
    </row>
    <row r="1196" spans="44:73" x14ac:dyDescent="0.45">
      <c r="AR1196" s="15" t="s">
        <v>328</v>
      </c>
      <c r="AS1196" s="15" t="s">
        <v>567</v>
      </c>
      <c r="AT1196" s="15" t="s">
        <v>817</v>
      </c>
      <c r="AU1196" s="15"/>
      <c r="AV1196" s="15"/>
      <c r="AW1196" s="15"/>
      <c r="AX1196" s="15"/>
      <c r="AY1196" s="15"/>
      <c r="AZ1196" s="18"/>
      <c r="BA1196" s="19">
        <v>2.5000000000000001E-2</v>
      </c>
      <c r="BB1196" s="18"/>
      <c r="BC1196" s="18"/>
      <c r="BD1196" s="18"/>
      <c r="BE1196" s="18"/>
      <c r="BF1196" s="18"/>
      <c r="BG1196" s="18"/>
      <c r="BH1196" s="18"/>
      <c r="BI1196" s="18"/>
      <c r="BJ1196" s="18"/>
      <c r="BK1196" s="18"/>
      <c r="BL1196" s="19">
        <v>0.05</v>
      </c>
      <c r="BM1196" s="18"/>
      <c r="BN1196" s="18"/>
      <c r="BO1196" s="18"/>
      <c r="BP1196" s="18"/>
      <c r="BQ1196" s="18"/>
      <c r="BR1196" s="18"/>
      <c r="BS1196" s="18"/>
      <c r="BT1196" s="18"/>
      <c r="BU1196" s="18"/>
    </row>
    <row r="1197" spans="44:73" x14ac:dyDescent="0.45">
      <c r="AR1197" s="15" t="s">
        <v>328</v>
      </c>
      <c r="AS1197" s="15" t="s">
        <v>567</v>
      </c>
      <c r="AT1197" s="15" t="s">
        <v>818</v>
      </c>
      <c r="AU1197" s="15"/>
      <c r="AV1197" s="15"/>
      <c r="AW1197" s="15"/>
      <c r="AX1197" s="15"/>
      <c r="AY1197" s="15"/>
      <c r="AZ1197" s="18"/>
      <c r="BA1197" s="19">
        <v>2.5000000000000001E-2</v>
      </c>
      <c r="BB1197" s="18"/>
      <c r="BC1197" s="18"/>
      <c r="BD1197" s="18"/>
      <c r="BE1197" s="18"/>
      <c r="BF1197" s="18"/>
      <c r="BG1197" s="18"/>
      <c r="BH1197" s="18"/>
      <c r="BI1197" s="18"/>
      <c r="BJ1197" s="18"/>
      <c r="BK1197" s="18"/>
      <c r="BL1197" s="19">
        <v>0.05</v>
      </c>
      <c r="BM1197" s="18"/>
      <c r="BN1197" s="18"/>
      <c r="BO1197" s="18"/>
      <c r="BP1197" s="18"/>
      <c r="BQ1197" s="18"/>
      <c r="BR1197" s="18"/>
      <c r="BS1197" s="18"/>
      <c r="BT1197" s="18"/>
      <c r="BU1197" s="18"/>
    </row>
    <row r="1198" spans="44:73" x14ac:dyDescent="0.45">
      <c r="AR1198" s="15" t="s">
        <v>328</v>
      </c>
      <c r="AS1198" s="15" t="s">
        <v>567</v>
      </c>
      <c r="AT1198" s="15" t="s">
        <v>819</v>
      </c>
      <c r="AU1198" s="15"/>
      <c r="AV1198" s="15"/>
      <c r="AW1198" s="15"/>
      <c r="AX1198" s="15"/>
      <c r="AY1198" s="15"/>
      <c r="AZ1198" s="18"/>
      <c r="BA1198" s="19">
        <v>2.5000000000000001E-2</v>
      </c>
      <c r="BB1198" s="18"/>
      <c r="BC1198" s="18"/>
      <c r="BD1198" s="18"/>
      <c r="BE1198" s="18"/>
      <c r="BF1198" s="18"/>
      <c r="BG1198" s="18"/>
      <c r="BH1198" s="18"/>
      <c r="BI1198" s="18"/>
      <c r="BJ1198" s="18"/>
      <c r="BK1198" s="18"/>
      <c r="BL1198" s="19">
        <v>0.05</v>
      </c>
      <c r="BM1198" s="18"/>
      <c r="BN1198" s="18"/>
      <c r="BO1198" s="18"/>
      <c r="BP1198" s="18"/>
      <c r="BQ1198" s="18"/>
      <c r="BR1198" s="18"/>
      <c r="BS1198" s="18"/>
      <c r="BT1198" s="18"/>
      <c r="BU1198" s="18"/>
    </row>
    <row r="1199" spans="44:73" x14ac:dyDescent="0.45">
      <c r="AR1199" s="15" t="s">
        <v>328</v>
      </c>
      <c r="AS1199" s="15" t="s">
        <v>567</v>
      </c>
      <c r="AT1199" s="15" t="s">
        <v>820</v>
      </c>
      <c r="AU1199" s="15"/>
      <c r="AV1199" s="15"/>
      <c r="AW1199" s="15"/>
      <c r="AX1199" s="15"/>
      <c r="AY1199" s="15"/>
      <c r="AZ1199" s="18"/>
      <c r="BA1199" s="19">
        <v>2.5000000000000001E-2</v>
      </c>
      <c r="BB1199" s="18"/>
      <c r="BC1199" s="18"/>
      <c r="BD1199" s="18"/>
      <c r="BE1199" s="18"/>
      <c r="BF1199" s="18"/>
      <c r="BG1199" s="18"/>
      <c r="BH1199" s="18"/>
      <c r="BI1199" s="18"/>
      <c r="BJ1199" s="18"/>
      <c r="BK1199" s="18"/>
      <c r="BL1199" s="19">
        <v>0.05</v>
      </c>
      <c r="BM1199" s="18"/>
      <c r="BN1199" s="18"/>
      <c r="BO1199" s="18"/>
      <c r="BP1199" s="18"/>
      <c r="BQ1199" s="18"/>
      <c r="BR1199" s="18"/>
      <c r="BS1199" s="18"/>
      <c r="BT1199" s="18"/>
      <c r="BU1199" s="18"/>
    </row>
    <row r="1200" spans="44:73" x14ac:dyDescent="0.45">
      <c r="AR1200" s="15" t="s">
        <v>328</v>
      </c>
      <c r="AS1200" s="15" t="s">
        <v>567</v>
      </c>
      <c r="AT1200" s="15" t="s">
        <v>821</v>
      </c>
      <c r="AU1200" s="15"/>
      <c r="AV1200" s="15"/>
      <c r="AW1200" s="15"/>
      <c r="AX1200" s="15"/>
      <c r="AY1200" s="15"/>
      <c r="AZ1200" s="18"/>
      <c r="BA1200" s="19">
        <v>2.5000000000000001E-2</v>
      </c>
      <c r="BB1200" s="18"/>
      <c r="BC1200" s="18"/>
      <c r="BD1200" s="18"/>
      <c r="BE1200" s="18"/>
      <c r="BF1200" s="18"/>
      <c r="BG1200" s="18"/>
      <c r="BH1200" s="18"/>
      <c r="BI1200" s="18"/>
      <c r="BJ1200" s="18"/>
      <c r="BK1200" s="18"/>
      <c r="BL1200" s="19">
        <v>0.05</v>
      </c>
      <c r="BM1200" s="18"/>
      <c r="BN1200" s="18"/>
      <c r="BO1200" s="18"/>
      <c r="BP1200" s="18"/>
      <c r="BQ1200" s="18"/>
      <c r="BR1200" s="18"/>
      <c r="BS1200" s="18"/>
      <c r="BT1200" s="18"/>
      <c r="BU1200" s="18"/>
    </row>
    <row r="1201" spans="44:73" x14ac:dyDescent="0.45">
      <c r="AR1201" s="15" t="s">
        <v>328</v>
      </c>
      <c r="AS1201" s="15" t="s">
        <v>567</v>
      </c>
      <c r="AT1201" s="15" t="s">
        <v>822</v>
      </c>
      <c r="AU1201" s="15"/>
      <c r="AV1201" s="15"/>
      <c r="AW1201" s="15"/>
      <c r="AX1201" s="15"/>
      <c r="AY1201" s="15"/>
      <c r="AZ1201" s="18"/>
      <c r="BA1201" s="19">
        <v>2.5000000000000001E-2</v>
      </c>
      <c r="BB1201" s="18"/>
      <c r="BC1201" s="18"/>
      <c r="BD1201" s="18"/>
      <c r="BE1201" s="18"/>
      <c r="BF1201" s="18"/>
      <c r="BG1201" s="18"/>
      <c r="BH1201" s="18"/>
      <c r="BI1201" s="18"/>
      <c r="BJ1201" s="18"/>
      <c r="BK1201" s="18"/>
      <c r="BL1201" s="19">
        <v>0.05</v>
      </c>
      <c r="BM1201" s="18"/>
      <c r="BN1201" s="18"/>
      <c r="BO1201" s="18"/>
      <c r="BP1201" s="18"/>
      <c r="BQ1201" s="18"/>
      <c r="BR1201" s="18"/>
      <c r="BS1201" s="18"/>
      <c r="BT1201" s="18"/>
      <c r="BU1201" s="18"/>
    </row>
    <row r="1202" spans="44:73" x14ac:dyDescent="0.45">
      <c r="AR1202" s="15" t="s">
        <v>328</v>
      </c>
      <c r="AS1202" s="15" t="s">
        <v>567</v>
      </c>
      <c r="AT1202" s="15" t="s">
        <v>823</v>
      </c>
      <c r="AU1202" s="15"/>
      <c r="AV1202" s="15"/>
      <c r="AW1202" s="15"/>
      <c r="AX1202" s="15"/>
      <c r="AY1202" s="15"/>
      <c r="AZ1202" s="18"/>
      <c r="BA1202" s="19">
        <v>2.5000000000000001E-2</v>
      </c>
      <c r="BB1202" s="18"/>
      <c r="BC1202" s="18"/>
      <c r="BD1202" s="18"/>
      <c r="BE1202" s="18"/>
      <c r="BF1202" s="18"/>
      <c r="BG1202" s="18"/>
      <c r="BH1202" s="18"/>
      <c r="BI1202" s="18"/>
      <c r="BJ1202" s="18"/>
      <c r="BK1202" s="18"/>
      <c r="BL1202" s="19">
        <v>0.05</v>
      </c>
      <c r="BM1202" s="18"/>
      <c r="BN1202" s="18"/>
      <c r="BO1202" s="18"/>
      <c r="BP1202" s="18"/>
      <c r="BQ1202" s="18"/>
      <c r="BR1202" s="18"/>
      <c r="BS1202" s="18"/>
      <c r="BT1202" s="18"/>
      <c r="BU1202" s="18"/>
    </row>
    <row r="1203" spans="44:73" x14ac:dyDescent="0.45">
      <c r="AR1203" s="15" t="s">
        <v>328</v>
      </c>
      <c r="AS1203" s="15" t="s">
        <v>567</v>
      </c>
      <c r="AT1203" s="15" t="s">
        <v>824</v>
      </c>
      <c r="AU1203" s="15"/>
      <c r="AV1203" s="15"/>
      <c r="AW1203" s="15"/>
      <c r="AX1203" s="15"/>
      <c r="AY1203" s="15"/>
      <c r="AZ1203" s="18"/>
      <c r="BA1203" s="19">
        <v>2.5000000000000001E-2</v>
      </c>
      <c r="BB1203" s="18"/>
      <c r="BC1203" s="18"/>
      <c r="BD1203" s="18"/>
      <c r="BE1203" s="18"/>
      <c r="BF1203" s="18"/>
      <c r="BG1203" s="18"/>
      <c r="BH1203" s="18"/>
      <c r="BI1203" s="18"/>
      <c r="BJ1203" s="18"/>
      <c r="BK1203" s="18"/>
      <c r="BL1203" s="19">
        <v>0.05</v>
      </c>
      <c r="BM1203" s="18"/>
      <c r="BN1203" s="18"/>
      <c r="BO1203" s="18"/>
      <c r="BP1203" s="18"/>
      <c r="BQ1203" s="18"/>
      <c r="BR1203" s="18"/>
      <c r="BS1203" s="18"/>
      <c r="BT1203" s="18"/>
      <c r="BU1203" s="18"/>
    </row>
    <row r="1204" spans="44:73" x14ac:dyDescent="0.45">
      <c r="AR1204" s="15" t="s">
        <v>328</v>
      </c>
      <c r="AS1204" s="15" t="s">
        <v>567</v>
      </c>
      <c r="AT1204" s="15" t="s">
        <v>825</v>
      </c>
      <c r="AU1204" s="15"/>
      <c r="AV1204" s="15"/>
      <c r="AW1204" s="15"/>
      <c r="AX1204" s="15"/>
      <c r="AY1204" s="15"/>
      <c r="AZ1204" s="18"/>
      <c r="BA1204" s="19">
        <v>2.5000000000000001E-2</v>
      </c>
      <c r="BB1204" s="18"/>
      <c r="BC1204" s="18"/>
      <c r="BD1204" s="18"/>
      <c r="BE1204" s="18"/>
      <c r="BF1204" s="18"/>
      <c r="BG1204" s="18"/>
      <c r="BH1204" s="18"/>
      <c r="BI1204" s="18"/>
      <c r="BJ1204" s="18"/>
      <c r="BK1204" s="18"/>
      <c r="BL1204" s="19">
        <v>0.05</v>
      </c>
      <c r="BM1204" s="18"/>
      <c r="BN1204" s="18"/>
      <c r="BO1204" s="18"/>
      <c r="BP1204" s="18"/>
      <c r="BQ1204" s="18"/>
      <c r="BR1204" s="18"/>
      <c r="BS1204" s="18"/>
      <c r="BT1204" s="18"/>
      <c r="BU1204" s="18"/>
    </row>
    <row r="1205" spans="44:73" x14ac:dyDescent="0.45">
      <c r="AR1205" s="15" t="s">
        <v>328</v>
      </c>
      <c r="AS1205" s="15" t="s">
        <v>567</v>
      </c>
      <c r="AT1205" s="15" t="s">
        <v>826</v>
      </c>
      <c r="AU1205" s="15"/>
      <c r="AV1205" s="15"/>
      <c r="AW1205" s="15"/>
      <c r="AX1205" s="15"/>
      <c r="AY1205" s="15"/>
      <c r="AZ1205" s="18"/>
      <c r="BA1205" s="19">
        <v>2.5000000000000001E-2</v>
      </c>
      <c r="BB1205" s="18"/>
      <c r="BC1205" s="18"/>
      <c r="BD1205" s="18"/>
      <c r="BE1205" s="18"/>
      <c r="BF1205" s="18"/>
      <c r="BG1205" s="18"/>
      <c r="BH1205" s="18"/>
      <c r="BI1205" s="18"/>
      <c r="BJ1205" s="18"/>
      <c r="BK1205" s="18"/>
      <c r="BL1205" s="19">
        <v>0.05</v>
      </c>
      <c r="BM1205" s="18"/>
      <c r="BN1205" s="18"/>
      <c r="BO1205" s="18"/>
      <c r="BP1205" s="18"/>
      <c r="BQ1205" s="18"/>
      <c r="BR1205" s="18"/>
      <c r="BS1205" s="18"/>
      <c r="BT1205" s="18"/>
      <c r="BU1205" s="18"/>
    </row>
    <row r="1206" spans="44:73" x14ac:dyDescent="0.45">
      <c r="AR1206" s="15" t="s">
        <v>328</v>
      </c>
      <c r="AS1206" s="15" t="s">
        <v>567</v>
      </c>
      <c r="AT1206" s="15" t="s">
        <v>827</v>
      </c>
      <c r="AU1206" s="15"/>
      <c r="AV1206" s="15"/>
      <c r="AW1206" s="15"/>
      <c r="AX1206" s="15"/>
      <c r="AY1206" s="15"/>
      <c r="AZ1206" s="18"/>
      <c r="BA1206" s="19">
        <v>2.5000000000000001E-2</v>
      </c>
      <c r="BB1206" s="18"/>
      <c r="BC1206" s="18"/>
      <c r="BD1206" s="18"/>
      <c r="BE1206" s="18"/>
      <c r="BF1206" s="18"/>
      <c r="BG1206" s="18"/>
      <c r="BH1206" s="18"/>
      <c r="BI1206" s="18"/>
      <c r="BJ1206" s="18"/>
      <c r="BK1206" s="18"/>
      <c r="BL1206" s="19">
        <v>0.05</v>
      </c>
      <c r="BM1206" s="18"/>
      <c r="BN1206" s="18"/>
      <c r="BO1206" s="18"/>
      <c r="BP1206" s="18"/>
      <c r="BQ1206" s="18"/>
      <c r="BR1206" s="18"/>
      <c r="BS1206" s="18"/>
      <c r="BT1206" s="18"/>
      <c r="BU1206" s="18"/>
    </row>
    <row r="1207" spans="44:73" x14ac:dyDescent="0.45">
      <c r="AR1207" s="15" t="s">
        <v>328</v>
      </c>
      <c r="AS1207" s="15" t="s">
        <v>567</v>
      </c>
      <c r="AT1207" s="15" t="s">
        <v>828</v>
      </c>
      <c r="AU1207" s="15"/>
      <c r="AV1207" s="15"/>
      <c r="AW1207" s="15"/>
      <c r="AX1207" s="15"/>
      <c r="AY1207" s="15"/>
      <c r="AZ1207" s="18"/>
      <c r="BA1207" s="19">
        <v>2.5000000000000001E-2</v>
      </c>
      <c r="BB1207" s="18"/>
      <c r="BC1207" s="18"/>
      <c r="BD1207" s="18"/>
      <c r="BE1207" s="18"/>
      <c r="BF1207" s="18"/>
      <c r="BG1207" s="18"/>
      <c r="BH1207" s="18"/>
      <c r="BI1207" s="18"/>
      <c r="BJ1207" s="18"/>
      <c r="BK1207" s="18"/>
      <c r="BL1207" s="19">
        <v>0.05</v>
      </c>
      <c r="BM1207" s="18"/>
      <c r="BN1207" s="18"/>
      <c r="BO1207" s="18"/>
      <c r="BP1207" s="18"/>
      <c r="BQ1207" s="18"/>
      <c r="BR1207" s="18"/>
      <c r="BS1207" s="18"/>
      <c r="BT1207" s="18"/>
      <c r="BU1207" s="18"/>
    </row>
    <row r="1208" spans="44:73" x14ac:dyDescent="0.45">
      <c r="AR1208" s="15" t="s">
        <v>328</v>
      </c>
      <c r="AS1208" s="15" t="s">
        <v>567</v>
      </c>
      <c r="AT1208" s="15" t="s">
        <v>829</v>
      </c>
      <c r="AU1208" s="15"/>
      <c r="AV1208" s="15"/>
      <c r="AW1208" s="15"/>
      <c r="AX1208" s="15"/>
      <c r="AY1208" s="15"/>
      <c r="AZ1208" s="18"/>
      <c r="BA1208" s="19">
        <v>2.5000000000000001E-2</v>
      </c>
      <c r="BB1208" s="18"/>
      <c r="BC1208" s="18"/>
      <c r="BD1208" s="18"/>
      <c r="BE1208" s="18"/>
      <c r="BF1208" s="18"/>
      <c r="BG1208" s="18"/>
      <c r="BH1208" s="18"/>
      <c r="BI1208" s="18"/>
      <c r="BJ1208" s="18"/>
      <c r="BK1208" s="18"/>
      <c r="BL1208" s="19">
        <v>0.05</v>
      </c>
      <c r="BM1208" s="18"/>
      <c r="BN1208" s="18"/>
      <c r="BO1208" s="18"/>
      <c r="BP1208" s="18"/>
      <c r="BQ1208" s="18"/>
      <c r="BR1208" s="18"/>
      <c r="BS1208" s="18"/>
      <c r="BT1208" s="18"/>
      <c r="BU1208" s="18"/>
    </row>
    <row r="1209" spans="44:73" x14ac:dyDescent="0.45">
      <c r="AR1209" s="15" t="s">
        <v>328</v>
      </c>
      <c r="AS1209" s="15" t="s">
        <v>567</v>
      </c>
      <c r="AT1209" s="15" t="s">
        <v>830</v>
      </c>
      <c r="AU1209" s="15"/>
      <c r="AV1209" s="15"/>
      <c r="AW1209" s="15"/>
      <c r="AX1209" s="15"/>
      <c r="AY1209" s="15"/>
      <c r="AZ1209" s="18"/>
      <c r="BA1209" s="19">
        <v>2.5000000000000001E-2</v>
      </c>
      <c r="BB1209" s="18"/>
      <c r="BC1209" s="18"/>
      <c r="BD1209" s="18"/>
      <c r="BE1209" s="18"/>
      <c r="BF1209" s="18"/>
      <c r="BG1209" s="18"/>
      <c r="BH1209" s="18"/>
      <c r="BI1209" s="18"/>
      <c r="BJ1209" s="18"/>
      <c r="BK1209" s="18"/>
      <c r="BL1209" s="19">
        <v>0.05</v>
      </c>
      <c r="BM1209" s="18"/>
      <c r="BN1209" s="18"/>
      <c r="BO1209" s="18"/>
      <c r="BP1209" s="18"/>
      <c r="BQ1209" s="18"/>
      <c r="BR1209" s="18"/>
      <c r="BS1209" s="18"/>
      <c r="BT1209" s="18"/>
      <c r="BU1209" s="18"/>
    </row>
    <row r="1210" spans="44:73" x14ac:dyDescent="0.45">
      <c r="AR1210" s="15" t="s">
        <v>328</v>
      </c>
      <c r="AS1210" s="15" t="s">
        <v>567</v>
      </c>
      <c r="AT1210" s="15" t="s">
        <v>831</v>
      </c>
      <c r="AU1210" s="15"/>
      <c r="AV1210" s="15"/>
      <c r="AW1210" s="15"/>
      <c r="AX1210" s="15"/>
      <c r="AY1210" s="15"/>
      <c r="AZ1210" s="18"/>
      <c r="BA1210" s="19">
        <v>2.5000000000000001E-2</v>
      </c>
      <c r="BB1210" s="18"/>
      <c r="BC1210" s="18"/>
      <c r="BD1210" s="18"/>
      <c r="BE1210" s="18"/>
      <c r="BF1210" s="18"/>
      <c r="BG1210" s="18"/>
      <c r="BH1210" s="18"/>
      <c r="BI1210" s="18"/>
      <c r="BJ1210" s="18"/>
      <c r="BK1210" s="18"/>
      <c r="BL1210" s="19">
        <v>0.05</v>
      </c>
      <c r="BM1210" s="18"/>
      <c r="BN1210" s="18"/>
      <c r="BO1210" s="18"/>
      <c r="BP1210" s="18"/>
      <c r="BQ1210" s="18"/>
      <c r="BR1210" s="18"/>
      <c r="BS1210" s="18"/>
      <c r="BT1210" s="18"/>
      <c r="BU1210" s="18"/>
    </row>
    <row r="1211" spans="44:73" x14ac:dyDescent="0.45">
      <c r="AR1211" s="15" t="s">
        <v>328</v>
      </c>
      <c r="AS1211" s="15" t="s">
        <v>567</v>
      </c>
      <c r="AT1211" s="15" t="s">
        <v>832</v>
      </c>
      <c r="AU1211" s="15"/>
      <c r="AV1211" s="15"/>
      <c r="AW1211" s="15"/>
      <c r="AX1211" s="15"/>
      <c r="AY1211" s="15"/>
      <c r="AZ1211" s="18"/>
      <c r="BA1211" s="19">
        <v>2.5000000000000001E-2</v>
      </c>
      <c r="BB1211" s="18"/>
      <c r="BC1211" s="18"/>
      <c r="BD1211" s="18"/>
      <c r="BE1211" s="18"/>
      <c r="BF1211" s="18"/>
      <c r="BG1211" s="18"/>
      <c r="BH1211" s="18"/>
      <c r="BI1211" s="18"/>
      <c r="BJ1211" s="18"/>
      <c r="BK1211" s="18"/>
      <c r="BL1211" s="19">
        <v>0.05</v>
      </c>
      <c r="BM1211" s="18"/>
      <c r="BN1211" s="18"/>
      <c r="BO1211" s="18"/>
      <c r="BP1211" s="18"/>
      <c r="BQ1211" s="18"/>
      <c r="BR1211" s="18"/>
      <c r="BS1211" s="18"/>
      <c r="BT1211" s="18"/>
      <c r="BU1211" s="18"/>
    </row>
    <row r="1212" spans="44:73" x14ac:dyDescent="0.45">
      <c r="AR1212" s="15" t="s">
        <v>328</v>
      </c>
      <c r="AS1212" s="15" t="s">
        <v>567</v>
      </c>
      <c r="AT1212" s="15" t="s">
        <v>833</v>
      </c>
      <c r="AU1212" s="15"/>
      <c r="AV1212" s="15"/>
      <c r="AW1212" s="15"/>
      <c r="AX1212" s="15"/>
      <c r="AY1212" s="15"/>
      <c r="AZ1212" s="18"/>
      <c r="BA1212" s="19">
        <v>2.5000000000000001E-2</v>
      </c>
      <c r="BB1212" s="18"/>
      <c r="BC1212" s="18"/>
      <c r="BD1212" s="18"/>
      <c r="BE1212" s="18"/>
      <c r="BF1212" s="18"/>
      <c r="BG1212" s="18"/>
      <c r="BH1212" s="18"/>
      <c r="BI1212" s="18"/>
      <c r="BJ1212" s="18"/>
      <c r="BK1212" s="18"/>
      <c r="BL1212" s="19">
        <v>0.05</v>
      </c>
      <c r="BM1212" s="18"/>
      <c r="BN1212" s="18"/>
      <c r="BO1212" s="18"/>
      <c r="BP1212" s="18"/>
      <c r="BQ1212" s="18"/>
      <c r="BR1212" s="18"/>
      <c r="BS1212" s="18"/>
      <c r="BT1212" s="18"/>
      <c r="BU1212" s="18"/>
    </row>
    <row r="1213" spans="44:73" x14ac:dyDescent="0.45">
      <c r="AR1213" s="15" t="s">
        <v>328</v>
      </c>
      <c r="AS1213" s="15" t="s">
        <v>567</v>
      </c>
      <c r="AT1213" s="15" t="s">
        <v>834</v>
      </c>
      <c r="AU1213" s="15"/>
      <c r="AV1213" s="15"/>
      <c r="AW1213" s="15"/>
      <c r="AX1213" s="15"/>
      <c r="AY1213" s="15"/>
      <c r="AZ1213" s="18"/>
      <c r="BA1213" s="19">
        <v>2.5000000000000001E-2</v>
      </c>
      <c r="BB1213" s="18"/>
      <c r="BC1213" s="18"/>
      <c r="BD1213" s="18"/>
      <c r="BE1213" s="18"/>
      <c r="BF1213" s="18"/>
      <c r="BG1213" s="18"/>
      <c r="BH1213" s="18"/>
      <c r="BI1213" s="18"/>
      <c r="BJ1213" s="18"/>
      <c r="BK1213" s="18"/>
      <c r="BL1213" s="19">
        <v>0.05</v>
      </c>
      <c r="BM1213" s="18"/>
      <c r="BN1213" s="18"/>
      <c r="BO1213" s="18"/>
      <c r="BP1213" s="18"/>
      <c r="BQ1213" s="18"/>
      <c r="BR1213" s="18"/>
      <c r="BS1213" s="18"/>
      <c r="BT1213" s="18"/>
      <c r="BU1213" s="18"/>
    </row>
    <row r="1214" spans="44:73" x14ac:dyDescent="0.45">
      <c r="AR1214" s="15" t="s">
        <v>328</v>
      </c>
      <c r="AS1214" s="15" t="s">
        <v>567</v>
      </c>
      <c r="AT1214" s="15" t="s">
        <v>835</v>
      </c>
      <c r="AU1214" s="15"/>
      <c r="AV1214" s="15"/>
      <c r="AW1214" s="15"/>
      <c r="AX1214" s="15"/>
      <c r="AY1214" s="15"/>
      <c r="AZ1214" s="18"/>
      <c r="BA1214" s="19">
        <v>2.5000000000000001E-2</v>
      </c>
      <c r="BB1214" s="18"/>
      <c r="BC1214" s="18"/>
      <c r="BD1214" s="18"/>
      <c r="BE1214" s="18"/>
      <c r="BF1214" s="18"/>
      <c r="BG1214" s="18"/>
      <c r="BH1214" s="18"/>
      <c r="BI1214" s="18"/>
      <c r="BJ1214" s="18"/>
      <c r="BK1214" s="18"/>
      <c r="BL1214" s="19">
        <v>0.05</v>
      </c>
      <c r="BM1214" s="18"/>
      <c r="BN1214" s="18"/>
      <c r="BO1214" s="18"/>
      <c r="BP1214" s="18"/>
      <c r="BQ1214" s="18"/>
      <c r="BR1214" s="18"/>
      <c r="BS1214" s="18"/>
      <c r="BT1214" s="18"/>
      <c r="BU1214" s="18"/>
    </row>
    <row r="1215" spans="44:73" x14ac:dyDescent="0.45">
      <c r="AR1215" s="15" t="s">
        <v>328</v>
      </c>
      <c r="AS1215" s="15" t="s">
        <v>567</v>
      </c>
      <c r="AT1215" s="15" t="s">
        <v>836</v>
      </c>
      <c r="AU1215" s="15"/>
      <c r="AV1215" s="15"/>
      <c r="AW1215" s="15"/>
      <c r="AX1215" s="15"/>
      <c r="AY1215" s="15"/>
      <c r="AZ1215" s="18"/>
      <c r="BA1215" s="19">
        <v>2.5000000000000001E-2</v>
      </c>
      <c r="BB1215" s="18"/>
      <c r="BC1215" s="18"/>
      <c r="BD1215" s="18"/>
      <c r="BE1215" s="18"/>
      <c r="BF1215" s="18"/>
      <c r="BG1215" s="18"/>
      <c r="BH1215" s="18"/>
      <c r="BI1215" s="18"/>
      <c r="BJ1215" s="18"/>
      <c r="BK1215" s="18"/>
      <c r="BL1215" s="19">
        <v>0.05</v>
      </c>
      <c r="BM1215" s="18"/>
      <c r="BN1215" s="18"/>
      <c r="BO1215" s="18"/>
      <c r="BP1215" s="18"/>
      <c r="BQ1215" s="18"/>
      <c r="BR1215" s="18"/>
      <c r="BS1215" s="18"/>
      <c r="BT1215" s="18"/>
      <c r="BU1215" s="18"/>
    </row>
    <row r="1216" spans="44:73" x14ac:dyDescent="0.45">
      <c r="AR1216" s="15" t="s">
        <v>328</v>
      </c>
      <c r="AS1216" s="15" t="s">
        <v>567</v>
      </c>
      <c r="AT1216" s="15" t="s">
        <v>837</v>
      </c>
      <c r="AU1216" s="15"/>
      <c r="AV1216" s="15"/>
      <c r="AW1216" s="15"/>
      <c r="AX1216" s="15"/>
      <c r="AY1216" s="15"/>
      <c r="AZ1216" s="18"/>
      <c r="BA1216" s="19">
        <v>2.5000000000000001E-2</v>
      </c>
      <c r="BB1216" s="18"/>
      <c r="BC1216" s="18"/>
      <c r="BD1216" s="18"/>
      <c r="BE1216" s="18"/>
      <c r="BF1216" s="18"/>
      <c r="BG1216" s="18"/>
      <c r="BH1216" s="18"/>
      <c r="BI1216" s="18"/>
      <c r="BJ1216" s="18"/>
      <c r="BK1216" s="18"/>
      <c r="BL1216" s="19">
        <v>0.05</v>
      </c>
      <c r="BM1216" s="18"/>
      <c r="BN1216" s="18"/>
      <c r="BO1216" s="18"/>
      <c r="BP1216" s="18"/>
      <c r="BQ1216" s="18"/>
      <c r="BR1216" s="18"/>
      <c r="BS1216" s="18"/>
      <c r="BT1216" s="18"/>
      <c r="BU1216" s="18"/>
    </row>
    <row r="1217" spans="44:73" x14ac:dyDescent="0.45">
      <c r="AR1217" s="15" t="s">
        <v>328</v>
      </c>
      <c r="AS1217" s="15" t="s">
        <v>567</v>
      </c>
      <c r="AT1217" s="15" t="s">
        <v>838</v>
      </c>
      <c r="AU1217" s="15"/>
      <c r="AV1217" s="15"/>
      <c r="AW1217" s="15"/>
      <c r="AX1217" s="15"/>
      <c r="AY1217" s="15"/>
      <c r="AZ1217" s="18"/>
      <c r="BA1217" s="19">
        <v>2.5000000000000001E-2</v>
      </c>
      <c r="BB1217" s="18"/>
      <c r="BC1217" s="18"/>
      <c r="BD1217" s="18"/>
      <c r="BE1217" s="18"/>
      <c r="BF1217" s="18"/>
      <c r="BG1217" s="18"/>
      <c r="BH1217" s="18"/>
      <c r="BI1217" s="18"/>
      <c r="BJ1217" s="18"/>
      <c r="BK1217" s="18"/>
      <c r="BL1217" s="19">
        <v>0.05</v>
      </c>
      <c r="BM1217" s="18"/>
      <c r="BN1217" s="18"/>
      <c r="BO1217" s="18"/>
      <c r="BP1217" s="18"/>
      <c r="BQ1217" s="18"/>
      <c r="BR1217" s="18"/>
      <c r="BS1217" s="18"/>
      <c r="BT1217" s="18"/>
      <c r="BU1217" s="18"/>
    </row>
    <row r="1218" spans="44:73" x14ac:dyDescent="0.45">
      <c r="AR1218" s="15" t="s">
        <v>328</v>
      </c>
      <c r="AS1218" s="15" t="s">
        <v>567</v>
      </c>
      <c r="AT1218" s="15" t="s">
        <v>839</v>
      </c>
      <c r="AU1218" s="15"/>
      <c r="AV1218" s="15"/>
      <c r="AW1218" s="15"/>
      <c r="AX1218" s="15"/>
      <c r="AY1218" s="15"/>
      <c r="AZ1218" s="18"/>
      <c r="BA1218" s="19">
        <v>2.5000000000000001E-2</v>
      </c>
      <c r="BB1218" s="18"/>
      <c r="BC1218" s="18"/>
      <c r="BD1218" s="18"/>
      <c r="BE1218" s="18"/>
      <c r="BF1218" s="18"/>
      <c r="BG1218" s="18"/>
      <c r="BH1218" s="18"/>
      <c r="BI1218" s="18"/>
      <c r="BJ1218" s="18"/>
      <c r="BK1218" s="18"/>
      <c r="BL1218" s="19">
        <v>0.05</v>
      </c>
      <c r="BM1218" s="18"/>
      <c r="BN1218" s="18"/>
      <c r="BO1218" s="18"/>
      <c r="BP1218" s="18"/>
      <c r="BQ1218" s="18"/>
      <c r="BR1218" s="18"/>
      <c r="BS1218" s="18"/>
      <c r="BT1218" s="18"/>
      <c r="BU1218" s="18"/>
    </row>
    <row r="1219" spans="44:73" x14ac:dyDescent="0.45">
      <c r="AR1219" s="15" t="s">
        <v>328</v>
      </c>
      <c r="AS1219" s="15" t="s">
        <v>567</v>
      </c>
      <c r="AT1219" s="15" t="s">
        <v>840</v>
      </c>
      <c r="AU1219" s="15"/>
      <c r="AV1219" s="15"/>
      <c r="AW1219" s="15"/>
      <c r="AX1219" s="15"/>
      <c r="AY1219" s="15"/>
      <c r="AZ1219" s="18"/>
      <c r="BA1219" s="19">
        <v>2.5000000000000001E-2</v>
      </c>
      <c r="BB1219" s="18"/>
      <c r="BC1219" s="18"/>
      <c r="BD1219" s="18"/>
      <c r="BE1219" s="18"/>
      <c r="BF1219" s="18"/>
      <c r="BG1219" s="18"/>
      <c r="BH1219" s="18"/>
      <c r="BI1219" s="18"/>
      <c r="BJ1219" s="18"/>
      <c r="BK1219" s="18"/>
      <c r="BL1219" s="19">
        <v>0.05</v>
      </c>
      <c r="BM1219" s="18"/>
      <c r="BN1219" s="18"/>
      <c r="BO1219" s="18"/>
      <c r="BP1219" s="18"/>
      <c r="BQ1219" s="18"/>
      <c r="BR1219" s="18"/>
      <c r="BS1219" s="18"/>
      <c r="BT1219" s="18"/>
      <c r="BU1219" s="18"/>
    </row>
    <row r="1220" spans="44:73" x14ac:dyDescent="0.45">
      <c r="AR1220" s="15" t="s">
        <v>328</v>
      </c>
      <c r="AS1220" s="15" t="s">
        <v>567</v>
      </c>
      <c r="AT1220" s="15" t="s">
        <v>841</v>
      </c>
      <c r="AU1220" s="15"/>
      <c r="AV1220" s="15"/>
      <c r="AW1220" s="15"/>
      <c r="AX1220" s="15"/>
      <c r="AY1220" s="15"/>
      <c r="AZ1220" s="18"/>
      <c r="BA1220" s="19">
        <v>2.5000000000000001E-2</v>
      </c>
      <c r="BB1220" s="18"/>
      <c r="BC1220" s="18"/>
      <c r="BD1220" s="18"/>
      <c r="BE1220" s="18"/>
      <c r="BF1220" s="18"/>
      <c r="BG1220" s="18"/>
      <c r="BH1220" s="18"/>
      <c r="BI1220" s="18"/>
      <c r="BJ1220" s="18"/>
      <c r="BK1220" s="18"/>
      <c r="BL1220" s="19">
        <v>0.05</v>
      </c>
      <c r="BM1220" s="18"/>
      <c r="BN1220" s="18"/>
      <c r="BO1220" s="18"/>
      <c r="BP1220" s="18"/>
      <c r="BQ1220" s="18"/>
      <c r="BR1220" s="18"/>
      <c r="BS1220" s="18"/>
      <c r="BT1220" s="18"/>
      <c r="BU1220" s="18"/>
    </row>
    <row r="1221" spans="44:73" x14ac:dyDescent="0.45">
      <c r="AR1221" s="15" t="s">
        <v>328</v>
      </c>
      <c r="AS1221" s="15" t="s">
        <v>567</v>
      </c>
      <c r="AT1221" s="15" t="s">
        <v>842</v>
      </c>
      <c r="AU1221" s="15"/>
      <c r="AV1221" s="15"/>
      <c r="AW1221" s="15"/>
      <c r="AX1221" s="15"/>
      <c r="AY1221" s="15"/>
      <c r="AZ1221" s="18"/>
      <c r="BA1221" s="19">
        <v>2.5000000000000001E-2</v>
      </c>
      <c r="BB1221" s="18"/>
      <c r="BC1221" s="18"/>
      <c r="BD1221" s="18"/>
      <c r="BE1221" s="18"/>
      <c r="BF1221" s="18"/>
      <c r="BG1221" s="18"/>
      <c r="BH1221" s="18"/>
      <c r="BI1221" s="18"/>
      <c r="BJ1221" s="18"/>
      <c r="BK1221" s="18"/>
      <c r="BL1221" s="19">
        <v>0.05</v>
      </c>
      <c r="BM1221" s="18"/>
      <c r="BN1221" s="18"/>
      <c r="BO1221" s="18"/>
      <c r="BP1221" s="18"/>
      <c r="BQ1221" s="18"/>
      <c r="BR1221" s="18"/>
      <c r="BS1221" s="18"/>
      <c r="BT1221" s="18"/>
      <c r="BU1221" s="18"/>
    </row>
    <row r="1222" spans="44:73" x14ac:dyDescent="0.45">
      <c r="AR1222" s="15" t="s">
        <v>328</v>
      </c>
      <c r="AS1222" s="15" t="s">
        <v>567</v>
      </c>
      <c r="AT1222" s="15" t="s">
        <v>843</v>
      </c>
      <c r="AU1222" s="15"/>
      <c r="AV1222" s="15"/>
      <c r="AW1222" s="15"/>
      <c r="AX1222" s="15"/>
      <c r="AY1222" s="15"/>
      <c r="AZ1222" s="18"/>
      <c r="BA1222" s="19">
        <v>2.5000000000000001E-2</v>
      </c>
      <c r="BB1222" s="18"/>
      <c r="BC1222" s="18"/>
      <c r="BD1222" s="18"/>
      <c r="BE1222" s="18"/>
      <c r="BF1222" s="18"/>
      <c r="BG1222" s="18"/>
      <c r="BH1222" s="18"/>
      <c r="BI1222" s="18"/>
      <c r="BJ1222" s="18"/>
      <c r="BK1222" s="18"/>
      <c r="BL1222" s="19">
        <v>0.05</v>
      </c>
      <c r="BM1222" s="18"/>
      <c r="BN1222" s="18"/>
      <c r="BO1222" s="18"/>
      <c r="BP1222" s="18"/>
      <c r="BQ1222" s="18"/>
      <c r="BR1222" s="18"/>
      <c r="BS1222" s="18"/>
      <c r="BT1222" s="18"/>
      <c r="BU1222" s="18"/>
    </row>
    <row r="1223" spans="44:73" x14ac:dyDescent="0.45">
      <c r="AR1223" s="15" t="s">
        <v>328</v>
      </c>
      <c r="AS1223" s="15" t="s">
        <v>567</v>
      </c>
      <c r="AT1223" s="15" t="s">
        <v>844</v>
      </c>
      <c r="AU1223" s="15"/>
      <c r="AV1223" s="15"/>
      <c r="AW1223" s="15"/>
      <c r="AX1223" s="15"/>
      <c r="AY1223" s="15"/>
      <c r="AZ1223" s="18"/>
      <c r="BA1223" s="19">
        <v>2.5000000000000001E-2</v>
      </c>
      <c r="BB1223" s="18"/>
      <c r="BC1223" s="18"/>
      <c r="BD1223" s="18"/>
      <c r="BE1223" s="18"/>
      <c r="BF1223" s="18"/>
      <c r="BG1223" s="18"/>
      <c r="BH1223" s="18"/>
      <c r="BI1223" s="18"/>
      <c r="BJ1223" s="18"/>
      <c r="BK1223" s="18"/>
      <c r="BL1223" s="19">
        <v>0.05</v>
      </c>
      <c r="BM1223" s="18"/>
      <c r="BN1223" s="18"/>
      <c r="BO1223" s="18"/>
      <c r="BP1223" s="18"/>
      <c r="BQ1223" s="18"/>
      <c r="BR1223" s="18"/>
      <c r="BS1223" s="18"/>
      <c r="BT1223" s="18"/>
      <c r="BU1223" s="18"/>
    </row>
    <row r="1224" spans="44:73" x14ac:dyDescent="0.45">
      <c r="AR1224" s="15" t="s">
        <v>328</v>
      </c>
      <c r="AS1224" s="15" t="s">
        <v>567</v>
      </c>
      <c r="AT1224" s="15" t="s">
        <v>845</v>
      </c>
      <c r="AU1224" s="15"/>
      <c r="AV1224" s="15"/>
      <c r="AW1224" s="15"/>
      <c r="AX1224" s="15"/>
      <c r="AY1224" s="15"/>
      <c r="AZ1224" s="18"/>
      <c r="BA1224" s="19">
        <v>2.5000000000000001E-2</v>
      </c>
      <c r="BB1224" s="18"/>
      <c r="BC1224" s="18"/>
      <c r="BD1224" s="18"/>
      <c r="BE1224" s="18"/>
      <c r="BF1224" s="18"/>
      <c r="BG1224" s="18"/>
      <c r="BH1224" s="18"/>
      <c r="BI1224" s="18"/>
      <c r="BJ1224" s="18"/>
      <c r="BK1224" s="18"/>
      <c r="BL1224" s="19">
        <v>0.05</v>
      </c>
      <c r="BM1224" s="18"/>
      <c r="BN1224" s="18"/>
      <c r="BO1224" s="18"/>
      <c r="BP1224" s="18"/>
      <c r="BQ1224" s="18"/>
      <c r="BR1224" s="18"/>
      <c r="BS1224" s="18"/>
      <c r="BT1224" s="18"/>
      <c r="BU1224" s="18"/>
    </row>
    <row r="1225" spans="44:73" x14ac:dyDescent="0.45">
      <c r="AR1225" s="15" t="s">
        <v>328</v>
      </c>
      <c r="AS1225" s="15" t="s">
        <v>567</v>
      </c>
      <c r="AT1225" s="15" t="s">
        <v>846</v>
      </c>
      <c r="AU1225" s="15"/>
      <c r="AV1225" s="15"/>
      <c r="AW1225" s="15"/>
      <c r="AX1225" s="15"/>
      <c r="AY1225" s="15"/>
      <c r="AZ1225" s="18"/>
      <c r="BA1225" s="19">
        <v>2.5000000000000001E-2</v>
      </c>
      <c r="BB1225" s="18"/>
      <c r="BC1225" s="18"/>
      <c r="BD1225" s="18"/>
      <c r="BE1225" s="18"/>
      <c r="BF1225" s="18"/>
      <c r="BG1225" s="18"/>
      <c r="BH1225" s="18"/>
      <c r="BI1225" s="18"/>
      <c r="BJ1225" s="18"/>
      <c r="BK1225" s="18"/>
      <c r="BL1225" s="19">
        <v>0.05</v>
      </c>
      <c r="BM1225" s="18"/>
      <c r="BN1225" s="18"/>
      <c r="BO1225" s="18"/>
      <c r="BP1225" s="18"/>
      <c r="BQ1225" s="18"/>
      <c r="BR1225" s="18"/>
      <c r="BS1225" s="18"/>
      <c r="BT1225" s="18"/>
      <c r="BU1225" s="18"/>
    </row>
    <row r="1226" spans="44:73" x14ac:dyDescent="0.45">
      <c r="AR1226" s="15" t="s">
        <v>328</v>
      </c>
      <c r="AS1226" s="15" t="s">
        <v>567</v>
      </c>
      <c r="AT1226" s="15" t="s">
        <v>847</v>
      </c>
      <c r="AU1226" s="15"/>
      <c r="AV1226" s="15"/>
      <c r="AW1226" s="15"/>
      <c r="AX1226" s="15"/>
      <c r="AY1226" s="15"/>
      <c r="AZ1226" s="18"/>
      <c r="BA1226" s="19">
        <v>2.5000000000000001E-2</v>
      </c>
      <c r="BB1226" s="18"/>
      <c r="BC1226" s="18"/>
      <c r="BD1226" s="18"/>
      <c r="BE1226" s="18"/>
      <c r="BF1226" s="18"/>
      <c r="BG1226" s="18"/>
      <c r="BH1226" s="18"/>
      <c r="BI1226" s="18"/>
      <c r="BJ1226" s="18"/>
      <c r="BK1226" s="18"/>
      <c r="BL1226" s="19">
        <v>0.05</v>
      </c>
      <c r="BM1226" s="18"/>
      <c r="BN1226" s="18"/>
      <c r="BO1226" s="18"/>
      <c r="BP1226" s="18"/>
      <c r="BQ1226" s="18"/>
      <c r="BR1226" s="18"/>
      <c r="BS1226" s="18"/>
      <c r="BT1226" s="18"/>
      <c r="BU1226" s="18"/>
    </row>
    <row r="1227" spans="44:73" x14ac:dyDescent="0.45">
      <c r="AR1227" s="15" t="s">
        <v>328</v>
      </c>
      <c r="AS1227" s="15" t="s">
        <v>567</v>
      </c>
      <c r="AT1227" s="15" t="s">
        <v>848</v>
      </c>
      <c r="AU1227" s="15"/>
      <c r="AV1227" s="15"/>
      <c r="AW1227" s="15"/>
      <c r="AX1227" s="15"/>
      <c r="AY1227" s="15"/>
      <c r="AZ1227" s="18"/>
      <c r="BA1227" s="19">
        <v>2.5000000000000001E-2</v>
      </c>
      <c r="BB1227" s="18"/>
      <c r="BC1227" s="18"/>
      <c r="BD1227" s="18"/>
      <c r="BE1227" s="18"/>
      <c r="BF1227" s="18"/>
      <c r="BG1227" s="18"/>
      <c r="BH1227" s="18"/>
      <c r="BI1227" s="18"/>
      <c r="BJ1227" s="18"/>
      <c r="BK1227" s="18"/>
      <c r="BL1227" s="19">
        <v>0.05</v>
      </c>
      <c r="BM1227" s="18"/>
      <c r="BN1227" s="18"/>
      <c r="BO1227" s="18"/>
      <c r="BP1227" s="18"/>
      <c r="BQ1227" s="18"/>
      <c r="BR1227" s="18"/>
      <c r="BS1227" s="18"/>
      <c r="BT1227" s="18"/>
      <c r="BU1227" s="18"/>
    </row>
    <row r="1228" spans="44:73" x14ac:dyDescent="0.45">
      <c r="AR1228" s="15" t="s">
        <v>328</v>
      </c>
      <c r="AS1228" s="15" t="s">
        <v>567</v>
      </c>
      <c r="AT1228" s="15" t="s">
        <v>849</v>
      </c>
      <c r="AU1228" s="15"/>
      <c r="AV1228" s="15"/>
      <c r="AW1228" s="15"/>
      <c r="AX1228" s="15"/>
      <c r="AY1228" s="15"/>
      <c r="AZ1228" s="18"/>
      <c r="BA1228" s="19">
        <v>2.5000000000000001E-2</v>
      </c>
      <c r="BB1228" s="18"/>
      <c r="BC1228" s="18"/>
      <c r="BD1228" s="18"/>
      <c r="BE1228" s="18"/>
      <c r="BF1228" s="18"/>
      <c r="BG1228" s="18"/>
      <c r="BH1228" s="18"/>
      <c r="BI1228" s="18"/>
      <c r="BJ1228" s="18"/>
      <c r="BK1228" s="18"/>
      <c r="BL1228" s="19">
        <v>0.05</v>
      </c>
      <c r="BM1228" s="18"/>
      <c r="BN1228" s="18"/>
      <c r="BO1228" s="18"/>
      <c r="BP1228" s="18"/>
      <c r="BQ1228" s="18"/>
      <c r="BR1228" s="18"/>
      <c r="BS1228" s="18"/>
      <c r="BT1228" s="18"/>
      <c r="BU1228" s="18"/>
    </row>
    <row r="1229" spans="44:73" x14ac:dyDescent="0.45">
      <c r="AR1229" s="15" t="s">
        <v>328</v>
      </c>
      <c r="AS1229" s="15" t="s">
        <v>567</v>
      </c>
      <c r="AT1229" s="15" t="s">
        <v>850</v>
      </c>
      <c r="AU1229" s="15"/>
      <c r="AV1229" s="15"/>
      <c r="AW1229" s="15"/>
      <c r="AX1229" s="15"/>
      <c r="AY1229" s="15"/>
      <c r="AZ1229" s="18"/>
      <c r="BA1229" s="19">
        <v>2.5000000000000001E-2</v>
      </c>
      <c r="BB1229" s="18"/>
      <c r="BC1229" s="18"/>
      <c r="BD1229" s="18"/>
      <c r="BE1229" s="18"/>
      <c r="BF1229" s="18"/>
      <c r="BG1229" s="18"/>
      <c r="BH1229" s="18"/>
      <c r="BI1229" s="18"/>
      <c r="BJ1229" s="18"/>
      <c r="BK1229" s="18"/>
      <c r="BL1229" s="19">
        <v>0.05</v>
      </c>
      <c r="BM1229" s="18"/>
      <c r="BN1229" s="18"/>
      <c r="BO1229" s="18"/>
      <c r="BP1229" s="18"/>
      <c r="BQ1229" s="18"/>
      <c r="BR1229" s="18"/>
      <c r="BS1229" s="18"/>
      <c r="BT1229" s="18"/>
      <c r="BU1229" s="18"/>
    </row>
    <row r="1230" spans="44:73" x14ac:dyDescent="0.45">
      <c r="AR1230" s="15" t="s">
        <v>328</v>
      </c>
      <c r="AS1230" s="15" t="s">
        <v>567</v>
      </c>
      <c r="AT1230" s="15" t="s">
        <v>851</v>
      </c>
      <c r="AU1230" s="15"/>
      <c r="AV1230" s="15"/>
      <c r="AW1230" s="15"/>
      <c r="AX1230" s="15"/>
      <c r="AY1230" s="15"/>
      <c r="AZ1230" s="18"/>
      <c r="BA1230" s="19">
        <v>2.5000000000000001E-2</v>
      </c>
      <c r="BB1230" s="18"/>
      <c r="BC1230" s="18"/>
      <c r="BD1230" s="18"/>
      <c r="BE1230" s="18"/>
      <c r="BF1230" s="18"/>
      <c r="BG1230" s="18"/>
      <c r="BH1230" s="18"/>
      <c r="BI1230" s="18"/>
      <c r="BJ1230" s="18"/>
      <c r="BK1230" s="18"/>
      <c r="BL1230" s="19">
        <v>0.05</v>
      </c>
      <c r="BM1230" s="18"/>
      <c r="BN1230" s="18"/>
      <c r="BO1230" s="18"/>
      <c r="BP1230" s="18"/>
      <c r="BQ1230" s="18"/>
      <c r="BR1230" s="18"/>
      <c r="BS1230" s="18"/>
      <c r="BT1230" s="18"/>
      <c r="BU1230" s="18"/>
    </row>
    <row r="1231" spans="44:73" x14ac:dyDescent="0.45">
      <c r="AR1231" s="15" t="s">
        <v>328</v>
      </c>
      <c r="AS1231" s="15" t="s">
        <v>567</v>
      </c>
      <c r="AT1231" s="15" t="s">
        <v>852</v>
      </c>
      <c r="AU1231" s="15"/>
      <c r="AV1231" s="15"/>
      <c r="AW1231" s="15"/>
      <c r="AX1231" s="15"/>
      <c r="AY1231" s="15"/>
      <c r="AZ1231" s="18"/>
      <c r="BA1231" s="19">
        <v>2.5000000000000001E-2</v>
      </c>
      <c r="BB1231" s="18"/>
      <c r="BC1231" s="18"/>
      <c r="BD1231" s="18"/>
      <c r="BE1231" s="18"/>
      <c r="BF1231" s="18"/>
      <c r="BG1231" s="18"/>
      <c r="BH1231" s="18"/>
      <c r="BI1231" s="18"/>
      <c r="BJ1231" s="18"/>
      <c r="BK1231" s="18"/>
      <c r="BL1231" s="19">
        <v>0.05</v>
      </c>
      <c r="BM1231" s="18"/>
      <c r="BN1231" s="18"/>
      <c r="BO1231" s="18"/>
      <c r="BP1231" s="18"/>
      <c r="BQ1231" s="18"/>
      <c r="BR1231" s="18"/>
      <c r="BS1231" s="18"/>
      <c r="BT1231" s="18"/>
      <c r="BU1231" s="18"/>
    </row>
    <row r="1232" spans="44:73" x14ac:dyDescent="0.45">
      <c r="AR1232" s="15" t="s">
        <v>328</v>
      </c>
      <c r="AS1232" s="15" t="s">
        <v>567</v>
      </c>
      <c r="AT1232" s="15" t="s">
        <v>853</v>
      </c>
      <c r="AU1232" s="15"/>
      <c r="AV1232" s="15"/>
      <c r="AW1232" s="15"/>
      <c r="AX1232" s="15"/>
      <c r="AY1232" s="15"/>
      <c r="AZ1232" s="18"/>
      <c r="BA1232" s="19">
        <v>2.5000000000000001E-2</v>
      </c>
      <c r="BB1232" s="18"/>
      <c r="BC1232" s="18"/>
      <c r="BD1232" s="18"/>
      <c r="BE1232" s="18"/>
      <c r="BF1232" s="18"/>
      <c r="BG1232" s="18"/>
      <c r="BH1232" s="18"/>
      <c r="BI1232" s="18"/>
      <c r="BJ1232" s="18"/>
      <c r="BK1232" s="18"/>
      <c r="BL1232" s="19">
        <v>0.05</v>
      </c>
      <c r="BM1232" s="18"/>
      <c r="BN1232" s="18"/>
      <c r="BO1232" s="18"/>
      <c r="BP1232" s="18"/>
      <c r="BQ1232" s="18"/>
      <c r="BR1232" s="18"/>
      <c r="BS1232" s="18"/>
      <c r="BT1232" s="18"/>
      <c r="BU1232" s="18"/>
    </row>
    <row r="1233" spans="44:73" x14ac:dyDescent="0.45">
      <c r="AR1233" s="15" t="s">
        <v>328</v>
      </c>
      <c r="AS1233" s="15" t="s">
        <v>567</v>
      </c>
      <c r="AT1233" s="15" t="s">
        <v>854</v>
      </c>
      <c r="AU1233" s="15"/>
      <c r="AV1233" s="15"/>
      <c r="AW1233" s="15"/>
      <c r="AX1233" s="15"/>
      <c r="AY1233" s="15"/>
      <c r="AZ1233" s="18"/>
      <c r="BA1233" s="19">
        <v>2.5000000000000001E-2</v>
      </c>
      <c r="BB1233" s="18"/>
      <c r="BC1233" s="18"/>
      <c r="BD1233" s="18"/>
      <c r="BE1233" s="18"/>
      <c r="BF1233" s="18"/>
      <c r="BG1233" s="18"/>
      <c r="BH1233" s="18"/>
      <c r="BI1233" s="18"/>
      <c r="BJ1233" s="18"/>
      <c r="BK1233" s="18"/>
      <c r="BL1233" s="19">
        <v>0.05</v>
      </c>
      <c r="BM1233" s="18"/>
      <c r="BN1233" s="18"/>
      <c r="BO1233" s="18"/>
      <c r="BP1233" s="18"/>
      <c r="BQ1233" s="18"/>
      <c r="BR1233" s="18"/>
      <c r="BS1233" s="18"/>
      <c r="BT1233" s="18"/>
      <c r="BU1233" s="18"/>
    </row>
    <row r="1234" spans="44:73" x14ac:dyDescent="0.45">
      <c r="AR1234" s="15" t="s">
        <v>328</v>
      </c>
      <c r="AS1234" s="15" t="s">
        <v>567</v>
      </c>
      <c r="AT1234" s="15" t="s">
        <v>855</v>
      </c>
      <c r="AU1234" s="15"/>
      <c r="AV1234" s="15"/>
      <c r="AW1234" s="15"/>
      <c r="AX1234" s="15"/>
      <c r="AY1234" s="15"/>
      <c r="AZ1234" s="18"/>
      <c r="BA1234" s="19">
        <v>2.5000000000000001E-2</v>
      </c>
      <c r="BB1234" s="18"/>
      <c r="BC1234" s="18"/>
      <c r="BD1234" s="18"/>
      <c r="BE1234" s="18"/>
      <c r="BF1234" s="18"/>
      <c r="BG1234" s="18"/>
      <c r="BH1234" s="18"/>
      <c r="BI1234" s="18"/>
      <c r="BJ1234" s="18"/>
      <c r="BK1234" s="18"/>
      <c r="BL1234" s="19">
        <v>0.05</v>
      </c>
      <c r="BM1234" s="18"/>
      <c r="BN1234" s="18"/>
      <c r="BO1234" s="18"/>
      <c r="BP1234" s="18"/>
      <c r="BQ1234" s="18"/>
      <c r="BR1234" s="18"/>
      <c r="BS1234" s="18"/>
      <c r="BT1234" s="18"/>
      <c r="BU1234" s="18"/>
    </row>
    <row r="1235" spans="44:73" x14ac:dyDescent="0.45">
      <c r="AR1235" s="15" t="s">
        <v>328</v>
      </c>
      <c r="AS1235" s="15" t="s">
        <v>567</v>
      </c>
      <c r="AT1235" s="15" t="s">
        <v>856</v>
      </c>
      <c r="AU1235" s="15"/>
      <c r="AV1235" s="15"/>
      <c r="AW1235" s="15"/>
      <c r="AX1235" s="15"/>
      <c r="AY1235" s="15"/>
      <c r="AZ1235" s="18"/>
      <c r="BA1235" s="19">
        <v>2.5000000000000001E-2</v>
      </c>
      <c r="BB1235" s="18"/>
      <c r="BC1235" s="18"/>
      <c r="BD1235" s="18"/>
      <c r="BE1235" s="18"/>
      <c r="BF1235" s="18"/>
      <c r="BG1235" s="18"/>
      <c r="BH1235" s="18"/>
      <c r="BI1235" s="18"/>
      <c r="BJ1235" s="18"/>
      <c r="BK1235" s="18"/>
      <c r="BL1235" s="19">
        <v>0.05</v>
      </c>
      <c r="BM1235" s="18"/>
      <c r="BN1235" s="18"/>
      <c r="BO1235" s="18"/>
      <c r="BP1235" s="18"/>
      <c r="BQ1235" s="18"/>
      <c r="BR1235" s="18"/>
      <c r="BS1235" s="18"/>
      <c r="BT1235" s="18"/>
      <c r="BU1235" s="18"/>
    </row>
    <row r="1236" spans="44:73" x14ac:dyDescent="0.45">
      <c r="AR1236" s="15" t="s">
        <v>328</v>
      </c>
      <c r="AS1236" s="15" t="s">
        <v>567</v>
      </c>
      <c r="AT1236" s="15" t="s">
        <v>857</v>
      </c>
      <c r="AU1236" s="15"/>
      <c r="AV1236" s="15"/>
      <c r="AW1236" s="15"/>
      <c r="AX1236" s="15"/>
      <c r="AY1236" s="15"/>
      <c r="AZ1236" s="18"/>
      <c r="BA1236" s="19">
        <v>2.5000000000000001E-2</v>
      </c>
      <c r="BB1236" s="18"/>
      <c r="BC1236" s="18"/>
      <c r="BD1236" s="18"/>
      <c r="BE1236" s="18"/>
      <c r="BF1236" s="18"/>
      <c r="BG1236" s="18"/>
      <c r="BH1236" s="18"/>
      <c r="BI1236" s="18"/>
      <c r="BJ1236" s="18"/>
      <c r="BK1236" s="18"/>
      <c r="BL1236" s="19">
        <v>0.05</v>
      </c>
      <c r="BM1236" s="18"/>
      <c r="BN1236" s="18"/>
      <c r="BO1236" s="18"/>
      <c r="BP1236" s="18"/>
      <c r="BQ1236" s="18"/>
      <c r="BR1236" s="18"/>
      <c r="BS1236" s="18"/>
      <c r="BT1236" s="18"/>
      <c r="BU1236" s="18"/>
    </row>
    <row r="1237" spans="44:73" x14ac:dyDescent="0.45">
      <c r="AR1237" s="15" t="s">
        <v>328</v>
      </c>
      <c r="AS1237" s="15" t="s">
        <v>567</v>
      </c>
      <c r="AT1237" s="15" t="s">
        <v>858</v>
      </c>
      <c r="AU1237" s="15"/>
      <c r="AV1237" s="15"/>
      <c r="AW1237" s="15"/>
      <c r="AX1237" s="15"/>
      <c r="AY1237" s="15"/>
      <c r="AZ1237" s="18"/>
      <c r="BA1237" s="19">
        <v>2.5000000000000001E-2</v>
      </c>
      <c r="BB1237" s="18"/>
      <c r="BC1237" s="18"/>
      <c r="BD1237" s="18"/>
      <c r="BE1237" s="18"/>
      <c r="BF1237" s="18"/>
      <c r="BG1237" s="18"/>
      <c r="BH1237" s="18"/>
      <c r="BI1237" s="18"/>
      <c r="BJ1237" s="18"/>
      <c r="BK1237" s="18"/>
      <c r="BL1237" s="19">
        <v>0.05</v>
      </c>
      <c r="BM1237" s="18"/>
      <c r="BN1237" s="18"/>
      <c r="BO1237" s="18"/>
      <c r="BP1237" s="18"/>
      <c r="BQ1237" s="18"/>
      <c r="BR1237" s="18"/>
      <c r="BS1237" s="18"/>
      <c r="BT1237" s="18"/>
      <c r="BU1237" s="18"/>
    </row>
    <row r="1238" spans="44:73" x14ac:dyDescent="0.45">
      <c r="AR1238" s="15" t="s">
        <v>328</v>
      </c>
      <c r="AS1238" s="15" t="s">
        <v>567</v>
      </c>
      <c r="AT1238" s="15" t="s">
        <v>859</v>
      </c>
      <c r="AU1238" s="15"/>
      <c r="AV1238" s="15"/>
      <c r="AW1238" s="15"/>
      <c r="AX1238" s="15"/>
      <c r="AY1238" s="15"/>
      <c r="AZ1238" s="18"/>
      <c r="BA1238" s="19">
        <v>2.5000000000000001E-2</v>
      </c>
      <c r="BB1238" s="18"/>
      <c r="BC1238" s="18"/>
      <c r="BD1238" s="18"/>
      <c r="BE1238" s="18"/>
      <c r="BF1238" s="18"/>
      <c r="BG1238" s="18"/>
      <c r="BH1238" s="18"/>
      <c r="BI1238" s="18"/>
      <c r="BJ1238" s="18"/>
      <c r="BK1238" s="18"/>
      <c r="BL1238" s="19">
        <v>0.05</v>
      </c>
      <c r="BM1238" s="18"/>
      <c r="BN1238" s="18"/>
      <c r="BO1238" s="18"/>
      <c r="BP1238" s="18"/>
      <c r="BQ1238" s="18"/>
      <c r="BR1238" s="18"/>
      <c r="BS1238" s="18"/>
      <c r="BT1238" s="18"/>
      <c r="BU1238" s="18"/>
    </row>
    <row r="1239" spans="44:73" x14ac:dyDescent="0.45">
      <c r="AR1239" s="15" t="s">
        <v>328</v>
      </c>
      <c r="AS1239" s="15" t="s">
        <v>567</v>
      </c>
      <c r="AT1239" s="15" t="s">
        <v>860</v>
      </c>
      <c r="AU1239" s="15"/>
      <c r="AV1239" s="15"/>
      <c r="AW1239" s="15"/>
      <c r="AX1239" s="15"/>
      <c r="AY1239" s="15"/>
      <c r="AZ1239" s="18"/>
      <c r="BA1239" s="19">
        <v>2.5000000000000001E-2</v>
      </c>
      <c r="BB1239" s="18"/>
      <c r="BC1239" s="18"/>
      <c r="BD1239" s="18"/>
      <c r="BE1239" s="18"/>
      <c r="BF1239" s="18"/>
      <c r="BG1239" s="18"/>
      <c r="BH1239" s="18"/>
      <c r="BI1239" s="18"/>
      <c r="BJ1239" s="18"/>
      <c r="BK1239" s="18"/>
      <c r="BL1239" s="19">
        <v>0.05</v>
      </c>
      <c r="BM1239" s="18"/>
      <c r="BN1239" s="18"/>
      <c r="BO1239" s="18"/>
      <c r="BP1239" s="18"/>
      <c r="BQ1239" s="18"/>
      <c r="BR1239" s="18"/>
      <c r="BS1239" s="18"/>
      <c r="BT1239" s="18"/>
      <c r="BU1239" s="18"/>
    </row>
    <row r="1240" spans="44:73" x14ac:dyDescent="0.45">
      <c r="AR1240" s="15" t="s">
        <v>328</v>
      </c>
      <c r="AS1240" s="15" t="s">
        <v>567</v>
      </c>
      <c r="AT1240" s="15" t="s">
        <v>861</v>
      </c>
      <c r="AU1240" s="15"/>
      <c r="AV1240" s="15"/>
      <c r="AW1240" s="15"/>
      <c r="AX1240" s="15"/>
      <c r="AY1240" s="15"/>
      <c r="AZ1240" s="18"/>
      <c r="BA1240" s="19">
        <v>2.5000000000000001E-2</v>
      </c>
      <c r="BB1240" s="18"/>
      <c r="BC1240" s="18"/>
      <c r="BD1240" s="18"/>
      <c r="BE1240" s="18"/>
      <c r="BF1240" s="18"/>
      <c r="BG1240" s="18"/>
      <c r="BH1240" s="18"/>
      <c r="BI1240" s="18"/>
      <c r="BJ1240" s="18"/>
      <c r="BK1240" s="18"/>
      <c r="BL1240" s="19">
        <v>0.05</v>
      </c>
      <c r="BM1240" s="18"/>
      <c r="BN1240" s="18"/>
      <c r="BO1240" s="18"/>
      <c r="BP1240" s="18"/>
      <c r="BQ1240" s="18"/>
      <c r="BR1240" s="18"/>
      <c r="BS1240" s="18"/>
      <c r="BT1240" s="18"/>
      <c r="BU1240" s="18"/>
    </row>
    <row r="1241" spans="44:73" x14ac:dyDescent="0.45">
      <c r="AR1241" s="15" t="s">
        <v>328</v>
      </c>
      <c r="AS1241" s="15" t="s">
        <v>567</v>
      </c>
      <c r="AT1241" s="15" t="s">
        <v>862</v>
      </c>
      <c r="AU1241" s="15"/>
      <c r="AV1241" s="15"/>
      <c r="AW1241" s="15"/>
      <c r="AX1241" s="15"/>
      <c r="AY1241" s="15"/>
      <c r="AZ1241" s="18"/>
      <c r="BA1241" s="19">
        <v>2.5000000000000001E-2</v>
      </c>
      <c r="BB1241" s="18"/>
      <c r="BC1241" s="18"/>
      <c r="BD1241" s="18"/>
      <c r="BE1241" s="18"/>
      <c r="BF1241" s="18"/>
      <c r="BG1241" s="18"/>
      <c r="BH1241" s="18"/>
      <c r="BI1241" s="18"/>
      <c r="BJ1241" s="18"/>
      <c r="BK1241" s="18"/>
      <c r="BL1241" s="19">
        <v>0.05</v>
      </c>
      <c r="BM1241" s="18"/>
      <c r="BN1241" s="18"/>
      <c r="BO1241" s="18"/>
      <c r="BP1241" s="18"/>
      <c r="BQ1241" s="18"/>
      <c r="BR1241" s="18"/>
      <c r="BS1241" s="18"/>
      <c r="BT1241" s="18"/>
      <c r="BU1241" s="18"/>
    </row>
    <row r="1242" spans="44:73" x14ac:dyDescent="0.45">
      <c r="AR1242" s="15" t="s">
        <v>328</v>
      </c>
      <c r="AS1242" s="15" t="s">
        <v>567</v>
      </c>
      <c r="AT1242" s="15" t="s">
        <v>863</v>
      </c>
      <c r="AU1242" s="15"/>
      <c r="AV1242" s="15"/>
      <c r="AW1242" s="15"/>
      <c r="AX1242" s="15"/>
      <c r="AY1242" s="15"/>
      <c r="AZ1242" s="18"/>
      <c r="BA1242" s="19">
        <v>2.5000000000000001E-2</v>
      </c>
      <c r="BB1242" s="18"/>
      <c r="BC1242" s="18"/>
      <c r="BD1242" s="18"/>
      <c r="BE1242" s="18"/>
      <c r="BF1242" s="18"/>
      <c r="BG1242" s="18"/>
      <c r="BH1242" s="18"/>
      <c r="BI1242" s="18"/>
      <c r="BJ1242" s="18"/>
      <c r="BK1242" s="18"/>
      <c r="BL1242" s="19">
        <v>0.05</v>
      </c>
      <c r="BM1242" s="18"/>
      <c r="BN1242" s="18"/>
      <c r="BO1242" s="18"/>
      <c r="BP1242" s="18"/>
      <c r="BQ1242" s="18"/>
      <c r="BR1242" s="18"/>
      <c r="BS1242" s="18"/>
      <c r="BT1242" s="18"/>
      <c r="BU1242" s="18"/>
    </row>
    <row r="1243" spans="44:73" x14ac:dyDescent="0.45">
      <c r="AR1243" s="15" t="s">
        <v>328</v>
      </c>
      <c r="AS1243" s="15" t="s">
        <v>567</v>
      </c>
      <c r="AT1243" s="15" t="s">
        <v>864</v>
      </c>
      <c r="AU1243" s="15"/>
      <c r="AV1243" s="15"/>
      <c r="AW1243" s="15"/>
      <c r="AX1243" s="15"/>
      <c r="AY1243" s="15"/>
      <c r="AZ1243" s="18"/>
      <c r="BA1243" s="19">
        <v>2.5000000000000001E-2</v>
      </c>
      <c r="BB1243" s="18"/>
      <c r="BC1243" s="18"/>
      <c r="BD1243" s="18"/>
      <c r="BE1243" s="18"/>
      <c r="BF1243" s="18"/>
      <c r="BG1243" s="18"/>
      <c r="BH1243" s="18"/>
      <c r="BI1243" s="18"/>
      <c r="BJ1243" s="18"/>
      <c r="BK1243" s="18"/>
      <c r="BL1243" s="19">
        <v>0.05</v>
      </c>
      <c r="BM1243" s="18"/>
      <c r="BN1243" s="18"/>
      <c r="BO1243" s="18"/>
      <c r="BP1243" s="18"/>
      <c r="BQ1243" s="18"/>
      <c r="BR1243" s="18"/>
      <c r="BS1243" s="18"/>
      <c r="BT1243" s="18"/>
      <c r="BU1243" s="18"/>
    </row>
    <row r="1244" spans="44:73" x14ac:dyDescent="0.45">
      <c r="AR1244" s="15" t="s">
        <v>328</v>
      </c>
      <c r="AS1244" s="15" t="s">
        <v>567</v>
      </c>
      <c r="AT1244" s="15" t="s">
        <v>865</v>
      </c>
      <c r="AU1244" s="15"/>
      <c r="AV1244" s="15"/>
      <c r="AW1244" s="15"/>
      <c r="AX1244" s="15"/>
      <c r="AY1244" s="15"/>
      <c r="AZ1244" s="18"/>
      <c r="BA1244" s="19">
        <v>2.5000000000000001E-2</v>
      </c>
      <c r="BB1244" s="18"/>
      <c r="BC1244" s="18"/>
      <c r="BD1244" s="18"/>
      <c r="BE1244" s="18"/>
      <c r="BF1244" s="18"/>
      <c r="BG1244" s="18"/>
      <c r="BH1244" s="18"/>
      <c r="BI1244" s="18"/>
      <c r="BJ1244" s="18"/>
      <c r="BK1244" s="18"/>
      <c r="BL1244" s="19">
        <v>0.05</v>
      </c>
      <c r="BM1244" s="18"/>
      <c r="BN1244" s="18"/>
      <c r="BO1244" s="18"/>
      <c r="BP1244" s="18"/>
      <c r="BQ1244" s="18"/>
      <c r="BR1244" s="18"/>
      <c r="BS1244" s="18"/>
      <c r="BT1244" s="18"/>
      <c r="BU1244" s="18"/>
    </row>
    <row r="1245" spans="44:73" x14ac:dyDescent="0.45">
      <c r="AR1245" s="15" t="s">
        <v>328</v>
      </c>
      <c r="AS1245" s="15" t="s">
        <v>567</v>
      </c>
      <c r="AT1245" s="15" t="s">
        <v>866</v>
      </c>
      <c r="AU1245" s="15"/>
      <c r="AV1245" s="15"/>
      <c r="AW1245" s="15"/>
      <c r="AX1245" s="15"/>
      <c r="AY1245" s="15"/>
      <c r="AZ1245" s="18"/>
      <c r="BA1245" s="19">
        <v>2.5000000000000001E-2</v>
      </c>
      <c r="BB1245" s="18"/>
      <c r="BC1245" s="18"/>
      <c r="BD1245" s="18"/>
      <c r="BE1245" s="18"/>
      <c r="BF1245" s="18"/>
      <c r="BG1245" s="18"/>
      <c r="BH1245" s="18"/>
      <c r="BI1245" s="18"/>
      <c r="BJ1245" s="18"/>
      <c r="BK1245" s="18"/>
      <c r="BL1245" s="19">
        <v>0.05</v>
      </c>
      <c r="BM1245" s="18"/>
      <c r="BN1245" s="18"/>
      <c r="BO1245" s="18"/>
      <c r="BP1245" s="18"/>
      <c r="BQ1245" s="18"/>
      <c r="BR1245" s="18"/>
      <c r="BS1245" s="18"/>
      <c r="BT1245" s="18"/>
      <c r="BU1245" s="18"/>
    </row>
    <row r="1246" spans="44:73" x14ac:dyDescent="0.45">
      <c r="AR1246" s="15" t="s">
        <v>328</v>
      </c>
      <c r="AS1246" s="15" t="s">
        <v>567</v>
      </c>
      <c r="AT1246" s="15" t="s">
        <v>867</v>
      </c>
      <c r="AU1246" s="15"/>
      <c r="AV1246" s="15"/>
      <c r="AW1246" s="15"/>
      <c r="AX1246" s="15"/>
      <c r="AY1246" s="15"/>
      <c r="AZ1246" s="18"/>
      <c r="BA1246" s="19">
        <v>2.5000000000000001E-2</v>
      </c>
      <c r="BB1246" s="18"/>
      <c r="BC1246" s="18"/>
      <c r="BD1246" s="18"/>
      <c r="BE1246" s="18"/>
      <c r="BF1246" s="18"/>
      <c r="BG1246" s="18"/>
      <c r="BH1246" s="18"/>
      <c r="BI1246" s="18"/>
      <c r="BJ1246" s="18"/>
      <c r="BK1246" s="18"/>
      <c r="BL1246" s="19">
        <v>0.05</v>
      </c>
      <c r="BM1246" s="18"/>
      <c r="BN1246" s="18"/>
      <c r="BO1246" s="18"/>
      <c r="BP1246" s="18"/>
      <c r="BQ1246" s="18"/>
      <c r="BR1246" s="18"/>
      <c r="BS1246" s="18"/>
      <c r="BT1246" s="18"/>
      <c r="BU1246" s="18"/>
    </row>
    <row r="1247" spans="44:73" x14ac:dyDescent="0.45">
      <c r="AR1247" s="15" t="s">
        <v>328</v>
      </c>
      <c r="AS1247" s="15" t="s">
        <v>567</v>
      </c>
      <c r="AT1247" s="15" t="s">
        <v>868</v>
      </c>
      <c r="AU1247" s="15"/>
      <c r="AV1247" s="15"/>
      <c r="AW1247" s="15"/>
      <c r="AX1247" s="15"/>
      <c r="AY1247" s="15"/>
      <c r="AZ1247" s="18"/>
      <c r="BA1247" s="19">
        <v>2.5000000000000001E-2</v>
      </c>
      <c r="BB1247" s="18"/>
      <c r="BC1247" s="18"/>
      <c r="BD1247" s="18"/>
      <c r="BE1247" s="18"/>
      <c r="BF1247" s="18"/>
      <c r="BG1247" s="18"/>
      <c r="BH1247" s="18"/>
      <c r="BI1247" s="18"/>
      <c r="BJ1247" s="18"/>
      <c r="BK1247" s="18"/>
      <c r="BL1247" s="19">
        <v>0.05</v>
      </c>
      <c r="BM1247" s="18"/>
      <c r="BN1247" s="18"/>
      <c r="BO1247" s="18"/>
      <c r="BP1247" s="18"/>
      <c r="BQ1247" s="18"/>
      <c r="BR1247" s="18"/>
      <c r="BS1247" s="18"/>
      <c r="BT1247" s="18"/>
      <c r="BU1247" s="18"/>
    </row>
    <row r="1248" spans="44:73" x14ac:dyDescent="0.45">
      <c r="AR1248" s="15" t="s">
        <v>328</v>
      </c>
      <c r="AS1248" s="15" t="s">
        <v>567</v>
      </c>
      <c r="AT1248" s="15" t="s">
        <v>869</v>
      </c>
      <c r="AU1248" s="15"/>
      <c r="AV1248" s="15"/>
      <c r="AW1248" s="15"/>
      <c r="AX1248" s="15"/>
      <c r="AY1248" s="15"/>
      <c r="AZ1248" s="18"/>
      <c r="BA1248" s="19">
        <v>2.5000000000000001E-2</v>
      </c>
      <c r="BB1248" s="18"/>
      <c r="BC1248" s="18"/>
      <c r="BD1248" s="18"/>
      <c r="BE1248" s="18"/>
      <c r="BF1248" s="18"/>
      <c r="BG1248" s="18"/>
      <c r="BH1248" s="18"/>
      <c r="BI1248" s="18"/>
      <c r="BJ1248" s="18"/>
      <c r="BK1248" s="18"/>
      <c r="BL1248" s="19">
        <v>0.05</v>
      </c>
      <c r="BM1248" s="18"/>
      <c r="BN1248" s="18"/>
      <c r="BO1248" s="18"/>
      <c r="BP1248" s="18"/>
      <c r="BQ1248" s="18"/>
      <c r="BR1248" s="18"/>
      <c r="BS1248" s="18"/>
      <c r="BT1248" s="18"/>
      <c r="BU1248" s="18"/>
    </row>
    <row r="1249" spans="44:73" x14ac:dyDescent="0.45">
      <c r="AR1249" s="15" t="s">
        <v>328</v>
      </c>
      <c r="AS1249" s="15" t="s">
        <v>567</v>
      </c>
      <c r="AT1249" s="15" t="s">
        <v>870</v>
      </c>
      <c r="AU1249" s="15"/>
      <c r="AV1249" s="15"/>
      <c r="AW1249" s="15"/>
      <c r="AX1249" s="15"/>
      <c r="AY1249" s="15"/>
      <c r="AZ1249" s="18"/>
      <c r="BA1249" s="19">
        <v>2.5000000000000001E-2</v>
      </c>
      <c r="BB1249" s="18"/>
      <c r="BC1249" s="18"/>
      <c r="BD1249" s="18"/>
      <c r="BE1249" s="18"/>
      <c r="BF1249" s="18"/>
      <c r="BG1249" s="18"/>
      <c r="BH1249" s="18"/>
      <c r="BI1249" s="18"/>
      <c r="BJ1249" s="18"/>
      <c r="BK1249" s="18"/>
      <c r="BL1249" s="19">
        <v>0.05</v>
      </c>
      <c r="BM1249" s="18"/>
      <c r="BN1249" s="18"/>
      <c r="BO1249" s="18"/>
      <c r="BP1249" s="18"/>
      <c r="BQ1249" s="18"/>
      <c r="BR1249" s="18"/>
      <c r="BS1249" s="18"/>
      <c r="BT1249" s="18"/>
      <c r="BU1249" s="18"/>
    </row>
    <row r="1250" spans="44:73" x14ac:dyDescent="0.45">
      <c r="AR1250" s="15" t="s">
        <v>328</v>
      </c>
      <c r="AS1250" s="15" t="s">
        <v>567</v>
      </c>
      <c r="AT1250" s="15" t="s">
        <v>871</v>
      </c>
      <c r="AU1250" s="15"/>
      <c r="AV1250" s="15"/>
      <c r="AW1250" s="15"/>
      <c r="AX1250" s="15"/>
      <c r="AY1250" s="15"/>
      <c r="AZ1250" s="18"/>
      <c r="BA1250" s="19">
        <v>2.5000000000000001E-2</v>
      </c>
      <c r="BB1250" s="18"/>
      <c r="BC1250" s="18"/>
      <c r="BD1250" s="18"/>
      <c r="BE1250" s="18"/>
      <c r="BF1250" s="18"/>
      <c r="BG1250" s="18"/>
      <c r="BH1250" s="18"/>
      <c r="BI1250" s="18"/>
      <c r="BJ1250" s="18"/>
      <c r="BK1250" s="18"/>
      <c r="BL1250" s="19">
        <v>0.05</v>
      </c>
      <c r="BM1250" s="18"/>
      <c r="BN1250" s="18"/>
      <c r="BO1250" s="18"/>
      <c r="BP1250" s="18"/>
      <c r="BQ1250" s="18"/>
      <c r="BR1250" s="18"/>
      <c r="BS1250" s="18"/>
      <c r="BT1250" s="18"/>
      <c r="BU1250" s="18"/>
    </row>
    <row r="1251" spans="44:73" x14ac:dyDescent="0.45">
      <c r="AR1251" s="15" t="s">
        <v>328</v>
      </c>
      <c r="AS1251" s="15" t="s">
        <v>567</v>
      </c>
      <c r="AT1251" s="15" t="s">
        <v>872</v>
      </c>
      <c r="AU1251" s="15"/>
      <c r="AV1251" s="15"/>
      <c r="AW1251" s="15"/>
      <c r="AX1251" s="15"/>
      <c r="AY1251" s="15"/>
      <c r="AZ1251" s="18"/>
      <c r="BA1251" s="19">
        <v>2.5000000000000001E-2</v>
      </c>
      <c r="BB1251" s="18"/>
      <c r="BC1251" s="18"/>
      <c r="BD1251" s="18"/>
      <c r="BE1251" s="18"/>
      <c r="BF1251" s="18"/>
      <c r="BG1251" s="18"/>
      <c r="BH1251" s="18"/>
      <c r="BI1251" s="18"/>
      <c r="BJ1251" s="18"/>
      <c r="BK1251" s="18"/>
      <c r="BL1251" s="19">
        <v>0.05</v>
      </c>
      <c r="BM1251" s="18"/>
      <c r="BN1251" s="18"/>
      <c r="BO1251" s="18"/>
      <c r="BP1251" s="18"/>
      <c r="BQ1251" s="18"/>
      <c r="BR1251" s="18"/>
      <c r="BS1251" s="18"/>
      <c r="BT1251" s="18"/>
      <c r="BU1251" s="18"/>
    </row>
    <row r="1252" spans="44:73" x14ac:dyDescent="0.45">
      <c r="AR1252" s="15" t="s">
        <v>328</v>
      </c>
      <c r="AS1252" s="15" t="s">
        <v>567</v>
      </c>
      <c r="AT1252" s="15" t="s">
        <v>873</v>
      </c>
      <c r="AU1252" s="15"/>
      <c r="AV1252" s="15"/>
      <c r="AW1252" s="15"/>
      <c r="AX1252" s="15"/>
      <c r="AY1252" s="15"/>
      <c r="AZ1252" s="18"/>
      <c r="BA1252" s="19">
        <v>2.5000000000000001E-2</v>
      </c>
      <c r="BB1252" s="18"/>
      <c r="BC1252" s="18"/>
      <c r="BD1252" s="18"/>
      <c r="BE1252" s="18"/>
      <c r="BF1252" s="18"/>
      <c r="BG1252" s="18"/>
      <c r="BH1252" s="18"/>
      <c r="BI1252" s="18"/>
      <c r="BJ1252" s="18"/>
      <c r="BK1252" s="18"/>
      <c r="BL1252" s="19">
        <v>0.05</v>
      </c>
      <c r="BM1252" s="18"/>
      <c r="BN1252" s="18"/>
      <c r="BO1252" s="18"/>
      <c r="BP1252" s="18"/>
      <c r="BQ1252" s="18"/>
      <c r="BR1252" s="18"/>
      <c r="BS1252" s="18"/>
      <c r="BT1252" s="18"/>
      <c r="BU1252" s="18"/>
    </row>
    <row r="1253" spans="44:73" x14ac:dyDescent="0.45">
      <c r="AR1253" s="15" t="s">
        <v>328</v>
      </c>
      <c r="AS1253" s="15" t="s">
        <v>567</v>
      </c>
      <c r="AT1253" s="15" t="s">
        <v>874</v>
      </c>
      <c r="AU1253" s="15"/>
      <c r="AV1253" s="15"/>
      <c r="AW1253" s="15"/>
      <c r="AX1253" s="15"/>
      <c r="AY1253" s="15"/>
      <c r="AZ1253" s="18"/>
      <c r="BA1253" s="19">
        <v>2.5000000000000001E-2</v>
      </c>
      <c r="BB1253" s="18"/>
      <c r="BC1253" s="18"/>
      <c r="BD1253" s="18"/>
      <c r="BE1253" s="18"/>
      <c r="BF1253" s="18"/>
      <c r="BG1253" s="18"/>
      <c r="BH1253" s="18"/>
      <c r="BI1253" s="18"/>
      <c r="BJ1253" s="18"/>
      <c r="BK1253" s="18"/>
      <c r="BL1253" s="19">
        <v>0.05</v>
      </c>
      <c r="BM1253" s="18"/>
      <c r="BN1253" s="18"/>
      <c r="BO1253" s="18"/>
      <c r="BP1253" s="18"/>
      <c r="BQ1253" s="18"/>
      <c r="BR1253" s="18"/>
      <c r="BS1253" s="18"/>
      <c r="BT1253" s="18"/>
      <c r="BU1253" s="18"/>
    </row>
    <row r="1254" spans="44:73" x14ac:dyDescent="0.45">
      <c r="AR1254" s="15" t="s">
        <v>328</v>
      </c>
      <c r="AS1254" s="15" t="s">
        <v>567</v>
      </c>
      <c r="AT1254" s="15" t="s">
        <v>875</v>
      </c>
      <c r="AU1254" s="15"/>
      <c r="AV1254" s="15"/>
      <c r="AW1254" s="15"/>
      <c r="AX1254" s="15"/>
      <c r="AY1254" s="15"/>
      <c r="AZ1254" s="18"/>
      <c r="BA1254" s="19">
        <v>2.5000000000000001E-2</v>
      </c>
      <c r="BB1254" s="18"/>
      <c r="BC1254" s="18"/>
      <c r="BD1254" s="18"/>
      <c r="BE1254" s="18"/>
      <c r="BF1254" s="18"/>
      <c r="BG1254" s="18"/>
      <c r="BH1254" s="18"/>
      <c r="BI1254" s="18"/>
      <c r="BJ1254" s="18"/>
      <c r="BK1254" s="18"/>
      <c r="BL1254" s="19">
        <v>0.05</v>
      </c>
      <c r="BM1254" s="18"/>
      <c r="BN1254" s="18"/>
      <c r="BO1254" s="18"/>
      <c r="BP1254" s="18"/>
      <c r="BQ1254" s="18"/>
      <c r="BR1254" s="18"/>
      <c r="BS1254" s="18"/>
      <c r="BT1254" s="18"/>
      <c r="BU1254" s="18"/>
    </row>
    <row r="1255" spans="44:73" x14ac:dyDescent="0.45">
      <c r="AR1255" s="15" t="s">
        <v>328</v>
      </c>
      <c r="AS1255" s="15" t="s">
        <v>567</v>
      </c>
      <c r="AT1255" s="15" t="s">
        <v>876</v>
      </c>
      <c r="AU1255" s="15"/>
      <c r="AV1255" s="15"/>
      <c r="AW1255" s="15"/>
      <c r="AX1255" s="15"/>
      <c r="AY1255" s="15"/>
      <c r="AZ1255" s="18"/>
      <c r="BA1255" s="19">
        <v>2.5000000000000001E-2</v>
      </c>
      <c r="BB1255" s="18"/>
      <c r="BC1255" s="18"/>
      <c r="BD1255" s="18"/>
      <c r="BE1255" s="18"/>
      <c r="BF1255" s="18"/>
      <c r="BG1255" s="18"/>
      <c r="BH1255" s="18"/>
      <c r="BI1255" s="18"/>
      <c r="BJ1255" s="18"/>
      <c r="BK1255" s="18"/>
      <c r="BL1255" s="19">
        <v>0.05</v>
      </c>
      <c r="BM1255" s="18"/>
      <c r="BN1255" s="18"/>
      <c r="BO1255" s="18"/>
      <c r="BP1255" s="18"/>
      <c r="BQ1255" s="18"/>
      <c r="BR1255" s="18"/>
      <c r="BS1255" s="18"/>
      <c r="BT1255" s="18"/>
      <c r="BU1255" s="18"/>
    </row>
    <row r="1256" spans="44:73" x14ac:dyDescent="0.45">
      <c r="AR1256" s="15" t="s">
        <v>328</v>
      </c>
      <c r="AS1256" s="15" t="s">
        <v>567</v>
      </c>
      <c r="AT1256" s="15" t="s">
        <v>877</v>
      </c>
      <c r="AU1256" s="15"/>
      <c r="AV1256" s="15"/>
      <c r="AW1256" s="15"/>
      <c r="AX1256" s="15"/>
      <c r="AY1256" s="15"/>
      <c r="AZ1256" s="18"/>
      <c r="BA1256" s="19">
        <v>2.5000000000000001E-2</v>
      </c>
      <c r="BB1256" s="18"/>
      <c r="BC1256" s="18"/>
      <c r="BD1256" s="18"/>
      <c r="BE1256" s="18"/>
      <c r="BF1256" s="18"/>
      <c r="BG1256" s="18"/>
      <c r="BH1256" s="18"/>
      <c r="BI1256" s="18"/>
      <c r="BJ1256" s="18"/>
      <c r="BK1256" s="18"/>
      <c r="BL1256" s="19">
        <v>0.05</v>
      </c>
      <c r="BM1256" s="18"/>
      <c r="BN1256" s="18"/>
      <c r="BO1256" s="18"/>
      <c r="BP1256" s="18"/>
      <c r="BQ1256" s="18"/>
      <c r="BR1256" s="18"/>
      <c r="BS1256" s="18"/>
      <c r="BT1256" s="18"/>
      <c r="BU1256" s="18"/>
    </row>
    <row r="1257" spans="44:73" x14ac:dyDescent="0.45">
      <c r="AR1257" s="15" t="s">
        <v>328</v>
      </c>
      <c r="AS1257" s="15" t="s">
        <v>567</v>
      </c>
      <c r="AT1257" s="15" t="s">
        <v>878</v>
      </c>
      <c r="AU1257" s="15"/>
      <c r="AV1257" s="15"/>
      <c r="AW1257" s="15"/>
      <c r="AX1257" s="15"/>
      <c r="AY1257" s="15"/>
      <c r="AZ1257" s="18"/>
      <c r="BA1257" s="19">
        <v>2.5000000000000001E-2</v>
      </c>
      <c r="BB1257" s="18"/>
      <c r="BC1257" s="18"/>
      <c r="BD1257" s="18"/>
      <c r="BE1257" s="18"/>
      <c r="BF1257" s="18"/>
      <c r="BG1257" s="18"/>
      <c r="BH1257" s="18"/>
      <c r="BI1257" s="18"/>
      <c r="BJ1257" s="18"/>
      <c r="BK1257" s="18"/>
      <c r="BL1257" s="19">
        <v>0.05</v>
      </c>
      <c r="BM1257" s="18"/>
      <c r="BN1257" s="18"/>
      <c r="BO1257" s="18"/>
      <c r="BP1257" s="18"/>
      <c r="BQ1257" s="18"/>
      <c r="BR1257" s="18"/>
      <c r="BS1257" s="18"/>
      <c r="BT1257" s="18"/>
      <c r="BU1257" s="18"/>
    </row>
    <row r="1258" spans="44:73" x14ac:dyDescent="0.45">
      <c r="AR1258" s="15" t="s">
        <v>328</v>
      </c>
      <c r="AS1258" s="15" t="s">
        <v>567</v>
      </c>
      <c r="AT1258" s="15" t="s">
        <v>879</v>
      </c>
      <c r="AU1258" s="15"/>
      <c r="AV1258" s="15"/>
      <c r="AW1258" s="15"/>
      <c r="AX1258" s="15"/>
      <c r="AY1258" s="15"/>
      <c r="AZ1258" s="18"/>
      <c r="BA1258" s="19">
        <v>2.5000000000000001E-2</v>
      </c>
      <c r="BB1258" s="18"/>
      <c r="BC1258" s="18"/>
      <c r="BD1258" s="18"/>
      <c r="BE1258" s="18"/>
      <c r="BF1258" s="18"/>
      <c r="BG1258" s="18"/>
      <c r="BH1258" s="18"/>
      <c r="BI1258" s="18"/>
      <c r="BJ1258" s="18"/>
      <c r="BK1258" s="18"/>
      <c r="BL1258" s="19">
        <v>0.05</v>
      </c>
      <c r="BM1258" s="18"/>
      <c r="BN1258" s="18"/>
      <c r="BO1258" s="18"/>
      <c r="BP1258" s="18"/>
      <c r="BQ1258" s="18"/>
      <c r="BR1258" s="18"/>
      <c r="BS1258" s="18"/>
      <c r="BT1258" s="18"/>
      <c r="BU1258" s="18"/>
    </row>
    <row r="1259" spans="44:73" x14ac:dyDescent="0.45">
      <c r="AR1259" s="15" t="s">
        <v>328</v>
      </c>
      <c r="AS1259" s="15" t="s">
        <v>567</v>
      </c>
      <c r="AT1259" s="15" t="s">
        <v>880</v>
      </c>
      <c r="AU1259" s="15"/>
      <c r="AV1259" s="15"/>
      <c r="AW1259" s="15"/>
      <c r="AX1259" s="15"/>
      <c r="AY1259" s="15"/>
      <c r="AZ1259" s="18"/>
      <c r="BA1259" s="19">
        <v>2.5000000000000001E-2</v>
      </c>
      <c r="BB1259" s="18"/>
      <c r="BC1259" s="18"/>
      <c r="BD1259" s="18"/>
      <c r="BE1259" s="18"/>
      <c r="BF1259" s="18"/>
      <c r="BG1259" s="18"/>
      <c r="BH1259" s="18"/>
      <c r="BI1259" s="18"/>
      <c r="BJ1259" s="18"/>
      <c r="BK1259" s="18"/>
      <c r="BL1259" s="19">
        <v>0.05</v>
      </c>
      <c r="BM1259" s="18"/>
      <c r="BN1259" s="18"/>
      <c r="BO1259" s="18"/>
      <c r="BP1259" s="18"/>
      <c r="BQ1259" s="18"/>
      <c r="BR1259" s="18"/>
      <c r="BS1259" s="18"/>
      <c r="BT1259" s="18"/>
      <c r="BU1259" s="18"/>
    </row>
    <row r="1260" spans="44:73" x14ac:dyDescent="0.45">
      <c r="AR1260" s="15" t="s">
        <v>328</v>
      </c>
      <c r="AS1260" s="15" t="s">
        <v>567</v>
      </c>
      <c r="AT1260" s="15" t="s">
        <v>881</v>
      </c>
      <c r="AU1260" s="15"/>
      <c r="AV1260" s="15"/>
      <c r="AW1260" s="15"/>
      <c r="AX1260" s="15"/>
      <c r="AY1260" s="15"/>
      <c r="AZ1260" s="18"/>
      <c r="BA1260" s="19">
        <v>2.5000000000000001E-2</v>
      </c>
      <c r="BB1260" s="18"/>
      <c r="BC1260" s="18"/>
      <c r="BD1260" s="18"/>
      <c r="BE1260" s="18"/>
      <c r="BF1260" s="18"/>
      <c r="BG1260" s="18"/>
      <c r="BH1260" s="18"/>
      <c r="BI1260" s="18"/>
      <c r="BJ1260" s="18"/>
      <c r="BK1260" s="18"/>
      <c r="BL1260" s="19">
        <v>0.05</v>
      </c>
      <c r="BM1260" s="18"/>
      <c r="BN1260" s="18"/>
      <c r="BO1260" s="18"/>
      <c r="BP1260" s="18"/>
      <c r="BQ1260" s="18"/>
      <c r="BR1260" s="18"/>
      <c r="BS1260" s="18"/>
      <c r="BT1260" s="18"/>
      <c r="BU1260" s="18"/>
    </row>
    <row r="1261" spans="44:73" x14ac:dyDescent="0.45">
      <c r="AR1261" s="15" t="s">
        <v>328</v>
      </c>
      <c r="AS1261" s="15" t="s">
        <v>567</v>
      </c>
      <c r="AT1261" s="15" t="s">
        <v>882</v>
      </c>
      <c r="AU1261" s="15"/>
      <c r="AV1261" s="15"/>
      <c r="AW1261" s="15"/>
      <c r="AX1261" s="15"/>
      <c r="AY1261" s="15"/>
      <c r="AZ1261" s="18"/>
      <c r="BA1261" s="19">
        <v>2.5000000000000001E-2</v>
      </c>
      <c r="BB1261" s="18"/>
      <c r="BC1261" s="18"/>
      <c r="BD1261" s="18"/>
      <c r="BE1261" s="18"/>
      <c r="BF1261" s="18"/>
      <c r="BG1261" s="18"/>
      <c r="BH1261" s="18"/>
      <c r="BI1261" s="18"/>
      <c r="BJ1261" s="18"/>
      <c r="BK1261" s="18"/>
      <c r="BL1261" s="19">
        <v>0.05</v>
      </c>
      <c r="BM1261" s="18"/>
      <c r="BN1261" s="18"/>
      <c r="BO1261" s="18"/>
      <c r="BP1261" s="18"/>
      <c r="BQ1261" s="18"/>
      <c r="BR1261" s="18"/>
      <c r="BS1261" s="18"/>
      <c r="BT1261" s="18"/>
      <c r="BU1261" s="18"/>
    </row>
    <row r="1262" spans="44:73" x14ac:dyDescent="0.45">
      <c r="AR1262" s="15" t="s">
        <v>328</v>
      </c>
      <c r="AS1262" s="15" t="s">
        <v>567</v>
      </c>
      <c r="AT1262" s="15" t="s">
        <v>883</v>
      </c>
      <c r="AU1262" s="15"/>
      <c r="AV1262" s="15"/>
      <c r="AW1262" s="15"/>
      <c r="AX1262" s="15"/>
      <c r="AY1262" s="15"/>
      <c r="AZ1262" s="18"/>
      <c r="BA1262" s="19">
        <v>2.5000000000000001E-2</v>
      </c>
      <c r="BB1262" s="18"/>
      <c r="BC1262" s="18"/>
      <c r="BD1262" s="18"/>
      <c r="BE1262" s="18"/>
      <c r="BF1262" s="18"/>
      <c r="BG1262" s="18"/>
      <c r="BH1262" s="18"/>
      <c r="BI1262" s="18"/>
      <c r="BJ1262" s="18"/>
      <c r="BK1262" s="18"/>
      <c r="BL1262" s="19">
        <v>0.05</v>
      </c>
      <c r="BM1262" s="18"/>
      <c r="BN1262" s="18"/>
      <c r="BO1262" s="18"/>
      <c r="BP1262" s="18"/>
      <c r="BQ1262" s="18"/>
      <c r="BR1262" s="18"/>
      <c r="BS1262" s="18"/>
      <c r="BT1262" s="18"/>
      <c r="BU1262" s="18"/>
    </row>
    <row r="1263" spans="44:73" x14ac:dyDescent="0.45">
      <c r="AR1263" s="15" t="s">
        <v>328</v>
      </c>
      <c r="AS1263" s="15" t="s">
        <v>567</v>
      </c>
      <c r="AT1263" s="15" t="s">
        <v>884</v>
      </c>
      <c r="AU1263" s="15"/>
      <c r="AV1263" s="15"/>
      <c r="AW1263" s="15"/>
      <c r="AX1263" s="15"/>
      <c r="AY1263" s="15"/>
      <c r="AZ1263" s="18"/>
      <c r="BA1263" s="19">
        <v>2.5000000000000001E-2</v>
      </c>
      <c r="BB1263" s="18"/>
      <c r="BC1263" s="18"/>
      <c r="BD1263" s="18"/>
      <c r="BE1263" s="18"/>
      <c r="BF1263" s="18"/>
      <c r="BG1263" s="18"/>
      <c r="BH1263" s="18"/>
      <c r="BI1263" s="18"/>
      <c r="BJ1263" s="18"/>
      <c r="BK1263" s="18"/>
      <c r="BL1263" s="19">
        <v>0.05</v>
      </c>
      <c r="BM1263" s="18"/>
      <c r="BN1263" s="18"/>
      <c r="BO1263" s="18"/>
      <c r="BP1263" s="18"/>
      <c r="BQ1263" s="18"/>
      <c r="BR1263" s="18"/>
      <c r="BS1263" s="18"/>
      <c r="BT1263" s="18"/>
      <c r="BU1263" s="18"/>
    </row>
    <row r="1264" spans="44:73" x14ac:dyDescent="0.45">
      <c r="AR1264" s="15" t="s">
        <v>328</v>
      </c>
      <c r="AS1264" s="15" t="s">
        <v>567</v>
      </c>
      <c r="AT1264" s="15" t="s">
        <v>885</v>
      </c>
      <c r="AU1264" s="15"/>
      <c r="AV1264" s="15"/>
      <c r="AW1264" s="15"/>
      <c r="AX1264" s="15"/>
      <c r="AY1264" s="15"/>
      <c r="AZ1264" s="18"/>
      <c r="BA1264" s="19">
        <v>2.5000000000000001E-2</v>
      </c>
      <c r="BB1264" s="18"/>
      <c r="BC1264" s="18"/>
      <c r="BD1264" s="18"/>
      <c r="BE1264" s="18"/>
      <c r="BF1264" s="18"/>
      <c r="BG1264" s="18"/>
      <c r="BH1264" s="18"/>
      <c r="BI1264" s="18"/>
      <c r="BJ1264" s="18"/>
      <c r="BK1264" s="18"/>
      <c r="BL1264" s="19">
        <v>0.05</v>
      </c>
      <c r="BM1264" s="18"/>
      <c r="BN1264" s="18"/>
      <c r="BO1264" s="18"/>
      <c r="BP1264" s="18"/>
      <c r="BQ1264" s="18"/>
      <c r="BR1264" s="18"/>
      <c r="BS1264" s="18"/>
      <c r="BT1264" s="18"/>
      <c r="BU1264" s="18"/>
    </row>
    <row r="1265" spans="44:73" x14ac:dyDescent="0.45">
      <c r="AR1265" s="15" t="s">
        <v>328</v>
      </c>
      <c r="AS1265" s="15" t="s">
        <v>567</v>
      </c>
      <c r="AT1265" s="15" t="s">
        <v>886</v>
      </c>
      <c r="AU1265" s="15"/>
      <c r="AV1265" s="15"/>
      <c r="AW1265" s="15"/>
      <c r="AX1265" s="15"/>
      <c r="AY1265" s="15"/>
      <c r="AZ1265" s="18"/>
      <c r="BA1265" s="19">
        <v>2.5000000000000001E-2</v>
      </c>
      <c r="BB1265" s="18"/>
      <c r="BC1265" s="18"/>
      <c r="BD1265" s="18"/>
      <c r="BE1265" s="18"/>
      <c r="BF1265" s="18"/>
      <c r="BG1265" s="18"/>
      <c r="BH1265" s="18"/>
      <c r="BI1265" s="18"/>
      <c r="BJ1265" s="18"/>
      <c r="BK1265" s="18"/>
      <c r="BL1265" s="19">
        <v>0.05</v>
      </c>
      <c r="BM1265" s="18"/>
      <c r="BN1265" s="18"/>
      <c r="BO1265" s="18"/>
      <c r="BP1265" s="18"/>
      <c r="BQ1265" s="18"/>
      <c r="BR1265" s="18"/>
      <c r="BS1265" s="18"/>
      <c r="BT1265" s="18"/>
      <c r="BU1265" s="18"/>
    </row>
    <row r="1266" spans="44:73" x14ac:dyDescent="0.45">
      <c r="AR1266" s="15" t="s">
        <v>328</v>
      </c>
      <c r="AS1266" s="15" t="s">
        <v>567</v>
      </c>
      <c r="AT1266" s="15" t="s">
        <v>887</v>
      </c>
      <c r="AU1266" s="15"/>
      <c r="AV1266" s="15"/>
      <c r="AW1266" s="15"/>
      <c r="AX1266" s="15"/>
      <c r="AY1266" s="15"/>
      <c r="AZ1266" s="18"/>
      <c r="BA1266" s="19">
        <v>2.5000000000000001E-2</v>
      </c>
      <c r="BB1266" s="18"/>
      <c r="BC1266" s="18"/>
      <c r="BD1266" s="18"/>
      <c r="BE1266" s="18"/>
      <c r="BF1266" s="18"/>
      <c r="BG1266" s="18"/>
      <c r="BH1266" s="18"/>
      <c r="BI1266" s="18"/>
      <c r="BJ1266" s="18"/>
      <c r="BK1266" s="18"/>
      <c r="BL1266" s="19">
        <v>0.05</v>
      </c>
      <c r="BM1266" s="18"/>
      <c r="BN1266" s="18"/>
      <c r="BO1266" s="18"/>
      <c r="BP1266" s="18"/>
      <c r="BQ1266" s="18"/>
      <c r="BR1266" s="18"/>
      <c r="BS1266" s="18"/>
      <c r="BT1266" s="18"/>
      <c r="BU1266" s="18"/>
    </row>
    <row r="1267" spans="44:73" x14ac:dyDescent="0.45">
      <c r="AR1267" s="15" t="s">
        <v>328</v>
      </c>
      <c r="AS1267" s="15" t="s">
        <v>567</v>
      </c>
      <c r="AT1267" s="15" t="s">
        <v>888</v>
      </c>
      <c r="AU1267" s="15"/>
      <c r="AV1267" s="15"/>
      <c r="AW1267" s="15"/>
      <c r="AX1267" s="15"/>
      <c r="AY1267" s="15"/>
      <c r="AZ1267" s="18"/>
      <c r="BA1267" s="19">
        <v>2.5000000000000001E-2</v>
      </c>
      <c r="BB1267" s="18"/>
      <c r="BC1267" s="18"/>
      <c r="BD1267" s="18"/>
      <c r="BE1267" s="18"/>
      <c r="BF1267" s="18"/>
      <c r="BG1267" s="18"/>
      <c r="BH1267" s="18"/>
      <c r="BI1267" s="18"/>
      <c r="BJ1267" s="18"/>
      <c r="BK1267" s="18"/>
      <c r="BL1267" s="19">
        <v>0.05</v>
      </c>
      <c r="BM1267" s="18"/>
      <c r="BN1267" s="18"/>
      <c r="BO1267" s="18"/>
      <c r="BP1267" s="18"/>
      <c r="BQ1267" s="18"/>
      <c r="BR1267" s="18"/>
      <c r="BS1267" s="18"/>
      <c r="BT1267" s="18"/>
      <c r="BU1267" s="18"/>
    </row>
    <row r="1268" spans="44:73" x14ac:dyDescent="0.45">
      <c r="AR1268" s="15" t="s">
        <v>328</v>
      </c>
      <c r="AS1268" s="15" t="s">
        <v>567</v>
      </c>
      <c r="AT1268" s="15" t="s">
        <v>889</v>
      </c>
      <c r="AU1268" s="15"/>
      <c r="AV1268" s="15"/>
      <c r="AW1268" s="15"/>
      <c r="AX1268" s="15"/>
      <c r="AY1268" s="15"/>
      <c r="AZ1268" s="18"/>
      <c r="BA1268" s="19">
        <v>2.5000000000000001E-2</v>
      </c>
      <c r="BB1268" s="18"/>
      <c r="BC1268" s="18"/>
      <c r="BD1268" s="18"/>
      <c r="BE1268" s="18"/>
      <c r="BF1268" s="18"/>
      <c r="BG1268" s="18"/>
      <c r="BH1268" s="18"/>
      <c r="BI1268" s="18"/>
      <c r="BJ1268" s="18"/>
      <c r="BK1268" s="18"/>
      <c r="BL1268" s="19">
        <v>0.05</v>
      </c>
      <c r="BM1268" s="18"/>
      <c r="BN1268" s="18"/>
      <c r="BO1268" s="18"/>
      <c r="BP1268" s="18"/>
      <c r="BQ1268" s="18"/>
      <c r="BR1268" s="18"/>
      <c r="BS1268" s="18"/>
      <c r="BT1268" s="18"/>
      <c r="BU1268" s="18"/>
    </row>
    <row r="1269" spans="44:73" x14ac:dyDescent="0.45">
      <c r="AR1269" s="15" t="s">
        <v>328</v>
      </c>
      <c r="AS1269" s="15" t="s">
        <v>567</v>
      </c>
      <c r="AT1269" s="15" t="s">
        <v>890</v>
      </c>
      <c r="AU1269" s="15"/>
      <c r="AV1269" s="15"/>
      <c r="AW1269" s="15"/>
      <c r="AX1269" s="15"/>
      <c r="AY1269" s="15"/>
      <c r="AZ1269" s="18"/>
      <c r="BA1269" s="19">
        <v>2.5000000000000001E-2</v>
      </c>
      <c r="BB1269" s="18"/>
      <c r="BC1269" s="18"/>
      <c r="BD1269" s="18"/>
      <c r="BE1269" s="18"/>
      <c r="BF1269" s="18"/>
      <c r="BG1269" s="18"/>
      <c r="BH1269" s="18"/>
      <c r="BI1269" s="18"/>
      <c r="BJ1269" s="18"/>
      <c r="BK1269" s="18"/>
      <c r="BL1269" s="19">
        <v>0.05</v>
      </c>
      <c r="BM1269" s="18"/>
      <c r="BN1269" s="18"/>
      <c r="BO1269" s="18"/>
      <c r="BP1269" s="18"/>
      <c r="BQ1269" s="18"/>
      <c r="BR1269" s="18"/>
      <c r="BS1269" s="18"/>
      <c r="BT1269" s="18"/>
      <c r="BU1269" s="18"/>
    </row>
    <row r="1270" spans="44:73" x14ac:dyDescent="0.45">
      <c r="AR1270" s="15" t="s">
        <v>328</v>
      </c>
      <c r="AS1270" s="15" t="s">
        <v>567</v>
      </c>
      <c r="AT1270" s="15" t="s">
        <v>891</v>
      </c>
      <c r="AU1270" s="15"/>
      <c r="AV1270" s="15"/>
      <c r="AW1270" s="15"/>
      <c r="AX1270" s="15"/>
      <c r="AY1270" s="15"/>
      <c r="AZ1270" s="18"/>
      <c r="BA1270" s="19">
        <v>2.5000000000000001E-2</v>
      </c>
      <c r="BB1270" s="18"/>
      <c r="BC1270" s="18"/>
      <c r="BD1270" s="18"/>
      <c r="BE1270" s="18"/>
      <c r="BF1270" s="18"/>
      <c r="BG1270" s="18"/>
      <c r="BH1270" s="18"/>
      <c r="BI1270" s="18"/>
      <c r="BJ1270" s="18"/>
      <c r="BK1270" s="18"/>
      <c r="BL1270" s="19">
        <v>0.05</v>
      </c>
      <c r="BM1270" s="18"/>
      <c r="BN1270" s="18"/>
      <c r="BO1270" s="18"/>
      <c r="BP1270" s="18"/>
      <c r="BQ1270" s="18"/>
      <c r="BR1270" s="18"/>
      <c r="BS1270" s="18"/>
      <c r="BT1270" s="18"/>
      <c r="BU1270" s="18"/>
    </row>
    <row r="1271" spans="44:73" x14ac:dyDescent="0.45">
      <c r="AR1271" s="15" t="s">
        <v>328</v>
      </c>
      <c r="AS1271" s="15" t="s">
        <v>567</v>
      </c>
      <c r="AT1271" s="15" t="s">
        <v>892</v>
      </c>
      <c r="AU1271" s="15"/>
      <c r="AV1271" s="15"/>
      <c r="AW1271" s="15"/>
      <c r="AX1271" s="15"/>
      <c r="AY1271" s="15"/>
      <c r="AZ1271" s="18"/>
      <c r="BA1271" s="19">
        <v>2.5000000000000001E-2</v>
      </c>
      <c r="BB1271" s="18"/>
      <c r="BC1271" s="18"/>
      <c r="BD1271" s="18"/>
      <c r="BE1271" s="18"/>
      <c r="BF1271" s="18"/>
      <c r="BG1271" s="18"/>
      <c r="BH1271" s="18"/>
      <c r="BI1271" s="18"/>
      <c r="BJ1271" s="18"/>
      <c r="BK1271" s="18"/>
      <c r="BL1271" s="19">
        <v>0.05</v>
      </c>
      <c r="BM1271" s="18"/>
      <c r="BN1271" s="18"/>
      <c r="BO1271" s="18"/>
      <c r="BP1271" s="18"/>
      <c r="BQ1271" s="18"/>
      <c r="BR1271" s="18"/>
      <c r="BS1271" s="18"/>
      <c r="BT1271" s="18"/>
      <c r="BU1271" s="18"/>
    </row>
    <row r="1272" spans="44:73" x14ac:dyDescent="0.45">
      <c r="AR1272" s="15" t="s">
        <v>328</v>
      </c>
      <c r="AS1272" s="15" t="s">
        <v>567</v>
      </c>
      <c r="AT1272" s="15" t="s">
        <v>893</v>
      </c>
      <c r="AU1272" s="15"/>
      <c r="AV1272" s="15"/>
      <c r="AW1272" s="15"/>
      <c r="AX1272" s="15"/>
      <c r="AY1272" s="15"/>
      <c r="AZ1272" s="18"/>
      <c r="BA1272" s="19">
        <v>2.5000000000000001E-2</v>
      </c>
      <c r="BB1272" s="18"/>
      <c r="BC1272" s="18"/>
      <c r="BD1272" s="18"/>
      <c r="BE1272" s="18"/>
      <c r="BF1272" s="18"/>
      <c r="BG1272" s="18"/>
      <c r="BH1272" s="18"/>
      <c r="BI1272" s="18"/>
      <c r="BJ1272" s="18"/>
      <c r="BK1272" s="18"/>
      <c r="BL1272" s="19">
        <v>0.05</v>
      </c>
      <c r="BM1272" s="18"/>
      <c r="BN1272" s="18"/>
      <c r="BO1272" s="18"/>
      <c r="BP1272" s="18"/>
      <c r="BQ1272" s="18"/>
      <c r="BR1272" s="18"/>
      <c r="BS1272" s="18"/>
      <c r="BT1272" s="18"/>
      <c r="BU1272" s="18"/>
    </row>
    <row r="1273" spans="44:73" x14ac:dyDescent="0.45">
      <c r="AR1273" s="15" t="s">
        <v>328</v>
      </c>
      <c r="AS1273" s="15" t="s">
        <v>567</v>
      </c>
      <c r="AT1273" s="15" t="s">
        <v>894</v>
      </c>
      <c r="AU1273" s="15"/>
      <c r="AV1273" s="15"/>
      <c r="AW1273" s="15"/>
      <c r="AX1273" s="15"/>
      <c r="AY1273" s="15"/>
      <c r="AZ1273" s="18"/>
      <c r="BA1273" s="19">
        <v>2.5000000000000001E-2</v>
      </c>
      <c r="BB1273" s="18"/>
      <c r="BC1273" s="18"/>
      <c r="BD1273" s="18"/>
      <c r="BE1273" s="18"/>
      <c r="BF1273" s="18"/>
      <c r="BG1273" s="18"/>
      <c r="BH1273" s="18"/>
      <c r="BI1273" s="18"/>
      <c r="BJ1273" s="18"/>
      <c r="BK1273" s="18"/>
      <c r="BL1273" s="19">
        <v>0.05</v>
      </c>
      <c r="BM1273" s="18"/>
      <c r="BN1273" s="18"/>
      <c r="BO1273" s="18"/>
      <c r="BP1273" s="18"/>
      <c r="BQ1273" s="18"/>
      <c r="BR1273" s="18"/>
      <c r="BS1273" s="18"/>
      <c r="BT1273" s="18"/>
      <c r="BU1273" s="18"/>
    </row>
    <row r="1274" spans="44:73" x14ac:dyDescent="0.45">
      <c r="AR1274" s="15" t="s">
        <v>328</v>
      </c>
      <c r="AS1274" s="15" t="s">
        <v>567</v>
      </c>
      <c r="AT1274" s="15" t="s">
        <v>895</v>
      </c>
      <c r="AU1274" s="15"/>
      <c r="AV1274" s="15"/>
      <c r="AW1274" s="15"/>
      <c r="AX1274" s="15"/>
      <c r="AY1274" s="15"/>
      <c r="AZ1274" s="18"/>
      <c r="BA1274" s="19">
        <v>2.5000000000000001E-2</v>
      </c>
      <c r="BB1274" s="18"/>
      <c r="BC1274" s="18"/>
      <c r="BD1274" s="18"/>
      <c r="BE1274" s="18"/>
      <c r="BF1274" s="18"/>
      <c r="BG1274" s="18"/>
      <c r="BH1274" s="18"/>
      <c r="BI1274" s="18"/>
      <c r="BJ1274" s="18"/>
      <c r="BK1274" s="18"/>
      <c r="BL1274" s="19">
        <v>0.05</v>
      </c>
      <c r="BM1274" s="18"/>
      <c r="BN1274" s="18"/>
      <c r="BO1274" s="18"/>
      <c r="BP1274" s="18"/>
      <c r="BQ1274" s="18"/>
      <c r="BR1274" s="18"/>
      <c r="BS1274" s="18"/>
      <c r="BT1274" s="18"/>
      <c r="BU1274" s="18"/>
    </row>
    <row r="1275" spans="44:73" x14ac:dyDescent="0.45">
      <c r="AR1275" s="15" t="s">
        <v>328</v>
      </c>
      <c r="AS1275" s="15" t="s">
        <v>567</v>
      </c>
      <c r="AT1275" s="15" t="s">
        <v>896</v>
      </c>
      <c r="AU1275" s="15"/>
      <c r="AV1275" s="15"/>
      <c r="AW1275" s="15"/>
      <c r="AX1275" s="15"/>
      <c r="AY1275" s="15"/>
      <c r="AZ1275" s="18"/>
      <c r="BA1275" s="19">
        <v>2.5000000000000001E-2</v>
      </c>
      <c r="BB1275" s="18"/>
      <c r="BC1275" s="18"/>
      <c r="BD1275" s="18"/>
      <c r="BE1275" s="18"/>
      <c r="BF1275" s="18"/>
      <c r="BG1275" s="18"/>
      <c r="BH1275" s="18"/>
      <c r="BI1275" s="18"/>
      <c r="BJ1275" s="18"/>
      <c r="BK1275" s="18"/>
      <c r="BL1275" s="19">
        <v>0.05</v>
      </c>
      <c r="BM1275" s="18"/>
      <c r="BN1275" s="18"/>
      <c r="BO1275" s="18"/>
      <c r="BP1275" s="18"/>
      <c r="BQ1275" s="18"/>
      <c r="BR1275" s="18"/>
      <c r="BS1275" s="18"/>
      <c r="BT1275" s="18"/>
      <c r="BU1275" s="18"/>
    </row>
    <row r="1276" spans="44:73" x14ac:dyDescent="0.45">
      <c r="AR1276" s="15" t="s">
        <v>328</v>
      </c>
      <c r="AS1276" s="15" t="s">
        <v>567</v>
      </c>
      <c r="AT1276" s="15" t="s">
        <v>897</v>
      </c>
      <c r="AU1276" s="15"/>
      <c r="AV1276" s="15"/>
      <c r="AW1276" s="15"/>
      <c r="AX1276" s="15"/>
      <c r="AY1276" s="15"/>
      <c r="AZ1276" s="18"/>
      <c r="BA1276" s="19">
        <v>2.5000000000000001E-2</v>
      </c>
      <c r="BB1276" s="18"/>
      <c r="BC1276" s="18"/>
      <c r="BD1276" s="18"/>
      <c r="BE1276" s="18"/>
      <c r="BF1276" s="18"/>
      <c r="BG1276" s="18"/>
      <c r="BH1276" s="18"/>
      <c r="BI1276" s="18"/>
      <c r="BJ1276" s="18"/>
      <c r="BK1276" s="18"/>
      <c r="BL1276" s="19">
        <v>0.05</v>
      </c>
      <c r="BM1276" s="18"/>
      <c r="BN1276" s="18"/>
      <c r="BO1276" s="18"/>
      <c r="BP1276" s="18"/>
      <c r="BQ1276" s="18"/>
      <c r="BR1276" s="18"/>
      <c r="BS1276" s="18"/>
      <c r="BT1276" s="18"/>
      <c r="BU1276" s="18"/>
    </row>
    <row r="1277" spans="44:73" x14ac:dyDescent="0.45">
      <c r="AR1277" s="15" t="s">
        <v>328</v>
      </c>
      <c r="AS1277" s="15" t="s">
        <v>567</v>
      </c>
      <c r="AT1277" s="15" t="s">
        <v>898</v>
      </c>
      <c r="AU1277" s="15"/>
      <c r="AV1277" s="15"/>
      <c r="AW1277" s="15"/>
      <c r="AX1277" s="15"/>
      <c r="AY1277" s="15"/>
      <c r="AZ1277" s="18"/>
      <c r="BA1277" s="19">
        <v>2.5000000000000001E-2</v>
      </c>
      <c r="BB1277" s="18"/>
      <c r="BC1277" s="18"/>
      <c r="BD1277" s="18"/>
      <c r="BE1277" s="18"/>
      <c r="BF1277" s="18"/>
      <c r="BG1277" s="18"/>
      <c r="BH1277" s="18"/>
      <c r="BI1277" s="18"/>
      <c r="BJ1277" s="18"/>
      <c r="BK1277" s="18"/>
      <c r="BL1277" s="19">
        <v>0.05</v>
      </c>
      <c r="BM1277" s="18"/>
      <c r="BN1277" s="18"/>
      <c r="BO1277" s="18"/>
      <c r="BP1277" s="18"/>
      <c r="BQ1277" s="18"/>
      <c r="BR1277" s="18"/>
      <c r="BS1277" s="18"/>
      <c r="BT1277" s="18"/>
      <c r="BU1277" s="18"/>
    </row>
    <row r="1278" spans="44:73" x14ac:dyDescent="0.45">
      <c r="AR1278" s="15" t="s">
        <v>328</v>
      </c>
      <c r="AS1278" s="15" t="s">
        <v>567</v>
      </c>
      <c r="AT1278" s="15" t="s">
        <v>899</v>
      </c>
      <c r="AU1278" s="15"/>
      <c r="AV1278" s="15"/>
      <c r="AW1278" s="15"/>
      <c r="AX1278" s="15"/>
      <c r="AY1278" s="15"/>
      <c r="AZ1278" s="18"/>
      <c r="BA1278" s="19">
        <v>2.5000000000000001E-2</v>
      </c>
      <c r="BB1278" s="18"/>
      <c r="BC1278" s="18"/>
      <c r="BD1278" s="18"/>
      <c r="BE1278" s="18"/>
      <c r="BF1278" s="18"/>
      <c r="BG1278" s="18"/>
      <c r="BH1278" s="18"/>
      <c r="BI1278" s="18"/>
      <c r="BJ1278" s="18"/>
      <c r="BK1278" s="18"/>
      <c r="BL1278" s="19">
        <v>0.05</v>
      </c>
      <c r="BM1278" s="18"/>
      <c r="BN1278" s="18"/>
      <c r="BO1278" s="18"/>
      <c r="BP1278" s="18"/>
      <c r="BQ1278" s="18"/>
      <c r="BR1278" s="18"/>
      <c r="BS1278" s="18"/>
      <c r="BT1278" s="18"/>
      <c r="BU1278" s="18"/>
    </row>
    <row r="1279" spans="44:73" x14ac:dyDescent="0.45">
      <c r="AR1279" s="15" t="s">
        <v>328</v>
      </c>
      <c r="AS1279" s="15" t="s">
        <v>567</v>
      </c>
      <c r="AT1279" s="15" t="s">
        <v>900</v>
      </c>
      <c r="AU1279" s="15"/>
      <c r="AV1279" s="15"/>
      <c r="AW1279" s="15"/>
      <c r="AX1279" s="15"/>
      <c r="AY1279" s="15"/>
      <c r="AZ1279" s="18"/>
      <c r="BA1279" s="19">
        <v>2.5000000000000001E-2</v>
      </c>
      <c r="BB1279" s="18"/>
      <c r="BC1279" s="18"/>
      <c r="BD1279" s="18"/>
      <c r="BE1279" s="18"/>
      <c r="BF1279" s="18"/>
      <c r="BG1279" s="18"/>
      <c r="BH1279" s="18"/>
      <c r="BI1279" s="18"/>
      <c r="BJ1279" s="18"/>
      <c r="BK1279" s="18"/>
      <c r="BL1279" s="19">
        <v>0.05</v>
      </c>
      <c r="BM1279" s="18"/>
      <c r="BN1279" s="18"/>
      <c r="BO1279" s="18"/>
      <c r="BP1279" s="18"/>
      <c r="BQ1279" s="18"/>
      <c r="BR1279" s="18"/>
      <c r="BS1279" s="18"/>
      <c r="BT1279" s="18"/>
      <c r="BU1279" s="18"/>
    </row>
    <row r="1280" spans="44:73" x14ac:dyDescent="0.45">
      <c r="AR1280" s="15" t="s">
        <v>328</v>
      </c>
      <c r="AS1280" s="15" t="s">
        <v>567</v>
      </c>
      <c r="AT1280" s="15" t="s">
        <v>901</v>
      </c>
      <c r="AU1280" s="15"/>
      <c r="AV1280" s="15"/>
      <c r="AW1280" s="15"/>
      <c r="AX1280" s="15"/>
      <c r="AY1280" s="15"/>
      <c r="AZ1280" s="18"/>
      <c r="BA1280" s="19">
        <v>2.5000000000000001E-2</v>
      </c>
      <c r="BB1280" s="18"/>
      <c r="BC1280" s="18"/>
      <c r="BD1280" s="18"/>
      <c r="BE1280" s="18"/>
      <c r="BF1280" s="18"/>
      <c r="BG1280" s="18"/>
      <c r="BH1280" s="18"/>
      <c r="BI1280" s="18"/>
      <c r="BJ1280" s="18"/>
      <c r="BK1280" s="18"/>
      <c r="BL1280" s="19">
        <v>0.05</v>
      </c>
      <c r="BM1280" s="18"/>
      <c r="BN1280" s="18"/>
      <c r="BO1280" s="18"/>
      <c r="BP1280" s="18"/>
      <c r="BQ1280" s="18"/>
      <c r="BR1280" s="18"/>
      <c r="BS1280" s="18"/>
      <c r="BT1280" s="18"/>
      <c r="BU1280" s="18"/>
    </row>
    <row r="1281" spans="44:73" x14ac:dyDescent="0.45">
      <c r="AR1281" s="15" t="s">
        <v>328</v>
      </c>
      <c r="AS1281" s="15" t="s">
        <v>567</v>
      </c>
      <c r="AT1281" s="15" t="s">
        <v>902</v>
      </c>
      <c r="AU1281" s="15"/>
      <c r="AV1281" s="15"/>
      <c r="AW1281" s="15"/>
      <c r="AX1281" s="15"/>
      <c r="AY1281" s="15"/>
      <c r="AZ1281" s="18"/>
      <c r="BA1281" s="19">
        <v>2.5000000000000001E-2</v>
      </c>
      <c r="BB1281" s="18"/>
      <c r="BC1281" s="18"/>
      <c r="BD1281" s="18"/>
      <c r="BE1281" s="18"/>
      <c r="BF1281" s="18"/>
      <c r="BG1281" s="18"/>
      <c r="BH1281" s="18"/>
      <c r="BI1281" s="18"/>
      <c r="BJ1281" s="18"/>
      <c r="BK1281" s="18"/>
      <c r="BL1281" s="19">
        <v>0.05</v>
      </c>
      <c r="BM1281" s="18"/>
      <c r="BN1281" s="18"/>
      <c r="BO1281" s="18"/>
      <c r="BP1281" s="18"/>
      <c r="BQ1281" s="18"/>
      <c r="BR1281" s="18"/>
      <c r="BS1281" s="18"/>
      <c r="BT1281" s="18"/>
      <c r="BU1281" s="18"/>
    </row>
    <row r="1282" spans="44:73" x14ac:dyDescent="0.45">
      <c r="AR1282" s="15" t="s">
        <v>328</v>
      </c>
      <c r="AS1282" s="15" t="s">
        <v>567</v>
      </c>
      <c r="AT1282" s="15" t="s">
        <v>903</v>
      </c>
      <c r="AU1282" s="15"/>
      <c r="AV1282" s="15"/>
      <c r="AW1282" s="15"/>
      <c r="AX1282" s="15"/>
      <c r="AY1282" s="15"/>
      <c r="AZ1282" s="18"/>
      <c r="BA1282" s="19">
        <v>2.5000000000000001E-2</v>
      </c>
      <c r="BB1282" s="18"/>
      <c r="BC1282" s="18"/>
      <c r="BD1282" s="18"/>
      <c r="BE1282" s="18"/>
      <c r="BF1282" s="18"/>
      <c r="BG1282" s="18"/>
      <c r="BH1282" s="18"/>
      <c r="BI1282" s="18"/>
      <c r="BJ1282" s="18"/>
      <c r="BK1282" s="18"/>
      <c r="BL1282" s="19">
        <v>0.05</v>
      </c>
      <c r="BM1282" s="18"/>
      <c r="BN1282" s="18"/>
      <c r="BO1282" s="18"/>
      <c r="BP1282" s="18"/>
      <c r="BQ1282" s="18"/>
      <c r="BR1282" s="18"/>
      <c r="BS1282" s="18"/>
      <c r="BT1282" s="18"/>
      <c r="BU1282" s="18"/>
    </row>
    <row r="1283" spans="44:73" x14ac:dyDescent="0.45">
      <c r="AR1283" s="15" t="s">
        <v>328</v>
      </c>
      <c r="AS1283" s="15" t="s">
        <v>567</v>
      </c>
      <c r="AT1283" s="15" t="s">
        <v>904</v>
      </c>
      <c r="AU1283" s="15"/>
      <c r="AV1283" s="15"/>
      <c r="AW1283" s="15"/>
      <c r="AX1283" s="15"/>
      <c r="AY1283" s="15"/>
      <c r="AZ1283" s="18"/>
      <c r="BA1283" s="19">
        <v>2.5000000000000001E-2</v>
      </c>
      <c r="BB1283" s="18"/>
      <c r="BC1283" s="18"/>
      <c r="BD1283" s="18"/>
      <c r="BE1283" s="18"/>
      <c r="BF1283" s="18"/>
      <c r="BG1283" s="18"/>
      <c r="BH1283" s="18"/>
      <c r="BI1283" s="18"/>
      <c r="BJ1283" s="18"/>
      <c r="BK1283" s="18"/>
      <c r="BL1283" s="19">
        <v>0.05</v>
      </c>
      <c r="BM1283" s="18"/>
      <c r="BN1283" s="18"/>
      <c r="BO1283" s="18"/>
      <c r="BP1283" s="18"/>
      <c r="BQ1283" s="18"/>
      <c r="BR1283" s="18"/>
      <c r="BS1283" s="18"/>
      <c r="BT1283" s="18"/>
      <c r="BU1283" s="18"/>
    </row>
    <row r="1284" spans="44:73" x14ac:dyDescent="0.45">
      <c r="AR1284" s="15" t="s">
        <v>328</v>
      </c>
      <c r="AS1284" s="15" t="s">
        <v>567</v>
      </c>
      <c r="AT1284" s="15" t="s">
        <v>905</v>
      </c>
      <c r="AU1284" s="15"/>
      <c r="AV1284" s="15"/>
      <c r="AW1284" s="15"/>
      <c r="AX1284" s="15"/>
      <c r="AY1284" s="15"/>
      <c r="AZ1284" s="18"/>
      <c r="BA1284" s="19">
        <v>2.5000000000000001E-2</v>
      </c>
      <c r="BB1284" s="18"/>
      <c r="BC1284" s="18"/>
      <c r="BD1284" s="18"/>
      <c r="BE1284" s="18"/>
      <c r="BF1284" s="18"/>
      <c r="BG1284" s="18"/>
      <c r="BH1284" s="18"/>
      <c r="BI1284" s="18"/>
      <c r="BJ1284" s="18"/>
      <c r="BK1284" s="18"/>
      <c r="BL1284" s="19">
        <v>0.05</v>
      </c>
      <c r="BM1284" s="18"/>
      <c r="BN1284" s="18"/>
      <c r="BO1284" s="18"/>
      <c r="BP1284" s="18"/>
      <c r="BQ1284" s="18"/>
      <c r="BR1284" s="18"/>
      <c r="BS1284" s="18"/>
      <c r="BT1284" s="18"/>
      <c r="BU1284" s="18"/>
    </row>
    <row r="1285" spans="44:73" x14ac:dyDescent="0.45">
      <c r="AR1285" s="15" t="s">
        <v>328</v>
      </c>
      <c r="AS1285" s="15" t="s">
        <v>567</v>
      </c>
      <c r="AT1285" s="15" t="s">
        <v>906</v>
      </c>
      <c r="AU1285" s="15"/>
      <c r="AV1285" s="15"/>
      <c r="AW1285" s="15"/>
      <c r="AX1285" s="15"/>
      <c r="AY1285" s="15"/>
      <c r="AZ1285" s="18"/>
      <c r="BA1285" s="19">
        <v>2.5000000000000001E-2</v>
      </c>
      <c r="BB1285" s="18"/>
      <c r="BC1285" s="18"/>
      <c r="BD1285" s="18"/>
      <c r="BE1285" s="18"/>
      <c r="BF1285" s="18"/>
      <c r="BG1285" s="18"/>
      <c r="BH1285" s="18"/>
      <c r="BI1285" s="18"/>
      <c r="BJ1285" s="18"/>
      <c r="BK1285" s="18"/>
      <c r="BL1285" s="19">
        <v>0.05</v>
      </c>
      <c r="BM1285" s="18"/>
      <c r="BN1285" s="18"/>
      <c r="BO1285" s="18"/>
      <c r="BP1285" s="18"/>
      <c r="BQ1285" s="18"/>
      <c r="BR1285" s="18"/>
      <c r="BS1285" s="18"/>
      <c r="BT1285" s="18"/>
      <c r="BU1285" s="18"/>
    </row>
    <row r="1286" spans="44:73" x14ac:dyDescent="0.45">
      <c r="AR1286" s="15" t="s">
        <v>328</v>
      </c>
      <c r="AS1286" s="15" t="s">
        <v>567</v>
      </c>
      <c r="AT1286" s="15" t="s">
        <v>907</v>
      </c>
      <c r="AU1286" s="15"/>
      <c r="AV1286" s="15"/>
      <c r="AW1286" s="15"/>
      <c r="AX1286" s="15"/>
      <c r="AY1286" s="15"/>
      <c r="AZ1286" s="18"/>
      <c r="BA1286" s="19">
        <v>2.5000000000000001E-2</v>
      </c>
      <c r="BB1286" s="18"/>
      <c r="BC1286" s="18"/>
      <c r="BD1286" s="18"/>
      <c r="BE1286" s="18"/>
      <c r="BF1286" s="18"/>
      <c r="BG1286" s="18"/>
      <c r="BH1286" s="18"/>
      <c r="BI1286" s="18"/>
      <c r="BJ1286" s="18"/>
      <c r="BK1286" s="18"/>
      <c r="BL1286" s="19">
        <v>0.05</v>
      </c>
      <c r="BM1286" s="18"/>
      <c r="BN1286" s="18"/>
      <c r="BO1286" s="18"/>
      <c r="BP1286" s="18"/>
      <c r="BQ1286" s="18"/>
      <c r="BR1286" s="18"/>
      <c r="BS1286" s="18"/>
      <c r="BT1286" s="18"/>
      <c r="BU1286" s="18"/>
    </row>
    <row r="1287" spans="44:73" x14ac:dyDescent="0.45">
      <c r="AR1287" s="15" t="s">
        <v>328</v>
      </c>
      <c r="AS1287" s="15" t="s">
        <v>567</v>
      </c>
      <c r="AT1287" s="15" t="s">
        <v>908</v>
      </c>
      <c r="AU1287" s="15"/>
      <c r="AV1287" s="15"/>
      <c r="AW1287" s="15"/>
      <c r="AX1287" s="15"/>
      <c r="AY1287" s="15"/>
      <c r="AZ1287" s="18"/>
      <c r="BA1287" s="19">
        <v>2.5000000000000001E-2</v>
      </c>
      <c r="BB1287" s="18"/>
      <c r="BC1287" s="18"/>
      <c r="BD1287" s="18"/>
      <c r="BE1287" s="18"/>
      <c r="BF1287" s="18"/>
      <c r="BG1287" s="18"/>
      <c r="BH1287" s="18"/>
      <c r="BI1287" s="18"/>
      <c r="BJ1287" s="18"/>
      <c r="BK1287" s="18"/>
      <c r="BL1287" s="19">
        <v>0.05</v>
      </c>
      <c r="BM1287" s="18"/>
      <c r="BN1287" s="18"/>
      <c r="BO1287" s="18"/>
      <c r="BP1287" s="18"/>
      <c r="BQ1287" s="18"/>
      <c r="BR1287" s="18"/>
      <c r="BS1287" s="18"/>
      <c r="BT1287" s="18"/>
      <c r="BU1287" s="18"/>
    </row>
    <row r="1288" spans="44:73" x14ac:dyDescent="0.45">
      <c r="AR1288" s="15" t="s">
        <v>328</v>
      </c>
      <c r="AS1288" s="15" t="s">
        <v>567</v>
      </c>
      <c r="AT1288" s="15" t="s">
        <v>909</v>
      </c>
      <c r="AU1288" s="15"/>
      <c r="AV1288" s="15"/>
      <c r="AW1288" s="15"/>
      <c r="AX1288" s="15"/>
      <c r="AY1288" s="15"/>
      <c r="AZ1288" s="18"/>
      <c r="BA1288" s="19">
        <v>2.5000000000000001E-2</v>
      </c>
      <c r="BB1288" s="18"/>
      <c r="BC1288" s="18"/>
      <c r="BD1288" s="18"/>
      <c r="BE1288" s="18"/>
      <c r="BF1288" s="18"/>
      <c r="BG1288" s="18"/>
      <c r="BH1288" s="18"/>
      <c r="BI1288" s="18"/>
      <c r="BJ1288" s="18"/>
      <c r="BK1288" s="18"/>
      <c r="BL1288" s="19">
        <v>0.05</v>
      </c>
      <c r="BM1288" s="18"/>
      <c r="BN1288" s="18"/>
      <c r="BO1288" s="18"/>
      <c r="BP1288" s="18"/>
      <c r="BQ1288" s="18"/>
      <c r="BR1288" s="18"/>
      <c r="BS1288" s="18"/>
      <c r="BT1288" s="18"/>
      <c r="BU1288" s="18"/>
    </row>
    <row r="1289" spans="44:73" x14ac:dyDescent="0.45">
      <c r="AR1289" s="15" t="s">
        <v>328</v>
      </c>
      <c r="AS1289" s="15" t="s">
        <v>567</v>
      </c>
      <c r="AT1289" s="15" t="s">
        <v>910</v>
      </c>
      <c r="AU1289" s="15"/>
      <c r="AV1289" s="15"/>
      <c r="AW1289" s="15"/>
      <c r="AX1289" s="15"/>
      <c r="AY1289" s="15"/>
      <c r="AZ1289" s="18"/>
      <c r="BA1289" s="19">
        <v>2.5000000000000001E-2</v>
      </c>
      <c r="BB1289" s="18"/>
      <c r="BC1289" s="18"/>
      <c r="BD1289" s="18"/>
      <c r="BE1289" s="18"/>
      <c r="BF1289" s="18"/>
      <c r="BG1289" s="18"/>
      <c r="BH1289" s="18"/>
      <c r="BI1289" s="18"/>
      <c r="BJ1289" s="18"/>
      <c r="BK1289" s="18"/>
      <c r="BL1289" s="19">
        <v>0.05</v>
      </c>
      <c r="BM1289" s="18"/>
      <c r="BN1289" s="18"/>
      <c r="BO1289" s="18"/>
      <c r="BP1289" s="18"/>
      <c r="BQ1289" s="18"/>
      <c r="BR1289" s="18"/>
      <c r="BS1289" s="18"/>
      <c r="BT1289" s="18"/>
      <c r="BU1289" s="18"/>
    </row>
    <row r="1290" spans="44:73" x14ac:dyDescent="0.45">
      <c r="AR1290" s="15" t="s">
        <v>328</v>
      </c>
      <c r="AS1290" s="15" t="s">
        <v>567</v>
      </c>
      <c r="AT1290" s="15" t="s">
        <v>911</v>
      </c>
      <c r="AU1290" s="15"/>
      <c r="AV1290" s="15"/>
      <c r="AW1290" s="15"/>
      <c r="AX1290" s="15"/>
      <c r="AY1290" s="15"/>
      <c r="AZ1290" s="18"/>
      <c r="BA1290" s="19">
        <v>2.5000000000000001E-2</v>
      </c>
      <c r="BB1290" s="18"/>
      <c r="BC1290" s="18"/>
      <c r="BD1290" s="18"/>
      <c r="BE1290" s="18"/>
      <c r="BF1290" s="18"/>
      <c r="BG1290" s="18"/>
      <c r="BH1290" s="18"/>
      <c r="BI1290" s="18"/>
      <c r="BJ1290" s="18"/>
      <c r="BK1290" s="18"/>
      <c r="BL1290" s="19">
        <v>0.05</v>
      </c>
      <c r="BM1290" s="18"/>
      <c r="BN1290" s="18"/>
      <c r="BO1290" s="18"/>
      <c r="BP1290" s="18"/>
      <c r="BQ1290" s="18"/>
      <c r="BR1290" s="18"/>
      <c r="BS1290" s="18"/>
      <c r="BT1290" s="18"/>
      <c r="BU1290" s="18"/>
    </row>
    <row r="1291" spans="44:73" x14ac:dyDescent="0.45">
      <c r="AR1291" s="15" t="s">
        <v>328</v>
      </c>
      <c r="AS1291" s="15" t="s">
        <v>567</v>
      </c>
      <c r="AT1291" s="15" t="s">
        <v>912</v>
      </c>
      <c r="AU1291" s="15"/>
      <c r="AV1291" s="15"/>
      <c r="AW1291" s="15"/>
      <c r="AX1291" s="15"/>
      <c r="AY1291" s="15"/>
      <c r="AZ1291" s="18"/>
      <c r="BA1291" s="19">
        <v>2.5000000000000001E-2</v>
      </c>
      <c r="BB1291" s="18"/>
      <c r="BC1291" s="18"/>
      <c r="BD1291" s="18"/>
      <c r="BE1291" s="18"/>
      <c r="BF1291" s="18"/>
      <c r="BG1291" s="18"/>
      <c r="BH1291" s="18"/>
      <c r="BI1291" s="18"/>
      <c r="BJ1291" s="18"/>
      <c r="BK1291" s="18"/>
      <c r="BL1291" s="19">
        <v>0.05</v>
      </c>
      <c r="BM1291" s="18"/>
      <c r="BN1291" s="18"/>
      <c r="BO1291" s="18"/>
      <c r="BP1291" s="18"/>
      <c r="BQ1291" s="18"/>
      <c r="BR1291" s="18"/>
      <c r="BS1291" s="18"/>
      <c r="BT1291" s="18"/>
      <c r="BU1291" s="18"/>
    </row>
    <row r="1292" spans="44:73" x14ac:dyDescent="0.45">
      <c r="AR1292" s="15" t="s">
        <v>328</v>
      </c>
      <c r="AS1292" s="15" t="s">
        <v>567</v>
      </c>
      <c r="AT1292" s="15" t="s">
        <v>913</v>
      </c>
      <c r="AU1292" s="15"/>
      <c r="AV1292" s="15"/>
      <c r="AW1292" s="15"/>
      <c r="AX1292" s="15"/>
      <c r="AY1292" s="15"/>
      <c r="AZ1292" s="18"/>
      <c r="BA1292" s="19">
        <v>2.5000000000000001E-2</v>
      </c>
      <c r="BB1292" s="18"/>
      <c r="BC1292" s="18"/>
      <c r="BD1292" s="18"/>
      <c r="BE1292" s="18"/>
      <c r="BF1292" s="18"/>
      <c r="BG1292" s="18"/>
      <c r="BH1292" s="18"/>
      <c r="BI1292" s="18"/>
      <c r="BJ1292" s="18"/>
      <c r="BK1292" s="18"/>
      <c r="BL1292" s="19">
        <v>0.05</v>
      </c>
      <c r="BM1292" s="18"/>
      <c r="BN1292" s="18"/>
      <c r="BO1292" s="18"/>
      <c r="BP1292" s="18"/>
      <c r="BQ1292" s="18"/>
      <c r="BR1292" s="18"/>
      <c r="BS1292" s="18"/>
      <c r="BT1292" s="18"/>
      <c r="BU1292" s="18"/>
    </row>
    <row r="1293" spans="44:73" x14ac:dyDescent="0.45">
      <c r="AR1293" s="15" t="s">
        <v>328</v>
      </c>
      <c r="AS1293" s="15" t="s">
        <v>567</v>
      </c>
      <c r="AT1293" s="15" t="s">
        <v>914</v>
      </c>
      <c r="AU1293" s="15"/>
      <c r="AV1293" s="15"/>
      <c r="AW1293" s="15"/>
      <c r="AX1293" s="15"/>
      <c r="AY1293" s="15"/>
      <c r="AZ1293" s="18"/>
      <c r="BA1293" s="19">
        <v>2.5000000000000001E-2</v>
      </c>
      <c r="BB1293" s="18"/>
      <c r="BC1293" s="18"/>
      <c r="BD1293" s="18"/>
      <c r="BE1293" s="18"/>
      <c r="BF1293" s="18"/>
      <c r="BG1293" s="18"/>
      <c r="BH1293" s="18"/>
      <c r="BI1293" s="18"/>
      <c r="BJ1293" s="18"/>
      <c r="BK1293" s="18"/>
      <c r="BL1293" s="19">
        <v>0.05</v>
      </c>
      <c r="BM1293" s="18"/>
      <c r="BN1293" s="18"/>
      <c r="BO1293" s="18"/>
      <c r="BP1293" s="18"/>
      <c r="BQ1293" s="18"/>
      <c r="BR1293" s="18"/>
      <c r="BS1293" s="18"/>
      <c r="BT1293" s="18"/>
      <c r="BU1293" s="18"/>
    </row>
    <row r="1294" spans="44:73" x14ac:dyDescent="0.45">
      <c r="AR1294" s="15" t="s">
        <v>328</v>
      </c>
      <c r="AS1294" s="15" t="s">
        <v>567</v>
      </c>
      <c r="AT1294" s="15" t="s">
        <v>915</v>
      </c>
      <c r="AU1294" s="15"/>
      <c r="AV1294" s="15"/>
      <c r="AW1294" s="15"/>
      <c r="AX1294" s="15"/>
      <c r="AY1294" s="15"/>
      <c r="AZ1294" s="18"/>
      <c r="BA1294" s="19">
        <v>2.5000000000000001E-2</v>
      </c>
      <c r="BB1294" s="18"/>
      <c r="BC1294" s="18"/>
      <c r="BD1294" s="18"/>
      <c r="BE1294" s="18"/>
      <c r="BF1294" s="18"/>
      <c r="BG1294" s="18"/>
      <c r="BH1294" s="18"/>
      <c r="BI1294" s="18"/>
      <c r="BJ1294" s="18"/>
      <c r="BK1294" s="18"/>
      <c r="BL1294" s="19">
        <v>0.05</v>
      </c>
      <c r="BM1294" s="18"/>
      <c r="BN1294" s="18"/>
      <c r="BO1294" s="18"/>
      <c r="BP1294" s="18"/>
      <c r="BQ1294" s="18"/>
      <c r="BR1294" s="18"/>
      <c r="BS1294" s="18"/>
      <c r="BT1294" s="18"/>
      <c r="BU1294" s="18"/>
    </row>
    <row r="1295" spans="44:73" x14ac:dyDescent="0.45">
      <c r="AR1295" s="15" t="s">
        <v>328</v>
      </c>
      <c r="AS1295" s="15" t="s">
        <v>567</v>
      </c>
      <c r="AT1295" s="15" t="s">
        <v>916</v>
      </c>
      <c r="AU1295" s="15"/>
      <c r="AV1295" s="15"/>
      <c r="AW1295" s="15"/>
      <c r="AX1295" s="15"/>
      <c r="AY1295" s="15"/>
      <c r="AZ1295" s="18"/>
      <c r="BA1295" s="19">
        <v>2.5000000000000001E-2</v>
      </c>
      <c r="BB1295" s="18"/>
      <c r="BC1295" s="18"/>
      <c r="BD1295" s="18"/>
      <c r="BE1295" s="18"/>
      <c r="BF1295" s="18"/>
      <c r="BG1295" s="18"/>
      <c r="BH1295" s="18"/>
      <c r="BI1295" s="18"/>
      <c r="BJ1295" s="18"/>
      <c r="BK1295" s="18"/>
      <c r="BL1295" s="19">
        <v>0.05</v>
      </c>
      <c r="BM1295" s="18"/>
      <c r="BN1295" s="18"/>
      <c r="BO1295" s="18"/>
      <c r="BP1295" s="18"/>
      <c r="BQ1295" s="18"/>
      <c r="BR1295" s="18"/>
      <c r="BS1295" s="18"/>
      <c r="BT1295" s="18"/>
      <c r="BU1295" s="18"/>
    </row>
    <row r="1296" spans="44:73" x14ac:dyDescent="0.45">
      <c r="AR1296" s="15" t="s">
        <v>328</v>
      </c>
      <c r="AS1296" s="15" t="s">
        <v>567</v>
      </c>
      <c r="AT1296" s="15" t="s">
        <v>917</v>
      </c>
      <c r="AU1296" s="15"/>
      <c r="AV1296" s="15"/>
      <c r="AW1296" s="15"/>
      <c r="AX1296" s="15"/>
      <c r="AY1296" s="15"/>
      <c r="AZ1296" s="18"/>
      <c r="BA1296" s="19">
        <v>2.5000000000000001E-2</v>
      </c>
      <c r="BB1296" s="18"/>
      <c r="BC1296" s="18"/>
      <c r="BD1296" s="18"/>
      <c r="BE1296" s="18"/>
      <c r="BF1296" s="18"/>
      <c r="BG1296" s="18"/>
      <c r="BH1296" s="18"/>
      <c r="BI1296" s="18"/>
      <c r="BJ1296" s="18"/>
      <c r="BK1296" s="18"/>
      <c r="BL1296" s="19">
        <v>0.05</v>
      </c>
      <c r="BM1296" s="18"/>
      <c r="BN1296" s="18"/>
      <c r="BO1296" s="18"/>
      <c r="BP1296" s="18"/>
      <c r="BQ1296" s="18"/>
      <c r="BR1296" s="18"/>
      <c r="BS1296" s="18"/>
      <c r="BT1296" s="18"/>
      <c r="BU1296" s="18"/>
    </row>
    <row r="1297" spans="44:73" x14ac:dyDescent="0.45">
      <c r="AR1297" s="15" t="s">
        <v>328</v>
      </c>
      <c r="AS1297" s="15" t="s">
        <v>567</v>
      </c>
      <c r="AT1297" s="15" t="s">
        <v>918</v>
      </c>
      <c r="AU1297" s="15"/>
      <c r="AV1297" s="15"/>
      <c r="AW1297" s="15"/>
      <c r="AX1297" s="15"/>
      <c r="AY1297" s="15"/>
      <c r="AZ1297" s="18"/>
      <c r="BA1297" s="19">
        <v>2.5000000000000001E-2</v>
      </c>
      <c r="BB1297" s="18"/>
      <c r="BC1297" s="18"/>
      <c r="BD1297" s="18"/>
      <c r="BE1297" s="18"/>
      <c r="BF1297" s="18"/>
      <c r="BG1297" s="18"/>
      <c r="BH1297" s="18"/>
      <c r="BI1297" s="18"/>
      <c r="BJ1297" s="18"/>
      <c r="BK1297" s="18"/>
      <c r="BL1297" s="19">
        <v>0.05</v>
      </c>
      <c r="BM1297" s="18"/>
      <c r="BN1297" s="18"/>
      <c r="BO1297" s="18"/>
      <c r="BP1297" s="18"/>
      <c r="BQ1297" s="18"/>
      <c r="BR1297" s="18"/>
      <c r="BS1297" s="18"/>
      <c r="BT1297" s="18"/>
      <c r="BU1297" s="18"/>
    </row>
    <row r="1298" spans="44:73" x14ac:dyDescent="0.45">
      <c r="AR1298" s="15" t="s">
        <v>328</v>
      </c>
      <c r="AS1298" s="15" t="s">
        <v>567</v>
      </c>
      <c r="AT1298" s="15" t="s">
        <v>919</v>
      </c>
      <c r="AU1298" s="15"/>
      <c r="AV1298" s="15"/>
      <c r="AW1298" s="15"/>
      <c r="AX1298" s="15"/>
      <c r="AY1298" s="15"/>
      <c r="AZ1298" s="18"/>
      <c r="BA1298" s="19">
        <v>2.5000000000000001E-2</v>
      </c>
      <c r="BB1298" s="18"/>
      <c r="BC1298" s="18"/>
      <c r="BD1298" s="18"/>
      <c r="BE1298" s="18"/>
      <c r="BF1298" s="18"/>
      <c r="BG1298" s="18"/>
      <c r="BH1298" s="18"/>
      <c r="BI1298" s="18"/>
      <c r="BJ1298" s="18"/>
      <c r="BK1298" s="18"/>
      <c r="BL1298" s="19">
        <v>0.05</v>
      </c>
      <c r="BM1298" s="18"/>
      <c r="BN1298" s="18"/>
      <c r="BO1298" s="18"/>
      <c r="BP1298" s="18"/>
      <c r="BQ1298" s="18"/>
      <c r="BR1298" s="18"/>
      <c r="BS1298" s="18"/>
      <c r="BT1298" s="18"/>
      <c r="BU1298" s="18"/>
    </row>
    <row r="1299" spans="44:73" x14ac:dyDescent="0.45">
      <c r="AR1299" s="15" t="s">
        <v>328</v>
      </c>
      <c r="AS1299" s="15" t="s">
        <v>567</v>
      </c>
      <c r="AT1299" s="15" t="s">
        <v>920</v>
      </c>
      <c r="AU1299" s="15"/>
      <c r="AV1299" s="15"/>
      <c r="AW1299" s="15"/>
      <c r="AX1299" s="15"/>
      <c r="AY1299" s="15"/>
      <c r="AZ1299" s="18"/>
      <c r="BA1299" s="19">
        <v>2.5000000000000001E-2</v>
      </c>
      <c r="BB1299" s="18"/>
      <c r="BC1299" s="18"/>
      <c r="BD1299" s="18"/>
      <c r="BE1299" s="18"/>
      <c r="BF1299" s="18"/>
      <c r="BG1299" s="18"/>
      <c r="BH1299" s="18"/>
      <c r="BI1299" s="18"/>
      <c r="BJ1299" s="18"/>
      <c r="BK1299" s="18"/>
      <c r="BL1299" s="19">
        <v>0.05</v>
      </c>
      <c r="BM1299" s="18"/>
      <c r="BN1299" s="18"/>
      <c r="BO1299" s="18"/>
      <c r="BP1299" s="18"/>
      <c r="BQ1299" s="18"/>
      <c r="BR1299" s="18"/>
      <c r="BS1299" s="18"/>
      <c r="BT1299" s="18"/>
      <c r="BU1299" s="18"/>
    </row>
    <row r="1300" spans="44:73" x14ac:dyDescent="0.45">
      <c r="AR1300" s="15" t="s">
        <v>328</v>
      </c>
      <c r="AS1300" s="15" t="s">
        <v>567</v>
      </c>
      <c r="AT1300" s="15" t="s">
        <v>921</v>
      </c>
      <c r="AU1300" s="15"/>
      <c r="AV1300" s="15"/>
      <c r="AW1300" s="15"/>
      <c r="AX1300" s="15"/>
      <c r="AY1300" s="15"/>
      <c r="AZ1300" s="18"/>
      <c r="BA1300" s="19">
        <v>2.5000000000000001E-2</v>
      </c>
      <c r="BB1300" s="18"/>
      <c r="BC1300" s="18"/>
      <c r="BD1300" s="18"/>
      <c r="BE1300" s="18"/>
      <c r="BF1300" s="18"/>
      <c r="BG1300" s="18"/>
      <c r="BH1300" s="18"/>
      <c r="BI1300" s="18"/>
      <c r="BJ1300" s="18"/>
      <c r="BK1300" s="18"/>
      <c r="BL1300" s="19">
        <v>0.05</v>
      </c>
      <c r="BM1300" s="18"/>
      <c r="BN1300" s="18"/>
      <c r="BO1300" s="18"/>
      <c r="BP1300" s="18"/>
      <c r="BQ1300" s="18"/>
      <c r="BR1300" s="18"/>
      <c r="BS1300" s="18"/>
      <c r="BT1300" s="18"/>
      <c r="BU1300" s="18"/>
    </row>
    <row r="1301" spans="44:73" x14ac:dyDescent="0.45">
      <c r="AR1301" s="15" t="s">
        <v>328</v>
      </c>
      <c r="AS1301" s="15" t="s">
        <v>567</v>
      </c>
      <c r="AT1301" s="15" t="s">
        <v>922</v>
      </c>
      <c r="AU1301" s="15"/>
      <c r="AV1301" s="15"/>
      <c r="AW1301" s="15"/>
      <c r="AX1301" s="15"/>
      <c r="AY1301" s="15"/>
      <c r="AZ1301" s="18"/>
      <c r="BA1301" s="19">
        <v>2.5000000000000001E-2</v>
      </c>
      <c r="BB1301" s="18"/>
      <c r="BC1301" s="18"/>
      <c r="BD1301" s="18"/>
      <c r="BE1301" s="18"/>
      <c r="BF1301" s="18"/>
      <c r="BG1301" s="18"/>
      <c r="BH1301" s="18"/>
      <c r="BI1301" s="18"/>
      <c r="BJ1301" s="18"/>
      <c r="BK1301" s="18"/>
      <c r="BL1301" s="19">
        <v>0.05</v>
      </c>
      <c r="BM1301" s="18"/>
      <c r="BN1301" s="18"/>
      <c r="BO1301" s="18"/>
      <c r="BP1301" s="18"/>
      <c r="BQ1301" s="18"/>
      <c r="BR1301" s="18"/>
      <c r="BS1301" s="18"/>
      <c r="BT1301" s="18"/>
      <c r="BU1301" s="18"/>
    </row>
    <row r="1302" spans="44:73" x14ac:dyDescent="0.45">
      <c r="AR1302" s="15" t="s">
        <v>328</v>
      </c>
      <c r="AS1302" s="15" t="s">
        <v>567</v>
      </c>
      <c r="AT1302" s="15" t="s">
        <v>923</v>
      </c>
      <c r="AU1302" s="15"/>
      <c r="AV1302" s="15"/>
      <c r="AW1302" s="15"/>
      <c r="AX1302" s="15"/>
      <c r="AY1302" s="15"/>
      <c r="AZ1302" s="18"/>
      <c r="BA1302" s="19">
        <v>2.5000000000000001E-2</v>
      </c>
      <c r="BB1302" s="18"/>
      <c r="BC1302" s="18"/>
      <c r="BD1302" s="18"/>
      <c r="BE1302" s="18"/>
      <c r="BF1302" s="18"/>
      <c r="BG1302" s="18"/>
      <c r="BH1302" s="18"/>
      <c r="BI1302" s="18"/>
      <c r="BJ1302" s="18"/>
      <c r="BK1302" s="18"/>
      <c r="BL1302" s="19">
        <v>0.05</v>
      </c>
      <c r="BM1302" s="18"/>
      <c r="BN1302" s="18"/>
      <c r="BO1302" s="18"/>
      <c r="BP1302" s="18"/>
      <c r="BQ1302" s="18"/>
      <c r="BR1302" s="18"/>
      <c r="BS1302" s="18"/>
      <c r="BT1302" s="18"/>
      <c r="BU1302" s="18"/>
    </row>
    <row r="1303" spans="44:73" x14ac:dyDescent="0.45">
      <c r="AR1303" s="15" t="s">
        <v>328</v>
      </c>
      <c r="AS1303" s="15" t="s">
        <v>567</v>
      </c>
      <c r="AT1303" s="15" t="s">
        <v>924</v>
      </c>
      <c r="AU1303" s="15"/>
      <c r="AV1303" s="15"/>
      <c r="AW1303" s="15"/>
      <c r="AX1303" s="15"/>
      <c r="AY1303" s="15"/>
      <c r="AZ1303" s="18"/>
      <c r="BA1303" s="19">
        <v>2.5000000000000001E-2</v>
      </c>
      <c r="BB1303" s="18"/>
      <c r="BC1303" s="18"/>
      <c r="BD1303" s="18"/>
      <c r="BE1303" s="18"/>
      <c r="BF1303" s="18"/>
      <c r="BG1303" s="18"/>
      <c r="BH1303" s="18"/>
      <c r="BI1303" s="18"/>
      <c r="BJ1303" s="18"/>
      <c r="BK1303" s="18"/>
      <c r="BL1303" s="19">
        <v>0.05</v>
      </c>
      <c r="BM1303" s="18"/>
      <c r="BN1303" s="18"/>
      <c r="BO1303" s="18"/>
      <c r="BP1303" s="18"/>
      <c r="BQ1303" s="18"/>
      <c r="BR1303" s="18"/>
      <c r="BS1303" s="18"/>
      <c r="BT1303" s="18"/>
      <c r="BU1303" s="18"/>
    </row>
    <row r="1304" spans="44:73" x14ac:dyDescent="0.45">
      <c r="AR1304" s="15" t="s">
        <v>328</v>
      </c>
      <c r="AS1304" s="15" t="s">
        <v>567</v>
      </c>
      <c r="AT1304" s="15" t="s">
        <v>925</v>
      </c>
      <c r="AU1304" s="15"/>
      <c r="AV1304" s="15"/>
      <c r="AW1304" s="15"/>
      <c r="AX1304" s="15"/>
      <c r="AY1304" s="15"/>
      <c r="AZ1304" s="18"/>
      <c r="BA1304" s="19">
        <v>2.5000000000000001E-2</v>
      </c>
      <c r="BB1304" s="18"/>
      <c r="BC1304" s="18"/>
      <c r="BD1304" s="18"/>
      <c r="BE1304" s="18"/>
      <c r="BF1304" s="18"/>
      <c r="BG1304" s="18"/>
      <c r="BH1304" s="18"/>
      <c r="BI1304" s="18"/>
      <c r="BJ1304" s="18"/>
      <c r="BK1304" s="18"/>
      <c r="BL1304" s="19">
        <v>0.05</v>
      </c>
      <c r="BM1304" s="18"/>
      <c r="BN1304" s="18"/>
      <c r="BO1304" s="18"/>
      <c r="BP1304" s="18"/>
      <c r="BQ1304" s="18"/>
      <c r="BR1304" s="18"/>
      <c r="BS1304" s="18"/>
      <c r="BT1304" s="18"/>
      <c r="BU1304" s="18"/>
    </row>
    <row r="1305" spans="44:73" x14ac:dyDescent="0.45">
      <c r="AR1305" s="15" t="s">
        <v>328</v>
      </c>
      <c r="AS1305" s="15" t="s">
        <v>567</v>
      </c>
      <c r="AT1305" s="15" t="s">
        <v>926</v>
      </c>
      <c r="AU1305" s="15"/>
      <c r="AV1305" s="15"/>
      <c r="AW1305" s="15"/>
      <c r="AX1305" s="15"/>
      <c r="AY1305" s="15"/>
      <c r="AZ1305" s="18"/>
      <c r="BA1305" s="19">
        <v>2.5000000000000001E-2</v>
      </c>
      <c r="BB1305" s="18"/>
      <c r="BC1305" s="18"/>
      <c r="BD1305" s="18"/>
      <c r="BE1305" s="18"/>
      <c r="BF1305" s="18"/>
      <c r="BG1305" s="18"/>
      <c r="BH1305" s="18"/>
      <c r="BI1305" s="18"/>
      <c r="BJ1305" s="18"/>
      <c r="BK1305" s="18"/>
      <c r="BL1305" s="19">
        <v>0.05</v>
      </c>
      <c r="BM1305" s="18"/>
      <c r="BN1305" s="18"/>
      <c r="BO1305" s="18"/>
      <c r="BP1305" s="18"/>
      <c r="BQ1305" s="18"/>
      <c r="BR1305" s="18"/>
      <c r="BS1305" s="18"/>
      <c r="BT1305" s="18"/>
      <c r="BU1305" s="18"/>
    </row>
    <row r="1306" spans="44:73" x14ac:dyDescent="0.45">
      <c r="AR1306" s="15" t="s">
        <v>328</v>
      </c>
      <c r="AS1306" s="15" t="s">
        <v>567</v>
      </c>
      <c r="AT1306" s="15" t="s">
        <v>927</v>
      </c>
      <c r="AU1306" s="15"/>
      <c r="AV1306" s="15"/>
      <c r="AW1306" s="15"/>
      <c r="AX1306" s="15"/>
      <c r="AY1306" s="15"/>
      <c r="AZ1306" s="18"/>
      <c r="BA1306" s="19">
        <v>2.5000000000000001E-2</v>
      </c>
      <c r="BB1306" s="18"/>
      <c r="BC1306" s="18"/>
      <c r="BD1306" s="18"/>
      <c r="BE1306" s="18"/>
      <c r="BF1306" s="18"/>
      <c r="BG1306" s="18"/>
      <c r="BH1306" s="18"/>
      <c r="BI1306" s="18"/>
      <c r="BJ1306" s="18"/>
      <c r="BK1306" s="18"/>
      <c r="BL1306" s="19">
        <v>0.05</v>
      </c>
      <c r="BM1306" s="18"/>
      <c r="BN1306" s="18"/>
      <c r="BO1306" s="18"/>
      <c r="BP1306" s="18"/>
      <c r="BQ1306" s="18"/>
      <c r="BR1306" s="18"/>
      <c r="BS1306" s="18"/>
      <c r="BT1306" s="18"/>
      <c r="BU1306" s="18"/>
    </row>
    <row r="1307" spans="44:73" x14ac:dyDescent="0.45">
      <c r="AR1307" s="15" t="s">
        <v>328</v>
      </c>
      <c r="AS1307" s="15" t="s">
        <v>567</v>
      </c>
      <c r="AT1307" s="15" t="s">
        <v>928</v>
      </c>
      <c r="AU1307" s="15"/>
      <c r="AV1307" s="15"/>
      <c r="AW1307" s="15"/>
      <c r="AX1307" s="15"/>
      <c r="AY1307" s="15"/>
      <c r="AZ1307" s="18"/>
      <c r="BA1307" s="19">
        <v>2.5000000000000001E-2</v>
      </c>
      <c r="BB1307" s="18"/>
      <c r="BC1307" s="18"/>
      <c r="BD1307" s="18"/>
      <c r="BE1307" s="18"/>
      <c r="BF1307" s="18"/>
      <c r="BG1307" s="18"/>
      <c r="BH1307" s="18"/>
      <c r="BI1307" s="18"/>
      <c r="BJ1307" s="18"/>
      <c r="BK1307" s="18"/>
      <c r="BL1307" s="19">
        <v>0.05</v>
      </c>
      <c r="BM1307" s="18"/>
      <c r="BN1307" s="18"/>
      <c r="BO1307" s="18"/>
      <c r="BP1307" s="18"/>
      <c r="BQ1307" s="18"/>
      <c r="BR1307" s="18"/>
      <c r="BS1307" s="18"/>
      <c r="BT1307" s="18"/>
      <c r="BU1307" s="18"/>
    </row>
    <row r="1308" spans="44:73" x14ac:dyDescent="0.45">
      <c r="AR1308" s="15" t="s">
        <v>328</v>
      </c>
      <c r="AS1308" s="15" t="s">
        <v>567</v>
      </c>
      <c r="AT1308" s="15" t="s">
        <v>929</v>
      </c>
      <c r="AU1308" s="15"/>
      <c r="AV1308" s="15"/>
      <c r="AW1308" s="15"/>
      <c r="AX1308" s="15"/>
      <c r="AY1308" s="15"/>
      <c r="AZ1308" s="18"/>
      <c r="BA1308" s="19">
        <v>2.5000000000000001E-2</v>
      </c>
      <c r="BB1308" s="18"/>
      <c r="BC1308" s="18"/>
      <c r="BD1308" s="18"/>
      <c r="BE1308" s="18"/>
      <c r="BF1308" s="18"/>
      <c r="BG1308" s="18"/>
      <c r="BH1308" s="18"/>
      <c r="BI1308" s="18"/>
      <c r="BJ1308" s="18"/>
      <c r="BK1308" s="18"/>
      <c r="BL1308" s="19">
        <v>0.05</v>
      </c>
      <c r="BM1308" s="18"/>
      <c r="BN1308" s="18"/>
      <c r="BO1308" s="18"/>
      <c r="BP1308" s="18"/>
      <c r="BQ1308" s="18"/>
      <c r="BR1308" s="18"/>
      <c r="BS1308" s="18"/>
      <c r="BT1308" s="18"/>
      <c r="BU1308" s="18"/>
    </row>
    <row r="1309" spans="44:73" x14ac:dyDescent="0.45">
      <c r="AR1309" s="15" t="s">
        <v>328</v>
      </c>
      <c r="AS1309" s="15" t="s">
        <v>567</v>
      </c>
      <c r="AT1309" s="15" t="s">
        <v>930</v>
      </c>
      <c r="AU1309" s="15"/>
      <c r="AV1309" s="15"/>
      <c r="AW1309" s="15"/>
      <c r="AX1309" s="15"/>
      <c r="AY1309" s="15"/>
      <c r="AZ1309" s="18"/>
      <c r="BA1309" s="19">
        <v>2.5000000000000001E-2</v>
      </c>
      <c r="BB1309" s="18"/>
      <c r="BC1309" s="18"/>
      <c r="BD1309" s="18"/>
      <c r="BE1309" s="18"/>
      <c r="BF1309" s="18"/>
      <c r="BG1309" s="18"/>
      <c r="BH1309" s="18"/>
      <c r="BI1309" s="18"/>
      <c r="BJ1309" s="18"/>
      <c r="BK1309" s="18"/>
      <c r="BL1309" s="19">
        <v>0.05</v>
      </c>
      <c r="BM1309" s="18"/>
      <c r="BN1309" s="18"/>
      <c r="BO1309" s="18"/>
      <c r="BP1309" s="18"/>
      <c r="BQ1309" s="18"/>
      <c r="BR1309" s="18"/>
      <c r="BS1309" s="18"/>
      <c r="BT1309" s="18"/>
      <c r="BU1309" s="18"/>
    </row>
    <row r="1310" spans="44:73" x14ac:dyDescent="0.45">
      <c r="AR1310" s="15" t="s">
        <v>328</v>
      </c>
      <c r="AS1310" s="15" t="s">
        <v>567</v>
      </c>
      <c r="AT1310" s="15" t="s">
        <v>931</v>
      </c>
      <c r="AU1310" s="15"/>
      <c r="AV1310" s="15"/>
      <c r="AW1310" s="15"/>
      <c r="AX1310" s="15"/>
      <c r="AY1310" s="15"/>
      <c r="AZ1310" s="18"/>
      <c r="BA1310" s="19">
        <v>2.5000000000000001E-2</v>
      </c>
      <c r="BB1310" s="18"/>
      <c r="BC1310" s="18"/>
      <c r="BD1310" s="18"/>
      <c r="BE1310" s="18"/>
      <c r="BF1310" s="18"/>
      <c r="BG1310" s="18"/>
      <c r="BH1310" s="18"/>
      <c r="BI1310" s="18"/>
      <c r="BJ1310" s="18"/>
      <c r="BK1310" s="18"/>
      <c r="BL1310" s="19">
        <v>0.05</v>
      </c>
      <c r="BM1310" s="18"/>
      <c r="BN1310" s="18"/>
      <c r="BO1310" s="18"/>
      <c r="BP1310" s="18"/>
      <c r="BQ1310" s="18"/>
      <c r="BR1310" s="18"/>
      <c r="BS1310" s="18"/>
      <c r="BT1310" s="18"/>
      <c r="BU1310" s="18"/>
    </row>
    <row r="1311" spans="44:73" x14ac:dyDescent="0.45">
      <c r="AR1311" s="15" t="s">
        <v>328</v>
      </c>
      <c r="AS1311" s="15" t="s">
        <v>567</v>
      </c>
      <c r="AT1311" s="15" t="s">
        <v>932</v>
      </c>
      <c r="AU1311" s="15"/>
      <c r="AV1311" s="15"/>
      <c r="AW1311" s="15"/>
      <c r="AX1311" s="15"/>
      <c r="AY1311" s="15"/>
      <c r="AZ1311" s="18"/>
      <c r="BA1311" s="19">
        <v>2.5000000000000001E-2</v>
      </c>
      <c r="BB1311" s="18"/>
      <c r="BC1311" s="18"/>
      <c r="BD1311" s="18"/>
      <c r="BE1311" s="18"/>
      <c r="BF1311" s="18"/>
      <c r="BG1311" s="18"/>
      <c r="BH1311" s="18"/>
      <c r="BI1311" s="18"/>
      <c r="BJ1311" s="18"/>
      <c r="BK1311" s="18"/>
      <c r="BL1311" s="19">
        <v>0.05</v>
      </c>
      <c r="BM1311" s="18"/>
      <c r="BN1311" s="18"/>
      <c r="BO1311" s="18"/>
      <c r="BP1311" s="18"/>
      <c r="BQ1311" s="18"/>
      <c r="BR1311" s="18"/>
      <c r="BS1311" s="18"/>
      <c r="BT1311" s="18"/>
      <c r="BU1311" s="18"/>
    </row>
    <row r="1312" spans="44:73" x14ac:dyDescent="0.45">
      <c r="AR1312" s="15" t="s">
        <v>328</v>
      </c>
      <c r="AS1312" s="15" t="s">
        <v>567</v>
      </c>
      <c r="AT1312" s="15" t="s">
        <v>933</v>
      </c>
      <c r="AU1312" s="15"/>
      <c r="AV1312" s="15"/>
      <c r="AW1312" s="15"/>
      <c r="AX1312" s="15"/>
      <c r="AY1312" s="15"/>
      <c r="AZ1312" s="18"/>
      <c r="BA1312" s="19">
        <v>2.5000000000000001E-2</v>
      </c>
      <c r="BB1312" s="18"/>
      <c r="BC1312" s="18"/>
      <c r="BD1312" s="18"/>
      <c r="BE1312" s="18"/>
      <c r="BF1312" s="18"/>
      <c r="BG1312" s="18"/>
      <c r="BH1312" s="18"/>
      <c r="BI1312" s="18"/>
      <c r="BJ1312" s="18"/>
      <c r="BK1312" s="18"/>
      <c r="BL1312" s="19">
        <v>0.05</v>
      </c>
      <c r="BM1312" s="18"/>
      <c r="BN1312" s="18"/>
      <c r="BO1312" s="18"/>
      <c r="BP1312" s="18"/>
      <c r="BQ1312" s="18"/>
      <c r="BR1312" s="18"/>
      <c r="BS1312" s="18"/>
      <c r="BT1312" s="18"/>
      <c r="BU1312" s="18"/>
    </row>
    <row r="1313" spans="44:73" x14ac:dyDescent="0.45">
      <c r="AR1313" s="15" t="s">
        <v>328</v>
      </c>
      <c r="AS1313" s="15" t="s">
        <v>567</v>
      </c>
      <c r="AT1313" s="15" t="s">
        <v>934</v>
      </c>
      <c r="AU1313" s="15"/>
      <c r="AV1313" s="15"/>
      <c r="AW1313" s="15"/>
      <c r="AX1313" s="15"/>
      <c r="AY1313" s="15"/>
      <c r="AZ1313" s="18"/>
      <c r="BA1313" s="19">
        <v>2.5000000000000001E-2</v>
      </c>
      <c r="BB1313" s="18"/>
      <c r="BC1313" s="18"/>
      <c r="BD1313" s="18"/>
      <c r="BE1313" s="18"/>
      <c r="BF1313" s="18"/>
      <c r="BG1313" s="18"/>
      <c r="BH1313" s="18"/>
      <c r="BI1313" s="18"/>
      <c r="BJ1313" s="18"/>
      <c r="BK1313" s="18"/>
      <c r="BL1313" s="19">
        <v>0.05</v>
      </c>
      <c r="BM1313" s="18"/>
      <c r="BN1313" s="18"/>
      <c r="BO1313" s="18"/>
      <c r="BP1313" s="18"/>
      <c r="BQ1313" s="18"/>
      <c r="BR1313" s="18"/>
      <c r="BS1313" s="18"/>
      <c r="BT1313" s="18"/>
      <c r="BU1313" s="18"/>
    </row>
    <row r="1314" spans="44:73" x14ac:dyDescent="0.45">
      <c r="AR1314" s="15" t="s">
        <v>328</v>
      </c>
      <c r="AS1314" s="15" t="s">
        <v>567</v>
      </c>
      <c r="AT1314" s="15" t="s">
        <v>935</v>
      </c>
      <c r="AU1314" s="15"/>
      <c r="AV1314" s="15"/>
      <c r="AW1314" s="15"/>
      <c r="AX1314" s="15"/>
      <c r="AY1314" s="15"/>
      <c r="AZ1314" s="18"/>
      <c r="BA1314" s="19">
        <v>2.5000000000000001E-2</v>
      </c>
      <c r="BB1314" s="18"/>
      <c r="BC1314" s="18"/>
      <c r="BD1314" s="18"/>
      <c r="BE1314" s="18"/>
      <c r="BF1314" s="18"/>
      <c r="BG1314" s="18"/>
      <c r="BH1314" s="18"/>
      <c r="BI1314" s="18"/>
      <c r="BJ1314" s="18"/>
      <c r="BK1314" s="18"/>
      <c r="BL1314" s="19">
        <v>0.05</v>
      </c>
      <c r="BM1314" s="18"/>
      <c r="BN1314" s="18"/>
      <c r="BO1314" s="18"/>
      <c r="BP1314" s="18"/>
      <c r="BQ1314" s="18"/>
      <c r="BR1314" s="18"/>
      <c r="BS1314" s="18"/>
      <c r="BT1314" s="18"/>
      <c r="BU1314" s="18"/>
    </row>
    <row r="1315" spans="44:73" x14ac:dyDescent="0.45">
      <c r="AR1315" s="15" t="s">
        <v>328</v>
      </c>
      <c r="AS1315" s="15" t="s">
        <v>567</v>
      </c>
      <c r="AT1315" s="15" t="s">
        <v>936</v>
      </c>
      <c r="AU1315" s="15"/>
      <c r="AV1315" s="15"/>
      <c r="AW1315" s="15"/>
      <c r="AX1315" s="15"/>
      <c r="AY1315" s="15"/>
      <c r="AZ1315" s="18"/>
      <c r="BA1315" s="19">
        <v>2.5000000000000001E-2</v>
      </c>
      <c r="BB1315" s="18"/>
      <c r="BC1315" s="18"/>
      <c r="BD1315" s="18"/>
      <c r="BE1315" s="18"/>
      <c r="BF1315" s="18"/>
      <c r="BG1315" s="18"/>
      <c r="BH1315" s="18"/>
      <c r="BI1315" s="18"/>
      <c r="BJ1315" s="18"/>
      <c r="BK1315" s="18"/>
      <c r="BL1315" s="19">
        <v>0.05</v>
      </c>
      <c r="BM1315" s="18"/>
      <c r="BN1315" s="18"/>
      <c r="BO1315" s="18"/>
      <c r="BP1315" s="18"/>
      <c r="BQ1315" s="18"/>
      <c r="BR1315" s="18"/>
      <c r="BS1315" s="18"/>
      <c r="BT1315" s="18"/>
      <c r="BU1315" s="18"/>
    </row>
    <row r="1316" spans="44:73" x14ac:dyDescent="0.45">
      <c r="AR1316" s="15" t="s">
        <v>328</v>
      </c>
      <c r="AS1316" s="15" t="s">
        <v>567</v>
      </c>
      <c r="AT1316" s="15" t="s">
        <v>937</v>
      </c>
      <c r="AU1316" s="15"/>
      <c r="AV1316" s="15"/>
      <c r="AW1316" s="15"/>
      <c r="AX1316" s="15"/>
      <c r="AY1316" s="15"/>
      <c r="AZ1316" s="18"/>
      <c r="BA1316" s="19">
        <v>2.5000000000000001E-2</v>
      </c>
      <c r="BB1316" s="18"/>
      <c r="BC1316" s="18"/>
      <c r="BD1316" s="18"/>
      <c r="BE1316" s="18"/>
      <c r="BF1316" s="18"/>
      <c r="BG1316" s="18"/>
      <c r="BH1316" s="18"/>
      <c r="BI1316" s="18"/>
      <c r="BJ1316" s="18"/>
      <c r="BK1316" s="18"/>
      <c r="BL1316" s="19">
        <v>0.05</v>
      </c>
      <c r="BM1316" s="18"/>
      <c r="BN1316" s="18"/>
      <c r="BO1316" s="18"/>
      <c r="BP1316" s="18"/>
      <c r="BQ1316" s="18"/>
      <c r="BR1316" s="18"/>
      <c r="BS1316" s="18"/>
      <c r="BT1316" s="18"/>
      <c r="BU1316" s="18"/>
    </row>
    <row r="1317" spans="44:73" x14ac:dyDescent="0.45">
      <c r="AR1317" s="15" t="s">
        <v>328</v>
      </c>
      <c r="AS1317" s="15" t="s">
        <v>567</v>
      </c>
      <c r="AT1317" s="15" t="s">
        <v>938</v>
      </c>
      <c r="AU1317" s="15"/>
      <c r="AV1317" s="15"/>
      <c r="AW1317" s="15"/>
      <c r="AX1317" s="15"/>
      <c r="AY1317" s="15"/>
      <c r="AZ1317" s="18"/>
      <c r="BA1317" s="19">
        <v>2.5000000000000001E-2</v>
      </c>
      <c r="BB1317" s="18"/>
      <c r="BC1317" s="18"/>
      <c r="BD1317" s="18"/>
      <c r="BE1317" s="18"/>
      <c r="BF1317" s="18"/>
      <c r="BG1317" s="18"/>
      <c r="BH1317" s="18"/>
      <c r="BI1317" s="18"/>
      <c r="BJ1317" s="18"/>
      <c r="BK1317" s="18"/>
      <c r="BL1317" s="19">
        <v>0.05</v>
      </c>
      <c r="BM1317" s="18"/>
      <c r="BN1317" s="18"/>
      <c r="BO1317" s="18"/>
      <c r="BP1317" s="18"/>
      <c r="BQ1317" s="18"/>
      <c r="BR1317" s="18"/>
      <c r="BS1317" s="18"/>
      <c r="BT1317" s="18"/>
      <c r="BU1317" s="18"/>
    </row>
    <row r="1318" spans="44:73" x14ac:dyDescent="0.45">
      <c r="AR1318" s="15" t="s">
        <v>328</v>
      </c>
      <c r="AS1318" s="15" t="s">
        <v>567</v>
      </c>
      <c r="AT1318" s="15" t="s">
        <v>939</v>
      </c>
      <c r="AU1318" s="15"/>
      <c r="AV1318" s="15"/>
      <c r="AW1318" s="15"/>
      <c r="AX1318" s="15"/>
      <c r="AY1318" s="15"/>
      <c r="AZ1318" s="18"/>
      <c r="BA1318" s="19">
        <v>2.5000000000000001E-2</v>
      </c>
      <c r="BB1318" s="18"/>
      <c r="BC1318" s="18"/>
      <c r="BD1318" s="18"/>
      <c r="BE1318" s="18"/>
      <c r="BF1318" s="18"/>
      <c r="BG1318" s="18"/>
      <c r="BH1318" s="18"/>
      <c r="BI1318" s="18"/>
      <c r="BJ1318" s="18"/>
      <c r="BK1318" s="18"/>
      <c r="BL1318" s="19">
        <v>0.05</v>
      </c>
      <c r="BM1318" s="18"/>
      <c r="BN1318" s="18"/>
      <c r="BO1318" s="18"/>
      <c r="BP1318" s="18"/>
      <c r="BQ1318" s="18"/>
      <c r="BR1318" s="18"/>
      <c r="BS1318" s="18"/>
      <c r="BT1318" s="18"/>
      <c r="BU1318" s="18"/>
    </row>
    <row r="1319" spans="44:73" x14ac:dyDescent="0.45">
      <c r="AR1319" s="15" t="s">
        <v>328</v>
      </c>
      <c r="AS1319" s="15" t="s">
        <v>567</v>
      </c>
      <c r="AT1319" s="15" t="s">
        <v>940</v>
      </c>
      <c r="AU1319" s="15"/>
      <c r="AV1319" s="15"/>
      <c r="AW1319" s="15"/>
      <c r="AX1319" s="15"/>
      <c r="AY1319" s="15"/>
      <c r="AZ1319" s="18"/>
      <c r="BA1319" s="19">
        <v>2.5000000000000001E-2</v>
      </c>
      <c r="BB1319" s="18"/>
      <c r="BC1319" s="18"/>
      <c r="BD1319" s="18"/>
      <c r="BE1319" s="18"/>
      <c r="BF1319" s="18"/>
      <c r="BG1319" s="18"/>
      <c r="BH1319" s="18"/>
      <c r="BI1319" s="18"/>
      <c r="BJ1319" s="18"/>
      <c r="BK1319" s="18"/>
      <c r="BL1319" s="19">
        <v>0.05</v>
      </c>
      <c r="BM1319" s="18"/>
      <c r="BN1319" s="18"/>
      <c r="BO1319" s="18"/>
      <c r="BP1319" s="18"/>
      <c r="BQ1319" s="18"/>
      <c r="BR1319" s="18"/>
      <c r="BS1319" s="18"/>
      <c r="BT1319" s="18"/>
      <c r="BU1319" s="18"/>
    </row>
    <row r="1320" spans="44:73" x14ac:dyDescent="0.45">
      <c r="AR1320" s="15" t="s">
        <v>328</v>
      </c>
      <c r="AS1320" s="15" t="s">
        <v>567</v>
      </c>
      <c r="AT1320" s="15" t="s">
        <v>941</v>
      </c>
      <c r="AU1320" s="15"/>
      <c r="AV1320" s="15"/>
      <c r="AW1320" s="15"/>
      <c r="AX1320" s="15"/>
      <c r="AY1320" s="15"/>
      <c r="AZ1320" s="18"/>
      <c r="BA1320" s="19">
        <v>2.5000000000000001E-2</v>
      </c>
      <c r="BB1320" s="18"/>
      <c r="BC1320" s="18"/>
      <c r="BD1320" s="18"/>
      <c r="BE1320" s="18"/>
      <c r="BF1320" s="18"/>
      <c r="BG1320" s="18"/>
      <c r="BH1320" s="18"/>
      <c r="BI1320" s="18"/>
      <c r="BJ1320" s="18"/>
      <c r="BK1320" s="18"/>
      <c r="BL1320" s="19">
        <v>0.05</v>
      </c>
      <c r="BM1320" s="18"/>
      <c r="BN1320" s="18"/>
      <c r="BO1320" s="18"/>
      <c r="BP1320" s="18"/>
      <c r="BQ1320" s="18"/>
      <c r="BR1320" s="18"/>
      <c r="BS1320" s="18"/>
      <c r="BT1320" s="18"/>
      <c r="BU1320" s="18"/>
    </row>
    <row r="1321" spans="44:73" x14ac:dyDescent="0.45">
      <c r="AR1321" s="15" t="s">
        <v>328</v>
      </c>
      <c r="AS1321" s="15" t="s">
        <v>567</v>
      </c>
      <c r="AT1321" s="15" t="s">
        <v>942</v>
      </c>
      <c r="AU1321" s="15"/>
      <c r="AV1321" s="15"/>
      <c r="AW1321" s="15"/>
      <c r="AX1321" s="15"/>
      <c r="AY1321" s="15"/>
      <c r="AZ1321" s="18"/>
      <c r="BA1321" s="19">
        <v>2.5000000000000001E-2</v>
      </c>
      <c r="BB1321" s="18"/>
      <c r="BC1321" s="18"/>
      <c r="BD1321" s="18"/>
      <c r="BE1321" s="18"/>
      <c r="BF1321" s="18"/>
      <c r="BG1321" s="18"/>
      <c r="BH1321" s="18"/>
      <c r="BI1321" s="18"/>
      <c r="BJ1321" s="18"/>
      <c r="BK1321" s="18"/>
      <c r="BL1321" s="19">
        <v>0.05</v>
      </c>
      <c r="BM1321" s="18"/>
      <c r="BN1321" s="18"/>
      <c r="BO1321" s="18"/>
      <c r="BP1321" s="18"/>
      <c r="BQ1321" s="18"/>
      <c r="BR1321" s="18"/>
      <c r="BS1321" s="18"/>
      <c r="BT1321" s="18"/>
      <c r="BU1321" s="18"/>
    </row>
    <row r="1322" spans="44:73" x14ac:dyDescent="0.45">
      <c r="AR1322" s="15" t="s">
        <v>328</v>
      </c>
      <c r="AS1322" s="15" t="s">
        <v>567</v>
      </c>
      <c r="AT1322" s="15" t="s">
        <v>943</v>
      </c>
      <c r="AU1322" s="15"/>
      <c r="AV1322" s="15"/>
      <c r="AW1322" s="15"/>
      <c r="AX1322" s="15"/>
      <c r="AY1322" s="15"/>
      <c r="AZ1322" s="18"/>
      <c r="BA1322" s="19">
        <v>2.5000000000000001E-2</v>
      </c>
      <c r="BB1322" s="18"/>
      <c r="BC1322" s="18"/>
      <c r="BD1322" s="18"/>
      <c r="BE1322" s="18"/>
      <c r="BF1322" s="18"/>
      <c r="BG1322" s="18"/>
      <c r="BH1322" s="18"/>
      <c r="BI1322" s="18"/>
      <c r="BJ1322" s="18"/>
      <c r="BK1322" s="18"/>
      <c r="BL1322" s="19">
        <v>0.05</v>
      </c>
      <c r="BM1322" s="18"/>
      <c r="BN1322" s="18"/>
      <c r="BO1322" s="18"/>
      <c r="BP1322" s="18"/>
      <c r="BQ1322" s="18"/>
      <c r="BR1322" s="18"/>
      <c r="BS1322" s="18"/>
      <c r="BT1322" s="18"/>
      <c r="BU1322" s="18"/>
    </row>
    <row r="1323" spans="44:73" x14ac:dyDescent="0.45">
      <c r="AR1323" s="15" t="s">
        <v>328</v>
      </c>
      <c r="AS1323" s="15" t="s">
        <v>567</v>
      </c>
      <c r="AT1323" s="15" t="s">
        <v>944</v>
      </c>
      <c r="AU1323" s="15"/>
      <c r="AV1323" s="15"/>
      <c r="AW1323" s="15"/>
      <c r="AX1323" s="15"/>
      <c r="AY1323" s="15"/>
      <c r="AZ1323" s="18"/>
      <c r="BA1323" s="19">
        <v>2.5000000000000001E-2</v>
      </c>
      <c r="BB1323" s="18"/>
      <c r="BC1323" s="18"/>
      <c r="BD1323" s="18"/>
      <c r="BE1323" s="18"/>
      <c r="BF1323" s="18"/>
      <c r="BG1323" s="18"/>
      <c r="BH1323" s="18"/>
      <c r="BI1323" s="18"/>
      <c r="BJ1323" s="18"/>
      <c r="BK1323" s="18"/>
      <c r="BL1323" s="19">
        <v>0.05</v>
      </c>
      <c r="BM1323" s="18"/>
      <c r="BN1323" s="18"/>
      <c r="BO1323" s="18"/>
      <c r="BP1323" s="18"/>
      <c r="BQ1323" s="18"/>
      <c r="BR1323" s="18"/>
      <c r="BS1323" s="18"/>
      <c r="BT1323" s="18"/>
      <c r="BU1323" s="18"/>
    </row>
    <row r="1324" spans="44:73" x14ac:dyDescent="0.45">
      <c r="AR1324" s="15" t="s">
        <v>328</v>
      </c>
      <c r="AS1324" s="15" t="s">
        <v>567</v>
      </c>
      <c r="AT1324" s="15" t="s">
        <v>945</v>
      </c>
      <c r="AU1324" s="15"/>
      <c r="AV1324" s="15"/>
      <c r="AW1324" s="15"/>
      <c r="AX1324" s="15"/>
      <c r="AY1324" s="15"/>
      <c r="AZ1324" s="18"/>
      <c r="BA1324" s="19">
        <v>2.5000000000000001E-2</v>
      </c>
      <c r="BB1324" s="18"/>
      <c r="BC1324" s="18"/>
      <c r="BD1324" s="18"/>
      <c r="BE1324" s="18"/>
      <c r="BF1324" s="18"/>
      <c r="BG1324" s="18"/>
      <c r="BH1324" s="18"/>
      <c r="BI1324" s="18"/>
      <c r="BJ1324" s="18"/>
      <c r="BK1324" s="18"/>
      <c r="BL1324" s="19">
        <v>0.05</v>
      </c>
      <c r="BM1324" s="18"/>
      <c r="BN1324" s="18"/>
      <c r="BO1324" s="18"/>
      <c r="BP1324" s="18"/>
      <c r="BQ1324" s="18"/>
      <c r="BR1324" s="18"/>
      <c r="BS1324" s="18"/>
      <c r="BT1324" s="18"/>
      <c r="BU1324" s="18"/>
    </row>
    <row r="1325" spans="44:73" x14ac:dyDescent="0.45">
      <c r="AR1325" s="15" t="s">
        <v>328</v>
      </c>
      <c r="AS1325" s="15" t="s">
        <v>567</v>
      </c>
      <c r="AT1325" s="15" t="s">
        <v>946</v>
      </c>
      <c r="AU1325" s="15"/>
      <c r="AV1325" s="15"/>
      <c r="AW1325" s="15"/>
      <c r="AX1325" s="15"/>
      <c r="AY1325" s="15"/>
      <c r="AZ1325" s="18"/>
      <c r="BA1325" s="19">
        <v>2.5000000000000001E-2</v>
      </c>
      <c r="BB1325" s="18"/>
      <c r="BC1325" s="18"/>
      <c r="BD1325" s="18"/>
      <c r="BE1325" s="18"/>
      <c r="BF1325" s="18"/>
      <c r="BG1325" s="18"/>
      <c r="BH1325" s="18"/>
      <c r="BI1325" s="18"/>
      <c r="BJ1325" s="18"/>
      <c r="BK1325" s="18"/>
      <c r="BL1325" s="19">
        <v>0.05</v>
      </c>
      <c r="BM1325" s="18"/>
      <c r="BN1325" s="18"/>
      <c r="BO1325" s="18"/>
      <c r="BP1325" s="18"/>
      <c r="BQ1325" s="18"/>
      <c r="BR1325" s="18"/>
      <c r="BS1325" s="18"/>
      <c r="BT1325" s="18"/>
      <c r="BU1325" s="18"/>
    </row>
    <row r="1326" spans="44:73" x14ac:dyDescent="0.45">
      <c r="AR1326" s="15" t="s">
        <v>328</v>
      </c>
      <c r="AS1326" s="15" t="s">
        <v>567</v>
      </c>
      <c r="AT1326" s="15" t="s">
        <v>947</v>
      </c>
      <c r="AU1326" s="15"/>
      <c r="AV1326" s="15"/>
      <c r="AW1326" s="15"/>
      <c r="AX1326" s="15"/>
      <c r="AY1326" s="15"/>
      <c r="AZ1326" s="18"/>
      <c r="BA1326" s="19">
        <v>2.5000000000000001E-2</v>
      </c>
      <c r="BB1326" s="18"/>
      <c r="BC1326" s="18"/>
      <c r="BD1326" s="18"/>
      <c r="BE1326" s="18"/>
      <c r="BF1326" s="18"/>
      <c r="BG1326" s="18"/>
      <c r="BH1326" s="18"/>
      <c r="BI1326" s="18"/>
      <c r="BJ1326" s="18"/>
      <c r="BK1326" s="18"/>
      <c r="BL1326" s="19">
        <v>0.05</v>
      </c>
      <c r="BM1326" s="18"/>
      <c r="BN1326" s="18"/>
      <c r="BO1326" s="18"/>
      <c r="BP1326" s="18"/>
      <c r="BQ1326" s="18"/>
      <c r="BR1326" s="18"/>
      <c r="BS1326" s="18"/>
      <c r="BT1326" s="18"/>
      <c r="BU1326" s="18"/>
    </row>
    <row r="1327" spans="44:73" x14ac:dyDescent="0.45">
      <c r="AR1327" s="15" t="s">
        <v>328</v>
      </c>
      <c r="AS1327" s="15" t="s">
        <v>567</v>
      </c>
      <c r="AT1327" s="15" t="s">
        <v>948</v>
      </c>
      <c r="AU1327" s="15"/>
      <c r="AV1327" s="15"/>
      <c r="AW1327" s="15"/>
      <c r="AX1327" s="15"/>
      <c r="AY1327" s="15"/>
      <c r="AZ1327" s="18"/>
      <c r="BA1327" s="19">
        <v>2.5000000000000001E-2</v>
      </c>
      <c r="BB1327" s="18"/>
      <c r="BC1327" s="18"/>
      <c r="BD1327" s="18"/>
      <c r="BE1327" s="18"/>
      <c r="BF1327" s="18"/>
      <c r="BG1327" s="18"/>
      <c r="BH1327" s="18"/>
      <c r="BI1327" s="18"/>
      <c r="BJ1327" s="18"/>
      <c r="BK1327" s="18"/>
      <c r="BL1327" s="19">
        <v>0.05</v>
      </c>
      <c r="BM1327" s="18"/>
      <c r="BN1327" s="18"/>
      <c r="BO1327" s="18"/>
      <c r="BP1327" s="18"/>
      <c r="BQ1327" s="18"/>
      <c r="BR1327" s="18"/>
      <c r="BS1327" s="18"/>
      <c r="BT1327" s="18"/>
      <c r="BU1327" s="18"/>
    </row>
    <row r="1328" spans="44:73" x14ac:dyDescent="0.45">
      <c r="AR1328" s="15" t="s">
        <v>328</v>
      </c>
      <c r="AS1328" s="15" t="s">
        <v>567</v>
      </c>
      <c r="AT1328" s="15" t="s">
        <v>949</v>
      </c>
      <c r="AU1328" s="15"/>
      <c r="AV1328" s="15"/>
      <c r="AW1328" s="15"/>
      <c r="AX1328" s="15"/>
      <c r="AY1328" s="15"/>
      <c r="AZ1328" s="18"/>
      <c r="BA1328" s="19">
        <v>2.5000000000000001E-2</v>
      </c>
      <c r="BB1328" s="18"/>
      <c r="BC1328" s="18"/>
      <c r="BD1328" s="18"/>
      <c r="BE1328" s="18"/>
      <c r="BF1328" s="18"/>
      <c r="BG1328" s="18"/>
      <c r="BH1328" s="18"/>
      <c r="BI1328" s="18"/>
      <c r="BJ1328" s="18"/>
      <c r="BK1328" s="18"/>
      <c r="BL1328" s="19">
        <v>0.05</v>
      </c>
      <c r="BM1328" s="18"/>
      <c r="BN1328" s="18"/>
      <c r="BO1328" s="18"/>
      <c r="BP1328" s="18"/>
      <c r="BQ1328" s="18"/>
      <c r="BR1328" s="18"/>
      <c r="BS1328" s="18"/>
      <c r="BT1328" s="18"/>
      <c r="BU1328" s="18"/>
    </row>
    <row r="1329" spans="44:73" x14ac:dyDescent="0.45">
      <c r="AR1329" s="15" t="s">
        <v>328</v>
      </c>
      <c r="AS1329" s="15" t="s">
        <v>567</v>
      </c>
      <c r="AT1329" s="15" t="s">
        <v>950</v>
      </c>
      <c r="AU1329" s="15"/>
      <c r="AV1329" s="15"/>
      <c r="AW1329" s="15"/>
      <c r="AX1329" s="15"/>
      <c r="AY1329" s="15"/>
      <c r="AZ1329" s="18"/>
      <c r="BA1329" s="19">
        <v>2.5000000000000001E-2</v>
      </c>
      <c r="BB1329" s="18"/>
      <c r="BC1329" s="18"/>
      <c r="BD1329" s="18"/>
      <c r="BE1329" s="18"/>
      <c r="BF1329" s="18"/>
      <c r="BG1329" s="18"/>
      <c r="BH1329" s="18"/>
      <c r="BI1329" s="18"/>
      <c r="BJ1329" s="18"/>
      <c r="BK1329" s="18"/>
      <c r="BL1329" s="19">
        <v>0.05</v>
      </c>
      <c r="BM1329" s="18"/>
      <c r="BN1329" s="18"/>
      <c r="BO1329" s="18"/>
      <c r="BP1329" s="18"/>
      <c r="BQ1329" s="18"/>
      <c r="BR1329" s="18"/>
      <c r="BS1329" s="18"/>
      <c r="BT1329" s="18"/>
      <c r="BU1329" s="18"/>
    </row>
    <row r="1330" spans="44:73" x14ac:dyDescent="0.45">
      <c r="AR1330" s="15" t="s">
        <v>328</v>
      </c>
      <c r="AS1330" s="15" t="s">
        <v>567</v>
      </c>
      <c r="AT1330" s="15" t="s">
        <v>951</v>
      </c>
      <c r="AU1330" s="15"/>
      <c r="AV1330" s="15"/>
      <c r="AW1330" s="15"/>
      <c r="AX1330" s="15"/>
      <c r="AY1330" s="15"/>
      <c r="AZ1330" s="18"/>
      <c r="BA1330" s="19">
        <v>2.5000000000000001E-2</v>
      </c>
      <c r="BB1330" s="18"/>
      <c r="BC1330" s="18"/>
      <c r="BD1330" s="18"/>
      <c r="BE1330" s="18"/>
      <c r="BF1330" s="18"/>
      <c r="BG1330" s="18"/>
      <c r="BH1330" s="18"/>
      <c r="BI1330" s="18"/>
      <c r="BJ1330" s="18"/>
      <c r="BK1330" s="18"/>
      <c r="BL1330" s="19">
        <v>0.05</v>
      </c>
      <c r="BM1330" s="18"/>
      <c r="BN1330" s="18"/>
      <c r="BO1330" s="18"/>
      <c r="BP1330" s="18"/>
      <c r="BQ1330" s="18"/>
      <c r="BR1330" s="18"/>
      <c r="BS1330" s="18"/>
      <c r="BT1330" s="18"/>
      <c r="BU1330" s="18"/>
    </row>
    <row r="1331" spans="44:73" x14ac:dyDescent="0.45">
      <c r="AR1331" s="15" t="s">
        <v>328</v>
      </c>
      <c r="AS1331" s="15" t="s">
        <v>567</v>
      </c>
      <c r="AT1331" s="15" t="s">
        <v>952</v>
      </c>
      <c r="AU1331" s="15"/>
      <c r="AV1331" s="15"/>
      <c r="AW1331" s="15"/>
      <c r="AX1331" s="15"/>
      <c r="AY1331" s="15"/>
      <c r="AZ1331" s="18"/>
      <c r="BA1331" s="19">
        <v>2.5000000000000001E-2</v>
      </c>
      <c r="BB1331" s="18"/>
      <c r="BC1331" s="18"/>
      <c r="BD1331" s="18"/>
      <c r="BE1331" s="18"/>
      <c r="BF1331" s="18"/>
      <c r="BG1331" s="18"/>
      <c r="BH1331" s="18"/>
      <c r="BI1331" s="18"/>
      <c r="BJ1331" s="18"/>
      <c r="BK1331" s="18"/>
      <c r="BL1331" s="19">
        <v>0.05</v>
      </c>
      <c r="BM1331" s="18"/>
      <c r="BN1331" s="18"/>
      <c r="BO1331" s="18"/>
      <c r="BP1331" s="18"/>
      <c r="BQ1331" s="18"/>
      <c r="BR1331" s="18"/>
      <c r="BS1331" s="18"/>
      <c r="BT1331" s="18"/>
      <c r="BU1331" s="18"/>
    </row>
    <row r="1332" spans="44:73" x14ac:dyDescent="0.45">
      <c r="AR1332" s="15" t="s">
        <v>328</v>
      </c>
      <c r="AS1332" s="15" t="s">
        <v>567</v>
      </c>
      <c r="AT1332" s="15" t="s">
        <v>953</v>
      </c>
      <c r="AU1332" s="15"/>
      <c r="AV1332" s="15"/>
      <c r="AW1332" s="15"/>
      <c r="AX1332" s="15"/>
      <c r="AY1332" s="15"/>
      <c r="AZ1332" s="18"/>
      <c r="BA1332" s="19">
        <v>2.5000000000000001E-2</v>
      </c>
      <c r="BB1332" s="18"/>
      <c r="BC1332" s="18"/>
      <c r="BD1332" s="18"/>
      <c r="BE1332" s="18"/>
      <c r="BF1332" s="18"/>
      <c r="BG1332" s="18"/>
      <c r="BH1332" s="18"/>
      <c r="BI1332" s="18"/>
      <c r="BJ1332" s="18"/>
      <c r="BK1332" s="18"/>
      <c r="BL1332" s="19">
        <v>0.05</v>
      </c>
      <c r="BM1332" s="18"/>
      <c r="BN1332" s="18"/>
      <c r="BO1332" s="18"/>
      <c r="BP1332" s="18"/>
      <c r="BQ1332" s="18"/>
      <c r="BR1332" s="18"/>
      <c r="BS1332" s="18"/>
      <c r="BT1332" s="18"/>
      <c r="BU1332" s="18"/>
    </row>
    <row r="1333" spans="44:73" x14ac:dyDescent="0.45">
      <c r="AR1333" s="15" t="s">
        <v>328</v>
      </c>
      <c r="AS1333" s="15" t="s">
        <v>567</v>
      </c>
      <c r="AT1333" s="15" t="s">
        <v>954</v>
      </c>
      <c r="AU1333" s="15"/>
      <c r="AV1333" s="15"/>
      <c r="AW1333" s="15"/>
      <c r="AX1333" s="15"/>
      <c r="AY1333" s="15"/>
      <c r="AZ1333" s="18"/>
      <c r="BA1333" s="19">
        <v>2.5000000000000001E-2</v>
      </c>
      <c r="BB1333" s="18"/>
      <c r="BC1333" s="18"/>
      <c r="BD1333" s="18"/>
      <c r="BE1333" s="18"/>
      <c r="BF1333" s="18"/>
      <c r="BG1333" s="18"/>
      <c r="BH1333" s="18"/>
      <c r="BI1333" s="18"/>
      <c r="BJ1333" s="18"/>
      <c r="BK1333" s="18"/>
      <c r="BL1333" s="19">
        <v>0.05</v>
      </c>
      <c r="BM1333" s="18"/>
      <c r="BN1333" s="18"/>
      <c r="BO1333" s="18"/>
      <c r="BP1333" s="18"/>
      <c r="BQ1333" s="18"/>
      <c r="BR1333" s="18"/>
      <c r="BS1333" s="18"/>
      <c r="BT1333" s="18"/>
      <c r="BU1333" s="18"/>
    </row>
    <row r="1334" spans="44:73" x14ac:dyDescent="0.45">
      <c r="AR1334" s="15" t="s">
        <v>328</v>
      </c>
      <c r="AS1334" s="15" t="s">
        <v>567</v>
      </c>
      <c r="AT1334" s="15" t="s">
        <v>955</v>
      </c>
      <c r="AU1334" s="15"/>
      <c r="AV1334" s="15"/>
      <c r="AW1334" s="15"/>
      <c r="AX1334" s="15"/>
      <c r="AY1334" s="15"/>
      <c r="AZ1334" s="18"/>
      <c r="BA1334" s="19">
        <v>2.5000000000000001E-2</v>
      </c>
      <c r="BB1334" s="18"/>
      <c r="BC1334" s="18"/>
      <c r="BD1334" s="18"/>
      <c r="BE1334" s="18"/>
      <c r="BF1334" s="18"/>
      <c r="BG1334" s="18"/>
      <c r="BH1334" s="18"/>
      <c r="BI1334" s="18"/>
      <c r="BJ1334" s="18"/>
      <c r="BK1334" s="18"/>
      <c r="BL1334" s="19">
        <v>0.05</v>
      </c>
      <c r="BM1334" s="18"/>
      <c r="BN1334" s="18"/>
      <c r="BO1334" s="18"/>
      <c r="BP1334" s="18"/>
      <c r="BQ1334" s="18"/>
      <c r="BR1334" s="18"/>
      <c r="BS1334" s="18"/>
      <c r="BT1334" s="18"/>
      <c r="BU1334" s="18"/>
    </row>
    <row r="1335" spans="44:73" x14ac:dyDescent="0.45">
      <c r="AR1335" s="15" t="s">
        <v>328</v>
      </c>
      <c r="AS1335" s="15" t="s">
        <v>567</v>
      </c>
      <c r="AT1335" s="15" t="s">
        <v>956</v>
      </c>
      <c r="AU1335" s="15"/>
      <c r="AV1335" s="15"/>
      <c r="AW1335" s="15"/>
      <c r="AX1335" s="15"/>
      <c r="AY1335" s="15"/>
      <c r="AZ1335" s="18"/>
      <c r="BA1335" s="19">
        <v>2.5000000000000001E-2</v>
      </c>
      <c r="BB1335" s="18"/>
      <c r="BC1335" s="18"/>
      <c r="BD1335" s="18"/>
      <c r="BE1335" s="18"/>
      <c r="BF1335" s="18"/>
      <c r="BG1335" s="18"/>
      <c r="BH1335" s="18"/>
      <c r="BI1335" s="18"/>
      <c r="BJ1335" s="18"/>
      <c r="BK1335" s="18"/>
      <c r="BL1335" s="19">
        <v>0.05</v>
      </c>
      <c r="BM1335" s="18"/>
      <c r="BN1335" s="18"/>
      <c r="BO1335" s="18"/>
      <c r="BP1335" s="18"/>
      <c r="BQ1335" s="18"/>
      <c r="BR1335" s="18"/>
      <c r="BS1335" s="18"/>
      <c r="BT1335" s="18"/>
      <c r="BU1335" s="18"/>
    </row>
    <row r="1336" spans="44:73" x14ac:dyDescent="0.45">
      <c r="AR1336" s="15" t="s">
        <v>328</v>
      </c>
      <c r="AS1336" s="15" t="s">
        <v>567</v>
      </c>
      <c r="AT1336" s="15" t="s">
        <v>957</v>
      </c>
      <c r="AU1336" s="15"/>
      <c r="AV1336" s="15"/>
      <c r="AW1336" s="15"/>
      <c r="AX1336" s="15"/>
      <c r="AY1336" s="15"/>
      <c r="AZ1336" s="18"/>
      <c r="BA1336" s="19">
        <v>2.5000000000000001E-2</v>
      </c>
      <c r="BB1336" s="18"/>
      <c r="BC1336" s="18"/>
      <c r="BD1336" s="18"/>
      <c r="BE1336" s="18"/>
      <c r="BF1336" s="18"/>
      <c r="BG1336" s="18"/>
      <c r="BH1336" s="18"/>
      <c r="BI1336" s="18"/>
      <c r="BJ1336" s="18"/>
      <c r="BK1336" s="18"/>
      <c r="BL1336" s="19">
        <v>0.05</v>
      </c>
      <c r="BM1336" s="18"/>
      <c r="BN1336" s="18"/>
      <c r="BO1336" s="18"/>
      <c r="BP1336" s="18"/>
      <c r="BQ1336" s="18"/>
      <c r="BR1336" s="18"/>
      <c r="BS1336" s="18"/>
      <c r="BT1336" s="18"/>
      <c r="BU1336" s="18"/>
    </row>
    <row r="1337" spans="44:73" x14ac:dyDescent="0.45">
      <c r="AR1337" s="15" t="s">
        <v>328</v>
      </c>
      <c r="AS1337" s="15" t="s">
        <v>567</v>
      </c>
      <c r="AT1337" s="15" t="s">
        <v>958</v>
      </c>
      <c r="AU1337" s="15"/>
      <c r="AV1337" s="15"/>
      <c r="AW1337" s="15"/>
      <c r="AX1337" s="15"/>
      <c r="AY1337" s="15"/>
      <c r="AZ1337" s="18"/>
      <c r="BA1337" s="19">
        <v>2.5000000000000001E-2</v>
      </c>
      <c r="BB1337" s="18"/>
      <c r="BC1337" s="18"/>
      <c r="BD1337" s="18"/>
      <c r="BE1337" s="18"/>
      <c r="BF1337" s="18"/>
      <c r="BG1337" s="18"/>
      <c r="BH1337" s="18"/>
      <c r="BI1337" s="18"/>
      <c r="BJ1337" s="18"/>
      <c r="BK1337" s="18"/>
      <c r="BL1337" s="19">
        <v>0.05</v>
      </c>
      <c r="BM1337" s="18"/>
      <c r="BN1337" s="18"/>
      <c r="BO1337" s="18"/>
      <c r="BP1337" s="18"/>
      <c r="BQ1337" s="18"/>
      <c r="BR1337" s="18"/>
      <c r="BS1337" s="18"/>
      <c r="BT1337" s="18"/>
      <c r="BU1337" s="18"/>
    </row>
    <row r="1338" spans="44:73" x14ac:dyDescent="0.45">
      <c r="AR1338" s="15" t="s">
        <v>328</v>
      </c>
      <c r="AS1338" s="15" t="s">
        <v>567</v>
      </c>
      <c r="AT1338" s="15" t="s">
        <v>959</v>
      </c>
      <c r="AU1338" s="15"/>
      <c r="AV1338" s="15"/>
      <c r="AW1338" s="15"/>
      <c r="AX1338" s="15"/>
      <c r="AY1338" s="15"/>
      <c r="AZ1338" s="18"/>
      <c r="BA1338" s="19">
        <v>2.5000000000000001E-2</v>
      </c>
      <c r="BB1338" s="18"/>
      <c r="BC1338" s="18"/>
      <c r="BD1338" s="18"/>
      <c r="BE1338" s="18"/>
      <c r="BF1338" s="18"/>
      <c r="BG1338" s="18"/>
      <c r="BH1338" s="18"/>
      <c r="BI1338" s="18"/>
      <c r="BJ1338" s="18"/>
      <c r="BK1338" s="18"/>
      <c r="BL1338" s="19">
        <v>0.05</v>
      </c>
      <c r="BM1338" s="18"/>
      <c r="BN1338" s="18"/>
      <c r="BO1338" s="18"/>
      <c r="BP1338" s="18"/>
      <c r="BQ1338" s="18"/>
      <c r="BR1338" s="18"/>
      <c r="BS1338" s="18"/>
      <c r="BT1338" s="18"/>
      <c r="BU1338" s="18"/>
    </row>
    <row r="1339" spans="44:73" x14ac:dyDescent="0.45">
      <c r="AR1339" s="15" t="s">
        <v>328</v>
      </c>
      <c r="AS1339" s="15" t="s">
        <v>567</v>
      </c>
      <c r="AT1339" s="15" t="s">
        <v>960</v>
      </c>
      <c r="AU1339" s="15"/>
      <c r="AV1339" s="15"/>
      <c r="AW1339" s="15"/>
      <c r="AX1339" s="15"/>
      <c r="AY1339" s="15"/>
      <c r="AZ1339" s="18"/>
      <c r="BA1339" s="19">
        <v>2.5000000000000001E-2</v>
      </c>
      <c r="BB1339" s="18"/>
      <c r="BC1339" s="18"/>
      <c r="BD1339" s="18"/>
      <c r="BE1339" s="18"/>
      <c r="BF1339" s="18"/>
      <c r="BG1339" s="18"/>
      <c r="BH1339" s="18"/>
      <c r="BI1339" s="18"/>
      <c r="BJ1339" s="18"/>
      <c r="BK1339" s="18"/>
      <c r="BL1339" s="19">
        <v>0.05</v>
      </c>
      <c r="BM1339" s="18"/>
      <c r="BN1339" s="18"/>
      <c r="BO1339" s="18"/>
      <c r="BP1339" s="18"/>
      <c r="BQ1339" s="18"/>
      <c r="BR1339" s="18"/>
      <c r="BS1339" s="18"/>
      <c r="BT1339" s="18"/>
      <c r="BU1339" s="18"/>
    </row>
    <row r="1340" spans="44:73" x14ac:dyDescent="0.45">
      <c r="AR1340" s="15" t="s">
        <v>328</v>
      </c>
      <c r="AS1340" s="15" t="s">
        <v>567</v>
      </c>
      <c r="AT1340" s="15" t="s">
        <v>961</v>
      </c>
      <c r="AU1340" s="15"/>
      <c r="AV1340" s="15"/>
      <c r="AW1340" s="15"/>
      <c r="AX1340" s="15"/>
      <c r="AY1340" s="15"/>
      <c r="AZ1340" s="18"/>
      <c r="BA1340" s="19">
        <v>2.5000000000000001E-2</v>
      </c>
      <c r="BB1340" s="18"/>
      <c r="BC1340" s="18"/>
      <c r="BD1340" s="18"/>
      <c r="BE1340" s="18"/>
      <c r="BF1340" s="18"/>
      <c r="BG1340" s="18"/>
      <c r="BH1340" s="18"/>
      <c r="BI1340" s="18"/>
      <c r="BJ1340" s="18"/>
      <c r="BK1340" s="18"/>
      <c r="BL1340" s="19">
        <v>0.05</v>
      </c>
      <c r="BM1340" s="18"/>
      <c r="BN1340" s="18"/>
      <c r="BO1340" s="18"/>
      <c r="BP1340" s="18"/>
      <c r="BQ1340" s="18"/>
      <c r="BR1340" s="18"/>
      <c r="BS1340" s="18"/>
      <c r="BT1340" s="18"/>
      <c r="BU1340" s="18"/>
    </row>
    <row r="1341" spans="44:73" x14ac:dyDescent="0.45">
      <c r="AR1341" s="15" t="s">
        <v>328</v>
      </c>
      <c r="AS1341" s="15" t="s">
        <v>567</v>
      </c>
      <c r="AT1341" s="15" t="s">
        <v>962</v>
      </c>
      <c r="AU1341" s="15"/>
      <c r="AV1341" s="15"/>
      <c r="AW1341" s="15"/>
      <c r="AX1341" s="15"/>
      <c r="AY1341" s="15"/>
      <c r="AZ1341" s="18"/>
      <c r="BA1341" s="19">
        <v>2.5000000000000001E-2</v>
      </c>
      <c r="BB1341" s="18"/>
      <c r="BC1341" s="18"/>
      <c r="BD1341" s="18"/>
      <c r="BE1341" s="18"/>
      <c r="BF1341" s="18"/>
      <c r="BG1341" s="18"/>
      <c r="BH1341" s="18"/>
      <c r="BI1341" s="18"/>
      <c r="BJ1341" s="18"/>
      <c r="BK1341" s="18"/>
      <c r="BL1341" s="19">
        <v>0.05</v>
      </c>
      <c r="BM1341" s="18"/>
      <c r="BN1341" s="18"/>
      <c r="BO1341" s="18"/>
      <c r="BP1341" s="18"/>
      <c r="BQ1341" s="18"/>
      <c r="BR1341" s="18"/>
      <c r="BS1341" s="18"/>
      <c r="BT1341" s="18"/>
      <c r="BU1341" s="18"/>
    </row>
    <row r="1342" spans="44:73" x14ac:dyDescent="0.45">
      <c r="AR1342" s="15" t="s">
        <v>328</v>
      </c>
      <c r="AS1342" s="15" t="s">
        <v>567</v>
      </c>
      <c r="AT1342" s="15" t="s">
        <v>963</v>
      </c>
      <c r="AU1342" s="15"/>
      <c r="AV1342" s="15"/>
      <c r="AW1342" s="15"/>
      <c r="AX1342" s="15"/>
      <c r="AY1342" s="15"/>
      <c r="AZ1342" s="18"/>
      <c r="BA1342" s="19">
        <v>2.5000000000000001E-2</v>
      </c>
      <c r="BB1342" s="18"/>
      <c r="BC1342" s="18"/>
      <c r="BD1342" s="18"/>
      <c r="BE1342" s="18"/>
      <c r="BF1342" s="18"/>
      <c r="BG1342" s="18"/>
      <c r="BH1342" s="18"/>
      <c r="BI1342" s="18"/>
      <c r="BJ1342" s="18"/>
      <c r="BK1342" s="18"/>
      <c r="BL1342" s="19">
        <v>0.05</v>
      </c>
      <c r="BM1342" s="18"/>
      <c r="BN1342" s="18"/>
      <c r="BO1342" s="18"/>
      <c r="BP1342" s="18"/>
      <c r="BQ1342" s="18"/>
      <c r="BR1342" s="18"/>
      <c r="BS1342" s="18"/>
      <c r="BT1342" s="18"/>
      <c r="BU1342" s="18"/>
    </row>
    <row r="1343" spans="44:73" x14ac:dyDescent="0.45">
      <c r="AR1343" s="15" t="s">
        <v>328</v>
      </c>
      <c r="AS1343" s="15" t="s">
        <v>567</v>
      </c>
      <c r="AT1343" s="15" t="s">
        <v>964</v>
      </c>
      <c r="AU1343" s="15"/>
      <c r="AV1343" s="15"/>
      <c r="AW1343" s="15"/>
      <c r="AX1343" s="15"/>
      <c r="AY1343" s="15"/>
      <c r="AZ1343" s="18"/>
      <c r="BA1343" s="19">
        <v>2.5000000000000001E-2</v>
      </c>
      <c r="BB1343" s="18"/>
      <c r="BC1343" s="18"/>
      <c r="BD1343" s="18"/>
      <c r="BE1343" s="18"/>
      <c r="BF1343" s="18"/>
      <c r="BG1343" s="18"/>
      <c r="BH1343" s="18"/>
      <c r="BI1343" s="18"/>
      <c r="BJ1343" s="18"/>
      <c r="BK1343" s="18"/>
      <c r="BL1343" s="19">
        <v>0.05</v>
      </c>
      <c r="BM1343" s="18"/>
      <c r="BN1343" s="18"/>
      <c r="BO1343" s="18"/>
      <c r="BP1343" s="18"/>
      <c r="BQ1343" s="18"/>
      <c r="BR1343" s="18"/>
      <c r="BS1343" s="18"/>
      <c r="BT1343" s="18"/>
      <c r="BU1343" s="18"/>
    </row>
    <row r="1344" spans="44:73" x14ac:dyDescent="0.45">
      <c r="AR1344" s="15" t="s">
        <v>328</v>
      </c>
      <c r="AS1344" s="15" t="s">
        <v>567</v>
      </c>
      <c r="AT1344" s="15" t="s">
        <v>965</v>
      </c>
      <c r="AU1344" s="15"/>
      <c r="AV1344" s="15"/>
      <c r="AW1344" s="15"/>
      <c r="AX1344" s="15"/>
      <c r="AY1344" s="15"/>
      <c r="AZ1344" s="18"/>
      <c r="BA1344" s="19">
        <v>2.5000000000000001E-2</v>
      </c>
      <c r="BB1344" s="18"/>
      <c r="BC1344" s="18"/>
      <c r="BD1344" s="18"/>
      <c r="BE1344" s="18"/>
      <c r="BF1344" s="18"/>
      <c r="BG1344" s="18"/>
      <c r="BH1344" s="18"/>
      <c r="BI1344" s="18"/>
      <c r="BJ1344" s="18"/>
      <c r="BK1344" s="18"/>
      <c r="BL1344" s="19">
        <v>0.05</v>
      </c>
      <c r="BM1344" s="18"/>
      <c r="BN1344" s="18"/>
      <c r="BO1344" s="18"/>
      <c r="BP1344" s="18"/>
      <c r="BQ1344" s="18"/>
      <c r="BR1344" s="18"/>
      <c r="BS1344" s="18"/>
      <c r="BT1344" s="18"/>
      <c r="BU1344" s="18"/>
    </row>
    <row r="1345" spans="44:73" x14ac:dyDescent="0.45">
      <c r="AR1345" s="15" t="s">
        <v>328</v>
      </c>
      <c r="AS1345" s="15" t="s">
        <v>567</v>
      </c>
      <c r="AT1345" s="15" t="s">
        <v>966</v>
      </c>
      <c r="AU1345" s="15"/>
      <c r="AV1345" s="15"/>
      <c r="AW1345" s="15"/>
      <c r="AX1345" s="15"/>
      <c r="AY1345" s="15"/>
      <c r="AZ1345" s="18"/>
      <c r="BA1345" s="19">
        <v>2.5000000000000001E-2</v>
      </c>
      <c r="BB1345" s="18"/>
      <c r="BC1345" s="18"/>
      <c r="BD1345" s="18"/>
      <c r="BE1345" s="18"/>
      <c r="BF1345" s="18"/>
      <c r="BG1345" s="18"/>
      <c r="BH1345" s="18"/>
      <c r="BI1345" s="18"/>
      <c r="BJ1345" s="18"/>
      <c r="BK1345" s="18"/>
      <c r="BL1345" s="19">
        <v>0.05</v>
      </c>
      <c r="BM1345" s="18"/>
      <c r="BN1345" s="18"/>
      <c r="BO1345" s="18"/>
      <c r="BP1345" s="18"/>
      <c r="BQ1345" s="18"/>
      <c r="BR1345" s="18"/>
      <c r="BS1345" s="18"/>
      <c r="BT1345" s="18"/>
      <c r="BU1345" s="18"/>
    </row>
    <row r="1346" spans="44:73" x14ac:dyDescent="0.45">
      <c r="AR1346" s="15" t="s">
        <v>328</v>
      </c>
      <c r="AS1346" s="15" t="s">
        <v>567</v>
      </c>
      <c r="AT1346" s="15" t="s">
        <v>967</v>
      </c>
      <c r="AU1346" s="15"/>
      <c r="AV1346" s="15"/>
      <c r="AW1346" s="15"/>
      <c r="AX1346" s="15"/>
      <c r="AY1346" s="15"/>
      <c r="AZ1346" s="18"/>
      <c r="BA1346" s="19">
        <v>2.5000000000000001E-2</v>
      </c>
      <c r="BB1346" s="18"/>
      <c r="BC1346" s="18"/>
      <c r="BD1346" s="18"/>
      <c r="BE1346" s="18"/>
      <c r="BF1346" s="18"/>
      <c r="BG1346" s="18"/>
      <c r="BH1346" s="18"/>
      <c r="BI1346" s="18"/>
      <c r="BJ1346" s="18"/>
      <c r="BK1346" s="18"/>
      <c r="BL1346" s="19">
        <v>0.05</v>
      </c>
      <c r="BM1346" s="18"/>
      <c r="BN1346" s="18"/>
      <c r="BO1346" s="18"/>
      <c r="BP1346" s="18"/>
      <c r="BQ1346" s="18"/>
      <c r="BR1346" s="18"/>
      <c r="BS1346" s="18"/>
      <c r="BT1346" s="18"/>
      <c r="BU1346" s="18"/>
    </row>
    <row r="1347" spans="44:73" x14ac:dyDescent="0.45">
      <c r="AR1347" s="15" t="s">
        <v>328</v>
      </c>
      <c r="AS1347" s="15" t="s">
        <v>567</v>
      </c>
      <c r="AT1347" s="15" t="s">
        <v>968</v>
      </c>
      <c r="AU1347" s="15"/>
      <c r="AV1347" s="15"/>
      <c r="AW1347" s="15"/>
      <c r="AX1347" s="15"/>
      <c r="AY1347" s="15"/>
      <c r="AZ1347" s="18"/>
      <c r="BA1347" s="19">
        <v>2.5000000000000001E-2</v>
      </c>
      <c r="BB1347" s="18"/>
      <c r="BC1347" s="18"/>
      <c r="BD1347" s="18"/>
      <c r="BE1347" s="18"/>
      <c r="BF1347" s="18"/>
      <c r="BG1347" s="18"/>
      <c r="BH1347" s="18"/>
      <c r="BI1347" s="18"/>
      <c r="BJ1347" s="18"/>
      <c r="BK1347" s="18"/>
      <c r="BL1347" s="19">
        <v>0.05</v>
      </c>
      <c r="BM1347" s="18"/>
      <c r="BN1347" s="18"/>
      <c r="BO1347" s="18"/>
      <c r="BP1347" s="18"/>
      <c r="BQ1347" s="18"/>
      <c r="BR1347" s="18"/>
      <c r="BS1347" s="18"/>
      <c r="BT1347" s="18"/>
      <c r="BU1347" s="18"/>
    </row>
    <row r="1348" spans="44:73" x14ac:dyDescent="0.45">
      <c r="AR1348" s="15" t="s">
        <v>328</v>
      </c>
      <c r="AS1348" s="15" t="s">
        <v>567</v>
      </c>
      <c r="AT1348" s="15" t="s">
        <v>969</v>
      </c>
      <c r="AU1348" s="15"/>
      <c r="AV1348" s="15"/>
      <c r="AW1348" s="15"/>
      <c r="AX1348" s="15"/>
      <c r="AY1348" s="15"/>
      <c r="AZ1348" s="18"/>
      <c r="BA1348" s="19">
        <v>2.5000000000000001E-2</v>
      </c>
      <c r="BB1348" s="18"/>
      <c r="BC1348" s="18"/>
      <c r="BD1348" s="18"/>
      <c r="BE1348" s="18"/>
      <c r="BF1348" s="18"/>
      <c r="BG1348" s="18"/>
      <c r="BH1348" s="18"/>
      <c r="BI1348" s="18"/>
      <c r="BJ1348" s="18"/>
      <c r="BK1348" s="18"/>
      <c r="BL1348" s="19">
        <v>0.05</v>
      </c>
      <c r="BM1348" s="18"/>
      <c r="BN1348" s="18"/>
      <c r="BO1348" s="18"/>
      <c r="BP1348" s="18"/>
      <c r="BQ1348" s="18"/>
      <c r="BR1348" s="18"/>
      <c r="BS1348" s="18"/>
      <c r="BT1348" s="18"/>
      <c r="BU1348" s="18"/>
    </row>
    <row r="1349" spans="44:73" x14ac:dyDescent="0.45">
      <c r="AR1349" s="15" t="s">
        <v>328</v>
      </c>
      <c r="AS1349" s="15" t="s">
        <v>567</v>
      </c>
      <c r="AT1349" s="15" t="s">
        <v>970</v>
      </c>
      <c r="AU1349" s="15"/>
      <c r="AV1349" s="15"/>
      <c r="AW1349" s="15"/>
      <c r="AX1349" s="15"/>
      <c r="AY1349" s="15"/>
      <c r="AZ1349" s="18"/>
      <c r="BA1349" s="19">
        <v>2.5000000000000001E-2</v>
      </c>
      <c r="BB1349" s="18"/>
      <c r="BC1349" s="18"/>
      <c r="BD1349" s="18"/>
      <c r="BE1349" s="18"/>
      <c r="BF1349" s="18"/>
      <c r="BG1349" s="18"/>
      <c r="BH1349" s="18"/>
      <c r="BI1349" s="18"/>
      <c r="BJ1349" s="18"/>
      <c r="BK1349" s="18"/>
      <c r="BL1349" s="19">
        <v>0.05</v>
      </c>
      <c r="BM1349" s="18"/>
      <c r="BN1349" s="18"/>
      <c r="BO1349" s="18"/>
      <c r="BP1349" s="18"/>
      <c r="BQ1349" s="18"/>
      <c r="BR1349" s="18"/>
      <c r="BS1349" s="18"/>
      <c r="BT1349" s="18"/>
      <c r="BU1349" s="18"/>
    </row>
    <row r="1350" spans="44:73" x14ac:dyDescent="0.45">
      <c r="AR1350" s="15" t="s">
        <v>328</v>
      </c>
      <c r="AS1350" s="15" t="s">
        <v>567</v>
      </c>
      <c r="AT1350" s="15" t="s">
        <v>971</v>
      </c>
      <c r="AU1350" s="15"/>
      <c r="AV1350" s="15"/>
      <c r="AW1350" s="15"/>
      <c r="AX1350" s="15"/>
      <c r="AY1350" s="15"/>
      <c r="AZ1350" s="18"/>
      <c r="BA1350" s="19">
        <v>2.5000000000000001E-2</v>
      </c>
      <c r="BB1350" s="18"/>
      <c r="BC1350" s="18"/>
      <c r="BD1350" s="18"/>
      <c r="BE1350" s="18"/>
      <c r="BF1350" s="18"/>
      <c r="BG1350" s="18"/>
      <c r="BH1350" s="18"/>
      <c r="BI1350" s="18"/>
      <c r="BJ1350" s="18"/>
      <c r="BK1350" s="18"/>
      <c r="BL1350" s="19">
        <v>0.05</v>
      </c>
      <c r="BM1350" s="18"/>
      <c r="BN1350" s="18"/>
      <c r="BO1350" s="18"/>
      <c r="BP1350" s="18"/>
      <c r="BQ1350" s="18"/>
      <c r="BR1350" s="18"/>
      <c r="BS1350" s="18"/>
      <c r="BT1350" s="18"/>
      <c r="BU1350" s="18"/>
    </row>
    <row r="1351" spans="44:73" x14ac:dyDescent="0.45">
      <c r="AR1351" s="15" t="s">
        <v>328</v>
      </c>
      <c r="AS1351" s="15" t="s">
        <v>567</v>
      </c>
      <c r="AT1351" s="15" t="s">
        <v>972</v>
      </c>
      <c r="AU1351" s="15"/>
      <c r="AV1351" s="15"/>
      <c r="AW1351" s="15"/>
      <c r="AX1351" s="15"/>
      <c r="AY1351" s="15"/>
      <c r="AZ1351" s="18"/>
      <c r="BA1351" s="19">
        <v>2.5000000000000001E-2</v>
      </c>
      <c r="BB1351" s="18"/>
      <c r="BC1351" s="18"/>
      <c r="BD1351" s="18"/>
      <c r="BE1351" s="18"/>
      <c r="BF1351" s="18"/>
      <c r="BG1351" s="18"/>
      <c r="BH1351" s="18"/>
      <c r="BI1351" s="18"/>
      <c r="BJ1351" s="18"/>
      <c r="BK1351" s="18"/>
      <c r="BL1351" s="19">
        <v>0.05</v>
      </c>
      <c r="BM1351" s="18"/>
      <c r="BN1351" s="18"/>
      <c r="BO1351" s="18"/>
      <c r="BP1351" s="18"/>
      <c r="BQ1351" s="18"/>
      <c r="BR1351" s="18"/>
      <c r="BS1351" s="18"/>
      <c r="BT1351" s="18"/>
      <c r="BU1351" s="18"/>
    </row>
    <row r="1352" spans="44:73" x14ac:dyDescent="0.45">
      <c r="AR1352" s="15" t="s">
        <v>328</v>
      </c>
      <c r="AS1352" s="15" t="s">
        <v>567</v>
      </c>
      <c r="AT1352" s="15" t="s">
        <v>973</v>
      </c>
      <c r="AU1352" s="15"/>
      <c r="AV1352" s="15"/>
      <c r="AW1352" s="15"/>
      <c r="AX1352" s="15"/>
      <c r="AY1352" s="15"/>
      <c r="AZ1352" s="18"/>
      <c r="BA1352" s="19">
        <v>2.5000000000000001E-2</v>
      </c>
      <c r="BB1352" s="18"/>
      <c r="BC1352" s="18"/>
      <c r="BD1352" s="18"/>
      <c r="BE1352" s="18"/>
      <c r="BF1352" s="18"/>
      <c r="BG1352" s="18"/>
      <c r="BH1352" s="18"/>
      <c r="BI1352" s="18"/>
      <c r="BJ1352" s="18"/>
      <c r="BK1352" s="18"/>
      <c r="BL1352" s="19">
        <v>0.05</v>
      </c>
      <c r="BM1352" s="18"/>
      <c r="BN1352" s="18"/>
      <c r="BO1352" s="18"/>
      <c r="BP1352" s="18"/>
      <c r="BQ1352" s="18"/>
      <c r="BR1352" s="18"/>
      <c r="BS1352" s="18"/>
      <c r="BT1352" s="18"/>
      <c r="BU1352" s="18"/>
    </row>
    <row r="1353" spans="44:73" x14ac:dyDescent="0.45">
      <c r="AR1353" s="15" t="s">
        <v>328</v>
      </c>
      <c r="AS1353" s="15" t="s">
        <v>567</v>
      </c>
      <c r="AT1353" s="15" t="s">
        <v>974</v>
      </c>
      <c r="AU1353" s="15"/>
      <c r="AV1353" s="15"/>
      <c r="AW1353" s="15"/>
      <c r="AX1353" s="15"/>
      <c r="AY1353" s="15"/>
      <c r="AZ1353" s="18"/>
      <c r="BA1353" s="19">
        <v>2.5000000000000001E-2</v>
      </c>
      <c r="BB1353" s="18"/>
      <c r="BC1353" s="18"/>
      <c r="BD1353" s="18"/>
      <c r="BE1353" s="18"/>
      <c r="BF1353" s="18"/>
      <c r="BG1353" s="18"/>
      <c r="BH1353" s="18"/>
      <c r="BI1353" s="18"/>
      <c r="BJ1353" s="18"/>
      <c r="BK1353" s="18"/>
      <c r="BL1353" s="19">
        <v>0.05</v>
      </c>
      <c r="BM1353" s="18"/>
      <c r="BN1353" s="18"/>
      <c r="BO1353" s="18"/>
      <c r="BP1353" s="18"/>
      <c r="BQ1353" s="18"/>
      <c r="BR1353" s="18"/>
      <c r="BS1353" s="18"/>
      <c r="BT1353" s="18"/>
      <c r="BU1353" s="18"/>
    </row>
    <row r="1354" spans="44:73" x14ac:dyDescent="0.45">
      <c r="AR1354" s="15" t="s">
        <v>328</v>
      </c>
      <c r="AS1354" s="15" t="s">
        <v>567</v>
      </c>
      <c r="AT1354" s="15" t="s">
        <v>975</v>
      </c>
      <c r="AU1354" s="15"/>
      <c r="AV1354" s="15"/>
      <c r="AW1354" s="15"/>
      <c r="AX1354" s="15"/>
      <c r="AY1354" s="15"/>
      <c r="AZ1354" s="18"/>
      <c r="BA1354" s="19">
        <v>2.5000000000000001E-2</v>
      </c>
      <c r="BB1354" s="18"/>
      <c r="BC1354" s="18"/>
      <c r="BD1354" s="18"/>
      <c r="BE1354" s="18"/>
      <c r="BF1354" s="18"/>
      <c r="BG1354" s="18"/>
      <c r="BH1354" s="18"/>
      <c r="BI1354" s="18"/>
      <c r="BJ1354" s="18"/>
      <c r="BK1354" s="18"/>
      <c r="BL1354" s="19">
        <v>0.05</v>
      </c>
      <c r="BM1354" s="18"/>
      <c r="BN1354" s="18"/>
      <c r="BO1354" s="18"/>
      <c r="BP1354" s="18"/>
      <c r="BQ1354" s="18"/>
      <c r="BR1354" s="18"/>
      <c r="BS1354" s="18"/>
      <c r="BT1354" s="18"/>
      <c r="BU1354" s="18"/>
    </row>
    <row r="1355" spans="44:73" x14ac:dyDescent="0.45">
      <c r="AR1355" s="15" t="s">
        <v>328</v>
      </c>
      <c r="AS1355" s="15" t="s">
        <v>567</v>
      </c>
      <c r="AT1355" s="15" t="s">
        <v>976</v>
      </c>
      <c r="AU1355" s="15"/>
      <c r="AV1355" s="15"/>
      <c r="AW1355" s="15"/>
      <c r="AX1355" s="15"/>
      <c r="AY1355" s="15"/>
      <c r="AZ1355" s="18"/>
      <c r="BA1355" s="19">
        <v>2.5000000000000001E-2</v>
      </c>
      <c r="BB1355" s="18"/>
      <c r="BC1355" s="18"/>
      <c r="BD1355" s="18"/>
      <c r="BE1355" s="18"/>
      <c r="BF1355" s="18"/>
      <c r="BG1355" s="18"/>
      <c r="BH1355" s="18"/>
      <c r="BI1355" s="18"/>
      <c r="BJ1355" s="18"/>
      <c r="BK1355" s="18"/>
      <c r="BL1355" s="19">
        <v>0.05</v>
      </c>
      <c r="BM1355" s="18"/>
      <c r="BN1355" s="18"/>
      <c r="BO1355" s="18"/>
      <c r="BP1355" s="18"/>
      <c r="BQ1355" s="18"/>
      <c r="BR1355" s="18"/>
      <c r="BS1355" s="18"/>
      <c r="BT1355" s="18"/>
      <c r="BU1355" s="18"/>
    </row>
    <row r="1356" spans="44:73" x14ac:dyDescent="0.45">
      <c r="AR1356" s="15" t="s">
        <v>328</v>
      </c>
      <c r="AS1356" s="15" t="s">
        <v>567</v>
      </c>
      <c r="AT1356" s="15" t="s">
        <v>977</v>
      </c>
      <c r="AU1356" s="15"/>
      <c r="AV1356" s="15"/>
      <c r="AW1356" s="15"/>
      <c r="AX1356" s="15"/>
      <c r="AY1356" s="15"/>
      <c r="AZ1356" s="18"/>
      <c r="BA1356" s="19">
        <v>2.5000000000000001E-2</v>
      </c>
      <c r="BB1356" s="18"/>
      <c r="BC1356" s="18"/>
      <c r="BD1356" s="18"/>
      <c r="BE1356" s="18"/>
      <c r="BF1356" s="18"/>
      <c r="BG1356" s="18"/>
      <c r="BH1356" s="18"/>
      <c r="BI1356" s="18"/>
      <c r="BJ1356" s="18"/>
      <c r="BK1356" s="18"/>
      <c r="BL1356" s="19">
        <v>0.05</v>
      </c>
      <c r="BM1356" s="18"/>
      <c r="BN1356" s="18"/>
      <c r="BO1356" s="18"/>
      <c r="BP1356" s="18"/>
      <c r="BQ1356" s="18"/>
      <c r="BR1356" s="18"/>
      <c r="BS1356" s="18"/>
      <c r="BT1356" s="18"/>
      <c r="BU1356" s="18"/>
    </row>
    <row r="1357" spans="44:73" x14ac:dyDescent="0.45">
      <c r="AR1357" s="15" t="s">
        <v>328</v>
      </c>
      <c r="AS1357" s="15" t="s">
        <v>567</v>
      </c>
      <c r="AT1357" s="15" t="s">
        <v>978</v>
      </c>
      <c r="AU1357" s="15"/>
      <c r="AV1357" s="15"/>
      <c r="AW1357" s="15"/>
      <c r="AX1357" s="15"/>
      <c r="AY1357" s="15"/>
      <c r="AZ1357" s="18"/>
      <c r="BA1357" s="19">
        <v>2.5000000000000001E-2</v>
      </c>
      <c r="BB1357" s="18"/>
      <c r="BC1357" s="18"/>
      <c r="BD1357" s="18"/>
      <c r="BE1357" s="18"/>
      <c r="BF1357" s="18"/>
      <c r="BG1357" s="18"/>
      <c r="BH1357" s="18"/>
      <c r="BI1357" s="18"/>
      <c r="BJ1357" s="18"/>
      <c r="BK1357" s="18"/>
      <c r="BL1357" s="19">
        <v>0.05</v>
      </c>
      <c r="BM1357" s="18"/>
      <c r="BN1357" s="18"/>
      <c r="BO1357" s="18"/>
      <c r="BP1357" s="18"/>
      <c r="BQ1357" s="18"/>
      <c r="BR1357" s="18"/>
      <c r="BS1357" s="18"/>
      <c r="BT1357" s="18"/>
      <c r="BU1357" s="18"/>
    </row>
    <row r="1358" spans="44:73" x14ac:dyDescent="0.45">
      <c r="AR1358" s="15" t="s">
        <v>328</v>
      </c>
      <c r="AS1358" s="15" t="s">
        <v>567</v>
      </c>
      <c r="AT1358" s="15" t="s">
        <v>979</v>
      </c>
      <c r="AU1358" s="15"/>
      <c r="AV1358" s="15"/>
      <c r="AW1358" s="15"/>
      <c r="AX1358" s="15"/>
      <c r="AY1358" s="15"/>
      <c r="AZ1358" s="18"/>
      <c r="BA1358" s="19">
        <v>2.5000000000000001E-2</v>
      </c>
      <c r="BB1358" s="18"/>
      <c r="BC1358" s="18"/>
      <c r="BD1358" s="18"/>
      <c r="BE1358" s="18"/>
      <c r="BF1358" s="18"/>
      <c r="BG1358" s="18"/>
      <c r="BH1358" s="18"/>
      <c r="BI1358" s="18"/>
      <c r="BJ1358" s="18"/>
      <c r="BK1358" s="18"/>
      <c r="BL1358" s="19">
        <v>0.05</v>
      </c>
      <c r="BM1358" s="18"/>
      <c r="BN1358" s="18"/>
      <c r="BO1358" s="18"/>
      <c r="BP1358" s="18"/>
      <c r="BQ1358" s="18"/>
      <c r="BR1358" s="18"/>
      <c r="BS1358" s="18"/>
      <c r="BT1358" s="18"/>
      <c r="BU1358" s="18"/>
    </row>
    <row r="1359" spans="44:73" x14ac:dyDescent="0.45">
      <c r="AR1359" s="15" t="s">
        <v>328</v>
      </c>
      <c r="AS1359" s="15" t="s">
        <v>567</v>
      </c>
      <c r="AT1359" s="15" t="s">
        <v>980</v>
      </c>
      <c r="AU1359" s="15"/>
      <c r="AV1359" s="15"/>
      <c r="AW1359" s="15"/>
      <c r="AX1359" s="15"/>
      <c r="AY1359" s="15"/>
      <c r="AZ1359" s="18"/>
      <c r="BA1359" s="19">
        <v>2.5000000000000001E-2</v>
      </c>
      <c r="BB1359" s="18"/>
      <c r="BC1359" s="18"/>
      <c r="BD1359" s="18"/>
      <c r="BE1359" s="18"/>
      <c r="BF1359" s="18"/>
      <c r="BG1359" s="18"/>
      <c r="BH1359" s="18"/>
      <c r="BI1359" s="18"/>
      <c r="BJ1359" s="18"/>
      <c r="BK1359" s="18"/>
      <c r="BL1359" s="19">
        <v>0.05</v>
      </c>
      <c r="BM1359" s="18"/>
      <c r="BN1359" s="18"/>
      <c r="BO1359" s="18"/>
      <c r="BP1359" s="18"/>
      <c r="BQ1359" s="18"/>
      <c r="BR1359" s="18"/>
      <c r="BS1359" s="18"/>
      <c r="BT1359" s="18"/>
      <c r="BU1359" s="18"/>
    </row>
    <row r="1360" spans="44:73" x14ac:dyDescent="0.45">
      <c r="AR1360" s="15" t="s">
        <v>328</v>
      </c>
      <c r="AS1360" s="15" t="s">
        <v>567</v>
      </c>
      <c r="AT1360" s="15" t="s">
        <v>981</v>
      </c>
      <c r="AU1360" s="15"/>
      <c r="AV1360" s="15"/>
      <c r="AW1360" s="15"/>
      <c r="AX1360" s="15"/>
      <c r="AY1360" s="15"/>
      <c r="AZ1360" s="18"/>
      <c r="BA1360" s="19">
        <v>2.5000000000000001E-2</v>
      </c>
      <c r="BB1360" s="18"/>
      <c r="BC1360" s="18"/>
      <c r="BD1360" s="18"/>
      <c r="BE1360" s="18"/>
      <c r="BF1360" s="18"/>
      <c r="BG1360" s="18"/>
      <c r="BH1360" s="18"/>
      <c r="BI1360" s="18"/>
      <c r="BJ1360" s="18"/>
      <c r="BK1360" s="18"/>
      <c r="BL1360" s="19">
        <v>0.05</v>
      </c>
      <c r="BM1360" s="18"/>
      <c r="BN1360" s="18"/>
      <c r="BO1360" s="18"/>
      <c r="BP1360" s="18"/>
      <c r="BQ1360" s="18"/>
      <c r="BR1360" s="18"/>
      <c r="BS1360" s="18"/>
      <c r="BT1360" s="18"/>
      <c r="BU1360" s="18"/>
    </row>
    <row r="1361" spans="44:73" x14ac:dyDescent="0.45">
      <c r="AR1361" s="15" t="s">
        <v>328</v>
      </c>
      <c r="AS1361" s="15" t="s">
        <v>567</v>
      </c>
      <c r="AT1361" s="15" t="s">
        <v>982</v>
      </c>
      <c r="AU1361" s="15"/>
      <c r="AV1361" s="15"/>
      <c r="AW1361" s="15"/>
      <c r="AX1361" s="15"/>
      <c r="AY1361" s="15"/>
      <c r="AZ1361" s="18"/>
      <c r="BA1361" s="19">
        <v>2.5000000000000001E-2</v>
      </c>
      <c r="BB1361" s="18"/>
      <c r="BC1361" s="18"/>
      <c r="BD1361" s="18"/>
      <c r="BE1361" s="18"/>
      <c r="BF1361" s="18"/>
      <c r="BG1361" s="18"/>
      <c r="BH1361" s="18"/>
      <c r="BI1361" s="18"/>
      <c r="BJ1361" s="18"/>
      <c r="BK1361" s="18"/>
      <c r="BL1361" s="19">
        <v>0.05</v>
      </c>
      <c r="BM1361" s="18"/>
      <c r="BN1361" s="18"/>
      <c r="BO1361" s="18"/>
      <c r="BP1361" s="18"/>
      <c r="BQ1361" s="18"/>
      <c r="BR1361" s="18"/>
      <c r="BS1361" s="18"/>
      <c r="BT1361" s="18"/>
      <c r="BU1361" s="18"/>
    </row>
    <row r="1362" spans="44:73" x14ac:dyDescent="0.45">
      <c r="AR1362" s="15" t="s">
        <v>328</v>
      </c>
      <c r="AS1362" s="15" t="s">
        <v>567</v>
      </c>
      <c r="AT1362" s="15" t="s">
        <v>983</v>
      </c>
      <c r="AU1362" s="15"/>
      <c r="AV1362" s="15"/>
      <c r="AW1362" s="15"/>
      <c r="AX1362" s="15"/>
      <c r="AY1362" s="15"/>
      <c r="AZ1362" s="18"/>
      <c r="BA1362" s="19">
        <v>2.5000000000000001E-2</v>
      </c>
      <c r="BB1362" s="18"/>
      <c r="BC1362" s="18"/>
      <c r="BD1362" s="18"/>
      <c r="BE1362" s="18"/>
      <c r="BF1362" s="18"/>
      <c r="BG1362" s="18"/>
      <c r="BH1362" s="18"/>
      <c r="BI1362" s="18"/>
      <c r="BJ1362" s="18"/>
      <c r="BK1362" s="18"/>
      <c r="BL1362" s="19">
        <v>0.05</v>
      </c>
      <c r="BM1362" s="18"/>
      <c r="BN1362" s="18"/>
      <c r="BO1362" s="18"/>
      <c r="BP1362" s="18"/>
      <c r="BQ1362" s="18"/>
      <c r="BR1362" s="18"/>
      <c r="BS1362" s="18"/>
      <c r="BT1362" s="18"/>
      <c r="BU1362" s="18"/>
    </row>
    <row r="1363" spans="44:73" x14ac:dyDescent="0.45">
      <c r="AR1363" s="15" t="s">
        <v>328</v>
      </c>
      <c r="AS1363" s="15" t="s">
        <v>567</v>
      </c>
      <c r="AT1363" s="15" t="s">
        <v>984</v>
      </c>
      <c r="AU1363" s="15"/>
      <c r="AV1363" s="15"/>
      <c r="AW1363" s="15"/>
      <c r="AX1363" s="15"/>
      <c r="AY1363" s="15"/>
      <c r="AZ1363" s="18"/>
      <c r="BA1363" s="19">
        <v>2.5000000000000001E-2</v>
      </c>
      <c r="BB1363" s="18"/>
      <c r="BC1363" s="18"/>
      <c r="BD1363" s="18"/>
      <c r="BE1363" s="18"/>
      <c r="BF1363" s="18"/>
      <c r="BG1363" s="18"/>
      <c r="BH1363" s="18"/>
      <c r="BI1363" s="18"/>
      <c r="BJ1363" s="18"/>
      <c r="BK1363" s="18"/>
      <c r="BL1363" s="19">
        <v>0.05</v>
      </c>
      <c r="BM1363" s="18"/>
      <c r="BN1363" s="18"/>
      <c r="BO1363" s="18"/>
      <c r="BP1363" s="18"/>
      <c r="BQ1363" s="18"/>
      <c r="BR1363" s="18"/>
      <c r="BS1363" s="18"/>
      <c r="BT1363" s="18"/>
      <c r="BU1363" s="18"/>
    </row>
    <row r="1364" spans="44:73" x14ac:dyDescent="0.45">
      <c r="AR1364" s="15" t="s">
        <v>328</v>
      </c>
      <c r="AS1364" s="15" t="s">
        <v>567</v>
      </c>
      <c r="AT1364" s="15" t="s">
        <v>985</v>
      </c>
      <c r="AU1364" s="15"/>
      <c r="AV1364" s="15"/>
      <c r="AW1364" s="15"/>
      <c r="AX1364" s="15"/>
      <c r="AY1364" s="15"/>
      <c r="AZ1364" s="18"/>
      <c r="BA1364" s="19">
        <v>2.5000000000000001E-2</v>
      </c>
      <c r="BB1364" s="18"/>
      <c r="BC1364" s="18"/>
      <c r="BD1364" s="18"/>
      <c r="BE1364" s="18"/>
      <c r="BF1364" s="18"/>
      <c r="BG1364" s="18"/>
      <c r="BH1364" s="18"/>
      <c r="BI1364" s="18"/>
      <c r="BJ1364" s="18"/>
      <c r="BK1364" s="18"/>
      <c r="BL1364" s="19">
        <v>0.05</v>
      </c>
      <c r="BM1364" s="18"/>
      <c r="BN1364" s="18"/>
      <c r="BO1364" s="18"/>
      <c r="BP1364" s="18"/>
      <c r="BQ1364" s="18"/>
      <c r="BR1364" s="18"/>
      <c r="BS1364" s="18"/>
      <c r="BT1364" s="18"/>
      <c r="BU1364" s="18"/>
    </row>
    <row r="1365" spans="44:73" x14ac:dyDescent="0.45">
      <c r="AR1365" s="15" t="s">
        <v>328</v>
      </c>
      <c r="AS1365" s="15" t="s">
        <v>567</v>
      </c>
      <c r="AT1365" s="15" t="s">
        <v>986</v>
      </c>
      <c r="AU1365" s="15"/>
      <c r="AV1365" s="15"/>
      <c r="AW1365" s="15"/>
      <c r="AX1365" s="15"/>
      <c r="AY1365" s="15"/>
      <c r="AZ1365" s="18"/>
      <c r="BA1365" s="19">
        <v>2.5000000000000001E-2</v>
      </c>
      <c r="BB1365" s="18"/>
      <c r="BC1365" s="18"/>
      <c r="BD1365" s="18"/>
      <c r="BE1365" s="18"/>
      <c r="BF1365" s="18"/>
      <c r="BG1365" s="18"/>
      <c r="BH1365" s="18"/>
      <c r="BI1365" s="18"/>
      <c r="BJ1365" s="18"/>
      <c r="BK1365" s="18"/>
      <c r="BL1365" s="19">
        <v>0.05</v>
      </c>
      <c r="BM1365" s="18"/>
      <c r="BN1365" s="18"/>
      <c r="BO1365" s="18"/>
      <c r="BP1365" s="18"/>
      <c r="BQ1365" s="18"/>
      <c r="BR1365" s="18"/>
      <c r="BS1365" s="18"/>
      <c r="BT1365" s="18"/>
      <c r="BU1365" s="18"/>
    </row>
    <row r="1366" spans="44:73" x14ac:dyDescent="0.45">
      <c r="AR1366" s="15" t="s">
        <v>328</v>
      </c>
      <c r="AS1366" s="15" t="s">
        <v>567</v>
      </c>
      <c r="AT1366" s="15" t="s">
        <v>987</v>
      </c>
      <c r="AU1366" s="15"/>
      <c r="AV1366" s="15"/>
      <c r="AW1366" s="15"/>
      <c r="AX1366" s="15"/>
      <c r="AY1366" s="15"/>
      <c r="AZ1366" s="18"/>
      <c r="BA1366" s="19">
        <v>2.5000000000000001E-2</v>
      </c>
      <c r="BB1366" s="18"/>
      <c r="BC1366" s="18"/>
      <c r="BD1366" s="18"/>
      <c r="BE1366" s="18"/>
      <c r="BF1366" s="18"/>
      <c r="BG1366" s="18"/>
      <c r="BH1366" s="18"/>
      <c r="BI1366" s="18"/>
      <c r="BJ1366" s="18"/>
      <c r="BK1366" s="18"/>
      <c r="BL1366" s="19">
        <v>0.05</v>
      </c>
      <c r="BM1366" s="18"/>
      <c r="BN1366" s="18"/>
      <c r="BO1366" s="18"/>
      <c r="BP1366" s="18"/>
      <c r="BQ1366" s="18"/>
      <c r="BR1366" s="18"/>
      <c r="BS1366" s="18"/>
      <c r="BT1366" s="18"/>
      <c r="BU1366" s="18"/>
    </row>
    <row r="1367" spans="44:73" x14ac:dyDescent="0.45">
      <c r="AR1367" s="15" t="s">
        <v>328</v>
      </c>
      <c r="AS1367" s="15" t="s">
        <v>567</v>
      </c>
      <c r="AT1367" s="15" t="s">
        <v>989</v>
      </c>
      <c r="AU1367" s="15"/>
      <c r="AV1367" s="15"/>
      <c r="AW1367" s="15"/>
      <c r="AX1367" s="15"/>
      <c r="AY1367" s="15"/>
      <c r="AZ1367" s="18"/>
      <c r="BA1367" s="19">
        <v>2.5000000000000001E-2</v>
      </c>
      <c r="BB1367" s="18"/>
      <c r="BC1367" s="18"/>
      <c r="BD1367" s="18"/>
      <c r="BE1367" s="18"/>
      <c r="BF1367" s="18"/>
      <c r="BG1367" s="18"/>
      <c r="BH1367" s="18"/>
      <c r="BI1367" s="18"/>
      <c r="BJ1367" s="18"/>
      <c r="BK1367" s="18"/>
      <c r="BL1367" s="19">
        <v>0.05</v>
      </c>
      <c r="BM1367" s="18"/>
      <c r="BN1367" s="18"/>
      <c r="BO1367" s="18"/>
      <c r="BP1367" s="18"/>
      <c r="BQ1367" s="18"/>
      <c r="BR1367" s="18"/>
      <c r="BS1367" s="18"/>
      <c r="BT1367" s="18"/>
      <c r="BU1367" s="18"/>
    </row>
    <row r="1368" spans="44:73" x14ac:dyDescent="0.45">
      <c r="AR1368" s="15" t="s">
        <v>328</v>
      </c>
      <c r="AS1368" s="15" t="s">
        <v>567</v>
      </c>
      <c r="AT1368" s="15" t="s">
        <v>990</v>
      </c>
      <c r="AU1368" s="15"/>
      <c r="AV1368" s="15"/>
      <c r="AW1368" s="15"/>
      <c r="AX1368" s="15"/>
      <c r="AY1368" s="15"/>
      <c r="AZ1368" s="18"/>
      <c r="BA1368" s="19">
        <v>2.5000000000000001E-2</v>
      </c>
      <c r="BB1368" s="18"/>
      <c r="BC1368" s="18"/>
      <c r="BD1368" s="18"/>
      <c r="BE1368" s="18"/>
      <c r="BF1368" s="18"/>
      <c r="BG1368" s="18"/>
      <c r="BH1368" s="18"/>
      <c r="BI1368" s="18"/>
      <c r="BJ1368" s="18"/>
      <c r="BK1368" s="18"/>
      <c r="BL1368" s="19">
        <v>0.05</v>
      </c>
      <c r="BM1368" s="18"/>
      <c r="BN1368" s="18"/>
      <c r="BO1368" s="18"/>
      <c r="BP1368" s="18"/>
      <c r="BQ1368" s="18"/>
      <c r="BR1368" s="18"/>
      <c r="BS1368" s="18"/>
      <c r="BT1368" s="18"/>
      <c r="BU1368" s="18"/>
    </row>
    <row r="1369" spans="44:73" x14ac:dyDescent="0.45">
      <c r="AR1369" s="15" t="s">
        <v>328</v>
      </c>
      <c r="AS1369" s="15" t="s">
        <v>567</v>
      </c>
      <c r="AT1369" s="15" t="s">
        <v>991</v>
      </c>
      <c r="AU1369" s="15"/>
      <c r="AV1369" s="15"/>
      <c r="AW1369" s="15"/>
      <c r="AX1369" s="15"/>
      <c r="AY1369" s="15"/>
      <c r="AZ1369" s="18"/>
      <c r="BA1369" s="19">
        <v>2.5000000000000001E-2</v>
      </c>
      <c r="BB1369" s="18"/>
      <c r="BC1369" s="18"/>
      <c r="BD1369" s="18"/>
      <c r="BE1369" s="18"/>
      <c r="BF1369" s="18"/>
      <c r="BG1369" s="18"/>
      <c r="BH1369" s="18"/>
      <c r="BI1369" s="18"/>
      <c r="BJ1369" s="18"/>
      <c r="BK1369" s="18"/>
      <c r="BL1369" s="19">
        <v>0.05</v>
      </c>
      <c r="BM1369" s="18"/>
      <c r="BN1369" s="18"/>
      <c r="BO1369" s="18"/>
      <c r="BP1369" s="18"/>
      <c r="BQ1369" s="18"/>
      <c r="BR1369" s="18"/>
      <c r="BS1369" s="18"/>
      <c r="BT1369" s="18"/>
      <c r="BU1369" s="18"/>
    </row>
    <row r="1370" spans="44:73" x14ac:dyDescent="0.45">
      <c r="AR1370" s="15" t="s">
        <v>328</v>
      </c>
      <c r="AS1370" s="15" t="s">
        <v>567</v>
      </c>
      <c r="AT1370" s="15" t="s">
        <v>992</v>
      </c>
      <c r="AU1370" s="15"/>
      <c r="AV1370" s="15"/>
      <c r="AW1370" s="15"/>
      <c r="AX1370" s="15"/>
      <c r="AY1370" s="15"/>
      <c r="AZ1370" s="18"/>
      <c r="BA1370" s="19">
        <v>2.5000000000000001E-2</v>
      </c>
      <c r="BB1370" s="18"/>
      <c r="BC1370" s="18"/>
      <c r="BD1370" s="18"/>
      <c r="BE1370" s="18"/>
      <c r="BF1370" s="18"/>
      <c r="BG1370" s="18"/>
      <c r="BH1370" s="18"/>
      <c r="BI1370" s="18"/>
      <c r="BJ1370" s="18"/>
      <c r="BK1370" s="18"/>
      <c r="BL1370" s="19">
        <v>0.05</v>
      </c>
      <c r="BM1370" s="18"/>
      <c r="BN1370" s="18"/>
      <c r="BO1370" s="18"/>
      <c r="BP1370" s="18"/>
      <c r="BQ1370" s="18"/>
      <c r="BR1370" s="18"/>
      <c r="BS1370" s="18"/>
      <c r="BT1370" s="18"/>
      <c r="BU1370" s="18"/>
    </row>
    <row r="1371" spans="44:73" x14ac:dyDescent="0.45">
      <c r="AR1371" s="15" t="s">
        <v>328</v>
      </c>
      <c r="AS1371" s="15" t="s">
        <v>567</v>
      </c>
      <c r="AT1371" s="15" t="s">
        <v>993</v>
      </c>
      <c r="AU1371" s="15"/>
      <c r="AV1371" s="15"/>
      <c r="AW1371" s="15"/>
      <c r="AX1371" s="15"/>
      <c r="AY1371" s="15"/>
      <c r="AZ1371" s="18"/>
      <c r="BA1371" s="19">
        <v>2.5000000000000001E-2</v>
      </c>
      <c r="BB1371" s="18"/>
      <c r="BC1371" s="18"/>
      <c r="BD1371" s="18"/>
      <c r="BE1371" s="18"/>
      <c r="BF1371" s="18"/>
      <c r="BG1371" s="18"/>
      <c r="BH1371" s="18"/>
      <c r="BI1371" s="18"/>
      <c r="BJ1371" s="18"/>
      <c r="BK1371" s="18"/>
      <c r="BL1371" s="19">
        <v>0.05</v>
      </c>
      <c r="BM1371" s="18"/>
      <c r="BN1371" s="18"/>
      <c r="BO1371" s="18"/>
      <c r="BP1371" s="18"/>
      <c r="BQ1371" s="18"/>
      <c r="BR1371" s="18"/>
      <c r="BS1371" s="18"/>
      <c r="BT1371" s="18"/>
      <c r="BU1371" s="18"/>
    </row>
    <row r="1372" spans="44:73" x14ac:dyDescent="0.45">
      <c r="AR1372" s="15" t="s">
        <v>328</v>
      </c>
      <c r="AS1372" s="15" t="s">
        <v>567</v>
      </c>
      <c r="AT1372" s="15" t="s">
        <v>994</v>
      </c>
      <c r="AU1372" s="15"/>
      <c r="AV1372" s="15"/>
      <c r="AW1372" s="15"/>
      <c r="AX1372" s="15"/>
      <c r="AY1372" s="15"/>
      <c r="AZ1372" s="18"/>
      <c r="BA1372" s="19">
        <v>2.5000000000000001E-2</v>
      </c>
      <c r="BB1372" s="18"/>
      <c r="BC1372" s="18"/>
      <c r="BD1372" s="18"/>
      <c r="BE1372" s="18"/>
      <c r="BF1372" s="18"/>
      <c r="BG1372" s="18"/>
      <c r="BH1372" s="18"/>
      <c r="BI1372" s="18"/>
      <c r="BJ1372" s="18"/>
      <c r="BK1372" s="18"/>
      <c r="BL1372" s="19">
        <v>0.05</v>
      </c>
      <c r="BM1372" s="18"/>
      <c r="BN1372" s="18"/>
      <c r="BO1372" s="18"/>
      <c r="BP1372" s="18"/>
      <c r="BQ1372" s="18"/>
      <c r="BR1372" s="18"/>
      <c r="BS1372" s="18"/>
      <c r="BT1372" s="18"/>
      <c r="BU1372" s="18"/>
    </row>
    <row r="1373" spans="44:73" x14ac:dyDescent="0.45">
      <c r="AR1373" s="15" t="s">
        <v>328</v>
      </c>
      <c r="AS1373" s="15" t="s">
        <v>567</v>
      </c>
      <c r="AT1373" s="15" t="s">
        <v>995</v>
      </c>
      <c r="AU1373" s="15"/>
      <c r="AV1373" s="15"/>
      <c r="AW1373" s="15"/>
      <c r="AX1373" s="15"/>
      <c r="AY1373" s="15"/>
      <c r="AZ1373" s="18"/>
      <c r="BA1373" s="19">
        <v>2.5000000000000001E-2</v>
      </c>
      <c r="BB1373" s="18"/>
      <c r="BC1373" s="18"/>
      <c r="BD1373" s="18"/>
      <c r="BE1373" s="18"/>
      <c r="BF1373" s="18"/>
      <c r="BG1373" s="18"/>
      <c r="BH1373" s="18"/>
      <c r="BI1373" s="18"/>
      <c r="BJ1373" s="18"/>
      <c r="BK1373" s="18"/>
      <c r="BL1373" s="19">
        <v>0.05</v>
      </c>
      <c r="BM1373" s="18"/>
      <c r="BN1373" s="18"/>
      <c r="BO1373" s="18"/>
      <c r="BP1373" s="18"/>
      <c r="BQ1373" s="18"/>
      <c r="BR1373" s="18"/>
      <c r="BS1373" s="18"/>
      <c r="BT1373" s="18"/>
      <c r="BU1373" s="18"/>
    </row>
    <row r="1374" spans="44:73" x14ac:dyDescent="0.45">
      <c r="AR1374" s="15" t="s">
        <v>328</v>
      </c>
      <c r="AS1374" s="15" t="s">
        <v>567</v>
      </c>
      <c r="AT1374" s="15" t="s">
        <v>996</v>
      </c>
      <c r="AU1374" s="15"/>
      <c r="AV1374" s="15"/>
      <c r="AW1374" s="15"/>
      <c r="AX1374" s="15"/>
      <c r="AY1374" s="15"/>
      <c r="AZ1374" s="18"/>
      <c r="BA1374" s="19">
        <v>2.5000000000000001E-2</v>
      </c>
      <c r="BB1374" s="18"/>
      <c r="BC1374" s="18"/>
      <c r="BD1374" s="18"/>
      <c r="BE1374" s="18"/>
      <c r="BF1374" s="18"/>
      <c r="BG1374" s="18"/>
      <c r="BH1374" s="18"/>
      <c r="BI1374" s="18"/>
      <c r="BJ1374" s="18"/>
      <c r="BK1374" s="18"/>
      <c r="BL1374" s="19">
        <v>0.05</v>
      </c>
      <c r="BM1374" s="18"/>
      <c r="BN1374" s="18"/>
      <c r="BO1374" s="18"/>
      <c r="BP1374" s="18"/>
      <c r="BQ1374" s="18"/>
      <c r="BR1374" s="18"/>
      <c r="BS1374" s="18"/>
      <c r="BT1374" s="18"/>
      <c r="BU1374" s="18"/>
    </row>
    <row r="1375" spans="44:73" x14ac:dyDescent="0.45">
      <c r="AR1375" s="15" t="s">
        <v>328</v>
      </c>
      <c r="AS1375" s="15" t="s">
        <v>567</v>
      </c>
      <c r="AT1375" s="15" t="s">
        <v>997</v>
      </c>
      <c r="AU1375" s="15"/>
      <c r="AV1375" s="15"/>
      <c r="AW1375" s="15"/>
      <c r="AX1375" s="15"/>
      <c r="AY1375" s="15"/>
      <c r="AZ1375" s="18"/>
      <c r="BA1375" s="19">
        <v>2.5000000000000001E-2</v>
      </c>
      <c r="BB1375" s="18"/>
      <c r="BC1375" s="18"/>
      <c r="BD1375" s="18"/>
      <c r="BE1375" s="18"/>
      <c r="BF1375" s="18"/>
      <c r="BG1375" s="18"/>
      <c r="BH1375" s="18"/>
      <c r="BI1375" s="18"/>
      <c r="BJ1375" s="18"/>
      <c r="BK1375" s="18"/>
      <c r="BL1375" s="19">
        <v>0.05</v>
      </c>
      <c r="BM1375" s="18"/>
      <c r="BN1375" s="18"/>
      <c r="BO1375" s="18"/>
      <c r="BP1375" s="18"/>
      <c r="BQ1375" s="18"/>
      <c r="BR1375" s="18"/>
      <c r="BS1375" s="18"/>
      <c r="BT1375" s="18"/>
      <c r="BU1375" s="18"/>
    </row>
    <row r="1376" spans="44:73" x14ac:dyDescent="0.45">
      <c r="AR1376" s="15" t="s">
        <v>328</v>
      </c>
      <c r="AS1376" s="15" t="s">
        <v>567</v>
      </c>
      <c r="AT1376" s="15" t="s">
        <v>998</v>
      </c>
      <c r="AU1376" s="15"/>
      <c r="AV1376" s="15"/>
      <c r="AW1376" s="15"/>
      <c r="AX1376" s="15"/>
      <c r="AY1376" s="15"/>
      <c r="AZ1376" s="18"/>
      <c r="BA1376" s="19">
        <v>2.5000000000000001E-2</v>
      </c>
      <c r="BB1376" s="18"/>
      <c r="BC1376" s="18"/>
      <c r="BD1376" s="18"/>
      <c r="BE1376" s="18"/>
      <c r="BF1376" s="18"/>
      <c r="BG1376" s="18"/>
      <c r="BH1376" s="18"/>
      <c r="BI1376" s="18"/>
      <c r="BJ1376" s="18"/>
      <c r="BK1376" s="18"/>
      <c r="BL1376" s="19">
        <v>0.05</v>
      </c>
      <c r="BM1376" s="18"/>
      <c r="BN1376" s="18"/>
      <c r="BO1376" s="18"/>
      <c r="BP1376" s="18"/>
      <c r="BQ1376" s="18"/>
      <c r="BR1376" s="18"/>
      <c r="BS1376" s="18"/>
      <c r="BT1376" s="18"/>
      <c r="BU1376" s="18"/>
    </row>
    <row r="1377" spans="44:73" x14ac:dyDescent="0.45">
      <c r="AR1377" s="15" t="s">
        <v>328</v>
      </c>
      <c r="AS1377" s="15" t="s">
        <v>567</v>
      </c>
      <c r="AT1377" s="15" t="s">
        <v>999</v>
      </c>
      <c r="AU1377" s="15"/>
      <c r="AV1377" s="15"/>
      <c r="AW1377" s="15"/>
      <c r="AX1377" s="15"/>
      <c r="AY1377" s="15"/>
      <c r="AZ1377" s="18"/>
      <c r="BA1377" s="19">
        <v>2.5000000000000001E-2</v>
      </c>
      <c r="BB1377" s="18"/>
      <c r="BC1377" s="18"/>
      <c r="BD1377" s="18"/>
      <c r="BE1377" s="18"/>
      <c r="BF1377" s="18"/>
      <c r="BG1377" s="18"/>
      <c r="BH1377" s="18"/>
      <c r="BI1377" s="18"/>
      <c r="BJ1377" s="18"/>
      <c r="BK1377" s="18"/>
      <c r="BL1377" s="19">
        <v>0.05</v>
      </c>
      <c r="BM1377" s="18"/>
      <c r="BN1377" s="18"/>
      <c r="BO1377" s="18"/>
      <c r="BP1377" s="18"/>
      <c r="BQ1377" s="18"/>
      <c r="BR1377" s="18"/>
      <c r="BS1377" s="18"/>
      <c r="BT1377" s="18"/>
      <c r="BU1377" s="18"/>
    </row>
    <row r="1378" spans="44:73" x14ac:dyDescent="0.45">
      <c r="AR1378" s="15" t="s">
        <v>328</v>
      </c>
      <c r="AS1378" s="15" t="s">
        <v>567</v>
      </c>
      <c r="AT1378" s="15" t="s">
        <v>1000</v>
      </c>
      <c r="AU1378" s="15"/>
      <c r="AV1378" s="15"/>
      <c r="AW1378" s="15"/>
      <c r="AX1378" s="15"/>
      <c r="AY1378" s="15"/>
      <c r="AZ1378" s="18"/>
      <c r="BA1378" s="19">
        <v>2.5000000000000001E-2</v>
      </c>
      <c r="BB1378" s="18"/>
      <c r="BC1378" s="18"/>
      <c r="BD1378" s="18"/>
      <c r="BE1378" s="18"/>
      <c r="BF1378" s="18"/>
      <c r="BG1378" s="18"/>
      <c r="BH1378" s="18"/>
      <c r="BI1378" s="18"/>
      <c r="BJ1378" s="18"/>
      <c r="BK1378" s="18"/>
      <c r="BL1378" s="19">
        <v>0.05</v>
      </c>
      <c r="BM1378" s="18"/>
      <c r="BN1378" s="18"/>
      <c r="BO1378" s="18"/>
      <c r="BP1378" s="18"/>
      <c r="BQ1378" s="18"/>
      <c r="BR1378" s="18"/>
      <c r="BS1378" s="18"/>
      <c r="BT1378" s="18"/>
      <c r="BU1378" s="18"/>
    </row>
    <row r="1379" spans="44:73" x14ac:dyDescent="0.45">
      <c r="AR1379" s="15" t="s">
        <v>328</v>
      </c>
      <c r="AS1379" s="15" t="s">
        <v>567</v>
      </c>
      <c r="AT1379" s="15" t="s">
        <v>1001</v>
      </c>
      <c r="AU1379" s="15"/>
      <c r="AV1379" s="15"/>
      <c r="AW1379" s="15"/>
      <c r="AX1379" s="15"/>
      <c r="AY1379" s="15"/>
      <c r="AZ1379" s="18"/>
      <c r="BA1379" s="19">
        <v>2.5000000000000001E-2</v>
      </c>
      <c r="BB1379" s="18"/>
      <c r="BC1379" s="18"/>
      <c r="BD1379" s="18"/>
      <c r="BE1379" s="18"/>
      <c r="BF1379" s="18"/>
      <c r="BG1379" s="18"/>
      <c r="BH1379" s="18"/>
      <c r="BI1379" s="18"/>
      <c r="BJ1379" s="18"/>
      <c r="BK1379" s="18"/>
      <c r="BL1379" s="19">
        <v>0.05</v>
      </c>
      <c r="BM1379" s="18"/>
      <c r="BN1379" s="18"/>
      <c r="BO1379" s="18"/>
      <c r="BP1379" s="18"/>
      <c r="BQ1379" s="18"/>
      <c r="BR1379" s="18"/>
      <c r="BS1379" s="18"/>
      <c r="BT1379" s="18"/>
      <c r="BU1379" s="18"/>
    </row>
    <row r="1380" spans="44:73" x14ac:dyDescent="0.45">
      <c r="AR1380" s="15" t="s">
        <v>328</v>
      </c>
      <c r="AS1380" s="15" t="s">
        <v>567</v>
      </c>
      <c r="AT1380" s="15" t="s">
        <v>1002</v>
      </c>
      <c r="AU1380" s="15"/>
      <c r="AV1380" s="15"/>
      <c r="AW1380" s="15"/>
      <c r="AX1380" s="15"/>
      <c r="AY1380" s="15"/>
      <c r="AZ1380" s="18"/>
      <c r="BA1380" s="19">
        <v>2.5000000000000001E-2</v>
      </c>
      <c r="BB1380" s="18"/>
      <c r="BC1380" s="18"/>
      <c r="BD1380" s="18"/>
      <c r="BE1380" s="18"/>
      <c r="BF1380" s="18"/>
      <c r="BG1380" s="18"/>
      <c r="BH1380" s="18"/>
      <c r="BI1380" s="18"/>
      <c r="BJ1380" s="18"/>
      <c r="BK1380" s="18"/>
      <c r="BL1380" s="19">
        <v>0.05</v>
      </c>
      <c r="BM1380" s="18"/>
      <c r="BN1380" s="18"/>
      <c r="BO1380" s="18"/>
      <c r="BP1380" s="18"/>
      <c r="BQ1380" s="18"/>
      <c r="BR1380" s="18"/>
      <c r="BS1380" s="18"/>
      <c r="BT1380" s="18"/>
      <c r="BU1380" s="18"/>
    </row>
    <row r="1381" spans="44:73" x14ac:dyDescent="0.45">
      <c r="AR1381" s="15" t="s">
        <v>328</v>
      </c>
      <c r="AS1381" s="15" t="s">
        <v>567</v>
      </c>
      <c r="AT1381" s="15" t="s">
        <v>1003</v>
      </c>
      <c r="AU1381" s="15"/>
      <c r="AV1381" s="15"/>
      <c r="AW1381" s="15"/>
      <c r="AX1381" s="15"/>
      <c r="AY1381" s="15"/>
      <c r="AZ1381" s="18"/>
      <c r="BA1381" s="19">
        <v>2.5000000000000001E-2</v>
      </c>
      <c r="BB1381" s="18"/>
      <c r="BC1381" s="18"/>
      <c r="BD1381" s="18"/>
      <c r="BE1381" s="18"/>
      <c r="BF1381" s="18"/>
      <c r="BG1381" s="18"/>
      <c r="BH1381" s="18"/>
      <c r="BI1381" s="18"/>
      <c r="BJ1381" s="18"/>
      <c r="BK1381" s="18"/>
      <c r="BL1381" s="19">
        <v>0.05</v>
      </c>
      <c r="BM1381" s="18"/>
      <c r="BN1381" s="18"/>
      <c r="BO1381" s="18"/>
      <c r="BP1381" s="18"/>
      <c r="BQ1381" s="18"/>
      <c r="BR1381" s="18"/>
      <c r="BS1381" s="18"/>
      <c r="BT1381" s="18"/>
      <c r="BU1381" s="18"/>
    </row>
    <row r="1382" spans="44:73" x14ac:dyDescent="0.45">
      <c r="AR1382" s="15" t="s">
        <v>328</v>
      </c>
      <c r="AS1382" s="15" t="s">
        <v>567</v>
      </c>
      <c r="AT1382" s="15" t="s">
        <v>1004</v>
      </c>
      <c r="AU1382" s="15"/>
      <c r="AV1382" s="15"/>
      <c r="AW1382" s="15"/>
      <c r="AX1382" s="15"/>
      <c r="AY1382" s="15"/>
      <c r="AZ1382" s="18"/>
      <c r="BA1382" s="19">
        <v>2.5000000000000001E-2</v>
      </c>
      <c r="BB1382" s="18"/>
      <c r="BC1382" s="18"/>
      <c r="BD1382" s="18"/>
      <c r="BE1382" s="18"/>
      <c r="BF1382" s="18"/>
      <c r="BG1382" s="18"/>
      <c r="BH1382" s="18"/>
      <c r="BI1382" s="18"/>
      <c r="BJ1382" s="18"/>
      <c r="BK1382" s="18"/>
      <c r="BL1382" s="19">
        <v>0.05</v>
      </c>
      <c r="BM1382" s="18"/>
      <c r="BN1382" s="18"/>
      <c r="BO1382" s="18"/>
      <c r="BP1382" s="18"/>
      <c r="BQ1382" s="18"/>
      <c r="BR1382" s="18"/>
      <c r="BS1382" s="18"/>
      <c r="BT1382" s="18"/>
      <c r="BU1382" s="18"/>
    </row>
    <row r="1383" spans="44:73" x14ac:dyDescent="0.45">
      <c r="AR1383" s="15" t="s">
        <v>328</v>
      </c>
      <c r="AS1383" s="15" t="s">
        <v>567</v>
      </c>
      <c r="AT1383" s="15" t="s">
        <v>1005</v>
      </c>
      <c r="AU1383" s="15"/>
      <c r="AV1383" s="15"/>
      <c r="AW1383" s="15"/>
      <c r="AX1383" s="15"/>
      <c r="AY1383" s="15"/>
      <c r="AZ1383" s="18"/>
      <c r="BA1383" s="19">
        <v>2.5000000000000001E-2</v>
      </c>
      <c r="BB1383" s="18"/>
      <c r="BC1383" s="18"/>
      <c r="BD1383" s="18"/>
      <c r="BE1383" s="18"/>
      <c r="BF1383" s="18"/>
      <c r="BG1383" s="18"/>
      <c r="BH1383" s="18"/>
      <c r="BI1383" s="18"/>
      <c r="BJ1383" s="18"/>
      <c r="BK1383" s="18"/>
      <c r="BL1383" s="19">
        <v>0.05</v>
      </c>
      <c r="BM1383" s="18"/>
      <c r="BN1383" s="18"/>
      <c r="BO1383" s="18"/>
      <c r="BP1383" s="18"/>
      <c r="BQ1383" s="18"/>
      <c r="BR1383" s="18"/>
      <c r="BS1383" s="18"/>
      <c r="BT1383" s="18"/>
      <c r="BU1383" s="18"/>
    </row>
    <row r="1384" spans="44:73" x14ac:dyDescent="0.45">
      <c r="AR1384" s="15" t="s">
        <v>328</v>
      </c>
      <c r="AS1384" s="15" t="s">
        <v>567</v>
      </c>
      <c r="AT1384" s="15" t="s">
        <v>1006</v>
      </c>
      <c r="AU1384" s="15"/>
      <c r="AV1384" s="15"/>
      <c r="AW1384" s="15"/>
      <c r="AX1384" s="15"/>
      <c r="AY1384" s="15"/>
      <c r="AZ1384" s="18"/>
      <c r="BA1384" s="19">
        <v>2.5000000000000001E-2</v>
      </c>
      <c r="BB1384" s="18"/>
      <c r="BC1384" s="18"/>
      <c r="BD1384" s="18"/>
      <c r="BE1384" s="18"/>
      <c r="BF1384" s="18"/>
      <c r="BG1384" s="18"/>
      <c r="BH1384" s="18"/>
      <c r="BI1384" s="18"/>
      <c r="BJ1384" s="18"/>
      <c r="BK1384" s="18"/>
      <c r="BL1384" s="19">
        <v>0.05</v>
      </c>
      <c r="BM1384" s="18"/>
      <c r="BN1384" s="18"/>
      <c r="BO1384" s="18"/>
      <c r="BP1384" s="18"/>
      <c r="BQ1384" s="18"/>
      <c r="BR1384" s="18"/>
      <c r="BS1384" s="18"/>
      <c r="BT1384" s="18"/>
      <c r="BU1384" s="18"/>
    </row>
    <row r="1385" spans="44:73" x14ac:dyDescent="0.45">
      <c r="AR1385" s="15" t="s">
        <v>328</v>
      </c>
      <c r="AS1385" s="15" t="s">
        <v>567</v>
      </c>
      <c r="AT1385" s="15" t="s">
        <v>1007</v>
      </c>
      <c r="AU1385" s="15"/>
      <c r="AV1385" s="15"/>
      <c r="AW1385" s="15"/>
      <c r="AX1385" s="15"/>
      <c r="AY1385" s="15"/>
      <c r="AZ1385" s="18"/>
      <c r="BA1385" s="19">
        <v>2.5000000000000001E-2</v>
      </c>
      <c r="BB1385" s="18"/>
      <c r="BC1385" s="18"/>
      <c r="BD1385" s="18"/>
      <c r="BE1385" s="18"/>
      <c r="BF1385" s="18"/>
      <c r="BG1385" s="18"/>
      <c r="BH1385" s="18"/>
      <c r="BI1385" s="18"/>
      <c r="BJ1385" s="18"/>
      <c r="BK1385" s="18"/>
      <c r="BL1385" s="19">
        <v>0.05</v>
      </c>
      <c r="BM1385" s="18"/>
      <c r="BN1385" s="18"/>
      <c r="BO1385" s="18"/>
      <c r="BP1385" s="18"/>
      <c r="BQ1385" s="18"/>
      <c r="BR1385" s="18"/>
      <c r="BS1385" s="18"/>
      <c r="BT1385" s="18"/>
      <c r="BU1385" s="18"/>
    </row>
    <row r="1386" spans="44:73" x14ac:dyDescent="0.45">
      <c r="AR1386" s="15" t="s">
        <v>328</v>
      </c>
      <c r="AS1386" s="15" t="s">
        <v>567</v>
      </c>
      <c r="AT1386" s="15" t="s">
        <v>1008</v>
      </c>
      <c r="AU1386" s="15"/>
      <c r="AV1386" s="15"/>
      <c r="AW1386" s="15"/>
      <c r="AX1386" s="15"/>
      <c r="AY1386" s="15"/>
      <c r="AZ1386" s="18"/>
      <c r="BA1386" s="19">
        <v>2.5000000000000001E-2</v>
      </c>
      <c r="BB1386" s="18"/>
      <c r="BC1386" s="18"/>
      <c r="BD1386" s="18"/>
      <c r="BE1386" s="18"/>
      <c r="BF1386" s="18"/>
      <c r="BG1386" s="18"/>
      <c r="BH1386" s="18"/>
      <c r="BI1386" s="18"/>
      <c r="BJ1386" s="18"/>
      <c r="BK1386" s="18"/>
      <c r="BL1386" s="19">
        <v>0.05</v>
      </c>
      <c r="BM1386" s="18"/>
      <c r="BN1386" s="18"/>
      <c r="BO1386" s="18"/>
      <c r="BP1386" s="18"/>
      <c r="BQ1386" s="18"/>
      <c r="BR1386" s="18"/>
      <c r="BS1386" s="18"/>
      <c r="BT1386" s="18"/>
      <c r="BU1386" s="18"/>
    </row>
    <row r="1387" spans="44:73" x14ac:dyDescent="0.45">
      <c r="AR1387" s="15" t="s">
        <v>328</v>
      </c>
      <c r="AS1387" s="15" t="s">
        <v>567</v>
      </c>
      <c r="AT1387" s="15" t="s">
        <v>1010</v>
      </c>
      <c r="AU1387" s="15"/>
      <c r="AV1387" s="15"/>
      <c r="AW1387" s="15"/>
      <c r="AX1387" s="15"/>
      <c r="AY1387" s="15"/>
      <c r="AZ1387" s="18"/>
      <c r="BA1387" s="19">
        <v>2.5000000000000001E-2</v>
      </c>
      <c r="BB1387" s="18"/>
      <c r="BC1387" s="18"/>
      <c r="BD1387" s="18"/>
      <c r="BE1387" s="18"/>
      <c r="BF1387" s="18"/>
      <c r="BG1387" s="18"/>
      <c r="BH1387" s="18"/>
      <c r="BI1387" s="18"/>
      <c r="BJ1387" s="18"/>
      <c r="BK1387" s="18"/>
      <c r="BL1387" s="19">
        <v>0.05</v>
      </c>
      <c r="BM1387" s="18"/>
      <c r="BN1387" s="18"/>
      <c r="BO1387" s="18"/>
      <c r="BP1387" s="18"/>
      <c r="BQ1387" s="18"/>
      <c r="BR1387" s="18"/>
      <c r="BS1387" s="18"/>
      <c r="BT1387" s="18"/>
      <c r="BU1387" s="18"/>
    </row>
    <row r="1388" spans="44:73" x14ac:dyDescent="0.45">
      <c r="AR1388" s="15" t="s">
        <v>328</v>
      </c>
      <c r="AS1388" s="15" t="s">
        <v>567</v>
      </c>
      <c r="AT1388" s="15" t="s">
        <v>1011</v>
      </c>
      <c r="AU1388" s="15"/>
      <c r="AV1388" s="15"/>
      <c r="AW1388" s="15"/>
      <c r="AX1388" s="15"/>
      <c r="AY1388" s="15"/>
      <c r="AZ1388" s="18"/>
      <c r="BA1388" s="19">
        <v>2.5000000000000001E-2</v>
      </c>
      <c r="BB1388" s="18"/>
      <c r="BC1388" s="18"/>
      <c r="BD1388" s="18"/>
      <c r="BE1388" s="18"/>
      <c r="BF1388" s="18"/>
      <c r="BG1388" s="18"/>
      <c r="BH1388" s="18"/>
      <c r="BI1388" s="18"/>
      <c r="BJ1388" s="18"/>
      <c r="BK1388" s="18"/>
      <c r="BL1388" s="19">
        <v>0.05</v>
      </c>
      <c r="BM1388" s="18"/>
      <c r="BN1388" s="18"/>
      <c r="BO1388" s="18"/>
      <c r="BP1388" s="18"/>
      <c r="BQ1388" s="18"/>
      <c r="BR1388" s="18"/>
      <c r="BS1388" s="18"/>
      <c r="BT1388" s="18"/>
      <c r="BU1388" s="18"/>
    </row>
    <row r="1389" spans="44:73" x14ac:dyDescent="0.45">
      <c r="AR1389" s="15" t="s">
        <v>328</v>
      </c>
      <c r="AS1389" s="15" t="s">
        <v>567</v>
      </c>
      <c r="AT1389" s="15" t="s">
        <v>1012</v>
      </c>
      <c r="AU1389" s="15"/>
      <c r="AV1389" s="15"/>
      <c r="AW1389" s="15"/>
      <c r="AX1389" s="15"/>
      <c r="AY1389" s="15"/>
      <c r="AZ1389" s="18"/>
      <c r="BA1389" s="19">
        <v>2.5000000000000001E-2</v>
      </c>
      <c r="BB1389" s="18"/>
      <c r="BC1389" s="18"/>
      <c r="BD1389" s="18"/>
      <c r="BE1389" s="18"/>
      <c r="BF1389" s="18"/>
      <c r="BG1389" s="18"/>
      <c r="BH1389" s="18"/>
      <c r="BI1389" s="18"/>
      <c r="BJ1389" s="18"/>
      <c r="BK1389" s="18"/>
      <c r="BL1389" s="19">
        <v>0.05</v>
      </c>
      <c r="BM1389" s="18"/>
      <c r="BN1389" s="18"/>
      <c r="BO1389" s="18"/>
      <c r="BP1389" s="18"/>
      <c r="BQ1389" s="18"/>
      <c r="BR1389" s="18"/>
      <c r="BS1389" s="18"/>
      <c r="BT1389" s="18"/>
      <c r="BU1389" s="18"/>
    </row>
    <row r="1390" spans="44:73" x14ac:dyDescent="0.45">
      <c r="AR1390" s="15" t="s">
        <v>328</v>
      </c>
      <c r="AS1390" s="15" t="s">
        <v>567</v>
      </c>
      <c r="AT1390" s="15" t="s">
        <v>1013</v>
      </c>
      <c r="AU1390" s="15"/>
      <c r="AV1390" s="15"/>
      <c r="AW1390" s="15"/>
      <c r="AX1390" s="15"/>
      <c r="AY1390" s="15"/>
      <c r="AZ1390" s="18"/>
      <c r="BA1390" s="19">
        <v>2.5000000000000001E-2</v>
      </c>
      <c r="BB1390" s="18"/>
      <c r="BC1390" s="18"/>
      <c r="BD1390" s="18"/>
      <c r="BE1390" s="18"/>
      <c r="BF1390" s="18"/>
      <c r="BG1390" s="18"/>
      <c r="BH1390" s="18"/>
      <c r="BI1390" s="18"/>
      <c r="BJ1390" s="18"/>
      <c r="BK1390" s="18"/>
      <c r="BL1390" s="19">
        <v>0.05</v>
      </c>
      <c r="BM1390" s="18"/>
      <c r="BN1390" s="18"/>
      <c r="BO1390" s="18"/>
      <c r="BP1390" s="18"/>
      <c r="BQ1390" s="18"/>
      <c r="BR1390" s="18"/>
      <c r="BS1390" s="18"/>
      <c r="BT1390" s="18"/>
      <c r="BU1390" s="18"/>
    </row>
    <row r="1391" spans="44:73" x14ac:dyDescent="0.45">
      <c r="AR1391" s="15" t="s">
        <v>328</v>
      </c>
      <c r="AS1391" s="15" t="s">
        <v>567</v>
      </c>
      <c r="AT1391" s="15" t="s">
        <v>1014</v>
      </c>
      <c r="AU1391" s="15"/>
      <c r="AV1391" s="15"/>
      <c r="AW1391" s="15"/>
      <c r="AX1391" s="15"/>
      <c r="AY1391" s="15"/>
      <c r="AZ1391" s="18"/>
      <c r="BA1391" s="19">
        <v>2.5000000000000001E-2</v>
      </c>
      <c r="BB1391" s="18"/>
      <c r="BC1391" s="18"/>
      <c r="BD1391" s="18"/>
      <c r="BE1391" s="18"/>
      <c r="BF1391" s="18"/>
      <c r="BG1391" s="18"/>
      <c r="BH1391" s="18"/>
      <c r="BI1391" s="18"/>
      <c r="BJ1391" s="18"/>
      <c r="BK1391" s="18"/>
      <c r="BL1391" s="19">
        <v>0.05</v>
      </c>
      <c r="BM1391" s="18"/>
      <c r="BN1391" s="18"/>
      <c r="BO1391" s="18"/>
      <c r="BP1391" s="18"/>
      <c r="BQ1391" s="18"/>
      <c r="BR1391" s="18"/>
      <c r="BS1391" s="18"/>
      <c r="BT1391" s="18"/>
      <c r="BU1391" s="18"/>
    </row>
    <row r="1392" spans="44:73" x14ac:dyDescent="0.45">
      <c r="AR1392" s="15" t="s">
        <v>328</v>
      </c>
      <c r="AS1392" s="15" t="s">
        <v>567</v>
      </c>
      <c r="AT1392" s="15" t="s">
        <v>1015</v>
      </c>
      <c r="AU1392" s="15"/>
      <c r="AV1392" s="15"/>
      <c r="AW1392" s="15"/>
      <c r="AX1392" s="15"/>
      <c r="AY1392" s="15"/>
      <c r="AZ1392" s="18"/>
      <c r="BA1392" s="19">
        <v>2.5000000000000001E-2</v>
      </c>
      <c r="BB1392" s="18"/>
      <c r="BC1392" s="18"/>
      <c r="BD1392" s="18"/>
      <c r="BE1392" s="18"/>
      <c r="BF1392" s="18"/>
      <c r="BG1392" s="18"/>
      <c r="BH1392" s="18"/>
      <c r="BI1392" s="18"/>
      <c r="BJ1392" s="18"/>
      <c r="BK1392" s="18"/>
      <c r="BL1392" s="19">
        <v>0.05</v>
      </c>
      <c r="BM1392" s="18"/>
      <c r="BN1392" s="18"/>
      <c r="BO1392" s="18"/>
      <c r="BP1392" s="18"/>
      <c r="BQ1392" s="18"/>
      <c r="BR1392" s="18"/>
      <c r="BS1392" s="18"/>
      <c r="BT1392" s="18"/>
      <c r="BU1392" s="18"/>
    </row>
    <row r="1393" spans="44:73" x14ac:dyDescent="0.45">
      <c r="AR1393" s="15" t="s">
        <v>328</v>
      </c>
      <c r="AS1393" s="15" t="s">
        <v>567</v>
      </c>
      <c r="AT1393" s="15" t="s">
        <v>1016</v>
      </c>
      <c r="AU1393" s="15"/>
      <c r="AV1393" s="15"/>
      <c r="AW1393" s="15"/>
      <c r="AX1393" s="15"/>
      <c r="AY1393" s="15"/>
      <c r="AZ1393" s="18"/>
      <c r="BA1393" s="19">
        <v>2.5000000000000001E-2</v>
      </c>
      <c r="BB1393" s="18"/>
      <c r="BC1393" s="18"/>
      <c r="BD1393" s="18"/>
      <c r="BE1393" s="18"/>
      <c r="BF1393" s="18"/>
      <c r="BG1393" s="18"/>
      <c r="BH1393" s="18"/>
      <c r="BI1393" s="18"/>
      <c r="BJ1393" s="18"/>
      <c r="BK1393" s="18"/>
      <c r="BL1393" s="19">
        <v>0.05</v>
      </c>
      <c r="BM1393" s="18"/>
      <c r="BN1393" s="18"/>
      <c r="BO1393" s="18"/>
      <c r="BP1393" s="18"/>
      <c r="BQ1393" s="18"/>
      <c r="BR1393" s="18"/>
      <c r="BS1393" s="18"/>
      <c r="BT1393" s="18"/>
      <c r="BU1393" s="18"/>
    </row>
    <row r="1394" spans="44:73" x14ac:dyDescent="0.45">
      <c r="AR1394" s="15" t="s">
        <v>328</v>
      </c>
      <c r="AS1394" s="15" t="s">
        <v>567</v>
      </c>
      <c r="AT1394" s="15" t="s">
        <v>1017</v>
      </c>
      <c r="AU1394" s="15"/>
      <c r="AV1394" s="15"/>
      <c r="AW1394" s="15"/>
      <c r="AX1394" s="15"/>
      <c r="AY1394" s="15"/>
      <c r="AZ1394" s="18"/>
      <c r="BA1394" s="19">
        <v>2.5000000000000001E-2</v>
      </c>
      <c r="BB1394" s="18"/>
      <c r="BC1394" s="18"/>
      <c r="BD1394" s="18"/>
      <c r="BE1394" s="18"/>
      <c r="BF1394" s="18"/>
      <c r="BG1394" s="18"/>
      <c r="BH1394" s="18"/>
      <c r="BI1394" s="18"/>
      <c r="BJ1394" s="18"/>
      <c r="BK1394" s="18"/>
      <c r="BL1394" s="19">
        <v>0.05</v>
      </c>
      <c r="BM1394" s="18"/>
      <c r="BN1394" s="18"/>
      <c r="BO1394" s="18"/>
      <c r="BP1394" s="18"/>
      <c r="BQ1394" s="18"/>
      <c r="BR1394" s="18"/>
      <c r="BS1394" s="18"/>
      <c r="BT1394" s="18"/>
      <c r="BU1394" s="18"/>
    </row>
    <row r="1395" spans="44:73" x14ac:dyDescent="0.45">
      <c r="AR1395" s="15" t="s">
        <v>328</v>
      </c>
      <c r="AS1395" s="15" t="s">
        <v>567</v>
      </c>
      <c r="AT1395" s="15" t="s">
        <v>1018</v>
      </c>
      <c r="AU1395" s="15"/>
      <c r="AV1395" s="15"/>
      <c r="AW1395" s="15"/>
      <c r="AX1395" s="15"/>
      <c r="AY1395" s="15"/>
      <c r="AZ1395" s="18"/>
      <c r="BA1395" s="19">
        <v>2.5000000000000001E-2</v>
      </c>
      <c r="BB1395" s="18"/>
      <c r="BC1395" s="18"/>
      <c r="BD1395" s="18"/>
      <c r="BE1395" s="18"/>
      <c r="BF1395" s="18"/>
      <c r="BG1395" s="18"/>
      <c r="BH1395" s="18"/>
      <c r="BI1395" s="18"/>
      <c r="BJ1395" s="18"/>
      <c r="BK1395" s="18"/>
      <c r="BL1395" s="19">
        <v>0.05</v>
      </c>
      <c r="BM1395" s="18"/>
      <c r="BN1395" s="18"/>
      <c r="BO1395" s="18"/>
      <c r="BP1395" s="18"/>
      <c r="BQ1395" s="18"/>
      <c r="BR1395" s="18"/>
      <c r="BS1395" s="18"/>
      <c r="BT1395" s="18"/>
      <c r="BU1395" s="18"/>
    </row>
    <row r="1396" spans="44:73" x14ac:dyDescent="0.45">
      <c r="AR1396" s="15" t="s">
        <v>328</v>
      </c>
      <c r="AS1396" s="15" t="s">
        <v>567</v>
      </c>
      <c r="AT1396" s="15" t="s">
        <v>1019</v>
      </c>
      <c r="AU1396" s="15"/>
      <c r="AV1396" s="15"/>
      <c r="AW1396" s="15"/>
      <c r="AX1396" s="15"/>
      <c r="AY1396" s="15"/>
      <c r="AZ1396" s="18"/>
      <c r="BA1396" s="19">
        <v>2.5000000000000001E-2</v>
      </c>
      <c r="BB1396" s="18"/>
      <c r="BC1396" s="18"/>
      <c r="BD1396" s="18"/>
      <c r="BE1396" s="18"/>
      <c r="BF1396" s="18"/>
      <c r="BG1396" s="18"/>
      <c r="BH1396" s="18"/>
      <c r="BI1396" s="18"/>
      <c r="BJ1396" s="18"/>
      <c r="BK1396" s="18"/>
      <c r="BL1396" s="19">
        <v>0.05</v>
      </c>
      <c r="BM1396" s="18"/>
      <c r="BN1396" s="18"/>
      <c r="BO1396" s="18"/>
      <c r="BP1396" s="18"/>
      <c r="BQ1396" s="18"/>
      <c r="BR1396" s="18"/>
      <c r="BS1396" s="18"/>
      <c r="BT1396" s="18"/>
      <c r="BU1396" s="18"/>
    </row>
    <row r="1397" spans="44:73" x14ac:dyDescent="0.45">
      <c r="AR1397" s="15" t="s">
        <v>328</v>
      </c>
      <c r="AS1397" s="15" t="s">
        <v>567</v>
      </c>
      <c r="AT1397" s="15" t="s">
        <v>1020</v>
      </c>
      <c r="AU1397" s="15"/>
      <c r="AV1397" s="15"/>
      <c r="AW1397" s="15"/>
      <c r="AX1397" s="15"/>
      <c r="AY1397" s="15"/>
      <c r="AZ1397" s="18"/>
      <c r="BA1397" s="19">
        <v>2.5000000000000001E-2</v>
      </c>
      <c r="BB1397" s="18"/>
      <c r="BC1397" s="18"/>
      <c r="BD1397" s="18"/>
      <c r="BE1397" s="18"/>
      <c r="BF1397" s="18"/>
      <c r="BG1397" s="18"/>
      <c r="BH1397" s="18"/>
      <c r="BI1397" s="18"/>
      <c r="BJ1397" s="18"/>
      <c r="BK1397" s="18"/>
      <c r="BL1397" s="19">
        <v>0.05</v>
      </c>
      <c r="BM1397" s="18"/>
      <c r="BN1397" s="18"/>
      <c r="BO1397" s="18"/>
      <c r="BP1397" s="18"/>
      <c r="BQ1397" s="18"/>
      <c r="BR1397" s="18"/>
      <c r="BS1397" s="18"/>
      <c r="BT1397" s="18"/>
      <c r="BU1397" s="18"/>
    </row>
    <row r="1398" spans="44:73" x14ac:dyDescent="0.45">
      <c r="AR1398" s="15" t="s">
        <v>328</v>
      </c>
      <c r="AS1398" s="15" t="s">
        <v>567</v>
      </c>
      <c r="AT1398" s="15" t="s">
        <v>1021</v>
      </c>
      <c r="AU1398" s="15"/>
      <c r="AV1398" s="15"/>
      <c r="AW1398" s="15"/>
      <c r="AX1398" s="15"/>
      <c r="AY1398" s="15"/>
      <c r="AZ1398" s="18"/>
      <c r="BA1398" s="19">
        <v>2.5000000000000001E-2</v>
      </c>
      <c r="BB1398" s="18"/>
      <c r="BC1398" s="18"/>
      <c r="BD1398" s="18"/>
      <c r="BE1398" s="18"/>
      <c r="BF1398" s="18"/>
      <c r="BG1398" s="18"/>
      <c r="BH1398" s="18"/>
      <c r="BI1398" s="18"/>
      <c r="BJ1398" s="18"/>
      <c r="BK1398" s="18"/>
      <c r="BL1398" s="19">
        <v>0.05</v>
      </c>
      <c r="BM1398" s="18"/>
      <c r="BN1398" s="18"/>
      <c r="BO1398" s="18"/>
      <c r="BP1398" s="18"/>
      <c r="BQ1398" s="18"/>
      <c r="BR1398" s="18"/>
      <c r="BS1398" s="18"/>
      <c r="BT1398" s="18"/>
      <c r="BU1398" s="18"/>
    </row>
    <row r="1399" spans="44:73" x14ac:dyDescent="0.45">
      <c r="AR1399" s="15" t="s">
        <v>328</v>
      </c>
      <c r="AS1399" s="15" t="s">
        <v>567</v>
      </c>
      <c r="AT1399" s="15" t="s">
        <v>1023</v>
      </c>
      <c r="AU1399" s="15"/>
      <c r="AV1399" s="15"/>
      <c r="AW1399" s="15"/>
      <c r="AX1399" s="15"/>
      <c r="AY1399" s="15"/>
      <c r="AZ1399" s="18"/>
      <c r="BA1399" s="19">
        <v>2.5000000000000001E-2</v>
      </c>
      <c r="BB1399" s="18"/>
      <c r="BC1399" s="18"/>
      <c r="BD1399" s="18"/>
      <c r="BE1399" s="18"/>
      <c r="BF1399" s="18"/>
      <c r="BG1399" s="18"/>
      <c r="BH1399" s="18"/>
      <c r="BI1399" s="18"/>
      <c r="BJ1399" s="18"/>
      <c r="BK1399" s="18"/>
      <c r="BL1399" s="19">
        <v>0.05</v>
      </c>
      <c r="BM1399" s="18"/>
      <c r="BN1399" s="18"/>
      <c r="BO1399" s="18"/>
      <c r="BP1399" s="18"/>
      <c r="BQ1399" s="18"/>
      <c r="BR1399" s="18"/>
      <c r="BS1399" s="18"/>
      <c r="BT1399" s="18"/>
      <c r="BU1399" s="18"/>
    </row>
    <row r="1400" spans="44:73" x14ac:dyDescent="0.45">
      <c r="AR1400" s="15" t="s">
        <v>328</v>
      </c>
      <c r="AS1400" s="15" t="s">
        <v>567</v>
      </c>
      <c r="AT1400" s="15" t="s">
        <v>1024</v>
      </c>
      <c r="AU1400" s="15"/>
      <c r="AV1400" s="15"/>
      <c r="AW1400" s="15"/>
      <c r="AX1400" s="15"/>
      <c r="AY1400" s="15"/>
      <c r="AZ1400" s="18"/>
      <c r="BA1400" s="19">
        <v>2.5000000000000001E-2</v>
      </c>
      <c r="BB1400" s="18"/>
      <c r="BC1400" s="18"/>
      <c r="BD1400" s="18"/>
      <c r="BE1400" s="18"/>
      <c r="BF1400" s="18"/>
      <c r="BG1400" s="18"/>
      <c r="BH1400" s="18"/>
      <c r="BI1400" s="18"/>
      <c r="BJ1400" s="18"/>
      <c r="BK1400" s="18"/>
      <c r="BL1400" s="19">
        <v>0.05</v>
      </c>
      <c r="BM1400" s="18"/>
      <c r="BN1400" s="18"/>
      <c r="BO1400" s="18"/>
      <c r="BP1400" s="18"/>
      <c r="BQ1400" s="18"/>
      <c r="BR1400" s="18"/>
      <c r="BS1400" s="18"/>
      <c r="BT1400" s="18"/>
      <c r="BU1400" s="18"/>
    </row>
    <row r="1401" spans="44:73" x14ac:dyDescent="0.45">
      <c r="AR1401" s="15" t="s">
        <v>328</v>
      </c>
      <c r="AS1401" s="15" t="s">
        <v>567</v>
      </c>
      <c r="AT1401" s="15" t="s">
        <v>1025</v>
      </c>
      <c r="AU1401" s="15"/>
      <c r="AV1401" s="15"/>
      <c r="AW1401" s="15"/>
      <c r="AX1401" s="15"/>
      <c r="AY1401" s="15"/>
      <c r="AZ1401" s="18"/>
      <c r="BA1401" s="19">
        <v>2.5000000000000001E-2</v>
      </c>
      <c r="BB1401" s="18"/>
      <c r="BC1401" s="18"/>
      <c r="BD1401" s="18"/>
      <c r="BE1401" s="18"/>
      <c r="BF1401" s="18"/>
      <c r="BG1401" s="18"/>
      <c r="BH1401" s="18"/>
      <c r="BI1401" s="18"/>
      <c r="BJ1401" s="18"/>
      <c r="BK1401" s="18"/>
      <c r="BL1401" s="19">
        <v>0.05</v>
      </c>
      <c r="BM1401" s="18"/>
      <c r="BN1401" s="18"/>
      <c r="BO1401" s="18"/>
      <c r="BP1401" s="18"/>
      <c r="BQ1401" s="18"/>
      <c r="BR1401" s="18"/>
      <c r="BS1401" s="18"/>
      <c r="BT1401" s="18"/>
      <c r="BU1401" s="18"/>
    </row>
    <row r="1402" spans="44:73" x14ac:dyDescent="0.45">
      <c r="AR1402" s="15" t="s">
        <v>328</v>
      </c>
      <c r="AS1402" s="15" t="s">
        <v>567</v>
      </c>
      <c r="AT1402" s="15" t="s">
        <v>1026</v>
      </c>
      <c r="AU1402" s="15"/>
      <c r="AV1402" s="15"/>
      <c r="AW1402" s="15"/>
      <c r="AX1402" s="15"/>
      <c r="AY1402" s="15"/>
      <c r="AZ1402" s="18"/>
      <c r="BA1402" s="19">
        <v>2.5000000000000001E-2</v>
      </c>
      <c r="BB1402" s="18"/>
      <c r="BC1402" s="18"/>
      <c r="BD1402" s="18"/>
      <c r="BE1402" s="18"/>
      <c r="BF1402" s="18"/>
      <c r="BG1402" s="18"/>
      <c r="BH1402" s="18"/>
      <c r="BI1402" s="18"/>
      <c r="BJ1402" s="18"/>
      <c r="BK1402" s="18"/>
      <c r="BL1402" s="19">
        <v>0.05</v>
      </c>
      <c r="BM1402" s="18"/>
      <c r="BN1402" s="18"/>
      <c r="BO1402" s="18"/>
      <c r="BP1402" s="18"/>
      <c r="BQ1402" s="18"/>
      <c r="BR1402" s="18"/>
      <c r="BS1402" s="18"/>
      <c r="BT1402" s="18"/>
      <c r="BU1402" s="18"/>
    </row>
    <row r="1403" spans="44:73" x14ac:dyDescent="0.45">
      <c r="AR1403" s="15" t="s">
        <v>328</v>
      </c>
      <c r="AS1403" s="15" t="s">
        <v>567</v>
      </c>
      <c r="AT1403" s="15" t="s">
        <v>1028</v>
      </c>
      <c r="AU1403" s="15"/>
      <c r="AV1403" s="15"/>
      <c r="AW1403" s="15"/>
      <c r="AX1403" s="15"/>
      <c r="AY1403" s="15"/>
      <c r="AZ1403" s="18"/>
      <c r="BA1403" s="19">
        <v>2.5000000000000001E-2</v>
      </c>
      <c r="BB1403" s="18"/>
      <c r="BC1403" s="18"/>
      <c r="BD1403" s="18"/>
      <c r="BE1403" s="18"/>
      <c r="BF1403" s="18"/>
      <c r="BG1403" s="18"/>
      <c r="BH1403" s="18"/>
      <c r="BI1403" s="18"/>
      <c r="BJ1403" s="18"/>
      <c r="BK1403" s="18"/>
      <c r="BL1403" s="19">
        <v>0.05</v>
      </c>
      <c r="BM1403" s="18"/>
      <c r="BN1403" s="18"/>
      <c r="BO1403" s="18"/>
      <c r="BP1403" s="18"/>
      <c r="BQ1403" s="18"/>
      <c r="BR1403" s="18"/>
      <c r="BS1403" s="18"/>
      <c r="BT1403" s="18"/>
      <c r="BU1403" s="18"/>
    </row>
    <row r="1404" spans="44:73" x14ac:dyDescent="0.45">
      <c r="AR1404" s="15" t="s">
        <v>328</v>
      </c>
      <c r="AS1404" s="15" t="s">
        <v>567</v>
      </c>
      <c r="AT1404" s="15" t="s">
        <v>1029</v>
      </c>
      <c r="AU1404" s="15"/>
      <c r="AV1404" s="15"/>
      <c r="AW1404" s="15"/>
      <c r="AX1404" s="15"/>
      <c r="AY1404" s="15"/>
      <c r="AZ1404" s="18"/>
      <c r="BA1404" s="19">
        <v>2.5000000000000001E-2</v>
      </c>
      <c r="BB1404" s="18"/>
      <c r="BC1404" s="18"/>
      <c r="BD1404" s="18"/>
      <c r="BE1404" s="18"/>
      <c r="BF1404" s="18"/>
      <c r="BG1404" s="18"/>
      <c r="BH1404" s="18"/>
      <c r="BI1404" s="18"/>
      <c r="BJ1404" s="18"/>
      <c r="BK1404" s="18"/>
      <c r="BL1404" s="19">
        <v>0.05</v>
      </c>
      <c r="BM1404" s="18"/>
      <c r="BN1404" s="18"/>
      <c r="BO1404" s="18"/>
      <c r="BP1404" s="18"/>
      <c r="BQ1404" s="18"/>
      <c r="BR1404" s="18"/>
      <c r="BS1404" s="18"/>
      <c r="BT1404" s="18"/>
      <c r="BU1404" s="18"/>
    </row>
    <row r="1405" spans="44:73" x14ac:dyDescent="0.45">
      <c r="AR1405" s="15" t="s">
        <v>328</v>
      </c>
      <c r="AS1405" s="15" t="s">
        <v>567</v>
      </c>
      <c r="AT1405" s="15" t="s">
        <v>1030</v>
      </c>
      <c r="AU1405" s="15"/>
      <c r="AV1405" s="15"/>
      <c r="AW1405" s="15"/>
      <c r="AX1405" s="15"/>
      <c r="AY1405" s="15"/>
      <c r="AZ1405" s="18"/>
      <c r="BA1405" s="19">
        <v>2.5000000000000001E-2</v>
      </c>
      <c r="BB1405" s="18"/>
      <c r="BC1405" s="18"/>
      <c r="BD1405" s="18"/>
      <c r="BE1405" s="18"/>
      <c r="BF1405" s="18"/>
      <c r="BG1405" s="18"/>
      <c r="BH1405" s="18"/>
      <c r="BI1405" s="18"/>
      <c r="BJ1405" s="18"/>
      <c r="BK1405" s="18"/>
      <c r="BL1405" s="19">
        <v>0.05</v>
      </c>
      <c r="BM1405" s="18"/>
      <c r="BN1405" s="18"/>
      <c r="BO1405" s="18"/>
      <c r="BP1405" s="18"/>
      <c r="BQ1405" s="18"/>
      <c r="BR1405" s="18"/>
      <c r="BS1405" s="18"/>
      <c r="BT1405" s="18"/>
      <c r="BU1405" s="18"/>
    </row>
    <row r="1406" spans="44:73" x14ac:dyDescent="0.45">
      <c r="AR1406" s="15" t="s">
        <v>328</v>
      </c>
      <c r="AS1406" s="15" t="s">
        <v>567</v>
      </c>
      <c r="AT1406" s="15" t="s">
        <v>1031</v>
      </c>
      <c r="AU1406" s="15"/>
      <c r="AV1406" s="15"/>
      <c r="AW1406" s="15"/>
      <c r="AX1406" s="15"/>
      <c r="AY1406" s="15"/>
      <c r="AZ1406" s="18"/>
      <c r="BA1406" s="19">
        <v>2.5000000000000001E-2</v>
      </c>
      <c r="BB1406" s="18"/>
      <c r="BC1406" s="18"/>
      <c r="BD1406" s="18"/>
      <c r="BE1406" s="18"/>
      <c r="BF1406" s="18"/>
      <c r="BG1406" s="18"/>
      <c r="BH1406" s="18"/>
      <c r="BI1406" s="18"/>
      <c r="BJ1406" s="18"/>
      <c r="BK1406" s="18"/>
      <c r="BL1406" s="19">
        <v>0.05</v>
      </c>
      <c r="BM1406" s="18"/>
      <c r="BN1406" s="18"/>
      <c r="BO1406" s="18"/>
      <c r="BP1406" s="18"/>
      <c r="BQ1406" s="18"/>
      <c r="BR1406" s="18"/>
      <c r="BS1406" s="18"/>
      <c r="BT1406" s="18"/>
      <c r="BU1406" s="18"/>
    </row>
    <row r="1407" spans="44:73" x14ac:dyDescent="0.45">
      <c r="AR1407" s="15" t="s">
        <v>328</v>
      </c>
      <c r="AS1407" s="15" t="s">
        <v>567</v>
      </c>
      <c r="AT1407" s="15" t="s">
        <v>1032</v>
      </c>
      <c r="AU1407" s="15"/>
      <c r="AV1407" s="15"/>
      <c r="AW1407" s="15"/>
      <c r="AX1407" s="15"/>
      <c r="AY1407" s="15"/>
      <c r="AZ1407" s="18"/>
      <c r="BA1407" s="19">
        <v>2.5000000000000001E-2</v>
      </c>
      <c r="BB1407" s="18"/>
      <c r="BC1407" s="18"/>
      <c r="BD1407" s="18"/>
      <c r="BE1407" s="18"/>
      <c r="BF1407" s="18"/>
      <c r="BG1407" s="18"/>
      <c r="BH1407" s="18"/>
      <c r="BI1407" s="18"/>
      <c r="BJ1407" s="18"/>
      <c r="BK1407" s="18"/>
      <c r="BL1407" s="19">
        <v>0.05</v>
      </c>
      <c r="BM1407" s="18"/>
      <c r="BN1407" s="18"/>
      <c r="BO1407" s="18"/>
      <c r="BP1407" s="18"/>
      <c r="BQ1407" s="18"/>
      <c r="BR1407" s="18"/>
      <c r="BS1407" s="18"/>
      <c r="BT1407" s="18"/>
      <c r="BU1407" s="18"/>
    </row>
    <row r="1408" spans="44:73" x14ac:dyDescent="0.45">
      <c r="AR1408" s="15" t="s">
        <v>328</v>
      </c>
      <c r="AS1408" s="15" t="s">
        <v>567</v>
      </c>
      <c r="AT1408" s="15" t="s">
        <v>1033</v>
      </c>
      <c r="AU1408" s="15"/>
      <c r="AV1408" s="15"/>
      <c r="AW1408" s="15"/>
      <c r="AX1408" s="15"/>
      <c r="AY1408" s="15"/>
      <c r="AZ1408" s="18"/>
      <c r="BA1408" s="19">
        <v>2.5000000000000001E-2</v>
      </c>
      <c r="BB1408" s="18"/>
      <c r="BC1408" s="18"/>
      <c r="BD1408" s="18"/>
      <c r="BE1408" s="18"/>
      <c r="BF1408" s="18"/>
      <c r="BG1408" s="18"/>
      <c r="BH1408" s="18"/>
      <c r="BI1408" s="18"/>
      <c r="BJ1408" s="18"/>
      <c r="BK1408" s="18"/>
      <c r="BL1408" s="19">
        <v>0.05</v>
      </c>
      <c r="BM1408" s="18"/>
      <c r="BN1408" s="18"/>
      <c r="BO1408" s="18"/>
      <c r="BP1408" s="18"/>
      <c r="BQ1408" s="18"/>
      <c r="BR1408" s="18"/>
      <c r="BS1408" s="18"/>
      <c r="BT1408" s="18"/>
      <c r="BU1408" s="18"/>
    </row>
    <row r="1409" spans="44:73" x14ac:dyDescent="0.45">
      <c r="AR1409" s="15" t="s">
        <v>328</v>
      </c>
      <c r="AS1409" s="15" t="s">
        <v>567</v>
      </c>
      <c r="AT1409" s="15" t="s">
        <v>1034</v>
      </c>
      <c r="AU1409" s="15"/>
      <c r="AV1409" s="15"/>
      <c r="AW1409" s="15"/>
      <c r="AX1409" s="15"/>
      <c r="AY1409" s="15"/>
      <c r="AZ1409" s="18"/>
      <c r="BA1409" s="19">
        <v>2.5000000000000001E-2</v>
      </c>
      <c r="BB1409" s="18"/>
      <c r="BC1409" s="18"/>
      <c r="BD1409" s="18"/>
      <c r="BE1409" s="18"/>
      <c r="BF1409" s="18"/>
      <c r="BG1409" s="18"/>
      <c r="BH1409" s="18"/>
      <c r="BI1409" s="18"/>
      <c r="BJ1409" s="18"/>
      <c r="BK1409" s="18"/>
      <c r="BL1409" s="19">
        <v>0.05</v>
      </c>
      <c r="BM1409" s="18"/>
      <c r="BN1409" s="18"/>
      <c r="BO1409" s="18"/>
      <c r="BP1409" s="18"/>
      <c r="BQ1409" s="18"/>
      <c r="BR1409" s="18"/>
      <c r="BS1409" s="18"/>
      <c r="BT1409" s="18"/>
      <c r="BU1409" s="18"/>
    </row>
    <row r="1410" spans="44:73" x14ac:dyDescent="0.45">
      <c r="AR1410" s="15" t="s">
        <v>328</v>
      </c>
      <c r="AS1410" s="15" t="s">
        <v>567</v>
      </c>
      <c r="AT1410" s="15" t="s">
        <v>1035</v>
      </c>
      <c r="AU1410" s="15"/>
      <c r="AV1410" s="15"/>
      <c r="AW1410" s="15"/>
      <c r="AX1410" s="15"/>
      <c r="AY1410" s="15"/>
      <c r="AZ1410" s="18"/>
      <c r="BA1410" s="19">
        <v>2.5000000000000001E-2</v>
      </c>
      <c r="BB1410" s="18"/>
      <c r="BC1410" s="18"/>
      <c r="BD1410" s="18"/>
      <c r="BE1410" s="18"/>
      <c r="BF1410" s="18"/>
      <c r="BG1410" s="18"/>
      <c r="BH1410" s="18"/>
      <c r="BI1410" s="18"/>
      <c r="BJ1410" s="18"/>
      <c r="BK1410" s="18"/>
      <c r="BL1410" s="19">
        <v>0.05</v>
      </c>
      <c r="BM1410" s="18"/>
      <c r="BN1410" s="18"/>
      <c r="BO1410" s="18"/>
      <c r="BP1410" s="18"/>
      <c r="BQ1410" s="18"/>
      <c r="BR1410" s="18"/>
      <c r="BS1410" s="18"/>
      <c r="BT1410" s="18"/>
      <c r="BU1410" s="18"/>
    </row>
    <row r="1411" spans="44:73" x14ac:dyDescent="0.45">
      <c r="AR1411" s="15" t="s">
        <v>328</v>
      </c>
      <c r="AS1411" s="15" t="s">
        <v>567</v>
      </c>
      <c r="AT1411" s="15" t="s">
        <v>1036</v>
      </c>
      <c r="AU1411" s="15"/>
      <c r="AV1411" s="15"/>
      <c r="AW1411" s="15"/>
      <c r="AX1411" s="15"/>
      <c r="AY1411" s="15"/>
      <c r="AZ1411" s="18"/>
      <c r="BA1411" s="19">
        <v>2.5000000000000001E-2</v>
      </c>
      <c r="BB1411" s="18"/>
      <c r="BC1411" s="18"/>
      <c r="BD1411" s="18"/>
      <c r="BE1411" s="18"/>
      <c r="BF1411" s="18"/>
      <c r="BG1411" s="18"/>
      <c r="BH1411" s="18"/>
      <c r="BI1411" s="18"/>
      <c r="BJ1411" s="18"/>
      <c r="BK1411" s="18"/>
      <c r="BL1411" s="19">
        <v>0.05</v>
      </c>
      <c r="BM1411" s="18"/>
      <c r="BN1411" s="18"/>
      <c r="BO1411" s="18"/>
      <c r="BP1411" s="18"/>
      <c r="BQ1411" s="18"/>
      <c r="BR1411" s="18"/>
      <c r="BS1411" s="18"/>
      <c r="BT1411" s="18"/>
      <c r="BU1411" s="18"/>
    </row>
    <row r="1412" spans="44:73" x14ac:dyDescent="0.45">
      <c r="AR1412" s="15" t="s">
        <v>328</v>
      </c>
      <c r="AS1412" s="15" t="s">
        <v>567</v>
      </c>
      <c r="AT1412" s="15" t="s">
        <v>1037</v>
      </c>
      <c r="AU1412" s="15"/>
      <c r="AV1412" s="15"/>
      <c r="AW1412" s="15"/>
      <c r="AX1412" s="15"/>
      <c r="AY1412" s="15"/>
      <c r="AZ1412" s="18"/>
      <c r="BA1412" s="19">
        <v>2.5000000000000001E-2</v>
      </c>
      <c r="BB1412" s="18"/>
      <c r="BC1412" s="18"/>
      <c r="BD1412" s="18"/>
      <c r="BE1412" s="18"/>
      <c r="BF1412" s="18"/>
      <c r="BG1412" s="18"/>
      <c r="BH1412" s="18"/>
      <c r="BI1412" s="18"/>
      <c r="BJ1412" s="18"/>
      <c r="BK1412" s="18"/>
      <c r="BL1412" s="19">
        <v>0.05</v>
      </c>
      <c r="BM1412" s="18"/>
      <c r="BN1412" s="18"/>
      <c r="BO1412" s="18"/>
      <c r="BP1412" s="18"/>
      <c r="BQ1412" s="18"/>
      <c r="BR1412" s="18"/>
      <c r="BS1412" s="18"/>
      <c r="BT1412" s="18"/>
      <c r="BU1412" s="18"/>
    </row>
    <row r="1413" spans="44:73" x14ac:dyDescent="0.45">
      <c r="AR1413" s="15" t="s">
        <v>328</v>
      </c>
      <c r="AS1413" s="15" t="s">
        <v>567</v>
      </c>
      <c r="AT1413" s="15" t="s">
        <v>1039</v>
      </c>
      <c r="AU1413" s="15"/>
      <c r="AV1413" s="15"/>
      <c r="AW1413" s="15"/>
      <c r="AX1413" s="15"/>
      <c r="AY1413" s="15"/>
      <c r="AZ1413" s="18"/>
      <c r="BA1413" s="19">
        <v>2.5000000000000001E-2</v>
      </c>
      <c r="BB1413" s="18"/>
      <c r="BC1413" s="18"/>
      <c r="BD1413" s="18"/>
      <c r="BE1413" s="18"/>
      <c r="BF1413" s="18"/>
      <c r="BG1413" s="18"/>
      <c r="BH1413" s="18"/>
      <c r="BI1413" s="18"/>
      <c r="BJ1413" s="18"/>
      <c r="BK1413" s="18"/>
      <c r="BL1413" s="19">
        <v>0.05</v>
      </c>
      <c r="BM1413" s="18"/>
      <c r="BN1413" s="18"/>
      <c r="BO1413" s="18"/>
      <c r="BP1413" s="18"/>
      <c r="BQ1413" s="18"/>
      <c r="BR1413" s="18"/>
      <c r="BS1413" s="18"/>
      <c r="BT1413" s="18"/>
      <c r="BU1413" s="18"/>
    </row>
    <row r="1414" spans="44:73" x14ac:dyDescent="0.45">
      <c r="AR1414" s="15" t="s">
        <v>328</v>
      </c>
      <c r="AS1414" s="15" t="s">
        <v>567</v>
      </c>
      <c r="AT1414" s="15" t="s">
        <v>1040</v>
      </c>
      <c r="AU1414" s="15"/>
      <c r="AV1414" s="15"/>
      <c r="AW1414" s="15"/>
      <c r="AX1414" s="15"/>
      <c r="AY1414" s="15"/>
      <c r="AZ1414" s="18"/>
      <c r="BA1414" s="19">
        <v>2.5000000000000001E-2</v>
      </c>
      <c r="BB1414" s="18"/>
      <c r="BC1414" s="18"/>
      <c r="BD1414" s="18"/>
      <c r="BE1414" s="18"/>
      <c r="BF1414" s="18"/>
      <c r="BG1414" s="18"/>
      <c r="BH1414" s="18"/>
      <c r="BI1414" s="18"/>
      <c r="BJ1414" s="18"/>
      <c r="BK1414" s="18"/>
      <c r="BL1414" s="19">
        <v>0.05</v>
      </c>
      <c r="BM1414" s="18"/>
      <c r="BN1414" s="18"/>
      <c r="BO1414" s="18"/>
      <c r="BP1414" s="18"/>
      <c r="BQ1414" s="18"/>
      <c r="BR1414" s="18"/>
      <c r="BS1414" s="18"/>
      <c r="BT1414" s="18"/>
      <c r="BU1414" s="18"/>
    </row>
    <row r="1415" spans="44:73" x14ac:dyDescent="0.45">
      <c r="AR1415" s="15" t="s">
        <v>328</v>
      </c>
      <c r="AS1415" s="15" t="s">
        <v>567</v>
      </c>
      <c r="AT1415" s="15" t="s">
        <v>1041</v>
      </c>
      <c r="AU1415" s="15"/>
      <c r="AV1415" s="15"/>
      <c r="AW1415" s="15"/>
      <c r="AX1415" s="15"/>
      <c r="AY1415" s="15"/>
      <c r="AZ1415" s="18"/>
      <c r="BA1415" s="19">
        <v>2.5000000000000001E-2</v>
      </c>
      <c r="BB1415" s="18"/>
      <c r="BC1415" s="18"/>
      <c r="BD1415" s="18"/>
      <c r="BE1415" s="18"/>
      <c r="BF1415" s="18"/>
      <c r="BG1415" s="18"/>
      <c r="BH1415" s="18"/>
      <c r="BI1415" s="18"/>
      <c r="BJ1415" s="18"/>
      <c r="BK1415" s="18"/>
      <c r="BL1415" s="19">
        <v>0.05</v>
      </c>
      <c r="BM1415" s="18"/>
      <c r="BN1415" s="18"/>
      <c r="BO1415" s="18"/>
      <c r="BP1415" s="18"/>
      <c r="BQ1415" s="18"/>
      <c r="BR1415" s="18"/>
      <c r="BS1415" s="18"/>
      <c r="BT1415" s="18"/>
      <c r="BU1415" s="18"/>
    </row>
    <row r="1416" spans="44:73" x14ac:dyDescent="0.45">
      <c r="AR1416" s="15" t="s">
        <v>328</v>
      </c>
      <c r="AS1416" s="15" t="s">
        <v>567</v>
      </c>
      <c r="AT1416" s="15" t="s">
        <v>1042</v>
      </c>
      <c r="AU1416" s="15"/>
      <c r="AV1416" s="15"/>
      <c r="AW1416" s="15"/>
      <c r="AX1416" s="15"/>
      <c r="AY1416" s="15"/>
      <c r="AZ1416" s="18"/>
      <c r="BA1416" s="19">
        <v>2.5000000000000001E-2</v>
      </c>
      <c r="BB1416" s="18"/>
      <c r="BC1416" s="18"/>
      <c r="BD1416" s="18"/>
      <c r="BE1416" s="18"/>
      <c r="BF1416" s="18"/>
      <c r="BG1416" s="18"/>
      <c r="BH1416" s="18"/>
      <c r="BI1416" s="18"/>
      <c r="BJ1416" s="18"/>
      <c r="BK1416" s="18"/>
      <c r="BL1416" s="19">
        <v>0.05</v>
      </c>
      <c r="BM1416" s="18"/>
      <c r="BN1416" s="18"/>
      <c r="BO1416" s="18"/>
      <c r="BP1416" s="18"/>
      <c r="BQ1416" s="18"/>
      <c r="BR1416" s="18"/>
      <c r="BS1416" s="18"/>
      <c r="BT1416" s="18"/>
      <c r="BU1416" s="18"/>
    </row>
    <row r="1417" spans="44:73" x14ac:dyDescent="0.45">
      <c r="AR1417" s="15" t="s">
        <v>328</v>
      </c>
      <c r="AS1417" s="15" t="s">
        <v>567</v>
      </c>
      <c r="AT1417" s="15" t="s">
        <v>1043</v>
      </c>
      <c r="AU1417" s="15"/>
      <c r="AV1417" s="15"/>
      <c r="AW1417" s="15"/>
      <c r="AX1417" s="15"/>
      <c r="AY1417" s="15"/>
      <c r="AZ1417" s="18"/>
      <c r="BA1417" s="19">
        <v>2.5000000000000001E-2</v>
      </c>
      <c r="BB1417" s="18"/>
      <c r="BC1417" s="18"/>
      <c r="BD1417" s="18"/>
      <c r="BE1417" s="18"/>
      <c r="BF1417" s="18"/>
      <c r="BG1417" s="18"/>
      <c r="BH1417" s="18"/>
      <c r="BI1417" s="18"/>
      <c r="BJ1417" s="18"/>
      <c r="BK1417" s="18"/>
      <c r="BL1417" s="19">
        <v>0.05</v>
      </c>
      <c r="BM1417" s="18"/>
      <c r="BN1417" s="18"/>
      <c r="BO1417" s="18"/>
      <c r="BP1417" s="18"/>
      <c r="BQ1417" s="18"/>
      <c r="BR1417" s="18"/>
      <c r="BS1417" s="18"/>
      <c r="BT1417" s="18"/>
      <c r="BU1417" s="18"/>
    </row>
    <row r="1418" spans="44:73" x14ac:dyDescent="0.45">
      <c r="AR1418" s="15" t="s">
        <v>328</v>
      </c>
      <c r="AS1418" s="15" t="s">
        <v>567</v>
      </c>
      <c r="AT1418" s="15" t="s">
        <v>1044</v>
      </c>
      <c r="AU1418" s="15"/>
      <c r="AV1418" s="15"/>
      <c r="AW1418" s="15"/>
      <c r="AX1418" s="15"/>
      <c r="AY1418" s="15"/>
      <c r="AZ1418" s="18"/>
      <c r="BA1418" s="19">
        <v>2.5000000000000001E-2</v>
      </c>
      <c r="BB1418" s="18"/>
      <c r="BC1418" s="18"/>
      <c r="BD1418" s="18"/>
      <c r="BE1418" s="18"/>
      <c r="BF1418" s="18"/>
      <c r="BG1418" s="18"/>
      <c r="BH1418" s="18"/>
      <c r="BI1418" s="18"/>
      <c r="BJ1418" s="18"/>
      <c r="BK1418" s="18"/>
      <c r="BL1418" s="19">
        <v>0.05</v>
      </c>
      <c r="BM1418" s="18"/>
      <c r="BN1418" s="18"/>
      <c r="BO1418" s="18"/>
      <c r="BP1418" s="18"/>
      <c r="BQ1418" s="18"/>
      <c r="BR1418" s="18"/>
      <c r="BS1418" s="18"/>
      <c r="BT1418" s="18"/>
      <c r="BU1418" s="18"/>
    </row>
    <row r="1419" spans="44:73" x14ac:dyDescent="0.45">
      <c r="AR1419" s="15" t="s">
        <v>328</v>
      </c>
      <c r="AS1419" s="15" t="s">
        <v>567</v>
      </c>
      <c r="AT1419" s="15" t="s">
        <v>1045</v>
      </c>
      <c r="AU1419" s="15"/>
      <c r="AV1419" s="15"/>
      <c r="AW1419" s="15"/>
      <c r="AX1419" s="15"/>
      <c r="AY1419" s="15"/>
      <c r="AZ1419" s="18"/>
      <c r="BA1419" s="19">
        <v>2.5000000000000001E-2</v>
      </c>
      <c r="BB1419" s="18"/>
      <c r="BC1419" s="18"/>
      <c r="BD1419" s="18"/>
      <c r="BE1419" s="18"/>
      <c r="BF1419" s="18"/>
      <c r="BG1419" s="18"/>
      <c r="BH1419" s="18"/>
      <c r="BI1419" s="18"/>
      <c r="BJ1419" s="18"/>
      <c r="BK1419" s="18"/>
      <c r="BL1419" s="19">
        <v>0.05</v>
      </c>
      <c r="BM1419" s="18"/>
      <c r="BN1419" s="18"/>
      <c r="BO1419" s="18"/>
      <c r="BP1419" s="18"/>
      <c r="BQ1419" s="18"/>
      <c r="BR1419" s="18"/>
      <c r="BS1419" s="18"/>
      <c r="BT1419" s="18"/>
      <c r="BU1419" s="18"/>
    </row>
    <row r="1420" spans="44:73" x14ac:dyDescent="0.45">
      <c r="AR1420" s="15" t="s">
        <v>328</v>
      </c>
      <c r="AS1420" s="15" t="s">
        <v>567</v>
      </c>
      <c r="AT1420" s="15" t="s">
        <v>1046</v>
      </c>
      <c r="AU1420" s="15"/>
      <c r="AV1420" s="15"/>
      <c r="AW1420" s="15"/>
      <c r="AX1420" s="15"/>
      <c r="AY1420" s="15"/>
      <c r="AZ1420" s="18"/>
      <c r="BA1420" s="19">
        <v>2.5000000000000001E-2</v>
      </c>
      <c r="BB1420" s="18"/>
      <c r="BC1420" s="18"/>
      <c r="BD1420" s="18"/>
      <c r="BE1420" s="18"/>
      <c r="BF1420" s="18"/>
      <c r="BG1420" s="18"/>
      <c r="BH1420" s="18"/>
      <c r="BI1420" s="18"/>
      <c r="BJ1420" s="18"/>
      <c r="BK1420" s="18"/>
      <c r="BL1420" s="19">
        <v>0.05</v>
      </c>
      <c r="BM1420" s="18"/>
      <c r="BN1420" s="18"/>
      <c r="BO1420" s="18"/>
      <c r="BP1420" s="18"/>
      <c r="BQ1420" s="18"/>
      <c r="BR1420" s="18"/>
      <c r="BS1420" s="18"/>
      <c r="BT1420" s="18"/>
      <c r="BU1420" s="18"/>
    </row>
    <row r="1421" spans="44:73" x14ac:dyDescent="0.45">
      <c r="AR1421" s="15" t="s">
        <v>328</v>
      </c>
      <c r="AS1421" s="15" t="s">
        <v>567</v>
      </c>
      <c r="AT1421" s="15" t="s">
        <v>1047</v>
      </c>
      <c r="AU1421" s="15"/>
      <c r="AV1421" s="15"/>
      <c r="AW1421" s="15"/>
      <c r="AX1421" s="15"/>
      <c r="AY1421" s="15"/>
      <c r="AZ1421" s="18"/>
      <c r="BA1421" s="19">
        <v>2.5000000000000001E-2</v>
      </c>
      <c r="BB1421" s="18"/>
      <c r="BC1421" s="18"/>
      <c r="BD1421" s="18"/>
      <c r="BE1421" s="18"/>
      <c r="BF1421" s="18"/>
      <c r="BG1421" s="18"/>
      <c r="BH1421" s="18"/>
      <c r="BI1421" s="18"/>
      <c r="BJ1421" s="18"/>
      <c r="BK1421" s="18"/>
      <c r="BL1421" s="19">
        <v>0.05</v>
      </c>
      <c r="BM1421" s="18"/>
      <c r="BN1421" s="18"/>
      <c r="BO1421" s="18"/>
      <c r="BP1421" s="18"/>
      <c r="BQ1421" s="18"/>
      <c r="BR1421" s="18"/>
      <c r="BS1421" s="18"/>
      <c r="BT1421" s="18"/>
      <c r="BU1421" s="18"/>
    </row>
    <row r="1422" spans="44:73" x14ac:dyDescent="0.45">
      <c r="AR1422" s="15" t="s">
        <v>328</v>
      </c>
      <c r="AS1422" s="15" t="s">
        <v>567</v>
      </c>
      <c r="AT1422" s="15" t="s">
        <v>1048</v>
      </c>
      <c r="AU1422" s="15"/>
      <c r="AV1422" s="15"/>
      <c r="AW1422" s="15"/>
      <c r="AX1422" s="15"/>
      <c r="AY1422" s="15"/>
      <c r="AZ1422" s="18"/>
      <c r="BA1422" s="19">
        <v>2.5000000000000001E-2</v>
      </c>
      <c r="BB1422" s="18"/>
      <c r="BC1422" s="18"/>
      <c r="BD1422" s="18"/>
      <c r="BE1422" s="18"/>
      <c r="BF1422" s="18"/>
      <c r="BG1422" s="18"/>
      <c r="BH1422" s="18"/>
      <c r="BI1422" s="18"/>
      <c r="BJ1422" s="18"/>
      <c r="BK1422" s="18"/>
      <c r="BL1422" s="19">
        <v>0.05</v>
      </c>
      <c r="BM1422" s="18"/>
      <c r="BN1422" s="18"/>
      <c r="BO1422" s="18"/>
      <c r="BP1422" s="18"/>
      <c r="BQ1422" s="18"/>
      <c r="BR1422" s="18"/>
      <c r="BS1422" s="18"/>
      <c r="BT1422" s="18"/>
      <c r="BU1422" s="18"/>
    </row>
    <row r="1423" spans="44:73" x14ac:dyDescent="0.45">
      <c r="AR1423" s="15" t="s">
        <v>328</v>
      </c>
      <c r="AS1423" s="15" t="s">
        <v>567</v>
      </c>
      <c r="AT1423" s="15" t="s">
        <v>1049</v>
      </c>
      <c r="AU1423" s="15"/>
      <c r="AV1423" s="15"/>
      <c r="AW1423" s="15"/>
      <c r="AX1423" s="15"/>
      <c r="AY1423" s="15"/>
      <c r="AZ1423" s="18"/>
      <c r="BA1423" s="19">
        <v>2.5000000000000001E-2</v>
      </c>
      <c r="BB1423" s="18"/>
      <c r="BC1423" s="18"/>
      <c r="BD1423" s="18"/>
      <c r="BE1423" s="18"/>
      <c r="BF1423" s="18"/>
      <c r="BG1423" s="18"/>
      <c r="BH1423" s="18"/>
      <c r="BI1423" s="18"/>
      <c r="BJ1423" s="18"/>
      <c r="BK1423" s="18"/>
      <c r="BL1423" s="19">
        <v>0.05</v>
      </c>
      <c r="BM1423" s="18"/>
      <c r="BN1423" s="18"/>
      <c r="BO1423" s="18"/>
      <c r="BP1423" s="18"/>
      <c r="BQ1423" s="18"/>
      <c r="BR1423" s="18"/>
      <c r="BS1423" s="18"/>
      <c r="BT1423" s="18"/>
      <c r="BU1423" s="18"/>
    </row>
    <row r="1424" spans="44:73" x14ac:dyDescent="0.45">
      <c r="AR1424" s="15" t="s">
        <v>328</v>
      </c>
      <c r="AS1424" s="15" t="s">
        <v>567</v>
      </c>
      <c r="AT1424" s="15" t="s">
        <v>1050</v>
      </c>
      <c r="AU1424" s="15"/>
      <c r="AV1424" s="15"/>
      <c r="AW1424" s="15"/>
      <c r="AX1424" s="15"/>
      <c r="AY1424" s="15"/>
      <c r="AZ1424" s="18"/>
      <c r="BA1424" s="19">
        <v>2.5000000000000001E-2</v>
      </c>
      <c r="BB1424" s="18"/>
      <c r="BC1424" s="18"/>
      <c r="BD1424" s="18"/>
      <c r="BE1424" s="18"/>
      <c r="BF1424" s="18"/>
      <c r="BG1424" s="18"/>
      <c r="BH1424" s="18"/>
      <c r="BI1424" s="18"/>
      <c r="BJ1424" s="18"/>
      <c r="BK1424" s="18"/>
      <c r="BL1424" s="19">
        <v>0.05</v>
      </c>
      <c r="BM1424" s="18"/>
      <c r="BN1424" s="18"/>
      <c r="BO1424" s="18"/>
      <c r="BP1424" s="18"/>
      <c r="BQ1424" s="18"/>
      <c r="BR1424" s="18"/>
      <c r="BS1424" s="18"/>
      <c r="BT1424" s="18"/>
      <c r="BU1424" s="18"/>
    </row>
    <row r="1425" spans="44:73" x14ac:dyDescent="0.45">
      <c r="AR1425" s="15" t="s">
        <v>328</v>
      </c>
      <c r="AS1425" s="15" t="s">
        <v>567</v>
      </c>
      <c r="AT1425" s="15" t="s">
        <v>1051</v>
      </c>
      <c r="AU1425" s="15"/>
      <c r="AV1425" s="15"/>
      <c r="AW1425" s="15"/>
      <c r="AX1425" s="15"/>
      <c r="AY1425" s="15"/>
      <c r="AZ1425" s="18"/>
      <c r="BA1425" s="19">
        <v>2.5000000000000001E-2</v>
      </c>
      <c r="BB1425" s="18"/>
      <c r="BC1425" s="18"/>
      <c r="BD1425" s="18"/>
      <c r="BE1425" s="18"/>
      <c r="BF1425" s="18"/>
      <c r="BG1425" s="18"/>
      <c r="BH1425" s="18"/>
      <c r="BI1425" s="18"/>
      <c r="BJ1425" s="18"/>
      <c r="BK1425" s="18"/>
      <c r="BL1425" s="19">
        <v>0.05</v>
      </c>
      <c r="BM1425" s="18"/>
      <c r="BN1425" s="18"/>
      <c r="BO1425" s="18"/>
      <c r="BP1425" s="18"/>
      <c r="BQ1425" s="18"/>
      <c r="BR1425" s="18"/>
      <c r="BS1425" s="18"/>
      <c r="BT1425" s="18"/>
      <c r="BU1425" s="18"/>
    </row>
    <row r="1426" spans="44:73" x14ac:dyDescent="0.45">
      <c r="AR1426" s="15" t="s">
        <v>328</v>
      </c>
      <c r="AS1426" s="15" t="s">
        <v>567</v>
      </c>
      <c r="AT1426" s="15" t="s">
        <v>1052</v>
      </c>
      <c r="AU1426" s="15"/>
      <c r="AV1426" s="15"/>
      <c r="AW1426" s="15"/>
      <c r="AX1426" s="15"/>
      <c r="AY1426" s="15"/>
      <c r="AZ1426" s="18"/>
      <c r="BA1426" s="19">
        <v>2.5000000000000001E-2</v>
      </c>
      <c r="BB1426" s="18"/>
      <c r="BC1426" s="18"/>
      <c r="BD1426" s="18"/>
      <c r="BE1426" s="18"/>
      <c r="BF1426" s="18"/>
      <c r="BG1426" s="18"/>
      <c r="BH1426" s="18"/>
      <c r="BI1426" s="18"/>
      <c r="BJ1426" s="18"/>
      <c r="BK1426" s="18"/>
      <c r="BL1426" s="19">
        <v>0.05</v>
      </c>
      <c r="BM1426" s="18"/>
      <c r="BN1426" s="18"/>
      <c r="BO1426" s="18"/>
      <c r="BP1426" s="18"/>
      <c r="BQ1426" s="18"/>
      <c r="BR1426" s="18"/>
      <c r="BS1426" s="18"/>
      <c r="BT1426" s="18"/>
      <c r="BU1426" s="18"/>
    </row>
    <row r="1427" spans="44:73" x14ac:dyDescent="0.45">
      <c r="AR1427" s="15" t="s">
        <v>328</v>
      </c>
      <c r="AS1427" s="15" t="s">
        <v>567</v>
      </c>
      <c r="AT1427" s="15" t="s">
        <v>1053</v>
      </c>
      <c r="AU1427" s="15"/>
      <c r="AV1427" s="15"/>
      <c r="AW1427" s="15"/>
      <c r="AX1427" s="15"/>
      <c r="AY1427" s="15"/>
      <c r="AZ1427" s="18"/>
      <c r="BA1427" s="19">
        <v>2.5000000000000001E-2</v>
      </c>
      <c r="BB1427" s="18"/>
      <c r="BC1427" s="18"/>
      <c r="BD1427" s="18"/>
      <c r="BE1427" s="18"/>
      <c r="BF1427" s="18"/>
      <c r="BG1427" s="18"/>
      <c r="BH1427" s="18"/>
      <c r="BI1427" s="18"/>
      <c r="BJ1427" s="18"/>
      <c r="BK1427" s="18"/>
      <c r="BL1427" s="19">
        <v>0.05</v>
      </c>
      <c r="BM1427" s="18"/>
      <c r="BN1427" s="18"/>
      <c r="BO1427" s="18"/>
      <c r="BP1427" s="18"/>
      <c r="BQ1427" s="18"/>
      <c r="BR1427" s="18"/>
      <c r="BS1427" s="18"/>
      <c r="BT1427" s="18"/>
      <c r="BU1427" s="18"/>
    </row>
    <row r="1428" spans="44:73" x14ac:dyDescent="0.45">
      <c r="AR1428" s="15" t="s">
        <v>328</v>
      </c>
      <c r="AS1428" s="15" t="s">
        <v>567</v>
      </c>
      <c r="AT1428" s="15" t="s">
        <v>1054</v>
      </c>
      <c r="AU1428" s="15"/>
      <c r="AV1428" s="15"/>
      <c r="AW1428" s="15"/>
      <c r="AX1428" s="15"/>
      <c r="AY1428" s="15"/>
      <c r="AZ1428" s="18"/>
      <c r="BA1428" s="19">
        <v>2.5000000000000001E-2</v>
      </c>
      <c r="BB1428" s="18"/>
      <c r="BC1428" s="18"/>
      <c r="BD1428" s="18"/>
      <c r="BE1428" s="18"/>
      <c r="BF1428" s="18"/>
      <c r="BG1428" s="18"/>
      <c r="BH1428" s="18"/>
      <c r="BI1428" s="18"/>
      <c r="BJ1428" s="18"/>
      <c r="BK1428" s="18"/>
      <c r="BL1428" s="19">
        <v>0.05</v>
      </c>
      <c r="BM1428" s="18"/>
      <c r="BN1428" s="18"/>
      <c r="BO1428" s="18"/>
      <c r="BP1428" s="18"/>
      <c r="BQ1428" s="18"/>
      <c r="BR1428" s="18"/>
      <c r="BS1428" s="18"/>
      <c r="BT1428" s="18"/>
      <c r="BU1428" s="18"/>
    </row>
    <row r="1429" spans="44:73" x14ac:dyDescent="0.45">
      <c r="AR1429" s="15" t="s">
        <v>328</v>
      </c>
      <c r="AS1429" s="15" t="s">
        <v>567</v>
      </c>
      <c r="AT1429" s="15" t="s">
        <v>1055</v>
      </c>
      <c r="AU1429" s="15"/>
      <c r="AV1429" s="15"/>
      <c r="AW1429" s="15"/>
      <c r="AX1429" s="15"/>
      <c r="AY1429" s="15"/>
      <c r="AZ1429" s="18"/>
      <c r="BA1429" s="19">
        <v>2.5000000000000001E-2</v>
      </c>
      <c r="BB1429" s="18"/>
      <c r="BC1429" s="18"/>
      <c r="BD1429" s="18"/>
      <c r="BE1429" s="18"/>
      <c r="BF1429" s="18"/>
      <c r="BG1429" s="18"/>
      <c r="BH1429" s="18"/>
      <c r="BI1429" s="18"/>
      <c r="BJ1429" s="18"/>
      <c r="BK1429" s="18"/>
      <c r="BL1429" s="19">
        <v>0.05</v>
      </c>
      <c r="BM1429" s="18"/>
      <c r="BN1429" s="18"/>
      <c r="BO1429" s="18"/>
      <c r="BP1429" s="18"/>
      <c r="BQ1429" s="18"/>
      <c r="BR1429" s="18"/>
      <c r="BS1429" s="18"/>
      <c r="BT1429" s="18"/>
      <c r="BU1429" s="18"/>
    </row>
    <row r="1430" spans="44:73" x14ac:dyDescent="0.45">
      <c r="AR1430" s="15" t="s">
        <v>328</v>
      </c>
      <c r="AS1430" s="15" t="s">
        <v>567</v>
      </c>
      <c r="AT1430" s="15" t="s">
        <v>1056</v>
      </c>
      <c r="AU1430" s="15"/>
      <c r="AV1430" s="15"/>
      <c r="AW1430" s="15"/>
      <c r="AX1430" s="15"/>
      <c r="AY1430" s="15"/>
      <c r="AZ1430" s="18"/>
      <c r="BA1430" s="19">
        <v>2.5000000000000001E-2</v>
      </c>
      <c r="BB1430" s="18"/>
      <c r="BC1430" s="18"/>
      <c r="BD1430" s="18"/>
      <c r="BE1430" s="18"/>
      <c r="BF1430" s="18"/>
      <c r="BG1430" s="18"/>
      <c r="BH1430" s="18"/>
      <c r="BI1430" s="18"/>
      <c r="BJ1430" s="18"/>
      <c r="BK1430" s="18"/>
      <c r="BL1430" s="19">
        <v>0.05</v>
      </c>
      <c r="BM1430" s="18"/>
      <c r="BN1430" s="18"/>
      <c r="BO1430" s="18"/>
      <c r="BP1430" s="18"/>
      <c r="BQ1430" s="18"/>
      <c r="BR1430" s="18"/>
      <c r="BS1430" s="18"/>
      <c r="BT1430" s="18"/>
      <c r="BU1430" s="18"/>
    </row>
    <row r="1431" spans="44:73" x14ac:dyDescent="0.45">
      <c r="AR1431" s="15" t="s">
        <v>328</v>
      </c>
      <c r="AS1431" s="15" t="s">
        <v>567</v>
      </c>
      <c r="AT1431" s="15" t="s">
        <v>1057</v>
      </c>
      <c r="AU1431" s="15"/>
      <c r="AV1431" s="15"/>
      <c r="AW1431" s="15"/>
      <c r="AX1431" s="15"/>
      <c r="AY1431" s="15"/>
      <c r="AZ1431" s="18"/>
      <c r="BA1431" s="19">
        <v>2.5000000000000001E-2</v>
      </c>
      <c r="BB1431" s="18"/>
      <c r="BC1431" s="18"/>
      <c r="BD1431" s="18"/>
      <c r="BE1431" s="18"/>
      <c r="BF1431" s="18"/>
      <c r="BG1431" s="18"/>
      <c r="BH1431" s="18"/>
      <c r="BI1431" s="18"/>
      <c r="BJ1431" s="18"/>
      <c r="BK1431" s="18"/>
      <c r="BL1431" s="19">
        <v>0.05</v>
      </c>
      <c r="BM1431" s="18"/>
      <c r="BN1431" s="18"/>
      <c r="BO1431" s="18"/>
      <c r="BP1431" s="18"/>
      <c r="BQ1431" s="18"/>
      <c r="BR1431" s="18"/>
      <c r="BS1431" s="18"/>
      <c r="BT1431" s="18"/>
      <c r="BU1431" s="18"/>
    </row>
    <row r="1432" spans="44:73" x14ac:dyDescent="0.45">
      <c r="AR1432" s="15" t="s">
        <v>328</v>
      </c>
      <c r="AS1432" s="15" t="s">
        <v>567</v>
      </c>
      <c r="AT1432" s="15" t="s">
        <v>1059</v>
      </c>
      <c r="AU1432" s="15"/>
      <c r="AV1432" s="15"/>
      <c r="AW1432" s="15"/>
      <c r="AX1432" s="15"/>
      <c r="AY1432" s="15"/>
      <c r="AZ1432" s="18"/>
      <c r="BA1432" s="19">
        <v>2.5000000000000001E-2</v>
      </c>
      <c r="BB1432" s="18"/>
      <c r="BC1432" s="18"/>
      <c r="BD1432" s="18"/>
      <c r="BE1432" s="18"/>
      <c r="BF1432" s="18"/>
      <c r="BG1432" s="18"/>
      <c r="BH1432" s="18"/>
      <c r="BI1432" s="18"/>
      <c r="BJ1432" s="18"/>
      <c r="BK1432" s="18"/>
      <c r="BL1432" s="19">
        <v>0.05</v>
      </c>
      <c r="BM1432" s="18"/>
      <c r="BN1432" s="18"/>
      <c r="BO1432" s="18"/>
      <c r="BP1432" s="18"/>
      <c r="BQ1432" s="18"/>
      <c r="BR1432" s="18"/>
      <c r="BS1432" s="18"/>
      <c r="BT1432" s="18"/>
      <c r="BU1432" s="18"/>
    </row>
    <row r="1433" spans="44:73" x14ac:dyDescent="0.45">
      <c r="AR1433" s="15" t="s">
        <v>328</v>
      </c>
      <c r="AS1433" s="15" t="s">
        <v>567</v>
      </c>
      <c r="AT1433" s="15" t="s">
        <v>1060</v>
      </c>
      <c r="AU1433" s="15"/>
      <c r="AV1433" s="15"/>
      <c r="AW1433" s="15"/>
      <c r="AX1433" s="15"/>
      <c r="AY1433" s="15"/>
      <c r="AZ1433" s="18"/>
      <c r="BA1433" s="19">
        <v>2.5000000000000001E-2</v>
      </c>
      <c r="BB1433" s="18"/>
      <c r="BC1433" s="18"/>
      <c r="BD1433" s="18"/>
      <c r="BE1433" s="18"/>
      <c r="BF1433" s="18"/>
      <c r="BG1433" s="18"/>
      <c r="BH1433" s="18"/>
      <c r="BI1433" s="18"/>
      <c r="BJ1433" s="18"/>
      <c r="BK1433" s="18"/>
      <c r="BL1433" s="19">
        <v>0.05</v>
      </c>
      <c r="BM1433" s="18"/>
      <c r="BN1433" s="18"/>
      <c r="BO1433" s="18"/>
      <c r="BP1433" s="18"/>
      <c r="BQ1433" s="18"/>
      <c r="BR1433" s="18"/>
      <c r="BS1433" s="18"/>
      <c r="BT1433" s="18"/>
      <c r="BU1433" s="18"/>
    </row>
    <row r="1434" spans="44:73" x14ac:dyDescent="0.45">
      <c r="AR1434" s="15" t="s">
        <v>328</v>
      </c>
      <c r="AS1434" s="15" t="s">
        <v>567</v>
      </c>
      <c r="AT1434" s="15" t="s">
        <v>1061</v>
      </c>
      <c r="AU1434" s="15"/>
      <c r="AV1434" s="15"/>
      <c r="AW1434" s="15"/>
      <c r="AX1434" s="15"/>
      <c r="AY1434" s="15"/>
      <c r="AZ1434" s="18"/>
      <c r="BA1434" s="19">
        <v>2.5000000000000001E-2</v>
      </c>
      <c r="BB1434" s="18"/>
      <c r="BC1434" s="18"/>
      <c r="BD1434" s="18"/>
      <c r="BE1434" s="18"/>
      <c r="BF1434" s="18"/>
      <c r="BG1434" s="18"/>
      <c r="BH1434" s="18"/>
      <c r="BI1434" s="18"/>
      <c r="BJ1434" s="18"/>
      <c r="BK1434" s="18"/>
      <c r="BL1434" s="19">
        <v>0.05</v>
      </c>
      <c r="BM1434" s="18"/>
      <c r="BN1434" s="18"/>
      <c r="BO1434" s="18"/>
      <c r="BP1434" s="18"/>
      <c r="BQ1434" s="18"/>
      <c r="BR1434" s="18"/>
      <c r="BS1434" s="18"/>
      <c r="BT1434" s="18"/>
      <c r="BU1434" s="18"/>
    </row>
    <row r="1435" spans="44:73" x14ac:dyDescent="0.45">
      <c r="AR1435" s="15" t="s">
        <v>328</v>
      </c>
      <c r="AS1435" s="15" t="s">
        <v>567</v>
      </c>
      <c r="AT1435" s="15" t="s">
        <v>1062</v>
      </c>
      <c r="AU1435" s="15"/>
      <c r="AV1435" s="15"/>
      <c r="AW1435" s="15"/>
      <c r="AX1435" s="15"/>
      <c r="AY1435" s="15"/>
      <c r="AZ1435" s="18"/>
      <c r="BA1435" s="19">
        <v>2.5000000000000001E-2</v>
      </c>
      <c r="BB1435" s="18"/>
      <c r="BC1435" s="18"/>
      <c r="BD1435" s="18"/>
      <c r="BE1435" s="18"/>
      <c r="BF1435" s="18"/>
      <c r="BG1435" s="18"/>
      <c r="BH1435" s="18"/>
      <c r="BI1435" s="18"/>
      <c r="BJ1435" s="18"/>
      <c r="BK1435" s="18"/>
      <c r="BL1435" s="19">
        <v>0.05</v>
      </c>
      <c r="BM1435" s="18"/>
      <c r="BN1435" s="18"/>
      <c r="BO1435" s="18"/>
      <c r="BP1435" s="18"/>
      <c r="BQ1435" s="18"/>
      <c r="BR1435" s="18"/>
      <c r="BS1435" s="18"/>
      <c r="BT1435" s="18"/>
      <c r="BU1435" s="18"/>
    </row>
    <row r="1436" spans="44:73" x14ac:dyDescent="0.45">
      <c r="AR1436" s="15" t="s">
        <v>328</v>
      </c>
      <c r="AS1436" s="15" t="s">
        <v>567</v>
      </c>
      <c r="AT1436" s="15" t="s">
        <v>1063</v>
      </c>
      <c r="AU1436" s="15"/>
      <c r="AV1436" s="15"/>
      <c r="AW1436" s="15"/>
      <c r="AX1436" s="15"/>
      <c r="AY1436" s="15"/>
      <c r="AZ1436" s="18"/>
      <c r="BA1436" s="19">
        <v>2.5000000000000001E-2</v>
      </c>
      <c r="BB1436" s="18"/>
      <c r="BC1436" s="18"/>
      <c r="BD1436" s="18"/>
      <c r="BE1436" s="18"/>
      <c r="BF1436" s="18"/>
      <c r="BG1436" s="18"/>
      <c r="BH1436" s="18"/>
      <c r="BI1436" s="18"/>
      <c r="BJ1436" s="18"/>
      <c r="BK1436" s="18"/>
      <c r="BL1436" s="19">
        <v>0.05</v>
      </c>
      <c r="BM1436" s="18"/>
      <c r="BN1436" s="18"/>
      <c r="BO1436" s="18"/>
      <c r="BP1436" s="18"/>
      <c r="BQ1436" s="18"/>
      <c r="BR1436" s="18"/>
      <c r="BS1436" s="18"/>
      <c r="BT1436" s="18"/>
      <c r="BU1436" s="18"/>
    </row>
    <row r="1437" spans="44:73" x14ac:dyDescent="0.45">
      <c r="AR1437" s="15" t="s">
        <v>328</v>
      </c>
      <c r="AS1437" s="15" t="s">
        <v>567</v>
      </c>
      <c r="AT1437" s="15" t="s">
        <v>1064</v>
      </c>
      <c r="AU1437" s="15"/>
      <c r="AV1437" s="15"/>
      <c r="AW1437" s="15"/>
      <c r="AX1437" s="15"/>
      <c r="AY1437" s="15"/>
      <c r="AZ1437" s="18"/>
      <c r="BA1437" s="19">
        <v>2.5000000000000001E-2</v>
      </c>
      <c r="BB1437" s="18"/>
      <c r="BC1437" s="18"/>
      <c r="BD1437" s="18"/>
      <c r="BE1437" s="18"/>
      <c r="BF1437" s="18"/>
      <c r="BG1437" s="18"/>
      <c r="BH1437" s="18"/>
      <c r="BI1437" s="18"/>
      <c r="BJ1437" s="18"/>
      <c r="BK1437" s="18"/>
      <c r="BL1437" s="19">
        <v>0.05</v>
      </c>
      <c r="BM1437" s="18"/>
      <c r="BN1437" s="18"/>
      <c r="BO1437" s="18"/>
      <c r="BP1437" s="18"/>
      <c r="BQ1437" s="18"/>
      <c r="BR1437" s="18"/>
      <c r="BS1437" s="18"/>
      <c r="BT1437" s="18"/>
      <c r="BU1437" s="18"/>
    </row>
    <row r="1438" spans="44:73" x14ac:dyDescent="0.45">
      <c r="AR1438" s="15" t="s">
        <v>328</v>
      </c>
      <c r="AS1438" s="15" t="s">
        <v>567</v>
      </c>
      <c r="AT1438" s="15" t="s">
        <v>1065</v>
      </c>
      <c r="AU1438" s="15"/>
      <c r="AV1438" s="15"/>
      <c r="AW1438" s="15"/>
      <c r="AX1438" s="15"/>
      <c r="AY1438" s="15"/>
      <c r="AZ1438" s="18"/>
      <c r="BA1438" s="19">
        <v>2.5000000000000001E-2</v>
      </c>
      <c r="BB1438" s="18"/>
      <c r="BC1438" s="18"/>
      <c r="BD1438" s="18"/>
      <c r="BE1438" s="18"/>
      <c r="BF1438" s="18"/>
      <c r="BG1438" s="18"/>
      <c r="BH1438" s="18"/>
      <c r="BI1438" s="18"/>
      <c r="BJ1438" s="18"/>
      <c r="BK1438" s="18"/>
      <c r="BL1438" s="19">
        <v>0.05</v>
      </c>
      <c r="BM1438" s="18"/>
      <c r="BN1438" s="18"/>
      <c r="BO1438" s="18"/>
      <c r="BP1438" s="18"/>
      <c r="BQ1438" s="18"/>
      <c r="BR1438" s="18"/>
      <c r="BS1438" s="18"/>
      <c r="BT1438" s="18"/>
      <c r="BU1438" s="18"/>
    </row>
    <row r="1439" spans="44:73" x14ac:dyDescent="0.45">
      <c r="AR1439" s="15" t="s">
        <v>328</v>
      </c>
      <c r="AS1439" s="15" t="s">
        <v>567</v>
      </c>
      <c r="AT1439" s="15" t="s">
        <v>1067</v>
      </c>
      <c r="AU1439" s="15"/>
      <c r="AV1439" s="15"/>
      <c r="AW1439" s="15"/>
      <c r="AX1439" s="15"/>
      <c r="AY1439" s="15"/>
      <c r="AZ1439" s="18"/>
      <c r="BA1439" s="19">
        <v>2.5000000000000001E-2</v>
      </c>
      <c r="BB1439" s="18"/>
      <c r="BC1439" s="18"/>
      <c r="BD1439" s="18"/>
      <c r="BE1439" s="18"/>
      <c r="BF1439" s="18"/>
      <c r="BG1439" s="18"/>
      <c r="BH1439" s="18"/>
      <c r="BI1439" s="18"/>
      <c r="BJ1439" s="18"/>
      <c r="BK1439" s="18"/>
      <c r="BL1439" s="19">
        <v>0.05</v>
      </c>
      <c r="BM1439" s="18"/>
      <c r="BN1439" s="18"/>
      <c r="BO1439" s="18"/>
      <c r="BP1439" s="18"/>
      <c r="BQ1439" s="18"/>
      <c r="BR1439" s="18"/>
      <c r="BS1439" s="18"/>
      <c r="BT1439" s="18"/>
      <c r="BU1439" s="18"/>
    </row>
    <row r="1440" spans="44:73" x14ac:dyDescent="0.45">
      <c r="AR1440" s="15" t="s">
        <v>328</v>
      </c>
      <c r="AS1440" s="15" t="s">
        <v>567</v>
      </c>
      <c r="AT1440" s="15" t="s">
        <v>1068</v>
      </c>
      <c r="AU1440" s="15"/>
      <c r="AV1440" s="15"/>
      <c r="AW1440" s="15"/>
      <c r="AX1440" s="15"/>
      <c r="AY1440" s="15"/>
      <c r="AZ1440" s="18"/>
      <c r="BA1440" s="19">
        <v>2.5000000000000001E-2</v>
      </c>
      <c r="BB1440" s="18"/>
      <c r="BC1440" s="18"/>
      <c r="BD1440" s="18"/>
      <c r="BE1440" s="18"/>
      <c r="BF1440" s="18"/>
      <c r="BG1440" s="18"/>
      <c r="BH1440" s="18"/>
      <c r="BI1440" s="18"/>
      <c r="BJ1440" s="18"/>
      <c r="BK1440" s="18"/>
      <c r="BL1440" s="19">
        <v>0.05</v>
      </c>
      <c r="BM1440" s="18"/>
      <c r="BN1440" s="18"/>
      <c r="BO1440" s="18"/>
      <c r="BP1440" s="18"/>
      <c r="BQ1440" s="18"/>
      <c r="BR1440" s="18"/>
      <c r="BS1440" s="18"/>
      <c r="BT1440" s="18"/>
      <c r="BU1440" s="18"/>
    </row>
    <row r="1441" spans="44:73" x14ac:dyDescent="0.45">
      <c r="AR1441" s="15" t="s">
        <v>328</v>
      </c>
      <c r="AS1441" s="15" t="s">
        <v>567</v>
      </c>
      <c r="AT1441" s="15" t="s">
        <v>1069</v>
      </c>
      <c r="AU1441" s="15"/>
      <c r="AV1441" s="15"/>
      <c r="AW1441" s="15"/>
      <c r="AX1441" s="15"/>
      <c r="AY1441" s="15"/>
      <c r="AZ1441" s="18"/>
      <c r="BA1441" s="19">
        <v>2.5000000000000001E-2</v>
      </c>
      <c r="BB1441" s="18"/>
      <c r="BC1441" s="18"/>
      <c r="BD1441" s="18"/>
      <c r="BE1441" s="18"/>
      <c r="BF1441" s="18"/>
      <c r="BG1441" s="18"/>
      <c r="BH1441" s="18"/>
      <c r="BI1441" s="18"/>
      <c r="BJ1441" s="18"/>
      <c r="BK1441" s="18"/>
      <c r="BL1441" s="19">
        <v>0.05</v>
      </c>
      <c r="BM1441" s="18"/>
      <c r="BN1441" s="18"/>
      <c r="BO1441" s="18"/>
      <c r="BP1441" s="18"/>
      <c r="BQ1441" s="18"/>
      <c r="BR1441" s="18"/>
      <c r="BS1441" s="18"/>
      <c r="BT1441" s="18"/>
      <c r="BU1441" s="18"/>
    </row>
    <row r="1442" spans="44:73" x14ac:dyDescent="0.45">
      <c r="AR1442" s="15" t="s">
        <v>328</v>
      </c>
      <c r="AS1442" s="15" t="s">
        <v>567</v>
      </c>
      <c r="AT1442" s="15" t="s">
        <v>1071</v>
      </c>
      <c r="AU1442" s="15"/>
      <c r="AV1442" s="15"/>
      <c r="AW1442" s="15"/>
      <c r="AX1442" s="15"/>
      <c r="AY1442" s="15"/>
      <c r="AZ1442" s="18"/>
      <c r="BA1442" s="19">
        <v>2.5000000000000001E-2</v>
      </c>
      <c r="BB1442" s="18"/>
      <c r="BC1442" s="18"/>
      <c r="BD1442" s="18"/>
      <c r="BE1442" s="18"/>
      <c r="BF1442" s="18"/>
      <c r="BG1442" s="18"/>
      <c r="BH1442" s="18"/>
      <c r="BI1442" s="18"/>
      <c r="BJ1442" s="18"/>
      <c r="BK1442" s="18"/>
      <c r="BL1442" s="19">
        <v>0.05</v>
      </c>
      <c r="BM1442" s="18"/>
      <c r="BN1442" s="18"/>
      <c r="BO1442" s="18"/>
      <c r="BP1442" s="18"/>
      <c r="BQ1442" s="18"/>
      <c r="BR1442" s="18"/>
      <c r="BS1442" s="18"/>
      <c r="BT1442" s="18"/>
      <c r="BU1442" s="18"/>
    </row>
    <row r="1443" spans="44:73" x14ac:dyDescent="0.45">
      <c r="AR1443" s="15" t="s">
        <v>328</v>
      </c>
      <c r="AS1443" s="15" t="s">
        <v>567</v>
      </c>
      <c r="AT1443" s="15" t="s">
        <v>1072</v>
      </c>
      <c r="AU1443" s="15"/>
      <c r="AV1443" s="15"/>
      <c r="AW1443" s="15"/>
      <c r="AX1443" s="15"/>
      <c r="AY1443" s="15"/>
      <c r="AZ1443" s="18"/>
      <c r="BA1443" s="19">
        <v>2.5000000000000001E-2</v>
      </c>
      <c r="BB1443" s="18"/>
      <c r="BC1443" s="18"/>
      <c r="BD1443" s="18"/>
      <c r="BE1443" s="18"/>
      <c r="BF1443" s="18"/>
      <c r="BG1443" s="18"/>
      <c r="BH1443" s="18"/>
      <c r="BI1443" s="18"/>
      <c r="BJ1443" s="18"/>
      <c r="BK1443" s="18"/>
      <c r="BL1443" s="19">
        <v>0.05</v>
      </c>
      <c r="BM1443" s="18"/>
      <c r="BN1443" s="18"/>
      <c r="BO1443" s="18"/>
      <c r="BP1443" s="18"/>
      <c r="BQ1443" s="18"/>
      <c r="BR1443" s="18"/>
      <c r="BS1443" s="18"/>
      <c r="BT1443" s="18"/>
      <c r="BU1443" s="18"/>
    </row>
    <row r="1444" spans="44:73" x14ac:dyDescent="0.45">
      <c r="AR1444" s="15" t="s">
        <v>328</v>
      </c>
      <c r="AS1444" s="15" t="s">
        <v>567</v>
      </c>
      <c r="AT1444" s="15" t="s">
        <v>1073</v>
      </c>
      <c r="AU1444" s="15"/>
      <c r="AV1444" s="15"/>
      <c r="AW1444" s="15"/>
      <c r="AX1444" s="15"/>
      <c r="AY1444" s="15"/>
      <c r="AZ1444" s="18"/>
      <c r="BA1444" s="19">
        <v>2.5000000000000001E-2</v>
      </c>
      <c r="BB1444" s="18"/>
      <c r="BC1444" s="18"/>
      <c r="BD1444" s="18"/>
      <c r="BE1444" s="18"/>
      <c r="BF1444" s="18"/>
      <c r="BG1444" s="18"/>
      <c r="BH1444" s="18"/>
      <c r="BI1444" s="18"/>
      <c r="BJ1444" s="18"/>
      <c r="BK1444" s="18"/>
      <c r="BL1444" s="19">
        <v>0.05</v>
      </c>
      <c r="BM1444" s="18"/>
      <c r="BN1444" s="18"/>
      <c r="BO1444" s="18"/>
      <c r="BP1444" s="18"/>
      <c r="BQ1444" s="18"/>
      <c r="BR1444" s="18"/>
      <c r="BS1444" s="18"/>
      <c r="BT1444" s="18"/>
      <c r="BU1444" s="18"/>
    </row>
    <row r="1445" spans="44:73" x14ac:dyDescent="0.45">
      <c r="AR1445" s="15" t="s">
        <v>328</v>
      </c>
      <c r="AS1445" s="15" t="s">
        <v>567</v>
      </c>
      <c r="AT1445" s="15" t="s">
        <v>1074</v>
      </c>
      <c r="AU1445" s="15"/>
      <c r="AV1445" s="15"/>
      <c r="AW1445" s="15"/>
      <c r="AX1445" s="15"/>
      <c r="AY1445" s="15"/>
      <c r="AZ1445" s="18"/>
      <c r="BA1445" s="19">
        <v>2.5000000000000001E-2</v>
      </c>
      <c r="BB1445" s="18"/>
      <c r="BC1445" s="18"/>
      <c r="BD1445" s="18"/>
      <c r="BE1445" s="18"/>
      <c r="BF1445" s="18"/>
      <c r="BG1445" s="18"/>
      <c r="BH1445" s="18"/>
      <c r="BI1445" s="18"/>
      <c r="BJ1445" s="18"/>
      <c r="BK1445" s="18"/>
      <c r="BL1445" s="19">
        <v>0.05</v>
      </c>
      <c r="BM1445" s="18"/>
      <c r="BN1445" s="18"/>
      <c r="BO1445" s="18"/>
      <c r="BP1445" s="18"/>
      <c r="BQ1445" s="18"/>
      <c r="BR1445" s="18"/>
      <c r="BS1445" s="18"/>
      <c r="BT1445" s="18"/>
      <c r="BU1445" s="18"/>
    </row>
    <row r="1446" spans="44:73" x14ac:dyDescent="0.45">
      <c r="AR1446" s="15" t="s">
        <v>328</v>
      </c>
      <c r="AS1446" s="15" t="s">
        <v>567</v>
      </c>
      <c r="AT1446" s="15" t="s">
        <v>1075</v>
      </c>
      <c r="AU1446" s="15"/>
      <c r="AV1446" s="15"/>
      <c r="AW1446" s="15"/>
      <c r="AX1446" s="15"/>
      <c r="AY1446" s="15"/>
      <c r="AZ1446" s="18"/>
      <c r="BA1446" s="19">
        <v>2.5000000000000001E-2</v>
      </c>
      <c r="BB1446" s="18"/>
      <c r="BC1446" s="18"/>
      <c r="BD1446" s="18"/>
      <c r="BE1446" s="18"/>
      <c r="BF1446" s="18"/>
      <c r="BG1446" s="18"/>
      <c r="BH1446" s="18"/>
      <c r="BI1446" s="18"/>
      <c r="BJ1446" s="18"/>
      <c r="BK1446" s="18"/>
      <c r="BL1446" s="19">
        <v>0.05</v>
      </c>
      <c r="BM1446" s="18"/>
      <c r="BN1446" s="18"/>
      <c r="BO1446" s="18"/>
      <c r="BP1446" s="18"/>
      <c r="BQ1446" s="18"/>
      <c r="BR1446" s="18"/>
      <c r="BS1446" s="18"/>
      <c r="BT1446" s="18"/>
      <c r="BU1446" s="18"/>
    </row>
    <row r="1447" spans="44:73" x14ac:dyDescent="0.45">
      <c r="AR1447" s="15" t="s">
        <v>328</v>
      </c>
      <c r="AS1447" s="15" t="s">
        <v>567</v>
      </c>
      <c r="AT1447" s="15" t="s">
        <v>1076</v>
      </c>
      <c r="AU1447" s="15"/>
      <c r="AV1447" s="15"/>
      <c r="AW1447" s="15"/>
      <c r="AX1447" s="15"/>
      <c r="AY1447" s="15"/>
      <c r="AZ1447" s="18"/>
      <c r="BA1447" s="19">
        <v>2.5000000000000001E-2</v>
      </c>
      <c r="BB1447" s="18"/>
      <c r="BC1447" s="18"/>
      <c r="BD1447" s="18"/>
      <c r="BE1447" s="18"/>
      <c r="BF1447" s="18"/>
      <c r="BG1447" s="18"/>
      <c r="BH1447" s="18"/>
      <c r="BI1447" s="18"/>
      <c r="BJ1447" s="18"/>
      <c r="BK1447" s="18"/>
      <c r="BL1447" s="19">
        <v>0.05</v>
      </c>
      <c r="BM1447" s="18"/>
      <c r="BN1447" s="18"/>
      <c r="BO1447" s="18"/>
      <c r="BP1447" s="18"/>
      <c r="BQ1447" s="18"/>
      <c r="BR1447" s="18"/>
      <c r="BS1447" s="18"/>
      <c r="BT1447" s="18"/>
      <c r="BU1447" s="18"/>
    </row>
    <row r="1448" spans="44:73" x14ac:dyDescent="0.45">
      <c r="AR1448" s="15" t="s">
        <v>328</v>
      </c>
      <c r="AS1448" s="15" t="s">
        <v>567</v>
      </c>
      <c r="AT1448" s="15" t="s">
        <v>1077</v>
      </c>
      <c r="AU1448" s="15"/>
      <c r="AV1448" s="15"/>
      <c r="AW1448" s="15"/>
      <c r="AX1448" s="15"/>
      <c r="AY1448" s="15"/>
      <c r="AZ1448" s="18"/>
      <c r="BA1448" s="19">
        <v>2.5000000000000001E-2</v>
      </c>
      <c r="BB1448" s="18"/>
      <c r="BC1448" s="18"/>
      <c r="BD1448" s="18"/>
      <c r="BE1448" s="18"/>
      <c r="BF1448" s="18"/>
      <c r="BG1448" s="18"/>
      <c r="BH1448" s="18"/>
      <c r="BI1448" s="18"/>
      <c r="BJ1448" s="18"/>
      <c r="BK1448" s="18"/>
      <c r="BL1448" s="19">
        <v>0.05</v>
      </c>
      <c r="BM1448" s="18"/>
      <c r="BN1448" s="18"/>
      <c r="BO1448" s="18"/>
      <c r="BP1448" s="18"/>
      <c r="BQ1448" s="18"/>
      <c r="BR1448" s="18"/>
      <c r="BS1448" s="18"/>
      <c r="BT1448" s="18"/>
      <c r="BU1448" s="18"/>
    </row>
    <row r="1449" spans="44:73" x14ac:dyDescent="0.45">
      <c r="AR1449" s="15" t="s">
        <v>328</v>
      </c>
      <c r="AS1449" s="15" t="s">
        <v>567</v>
      </c>
      <c r="AT1449" s="15" t="s">
        <v>1078</v>
      </c>
      <c r="AU1449" s="15"/>
      <c r="AV1449" s="15"/>
      <c r="AW1449" s="15"/>
      <c r="AX1449" s="15"/>
      <c r="AY1449" s="15"/>
      <c r="AZ1449" s="18"/>
      <c r="BA1449" s="19">
        <v>2.5000000000000001E-2</v>
      </c>
      <c r="BB1449" s="18"/>
      <c r="BC1449" s="18"/>
      <c r="BD1449" s="18"/>
      <c r="BE1449" s="18"/>
      <c r="BF1449" s="18"/>
      <c r="BG1449" s="18"/>
      <c r="BH1449" s="18"/>
      <c r="BI1449" s="18"/>
      <c r="BJ1449" s="18"/>
      <c r="BK1449" s="18"/>
      <c r="BL1449" s="19">
        <v>0.05</v>
      </c>
      <c r="BM1449" s="18"/>
      <c r="BN1449" s="18"/>
      <c r="BO1449" s="18"/>
      <c r="BP1449" s="18"/>
      <c r="BQ1449" s="18"/>
      <c r="BR1449" s="18"/>
      <c r="BS1449" s="18"/>
      <c r="BT1449" s="18"/>
      <c r="BU1449" s="18"/>
    </row>
    <row r="1450" spans="44:73" x14ac:dyDescent="0.45">
      <c r="AR1450" s="15" t="s">
        <v>328</v>
      </c>
      <c r="AS1450" s="15" t="s">
        <v>567</v>
      </c>
      <c r="AT1450" s="15" t="s">
        <v>1079</v>
      </c>
      <c r="AU1450" s="15"/>
      <c r="AV1450" s="15"/>
      <c r="AW1450" s="15"/>
      <c r="AX1450" s="15"/>
      <c r="AY1450" s="15"/>
      <c r="AZ1450" s="18"/>
      <c r="BA1450" s="19">
        <v>2.5000000000000001E-2</v>
      </c>
      <c r="BB1450" s="18"/>
      <c r="BC1450" s="18"/>
      <c r="BD1450" s="18"/>
      <c r="BE1450" s="18"/>
      <c r="BF1450" s="18"/>
      <c r="BG1450" s="18"/>
      <c r="BH1450" s="18"/>
      <c r="BI1450" s="18"/>
      <c r="BJ1450" s="18"/>
      <c r="BK1450" s="18"/>
      <c r="BL1450" s="19">
        <v>0.05</v>
      </c>
      <c r="BM1450" s="18"/>
      <c r="BN1450" s="18"/>
      <c r="BO1450" s="18"/>
      <c r="BP1450" s="18"/>
      <c r="BQ1450" s="18"/>
      <c r="BR1450" s="18"/>
      <c r="BS1450" s="18"/>
      <c r="BT1450" s="18"/>
      <c r="BU1450" s="18"/>
    </row>
    <row r="1451" spans="44:73" x14ac:dyDescent="0.45">
      <c r="AR1451" s="15" t="s">
        <v>328</v>
      </c>
      <c r="AS1451" s="15" t="s">
        <v>567</v>
      </c>
      <c r="AT1451" s="15" t="s">
        <v>1080</v>
      </c>
      <c r="AU1451" s="15"/>
      <c r="AV1451" s="15"/>
      <c r="AW1451" s="15"/>
      <c r="AX1451" s="15"/>
      <c r="AY1451" s="15"/>
      <c r="AZ1451" s="18"/>
      <c r="BA1451" s="19">
        <v>2.5000000000000001E-2</v>
      </c>
      <c r="BB1451" s="18"/>
      <c r="BC1451" s="18"/>
      <c r="BD1451" s="18"/>
      <c r="BE1451" s="18"/>
      <c r="BF1451" s="18"/>
      <c r="BG1451" s="18"/>
      <c r="BH1451" s="18"/>
      <c r="BI1451" s="18"/>
      <c r="BJ1451" s="18"/>
      <c r="BK1451" s="18"/>
      <c r="BL1451" s="19">
        <v>0.05</v>
      </c>
      <c r="BM1451" s="18"/>
      <c r="BN1451" s="18"/>
      <c r="BO1451" s="18"/>
      <c r="BP1451" s="18"/>
      <c r="BQ1451" s="18"/>
      <c r="BR1451" s="18"/>
      <c r="BS1451" s="18"/>
      <c r="BT1451" s="18"/>
      <c r="BU1451" s="18"/>
    </row>
    <row r="1452" spans="44:73" x14ac:dyDescent="0.45">
      <c r="AR1452" s="15" t="s">
        <v>328</v>
      </c>
      <c r="AS1452" s="15" t="s">
        <v>567</v>
      </c>
      <c r="AT1452" s="15" t="s">
        <v>1081</v>
      </c>
      <c r="AU1452" s="15"/>
      <c r="AV1452" s="15"/>
      <c r="AW1452" s="15"/>
      <c r="AX1452" s="15"/>
      <c r="AY1452" s="15"/>
      <c r="AZ1452" s="18"/>
      <c r="BA1452" s="19">
        <v>2.5000000000000001E-2</v>
      </c>
      <c r="BB1452" s="18"/>
      <c r="BC1452" s="18"/>
      <c r="BD1452" s="18"/>
      <c r="BE1452" s="18"/>
      <c r="BF1452" s="18"/>
      <c r="BG1452" s="18"/>
      <c r="BH1452" s="18"/>
      <c r="BI1452" s="18"/>
      <c r="BJ1452" s="18"/>
      <c r="BK1452" s="18"/>
      <c r="BL1452" s="19">
        <v>0.05</v>
      </c>
      <c r="BM1452" s="18"/>
      <c r="BN1452" s="18"/>
      <c r="BO1452" s="18"/>
      <c r="BP1452" s="18"/>
      <c r="BQ1452" s="18"/>
      <c r="BR1452" s="18"/>
      <c r="BS1452" s="18"/>
      <c r="BT1452" s="18"/>
      <c r="BU1452" s="18"/>
    </row>
    <row r="1453" spans="44:73" x14ac:dyDescent="0.45">
      <c r="AR1453" s="15" t="s">
        <v>328</v>
      </c>
      <c r="AS1453" s="15" t="s">
        <v>567</v>
      </c>
      <c r="AT1453" s="15" t="s">
        <v>1082</v>
      </c>
      <c r="AU1453" s="15"/>
      <c r="AV1453" s="15"/>
      <c r="AW1453" s="15"/>
      <c r="AX1453" s="15"/>
      <c r="AY1453" s="15"/>
      <c r="AZ1453" s="18"/>
      <c r="BA1453" s="19">
        <v>2.5000000000000001E-2</v>
      </c>
      <c r="BB1453" s="18"/>
      <c r="BC1453" s="18"/>
      <c r="BD1453" s="18"/>
      <c r="BE1453" s="18"/>
      <c r="BF1453" s="18"/>
      <c r="BG1453" s="18"/>
      <c r="BH1453" s="18"/>
      <c r="BI1453" s="18"/>
      <c r="BJ1453" s="18"/>
      <c r="BK1453" s="18"/>
      <c r="BL1453" s="19">
        <v>0.05</v>
      </c>
      <c r="BM1453" s="18"/>
      <c r="BN1453" s="18"/>
      <c r="BO1453" s="18"/>
      <c r="BP1453" s="18"/>
      <c r="BQ1453" s="18"/>
      <c r="BR1453" s="18"/>
      <c r="BS1453" s="18"/>
      <c r="BT1453" s="18"/>
      <c r="BU1453" s="18"/>
    </row>
    <row r="1454" spans="44:73" x14ac:dyDescent="0.45">
      <c r="AR1454" s="15" t="s">
        <v>328</v>
      </c>
      <c r="AS1454" s="15" t="s">
        <v>567</v>
      </c>
      <c r="AT1454" s="15" t="s">
        <v>1083</v>
      </c>
      <c r="AU1454" s="15"/>
      <c r="AV1454" s="15"/>
      <c r="AW1454" s="15"/>
      <c r="AX1454" s="15"/>
      <c r="AY1454" s="15"/>
      <c r="AZ1454" s="18"/>
      <c r="BA1454" s="19">
        <v>2.5000000000000001E-2</v>
      </c>
      <c r="BB1454" s="18"/>
      <c r="BC1454" s="18"/>
      <c r="BD1454" s="18"/>
      <c r="BE1454" s="18"/>
      <c r="BF1454" s="18"/>
      <c r="BG1454" s="18"/>
      <c r="BH1454" s="18"/>
      <c r="BI1454" s="18"/>
      <c r="BJ1454" s="18"/>
      <c r="BK1454" s="18"/>
      <c r="BL1454" s="19">
        <v>0.05</v>
      </c>
      <c r="BM1454" s="18"/>
      <c r="BN1454" s="18"/>
      <c r="BO1454" s="18"/>
      <c r="BP1454" s="18"/>
      <c r="BQ1454" s="18"/>
      <c r="BR1454" s="18"/>
      <c r="BS1454" s="18"/>
      <c r="BT1454" s="18"/>
      <c r="BU1454" s="18"/>
    </row>
    <row r="1455" spans="44:73" x14ac:dyDescent="0.45">
      <c r="AR1455" s="15" t="s">
        <v>328</v>
      </c>
      <c r="AS1455" s="15" t="s">
        <v>567</v>
      </c>
      <c r="AT1455" s="15" t="s">
        <v>1084</v>
      </c>
      <c r="AU1455" s="15"/>
      <c r="AV1455" s="15"/>
      <c r="AW1455" s="15"/>
      <c r="AX1455" s="15"/>
      <c r="AY1455" s="15"/>
      <c r="AZ1455" s="18"/>
      <c r="BA1455" s="19">
        <v>2.5000000000000001E-2</v>
      </c>
      <c r="BB1455" s="18"/>
      <c r="BC1455" s="18"/>
      <c r="BD1455" s="18"/>
      <c r="BE1455" s="18"/>
      <c r="BF1455" s="18"/>
      <c r="BG1455" s="18"/>
      <c r="BH1455" s="18"/>
      <c r="BI1455" s="18"/>
      <c r="BJ1455" s="18"/>
      <c r="BK1455" s="18"/>
      <c r="BL1455" s="19">
        <v>0.05</v>
      </c>
      <c r="BM1455" s="18"/>
      <c r="BN1455" s="18"/>
      <c r="BO1455" s="18"/>
      <c r="BP1455" s="18"/>
      <c r="BQ1455" s="18"/>
      <c r="BR1455" s="18"/>
      <c r="BS1455" s="18"/>
      <c r="BT1455" s="18"/>
      <c r="BU1455" s="18"/>
    </row>
    <row r="1456" spans="44:73" x14ac:dyDescent="0.45">
      <c r="AR1456" s="15" t="s">
        <v>328</v>
      </c>
      <c r="AS1456" s="15" t="s">
        <v>567</v>
      </c>
      <c r="AT1456" s="15" t="s">
        <v>1085</v>
      </c>
      <c r="AU1456" s="15"/>
      <c r="AV1456" s="15"/>
      <c r="AW1456" s="15"/>
      <c r="AX1456" s="15"/>
      <c r="AY1456" s="15"/>
      <c r="AZ1456" s="18"/>
      <c r="BA1456" s="19">
        <v>2.5000000000000001E-2</v>
      </c>
      <c r="BB1456" s="18"/>
      <c r="BC1456" s="18"/>
      <c r="BD1456" s="18"/>
      <c r="BE1456" s="18"/>
      <c r="BF1456" s="18"/>
      <c r="BG1456" s="18"/>
      <c r="BH1456" s="18"/>
      <c r="BI1456" s="18"/>
      <c r="BJ1456" s="18"/>
      <c r="BK1456" s="18"/>
      <c r="BL1456" s="19">
        <v>0.05</v>
      </c>
      <c r="BM1456" s="18"/>
      <c r="BN1456" s="18"/>
      <c r="BO1456" s="18"/>
      <c r="BP1456" s="18"/>
      <c r="BQ1456" s="18"/>
      <c r="BR1456" s="18"/>
      <c r="BS1456" s="18"/>
      <c r="BT1456" s="18"/>
      <c r="BU1456" s="18"/>
    </row>
    <row r="1457" spans="44:73" x14ac:dyDescent="0.45">
      <c r="AR1457" s="15" t="s">
        <v>328</v>
      </c>
      <c r="AS1457" s="15" t="s">
        <v>567</v>
      </c>
      <c r="AT1457" s="15" t="s">
        <v>1086</v>
      </c>
      <c r="AU1457" s="15"/>
      <c r="AV1457" s="15"/>
      <c r="AW1457" s="15"/>
      <c r="AX1457" s="15"/>
      <c r="AY1457" s="15"/>
      <c r="AZ1457" s="18"/>
      <c r="BA1457" s="19">
        <v>2.5000000000000001E-2</v>
      </c>
      <c r="BB1457" s="18"/>
      <c r="BC1457" s="18"/>
      <c r="BD1457" s="18"/>
      <c r="BE1457" s="18"/>
      <c r="BF1457" s="18"/>
      <c r="BG1457" s="18"/>
      <c r="BH1457" s="18"/>
      <c r="BI1457" s="18"/>
      <c r="BJ1457" s="18"/>
      <c r="BK1457" s="18"/>
      <c r="BL1457" s="19">
        <v>0.05</v>
      </c>
      <c r="BM1457" s="18"/>
      <c r="BN1457" s="18"/>
      <c r="BO1457" s="18"/>
      <c r="BP1457" s="18"/>
      <c r="BQ1457" s="18"/>
      <c r="BR1457" s="18"/>
      <c r="BS1457" s="18"/>
      <c r="BT1457" s="18"/>
      <c r="BU1457" s="18"/>
    </row>
    <row r="1458" spans="44:73" x14ac:dyDescent="0.45">
      <c r="AR1458" s="15" t="s">
        <v>328</v>
      </c>
      <c r="AS1458" s="15" t="s">
        <v>567</v>
      </c>
      <c r="AT1458" s="15" t="s">
        <v>1087</v>
      </c>
      <c r="AU1458" s="15"/>
      <c r="AV1458" s="15"/>
      <c r="AW1458" s="15"/>
      <c r="AX1458" s="15"/>
      <c r="AY1458" s="15"/>
      <c r="AZ1458" s="18"/>
      <c r="BA1458" s="19">
        <v>2.5000000000000001E-2</v>
      </c>
      <c r="BB1458" s="18"/>
      <c r="BC1458" s="18"/>
      <c r="BD1458" s="18"/>
      <c r="BE1458" s="18"/>
      <c r="BF1458" s="18"/>
      <c r="BG1458" s="18"/>
      <c r="BH1458" s="18"/>
      <c r="BI1458" s="18"/>
      <c r="BJ1458" s="18"/>
      <c r="BK1458" s="18"/>
      <c r="BL1458" s="19">
        <v>0.05</v>
      </c>
      <c r="BM1458" s="18"/>
      <c r="BN1458" s="18"/>
      <c r="BO1458" s="18"/>
      <c r="BP1458" s="18"/>
      <c r="BQ1458" s="18"/>
      <c r="BR1458" s="18"/>
      <c r="BS1458" s="18"/>
      <c r="BT1458" s="18"/>
      <c r="BU1458" s="18"/>
    </row>
    <row r="1459" spans="44:73" x14ac:dyDescent="0.45">
      <c r="AR1459" s="15" t="s">
        <v>328</v>
      </c>
      <c r="AS1459" s="15" t="s">
        <v>567</v>
      </c>
      <c r="AT1459" s="15" t="s">
        <v>1088</v>
      </c>
      <c r="AU1459" s="15"/>
      <c r="AV1459" s="15"/>
      <c r="AW1459" s="15"/>
      <c r="AX1459" s="15"/>
      <c r="AY1459" s="15"/>
      <c r="AZ1459" s="18"/>
      <c r="BA1459" s="19">
        <v>2.5000000000000001E-2</v>
      </c>
      <c r="BB1459" s="18"/>
      <c r="BC1459" s="18"/>
      <c r="BD1459" s="18"/>
      <c r="BE1459" s="18"/>
      <c r="BF1459" s="18"/>
      <c r="BG1459" s="18"/>
      <c r="BH1459" s="18"/>
      <c r="BI1459" s="18"/>
      <c r="BJ1459" s="18"/>
      <c r="BK1459" s="18"/>
      <c r="BL1459" s="19">
        <v>0.05</v>
      </c>
      <c r="BM1459" s="18"/>
      <c r="BN1459" s="18"/>
      <c r="BO1459" s="18"/>
      <c r="BP1459" s="18"/>
      <c r="BQ1459" s="18"/>
      <c r="BR1459" s="18"/>
      <c r="BS1459" s="18"/>
      <c r="BT1459" s="18"/>
      <c r="BU1459" s="18"/>
    </row>
    <row r="1460" spans="44:73" x14ac:dyDescent="0.45">
      <c r="AR1460" s="15" t="s">
        <v>328</v>
      </c>
      <c r="AS1460" s="15" t="s">
        <v>567</v>
      </c>
      <c r="AT1460" s="15" t="s">
        <v>1089</v>
      </c>
      <c r="AU1460" s="15"/>
      <c r="AV1460" s="15"/>
      <c r="AW1460" s="15"/>
      <c r="AX1460" s="15"/>
      <c r="AY1460" s="15"/>
      <c r="AZ1460" s="18"/>
      <c r="BA1460" s="19">
        <v>2.5000000000000001E-2</v>
      </c>
      <c r="BB1460" s="18"/>
      <c r="BC1460" s="18"/>
      <c r="BD1460" s="18"/>
      <c r="BE1460" s="18"/>
      <c r="BF1460" s="18"/>
      <c r="BG1460" s="18"/>
      <c r="BH1460" s="18"/>
      <c r="BI1460" s="18"/>
      <c r="BJ1460" s="18"/>
      <c r="BK1460" s="18"/>
      <c r="BL1460" s="19">
        <v>0.05</v>
      </c>
      <c r="BM1460" s="18"/>
      <c r="BN1460" s="18"/>
      <c r="BO1460" s="18"/>
      <c r="BP1460" s="18"/>
      <c r="BQ1460" s="18"/>
      <c r="BR1460" s="18"/>
      <c r="BS1460" s="18"/>
      <c r="BT1460" s="18"/>
      <c r="BU1460" s="18"/>
    </row>
    <row r="1461" spans="44:73" x14ac:dyDescent="0.45">
      <c r="AR1461" s="15" t="s">
        <v>328</v>
      </c>
      <c r="AS1461" s="15" t="s">
        <v>567</v>
      </c>
      <c r="AT1461" s="15" t="s">
        <v>1090</v>
      </c>
      <c r="AU1461" s="15"/>
      <c r="AV1461" s="15"/>
      <c r="AW1461" s="15"/>
      <c r="AX1461" s="15"/>
      <c r="AY1461" s="15"/>
      <c r="AZ1461" s="18"/>
      <c r="BA1461" s="19">
        <v>2.5000000000000001E-2</v>
      </c>
      <c r="BB1461" s="18"/>
      <c r="BC1461" s="18"/>
      <c r="BD1461" s="18"/>
      <c r="BE1461" s="18"/>
      <c r="BF1461" s="18"/>
      <c r="BG1461" s="18"/>
      <c r="BH1461" s="18"/>
      <c r="BI1461" s="18"/>
      <c r="BJ1461" s="18"/>
      <c r="BK1461" s="18"/>
      <c r="BL1461" s="19">
        <v>0.05</v>
      </c>
      <c r="BM1461" s="18"/>
      <c r="BN1461" s="18"/>
      <c r="BO1461" s="18"/>
      <c r="BP1461" s="18"/>
      <c r="BQ1461" s="18"/>
      <c r="BR1461" s="18"/>
      <c r="BS1461" s="18"/>
      <c r="BT1461" s="18"/>
      <c r="BU1461" s="18"/>
    </row>
    <row r="1462" spans="44:73" x14ac:dyDescent="0.45">
      <c r="AR1462" s="15" t="s">
        <v>328</v>
      </c>
      <c r="AS1462" s="15" t="s">
        <v>567</v>
      </c>
      <c r="AT1462" s="15" t="s">
        <v>1091</v>
      </c>
      <c r="AU1462" s="15"/>
      <c r="AV1462" s="15"/>
      <c r="AW1462" s="15"/>
      <c r="AX1462" s="15"/>
      <c r="AY1462" s="15"/>
      <c r="AZ1462" s="18"/>
      <c r="BA1462" s="19">
        <v>2.5000000000000001E-2</v>
      </c>
      <c r="BB1462" s="18"/>
      <c r="BC1462" s="18"/>
      <c r="BD1462" s="18"/>
      <c r="BE1462" s="18"/>
      <c r="BF1462" s="18"/>
      <c r="BG1462" s="18"/>
      <c r="BH1462" s="18"/>
      <c r="BI1462" s="18"/>
      <c r="BJ1462" s="18"/>
      <c r="BK1462" s="18"/>
      <c r="BL1462" s="19">
        <v>0.05</v>
      </c>
      <c r="BM1462" s="18"/>
      <c r="BN1462" s="18"/>
      <c r="BO1462" s="18"/>
      <c r="BP1462" s="18"/>
      <c r="BQ1462" s="18"/>
      <c r="BR1462" s="18"/>
      <c r="BS1462" s="18"/>
      <c r="BT1462" s="18"/>
      <c r="BU1462" s="18"/>
    </row>
    <row r="1463" spans="44:73" x14ac:dyDescent="0.45">
      <c r="AR1463" s="15" t="s">
        <v>328</v>
      </c>
      <c r="AS1463" s="15" t="s">
        <v>567</v>
      </c>
      <c r="AT1463" s="15" t="s">
        <v>1092</v>
      </c>
      <c r="AU1463" s="15"/>
      <c r="AV1463" s="15"/>
      <c r="AW1463" s="15"/>
      <c r="AX1463" s="15"/>
      <c r="AY1463" s="15"/>
      <c r="AZ1463" s="18"/>
      <c r="BA1463" s="19">
        <v>2.5000000000000001E-2</v>
      </c>
      <c r="BB1463" s="18"/>
      <c r="BC1463" s="18"/>
      <c r="BD1463" s="18"/>
      <c r="BE1463" s="18"/>
      <c r="BF1463" s="18"/>
      <c r="BG1463" s="18"/>
      <c r="BH1463" s="18"/>
      <c r="BI1463" s="18"/>
      <c r="BJ1463" s="18"/>
      <c r="BK1463" s="18"/>
      <c r="BL1463" s="19">
        <v>0.05</v>
      </c>
      <c r="BM1463" s="18"/>
      <c r="BN1463" s="18"/>
      <c r="BO1463" s="18"/>
      <c r="BP1463" s="18"/>
      <c r="BQ1463" s="18"/>
      <c r="BR1463" s="18"/>
      <c r="BS1463" s="18"/>
      <c r="BT1463" s="18"/>
      <c r="BU1463" s="18"/>
    </row>
    <row r="1464" spans="44:73" x14ac:dyDescent="0.45">
      <c r="AR1464" s="15" t="s">
        <v>328</v>
      </c>
      <c r="AS1464" s="15" t="s">
        <v>567</v>
      </c>
      <c r="AT1464" s="15" t="s">
        <v>1093</v>
      </c>
      <c r="AU1464" s="15"/>
      <c r="AV1464" s="15"/>
      <c r="AW1464" s="15"/>
      <c r="AX1464" s="15"/>
      <c r="AY1464" s="15"/>
      <c r="AZ1464" s="18"/>
      <c r="BA1464" s="19">
        <v>2.5000000000000001E-2</v>
      </c>
      <c r="BB1464" s="18"/>
      <c r="BC1464" s="18"/>
      <c r="BD1464" s="18"/>
      <c r="BE1464" s="18"/>
      <c r="BF1464" s="18"/>
      <c r="BG1464" s="18"/>
      <c r="BH1464" s="18"/>
      <c r="BI1464" s="18"/>
      <c r="BJ1464" s="18"/>
      <c r="BK1464" s="18"/>
      <c r="BL1464" s="19">
        <v>0.05</v>
      </c>
      <c r="BM1464" s="18"/>
      <c r="BN1464" s="18"/>
      <c r="BO1464" s="18"/>
      <c r="BP1464" s="18"/>
      <c r="BQ1464" s="18"/>
      <c r="BR1464" s="18"/>
      <c r="BS1464" s="18"/>
      <c r="BT1464" s="18"/>
      <c r="BU1464" s="18"/>
    </row>
    <row r="1465" spans="44:73" x14ac:dyDescent="0.45">
      <c r="AR1465" s="15" t="s">
        <v>328</v>
      </c>
      <c r="AS1465" s="15" t="s">
        <v>567</v>
      </c>
      <c r="AT1465" s="15" t="s">
        <v>1094</v>
      </c>
      <c r="AU1465" s="15"/>
      <c r="AV1465" s="15"/>
      <c r="AW1465" s="15"/>
      <c r="AX1465" s="15"/>
      <c r="AY1465" s="15"/>
      <c r="AZ1465" s="18"/>
      <c r="BA1465" s="19">
        <v>2.5000000000000001E-2</v>
      </c>
      <c r="BB1465" s="18"/>
      <c r="BC1465" s="18"/>
      <c r="BD1465" s="18"/>
      <c r="BE1465" s="18"/>
      <c r="BF1465" s="18"/>
      <c r="BG1465" s="18"/>
      <c r="BH1465" s="18"/>
      <c r="BI1465" s="18"/>
      <c r="BJ1465" s="18"/>
      <c r="BK1465" s="18"/>
      <c r="BL1465" s="19">
        <v>0.05</v>
      </c>
      <c r="BM1465" s="18"/>
      <c r="BN1465" s="18"/>
      <c r="BO1465" s="18"/>
      <c r="BP1465" s="18"/>
      <c r="BQ1465" s="18"/>
      <c r="BR1465" s="18"/>
      <c r="BS1465" s="18"/>
      <c r="BT1465" s="18"/>
      <c r="BU1465" s="18"/>
    </row>
    <row r="1466" spans="44:73" x14ac:dyDescent="0.45">
      <c r="AR1466" s="15" t="s">
        <v>328</v>
      </c>
      <c r="AS1466" s="15" t="s">
        <v>567</v>
      </c>
      <c r="AT1466" s="15" t="s">
        <v>330</v>
      </c>
      <c r="AU1466" s="15"/>
      <c r="AV1466" s="15"/>
      <c r="AW1466" s="15"/>
      <c r="AX1466" s="15"/>
      <c r="AY1466" s="15"/>
      <c r="AZ1466" s="18"/>
      <c r="BA1466" s="19">
        <v>2.5000000000000001E-2</v>
      </c>
      <c r="BB1466" s="18"/>
      <c r="BC1466" s="18"/>
      <c r="BD1466" s="18"/>
      <c r="BE1466" s="18"/>
      <c r="BF1466" s="18"/>
      <c r="BG1466" s="18"/>
      <c r="BH1466" s="18">
        <v>7.0000000000000007E-2</v>
      </c>
      <c r="BI1466" s="18"/>
      <c r="BJ1466" s="18"/>
      <c r="BK1466" s="18"/>
      <c r="BL1466" s="19">
        <v>0.05</v>
      </c>
      <c r="BM1466" s="18"/>
      <c r="BN1466" s="18"/>
      <c r="BO1466" s="18"/>
      <c r="BP1466" s="18"/>
      <c r="BQ1466" s="18"/>
      <c r="BR1466" s="18"/>
      <c r="BS1466" s="18">
        <v>7.0000000000000007E-2</v>
      </c>
      <c r="BT1466" s="18"/>
      <c r="BU1466" s="18"/>
    </row>
    <row r="1467" spans="44:73" x14ac:dyDescent="0.45">
      <c r="AR1467" s="15" t="s">
        <v>328</v>
      </c>
      <c r="AS1467" s="15" t="s">
        <v>567</v>
      </c>
      <c r="AT1467" s="15" t="s">
        <v>1095</v>
      </c>
      <c r="AU1467" s="15"/>
      <c r="AV1467" s="15"/>
      <c r="AW1467" s="15"/>
      <c r="AX1467" s="15"/>
      <c r="AY1467" s="15"/>
      <c r="AZ1467" s="18"/>
      <c r="BA1467" s="19">
        <v>2.5000000000000001E-2</v>
      </c>
      <c r="BB1467" s="18"/>
      <c r="BC1467" s="18"/>
      <c r="BD1467" s="18"/>
      <c r="BE1467" s="18"/>
      <c r="BF1467" s="18"/>
      <c r="BG1467" s="18"/>
      <c r="BH1467" s="18">
        <v>7.0000000000000007E-2</v>
      </c>
      <c r="BI1467" s="18"/>
      <c r="BJ1467" s="18"/>
      <c r="BK1467" s="18"/>
      <c r="BL1467" s="19">
        <v>0.05</v>
      </c>
      <c r="BM1467" s="18"/>
      <c r="BN1467" s="18"/>
      <c r="BO1467" s="18"/>
      <c r="BP1467" s="18"/>
      <c r="BQ1467" s="18"/>
      <c r="BR1467" s="18"/>
      <c r="BS1467" s="18">
        <v>7.0000000000000007E-2</v>
      </c>
      <c r="BT1467" s="18"/>
      <c r="BU1467" s="18"/>
    </row>
    <row r="1468" spans="44:73" x14ac:dyDescent="0.45">
      <c r="AR1468" s="15" t="s">
        <v>328</v>
      </c>
      <c r="AS1468" s="15" t="s">
        <v>567</v>
      </c>
      <c r="AT1468" s="15" t="s">
        <v>331</v>
      </c>
      <c r="AU1468" s="15"/>
      <c r="AV1468" s="15"/>
      <c r="AW1468" s="15"/>
      <c r="AX1468" s="15"/>
      <c r="AY1468" s="15"/>
      <c r="AZ1468" s="18"/>
      <c r="BA1468" s="19">
        <v>2.5000000000000001E-2</v>
      </c>
      <c r="BB1468" s="18"/>
      <c r="BC1468" s="18"/>
      <c r="BD1468" s="18"/>
      <c r="BE1468" s="18"/>
      <c r="BF1468" s="18"/>
      <c r="BG1468" s="18"/>
      <c r="BH1468" s="18">
        <v>7.0000000000000007E-2</v>
      </c>
      <c r="BI1468" s="18"/>
      <c r="BJ1468" s="18"/>
      <c r="BK1468" s="18"/>
      <c r="BL1468" s="19">
        <v>0.05</v>
      </c>
      <c r="BM1468" s="18"/>
      <c r="BN1468" s="18"/>
      <c r="BO1468" s="18"/>
      <c r="BP1468" s="18"/>
      <c r="BQ1468" s="18"/>
      <c r="BR1468" s="18"/>
      <c r="BS1468" s="18">
        <v>7.0000000000000007E-2</v>
      </c>
      <c r="BT1468" s="18"/>
      <c r="BU1468" s="18"/>
    </row>
    <row r="1469" spans="44:73" x14ac:dyDescent="0.45">
      <c r="AR1469" s="15" t="s">
        <v>328</v>
      </c>
      <c r="AS1469" s="15" t="s">
        <v>567</v>
      </c>
      <c r="AT1469" s="15" t="s">
        <v>341</v>
      </c>
      <c r="AU1469" s="15"/>
      <c r="AV1469" s="15"/>
      <c r="AW1469" s="15"/>
      <c r="AX1469" s="15"/>
      <c r="AY1469" s="15"/>
      <c r="AZ1469" s="18"/>
      <c r="BA1469" s="19">
        <v>2.5000000000000001E-2</v>
      </c>
      <c r="BB1469" s="18"/>
      <c r="BC1469" s="18"/>
      <c r="BD1469" s="18"/>
      <c r="BE1469" s="18"/>
      <c r="BF1469" s="18"/>
      <c r="BG1469" s="18"/>
      <c r="BH1469" s="18"/>
      <c r="BI1469" s="18"/>
      <c r="BJ1469" s="18"/>
      <c r="BK1469" s="18"/>
      <c r="BL1469" s="19">
        <v>0.05</v>
      </c>
      <c r="BM1469" s="18"/>
      <c r="BN1469" s="18"/>
      <c r="BO1469" s="18"/>
      <c r="BP1469" s="18"/>
      <c r="BQ1469" s="18"/>
      <c r="BR1469" s="18"/>
      <c r="BS1469" s="18"/>
      <c r="BT1469" s="18"/>
      <c r="BU1469" s="18"/>
    </row>
    <row r="1470" spans="44:73" x14ac:dyDescent="0.45">
      <c r="AR1470" s="15" t="s">
        <v>328</v>
      </c>
      <c r="AS1470" s="15" t="s">
        <v>567</v>
      </c>
      <c r="AT1470" s="15" t="s">
        <v>342</v>
      </c>
      <c r="AU1470" s="15"/>
      <c r="AV1470" s="15"/>
      <c r="AW1470" s="15"/>
      <c r="AX1470" s="15"/>
      <c r="AY1470" s="15"/>
      <c r="AZ1470" s="18"/>
      <c r="BA1470" s="19">
        <v>2.5000000000000001E-2</v>
      </c>
      <c r="BB1470" s="18"/>
      <c r="BC1470" s="18"/>
      <c r="BD1470" s="18"/>
      <c r="BE1470" s="18"/>
      <c r="BF1470" s="18"/>
      <c r="BG1470" s="18"/>
      <c r="BH1470" s="18"/>
      <c r="BI1470" s="18"/>
      <c r="BJ1470" s="18"/>
      <c r="BK1470" s="18"/>
      <c r="BL1470" s="19">
        <v>0.05</v>
      </c>
      <c r="BM1470" s="18"/>
      <c r="BN1470" s="18"/>
      <c r="BO1470" s="18"/>
      <c r="BP1470" s="18"/>
      <c r="BQ1470" s="18"/>
      <c r="BR1470" s="18"/>
      <c r="BS1470" s="18"/>
      <c r="BT1470" s="18"/>
      <c r="BU1470" s="18"/>
    </row>
    <row r="1471" spans="44:73" x14ac:dyDescent="0.45">
      <c r="AR1471" s="15" t="s">
        <v>328</v>
      </c>
      <c r="AS1471" s="15" t="s">
        <v>567</v>
      </c>
      <c r="AT1471" s="15" t="s">
        <v>1096</v>
      </c>
      <c r="AU1471" s="15"/>
      <c r="AV1471" s="15"/>
      <c r="AW1471" s="15"/>
      <c r="AX1471" s="15"/>
      <c r="AY1471" s="15"/>
      <c r="AZ1471" s="18"/>
      <c r="BA1471" s="19">
        <v>2.5000000000000001E-2</v>
      </c>
      <c r="BB1471" s="18"/>
      <c r="BC1471" s="18"/>
      <c r="BD1471" s="18"/>
      <c r="BE1471" s="18"/>
      <c r="BF1471" s="18"/>
      <c r="BG1471" s="18"/>
      <c r="BH1471" s="18"/>
      <c r="BI1471" s="18"/>
      <c r="BJ1471" s="18"/>
      <c r="BK1471" s="18"/>
      <c r="BL1471" s="19">
        <v>0.05</v>
      </c>
      <c r="BM1471" s="18"/>
      <c r="BN1471" s="18"/>
      <c r="BO1471" s="18"/>
      <c r="BP1471" s="18"/>
      <c r="BQ1471" s="18"/>
      <c r="BR1471" s="18"/>
      <c r="BS1471" s="18"/>
      <c r="BT1471" s="18"/>
      <c r="BU1471" s="18"/>
    </row>
    <row r="1472" spans="44:73" x14ac:dyDescent="0.45">
      <c r="AR1472" s="15" t="s">
        <v>328</v>
      </c>
      <c r="AS1472" s="15" t="s">
        <v>567</v>
      </c>
      <c r="AT1472" s="15" t="s">
        <v>344</v>
      </c>
      <c r="AU1472" s="15"/>
      <c r="AV1472" s="15"/>
      <c r="AW1472" s="15"/>
      <c r="AX1472" s="15"/>
      <c r="AY1472" s="15"/>
      <c r="AZ1472" s="18"/>
      <c r="BA1472" s="19">
        <v>2.5000000000000001E-2</v>
      </c>
      <c r="BB1472" s="18"/>
      <c r="BC1472" s="18"/>
      <c r="BD1472" s="18"/>
      <c r="BE1472" s="18"/>
      <c r="BF1472" s="18"/>
      <c r="BG1472" s="18"/>
      <c r="BH1472" s="18"/>
      <c r="BI1472" s="18"/>
      <c r="BJ1472" s="18"/>
      <c r="BK1472" s="18"/>
      <c r="BL1472" s="19">
        <v>0.05</v>
      </c>
      <c r="BM1472" s="18"/>
      <c r="BN1472" s="18"/>
      <c r="BO1472" s="18"/>
      <c r="BP1472" s="18"/>
      <c r="BQ1472" s="18"/>
      <c r="BR1472" s="18"/>
      <c r="BS1472" s="18"/>
      <c r="BT1472" s="18"/>
      <c r="BU1472" s="18"/>
    </row>
    <row r="1473" spans="44:73" x14ac:dyDescent="0.45">
      <c r="AR1473" s="15" t="s">
        <v>328</v>
      </c>
      <c r="AS1473" s="15" t="s">
        <v>567</v>
      </c>
      <c r="AT1473" s="15" t="s">
        <v>345</v>
      </c>
      <c r="AU1473" s="15"/>
      <c r="AV1473" s="15"/>
      <c r="AW1473" s="15"/>
      <c r="AX1473" s="15"/>
      <c r="AY1473" s="15"/>
      <c r="AZ1473" s="18"/>
      <c r="BA1473" s="19">
        <v>2.5000000000000001E-2</v>
      </c>
      <c r="BB1473" s="18"/>
      <c r="BC1473" s="18"/>
      <c r="BD1473" s="18"/>
      <c r="BE1473" s="18"/>
      <c r="BF1473" s="18"/>
      <c r="BG1473" s="18"/>
      <c r="BH1473" s="18"/>
      <c r="BI1473" s="18"/>
      <c r="BJ1473" s="18"/>
      <c r="BK1473" s="18"/>
      <c r="BL1473" s="19">
        <v>0.05</v>
      </c>
      <c r="BM1473" s="18"/>
      <c r="BN1473" s="18"/>
      <c r="BO1473" s="18"/>
      <c r="BP1473" s="18"/>
      <c r="BQ1473" s="18"/>
      <c r="BR1473" s="18"/>
      <c r="BS1473" s="18"/>
      <c r="BT1473" s="18"/>
      <c r="BU1473" s="18"/>
    </row>
    <row r="1474" spans="44:73" x14ac:dyDescent="0.45">
      <c r="AR1474" s="15" t="s">
        <v>328</v>
      </c>
      <c r="AS1474" s="15" t="s">
        <v>567</v>
      </c>
      <c r="AT1474" s="15" t="s">
        <v>347</v>
      </c>
      <c r="AU1474" s="15"/>
      <c r="AV1474" s="15"/>
      <c r="AW1474" s="15"/>
      <c r="AX1474" s="15"/>
      <c r="AY1474" s="15"/>
      <c r="AZ1474" s="18"/>
      <c r="BA1474" s="19">
        <v>2.5000000000000001E-2</v>
      </c>
      <c r="BB1474" s="18"/>
      <c r="BC1474" s="18"/>
      <c r="BD1474" s="18"/>
      <c r="BE1474" s="18"/>
      <c r="BF1474" s="18"/>
      <c r="BG1474" s="18"/>
      <c r="BH1474" s="18"/>
      <c r="BI1474" s="18"/>
      <c r="BJ1474" s="18"/>
      <c r="BK1474" s="18"/>
      <c r="BL1474" s="19">
        <v>0.05</v>
      </c>
      <c r="BM1474" s="18"/>
      <c r="BN1474" s="18"/>
      <c r="BO1474" s="18"/>
      <c r="BP1474" s="18"/>
      <c r="BQ1474" s="18"/>
      <c r="BR1474" s="18"/>
      <c r="BS1474" s="18"/>
      <c r="BT1474" s="18"/>
      <c r="BU1474" s="18"/>
    </row>
    <row r="1475" spans="44:73" x14ac:dyDescent="0.45">
      <c r="AR1475" s="15" t="s">
        <v>328</v>
      </c>
      <c r="AS1475" s="15" t="s">
        <v>567</v>
      </c>
      <c r="AT1475" s="15" t="s">
        <v>348</v>
      </c>
      <c r="AU1475" s="15"/>
      <c r="AV1475" s="15"/>
      <c r="AW1475" s="15"/>
      <c r="AX1475" s="15"/>
      <c r="AY1475" s="15"/>
      <c r="AZ1475" s="18"/>
      <c r="BA1475" s="19">
        <v>2.5000000000000001E-2</v>
      </c>
      <c r="BB1475" s="18"/>
      <c r="BC1475" s="18"/>
      <c r="BD1475" s="18"/>
      <c r="BE1475" s="18"/>
      <c r="BF1475" s="18"/>
      <c r="BG1475" s="18"/>
      <c r="BH1475" s="18"/>
      <c r="BI1475" s="18"/>
      <c r="BJ1475" s="18"/>
      <c r="BK1475" s="18"/>
      <c r="BL1475" s="19">
        <v>0.05</v>
      </c>
      <c r="BM1475" s="18"/>
      <c r="BN1475" s="18"/>
      <c r="BO1475" s="18"/>
      <c r="BP1475" s="18"/>
      <c r="BQ1475" s="18"/>
      <c r="BR1475" s="18"/>
      <c r="BS1475" s="18"/>
      <c r="BT1475" s="18"/>
      <c r="BU1475" s="18"/>
    </row>
    <row r="1476" spans="44:73" x14ac:dyDescent="0.45">
      <c r="AR1476" s="15" t="s">
        <v>328</v>
      </c>
      <c r="AS1476" s="15" t="s">
        <v>567</v>
      </c>
      <c r="AT1476" s="15" t="s">
        <v>1097</v>
      </c>
      <c r="AU1476" s="15"/>
      <c r="AV1476" s="15"/>
      <c r="AW1476" s="15"/>
      <c r="AX1476" s="15"/>
      <c r="AY1476" s="15"/>
      <c r="AZ1476" s="18"/>
      <c r="BA1476" s="19">
        <v>0.02</v>
      </c>
      <c r="BB1476" s="18"/>
      <c r="BC1476" s="18"/>
      <c r="BD1476" s="18"/>
      <c r="BE1476" s="18"/>
      <c r="BF1476" s="18"/>
      <c r="BG1476" s="18"/>
      <c r="BH1476" s="18"/>
      <c r="BI1476" s="18"/>
      <c r="BJ1476" s="18"/>
      <c r="BK1476" s="18"/>
      <c r="BL1476" s="19">
        <v>0.02</v>
      </c>
      <c r="BM1476" s="18"/>
      <c r="BN1476" s="18"/>
      <c r="BO1476" s="18"/>
      <c r="BP1476" s="18"/>
      <c r="BQ1476" s="18"/>
      <c r="BR1476" s="18"/>
      <c r="BS1476" s="18"/>
      <c r="BT1476" s="18"/>
      <c r="BU1476" s="18"/>
    </row>
    <row r="1477" spans="44:73" x14ac:dyDescent="0.45">
      <c r="AR1477" s="15" t="s">
        <v>328</v>
      </c>
      <c r="AS1477" s="15" t="s">
        <v>567</v>
      </c>
      <c r="AT1477" s="15" t="s">
        <v>350</v>
      </c>
      <c r="AU1477" s="15"/>
      <c r="AV1477" s="15"/>
      <c r="AW1477" s="15"/>
      <c r="AX1477" s="15"/>
      <c r="AY1477" s="15"/>
      <c r="AZ1477" s="18"/>
      <c r="BA1477" s="19">
        <v>0.02</v>
      </c>
      <c r="BB1477" s="18"/>
      <c r="BC1477" s="18"/>
      <c r="BD1477" s="18"/>
      <c r="BE1477" s="18"/>
      <c r="BF1477" s="18"/>
      <c r="BG1477" s="18"/>
      <c r="BH1477" s="18"/>
      <c r="BI1477" s="18"/>
      <c r="BJ1477" s="18"/>
      <c r="BK1477" s="18"/>
      <c r="BL1477" s="19">
        <v>0.02</v>
      </c>
      <c r="BM1477" s="18"/>
      <c r="BN1477" s="18"/>
      <c r="BO1477" s="18"/>
      <c r="BP1477" s="18"/>
      <c r="BQ1477" s="18"/>
      <c r="BR1477" s="18"/>
      <c r="BS1477" s="18"/>
      <c r="BT1477" s="18"/>
      <c r="BU1477" s="18"/>
    </row>
    <row r="1478" spans="44:73" x14ac:dyDescent="0.45">
      <c r="AR1478" s="15" t="s">
        <v>328</v>
      </c>
      <c r="AS1478" s="15" t="s">
        <v>567</v>
      </c>
      <c r="AT1478" s="15" t="s">
        <v>351</v>
      </c>
      <c r="AU1478" s="15"/>
      <c r="AV1478" s="15"/>
      <c r="AW1478" s="15"/>
      <c r="AX1478" s="15"/>
      <c r="AY1478" s="15"/>
      <c r="AZ1478" s="18"/>
      <c r="BA1478" s="19">
        <v>0.02</v>
      </c>
      <c r="BB1478" s="18"/>
      <c r="BC1478" s="18"/>
      <c r="BD1478" s="18"/>
      <c r="BE1478" s="18"/>
      <c r="BF1478" s="18"/>
      <c r="BG1478" s="18"/>
      <c r="BH1478" s="18"/>
      <c r="BI1478" s="18"/>
      <c r="BJ1478" s="18"/>
      <c r="BK1478" s="18"/>
      <c r="BL1478" s="19">
        <v>0.02</v>
      </c>
      <c r="BM1478" s="18"/>
      <c r="BN1478" s="18"/>
      <c r="BO1478" s="18"/>
      <c r="BP1478" s="18"/>
      <c r="BQ1478" s="18"/>
      <c r="BR1478" s="18"/>
      <c r="BS1478" s="18"/>
      <c r="BT1478" s="18"/>
      <c r="BU1478" s="18"/>
    </row>
    <row r="1479" spans="44:73" x14ac:dyDescent="0.45">
      <c r="AR1479" s="15" t="s">
        <v>328</v>
      </c>
      <c r="AS1479" s="15" t="s">
        <v>567</v>
      </c>
      <c r="AT1479" s="15" t="s">
        <v>353</v>
      </c>
      <c r="AU1479" s="15"/>
      <c r="AV1479" s="15"/>
      <c r="AW1479" s="15"/>
      <c r="AX1479" s="15"/>
      <c r="AY1479" s="15"/>
      <c r="AZ1479" s="18"/>
      <c r="BA1479" s="19">
        <v>0.02</v>
      </c>
      <c r="BB1479" s="18"/>
      <c r="BC1479" s="18"/>
      <c r="BD1479" s="18"/>
      <c r="BE1479" s="18"/>
      <c r="BF1479" s="18"/>
      <c r="BG1479" s="18"/>
      <c r="BH1479" s="18">
        <f t="shared" ref="BH1479:BH1482" si="14">BA1479*2</f>
        <v>0.04</v>
      </c>
      <c r="BI1479" s="18"/>
      <c r="BJ1479" s="18"/>
      <c r="BK1479" s="18"/>
      <c r="BL1479" s="19">
        <v>0.02</v>
      </c>
      <c r="BM1479" s="18"/>
      <c r="BN1479" s="18"/>
      <c r="BO1479" s="18"/>
      <c r="BP1479" s="18"/>
      <c r="BQ1479" s="18"/>
      <c r="BR1479" s="18"/>
      <c r="BS1479" s="18">
        <f t="shared" ref="BS1479:BS1482" si="15">BL1479*2</f>
        <v>0.04</v>
      </c>
      <c r="BT1479" s="18"/>
      <c r="BU1479" s="18"/>
    </row>
    <row r="1480" spans="44:73" x14ac:dyDescent="0.45">
      <c r="AR1480" s="15" t="s">
        <v>328</v>
      </c>
      <c r="AS1480" s="15" t="s">
        <v>567</v>
      </c>
      <c r="AT1480" s="15" t="s">
        <v>1098</v>
      </c>
      <c r="AU1480" s="15"/>
      <c r="AV1480" s="15"/>
      <c r="AW1480" s="15"/>
      <c r="AX1480" s="15"/>
      <c r="AY1480" s="15"/>
      <c r="AZ1480" s="18"/>
      <c r="BA1480" s="19">
        <v>0.02</v>
      </c>
      <c r="BB1480" s="18"/>
      <c r="BC1480" s="18"/>
      <c r="BD1480" s="18"/>
      <c r="BE1480" s="18"/>
      <c r="BF1480" s="18"/>
      <c r="BG1480" s="18"/>
      <c r="BH1480" s="18">
        <f t="shared" si="14"/>
        <v>0.04</v>
      </c>
      <c r="BI1480" s="18"/>
      <c r="BJ1480" s="18"/>
      <c r="BK1480" s="18"/>
      <c r="BL1480" s="19">
        <v>0.02</v>
      </c>
      <c r="BM1480" s="18"/>
      <c r="BN1480" s="18"/>
      <c r="BO1480" s="18"/>
      <c r="BP1480" s="18"/>
      <c r="BQ1480" s="18"/>
      <c r="BR1480" s="18"/>
      <c r="BS1480" s="18">
        <f t="shared" si="15"/>
        <v>0.04</v>
      </c>
      <c r="BT1480" s="18"/>
      <c r="BU1480" s="18"/>
    </row>
    <row r="1481" spans="44:73" x14ac:dyDescent="0.45">
      <c r="AR1481" s="15" t="s">
        <v>328</v>
      </c>
      <c r="AS1481" s="15" t="s">
        <v>567</v>
      </c>
      <c r="AT1481" s="15" t="s">
        <v>1099</v>
      </c>
      <c r="AU1481" s="15"/>
      <c r="AV1481" s="15"/>
      <c r="AW1481" s="15"/>
      <c r="AX1481" s="15"/>
      <c r="AY1481" s="15"/>
      <c r="AZ1481" s="18"/>
      <c r="BA1481" s="19">
        <v>0.02</v>
      </c>
      <c r="BB1481" s="18"/>
      <c r="BC1481" s="18"/>
      <c r="BD1481" s="18"/>
      <c r="BE1481" s="18"/>
      <c r="BF1481" s="18"/>
      <c r="BG1481" s="18"/>
      <c r="BH1481" s="18">
        <f t="shared" si="14"/>
        <v>0.04</v>
      </c>
      <c r="BI1481" s="18"/>
      <c r="BJ1481" s="18"/>
      <c r="BK1481" s="18"/>
      <c r="BL1481" s="19">
        <v>0.02</v>
      </c>
      <c r="BM1481" s="18"/>
      <c r="BN1481" s="18"/>
      <c r="BO1481" s="18"/>
      <c r="BP1481" s="18"/>
      <c r="BQ1481" s="18"/>
      <c r="BR1481" s="18"/>
      <c r="BS1481" s="18">
        <f t="shared" si="15"/>
        <v>0.04</v>
      </c>
      <c r="BT1481" s="18"/>
      <c r="BU1481" s="18"/>
    </row>
    <row r="1482" spans="44:73" x14ac:dyDescent="0.45">
      <c r="AR1482" s="15" t="s">
        <v>328</v>
      </c>
      <c r="AS1482" s="15" t="s">
        <v>567</v>
      </c>
      <c r="AT1482" s="15" t="s">
        <v>354</v>
      </c>
      <c r="AU1482" s="15"/>
      <c r="AV1482" s="15"/>
      <c r="AW1482" s="15"/>
      <c r="AX1482" s="15"/>
      <c r="AY1482" s="15"/>
      <c r="AZ1482" s="18"/>
      <c r="BA1482" s="19">
        <v>0.02</v>
      </c>
      <c r="BB1482" s="18"/>
      <c r="BC1482" s="18"/>
      <c r="BD1482" s="18"/>
      <c r="BE1482" s="18"/>
      <c r="BF1482" s="18"/>
      <c r="BG1482" s="18"/>
      <c r="BH1482" s="18">
        <f t="shared" si="14"/>
        <v>0.04</v>
      </c>
      <c r="BI1482" s="18"/>
      <c r="BJ1482" s="18"/>
      <c r="BK1482" s="18"/>
      <c r="BL1482" s="19">
        <v>0.02</v>
      </c>
      <c r="BM1482" s="18"/>
      <c r="BN1482" s="18"/>
      <c r="BO1482" s="18"/>
      <c r="BP1482" s="18"/>
      <c r="BQ1482" s="18"/>
      <c r="BR1482" s="18"/>
      <c r="BS1482" s="18">
        <f t="shared" si="15"/>
        <v>0.04</v>
      </c>
      <c r="BT1482" s="18"/>
      <c r="BU1482" s="18"/>
    </row>
    <row r="1483" spans="44:73" x14ac:dyDescent="0.45">
      <c r="AR1483" s="15" t="s">
        <v>328</v>
      </c>
      <c r="AS1483" s="15" t="s">
        <v>567</v>
      </c>
      <c r="AT1483" s="15" t="s">
        <v>361</v>
      </c>
      <c r="AU1483" s="15"/>
      <c r="AV1483" s="15"/>
      <c r="AW1483" s="15"/>
      <c r="AX1483" s="15"/>
      <c r="AY1483" s="15"/>
      <c r="AZ1483" s="18"/>
      <c r="BA1483" s="19">
        <v>0.02</v>
      </c>
      <c r="BB1483" s="18"/>
      <c r="BC1483" s="18"/>
      <c r="BD1483" s="18"/>
      <c r="BE1483" s="18"/>
      <c r="BF1483" s="18"/>
      <c r="BG1483" s="18"/>
      <c r="BH1483" s="18"/>
      <c r="BI1483" s="18"/>
      <c r="BJ1483" s="18"/>
      <c r="BK1483" s="18"/>
      <c r="BL1483" s="19">
        <v>0.02</v>
      </c>
      <c r="BM1483" s="18"/>
      <c r="BN1483" s="18"/>
      <c r="BO1483" s="18"/>
      <c r="BP1483" s="18"/>
      <c r="BQ1483" s="18"/>
      <c r="BR1483" s="18"/>
      <c r="BS1483" s="18"/>
      <c r="BT1483" s="18"/>
      <c r="BU1483" s="18"/>
    </row>
    <row r="1484" spans="44:73" x14ac:dyDescent="0.45">
      <c r="AR1484" s="15" t="s">
        <v>328</v>
      </c>
      <c r="AS1484" s="15" t="s">
        <v>324</v>
      </c>
      <c r="AT1484" s="15" t="s">
        <v>1100</v>
      </c>
      <c r="AU1484" s="15"/>
      <c r="AV1484" s="15"/>
      <c r="AW1484" s="15"/>
      <c r="AX1484" s="15"/>
      <c r="AY1484" s="15" t="s">
        <v>323</v>
      </c>
      <c r="AZ1484" s="18"/>
      <c r="BA1484" s="18"/>
      <c r="BB1484" s="18"/>
      <c r="BC1484" s="18"/>
      <c r="BD1484" s="18"/>
      <c r="BE1484" s="18"/>
      <c r="BF1484" s="19">
        <v>5</v>
      </c>
      <c r="BG1484" s="18"/>
      <c r="BH1484" s="19">
        <v>5</v>
      </c>
      <c r="BI1484" s="18"/>
      <c r="BJ1484" s="18"/>
      <c r="BK1484" s="18"/>
      <c r="BL1484" s="18"/>
      <c r="BM1484" s="18"/>
      <c r="BN1484" s="18"/>
      <c r="BO1484" s="18"/>
      <c r="BP1484" s="18"/>
      <c r="BQ1484" s="19">
        <v>10</v>
      </c>
      <c r="BR1484" s="18"/>
      <c r="BS1484" s="18"/>
      <c r="BT1484" s="18"/>
      <c r="BU1484" s="18"/>
    </row>
    <row r="1485" spans="44:73" x14ac:dyDescent="0.45">
      <c r="AR1485" s="15" t="s">
        <v>328</v>
      </c>
      <c r="AS1485" s="15" t="s">
        <v>324</v>
      </c>
      <c r="AT1485" s="15" t="s">
        <v>1101</v>
      </c>
      <c r="AU1485" s="15"/>
      <c r="AV1485" s="15"/>
      <c r="AW1485" s="15"/>
      <c r="AX1485" s="15"/>
      <c r="AY1485" s="15" t="s">
        <v>323</v>
      </c>
      <c r="AZ1485" s="18"/>
      <c r="BA1485" s="18"/>
      <c r="BB1485" s="18"/>
      <c r="BC1485" s="18"/>
      <c r="BD1485" s="18"/>
      <c r="BE1485" s="18"/>
      <c r="BF1485" s="19">
        <v>5</v>
      </c>
      <c r="BG1485" s="18"/>
      <c r="BH1485" s="19">
        <v>5</v>
      </c>
      <c r="BI1485" s="18"/>
      <c r="BJ1485" s="18"/>
      <c r="BK1485" s="18"/>
      <c r="BL1485" s="18"/>
      <c r="BM1485" s="18"/>
      <c r="BN1485" s="18"/>
      <c r="BO1485" s="18"/>
      <c r="BP1485" s="18"/>
      <c r="BQ1485" s="19">
        <v>10</v>
      </c>
      <c r="BR1485" s="18"/>
      <c r="BS1485" s="18"/>
      <c r="BT1485" s="18"/>
      <c r="BU1485" s="18"/>
    </row>
    <row r="1486" spans="44:73" x14ac:dyDescent="0.45">
      <c r="AR1486" s="15" t="s">
        <v>328</v>
      </c>
      <c r="AS1486" s="15" t="s">
        <v>324</v>
      </c>
      <c r="AT1486" s="15" t="s">
        <v>1102</v>
      </c>
      <c r="AU1486" s="15"/>
      <c r="AV1486" s="15"/>
      <c r="AW1486" s="15"/>
      <c r="AX1486" s="15"/>
      <c r="AY1486" s="15" t="s">
        <v>323</v>
      </c>
      <c r="AZ1486" s="18"/>
      <c r="BA1486" s="18"/>
      <c r="BB1486" s="18"/>
      <c r="BC1486" s="18"/>
      <c r="BD1486" s="18"/>
      <c r="BE1486" s="18"/>
      <c r="BF1486" s="19">
        <v>5</v>
      </c>
      <c r="BG1486" s="18"/>
      <c r="BH1486" s="19">
        <v>5</v>
      </c>
      <c r="BI1486" s="18"/>
      <c r="BJ1486" s="18"/>
      <c r="BK1486" s="18"/>
      <c r="BL1486" s="18"/>
      <c r="BM1486" s="18"/>
      <c r="BN1486" s="18"/>
      <c r="BO1486" s="18"/>
      <c r="BP1486" s="18"/>
      <c r="BQ1486" s="19">
        <v>10</v>
      </c>
      <c r="BR1486" s="18"/>
      <c r="BS1486" s="18"/>
      <c r="BT1486" s="18"/>
      <c r="BU1486" s="18"/>
    </row>
    <row r="1487" spans="44:73" x14ac:dyDescent="0.45">
      <c r="AR1487" s="15" t="s">
        <v>328</v>
      </c>
      <c r="AS1487" s="15" t="s">
        <v>324</v>
      </c>
      <c r="AT1487" s="15" t="s">
        <v>1103</v>
      </c>
      <c r="AU1487" s="15"/>
      <c r="AV1487" s="15"/>
      <c r="AW1487" s="15"/>
      <c r="AX1487" s="15"/>
      <c r="AY1487" s="15" t="s">
        <v>323</v>
      </c>
      <c r="AZ1487" s="18"/>
      <c r="BA1487" s="18"/>
      <c r="BB1487" s="18"/>
      <c r="BC1487" s="18"/>
      <c r="BD1487" s="18"/>
      <c r="BE1487" s="18"/>
      <c r="BF1487" s="19">
        <v>5</v>
      </c>
      <c r="BG1487" s="18"/>
      <c r="BH1487" s="19">
        <v>5</v>
      </c>
      <c r="BI1487" s="18"/>
      <c r="BJ1487" s="18"/>
      <c r="BK1487" s="18"/>
      <c r="BL1487" s="18"/>
      <c r="BM1487" s="18"/>
      <c r="BN1487" s="18"/>
      <c r="BO1487" s="18"/>
      <c r="BP1487" s="18"/>
      <c r="BQ1487" s="19">
        <v>10</v>
      </c>
      <c r="BR1487" s="18"/>
      <c r="BS1487" s="18"/>
      <c r="BT1487" s="18"/>
      <c r="BU1487" s="18"/>
    </row>
    <row r="1488" spans="44:73" x14ac:dyDescent="0.45">
      <c r="AR1488" s="15" t="s">
        <v>328</v>
      </c>
      <c r="AS1488" s="15" t="s">
        <v>324</v>
      </c>
      <c r="AT1488" s="15" t="s">
        <v>1104</v>
      </c>
      <c r="AU1488" s="15"/>
      <c r="AV1488" s="15"/>
      <c r="AW1488" s="15"/>
      <c r="AX1488" s="15"/>
      <c r="AY1488" s="15" t="s">
        <v>323</v>
      </c>
      <c r="AZ1488" s="18"/>
      <c r="BA1488" s="18"/>
      <c r="BB1488" s="18"/>
      <c r="BC1488" s="18"/>
      <c r="BD1488" s="18"/>
      <c r="BE1488" s="18"/>
      <c r="BF1488" s="19">
        <v>5</v>
      </c>
      <c r="BG1488" s="18"/>
      <c r="BH1488" s="19">
        <v>5</v>
      </c>
      <c r="BI1488" s="18"/>
      <c r="BJ1488" s="18"/>
      <c r="BK1488" s="18"/>
      <c r="BL1488" s="18"/>
      <c r="BM1488" s="18"/>
      <c r="BN1488" s="18"/>
      <c r="BO1488" s="18"/>
      <c r="BP1488" s="18"/>
      <c r="BQ1488" s="19">
        <v>10</v>
      </c>
      <c r="BR1488" s="18"/>
      <c r="BS1488" s="18"/>
      <c r="BT1488" s="18"/>
      <c r="BU1488" s="18"/>
    </row>
    <row r="1489" spans="44:73" x14ac:dyDescent="0.45">
      <c r="AR1489" s="15" t="s">
        <v>328</v>
      </c>
      <c r="AS1489" s="15" t="s">
        <v>324</v>
      </c>
      <c r="AT1489" s="15" t="s">
        <v>1105</v>
      </c>
      <c r="AU1489" s="15"/>
      <c r="AV1489" s="15"/>
      <c r="AW1489" s="15"/>
      <c r="AX1489" s="15"/>
      <c r="AY1489" s="15" t="s">
        <v>323</v>
      </c>
      <c r="AZ1489" s="18"/>
      <c r="BA1489" s="18"/>
      <c r="BB1489" s="18"/>
      <c r="BC1489" s="18"/>
      <c r="BD1489" s="18"/>
      <c r="BE1489" s="18"/>
      <c r="BF1489" s="19">
        <v>5</v>
      </c>
      <c r="BG1489" s="18"/>
      <c r="BH1489" s="19">
        <v>5</v>
      </c>
      <c r="BI1489" s="18"/>
      <c r="BJ1489" s="18"/>
      <c r="BK1489" s="18"/>
      <c r="BL1489" s="18"/>
      <c r="BM1489" s="18"/>
      <c r="BN1489" s="18"/>
      <c r="BO1489" s="18"/>
      <c r="BP1489" s="18"/>
      <c r="BQ1489" s="19">
        <v>10</v>
      </c>
      <c r="BR1489" s="18"/>
      <c r="BS1489" s="18"/>
      <c r="BT1489" s="18"/>
      <c r="BU1489" s="18"/>
    </row>
    <row r="1490" spans="44:73" x14ac:dyDescent="0.45">
      <c r="AR1490" s="15" t="s">
        <v>328</v>
      </c>
      <c r="AS1490" s="15" t="s">
        <v>324</v>
      </c>
      <c r="AT1490" s="15" t="s">
        <v>1106</v>
      </c>
      <c r="AU1490" s="15"/>
      <c r="AV1490" s="15"/>
      <c r="AW1490" s="15"/>
      <c r="AX1490" s="15"/>
      <c r="AY1490" s="15" t="s">
        <v>323</v>
      </c>
      <c r="AZ1490" s="18"/>
      <c r="BA1490" s="18"/>
      <c r="BB1490" s="18"/>
      <c r="BC1490" s="18"/>
      <c r="BD1490" s="18"/>
      <c r="BE1490" s="18"/>
      <c r="BF1490" s="19">
        <v>5</v>
      </c>
      <c r="BG1490" s="18"/>
      <c r="BH1490" s="19">
        <v>5</v>
      </c>
      <c r="BI1490" s="18"/>
      <c r="BJ1490" s="18"/>
      <c r="BK1490" s="18"/>
      <c r="BL1490" s="18"/>
      <c r="BM1490" s="18"/>
      <c r="BN1490" s="18"/>
      <c r="BO1490" s="18"/>
      <c r="BP1490" s="18"/>
      <c r="BQ1490" s="19">
        <v>10</v>
      </c>
      <c r="BR1490" s="18"/>
      <c r="BS1490" s="18"/>
      <c r="BT1490" s="18"/>
      <c r="BU1490" s="18"/>
    </row>
    <row r="1491" spans="44:73" x14ac:dyDescent="0.45">
      <c r="AR1491" s="26" t="s">
        <v>249</v>
      </c>
      <c r="AS1491" s="15" t="s">
        <v>567</v>
      </c>
      <c r="AT1491" s="25" t="s">
        <v>356</v>
      </c>
      <c r="BA1491" s="7">
        <v>3.5000000000000003E-2</v>
      </c>
    </row>
    <row r="1492" spans="44:73" x14ac:dyDescent="0.45">
      <c r="AR1492" s="26" t="s">
        <v>249</v>
      </c>
      <c r="AS1492" s="15" t="s">
        <v>567</v>
      </c>
      <c r="AT1492" s="25" t="s">
        <v>355</v>
      </c>
      <c r="BA1492" s="7">
        <v>3.5000000000000003E-2</v>
      </c>
    </row>
    <row r="1493" spans="44:73" x14ac:dyDescent="0.45">
      <c r="AR1493" s="26" t="s">
        <v>328</v>
      </c>
      <c r="AS1493" s="15" t="s">
        <v>567</v>
      </c>
      <c r="AT1493" s="25" t="s">
        <v>356</v>
      </c>
      <c r="BA1493" s="7">
        <v>3.5000000000000003E-2</v>
      </c>
    </row>
    <row r="1494" spans="44:73" x14ac:dyDescent="0.45">
      <c r="AR1494" s="26" t="s">
        <v>328</v>
      </c>
      <c r="AS1494" s="15" t="s">
        <v>567</v>
      </c>
      <c r="AT1494" s="25" t="s">
        <v>355</v>
      </c>
      <c r="BA1494" s="7">
        <v>3.5000000000000003E-2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EAEB8-4570-4CC8-8C6E-A0F6AE82DBE0}">
  <dimension ref="A1:AB45"/>
  <sheetViews>
    <sheetView workbookViewId="0"/>
  </sheetViews>
  <sheetFormatPr defaultRowHeight="14.25" x14ac:dyDescent="0.45"/>
  <cols>
    <col min="2" max="2" width="9.796875" bestFit="1" customWidth="1"/>
  </cols>
  <sheetData>
    <row r="1" spans="1:28" x14ac:dyDescent="0.45">
      <c r="A1" t="s">
        <v>1162</v>
      </c>
      <c r="D1" t="s">
        <v>1163</v>
      </c>
      <c r="E1">
        <v>0.8</v>
      </c>
      <c r="F1">
        <v>0.9</v>
      </c>
      <c r="G1">
        <f>F1</f>
        <v>0.9</v>
      </c>
      <c r="H1">
        <f t="shared" ref="H1:M1" si="0">G1</f>
        <v>0.9</v>
      </c>
      <c r="I1">
        <f t="shared" si="0"/>
        <v>0.9</v>
      </c>
      <c r="J1">
        <f t="shared" si="0"/>
        <v>0.9</v>
      </c>
      <c r="K1">
        <f t="shared" si="0"/>
        <v>0.9</v>
      </c>
      <c r="L1">
        <f t="shared" si="0"/>
        <v>0.9</v>
      </c>
      <c r="M1">
        <f t="shared" si="0"/>
        <v>0.9</v>
      </c>
    </row>
    <row r="2" spans="1:28" x14ac:dyDescent="0.45">
      <c r="A2" t="s">
        <v>244</v>
      </c>
      <c r="B2" t="s">
        <v>6</v>
      </c>
      <c r="C2" t="s">
        <v>1164</v>
      </c>
      <c r="D2">
        <v>2018</v>
      </c>
      <c r="E2">
        <v>2020</v>
      </c>
      <c r="F2">
        <v>2025</v>
      </c>
      <c r="G2">
        <v>2030</v>
      </c>
      <c r="H2">
        <v>2035</v>
      </c>
      <c r="I2">
        <v>2040</v>
      </c>
      <c r="J2">
        <v>2045</v>
      </c>
      <c r="K2">
        <v>2050</v>
      </c>
      <c r="L2">
        <v>2055</v>
      </c>
      <c r="M2">
        <v>2060</v>
      </c>
    </row>
    <row r="3" spans="1:28" x14ac:dyDescent="0.45">
      <c r="A3" t="s">
        <v>249</v>
      </c>
      <c r="B3" t="s">
        <v>534</v>
      </c>
      <c r="C3" t="s">
        <v>1165</v>
      </c>
      <c r="D3">
        <v>6.36</v>
      </c>
    </row>
    <row r="4" spans="1:28" x14ac:dyDescent="0.45">
      <c r="A4" t="s">
        <v>249</v>
      </c>
      <c r="B4" t="s">
        <v>534</v>
      </c>
      <c r="C4" t="s">
        <v>1166</v>
      </c>
      <c r="E4">
        <v>6.36</v>
      </c>
      <c r="F4">
        <v>7.08</v>
      </c>
      <c r="G4">
        <v>7.94</v>
      </c>
      <c r="H4">
        <v>9.18</v>
      </c>
      <c r="I4">
        <v>10.45</v>
      </c>
      <c r="J4">
        <v>11.56</v>
      </c>
      <c r="K4">
        <v>12.85</v>
      </c>
      <c r="L4">
        <v>14.25</v>
      </c>
      <c r="M4">
        <v>15.58</v>
      </c>
    </row>
    <row r="5" spans="1:28" x14ac:dyDescent="0.45">
      <c r="A5" t="s">
        <v>249</v>
      </c>
      <c r="B5" t="s">
        <v>534</v>
      </c>
      <c r="C5" t="s">
        <v>1167</v>
      </c>
      <c r="E5">
        <v>6.74</v>
      </c>
      <c r="F5">
        <v>7.03</v>
      </c>
      <c r="G5">
        <v>7.45</v>
      </c>
      <c r="H5">
        <v>7.89</v>
      </c>
      <c r="I5">
        <v>8.43</v>
      </c>
      <c r="J5">
        <v>9.01</v>
      </c>
      <c r="K5">
        <v>9.66</v>
      </c>
      <c r="L5">
        <v>10.58</v>
      </c>
      <c r="M5">
        <v>11.51</v>
      </c>
    </row>
    <row r="6" spans="1:28" x14ac:dyDescent="0.45">
      <c r="A6" t="s">
        <v>249</v>
      </c>
      <c r="B6" t="s">
        <v>544</v>
      </c>
      <c r="C6" t="s">
        <v>1165</v>
      </c>
      <c r="D6">
        <v>26.71</v>
      </c>
      <c r="P6" t="s">
        <v>244</v>
      </c>
      <c r="Q6" t="s">
        <v>6</v>
      </c>
      <c r="R6" t="s">
        <v>1164</v>
      </c>
      <c r="S6">
        <v>2018</v>
      </c>
      <c r="T6">
        <v>2020</v>
      </c>
      <c r="U6">
        <v>2025</v>
      </c>
      <c r="V6">
        <v>2030</v>
      </c>
      <c r="W6">
        <v>2035</v>
      </c>
      <c r="X6">
        <v>2040</v>
      </c>
      <c r="Y6">
        <v>2045</v>
      </c>
      <c r="Z6">
        <v>2050</v>
      </c>
      <c r="AA6">
        <v>2055</v>
      </c>
      <c r="AB6">
        <v>2060</v>
      </c>
    </row>
    <row r="7" spans="1:28" x14ac:dyDescent="0.45">
      <c r="A7" t="s">
        <v>249</v>
      </c>
      <c r="B7" t="s">
        <v>544</v>
      </c>
      <c r="C7" t="s">
        <v>1166</v>
      </c>
      <c r="E7">
        <v>26.71</v>
      </c>
      <c r="F7">
        <v>28.37</v>
      </c>
      <c r="G7">
        <v>30.96</v>
      </c>
      <c r="H7">
        <v>34.549999999999997</v>
      </c>
      <c r="I7">
        <v>37.83</v>
      </c>
      <c r="J7">
        <v>40.08</v>
      </c>
      <c r="K7">
        <v>42.65</v>
      </c>
      <c r="L7">
        <v>45.41</v>
      </c>
      <c r="M7">
        <v>47.82</v>
      </c>
      <c r="P7" t="s">
        <v>249</v>
      </c>
      <c r="Q7" t="s">
        <v>542</v>
      </c>
      <c r="R7" t="s">
        <v>1165</v>
      </c>
      <c r="S7">
        <v>45.716103195375602</v>
      </c>
    </row>
    <row r="8" spans="1:28" x14ac:dyDescent="0.45">
      <c r="A8" t="s">
        <v>249</v>
      </c>
      <c r="B8" t="s">
        <v>544</v>
      </c>
      <c r="C8" t="s">
        <v>1167</v>
      </c>
      <c r="E8">
        <v>26.42</v>
      </c>
      <c r="F8">
        <v>26.64</v>
      </c>
      <c r="G8">
        <v>27.36</v>
      </c>
      <c r="H8">
        <v>28.07</v>
      </c>
      <c r="I8">
        <v>29.04</v>
      </c>
      <c r="J8">
        <v>29.98</v>
      </c>
      <c r="K8">
        <v>31.13</v>
      </c>
      <c r="L8">
        <v>33.11</v>
      </c>
      <c r="M8">
        <v>35.08</v>
      </c>
      <c r="P8" t="s">
        <v>249</v>
      </c>
      <c r="Q8" t="s">
        <v>542</v>
      </c>
      <c r="R8" t="s">
        <v>1166</v>
      </c>
      <c r="T8">
        <v>45.716103195375602</v>
      </c>
      <c r="U8">
        <v>49.349502377221</v>
      </c>
      <c r="V8">
        <v>55.560462510017501</v>
      </c>
      <c r="W8">
        <v>64.451115922226094</v>
      </c>
      <c r="X8">
        <v>73.991377838583205</v>
      </c>
      <c r="Y8">
        <v>84.892824428526694</v>
      </c>
      <c r="Z8">
        <v>95.140560468831794</v>
      </c>
      <c r="AA8">
        <v>102.716497900316</v>
      </c>
      <c r="AB8">
        <v>110.895698836691</v>
      </c>
    </row>
    <row r="9" spans="1:28" x14ac:dyDescent="0.45">
      <c r="A9" t="s">
        <v>328</v>
      </c>
      <c r="B9" t="s">
        <v>534</v>
      </c>
      <c r="C9" t="s">
        <v>1165</v>
      </c>
      <c r="D9">
        <v>2.65</v>
      </c>
      <c r="P9" t="s">
        <v>249</v>
      </c>
      <c r="Q9" t="s">
        <v>542</v>
      </c>
      <c r="R9" t="s">
        <v>1167</v>
      </c>
      <c r="T9">
        <v>48.7444553109002</v>
      </c>
      <c r="U9">
        <v>53.518675640000403</v>
      </c>
      <c r="V9">
        <v>59.407195843117599</v>
      </c>
      <c r="W9">
        <v>65.047280063847296</v>
      </c>
      <c r="X9">
        <v>69.800488457468205</v>
      </c>
      <c r="Y9">
        <v>70.8862909555763</v>
      </c>
      <c r="Z9">
        <v>67.656479476558701</v>
      </c>
      <c r="AA9">
        <v>64.046805597951703</v>
      </c>
      <c r="AB9">
        <v>60.629718528630399</v>
      </c>
    </row>
    <row r="10" spans="1:28" x14ac:dyDescent="0.45">
      <c r="A10" t="s">
        <v>328</v>
      </c>
      <c r="B10" t="s">
        <v>534</v>
      </c>
      <c r="C10" t="s">
        <v>1166</v>
      </c>
      <c r="E10">
        <v>2.65</v>
      </c>
      <c r="F10">
        <v>2.95</v>
      </c>
      <c r="G10">
        <v>3.31</v>
      </c>
      <c r="H10">
        <v>3.83</v>
      </c>
      <c r="I10">
        <v>4.3600000000000003</v>
      </c>
      <c r="J10">
        <v>4.82</v>
      </c>
      <c r="K10">
        <v>5.36</v>
      </c>
      <c r="L10">
        <v>5.94</v>
      </c>
      <c r="M10">
        <v>6.49</v>
      </c>
      <c r="P10" t="s">
        <v>328</v>
      </c>
      <c r="Q10" t="s">
        <v>542</v>
      </c>
      <c r="R10" t="s">
        <v>1165</v>
      </c>
      <c r="S10">
        <v>11.429025798843901</v>
      </c>
    </row>
    <row r="11" spans="1:28" x14ac:dyDescent="0.45">
      <c r="A11" t="s">
        <v>328</v>
      </c>
      <c r="B11" t="s">
        <v>534</v>
      </c>
      <c r="C11" t="s">
        <v>1167</v>
      </c>
      <c r="E11">
        <v>2.81</v>
      </c>
      <c r="F11">
        <v>2.93</v>
      </c>
      <c r="G11">
        <v>3.11</v>
      </c>
      <c r="H11">
        <v>3.29</v>
      </c>
      <c r="I11">
        <v>3.52</v>
      </c>
      <c r="J11">
        <v>3.75</v>
      </c>
      <c r="K11">
        <v>4.03</v>
      </c>
      <c r="L11">
        <v>4.41</v>
      </c>
      <c r="M11">
        <v>4.8</v>
      </c>
      <c r="P11" t="s">
        <v>328</v>
      </c>
      <c r="Q11" t="s">
        <v>542</v>
      </c>
      <c r="R11" t="s">
        <v>1166</v>
      </c>
      <c r="T11">
        <v>11.429025798843901</v>
      </c>
      <c r="U11">
        <v>12.296695710347599</v>
      </c>
      <c r="V11">
        <v>13.775821234589401</v>
      </c>
      <c r="W11">
        <v>15.884485297205201</v>
      </c>
      <c r="X11">
        <v>18.165421391822299</v>
      </c>
      <c r="Y11">
        <v>20.793191090819398</v>
      </c>
      <c r="Z11">
        <v>23.2653937575854</v>
      </c>
      <c r="AA11">
        <v>25.086355853535402</v>
      </c>
      <c r="AB11">
        <v>27.049843065949599</v>
      </c>
    </row>
    <row r="12" spans="1:28" x14ac:dyDescent="0.45">
      <c r="A12" t="s">
        <v>328</v>
      </c>
      <c r="B12" t="s">
        <v>544</v>
      </c>
      <c r="C12" t="s">
        <v>1165</v>
      </c>
      <c r="D12">
        <v>9.32</v>
      </c>
      <c r="P12" t="s">
        <v>328</v>
      </c>
      <c r="Q12" t="s">
        <v>542</v>
      </c>
      <c r="R12" t="s">
        <v>1167</v>
      </c>
      <c r="T12">
        <v>12.159827353090099</v>
      </c>
      <c r="U12">
        <v>13.295971292806099</v>
      </c>
      <c r="V12">
        <v>14.668573777883999</v>
      </c>
      <c r="W12">
        <v>15.9893880039485</v>
      </c>
      <c r="X12">
        <v>17.106945884079298</v>
      </c>
      <c r="Y12">
        <v>17.337361748427998</v>
      </c>
      <c r="Z12">
        <v>16.525932428403699</v>
      </c>
      <c r="AA12">
        <v>15.6239150982162</v>
      </c>
      <c r="AB12">
        <v>14.771131617161499</v>
      </c>
    </row>
    <row r="13" spans="1:28" x14ac:dyDescent="0.45">
      <c r="A13" t="s">
        <v>328</v>
      </c>
      <c r="B13" t="s">
        <v>544</v>
      </c>
      <c r="C13" t="s">
        <v>1166</v>
      </c>
      <c r="E13">
        <v>9.32</v>
      </c>
      <c r="F13">
        <v>9.9</v>
      </c>
      <c r="G13">
        <v>10.8</v>
      </c>
      <c r="H13">
        <v>12.05</v>
      </c>
      <c r="I13">
        <v>13.2</v>
      </c>
      <c r="J13">
        <v>13.98</v>
      </c>
      <c r="K13">
        <v>14.88</v>
      </c>
      <c r="L13">
        <v>15.84</v>
      </c>
      <c r="M13">
        <v>16.68</v>
      </c>
    </row>
    <row r="14" spans="1:28" x14ac:dyDescent="0.45">
      <c r="A14" t="s">
        <v>328</v>
      </c>
      <c r="B14" t="s">
        <v>544</v>
      </c>
      <c r="C14" t="s">
        <v>1167</v>
      </c>
      <c r="E14">
        <v>9.2200000000000006</v>
      </c>
      <c r="F14">
        <v>9.2899999999999991</v>
      </c>
      <c r="G14">
        <v>9.5500000000000007</v>
      </c>
      <c r="H14">
        <v>9.7899999999999991</v>
      </c>
      <c r="I14">
        <v>10.130000000000001</v>
      </c>
      <c r="J14">
        <v>10.46</v>
      </c>
      <c r="K14">
        <v>10.86</v>
      </c>
      <c r="L14">
        <v>11.55</v>
      </c>
      <c r="M14">
        <v>12.24</v>
      </c>
    </row>
    <row r="16" spans="1:28" x14ac:dyDescent="0.45">
      <c r="A16" t="s">
        <v>249</v>
      </c>
      <c r="B16" t="s">
        <v>542</v>
      </c>
      <c r="C16" t="s">
        <v>1165</v>
      </c>
      <c r="D16" s="7">
        <v>45.716103195375602</v>
      </c>
    </row>
    <row r="17" spans="1:16" x14ac:dyDescent="0.45">
      <c r="A17" t="s">
        <v>249</v>
      </c>
      <c r="B17" t="s">
        <v>542</v>
      </c>
      <c r="C17" t="s">
        <v>1166</v>
      </c>
      <c r="D17" s="7"/>
      <c r="E17" s="7">
        <v>45.716103195375602</v>
      </c>
      <c r="F17" s="7">
        <v>49.349502377221</v>
      </c>
      <c r="G17" s="7">
        <v>55.560462510017501</v>
      </c>
      <c r="H17" s="7">
        <v>64.451115922226094</v>
      </c>
      <c r="I17" s="7">
        <v>73.991377838583205</v>
      </c>
      <c r="J17" s="7">
        <v>84.892824428526694</v>
      </c>
      <c r="K17" s="7">
        <v>95.140560468831794</v>
      </c>
      <c r="L17" s="7">
        <v>102.716497900316</v>
      </c>
      <c r="M17" s="7">
        <v>110.895698836691</v>
      </c>
    </row>
    <row r="18" spans="1:16" x14ac:dyDescent="0.45">
      <c r="A18" t="s">
        <v>249</v>
      </c>
      <c r="B18" t="s">
        <v>542</v>
      </c>
      <c r="C18" t="s">
        <v>1167</v>
      </c>
      <c r="D18" s="7"/>
      <c r="E18" s="7">
        <v>48.7444553109002</v>
      </c>
      <c r="F18" s="7">
        <v>53.518675640000403</v>
      </c>
      <c r="G18" s="7">
        <v>59.407195843117599</v>
      </c>
      <c r="H18" s="7">
        <v>65.047280063847296</v>
      </c>
      <c r="I18" s="7">
        <v>69.800488457468205</v>
      </c>
      <c r="J18" s="7">
        <v>70.8862909555763</v>
      </c>
      <c r="K18" s="7">
        <v>67.656479476558701</v>
      </c>
      <c r="L18" s="7">
        <v>64.046805597951703</v>
      </c>
      <c r="M18" s="7">
        <v>60.629718528630399</v>
      </c>
    </row>
    <row r="19" spans="1:16" x14ac:dyDescent="0.45">
      <c r="A19" t="s">
        <v>328</v>
      </c>
      <c r="B19" t="s">
        <v>542</v>
      </c>
      <c r="C19" t="s">
        <v>1165</v>
      </c>
      <c r="D19" s="7">
        <v>11.429025798843901</v>
      </c>
      <c r="E19" s="7"/>
      <c r="F19" s="7"/>
      <c r="G19" s="7"/>
      <c r="H19" s="7"/>
      <c r="I19" s="7"/>
      <c r="J19" s="7"/>
      <c r="K19" s="7"/>
      <c r="L19" s="7"/>
      <c r="M19" s="7"/>
    </row>
    <row r="20" spans="1:16" x14ac:dyDescent="0.45">
      <c r="A20" t="s">
        <v>328</v>
      </c>
      <c r="B20" t="s">
        <v>542</v>
      </c>
      <c r="C20" t="s">
        <v>1166</v>
      </c>
      <c r="E20" s="7">
        <v>11.429025798843901</v>
      </c>
      <c r="F20" s="7">
        <v>12.296695710347599</v>
      </c>
      <c r="G20" s="7">
        <v>13.775821234589401</v>
      </c>
      <c r="H20" s="7">
        <v>15.884485297205201</v>
      </c>
      <c r="I20" s="7">
        <v>18.165421391822299</v>
      </c>
      <c r="J20" s="7">
        <v>20.793191090819398</v>
      </c>
      <c r="K20" s="7">
        <v>23.2653937575854</v>
      </c>
      <c r="L20" s="7">
        <v>25.086355853535402</v>
      </c>
      <c r="M20" s="7">
        <v>27.049843065949599</v>
      </c>
    </row>
    <row r="21" spans="1:16" x14ac:dyDescent="0.45">
      <c r="A21" t="s">
        <v>328</v>
      </c>
      <c r="B21" t="s">
        <v>542</v>
      </c>
      <c r="C21" t="s">
        <v>1167</v>
      </c>
      <c r="E21" s="7">
        <v>12.159827353090099</v>
      </c>
      <c r="F21" s="7">
        <v>13.295971292806099</v>
      </c>
      <c r="G21" s="7">
        <v>14.668573777883999</v>
      </c>
      <c r="H21" s="7">
        <v>15.9893880039485</v>
      </c>
      <c r="I21" s="7">
        <v>17.106945884079298</v>
      </c>
      <c r="J21" s="7">
        <v>17.337361748427998</v>
      </c>
      <c r="K21" s="7">
        <v>16.525932428403699</v>
      </c>
      <c r="L21" s="7">
        <v>15.6239150982162</v>
      </c>
      <c r="M21" s="7">
        <v>14.771131617161499</v>
      </c>
    </row>
    <row r="23" spans="1:16" x14ac:dyDescent="0.45">
      <c r="E23" s="7">
        <f>E17+E20</f>
        <v>57.145128994219505</v>
      </c>
      <c r="F23" s="7">
        <f t="shared" ref="F23:M23" si="1">F17+F20</f>
        <v>61.6461980875686</v>
      </c>
      <c r="G23" s="7">
        <f t="shared" si="1"/>
        <v>69.336283744606902</v>
      </c>
      <c r="H23" s="7">
        <f t="shared" si="1"/>
        <v>80.335601219431297</v>
      </c>
      <c r="I23" s="7">
        <f t="shared" si="1"/>
        <v>92.156799230405511</v>
      </c>
      <c r="J23" s="7">
        <f t="shared" si="1"/>
        <v>105.68601551934609</v>
      </c>
      <c r="K23" s="7">
        <f t="shared" si="1"/>
        <v>118.40595422641719</v>
      </c>
      <c r="L23" s="7">
        <f t="shared" si="1"/>
        <v>127.80285375385139</v>
      </c>
      <c r="M23" s="7">
        <f t="shared" si="1"/>
        <v>137.9455419026406</v>
      </c>
    </row>
    <row r="25" spans="1:16" ht="14.65" thickBot="1" x14ac:dyDescent="0.5">
      <c r="A25" t="s">
        <v>1169</v>
      </c>
      <c r="P25" s="3" t="str">
        <f>VLOOKUP('kea-tui'!A1,'kea-tui'!$E$1:$F$4,2,FALSE)</f>
        <v>kea</v>
      </c>
    </row>
    <row r="26" spans="1:16" ht="14.65" thickTop="1" x14ac:dyDescent="0.45">
      <c r="A26" t="s">
        <v>244</v>
      </c>
      <c r="B26" t="s">
        <v>6</v>
      </c>
      <c r="C26" t="s">
        <v>7</v>
      </c>
      <c r="D26" t="s">
        <v>1168</v>
      </c>
      <c r="E26">
        <v>2020</v>
      </c>
      <c r="F26">
        <v>2025</v>
      </c>
      <c r="G26">
        <v>2030</v>
      </c>
      <c r="H26">
        <v>2035</v>
      </c>
      <c r="I26">
        <v>2040</v>
      </c>
      <c r="J26">
        <v>2045</v>
      </c>
      <c r="K26">
        <v>2050</v>
      </c>
      <c r="L26">
        <v>2055</v>
      </c>
      <c r="M26">
        <v>2060</v>
      </c>
    </row>
    <row r="27" spans="1:16" x14ac:dyDescent="0.45">
      <c r="A27" t="s">
        <v>249</v>
      </c>
      <c r="B27" t="s">
        <v>534</v>
      </c>
      <c r="C27" t="str">
        <f>IF(P27=$P$25,"demand","\I:")</f>
        <v>\I:</v>
      </c>
      <c r="D27" t="str">
        <f>IF(E27=0,"\I:","")</f>
        <v>\I:</v>
      </c>
      <c r="P27" t="s">
        <v>1165</v>
      </c>
    </row>
    <row r="28" spans="1:16" x14ac:dyDescent="0.45">
      <c r="A28" t="s">
        <v>249</v>
      </c>
      <c r="B28" t="s">
        <v>534</v>
      </c>
      <c r="C28" t="str">
        <f t="shared" ref="C28:C38" si="2">IF(P28=$P$25,"demand","\I:")</f>
        <v>\I:</v>
      </c>
      <c r="D28" t="str">
        <f t="shared" ref="D28:D38" si="3">IF(E28=0,"\I:","")</f>
        <v/>
      </c>
      <c r="E28" s="7">
        <f>E4*E$1</f>
        <v>5.088000000000001</v>
      </c>
      <c r="F28" s="7">
        <f>F4</f>
        <v>7.08</v>
      </c>
      <c r="G28" s="7">
        <f t="shared" ref="G28:M29" si="4">G4</f>
        <v>7.94</v>
      </c>
      <c r="H28" s="7">
        <f t="shared" si="4"/>
        <v>9.18</v>
      </c>
      <c r="I28" s="7">
        <f t="shared" si="4"/>
        <v>10.45</v>
      </c>
      <c r="J28" s="7">
        <f t="shared" si="4"/>
        <v>11.56</v>
      </c>
      <c r="K28" s="7">
        <f t="shared" si="4"/>
        <v>12.85</v>
      </c>
      <c r="L28" s="7">
        <f t="shared" si="4"/>
        <v>14.25</v>
      </c>
      <c r="M28" s="7">
        <f t="shared" si="4"/>
        <v>15.58</v>
      </c>
      <c r="P28" t="s">
        <v>241</v>
      </c>
    </row>
    <row r="29" spans="1:16" x14ac:dyDescent="0.45">
      <c r="A29" t="s">
        <v>249</v>
      </c>
      <c r="B29" t="s">
        <v>534</v>
      </c>
      <c r="C29" t="str">
        <f t="shared" si="2"/>
        <v>demand</v>
      </c>
      <c r="D29" t="str">
        <f t="shared" si="3"/>
        <v/>
      </c>
      <c r="E29" s="7">
        <f>E5*E$1</f>
        <v>5.3920000000000003</v>
      </c>
      <c r="F29" s="7">
        <f>F5</f>
        <v>7.03</v>
      </c>
      <c r="G29" s="7">
        <f t="shared" si="4"/>
        <v>7.45</v>
      </c>
      <c r="H29" s="7">
        <f t="shared" si="4"/>
        <v>7.89</v>
      </c>
      <c r="I29" s="7">
        <f t="shared" si="4"/>
        <v>8.43</v>
      </c>
      <c r="J29" s="7">
        <f t="shared" si="4"/>
        <v>9.01</v>
      </c>
      <c r="K29" s="7">
        <f t="shared" si="4"/>
        <v>9.66</v>
      </c>
      <c r="L29" s="7">
        <f t="shared" si="4"/>
        <v>10.58</v>
      </c>
      <c r="M29" s="7">
        <f t="shared" si="4"/>
        <v>11.51</v>
      </c>
      <c r="P29" t="s">
        <v>242</v>
      </c>
    </row>
    <row r="30" spans="1:16" x14ac:dyDescent="0.45">
      <c r="A30" t="s">
        <v>249</v>
      </c>
      <c r="B30" t="s">
        <v>544</v>
      </c>
      <c r="C30" t="str">
        <f t="shared" si="2"/>
        <v>\I:</v>
      </c>
      <c r="D30" t="str">
        <f t="shared" si="3"/>
        <v>\I:</v>
      </c>
      <c r="E30" s="7"/>
      <c r="F30" s="7"/>
      <c r="G30" s="7"/>
      <c r="H30" s="7"/>
      <c r="I30" s="7"/>
      <c r="J30" s="7"/>
      <c r="K30" s="7"/>
      <c r="L30" s="7"/>
      <c r="M30" s="7"/>
      <c r="P30" t="str">
        <f>P27</f>
        <v>BASE</v>
      </c>
    </row>
    <row r="31" spans="1:16" x14ac:dyDescent="0.45">
      <c r="A31" t="s">
        <v>249</v>
      </c>
      <c r="B31" t="s">
        <v>544</v>
      </c>
      <c r="C31" t="str">
        <f t="shared" si="2"/>
        <v>\I:</v>
      </c>
      <c r="D31" t="str">
        <f t="shared" si="3"/>
        <v/>
      </c>
      <c r="E31" s="7">
        <f t="shared" ref="E31:M31" si="5">E7*E$1</f>
        <v>21.368000000000002</v>
      </c>
      <c r="F31" s="7">
        <f t="shared" si="5"/>
        <v>25.533000000000001</v>
      </c>
      <c r="G31" s="7">
        <f t="shared" si="5"/>
        <v>27.864000000000001</v>
      </c>
      <c r="H31" s="7">
        <f t="shared" si="5"/>
        <v>31.094999999999999</v>
      </c>
      <c r="I31" s="7">
        <f t="shared" si="5"/>
        <v>34.046999999999997</v>
      </c>
      <c r="J31" s="7">
        <f t="shared" si="5"/>
        <v>36.072000000000003</v>
      </c>
      <c r="K31" s="7">
        <f t="shared" si="5"/>
        <v>38.384999999999998</v>
      </c>
      <c r="L31" s="7">
        <f t="shared" si="5"/>
        <v>40.869</v>
      </c>
      <c r="M31" s="7">
        <f t="shared" si="5"/>
        <v>43.038000000000004</v>
      </c>
      <c r="P31" t="str">
        <f t="shared" ref="P31:P38" si="6">P28</f>
        <v>tui</v>
      </c>
    </row>
    <row r="32" spans="1:16" x14ac:dyDescent="0.45">
      <c r="A32" t="s">
        <v>249</v>
      </c>
      <c r="B32" t="s">
        <v>544</v>
      </c>
      <c r="C32" t="str">
        <f t="shared" si="2"/>
        <v>demand</v>
      </c>
      <c r="D32" t="str">
        <f t="shared" si="3"/>
        <v/>
      </c>
      <c r="E32" s="7">
        <f t="shared" ref="E32:M32" si="7">E8*E$1</f>
        <v>21.136000000000003</v>
      </c>
      <c r="F32" s="7">
        <f t="shared" si="7"/>
        <v>23.976000000000003</v>
      </c>
      <c r="G32" s="7">
        <f t="shared" si="7"/>
        <v>24.623999999999999</v>
      </c>
      <c r="H32" s="7">
        <f t="shared" si="7"/>
        <v>25.263000000000002</v>
      </c>
      <c r="I32" s="7">
        <f t="shared" si="7"/>
        <v>26.135999999999999</v>
      </c>
      <c r="J32" s="7">
        <f t="shared" si="7"/>
        <v>26.981999999999999</v>
      </c>
      <c r="K32" s="7">
        <f t="shared" si="7"/>
        <v>28.016999999999999</v>
      </c>
      <c r="L32" s="7">
        <f t="shared" si="7"/>
        <v>29.798999999999999</v>
      </c>
      <c r="M32" s="7">
        <f t="shared" si="7"/>
        <v>31.571999999999999</v>
      </c>
      <c r="P32" t="str">
        <f t="shared" si="6"/>
        <v>kea</v>
      </c>
    </row>
    <row r="33" spans="1:16" x14ac:dyDescent="0.45">
      <c r="A33" t="s">
        <v>328</v>
      </c>
      <c r="B33" t="s">
        <v>534</v>
      </c>
      <c r="C33" t="str">
        <f t="shared" si="2"/>
        <v>\I:</v>
      </c>
      <c r="D33" t="str">
        <f t="shared" si="3"/>
        <v>\I:</v>
      </c>
      <c r="E33" s="7"/>
      <c r="F33" s="7"/>
      <c r="G33" s="7"/>
      <c r="H33" s="7"/>
      <c r="I33" s="7"/>
      <c r="J33" s="7"/>
      <c r="K33" s="7"/>
      <c r="L33" s="7"/>
      <c r="M33" s="7"/>
      <c r="P33" t="str">
        <f t="shared" si="6"/>
        <v>BASE</v>
      </c>
    </row>
    <row r="34" spans="1:16" x14ac:dyDescent="0.45">
      <c r="A34" t="s">
        <v>328</v>
      </c>
      <c r="B34" t="s">
        <v>534</v>
      </c>
      <c r="C34" t="str">
        <f t="shared" si="2"/>
        <v>\I:</v>
      </c>
      <c r="D34" t="str">
        <f t="shared" si="3"/>
        <v/>
      </c>
      <c r="E34" s="7">
        <f>E10*E$1</f>
        <v>2.12</v>
      </c>
      <c r="F34" s="7">
        <f>F10</f>
        <v>2.95</v>
      </c>
      <c r="G34" s="7">
        <f t="shared" ref="G34:M34" si="8">G10</f>
        <v>3.31</v>
      </c>
      <c r="H34" s="7">
        <f t="shared" si="8"/>
        <v>3.83</v>
      </c>
      <c r="I34" s="7">
        <f t="shared" si="8"/>
        <v>4.3600000000000003</v>
      </c>
      <c r="J34" s="7">
        <f t="shared" si="8"/>
        <v>4.82</v>
      </c>
      <c r="K34" s="7">
        <f t="shared" si="8"/>
        <v>5.36</v>
      </c>
      <c r="L34" s="7">
        <f t="shared" si="8"/>
        <v>5.94</v>
      </c>
      <c r="M34" s="7">
        <f t="shared" si="8"/>
        <v>6.49</v>
      </c>
      <c r="P34" t="str">
        <f t="shared" si="6"/>
        <v>tui</v>
      </c>
    </row>
    <row r="35" spans="1:16" x14ac:dyDescent="0.45">
      <c r="A35" t="s">
        <v>328</v>
      </c>
      <c r="B35" t="s">
        <v>534</v>
      </c>
      <c r="C35" t="str">
        <f t="shared" si="2"/>
        <v>demand</v>
      </c>
      <c r="D35" t="str">
        <f t="shared" si="3"/>
        <v/>
      </c>
      <c r="E35" s="7">
        <f>E11*E$1</f>
        <v>2.2480000000000002</v>
      </c>
      <c r="F35" s="7">
        <f t="shared" ref="F35:M35" si="9">F11</f>
        <v>2.93</v>
      </c>
      <c r="G35" s="7">
        <f t="shared" si="9"/>
        <v>3.11</v>
      </c>
      <c r="H35" s="7">
        <f t="shared" si="9"/>
        <v>3.29</v>
      </c>
      <c r="I35" s="7">
        <f t="shared" si="9"/>
        <v>3.52</v>
      </c>
      <c r="J35" s="7">
        <f t="shared" si="9"/>
        <v>3.75</v>
      </c>
      <c r="K35" s="7">
        <f t="shared" si="9"/>
        <v>4.03</v>
      </c>
      <c r="L35" s="7">
        <f t="shared" si="9"/>
        <v>4.41</v>
      </c>
      <c r="M35" s="7">
        <f t="shared" si="9"/>
        <v>4.8</v>
      </c>
      <c r="P35" t="str">
        <f t="shared" si="6"/>
        <v>kea</v>
      </c>
    </row>
    <row r="36" spans="1:16" x14ac:dyDescent="0.45">
      <c r="A36" t="s">
        <v>328</v>
      </c>
      <c r="B36" t="s">
        <v>544</v>
      </c>
      <c r="C36" t="str">
        <f t="shared" si="2"/>
        <v>\I:</v>
      </c>
      <c r="D36" t="str">
        <f t="shared" si="3"/>
        <v>\I:</v>
      </c>
      <c r="E36" s="7"/>
      <c r="F36" s="7"/>
      <c r="G36" s="7"/>
      <c r="H36" s="7"/>
      <c r="I36" s="7"/>
      <c r="J36" s="7"/>
      <c r="K36" s="7"/>
      <c r="L36" s="7"/>
      <c r="M36" s="7"/>
      <c r="P36" t="str">
        <f t="shared" si="6"/>
        <v>BASE</v>
      </c>
    </row>
    <row r="37" spans="1:16" x14ac:dyDescent="0.45">
      <c r="A37" t="s">
        <v>328</v>
      </c>
      <c r="B37" t="s">
        <v>544</v>
      </c>
      <c r="C37" t="str">
        <f t="shared" si="2"/>
        <v>\I:</v>
      </c>
      <c r="D37" t="str">
        <f t="shared" si="3"/>
        <v/>
      </c>
      <c r="E37" s="7">
        <f t="shared" ref="E37:M37" si="10">E13*E$1</f>
        <v>7.4560000000000004</v>
      </c>
      <c r="F37" s="7">
        <f t="shared" si="10"/>
        <v>8.91</v>
      </c>
      <c r="G37" s="7">
        <f t="shared" si="10"/>
        <v>9.7200000000000006</v>
      </c>
      <c r="H37" s="7">
        <f t="shared" si="10"/>
        <v>10.845000000000001</v>
      </c>
      <c r="I37" s="7">
        <f t="shared" si="10"/>
        <v>11.879999999999999</v>
      </c>
      <c r="J37" s="7">
        <f t="shared" si="10"/>
        <v>12.582000000000001</v>
      </c>
      <c r="K37" s="7">
        <f t="shared" si="10"/>
        <v>13.392000000000001</v>
      </c>
      <c r="L37" s="7">
        <f t="shared" si="10"/>
        <v>14.256</v>
      </c>
      <c r="M37" s="7">
        <f t="shared" si="10"/>
        <v>15.012</v>
      </c>
      <c r="P37" t="str">
        <f t="shared" si="6"/>
        <v>tui</v>
      </c>
    </row>
    <row r="38" spans="1:16" x14ac:dyDescent="0.45">
      <c r="A38" t="s">
        <v>328</v>
      </c>
      <c r="B38" t="s">
        <v>544</v>
      </c>
      <c r="C38" t="str">
        <f t="shared" si="2"/>
        <v>demand</v>
      </c>
      <c r="D38" t="str">
        <f t="shared" si="3"/>
        <v/>
      </c>
      <c r="E38" s="7">
        <f t="shared" ref="E38:M38" si="11">E14*E$1</f>
        <v>7.3760000000000012</v>
      </c>
      <c r="F38" s="7">
        <f t="shared" si="11"/>
        <v>8.3609999999999989</v>
      </c>
      <c r="G38" s="7">
        <f t="shared" si="11"/>
        <v>8.5950000000000006</v>
      </c>
      <c r="H38" s="7">
        <f t="shared" si="11"/>
        <v>8.8109999999999999</v>
      </c>
      <c r="I38" s="7">
        <f t="shared" si="11"/>
        <v>9.1170000000000009</v>
      </c>
      <c r="J38" s="7">
        <f t="shared" si="11"/>
        <v>9.4140000000000015</v>
      </c>
      <c r="K38" s="7">
        <f t="shared" si="11"/>
        <v>9.7739999999999991</v>
      </c>
      <c r="L38" s="7">
        <f t="shared" si="11"/>
        <v>10.395000000000001</v>
      </c>
      <c r="M38" s="7">
        <f t="shared" si="11"/>
        <v>11.016</v>
      </c>
      <c r="P38" t="str">
        <f t="shared" si="6"/>
        <v>kea</v>
      </c>
    </row>
    <row r="39" spans="1:16" x14ac:dyDescent="0.45">
      <c r="C39" t="s">
        <v>1170</v>
      </c>
    </row>
    <row r="40" spans="1:16" x14ac:dyDescent="0.45">
      <c r="A40" t="str">
        <f>A16</f>
        <v>NI</v>
      </c>
      <c r="B40" t="str">
        <f t="shared" ref="B40:B45" si="12">B16</f>
        <v>T_O_JET_Int</v>
      </c>
      <c r="C40" t="str">
        <f t="shared" ref="C40:C42" si="13">IF(P40=$P$25,"demand","\I:")</f>
        <v>\I:</v>
      </c>
      <c r="D40" t="str">
        <f t="shared" ref="D40:D42" si="14">IF(E40=0,"\I:","")</f>
        <v>\I:</v>
      </c>
      <c r="E40" s="7"/>
      <c r="F40" s="7"/>
      <c r="G40" s="7"/>
      <c r="H40" s="7"/>
      <c r="I40" s="7"/>
      <c r="J40" s="7"/>
      <c r="K40" s="7"/>
      <c r="L40" s="7"/>
      <c r="M40" s="7"/>
      <c r="P40" t="s">
        <v>1165</v>
      </c>
    </row>
    <row r="41" spans="1:16" x14ac:dyDescent="0.45">
      <c r="A41" t="str">
        <f t="shared" ref="A41" si="15">A17</f>
        <v>NI</v>
      </c>
      <c r="B41" t="str">
        <f t="shared" si="12"/>
        <v>T_O_JET_Int</v>
      </c>
      <c r="C41" t="str">
        <f t="shared" si="13"/>
        <v>\I:</v>
      </c>
      <c r="D41" t="str">
        <f t="shared" si="14"/>
        <v/>
      </c>
      <c r="E41" s="7">
        <f>E17*E$1^2</f>
        <v>29.258306045040392</v>
      </c>
      <c r="F41" s="7">
        <f t="shared" ref="F41:M41" si="16">F17*F$1^2</f>
        <v>39.973096925549015</v>
      </c>
      <c r="G41" s="7">
        <f t="shared" si="16"/>
        <v>45.003974633114176</v>
      </c>
      <c r="H41" s="7">
        <f t="shared" si="16"/>
        <v>52.205403897003137</v>
      </c>
      <c r="I41" s="7">
        <f t="shared" si="16"/>
        <v>59.933016049252402</v>
      </c>
      <c r="J41" s="7">
        <f t="shared" si="16"/>
        <v>68.763187787106631</v>
      </c>
      <c r="K41" s="7">
        <f t="shared" si="16"/>
        <v>77.063853979753759</v>
      </c>
      <c r="L41" s="7">
        <f t="shared" si="16"/>
        <v>83.200363299255969</v>
      </c>
      <c r="M41" s="7">
        <f t="shared" si="16"/>
        <v>89.82551605771971</v>
      </c>
      <c r="P41" t="s">
        <v>241</v>
      </c>
    </row>
    <row r="42" spans="1:16" x14ac:dyDescent="0.45">
      <c r="A42" t="str">
        <f t="shared" ref="A42" si="17">A18</f>
        <v>NI</v>
      </c>
      <c r="B42" t="str">
        <f t="shared" si="12"/>
        <v>T_O_JET_Int</v>
      </c>
      <c r="C42" t="str">
        <f t="shared" si="13"/>
        <v>demand</v>
      </c>
      <c r="D42" t="str">
        <f t="shared" si="14"/>
        <v/>
      </c>
      <c r="E42" s="7">
        <f>E41</f>
        <v>29.258306045040392</v>
      </c>
      <c r="F42" s="7">
        <f t="shared" ref="F42:H42" si="18">F41</f>
        <v>39.973096925549015</v>
      </c>
      <c r="G42" s="7">
        <f t="shared" si="18"/>
        <v>45.003974633114176</v>
      </c>
      <c r="H42" s="7">
        <f t="shared" si="18"/>
        <v>52.205403897003137</v>
      </c>
      <c r="I42" s="7">
        <f t="shared" ref="I42:M42" si="19">I18*I$1^2</f>
        <v>56.538395650549248</v>
      </c>
      <c r="J42" s="7">
        <f t="shared" si="19"/>
        <v>57.417895674016805</v>
      </c>
      <c r="K42" s="7">
        <f t="shared" si="19"/>
        <v>54.801748376012554</v>
      </c>
      <c r="L42" s="7">
        <f t="shared" si="19"/>
        <v>51.877912534340886</v>
      </c>
      <c r="M42" s="7">
        <f t="shared" si="19"/>
        <v>49.110072008190627</v>
      </c>
      <c r="P42" t="s">
        <v>242</v>
      </c>
    </row>
    <row r="43" spans="1:16" x14ac:dyDescent="0.45">
      <c r="A43" t="str">
        <f t="shared" ref="A43" si="20">A19</f>
        <v>SI</v>
      </c>
      <c r="B43" t="str">
        <f t="shared" si="12"/>
        <v>T_O_JET_Int</v>
      </c>
      <c r="C43" t="str">
        <f t="shared" ref="C43:C45" si="21">IF(P43=$P$25,"demand","\I:")</f>
        <v>\I:</v>
      </c>
      <c r="D43" t="str">
        <f t="shared" ref="D43:D45" si="22">IF(E43=0,"\I:","")</f>
        <v>\I:</v>
      </c>
      <c r="E43" s="7"/>
      <c r="F43" s="7"/>
      <c r="G43" s="7"/>
      <c r="H43" s="7"/>
      <c r="I43" s="7"/>
      <c r="J43" s="7"/>
      <c r="K43" s="7"/>
      <c r="L43" s="7"/>
      <c r="M43" s="7"/>
      <c r="P43" t="str">
        <f>P40</f>
        <v>BASE</v>
      </c>
    </row>
    <row r="44" spans="1:16" x14ac:dyDescent="0.45">
      <c r="A44" t="str">
        <f t="shared" ref="A44" si="23">A20</f>
        <v>SI</v>
      </c>
      <c r="B44" t="str">
        <f t="shared" si="12"/>
        <v>T_O_JET_Int</v>
      </c>
      <c r="C44" t="str">
        <f t="shared" si="21"/>
        <v>\I:</v>
      </c>
      <c r="D44" t="str">
        <f t="shared" si="22"/>
        <v/>
      </c>
      <c r="E44" s="7">
        <f t="shared" ref="E44:M44" si="24">E20*E$1^2</f>
        <v>7.314576511260098</v>
      </c>
      <c r="F44" s="7">
        <f t="shared" si="24"/>
        <v>9.9603235253815559</v>
      </c>
      <c r="G44" s="7">
        <f t="shared" si="24"/>
        <v>11.158415200017416</v>
      </c>
      <c r="H44" s="7">
        <f t="shared" si="24"/>
        <v>12.866433090736214</v>
      </c>
      <c r="I44" s="7">
        <f t="shared" si="24"/>
        <v>14.713991327376064</v>
      </c>
      <c r="J44" s="7">
        <f t="shared" si="24"/>
        <v>16.842484783563712</v>
      </c>
      <c r="K44" s="7">
        <f t="shared" si="24"/>
        <v>18.844968943644176</v>
      </c>
      <c r="L44" s="7">
        <f t="shared" si="24"/>
        <v>20.319948241363676</v>
      </c>
      <c r="M44" s="7">
        <f t="shared" si="24"/>
        <v>21.910372883419175</v>
      </c>
      <c r="P44" t="str">
        <f t="shared" ref="P44:P45" si="25">P41</f>
        <v>tui</v>
      </c>
    </row>
    <row r="45" spans="1:16" x14ac:dyDescent="0.45">
      <c r="A45" t="str">
        <f t="shared" ref="A45" si="26">A21</f>
        <v>SI</v>
      </c>
      <c r="B45" t="str">
        <f t="shared" si="12"/>
        <v>T_O_JET_Int</v>
      </c>
      <c r="C45" t="str">
        <f t="shared" si="21"/>
        <v>demand</v>
      </c>
      <c r="D45" t="str">
        <f t="shared" si="22"/>
        <v/>
      </c>
      <c r="E45" s="7">
        <f>E44</f>
        <v>7.314576511260098</v>
      </c>
      <c r="F45" s="7">
        <f t="shared" ref="F45:H45" si="27">F44</f>
        <v>9.9603235253815559</v>
      </c>
      <c r="G45" s="7">
        <f t="shared" si="27"/>
        <v>11.158415200017416</v>
      </c>
      <c r="H45" s="7">
        <f t="shared" si="27"/>
        <v>12.866433090736214</v>
      </c>
      <c r="I45" s="7">
        <f t="shared" ref="I45:M45" si="28">I21*I$1^2</f>
        <v>13.856626166104233</v>
      </c>
      <c r="J45" s="7">
        <f t="shared" si="28"/>
        <v>14.04326301622668</v>
      </c>
      <c r="K45" s="7">
        <f t="shared" si="28"/>
        <v>13.386005267006997</v>
      </c>
      <c r="L45" s="7">
        <f t="shared" si="28"/>
        <v>12.655371229555122</v>
      </c>
      <c r="M45" s="7">
        <f t="shared" si="28"/>
        <v>11.964616609900816</v>
      </c>
      <c r="P45" t="str">
        <f t="shared" si="25"/>
        <v>kea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A2488-722F-44B7-BC17-958FFF8CBF1D}">
  <dimension ref="A1:W37"/>
  <sheetViews>
    <sheetView workbookViewId="0"/>
  </sheetViews>
  <sheetFormatPr defaultRowHeight="14.25" x14ac:dyDescent="0.45"/>
  <cols>
    <col min="1" max="1" width="2.796875" bestFit="1" customWidth="1"/>
    <col min="4" max="4" width="26.46484375" bestFit="1" customWidth="1"/>
    <col min="5" max="5" width="28.6640625" bestFit="1" customWidth="1"/>
    <col min="6" max="7" width="7.796875" customWidth="1"/>
    <col min="8" max="10" width="5.33203125" bestFit="1" customWidth="1"/>
    <col min="11" max="11" width="7.73046875" bestFit="1" customWidth="1"/>
    <col min="12" max="12" width="8.1328125" bestFit="1" customWidth="1"/>
    <col min="13" max="13" width="10.1328125" bestFit="1" customWidth="1"/>
    <col min="14" max="14" width="14" customWidth="1"/>
    <col min="15" max="15" width="25.9296875" bestFit="1" customWidth="1"/>
    <col min="17" max="17" width="11.19921875" customWidth="1"/>
    <col min="18" max="18" width="4.6640625" bestFit="1" customWidth="1"/>
    <col min="19" max="19" width="13.73046875" bestFit="1" customWidth="1"/>
    <col min="20" max="20" width="5.86328125" bestFit="1" customWidth="1"/>
    <col min="21" max="21" width="13.73046875" bestFit="1" customWidth="1"/>
    <col min="23" max="23" width="7.6640625" bestFit="1" customWidth="1"/>
  </cols>
  <sheetData>
    <row r="1" spans="1:23" ht="14.65" thickBot="1" x14ac:dyDescent="0.5">
      <c r="A1" s="3" t="str">
        <f>Veda!$E$5</f>
        <v>nz</v>
      </c>
      <c r="E1" s="21" t="s">
        <v>1109</v>
      </c>
    </row>
    <row r="2" spans="1:23" ht="14.65" thickTop="1" x14ac:dyDescent="0.45">
      <c r="Q2" t="s">
        <v>1144</v>
      </c>
    </row>
    <row r="3" spans="1:23" x14ac:dyDescent="0.45">
      <c r="Q3" t="s">
        <v>1145</v>
      </c>
      <c r="W3" t="s">
        <v>1146</v>
      </c>
    </row>
    <row r="4" spans="1:23" x14ac:dyDescent="0.45">
      <c r="F4" t="s">
        <v>1151</v>
      </c>
      <c r="R4" t="s">
        <v>1147</v>
      </c>
      <c r="T4" t="s">
        <v>1148</v>
      </c>
      <c r="W4">
        <v>240000</v>
      </c>
    </row>
    <row r="5" spans="1:23" x14ac:dyDescent="0.45">
      <c r="D5" t="s">
        <v>17</v>
      </c>
      <c r="E5" t="s">
        <v>1119</v>
      </c>
      <c r="F5" t="s">
        <v>1111</v>
      </c>
      <c r="G5">
        <f>H5-5</f>
        <v>2017</v>
      </c>
      <c r="H5" s="23">
        <f>VLOOKUP($A$1,$R$18:$S$22,2,FALSE)</f>
        <v>2022</v>
      </c>
      <c r="I5">
        <f>H5+5</f>
        <v>2027</v>
      </c>
      <c r="J5">
        <f>I5+5</f>
        <v>2032</v>
      </c>
      <c r="K5">
        <f>J5+3</f>
        <v>2035</v>
      </c>
      <c r="L5" t="s">
        <v>1120</v>
      </c>
      <c r="M5" t="s">
        <v>1121</v>
      </c>
      <c r="N5" t="s">
        <v>1115</v>
      </c>
      <c r="R5" t="s">
        <v>1149</v>
      </c>
      <c r="S5" t="s">
        <v>1150</v>
      </c>
      <c r="T5" t="s">
        <v>1149</v>
      </c>
      <c r="U5" t="s">
        <v>1150</v>
      </c>
    </row>
    <row r="6" spans="1:23" x14ac:dyDescent="0.45">
      <c r="D6" t="s">
        <v>1122</v>
      </c>
      <c r="E6" t="s">
        <v>1123</v>
      </c>
      <c r="F6" t="s">
        <v>563</v>
      </c>
      <c r="G6">
        <f>+G7-1</f>
        <v>-0.94199999999999995</v>
      </c>
      <c r="H6">
        <f>+H7-1</f>
        <v>-0.81200000000000006</v>
      </c>
      <c r="I6">
        <f t="shared" ref="I6:K6" si="0">+I7-1</f>
        <v>-0.44999999999999996</v>
      </c>
      <c r="J6">
        <f t="shared" si="0"/>
        <v>-0.13</v>
      </c>
      <c r="K6">
        <f t="shared" si="0"/>
        <v>0</v>
      </c>
      <c r="L6">
        <v>0</v>
      </c>
      <c r="M6">
        <v>5</v>
      </c>
      <c r="N6" t="s">
        <v>1124</v>
      </c>
      <c r="Q6">
        <v>2020</v>
      </c>
      <c r="R6" s="7">
        <f t="shared" ref="R6:R13" si="1">+$V$6*S6</f>
        <v>0</v>
      </c>
      <c r="S6" s="7">
        <v>0.03</v>
      </c>
      <c r="T6" s="7">
        <f t="shared" ref="T6:T13" si="2">+$V$6*U6</f>
        <v>0</v>
      </c>
      <c r="U6" s="7">
        <v>0.01</v>
      </c>
    </row>
    <row r="7" spans="1:23" x14ac:dyDescent="0.45">
      <c r="E7" t="s">
        <v>1130</v>
      </c>
      <c r="G7">
        <v>5.8000000000000003E-2</v>
      </c>
      <c r="H7">
        <v>0.188</v>
      </c>
      <c r="I7">
        <v>0.55000000000000004</v>
      </c>
      <c r="J7">
        <v>0.87</v>
      </c>
      <c r="K7">
        <v>1</v>
      </c>
      <c r="Q7">
        <v>2025</v>
      </c>
      <c r="R7" s="7">
        <f t="shared" si="1"/>
        <v>0</v>
      </c>
      <c r="S7" s="7">
        <v>0.03</v>
      </c>
      <c r="T7" s="7">
        <f t="shared" si="2"/>
        <v>0</v>
      </c>
      <c r="U7" s="7">
        <v>0.01</v>
      </c>
    </row>
    <row r="8" spans="1:23" x14ac:dyDescent="0.45">
      <c r="Q8">
        <v>2030</v>
      </c>
      <c r="R8" s="7">
        <f t="shared" si="1"/>
        <v>0</v>
      </c>
      <c r="S8" s="7">
        <v>0.11</v>
      </c>
      <c r="T8" s="7">
        <f t="shared" si="2"/>
        <v>0</v>
      </c>
      <c r="U8" s="7">
        <v>0.02</v>
      </c>
    </row>
    <row r="9" spans="1:23" x14ac:dyDescent="0.45">
      <c r="Q9">
        <v>2035</v>
      </c>
      <c r="R9" s="7">
        <f t="shared" si="1"/>
        <v>0</v>
      </c>
      <c r="S9" s="7">
        <v>0.42</v>
      </c>
      <c r="T9" s="7">
        <f t="shared" si="2"/>
        <v>0</v>
      </c>
      <c r="U9" s="7">
        <v>0.04</v>
      </c>
    </row>
    <row r="10" spans="1:23" x14ac:dyDescent="0.45">
      <c r="F10" t="s">
        <v>1151</v>
      </c>
      <c r="Q10">
        <v>2040</v>
      </c>
      <c r="R10" s="7">
        <f t="shared" si="1"/>
        <v>0</v>
      </c>
      <c r="S10" s="7">
        <v>0.65</v>
      </c>
      <c r="T10" s="7">
        <f t="shared" si="2"/>
        <v>0</v>
      </c>
      <c r="U10" s="7">
        <v>7.0000000000000007E-2</v>
      </c>
      <c r="W10" s="7">
        <v>0.99999000000000005</v>
      </c>
    </row>
    <row r="11" spans="1:23" x14ac:dyDescent="0.45">
      <c r="D11" t="s">
        <v>17</v>
      </c>
      <c r="E11" t="s">
        <v>1119</v>
      </c>
      <c r="F11" t="s">
        <v>1111</v>
      </c>
      <c r="G11">
        <f>H11-5</f>
        <v>2017</v>
      </c>
      <c r="H11">
        <f>$H$5</f>
        <v>2022</v>
      </c>
      <c r="I11">
        <f>H11+5</f>
        <v>2027</v>
      </c>
      <c r="J11">
        <f>I11+5</f>
        <v>2032</v>
      </c>
      <c r="K11">
        <f>J11+20</f>
        <v>2052</v>
      </c>
      <c r="L11" t="s">
        <v>1120</v>
      </c>
      <c r="M11" t="s">
        <v>1121</v>
      </c>
      <c r="N11" t="s">
        <v>1115</v>
      </c>
      <c r="Q11">
        <v>2045</v>
      </c>
      <c r="R11" s="7">
        <f t="shared" si="1"/>
        <v>0</v>
      </c>
      <c r="S11" s="7">
        <v>0.9</v>
      </c>
      <c r="T11" s="7">
        <f t="shared" si="2"/>
        <v>0</v>
      </c>
      <c r="U11" s="7">
        <v>0.11</v>
      </c>
      <c r="W11" s="7">
        <v>1</v>
      </c>
    </row>
    <row r="12" spans="1:23" x14ac:dyDescent="0.45">
      <c r="D12" t="s">
        <v>1133</v>
      </c>
      <c r="E12" t="s">
        <v>1134</v>
      </c>
      <c r="F12" t="s">
        <v>563</v>
      </c>
      <c r="G12">
        <f>+G13-1</f>
        <v>-0.99</v>
      </c>
      <c r="H12">
        <f>+H13-1</f>
        <v>-0.90900000000000003</v>
      </c>
      <c r="I12">
        <f t="shared" ref="I12:K12" si="3">+I13-1</f>
        <v>-0.74</v>
      </c>
      <c r="J12">
        <f t="shared" si="3"/>
        <v>-0.30000000000000004</v>
      </c>
      <c r="K12">
        <f t="shared" si="3"/>
        <v>0</v>
      </c>
      <c r="L12">
        <v>0</v>
      </c>
      <c r="M12">
        <v>5</v>
      </c>
      <c r="N12" t="s">
        <v>1135</v>
      </c>
      <c r="Q12">
        <v>2050</v>
      </c>
      <c r="R12" s="7">
        <f t="shared" si="1"/>
        <v>0</v>
      </c>
      <c r="S12" s="7">
        <v>1</v>
      </c>
      <c r="T12" s="7">
        <f t="shared" si="2"/>
        <v>0</v>
      </c>
      <c r="U12" s="7">
        <v>0.15</v>
      </c>
      <c r="W12" s="7">
        <v>1</v>
      </c>
    </row>
    <row r="13" spans="1:23" x14ac:dyDescent="0.45">
      <c r="E13" t="s">
        <v>1141</v>
      </c>
      <c r="G13">
        <v>0.01</v>
      </c>
      <c r="H13">
        <v>9.0999999999999998E-2</v>
      </c>
      <c r="I13">
        <v>0.26</v>
      </c>
      <c r="J13">
        <v>0.7</v>
      </c>
      <c r="K13">
        <v>1</v>
      </c>
      <c r="Q13">
        <v>2055</v>
      </c>
      <c r="R13" s="7">
        <f t="shared" si="1"/>
        <v>0</v>
      </c>
      <c r="S13" s="7">
        <v>1</v>
      </c>
      <c r="T13" s="7">
        <f t="shared" si="2"/>
        <v>0</v>
      </c>
      <c r="U13" s="7">
        <v>0.17</v>
      </c>
      <c r="W13" s="7">
        <v>1</v>
      </c>
    </row>
    <row r="16" spans="1:23" x14ac:dyDescent="0.45">
      <c r="F16" t="s">
        <v>1151</v>
      </c>
    </row>
    <row r="17" spans="4:19" x14ac:dyDescent="0.45">
      <c r="D17" t="s">
        <v>17</v>
      </c>
      <c r="E17" t="s">
        <v>1119</v>
      </c>
      <c r="F17" t="s">
        <v>1111</v>
      </c>
      <c r="G17" t="s">
        <v>1170</v>
      </c>
      <c r="H17">
        <f>$H$5</f>
        <v>2022</v>
      </c>
      <c r="I17">
        <f t="shared" ref="I17:K17" si="4">H17+5</f>
        <v>2027</v>
      </c>
      <c r="J17">
        <f t="shared" si="4"/>
        <v>2032</v>
      </c>
      <c r="K17">
        <f t="shared" si="4"/>
        <v>2037</v>
      </c>
      <c r="L17" t="s">
        <v>1120</v>
      </c>
      <c r="M17" t="s">
        <v>1121</v>
      </c>
      <c r="N17" t="s">
        <v>1115</v>
      </c>
    </row>
    <row r="18" spans="4:19" x14ac:dyDescent="0.45">
      <c r="D18" t="s">
        <v>1125</v>
      </c>
      <c r="E18" t="s">
        <v>1126</v>
      </c>
      <c r="F18" t="s">
        <v>563</v>
      </c>
      <c r="H18">
        <v>-0.97</v>
      </c>
      <c r="I18">
        <v>-0.89</v>
      </c>
      <c r="J18">
        <v>-0.58000000000000007</v>
      </c>
      <c r="K18">
        <v>-9.9999999999544897E-6</v>
      </c>
      <c r="L18">
        <v>0</v>
      </c>
      <c r="M18">
        <v>5</v>
      </c>
      <c r="N18" t="s">
        <v>1127</v>
      </c>
      <c r="R18" s="6" t="s">
        <v>1155</v>
      </c>
      <c r="S18" s="6">
        <v>2030</v>
      </c>
    </row>
    <row r="19" spans="4:19" x14ac:dyDescent="0.45">
      <c r="E19" t="s">
        <v>1131</v>
      </c>
      <c r="H19">
        <v>0.03</v>
      </c>
      <c r="I19">
        <v>0.11</v>
      </c>
      <c r="J19">
        <v>0.42</v>
      </c>
      <c r="K19">
        <v>0.99999000000000005</v>
      </c>
      <c r="R19" s="6" t="s">
        <v>241</v>
      </c>
      <c r="S19" s="6">
        <v>2029</v>
      </c>
    </row>
    <row r="20" spans="4:19" x14ac:dyDescent="0.45">
      <c r="R20" s="6" t="s">
        <v>242</v>
      </c>
      <c r="S20" s="6">
        <v>2028</v>
      </c>
    </row>
    <row r="21" spans="4:19" x14ac:dyDescent="0.45">
      <c r="R21" s="6" t="s">
        <v>1157</v>
      </c>
      <c r="S21" s="6">
        <v>2022</v>
      </c>
    </row>
    <row r="22" spans="4:19" x14ac:dyDescent="0.45">
      <c r="F22" t="s">
        <v>1151</v>
      </c>
    </row>
    <row r="23" spans="4:19" x14ac:dyDescent="0.45">
      <c r="D23" t="s">
        <v>17</v>
      </c>
      <c r="E23" t="s">
        <v>1119</v>
      </c>
      <c r="F23" t="s">
        <v>1111</v>
      </c>
      <c r="G23" t="s">
        <v>1170</v>
      </c>
      <c r="H23">
        <f>$H$5</f>
        <v>2022</v>
      </c>
      <c r="I23">
        <f t="shared" ref="I23:J23" si="5">H23+5</f>
        <v>2027</v>
      </c>
      <c r="J23">
        <f t="shared" si="5"/>
        <v>2032</v>
      </c>
      <c r="K23">
        <f>J23+20</f>
        <v>2052</v>
      </c>
      <c r="L23" t="s">
        <v>1120</v>
      </c>
      <c r="M23" t="s">
        <v>1121</v>
      </c>
      <c r="N23" t="s">
        <v>1115</v>
      </c>
    </row>
    <row r="24" spans="4:19" x14ac:dyDescent="0.45">
      <c r="D24" t="s">
        <v>1136</v>
      </c>
      <c r="E24" t="s">
        <v>1137</v>
      </c>
      <c r="F24" t="s">
        <v>563</v>
      </c>
      <c r="H24">
        <v>-0.99</v>
      </c>
      <c r="I24">
        <v>-0.98</v>
      </c>
      <c r="J24">
        <v>-0.96</v>
      </c>
      <c r="K24">
        <v>-0.83</v>
      </c>
      <c r="L24">
        <v>0</v>
      </c>
      <c r="M24">
        <v>5</v>
      </c>
      <c r="N24" t="s">
        <v>1138</v>
      </c>
    </row>
    <row r="25" spans="4:19" x14ac:dyDescent="0.45">
      <c r="E25" t="s">
        <v>1142</v>
      </c>
      <c r="H25">
        <v>0.01</v>
      </c>
      <c r="I25">
        <v>0.02</v>
      </c>
      <c r="J25">
        <v>0.04</v>
      </c>
      <c r="K25">
        <v>0.17</v>
      </c>
    </row>
    <row r="28" spans="4:19" x14ac:dyDescent="0.45">
      <c r="F28" t="s">
        <v>1151</v>
      </c>
    </row>
    <row r="29" spans="4:19" x14ac:dyDescent="0.45">
      <c r="D29" t="s">
        <v>17</v>
      </c>
      <c r="E29" t="s">
        <v>1119</v>
      </c>
      <c r="F29" t="s">
        <v>1111</v>
      </c>
      <c r="G29" t="s">
        <v>1170</v>
      </c>
      <c r="H29">
        <f>$H$5</f>
        <v>2022</v>
      </c>
      <c r="I29">
        <f t="shared" ref="I29:L29" si="6">H29+5</f>
        <v>2027</v>
      </c>
      <c r="J29">
        <f t="shared" si="6"/>
        <v>2032</v>
      </c>
      <c r="K29">
        <f t="shared" si="6"/>
        <v>2037</v>
      </c>
      <c r="L29">
        <f t="shared" si="6"/>
        <v>2042</v>
      </c>
      <c r="M29" t="s">
        <v>1120</v>
      </c>
      <c r="N29" t="s">
        <v>1121</v>
      </c>
      <c r="O29" t="s">
        <v>1115</v>
      </c>
    </row>
    <row r="30" spans="4:19" x14ac:dyDescent="0.45">
      <c r="D30" t="s">
        <v>1128</v>
      </c>
      <c r="E30" t="s">
        <v>1129</v>
      </c>
      <c r="F30" t="s">
        <v>563</v>
      </c>
      <c r="H30">
        <v>-0.97</v>
      </c>
      <c r="I30">
        <v>-0.89</v>
      </c>
      <c r="J30">
        <f>I30+0.2</f>
        <v>-0.69</v>
      </c>
      <c r="K30">
        <f>J30+0.2</f>
        <v>-0.48999999999999994</v>
      </c>
      <c r="L30">
        <f>K30+0.2</f>
        <v>-0.28999999999999992</v>
      </c>
      <c r="M30">
        <v>0</v>
      </c>
      <c r="N30">
        <v>5</v>
      </c>
      <c r="O30" t="s">
        <v>1152</v>
      </c>
    </row>
    <row r="31" spans="4:19" x14ac:dyDescent="0.45">
      <c r="E31" t="s">
        <v>1132</v>
      </c>
      <c r="H31">
        <v>0.03</v>
      </c>
      <c r="I31">
        <v>0.11</v>
      </c>
      <c r="J31">
        <f>1+J30</f>
        <v>0.31000000000000005</v>
      </c>
      <c r="K31">
        <f>1+K30</f>
        <v>0.51</v>
      </c>
      <c r="L31">
        <f>1+L30</f>
        <v>0.71000000000000008</v>
      </c>
    </row>
    <row r="34" spans="4:15" x14ac:dyDescent="0.45">
      <c r="F34" t="s">
        <v>1151</v>
      </c>
    </row>
    <row r="35" spans="4:15" x14ac:dyDescent="0.45">
      <c r="D35" t="s">
        <v>17</v>
      </c>
      <c r="E35" t="s">
        <v>1119</v>
      </c>
      <c r="F35" t="s">
        <v>1111</v>
      </c>
      <c r="G35" t="s">
        <v>1170</v>
      </c>
      <c r="H35">
        <f>$H$5</f>
        <v>2022</v>
      </c>
      <c r="I35">
        <f t="shared" ref="I35:L35" si="7">H35+5</f>
        <v>2027</v>
      </c>
      <c r="J35">
        <f t="shared" si="7"/>
        <v>2032</v>
      </c>
      <c r="K35">
        <f t="shared" si="7"/>
        <v>2037</v>
      </c>
      <c r="L35">
        <f t="shared" si="7"/>
        <v>2042</v>
      </c>
      <c r="M35" t="s">
        <v>1120</v>
      </c>
      <c r="N35" t="s">
        <v>1121</v>
      </c>
      <c r="O35" t="s">
        <v>1115</v>
      </c>
    </row>
    <row r="36" spans="4:15" x14ac:dyDescent="0.45">
      <c r="D36" t="s">
        <v>1139</v>
      </c>
      <c r="E36" t="s">
        <v>1140</v>
      </c>
      <c r="F36" t="s">
        <v>563</v>
      </c>
      <c r="H36">
        <v>-1</v>
      </c>
      <c r="I36">
        <v>-0.75</v>
      </c>
      <c r="J36">
        <f>I36+0.2</f>
        <v>-0.55000000000000004</v>
      </c>
      <c r="K36">
        <f>J36+0.2</f>
        <v>-0.35000000000000003</v>
      </c>
      <c r="L36">
        <f>K36+0.2</f>
        <v>-0.15000000000000002</v>
      </c>
      <c r="M36">
        <v>0</v>
      </c>
      <c r="N36">
        <v>5</v>
      </c>
      <c r="O36" t="s">
        <v>1153</v>
      </c>
    </row>
    <row r="37" spans="4:15" x14ac:dyDescent="0.45">
      <c r="E37" t="s">
        <v>1143</v>
      </c>
      <c r="H37">
        <v>0</v>
      </c>
      <c r="I37">
        <f t="shared" ref="I37:L37" si="8">1+I36</f>
        <v>0.25</v>
      </c>
      <c r="J37">
        <f t="shared" si="8"/>
        <v>0.44999999999999996</v>
      </c>
      <c r="K37">
        <f t="shared" si="8"/>
        <v>0.64999999999999991</v>
      </c>
      <c r="L37">
        <f t="shared" si="8"/>
        <v>0.85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30B57-E75E-4B9D-AAED-5E068D6D2E46}">
  <dimension ref="A1:AK36"/>
  <sheetViews>
    <sheetView workbookViewId="0"/>
  </sheetViews>
  <sheetFormatPr defaultRowHeight="14.25" x14ac:dyDescent="0.45"/>
  <cols>
    <col min="2" max="2" width="21.3984375" bestFit="1" customWidth="1"/>
    <col min="3" max="3" width="9.19921875" bestFit="1" customWidth="1"/>
    <col min="4" max="4" width="13.796875" bestFit="1" customWidth="1"/>
    <col min="5" max="5" width="9.73046875" bestFit="1" customWidth="1"/>
    <col min="6" max="7" width="8.33203125" bestFit="1" customWidth="1"/>
    <col min="8" max="8" width="11.06640625" bestFit="1" customWidth="1"/>
    <col min="9" max="9" width="9.265625" bestFit="1" customWidth="1"/>
    <col min="10" max="10" width="11.265625" bestFit="1" customWidth="1"/>
    <col min="11" max="11" width="6.19921875" customWidth="1"/>
    <col min="12" max="19" width="6.265625" bestFit="1" customWidth="1"/>
    <col min="20" max="34" width="7.265625" bestFit="1" customWidth="1"/>
  </cols>
  <sheetData>
    <row r="1" spans="1:34" ht="14.65" thickBot="1" x14ac:dyDescent="0.5">
      <c r="A1" s="3" t="str">
        <f>Veda!$E$5</f>
        <v>nz</v>
      </c>
      <c r="B1" t="s">
        <v>242</v>
      </c>
      <c r="C1" t="str">
        <f>'kea-tui'!A1</f>
        <v>kea</v>
      </c>
    </row>
    <row r="2" spans="1:34" ht="14.65" thickTop="1" x14ac:dyDescent="0.45"/>
    <row r="3" spans="1:34" x14ac:dyDescent="0.45">
      <c r="B3" t="s">
        <v>1109</v>
      </c>
    </row>
    <row r="4" spans="1:34" x14ac:dyDescent="0.45">
      <c r="B4" t="s">
        <v>1110</v>
      </c>
    </row>
    <row r="6" spans="1:34" x14ac:dyDescent="0.45">
      <c r="G6" t="str">
        <f>IF(C1=B1,"~UC_T","No CO2 budget")</f>
        <v>~UC_T</v>
      </c>
    </row>
    <row r="7" spans="1:34" x14ac:dyDescent="0.45">
      <c r="D7" t="s">
        <v>17</v>
      </c>
      <c r="E7" t="s">
        <v>6</v>
      </c>
      <c r="F7" t="s">
        <v>14</v>
      </c>
      <c r="G7" t="s">
        <v>1111</v>
      </c>
      <c r="H7" t="s">
        <v>1112</v>
      </c>
      <c r="I7" t="s">
        <v>1113</v>
      </c>
      <c r="J7" t="s">
        <v>1114</v>
      </c>
      <c r="K7" t="s">
        <v>1115</v>
      </c>
    </row>
    <row r="8" spans="1:34" x14ac:dyDescent="0.45">
      <c r="D8" t="s">
        <v>1116</v>
      </c>
      <c r="E8" t="s">
        <v>1117</v>
      </c>
      <c r="F8">
        <v>2025</v>
      </c>
      <c r="G8" t="s">
        <v>320</v>
      </c>
      <c r="H8">
        <v>1</v>
      </c>
      <c r="I8" s="20">
        <v>29443.599999999999</v>
      </c>
      <c r="J8">
        <v>5</v>
      </c>
      <c r="K8" t="s">
        <v>1118</v>
      </c>
    </row>
    <row r="9" spans="1:34" x14ac:dyDescent="0.45">
      <c r="E9" t="s">
        <v>1117</v>
      </c>
      <c r="F9">
        <v>2030</v>
      </c>
      <c r="G9" t="s">
        <v>320</v>
      </c>
      <c r="H9">
        <v>1</v>
      </c>
      <c r="I9" s="20">
        <v>24951.46</v>
      </c>
    </row>
    <row r="10" spans="1:34" x14ac:dyDescent="0.45">
      <c r="E10" t="s">
        <v>1117</v>
      </c>
      <c r="F10">
        <v>2035</v>
      </c>
      <c r="G10" t="s">
        <v>320</v>
      </c>
      <c r="H10">
        <v>1</v>
      </c>
      <c r="I10" s="20">
        <v>18884.91</v>
      </c>
    </row>
    <row r="11" spans="1:34" x14ac:dyDescent="0.45">
      <c r="E11" t="s">
        <v>1117</v>
      </c>
      <c r="F11">
        <v>2040</v>
      </c>
      <c r="G11" t="s">
        <v>320</v>
      </c>
      <c r="H11">
        <v>1</v>
      </c>
      <c r="I11" s="20">
        <v>12911.14</v>
      </c>
    </row>
    <row r="12" spans="1:34" x14ac:dyDescent="0.45">
      <c r="E12" t="s">
        <v>1117</v>
      </c>
      <c r="F12">
        <v>2045</v>
      </c>
      <c r="G12" t="s">
        <v>320</v>
      </c>
      <c r="H12">
        <v>1</v>
      </c>
      <c r="I12" s="20">
        <v>8366.5869999999995</v>
      </c>
    </row>
    <row r="13" spans="1:34" x14ac:dyDescent="0.45">
      <c r="E13" t="s">
        <v>1117</v>
      </c>
      <c r="F13">
        <v>2050</v>
      </c>
      <c r="G13" t="s">
        <v>320</v>
      </c>
      <c r="H13">
        <v>1</v>
      </c>
      <c r="I13" s="20">
        <v>5276.3459999999995</v>
      </c>
    </row>
    <row r="14" spans="1:34" x14ac:dyDescent="0.45">
      <c r="I14" s="20"/>
    </row>
    <row r="16" spans="1:34" x14ac:dyDescent="0.45">
      <c r="A16" t="s">
        <v>241</v>
      </c>
      <c r="B16" s="20">
        <v>18.817699999999999</v>
      </c>
      <c r="C16" s="20">
        <v>24.5</v>
      </c>
      <c r="D16" s="20">
        <v>30</v>
      </c>
      <c r="E16" s="20">
        <v>37.920950000000005</v>
      </c>
      <c r="F16" s="20">
        <v>43.341899999999995</v>
      </c>
      <c r="G16" s="20">
        <v>48.76285</v>
      </c>
      <c r="H16" s="20">
        <v>54.183799999999998</v>
      </c>
      <c r="I16" s="20">
        <v>59.604750000000003</v>
      </c>
      <c r="J16" s="20">
        <v>65.025700000000001</v>
      </c>
      <c r="K16" s="20">
        <v>70.4465</v>
      </c>
      <c r="L16" s="20">
        <v>75.867500000000007</v>
      </c>
      <c r="M16" s="20">
        <v>81.288499999999999</v>
      </c>
      <c r="N16" s="20">
        <v>86.709500000000006</v>
      </c>
      <c r="O16" s="20">
        <v>88.786000000000001</v>
      </c>
      <c r="P16" s="20">
        <v>90.924499999999995</v>
      </c>
      <c r="Q16" s="20">
        <v>93.126999999999995</v>
      </c>
      <c r="R16" s="20">
        <v>95.396000000000001</v>
      </c>
      <c r="S16" s="20">
        <v>97.732500000000002</v>
      </c>
      <c r="T16" s="20">
        <v>100.1395</v>
      </c>
      <c r="U16" s="20">
        <v>102.619</v>
      </c>
      <c r="V16" s="20">
        <v>105.1725</v>
      </c>
      <c r="W16" s="20">
        <v>107.80249999999999</v>
      </c>
      <c r="X16" s="20">
        <v>110.5115</v>
      </c>
      <c r="Y16" s="20">
        <v>113.30200000000001</v>
      </c>
      <c r="Z16" s="20">
        <v>116.176</v>
      </c>
      <c r="AA16" s="20">
        <v>119.1365</v>
      </c>
      <c r="AB16" s="20">
        <v>122.1855</v>
      </c>
      <c r="AC16" s="20">
        <v>125.32599999999999</v>
      </c>
      <c r="AD16" s="20">
        <v>128.56100000000001</v>
      </c>
      <c r="AE16" s="20">
        <v>131.89249999999998</v>
      </c>
      <c r="AF16" s="20">
        <v>135.3245</v>
      </c>
      <c r="AG16" s="20">
        <v>138.85899999999998</v>
      </c>
      <c r="AH16" s="20">
        <v>142.5</v>
      </c>
    </row>
    <row r="20" spans="1:37" x14ac:dyDescent="0.45">
      <c r="B20" s="20">
        <v>2018</v>
      </c>
      <c r="C20" s="20">
        <v>2019</v>
      </c>
      <c r="D20" s="20">
        <v>2020</v>
      </c>
      <c r="E20" s="20">
        <v>2021</v>
      </c>
      <c r="F20" s="20">
        <v>2022</v>
      </c>
      <c r="G20" s="20">
        <v>2023</v>
      </c>
      <c r="H20" s="20">
        <v>2024</v>
      </c>
      <c r="I20" s="20">
        <v>2025</v>
      </c>
      <c r="J20" s="20">
        <v>2026</v>
      </c>
      <c r="K20" s="20">
        <v>2027</v>
      </c>
      <c r="L20" s="20">
        <v>2028</v>
      </c>
      <c r="M20" s="20">
        <v>2029</v>
      </c>
      <c r="N20" s="20">
        <v>2030</v>
      </c>
      <c r="O20" s="20">
        <v>2031</v>
      </c>
      <c r="P20" s="20">
        <v>2032</v>
      </c>
      <c r="Q20" s="20">
        <v>2033</v>
      </c>
      <c r="R20" s="20">
        <v>2034</v>
      </c>
      <c r="S20" s="20">
        <v>2035</v>
      </c>
      <c r="T20" s="20">
        <v>2036</v>
      </c>
      <c r="U20" s="20">
        <v>2037</v>
      </c>
      <c r="V20" s="20">
        <v>2038</v>
      </c>
      <c r="W20" s="20">
        <v>2039</v>
      </c>
      <c r="X20" s="20">
        <v>2040</v>
      </c>
      <c r="Y20" s="20">
        <v>2041</v>
      </c>
      <c r="Z20" s="20">
        <v>2042</v>
      </c>
      <c r="AA20" s="20">
        <v>2043</v>
      </c>
      <c r="AB20" s="20">
        <v>2044</v>
      </c>
      <c r="AC20" s="20">
        <v>2045</v>
      </c>
      <c r="AD20" s="20">
        <v>2046</v>
      </c>
      <c r="AE20" s="20">
        <v>2047</v>
      </c>
      <c r="AF20" s="20">
        <v>2048</v>
      </c>
      <c r="AG20" s="20">
        <v>2049</v>
      </c>
      <c r="AH20" s="20">
        <v>2050</v>
      </c>
      <c r="AJ20" s="20">
        <v>2025</v>
      </c>
      <c r="AK20" s="20">
        <v>2050</v>
      </c>
    </row>
    <row r="21" spans="1:37" x14ac:dyDescent="0.45">
      <c r="A21" t="s">
        <v>242</v>
      </c>
      <c r="B21" s="20">
        <v>18.817699999999999</v>
      </c>
      <c r="C21" s="20">
        <v>24.5</v>
      </c>
      <c r="D21" s="20">
        <v>30</v>
      </c>
      <c r="E21" s="20">
        <v>40.841900000000003</v>
      </c>
      <c r="F21" s="20">
        <v>51.683799999999998</v>
      </c>
      <c r="G21" s="20">
        <v>62.525700000000001</v>
      </c>
      <c r="H21" s="20">
        <v>73.367599999999996</v>
      </c>
      <c r="I21" s="20">
        <v>84.209500000000006</v>
      </c>
      <c r="J21" s="20">
        <v>95.051400000000001</v>
      </c>
      <c r="K21" s="20">
        <v>105.893</v>
      </c>
      <c r="L21" s="20">
        <v>116.735</v>
      </c>
      <c r="M21" s="20">
        <v>127.577</v>
      </c>
      <c r="N21" s="20">
        <v>138.41900000000001</v>
      </c>
      <c r="O21" s="20">
        <v>142.572</v>
      </c>
      <c r="P21" s="20">
        <v>146.84899999999999</v>
      </c>
      <c r="Q21" s="20">
        <v>151.25399999999999</v>
      </c>
      <c r="R21" s="20">
        <v>155.792</v>
      </c>
      <c r="S21" s="20">
        <v>160.465</v>
      </c>
      <c r="T21" s="20">
        <v>165.279</v>
      </c>
      <c r="U21" s="20">
        <v>170.238</v>
      </c>
      <c r="V21" s="20">
        <v>175.345</v>
      </c>
      <c r="W21" s="20">
        <v>180.60499999999999</v>
      </c>
      <c r="X21" s="20">
        <v>186.023</v>
      </c>
      <c r="Y21" s="20">
        <v>191.60400000000001</v>
      </c>
      <c r="Z21" s="20">
        <v>197.352</v>
      </c>
      <c r="AA21" s="20">
        <v>203.273</v>
      </c>
      <c r="AB21" s="20">
        <v>209.37100000000001</v>
      </c>
      <c r="AC21" s="20">
        <v>215.65199999999999</v>
      </c>
      <c r="AD21" s="20">
        <v>222.12200000000001</v>
      </c>
      <c r="AE21" s="20">
        <v>228.785</v>
      </c>
      <c r="AF21" s="20">
        <v>235.649</v>
      </c>
      <c r="AG21" s="20">
        <v>242.71799999999999</v>
      </c>
      <c r="AH21" s="20">
        <v>250</v>
      </c>
      <c r="AJ21" s="20">
        <v>1</v>
      </c>
      <c r="AK21" s="20">
        <v>4</v>
      </c>
    </row>
    <row r="22" spans="1:37" x14ac:dyDescent="0.45">
      <c r="A22" t="s">
        <v>241</v>
      </c>
      <c r="B22" s="20">
        <f>AVERAGE(B21,B23)</f>
        <v>18.817699999999999</v>
      </c>
      <c r="C22" s="20">
        <f t="shared" ref="C22:H22" si="0">AVERAGE(C21,C23)</f>
        <v>24.5</v>
      </c>
      <c r="D22" s="20">
        <f t="shared" si="0"/>
        <v>30</v>
      </c>
      <c r="E22" s="20">
        <f t="shared" si="0"/>
        <v>37.920950000000005</v>
      </c>
      <c r="F22" s="20">
        <f t="shared" si="0"/>
        <v>43.341899999999995</v>
      </c>
      <c r="G22" s="20">
        <f t="shared" si="0"/>
        <v>48.76285</v>
      </c>
      <c r="H22" s="20">
        <f t="shared" si="0"/>
        <v>54.183799999999998</v>
      </c>
      <c r="I22" s="24" cm="1">
        <f t="array" ref="I22">TREND($E$35:$J$35,$E$34:$J$34,I$20)/0.6</f>
        <v>26.666666666666668</v>
      </c>
      <c r="J22" s="24" cm="1">
        <f t="array" ref="J22">TREND($E$35:$J$35,$E$34:$J$34,J$20)/0.6</f>
        <v>33.133333333333518</v>
      </c>
      <c r="K22" s="24" cm="1">
        <f t="array" ref="K22">TREND($E$35:$J$35,$E$34:$J$34,K$20)/0.6</f>
        <v>39.600000000000364</v>
      </c>
      <c r="L22" s="24" cm="1">
        <f t="array" ref="L22">TREND($E$35:$J$35,$E$34:$J$34,L$20)/0.6</f>
        <v>46.066666666665697</v>
      </c>
      <c r="M22" s="24" cm="1">
        <f t="array" ref="M22">TREND($E$35:$J$35,$E$34:$J$34,M$20)/0.6</f>
        <v>52.53333333333255</v>
      </c>
      <c r="N22" s="24" cm="1">
        <f t="array" ref="N22">TREND($E$35:$J$35,$E$34:$J$34,N$20)/0.6</f>
        <v>58.999999999999396</v>
      </c>
      <c r="O22" s="24" cm="1">
        <f t="array" ref="O22">TREND($E$35:$J$35,$E$34:$J$34,O$20)/0.6</f>
        <v>65.466666666666242</v>
      </c>
      <c r="P22" s="24" cm="1">
        <f t="array" ref="P22">TREND($E$35:$J$35,$E$34:$J$34,P$20)/0.6</f>
        <v>71.933333333333096</v>
      </c>
      <c r="Q22" s="24" cm="1">
        <f t="array" ref="Q22">TREND($E$35:$J$35,$E$34:$J$34,Q$20)/0.6</f>
        <v>78.399999999999949</v>
      </c>
      <c r="R22" s="24" cm="1">
        <f t="array" ref="R22">TREND($E$35:$J$35,$E$34:$J$34,R$20)/0.6</f>
        <v>84.866666666666788</v>
      </c>
      <c r="S22" s="24" cm="1">
        <f t="array" ref="S22">TREND($E$35:$J$35,$E$34:$J$34,S$20)/0.6</f>
        <v>91.333333333333641</v>
      </c>
      <c r="T22" s="24" cm="1">
        <f t="array" ref="T22">TREND($E$35:$J$35,$E$34:$J$34,T$20)/0.6</f>
        <v>97.799999999998974</v>
      </c>
      <c r="U22" s="24" cm="1">
        <f t="array" ref="U22">TREND($E$35:$J$35,$E$34:$J$34,U$20)/0.6</f>
        <v>104.26666666666583</v>
      </c>
      <c r="V22" s="24" cm="1">
        <f t="array" ref="V22">TREND($E$35:$J$35,$E$34:$J$34,V$20)/0.6</f>
        <v>110.73333333333267</v>
      </c>
      <c r="W22" s="24" cm="1">
        <f t="array" ref="W22">TREND($E$35:$J$35,$E$34:$J$34,W$20)/0.6</f>
        <v>117.19999999999952</v>
      </c>
      <c r="X22" s="24" cm="1">
        <f t="array" ref="X22">TREND($E$35:$J$35,$E$34:$J$34,X$20)/0.6</f>
        <v>123.66666666666637</v>
      </c>
      <c r="Y22" s="24" cm="1">
        <f t="array" ref="Y22">TREND($E$35:$J$35,$E$34:$J$34,Y$20)/0.6</f>
        <v>130.13333333333321</v>
      </c>
      <c r="Z22" s="24" cm="1">
        <f t="array" ref="Z22">TREND($E$35:$J$35,$E$34:$J$34,Z$20)/0.6</f>
        <v>136.60000000000008</v>
      </c>
      <c r="AA22" s="24" cm="1">
        <f t="array" ref="AA22">TREND($E$35:$J$35,$E$34:$J$34,AA$20)/0.6</f>
        <v>143.06666666666692</v>
      </c>
      <c r="AB22" s="24" cm="1">
        <f t="array" ref="AB22">TREND($E$35:$J$35,$E$34:$J$34,AB$20)/0.6</f>
        <v>149.53333333333225</v>
      </c>
      <c r="AC22" s="24" cm="1">
        <f t="array" ref="AC22">TREND($E$35:$J$35,$E$34:$J$34,AC$20)/0.6</f>
        <v>155.99999999999909</v>
      </c>
      <c r="AD22" s="24" cm="1">
        <f t="array" ref="AD22">TREND($E$35:$J$35,$E$34:$J$34,AD$20)/0.6</f>
        <v>162.46666666666596</v>
      </c>
      <c r="AE22" s="24" cm="1">
        <f t="array" ref="AE22">TREND($E$35:$J$35,$E$34:$J$34,AE$20)/0.6</f>
        <v>168.9333333333328</v>
      </c>
      <c r="AF22" s="24" cm="1">
        <f t="array" ref="AF22">TREND($E$35:$J$35,$E$34:$J$34,AF$20)/0.6</f>
        <v>175.39999999999964</v>
      </c>
      <c r="AG22" s="24" cm="1">
        <f t="array" ref="AG22">TREND($E$35:$J$35,$E$34:$J$34,AG$20)/0.6</f>
        <v>181.8666666666665</v>
      </c>
      <c r="AH22" s="24" cm="1">
        <f t="array" ref="AH22">TREND($E$35:$J$35,$E$34:$J$34,AH$20)/0.6</f>
        <v>188.33333333333334</v>
      </c>
      <c r="AJ22">
        <v>1</v>
      </c>
      <c r="AK22">
        <v>3.5</v>
      </c>
    </row>
    <row r="23" spans="1:37" x14ac:dyDescent="0.45">
      <c r="A23" t="s">
        <v>1155</v>
      </c>
      <c r="B23" s="20">
        <v>18.817699999999999</v>
      </c>
      <c r="C23" s="20">
        <v>24.5</v>
      </c>
      <c r="D23" s="20">
        <v>30</v>
      </c>
      <c r="E23" s="20">
        <v>35</v>
      </c>
      <c r="F23" s="20">
        <v>35</v>
      </c>
      <c r="G23" s="20">
        <v>35</v>
      </c>
      <c r="H23" s="20">
        <v>35</v>
      </c>
      <c r="I23" s="20">
        <v>35</v>
      </c>
      <c r="J23" s="20">
        <v>35</v>
      </c>
      <c r="K23" s="20">
        <v>35</v>
      </c>
      <c r="L23" s="20">
        <v>35</v>
      </c>
      <c r="M23" s="20">
        <v>35</v>
      </c>
      <c r="N23" s="20">
        <v>35</v>
      </c>
      <c r="O23" s="20">
        <v>35</v>
      </c>
      <c r="P23" s="20">
        <v>35</v>
      </c>
      <c r="Q23" s="20">
        <v>35</v>
      </c>
      <c r="R23" s="20">
        <v>35</v>
      </c>
      <c r="S23" s="20">
        <v>35</v>
      </c>
      <c r="T23" s="20">
        <v>35</v>
      </c>
      <c r="U23" s="20">
        <v>35</v>
      </c>
      <c r="V23" s="20">
        <v>35</v>
      </c>
      <c r="W23" s="20">
        <v>35</v>
      </c>
      <c r="X23" s="20">
        <v>35</v>
      </c>
      <c r="Y23" s="20">
        <v>35</v>
      </c>
      <c r="Z23" s="20">
        <v>35</v>
      </c>
      <c r="AA23" s="20">
        <v>35</v>
      </c>
      <c r="AB23" s="20">
        <v>35</v>
      </c>
      <c r="AC23" s="20">
        <v>35</v>
      </c>
      <c r="AD23" s="20">
        <v>35</v>
      </c>
      <c r="AE23" s="20">
        <v>35</v>
      </c>
      <c r="AF23" s="20">
        <v>35</v>
      </c>
      <c r="AG23" s="20">
        <v>35</v>
      </c>
      <c r="AH23" s="20">
        <v>35</v>
      </c>
    </row>
    <row r="24" spans="1:37" x14ac:dyDescent="0.45">
      <c r="A24" t="s">
        <v>1157</v>
      </c>
      <c r="B24" s="20">
        <f>B21</f>
        <v>18.817699999999999</v>
      </c>
      <c r="C24" s="20">
        <f t="shared" ref="C24:H24" si="1">C21</f>
        <v>24.5</v>
      </c>
      <c r="D24" s="20">
        <f t="shared" si="1"/>
        <v>30</v>
      </c>
      <c r="E24" s="20">
        <f t="shared" si="1"/>
        <v>40.841900000000003</v>
      </c>
      <c r="F24" s="20">
        <f t="shared" si="1"/>
        <v>51.683799999999998</v>
      </c>
      <c r="G24" s="20">
        <f t="shared" si="1"/>
        <v>62.525700000000001</v>
      </c>
      <c r="H24" s="20">
        <f t="shared" si="1"/>
        <v>73.367599999999996</v>
      </c>
      <c r="I24" s="24" cm="1">
        <f t="array" ref="I24">TREND($E$36:$J$36,$E$34:$J$34,I$20)/0.6</f>
        <v>274.20634920634865</v>
      </c>
      <c r="J24" s="24" cm="1">
        <f t="array" ref="J24">TREND($E$36:$J$36,$E$34:$J$34,J$20)/0.6</f>
        <v>302.09206349205488</v>
      </c>
      <c r="K24" s="24" cm="1">
        <f t="array" ref="K24">TREND($E$36:$J$36,$E$34:$J$34,K$20)/0.6</f>
        <v>329.97777777777327</v>
      </c>
      <c r="L24" s="24" cm="1">
        <f t="array" ref="L24">TREND($E$36:$J$36,$E$34:$J$34,L$20)/0.6</f>
        <v>357.86349206349166</v>
      </c>
      <c r="M24" s="24" cm="1">
        <f t="array" ref="M24">TREND($E$36:$J$36,$E$34:$J$34,M$20)/0.6</f>
        <v>385.74920634919789</v>
      </c>
      <c r="N24" s="24" cm="1">
        <f t="array" ref="N24">TREND($E$36:$J$36,$E$34:$J$34,N$20)/0.6</f>
        <v>413.63492063491628</v>
      </c>
      <c r="O24" s="24" cm="1">
        <f t="array" ref="O24">TREND($E$36:$J$36,$E$34:$J$34,O$20)/0.6</f>
        <v>441.52063492063462</v>
      </c>
      <c r="P24" s="24" cm="1">
        <f t="array" ref="P24">TREND($E$36:$J$36,$E$34:$J$34,P$20)/0.6</f>
        <v>469.40634920634091</v>
      </c>
      <c r="Q24" s="24" cm="1">
        <f t="array" ref="Q24">TREND($E$36:$J$36,$E$34:$J$34,Q$20)/0.6</f>
        <v>497.29206349205924</v>
      </c>
      <c r="R24" s="24" cm="1">
        <f t="array" ref="R24">TREND($E$36:$J$36,$E$34:$J$34,R$20)/0.6</f>
        <v>525.17777777777769</v>
      </c>
      <c r="S24" s="24" cm="1">
        <f t="array" ref="S24">TREND($E$36:$J$36,$E$34:$J$34,S$20)/0.6</f>
        <v>553.06349206348386</v>
      </c>
      <c r="T24" s="24" cm="1">
        <f t="array" ref="T24">TREND($E$36:$J$36,$E$34:$J$34,T$20)/0.6</f>
        <v>580.94920634920231</v>
      </c>
      <c r="U24" s="24" cm="1">
        <f t="array" ref="U24">TREND($E$36:$J$36,$E$34:$J$34,U$20)/0.6</f>
        <v>608.83492063492065</v>
      </c>
      <c r="V24" s="24" cm="1">
        <f t="array" ref="V24">TREND($E$36:$J$36,$E$34:$J$34,V$20)/0.6</f>
        <v>636.72063492062694</v>
      </c>
      <c r="W24" s="24" cm="1">
        <f t="array" ref="W24">TREND($E$36:$J$36,$E$34:$J$34,W$20)/0.6</f>
        <v>664.60634920634527</v>
      </c>
      <c r="X24" s="24" cm="1">
        <f t="array" ref="X24">TREND($E$36:$J$36,$E$34:$J$34,X$20)/0.6</f>
        <v>692.49206349206361</v>
      </c>
      <c r="Y24" s="24" cm="1">
        <f t="array" ref="Y24">TREND($E$36:$J$36,$E$34:$J$34,Y$20)/0.6</f>
        <v>720.37777777776989</v>
      </c>
      <c r="Z24" s="24" cm="1">
        <f t="array" ref="Z24">TREND($E$36:$J$36,$E$34:$J$34,Z$20)/0.6</f>
        <v>748.26349206348823</v>
      </c>
      <c r="AA24" s="24" cm="1">
        <f t="array" ref="AA24">TREND($E$36:$J$36,$E$34:$J$34,AA$20)/0.6</f>
        <v>776.14920634920668</v>
      </c>
      <c r="AB24" s="24" cm="1">
        <f t="array" ref="AB24">TREND($E$36:$J$36,$E$34:$J$34,AB$20)/0.6</f>
        <v>804.03492063491285</v>
      </c>
      <c r="AC24" s="24" cm="1">
        <f t="array" ref="AC24">TREND($E$36:$J$36,$E$34:$J$34,AC$20)/0.6</f>
        <v>831.9206349206313</v>
      </c>
      <c r="AD24" s="24" cm="1">
        <f t="array" ref="AD24">TREND($E$36:$J$36,$E$34:$J$34,AD$20)/0.6</f>
        <v>859.80634920634964</v>
      </c>
      <c r="AE24" s="24" cm="1">
        <f t="array" ref="AE24">TREND($E$36:$J$36,$E$34:$J$34,AE$20)/0.6</f>
        <v>887.69206349205592</v>
      </c>
      <c r="AF24" s="24" cm="1">
        <f t="array" ref="AF24">TREND($E$36:$J$36,$E$34:$J$34,AF$20)/0.6</f>
        <v>915.57777777777426</v>
      </c>
      <c r="AG24" s="24" cm="1">
        <f t="array" ref="AG24">TREND($E$36:$J$36,$E$34:$J$34,AG$20)/0.6</f>
        <v>943.46349206349259</v>
      </c>
      <c r="AH24" s="24" cm="1">
        <f t="array" ref="AH24">TREND($E$36:$J$36,$E$34:$J$34,AH$20)/0.6</f>
        <v>971.34920634919888</v>
      </c>
      <c r="AJ24" s="7"/>
    </row>
    <row r="27" spans="1:37" x14ac:dyDescent="0.45">
      <c r="A27" t="s">
        <v>1156</v>
      </c>
    </row>
    <row r="28" spans="1:37" x14ac:dyDescent="0.45">
      <c r="A28" t="s">
        <v>6</v>
      </c>
      <c r="B28" s="20">
        <f>B20</f>
        <v>2018</v>
      </c>
      <c r="C28" s="20">
        <f t="shared" ref="C28:AH28" si="2">C20</f>
        <v>2019</v>
      </c>
      <c r="D28" s="20">
        <f t="shared" si="2"/>
        <v>2020</v>
      </c>
      <c r="E28" s="20">
        <f t="shared" si="2"/>
        <v>2021</v>
      </c>
      <c r="F28" s="20">
        <f t="shared" si="2"/>
        <v>2022</v>
      </c>
      <c r="G28" s="20">
        <f t="shared" si="2"/>
        <v>2023</v>
      </c>
      <c r="H28" s="20">
        <f t="shared" si="2"/>
        <v>2024</v>
      </c>
      <c r="I28" s="20">
        <f t="shared" si="2"/>
        <v>2025</v>
      </c>
      <c r="J28" s="20">
        <f t="shared" si="2"/>
        <v>2026</v>
      </c>
      <c r="K28" s="20">
        <f t="shared" si="2"/>
        <v>2027</v>
      </c>
      <c r="L28" s="20">
        <f t="shared" si="2"/>
        <v>2028</v>
      </c>
      <c r="M28" s="20">
        <f t="shared" si="2"/>
        <v>2029</v>
      </c>
      <c r="N28" s="20">
        <f t="shared" si="2"/>
        <v>2030</v>
      </c>
      <c r="O28" s="20">
        <f t="shared" si="2"/>
        <v>2031</v>
      </c>
      <c r="P28" s="20">
        <f t="shared" si="2"/>
        <v>2032</v>
      </c>
      <c r="Q28" s="20">
        <f t="shared" si="2"/>
        <v>2033</v>
      </c>
      <c r="R28" s="20">
        <f t="shared" si="2"/>
        <v>2034</v>
      </c>
      <c r="S28" s="20">
        <f t="shared" si="2"/>
        <v>2035</v>
      </c>
      <c r="T28" s="20">
        <f t="shared" si="2"/>
        <v>2036</v>
      </c>
      <c r="U28" s="20">
        <f t="shared" si="2"/>
        <v>2037</v>
      </c>
      <c r="V28" s="20">
        <f t="shared" si="2"/>
        <v>2038</v>
      </c>
      <c r="W28" s="20">
        <f t="shared" si="2"/>
        <v>2039</v>
      </c>
      <c r="X28" s="20">
        <f t="shared" si="2"/>
        <v>2040</v>
      </c>
      <c r="Y28" s="20">
        <f t="shared" si="2"/>
        <v>2041</v>
      </c>
      <c r="Z28" s="20">
        <f t="shared" si="2"/>
        <v>2042</v>
      </c>
      <c r="AA28" s="20">
        <f t="shared" si="2"/>
        <v>2043</v>
      </c>
      <c r="AB28" s="20">
        <f t="shared" si="2"/>
        <v>2044</v>
      </c>
      <c r="AC28" s="20">
        <f t="shared" si="2"/>
        <v>2045</v>
      </c>
      <c r="AD28" s="20">
        <f t="shared" si="2"/>
        <v>2046</v>
      </c>
      <c r="AE28" s="20">
        <f t="shared" si="2"/>
        <v>2047</v>
      </c>
      <c r="AF28" s="20">
        <f t="shared" si="2"/>
        <v>2048</v>
      </c>
      <c r="AG28" s="20">
        <f t="shared" si="2"/>
        <v>2049</v>
      </c>
      <c r="AH28" s="20">
        <f t="shared" si="2"/>
        <v>2050</v>
      </c>
    </row>
    <row r="29" spans="1:37" x14ac:dyDescent="0.45">
      <c r="A29" t="s">
        <v>1117</v>
      </c>
      <c r="B29" s="7">
        <f>SUMIF($A$21:$A$24,$A$1,B$21:B$24)/1000</f>
        <v>1.88177E-2</v>
      </c>
      <c r="C29" s="7">
        <f t="shared" ref="C29:AH29" si="3">SUMIF($A$21:$A$24,$A$1,C$21:C$24)/1000</f>
        <v>2.4500000000000001E-2</v>
      </c>
      <c r="D29" s="7">
        <f t="shared" si="3"/>
        <v>0.03</v>
      </c>
      <c r="E29" s="7">
        <f t="shared" si="3"/>
        <v>4.08419E-2</v>
      </c>
      <c r="F29" s="7">
        <f t="shared" si="3"/>
        <v>5.1683799999999995E-2</v>
      </c>
      <c r="G29" s="7">
        <f t="shared" si="3"/>
        <v>6.2525700000000003E-2</v>
      </c>
      <c r="H29" s="7">
        <f t="shared" si="3"/>
        <v>7.3367599999999991E-2</v>
      </c>
      <c r="I29" s="7">
        <f t="shared" si="3"/>
        <v>0.27420634920634862</v>
      </c>
      <c r="J29" s="7">
        <f t="shared" si="3"/>
        <v>0.30209206349205486</v>
      </c>
      <c r="K29" s="7">
        <f t="shared" si="3"/>
        <v>0.32997777777777326</v>
      </c>
      <c r="L29" s="7">
        <f t="shared" si="3"/>
        <v>0.35786349206349166</v>
      </c>
      <c r="M29" s="7">
        <f t="shared" si="3"/>
        <v>0.3857492063491979</v>
      </c>
      <c r="N29" s="7">
        <f t="shared" si="3"/>
        <v>0.4136349206349163</v>
      </c>
      <c r="O29" s="7">
        <f t="shared" si="3"/>
        <v>0.44152063492063465</v>
      </c>
      <c r="P29" s="7">
        <f t="shared" si="3"/>
        <v>0.46940634920634089</v>
      </c>
      <c r="Q29" s="7">
        <f t="shared" si="3"/>
        <v>0.49729206349205923</v>
      </c>
      <c r="R29" s="7">
        <f t="shared" si="3"/>
        <v>0.52517777777777774</v>
      </c>
      <c r="S29" s="7">
        <f t="shared" si="3"/>
        <v>0.55306349206348382</v>
      </c>
      <c r="T29" s="7">
        <f t="shared" si="3"/>
        <v>0.58094920634920233</v>
      </c>
      <c r="U29" s="7">
        <f t="shared" si="3"/>
        <v>0.60883492063492062</v>
      </c>
      <c r="V29" s="7">
        <f t="shared" si="3"/>
        <v>0.63672063492062692</v>
      </c>
      <c r="W29" s="7">
        <f t="shared" si="3"/>
        <v>0.66460634920634531</v>
      </c>
      <c r="X29" s="7">
        <f t="shared" si="3"/>
        <v>0.6924920634920636</v>
      </c>
      <c r="Y29" s="7">
        <f t="shared" si="3"/>
        <v>0.7203777777777699</v>
      </c>
      <c r="Z29" s="7">
        <f t="shared" si="3"/>
        <v>0.74826349206348819</v>
      </c>
      <c r="AA29" s="7">
        <f t="shared" si="3"/>
        <v>0.7761492063492067</v>
      </c>
      <c r="AB29" s="7">
        <f t="shared" si="3"/>
        <v>0.80403492063491289</v>
      </c>
      <c r="AC29" s="7">
        <f t="shared" si="3"/>
        <v>0.83192063492063129</v>
      </c>
      <c r="AD29" s="7">
        <f t="shared" si="3"/>
        <v>0.85980634920634968</v>
      </c>
      <c r="AE29" s="7">
        <f t="shared" si="3"/>
        <v>0.88769206349205587</v>
      </c>
      <c r="AF29" s="7">
        <f t="shared" si="3"/>
        <v>0.91557777777777427</v>
      </c>
      <c r="AG29" s="7">
        <f t="shared" si="3"/>
        <v>0.94346349206349256</v>
      </c>
      <c r="AH29" s="7">
        <f t="shared" si="3"/>
        <v>0.97134920634919886</v>
      </c>
    </row>
    <row r="34" spans="5:10" x14ac:dyDescent="0.45">
      <c r="E34">
        <v>2025</v>
      </c>
      <c r="F34">
        <v>2030</v>
      </c>
      <c r="G34">
        <v>2035</v>
      </c>
      <c r="H34">
        <v>2040</v>
      </c>
      <c r="I34">
        <v>2045</v>
      </c>
      <c r="J34">
        <v>2050</v>
      </c>
    </row>
    <row r="35" spans="5:10" x14ac:dyDescent="0.45">
      <c r="E35">
        <v>17</v>
      </c>
      <c r="F35">
        <v>35</v>
      </c>
      <c r="G35">
        <v>52</v>
      </c>
      <c r="H35">
        <v>76</v>
      </c>
      <c r="I35">
        <v>95</v>
      </c>
      <c r="J35">
        <v>112</v>
      </c>
    </row>
    <row r="36" spans="5:10" x14ac:dyDescent="0.45">
      <c r="E36">
        <v>175</v>
      </c>
      <c r="F36">
        <v>242</v>
      </c>
      <c r="G36">
        <v>335</v>
      </c>
      <c r="H36">
        <v>407</v>
      </c>
      <c r="I36">
        <v>479</v>
      </c>
      <c r="J36">
        <v>604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M24"/>
  <sheetViews>
    <sheetView workbookViewId="0"/>
  </sheetViews>
  <sheetFormatPr defaultRowHeight="14.25" x14ac:dyDescent="0.45"/>
  <cols>
    <col min="3" max="3" width="18.06640625" customWidth="1"/>
    <col min="8" max="8" width="20.1328125" customWidth="1"/>
  </cols>
  <sheetData>
    <row r="10" spans="1:13" x14ac:dyDescent="0.45">
      <c r="A10" t="str">
        <f>IFERROR(Veda!D5,"ts_12t")</f>
        <v>ts_012</v>
      </c>
      <c r="B10" s="11"/>
      <c r="C10" s="11" t="s">
        <v>160</v>
      </c>
      <c r="D10" t="s">
        <v>50</v>
      </c>
      <c r="F10" t="s">
        <v>160</v>
      </c>
      <c r="G10" t="s">
        <v>52</v>
      </c>
      <c r="I10" t="s">
        <v>160</v>
      </c>
      <c r="J10" t="s">
        <v>37</v>
      </c>
      <c r="L10" t="s">
        <v>160</v>
      </c>
      <c r="M10" t="s">
        <v>57</v>
      </c>
    </row>
    <row r="11" spans="1:13" x14ac:dyDescent="0.45">
      <c r="B11" s="11"/>
      <c r="C11" s="11" t="s">
        <v>161</v>
      </c>
      <c r="D11" t="s">
        <v>162</v>
      </c>
      <c r="F11" t="s">
        <v>161</v>
      </c>
      <c r="G11" t="s">
        <v>213</v>
      </c>
      <c r="I11" t="s">
        <v>161</v>
      </c>
      <c r="J11" t="s">
        <v>217</v>
      </c>
      <c r="L11" t="s">
        <v>161</v>
      </c>
      <c r="M11" t="s">
        <v>236</v>
      </c>
    </row>
    <row r="12" spans="1:13" x14ac:dyDescent="0.45">
      <c r="B12" s="11"/>
      <c r="C12" s="11" t="s">
        <v>163</v>
      </c>
      <c r="D12" t="s">
        <v>164</v>
      </c>
      <c r="F12" t="s">
        <v>163</v>
      </c>
      <c r="G12" t="s">
        <v>214</v>
      </c>
      <c r="I12" t="s">
        <v>163</v>
      </c>
      <c r="J12" t="s">
        <v>217</v>
      </c>
      <c r="L12" t="s">
        <v>163</v>
      </c>
      <c r="M12" t="s">
        <v>237</v>
      </c>
    </row>
    <row r="17" spans="3:13" x14ac:dyDescent="0.45">
      <c r="I17" s="8">
        <v>0.75</v>
      </c>
      <c r="K17" s="2" t="s">
        <v>15</v>
      </c>
    </row>
    <row r="18" spans="3:13" ht="17.649999999999999" thickBot="1" x14ac:dyDescent="0.6">
      <c r="C18" s="9" t="s">
        <v>16</v>
      </c>
    </row>
    <row r="19" spans="3:13" ht="14.65" thickTop="1" x14ac:dyDescent="0.45"/>
    <row r="21" spans="3:13" ht="17.649999999999999" thickBot="1" x14ac:dyDescent="0.6">
      <c r="H21" s="9" t="str">
        <f>IF(H23=H24,"Not Required!","~UC_T: LO")</f>
        <v>~UC_T: LO</v>
      </c>
    </row>
    <row r="22" spans="3:13" ht="15" thickTop="1" thickBot="1" x14ac:dyDescent="0.5">
      <c r="C22" s="10" t="s">
        <v>17</v>
      </c>
      <c r="D22" s="10" t="s">
        <v>18</v>
      </c>
      <c r="E22" s="10" t="s">
        <v>19</v>
      </c>
      <c r="F22" s="10" t="s">
        <v>20</v>
      </c>
      <c r="G22" s="10" t="s">
        <v>21</v>
      </c>
      <c r="H22" s="10" t="s">
        <v>22</v>
      </c>
      <c r="I22" s="10" t="s">
        <v>23</v>
      </c>
      <c r="J22" s="10" t="s">
        <v>24</v>
      </c>
      <c r="K22" s="10" t="s">
        <v>25</v>
      </c>
    </row>
    <row r="23" spans="3:13" x14ac:dyDescent="0.45">
      <c r="C23" t="s">
        <v>26</v>
      </c>
      <c r="D23" t="s">
        <v>338</v>
      </c>
      <c r="F23" t="s">
        <v>28</v>
      </c>
      <c r="G23" t="s">
        <v>29</v>
      </c>
      <c r="H23" t="str">
        <f>HLOOKUP($A$10,$D$10:$CU$12,3,FALSE)</f>
        <v>S03aH01,S03aH03,S01aH01,S04aH01,S04aH03,S01aH03,S02aH01,S02aH03</v>
      </c>
      <c r="I23">
        <f>1+I24</f>
        <v>0.25</v>
      </c>
      <c r="J23">
        <v>0</v>
      </c>
      <c r="K23">
        <v>3</v>
      </c>
      <c r="M23" t="s">
        <v>30</v>
      </c>
    </row>
    <row r="24" spans="3:13" x14ac:dyDescent="0.45">
      <c r="D24" t="s">
        <v>338</v>
      </c>
      <c r="F24" t="s">
        <v>28</v>
      </c>
      <c r="G24" t="s">
        <v>29</v>
      </c>
      <c r="H24" t="str">
        <f>HLOOKUP($A$10,$D$10:$CU$12,2,FALSE)</f>
        <v>S02aH02,S03aH02,S01aH02,S04aH02</v>
      </c>
      <c r="I24">
        <f>-$I$17</f>
        <v>-0.75</v>
      </c>
      <c r="M24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0F7C6-5CC6-4C8E-BE14-321BEAB245E8}">
  <dimension ref="A9:AN40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IF(A11="x","DeActivated","~TFM_INS-AT")</f>
        <v>~TFM_INS-AT</v>
      </c>
      <c r="AC9" t="str">
        <f>IF(A11="x","DeActivated","~TFM_INS-AT")</f>
        <v>~TFM_INS-AT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50</v>
      </c>
      <c r="C10" t="s">
        <v>67</v>
      </c>
      <c r="D10" t="s">
        <v>68</v>
      </c>
      <c r="E10" t="s">
        <v>69</v>
      </c>
      <c r="F10" t="s">
        <v>70</v>
      </c>
      <c r="G10" t="s">
        <v>71</v>
      </c>
      <c r="I10" t="s">
        <v>6</v>
      </c>
      <c r="J10" t="s">
        <v>47</v>
      </c>
      <c r="K10" t="s">
        <v>81</v>
      </c>
      <c r="L10" t="s">
        <v>11</v>
      </c>
      <c r="N10" t="s">
        <v>6</v>
      </c>
      <c r="O10" t="s">
        <v>47</v>
      </c>
      <c r="P10" t="s">
        <v>81</v>
      </c>
      <c r="Q10" t="s">
        <v>11</v>
      </c>
      <c r="S10" t="s">
        <v>6</v>
      </c>
      <c r="T10" t="s">
        <v>47</v>
      </c>
      <c r="U10" t="s">
        <v>81</v>
      </c>
      <c r="V10" t="s">
        <v>11</v>
      </c>
      <c r="X10" t="s">
        <v>159</v>
      </c>
      <c r="Y10" t="s">
        <v>81</v>
      </c>
      <c r="Z10" t="s">
        <v>47</v>
      </c>
      <c r="AA10" t="s">
        <v>238</v>
      </c>
      <c r="AC10" t="s">
        <v>238</v>
      </c>
      <c r="AD10" t="s">
        <v>47</v>
      </c>
      <c r="AE10" t="s">
        <v>81</v>
      </c>
      <c r="AG10" t="s">
        <v>6</v>
      </c>
      <c r="AH10" t="s">
        <v>47</v>
      </c>
      <c r="AI10" t="s">
        <v>165</v>
      </c>
      <c r="AK10" t="s">
        <v>14</v>
      </c>
      <c r="AL10" t="s">
        <v>47</v>
      </c>
      <c r="AM10" t="s">
        <v>166</v>
      </c>
      <c r="AN10" t="s">
        <v>167</v>
      </c>
    </row>
    <row r="11" spans="1:40" x14ac:dyDescent="0.45">
      <c r="A11" t="str">
        <f>IFERROR(IF(Veda!D5=A10,"ok","x"),"")</f>
        <v>ok</v>
      </c>
      <c r="C11" t="s">
        <v>72</v>
      </c>
      <c r="D11" t="s">
        <v>73</v>
      </c>
      <c r="E11" t="s">
        <v>74</v>
      </c>
      <c r="F11" t="s">
        <v>75</v>
      </c>
      <c r="G11" t="s">
        <v>73</v>
      </c>
      <c r="I11" t="s">
        <v>82</v>
      </c>
      <c r="J11" t="s">
        <v>83</v>
      </c>
      <c r="K11">
        <v>4.2037486550773077E-3</v>
      </c>
      <c r="L11" t="s">
        <v>84</v>
      </c>
      <c r="N11" t="s">
        <v>111</v>
      </c>
      <c r="O11" t="s">
        <v>83</v>
      </c>
      <c r="P11">
        <v>4.0922778171950634E-2</v>
      </c>
      <c r="Q11" t="s">
        <v>84</v>
      </c>
      <c r="S11" t="s">
        <v>126</v>
      </c>
      <c r="T11" t="s">
        <v>83</v>
      </c>
      <c r="U11">
        <v>5.3342882258498821E-2</v>
      </c>
      <c r="V11" t="s">
        <v>84</v>
      </c>
      <c r="X11">
        <v>4.714611872146119E-2</v>
      </c>
      <c r="Y11">
        <v>1.861886648600718E-2</v>
      </c>
      <c r="Z11" t="s">
        <v>83</v>
      </c>
      <c r="AA11" t="s">
        <v>239</v>
      </c>
      <c r="AC11" t="s">
        <v>240</v>
      </c>
      <c r="AD11" t="s">
        <v>83</v>
      </c>
      <c r="AE11">
        <v>5.1269050374917899E-2</v>
      </c>
      <c r="AG11" t="s">
        <v>27</v>
      </c>
      <c r="AH11" t="s">
        <v>83</v>
      </c>
      <c r="AI11">
        <v>5.452725543812087E-2</v>
      </c>
      <c r="AK11">
        <v>2020</v>
      </c>
      <c r="AL11" t="s">
        <v>72</v>
      </c>
      <c r="AM11">
        <v>0.4878446094789417</v>
      </c>
      <c r="AN11" t="s">
        <v>168</v>
      </c>
    </row>
    <row r="12" spans="1:40" x14ac:dyDescent="0.45">
      <c r="C12" t="s">
        <v>76</v>
      </c>
      <c r="E12" t="s">
        <v>77</v>
      </c>
      <c r="G12" t="s">
        <v>73</v>
      </c>
      <c r="I12" t="s">
        <v>82</v>
      </c>
      <c r="J12" t="s">
        <v>85</v>
      </c>
      <c r="K12">
        <v>0.24139677978561236</v>
      </c>
      <c r="L12" t="s">
        <v>84</v>
      </c>
      <c r="N12" t="s">
        <v>111</v>
      </c>
      <c r="O12" t="s">
        <v>85</v>
      </c>
      <c r="P12">
        <v>7.3425396679711902E-2</v>
      </c>
      <c r="Q12" t="s">
        <v>84</v>
      </c>
      <c r="S12" t="s">
        <v>126</v>
      </c>
      <c r="T12" t="s">
        <v>85</v>
      </c>
      <c r="U12">
        <v>9.823981665897881E-2</v>
      </c>
      <c r="V12" t="s">
        <v>84</v>
      </c>
      <c r="X12">
        <v>8.0821917808219179E-2</v>
      </c>
      <c r="Y12">
        <v>0.11760004640794239</v>
      </c>
      <c r="Z12" t="s">
        <v>85</v>
      </c>
      <c r="AA12" t="s">
        <v>239</v>
      </c>
      <c r="AC12" t="s">
        <v>240</v>
      </c>
      <c r="AD12" t="s">
        <v>85</v>
      </c>
      <c r="AE12">
        <v>6.6219521980456122E-2</v>
      </c>
      <c r="AG12" t="s">
        <v>27</v>
      </c>
      <c r="AH12" t="s">
        <v>85</v>
      </c>
      <c r="AI12">
        <v>0.22109836193195953</v>
      </c>
      <c r="AK12">
        <v>2020</v>
      </c>
      <c r="AL12" t="s">
        <v>76</v>
      </c>
      <c r="AM12">
        <v>0.46480915955091706</v>
      </c>
      <c r="AN12" t="s">
        <v>168</v>
      </c>
    </row>
    <row r="13" spans="1:40" x14ac:dyDescent="0.45">
      <c r="C13" t="s">
        <v>78</v>
      </c>
      <c r="E13" t="s">
        <v>79</v>
      </c>
      <c r="G13" t="s">
        <v>73</v>
      </c>
      <c r="I13" t="s">
        <v>82</v>
      </c>
      <c r="J13" t="s">
        <v>86</v>
      </c>
      <c r="K13">
        <v>1.3078310619717442E-2</v>
      </c>
      <c r="L13" t="s">
        <v>84</v>
      </c>
      <c r="N13" t="s">
        <v>111</v>
      </c>
      <c r="O13" t="s">
        <v>86</v>
      </c>
      <c r="P13">
        <v>3.0778153227287088E-2</v>
      </c>
      <c r="Q13" t="s">
        <v>84</v>
      </c>
      <c r="S13" t="s">
        <v>126</v>
      </c>
      <c r="T13" t="s">
        <v>86</v>
      </c>
      <c r="U13">
        <v>4.0723396661898406E-2</v>
      </c>
      <c r="V13" t="s">
        <v>84</v>
      </c>
      <c r="X13">
        <v>3.3675799086757989E-2</v>
      </c>
      <c r="Y13">
        <v>2.5424922722488794E-2</v>
      </c>
      <c r="Z13" t="s">
        <v>86</v>
      </c>
      <c r="AA13" t="s">
        <v>239</v>
      </c>
      <c r="AC13" t="s">
        <v>240</v>
      </c>
      <c r="AD13" t="s">
        <v>86</v>
      </c>
      <c r="AE13">
        <v>3.5683015976026591E-2</v>
      </c>
      <c r="AG13" t="s">
        <v>27</v>
      </c>
      <c r="AH13" t="s">
        <v>86</v>
      </c>
      <c r="AI13">
        <v>7.4409022887609089E-2</v>
      </c>
      <c r="AK13">
        <v>2020</v>
      </c>
      <c r="AL13" t="s">
        <v>78</v>
      </c>
      <c r="AM13">
        <v>0.50477348197343441</v>
      </c>
      <c r="AN13" t="s">
        <v>168</v>
      </c>
    </row>
    <row r="14" spans="1:40" x14ac:dyDescent="0.45">
      <c r="C14" t="s">
        <v>80</v>
      </c>
      <c r="I14" t="s">
        <v>82</v>
      </c>
      <c r="J14" t="s">
        <v>87</v>
      </c>
      <c r="K14">
        <v>0</v>
      </c>
      <c r="L14" t="s">
        <v>84</v>
      </c>
      <c r="N14" t="s">
        <v>111</v>
      </c>
      <c r="O14" t="s">
        <v>87</v>
      </c>
      <c r="P14">
        <v>8.5836599519152221E-2</v>
      </c>
      <c r="Q14" t="s">
        <v>84</v>
      </c>
      <c r="S14" t="s">
        <v>126</v>
      </c>
      <c r="T14" t="s">
        <v>87</v>
      </c>
      <c r="U14">
        <v>0.10466018910062169</v>
      </c>
      <c r="V14" t="s">
        <v>84</v>
      </c>
      <c r="X14">
        <v>9.7488584474885842E-2</v>
      </c>
      <c r="Y14">
        <v>3.8500029004964E-2</v>
      </c>
      <c r="Z14" t="s">
        <v>87</v>
      </c>
      <c r="AA14" t="s">
        <v>239</v>
      </c>
      <c r="AC14" t="s">
        <v>240</v>
      </c>
      <c r="AD14" t="s">
        <v>87</v>
      </c>
      <c r="AE14">
        <v>0.11053902287303083</v>
      </c>
      <c r="AG14" t="s">
        <v>27</v>
      </c>
      <c r="AH14" t="s">
        <v>87</v>
      </c>
      <c r="AI14">
        <v>0.1921271497160566</v>
      </c>
      <c r="AK14">
        <v>2020</v>
      </c>
      <c r="AL14" t="s">
        <v>80</v>
      </c>
      <c r="AM14">
        <v>0.50868549704828159</v>
      </c>
      <c r="AN14" t="s">
        <v>168</v>
      </c>
    </row>
    <row r="15" spans="1:40" x14ac:dyDescent="0.45">
      <c r="I15" t="s">
        <v>82</v>
      </c>
      <c r="J15" t="s">
        <v>88</v>
      </c>
      <c r="K15">
        <v>0.22616150677463684</v>
      </c>
      <c r="L15" t="s">
        <v>84</v>
      </c>
      <c r="N15" t="s">
        <v>111</v>
      </c>
      <c r="O15" t="s">
        <v>88</v>
      </c>
      <c r="P15">
        <v>0.15028546342410048</v>
      </c>
      <c r="Q15" t="s">
        <v>84</v>
      </c>
      <c r="S15" t="s">
        <v>126</v>
      </c>
      <c r="T15" t="s">
        <v>88</v>
      </c>
      <c r="U15">
        <v>0.18218936946075817</v>
      </c>
      <c r="V15" t="s">
        <v>84</v>
      </c>
      <c r="X15">
        <v>0.16712328767123288</v>
      </c>
      <c r="Y15">
        <v>0.24317297731811821</v>
      </c>
      <c r="Z15" t="s">
        <v>88</v>
      </c>
      <c r="AA15" t="s">
        <v>239</v>
      </c>
      <c r="AC15" t="s">
        <v>240</v>
      </c>
      <c r="AD15" t="s">
        <v>88</v>
      </c>
      <c r="AE15">
        <v>0.14560007669642536</v>
      </c>
      <c r="AG15" t="s">
        <v>27</v>
      </c>
      <c r="AH15" t="s">
        <v>88</v>
      </c>
      <c r="AI15">
        <v>0.40616617172020231</v>
      </c>
      <c r="AK15">
        <v>2021</v>
      </c>
      <c r="AL15" t="s">
        <v>72</v>
      </c>
      <c r="AM15">
        <v>0.44433726111412303</v>
      </c>
      <c r="AN15" t="s">
        <v>168</v>
      </c>
    </row>
    <row r="16" spans="1:40" x14ac:dyDescent="0.45">
      <c r="I16" t="s">
        <v>82</v>
      </c>
      <c r="J16" t="s">
        <v>89</v>
      </c>
      <c r="K16">
        <v>1.3351280726390463E-3</v>
      </c>
      <c r="L16" t="s">
        <v>84</v>
      </c>
      <c r="N16" t="s">
        <v>111</v>
      </c>
      <c r="O16" t="s">
        <v>89</v>
      </c>
      <c r="P16">
        <v>6.145850412997076E-2</v>
      </c>
      <c r="Q16" t="s">
        <v>84</v>
      </c>
      <c r="S16" t="s">
        <v>126</v>
      </c>
      <c r="T16" t="s">
        <v>89</v>
      </c>
      <c r="U16">
        <v>7.3206054602531892E-2</v>
      </c>
      <c r="V16" t="s">
        <v>84</v>
      </c>
      <c r="X16">
        <v>6.9634703196347028E-2</v>
      </c>
      <c r="Y16">
        <v>5.2573569019383606E-2</v>
      </c>
      <c r="Z16" t="s">
        <v>89</v>
      </c>
      <c r="AA16" t="s">
        <v>239</v>
      </c>
      <c r="AC16" t="s">
        <v>240</v>
      </c>
      <c r="AD16" t="s">
        <v>89</v>
      </c>
      <c r="AE16">
        <v>7.6736712648168795E-2</v>
      </c>
      <c r="AG16" t="s">
        <v>27</v>
      </c>
      <c r="AH16" t="s">
        <v>89</v>
      </c>
      <c r="AI16">
        <v>0.24372056682869747</v>
      </c>
      <c r="AK16">
        <v>2021</v>
      </c>
      <c r="AL16" t="s">
        <v>76</v>
      </c>
      <c r="AM16">
        <v>0.43701326296647686</v>
      </c>
      <c r="AN16" t="s">
        <v>168</v>
      </c>
    </row>
    <row r="17" spans="9:40" x14ac:dyDescent="0.45">
      <c r="I17" t="s">
        <v>82</v>
      </c>
      <c r="J17" t="s">
        <v>90</v>
      </c>
      <c r="K17">
        <v>2.0006380832013108E-3</v>
      </c>
      <c r="L17" t="s">
        <v>84</v>
      </c>
      <c r="N17" t="s">
        <v>111</v>
      </c>
      <c r="O17" t="s">
        <v>90</v>
      </c>
      <c r="P17">
        <v>0.11288553880687854</v>
      </c>
      <c r="Q17" t="s">
        <v>84</v>
      </c>
      <c r="S17" t="s">
        <v>126</v>
      </c>
      <c r="T17" t="s">
        <v>90</v>
      </c>
      <c r="U17">
        <v>9.6729598280484635E-2</v>
      </c>
      <c r="V17" t="s">
        <v>84</v>
      </c>
      <c r="X17">
        <v>9.8287671232876711E-2</v>
      </c>
      <c r="Y17">
        <v>3.8815603013201416E-2</v>
      </c>
      <c r="Z17" t="s">
        <v>90</v>
      </c>
      <c r="AA17" t="s">
        <v>239</v>
      </c>
      <c r="AC17" t="s">
        <v>240</v>
      </c>
      <c r="AD17" t="s">
        <v>90</v>
      </c>
      <c r="AE17">
        <v>0.11766171478855797</v>
      </c>
      <c r="AG17" t="s">
        <v>27</v>
      </c>
      <c r="AH17" t="s">
        <v>90</v>
      </c>
      <c r="AI17">
        <v>0.17707708393690025</v>
      </c>
      <c r="AK17">
        <v>2021</v>
      </c>
      <c r="AL17" t="s">
        <v>78</v>
      </c>
      <c r="AM17">
        <v>0.54368773719165087</v>
      </c>
      <c r="AN17" t="s">
        <v>168</v>
      </c>
    </row>
    <row r="18" spans="9:40" x14ac:dyDescent="0.45">
      <c r="I18" t="s">
        <v>82</v>
      </c>
      <c r="J18" t="s">
        <v>91</v>
      </c>
      <c r="K18">
        <v>0.26960405908335022</v>
      </c>
      <c r="L18" t="s">
        <v>84</v>
      </c>
      <c r="N18" t="s">
        <v>111</v>
      </c>
      <c r="O18" t="s">
        <v>91</v>
      </c>
      <c r="P18">
        <v>0.20217890881487788</v>
      </c>
      <c r="Q18" t="s">
        <v>84</v>
      </c>
      <c r="S18" t="s">
        <v>126</v>
      </c>
      <c r="T18" t="s">
        <v>91</v>
      </c>
      <c r="U18">
        <v>0.16993672338855254</v>
      </c>
      <c r="V18" t="s">
        <v>84</v>
      </c>
      <c r="X18">
        <v>0.16849315068493151</v>
      </c>
      <c r="Y18">
        <v>0.24516619844367657</v>
      </c>
      <c r="Z18" t="s">
        <v>91</v>
      </c>
      <c r="AA18" t="s">
        <v>239</v>
      </c>
      <c r="AC18" t="s">
        <v>240</v>
      </c>
      <c r="AD18" t="s">
        <v>91</v>
      </c>
      <c r="AE18">
        <v>0.15617529836235275</v>
      </c>
      <c r="AG18" t="s">
        <v>27</v>
      </c>
      <c r="AH18" t="s">
        <v>91</v>
      </c>
      <c r="AI18">
        <v>0.3907388851872009</v>
      </c>
      <c r="AK18">
        <v>2021</v>
      </c>
      <c r="AL18" t="s">
        <v>80</v>
      </c>
      <c r="AM18">
        <v>0.52120394528779257</v>
      </c>
      <c r="AN18" t="s">
        <v>168</v>
      </c>
    </row>
    <row r="19" spans="9:40" x14ac:dyDescent="0.45">
      <c r="I19" t="s">
        <v>82</v>
      </c>
      <c r="J19" t="s">
        <v>92</v>
      </c>
      <c r="K19">
        <v>8.9412695927761153E-4</v>
      </c>
      <c r="L19" t="s">
        <v>84</v>
      </c>
      <c r="N19" t="s">
        <v>111</v>
      </c>
      <c r="O19" t="s">
        <v>92</v>
      </c>
      <c r="P19">
        <v>8.331622241541202E-2</v>
      </c>
      <c r="Q19" t="s">
        <v>84</v>
      </c>
      <c r="S19" t="s">
        <v>126</v>
      </c>
      <c r="T19" t="s">
        <v>92</v>
      </c>
      <c r="U19">
        <v>6.7504191777036315E-2</v>
      </c>
      <c r="V19" t="s">
        <v>84</v>
      </c>
      <c r="X19">
        <v>7.0205479452054798E-2</v>
      </c>
      <c r="Y19">
        <v>5.3004499912985108E-2</v>
      </c>
      <c r="Z19" t="s">
        <v>92</v>
      </c>
      <c r="AA19" t="s">
        <v>239</v>
      </c>
      <c r="AC19" t="s">
        <v>240</v>
      </c>
      <c r="AD19" t="s">
        <v>92</v>
      </c>
      <c r="AE19">
        <v>8.2539770616859437E-2</v>
      </c>
      <c r="AG19" t="s">
        <v>27</v>
      </c>
      <c r="AH19" t="s">
        <v>92</v>
      </c>
      <c r="AI19">
        <v>0.2392671431300557</v>
      </c>
      <c r="AK19">
        <v>2022</v>
      </c>
      <c r="AL19" t="s">
        <v>72</v>
      </c>
      <c r="AM19">
        <v>0.44973300826464163</v>
      </c>
      <c r="AN19" t="s">
        <v>168</v>
      </c>
    </row>
    <row r="20" spans="9:40" x14ac:dyDescent="0.45">
      <c r="I20" t="s">
        <v>82</v>
      </c>
      <c r="J20" t="s">
        <v>93</v>
      </c>
      <c r="K20">
        <v>7.4078848212524922E-3</v>
      </c>
      <c r="L20" t="s">
        <v>84</v>
      </c>
      <c r="N20" t="s">
        <v>111</v>
      </c>
      <c r="O20" t="s">
        <v>93</v>
      </c>
      <c r="P20">
        <v>4.2008123891141565E-2</v>
      </c>
      <c r="Q20" t="s">
        <v>84</v>
      </c>
      <c r="S20" t="s">
        <v>126</v>
      </c>
      <c r="T20" t="s">
        <v>93</v>
      </c>
      <c r="U20">
        <v>3.336468105807603E-2</v>
      </c>
      <c r="V20" t="s">
        <v>84</v>
      </c>
      <c r="X20">
        <v>4.8744292237442921E-2</v>
      </c>
      <c r="Y20">
        <v>1.9250014502482003E-2</v>
      </c>
      <c r="Z20" t="s">
        <v>93</v>
      </c>
      <c r="AA20" t="s">
        <v>239</v>
      </c>
      <c r="AC20" t="s">
        <v>240</v>
      </c>
      <c r="AD20" t="s">
        <v>93</v>
      </c>
      <c r="AE20">
        <v>5.2561570545679032E-2</v>
      </c>
      <c r="AG20" t="s">
        <v>27</v>
      </c>
      <c r="AH20" t="s">
        <v>93</v>
      </c>
      <c r="AI20">
        <v>7.8199338361619963E-2</v>
      </c>
      <c r="AK20">
        <v>2022</v>
      </c>
      <c r="AL20" t="s">
        <v>76</v>
      </c>
      <c r="AM20">
        <v>0.44696381695189058</v>
      </c>
      <c r="AN20" t="s">
        <v>168</v>
      </c>
    </row>
    <row r="21" spans="9:40" x14ac:dyDescent="0.45">
      <c r="I21" t="s">
        <v>82</v>
      </c>
      <c r="J21" t="s">
        <v>94</v>
      </c>
      <c r="K21">
        <v>0.22504026309844902</v>
      </c>
      <c r="L21" t="s">
        <v>84</v>
      </c>
      <c r="N21" t="s">
        <v>111</v>
      </c>
      <c r="O21" t="s">
        <v>94</v>
      </c>
      <c r="P21">
        <v>8.3817938056707342E-2</v>
      </c>
      <c r="Q21" t="s">
        <v>84</v>
      </c>
      <c r="S21" t="s">
        <v>126</v>
      </c>
      <c r="T21" t="s">
        <v>94</v>
      </c>
      <c r="U21">
        <v>5.6240401638559027E-2</v>
      </c>
      <c r="V21" t="s">
        <v>84</v>
      </c>
      <c r="X21">
        <v>8.3561643835616442E-2</v>
      </c>
      <c r="Y21">
        <v>0.12158648865905911</v>
      </c>
      <c r="Z21" t="s">
        <v>94</v>
      </c>
      <c r="AA21" t="s">
        <v>239</v>
      </c>
      <c r="AC21" t="s">
        <v>240</v>
      </c>
      <c r="AD21" t="s">
        <v>94</v>
      </c>
      <c r="AE21">
        <v>6.8361801241992912E-2</v>
      </c>
      <c r="AG21" t="s">
        <v>27</v>
      </c>
      <c r="AH21" t="s">
        <v>94</v>
      </c>
      <c r="AI21">
        <v>0.25207431415992221</v>
      </c>
      <c r="AK21">
        <v>2022</v>
      </c>
      <c r="AL21" t="s">
        <v>78</v>
      </c>
      <c r="AM21">
        <v>0.56796311020243329</v>
      </c>
      <c r="AN21" t="s">
        <v>168</v>
      </c>
    </row>
    <row r="22" spans="9:40" x14ac:dyDescent="0.45">
      <c r="I22" t="s">
        <v>82</v>
      </c>
      <c r="J22" t="s">
        <v>95</v>
      </c>
      <c r="K22">
        <v>8.8775540467846258E-3</v>
      </c>
      <c r="L22" t="s">
        <v>84</v>
      </c>
      <c r="N22" t="s">
        <v>111</v>
      </c>
      <c r="O22" t="s">
        <v>95</v>
      </c>
      <c r="P22">
        <v>3.3086372862809667E-2</v>
      </c>
      <c r="Q22" t="s">
        <v>84</v>
      </c>
      <c r="S22" t="s">
        <v>126</v>
      </c>
      <c r="T22" t="s">
        <v>95</v>
      </c>
      <c r="U22">
        <v>2.3862695114008129E-2</v>
      </c>
      <c r="V22" t="s">
        <v>84</v>
      </c>
      <c r="X22">
        <v>3.4817351598173514E-2</v>
      </c>
      <c r="Y22">
        <v>2.6286784509691803E-2</v>
      </c>
      <c r="Z22" t="s">
        <v>95</v>
      </c>
      <c r="AA22" t="s">
        <v>239</v>
      </c>
      <c r="AC22" t="s">
        <v>240</v>
      </c>
      <c r="AD22" t="s">
        <v>95</v>
      </c>
      <c r="AE22">
        <v>3.6652443895532287E-2</v>
      </c>
      <c r="AG22" t="s">
        <v>27</v>
      </c>
      <c r="AH22" t="s">
        <v>95</v>
      </c>
      <c r="AI22">
        <v>0.10188180178320994</v>
      </c>
      <c r="AK22">
        <v>2022</v>
      </c>
      <c r="AL22" t="s">
        <v>80</v>
      </c>
      <c r="AM22">
        <v>0.55699902821949621</v>
      </c>
      <c r="AN22" t="s">
        <v>168</v>
      </c>
    </row>
    <row r="23" spans="9:40" x14ac:dyDescent="0.45">
      <c r="I23" t="s">
        <v>96</v>
      </c>
      <c r="J23" t="s">
        <v>83</v>
      </c>
      <c r="K23">
        <v>1.1308122088744156E-2</v>
      </c>
      <c r="L23" t="s">
        <v>84</v>
      </c>
      <c r="N23" t="s">
        <v>112</v>
      </c>
      <c r="O23" t="s">
        <v>83</v>
      </c>
      <c r="P23">
        <v>3.7134461224149859E-2</v>
      </c>
      <c r="Q23" t="s">
        <v>84</v>
      </c>
      <c r="S23" t="s">
        <v>127</v>
      </c>
      <c r="T23" t="s">
        <v>83</v>
      </c>
      <c r="U23">
        <v>5.2206153285661083E-2</v>
      </c>
      <c r="V23" t="s">
        <v>84</v>
      </c>
      <c r="AC23" t="s">
        <v>240</v>
      </c>
      <c r="AD23" t="s">
        <v>83</v>
      </c>
      <c r="AE23">
        <v>4.7550272122805215E-2</v>
      </c>
      <c r="AK23">
        <v>2025</v>
      </c>
      <c r="AL23" t="s">
        <v>72</v>
      </c>
      <c r="AM23">
        <v>0.49024999999999996</v>
      </c>
      <c r="AN23" t="s">
        <v>168</v>
      </c>
    </row>
    <row r="24" spans="9:40" x14ac:dyDescent="0.45">
      <c r="I24" t="s">
        <v>96</v>
      </c>
      <c r="J24" t="s">
        <v>85</v>
      </c>
      <c r="K24">
        <v>0.22375060560331159</v>
      </c>
      <c r="L24" t="s">
        <v>84</v>
      </c>
      <c r="N24" t="s">
        <v>112</v>
      </c>
      <c r="O24" t="s">
        <v>85</v>
      </c>
      <c r="P24">
        <v>7.1483002335481771E-2</v>
      </c>
      <c r="Q24" t="s">
        <v>84</v>
      </c>
      <c r="S24" t="s">
        <v>127</v>
      </c>
      <c r="T24" t="s">
        <v>85</v>
      </c>
      <c r="U24">
        <v>9.0359016273561965E-2</v>
      </c>
      <c r="V24" t="s">
        <v>84</v>
      </c>
      <c r="AC24" t="s">
        <v>240</v>
      </c>
      <c r="AD24" t="s">
        <v>85</v>
      </c>
      <c r="AE24">
        <v>8.0136731610690293E-2</v>
      </c>
      <c r="AK24">
        <v>2025</v>
      </c>
      <c r="AL24" t="s">
        <v>76</v>
      </c>
      <c r="AM24">
        <v>0.50009999999999999</v>
      </c>
      <c r="AN24" t="s">
        <v>168</v>
      </c>
    </row>
    <row r="25" spans="9:40" x14ac:dyDescent="0.45">
      <c r="I25" t="s">
        <v>96</v>
      </c>
      <c r="J25" t="s">
        <v>86</v>
      </c>
      <c r="K25">
        <v>2.9512368234676047E-3</v>
      </c>
      <c r="L25" t="s">
        <v>84</v>
      </c>
      <c r="N25" t="s">
        <v>112</v>
      </c>
      <c r="O25" t="s">
        <v>86</v>
      </c>
      <c r="P25">
        <v>2.8680979616683127E-2</v>
      </c>
      <c r="Q25" t="s">
        <v>84</v>
      </c>
      <c r="S25" t="s">
        <v>127</v>
      </c>
      <c r="T25" t="s">
        <v>86</v>
      </c>
      <c r="U25">
        <v>3.7253480861582658E-2</v>
      </c>
      <c r="V25" t="s">
        <v>84</v>
      </c>
      <c r="AC25" t="s">
        <v>240</v>
      </c>
      <c r="AD25" t="s">
        <v>86</v>
      </c>
      <c r="AE25">
        <v>3.3904849236109168E-2</v>
      </c>
      <c r="AK25">
        <v>2025</v>
      </c>
      <c r="AL25" t="s">
        <v>78</v>
      </c>
      <c r="AM25">
        <v>0.52497500000000008</v>
      </c>
      <c r="AN25" t="s">
        <v>168</v>
      </c>
    </row>
    <row r="26" spans="9:40" x14ac:dyDescent="0.45">
      <c r="I26" t="s">
        <v>96</v>
      </c>
      <c r="J26" t="s">
        <v>87</v>
      </c>
      <c r="K26">
        <v>1.9474199826339808E-3</v>
      </c>
      <c r="L26" t="s">
        <v>84</v>
      </c>
      <c r="N26" t="s">
        <v>112</v>
      </c>
      <c r="O26" t="s">
        <v>87</v>
      </c>
      <c r="P26">
        <v>8.1662307088687228E-2</v>
      </c>
      <c r="Q26" t="s">
        <v>84</v>
      </c>
      <c r="S26" t="s">
        <v>127</v>
      </c>
      <c r="T26" t="s">
        <v>87</v>
      </c>
      <c r="U26">
        <v>9.4885371192809848E-2</v>
      </c>
      <c r="V26" t="s">
        <v>84</v>
      </c>
      <c r="AC26" t="s">
        <v>240</v>
      </c>
      <c r="AD26" t="s">
        <v>87</v>
      </c>
      <c r="AE26">
        <v>9.8341437150523681E-2</v>
      </c>
      <c r="AK26">
        <v>2025</v>
      </c>
      <c r="AL26" t="s">
        <v>80</v>
      </c>
      <c r="AM26">
        <v>0.50445000000000007</v>
      </c>
      <c r="AN26" t="s">
        <v>168</v>
      </c>
    </row>
    <row r="27" spans="9:40" x14ac:dyDescent="0.45">
      <c r="I27" t="s">
        <v>96</v>
      </c>
      <c r="J27" t="s">
        <v>88</v>
      </c>
      <c r="K27">
        <v>0.23431609746404117</v>
      </c>
      <c r="L27" t="s">
        <v>84</v>
      </c>
      <c r="N27" t="s">
        <v>112</v>
      </c>
      <c r="O27" t="s">
        <v>88</v>
      </c>
      <c r="P27">
        <v>0.1481055900374251</v>
      </c>
      <c r="Q27" t="s">
        <v>84</v>
      </c>
      <c r="S27" t="s">
        <v>127</v>
      </c>
      <c r="T27" t="s">
        <v>88</v>
      </c>
      <c r="U27">
        <v>0.16199640786102601</v>
      </c>
      <c r="V27" t="s">
        <v>84</v>
      </c>
      <c r="AC27" t="s">
        <v>240</v>
      </c>
      <c r="AD27" t="s">
        <v>88</v>
      </c>
      <c r="AE27">
        <v>0.16579399755684993</v>
      </c>
      <c r="AK27">
        <v>2026</v>
      </c>
      <c r="AL27" t="s">
        <v>72</v>
      </c>
      <c r="AM27">
        <v>0.48140000000000005</v>
      </c>
      <c r="AN27" t="s">
        <v>168</v>
      </c>
    </row>
    <row r="28" spans="9:40" x14ac:dyDescent="0.45">
      <c r="I28" t="s">
        <v>96</v>
      </c>
      <c r="J28" t="s">
        <v>89</v>
      </c>
      <c r="K28">
        <v>0</v>
      </c>
      <c r="L28" t="s">
        <v>84</v>
      </c>
      <c r="N28" t="s">
        <v>112</v>
      </c>
      <c r="O28" t="s">
        <v>89</v>
      </c>
      <c r="P28">
        <v>5.8215562853059719E-2</v>
      </c>
      <c r="Q28" t="s">
        <v>84</v>
      </c>
      <c r="S28" t="s">
        <v>127</v>
      </c>
      <c r="T28" t="s">
        <v>89</v>
      </c>
      <c r="U28">
        <v>6.8333220694973246E-2</v>
      </c>
      <c r="V28" t="s">
        <v>84</v>
      </c>
      <c r="AC28" t="s">
        <v>240</v>
      </c>
      <c r="AD28" t="s">
        <v>89</v>
      </c>
      <c r="AE28">
        <v>7.0102730128055041E-2</v>
      </c>
      <c r="AK28">
        <v>2026</v>
      </c>
      <c r="AL28" t="s">
        <v>76</v>
      </c>
      <c r="AM28">
        <v>0.46382499999999993</v>
      </c>
      <c r="AN28" t="s">
        <v>168</v>
      </c>
    </row>
    <row r="29" spans="9:40" x14ac:dyDescent="0.45">
      <c r="I29" t="s">
        <v>96</v>
      </c>
      <c r="J29" t="s">
        <v>90</v>
      </c>
      <c r="K29">
        <v>7.3032456763559815E-3</v>
      </c>
      <c r="L29" t="s">
        <v>84</v>
      </c>
      <c r="N29" t="s">
        <v>112</v>
      </c>
      <c r="O29" t="s">
        <v>90</v>
      </c>
      <c r="P29">
        <v>0.11966952682396008</v>
      </c>
      <c r="Q29" t="s">
        <v>84</v>
      </c>
      <c r="S29" t="s">
        <v>127</v>
      </c>
      <c r="T29" t="s">
        <v>90</v>
      </c>
      <c r="U29">
        <v>0.10906383713927155</v>
      </c>
      <c r="V29" t="s">
        <v>84</v>
      </c>
      <c r="AC29" t="s">
        <v>240</v>
      </c>
      <c r="AD29" t="s">
        <v>90</v>
      </c>
      <c r="AE29">
        <v>9.9194735023698993E-2</v>
      </c>
      <c r="AK29">
        <v>2026</v>
      </c>
      <c r="AL29" t="s">
        <v>78</v>
      </c>
      <c r="AM29">
        <v>0.54475000000000007</v>
      </c>
      <c r="AN29" t="s">
        <v>168</v>
      </c>
    </row>
    <row r="30" spans="9:40" x14ac:dyDescent="0.45">
      <c r="I30" t="s">
        <v>96</v>
      </c>
      <c r="J30" t="s">
        <v>91</v>
      </c>
      <c r="K30">
        <v>0.26904568330694267</v>
      </c>
      <c r="L30" t="s">
        <v>84</v>
      </c>
      <c r="N30" t="s">
        <v>112</v>
      </c>
      <c r="O30" t="s">
        <v>91</v>
      </c>
      <c r="P30">
        <v>0.21907675527410855</v>
      </c>
      <c r="Q30" t="s">
        <v>84</v>
      </c>
      <c r="S30" t="s">
        <v>127</v>
      </c>
      <c r="T30" t="s">
        <v>91</v>
      </c>
      <c r="U30">
        <v>0.18767513602644409</v>
      </c>
      <c r="V30" t="s">
        <v>84</v>
      </c>
      <c r="AC30" t="s">
        <v>240</v>
      </c>
      <c r="AD30" t="s">
        <v>91</v>
      </c>
      <c r="AE30">
        <v>0.16715281686369726</v>
      </c>
      <c r="AK30">
        <v>2026</v>
      </c>
      <c r="AL30" t="s">
        <v>80</v>
      </c>
      <c r="AM30">
        <v>0.53075000000000006</v>
      </c>
      <c r="AN30" t="s">
        <v>168</v>
      </c>
    </row>
    <row r="31" spans="9:40" x14ac:dyDescent="0.45">
      <c r="I31" t="s">
        <v>96</v>
      </c>
      <c r="J31" t="s">
        <v>92</v>
      </c>
      <c r="K31">
        <v>0</v>
      </c>
      <c r="L31" t="s">
        <v>84</v>
      </c>
      <c r="N31" t="s">
        <v>112</v>
      </c>
      <c r="O31" t="s">
        <v>92</v>
      </c>
      <c r="P31">
        <v>8.9563654457321951E-2</v>
      </c>
      <c r="Q31" t="s">
        <v>84</v>
      </c>
      <c r="S31" t="s">
        <v>127</v>
      </c>
      <c r="T31" t="s">
        <v>92</v>
      </c>
      <c r="U31">
        <v>8.0075766566654008E-2</v>
      </c>
      <c r="V31" t="s">
        <v>84</v>
      </c>
      <c r="AC31" t="s">
        <v>240</v>
      </c>
      <c r="AD31" t="s">
        <v>92</v>
      </c>
      <c r="AE31">
        <v>7.0757722473281812E-2</v>
      </c>
      <c r="AK31">
        <v>2027</v>
      </c>
      <c r="AL31" t="s">
        <v>72</v>
      </c>
      <c r="AM31">
        <v>0.48399999999999999</v>
      </c>
      <c r="AN31" t="s">
        <v>168</v>
      </c>
    </row>
    <row r="32" spans="9:40" x14ac:dyDescent="0.45">
      <c r="I32" t="s">
        <v>96</v>
      </c>
      <c r="J32" t="s">
        <v>93</v>
      </c>
      <c r="K32">
        <v>2.0455698100443696E-2</v>
      </c>
      <c r="L32" t="s">
        <v>84</v>
      </c>
      <c r="N32" t="s">
        <v>112</v>
      </c>
      <c r="O32" t="s">
        <v>93</v>
      </c>
      <c r="P32">
        <v>3.8940275456274077E-2</v>
      </c>
      <c r="Q32" t="s">
        <v>84</v>
      </c>
      <c r="S32" t="s">
        <v>127</v>
      </c>
      <c r="T32" t="s">
        <v>93</v>
      </c>
      <c r="U32">
        <v>3.5353436442136656E-2</v>
      </c>
      <c r="V32" t="s">
        <v>84</v>
      </c>
      <c r="AC32" t="s">
        <v>240</v>
      </c>
      <c r="AD32" t="s">
        <v>93</v>
      </c>
      <c r="AE32">
        <v>4.9147027247065968E-2</v>
      </c>
      <c r="AK32">
        <v>2027</v>
      </c>
      <c r="AL32" t="s">
        <v>76</v>
      </c>
      <c r="AM32">
        <v>0.46107500000000001</v>
      </c>
      <c r="AN32" t="s">
        <v>168</v>
      </c>
    </row>
    <row r="33" spans="9:40" x14ac:dyDescent="0.45">
      <c r="I33" t="s">
        <v>96</v>
      </c>
      <c r="J33" t="s">
        <v>94</v>
      </c>
      <c r="K33">
        <v>0.2278399838764518</v>
      </c>
      <c r="L33" t="s">
        <v>84</v>
      </c>
      <c r="N33" t="s">
        <v>112</v>
      </c>
      <c r="O33" t="s">
        <v>94</v>
      </c>
      <c r="P33">
        <v>7.7871236246681463E-2</v>
      </c>
      <c r="Q33" t="s">
        <v>84</v>
      </c>
      <c r="S33" t="s">
        <v>127</v>
      </c>
      <c r="T33" t="s">
        <v>94</v>
      </c>
      <c r="U33">
        <v>5.7648939032421478E-2</v>
      </c>
      <c r="V33" t="s">
        <v>84</v>
      </c>
      <c r="AC33" t="s">
        <v>240</v>
      </c>
      <c r="AD33" t="s">
        <v>94</v>
      </c>
      <c r="AE33">
        <v>8.2869354151694316E-2</v>
      </c>
      <c r="AK33">
        <v>2027</v>
      </c>
      <c r="AL33" t="s">
        <v>78</v>
      </c>
      <c r="AM33">
        <v>0.53592499999999998</v>
      </c>
      <c r="AN33" t="s">
        <v>168</v>
      </c>
    </row>
    <row r="34" spans="9:40" x14ac:dyDescent="0.45">
      <c r="I34" t="s">
        <v>96</v>
      </c>
      <c r="J34" t="s">
        <v>95</v>
      </c>
      <c r="K34">
        <v>1.0819070776113837E-3</v>
      </c>
      <c r="L34" t="s">
        <v>84</v>
      </c>
      <c r="N34" t="s">
        <v>112</v>
      </c>
      <c r="O34" t="s">
        <v>95</v>
      </c>
      <c r="P34">
        <v>2.9596648586167736E-2</v>
      </c>
      <c r="Q34" t="s">
        <v>84</v>
      </c>
      <c r="S34" t="s">
        <v>127</v>
      </c>
      <c r="T34" t="s">
        <v>95</v>
      </c>
      <c r="U34">
        <v>2.5149234623461438E-2</v>
      </c>
      <c r="V34" t="s">
        <v>84</v>
      </c>
      <c r="AC34" t="s">
        <v>240</v>
      </c>
      <c r="AD34" t="s">
        <v>95</v>
      </c>
      <c r="AE34">
        <v>3.504832643552843E-2</v>
      </c>
      <c r="AK34">
        <v>2027</v>
      </c>
      <c r="AL34" t="s">
        <v>80</v>
      </c>
      <c r="AM34">
        <v>0.52049999999999996</v>
      </c>
      <c r="AN34" t="s">
        <v>168</v>
      </c>
    </row>
    <row r="35" spans="9:40" x14ac:dyDescent="0.45">
      <c r="I35" t="s">
        <v>97</v>
      </c>
      <c r="J35" t="s">
        <v>83</v>
      </c>
      <c r="K35">
        <v>1.4063770924486548E-2</v>
      </c>
      <c r="L35" t="s">
        <v>84</v>
      </c>
      <c r="N35" t="s">
        <v>113</v>
      </c>
      <c r="O35" t="s">
        <v>83</v>
      </c>
      <c r="P35">
        <v>4.2963910101555557E-2</v>
      </c>
      <c r="Q35" t="s">
        <v>84</v>
      </c>
      <c r="S35" t="s">
        <v>128</v>
      </c>
      <c r="T35" t="s">
        <v>83</v>
      </c>
      <c r="U35">
        <v>4.6947065196822686E-2</v>
      </c>
      <c r="V35" t="s">
        <v>84</v>
      </c>
      <c r="AK35">
        <v>2028</v>
      </c>
      <c r="AL35" t="s">
        <v>72</v>
      </c>
      <c r="AM35">
        <v>0.45965</v>
      </c>
      <c r="AN35" t="s">
        <v>168</v>
      </c>
    </row>
    <row r="36" spans="9:40" x14ac:dyDescent="0.45">
      <c r="I36" t="s">
        <v>97</v>
      </c>
      <c r="J36" t="s">
        <v>85</v>
      </c>
      <c r="K36">
        <v>0.23506079074475802</v>
      </c>
      <c r="L36" t="s">
        <v>84</v>
      </c>
      <c r="N36" t="s">
        <v>113</v>
      </c>
      <c r="O36" t="s">
        <v>85</v>
      </c>
      <c r="P36">
        <v>8.4005759925798396E-2</v>
      </c>
      <c r="Q36" t="s">
        <v>84</v>
      </c>
      <c r="S36" t="s">
        <v>128</v>
      </c>
      <c r="T36" t="s">
        <v>85</v>
      </c>
      <c r="U36">
        <v>8.3361253976885347E-2</v>
      </c>
      <c r="V36" t="s">
        <v>84</v>
      </c>
      <c r="AK36">
        <v>2028</v>
      </c>
      <c r="AL36" t="s">
        <v>76</v>
      </c>
      <c r="AM36">
        <v>0.46597500000000003</v>
      </c>
      <c r="AN36" t="s">
        <v>168</v>
      </c>
    </row>
    <row r="37" spans="9:40" x14ac:dyDescent="0.45">
      <c r="I37" t="s">
        <v>97</v>
      </c>
      <c r="J37" t="s">
        <v>86</v>
      </c>
      <c r="K37">
        <v>1.9026290578419258E-3</v>
      </c>
      <c r="L37" t="s">
        <v>84</v>
      </c>
      <c r="N37" t="s">
        <v>113</v>
      </c>
      <c r="O37" t="s">
        <v>86</v>
      </c>
      <c r="P37">
        <v>3.4061508129517672E-2</v>
      </c>
      <c r="Q37" t="s">
        <v>84</v>
      </c>
      <c r="S37" t="s">
        <v>128</v>
      </c>
      <c r="T37" t="s">
        <v>86</v>
      </c>
      <c r="U37">
        <v>3.4629437048420933E-2</v>
      </c>
      <c r="V37" t="s">
        <v>84</v>
      </c>
      <c r="AK37">
        <v>2028</v>
      </c>
      <c r="AL37" t="s">
        <v>78</v>
      </c>
      <c r="AM37">
        <v>0.53034999999999999</v>
      </c>
      <c r="AN37" t="s">
        <v>168</v>
      </c>
    </row>
    <row r="38" spans="9:40" x14ac:dyDescent="0.45">
      <c r="I38" t="s">
        <v>97</v>
      </c>
      <c r="J38" t="s">
        <v>87</v>
      </c>
      <c r="K38">
        <v>3.3306356076633933E-3</v>
      </c>
      <c r="L38" t="s">
        <v>84</v>
      </c>
      <c r="N38" t="s">
        <v>113</v>
      </c>
      <c r="O38" t="s">
        <v>87</v>
      </c>
      <c r="P38">
        <v>9.0615516184805678E-2</v>
      </c>
      <c r="Q38" t="s">
        <v>84</v>
      </c>
      <c r="S38" t="s">
        <v>128</v>
      </c>
      <c r="T38" t="s">
        <v>87</v>
      </c>
      <c r="U38">
        <v>9.9803038212084291E-2</v>
      </c>
      <c r="V38" t="s">
        <v>84</v>
      </c>
      <c r="AK38">
        <v>2028</v>
      </c>
      <c r="AL38" t="s">
        <v>80</v>
      </c>
      <c r="AM38">
        <v>0.46905000000000002</v>
      </c>
      <c r="AN38" t="s">
        <v>168</v>
      </c>
    </row>
    <row r="39" spans="9:40" x14ac:dyDescent="0.45">
      <c r="I39" t="s">
        <v>97</v>
      </c>
      <c r="J39" t="s">
        <v>88</v>
      </c>
      <c r="K39">
        <v>0.22950505958457498</v>
      </c>
      <c r="L39" t="s">
        <v>84</v>
      </c>
      <c r="N39" t="s">
        <v>113</v>
      </c>
      <c r="O39" t="s">
        <v>88</v>
      </c>
      <c r="P39">
        <v>0.15772224325963233</v>
      </c>
      <c r="Q39" t="s">
        <v>84</v>
      </c>
      <c r="S39" t="s">
        <v>128</v>
      </c>
      <c r="T39" t="s">
        <v>88</v>
      </c>
      <c r="U39">
        <v>0.17470291772967844</v>
      </c>
      <c r="V39" t="s">
        <v>84</v>
      </c>
      <c r="AK39">
        <v>2029</v>
      </c>
      <c r="AL39" t="s">
        <v>72</v>
      </c>
      <c r="AM39">
        <v>0.51889999999999992</v>
      </c>
      <c r="AN39" t="s">
        <v>168</v>
      </c>
    </row>
    <row r="40" spans="9:40" x14ac:dyDescent="0.45">
      <c r="I40" t="s">
        <v>97</v>
      </c>
      <c r="J40" t="s">
        <v>89</v>
      </c>
      <c r="K40">
        <v>0</v>
      </c>
      <c r="L40" t="s">
        <v>84</v>
      </c>
      <c r="N40" t="s">
        <v>113</v>
      </c>
      <c r="O40" t="s">
        <v>89</v>
      </c>
      <c r="P40">
        <v>6.6245407844779905E-2</v>
      </c>
      <c r="Q40" t="s">
        <v>84</v>
      </c>
      <c r="S40" t="s">
        <v>128</v>
      </c>
      <c r="T40" t="s">
        <v>89</v>
      </c>
      <c r="U40">
        <v>6.9309937600515278E-2</v>
      </c>
      <c r="V40" t="s">
        <v>84</v>
      </c>
      <c r="AK40">
        <v>2029</v>
      </c>
      <c r="AL40" t="s">
        <v>76</v>
      </c>
      <c r="AM40">
        <v>0.53262500000000002</v>
      </c>
      <c r="AN40" t="s">
        <v>168</v>
      </c>
    </row>
    <row r="41" spans="9:40" x14ac:dyDescent="0.45">
      <c r="I41" t="s">
        <v>97</v>
      </c>
      <c r="J41" t="s">
        <v>90</v>
      </c>
      <c r="K41">
        <v>8.3831445718891614E-3</v>
      </c>
      <c r="L41" t="s">
        <v>84</v>
      </c>
      <c r="N41" t="s">
        <v>113</v>
      </c>
      <c r="O41" t="s">
        <v>90</v>
      </c>
      <c r="P41">
        <v>0.11248248465246166</v>
      </c>
      <c r="Q41" t="s">
        <v>84</v>
      </c>
      <c r="S41" t="s">
        <v>128</v>
      </c>
      <c r="T41" t="s">
        <v>90</v>
      </c>
      <c r="U41">
        <v>0.10850049579732191</v>
      </c>
      <c r="V41" t="s">
        <v>84</v>
      </c>
      <c r="AK41">
        <v>2029</v>
      </c>
      <c r="AL41" t="s">
        <v>78</v>
      </c>
      <c r="AM41">
        <v>0.61409999999999998</v>
      </c>
      <c r="AN41" t="s">
        <v>168</v>
      </c>
    </row>
    <row r="42" spans="9:40" x14ac:dyDescent="0.45">
      <c r="I42" t="s">
        <v>97</v>
      </c>
      <c r="J42" t="s">
        <v>91</v>
      </c>
      <c r="K42">
        <v>0.25764150933655233</v>
      </c>
      <c r="L42" t="s">
        <v>84</v>
      </c>
      <c r="N42" t="s">
        <v>113</v>
      </c>
      <c r="O42" t="s">
        <v>91</v>
      </c>
      <c r="P42">
        <v>0.2004350930205096</v>
      </c>
      <c r="Q42" t="s">
        <v>84</v>
      </c>
      <c r="S42" t="s">
        <v>128</v>
      </c>
      <c r="T42" t="s">
        <v>91</v>
      </c>
      <c r="U42">
        <v>0.18812944238381307</v>
      </c>
      <c r="V42" t="s">
        <v>84</v>
      </c>
      <c r="AK42">
        <v>2029</v>
      </c>
      <c r="AL42" t="s">
        <v>80</v>
      </c>
      <c r="AM42">
        <v>0.54269999999999996</v>
      </c>
      <c r="AN42" t="s">
        <v>168</v>
      </c>
    </row>
    <row r="43" spans="9:40" x14ac:dyDescent="0.45">
      <c r="I43" t="s">
        <v>97</v>
      </c>
      <c r="J43" t="s">
        <v>92</v>
      </c>
      <c r="K43">
        <v>0</v>
      </c>
      <c r="L43" t="s">
        <v>84</v>
      </c>
      <c r="N43" t="s">
        <v>113</v>
      </c>
      <c r="O43" t="s">
        <v>92</v>
      </c>
      <c r="P43">
        <v>8.0810531478761743E-2</v>
      </c>
      <c r="Q43" t="s">
        <v>84</v>
      </c>
      <c r="S43" t="s">
        <v>128</v>
      </c>
      <c r="T43" t="s">
        <v>92</v>
      </c>
      <c r="U43">
        <v>7.7708807447807324E-2</v>
      </c>
      <c r="V43" t="s">
        <v>84</v>
      </c>
      <c r="AK43">
        <v>2030</v>
      </c>
      <c r="AL43" t="s">
        <v>72</v>
      </c>
      <c r="AM43">
        <v>0.56955</v>
      </c>
      <c r="AN43" t="s">
        <v>168</v>
      </c>
    </row>
    <row r="44" spans="9:40" x14ac:dyDescent="0.45">
      <c r="I44" t="s">
        <v>97</v>
      </c>
      <c r="J44" t="s">
        <v>93</v>
      </c>
      <c r="K44">
        <v>2.1021324354044881E-2</v>
      </c>
      <c r="L44" t="s">
        <v>84</v>
      </c>
      <c r="N44" t="s">
        <v>113</v>
      </c>
      <c r="O44" t="s">
        <v>93</v>
      </c>
      <c r="P44">
        <v>3.5454886916611895E-2</v>
      </c>
      <c r="Q44" t="s">
        <v>84</v>
      </c>
      <c r="S44" t="s">
        <v>128</v>
      </c>
      <c r="T44" t="s">
        <v>93</v>
      </c>
      <c r="U44">
        <v>3.4690647384655243E-2</v>
      </c>
      <c r="V44" t="s">
        <v>84</v>
      </c>
      <c r="AK44">
        <v>2030</v>
      </c>
      <c r="AL44" t="s">
        <v>76</v>
      </c>
      <c r="AM44">
        <v>0.53359999999999996</v>
      </c>
      <c r="AN44" t="s">
        <v>168</v>
      </c>
    </row>
    <row r="45" spans="9:40" x14ac:dyDescent="0.45">
      <c r="I45" t="s">
        <v>97</v>
      </c>
      <c r="J45" t="s">
        <v>94</v>
      </c>
      <c r="K45">
        <v>0.22841549039041706</v>
      </c>
      <c r="L45" t="s">
        <v>84</v>
      </c>
      <c r="N45" t="s">
        <v>113</v>
      </c>
      <c r="O45" t="s">
        <v>94</v>
      </c>
      <c r="P45">
        <v>6.8101655923478582E-2</v>
      </c>
      <c r="Q45" t="s">
        <v>84</v>
      </c>
      <c r="S45" t="s">
        <v>128</v>
      </c>
      <c r="T45" t="s">
        <v>94</v>
      </c>
      <c r="U45">
        <v>5.9006008583623981E-2</v>
      </c>
      <c r="V45" t="s">
        <v>84</v>
      </c>
      <c r="AK45">
        <v>2030</v>
      </c>
      <c r="AL45" t="s">
        <v>78</v>
      </c>
      <c r="AM45">
        <v>0.57909999999999995</v>
      </c>
      <c r="AN45" t="s">
        <v>168</v>
      </c>
    </row>
    <row r="46" spans="9:40" x14ac:dyDescent="0.45">
      <c r="I46" t="s">
        <v>97</v>
      </c>
      <c r="J46" t="s">
        <v>95</v>
      </c>
      <c r="K46">
        <v>6.7564542777169686E-4</v>
      </c>
      <c r="L46" t="s">
        <v>84</v>
      </c>
      <c r="N46" t="s">
        <v>113</v>
      </c>
      <c r="O46" t="s">
        <v>95</v>
      </c>
      <c r="P46">
        <v>2.7101002562088475E-2</v>
      </c>
      <c r="Q46" t="s">
        <v>84</v>
      </c>
      <c r="S46" t="s">
        <v>128</v>
      </c>
      <c r="T46" t="s">
        <v>95</v>
      </c>
      <c r="U46">
        <v>2.3210948638372208E-2</v>
      </c>
      <c r="V46" t="s">
        <v>84</v>
      </c>
      <c r="AK46">
        <v>2030</v>
      </c>
      <c r="AL46" t="s">
        <v>80</v>
      </c>
      <c r="AM46">
        <v>0.58745000000000003</v>
      </c>
      <c r="AN46" t="s">
        <v>168</v>
      </c>
    </row>
    <row r="47" spans="9:40" x14ac:dyDescent="0.45">
      <c r="I47" t="s">
        <v>98</v>
      </c>
      <c r="J47" t="s">
        <v>83</v>
      </c>
      <c r="K47">
        <v>1.7048389484935179E-2</v>
      </c>
      <c r="L47" t="s">
        <v>84</v>
      </c>
      <c r="N47" t="s">
        <v>114</v>
      </c>
      <c r="O47" t="s">
        <v>83</v>
      </c>
      <c r="P47">
        <v>2.5453040503302615E-2</v>
      </c>
      <c r="Q47" t="s">
        <v>84</v>
      </c>
      <c r="S47" t="s">
        <v>129</v>
      </c>
      <c r="T47" t="s">
        <v>83</v>
      </c>
      <c r="U47">
        <v>4.5712274921099923E-2</v>
      </c>
      <c r="V47" t="s">
        <v>84</v>
      </c>
      <c r="AK47">
        <v>2031</v>
      </c>
      <c r="AL47" t="s">
        <v>72</v>
      </c>
      <c r="AM47">
        <v>0.53454999999999997</v>
      </c>
      <c r="AN47" t="s">
        <v>168</v>
      </c>
    </row>
    <row r="48" spans="9:40" x14ac:dyDescent="0.45">
      <c r="I48" t="s">
        <v>98</v>
      </c>
      <c r="J48" t="s">
        <v>85</v>
      </c>
      <c r="K48">
        <v>0.24953058676963419</v>
      </c>
      <c r="L48" t="s">
        <v>84</v>
      </c>
      <c r="N48" t="s">
        <v>114</v>
      </c>
      <c r="O48" t="s">
        <v>85</v>
      </c>
      <c r="P48">
        <v>7.0049049606156086E-2</v>
      </c>
      <c r="Q48" t="s">
        <v>84</v>
      </c>
      <c r="S48" t="s">
        <v>129</v>
      </c>
      <c r="T48" t="s">
        <v>85</v>
      </c>
      <c r="U48">
        <v>8.29749353517924E-2</v>
      </c>
      <c r="V48" t="s">
        <v>84</v>
      </c>
      <c r="AK48">
        <v>2031</v>
      </c>
      <c r="AL48" t="s">
        <v>76</v>
      </c>
      <c r="AM48">
        <v>0.55725000000000002</v>
      </c>
      <c r="AN48" t="s">
        <v>168</v>
      </c>
    </row>
    <row r="49" spans="9:40" x14ac:dyDescent="0.45">
      <c r="I49" t="s">
        <v>98</v>
      </c>
      <c r="J49" t="s">
        <v>86</v>
      </c>
      <c r="K49">
        <v>4.789644708291815E-3</v>
      </c>
      <c r="L49" t="s">
        <v>84</v>
      </c>
      <c r="N49" t="s">
        <v>114</v>
      </c>
      <c r="O49" t="s">
        <v>86</v>
      </c>
      <c r="P49">
        <v>2.7437649780070027E-2</v>
      </c>
      <c r="Q49" t="s">
        <v>84</v>
      </c>
      <c r="S49" t="s">
        <v>129</v>
      </c>
      <c r="T49" t="s">
        <v>86</v>
      </c>
      <c r="U49">
        <v>3.6476482461837649E-2</v>
      </c>
      <c r="V49" t="s">
        <v>84</v>
      </c>
      <c r="AK49">
        <v>2031</v>
      </c>
      <c r="AL49" t="s">
        <v>78</v>
      </c>
      <c r="AM49">
        <v>0.63395000000000001</v>
      </c>
      <c r="AN49" t="s">
        <v>168</v>
      </c>
    </row>
    <row r="50" spans="9:40" x14ac:dyDescent="0.45">
      <c r="I50" t="s">
        <v>98</v>
      </c>
      <c r="J50" t="s">
        <v>87</v>
      </c>
      <c r="K50">
        <v>2.6151972276476352E-3</v>
      </c>
      <c r="L50" t="s">
        <v>84</v>
      </c>
      <c r="N50" t="s">
        <v>114</v>
      </c>
      <c r="O50" t="s">
        <v>87</v>
      </c>
      <c r="P50">
        <v>7.8271873294247091E-2</v>
      </c>
      <c r="Q50" t="s">
        <v>84</v>
      </c>
      <c r="S50" t="s">
        <v>129</v>
      </c>
      <c r="T50" t="s">
        <v>87</v>
      </c>
      <c r="U50">
        <v>9.4876291922855904E-2</v>
      </c>
      <c r="V50" t="s">
        <v>84</v>
      </c>
      <c r="AK50">
        <v>2031</v>
      </c>
      <c r="AL50" t="s">
        <v>80</v>
      </c>
      <c r="AM50">
        <v>0.55754999999999999</v>
      </c>
      <c r="AN50" t="s">
        <v>168</v>
      </c>
    </row>
    <row r="51" spans="9:40" x14ac:dyDescent="0.45">
      <c r="I51" t="s">
        <v>98</v>
      </c>
      <c r="J51" t="s">
        <v>88</v>
      </c>
      <c r="K51">
        <v>0.21152503317016913</v>
      </c>
      <c r="L51" t="s">
        <v>84</v>
      </c>
      <c r="N51" t="s">
        <v>114</v>
      </c>
      <c r="O51" t="s">
        <v>88</v>
      </c>
      <c r="P51">
        <v>0.15070047072062981</v>
      </c>
      <c r="Q51" t="s">
        <v>84</v>
      </c>
      <c r="S51" t="s">
        <v>129</v>
      </c>
      <c r="T51" t="s">
        <v>88</v>
      </c>
      <c r="U51">
        <v>0.16427791549948692</v>
      </c>
      <c r="V51" t="s">
        <v>84</v>
      </c>
      <c r="AK51">
        <v>2032</v>
      </c>
      <c r="AL51" t="s">
        <v>72</v>
      </c>
      <c r="AM51">
        <v>0.53584999999999994</v>
      </c>
      <c r="AN51" t="s">
        <v>168</v>
      </c>
    </row>
    <row r="52" spans="9:40" x14ac:dyDescent="0.45">
      <c r="I52" t="s">
        <v>98</v>
      </c>
      <c r="J52" t="s">
        <v>89</v>
      </c>
      <c r="K52">
        <v>0</v>
      </c>
      <c r="L52" t="s">
        <v>84</v>
      </c>
      <c r="N52" t="s">
        <v>114</v>
      </c>
      <c r="O52" t="s">
        <v>89</v>
      </c>
      <c r="P52">
        <v>5.8673366543569055E-2</v>
      </c>
      <c r="Q52" t="s">
        <v>84</v>
      </c>
      <c r="S52" t="s">
        <v>129</v>
      </c>
      <c r="T52" t="s">
        <v>89</v>
      </c>
      <c r="U52">
        <v>7.2043315193110899E-2</v>
      </c>
      <c r="V52" t="s">
        <v>84</v>
      </c>
      <c r="AK52">
        <v>2032</v>
      </c>
      <c r="AL52" t="s">
        <v>76</v>
      </c>
      <c r="AM52">
        <v>0.52934999999999999</v>
      </c>
      <c r="AN52" t="s">
        <v>168</v>
      </c>
    </row>
    <row r="53" spans="9:40" x14ac:dyDescent="0.45">
      <c r="I53" t="s">
        <v>98</v>
      </c>
      <c r="J53" t="s">
        <v>90</v>
      </c>
      <c r="K53">
        <v>8.0461832859563473E-3</v>
      </c>
      <c r="L53" t="s">
        <v>84</v>
      </c>
      <c r="N53" t="s">
        <v>114</v>
      </c>
      <c r="O53" t="s">
        <v>90</v>
      </c>
      <c r="P53">
        <v>0.1161938409481582</v>
      </c>
      <c r="Q53" t="s">
        <v>84</v>
      </c>
      <c r="S53" t="s">
        <v>129</v>
      </c>
      <c r="T53" t="s">
        <v>90</v>
      </c>
      <c r="U53">
        <v>0.10303359809781554</v>
      </c>
      <c r="V53" t="s">
        <v>84</v>
      </c>
      <c r="AK53">
        <v>2032</v>
      </c>
      <c r="AL53" t="s">
        <v>78</v>
      </c>
      <c r="AM53">
        <v>0.62592500000000006</v>
      </c>
      <c r="AN53" t="s">
        <v>168</v>
      </c>
    </row>
    <row r="54" spans="9:40" x14ac:dyDescent="0.45">
      <c r="I54" t="s">
        <v>98</v>
      </c>
      <c r="J54" t="s">
        <v>91</v>
      </c>
      <c r="K54">
        <v>0.25579527100807803</v>
      </c>
      <c r="L54" t="s">
        <v>84</v>
      </c>
      <c r="N54" t="s">
        <v>114</v>
      </c>
      <c r="O54" t="s">
        <v>91</v>
      </c>
      <c r="P54">
        <v>0.24668713119861796</v>
      </c>
      <c r="Q54" t="s">
        <v>84</v>
      </c>
      <c r="S54" t="s">
        <v>129</v>
      </c>
      <c r="T54" t="s">
        <v>91</v>
      </c>
      <c r="U54">
        <v>0.17488481723211971</v>
      </c>
      <c r="V54" t="s">
        <v>84</v>
      </c>
      <c r="AK54">
        <v>2032</v>
      </c>
      <c r="AL54" t="s">
        <v>80</v>
      </c>
      <c r="AM54">
        <v>0.59775</v>
      </c>
      <c r="AN54" t="s">
        <v>168</v>
      </c>
    </row>
    <row r="55" spans="9:40" x14ac:dyDescent="0.45">
      <c r="I55" t="s">
        <v>98</v>
      </c>
      <c r="J55" t="s">
        <v>92</v>
      </c>
      <c r="K55">
        <v>0</v>
      </c>
      <c r="L55" t="s">
        <v>84</v>
      </c>
      <c r="N55" t="s">
        <v>114</v>
      </c>
      <c r="O55" t="s">
        <v>92</v>
      </c>
      <c r="P55">
        <v>8.4434862890154311E-2</v>
      </c>
      <c r="Q55" t="s">
        <v>84</v>
      </c>
      <c r="S55" t="s">
        <v>129</v>
      </c>
      <c r="T55" t="s">
        <v>92</v>
      </c>
      <c r="U55">
        <v>7.4039694701107606E-2</v>
      </c>
      <c r="V55" t="s">
        <v>84</v>
      </c>
      <c r="AK55">
        <v>2033</v>
      </c>
      <c r="AL55" t="s">
        <v>72</v>
      </c>
      <c r="AM55">
        <v>0.60250000000000004</v>
      </c>
      <c r="AN55" t="s">
        <v>168</v>
      </c>
    </row>
    <row r="56" spans="9:40" x14ac:dyDescent="0.45">
      <c r="I56" t="s">
        <v>98</v>
      </c>
      <c r="J56" t="s">
        <v>93</v>
      </c>
      <c r="K56">
        <v>2.1511440921896056E-2</v>
      </c>
      <c r="L56" t="s">
        <v>84</v>
      </c>
      <c r="N56" t="s">
        <v>114</v>
      </c>
      <c r="O56" t="s">
        <v>93</v>
      </c>
      <c r="P56">
        <v>3.2008533477595517E-2</v>
      </c>
      <c r="Q56" t="s">
        <v>84</v>
      </c>
      <c r="S56" t="s">
        <v>129</v>
      </c>
      <c r="T56" t="s">
        <v>93</v>
      </c>
      <c r="U56">
        <v>4.3593567701215946E-2</v>
      </c>
      <c r="V56" t="s">
        <v>84</v>
      </c>
      <c r="AK56">
        <v>2033</v>
      </c>
      <c r="AL56" t="s">
        <v>76</v>
      </c>
      <c r="AM56">
        <v>0.57300000000000006</v>
      </c>
      <c r="AN56" t="s">
        <v>168</v>
      </c>
    </row>
    <row r="57" spans="9:40" x14ac:dyDescent="0.45">
      <c r="I57" t="s">
        <v>98</v>
      </c>
      <c r="J57" t="s">
        <v>94</v>
      </c>
      <c r="K57">
        <v>0.22617395041654098</v>
      </c>
      <c r="L57" t="s">
        <v>84</v>
      </c>
      <c r="N57" t="s">
        <v>114</v>
      </c>
      <c r="O57" t="s">
        <v>94</v>
      </c>
      <c r="P57">
        <v>8.3679739509819356E-2</v>
      </c>
      <c r="Q57" t="s">
        <v>84</v>
      </c>
      <c r="S57" t="s">
        <v>129</v>
      </c>
      <c r="T57" t="s">
        <v>94</v>
      </c>
      <c r="U57">
        <v>7.5202360464966575E-2</v>
      </c>
      <c r="V57" t="s">
        <v>84</v>
      </c>
      <c r="AK57">
        <v>2033</v>
      </c>
      <c r="AL57" t="s">
        <v>78</v>
      </c>
      <c r="AM57">
        <v>0.63832500000000003</v>
      </c>
      <c r="AN57" t="s">
        <v>168</v>
      </c>
    </row>
    <row r="58" spans="9:40" x14ac:dyDescent="0.45">
      <c r="I58" t="s">
        <v>98</v>
      </c>
      <c r="J58" t="s">
        <v>95</v>
      </c>
      <c r="K58">
        <v>2.9643030068524376E-3</v>
      </c>
      <c r="L58" t="s">
        <v>84</v>
      </c>
      <c r="N58" t="s">
        <v>114</v>
      </c>
      <c r="O58" t="s">
        <v>95</v>
      </c>
      <c r="P58">
        <v>2.641044152768016E-2</v>
      </c>
      <c r="Q58" t="s">
        <v>84</v>
      </c>
      <c r="S58" t="s">
        <v>129</v>
      </c>
      <c r="T58" t="s">
        <v>95</v>
      </c>
      <c r="U58">
        <v>3.2884746452590041E-2</v>
      </c>
      <c r="V58" t="s">
        <v>84</v>
      </c>
      <c r="AK58">
        <v>2033</v>
      </c>
      <c r="AL58" t="s">
        <v>80</v>
      </c>
      <c r="AM58">
        <v>0.56835000000000002</v>
      </c>
      <c r="AN58" t="s">
        <v>168</v>
      </c>
    </row>
    <row r="59" spans="9:40" x14ac:dyDescent="0.45">
      <c r="I59" t="s">
        <v>99</v>
      </c>
      <c r="J59" t="s">
        <v>83</v>
      </c>
      <c r="K59">
        <v>1.4871442674368712E-2</v>
      </c>
      <c r="L59" t="s">
        <v>84</v>
      </c>
      <c r="N59" t="s">
        <v>115</v>
      </c>
      <c r="O59" t="s">
        <v>83</v>
      </c>
      <c r="P59">
        <v>3.6206606048083484E-2</v>
      </c>
      <c r="Q59" t="s">
        <v>84</v>
      </c>
      <c r="S59" t="s">
        <v>130</v>
      </c>
      <c r="T59" t="s">
        <v>83</v>
      </c>
      <c r="U59">
        <v>3.5559173783111062E-2</v>
      </c>
      <c r="V59" t="s">
        <v>84</v>
      </c>
      <c r="AK59">
        <v>2034</v>
      </c>
      <c r="AL59" t="s">
        <v>72</v>
      </c>
      <c r="AM59">
        <v>0.50095000000000001</v>
      </c>
      <c r="AN59" t="s">
        <v>168</v>
      </c>
    </row>
    <row r="60" spans="9:40" x14ac:dyDescent="0.45">
      <c r="I60" t="s">
        <v>99</v>
      </c>
      <c r="J60" t="s">
        <v>85</v>
      </c>
      <c r="K60">
        <v>0.25295711330352222</v>
      </c>
      <c r="L60" t="s">
        <v>84</v>
      </c>
      <c r="N60" t="s">
        <v>115</v>
      </c>
      <c r="O60" t="s">
        <v>85</v>
      </c>
      <c r="P60">
        <v>7.5930480008260262E-2</v>
      </c>
      <c r="Q60" t="s">
        <v>84</v>
      </c>
      <c r="S60" t="s">
        <v>130</v>
      </c>
      <c r="T60" t="s">
        <v>85</v>
      </c>
      <c r="U60">
        <v>7.5930950311250647E-2</v>
      </c>
      <c r="V60" t="s">
        <v>84</v>
      </c>
      <c r="AK60">
        <v>2034</v>
      </c>
      <c r="AL60" t="s">
        <v>76</v>
      </c>
      <c r="AM60">
        <v>0.46789999999999998</v>
      </c>
      <c r="AN60" t="s">
        <v>168</v>
      </c>
    </row>
    <row r="61" spans="9:40" x14ac:dyDescent="0.45">
      <c r="I61" t="s">
        <v>99</v>
      </c>
      <c r="J61" t="s">
        <v>86</v>
      </c>
      <c r="K61">
        <v>3.7121104351803933E-3</v>
      </c>
      <c r="L61" t="s">
        <v>84</v>
      </c>
      <c r="N61" t="s">
        <v>115</v>
      </c>
      <c r="O61" t="s">
        <v>86</v>
      </c>
      <c r="P61">
        <v>3.1086873434052576E-2</v>
      </c>
      <c r="Q61" t="s">
        <v>84</v>
      </c>
      <c r="S61" t="s">
        <v>130</v>
      </c>
      <c r="T61" t="s">
        <v>86</v>
      </c>
      <c r="U61">
        <v>3.4150808651182703E-2</v>
      </c>
      <c r="V61" t="s">
        <v>84</v>
      </c>
      <c r="AK61">
        <v>2034</v>
      </c>
      <c r="AL61" t="s">
        <v>78</v>
      </c>
      <c r="AM61">
        <v>0.54139999999999999</v>
      </c>
      <c r="AN61" t="s">
        <v>168</v>
      </c>
    </row>
    <row r="62" spans="9:40" x14ac:dyDescent="0.45">
      <c r="I62" t="s">
        <v>99</v>
      </c>
      <c r="J62" t="s">
        <v>87</v>
      </c>
      <c r="K62">
        <v>3.2475431875624706E-3</v>
      </c>
      <c r="L62" t="s">
        <v>84</v>
      </c>
      <c r="N62" t="s">
        <v>115</v>
      </c>
      <c r="O62" t="s">
        <v>87</v>
      </c>
      <c r="P62">
        <v>8.7052346880094569E-2</v>
      </c>
      <c r="Q62" t="s">
        <v>84</v>
      </c>
      <c r="S62" t="s">
        <v>130</v>
      </c>
      <c r="T62" t="s">
        <v>87</v>
      </c>
      <c r="U62">
        <v>8.6504316484741064E-2</v>
      </c>
      <c r="V62" t="s">
        <v>84</v>
      </c>
      <c r="AK62">
        <v>2034</v>
      </c>
      <c r="AL62" t="s">
        <v>80</v>
      </c>
      <c r="AM62">
        <v>0.49629999999999996</v>
      </c>
      <c r="AN62" t="s">
        <v>168</v>
      </c>
    </row>
    <row r="63" spans="9:40" x14ac:dyDescent="0.45">
      <c r="I63" t="s">
        <v>99</v>
      </c>
      <c r="J63" t="s">
        <v>88</v>
      </c>
      <c r="K63">
        <v>0.22586661010112477</v>
      </c>
      <c r="L63" t="s">
        <v>84</v>
      </c>
      <c r="N63" t="s">
        <v>115</v>
      </c>
      <c r="O63" t="s">
        <v>88</v>
      </c>
      <c r="P63">
        <v>0.15609617825404287</v>
      </c>
      <c r="Q63" t="s">
        <v>84</v>
      </c>
      <c r="S63" t="s">
        <v>130</v>
      </c>
      <c r="T63" t="s">
        <v>88</v>
      </c>
      <c r="U63">
        <v>0.15903075661620189</v>
      </c>
      <c r="V63" t="s">
        <v>84</v>
      </c>
      <c r="AK63">
        <v>2035</v>
      </c>
      <c r="AL63" t="s">
        <v>72</v>
      </c>
      <c r="AM63">
        <v>0.53889999999999993</v>
      </c>
      <c r="AN63" t="s">
        <v>168</v>
      </c>
    </row>
    <row r="64" spans="9:40" x14ac:dyDescent="0.45">
      <c r="I64" t="s">
        <v>99</v>
      </c>
      <c r="J64" t="s">
        <v>89</v>
      </c>
      <c r="K64">
        <v>0</v>
      </c>
      <c r="L64" t="s">
        <v>84</v>
      </c>
      <c r="N64" t="s">
        <v>115</v>
      </c>
      <c r="O64" t="s">
        <v>89</v>
      </c>
      <c r="P64">
        <v>6.44895695645121E-2</v>
      </c>
      <c r="Q64" t="s">
        <v>84</v>
      </c>
      <c r="S64" t="s">
        <v>130</v>
      </c>
      <c r="T64" t="s">
        <v>89</v>
      </c>
      <c r="U64">
        <v>6.8339728004497322E-2</v>
      </c>
      <c r="V64" t="s">
        <v>84</v>
      </c>
      <c r="AK64">
        <v>2035</v>
      </c>
      <c r="AL64" t="s">
        <v>76</v>
      </c>
      <c r="AM64">
        <v>0.55682500000000013</v>
      </c>
      <c r="AN64" t="s">
        <v>168</v>
      </c>
    </row>
    <row r="65" spans="9:40" x14ac:dyDescent="0.45">
      <c r="I65" t="s">
        <v>99</v>
      </c>
      <c r="J65" t="s">
        <v>90</v>
      </c>
      <c r="K65">
        <v>6.7722202426088512E-3</v>
      </c>
      <c r="L65" t="s">
        <v>84</v>
      </c>
      <c r="N65" t="s">
        <v>115</v>
      </c>
      <c r="O65" t="s">
        <v>90</v>
      </c>
      <c r="P65">
        <v>0.11782379863410888</v>
      </c>
      <c r="Q65" t="s">
        <v>84</v>
      </c>
      <c r="S65" t="s">
        <v>130</v>
      </c>
      <c r="T65" t="s">
        <v>90</v>
      </c>
      <c r="U65">
        <v>0.12088540700160107</v>
      </c>
      <c r="V65" t="s">
        <v>84</v>
      </c>
      <c r="AK65">
        <v>2035</v>
      </c>
      <c r="AL65" t="s">
        <v>78</v>
      </c>
      <c r="AM65">
        <v>0.62559999999999993</v>
      </c>
      <c r="AN65" t="s">
        <v>168</v>
      </c>
    </row>
    <row r="66" spans="9:40" x14ac:dyDescent="0.45">
      <c r="I66" t="s">
        <v>99</v>
      </c>
      <c r="J66" t="s">
        <v>91</v>
      </c>
      <c r="K66">
        <v>0.24312771278429651</v>
      </c>
      <c r="L66" t="s">
        <v>84</v>
      </c>
      <c r="N66" t="s">
        <v>115</v>
      </c>
      <c r="O66" t="s">
        <v>91</v>
      </c>
      <c r="P66">
        <v>0.21054683671298063</v>
      </c>
      <c r="Q66" t="s">
        <v>84</v>
      </c>
      <c r="S66" t="s">
        <v>130</v>
      </c>
      <c r="T66" t="s">
        <v>91</v>
      </c>
      <c r="U66">
        <v>0.19912438223400822</v>
      </c>
      <c r="V66" t="s">
        <v>84</v>
      </c>
      <c r="AK66">
        <v>2035</v>
      </c>
      <c r="AL66" t="s">
        <v>80</v>
      </c>
      <c r="AM66">
        <v>0.60055000000000003</v>
      </c>
      <c r="AN66" t="s">
        <v>168</v>
      </c>
    </row>
    <row r="67" spans="9:40" x14ac:dyDescent="0.45">
      <c r="I67" t="s">
        <v>99</v>
      </c>
      <c r="J67" t="s">
        <v>92</v>
      </c>
      <c r="K67">
        <v>0</v>
      </c>
      <c r="L67" t="s">
        <v>84</v>
      </c>
      <c r="N67" t="s">
        <v>115</v>
      </c>
      <c r="O67" t="s">
        <v>92</v>
      </c>
      <c r="P67">
        <v>8.3190425168917712E-2</v>
      </c>
      <c r="Q67" t="s">
        <v>84</v>
      </c>
      <c r="S67" t="s">
        <v>130</v>
      </c>
      <c r="T67" t="s">
        <v>92</v>
      </c>
      <c r="U67">
        <v>8.5467052963058815E-2</v>
      </c>
      <c r="V67" t="s">
        <v>84</v>
      </c>
      <c r="AK67">
        <v>2036</v>
      </c>
      <c r="AL67" t="s">
        <v>72</v>
      </c>
      <c r="AM67">
        <v>0.54235</v>
      </c>
      <c r="AN67" t="s">
        <v>168</v>
      </c>
    </row>
    <row r="68" spans="9:40" x14ac:dyDescent="0.45">
      <c r="I68" t="s">
        <v>99</v>
      </c>
      <c r="J68" t="s">
        <v>93</v>
      </c>
      <c r="K68">
        <v>2.0181483623169745E-2</v>
      </c>
      <c r="L68" t="s">
        <v>84</v>
      </c>
      <c r="N68" t="s">
        <v>115</v>
      </c>
      <c r="O68" t="s">
        <v>93</v>
      </c>
      <c r="P68">
        <v>3.7353684265707301E-2</v>
      </c>
      <c r="Q68" t="s">
        <v>84</v>
      </c>
      <c r="S68" t="s">
        <v>130</v>
      </c>
      <c r="T68" t="s">
        <v>93</v>
      </c>
      <c r="U68">
        <v>3.6351630269662552E-2</v>
      </c>
      <c r="V68" t="s">
        <v>84</v>
      </c>
      <c r="AK68">
        <v>2036</v>
      </c>
      <c r="AL68" t="s">
        <v>76</v>
      </c>
      <c r="AM68">
        <v>0.51602499999999996</v>
      </c>
      <c r="AN68" t="s">
        <v>168</v>
      </c>
    </row>
    <row r="69" spans="9:40" x14ac:dyDescent="0.45">
      <c r="I69" t="s">
        <v>99</v>
      </c>
      <c r="J69" t="s">
        <v>94</v>
      </c>
      <c r="K69">
        <v>0.22768626476128839</v>
      </c>
      <c r="L69" t="s">
        <v>84</v>
      </c>
      <c r="N69" t="s">
        <v>115</v>
      </c>
      <c r="O69" t="s">
        <v>94</v>
      </c>
      <c r="P69">
        <v>7.1561354976215977E-2</v>
      </c>
      <c r="Q69" t="s">
        <v>84</v>
      </c>
      <c r="S69" t="s">
        <v>130</v>
      </c>
      <c r="T69" t="s">
        <v>94</v>
      </c>
      <c r="U69">
        <v>6.9128590690695227E-2</v>
      </c>
      <c r="V69" t="s">
        <v>84</v>
      </c>
      <c r="AK69">
        <v>2036</v>
      </c>
      <c r="AL69" t="s">
        <v>78</v>
      </c>
      <c r="AM69">
        <v>0.63585000000000003</v>
      </c>
      <c r="AN69" t="s">
        <v>168</v>
      </c>
    </row>
    <row r="70" spans="9:40" x14ac:dyDescent="0.45">
      <c r="I70" t="s">
        <v>99</v>
      </c>
      <c r="J70" t="s">
        <v>95</v>
      </c>
      <c r="K70">
        <v>1.577498886878863E-3</v>
      </c>
      <c r="L70" t="s">
        <v>84</v>
      </c>
      <c r="N70" t="s">
        <v>115</v>
      </c>
      <c r="O70" t="s">
        <v>95</v>
      </c>
      <c r="P70">
        <v>2.8661846053025002E-2</v>
      </c>
      <c r="Q70" t="s">
        <v>84</v>
      </c>
      <c r="S70" t="s">
        <v>130</v>
      </c>
      <c r="T70" t="s">
        <v>95</v>
      </c>
      <c r="U70">
        <v>2.952720298999149E-2</v>
      </c>
      <c r="V70" t="s">
        <v>84</v>
      </c>
      <c r="AK70">
        <v>2036</v>
      </c>
      <c r="AL70" t="s">
        <v>80</v>
      </c>
      <c r="AM70">
        <v>0.58830000000000005</v>
      </c>
      <c r="AN70" t="s">
        <v>168</v>
      </c>
    </row>
    <row r="71" spans="9:40" x14ac:dyDescent="0.45">
      <c r="I71" t="s">
        <v>100</v>
      </c>
      <c r="J71" t="s">
        <v>83</v>
      </c>
      <c r="K71">
        <v>1.5509330211355124E-2</v>
      </c>
      <c r="L71" t="s">
        <v>84</v>
      </c>
      <c r="N71" t="s">
        <v>116</v>
      </c>
      <c r="O71" t="s">
        <v>83</v>
      </c>
      <c r="P71">
        <v>2.641797497257465E-2</v>
      </c>
      <c r="Q71" t="s">
        <v>84</v>
      </c>
      <c r="S71" t="s">
        <v>131</v>
      </c>
      <c r="T71" t="s">
        <v>83</v>
      </c>
      <c r="U71">
        <v>3.7896609776158989E-2</v>
      </c>
      <c r="V71" t="s">
        <v>84</v>
      </c>
      <c r="AK71">
        <v>2037</v>
      </c>
      <c r="AL71" t="s">
        <v>72</v>
      </c>
      <c r="AM71">
        <v>0.40939999999999999</v>
      </c>
      <c r="AN71" t="s">
        <v>168</v>
      </c>
    </row>
    <row r="72" spans="9:40" x14ac:dyDescent="0.45">
      <c r="I72" t="s">
        <v>100</v>
      </c>
      <c r="J72" t="s">
        <v>85</v>
      </c>
      <c r="K72">
        <v>0.25465769031766672</v>
      </c>
      <c r="L72" t="s">
        <v>84</v>
      </c>
      <c r="N72" t="s">
        <v>116</v>
      </c>
      <c r="O72" t="s">
        <v>85</v>
      </c>
      <c r="P72">
        <v>9.5953787748043265E-2</v>
      </c>
      <c r="Q72" t="s">
        <v>84</v>
      </c>
      <c r="S72" t="s">
        <v>131</v>
      </c>
      <c r="T72" t="s">
        <v>85</v>
      </c>
      <c r="U72">
        <v>6.729088715120031E-2</v>
      </c>
      <c r="V72" t="s">
        <v>84</v>
      </c>
      <c r="AK72">
        <v>2037</v>
      </c>
      <c r="AL72" t="s">
        <v>76</v>
      </c>
      <c r="AM72">
        <v>0.40900000000000003</v>
      </c>
      <c r="AN72" t="s">
        <v>168</v>
      </c>
    </row>
    <row r="73" spans="9:40" x14ac:dyDescent="0.45">
      <c r="I73" t="s">
        <v>100</v>
      </c>
      <c r="J73" t="s">
        <v>86</v>
      </c>
      <c r="K73">
        <v>4.2009910296597602E-3</v>
      </c>
      <c r="L73" t="s">
        <v>84</v>
      </c>
      <c r="N73" t="s">
        <v>116</v>
      </c>
      <c r="O73" t="s">
        <v>86</v>
      </c>
      <c r="P73">
        <v>2.6631400194980989E-2</v>
      </c>
      <c r="Q73" t="s">
        <v>84</v>
      </c>
      <c r="S73" t="s">
        <v>131</v>
      </c>
      <c r="T73" t="s">
        <v>86</v>
      </c>
      <c r="U73">
        <v>3.3661719044951313E-2</v>
      </c>
      <c r="V73" t="s">
        <v>84</v>
      </c>
      <c r="AK73">
        <v>2037</v>
      </c>
      <c r="AL73" t="s">
        <v>78</v>
      </c>
      <c r="AM73">
        <v>0.45892499999999997</v>
      </c>
      <c r="AN73" t="s">
        <v>168</v>
      </c>
    </row>
    <row r="74" spans="9:40" x14ac:dyDescent="0.45">
      <c r="I74" t="s">
        <v>100</v>
      </c>
      <c r="J74" t="s">
        <v>87</v>
      </c>
      <c r="K74">
        <v>3.0487842387893153E-3</v>
      </c>
      <c r="L74" t="s">
        <v>84</v>
      </c>
      <c r="N74" t="s">
        <v>116</v>
      </c>
      <c r="O74" t="s">
        <v>87</v>
      </c>
      <c r="P74">
        <v>7.7585453842366758E-2</v>
      </c>
      <c r="Q74" t="s">
        <v>84</v>
      </c>
      <c r="S74" t="s">
        <v>131</v>
      </c>
      <c r="T74" t="s">
        <v>87</v>
      </c>
      <c r="U74">
        <v>9.5113557102139409E-2</v>
      </c>
      <c r="V74" t="s">
        <v>84</v>
      </c>
      <c r="AK74">
        <v>2037</v>
      </c>
      <c r="AL74" t="s">
        <v>80</v>
      </c>
      <c r="AM74">
        <v>0.44240000000000002</v>
      </c>
      <c r="AN74" t="s">
        <v>168</v>
      </c>
    </row>
    <row r="75" spans="9:40" x14ac:dyDescent="0.45">
      <c r="I75" t="s">
        <v>100</v>
      </c>
      <c r="J75" t="s">
        <v>88</v>
      </c>
      <c r="K75">
        <v>0.22303824291579458</v>
      </c>
      <c r="L75" t="s">
        <v>84</v>
      </c>
      <c r="N75" t="s">
        <v>116</v>
      </c>
      <c r="O75" t="s">
        <v>88</v>
      </c>
      <c r="P75">
        <v>0.14854843199607667</v>
      </c>
      <c r="Q75" t="s">
        <v>84</v>
      </c>
      <c r="S75" t="s">
        <v>131</v>
      </c>
      <c r="T75" t="s">
        <v>88</v>
      </c>
      <c r="U75">
        <v>0.16528314532267369</v>
      </c>
      <c r="V75" t="s">
        <v>84</v>
      </c>
      <c r="AK75">
        <v>2038</v>
      </c>
      <c r="AL75" t="s">
        <v>72</v>
      </c>
      <c r="AM75">
        <v>0.55025000000000002</v>
      </c>
      <c r="AN75" t="s">
        <v>168</v>
      </c>
    </row>
    <row r="76" spans="9:40" x14ac:dyDescent="0.45">
      <c r="I76" t="s">
        <v>100</v>
      </c>
      <c r="J76" t="s">
        <v>89</v>
      </c>
      <c r="K76">
        <v>0</v>
      </c>
      <c r="L76" t="s">
        <v>84</v>
      </c>
      <c r="N76" t="s">
        <v>116</v>
      </c>
      <c r="O76" t="s">
        <v>89</v>
      </c>
      <c r="P76">
        <v>5.1975248290341676E-2</v>
      </c>
      <c r="Q76" t="s">
        <v>84</v>
      </c>
      <c r="S76" t="s">
        <v>131</v>
      </c>
      <c r="T76" t="s">
        <v>89</v>
      </c>
      <c r="U76">
        <v>7.3794000419104125E-2</v>
      </c>
      <c r="V76" t="s">
        <v>84</v>
      </c>
      <c r="AK76">
        <v>2038</v>
      </c>
      <c r="AL76" t="s">
        <v>76</v>
      </c>
      <c r="AM76">
        <v>0.55935000000000001</v>
      </c>
      <c r="AN76" t="s">
        <v>168</v>
      </c>
    </row>
    <row r="77" spans="9:40" x14ac:dyDescent="0.45">
      <c r="I77" t="s">
        <v>100</v>
      </c>
      <c r="J77" t="s">
        <v>90</v>
      </c>
      <c r="K77">
        <v>6.668706595366892E-3</v>
      </c>
      <c r="L77" t="s">
        <v>84</v>
      </c>
      <c r="N77" t="s">
        <v>116</v>
      </c>
      <c r="O77" t="s">
        <v>90</v>
      </c>
      <c r="P77">
        <v>0.11619411738954634</v>
      </c>
      <c r="Q77" t="s">
        <v>84</v>
      </c>
      <c r="S77" t="s">
        <v>131</v>
      </c>
      <c r="T77" t="s">
        <v>90</v>
      </c>
      <c r="U77">
        <v>0.11247445250463925</v>
      </c>
      <c r="V77" t="s">
        <v>84</v>
      </c>
      <c r="AK77">
        <v>2038</v>
      </c>
      <c r="AL77" t="s">
        <v>78</v>
      </c>
      <c r="AM77">
        <v>0.59884999999999999</v>
      </c>
      <c r="AN77" t="s">
        <v>168</v>
      </c>
    </row>
    <row r="78" spans="9:40" x14ac:dyDescent="0.45">
      <c r="I78" t="s">
        <v>100</v>
      </c>
      <c r="J78" t="s">
        <v>91</v>
      </c>
      <c r="K78">
        <v>0.24559867389458054</v>
      </c>
      <c r="L78" t="s">
        <v>84</v>
      </c>
      <c r="N78" t="s">
        <v>116</v>
      </c>
      <c r="O78" t="s">
        <v>91</v>
      </c>
      <c r="P78">
        <v>0.24637847851865385</v>
      </c>
      <c r="Q78" t="s">
        <v>84</v>
      </c>
      <c r="S78" t="s">
        <v>131</v>
      </c>
      <c r="T78" t="s">
        <v>91</v>
      </c>
      <c r="U78">
        <v>0.18002663906185759</v>
      </c>
      <c r="V78" t="s">
        <v>84</v>
      </c>
      <c r="AK78">
        <v>2038</v>
      </c>
      <c r="AL78" t="s">
        <v>80</v>
      </c>
      <c r="AM78">
        <v>0.56969999999999998</v>
      </c>
      <c r="AN78" t="s">
        <v>168</v>
      </c>
    </row>
    <row r="79" spans="9:40" x14ac:dyDescent="0.45">
      <c r="I79" t="s">
        <v>100</v>
      </c>
      <c r="J79" t="s">
        <v>92</v>
      </c>
      <c r="K79">
        <v>0</v>
      </c>
      <c r="L79" t="s">
        <v>84</v>
      </c>
      <c r="N79" t="s">
        <v>116</v>
      </c>
      <c r="O79" t="s">
        <v>92</v>
      </c>
      <c r="P79">
        <v>8.8656106438732507E-2</v>
      </c>
      <c r="Q79" t="s">
        <v>84</v>
      </c>
      <c r="S79" t="s">
        <v>131</v>
      </c>
      <c r="T79" t="s">
        <v>92</v>
      </c>
      <c r="U79">
        <v>7.7320064954060408E-2</v>
      </c>
      <c r="V79" t="s">
        <v>84</v>
      </c>
      <c r="AK79">
        <v>2039</v>
      </c>
      <c r="AL79" t="s">
        <v>72</v>
      </c>
      <c r="AM79">
        <v>0.4027</v>
      </c>
      <c r="AN79" t="s">
        <v>168</v>
      </c>
    </row>
    <row r="80" spans="9:40" x14ac:dyDescent="0.45">
      <c r="I80" t="s">
        <v>100</v>
      </c>
      <c r="J80" t="s">
        <v>93</v>
      </c>
      <c r="K80">
        <v>2.0472599915346838E-2</v>
      </c>
      <c r="L80" t="s">
        <v>84</v>
      </c>
      <c r="N80" t="s">
        <v>116</v>
      </c>
      <c r="O80" t="s">
        <v>93</v>
      </c>
      <c r="P80">
        <v>2.381744400324097E-2</v>
      </c>
      <c r="Q80" t="s">
        <v>84</v>
      </c>
      <c r="S80" t="s">
        <v>131</v>
      </c>
      <c r="T80" t="s">
        <v>93</v>
      </c>
      <c r="U80">
        <v>4.7169294909694494E-2</v>
      </c>
      <c r="V80" t="s">
        <v>84</v>
      </c>
      <c r="AK80">
        <v>2039</v>
      </c>
      <c r="AL80" t="s">
        <v>76</v>
      </c>
      <c r="AM80">
        <v>0.39627499999999999</v>
      </c>
      <c r="AN80" t="s">
        <v>168</v>
      </c>
    </row>
    <row r="81" spans="9:40" x14ac:dyDescent="0.45">
      <c r="I81" t="s">
        <v>100</v>
      </c>
      <c r="J81" t="s">
        <v>94</v>
      </c>
      <c r="K81">
        <v>0.22429728109943736</v>
      </c>
      <c r="L81" t="s">
        <v>84</v>
      </c>
      <c r="N81" t="s">
        <v>116</v>
      </c>
      <c r="O81" t="s">
        <v>94</v>
      </c>
      <c r="P81">
        <v>7.5434437121689721E-2</v>
      </c>
      <c r="Q81" t="s">
        <v>84</v>
      </c>
      <c r="S81" t="s">
        <v>131</v>
      </c>
      <c r="T81" t="s">
        <v>94</v>
      </c>
      <c r="U81">
        <v>7.5029268220859965E-2</v>
      </c>
      <c r="V81" t="s">
        <v>84</v>
      </c>
      <c r="AK81">
        <v>2039</v>
      </c>
      <c r="AL81" t="s">
        <v>78</v>
      </c>
      <c r="AM81">
        <v>0.45092500000000002</v>
      </c>
      <c r="AN81" t="s">
        <v>168</v>
      </c>
    </row>
    <row r="82" spans="9:40" x14ac:dyDescent="0.45">
      <c r="I82" t="s">
        <v>100</v>
      </c>
      <c r="J82" t="s">
        <v>95</v>
      </c>
      <c r="K82">
        <v>2.5076997820017728E-3</v>
      </c>
      <c r="L82" t="s">
        <v>84</v>
      </c>
      <c r="N82" t="s">
        <v>116</v>
      </c>
      <c r="O82" t="s">
        <v>95</v>
      </c>
      <c r="P82">
        <v>2.2407119483753634E-2</v>
      </c>
      <c r="Q82" t="s">
        <v>84</v>
      </c>
      <c r="S82" t="s">
        <v>131</v>
      </c>
      <c r="T82" t="s">
        <v>95</v>
      </c>
      <c r="U82">
        <v>3.4940361532661841E-2</v>
      </c>
      <c r="V82" t="s">
        <v>84</v>
      </c>
      <c r="AK82">
        <v>2039</v>
      </c>
      <c r="AL82" t="s">
        <v>80</v>
      </c>
      <c r="AM82">
        <v>0.40334999999999999</v>
      </c>
      <c r="AN82" t="s">
        <v>168</v>
      </c>
    </row>
    <row r="83" spans="9:40" x14ac:dyDescent="0.45">
      <c r="I83" t="s">
        <v>101</v>
      </c>
      <c r="J83" t="s">
        <v>83</v>
      </c>
      <c r="K83">
        <v>1.2622262079475114E-2</v>
      </c>
      <c r="L83" t="s">
        <v>84</v>
      </c>
      <c r="N83" t="s">
        <v>117</v>
      </c>
      <c r="O83" t="s">
        <v>83</v>
      </c>
      <c r="P83">
        <v>3.4774935667757578E-2</v>
      </c>
      <c r="Q83" t="s">
        <v>84</v>
      </c>
      <c r="S83" t="s">
        <v>132</v>
      </c>
      <c r="T83" t="s">
        <v>83</v>
      </c>
      <c r="U83">
        <v>4.1224448109714228E-2</v>
      </c>
      <c r="V83" t="s">
        <v>84</v>
      </c>
      <c r="AK83">
        <v>2040</v>
      </c>
      <c r="AL83" t="s">
        <v>72</v>
      </c>
      <c r="AM83">
        <v>0.42869999999999997</v>
      </c>
      <c r="AN83" t="s">
        <v>168</v>
      </c>
    </row>
    <row r="84" spans="9:40" x14ac:dyDescent="0.45">
      <c r="I84" t="s">
        <v>101</v>
      </c>
      <c r="J84" t="s">
        <v>85</v>
      </c>
      <c r="K84">
        <v>0.25610214070419152</v>
      </c>
      <c r="L84" t="s">
        <v>84</v>
      </c>
      <c r="N84" t="s">
        <v>117</v>
      </c>
      <c r="O84" t="s">
        <v>85</v>
      </c>
      <c r="P84">
        <v>8.0771054721979291E-2</v>
      </c>
      <c r="Q84" t="s">
        <v>84</v>
      </c>
      <c r="S84" t="s">
        <v>132</v>
      </c>
      <c r="T84" t="s">
        <v>85</v>
      </c>
      <c r="U84">
        <v>6.4953658076820769E-2</v>
      </c>
      <c r="V84" t="s">
        <v>84</v>
      </c>
      <c r="AK84">
        <v>2040</v>
      </c>
      <c r="AL84" t="s">
        <v>76</v>
      </c>
      <c r="AM84">
        <v>0.39759999999999995</v>
      </c>
      <c r="AN84" t="s">
        <v>168</v>
      </c>
    </row>
    <row r="85" spans="9:40" x14ac:dyDescent="0.45">
      <c r="I85" t="s">
        <v>101</v>
      </c>
      <c r="J85" t="s">
        <v>86</v>
      </c>
      <c r="K85">
        <v>9.9482026393761108E-3</v>
      </c>
      <c r="L85" t="s">
        <v>84</v>
      </c>
      <c r="N85" t="s">
        <v>117</v>
      </c>
      <c r="O85" t="s">
        <v>86</v>
      </c>
      <c r="P85">
        <v>2.6152776687662114E-2</v>
      </c>
      <c r="Q85" t="s">
        <v>84</v>
      </c>
      <c r="S85" t="s">
        <v>132</v>
      </c>
      <c r="T85" t="s">
        <v>86</v>
      </c>
      <c r="U85">
        <v>3.6310694826616627E-2</v>
      </c>
      <c r="V85" t="s">
        <v>84</v>
      </c>
      <c r="AK85">
        <v>2040</v>
      </c>
      <c r="AL85" t="s">
        <v>78</v>
      </c>
      <c r="AM85">
        <v>0.45899999999999996</v>
      </c>
      <c r="AN85" t="s">
        <v>168</v>
      </c>
    </row>
    <row r="86" spans="9:40" x14ac:dyDescent="0.45">
      <c r="I86" t="s">
        <v>101</v>
      </c>
      <c r="J86" t="s">
        <v>87</v>
      </c>
      <c r="K86">
        <v>2.6306639430922341E-4</v>
      </c>
      <c r="L86" t="s">
        <v>84</v>
      </c>
      <c r="N86" t="s">
        <v>117</v>
      </c>
      <c r="O86" t="s">
        <v>87</v>
      </c>
      <c r="P86">
        <v>8.5979638967543903E-2</v>
      </c>
      <c r="Q86" t="s">
        <v>84</v>
      </c>
      <c r="S86" t="s">
        <v>132</v>
      </c>
      <c r="T86" t="s">
        <v>87</v>
      </c>
      <c r="U86">
        <v>9.1509089292411791E-2</v>
      </c>
      <c r="V86" t="s">
        <v>84</v>
      </c>
      <c r="AK86">
        <v>2040</v>
      </c>
      <c r="AL86" t="s">
        <v>80</v>
      </c>
      <c r="AM86">
        <v>0.43935000000000002</v>
      </c>
      <c r="AN86" t="s">
        <v>168</v>
      </c>
    </row>
    <row r="87" spans="9:40" x14ac:dyDescent="0.45">
      <c r="I87" t="s">
        <v>101</v>
      </c>
      <c r="J87" t="s">
        <v>88</v>
      </c>
      <c r="K87">
        <v>0.19724316394938496</v>
      </c>
      <c r="L87" t="s">
        <v>84</v>
      </c>
      <c r="N87" t="s">
        <v>117</v>
      </c>
      <c r="O87" t="s">
        <v>88</v>
      </c>
      <c r="P87">
        <v>0.16031871667881928</v>
      </c>
      <c r="Q87" t="s">
        <v>84</v>
      </c>
      <c r="S87" t="s">
        <v>132</v>
      </c>
      <c r="T87" t="s">
        <v>88</v>
      </c>
      <c r="U87">
        <v>0.14494789866639499</v>
      </c>
      <c r="V87" t="s">
        <v>84</v>
      </c>
      <c r="AK87">
        <v>2041</v>
      </c>
      <c r="AL87" t="s">
        <v>72</v>
      </c>
      <c r="AM87">
        <v>0.3967</v>
      </c>
      <c r="AN87" t="s">
        <v>168</v>
      </c>
    </row>
    <row r="88" spans="9:40" x14ac:dyDescent="0.45">
      <c r="I88" t="s">
        <v>101</v>
      </c>
      <c r="J88" t="s">
        <v>89</v>
      </c>
      <c r="K88">
        <v>0</v>
      </c>
      <c r="L88" t="s">
        <v>84</v>
      </c>
      <c r="N88" t="s">
        <v>117</v>
      </c>
      <c r="O88" t="s">
        <v>89</v>
      </c>
      <c r="P88">
        <v>6.3781600674975056E-2</v>
      </c>
      <c r="Q88" t="s">
        <v>84</v>
      </c>
      <c r="S88" t="s">
        <v>132</v>
      </c>
      <c r="T88" t="s">
        <v>89</v>
      </c>
      <c r="U88">
        <v>6.8439438119247464E-2</v>
      </c>
      <c r="V88" t="s">
        <v>84</v>
      </c>
      <c r="AK88">
        <v>2041</v>
      </c>
      <c r="AL88" t="s">
        <v>76</v>
      </c>
      <c r="AM88">
        <v>0.41679999999999995</v>
      </c>
      <c r="AN88" t="s">
        <v>168</v>
      </c>
    </row>
    <row r="89" spans="9:40" x14ac:dyDescent="0.45">
      <c r="I89" t="s">
        <v>101</v>
      </c>
      <c r="J89" t="s">
        <v>90</v>
      </c>
      <c r="K89">
        <v>4.49383647830959E-3</v>
      </c>
      <c r="L89" t="s">
        <v>84</v>
      </c>
      <c r="N89" t="s">
        <v>117</v>
      </c>
      <c r="O89" t="s">
        <v>90</v>
      </c>
      <c r="P89">
        <v>0.10807511611999399</v>
      </c>
      <c r="Q89" t="s">
        <v>84</v>
      </c>
      <c r="S89" t="s">
        <v>132</v>
      </c>
      <c r="T89" t="s">
        <v>90</v>
      </c>
      <c r="U89">
        <v>0.11649913709299525</v>
      </c>
      <c r="V89" t="s">
        <v>84</v>
      </c>
      <c r="AK89">
        <v>2041</v>
      </c>
      <c r="AL89" t="s">
        <v>78</v>
      </c>
      <c r="AM89">
        <v>0.47902500000000003</v>
      </c>
      <c r="AN89" t="s">
        <v>168</v>
      </c>
    </row>
    <row r="90" spans="9:40" x14ac:dyDescent="0.45">
      <c r="I90" t="s">
        <v>101</v>
      </c>
      <c r="J90" t="s">
        <v>91</v>
      </c>
      <c r="K90">
        <v>0.26407459806243277</v>
      </c>
      <c r="L90" t="s">
        <v>84</v>
      </c>
      <c r="N90" t="s">
        <v>117</v>
      </c>
      <c r="O90" t="s">
        <v>91</v>
      </c>
      <c r="P90">
        <v>0.21335637294542664</v>
      </c>
      <c r="Q90" t="s">
        <v>84</v>
      </c>
      <c r="S90" t="s">
        <v>132</v>
      </c>
      <c r="T90" t="s">
        <v>91</v>
      </c>
      <c r="U90">
        <v>0.20457497686943074</v>
      </c>
      <c r="V90" t="s">
        <v>84</v>
      </c>
      <c r="AK90">
        <v>2041</v>
      </c>
      <c r="AL90" t="s">
        <v>80</v>
      </c>
      <c r="AM90">
        <v>0.43785000000000002</v>
      </c>
      <c r="AN90" t="s">
        <v>168</v>
      </c>
    </row>
    <row r="91" spans="9:40" x14ac:dyDescent="0.45">
      <c r="I91" t="s">
        <v>101</v>
      </c>
      <c r="J91" t="s">
        <v>92</v>
      </c>
      <c r="K91">
        <v>0</v>
      </c>
      <c r="L91" t="s">
        <v>84</v>
      </c>
      <c r="N91" t="s">
        <v>117</v>
      </c>
      <c r="O91" t="s">
        <v>92</v>
      </c>
      <c r="P91">
        <v>8.1532965924561066E-2</v>
      </c>
      <c r="Q91" t="s">
        <v>84</v>
      </c>
      <c r="S91" t="s">
        <v>132</v>
      </c>
      <c r="T91" t="s">
        <v>92</v>
      </c>
      <c r="U91">
        <v>8.7435509138804851E-2</v>
      </c>
      <c r="V91" t="s">
        <v>84</v>
      </c>
      <c r="AK91">
        <v>2042</v>
      </c>
      <c r="AL91" t="s">
        <v>72</v>
      </c>
      <c r="AM91">
        <v>0.38834999999999997</v>
      </c>
      <c r="AN91" t="s">
        <v>168</v>
      </c>
    </row>
    <row r="92" spans="9:40" x14ac:dyDescent="0.45">
      <c r="I92" t="s">
        <v>101</v>
      </c>
      <c r="J92" t="s">
        <v>93</v>
      </c>
      <c r="K92">
        <v>1.9122052708198299E-2</v>
      </c>
      <c r="L92" t="s">
        <v>84</v>
      </c>
      <c r="N92" t="s">
        <v>117</v>
      </c>
      <c r="O92" t="s">
        <v>93</v>
      </c>
      <c r="P92">
        <v>3.3718295123501635E-2</v>
      </c>
      <c r="Q92" t="s">
        <v>84</v>
      </c>
      <c r="S92" t="s">
        <v>132</v>
      </c>
      <c r="T92" t="s">
        <v>93</v>
      </c>
      <c r="U92">
        <v>4.1676938671042225E-2</v>
      </c>
      <c r="V92" t="s">
        <v>84</v>
      </c>
      <c r="AK92">
        <v>2042</v>
      </c>
      <c r="AL92" t="s">
        <v>76</v>
      </c>
      <c r="AM92">
        <v>0.38800000000000001</v>
      </c>
      <c r="AN92" t="s">
        <v>168</v>
      </c>
    </row>
    <row r="93" spans="9:40" x14ac:dyDescent="0.45">
      <c r="I93" t="s">
        <v>101</v>
      </c>
      <c r="J93" t="s">
        <v>94</v>
      </c>
      <c r="K93">
        <v>0.22863698558329346</v>
      </c>
      <c r="L93" t="s">
        <v>84</v>
      </c>
      <c r="N93" t="s">
        <v>117</v>
      </c>
      <c r="O93" t="s">
        <v>94</v>
      </c>
      <c r="P93">
        <v>8.3343069300477773E-2</v>
      </c>
      <c r="Q93" t="s">
        <v>84</v>
      </c>
      <c r="S93" t="s">
        <v>132</v>
      </c>
      <c r="T93" t="s">
        <v>94</v>
      </c>
      <c r="U93">
        <v>6.791368334582934E-2</v>
      </c>
      <c r="V93" t="s">
        <v>84</v>
      </c>
      <c r="AK93">
        <v>2042</v>
      </c>
      <c r="AL93" t="s">
        <v>78</v>
      </c>
      <c r="AM93">
        <v>0.44379999999999997</v>
      </c>
      <c r="AN93" t="s">
        <v>168</v>
      </c>
    </row>
    <row r="94" spans="9:40" x14ac:dyDescent="0.45">
      <c r="I94" t="s">
        <v>101</v>
      </c>
      <c r="J94" t="s">
        <v>95</v>
      </c>
      <c r="K94">
        <v>7.4936914010323413E-3</v>
      </c>
      <c r="L94" t="s">
        <v>84</v>
      </c>
      <c r="N94" t="s">
        <v>117</v>
      </c>
      <c r="O94" t="s">
        <v>95</v>
      </c>
      <c r="P94">
        <v>2.8195457187299506E-2</v>
      </c>
      <c r="Q94" t="s">
        <v>84</v>
      </c>
      <c r="S94" t="s">
        <v>132</v>
      </c>
      <c r="T94" t="s">
        <v>95</v>
      </c>
      <c r="U94">
        <v>3.4514527790690787E-2</v>
      </c>
      <c r="V94" t="s">
        <v>84</v>
      </c>
      <c r="AK94">
        <v>2042</v>
      </c>
      <c r="AL94" t="s">
        <v>80</v>
      </c>
      <c r="AM94">
        <v>0.39600000000000002</v>
      </c>
      <c r="AN94" t="s">
        <v>168</v>
      </c>
    </row>
    <row r="95" spans="9:40" x14ac:dyDescent="0.45">
      <c r="I95" t="s">
        <v>102</v>
      </c>
      <c r="J95" t="s">
        <v>83</v>
      </c>
      <c r="K95">
        <v>1.2394774449933012E-2</v>
      </c>
      <c r="L95" t="s">
        <v>84</v>
      </c>
      <c r="N95" t="s">
        <v>118</v>
      </c>
      <c r="O95" t="s">
        <v>83</v>
      </c>
      <c r="P95">
        <v>3.9008043088329024E-2</v>
      </c>
      <c r="Q95" t="s">
        <v>84</v>
      </c>
      <c r="S95" t="s">
        <v>133</v>
      </c>
      <c r="T95" t="s">
        <v>83</v>
      </c>
      <c r="U95">
        <v>4.9635387031025324E-2</v>
      </c>
      <c r="V95" t="s">
        <v>84</v>
      </c>
      <c r="AK95">
        <v>2043</v>
      </c>
      <c r="AL95" t="s">
        <v>72</v>
      </c>
      <c r="AM95">
        <v>0.41600000000000004</v>
      </c>
      <c r="AN95" t="s">
        <v>168</v>
      </c>
    </row>
    <row r="96" spans="9:40" x14ac:dyDescent="0.45">
      <c r="I96" t="s">
        <v>102</v>
      </c>
      <c r="J96" t="s">
        <v>85</v>
      </c>
      <c r="K96">
        <v>0.24605298798797173</v>
      </c>
      <c r="L96" t="s">
        <v>84</v>
      </c>
      <c r="N96" t="s">
        <v>118</v>
      </c>
      <c r="O96" t="s">
        <v>85</v>
      </c>
      <c r="P96">
        <v>9.6938699532027828E-2</v>
      </c>
      <c r="Q96" t="s">
        <v>84</v>
      </c>
      <c r="S96" t="s">
        <v>133</v>
      </c>
      <c r="T96" t="s">
        <v>85</v>
      </c>
      <c r="U96">
        <v>8.0464397855380496E-2</v>
      </c>
      <c r="V96" t="s">
        <v>84</v>
      </c>
      <c r="AK96">
        <v>2043</v>
      </c>
      <c r="AL96" t="s">
        <v>76</v>
      </c>
      <c r="AM96">
        <v>0.40332500000000004</v>
      </c>
      <c r="AN96" t="s">
        <v>168</v>
      </c>
    </row>
    <row r="97" spans="9:40" x14ac:dyDescent="0.45">
      <c r="I97" t="s">
        <v>102</v>
      </c>
      <c r="J97" t="s">
        <v>86</v>
      </c>
      <c r="K97">
        <v>9.1358413059000974E-3</v>
      </c>
      <c r="L97" t="s">
        <v>84</v>
      </c>
      <c r="N97" t="s">
        <v>118</v>
      </c>
      <c r="O97" t="s">
        <v>86</v>
      </c>
      <c r="P97">
        <v>2.8802146460311488E-2</v>
      </c>
      <c r="Q97" t="s">
        <v>84</v>
      </c>
      <c r="S97" t="s">
        <v>133</v>
      </c>
      <c r="T97" t="s">
        <v>86</v>
      </c>
      <c r="U97">
        <v>3.6860441651758273E-2</v>
      </c>
      <c r="V97" t="s">
        <v>84</v>
      </c>
      <c r="AK97">
        <v>2043</v>
      </c>
      <c r="AL97" t="s">
        <v>78</v>
      </c>
      <c r="AM97">
        <v>0.45152499999999995</v>
      </c>
      <c r="AN97" t="s">
        <v>168</v>
      </c>
    </row>
    <row r="98" spans="9:40" x14ac:dyDescent="0.45">
      <c r="I98" t="s">
        <v>102</v>
      </c>
      <c r="J98" t="s">
        <v>87</v>
      </c>
      <c r="K98">
        <v>8.1649006898680605E-5</v>
      </c>
      <c r="L98" t="s">
        <v>84</v>
      </c>
      <c r="N98" t="s">
        <v>118</v>
      </c>
      <c r="O98" t="s">
        <v>87</v>
      </c>
      <c r="P98">
        <v>7.7098372331695711E-2</v>
      </c>
      <c r="Q98" t="s">
        <v>84</v>
      </c>
      <c r="S98" t="s">
        <v>133</v>
      </c>
      <c r="T98" t="s">
        <v>87</v>
      </c>
      <c r="U98">
        <v>9.5340918393966689E-2</v>
      </c>
      <c r="V98" t="s">
        <v>84</v>
      </c>
      <c r="AK98">
        <v>2043</v>
      </c>
      <c r="AL98" t="s">
        <v>80</v>
      </c>
      <c r="AM98">
        <v>0.43049999999999999</v>
      </c>
      <c r="AN98" t="s">
        <v>168</v>
      </c>
    </row>
    <row r="99" spans="9:40" x14ac:dyDescent="0.45">
      <c r="I99" t="s">
        <v>102</v>
      </c>
      <c r="J99" t="s">
        <v>88</v>
      </c>
      <c r="K99">
        <v>0.19147413510818831</v>
      </c>
      <c r="L99" t="s">
        <v>84</v>
      </c>
      <c r="N99" t="s">
        <v>118</v>
      </c>
      <c r="O99" t="s">
        <v>88</v>
      </c>
      <c r="P99">
        <v>0.15217372938892484</v>
      </c>
      <c r="Q99" t="s">
        <v>84</v>
      </c>
      <c r="S99" t="s">
        <v>133</v>
      </c>
      <c r="T99" t="s">
        <v>88</v>
      </c>
      <c r="U99">
        <v>0.15609871944930157</v>
      </c>
      <c r="V99" t="s">
        <v>84</v>
      </c>
      <c r="AK99">
        <v>2044</v>
      </c>
      <c r="AL99" t="s">
        <v>72</v>
      </c>
      <c r="AM99">
        <v>0.39854999999999996</v>
      </c>
      <c r="AN99" t="s">
        <v>168</v>
      </c>
    </row>
    <row r="100" spans="9:40" x14ac:dyDescent="0.45">
      <c r="I100" t="s">
        <v>102</v>
      </c>
      <c r="J100" t="s">
        <v>89</v>
      </c>
      <c r="K100">
        <v>0</v>
      </c>
      <c r="L100" t="s">
        <v>84</v>
      </c>
      <c r="N100" t="s">
        <v>118</v>
      </c>
      <c r="O100" t="s">
        <v>89</v>
      </c>
      <c r="P100">
        <v>5.4730402508004976E-2</v>
      </c>
      <c r="Q100" t="s">
        <v>84</v>
      </c>
      <c r="S100" t="s">
        <v>133</v>
      </c>
      <c r="T100" t="s">
        <v>89</v>
      </c>
      <c r="U100">
        <v>7.0259229204297349E-2</v>
      </c>
      <c r="V100" t="s">
        <v>84</v>
      </c>
      <c r="AK100">
        <v>2044</v>
      </c>
      <c r="AL100" t="s">
        <v>76</v>
      </c>
      <c r="AM100">
        <v>0.42235</v>
      </c>
      <c r="AN100" t="s">
        <v>168</v>
      </c>
    </row>
    <row r="101" spans="9:40" x14ac:dyDescent="0.45">
      <c r="I101" t="s">
        <v>102</v>
      </c>
      <c r="J101" t="s">
        <v>90</v>
      </c>
      <c r="K101">
        <v>6.2223292143683611E-3</v>
      </c>
      <c r="L101" t="s">
        <v>84</v>
      </c>
      <c r="N101" t="s">
        <v>118</v>
      </c>
      <c r="O101" t="s">
        <v>90</v>
      </c>
      <c r="P101">
        <v>0.11961079475875996</v>
      </c>
      <c r="Q101" t="s">
        <v>84</v>
      </c>
      <c r="S101" t="s">
        <v>133</v>
      </c>
      <c r="T101" t="s">
        <v>90</v>
      </c>
      <c r="U101">
        <v>0.11315265570994733</v>
      </c>
      <c r="V101" t="s">
        <v>84</v>
      </c>
      <c r="AK101">
        <v>2044</v>
      </c>
      <c r="AL101" t="s">
        <v>78</v>
      </c>
      <c r="AM101">
        <v>0.43564999999999998</v>
      </c>
      <c r="AN101" t="s">
        <v>168</v>
      </c>
    </row>
    <row r="102" spans="9:40" x14ac:dyDescent="0.45">
      <c r="I102" t="s">
        <v>102</v>
      </c>
      <c r="J102" t="s">
        <v>91</v>
      </c>
      <c r="K102">
        <v>0.27583713081922517</v>
      </c>
      <c r="L102" t="s">
        <v>84</v>
      </c>
      <c r="N102" t="s">
        <v>118</v>
      </c>
      <c r="O102" t="s">
        <v>91</v>
      </c>
      <c r="P102">
        <v>0.23223164924438133</v>
      </c>
      <c r="Q102" t="s">
        <v>84</v>
      </c>
      <c r="S102" t="s">
        <v>133</v>
      </c>
      <c r="T102" t="s">
        <v>91</v>
      </c>
      <c r="U102">
        <v>0.18886655433764629</v>
      </c>
      <c r="V102" t="s">
        <v>84</v>
      </c>
      <c r="AK102">
        <v>2044</v>
      </c>
      <c r="AL102" t="s">
        <v>80</v>
      </c>
      <c r="AM102">
        <v>0.39300000000000002</v>
      </c>
      <c r="AN102" t="s">
        <v>168</v>
      </c>
    </row>
    <row r="103" spans="9:40" x14ac:dyDescent="0.45">
      <c r="I103" t="s">
        <v>102</v>
      </c>
      <c r="J103" t="s">
        <v>92</v>
      </c>
      <c r="K103">
        <v>0</v>
      </c>
      <c r="L103" t="s">
        <v>84</v>
      </c>
      <c r="N103" t="s">
        <v>118</v>
      </c>
      <c r="O103" t="s">
        <v>92</v>
      </c>
      <c r="P103">
        <v>8.0104501369228212E-2</v>
      </c>
      <c r="Q103" t="s">
        <v>84</v>
      </c>
      <c r="S103" t="s">
        <v>133</v>
      </c>
      <c r="T103" t="s">
        <v>92</v>
      </c>
      <c r="U103">
        <v>8.0450820638630335E-2</v>
      </c>
      <c r="V103" t="s">
        <v>84</v>
      </c>
      <c r="AK103">
        <v>2045</v>
      </c>
      <c r="AL103" t="s">
        <v>72</v>
      </c>
      <c r="AM103">
        <v>0.56695000000000007</v>
      </c>
      <c r="AN103" t="s">
        <v>168</v>
      </c>
    </row>
    <row r="104" spans="9:40" x14ac:dyDescent="0.45">
      <c r="I104" t="s">
        <v>102</v>
      </c>
      <c r="J104" t="s">
        <v>93</v>
      </c>
      <c r="K104">
        <v>2.0494156987491491E-2</v>
      </c>
      <c r="L104" t="s">
        <v>84</v>
      </c>
      <c r="N104" t="s">
        <v>118</v>
      </c>
      <c r="O104" t="s">
        <v>93</v>
      </c>
      <c r="P104">
        <v>2.2996406081166737E-2</v>
      </c>
      <c r="Q104" t="s">
        <v>84</v>
      </c>
      <c r="S104" t="s">
        <v>133</v>
      </c>
      <c r="T104" t="s">
        <v>93</v>
      </c>
      <c r="U104">
        <v>3.9524144219753254E-2</v>
      </c>
      <c r="V104" t="s">
        <v>84</v>
      </c>
      <c r="AK104">
        <v>2045</v>
      </c>
      <c r="AL104" t="s">
        <v>76</v>
      </c>
      <c r="AM104">
        <v>0.56542499999999996</v>
      </c>
      <c r="AN104" t="s">
        <v>168</v>
      </c>
    </row>
    <row r="105" spans="9:40" x14ac:dyDescent="0.45">
      <c r="I105" t="s">
        <v>102</v>
      </c>
      <c r="J105" t="s">
        <v>94</v>
      </c>
      <c r="K105">
        <v>0.23159642108620951</v>
      </c>
      <c r="L105" t="s">
        <v>84</v>
      </c>
      <c r="N105" t="s">
        <v>118</v>
      </c>
      <c r="O105" t="s">
        <v>94</v>
      </c>
      <c r="P105">
        <v>7.8221395864680854E-2</v>
      </c>
      <c r="Q105" t="s">
        <v>84</v>
      </c>
      <c r="S105" t="s">
        <v>133</v>
      </c>
      <c r="T105" t="s">
        <v>94</v>
      </c>
      <c r="U105">
        <v>6.0267409816190561E-2</v>
      </c>
      <c r="V105" t="s">
        <v>84</v>
      </c>
      <c r="AK105">
        <v>2045</v>
      </c>
      <c r="AL105" t="s">
        <v>78</v>
      </c>
      <c r="AM105">
        <v>0.61150000000000004</v>
      </c>
      <c r="AN105" t="s">
        <v>168</v>
      </c>
    </row>
    <row r="106" spans="9:40" x14ac:dyDescent="0.45">
      <c r="I106" t="s">
        <v>102</v>
      </c>
      <c r="J106" t="s">
        <v>95</v>
      </c>
      <c r="K106">
        <v>6.7105740338128175E-3</v>
      </c>
      <c r="L106" t="s">
        <v>84</v>
      </c>
      <c r="N106" t="s">
        <v>118</v>
      </c>
      <c r="O106" t="s">
        <v>95</v>
      </c>
      <c r="P106">
        <v>1.8083859372486646E-2</v>
      </c>
      <c r="Q106" t="s">
        <v>84</v>
      </c>
      <c r="S106" t="s">
        <v>133</v>
      </c>
      <c r="T106" t="s">
        <v>95</v>
      </c>
      <c r="U106">
        <v>2.9079321692100611E-2</v>
      </c>
      <c r="V106" t="s">
        <v>84</v>
      </c>
      <c r="AK106">
        <v>2045</v>
      </c>
      <c r="AL106" t="s">
        <v>80</v>
      </c>
      <c r="AM106">
        <v>0.59870000000000001</v>
      </c>
      <c r="AN106" t="s">
        <v>168</v>
      </c>
    </row>
    <row r="107" spans="9:40" x14ac:dyDescent="0.45">
      <c r="I107" t="s">
        <v>103</v>
      </c>
      <c r="J107" t="s">
        <v>83</v>
      </c>
      <c r="K107">
        <v>8.8285823201118465E-3</v>
      </c>
      <c r="L107" t="s">
        <v>84</v>
      </c>
      <c r="N107" t="s">
        <v>119</v>
      </c>
      <c r="O107" t="s">
        <v>83</v>
      </c>
      <c r="P107">
        <v>4.3607505859863817E-2</v>
      </c>
      <c r="Q107" t="s">
        <v>84</v>
      </c>
      <c r="S107" t="s">
        <v>134</v>
      </c>
      <c r="T107" t="s">
        <v>83</v>
      </c>
      <c r="U107">
        <v>3.1441121881519853E-2</v>
      </c>
      <c r="V107" t="s">
        <v>84</v>
      </c>
      <c r="AK107">
        <v>2046</v>
      </c>
      <c r="AL107" t="s">
        <v>72</v>
      </c>
      <c r="AM107">
        <v>0.55425000000000002</v>
      </c>
      <c r="AN107" t="s">
        <v>168</v>
      </c>
    </row>
    <row r="108" spans="9:40" x14ac:dyDescent="0.45">
      <c r="I108" t="s">
        <v>103</v>
      </c>
      <c r="J108" t="s">
        <v>85</v>
      </c>
      <c r="K108">
        <v>0.25310675319629694</v>
      </c>
      <c r="L108" t="s">
        <v>84</v>
      </c>
      <c r="N108" t="s">
        <v>119</v>
      </c>
      <c r="O108" t="s">
        <v>85</v>
      </c>
      <c r="P108">
        <v>8.0552685431036844E-2</v>
      </c>
      <c r="Q108" t="s">
        <v>84</v>
      </c>
      <c r="S108" t="s">
        <v>134</v>
      </c>
      <c r="T108" t="s">
        <v>85</v>
      </c>
      <c r="U108">
        <v>7.3630341582970771E-2</v>
      </c>
      <c r="V108" t="s">
        <v>84</v>
      </c>
      <c r="AK108">
        <v>2046</v>
      </c>
      <c r="AL108" t="s">
        <v>76</v>
      </c>
      <c r="AM108">
        <v>0.54380000000000006</v>
      </c>
      <c r="AN108" t="s">
        <v>168</v>
      </c>
    </row>
    <row r="109" spans="9:40" x14ac:dyDescent="0.45">
      <c r="I109" t="s">
        <v>103</v>
      </c>
      <c r="J109" t="s">
        <v>86</v>
      </c>
      <c r="K109">
        <v>1.0900346864321999E-2</v>
      </c>
      <c r="L109" t="s">
        <v>84</v>
      </c>
      <c r="N109" t="s">
        <v>119</v>
      </c>
      <c r="O109" t="s">
        <v>86</v>
      </c>
      <c r="P109">
        <v>3.1745749997842548E-2</v>
      </c>
      <c r="Q109" t="s">
        <v>84</v>
      </c>
      <c r="S109" t="s">
        <v>134</v>
      </c>
      <c r="T109" t="s">
        <v>86</v>
      </c>
      <c r="U109">
        <v>2.8897636367055692E-2</v>
      </c>
      <c r="V109" t="s">
        <v>84</v>
      </c>
      <c r="AK109">
        <v>2046</v>
      </c>
      <c r="AL109" t="s">
        <v>78</v>
      </c>
      <c r="AM109">
        <v>0.61975000000000002</v>
      </c>
      <c r="AN109" t="s">
        <v>168</v>
      </c>
    </row>
    <row r="110" spans="9:40" x14ac:dyDescent="0.45">
      <c r="I110" t="s">
        <v>103</v>
      </c>
      <c r="J110" t="s">
        <v>87</v>
      </c>
      <c r="K110">
        <v>0</v>
      </c>
      <c r="L110" t="s">
        <v>84</v>
      </c>
      <c r="N110" t="s">
        <v>119</v>
      </c>
      <c r="O110" t="s">
        <v>87</v>
      </c>
      <c r="P110">
        <v>9.3177342110748643E-2</v>
      </c>
      <c r="Q110" t="s">
        <v>84</v>
      </c>
      <c r="S110" t="s">
        <v>134</v>
      </c>
      <c r="T110" t="s">
        <v>87</v>
      </c>
      <c r="U110">
        <v>8.1203719347827774E-2</v>
      </c>
      <c r="V110" t="s">
        <v>84</v>
      </c>
      <c r="AK110">
        <v>2046</v>
      </c>
      <c r="AL110" t="s">
        <v>80</v>
      </c>
      <c r="AM110">
        <v>0.58909999999999996</v>
      </c>
      <c r="AN110" t="s">
        <v>168</v>
      </c>
    </row>
    <row r="111" spans="9:40" x14ac:dyDescent="0.45">
      <c r="I111" t="s">
        <v>103</v>
      </c>
      <c r="J111" t="s">
        <v>88</v>
      </c>
      <c r="K111">
        <v>0.20186724739865949</v>
      </c>
      <c r="L111" t="s">
        <v>84</v>
      </c>
      <c r="N111" t="s">
        <v>119</v>
      </c>
      <c r="O111" t="s">
        <v>88</v>
      </c>
      <c r="P111">
        <v>0.16174482622788969</v>
      </c>
      <c r="Q111" t="s">
        <v>84</v>
      </c>
      <c r="S111" t="s">
        <v>134</v>
      </c>
      <c r="T111" t="s">
        <v>88</v>
      </c>
      <c r="U111">
        <v>0.15066347641901784</v>
      </c>
      <c r="V111" t="s">
        <v>84</v>
      </c>
      <c r="AK111">
        <v>2047</v>
      </c>
      <c r="AL111" t="s">
        <v>72</v>
      </c>
      <c r="AM111">
        <v>0.53685000000000005</v>
      </c>
      <c r="AN111" t="s">
        <v>168</v>
      </c>
    </row>
    <row r="112" spans="9:40" x14ac:dyDescent="0.45">
      <c r="I112" t="s">
        <v>103</v>
      </c>
      <c r="J112" t="s">
        <v>89</v>
      </c>
      <c r="K112">
        <v>0</v>
      </c>
      <c r="L112" t="s">
        <v>84</v>
      </c>
      <c r="N112" t="s">
        <v>119</v>
      </c>
      <c r="O112" t="s">
        <v>89</v>
      </c>
      <c r="P112">
        <v>6.9601046335434041E-2</v>
      </c>
      <c r="Q112" t="s">
        <v>84</v>
      </c>
      <c r="S112" t="s">
        <v>134</v>
      </c>
      <c r="T112" t="s">
        <v>89</v>
      </c>
      <c r="U112">
        <v>6.0163275841384561E-2</v>
      </c>
      <c r="V112" t="s">
        <v>84</v>
      </c>
      <c r="AK112">
        <v>2047</v>
      </c>
      <c r="AL112" t="s">
        <v>76</v>
      </c>
      <c r="AM112">
        <v>0.55617499999999997</v>
      </c>
      <c r="AN112" t="s">
        <v>168</v>
      </c>
    </row>
    <row r="113" spans="9:40" x14ac:dyDescent="0.45">
      <c r="I113" t="s">
        <v>103</v>
      </c>
      <c r="J113" t="s">
        <v>90</v>
      </c>
      <c r="K113">
        <v>2.609573389173986E-3</v>
      </c>
      <c r="L113" t="s">
        <v>84</v>
      </c>
      <c r="N113" t="s">
        <v>119</v>
      </c>
      <c r="O113" t="s">
        <v>90</v>
      </c>
      <c r="P113">
        <v>0.10999605833614086</v>
      </c>
      <c r="Q113" t="s">
        <v>84</v>
      </c>
      <c r="S113" t="s">
        <v>134</v>
      </c>
      <c r="T113" t="s">
        <v>90</v>
      </c>
      <c r="U113">
        <v>0.1208846081484307</v>
      </c>
      <c r="V113" t="s">
        <v>84</v>
      </c>
      <c r="AK113">
        <v>2047</v>
      </c>
      <c r="AL113" t="s">
        <v>78</v>
      </c>
      <c r="AM113">
        <v>0.59197500000000003</v>
      </c>
      <c r="AN113" t="s">
        <v>168</v>
      </c>
    </row>
    <row r="114" spans="9:40" x14ac:dyDescent="0.45">
      <c r="I114" t="s">
        <v>103</v>
      </c>
      <c r="J114" t="s">
        <v>91</v>
      </c>
      <c r="K114">
        <v>0.25246041245785933</v>
      </c>
      <c r="L114" t="s">
        <v>84</v>
      </c>
      <c r="N114" t="s">
        <v>119</v>
      </c>
      <c r="O114" t="s">
        <v>91</v>
      </c>
      <c r="P114">
        <v>0.19345564324732981</v>
      </c>
      <c r="Q114" t="s">
        <v>84</v>
      </c>
      <c r="S114" t="s">
        <v>134</v>
      </c>
      <c r="T114" t="s">
        <v>91</v>
      </c>
      <c r="U114">
        <v>0.22913998501444327</v>
      </c>
      <c r="V114" t="s">
        <v>84</v>
      </c>
      <c r="AK114">
        <v>2047</v>
      </c>
      <c r="AL114" t="s">
        <v>80</v>
      </c>
      <c r="AM114">
        <v>0.55204999999999993</v>
      </c>
      <c r="AN114" t="s">
        <v>168</v>
      </c>
    </row>
    <row r="115" spans="9:40" x14ac:dyDescent="0.45">
      <c r="I115" t="s">
        <v>103</v>
      </c>
      <c r="J115" t="s">
        <v>92</v>
      </c>
      <c r="K115">
        <v>0</v>
      </c>
      <c r="L115" t="s">
        <v>84</v>
      </c>
      <c r="N115" t="s">
        <v>119</v>
      </c>
      <c r="O115" t="s">
        <v>92</v>
      </c>
      <c r="P115">
        <v>7.735296213544153E-2</v>
      </c>
      <c r="Q115" t="s">
        <v>84</v>
      </c>
      <c r="S115" t="s">
        <v>134</v>
      </c>
      <c r="T115" t="s">
        <v>92</v>
      </c>
      <c r="U115">
        <v>8.7289969204019935E-2</v>
      </c>
      <c r="V115" t="s">
        <v>84</v>
      </c>
      <c r="AK115">
        <v>2048</v>
      </c>
      <c r="AL115" t="s">
        <v>72</v>
      </c>
      <c r="AM115">
        <v>0.58844999999999992</v>
      </c>
      <c r="AN115" t="s">
        <v>168</v>
      </c>
    </row>
    <row r="116" spans="9:40" x14ac:dyDescent="0.45">
      <c r="I116" t="s">
        <v>103</v>
      </c>
      <c r="J116" t="s">
        <v>93</v>
      </c>
      <c r="K116">
        <v>1.6726073556446456E-2</v>
      </c>
      <c r="L116" t="s">
        <v>84</v>
      </c>
      <c r="N116" t="s">
        <v>119</v>
      </c>
      <c r="O116" t="s">
        <v>93</v>
      </c>
      <c r="P116">
        <v>3.6384021890880296E-2</v>
      </c>
      <c r="Q116" t="s">
        <v>84</v>
      </c>
      <c r="S116" t="s">
        <v>134</v>
      </c>
      <c r="T116" t="s">
        <v>93</v>
      </c>
      <c r="U116">
        <v>3.4348310335693709E-2</v>
      </c>
      <c r="V116" t="s">
        <v>84</v>
      </c>
      <c r="AK116">
        <v>2048</v>
      </c>
      <c r="AL116" t="s">
        <v>76</v>
      </c>
      <c r="AM116">
        <v>0.51519999999999999</v>
      </c>
      <c r="AN116" t="s">
        <v>168</v>
      </c>
    </row>
    <row r="117" spans="9:40" x14ac:dyDescent="0.45">
      <c r="I117" t="s">
        <v>103</v>
      </c>
      <c r="J117" t="s">
        <v>94</v>
      </c>
      <c r="K117">
        <v>0.24444798004410567</v>
      </c>
      <c r="L117" t="s">
        <v>84</v>
      </c>
      <c r="N117" t="s">
        <v>119</v>
      </c>
      <c r="O117" t="s">
        <v>94</v>
      </c>
      <c r="P117">
        <v>7.57575609069501E-2</v>
      </c>
      <c r="Q117" t="s">
        <v>84</v>
      </c>
      <c r="S117" t="s">
        <v>134</v>
      </c>
      <c r="T117" t="s">
        <v>94</v>
      </c>
      <c r="U117">
        <v>7.4980617884080031E-2</v>
      </c>
      <c r="V117" t="s">
        <v>84</v>
      </c>
      <c r="AK117">
        <v>2048</v>
      </c>
      <c r="AL117" t="s">
        <v>78</v>
      </c>
      <c r="AM117">
        <v>0.597275</v>
      </c>
      <c r="AN117" t="s">
        <v>168</v>
      </c>
    </row>
    <row r="118" spans="9:40" x14ac:dyDescent="0.45">
      <c r="I118" t="s">
        <v>103</v>
      </c>
      <c r="J118" t="s">
        <v>95</v>
      </c>
      <c r="K118">
        <v>9.0530307730243859E-3</v>
      </c>
      <c r="L118" t="s">
        <v>84</v>
      </c>
      <c r="N118" t="s">
        <v>119</v>
      </c>
      <c r="O118" t="s">
        <v>95</v>
      </c>
      <c r="P118">
        <v>2.6624597520442141E-2</v>
      </c>
      <c r="Q118" t="s">
        <v>84</v>
      </c>
      <c r="S118" t="s">
        <v>134</v>
      </c>
      <c r="T118" t="s">
        <v>95</v>
      </c>
      <c r="U118">
        <v>2.7356937973557899E-2</v>
      </c>
      <c r="V118" t="s">
        <v>84</v>
      </c>
      <c r="AK118">
        <v>2048</v>
      </c>
      <c r="AL118" t="s">
        <v>80</v>
      </c>
      <c r="AM118">
        <v>0.60170000000000001</v>
      </c>
      <c r="AN118" t="s">
        <v>168</v>
      </c>
    </row>
    <row r="119" spans="9:40" x14ac:dyDescent="0.45">
      <c r="I119" t="s">
        <v>104</v>
      </c>
      <c r="J119" t="s">
        <v>83</v>
      </c>
      <c r="K119">
        <v>7.8757269201132161E-3</v>
      </c>
      <c r="L119" t="s">
        <v>84</v>
      </c>
      <c r="N119" t="s">
        <v>120</v>
      </c>
      <c r="O119" t="s">
        <v>83</v>
      </c>
      <c r="P119">
        <v>4.0632331246124281E-2</v>
      </c>
      <c r="Q119" t="s">
        <v>84</v>
      </c>
      <c r="S119" t="s">
        <v>135</v>
      </c>
      <c r="T119" t="s">
        <v>83</v>
      </c>
      <c r="U119">
        <v>3.8817986325917479E-2</v>
      </c>
      <c r="V119" t="s">
        <v>84</v>
      </c>
      <c r="AK119">
        <v>2049</v>
      </c>
      <c r="AL119" t="s">
        <v>72</v>
      </c>
      <c r="AM119">
        <v>0.49395</v>
      </c>
      <c r="AN119" t="s">
        <v>168</v>
      </c>
    </row>
    <row r="120" spans="9:40" x14ac:dyDescent="0.45">
      <c r="I120" t="s">
        <v>104</v>
      </c>
      <c r="J120" t="s">
        <v>85</v>
      </c>
      <c r="K120">
        <v>0.25430830548254518</v>
      </c>
      <c r="L120" t="s">
        <v>84</v>
      </c>
      <c r="N120" t="s">
        <v>120</v>
      </c>
      <c r="O120" t="s">
        <v>85</v>
      </c>
      <c r="P120">
        <v>8.4501198413458239E-2</v>
      </c>
      <c r="Q120" t="s">
        <v>84</v>
      </c>
      <c r="S120" t="s">
        <v>135</v>
      </c>
      <c r="T120" t="s">
        <v>85</v>
      </c>
      <c r="U120">
        <v>6.4706919318170936E-2</v>
      </c>
      <c r="V120" t="s">
        <v>84</v>
      </c>
      <c r="AK120">
        <v>2049</v>
      </c>
      <c r="AL120" t="s">
        <v>76</v>
      </c>
      <c r="AM120">
        <v>0.47725000000000001</v>
      </c>
      <c r="AN120" t="s">
        <v>168</v>
      </c>
    </row>
    <row r="121" spans="9:40" x14ac:dyDescent="0.45">
      <c r="I121" t="s">
        <v>104</v>
      </c>
      <c r="J121" t="s">
        <v>86</v>
      </c>
      <c r="K121">
        <v>1.1287174560673982E-2</v>
      </c>
      <c r="L121" t="s">
        <v>84</v>
      </c>
      <c r="N121" t="s">
        <v>120</v>
      </c>
      <c r="O121" t="s">
        <v>86</v>
      </c>
      <c r="P121">
        <v>3.0073102661735962E-2</v>
      </c>
      <c r="Q121" t="s">
        <v>84</v>
      </c>
      <c r="S121" t="s">
        <v>135</v>
      </c>
      <c r="T121" t="s">
        <v>86</v>
      </c>
      <c r="U121">
        <v>2.9535919970397707E-2</v>
      </c>
      <c r="V121" t="s">
        <v>84</v>
      </c>
      <c r="AK121">
        <v>2049</v>
      </c>
      <c r="AL121" t="s">
        <v>78</v>
      </c>
      <c r="AM121">
        <v>0.51102499999999995</v>
      </c>
      <c r="AN121" t="s">
        <v>168</v>
      </c>
    </row>
    <row r="122" spans="9:40" x14ac:dyDescent="0.45">
      <c r="I122" t="s">
        <v>104</v>
      </c>
      <c r="J122" t="s">
        <v>87</v>
      </c>
      <c r="K122">
        <v>0</v>
      </c>
      <c r="L122" t="s">
        <v>84</v>
      </c>
      <c r="N122" t="s">
        <v>120</v>
      </c>
      <c r="O122" t="s">
        <v>87</v>
      </c>
      <c r="P122">
        <v>8.9984325356923675E-2</v>
      </c>
      <c r="Q122" t="s">
        <v>84</v>
      </c>
      <c r="S122" t="s">
        <v>135</v>
      </c>
      <c r="T122" t="s">
        <v>87</v>
      </c>
      <c r="U122">
        <v>0.10024184143878476</v>
      </c>
      <c r="V122" t="s">
        <v>84</v>
      </c>
      <c r="AK122">
        <v>2049</v>
      </c>
      <c r="AL122" t="s">
        <v>80</v>
      </c>
      <c r="AM122">
        <v>0.50319999999999998</v>
      </c>
      <c r="AN122" t="s">
        <v>168</v>
      </c>
    </row>
    <row r="123" spans="9:40" x14ac:dyDescent="0.45">
      <c r="I123" t="s">
        <v>104</v>
      </c>
      <c r="J123" t="s">
        <v>88</v>
      </c>
      <c r="K123">
        <v>0.18968781328445611</v>
      </c>
      <c r="L123" t="s">
        <v>84</v>
      </c>
      <c r="N123" t="s">
        <v>120</v>
      </c>
      <c r="O123" t="s">
        <v>88</v>
      </c>
      <c r="P123">
        <v>0.16203001283891488</v>
      </c>
      <c r="Q123" t="s">
        <v>84</v>
      </c>
      <c r="S123" t="s">
        <v>135</v>
      </c>
      <c r="T123" t="s">
        <v>88</v>
      </c>
      <c r="U123">
        <v>0.16022753824140615</v>
      </c>
      <c r="V123" t="s">
        <v>84</v>
      </c>
      <c r="AK123">
        <v>2050</v>
      </c>
      <c r="AL123" t="s">
        <v>72</v>
      </c>
      <c r="AM123">
        <v>0.46675</v>
      </c>
      <c r="AN123" t="s">
        <v>168</v>
      </c>
    </row>
    <row r="124" spans="9:40" x14ac:dyDescent="0.45">
      <c r="I124" t="s">
        <v>104</v>
      </c>
      <c r="J124" t="s">
        <v>89</v>
      </c>
      <c r="K124">
        <v>4.8718751896851696E-7</v>
      </c>
      <c r="L124" t="s">
        <v>84</v>
      </c>
      <c r="N124" t="s">
        <v>120</v>
      </c>
      <c r="O124" t="s">
        <v>89</v>
      </c>
      <c r="P124">
        <v>6.2932101263311682E-2</v>
      </c>
      <c r="Q124" t="s">
        <v>84</v>
      </c>
      <c r="S124" t="s">
        <v>135</v>
      </c>
      <c r="T124" t="s">
        <v>89</v>
      </c>
      <c r="U124">
        <v>7.0683556472771109E-2</v>
      </c>
      <c r="V124" t="s">
        <v>84</v>
      </c>
      <c r="AK124">
        <v>2050</v>
      </c>
      <c r="AL124" t="s">
        <v>76</v>
      </c>
      <c r="AM124">
        <v>0.46010000000000001</v>
      </c>
      <c r="AN124" t="s">
        <v>168</v>
      </c>
    </row>
    <row r="125" spans="9:40" x14ac:dyDescent="0.45">
      <c r="I125" t="s">
        <v>104</v>
      </c>
      <c r="J125" t="s">
        <v>90</v>
      </c>
      <c r="K125">
        <v>3.1704906536423145E-3</v>
      </c>
      <c r="L125" t="s">
        <v>84</v>
      </c>
      <c r="N125" t="s">
        <v>120</v>
      </c>
      <c r="O125" t="s">
        <v>90</v>
      </c>
      <c r="P125">
        <v>0.10997739196810373</v>
      </c>
      <c r="Q125" t="s">
        <v>84</v>
      </c>
      <c r="S125" t="s">
        <v>135</v>
      </c>
      <c r="T125" t="s">
        <v>90</v>
      </c>
      <c r="U125">
        <v>0.12242639522893249</v>
      </c>
      <c r="V125" t="s">
        <v>84</v>
      </c>
      <c r="AK125">
        <v>2050</v>
      </c>
      <c r="AL125" t="s">
        <v>78</v>
      </c>
      <c r="AM125">
        <v>0.50842500000000002</v>
      </c>
      <c r="AN125" t="s">
        <v>168</v>
      </c>
    </row>
    <row r="126" spans="9:40" x14ac:dyDescent="0.45">
      <c r="I126" t="s">
        <v>104</v>
      </c>
      <c r="J126" t="s">
        <v>91</v>
      </c>
      <c r="K126">
        <v>0.24917439945193789</v>
      </c>
      <c r="L126" t="s">
        <v>84</v>
      </c>
      <c r="N126" t="s">
        <v>120</v>
      </c>
      <c r="O126" t="s">
        <v>91</v>
      </c>
      <c r="P126">
        <v>0.19972358371929452</v>
      </c>
      <c r="Q126" t="s">
        <v>84</v>
      </c>
      <c r="S126" t="s">
        <v>135</v>
      </c>
      <c r="T126" t="s">
        <v>91</v>
      </c>
      <c r="U126">
        <v>0.19765102805293877</v>
      </c>
      <c r="V126" t="s">
        <v>84</v>
      </c>
      <c r="AK126">
        <v>2050</v>
      </c>
      <c r="AL126" t="s">
        <v>80</v>
      </c>
      <c r="AM126">
        <v>0.49924999999999997</v>
      </c>
      <c r="AN126" t="s">
        <v>168</v>
      </c>
    </row>
    <row r="127" spans="9:40" x14ac:dyDescent="0.45">
      <c r="I127" t="s">
        <v>104</v>
      </c>
      <c r="J127" t="s">
        <v>92</v>
      </c>
      <c r="K127">
        <v>1.7116198804172192E-4</v>
      </c>
      <c r="L127" t="s">
        <v>84</v>
      </c>
      <c r="N127" t="s">
        <v>120</v>
      </c>
      <c r="O127" t="s">
        <v>92</v>
      </c>
      <c r="P127">
        <v>7.6189027685543212E-2</v>
      </c>
      <c r="Q127" t="s">
        <v>84</v>
      </c>
      <c r="S127" t="s">
        <v>135</v>
      </c>
      <c r="T127" t="s">
        <v>92</v>
      </c>
      <c r="U127">
        <v>8.6881012076894193E-2</v>
      </c>
      <c r="V127" t="s">
        <v>84</v>
      </c>
    </row>
    <row r="128" spans="9:40" x14ac:dyDescent="0.45">
      <c r="I128" t="s">
        <v>104</v>
      </c>
      <c r="J128" t="s">
        <v>93</v>
      </c>
      <c r="K128">
        <v>1.7273012569314846E-2</v>
      </c>
      <c r="L128" t="s">
        <v>84</v>
      </c>
      <c r="N128" t="s">
        <v>120</v>
      </c>
      <c r="O128" t="s">
        <v>93</v>
      </c>
      <c r="P128">
        <v>3.5449875092470391E-2</v>
      </c>
      <c r="Q128" t="s">
        <v>84</v>
      </c>
      <c r="S128" t="s">
        <v>135</v>
      </c>
      <c r="T128" t="s">
        <v>93</v>
      </c>
      <c r="U128">
        <v>3.8227705409135983E-2</v>
      </c>
      <c r="V128" t="s">
        <v>84</v>
      </c>
    </row>
    <row r="129" spans="9:22" x14ac:dyDescent="0.45">
      <c r="I129" t="s">
        <v>104</v>
      </c>
      <c r="J129" t="s">
        <v>94</v>
      </c>
      <c r="K129">
        <v>0.25685757129092723</v>
      </c>
      <c r="L129" t="s">
        <v>84</v>
      </c>
      <c r="N129" t="s">
        <v>120</v>
      </c>
      <c r="O129" t="s">
        <v>94</v>
      </c>
      <c r="P129">
        <v>8.100440489858847E-2</v>
      </c>
      <c r="Q129" t="s">
        <v>84</v>
      </c>
      <c r="S129" t="s">
        <v>135</v>
      </c>
      <c r="T129" t="s">
        <v>94</v>
      </c>
      <c r="U129">
        <v>6.1048528659540018E-2</v>
      </c>
      <c r="V129" t="s">
        <v>84</v>
      </c>
    </row>
    <row r="130" spans="9:22" x14ac:dyDescent="0.45">
      <c r="I130" t="s">
        <v>104</v>
      </c>
      <c r="J130" t="s">
        <v>95</v>
      </c>
      <c r="K130">
        <v>1.0193856610830677E-2</v>
      </c>
      <c r="L130" t="s">
        <v>84</v>
      </c>
      <c r="N130" t="s">
        <v>120</v>
      </c>
      <c r="O130" t="s">
        <v>95</v>
      </c>
      <c r="P130">
        <v>2.7502644855531829E-2</v>
      </c>
      <c r="Q130" t="s">
        <v>84</v>
      </c>
      <c r="S130" t="s">
        <v>135</v>
      </c>
      <c r="T130" t="s">
        <v>95</v>
      </c>
      <c r="U130">
        <v>2.9551568805111641E-2</v>
      </c>
      <c r="V130" t="s">
        <v>84</v>
      </c>
    </row>
    <row r="131" spans="9:22" x14ac:dyDescent="0.45">
      <c r="I131" t="s">
        <v>105</v>
      </c>
      <c r="J131" t="s">
        <v>83</v>
      </c>
      <c r="K131">
        <v>1.0547129449808042E-2</v>
      </c>
      <c r="L131" t="s">
        <v>84</v>
      </c>
      <c r="N131" t="s">
        <v>121</v>
      </c>
      <c r="O131" t="s">
        <v>83</v>
      </c>
      <c r="P131">
        <v>3.8695614163150718E-2</v>
      </c>
      <c r="Q131" t="s">
        <v>84</v>
      </c>
      <c r="S131" t="s">
        <v>136</v>
      </c>
      <c r="T131" t="s">
        <v>83</v>
      </c>
      <c r="U131">
        <v>4.0873032115682113E-2</v>
      </c>
      <c r="V131" t="s">
        <v>84</v>
      </c>
    </row>
    <row r="132" spans="9:22" x14ac:dyDescent="0.45">
      <c r="I132" t="s">
        <v>105</v>
      </c>
      <c r="J132" t="s">
        <v>85</v>
      </c>
      <c r="K132">
        <v>0.25199994615025095</v>
      </c>
      <c r="L132" t="s">
        <v>84</v>
      </c>
      <c r="N132" t="s">
        <v>121</v>
      </c>
      <c r="O132" t="s">
        <v>85</v>
      </c>
      <c r="P132">
        <v>8.1084353088181405E-2</v>
      </c>
      <c r="Q132" t="s">
        <v>84</v>
      </c>
      <c r="S132" t="s">
        <v>136</v>
      </c>
      <c r="T132" t="s">
        <v>85</v>
      </c>
      <c r="U132">
        <v>7.8601388998476962E-2</v>
      </c>
      <c r="V132" t="s">
        <v>84</v>
      </c>
    </row>
    <row r="133" spans="9:22" x14ac:dyDescent="0.45">
      <c r="I133" t="s">
        <v>105</v>
      </c>
      <c r="J133" t="s">
        <v>86</v>
      </c>
      <c r="K133">
        <v>1.0845510335911237E-2</v>
      </c>
      <c r="L133" t="s">
        <v>84</v>
      </c>
      <c r="N133" t="s">
        <v>121</v>
      </c>
      <c r="O133" t="s">
        <v>86</v>
      </c>
      <c r="P133">
        <v>3.6870829600755543E-2</v>
      </c>
      <c r="Q133" t="s">
        <v>84</v>
      </c>
      <c r="S133" t="s">
        <v>136</v>
      </c>
      <c r="T133" t="s">
        <v>86</v>
      </c>
      <c r="U133">
        <v>3.2310619478896054E-2</v>
      </c>
      <c r="V133" t="s">
        <v>84</v>
      </c>
    </row>
    <row r="134" spans="9:22" x14ac:dyDescent="0.45">
      <c r="I134" t="s">
        <v>105</v>
      </c>
      <c r="J134" t="s">
        <v>87</v>
      </c>
      <c r="K134">
        <v>8.3612627583293689E-7</v>
      </c>
      <c r="L134" t="s">
        <v>84</v>
      </c>
      <c r="N134" t="s">
        <v>121</v>
      </c>
      <c r="O134" t="s">
        <v>87</v>
      </c>
      <c r="P134">
        <v>8.6150066525649674E-2</v>
      </c>
      <c r="Q134" t="s">
        <v>84</v>
      </c>
      <c r="S134" t="s">
        <v>136</v>
      </c>
      <c r="T134" t="s">
        <v>87</v>
      </c>
      <c r="U134">
        <v>9.3916469177230122E-2</v>
      </c>
      <c r="V134" t="s">
        <v>84</v>
      </c>
    </row>
    <row r="135" spans="9:22" x14ac:dyDescent="0.45">
      <c r="I135" t="s">
        <v>105</v>
      </c>
      <c r="J135" t="s">
        <v>88</v>
      </c>
      <c r="K135">
        <v>0.18715305372984486</v>
      </c>
      <c r="L135" t="s">
        <v>84</v>
      </c>
      <c r="N135" t="s">
        <v>121</v>
      </c>
      <c r="O135" t="s">
        <v>88</v>
      </c>
      <c r="P135">
        <v>0.14460391272953757</v>
      </c>
      <c r="Q135" t="s">
        <v>84</v>
      </c>
      <c r="S135" t="s">
        <v>136</v>
      </c>
      <c r="T135" t="s">
        <v>88</v>
      </c>
      <c r="U135">
        <v>0.1631515161169344</v>
      </c>
      <c r="V135" t="s">
        <v>84</v>
      </c>
    </row>
    <row r="136" spans="9:22" x14ac:dyDescent="0.45">
      <c r="I136" t="s">
        <v>105</v>
      </c>
      <c r="J136" t="s">
        <v>89</v>
      </c>
      <c r="K136">
        <v>0</v>
      </c>
      <c r="L136" t="s">
        <v>84</v>
      </c>
      <c r="N136" t="s">
        <v>121</v>
      </c>
      <c r="O136" t="s">
        <v>89</v>
      </c>
      <c r="P136">
        <v>6.8951956248537949E-2</v>
      </c>
      <c r="Q136" t="s">
        <v>84</v>
      </c>
      <c r="S136" t="s">
        <v>136</v>
      </c>
      <c r="T136" t="s">
        <v>89</v>
      </c>
      <c r="U136">
        <v>6.7882936199019292E-2</v>
      </c>
      <c r="V136" t="s">
        <v>84</v>
      </c>
    </row>
    <row r="137" spans="9:22" x14ac:dyDescent="0.45">
      <c r="I137" t="s">
        <v>105</v>
      </c>
      <c r="J137" t="s">
        <v>90</v>
      </c>
      <c r="K137">
        <v>4.3419575874307555E-3</v>
      </c>
      <c r="L137" t="s">
        <v>84</v>
      </c>
      <c r="N137" t="s">
        <v>121</v>
      </c>
      <c r="O137" t="s">
        <v>90</v>
      </c>
      <c r="P137">
        <v>0.1231099777058309</v>
      </c>
      <c r="Q137" t="s">
        <v>84</v>
      </c>
      <c r="S137" t="s">
        <v>136</v>
      </c>
      <c r="T137" t="s">
        <v>90</v>
      </c>
      <c r="U137">
        <v>0.11792414903785918</v>
      </c>
      <c r="V137" t="s">
        <v>84</v>
      </c>
    </row>
    <row r="138" spans="9:22" x14ac:dyDescent="0.45">
      <c r="I138" t="s">
        <v>105</v>
      </c>
      <c r="J138" t="s">
        <v>91</v>
      </c>
      <c r="K138">
        <v>0.26278207788407104</v>
      </c>
      <c r="L138" t="s">
        <v>84</v>
      </c>
      <c r="N138" t="s">
        <v>121</v>
      </c>
      <c r="O138" t="s">
        <v>91</v>
      </c>
      <c r="P138">
        <v>0.18789111871870912</v>
      </c>
      <c r="Q138" t="s">
        <v>84</v>
      </c>
      <c r="S138" t="s">
        <v>136</v>
      </c>
      <c r="T138" t="s">
        <v>91</v>
      </c>
      <c r="U138">
        <v>0.2032924954276579</v>
      </c>
      <c r="V138" t="s">
        <v>84</v>
      </c>
    </row>
    <row r="139" spans="9:22" x14ac:dyDescent="0.45">
      <c r="I139" t="s">
        <v>105</v>
      </c>
      <c r="J139" t="s">
        <v>92</v>
      </c>
      <c r="K139">
        <v>2.9499727082831689E-5</v>
      </c>
      <c r="L139" t="s">
        <v>84</v>
      </c>
      <c r="N139" t="s">
        <v>121</v>
      </c>
      <c r="O139" t="s">
        <v>92</v>
      </c>
      <c r="P139">
        <v>9.3726958103487287E-2</v>
      </c>
      <c r="Q139" t="s">
        <v>84</v>
      </c>
      <c r="S139" t="s">
        <v>136</v>
      </c>
      <c r="T139" t="s">
        <v>92</v>
      </c>
      <c r="U139">
        <v>8.3626554946250611E-2</v>
      </c>
      <c r="V139" t="s">
        <v>84</v>
      </c>
    </row>
    <row r="140" spans="9:22" x14ac:dyDescent="0.45">
      <c r="I140" t="s">
        <v>105</v>
      </c>
      <c r="J140" t="s">
        <v>93</v>
      </c>
      <c r="K140">
        <v>1.8877185427288213E-2</v>
      </c>
      <c r="L140" t="s">
        <v>84</v>
      </c>
      <c r="N140" t="s">
        <v>121</v>
      </c>
      <c r="O140" t="s">
        <v>93</v>
      </c>
      <c r="P140">
        <v>3.7109024659178744E-2</v>
      </c>
      <c r="Q140" t="s">
        <v>84</v>
      </c>
      <c r="S140" t="s">
        <v>136</v>
      </c>
      <c r="T140" t="s">
        <v>93</v>
      </c>
      <c r="U140">
        <v>3.2591160643461098E-2</v>
      </c>
      <c r="V140" t="s">
        <v>84</v>
      </c>
    </row>
    <row r="141" spans="9:22" x14ac:dyDescent="0.45">
      <c r="I141" t="s">
        <v>105</v>
      </c>
      <c r="J141" t="s">
        <v>94</v>
      </c>
      <c r="K141">
        <v>0.24494946339568241</v>
      </c>
      <c r="L141" t="s">
        <v>84</v>
      </c>
      <c r="N141" t="s">
        <v>121</v>
      </c>
      <c r="O141" t="s">
        <v>94</v>
      </c>
      <c r="P141">
        <v>6.848655504843397E-2</v>
      </c>
      <c r="Q141" t="s">
        <v>84</v>
      </c>
      <c r="S141" t="s">
        <v>136</v>
      </c>
      <c r="T141" t="s">
        <v>94</v>
      </c>
      <c r="U141">
        <v>6.065369555362804E-2</v>
      </c>
      <c r="V141" t="s">
        <v>84</v>
      </c>
    </row>
    <row r="142" spans="9:22" x14ac:dyDescent="0.45">
      <c r="I142" t="s">
        <v>105</v>
      </c>
      <c r="J142" t="s">
        <v>95</v>
      </c>
      <c r="K142">
        <v>8.4733401863554721E-3</v>
      </c>
      <c r="L142" t="s">
        <v>84</v>
      </c>
      <c r="N142" t="s">
        <v>121</v>
      </c>
      <c r="O142" t="s">
        <v>95</v>
      </c>
      <c r="P142">
        <v>3.3319633408546413E-2</v>
      </c>
      <c r="Q142" t="s">
        <v>84</v>
      </c>
      <c r="S142" t="s">
        <v>136</v>
      </c>
      <c r="T142" t="s">
        <v>95</v>
      </c>
      <c r="U142">
        <v>2.5175982304905798E-2</v>
      </c>
      <c r="V142" t="s">
        <v>84</v>
      </c>
    </row>
    <row r="143" spans="9:22" x14ac:dyDescent="0.45">
      <c r="I143" t="s">
        <v>106</v>
      </c>
      <c r="J143" t="s">
        <v>83</v>
      </c>
      <c r="K143">
        <v>1.5659241293123072E-2</v>
      </c>
      <c r="L143" t="s">
        <v>84</v>
      </c>
      <c r="N143" t="s">
        <v>122</v>
      </c>
      <c r="O143" t="s">
        <v>83</v>
      </c>
      <c r="P143">
        <v>3.8127921626981601E-2</v>
      </c>
      <c r="Q143" t="s">
        <v>84</v>
      </c>
      <c r="S143" t="s">
        <v>137</v>
      </c>
      <c r="T143" t="s">
        <v>83</v>
      </c>
      <c r="U143">
        <v>4.2111509703712857E-2</v>
      </c>
      <c r="V143" t="s">
        <v>84</v>
      </c>
    </row>
    <row r="144" spans="9:22" x14ac:dyDescent="0.45">
      <c r="I144" t="s">
        <v>106</v>
      </c>
      <c r="J144" t="s">
        <v>85</v>
      </c>
      <c r="K144">
        <v>0.25185751084902941</v>
      </c>
      <c r="L144" t="s">
        <v>84</v>
      </c>
      <c r="N144" t="s">
        <v>122</v>
      </c>
      <c r="O144" t="s">
        <v>85</v>
      </c>
      <c r="P144">
        <v>9.8734513509267152E-2</v>
      </c>
      <c r="Q144" t="s">
        <v>84</v>
      </c>
      <c r="S144" t="s">
        <v>137</v>
      </c>
      <c r="T144" t="s">
        <v>85</v>
      </c>
      <c r="U144">
        <v>7.0982679787087249E-2</v>
      </c>
      <c r="V144" t="s">
        <v>84</v>
      </c>
    </row>
    <row r="145" spans="9:22" x14ac:dyDescent="0.45">
      <c r="I145" t="s">
        <v>106</v>
      </c>
      <c r="J145" t="s">
        <v>86</v>
      </c>
      <c r="K145">
        <v>7.5683106095167027E-3</v>
      </c>
      <c r="L145" t="s">
        <v>84</v>
      </c>
      <c r="N145" t="s">
        <v>122</v>
      </c>
      <c r="O145" t="s">
        <v>86</v>
      </c>
      <c r="P145">
        <v>3.1514284676790294E-2</v>
      </c>
      <c r="Q145" t="s">
        <v>84</v>
      </c>
      <c r="S145" t="s">
        <v>137</v>
      </c>
      <c r="T145" t="s">
        <v>86</v>
      </c>
      <c r="U145">
        <v>2.8676098572450737E-2</v>
      </c>
      <c r="V145" t="s">
        <v>84</v>
      </c>
    </row>
    <row r="146" spans="9:22" x14ac:dyDescent="0.45">
      <c r="I146" t="s">
        <v>106</v>
      </c>
      <c r="J146" t="s">
        <v>87</v>
      </c>
      <c r="K146">
        <v>1.2382428885157957E-3</v>
      </c>
      <c r="L146" t="s">
        <v>84</v>
      </c>
      <c r="N146" t="s">
        <v>122</v>
      </c>
      <c r="O146" t="s">
        <v>87</v>
      </c>
      <c r="P146">
        <v>8.4694873525903019E-2</v>
      </c>
      <c r="Q146" t="s">
        <v>84</v>
      </c>
      <c r="S146" t="s">
        <v>137</v>
      </c>
      <c r="T146" t="s">
        <v>87</v>
      </c>
      <c r="U146">
        <v>9.6313868785520299E-2</v>
      </c>
      <c r="V146" t="s">
        <v>84</v>
      </c>
    </row>
    <row r="147" spans="9:22" x14ac:dyDescent="0.45">
      <c r="I147" t="s">
        <v>106</v>
      </c>
      <c r="J147" t="s">
        <v>88</v>
      </c>
      <c r="K147">
        <v>0.20503961924721817</v>
      </c>
      <c r="L147" t="s">
        <v>84</v>
      </c>
      <c r="N147" t="s">
        <v>122</v>
      </c>
      <c r="O147" t="s">
        <v>88</v>
      </c>
      <c r="P147">
        <v>0.15316178030555846</v>
      </c>
      <c r="Q147" t="s">
        <v>84</v>
      </c>
      <c r="S147" t="s">
        <v>137</v>
      </c>
      <c r="T147" t="s">
        <v>88</v>
      </c>
      <c r="U147">
        <v>0.16456006880808643</v>
      </c>
      <c r="V147" t="s">
        <v>84</v>
      </c>
    </row>
    <row r="148" spans="9:22" x14ac:dyDescent="0.45">
      <c r="I148" t="s">
        <v>106</v>
      </c>
      <c r="J148" t="s">
        <v>89</v>
      </c>
      <c r="K148">
        <v>0</v>
      </c>
      <c r="L148" t="s">
        <v>84</v>
      </c>
      <c r="N148" t="s">
        <v>122</v>
      </c>
      <c r="O148" t="s">
        <v>89</v>
      </c>
      <c r="P148">
        <v>6.1475859560253317E-2</v>
      </c>
      <c r="Q148" t="s">
        <v>84</v>
      </c>
      <c r="S148" t="s">
        <v>137</v>
      </c>
      <c r="T148" t="s">
        <v>89</v>
      </c>
      <c r="U148">
        <v>7.1612532289267811E-2</v>
      </c>
      <c r="V148" t="s">
        <v>84</v>
      </c>
    </row>
    <row r="149" spans="9:22" x14ac:dyDescent="0.45">
      <c r="I149" t="s">
        <v>106</v>
      </c>
      <c r="J149" t="s">
        <v>90</v>
      </c>
      <c r="K149">
        <v>6.5686126647732093E-3</v>
      </c>
      <c r="L149" t="s">
        <v>84</v>
      </c>
      <c r="N149" t="s">
        <v>122</v>
      </c>
      <c r="O149" t="s">
        <v>90</v>
      </c>
      <c r="P149">
        <v>0.10542391365028361</v>
      </c>
      <c r="Q149" t="s">
        <v>84</v>
      </c>
      <c r="S149" t="s">
        <v>137</v>
      </c>
      <c r="T149" t="s">
        <v>90</v>
      </c>
      <c r="U149">
        <v>0.11177273821025789</v>
      </c>
      <c r="V149" t="s">
        <v>84</v>
      </c>
    </row>
    <row r="150" spans="9:22" x14ac:dyDescent="0.45">
      <c r="I150" t="s">
        <v>106</v>
      </c>
      <c r="J150" t="s">
        <v>91</v>
      </c>
      <c r="K150">
        <v>0.26220980746335298</v>
      </c>
      <c r="L150" t="s">
        <v>84</v>
      </c>
      <c r="N150" t="s">
        <v>122</v>
      </c>
      <c r="O150" t="s">
        <v>91</v>
      </c>
      <c r="P150">
        <v>0.20845710026858483</v>
      </c>
      <c r="Q150" t="s">
        <v>84</v>
      </c>
      <c r="S150" t="s">
        <v>137</v>
      </c>
      <c r="T150" t="s">
        <v>91</v>
      </c>
      <c r="U150">
        <v>0.19372979870865556</v>
      </c>
      <c r="V150" t="s">
        <v>84</v>
      </c>
    </row>
    <row r="151" spans="9:22" x14ac:dyDescent="0.45">
      <c r="I151" t="s">
        <v>106</v>
      </c>
      <c r="J151" t="s">
        <v>92</v>
      </c>
      <c r="K151">
        <v>0</v>
      </c>
      <c r="L151" t="s">
        <v>84</v>
      </c>
      <c r="N151" t="s">
        <v>122</v>
      </c>
      <c r="O151" t="s">
        <v>92</v>
      </c>
      <c r="P151">
        <v>7.6478594180589332E-2</v>
      </c>
      <c r="Q151" t="s">
        <v>84</v>
      </c>
      <c r="S151" t="s">
        <v>137</v>
      </c>
      <c r="T151" t="s">
        <v>92</v>
      </c>
      <c r="U151">
        <v>7.9628435472653719E-2</v>
      </c>
      <c r="V151" t="s">
        <v>84</v>
      </c>
    </row>
    <row r="152" spans="9:22" x14ac:dyDescent="0.45">
      <c r="I152" t="s">
        <v>106</v>
      </c>
      <c r="J152" t="s">
        <v>93</v>
      </c>
      <c r="K152">
        <v>1.9808088774423815E-2</v>
      </c>
      <c r="L152" t="s">
        <v>84</v>
      </c>
      <c r="N152" t="s">
        <v>122</v>
      </c>
      <c r="O152" t="s">
        <v>93</v>
      </c>
      <c r="P152">
        <v>3.4472999382024083E-2</v>
      </c>
      <c r="Q152" t="s">
        <v>84</v>
      </c>
      <c r="S152" t="s">
        <v>137</v>
      </c>
      <c r="T152" t="s">
        <v>93</v>
      </c>
      <c r="U152">
        <v>3.7923115182970799E-2</v>
      </c>
      <c r="V152" t="s">
        <v>84</v>
      </c>
    </row>
    <row r="153" spans="9:22" x14ac:dyDescent="0.45">
      <c r="I153" t="s">
        <v>106</v>
      </c>
      <c r="J153" t="s">
        <v>94</v>
      </c>
      <c r="K153">
        <v>0.22594824342206304</v>
      </c>
      <c r="L153" t="s">
        <v>84</v>
      </c>
      <c r="N153" t="s">
        <v>122</v>
      </c>
      <c r="O153" t="s">
        <v>94</v>
      </c>
      <c r="P153">
        <v>8.3058573039136954E-2</v>
      </c>
      <c r="Q153" t="s">
        <v>84</v>
      </c>
      <c r="S153" t="s">
        <v>137</v>
      </c>
      <c r="T153" t="s">
        <v>94</v>
      </c>
      <c r="U153">
        <v>7.4748051635982179E-2</v>
      </c>
      <c r="V153" t="s">
        <v>84</v>
      </c>
    </row>
    <row r="154" spans="9:22" x14ac:dyDescent="0.45">
      <c r="I154" t="s">
        <v>106</v>
      </c>
      <c r="J154" t="s">
        <v>95</v>
      </c>
      <c r="K154">
        <v>4.1023227879827973E-3</v>
      </c>
      <c r="L154" t="s">
        <v>84</v>
      </c>
      <c r="N154" t="s">
        <v>122</v>
      </c>
      <c r="O154" t="s">
        <v>95</v>
      </c>
      <c r="P154">
        <v>2.439958627462583E-2</v>
      </c>
      <c r="Q154" t="s">
        <v>84</v>
      </c>
      <c r="S154" t="s">
        <v>137</v>
      </c>
      <c r="T154" t="s">
        <v>95</v>
      </c>
      <c r="U154">
        <v>2.7941102843352775E-2</v>
      </c>
      <c r="V154" t="s">
        <v>84</v>
      </c>
    </row>
    <row r="155" spans="9:22" x14ac:dyDescent="0.45">
      <c r="I155" t="s">
        <v>107</v>
      </c>
      <c r="J155" t="s">
        <v>83</v>
      </c>
      <c r="K155">
        <v>1.4762668377254365E-2</v>
      </c>
      <c r="L155" t="s">
        <v>84</v>
      </c>
      <c r="N155" t="s">
        <v>123</v>
      </c>
      <c r="O155" t="s">
        <v>83</v>
      </c>
      <c r="P155">
        <v>3.91230512776213E-2</v>
      </c>
      <c r="Q155" t="s">
        <v>84</v>
      </c>
      <c r="S155" t="s">
        <v>138</v>
      </c>
      <c r="T155" t="s">
        <v>83</v>
      </c>
      <c r="U155">
        <v>4.3878857727994373E-2</v>
      </c>
      <c r="V155" t="s">
        <v>84</v>
      </c>
    </row>
    <row r="156" spans="9:22" x14ac:dyDescent="0.45">
      <c r="I156" t="s">
        <v>107</v>
      </c>
      <c r="J156" t="s">
        <v>85</v>
      </c>
      <c r="K156">
        <v>0.25000152558983169</v>
      </c>
      <c r="L156" t="s">
        <v>84</v>
      </c>
      <c r="N156" t="s">
        <v>123</v>
      </c>
      <c r="O156" t="s">
        <v>85</v>
      </c>
      <c r="P156">
        <v>8.3639741515645794E-2</v>
      </c>
      <c r="Q156" t="s">
        <v>84</v>
      </c>
      <c r="S156" t="s">
        <v>138</v>
      </c>
      <c r="T156" t="s">
        <v>85</v>
      </c>
      <c r="U156">
        <v>7.232346601201621E-2</v>
      </c>
      <c r="V156" t="s">
        <v>84</v>
      </c>
    </row>
    <row r="157" spans="9:22" x14ac:dyDescent="0.45">
      <c r="I157" t="s">
        <v>107</v>
      </c>
      <c r="J157" t="s">
        <v>86</v>
      </c>
      <c r="K157">
        <v>8.1679362196757383E-3</v>
      </c>
      <c r="L157" t="s">
        <v>84</v>
      </c>
      <c r="N157" t="s">
        <v>123</v>
      </c>
      <c r="O157" t="s">
        <v>86</v>
      </c>
      <c r="P157">
        <v>2.6416031423414053E-2</v>
      </c>
      <c r="Q157" t="s">
        <v>84</v>
      </c>
      <c r="S157" t="s">
        <v>138</v>
      </c>
      <c r="T157" t="s">
        <v>86</v>
      </c>
      <c r="U157">
        <v>3.0195142014867473E-2</v>
      </c>
      <c r="V157" t="s">
        <v>84</v>
      </c>
    </row>
    <row r="158" spans="9:22" x14ac:dyDescent="0.45">
      <c r="I158" t="s">
        <v>107</v>
      </c>
      <c r="J158" t="s">
        <v>87</v>
      </c>
      <c r="K158">
        <v>4.8590255878886313E-4</v>
      </c>
      <c r="L158" t="s">
        <v>84</v>
      </c>
      <c r="N158" t="s">
        <v>123</v>
      </c>
      <c r="O158" t="s">
        <v>87</v>
      </c>
      <c r="P158">
        <v>7.9445400515675516E-2</v>
      </c>
      <c r="Q158" t="s">
        <v>84</v>
      </c>
      <c r="S158" t="s">
        <v>138</v>
      </c>
      <c r="T158" t="s">
        <v>87</v>
      </c>
      <c r="U158">
        <v>9.858788722980745E-2</v>
      </c>
      <c r="V158" t="s">
        <v>84</v>
      </c>
    </row>
    <row r="159" spans="9:22" x14ac:dyDescent="0.45">
      <c r="I159" t="s">
        <v>107</v>
      </c>
      <c r="J159" t="s">
        <v>88</v>
      </c>
      <c r="K159">
        <v>0.19854434164836671</v>
      </c>
      <c r="L159" t="s">
        <v>84</v>
      </c>
      <c r="N159" t="s">
        <v>123</v>
      </c>
      <c r="O159" t="s">
        <v>88</v>
      </c>
      <c r="P159">
        <v>0.13385293543834456</v>
      </c>
      <c r="Q159" t="s">
        <v>84</v>
      </c>
      <c r="S159" t="s">
        <v>138</v>
      </c>
      <c r="T159" t="s">
        <v>88</v>
      </c>
      <c r="U159">
        <v>0.16650423363658251</v>
      </c>
      <c r="V159" t="s">
        <v>84</v>
      </c>
    </row>
    <row r="160" spans="9:22" x14ac:dyDescent="0.45">
      <c r="I160" t="s">
        <v>107</v>
      </c>
      <c r="J160" t="s">
        <v>89</v>
      </c>
      <c r="K160">
        <v>0</v>
      </c>
      <c r="L160" t="s">
        <v>84</v>
      </c>
      <c r="N160" t="s">
        <v>123</v>
      </c>
      <c r="O160" t="s">
        <v>89</v>
      </c>
      <c r="P160">
        <v>5.3824054327949809E-2</v>
      </c>
      <c r="Q160" t="s">
        <v>84</v>
      </c>
      <c r="S160" t="s">
        <v>138</v>
      </c>
      <c r="T160" t="s">
        <v>89</v>
      </c>
      <c r="U160">
        <v>7.0901389501972348E-2</v>
      </c>
      <c r="V160" t="s">
        <v>84</v>
      </c>
    </row>
    <row r="161" spans="9:22" x14ac:dyDescent="0.45">
      <c r="I161" t="s">
        <v>107</v>
      </c>
      <c r="J161" t="s">
        <v>90</v>
      </c>
      <c r="K161">
        <v>6.3806951251091405E-3</v>
      </c>
      <c r="L161" t="s">
        <v>84</v>
      </c>
      <c r="N161" t="s">
        <v>123</v>
      </c>
      <c r="O161" t="s">
        <v>90</v>
      </c>
      <c r="P161">
        <v>0.13414907338120699</v>
      </c>
      <c r="Q161" t="s">
        <v>84</v>
      </c>
      <c r="S161" t="s">
        <v>138</v>
      </c>
      <c r="T161" t="s">
        <v>90</v>
      </c>
      <c r="U161">
        <v>0.11130251387761056</v>
      </c>
      <c r="V161" t="s">
        <v>84</v>
      </c>
    </row>
    <row r="162" spans="9:22" x14ac:dyDescent="0.45">
      <c r="I162" t="s">
        <v>107</v>
      </c>
      <c r="J162" t="s">
        <v>91</v>
      </c>
      <c r="K162">
        <v>0.27168094148156524</v>
      </c>
      <c r="L162" t="s">
        <v>84</v>
      </c>
      <c r="N162" t="s">
        <v>123</v>
      </c>
      <c r="O162" t="s">
        <v>91</v>
      </c>
      <c r="P162">
        <v>0.23593366811937277</v>
      </c>
      <c r="Q162" t="s">
        <v>84</v>
      </c>
      <c r="S162" t="s">
        <v>138</v>
      </c>
      <c r="T162" t="s">
        <v>91</v>
      </c>
      <c r="U162">
        <v>0.18281280379501702</v>
      </c>
      <c r="V162" t="s">
        <v>84</v>
      </c>
    </row>
    <row r="163" spans="9:22" x14ac:dyDescent="0.45">
      <c r="I163" t="s">
        <v>107</v>
      </c>
      <c r="J163" t="s">
        <v>92</v>
      </c>
      <c r="K163">
        <v>0</v>
      </c>
      <c r="L163" t="s">
        <v>84</v>
      </c>
      <c r="N163" t="s">
        <v>123</v>
      </c>
      <c r="O163" t="s">
        <v>92</v>
      </c>
      <c r="P163">
        <v>9.1705647278972041E-2</v>
      </c>
      <c r="Q163" t="s">
        <v>84</v>
      </c>
      <c r="S163" t="s">
        <v>138</v>
      </c>
      <c r="T163" t="s">
        <v>92</v>
      </c>
      <c r="U163">
        <v>7.5223970182377448E-2</v>
      </c>
      <c r="V163" t="s">
        <v>84</v>
      </c>
    </row>
    <row r="164" spans="9:22" x14ac:dyDescent="0.45">
      <c r="I164" t="s">
        <v>107</v>
      </c>
      <c r="J164" t="s">
        <v>93</v>
      </c>
      <c r="K164">
        <v>1.8985846721786874E-2</v>
      </c>
      <c r="L164" t="s">
        <v>84</v>
      </c>
      <c r="N164" t="s">
        <v>123</v>
      </c>
      <c r="O164" t="s">
        <v>93</v>
      </c>
      <c r="P164">
        <v>2.9387869774383332E-2</v>
      </c>
      <c r="Q164" t="s">
        <v>84</v>
      </c>
      <c r="S164" t="s">
        <v>138</v>
      </c>
      <c r="T164" t="s">
        <v>93</v>
      </c>
      <c r="U164">
        <v>4.1785871737382053E-2</v>
      </c>
      <c r="V164" t="s">
        <v>84</v>
      </c>
    </row>
    <row r="165" spans="9:22" x14ac:dyDescent="0.45">
      <c r="I165" t="s">
        <v>107</v>
      </c>
      <c r="J165" t="s">
        <v>94</v>
      </c>
      <c r="K165">
        <v>0.22561776594636418</v>
      </c>
      <c r="L165" t="s">
        <v>84</v>
      </c>
      <c r="N165" t="s">
        <v>123</v>
      </c>
      <c r="O165" t="s">
        <v>94</v>
      </c>
      <c r="P165">
        <v>7.1543601157305667E-2</v>
      </c>
      <c r="Q165" t="s">
        <v>84</v>
      </c>
      <c r="S165" t="s">
        <v>138</v>
      </c>
      <c r="T165" t="s">
        <v>94</v>
      </c>
      <c r="U165">
        <v>7.6210773815258537E-2</v>
      </c>
      <c r="V165" t="s">
        <v>84</v>
      </c>
    </row>
    <row r="166" spans="9:22" x14ac:dyDescent="0.45">
      <c r="I166" t="s">
        <v>107</v>
      </c>
      <c r="J166" t="s">
        <v>95</v>
      </c>
      <c r="K166">
        <v>5.3723763312593306E-3</v>
      </c>
      <c r="L166" t="s">
        <v>84</v>
      </c>
      <c r="N166" t="s">
        <v>123</v>
      </c>
      <c r="O166" t="s">
        <v>95</v>
      </c>
      <c r="P166">
        <v>2.0978925790106663E-2</v>
      </c>
      <c r="Q166" t="s">
        <v>84</v>
      </c>
      <c r="S166" t="s">
        <v>138</v>
      </c>
      <c r="T166" t="s">
        <v>95</v>
      </c>
      <c r="U166">
        <v>3.0273090469109358E-2</v>
      </c>
      <c r="V166" t="s">
        <v>84</v>
      </c>
    </row>
    <row r="167" spans="9:22" x14ac:dyDescent="0.45">
      <c r="I167" t="s">
        <v>108</v>
      </c>
      <c r="J167" t="s">
        <v>83</v>
      </c>
      <c r="K167">
        <v>1.269591294138471E-2</v>
      </c>
      <c r="L167" t="s">
        <v>84</v>
      </c>
      <c r="N167" t="s">
        <v>124</v>
      </c>
      <c r="O167" t="s">
        <v>83</v>
      </c>
      <c r="P167">
        <v>3.8162921057989005E-2</v>
      </c>
      <c r="Q167" t="s">
        <v>84</v>
      </c>
      <c r="S167" t="s">
        <v>139</v>
      </c>
      <c r="T167" t="s">
        <v>83</v>
      </c>
      <c r="U167">
        <v>4.8385861909298271E-2</v>
      </c>
      <c r="V167" t="s">
        <v>84</v>
      </c>
    </row>
    <row r="168" spans="9:22" x14ac:dyDescent="0.45">
      <c r="I168" t="s">
        <v>108</v>
      </c>
      <c r="J168" t="s">
        <v>85</v>
      </c>
      <c r="K168">
        <v>0.25522468531221243</v>
      </c>
      <c r="L168" t="s">
        <v>84</v>
      </c>
      <c r="N168" t="s">
        <v>124</v>
      </c>
      <c r="O168" t="s">
        <v>85</v>
      </c>
      <c r="P168">
        <v>0.10216850188560879</v>
      </c>
      <c r="Q168" t="s">
        <v>84</v>
      </c>
      <c r="S168" t="s">
        <v>139</v>
      </c>
      <c r="T168" t="s">
        <v>85</v>
      </c>
      <c r="U168">
        <v>8.5468626635869419E-2</v>
      </c>
      <c r="V168" t="s">
        <v>84</v>
      </c>
    </row>
    <row r="169" spans="9:22" x14ac:dyDescent="0.45">
      <c r="I169" t="s">
        <v>108</v>
      </c>
      <c r="J169" t="s">
        <v>86</v>
      </c>
      <c r="K169">
        <v>7.0153684853649567E-3</v>
      </c>
      <c r="L169" t="s">
        <v>84</v>
      </c>
      <c r="N169" t="s">
        <v>124</v>
      </c>
      <c r="O169" t="s">
        <v>86</v>
      </c>
      <c r="P169">
        <v>2.7088490075067605E-2</v>
      </c>
      <c r="Q169" t="s">
        <v>84</v>
      </c>
      <c r="S169" t="s">
        <v>139</v>
      </c>
      <c r="T169" t="s">
        <v>86</v>
      </c>
      <c r="U169">
        <v>3.4679027892348398E-2</v>
      </c>
      <c r="V169" t="s">
        <v>84</v>
      </c>
    </row>
    <row r="170" spans="9:22" x14ac:dyDescent="0.45">
      <c r="I170" t="s">
        <v>108</v>
      </c>
      <c r="J170" t="s">
        <v>87</v>
      </c>
      <c r="K170">
        <v>1.4619897285317383E-3</v>
      </c>
      <c r="L170" t="s">
        <v>84</v>
      </c>
      <c r="N170" t="s">
        <v>124</v>
      </c>
      <c r="O170" t="s">
        <v>87</v>
      </c>
      <c r="P170">
        <v>8.072927505179707E-2</v>
      </c>
      <c r="Q170" t="s">
        <v>84</v>
      </c>
      <c r="S170" t="s">
        <v>139</v>
      </c>
      <c r="T170" t="s">
        <v>87</v>
      </c>
      <c r="U170">
        <v>9.5908163259834076E-2</v>
      </c>
      <c r="V170" t="s">
        <v>84</v>
      </c>
    </row>
    <row r="171" spans="9:22" x14ac:dyDescent="0.45">
      <c r="I171" t="s">
        <v>108</v>
      </c>
      <c r="J171" t="s">
        <v>88</v>
      </c>
      <c r="K171">
        <v>0.21476593617067194</v>
      </c>
      <c r="L171" t="s">
        <v>84</v>
      </c>
      <c r="N171" t="s">
        <v>124</v>
      </c>
      <c r="O171" t="s">
        <v>88</v>
      </c>
      <c r="P171">
        <v>0.14185055219252135</v>
      </c>
      <c r="Q171" t="s">
        <v>84</v>
      </c>
      <c r="S171" t="s">
        <v>139</v>
      </c>
      <c r="T171" t="s">
        <v>88</v>
      </c>
      <c r="U171">
        <v>0.16565566429356557</v>
      </c>
      <c r="V171" t="s">
        <v>84</v>
      </c>
    </row>
    <row r="172" spans="9:22" x14ac:dyDescent="0.45">
      <c r="I172" t="s">
        <v>108</v>
      </c>
      <c r="J172" t="s">
        <v>89</v>
      </c>
      <c r="K172">
        <v>0</v>
      </c>
      <c r="L172" t="s">
        <v>84</v>
      </c>
      <c r="N172" t="s">
        <v>124</v>
      </c>
      <c r="O172" t="s">
        <v>89</v>
      </c>
      <c r="P172">
        <v>5.1741483600845635E-2</v>
      </c>
      <c r="Q172" t="s">
        <v>84</v>
      </c>
      <c r="S172" t="s">
        <v>139</v>
      </c>
      <c r="T172" t="s">
        <v>89</v>
      </c>
      <c r="U172">
        <v>6.984026909836516E-2</v>
      </c>
      <c r="V172" t="s">
        <v>84</v>
      </c>
    </row>
    <row r="173" spans="9:22" x14ac:dyDescent="0.45">
      <c r="I173" t="s">
        <v>108</v>
      </c>
      <c r="J173" t="s">
        <v>90</v>
      </c>
      <c r="K173">
        <v>4.4430231817822168E-3</v>
      </c>
      <c r="L173" t="s">
        <v>84</v>
      </c>
      <c r="N173" t="s">
        <v>124</v>
      </c>
      <c r="O173" t="s">
        <v>90</v>
      </c>
      <c r="P173">
        <v>0.11263056989627053</v>
      </c>
      <c r="Q173" t="s">
        <v>84</v>
      </c>
      <c r="S173" t="s">
        <v>139</v>
      </c>
      <c r="T173" t="s">
        <v>90</v>
      </c>
      <c r="U173">
        <v>0.10102248309897315</v>
      </c>
      <c r="V173" t="s">
        <v>84</v>
      </c>
    </row>
    <row r="174" spans="9:22" x14ac:dyDescent="0.45">
      <c r="I174" t="s">
        <v>108</v>
      </c>
      <c r="J174" t="s">
        <v>91</v>
      </c>
      <c r="K174">
        <v>0.24523883799838547</v>
      </c>
      <c r="L174" t="s">
        <v>84</v>
      </c>
      <c r="N174" t="s">
        <v>124</v>
      </c>
      <c r="O174" t="s">
        <v>91</v>
      </c>
      <c r="P174">
        <v>0.226859529197734</v>
      </c>
      <c r="Q174" t="s">
        <v>84</v>
      </c>
      <c r="S174" t="s">
        <v>139</v>
      </c>
      <c r="T174" t="s">
        <v>91</v>
      </c>
      <c r="U174">
        <v>0.17490300538559686</v>
      </c>
      <c r="V174" t="s">
        <v>84</v>
      </c>
    </row>
    <row r="175" spans="9:22" x14ac:dyDescent="0.45">
      <c r="I175" t="s">
        <v>108</v>
      </c>
      <c r="J175" t="s">
        <v>92</v>
      </c>
      <c r="K175">
        <v>0</v>
      </c>
      <c r="L175" t="s">
        <v>84</v>
      </c>
      <c r="N175" t="s">
        <v>124</v>
      </c>
      <c r="O175" t="s">
        <v>92</v>
      </c>
      <c r="P175">
        <v>7.9368303762034451E-2</v>
      </c>
      <c r="Q175" t="s">
        <v>84</v>
      </c>
      <c r="S175" t="s">
        <v>139</v>
      </c>
      <c r="T175" t="s">
        <v>92</v>
      </c>
      <c r="U175">
        <v>7.0782327736588047E-2</v>
      </c>
      <c r="V175" t="s">
        <v>84</v>
      </c>
    </row>
    <row r="176" spans="9:22" x14ac:dyDescent="0.45">
      <c r="I176" t="s">
        <v>108</v>
      </c>
      <c r="J176" t="s">
        <v>93</v>
      </c>
      <c r="K176">
        <v>1.9668344742704812E-2</v>
      </c>
      <c r="L176" t="s">
        <v>84</v>
      </c>
      <c r="N176" t="s">
        <v>124</v>
      </c>
      <c r="O176" t="s">
        <v>93</v>
      </c>
      <c r="P176">
        <v>3.0183045257418613E-2</v>
      </c>
      <c r="Q176" t="s">
        <v>84</v>
      </c>
      <c r="S176" t="s">
        <v>139</v>
      </c>
      <c r="T176" t="s">
        <v>93</v>
      </c>
      <c r="U176">
        <v>4.4795528367682191E-2</v>
      </c>
      <c r="V176" t="s">
        <v>84</v>
      </c>
    </row>
    <row r="177" spans="9:22" x14ac:dyDescent="0.45">
      <c r="I177" t="s">
        <v>108</v>
      </c>
      <c r="J177" t="s">
        <v>94</v>
      </c>
      <c r="K177">
        <v>0.23552837396679699</v>
      </c>
      <c r="L177" t="s">
        <v>84</v>
      </c>
      <c r="N177" t="s">
        <v>124</v>
      </c>
      <c r="O177" t="s">
        <v>94</v>
      </c>
      <c r="P177">
        <v>8.3398985037874629E-2</v>
      </c>
      <c r="Q177" t="s">
        <v>84</v>
      </c>
      <c r="S177" t="s">
        <v>139</v>
      </c>
      <c r="T177" t="s">
        <v>94</v>
      </c>
      <c r="U177">
        <v>7.7196306273606158E-2</v>
      </c>
      <c r="V177" t="s">
        <v>84</v>
      </c>
    </row>
    <row r="178" spans="9:22" x14ac:dyDescent="0.45">
      <c r="I178" t="s">
        <v>108</v>
      </c>
      <c r="J178" t="s">
        <v>95</v>
      </c>
      <c r="K178">
        <v>3.9575274721653604E-3</v>
      </c>
      <c r="L178" t="s">
        <v>84</v>
      </c>
      <c r="N178" t="s">
        <v>124</v>
      </c>
      <c r="O178" t="s">
        <v>95</v>
      </c>
      <c r="P178">
        <v>2.5818342984832949E-2</v>
      </c>
      <c r="Q178" t="s">
        <v>84</v>
      </c>
      <c r="S178" t="s">
        <v>139</v>
      </c>
      <c r="T178" t="s">
        <v>95</v>
      </c>
      <c r="U178">
        <v>3.1362736048274151E-2</v>
      </c>
      <c r="V178" t="s">
        <v>84</v>
      </c>
    </row>
    <row r="179" spans="9:22" x14ac:dyDescent="0.45">
      <c r="I179" t="s">
        <v>109</v>
      </c>
      <c r="J179" t="s">
        <v>83</v>
      </c>
      <c r="K179">
        <v>1.1283444807366285E-2</v>
      </c>
      <c r="L179" t="s">
        <v>84</v>
      </c>
      <c r="N179" t="s">
        <v>125</v>
      </c>
      <c r="O179" t="s">
        <v>83</v>
      </c>
      <c r="P179">
        <v>3.7317766557931377E-2</v>
      </c>
      <c r="Q179" t="s">
        <v>84</v>
      </c>
      <c r="S179" t="s">
        <v>140</v>
      </c>
      <c r="T179" t="s">
        <v>83</v>
      </c>
      <c r="U179">
        <v>4.9399140203958948E-2</v>
      </c>
      <c r="V179" t="s">
        <v>84</v>
      </c>
    </row>
    <row r="180" spans="9:22" x14ac:dyDescent="0.45">
      <c r="I180" t="s">
        <v>109</v>
      </c>
      <c r="J180" t="s">
        <v>85</v>
      </c>
      <c r="K180">
        <v>0.2562294465687886</v>
      </c>
      <c r="L180" t="s">
        <v>84</v>
      </c>
      <c r="N180" t="s">
        <v>125</v>
      </c>
      <c r="O180" t="s">
        <v>85</v>
      </c>
      <c r="P180">
        <v>9.2340674191350086E-2</v>
      </c>
      <c r="Q180" t="s">
        <v>84</v>
      </c>
      <c r="S180" t="s">
        <v>140</v>
      </c>
      <c r="T180" t="s">
        <v>85</v>
      </c>
      <c r="U180">
        <v>8.4290616761816692E-2</v>
      </c>
      <c r="V180" t="s">
        <v>84</v>
      </c>
    </row>
    <row r="181" spans="9:22" x14ac:dyDescent="0.45">
      <c r="I181" t="s">
        <v>109</v>
      </c>
      <c r="J181" t="s">
        <v>86</v>
      </c>
      <c r="K181">
        <v>9.7172257229466118E-3</v>
      </c>
      <c r="L181" t="s">
        <v>84</v>
      </c>
      <c r="N181" t="s">
        <v>125</v>
      </c>
      <c r="O181" t="s">
        <v>86</v>
      </c>
      <c r="P181">
        <v>2.7333443117596994E-2</v>
      </c>
      <c r="Q181" t="s">
        <v>84</v>
      </c>
      <c r="S181" t="s">
        <v>140</v>
      </c>
      <c r="T181" t="s">
        <v>86</v>
      </c>
      <c r="U181">
        <v>3.4511427726592901E-2</v>
      </c>
      <c r="V181" t="s">
        <v>84</v>
      </c>
    </row>
    <row r="182" spans="9:22" x14ac:dyDescent="0.45">
      <c r="I182" t="s">
        <v>109</v>
      </c>
      <c r="J182" t="s">
        <v>87</v>
      </c>
      <c r="K182">
        <v>1.4619111061697998E-4</v>
      </c>
      <c r="L182" t="s">
        <v>84</v>
      </c>
      <c r="N182" t="s">
        <v>125</v>
      </c>
      <c r="O182" t="s">
        <v>87</v>
      </c>
      <c r="P182">
        <v>6.6451423148156344E-2</v>
      </c>
      <c r="Q182" t="s">
        <v>84</v>
      </c>
      <c r="S182" t="s">
        <v>140</v>
      </c>
      <c r="T182" t="s">
        <v>87</v>
      </c>
      <c r="U182">
        <v>9.2452520312879288E-2</v>
      </c>
      <c r="V182" t="s">
        <v>84</v>
      </c>
    </row>
    <row r="183" spans="9:22" x14ac:dyDescent="0.45">
      <c r="I183" t="s">
        <v>109</v>
      </c>
      <c r="J183" t="s">
        <v>88</v>
      </c>
      <c r="K183">
        <v>0.20555754716793687</v>
      </c>
      <c r="L183" t="s">
        <v>84</v>
      </c>
      <c r="N183" t="s">
        <v>125</v>
      </c>
      <c r="O183" t="s">
        <v>88</v>
      </c>
      <c r="P183">
        <v>0.1330629940969878</v>
      </c>
      <c r="Q183" t="s">
        <v>84</v>
      </c>
      <c r="S183" t="s">
        <v>140</v>
      </c>
      <c r="T183" t="s">
        <v>88</v>
      </c>
      <c r="U183">
        <v>0.1620352212492297</v>
      </c>
      <c r="V183" t="s">
        <v>84</v>
      </c>
    </row>
    <row r="184" spans="9:22" x14ac:dyDescent="0.45">
      <c r="I184" t="s">
        <v>109</v>
      </c>
      <c r="J184" t="s">
        <v>89</v>
      </c>
      <c r="K184">
        <v>0</v>
      </c>
      <c r="L184" t="s">
        <v>84</v>
      </c>
      <c r="N184" t="s">
        <v>125</v>
      </c>
      <c r="O184" t="s">
        <v>89</v>
      </c>
      <c r="P184">
        <v>4.9932608531903767E-2</v>
      </c>
      <c r="Q184" t="s">
        <v>84</v>
      </c>
      <c r="S184" t="s">
        <v>140</v>
      </c>
      <c r="T184" t="s">
        <v>89</v>
      </c>
      <c r="U184">
        <v>6.6482050033429468E-2</v>
      </c>
      <c r="V184" t="s">
        <v>84</v>
      </c>
    </row>
    <row r="185" spans="9:22" x14ac:dyDescent="0.45">
      <c r="I185" t="s">
        <v>109</v>
      </c>
      <c r="J185" t="s">
        <v>90</v>
      </c>
      <c r="K185">
        <v>3.0012302829334524E-3</v>
      </c>
      <c r="L185" t="s">
        <v>84</v>
      </c>
      <c r="N185" t="s">
        <v>125</v>
      </c>
      <c r="O185" t="s">
        <v>90</v>
      </c>
      <c r="P185">
        <v>0.11724446937395648</v>
      </c>
      <c r="Q185" t="s">
        <v>84</v>
      </c>
      <c r="S185" t="s">
        <v>140</v>
      </c>
      <c r="T185" t="s">
        <v>90</v>
      </c>
      <c r="U185">
        <v>0.1060706123495853</v>
      </c>
      <c r="V185" t="s">
        <v>84</v>
      </c>
    </row>
    <row r="186" spans="9:22" x14ac:dyDescent="0.45">
      <c r="I186" t="s">
        <v>109</v>
      </c>
      <c r="J186" t="s">
        <v>91</v>
      </c>
      <c r="K186">
        <v>0.24512458806180082</v>
      </c>
      <c r="L186" t="s">
        <v>84</v>
      </c>
      <c r="N186" t="s">
        <v>125</v>
      </c>
      <c r="O186" t="s">
        <v>91</v>
      </c>
      <c r="P186">
        <v>0.24040346388793327</v>
      </c>
      <c r="Q186" t="s">
        <v>84</v>
      </c>
      <c r="S186" t="s">
        <v>140</v>
      </c>
      <c r="T186" t="s">
        <v>91</v>
      </c>
      <c r="U186">
        <v>0.17648736929897005</v>
      </c>
      <c r="V186" t="s">
        <v>84</v>
      </c>
    </row>
    <row r="187" spans="9:22" x14ac:dyDescent="0.45">
      <c r="I187" t="s">
        <v>109</v>
      </c>
      <c r="J187" t="s">
        <v>92</v>
      </c>
      <c r="K187">
        <v>0</v>
      </c>
      <c r="L187" t="s">
        <v>84</v>
      </c>
      <c r="N187" t="s">
        <v>125</v>
      </c>
      <c r="O187" t="s">
        <v>92</v>
      </c>
      <c r="P187">
        <v>8.8497800601999646E-2</v>
      </c>
      <c r="Q187" t="s">
        <v>84</v>
      </c>
      <c r="S187" t="s">
        <v>140</v>
      </c>
      <c r="T187" t="s">
        <v>92</v>
      </c>
      <c r="U187">
        <v>7.2336378849569241E-2</v>
      </c>
      <c r="V187" t="s">
        <v>84</v>
      </c>
    </row>
    <row r="188" spans="9:22" x14ac:dyDescent="0.45">
      <c r="I188" t="s">
        <v>109</v>
      </c>
      <c r="J188" t="s">
        <v>93</v>
      </c>
      <c r="K188">
        <v>1.8188394800587114E-2</v>
      </c>
      <c r="L188" t="s">
        <v>84</v>
      </c>
      <c r="N188" t="s">
        <v>125</v>
      </c>
      <c r="O188" t="s">
        <v>93</v>
      </c>
      <c r="P188">
        <v>3.3770963527989438E-2</v>
      </c>
      <c r="Q188" t="s">
        <v>84</v>
      </c>
      <c r="S188" t="s">
        <v>140</v>
      </c>
      <c r="T188" t="s">
        <v>93</v>
      </c>
      <c r="U188">
        <v>4.5487047697644403E-2</v>
      </c>
      <c r="V188" t="s">
        <v>84</v>
      </c>
    </row>
    <row r="189" spans="9:22" x14ac:dyDescent="0.45">
      <c r="I189" t="s">
        <v>109</v>
      </c>
      <c r="J189" t="s">
        <v>94</v>
      </c>
      <c r="K189">
        <v>0.24262382874887917</v>
      </c>
      <c r="L189" t="s">
        <v>84</v>
      </c>
      <c r="N189" t="s">
        <v>125</v>
      </c>
      <c r="O189" t="s">
        <v>94</v>
      </c>
      <c r="P189">
        <v>8.7529616565662646E-2</v>
      </c>
      <c r="Q189" t="s">
        <v>84</v>
      </c>
      <c r="S189" t="s">
        <v>140</v>
      </c>
      <c r="T189" t="s">
        <v>94</v>
      </c>
      <c r="U189">
        <v>7.8618250719435886E-2</v>
      </c>
      <c r="V189" t="s">
        <v>84</v>
      </c>
    </row>
    <row r="190" spans="9:22" x14ac:dyDescent="0.45">
      <c r="I190" t="s">
        <v>109</v>
      </c>
      <c r="J190" t="s">
        <v>95</v>
      </c>
      <c r="K190">
        <v>8.1281027281435974E-3</v>
      </c>
      <c r="L190" t="s">
        <v>84</v>
      </c>
      <c r="N190" t="s">
        <v>125</v>
      </c>
      <c r="O190" t="s">
        <v>95</v>
      </c>
      <c r="P190">
        <v>2.6114776398533754E-2</v>
      </c>
      <c r="Q190" t="s">
        <v>84</v>
      </c>
      <c r="S190" t="s">
        <v>140</v>
      </c>
      <c r="T190" t="s">
        <v>95</v>
      </c>
      <c r="U190">
        <v>3.1829364796889609E-2</v>
      </c>
      <c r="V190" t="s">
        <v>84</v>
      </c>
    </row>
    <row r="191" spans="9:22" x14ac:dyDescent="0.45">
      <c r="I191" t="s">
        <v>110</v>
      </c>
      <c r="J191" t="s">
        <v>83</v>
      </c>
      <c r="K191">
        <v>1.132210356249686E-2</v>
      </c>
      <c r="L191" t="s">
        <v>84</v>
      </c>
      <c r="S191" t="s">
        <v>141</v>
      </c>
      <c r="T191" t="s">
        <v>83</v>
      </c>
      <c r="U191">
        <v>4.4140868047100518E-2</v>
      </c>
      <c r="V191" t="s">
        <v>84</v>
      </c>
    </row>
    <row r="192" spans="9:22" x14ac:dyDescent="0.45">
      <c r="I192" t="s">
        <v>110</v>
      </c>
      <c r="J192" t="s">
        <v>85</v>
      </c>
      <c r="K192">
        <v>0.25742572150473503</v>
      </c>
      <c r="L192" t="s">
        <v>84</v>
      </c>
      <c r="S192" t="s">
        <v>141</v>
      </c>
      <c r="T192" t="s">
        <v>85</v>
      </c>
      <c r="U192">
        <v>7.783992439856835E-2</v>
      </c>
      <c r="V192" t="s">
        <v>84</v>
      </c>
    </row>
    <row r="193" spans="9:22" x14ac:dyDescent="0.45">
      <c r="I193" t="s">
        <v>110</v>
      </c>
      <c r="J193" t="s">
        <v>86</v>
      </c>
      <c r="K193">
        <v>8.0577535387607868E-3</v>
      </c>
      <c r="L193" t="s">
        <v>84</v>
      </c>
      <c r="S193" t="s">
        <v>141</v>
      </c>
      <c r="T193" t="s">
        <v>86</v>
      </c>
      <c r="U193">
        <v>3.1080256047825001E-2</v>
      </c>
      <c r="V193" t="s">
        <v>84</v>
      </c>
    </row>
    <row r="194" spans="9:22" x14ac:dyDescent="0.45">
      <c r="I194" t="s">
        <v>110</v>
      </c>
      <c r="J194" t="s">
        <v>87</v>
      </c>
      <c r="K194">
        <v>6.1671144346517011E-4</v>
      </c>
      <c r="L194" t="s">
        <v>84</v>
      </c>
      <c r="S194" t="s">
        <v>141</v>
      </c>
      <c r="T194" t="s">
        <v>87</v>
      </c>
      <c r="U194">
        <v>0.10259464219135385</v>
      </c>
      <c r="V194" t="s">
        <v>84</v>
      </c>
    </row>
    <row r="195" spans="9:22" x14ac:dyDescent="0.45">
      <c r="I195" t="s">
        <v>110</v>
      </c>
      <c r="J195" t="s">
        <v>88</v>
      </c>
      <c r="K195">
        <v>0.21057173917125199</v>
      </c>
      <c r="L195" t="s">
        <v>84</v>
      </c>
      <c r="S195" t="s">
        <v>141</v>
      </c>
      <c r="T195" t="s">
        <v>88</v>
      </c>
      <c r="U195">
        <v>0.17257760865017807</v>
      </c>
      <c r="V195" t="s">
        <v>84</v>
      </c>
    </row>
    <row r="196" spans="9:22" x14ac:dyDescent="0.45">
      <c r="I196" t="s">
        <v>110</v>
      </c>
      <c r="J196" t="s">
        <v>89</v>
      </c>
      <c r="K196">
        <v>0</v>
      </c>
      <c r="L196" t="s">
        <v>84</v>
      </c>
      <c r="S196" t="s">
        <v>141</v>
      </c>
      <c r="T196" t="s">
        <v>89</v>
      </c>
      <c r="U196">
        <v>6.9954322311064868E-2</v>
      </c>
      <c r="V196" t="s">
        <v>84</v>
      </c>
    </row>
    <row r="197" spans="9:22" x14ac:dyDescent="0.45">
      <c r="I197" t="s">
        <v>110</v>
      </c>
      <c r="J197" t="s">
        <v>90</v>
      </c>
      <c r="K197">
        <v>3.3866700319800784E-3</v>
      </c>
      <c r="L197" t="s">
        <v>84</v>
      </c>
      <c r="S197" t="s">
        <v>141</v>
      </c>
      <c r="T197" t="s">
        <v>90</v>
      </c>
      <c r="U197">
        <v>0.10220047700857646</v>
      </c>
      <c r="V197" t="s">
        <v>84</v>
      </c>
    </row>
    <row r="198" spans="9:22" x14ac:dyDescent="0.45">
      <c r="I198" t="s">
        <v>110</v>
      </c>
      <c r="J198" t="s">
        <v>91</v>
      </c>
      <c r="K198">
        <v>0.24273485632662917</v>
      </c>
      <c r="L198" t="s">
        <v>84</v>
      </c>
      <c r="S198" t="s">
        <v>141</v>
      </c>
      <c r="T198" t="s">
        <v>91</v>
      </c>
      <c r="U198">
        <v>0.17818262504640736</v>
      </c>
      <c r="V198" t="s">
        <v>84</v>
      </c>
    </row>
    <row r="199" spans="9:22" x14ac:dyDescent="0.45">
      <c r="I199" t="s">
        <v>110</v>
      </c>
      <c r="J199" t="s">
        <v>92</v>
      </c>
      <c r="K199">
        <v>0</v>
      </c>
      <c r="L199" t="s">
        <v>84</v>
      </c>
      <c r="S199" t="s">
        <v>141</v>
      </c>
      <c r="T199" t="s">
        <v>92</v>
      </c>
      <c r="U199">
        <v>7.1658218816553529E-2</v>
      </c>
      <c r="V199" t="s">
        <v>84</v>
      </c>
    </row>
    <row r="200" spans="9:22" x14ac:dyDescent="0.45">
      <c r="I200" t="s">
        <v>110</v>
      </c>
      <c r="J200" t="s">
        <v>93</v>
      </c>
      <c r="K200">
        <v>1.807425184029721E-2</v>
      </c>
      <c r="L200" t="s">
        <v>84</v>
      </c>
      <c r="S200" t="s">
        <v>141</v>
      </c>
      <c r="T200" t="s">
        <v>93</v>
      </c>
      <c r="U200">
        <v>4.5313382338302649E-2</v>
      </c>
      <c r="V200" t="s">
        <v>84</v>
      </c>
    </row>
    <row r="201" spans="9:22" x14ac:dyDescent="0.45">
      <c r="I201" t="s">
        <v>110</v>
      </c>
      <c r="J201" t="s">
        <v>94</v>
      </c>
      <c r="K201">
        <v>0.24256061655931199</v>
      </c>
      <c r="L201" t="s">
        <v>84</v>
      </c>
      <c r="S201" t="s">
        <v>141</v>
      </c>
      <c r="T201" t="s">
        <v>94</v>
      </c>
      <c r="U201">
        <v>7.3995492254984988E-2</v>
      </c>
      <c r="V201" t="s">
        <v>84</v>
      </c>
    </row>
    <row r="202" spans="9:22" x14ac:dyDescent="0.45">
      <c r="I202" t="s">
        <v>110</v>
      </c>
      <c r="J202" t="s">
        <v>95</v>
      </c>
      <c r="K202">
        <v>5.2495760210720917E-3</v>
      </c>
      <c r="L202" t="s">
        <v>84</v>
      </c>
      <c r="S202" t="s">
        <v>141</v>
      </c>
      <c r="T202" t="s">
        <v>95</v>
      </c>
      <c r="U202">
        <v>3.04621828890838E-2</v>
      </c>
      <c r="V202" t="s">
        <v>84</v>
      </c>
    </row>
    <row r="203" spans="9:22" x14ac:dyDescent="0.45">
      <c r="S203" t="s">
        <v>142</v>
      </c>
      <c r="T203" t="s">
        <v>83</v>
      </c>
      <c r="U203">
        <v>4.9590834770101136E-2</v>
      </c>
      <c r="V203" t="s">
        <v>84</v>
      </c>
    </row>
    <row r="204" spans="9:22" x14ac:dyDescent="0.45">
      <c r="S204" t="s">
        <v>142</v>
      </c>
      <c r="T204" t="s">
        <v>85</v>
      </c>
      <c r="U204">
        <v>8.4539059944664458E-2</v>
      </c>
      <c r="V204" t="s">
        <v>84</v>
      </c>
    </row>
    <row r="205" spans="9:22" x14ac:dyDescent="0.45">
      <c r="S205" t="s">
        <v>142</v>
      </c>
      <c r="T205" t="s">
        <v>86</v>
      </c>
      <c r="U205">
        <v>3.5226357783051353E-2</v>
      </c>
      <c r="V205" t="s">
        <v>84</v>
      </c>
    </row>
    <row r="206" spans="9:22" x14ac:dyDescent="0.45">
      <c r="S206" t="s">
        <v>142</v>
      </c>
      <c r="T206" t="s">
        <v>87</v>
      </c>
      <c r="U206">
        <v>9.2090600577230522E-2</v>
      </c>
      <c r="V206" t="s">
        <v>84</v>
      </c>
    </row>
    <row r="207" spans="9:22" x14ac:dyDescent="0.45">
      <c r="S207" t="s">
        <v>142</v>
      </c>
      <c r="T207" t="s">
        <v>88</v>
      </c>
      <c r="U207">
        <v>0.15981722876618254</v>
      </c>
      <c r="V207" t="s">
        <v>84</v>
      </c>
    </row>
    <row r="208" spans="9:22" x14ac:dyDescent="0.45">
      <c r="S208" t="s">
        <v>142</v>
      </c>
      <c r="T208" t="s">
        <v>89</v>
      </c>
      <c r="U208">
        <v>6.5239280597806912E-2</v>
      </c>
      <c r="V208" t="s">
        <v>84</v>
      </c>
    </row>
    <row r="209" spans="19:22" x14ac:dyDescent="0.45">
      <c r="S209" t="s">
        <v>142</v>
      </c>
      <c r="T209" t="s">
        <v>90</v>
      </c>
      <c r="U209">
        <v>0.10624413355854975</v>
      </c>
      <c r="V209" t="s">
        <v>84</v>
      </c>
    </row>
    <row r="210" spans="19:22" x14ac:dyDescent="0.45">
      <c r="S210" t="s">
        <v>142</v>
      </c>
      <c r="T210" t="s">
        <v>91</v>
      </c>
      <c r="U210">
        <v>0.17830924260477415</v>
      </c>
      <c r="V210" t="s">
        <v>84</v>
      </c>
    </row>
    <row r="211" spans="19:22" x14ac:dyDescent="0.45">
      <c r="S211" t="s">
        <v>142</v>
      </c>
      <c r="T211" t="s">
        <v>92</v>
      </c>
      <c r="U211">
        <v>7.3080524414926906E-2</v>
      </c>
      <c r="V211" t="s">
        <v>84</v>
      </c>
    </row>
    <row r="212" spans="19:22" x14ac:dyDescent="0.45">
      <c r="S212" t="s">
        <v>142</v>
      </c>
      <c r="T212" t="s">
        <v>93</v>
      </c>
      <c r="U212">
        <v>4.5546417605074524E-2</v>
      </c>
      <c r="V212" t="s">
        <v>84</v>
      </c>
    </row>
    <row r="213" spans="19:22" x14ac:dyDescent="0.45">
      <c r="S213" t="s">
        <v>142</v>
      </c>
      <c r="T213" t="s">
        <v>94</v>
      </c>
      <c r="U213">
        <v>7.9126295246468692E-2</v>
      </c>
      <c r="V213" t="s">
        <v>84</v>
      </c>
    </row>
    <row r="214" spans="19:22" x14ac:dyDescent="0.45">
      <c r="S214" t="s">
        <v>142</v>
      </c>
      <c r="T214" t="s">
        <v>95</v>
      </c>
      <c r="U214">
        <v>3.1190024131170658E-2</v>
      </c>
      <c r="V214" t="s">
        <v>84</v>
      </c>
    </row>
    <row r="215" spans="19:22" x14ac:dyDescent="0.45">
      <c r="S215" t="s">
        <v>143</v>
      </c>
      <c r="T215" t="s">
        <v>83</v>
      </c>
      <c r="U215">
        <v>4.8474794683367295E-2</v>
      </c>
      <c r="V215" t="s">
        <v>84</v>
      </c>
    </row>
    <row r="216" spans="19:22" x14ac:dyDescent="0.45">
      <c r="S216" t="s">
        <v>143</v>
      </c>
      <c r="T216" t="s">
        <v>85</v>
      </c>
      <c r="U216">
        <v>8.3673408890011486E-2</v>
      </c>
      <c r="V216" t="s">
        <v>84</v>
      </c>
    </row>
    <row r="217" spans="19:22" x14ac:dyDescent="0.45">
      <c r="S217" t="s">
        <v>143</v>
      </c>
      <c r="T217" t="s">
        <v>86</v>
      </c>
      <c r="U217">
        <v>3.5344833768554906E-2</v>
      </c>
      <c r="V217" t="s">
        <v>84</v>
      </c>
    </row>
    <row r="218" spans="19:22" x14ac:dyDescent="0.45">
      <c r="S218" t="s">
        <v>143</v>
      </c>
      <c r="T218" t="s">
        <v>87</v>
      </c>
      <c r="U218">
        <v>9.5452828104875223E-2</v>
      </c>
      <c r="V218" t="s">
        <v>84</v>
      </c>
    </row>
    <row r="219" spans="19:22" x14ac:dyDescent="0.45">
      <c r="S219" t="s">
        <v>143</v>
      </c>
      <c r="T219" t="s">
        <v>88</v>
      </c>
      <c r="U219">
        <v>0.16540892190569467</v>
      </c>
      <c r="V219" t="s">
        <v>84</v>
      </c>
    </row>
    <row r="220" spans="19:22" x14ac:dyDescent="0.45">
      <c r="S220" t="s">
        <v>143</v>
      </c>
      <c r="T220" t="s">
        <v>89</v>
      </c>
      <c r="U220">
        <v>6.8097220695606933E-2</v>
      </c>
      <c r="V220" t="s">
        <v>84</v>
      </c>
    </row>
    <row r="221" spans="19:22" x14ac:dyDescent="0.45">
      <c r="S221" t="s">
        <v>143</v>
      </c>
      <c r="T221" t="s">
        <v>90</v>
      </c>
      <c r="U221">
        <v>0.10071812710570528</v>
      </c>
      <c r="V221" t="s">
        <v>84</v>
      </c>
    </row>
    <row r="222" spans="19:22" x14ac:dyDescent="0.45">
      <c r="S222" t="s">
        <v>143</v>
      </c>
      <c r="T222" t="s">
        <v>91</v>
      </c>
      <c r="U222">
        <v>0.17736215353256263</v>
      </c>
      <c r="V222" t="s">
        <v>84</v>
      </c>
    </row>
    <row r="223" spans="19:22" x14ac:dyDescent="0.45">
      <c r="S223" t="s">
        <v>143</v>
      </c>
      <c r="T223" t="s">
        <v>92</v>
      </c>
      <c r="U223">
        <v>7.2252838807534692E-2</v>
      </c>
      <c r="V223" t="s">
        <v>84</v>
      </c>
    </row>
    <row r="224" spans="19:22" x14ac:dyDescent="0.45">
      <c r="S224" t="s">
        <v>143</v>
      </c>
      <c r="T224" t="s">
        <v>93</v>
      </c>
      <c r="U224">
        <v>4.2942925342579236E-2</v>
      </c>
      <c r="V224" t="s">
        <v>84</v>
      </c>
    </row>
    <row r="225" spans="19:22" x14ac:dyDescent="0.45">
      <c r="S225" t="s">
        <v>143</v>
      </c>
      <c r="T225" t="s">
        <v>94</v>
      </c>
      <c r="U225">
        <v>7.918984256566515E-2</v>
      </c>
      <c r="V225" t="s">
        <v>84</v>
      </c>
    </row>
    <row r="226" spans="19:22" x14ac:dyDescent="0.45">
      <c r="S226" t="s">
        <v>143</v>
      </c>
      <c r="T226" t="s">
        <v>95</v>
      </c>
      <c r="U226">
        <v>3.108210459784164E-2</v>
      </c>
      <c r="V226" t="s">
        <v>84</v>
      </c>
    </row>
    <row r="227" spans="19:22" x14ac:dyDescent="0.45">
      <c r="S227" t="s">
        <v>144</v>
      </c>
      <c r="T227" t="s">
        <v>83</v>
      </c>
      <c r="U227">
        <v>4.7573097686372717E-2</v>
      </c>
      <c r="V227" t="s">
        <v>84</v>
      </c>
    </row>
    <row r="228" spans="19:22" x14ac:dyDescent="0.45">
      <c r="S228" t="s">
        <v>144</v>
      </c>
      <c r="T228" t="s">
        <v>85</v>
      </c>
      <c r="U228">
        <v>8.443062707662137E-2</v>
      </c>
      <c r="V228" t="s">
        <v>84</v>
      </c>
    </row>
    <row r="229" spans="19:22" x14ac:dyDescent="0.45">
      <c r="S229" t="s">
        <v>144</v>
      </c>
      <c r="T229" t="s">
        <v>86</v>
      </c>
      <c r="U229">
        <v>3.4701268427047016E-2</v>
      </c>
      <c r="V229" t="s">
        <v>84</v>
      </c>
    </row>
    <row r="230" spans="19:22" x14ac:dyDescent="0.45">
      <c r="S230" t="s">
        <v>144</v>
      </c>
      <c r="T230" t="s">
        <v>87</v>
      </c>
      <c r="U230">
        <v>9.6457503457718141E-2</v>
      </c>
      <c r="V230" t="s">
        <v>84</v>
      </c>
    </row>
    <row r="231" spans="19:22" x14ac:dyDescent="0.45">
      <c r="S231" t="s">
        <v>144</v>
      </c>
      <c r="T231" t="s">
        <v>88</v>
      </c>
      <c r="U231">
        <v>0.16590034800085132</v>
      </c>
      <c r="V231" t="s">
        <v>84</v>
      </c>
    </row>
    <row r="232" spans="19:22" x14ac:dyDescent="0.45">
      <c r="S232" t="s">
        <v>144</v>
      </c>
      <c r="T232" t="s">
        <v>89</v>
      </c>
      <c r="U232">
        <v>6.7867105141225542E-2</v>
      </c>
      <c r="V232" t="s">
        <v>84</v>
      </c>
    </row>
    <row r="233" spans="19:22" x14ac:dyDescent="0.45">
      <c r="S233" t="s">
        <v>144</v>
      </c>
      <c r="T233" t="s">
        <v>90</v>
      </c>
      <c r="U233">
        <v>0.10070965276091741</v>
      </c>
      <c r="V233" t="s">
        <v>84</v>
      </c>
    </row>
    <row r="234" spans="19:22" x14ac:dyDescent="0.45">
      <c r="S234" t="s">
        <v>144</v>
      </c>
      <c r="T234" t="s">
        <v>91</v>
      </c>
      <c r="U234">
        <v>0.1761409010781651</v>
      </c>
      <c r="V234" t="s">
        <v>84</v>
      </c>
    </row>
    <row r="235" spans="19:22" x14ac:dyDescent="0.45">
      <c r="S235" t="s">
        <v>144</v>
      </c>
      <c r="T235" t="s">
        <v>92</v>
      </c>
      <c r="U235">
        <v>7.2007756461349992E-2</v>
      </c>
      <c r="V235" t="s">
        <v>84</v>
      </c>
    </row>
    <row r="236" spans="19:22" x14ac:dyDescent="0.45">
      <c r="S236" t="s">
        <v>144</v>
      </c>
      <c r="T236" t="s">
        <v>93</v>
      </c>
      <c r="U236">
        <v>4.6064824452167315E-2</v>
      </c>
      <c r="V236" t="s">
        <v>84</v>
      </c>
    </row>
    <row r="237" spans="19:22" x14ac:dyDescent="0.45">
      <c r="S237" t="s">
        <v>144</v>
      </c>
      <c r="T237" t="s">
        <v>94</v>
      </c>
      <c r="U237">
        <v>7.7476497522695101E-2</v>
      </c>
      <c r="V237" t="s">
        <v>84</v>
      </c>
    </row>
    <row r="238" spans="19:22" x14ac:dyDescent="0.45">
      <c r="S238" t="s">
        <v>144</v>
      </c>
      <c r="T238" t="s">
        <v>95</v>
      </c>
      <c r="U238">
        <v>3.0670417934868435E-2</v>
      </c>
      <c r="V238" t="s">
        <v>84</v>
      </c>
    </row>
    <row r="239" spans="19:22" x14ac:dyDescent="0.45">
      <c r="S239" t="s">
        <v>145</v>
      </c>
      <c r="T239" t="s">
        <v>83</v>
      </c>
      <c r="U239">
        <v>4.1492678639605152E-2</v>
      </c>
      <c r="V239" t="s">
        <v>84</v>
      </c>
    </row>
    <row r="240" spans="19:22" x14ac:dyDescent="0.45">
      <c r="S240" t="s">
        <v>145</v>
      </c>
      <c r="T240" t="s">
        <v>85</v>
      </c>
      <c r="U240">
        <v>6.8497695664419753E-2</v>
      </c>
      <c r="V240" t="s">
        <v>84</v>
      </c>
    </row>
    <row r="241" spans="19:22" x14ac:dyDescent="0.45">
      <c r="S241" t="s">
        <v>145</v>
      </c>
      <c r="T241" t="s">
        <v>86</v>
      </c>
      <c r="U241">
        <v>3.0317158962235091E-2</v>
      </c>
      <c r="V241" t="s">
        <v>84</v>
      </c>
    </row>
    <row r="242" spans="19:22" x14ac:dyDescent="0.45">
      <c r="S242" t="s">
        <v>145</v>
      </c>
      <c r="T242" t="s">
        <v>87</v>
      </c>
      <c r="U242">
        <v>9.2122677408900996E-2</v>
      </c>
      <c r="V242" t="s">
        <v>84</v>
      </c>
    </row>
    <row r="243" spans="19:22" x14ac:dyDescent="0.45">
      <c r="S243" t="s">
        <v>145</v>
      </c>
      <c r="T243" t="s">
        <v>88</v>
      </c>
      <c r="U243">
        <v>0.15744631779226573</v>
      </c>
      <c r="V243" t="s">
        <v>84</v>
      </c>
    </row>
    <row r="244" spans="19:22" x14ac:dyDescent="0.45">
      <c r="S244" t="s">
        <v>145</v>
      </c>
      <c r="T244" t="s">
        <v>89</v>
      </c>
      <c r="U244">
        <v>6.4590595983541291E-2</v>
      </c>
      <c r="V244" t="s">
        <v>84</v>
      </c>
    </row>
    <row r="245" spans="19:22" x14ac:dyDescent="0.45">
      <c r="S245" t="s">
        <v>145</v>
      </c>
      <c r="T245" t="s">
        <v>90</v>
      </c>
      <c r="U245">
        <v>0.11686770566361619</v>
      </c>
      <c r="V245" t="s">
        <v>84</v>
      </c>
    </row>
    <row r="246" spans="19:22" x14ac:dyDescent="0.45">
      <c r="S246" t="s">
        <v>145</v>
      </c>
      <c r="T246" t="s">
        <v>91</v>
      </c>
      <c r="U246">
        <v>0.20094135692825205</v>
      </c>
      <c r="V246" t="s">
        <v>84</v>
      </c>
    </row>
    <row r="247" spans="19:22" x14ac:dyDescent="0.45">
      <c r="S247" t="s">
        <v>145</v>
      </c>
      <c r="T247" t="s">
        <v>92</v>
      </c>
      <c r="U247">
        <v>8.718013548836015E-2</v>
      </c>
      <c r="V247" t="s">
        <v>84</v>
      </c>
    </row>
    <row r="248" spans="19:22" x14ac:dyDescent="0.45">
      <c r="S248" t="s">
        <v>145</v>
      </c>
      <c r="T248" t="s">
        <v>93</v>
      </c>
      <c r="U248">
        <v>4.1539019652968349E-2</v>
      </c>
      <c r="V248" t="s">
        <v>84</v>
      </c>
    </row>
    <row r="249" spans="19:22" x14ac:dyDescent="0.45">
      <c r="S249" t="s">
        <v>145</v>
      </c>
      <c r="T249" t="s">
        <v>94</v>
      </c>
      <c r="U249">
        <v>6.841125114004841E-2</v>
      </c>
      <c r="V249" t="s">
        <v>84</v>
      </c>
    </row>
    <row r="250" spans="19:22" x14ac:dyDescent="0.45">
      <c r="S250" t="s">
        <v>145</v>
      </c>
      <c r="T250" t="s">
        <v>95</v>
      </c>
      <c r="U250">
        <v>3.0593406675783759E-2</v>
      </c>
      <c r="V250" t="s">
        <v>84</v>
      </c>
    </row>
    <row r="251" spans="19:22" x14ac:dyDescent="0.45">
      <c r="S251" t="s">
        <v>146</v>
      </c>
      <c r="T251" t="s">
        <v>83</v>
      </c>
      <c r="U251">
        <v>4.2589050299830233E-2</v>
      </c>
      <c r="V251" t="s">
        <v>84</v>
      </c>
    </row>
    <row r="252" spans="19:22" x14ac:dyDescent="0.45">
      <c r="S252" t="s">
        <v>146</v>
      </c>
      <c r="T252" t="s">
        <v>85</v>
      </c>
      <c r="U252">
        <v>6.9344465672578334E-2</v>
      </c>
      <c r="V252" t="s">
        <v>84</v>
      </c>
    </row>
    <row r="253" spans="19:22" x14ac:dyDescent="0.45">
      <c r="S253" t="s">
        <v>146</v>
      </c>
      <c r="T253" t="s">
        <v>86</v>
      </c>
      <c r="U253">
        <v>2.8895058171389064E-2</v>
      </c>
      <c r="V253" t="s">
        <v>84</v>
      </c>
    </row>
    <row r="254" spans="19:22" x14ac:dyDescent="0.45">
      <c r="S254" t="s">
        <v>146</v>
      </c>
      <c r="T254" t="s">
        <v>87</v>
      </c>
      <c r="U254">
        <v>8.9092990453282728E-2</v>
      </c>
      <c r="V254" t="s">
        <v>84</v>
      </c>
    </row>
    <row r="255" spans="19:22" x14ac:dyDescent="0.45">
      <c r="S255" t="s">
        <v>146</v>
      </c>
      <c r="T255" t="s">
        <v>88</v>
      </c>
      <c r="U255">
        <v>0.14976772607699218</v>
      </c>
      <c r="V255" t="s">
        <v>84</v>
      </c>
    </row>
    <row r="256" spans="19:22" x14ac:dyDescent="0.45">
      <c r="S256" t="s">
        <v>146</v>
      </c>
      <c r="T256" t="s">
        <v>89</v>
      </c>
      <c r="U256">
        <v>6.1025526928697116E-2</v>
      </c>
      <c r="V256" t="s">
        <v>84</v>
      </c>
    </row>
    <row r="257" spans="19:22" x14ac:dyDescent="0.45">
      <c r="S257" t="s">
        <v>146</v>
      </c>
      <c r="T257" t="s">
        <v>90</v>
      </c>
      <c r="U257">
        <v>0.11601925516593056</v>
      </c>
      <c r="V257" t="s">
        <v>84</v>
      </c>
    </row>
    <row r="258" spans="19:22" x14ac:dyDescent="0.45">
      <c r="S258" t="s">
        <v>146</v>
      </c>
      <c r="T258" t="s">
        <v>91</v>
      </c>
      <c r="U258">
        <v>0.20098443056494969</v>
      </c>
      <c r="V258" t="s">
        <v>84</v>
      </c>
    </row>
    <row r="259" spans="19:22" x14ac:dyDescent="0.45">
      <c r="S259" t="s">
        <v>146</v>
      </c>
      <c r="T259" t="s">
        <v>92</v>
      </c>
      <c r="U259">
        <v>8.4570987399256795E-2</v>
      </c>
      <c r="V259" t="s">
        <v>84</v>
      </c>
    </row>
    <row r="260" spans="19:22" x14ac:dyDescent="0.45">
      <c r="S260" t="s">
        <v>146</v>
      </c>
      <c r="T260" t="s">
        <v>93</v>
      </c>
      <c r="U260">
        <v>4.537371758405391E-2</v>
      </c>
      <c r="V260" t="s">
        <v>84</v>
      </c>
    </row>
    <row r="261" spans="19:22" x14ac:dyDescent="0.45">
      <c r="S261" t="s">
        <v>146</v>
      </c>
      <c r="T261" t="s">
        <v>94</v>
      </c>
      <c r="U261">
        <v>7.9135034425266176E-2</v>
      </c>
      <c r="V261" t="s">
        <v>84</v>
      </c>
    </row>
    <row r="262" spans="19:22" x14ac:dyDescent="0.45">
      <c r="S262" t="s">
        <v>146</v>
      </c>
      <c r="T262" t="s">
        <v>95</v>
      </c>
      <c r="U262">
        <v>3.3201757257771088E-2</v>
      </c>
      <c r="V262" t="s">
        <v>84</v>
      </c>
    </row>
    <row r="263" spans="19:22" x14ac:dyDescent="0.45">
      <c r="S263" t="s">
        <v>147</v>
      </c>
      <c r="T263" t="s">
        <v>83</v>
      </c>
      <c r="U263">
        <v>3.8269022719528326E-2</v>
      </c>
      <c r="V263" t="s">
        <v>84</v>
      </c>
    </row>
    <row r="264" spans="19:22" x14ac:dyDescent="0.45">
      <c r="S264" t="s">
        <v>147</v>
      </c>
      <c r="T264" t="s">
        <v>85</v>
      </c>
      <c r="U264">
        <v>5.9175395030247172E-2</v>
      </c>
      <c r="V264" t="s">
        <v>84</v>
      </c>
    </row>
    <row r="265" spans="19:22" x14ac:dyDescent="0.45">
      <c r="S265" t="s">
        <v>147</v>
      </c>
      <c r="T265" t="s">
        <v>86</v>
      </c>
      <c r="U265">
        <v>2.364714515031793E-2</v>
      </c>
      <c r="V265" t="s">
        <v>84</v>
      </c>
    </row>
    <row r="266" spans="19:22" x14ac:dyDescent="0.45">
      <c r="S266" t="s">
        <v>147</v>
      </c>
      <c r="T266" t="s">
        <v>87</v>
      </c>
      <c r="U266">
        <v>9.2694102775231754E-2</v>
      </c>
      <c r="V266" t="s">
        <v>84</v>
      </c>
    </row>
    <row r="267" spans="19:22" x14ac:dyDescent="0.45">
      <c r="S267" t="s">
        <v>147</v>
      </c>
      <c r="T267" t="s">
        <v>88</v>
      </c>
      <c r="U267">
        <v>0.15845085082506435</v>
      </c>
      <c r="V267" t="s">
        <v>84</v>
      </c>
    </row>
    <row r="268" spans="19:22" x14ac:dyDescent="0.45">
      <c r="S268" t="s">
        <v>147</v>
      </c>
      <c r="T268" t="s">
        <v>89</v>
      </c>
      <c r="U268">
        <v>6.4796113767907976E-2</v>
      </c>
      <c r="V268" t="s">
        <v>84</v>
      </c>
    </row>
    <row r="269" spans="19:22" x14ac:dyDescent="0.45">
      <c r="S269" t="s">
        <v>147</v>
      </c>
      <c r="T269" t="s">
        <v>90</v>
      </c>
      <c r="U269">
        <v>0.11878987170570067</v>
      </c>
      <c r="V269" t="s">
        <v>84</v>
      </c>
    </row>
    <row r="270" spans="19:22" x14ac:dyDescent="0.45">
      <c r="S270" t="s">
        <v>147</v>
      </c>
      <c r="T270" t="s">
        <v>91</v>
      </c>
      <c r="U270">
        <v>0.2053919483754382</v>
      </c>
      <c r="V270" t="s">
        <v>84</v>
      </c>
    </row>
    <row r="271" spans="19:22" x14ac:dyDescent="0.45">
      <c r="S271" t="s">
        <v>147</v>
      </c>
      <c r="T271" t="s">
        <v>92</v>
      </c>
      <c r="U271">
        <v>8.4063049435688764E-2</v>
      </c>
      <c r="V271" t="s">
        <v>84</v>
      </c>
    </row>
    <row r="272" spans="19:22" x14ac:dyDescent="0.45">
      <c r="S272" t="s">
        <v>147</v>
      </c>
      <c r="T272" t="s">
        <v>93</v>
      </c>
      <c r="U272">
        <v>4.3389673111405937E-2</v>
      </c>
      <c r="V272" t="s">
        <v>84</v>
      </c>
    </row>
    <row r="273" spans="19:22" x14ac:dyDescent="0.45">
      <c r="S273" t="s">
        <v>147</v>
      </c>
      <c r="T273" t="s">
        <v>94</v>
      </c>
      <c r="U273">
        <v>7.8463368333309275E-2</v>
      </c>
      <c r="V273" t="s">
        <v>84</v>
      </c>
    </row>
    <row r="274" spans="19:22" x14ac:dyDescent="0.45">
      <c r="S274" t="s">
        <v>147</v>
      </c>
      <c r="T274" t="s">
        <v>95</v>
      </c>
      <c r="U274">
        <v>3.2869458770159829E-2</v>
      </c>
      <c r="V274" t="s">
        <v>84</v>
      </c>
    </row>
    <row r="275" spans="19:22" x14ac:dyDescent="0.45">
      <c r="S275" t="s">
        <v>148</v>
      </c>
      <c r="T275" t="s">
        <v>83</v>
      </c>
      <c r="U275">
        <v>4.1834293430366258E-2</v>
      </c>
      <c r="V275" t="s">
        <v>84</v>
      </c>
    </row>
    <row r="276" spans="19:22" x14ac:dyDescent="0.45">
      <c r="S276" t="s">
        <v>148</v>
      </c>
      <c r="T276" t="s">
        <v>85</v>
      </c>
      <c r="U276">
        <v>6.9541684761318306E-2</v>
      </c>
      <c r="V276" t="s">
        <v>84</v>
      </c>
    </row>
    <row r="277" spans="19:22" x14ac:dyDescent="0.45">
      <c r="S277" t="s">
        <v>148</v>
      </c>
      <c r="T277" t="s">
        <v>86</v>
      </c>
      <c r="U277">
        <v>2.7910901383560848E-2</v>
      </c>
      <c r="V277" t="s">
        <v>84</v>
      </c>
    </row>
    <row r="278" spans="19:22" x14ac:dyDescent="0.45">
      <c r="S278" t="s">
        <v>148</v>
      </c>
      <c r="T278" t="s">
        <v>87</v>
      </c>
      <c r="U278">
        <v>8.7699504003396572E-2</v>
      </c>
      <c r="V278" t="s">
        <v>84</v>
      </c>
    </row>
    <row r="279" spans="19:22" x14ac:dyDescent="0.45">
      <c r="S279" t="s">
        <v>148</v>
      </c>
      <c r="T279" t="s">
        <v>88</v>
      </c>
      <c r="U279">
        <v>0.15790475280983493</v>
      </c>
      <c r="V279" t="s">
        <v>84</v>
      </c>
    </row>
    <row r="280" spans="19:22" x14ac:dyDescent="0.45">
      <c r="S280" t="s">
        <v>148</v>
      </c>
      <c r="T280" t="s">
        <v>89</v>
      </c>
      <c r="U280">
        <v>6.0908483083741458E-2</v>
      </c>
      <c r="V280" t="s">
        <v>84</v>
      </c>
    </row>
    <row r="281" spans="19:22" x14ac:dyDescent="0.45">
      <c r="S281" t="s">
        <v>148</v>
      </c>
      <c r="T281" t="s">
        <v>90</v>
      </c>
      <c r="U281">
        <v>0.11035368829261626</v>
      </c>
      <c r="V281" t="s">
        <v>84</v>
      </c>
    </row>
    <row r="282" spans="19:22" x14ac:dyDescent="0.45">
      <c r="S282" t="s">
        <v>148</v>
      </c>
      <c r="T282" t="s">
        <v>91</v>
      </c>
      <c r="U282">
        <v>0.19667665271196594</v>
      </c>
      <c r="V282" t="s">
        <v>84</v>
      </c>
    </row>
    <row r="283" spans="19:22" x14ac:dyDescent="0.45">
      <c r="S283" t="s">
        <v>148</v>
      </c>
      <c r="T283" t="s">
        <v>92</v>
      </c>
      <c r="U283">
        <v>7.9743800789737793E-2</v>
      </c>
      <c r="V283" t="s">
        <v>84</v>
      </c>
    </row>
    <row r="284" spans="19:22" x14ac:dyDescent="0.45">
      <c r="S284" t="s">
        <v>148</v>
      </c>
      <c r="T284" t="s">
        <v>93</v>
      </c>
      <c r="U284">
        <v>4.5087983044651787E-2</v>
      </c>
      <c r="V284" t="s">
        <v>84</v>
      </c>
    </row>
    <row r="285" spans="19:22" x14ac:dyDescent="0.45">
      <c r="S285" t="s">
        <v>148</v>
      </c>
      <c r="T285" t="s">
        <v>94</v>
      </c>
      <c r="U285">
        <v>8.649971759309702E-2</v>
      </c>
      <c r="V285" t="s">
        <v>84</v>
      </c>
    </row>
    <row r="286" spans="19:22" x14ac:dyDescent="0.45">
      <c r="S286" t="s">
        <v>148</v>
      </c>
      <c r="T286" t="s">
        <v>95</v>
      </c>
      <c r="U286">
        <v>3.5838538095709666E-2</v>
      </c>
      <c r="V286" t="s">
        <v>84</v>
      </c>
    </row>
    <row r="287" spans="19:22" x14ac:dyDescent="0.45">
      <c r="S287" t="s">
        <v>149</v>
      </c>
      <c r="T287" t="s">
        <v>83</v>
      </c>
      <c r="U287">
        <v>4.2236915982469932E-2</v>
      </c>
      <c r="V287" t="s">
        <v>84</v>
      </c>
    </row>
    <row r="288" spans="19:22" x14ac:dyDescent="0.45">
      <c r="S288" t="s">
        <v>149</v>
      </c>
      <c r="T288" t="s">
        <v>85</v>
      </c>
      <c r="U288">
        <v>7.1974373825580723E-2</v>
      </c>
      <c r="V288" t="s">
        <v>84</v>
      </c>
    </row>
    <row r="289" spans="19:22" x14ac:dyDescent="0.45">
      <c r="S289" t="s">
        <v>149</v>
      </c>
      <c r="T289" t="s">
        <v>86</v>
      </c>
      <c r="U289">
        <v>2.8535739076018092E-2</v>
      </c>
      <c r="V289" t="s">
        <v>84</v>
      </c>
    </row>
    <row r="290" spans="19:22" x14ac:dyDescent="0.45">
      <c r="S290" t="s">
        <v>149</v>
      </c>
      <c r="T290" t="s">
        <v>87</v>
      </c>
      <c r="U290">
        <v>8.3814502594720258E-2</v>
      </c>
      <c r="V290" t="s">
        <v>84</v>
      </c>
    </row>
    <row r="291" spans="19:22" x14ac:dyDescent="0.45">
      <c r="S291" t="s">
        <v>149</v>
      </c>
      <c r="T291" t="s">
        <v>88</v>
      </c>
      <c r="U291">
        <v>0.15156687033375488</v>
      </c>
      <c r="V291" t="s">
        <v>84</v>
      </c>
    </row>
    <row r="292" spans="19:22" x14ac:dyDescent="0.45">
      <c r="S292" t="s">
        <v>149</v>
      </c>
      <c r="T292" t="s">
        <v>89</v>
      </c>
      <c r="U292">
        <v>6.0488147255109467E-2</v>
      </c>
      <c r="V292" t="s">
        <v>84</v>
      </c>
    </row>
    <row r="293" spans="19:22" x14ac:dyDescent="0.45">
      <c r="S293" t="s">
        <v>149</v>
      </c>
      <c r="T293" t="s">
        <v>90</v>
      </c>
      <c r="U293">
        <v>0.11829327116257286</v>
      </c>
      <c r="V293" t="s">
        <v>84</v>
      </c>
    </row>
    <row r="294" spans="19:22" x14ac:dyDescent="0.45">
      <c r="S294" t="s">
        <v>149</v>
      </c>
      <c r="T294" t="s">
        <v>91</v>
      </c>
      <c r="U294">
        <v>0.20585160985812329</v>
      </c>
      <c r="V294" t="s">
        <v>84</v>
      </c>
    </row>
    <row r="295" spans="19:22" x14ac:dyDescent="0.45">
      <c r="S295" t="s">
        <v>149</v>
      </c>
      <c r="T295" t="s">
        <v>92</v>
      </c>
      <c r="U295">
        <v>8.7105812696200768E-2</v>
      </c>
      <c r="V295" t="s">
        <v>84</v>
      </c>
    </row>
    <row r="296" spans="19:22" x14ac:dyDescent="0.45">
      <c r="S296" t="s">
        <v>149</v>
      </c>
      <c r="T296" t="s">
        <v>93</v>
      </c>
      <c r="U296">
        <v>4.1801583521848068E-2</v>
      </c>
      <c r="V296" t="s">
        <v>84</v>
      </c>
    </row>
    <row r="297" spans="19:22" x14ac:dyDescent="0.45">
      <c r="S297" t="s">
        <v>149</v>
      </c>
      <c r="T297" t="s">
        <v>94</v>
      </c>
      <c r="U297">
        <v>7.638397833207769E-2</v>
      </c>
      <c r="V297" t="s">
        <v>84</v>
      </c>
    </row>
    <row r="298" spans="19:22" x14ac:dyDescent="0.45">
      <c r="S298" t="s">
        <v>149</v>
      </c>
      <c r="T298" t="s">
        <v>95</v>
      </c>
      <c r="U298">
        <v>3.1947195361524634E-2</v>
      </c>
      <c r="V298" t="s">
        <v>84</v>
      </c>
    </row>
    <row r="299" spans="19:22" x14ac:dyDescent="0.45">
      <c r="S299" t="s">
        <v>150</v>
      </c>
      <c r="T299" t="s">
        <v>83</v>
      </c>
      <c r="U299">
        <v>4.7345309788132235E-2</v>
      </c>
      <c r="V299" t="s">
        <v>84</v>
      </c>
    </row>
    <row r="300" spans="19:22" x14ac:dyDescent="0.45">
      <c r="S300" t="s">
        <v>150</v>
      </c>
      <c r="T300" t="s">
        <v>85</v>
      </c>
      <c r="U300">
        <v>8.3670366102128413E-2</v>
      </c>
      <c r="V300" t="s">
        <v>84</v>
      </c>
    </row>
    <row r="301" spans="19:22" x14ac:dyDescent="0.45">
      <c r="S301" t="s">
        <v>150</v>
      </c>
      <c r="T301" t="s">
        <v>86</v>
      </c>
      <c r="U301">
        <v>3.8245374843081902E-2</v>
      </c>
      <c r="V301" t="s">
        <v>84</v>
      </c>
    </row>
    <row r="302" spans="19:22" x14ac:dyDescent="0.45">
      <c r="S302" t="s">
        <v>150</v>
      </c>
      <c r="T302" t="s">
        <v>87</v>
      </c>
      <c r="U302">
        <v>9.3150845517725261E-2</v>
      </c>
      <c r="V302" t="s">
        <v>84</v>
      </c>
    </row>
    <row r="303" spans="19:22" x14ac:dyDescent="0.45">
      <c r="S303" t="s">
        <v>150</v>
      </c>
      <c r="T303" t="s">
        <v>88</v>
      </c>
      <c r="U303">
        <v>0.15057954370197749</v>
      </c>
      <c r="V303" t="s">
        <v>84</v>
      </c>
    </row>
    <row r="304" spans="19:22" x14ac:dyDescent="0.45">
      <c r="S304" t="s">
        <v>150</v>
      </c>
      <c r="T304" t="s">
        <v>89</v>
      </c>
      <c r="U304">
        <v>6.9038165018176445E-2</v>
      </c>
      <c r="V304" t="s">
        <v>84</v>
      </c>
    </row>
    <row r="305" spans="19:22" x14ac:dyDescent="0.45">
      <c r="S305" t="s">
        <v>150</v>
      </c>
      <c r="T305" t="s">
        <v>90</v>
      </c>
      <c r="U305">
        <v>0.11368199426789687</v>
      </c>
      <c r="V305" t="s">
        <v>84</v>
      </c>
    </row>
    <row r="306" spans="19:22" x14ac:dyDescent="0.45">
      <c r="S306" t="s">
        <v>150</v>
      </c>
      <c r="T306" t="s">
        <v>91</v>
      </c>
      <c r="U306">
        <v>0.17786305598089869</v>
      </c>
      <c r="V306" t="s">
        <v>84</v>
      </c>
    </row>
    <row r="307" spans="19:22" x14ac:dyDescent="0.45">
      <c r="S307" t="s">
        <v>150</v>
      </c>
      <c r="T307" t="s">
        <v>92</v>
      </c>
      <c r="U307">
        <v>8.4233991820990117E-2</v>
      </c>
      <c r="V307" t="s">
        <v>84</v>
      </c>
    </row>
    <row r="308" spans="19:22" x14ac:dyDescent="0.45">
      <c r="S308" t="s">
        <v>150</v>
      </c>
      <c r="T308" t="s">
        <v>93</v>
      </c>
      <c r="U308">
        <v>4.1790452286898573E-2</v>
      </c>
      <c r="V308" t="s">
        <v>84</v>
      </c>
    </row>
    <row r="309" spans="19:22" x14ac:dyDescent="0.45">
      <c r="S309" t="s">
        <v>150</v>
      </c>
      <c r="T309" t="s">
        <v>94</v>
      </c>
      <c r="U309">
        <v>6.9455901444150411E-2</v>
      </c>
      <c r="V309" t="s">
        <v>84</v>
      </c>
    </row>
    <row r="310" spans="19:22" x14ac:dyDescent="0.45">
      <c r="S310" t="s">
        <v>150</v>
      </c>
      <c r="T310" t="s">
        <v>95</v>
      </c>
      <c r="U310">
        <v>3.0944999227942718E-2</v>
      </c>
      <c r="V310" t="s">
        <v>84</v>
      </c>
    </row>
    <row r="311" spans="19:22" x14ac:dyDescent="0.45">
      <c r="S311" t="s">
        <v>151</v>
      </c>
      <c r="T311" t="s">
        <v>83</v>
      </c>
      <c r="U311">
        <v>4.3142704175547636E-2</v>
      </c>
      <c r="V311" t="s">
        <v>84</v>
      </c>
    </row>
    <row r="312" spans="19:22" x14ac:dyDescent="0.45">
      <c r="S312" t="s">
        <v>151</v>
      </c>
      <c r="T312" t="s">
        <v>85</v>
      </c>
      <c r="U312">
        <v>8.0958911864565442E-2</v>
      </c>
      <c r="V312" t="s">
        <v>84</v>
      </c>
    </row>
    <row r="313" spans="19:22" x14ac:dyDescent="0.45">
      <c r="S313" t="s">
        <v>151</v>
      </c>
      <c r="T313" t="s">
        <v>86</v>
      </c>
      <c r="U313">
        <v>3.8916410772642678E-2</v>
      </c>
      <c r="V313" t="s">
        <v>84</v>
      </c>
    </row>
    <row r="314" spans="19:22" x14ac:dyDescent="0.45">
      <c r="S314" t="s">
        <v>151</v>
      </c>
      <c r="T314" t="s">
        <v>87</v>
      </c>
      <c r="U314">
        <v>9.0996073112762713E-2</v>
      </c>
      <c r="V314" t="s">
        <v>84</v>
      </c>
    </row>
    <row r="315" spans="19:22" x14ac:dyDescent="0.45">
      <c r="S315" t="s">
        <v>151</v>
      </c>
      <c r="T315" t="s">
        <v>88</v>
      </c>
      <c r="U315">
        <v>0.15211061030988682</v>
      </c>
      <c r="V315" t="s">
        <v>84</v>
      </c>
    </row>
    <row r="316" spans="19:22" x14ac:dyDescent="0.45">
      <c r="S316" t="s">
        <v>151</v>
      </c>
      <c r="T316" t="s">
        <v>89</v>
      </c>
      <c r="U316">
        <v>7.1491431066295616E-2</v>
      </c>
      <c r="V316" t="s">
        <v>84</v>
      </c>
    </row>
    <row r="317" spans="19:22" x14ac:dyDescent="0.45">
      <c r="S317" t="s">
        <v>151</v>
      </c>
      <c r="T317" t="s">
        <v>90</v>
      </c>
      <c r="U317">
        <v>0.11344821931011488</v>
      </c>
      <c r="V317" t="s">
        <v>84</v>
      </c>
    </row>
    <row r="318" spans="19:22" x14ac:dyDescent="0.45">
      <c r="S318" t="s">
        <v>151</v>
      </c>
      <c r="T318" t="s">
        <v>91</v>
      </c>
      <c r="U318">
        <v>0.1767012333437572</v>
      </c>
      <c r="V318" t="s">
        <v>84</v>
      </c>
    </row>
    <row r="319" spans="19:22" x14ac:dyDescent="0.45">
      <c r="S319" t="s">
        <v>151</v>
      </c>
      <c r="T319" t="s">
        <v>92</v>
      </c>
      <c r="U319">
        <v>8.7709745274209786E-2</v>
      </c>
      <c r="V319" t="s">
        <v>84</v>
      </c>
    </row>
    <row r="320" spans="19:22" x14ac:dyDescent="0.45">
      <c r="S320" t="s">
        <v>151</v>
      </c>
      <c r="T320" t="s">
        <v>93</v>
      </c>
      <c r="U320">
        <v>4.0710779445219267E-2</v>
      </c>
      <c r="V320" t="s">
        <v>84</v>
      </c>
    </row>
    <row r="321" spans="19:22" x14ac:dyDescent="0.45">
      <c r="S321" t="s">
        <v>151</v>
      </c>
      <c r="T321" t="s">
        <v>94</v>
      </c>
      <c r="U321">
        <v>6.9611131556978526E-2</v>
      </c>
      <c r="V321" t="s">
        <v>84</v>
      </c>
    </row>
    <row r="322" spans="19:22" x14ac:dyDescent="0.45">
      <c r="S322" t="s">
        <v>151</v>
      </c>
      <c r="T322" t="s">
        <v>95</v>
      </c>
      <c r="U322">
        <v>3.4202749768021151E-2</v>
      </c>
      <c r="V322" t="s">
        <v>84</v>
      </c>
    </row>
    <row r="323" spans="19:22" x14ac:dyDescent="0.45">
      <c r="S323" t="s">
        <v>152</v>
      </c>
      <c r="T323" t="s">
        <v>83</v>
      </c>
      <c r="U323">
        <v>4.2946161855498849E-2</v>
      </c>
      <c r="V323" t="s">
        <v>84</v>
      </c>
    </row>
    <row r="324" spans="19:22" x14ac:dyDescent="0.45">
      <c r="S324" t="s">
        <v>152</v>
      </c>
      <c r="T324" t="s">
        <v>85</v>
      </c>
      <c r="U324">
        <v>7.8991570589029253E-2</v>
      </c>
      <c r="V324" t="s">
        <v>84</v>
      </c>
    </row>
    <row r="325" spans="19:22" x14ac:dyDescent="0.45">
      <c r="S325" t="s">
        <v>152</v>
      </c>
      <c r="T325" t="s">
        <v>86</v>
      </c>
      <c r="U325">
        <v>3.1780196558471939E-2</v>
      </c>
      <c r="V325" t="s">
        <v>84</v>
      </c>
    </row>
    <row r="326" spans="19:22" x14ac:dyDescent="0.45">
      <c r="S326" t="s">
        <v>152</v>
      </c>
      <c r="T326" t="s">
        <v>87</v>
      </c>
      <c r="U326">
        <v>9.4848916991780219E-2</v>
      </c>
      <c r="V326" t="s">
        <v>84</v>
      </c>
    </row>
    <row r="327" spans="19:22" x14ac:dyDescent="0.45">
      <c r="S327" t="s">
        <v>152</v>
      </c>
      <c r="T327" t="s">
        <v>88</v>
      </c>
      <c r="U327">
        <v>0.16197245000472116</v>
      </c>
      <c r="V327" t="s">
        <v>84</v>
      </c>
    </row>
    <row r="328" spans="19:22" x14ac:dyDescent="0.45">
      <c r="S328" t="s">
        <v>152</v>
      </c>
      <c r="T328" t="s">
        <v>89</v>
      </c>
      <c r="U328">
        <v>6.5910822316807088E-2</v>
      </c>
      <c r="V328" t="s">
        <v>84</v>
      </c>
    </row>
    <row r="329" spans="19:22" x14ac:dyDescent="0.45">
      <c r="S329" t="s">
        <v>152</v>
      </c>
      <c r="T329" t="s">
        <v>90</v>
      </c>
      <c r="U329">
        <v>0.10899240437659803</v>
      </c>
      <c r="V329" t="s">
        <v>84</v>
      </c>
    </row>
    <row r="330" spans="19:22" x14ac:dyDescent="0.45">
      <c r="S330" t="s">
        <v>152</v>
      </c>
      <c r="T330" t="s">
        <v>91</v>
      </c>
      <c r="U330">
        <v>0.19053130209638267</v>
      </c>
      <c r="V330" t="s">
        <v>84</v>
      </c>
    </row>
    <row r="331" spans="19:22" x14ac:dyDescent="0.45">
      <c r="S331" t="s">
        <v>152</v>
      </c>
      <c r="T331" t="s">
        <v>92</v>
      </c>
      <c r="U331">
        <v>7.6284115912977971E-2</v>
      </c>
      <c r="V331" t="s">
        <v>84</v>
      </c>
    </row>
    <row r="332" spans="19:22" x14ac:dyDescent="0.45">
      <c r="S332" t="s">
        <v>152</v>
      </c>
      <c r="T332" t="s">
        <v>93</v>
      </c>
      <c r="U332">
        <v>3.9194261768879003E-2</v>
      </c>
      <c r="V332" t="s">
        <v>84</v>
      </c>
    </row>
    <row r="333" spans="19:22" x14ac:dyDescent="0.45">
      <c r="S333" t="s">
        <v>152</v>
      </c>
      <c r="T333" t="s">
        <v>94</v>
      </c>
      <c r="U333">
        <v>7.8079354251042149E-2</v>
      </c>
      <c r="V333" t="s">
        <v>84</v>
      </c>
    </row>
    <row r="334" spans="19:22" x14ac:dyDescent="0.45">
      <c r="S334" t="s">
        <v>152</v>
      </c>
      <c r="T334" t="s">
        <v>95</v>
      </c>
      <c r="U334">
        <v>3.046844327780919E-2</v>
      </c>
      <c r="V334" t="s">
        <v>84</v>
      </c>
    </row>
    <row r="335" spans="19:22" x14ac:dyDescent="0.45">
      <c r="S335" t="s">
        <v>153</v>
      </c>
      <c r="T335" t="s">
        <v>83</v>
      </c>
      <c r="U335">
        <v>3.9913943881054167E-2</v>
      </c>
      <c r="V335" t="s">
        <v>84</v>
      </c>
    </row>
    <row r="336" spans="19:22" x14ac:dyDescent="0.45">
      <c r="S336" t="s">
        <v>153</v>
      </c>
      <c r="T336" t="s">
        <v>85</v>
      </c>
      <c r="U336">
        <v>7.3467538327186582E-2</v>
      </c>
      <c r="V336" t="s">
        <v>84</v>
      </c>
    </row>
    <row r="337" spans="19:22" x14ac:dyDescent="0.45">
      <c r="S337" t="s">
        <v>153</v>
      </c>
      <c r="T337" t="s">
        <v>86</v>
      </c>
      <c r="U337">
        <v>3.1058637819030357E-2</v>
      </c>
      <c r="V337" t="s">
        <v>84</v>
      </c>
    </row>
    <row r="338" spans="19:22" x14ac:dyDescent="0.45">
      <c r="S338" t="s">
        <v>153</v>
      </c>
      <c r="T338" t="s">
        <v>87</v>
      </c>
      <c r="U338">
        <v>9.363756192383095E-2</v>
      </c>
      <c r="V338" t="s">
        <v>84</v>
      </c>
    </row>
    <row r="339" spans="19:22" x14ac:dyDescent="0.45">
      <c r="S339" t="s">
        <v>153</v>
      </c>
      <c r="T339" t="s">
        <v>88</v>
      </c>
      <c r="U339">
        <v>0.1666329779436998</v>
      </c>
      <c r="V339" t="s">
        <v>84</v>
      </c>
    </row>
    <row r="340" spans="19:22" x14ac:dyDescent="0.45">
      <c r="S340" t="s">
        <v>153</v>
      </c>
      <c r="T340" t="s">
        <v>89</v>
      </c>
      <c r="U340">
        <v>7.3330341355658607E-2</v>
      </c>
      <c r="V340" t="s">
        <v>84</v>
      </c>
    </row>
    <row r="341" spans="19:22" x14ac:dyDescent="0.45">
      <c r="S341" t="s">
        <v>153</v>
      </c>
      <c r="T341" t="s">
        <v>90</v>
      </c>
      <c r="U341">
        <v>0.10292579255398225</v>
      </c>
      <c r="V341" t="s">
        <v>84</v>
      </c>
    </row>
    <row r="342" spans="19:22" x14ac:dyDescent="0.45">
      <c r="S342" t="s">
        <v>153</v>
      </c>
      <c r="T342" t="s">
        <v>91</v>
      </c>
      <c r="U342">
        <v>0.18150026361568558</v>
      </c>
      <c r="V342" t="s">
        <v>84</v>
      </c>
    </row>
    <row r="343" spans="19:22" x14ac:dyDescent="0.45">
      <c r="S343" t="s">
        <v>153</v>
      </c>
      <c r="T343" t="s">
        <v>92</v>
      </c>
      <c r="U343">
        <v>7.8680097124854381E-2</v>
      </c>
      <c r="V343" t="s">
        <v>84</v>
      </c>
    </row>
    <row r="344" spans="19:22" x14ac:dyDescent="0.45">
      <c r="S344" t="s">
        <v>153</v>
      </c>
      <c r="T344" t="s">
        <v>93</v>
      </c>
      <c r="U344">
        <v>4.2178863062442652E-2</v>
      </c>
      <c r="V344" t="s">
        <v>84</v>
      </c>
    </row>
    <row r="345" spans="19:22" x14ac:dyDescent="0.45">
      <c r="S345" t="s">
        <v>153</v>
      </c>
      <c r="T345" t="s">
        <v>94</v>
      </c>
      <c r="U345">
        <v>8.2175077830498197E-2</v>
      </c>
      <c r="V345" t="s">
        <v>84</v>
      </c>
    </row>
    <row r="346" spans="19:22" x14ac:dyDescent="0.45">
      <c r="S346" t="s">
        <v>153</v>
      </c>
      <c r="T346" t="s">
        <v>95</v>
      </c>
      <c r="U346">
        <v>3.449890456207845E-2</v>
      </c>
      <c r="V346" t="s">
        <v>84</v>
      </c>
    </row>
    <row r="347" spans="19:22" x14ac:dyDescent="0.45">
      <c r="S347" t="s">
        <v>154</v>
      </c>
      <c r="T347" t="s">
        <v>83</v>
      </c>
      <c r="U347">
        <v>4.5349515983275419E-2</v>
      </c>
      <c r="V347" t="s">
        <v>84</v>
      </c>
    </row>
    <row r="348" spans="19:22" x14ac:dyDescent="0.45">
      <c r="S348" t="s">
        <v>154</v>
      </c>
      <c r="T348" t="s">
        <v>85</v>
      </c>
      <c r="U348">
        <v>7.9605960192303982E-2</v>
      </c>
      <c r="V348" t="s">
        <v>84</v>
      </c>
    </row>
    <row r="349" spans="19:22" x14ac:dyDescent="0.45">
      <c r="S349" t="s">
        <v>154</v>
      </c>
      <c r="T349" t="s">
        <v>86</v>
      </c>
      <c r="U349">
        <v>3.1986414206495249E-2</v>
      </c>
      <c r="V349" t="s">
        <v>84</v>
      </c>
    </row>
    <row r="350" spans="19:22" x14ac:dyDescent="0.45">
      <c r="S350" t="s">
        <v>154</v>
      </c>
      <c r="T350" t="s">
        <v>87</v>
      </c>
      <c r="U350">
        <v>9.9375040323021163E-2</v>
      </c>
      <c r="V350" t="s">
        <v>84</v>
      </c>
    </row>
    <row r="351" spans="19:22" x14ac:dyDescent="0.45">
      <c r="S351" t="s">
        <v>154</v>
      </c>
      <c r="T351" t="s">
        <v>88</v>
      </c>
      <c r="U351">
        <v>0.16630223417862083</v>
      </c>
      <c r="V351" t="s">
        <v>84</v>
      </c>
    </row>
    <row r="352" spans="19:22" x14ac:dyDescent="0.45">
      <c r="S352" t="s">
        <v>154</v>
      </c>
      <c r="T352" t="s">
        <v>89</v>
      </c>
      <c r="U352">
        <v>7.0552222042288837E-2</v>
      </c>
      <c r="V352" t="s">
        <v>84</v>
      </c>
    </row>
    <row r="353" spans="19:22" x14ac:dyDescent="0.45">
      <c r="S353" t="s">
        <v>154</v>
      </c>
      <c r="T353" t="s">
        <v>90</v>
      </c>
      <c r="U353">
        <v>0.1081823507051899</v>
      </c>
      <c r="V353" t="s">
        <v>84</v>
      </c>
    </row>
    <row r="354" spans="19:22" x14ac:dyDescent="0.45">
      <c r="S354" t="s">
        <v>154</v>
      </c>
      <c r="T354" t="s">
        <v>91</v>
      </c>
      <c r="U354">
        <v>0.17107583186286221</v>
      </c>
      <c r="V354" t="s">
        <v>84</v>
      </c>
    </row>
    <row r="355" spans="19:22" x14ac:dyDescent="0.45">
      <c r="S355" t="s">
        <v>154</v>
      </c>
      <c r="T355" t="s">
        <v>92</v>
      </c>
      <c r="U355">
        <v>8.0566597230040907E-2</v>
      </c>
      <c r="V355" t="s">
        <v>84</v>
      </c>
    </row>
    <row r="356" spans="19:22" x14ac:dyDescent="0.45">
      <c r="S356" t="s">
        <v>154</v>
      </c>
      <c r="T356" t="s">
        <v>93</v>
      </c>
      <c r="U356">
        <v>4.4240292174878154E-2</v>
      </c>
      <c r="V356" t="s">
        <v>84</v>
      </c>
    </row>
    <row r="357" spans="19:22" x14ac:dyDescent="0.45">
      <c r="S357" t="s">
        <v>154</v>
      </c>
      <c r="T357" t="s">
        <v>94</v>
      </c>
      <c r="U357">
        <v>7.1508888635214748E-2</v>
      </c>
      <c r="V357" t="s">
        <v>84</v>
      </c>
    </row>
    <row r="358" spans="19:22" x14ac:dyDescent="0.45">
      <c r="S358" t="s">
        <v>154</v>
      </c>
      <c r="T358" t="s">
        <v>95</v>
      </c>
      <c r="U358">
        <v>3.1254652465807616E-2</v>
      </c>
      <c r="V358" t="s">
        <v>84</v>
      </c>
    </row>
    <row r="359" spans="19:22" x14ac:dyDescent="0.45">
      <c r="S359" t="s">
        <v>155</v>
      </c>
      <c r="T359" t="s">
        <v>83</v>
      </c>
      <c r="U359">
        <v>4.3875013013897478E-2</v>
      </c>
      <c r="V359" t="s">
        <v>84</v>
      </c>
    </row>
    <row r="360" spans="19:22" x14ac:dyDescent="0.45">
      <c r="S360" t="s">
        <v>155</v>
      </c>
      <c r="T360" t="s">
        <v>85</v>
      </c>
      <c r="U360">
        <v>7.3812678846213911E-2</v>
      </c>
      <c r="V360" t="s">
        <v>84</v>
      </c>
    </row>
    <row r="361" spans="19:22" x14ac:dyDescent="0.45">
      <c r="S361" t="s">
        <v>155</v>
      </c>
      <c r="T361" t="s">
        <v>86</v>
      </c>
      <c r="U361">
        <v>3.1448721324280074E-2</v>
      </c>
      <c r="V361" t="s">
        <v>84</v>
      </c>
    </row>
    <row r="362" spans="19:22" x14ac:dyDescent="0.45">
      <c r="S362" t="s">
        <v>155</v>
      </c>
      <c r="T362" t="s">
        <v>87</v>
      </c>
      <c r="U362">
        <v>9.924166218339335E-2</v>
      </c>
      <c r="V362" t="s">
        <v>84</v>
      </c>
    </row>
    <row r="363" spans="19:22" x14ac:dyDescent="0.45">
      <c r="S363" t="s">
        <v>155</v>
      </c>
      <c r="T363" t="s">
        <v>88</v>
      </c>
      <c r="U363">
        <v>0.16155327600975494</v>
      </c>
      <c r="V363" t="s">
        <v>84</v>
      </c>
    </row>
    <row r="364" spans="19:22" x14ac:dyDescent="0.45">
      <c r="S364" t="s">
        <v>155</v>
      </c>
      <c r="T364" t="s">
        <v>89</v>
      </c>
      <c r="U364">
        <v>6.9449755607819449E-2</v>
      </c>
      <c r="V364" t="s">
        <v>84</v>
      </c>
    </row>
    <row r="365" spans="19:22" x14ac:dyDescent="0.45">
      <c r="S365" t="s">
        <v>155</v>
      </c>
      <c r="T365" t="s">
        <v>90</v>
      </c>
      <c r="U365">
        <v>0.110121512005713</v>
      </c>
      <c r="V365" t="s">
        <v>84</v>
      </c>
    </row>
    <row r="366" spans="19:22" x14ac:dyDescent="0.45">
      <c r="S366" t="s">
        <v>155</v>
      </c>
      <c r="T366" t="s">
        <v>91</v>
      </c>
      <c r="U366">
        <v>0.17744847364952529</v>
      </c>
      <c r="V366" t="s">
        <v>84</v>
      </c>
    </row>
    <row r="367" spans="19:22" x14ac:dyDescent="0.45">
      <c r="S367" t="s">
        <v>155</v>
      </c>
      <c r="T367" t="s">
        <v>92</v>
      </c>
      <c r="U367">
        <v>7.8946186707612123E-2</v>
      </c>
      <c r="V367" t="s">
        <v>84</v>
      </c>
    </row>
    <row r="368" spans="19:22" x14ac:dyDescent="0.45">
      <c r="S368" t="s">
        <v>155</v>
      </c>
      <c r="T368" t="s">
        <v>93</v>
      </c>
      <c r="U368">
        <v>4.5048723786864316E-2</v>
      </c>
      <c r="V368" t="s">
        <v>84</v>
      </c>
    </row>
    <row r="369" spans="19:22" x14ac:dyDescent="0.45">
      <c r="S369" t="s">
        <v>155</v>
      </c>
      <c r="T369" t="s">
        <v>94</v>
      </c>
      <c r="U369">
        <v>7.722073484605918E-2</v>
      </c>
      <c r="V369" t="s">
        <v>84</v>
      </c>
    </row>
    <row r="370" spans="19:22" x14ac:dyDescent="0.45">
      <c r="S370" t="s">
        <v>155</v>
      </c>
      <c r="T370" t="s">
        <v>95</v>
      </c>
      <c r="U370">
        <v>3.1833262018863447E-2</v>
      </c>
      <c r="V370" t="s">
        <v>84</v>
      </c>
    </row>
    <row r="371" spans="19:22" x14ac:dyDescent="0.45">
      <c r="S371" t="s">
        <v>156</v>
      </c>
      <c r="T371" t="s">
        <v>83</v>
      </c>
      <c r="U371">
        <v>4.0396313354428504E-2</v>
      </c>
      <c r="V371" t="s">
        <v>84</v>
      </c>
    </row>
    <row r="372" spans="19:22" x14ac:dyDescent="0.45">
      <c r="S372" t="s">
        <v>156</v>
      </c>
      <c r="T372" t="s">
        <v>85</v>
      </c>
      <c r="U372">
        <v>6.7135739172795639E-2</v>
      </c>
      <c r="V372" t="s">
        <v>84</v>
      </c>
    </row>
    <row r="373" spans="19:22" x14ac:dyDescent="0.45">
      <c r="S373" t="s">
        <v>156</v>
      </c>
      <c r="T373" t="s">
        <v>86</v>
      </c>
      <c r="U373">
        <v>3.1302828528524014E-2</v>
      </c>
      <c r="V373" t="s">
        <v>84</v>
      </c>
    </row>
    <row r="374" spans="19:22" x14ac:dyDescent="0.45">
      <c r="S374" t="s">
        <v>156</v>
      </c>
      <c r="T374" t="s">
        <v>87</v>
      </c>
      <c r="U374">
        <v>8.9752570434207077E-2</v>
      </c>
      <c r="V374" t="s">
        <v>84</v>
      </c>
    </row>
    <row r="375" spans="19:22" x14ac:dyDescent="0.45">
      <c r="S375" t="s">
        <v>156</v>
      </c>
      <c r="T375" t="s">
        <v>88</v>
      </c>
      <c r="U375">
        <v>0.15543814987113325</v>
      </c>
      <c r="V375" t="s">
        <v>84</v>
      </c>
    </row>
    <row r="376" spans="19:22" x14ac:dyDescent="0.45">
      <c r="S376" t="s">
        <v>156</v>
      </c>
      <c r="T376" t="s">
        <v>89</v>
      </c>
      <c r="U376">
        <v>6.6392034452965612E-2</v>
      </c>
      <c r="V376" t="s">
        <v>84</v>
      </c>
    </row>
    <row r="377" spans="19:22" x14ac:dyDescent="0.45">
      <c r="S377" t="s">
        <v>156</v>
      </c>
      <c r="T377" t="s">
        <v>90</v>
      </c>
      <c r="U377">
        <v>0.12176422577938688</v>
      </c>
      <c r="V377" t="s">
        <v>84</v>
      </c>
    </row>
    <row r="378" spans="19:22" x14ac:dyDescent="0.45">
      <c r="S378" t="s">
        <v>156</v>
      </c>
      <c r="T378" t="s">
        <v>91</v>
      </c>
      <c r="U378">
        <v>0.19594625946955965</v>
      </c>
      <c r="V378" t="s">
        <v>84</v>
      </c>
    </row>
    <row r="379" spans="19:22" x14ac:dyDescent="0.45">
      <c r="S379" t="s">
        <v>156</v>
      </c>
      <c r="T379" t="s">
        <v>92</v>
      </c>
      <c r="U379">
        <v>8.2149058809660974E-2</v>
      </c>
      <c r="V379" t="s">
        <v>84</v>
      </c>
    </row>
    <row r="380" spans="19:22" x14ac:dyDescent="0.45">
      <c r="S380" t="s">
        <v>156</v>
      </c>
      <c r="T380" t="s">
        <v>93</v>
      </c>
      <c r="U380">
        <v>4.4129224031063799E-2</v>
      </c>
      <c r="V380" t="s">
        <v>84</v>
      </c>
    </row>
    <row r="381" spans="19:22" x14ac:dyDescent="0.45">
      <c r="S381" t="s">
        <v>156</v>
      </c>
      <c r="T381" t="s">
        <v>94</v>
      </c>
      <c r="U381">
        <v>7.3284566235071527E-2</v>
      </c>
      <c r="V381" t="s">
        <v>84</v>
      </c>
    </row>
    <row r="382" spans="19:22" x14ac:dyDescent="0.45">
      <c r="S382" t="s">
        <v>156</v>
      </c>
      <c r="T382" t="s">
        <v>95</v>
      </c>
      <c r="U382">
        <v>3.2309029861200121E-2</v>
      </c>
      <c r="V382" t="s">
        <v>84</v>
      </c>
    </row>
    <row r="383" spans="19:22" x14ac:dyDescent="0.45">
      <c r="S383" t="s">
        <v>157</v>
      </c>
      <c r="T383" t="s">
        <v>83</v>
      </c>
      <c r="U383">
        <v>3.8490040886964567E-2</v>
      </c>
      <c r="V383" t="s">
        <v>84</v>
      </c>
    </row>
    <row r="384" spans="19:22" x14ac:dyDescent="0.45">
      <c r="S384" t="s">
        <v>157</v>
      </c>
      <c r="T384" t="s">
        <v>85</v>
      </c>
      <c r="U384">
        <v>6.8079369880570784E-2</v>
      </c>
      <c r="V384" t="s">
        <v>84</v>
      </c>
    </row>
    <row r="385" spans="19:22" x14ac:dyDescent="0.45">
      <c r="S385" t="s">
        <v>157</v>
      </c>
      <c r="T385" t="s">
        <v>86</v>
      </c>
      <c r="U385">
        <v>3.0629717198251402E-2</v>
      </c>
      <c r="V385" t="s">
        <v>84</v>
      </c>
    </row>
    <row r="386" spans="19:22" x14ac:dyDescent="0.45">
      <c r="S386" t="s">
        <v>157</v>
      </c>
      <c r="T386" t="s">
        <v>87</v>
      </c>
      <c r="U386">
        <v>8.4080218261159897E-2</v>
      </c>
      <c r="V386" t="s">
        <v>84</v>
      </c>
    </row>
    <row r="387" spans="19:22" x14ac:dyDescent="0.45">
      <c r="S387" t="s">
        <v>157</v>
      </c>
      <c r="T387" t="s">
        <v>88</v>
      </c>
      <c r="U387">
        <v>0.14521631226787035</v>
      </c>
      <c r="V387" t="s">
        <v>84</v>
      </c>
    </row>
    <row r="388" spans="19:22" x14ac:dyDescent="0.45">
      <c r="S388" t="s">
        <v>157</v>
      </c>
      <c r="T388" t="s">
        <v>89</v>
      </c>
      <c r="U388">
        <v>5.9263343700377391E-2</v>
      </c>
      <c r="V388" t="s">
        <v>84</v>
      </c>
    </row>
    <row r="389" spans="19:22" x14ac:dyDescent="0.45">
      <c r="S389" t="s">
        <v>157</v>
      </c>
      <c r="T389" t="s">
        <v>90</v>
      </c>
      <c r="U389">
        <v>0.11528182832764403</v>
      </c>
      <c r="V389" t="s">
        <v>84</v>
      </c>
    </row>
    <row r="390" spans="19:22" x14ac:dyDescent="0.45">
      <c r="S390" t="s">
        <v>157</v>
      </c>
      <c r="T390" t="s">
        <v>91</v>
      </c>
      <c r="U390">
        <v>0.2084938440703715</v>
      </c>
      <c r="V390" t="s">
        <v>84</v>
      </c>
    </row>
    <row r="391" spans="19:22" x14ac:dyDescent="0.45">
      <c r="S391" t="s">
        <v>157</v>
      </c>
      <c r="T391" t="s">
        <v>92</v>
      </c>
      <c r="U391">
        <v>8.9707501075632329E-2</v>
      </c>
      <c r="V391" t="s">
        <v>84</v>
      </c>
    </row>
    <row r="392" spans="19:22" x14ac:dyDescent="0.45">
      <c r="S392" t="s">
        <v>157</v>
      </c>
      <c r="T392" t="s">
        <v>93</v>
      </c>
      <c r="U392">
        <v>4.2613179035052406E-2</v>
      </c>
      <c r="V392" t="s">
        <v>84</v>
      </c>
    </row>
    <row r="393" spans="19:22" x14ac:dyDescent="0.45">
      <c r="S393" t="s">
        <v>157</v>
      </c>
      <c r="T393" t="s">
        <v>94</v>
      </c>
      <c r="U393">
        <v>8.2794047334913232E-2</v>
      </c>
      <c r="V393" t="s">
        <v>84</v>
      </c>
    </row>
    <row r="394" spans="19:22" x14ac:dyDescent="0.45">
      <c r="S394" t="s">
        <v>157</v>
      </c>
      <c r="T394" t="s">
        <v>95</v>
      </c>
      <c r="U394">
        <v>3.535059796119093E-2</v>
      </c>
      <c r="V394" t="s">
        <v>84</v>
      </c>
    </row>
    <row r="395" spans="19:22" x14ac:dyDescent="0.45">
      <c r="S395" t="s">
        <v>158</v>
      </c>
      <c r="T395" t="s">
        <v>83</v>
      </c>
      <c r="U395">
        <v>4.3388058293715712E-2</v>
      </c>
      <c r="V395" t="s">
        <v>84</v>
      </c>
    </row>
    <row r="396" spans="19:22" x14ac:dyDescent="0.45">
      <c r="S396" t="s">
        <v>158</v>
      </c>
      <c r="T396" t="s">
        <v>85</v>
      </c>
      <c r="U396">
        <v>7.7545099036965798E-2</v>
      </c>
      <c r="V396" t="s">
        <v>84</v>
      </c>
    </row>
    <row r="397" spans="19:22" x14ac:dyDescent="0.45">
      <c r="S397" t="s">
        <v>158</v>
      </c>
      <c r="T397" t="s">
        <v>86</v>
      </c>
      <c r="U397">
        <v>3.3098257758359187E-2</v>
      </c>
      <c r="V397" t="s">
        <v>84</v>
      </c>
    </row>
    <row r="398" spans="19:22" x14ac:dyDescent="0.45">
      <c r="S398" t="s">
        <v>158</v>
      </c>
      <c r="T398" t="s">
        <v>87</v>
      </c>
      <c r="U398">
        <v>8.9190979535033993E-2</v>
      </c>
      <c r="V398" t="s">
        <v>84</v>
      </c>
    </row>
    <row r="399" spans="19:22" x14ac:dyDescent="0.45">
      <c r="S399" t="s">
        <v>158</v>
      </c>
      <c r="T399" t="s">
        <v>88</v>
      </c>
      <c r="U399">
        <v>0.15304566132603462</v>
      </c>
      <c r="V399" t="s">
        <v>84</v>
      </c>
    </row>
    <row r="400" spans="19:22" x14ac:dyDescent="0.45">
      <c r="S400" t="s">
        <v>158</v>
      </c>
      <c r="T400" t="s">
        <v>89</v>
      </c>
      <c r="U400">
        <v>6.4594414546685491E-2</v>
      </c>
      <c r="V400" t="s">
        <v>84</v>
      </c>
    </row>
    <row r="401" spans="19:22" x14ac:dyDescent="0.45">
      <c r="S401" t="s">
        <v>158</v>
      </c>
      <c r="T401" t="s">
        <v>90</v>
      </c>
      <c r="U401">
        <v>0.10753571614031303</v>
      </c>
      <c r="V401" t="s">
        <v>84</v>
      </c>
    </row>
    <row r="402" spans="19:22" x14ac:dyDescent="0.45">
      <c r="S402" t="s">
        <v>158</v>
      </c>
      <c r="T402" t="s">
        <v>91</v>
      </c>
      <c r="U402">
        <v>0.18926538287155928</v>
      </c>
      <c r="V402" t="s">
        <v>84</v>
      </c>
    </row>
    <row r="403" spans="19:22" x14ac:dyDescent="0.45">
      <c r="S403" t="s">
        <v>158</v>
      </c>
      <c r="T403" t="s">
        <v>92</v>
      </c>
      <c r="U403">
        <v>8.0056017253144457E-2</v>
      </c>
      <c r="V403" t="s">
        <v>84</v>
      </c>
    </row>
    <row r="404" spans="19:22" x14ac:dyDescent="0.45">
      <c r="S404" t="s">
        <v>158</v>
      </c>
      <c r="T404" t="s">
        <v>93</v>
      </c>
      <c r="U404">
        <v>4.4419579474073032E-2</v>
      </c>
      <c r="V404" t="s">
        <v>84</v>
      </c>
    </row>
    <row r="405" spans="19:22" x14ac:dyDescent="0.45">
      <c r="S405" t="s">
        <v>158</v>
      </c>
      <c r="T405" t="s">
        <v>94</v>
      </c>
      <c r="U405">
        <v>8.4150993969249369E-2</v>
      </c>
      <c r="V405" t="s">
        <v>84</v>
      </c>
    </row>
    <row r="406" spans="19:22" x14ac:dyDescent="0.45">
      <c r="S406" t="s">
        <v>158</v>
      </c>
      <c r="T406" t="s">
        <v>95</v>
      </c>
      <c r="U406">
        <v>3.3709839794860245E-2</v>
      </c>
      <c r="V406" t="s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A0319-3D7B-4C8F-881B-D89CBCC329EC}">
  <dimension ref="A9:AN159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IF(A11="x","DeActivated","~TFM_INS-AT")</f>
        <v>DeActivated</v>
      </c>
      <c r="AC9" t="str">
        <f>IF(A11="x","DeActivated","~TFM_INS-AT")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52</v>
      </c>
      <c r="C10" t="s">
        <v>67</v>
      </c>
      <c r="D10" t="s">
        <v>68</v>
      </c>
      <c r="E10" t="s">
        <v>69</v>
      </c>
      <c r="F10" t="s">
        <v>70</v>
      </c>
      <c r="G10" t="s">
        <v>71</v>
      </c>
      <c r="I10" t="s">
        <v>6</v>
      </c>
      <c r="J10" t="s">
        <v>47</v>
      </c>
      <c r="K10" t="s">
        <v>81</v>
      </c>
      <c r="L10" t="s">
        <v>11</v>
      </c>
      <c r="N10" t="s">
        <v>6</v>
      </c>
      <c r="O10" t="s">
        <v>47</v>
      </c>
      <c r="P10" t="s">
        <v>81</v>
      </c>
      <c r="Q10" t="s">
        <v>11</v>
      </c>
      <c r="S10" t="s">
        <v>6</v>
      </c>
      <c r="T10" t="s">
        <v>47</v>
      </c>
      <c r="U10" t="s">
        <v>81</v>
      </c>
      <c r="V10" t="s">
        <v>11</v>
      </c>
      <c r="X10" t="s">
        <v>159</v>
      </c>
      <c r="Y10" t="s">
        <v>81</v>
      </c>
      <c r="Z10" t="s">
        <v>47</v>
      </c>
      <c r="AA10" t="s">
        <v>238</v>
      </c>
      <c r="AC10" t="s">
        <v>238</v>
      </c>
      <c r="AD10" t="s">
        <v>47</v>
      </c>
      <c r="AE10" t="s">
        <v>81</v>
      </c>
      <c r="AG10" t="s">
        <v>6</v>
      </c>
      <c r="AH10" t="s">
        <v>47</v>
      </c>
      <c r="AI10" t="s">
        <v>165</v>
      </c>
      <c r="AK10" t="s">
        <v>14</v>
      </c>
      <c r="AL10" t="s">
        <v>47</v>
      </c>
      <c r="AM10" t="s">
        <v>166</v>
      </c>
      <c r="AN10" t="s">
        <v>167</v>
      </c>
    </row>
    <row r="11" spans="1:40" x14ac:dyDescent="0.45">
      <c r="A11" t="str">
        <f>IFERROR(IF(Veda!D5=A10,"ok","x"),"")</f>
        <v>x</v>
      </c>
      <c r="C11" t="s">
        <v>72</v>
      </c>
      <c r="D11" t="s">
        <v>73</v>
      </c>
      <c r="E11" t="s">
        <v>74</v>
      </c>
      <c r="F11" t="s">
        <v>169</v>
      </c>
      <c r="G11" t="s">
        <v>73</v>
      </c>
      <c r="I11" t="s">
        <v>82</v>
      </c>
      <c r="J11" t="s">
        <v>83</v>
      </c>
      <c r="K11">
        <v>4.1842274295740582E-3</v>
      </c>
      <c r="L11" t="s">
        <v>84</v>
      </c>
      <c r="N11" t="s">
        <v>111</v>
      </c>
      <c r="O11" t="s">
        <v>83</v>
      </c>
      <c r="P11">
        <v>2.5936807398782877E-2</v>
      </c>
      <c r="Q11" t="s">
        <v>84</v>
      </c>
      <c r="S11" t="s">
        <v>126</v>
      </c>
      <c r="T11" t="s">
        <v>83</v>
      </c>
      <c r="U11">
        <v>2.3217639751077563E-2</v>
      </c>
      <c r="V11" t="s">
        <v>84</v>
      </c>
      <c r="X11">
        <v>2.4771689497716895E-2</v>
      </c>
      <c r="Y11">
        <v>9.7827942553597048E-3</v>
      </c>
      <c r="Z11" t="s">
        <v>83</v>
      </c>
      <c r="AA11" t="s">
        <v>239</v>
      </c>
      <c r="AC11" t="s">
        <v>240</v>
      </c>
      <c r="AD11" t="s">
        <v>83</v>
      </c>
      <c r="AE11">
        <v>2.6948593496835788E-2</v>
      </c>
      <c r="AG11" t="s">
        <v>27</v>
      </c>
      <c r="AH11" t="s">
        <v>83</v>
      </c>
      <c r="AI11">
        <v>5.4264398046266926E-2</v>
      </c>
      <c r="AK11">
        <v>2020</v>
      </c>
      <c r="AL11" t="s">
        <v>72</v>
      </c>
      <c r="AM11">
        <v>0.48179554079696391</v>
      </c>
      <c r="AN11" t="s">
        <v>168</v>
      </c>
    </row>
    <row r="12" spans="1:40" x14ac:dyDescent="0.45">
      <c r="C12" t="s">
        <v>76</v>
      </c>
      <c r="E12" t="s">
        <v>77</v>
      </c>
      <c r="G12" t="s">
        <v>73</v>
      </c>
      <c r="I12" t="s">
        <v>82</v>
      </c>
      <c r="J12" t="s">
        <v>85</v>
      </c>
      <c r="K12">
        <v>3.9939233176185591E-2</v>
      </c>
      <c r="L12" t="s">
        <v>84</v>
      </c>
      <c r="N12" t="s">
        <v>111</v>
      </c>
      <c r="O12" t="s">
        <v>85</v>
      </c>
      <c r="P12">
        <v>1.4587779726022801E-2</v>
      </c>
      <c r="Q12" t="s">
        <v>84</v>
      </c>
      <c r="S12" t="s">
        <v>126</v>
      </c>
      <c r="T12" t="s">
        <v>85</v>
      </c>
      <c r="U12">
        <v>1.4011286775350327E-2</v>
      </c>
      <c r="V12" t="s">
        <v>84</v>
      </c>
      <c r="X12">
        <v>1.4155251141552512E-2</v>
      </c>
      <c r="Y12">
        <v>1.9277859267914713E-2</v>
      </c>
      <c r="Z12" t="s">
        <v>85</v>
      </c>
      <c r="AA12" t="s">
        <v>239</v>
      </c>
      <c r="AC12" t="s">
        <v>240</v>
      </c>
      <c r="AD12" t="s">
        <v>85</v>
      </c>
      <c r="AE12">
        <v>1.3843155219920246E-2</v>
      </c>
      <c r="AG12" t="s">
        <v>27</v>
      </c>
      <c r="AH12" t="s">
        <v>85</v>
      </c>
      <c r="AI12">
        <v>9.633220260893971E-2</v>
      </c>
      <c r="AK12">
        <v>2020</v>
      </c>
      <c r="AL12" t="s">
        <v>76</v>
      </c>
      <c r="AM12">
        <v>0.4938936781609195</v>
      </c>
      <c r="AN12" t="s">
        <v>168</v>
      </c>
    </row>
    <row r="13" spans="1:40" x14ac:dyDescent="0.45">
      <c r="C13" t="s">
        <v>78</v>
      </c>
      <c r="E13" t="s">
        <v>79</v>
      </c>
      <c r="G13" t="s">
        <v>73</v>
      </c>
      <c r="I13" t="s">
        <v>82</v>
      </c>
      <c r="J13" t="s">
        <v>86</v>
      </c>
      <c r="K13">
        <v>7.3477667041835976E-2</v>
      </c>
      <c r="L13" t="s">
        <v>84</v>
      </c>
      <c r="N13" t="s">
        <v>111</v>
      </c>
      <c r="O13" t="s">
        <v>86</v>
      </c>
      <c r="P13">
        <v>2.5110526590042564E-2</v>
      </c>
      <c r="Q13" t="s">
        <v>84</v>
      </c>
      <c r="S13" t="s">
        <v>126</v>
      </c>
      <c r="T13" t="s">
        <v>86</v>
      </c>
      <c r="U13">
        <v>2.2880024463189829E-2</v>
      </c>
      <c r="V13" t="s">
        <v>84</v>
      </c>
      <c r="X13">
        <v>2.1232876712328767E-2</v>
      </c>
      <c r="Y13">
        <v>3.0283502805194377E-2</v>
      </c>
      <c r="Z13" t="s">
        <v>86</v>
      </c>
      <c r="AA13" t="s">
        <v>239</v>
      </c>
      <c r="AC13" t="s">
        <v>240</v>
      </c>
      <c r="AD13" t="s">
        <v>86</v>
      </c>
      <c r="AE13">
        <v>1.4709479401875421E-2</v>
      </c>
      <c r="AG13" t="s">
        <v>27</v>
      </c>
      <c r="AH13" t="s">
        <v>86</v>
      </c>
      <c r="AI13">
        <v>8.2587404804680631E-2</v>
      </c>
      <c r="AK13">
        <v>2020</v>
      </c>
      <c r="AL13" t="s">
        <v>78</v>
      </c>
      <c r="AM13">
        <v>0.4694418089816571</v>
      </c>
      <c r="AN13" t="s">
        <v>168</v>
      </c>
    </row>
    <row r="14" spans="1:40" x14ac:dyDescent="0.45">
      <c r="C14" t="s">
        <v>80</v>
      </c>
      <c r="E14" t="s">
        <v>170</v>
      </c>
      <c r="G14" t="s">
        <v>73</v>
      </c>
      <c r="I14" t="s">
        <v>82</v>
      </c>
      <c r="J14" t="s">
        <v>177</v>
      </c>
      <c r="K14">
        <v>1.0567856299783294E-2</v>
      </c>
      <c r="L14" t="s">
        <v>84</v>
      </c>
      <c r="N14" t="s">
        <v>111</v>
      </c>
      <c r="O14" t="s">
        <v>177</v>
      </c>
      <c r="P14">
        <v>4.3965162491487351E-3</v>
      </c>
      <c r="Q14" t="s">
        <v>84</v>
      </c>
      <c r="S14" t="s">
        <v>126</v>
      </c>
      <c r="T14" t="s">
        <v>177</v>
      </c>
      <c r="U14">
        <v>3.9554147195334406E-3</v>
      </c>
      <c r="V14" t="s">
        <v>84</v>
      </c>
      <c r="X14">
        <v>3.5388127853881279E-3</v>
      </c>
      <c r="Y14">
        <v>6.8849497385409693E-3</v>
      </c>
      <c r="Z14" t="s">
        <v>177</v>
      </c>
      <c r="AA14" t="s">
        <v>239</v>
      </c>
      <c r="AC14" t="s">
        <v>240</v>
      </c>
      <c r="AD14" t="s">
        <v>177</v>
      </c>
      <c r="AE14">
        <v>2.8888684085137343E-3</v>
      </c>
      <c r="AG14" t="s">
        <v>27</v>
      </c>
      <c r="AH14" t="s">
        <v>177</v>
      </c>
      <c r="AI14">
        <v>4.769630815364212E-2</v>
      </c>
      <c r="AK14">
        <v>2020</v>
      </c>
      <c r="AL14" t="s">
        <v>80</v>
      </c>
      <c r="AM14">
        <v>0.46384145055871806</v>
      </c>
      <c r="AN14" t="s">
        <v>168</v>
      </c>
    </row>
    <row r="15" spans="1:40" x14ac:dyDescent="0.45">
      <c r="C15" t="s">
        <v>171</v>
      </c>
      <c r="E15" t="s">
        <v>172</v>
      </c>
      <c r="G15" t="s">
        <v>73</v>
      </c>
      <c r="I15" t="s">
        <v>82</v>
      </c>
      <c r="J15" t="s">
        <v>178</v>
      </c>
      <c r="K15">
        <v>9.4078835258249623E-3</v>
      </c>
      <c r="L15" t="s">
        <v>84</v>
      </c>
      <c r="N15" t="s">
        <v>111</v>
      </c>
      <c r="O15" t="s">
        <v>178</v>
      </c>
      <c r="P15">
        <v>4.3080541988071578E-3</v>
      </c>
      <c r="Q15" t="s">
        <v>84</v>
      </c>
      <c r="S15" t="s">
        <v>126</v>
      </c>
      <c r="T15" t="s">
        <v>178</v>
      </c>
      <c r="U15">
        <v>3.911441428243791E-3</v>
      </c>
      <c r="V15" t="s">
        <v>84</v>
      </c>
      <c r="X15">
        <v>3.5388127853881279E-3</v>
      </c>
      <c r="Y15">
        <v>5.3435430806586613E-3</v>
      </c>
      <c r="Z15" t="s">
        <v>178</v>
      </c>
      <c r="AA15" t="s">
        <v>239</v>
      </c>
      <c r="AC15" t="s">
        <v>240</v>
      </c>
      <c r="AD15" t="s">
        <v>178</v>
      </c>
      <c r="AE15">
        <v>3.3517518583378253E-3</v>
      </c>
      <c r="AG15" t="s">
        <v>27</v>
      </c>
      <c r="AH15" t="s">
        <v>178</v>
      </c>
      <c r="AI15">
        <v>8.9389987156230699E-2</v>
      </c>
      <c r="AK15">
        <v>2020</v>
      </c>
      <c r="AL15" t="s">
        <v>171</v>
      </c>
      <c r="AM15">
        <v>0.46211192810457508</v>
      </c>
      <c r="AN15" t="s">
        <v>168</v>
      </c>
    </row>
    <row r="16" spans="1:40" x14ac:dyDescent="0.45">
      <c r="C16" t="s">
        <v>173</v>
      </c>
      <c r="E16" t="s">
        <v>174</v>
      </c>
      <c r="G16" t="s">
        <v>73</v>
      </c>
      <c r="I16" t="s">
        <v>82</v>
      </c>
      <c r="J16" t="s">
        <v>179</v>
      </c>
      <c r="K16">
        <v>7.7347369509369627E-3</v>
      </c>
      <c r="L16" t="s">
        <v>84</v>
      </c>
      <c r="N16" t="s">
        <v>111</v>
      </c>
      <c r="O16" t="s">
        <v>179</v>
      </c>
      <c r="P16">
        <v>1.9443493126073737E-2</v>
      </c>
      <c r="Q16" t="s">
        <v>84</v>
      </c>
      <c r="S16" t="s">
        <v>126</v>
      </c>
      <c r="T16" t="s">
        <v>179</v>
      </c>
      <c r="U16">
        <v>1.8575418220902827E-2</v>
      </c>
      <c r="V16" t="s">
        <v>84</v>
      </c>
      <c r="X16">
        <v>1.7694063926940638E-2</v>
      </c>
      <c r="Y16">
        <v>1.3358857701646654E-2</v>
      </c>
      <c r="Z16" t="s">
        <v>179</v>
      </c>
      <c r="AA16" t="s">
        <v>239</v>
      </c>
      <c r="AC16" t="s">
        <v>240</v>
      </c>
      <c r="AD16" t="s">
        <v>179</v>
      </c>
      <c r="AE16">
        <v>1.8772667685821743E-2</v>
      </c>
      <c r="AG16" t="s">
        <v>27</v>
      </c>
      <c r="AH16" t="s">
        <v>179</v>
      </c>
      <c r="AI16">
        <v>7.3528596507437927E-2</v>
      </c>
      <c r="AK16">
        <v>2020</v>
      </c>
      <c r="AL16" t="s">
        <v>173</v>
      </c>
      <c r="AM16">
        <v>0.50502055660974055</v>
      </c>
      <c r="AN16" t="s">
        <v>168</v>
      </c>
    </row>
    <row r="17" spans="3:40" x14ac:dyDescent="0.45">
      <c r="C17" t="s">
        <v>175</v>
      </c>
      <c r="I17" t="s">
        <v>82</v>
      </c>
      <c r="J17" t="s">
        <v>87</v>
      </c>
      <c r="K17">
        <v>1.9521225503249217E-5</v>
      </c>
      <c r="L17" t="s">
        <v>84</v>
      </c>
      <c r="N17" t="s">
        <v>111</v>
      </c>
      <c r="O17" t="s">
        <v>87</v>
      </c>
      <c r="P17">
        <v>1.4985970773167757E-2</v>
      </c>
      <c r="Q17" t="s">
        <v>84</v>
      </c>
      <c r="S17" t="s">
        <v>126</v>
      </c>
      <c r="T17" t="s">
        <v>87</v>
      </c>
      <c r="U17">
        <v>3.0125242507421254E-2</v>
      </c>
      <c r="V17" t="s">
        <v>84</v>
      </c>
      <c r="X17">
        <v>2.2374429223744292E-2</v>
      </c>
      <c r="Y17">
        <v>8.8360722306474754E-3</v>
      </c>
      <c r="Z17" t="s">
        <v>87</v>
      </c>
      <c r="AA17" t="s">
        <v>239</v>
      </c>
      <c r="AC17" t="s">
        <v>240</v>
      </c>
      <c r="AD17" t="s">
        <v>87</v>
      </c>
      <c r="AE17">
        <v>2.4320456878082115E-2</v>
      </c>
      <c r="AG17" t="s">
        <v>27</v>
      </c>
      <c r="AH17" t="s">
        <v>87</v>
      </c>
      <c r="AI17">
        <v>4.9179699037579905E-2</v>
      </c>
      <c r="AK17">
        <v>2020</v>
      </c>
      <c r="AL17" t="s">
        <v>175</v>
      </c>
      <c r="AM17">
        <v>0.50403225806451613</v>
      </c>
      <c r="AN17" t="s">
        <v>168</v>
      </c>
    </row>
    <row r="18" spans="3:40" x14ac:dyDescent="0.45">
      <c r="C18" t="s">
        <v>176</v>
      </c>
      <c r="I18" t="s">
        <v>82</v>
      </c>
      <c r="J18" t="s">
        <v>88</v>
      </c>
      <c r="K18">
        <v>3.066475789032768E-2</v>
      </c>
      <c r="L18" t="s">
        <v>84</v>
      </c>
      <c r="N18" t="s">
        <v>111</v>
      </c>
      <c r="O18" t="s">
        <v>88</v>
      </c>
      <c r="P18">
        <v>7.6013200465799647E-3</v>
      </c>
      <c r="Q18" t="s">
        <v>84</v>
      </c>
      <c r="S18" t="s">
        <v>126</v>
      </c>
      <c r="T18" t="s">
        <v>88</v>
      </c>
      <c r="U18">
        <v>1.7599311911380141E-2</v>
      </c>
      <c r="V18" t="s">
        <v>84</v>
      </c>
      <c r="X18">
        <v>1.2785388127853882E-2</v>
      </c>
      <c r="Y18">
        <v>1.7412259983922967E-2</v>
      </c>
      <c r="Z18" t="s">
        <v>88</v>
      </c>
      <c r="AA18" t="s">
        <v>239</v>
      </c>
      <c r="AC18" t="s">
        <v>240</v>
      </c>
      <c r="AD18" t="s">
        <v>88</v>
      </c>
      <c r="AE18">
        <v>1.2526760686626118E-2</v>
      </c>
      <c r="AG18" t="s">
        <v>27</v>
      </c>
      <c r="AH18" t="s">
        <v>88</v>
      </c>
      <c r="AI18">
        <v>9.4022736527880513E-2</v>
      </c>
      <c r="AK18">
        <v>2020</v>
      </c>
      <c r="AL18" t="s">
        <v>176</v>
      </c>
      <c r="AM18">
        <v>0.50868549704828159</v>
      </c>
      <c r="AN18" t="s">
        <v>168</v>
      </c>
    </row>
    <row r="19" spans="3:40" x14ac:dyDescent="0.45">
      <c r="I19" t="s">
        <v>82</v>
      </c>
      <c r="J19" t="s">
        <v>89</v>
      </c>
      <c r="K19">
        <v>6.0385454142001832E-2</v>
      </c>
      <c r="L19" t="s">
        <v>84</v>
      </c>
      <c r="N19" t="s">
        <v>111</v>
      </c>
      <c r="O19" t="s">
        <v>89</v>
      </c>
      <c r="P19">
        <v>1.2823580404344044E-2</v>
      </c>
      <c r="Q19" t="s">
        <v>84</v>
      </c>
      <c r="S19" t="s">
        <v>126</v>
      </c>
      <c r="T19" t="s">
        <v>89</v>
      </c>
      <c r="U19">
        <v>2.6873653520120493E-2</v>
      </c>
      <c r="V19" t="s">
        <v>84</v>
      </c>
      <c r="X19">
        <v>1.9178082191780823E-2</v>
      </c>
      <c r="Y19">
        <v>2.7352841243401378E-2</v>
      </c>
      <c r="Z19" t="s">
        <v>89</v>
      </c>
      <c r="AA19" t="s">
        <v>239</v>
      </c>
      <c r="AC19" t="s">
        <v>240</v>
      </c>
      <c r="AD19" t="s">
        <v>89</v>
      </c>
      <c r="AE19">
        <v>1.3278655344992885E-2</v>
      </c>
      <c r="AG19" t="s">
        <v>27</v>
      </c>
      <c r="AH19" t="s">
        <v>89</v>
      </c>
      <c r="AI19">
        <v>7.0809483913471416E-2</v>
      </c>
      <c r="AK19">
        <v>2021</v>
      </c>
      <c r="AL19" t="s">
        <v>72</v>
      </c>
      <c r="AM19">
        <v>0.43732210626185958</v>
      </c>
      <c r="AN19" t="s">
        <v>168</v>
      </c>
    </row>
    <row r="20" spans="3:40" x14ac:dyDescent="0.45">
      <c r="I20" t="s">
        <v>82</v>
      </c>
      <c r="J20" t="s">
        <v>180</v>
      </c>
      <c r="K20">
        <v>9.0524913644038432E-3</v>
      </c>
      <c r="L20" t="s">
        <v>84</v>
      </c>
      <c r="N20" t="s">
        <v>111</v>
      </c>
      <c r="O20" t="s">
        <v>180</v>
      </c>
      <c r="P20">
        <v>2.3089262048028325E-3</v>
      </c>
      <c r="Q20" t="s">
        <v>84</v>
      </c>
      <c r="S20" t="s">
        <v>126</v>
      </c>
      <c r="T20" t="s">
        <v>180</v>
      </c>
      <c r="U20">
        <v>4.5180671039036944E-3</v>
      </c>
      <c r="V20" t="s">
        <v>84</v>
      </c>
      <c r="X20">
        <v>3.1963470319634705E-3</v>
      </c>
      <c r="Y20">
        <v>6.2186642799724884E-3</v>
      </c>
      <c r="Z20" t="s">
        <v>180</v>
      </c>
      <c r="AA20" t="s">
        <v>239</v>
      </c>
      <c r="AC20" t="s">
        <v>240</v>
      </c>
      <c r="AD20" t="s">
        <v>180</v>
      </c>
      <c r="AE20">
        <v>2.6016734713987673E-3</v>
      </c>
      <c r="AG20" t="s">
        <v>27</v>
      </c>
      <c r="AH20" t="s">
        <v>180</v>
      </c>
      <c r="AI20">
        <v>4.295158608391092E-2</v>
      </c>
      <c r="AK20">
        <v>2021</v>
      </c>
      <c r="AL20" t="s">
        <v>76</v>
      </c>
      <c r="AM20">
        <v>0.45135241596638648</v>
      </c>
      <c r="AN20" t="s">
        <v>168</v>
      </c>
    </row>
    <row r="21" spans="3:40" x14ac:dyDescent="0.45">
      <c r="I21" t="s">
        <v>82</v>
      </c>
      <c r="J21" t="s">
        <v>181</v>
      </c>
      <c r="K21">
        <v>7.9014363452491951E-3</v>
      </c>
      <c r="L21" t="s">
        <v>84</v>
      </c>
      <c r="N21" t="s">
        <v>111</v>
      </c>
      <c r="O21" t="s">
        <v>181</v>
      </c>
      <c r="P21">
        <v>2.2886932599637979E-3</v>
      </c>
      <c r="Q21" t="s">
        <v>84</v>
      </c>
      <c r="S21" t="s">
        <v>126</v>
      </c>
      <c r="T21" t="s">
        <v>181</v>
      </c>
      <c r="U21">
        <v>4.490616737257095E-3</v>
      </c>
      <c r="V21" t="s">
        <v>84</v>
      </c>
      <c r="X21">
        <v>3.1963470319634705E-3</v>
      </c>
      <c r="Y21">
        <v>4.8264260083368555E-3</v>
      </c>
      <c r="Z21" t="s">
        <v>181</v>
      </c>
      <c r="AA21" t="s">
        <v>239</v>
      </c>
      <c r="AC21" t="s">
        <v>240</v>
      </c>
      <c r="AD21" t="s">
        <v>181</v>
      </c>
      <c r="AE21">
        <v>3.019177588791124E-3</v>
      </c>
      <c r="AG21" t="s">
        <v>27</v>
      </c>
      <c r="AH21" t="s">
        <v>181</v>
      </c>
      <c r="AI21">
        <v>8.5249006982327513E-2</v>
      </c>
      <c r="AK21">
        <v>2021</v>
      </c>
      <c r="AL21" t="s">
        <v>78</v>
      </c>
      <c r="AM21">
        <v>0.43238061353573681</v>
      </c>
      <c r="AN21" t="s">
        <v>168</v>
      </c>
    </row>
    <row r="22" spans="3:40" x14ac:dyDescent="0.45">
      <c r="I22" t="s">
        <v>82</v>
      </c>
      <c r="J22" t="s">
        <v>182</v>
      </c>
      <c r="K22">
        <v>5.3435736687804788E-3</v>
      </c>
      <c r="L22" t="s">
        <v>84</v>
      </c>
      <c r="N22" t="s">
        <v>111</v>
      </c>
      <c r="O22" t="s">
        <v>182</v>
      </c>
      <c r="P22">
        <v>1.133466010121335E-2</v>
      </c>
      <c r="Q22" t="s">
        <v>84</v>
      </c>
      <c r="S22" t="s">
        <v>126</v>
      </c>
      <c r="T22" t="s">
        <v>182</v>
      </c>
      <c r="U22">
        <v>2.2147978440995576E-2</v>
      </c>
      <c r="V22" t="s">
        <v>84</v>
      </c>
      <c r="X22">
        <v>1.5981735159817351E-2</v>
      </c>
      <c r="Y22">
        <v>1.2066065020842141E-2</v>
      </c>
      <c r="Z22" t="s">
        <v>182</v>
      </c>
      <c r="AA22" t="s">
        <v>239</v>
      </c>
      <c r="AC22" t="s">
        <v>240</v>
      </c>
      <c r="AD22" t="s">
        <v>182</v>
      </c>
      <c r="AE22">
        <v>1.6910348290204848E-2</v>
      </c>
      <c r="AG22" t="s">
        <v>27</v>
      </c>
      <c r="AH22" t="s">
        <v>182</v>
      </c>
      <c r="AI22">
        <v>7.3855213449832924E-2</v>
      </c>
      <c r="AK22">
        <v>2021</v>
      </c>
      <c r="AL22" t="s">
        <v>80</v>
      </c>
      <c r="AM22">
        <v>0.42295059825005266</v>
      </c>
      <c r="AN22" t="s">
        <v>168</v>
      </c>
    </row>
    <row r="23" spans="3:40" x14ac:dyDescent="0.45">
      <c r="I23" t="s">
        <v>82</v>
      </c>
      <c r="J23" t="s">
        <v>90</v>
      </c>
      <c r="K23">
        <v>0</v>
      </c>
      <c r="L23" t="s">
        <v>84</v>
      </c>
      <c r="N23" t="s">
        <v>111</v>
      </c>
      <c r="O23" t="s">
        <v>90</v>
      </c>
      <c r="P23">
        <v>1.739423116940355E-2</v>
      </c>
      <c r="Q23" t="s">
        <v>84</v>
      </c>
      <c r="S23" t="s">
        <v>126</v>
      </c>
      <c r="T23" t="s">
        <v>90</v>
      </c>
      <c r="U23">
        <v>2.3754199588401127E-2</v>
      </c>
      <c r="V23" t="s">
        <v>84</v>
      </c>
      <c r="X23">
        <v>2.4771689497716895E-2</v>
      </c>
      <c r="Y23">
        <v>9.7827942553597048E-3</v>
      </c>
      <c r="Z23" t="s">
        <v>90</v>
      </c>
      <c r="AA23" t="s">
        <v>239</v>
      </c>
      <c r="AC23" t="s">
        <v>240</v>
      </c>
      <c r="AD23" t="s">
        <v>90</v>
      </c>
      <c r="AE23">
        <v>2.657636522791464E-2</v>
      </c>
      <c r="AG23" t="s">
        <v>27</v>
      </c>
      <c r="AH23" t="s">
        <v>90</v>
      </c>
      <c r="AI23">
        <v>6.3245169905943976E-2</v>
      </c>
      <c r="AK23">
        <v>2021</v>
      </c>
      <c r="AL23" t="s">
        <v>171</v>
      </c>
      <c r="AM23">
        <v>0.4697712418300653</v>
      </c>
      <c r="AN23" t="s">
        <v>168</v>
      </c>
    </row>
    <row r="24" spans="3:40" x14ac:dyDescent="0.45">
      <c r="I24" t="s">
        <v>82</v>
      </c>
      <c r="J24" t="s">
        <v>91</v>
      </c>
      <c r="K24">
        <v>2.5419241560188842E-2</v>
      </c>
      <c r="L24" t="s">
        <v>84</v>
      </c>
      <c r="N24" t="s">
        <v>111</v>
      </c>
      <c r="O24" t="s">
        <v>91</v>
      </c>
      <c r="P24">
        <v>9.9353289733509799E-3</v>
      </c>
      <c r="Q24" t="s">
        <v>84</v>
      </c>
      <c r="S24" t="s">
        <v>126</v>
      </c>
      <c r="T24" t="s">
        <v>91</v>
      </c>
      <c r="U24">
        <v>1.3764118276652781E-2</v>
      </c>
      <c r="V24" t="s">
        <v>84</v>
      </c>
      <c r="X24">
        <v>1.4155251141552512E-2</v>
      </c>
      <c r="Y24">
        <v>1.9277859267914713E-2</v>
      </c>
      <c r="Z24" t="s">
        <v>91</v>
      </c>
      <c r="AA24" t="s">
        <v>239</v>
      </c>
      <c r="AC24" t="s">
        <v>240</v>
      </c>
      <c r="AD24" t="s">
        <v>91</v>
      </c>
      <c r="AE24">
        <v>1.3719200476450526E-2</v>
      </c>
      <c r="AG24" t="s">
        <v>27</v>
      </c>
      <c r="AH24" t="s">
        <v>91</v>
      </c>
      <c r="AI24">
        <v>0.10125591257543642</v>
      </c>
      <c r="AK24">
        <v>2021</v>
      </c>
      <c r="AL24" t="s">
        <v>173</v>
      </c>
      <c r="AM24">
        <v>0.54537608053974285</v>
      </c>
      <c r="AN24" t="s">
        <v>168</v>
      </c>
    </row>
    <row r="25" spans="3:40" x14ac:dyDescent="0.45">
      <c r="I25" t="s">
        <v>82</v>
      </c>
      <c r="J25" t="s">
        <v>92</v>
      </c>
      <c r="K25">
        <v>5.3746392741990792E-2</v>
      </c>
      <c r="L25" t="s">
        <v>84</v>
      </c>
      <c r="N25" t="s">
        <v>111</v>
      </c>
      <c r="O25" t="s">
        <v>92</v>
      </c>
      <c r="P25">
        <v>1.5840702473148675E-2</v>
      </c>
      <c r="Q25" t="s">
        <v>84</v>
      </c>
      <c r="S25" t="s">
        <v>126</v>
      </c>
      <c r="T25" t="s">
        <v>92</v>
      </c>
      <c r="U25">
        <v>2.2001134687296163E-2</v>
      </c>
      <c r="V25" t="s">
        <v>84</v>
      </c>
      <c r="X25">
        <v>2.1232876712328767E-2</v>
      </c>
      <c r="Y25">
        <v>3.0283502805194377E-2</v>
      </c>
      <c r="Z25" t="s">
        <v>92</v>
      </c>
      <c r="AA25" t="s">
        <v>239</v>
      </c>
      <c r="AC25" t="s">
        <v>240</v>
      </c>
      <c r="AD25" t="s">
        <v>92</v>
      </c>
      <c r="AE25">
        <v>1.4603486919803727E-2</v>
      </c>
      <c r="AG25" t="s">
        <v>27</v>
      </c>
      <c r="AH25" t="s">
        <v>92</v>
      </c>
      <c r="AI25">
        <v>6.7234198726643157E-2</v>
      </c>
      <c r="AK25">
        <v>2021</v>
      </c>
      <c r="AL25" t="s">
        <v>175</v>
      </c>
      <c r="AM25">
        <v>0.53862270714737503</v>
      </c>
      <c r="AN25" t="s">
        <v>168</v>
      </c>
    </row>
    <row r="26" spans="3:40" x14ac:dyDescent="0.45">
      <c r="I26" t="s">
        <v>82</v>
      </c>
      <c r="J26" t="s">
        <v>183</v>
      </c>
      <c r="K26">
        <v>7.6232417221596994E-3</v>
      </c>
      <c r="L26" t="s">
        <v>84</v>
      </c>
      <c r="N26" t="s">
        <v>111</v>
      </c>
      <c r="O26" t="s">
        <v>183</v>
      </c>
      <c r="P26">
        <v>2.648894608935747E-3</v>
      </c>
      <c r="Q26" t="s">
        <v>84</v>
      </c>
      <c r="S26" t="s">
        <v>126</v>
      </c>
      <c r="T26" t="s">
        <v>183</v>
      </c>
      <c r="U26">
        <v>3.8209577525813278E-3</v>
      </c>
      <c r="V26" t="s">
        <v>84</v>
      </c>
      <c r="X26">
        <v>3.5388127853881279E-3</v>
      </c>
      <c r="Y26">
        <v>6.8849497385409693E-3</v>
      </c>
      <c r="Z26" t="s">
        <v>183</v>
      </c>
      <c r="AA26" t="s">
        <v>239</v>
      </c>
      <c r="AC26" t="s">
        <v>240</v>
      </c>
      <c r="AD26" t="s">
        <v>183</v>
      </c>
      <c r="AE26">
        <v>2.8599027211659439E-3</v>
      </c>
      <c r="AG26" t="s">
        <v>27</v>
      </c>
      <c r="AH26" t="s">
        <v>183</v>
      </c>
      <c r="AI26">
        <v>5.4724375036419692E-2</v>
      </c>
      <c r="AK26">
        <v>2021</v>
      </c>
      <c r="AL26" t="s">
        <v>176</v>
      </c>
      <c r="AM26">
        <v>0.52120394528779257</v>
      </c>
      <c r="AN26" t="s">
        <v>168</v>
      </c>
    </row>
    <row r="27" spans="3:40" x14ac:dyDescent="0.45">
      <c r="I27" t="s">
        <v>82</v>
      </c>
      <c r="J27" t="s">
        <v>184</v>
      </c>
      <c r="K27">
        <v>6.1286985763506184E-3</v>
      </c>
      <c r="L27" t="s">
        <v>84</v>
      </c>
      <c r="N27" t="s">
        <v>111</v>
      </c>
      <c r="O27" t="s">
        <v>184</v>
      </c>
      <c r="P27">
        <v>2.6421816970874762E-3</v>
      </c>
      <c r="Q27" t="s">
        <v>84</v>
      </c>
      <c r="S27" t="s">
        <v>126</v>
      </c>
      <c r="T27" t="s">
        <v>184</v>
      </c>
      <c r="U27">
        <v>3.8358859577114959E-3</v>
      </c>
      <c r="V27" t="s">
        <v>84</v>
      </c>
      <c r="X27">
        <v>3.5388127853881279E-3</v>
      </c>
      <c r="Y27">
        <v>5.3435430806586613E-3</v>
      </c>
      <c r="Z27" t="s">
        <v>184</v>
      </c>
      <c r="AA27" t="s">
        <v>239</v>
      </c>
      <c r="AC27" t="s">
        <v>240</v>
      </c>
      <c r="AD27" t="s">
        <v>184</v>
      </c>
      <c r="AE27">
        <v>3.3137316930342922E-3</v>
      </c>
      <c r="AG27" t="s">
        <v>27</v>
      </c>
      <c r="AH27" t="s">
        <v>184</v>
      </c>
      <c r="AI27">
        <v>9.8500856558169314E-2</v>
      </c>
      <c r="AK27">
        <v>2022</v>
      </c>
      <c r="AL27" t="s">
        <v>72</v>
      </c>
      <c r="AM27">
        <v>0.45670528547629868</v>
      </c>
      <c r="AN27" t="s">
        <v>168</v>
      </c>
    </row>
    <row r="28" spans="3:40" x14ac:dyDescent="0.45">
      <c r="I28" t="s">
        <v>82</v>
      </c>
      <c r="J28" t="s">
        <v>185</v>
      </c>
      <c r="K28">
        <v>1.3351280726390463E-3</v>
      </c>
      <c r="L28" t="s">
        <v>84</v>
      </c>
      <c r="N28" t="s">
        <v>111</v>
      </c>
      <c r="O28" t="s">
        <v>185</v>
      </c>
      <c r="P28">
        <v>1.2578828596512064E-2</v>
      </c>
      <c r="Q28" t="s">
        <v>84</v>
      </c>
      <c r="S28" t="s">
        <v>126</v>
      </c>
      <c r="T28" t="s">
        <v>185</v>
      </c>
      <c r="U28">
        <v>1.8359008357708387E-2</v>
      </c>
      <c r="V28" t="s">
        <v>84</v>
      </c>
      <c r="X28">
        <v>1.7694063926940638E-2</v>
      </c>
      <c r="Y28">
        <v>1.3358857701646654E-2</v>
      </c>
      <c r="Z28" t="s">
        <v>185</v>
      </c>
      <c r="AA28" t="s">
        <v>239</v>
      </c>
      <c r="AC28" t="s">
        <v>240</v>
      </c>
      <c r="AD28" t="s">
        <v>185</v>
      </c>
      <c r="AE28">
        <v>1.8478476010364044E-2</v>
      </c>
      <c r="AG28" t="s">
        <v>27</v>
      </c>
      <c r="AH28" t="s">
        <v>185</v>
      </c>
      <c r="AI28">
        <v>8.5831249144549426E-2</v>
      </c>
      <c r="AK28">
        <v>2022</v>
      </c>
      <c r="AL28" t="s">
        <v>76</v>
      </c>
      <c r="AM28">
        <v>0.44276073105298458</v>
      </c>
      <c r="AN28" t="s">
        <v>168</v>
      </c>
    </row>
    <row r="29" spans="3:40" x14ac:dyDescent="0.45">
      <c r="I29" t="s">
        <v>82</v>
      </c>
      <c r="J29" t="s">
        <v>93</v>
      </c>
      <c r="K29">
        <v>0</v>
      </c>
      <c r="L29" t="s">
        <v>84</v>
      </c>
      <c r="N29" t="s">
        <v>111</v>
      </c>
      <c r="O29" t="s">
        <v>93</v>
      </c>
      <c r="P29">
        <v>4.6108664583707999E-2</v>
      </c>
      <c r="Q29" t="s">
        <v>84</v>
      </c>
      <c r="S29" t="s">
        <v>126</v>
      </c>
      <c r="T29" t="s">
        <v>93</v>
      </c>
      <c r="U29">
        <v>4.6980910795041964E-2</v>
      </c>
      <c r="V29" t="s">
        <v>84</v>
      </c>
      <c r="X29">
        <v>4.8744292237442921E-2</v>
      </c>
      <c r="Y29">
        <v>1.9250014502482003E-2</v>
      </c>
      <c r="Z29" t="s">
        <v>93</v>
      </c>
      <c r="AA29" t="s">
        <v>239</v>
      </c>
      <c r="AC29" t="s">
        <v>240</v>
      </c>
      <c r="AD29" t="s">
        <v>93</v>
      </c>
      <c r="AE29">
        <v>5.4699967707002035E-2</v>
      </c>
      <c r="AG29" t="s">
        <v>27</v>
      </c>
      <c r="AH29" t="s">
        <v>93</v>
      </c>
      <c r="AI29">
        <v>0.19001068869164039</v>
      </c>
      <c r="AK29">
        <v>2022</v>
      </c>
      <c r="AL29" t="s">
        <v>78</v>
      </c>
      <c r="AM29">
        <v>0.42594275329395731</v>
      </c>
      <c r="AN29" t="s">
        <v>168</v>
      </c>
    </row>
    <row r="30" spans="3:40" x14ac:dyDescent="0.45">
      <c r="I30" t="s">
        <v>82</v>
      </c>
      <c r="J30" t="s">
        <v>94</v>
      </c>
      <c r="K30">
        <v>2.7554230834063987E-2</v>
      </c>
      <c r="L30" t="s">
        <v>84</v>
      </c>
      <c r="N30" t="s">
        <v>111</v>
      </c>
      <c r="O30" t="s">
        <v>94</v>
      </c>
      <c r="P30">
        <v>2.6855774217183662E-2</v>
      </c>
      <c r="Q30" t="s">
        <v>84</v>
      </c>
      <c r="S30" t="s">
        <v>126</v>
      </c>
      <c r="T30" t="s">
        <v>94</v>
      </c>
      <c r="U30">
        <v>2.7335634228864817E-2</v>
      </c>
      <c r="V30" t="s">
        <v>84</v>
      </c>
      <c r="X30">
        <v>2.7853881278538814E-2</v>
      </c>
      <c r="Y30">
        <v>3.7933852107832171E-2</v>
      </c>
      <c r="Z30" t="s">
        <v>94</v>
      </c>
      <c r="AA30" t="s">
        <v>239</v>
      </c>
      <c r="AC30" t="s">
        <v>240</v>
      </c>
      <c r="AD30" t="s">
        <v>94</v>
      </c>
      <c r="AE30">
        <v>3.0267741903327598E-2</v>
      </c>
      <c r="AG30" t="s">
        <v>27</v>
      </c>
      <c r="AH30" t="s">
        <v>94</v>
      </c>
      <c r="AI30">
        <v>0.21001996900563613</v>
      </c>
      <c r="AK30">
        <v>2022</v>
      </c>
      <c r="AL30" t="s">
        <v>80</v>
      </c>
      <c r="AM30">
        <v>0.42298481750719374</v>
      </c>
      <c r="AN30" t="s">
        <v>168</v>
      </c>
    </row>
    <row r="31" spans="3:40" x14ac:dyDescent="0.45">
      <c r="I31" t="s">
        <v>82</v>
      </c>
      <c r="J31" t="s">
        <v>95</v>
      </c>
      <c r="K31">
        <v>6.6179354257908884E-2</v>
      </c>
      <c r="L31" t="s">
        <v>84</v>
      </c>
      <c r="N31" t="s">
        <v>111</v>
      </c>
      <c r="O31" t="s">
        <v>95</v>
      </c>
      <c r="P31">
        <v>4.243663025707882E-2</v>
      </c>
      <c r="Q31" t="s">
        <v>84</v>
      </c>
      <c r="S31" t="s">
        <v>126</v>
      </c>
      <c r="T31" t="s">
        <v>95</v>
      </c>
      <c r="U31">
        <v>4.0516112795727886E-2</v>
      </c>
      <c r="V31" t="s">
        <v>84</v>
      </c>
      <c r="X31">
        <v>4.1780821917808221E-2</v>
      </c>
      <c r="Y31">
        <v>5.9590118423124429E-2</v>
      </c>
      <c r="Z31" t="s">
        <v>95</v>
      </c>
      <c r="AA31" t="s">
        <v>239</v>
      </c>
      <c r="AC31" t="s">
        <v>240</v>
      </c>
      <c r="AD31" t="s">
        <v>95</v>
      </c>
      <c r="AE31">
        <v>3.026085027809227E-2</v>
      </c>
      <c r="AG31" t="s">
        <v>27</v>
      </c>
      <c r="AH31" t="s">
        <v>95</v>
      </c>
      <c r="AI31">
        <v>0.24496508370704495</v>
      </c>
      <c r="AK31">
        <v>2022</v>
      </c>
      <c r="AL31" t="s">
        <v>171</v>
      </c>
      <c r="AM31">
        <v>0.51594287949921747</v>
      </c>
      <c r="AN31" t="s">
        <v>168</v>
      </c>
    </row>
    <row r="32" spans="3:40" x14ac:dyDescent="0.45">
      <c r="I32" t="s">
        <v>82</v>
      </c>
      <c r="J32" t="s">
        <v>186</v>
      </c>
      <c r="K32">
        <v>7.9950934940566966E-3</v>
      </c>
      <c r="L32" t="s">
        <v>84</v>
      </c>
      <c r="N32" t="s">
        <v>111</v>
      </c>
      <c r="O32" t="s">
        <v>186</v>
      </c>
      <c r="P32">
        <v>7.0155457536233701E-3</v>
      </c>
      <c r="Q32" t="s">
        <v>84</v>
      </c>
      <c r="S32" t="s">
        <v>126</v>
      </c>
      <c r="T32" t="s">
        <v>186</v>
      </c>
      <c r="U32">
        <v>6.6093236617444208E-3</v>
      </c>
      <c r="V32" t="s">
        <v>84</v>
      </c>
      <c r="X32">
        <v>6.9634703196347035E-3</v>
      </c>
      <c r="Y32">
        <v>1.354780432422577E-2</v>
      </c>
      <c r="Z32" t="s">
        <v>186</v>
      </c>
      <c r="AA32" t="s">
        <v>239</v>
      </c>
      <c r="AC32" t="s">
        <v>240</v>
      </c>
      <c r="AD32" t="s">
        <v>186</v>
      </c>
      <c r="AE32">
        <v>5.1845918182678715E-3</v>
      </c>
      <c r="AG32" t="s">
        <v>27</v>
      </c>
      <c r="AH32" t="s">
        <v>186</v>
      </c>
      <c r="AI32">
        <v>0.10567861332753226</v>
      </c>
      <c r="AK32">
        <v>2022</v>
      </c>
      <c r="AL32" t="s">
        <v>173</v>
      </c>
      <c r="AM32">
        <v>0.57586408534841071</v>
      </c>
      <c r="AN32" t="s">
        <v>168</v>
      </c>
    </row>
    <row r="33" spans="9:40" x14ac:dyDescent="0.45">
      <c r="I33" t="s">
        <v>82</v>
      </c>
      <c r="J33" t="s">
        <v>187</v>
      </c>
      <c r="K33">
        <v>2.0066492634273191E-3</v>
      </c>
      <c r="L33" t="s">
        <v>84</v>
      </c>
      <c r="N33" t="s">
        <v>111</v>
      </c>
      <c r="O33" t="s">
        <v>187</v>
      </c>
      <c r="P33">
        <v>7.0363125166566102E-3</v>
      </c>
      <c r="Q33" t="s">
        <v>84</v>
      </c>
      <c r="S33" t="s">
        <v>126</v>
      </c>
      <c r="T33" t="s">
        <v>187</v>
      </c>
      <c r="U33">
        <v>6.5145178675228097E-3</v>
      </c>
      <c r="V33" t="s">
        <v>84</v>
      </c>
      <c r="X33">
        <v>6.9634703196347035E-3</v>
      </c>
      <c r="Y33">
        <v>1.0514713803876726E-2</v>
      </c>
      <c r="Z33" t="s">
        <v>187</v>
      </c>
      <c r="AA33" t="s">
        <v>239</v>
      </c>
      <c r="AC33" t="s">
        <v>240</v>
      </c>
      <c r="AD33" t="s">
        <v>187</v>
      </c>
      <c r="AE33">
        <v>6.0119358295861094E-3</v>
      </c>
      <c r="AG33" t="s">
        <v>27</v>
      </c>
      <c r="AH33" t="s">
        <v>187</v>
      </c>
      <c r="AI33">
        <v>0.15356820878662725</v>
      </c>
      <c r="AK33">
        <v>2022</v>
      </c>
      <c r="AL33" t="s">
        <v>175</v>
      </c>
      <c r="AM33">
        <v>0.544260184764501</v>
      </c>
      <c r="AN33" t="s">
        <v>168</v>
      </c>
    </row>
    <row r="34" spans="9:40" x14ac:dyDescent="0.45">
      <c r="I34" t="s">
        <v>82</v>
      </c>
      <c r="J34" t="s">
        <v>188</v>
      </c>
      <c r="K34">
        <v>0</v>
      </c>
      <c r="L34" t="s">
        <v>84</v>
      </c>
      <c r="N34" t="s">
        <v>111</v>
      </c>
      <c r="O34" t="s">
        <v>188</v>
      </c>
      <c r="P34">
        <v>3.3157604925628401E-2</v>
      </c>
      <c r="Q34" t="s">
        <v>84</v>
      </c>
      <c r="S34" t="s">
        <v>126</v>
      </c>
      <c r="T34" t="s">
        <v>188</v>
      </c>
      <c r="U34">
        <v>3.2005904830511391E-2</v>
      </c>
      <c r="V34" t="s">
        <v>84</v>
      </c>
      <c r="X34">
        <v>3.4817351598173514E-2</v>
      </c>
      <c r="Y34">
        <v>2.6286784509691803E-2</v>
      </c>
      <c r="Z34" t="s">
        <v>188</v>
      </c>
      <c r="AA34" t="s">
        <v>239</v>
      </c>
      <c r="AC34" t="s">
        <v>240</v>
      </c>
      <c r="AD34" t="s">
        <v>188</v>
      </c>
      <c r="AE34">
        <v>3.7399795080651291E-2</v>
      </c>
      <c r="AG34" t="s">
        <v>27</v>
      </c>
      <c r="AH34" t="s">
        <v>188</v>
      </c>
      <c r="AI34">
        <v>0.16953158453087291</v>
      </c>
      <c r="AK34">
        <v>2022</v>
      </c>
      <c r="AL34" t="s">
        <v>176</v>
      </c>
      <c r="AM34">
        <v>0.55699902821949621</v>
      </c>
      <c r="AN34" t="s">
        <v>168</v>
      </c>
    </row>
    <row r="35" spans="9:40" x14ac:dyDescent="0.45">
      <c r="I35" t="s">
        <v>82</v>
      </c>
      <c r="J35" t="s">
        <v>189</v>
      </c>
      <c r="K35">
        <v>0</v>
      </c>
      <c r="L35" t="s">
        <v>84</v>
      </c>
      <c r="N35" t="s">
        <v>111</v>
      </c>
      <c r="O35" t="s">
        <v>189</v>
      </c>
      <c r="P35">
        <v>2.2333703766040672E-2</v>
      </c>
      <c r="Q35" t="s">
        <v>84</v>
      </c>
      <c r="S35" t="s">
        <v>126</v>
      </c>
      <c r="T35" t="s">
        <v>189</v>
      </c>
      <c r="U35">
        <v>3.3925078717178599E-2</v>
      </c>
      <c r="V35" t="s">
        <v>84</v>
      </c>
      <c r="X35">
        <v>2.3972602739726026E-2</v>
      </c>
      <c r="Y35">
        <v>9.4672202471222967E-3</v>
      </c>
      <c r="Z35" t="s">
        <v>189</v>
      </c>
      <c r="AA35" t="s">
        <v>239</v>
      </c>
      <c r="AC35" t="s">
        <v>240</v>
      </c>
      <c r="AD35" t="s">
        <v>189</v>
      </c>
      <c r="AE35">
        <v>2.9262689938114154E-2</v>
      </c>
      <c r="AG35" t="s">
        <v>27</v>
      </c>
      <c r="AH35" t="s">
        <v>189</v>
      </c>
      <c r="AI35">
        <v>0.13649484604592166</v>
      </c>
      <c r="AK35">
        <v>2025</v>
      </c>
      <c r="AL35" t="s">
        <v>72</v>
      </c>
      <c r="AM35">
        <v>0.47420000000000001</v>
      </c>
      <c r="AN35" t="s">
        <v>168</v>
      </c>
    </row>
    <row r="36" spans="9:40" x14ac:dyDescent="0.45">
      <c r="I36" t="s">
        <v>82</v>
      </c>
      <c r="J36" t="s">
        <v>190</v>
      </c>
      <c r="K36">
        <v>6.4733097878018862E-3</v>
      </c>
      <c r="L36" t="s">
        <v>84</v>
      </c>
      <c r="N36" t="s">
        <v>111</v>
      </c>
      <c r="O36" t="s">
        <v>190</v>
      </c>
      <c r="P36">
        <v>1.218070814491445E-2</v>
      </c>
      <c r="Q36" t="s">
        <v>84</v>
      </c>
      <c r="S36" t="s">
        <v>126</v>
      </c>
      <c r="T36" t="s">
        <v>190</v>
      </c>
      <c r="U36">
        <v>1.9247126832521062E-2</v>
      </c>
      <c r="V36" t="s">
        <v>84</v>
      </c>
      <c r="X36">
        <v>1.3698630136986301E-2</v>
      </c>
      <c r="Y36">
        <v>1.8655992839917462E-2</v>
      </c>
      <c r="Z36" t="s">
        <v>190</v>
      </c>
      <c r="AA36" t="s">
        <v>239</v>
      </c>
      <c r="AC36" t="s">
        <v>240</v>
      </c>
      <c r="AD36" t="s">
        <v>190</v>
      </c>
      <c r="AE36">
        <v>1.6594860988737279E-2</v>
      </c>
      <c r="AG36" t="s">
        <v>27</v>
      </c>
      <c r="AH36" t="s">
        <v>190</v>
      </c>
      <c r="AI36">
        <v>0.14011669450325925</v>
      </c>
      <c r="AK36">
        <v>2025</v>
      </c>
      <c r="AL36" t="s">
        <v>76</v>
      </c>
      <c r="AM36">
        <v>0.50629999999999997</v>
      </c>
      <c r="AN36" t="s">
        <v>168</v>
      </c>
    </row>
    <row r="37" spans="9:40" x14ac:dyDescent="0.45">
      <c r="I37" t="s">
        <v>82</v>
      </c>
      <c r="J37" t="s">
        <v>191</v>
      </c>
      <c r="K37">
        <v>2.0585180275666467E-2</v>
      </c>
      <c r="L37" t="s">
        <v>84</v>
      </c>
      <c r="N37" t="s">
        <v>111</v>
      </c>
      <c r="O37" t="s">
        <v>191</v>
      </c>
      <c r="P37">
        <v>1.7566220209362965E-2</v>
      </c>
      <c r="Q37" t="s">
        <v>84</v>
      </c>
      <c r="S37" t="s">
        <v>126</v>
      </c>
      <c r="T37" t="s">
        <v>191</v>
      </c>
      <c r="U37">
        <v>2.8999591132722068E-2</v>
      </c>
      <c r="V37" t="s">
        <v>84</v>
      </c>
      <c r="X37">
        <v>2.0547945205479451E-2</v>
      </c>
      <c r="Y37">
        <v>2.9306615617930045E-2</v>
      </c>
      <c r="Z37" t="s">
        <v>191</v>
      </c>
      <c r="AA37" t="s">
        <v>239</v>
      </c>
      <c r="AC37" t="s">
        <v>240</v>
      </c>
      <c r="AD37" t="s">
        <v>191</v>
      </c>
      <c r="AE37">
        <v>1.6415535562755903E-2</v>
      </c>
      <c r="AG37" t="s">
        <v>27</v>
      </c>
      <c r="AH37" t="s">
        <v>191</v>
      </c>
      <c r="AI37">
        <v>0.25061332542191073</v>
      </c>
      <c r="AK37">
        <v>2025</v>
      </c>
      <c r="AL37" t="s">
        <v>78</v>
      </c>
      <c r="AM37">
        <v>0.4834</v>
      </c>
      <c r="AN37" t="s">
        <v>168</v>
      </c>
    </row>
    <row r="38" spans="9:40" x14ac:dyDescent="0.45">
      <c r="I38" t="s">
        <v>82</v>
      </c>
      <c r="J38" t="s">
        <v>192</v>
      </c>
      <c r="K38">
        <v>2.450114261021645E-3</v>
      </c>
      <c r="L38" t="s">
        <v>84</v>
      </c>
      <c r="N38" t="s">
        <v>111</v>
      </c>
      <c r="O38" t="s">
        <v>192</v>
      </c>
      <c r="P38">
        <v>3.0514463773639996E-3</v>
      </c>
      <c r="Q38" t="s">
        <v>84</v>
      </c>
      <c r="S38" t="s">
        <v>126</v>
      </c>
      <c r="T38" t="s">
        <v>192</v>
      </c>
      <c r="U38">
        <v>4.80417276534441E-3</v>
      </c>
      <c r="V38" t="s">
        <v>84</v>
      </c>
      <c r="X38">
        <v>3.4246575342465752E-3</v>
      </c>
      <c r="Y38">
        <v>6.662854585684809E-3</v>
      </c>
      <c r="Z38" t="s">
        <v>192</v>
      </c>
      <c r="AA38" t="s">
        <v>239</v>
      </c>
      <c r="AC38" t="s">
        <v>240</v>
      </c>
      <c r="AD38" t="s">
        <v>192</v>
      </c>
      <c r="AE38">
        <v>2.8707238079250961E-3</v>
      </c>
      <c r="AG38" t="s">
        <v>27</v>
      </c>
      <c r="AH38" t="s">
        <v>192</v>
      </c>
      <c r="AI38">
        <v>5.3483883848355118E-2</v>
      </c>
      <c r="AK38">
        <v>2025</v>
      </c>
      <c r="AL38" t="s">
        <v>80</v>
      </c>
      <c r="AM38">
        <v>0.49914999999999998</v>
      </c>
      <c r="AN38" t="s">
        <v>168</v>
      </c>
    </row>
    <row r="39" spans="9:40" x14ac:dyDescent="0.45">
      <c r="I39" t="s">
        <v>82</v>
      </c>
      <c r="J39" t="s">
        <v>193</v>
      </c>
      <c r="K39">
        <v>0</v>
      </c>
      <c r="L39" t="s">
        <v>84</v>
      </c>
      <c r="N39" t="s">
        <v>111</v>
      </c>
      <c r="O39" t="s">
        <v>193</v>
      </c>
      <c r="P39">
        <v>3.0757181953937366E-3</v>
      </c>
      <c r="Q39" t="s">
        <v>84</v>
      </c>
      <c r="S39" t="s">
        <v>126</v>
      </c>
      <c r="T39" t="s">
        <v>193</v>
      </c>
      <c r="U39">
        <v>4.7407935020689421E-3</v>
      </c>
      <c r="V39" t="s">
        <v>84</v>
      </c>
      <c r="X39">
        <v>3.4246575342465752E-3</v>
      </c>
      <c r="Y39">
        <v>5.1711707232180593E-3</v>
      </c>
      <c r="Z39" t="s">
        <v>193</v>
      </c>
      <c r="AA39" t="s">
        <v>239</v>
      </c>
      <c r="AC39" t="s">
        <v>240</v>
      </c>
      <c r="AD39" t="s">
        <v>193</v>
      </c>
      <c r="AE39">
        <v>3.4975146972787332E-3</v>
      </c>
      <c r="AG39" t="s">
        <v>27</v>
      </c>
      <c r="AH39" t="s">
        <v>193</v>
      </c>
      <c r="AI39">
        <v>0.13447192775814676</v>
      </c>
      <c r="AK39">
        <v>2025</v>
      </c>
      <c r="AL39" t="s">
        <v>171</v>
      </c>
      <c r="AM39">
        <v>0.51870000000000005</v>
      </c>
      <c r="AN39" t="s">
        <v>168</v>
      </c>
    </row>
    <row r="40" spans="9:40" x14ac:dyDescent="0.45">
      <c r="I40" t="s">
        <v>82</v>
      </c>
      <c r="J40" t="s">
        <v>194</v>
      </c>
      <c r="K40">
        <v>0</v>
      </c>
      <c r="L40" t="s">
        <v>84</v>
      </c>
      <c r="N40" t="s">
        <v>111</v>
      </c>
      <c r="O40" t="s">
        <v>194</v>
      </c>
      <c r="P40">
        <v>1.5722070607830294E-2</v>
      </c>
      <c r="Q40" t="s">
        <v>84</v>
      </c>
      <c r="S40" t="s">
        <v>126</v>
      </c>
      <c r="T40" t="s">
        <v>194</v>
      </c>
      <c r="U40">
        <v>2.2841141414312118E-2</v>
      </c>
      <c r="V40" t="s">
        <v>84</v>
      </c>
      <c r="X40">
        <v>1.7123287671232876E-2</v>
      </c>
      <c r="Y40">
        <v>1.2927926808045149E-2</v>
      </c>
      <c r="Z40" t="s">
        <v>194</v>
      </c>
      <c r="AA40" t="s">
        <v>239</v>
      </c>
      <c r="AC40" t="s">
        <v>240</v>
      </c>
      <c r="AD40" t="s">
        <v>194</v>
      </c>
      <c r="AE40">
        <v>2.0858441557153454E-2</v>
      </c>
      <c r="AG40" t="s">
        <v>27</v>
      </c>
      <c r="AH40" t="s">
        <v>194</v>
      </c>
      <c r="AI40">
        <v>0.16518626093417543</v>
      </c>
      <c r="AK40">
        <v>2025</v>
      </c>
      <c r="AL40" t="s">
        <v>173</v>
      </c>
      <c r="AM40">
        <v>0.52516666666666667</v>
      </c>
      <c r="AN40" t="s">
        <v>168</v>
      </c>
    </row>
    <row r="41" spans="9:40" x14ac:dyDescent="0.45">
      <c r="I41" t="s">
        <v>82</v>
      </c>
      <c r="J41" t="s">
        <v>195</v>
      </c>
      <c r="K41">
        <v>0</v>
      </c>
      <c r="L41" t="s">
        <v>84</v>
      </c>
      <c r="N41" t="s">
        <v>111</v>
      </c>
      <c r="O41" t="s">
        <v>195</v>
      </c>
      <c r="P41">
        <v>8.2351135530327468E-2</v>
      </c>
      <c r="Q41" t="s">
        <v>84</v>
      </c>
      <c r="S41" t="s">
        <v>126</v>
      </c>
      <c r="T41" t="s">
        <v>195</v>
      </c>
      <c r="U41">
        <v>8.1576795158282756E-2</v>
      </c>
      <c r="V41" t="s">
        <v>84</v>
      </c>
      <c r="X41">
        <v>7.3515981735159816E-2</v>
      </c>
      <c r="Y41">
        <v>2.9032808757841703E-2</v>
      </c>
      <c r="Z41" t="s">
        <v>195</v>
      </c>
      <c r="AA41" t="s">
        <v>239</v>
      </c>
      <c r="AC41" t="s">
        <v>240</v>
      </c>
      <c r="AD41" t="s">
        <v>195</v>
      </c>
      <c r="AE41">
        <v>8.9347711205685326E-2</v>
      </c>
      <c r="AG41" t="s">
        <v>27</v>
      </c>
      <c r="AH41" t="s">
        <v>195</v>
      </c>
      <c r="AI41">
        <v>0.16554389641884248</v>
      </c>
      <c r="AK41">
        <v>2025</v>
      </c>
      <c r="AL41" t="s">
        <v>175</v>
      </c>
      <c r="AM41">
        <v>0.52439999999999998</v>
      </c>
      <c r="AN41" t="s">
        <v>168</v>
      </c>
    </row>
    <row r="42" spans="9:40" x14ac:dyDescent="0.45">
      <c r="I42" t="s">
        <v>82</v>
      </c>
      <c r="J42" t="s">
        <v>196</v>
      </c>
      <c r="K42">
        <v>4.0327636738248268E-2</v>
      </c>
      <c r="L42" t="s">
        <v>84</v>
      </c>
      <c r="N42" t="s">
        <v>111</v>
      </c>
      <c r="O42" t="s">
        <v>196</v>
      </c>
      <c r="P42">
        <v>4.7583527367179308E-2</v>
      </c>
      <c r="Q42" t="s">
        <v>84</v>
      </c>
      <c r="S42" t="s">
        <v>126</v>
      </c>
      <c r="T42" t="s">
        <v>196</v>
      </c>
      <c r="U42">
        <v>4.7363487690845966E-2</v>
      </c>
      <c r="V42" t="s">
        <v>84</v>
      </c>
      <c r="X42">
        <v>4.2009132420091327E-2</v>
      </c>
      <c r="Y42">
        <v>5.721171137574689E-2</v>
      </c>
      <c r="Z42" t="s">
        <v>196</v>
      </c>
      <c r="AA42" t="s">
        <v>239</v>
      </c>
      <c r="AC42" t="s">
        <v>240</v>
      </c>
      <c r="AD42" t="s">
        <v>196</v>
      </c>
      <c r="AE42">
        <v>5.0748904468000976E-2</v>
      </c>
      <c r="AG42" t="s">
        <v>27</v>
      </c>
      <c r="AH42" t="s">
        <v>196</v>
      </c>
      <c r="AI42">
        <v>0.17138772811993608</v>
      </c>
      <c r="AK42">
        <v>2025</v>
      </c>
      <c r="AL42" t="s">
        <v>176</v>
      </c>
      <c r="AM42">
        <v>0.50445000000000007</v>
      </c>
      <c r="AN42" t="s">
        <v>168</v>
      </c>
    </row>
    <row r="43" spans="9:40" x14ac:dyDescent="0.45">
      <c r="I43" t="s">
        <v>82</v>
      </c>
      <c r="J43" t="s">
        <v>197</v>
      </c>
      <c r="K43">
        <v>0.10172351018781468</v>
      </c>
      <c r="L43" t="s">
        <v>84</v>
      </c>
      <c r="N43" t="s">
        <v>111</v>
      </c>
      <c r="O43" t="s">
        <v>197</v>
      </c>
      <c r="P43">
        <v>7.5202290354931922E-2</v>
      </c>
      <c r="Q43" t="s">
        <v>84</v>
      </c>
      <c r="S43" t="s">
        <v>126</v>
      </c>
      <c r="T43" t="s">
        <v>197</v>
      </c>
      <c r="U43">
        <v>7.1596241175866021E-2</v>
      </c>
      <c r="V43" t="s">
        <v>84</v>
      </c>
      <c r="X43">
        <v>6.3013698630136991E-2</v>
      </c>
      <c r="Y43">
        <v>8.9873621228318795E-2</v>
      </c>
      <c r="Z43" t="s">
        <v>197</v>
      </c>
      <c r="AA43" t="s">
        <v>239</v>
      </c>
      <c r="AC43" t="s">
        <v>240</v>
      </c>
      <c r="AD43" t="s">
        <v>197</v>
      </c>
      <c r="AE43">
        <v>4.9842324488621678E-2</v>
      </c>
      <c r="AG43" t="s">
        <v>27</v>
      </c>
      <c r="AH43" t="s">
        <v>197</v>
      </c>
      <c r="AI43">
        <v>0.29679815550343269</v>
      </c>
      <c r="AK43">
        <v>2026</v>
      </c>
      <c r="AL43" t="s">
        <v>72</v>
      </c>
      <c r="AM43">
        <v>0.44090000000000001</v>
      </c>
      <c r="AN43" t="s">
        <v>168</v>
      </c>
    </row>
    <row r="44" spans="9:40" x14ac:dyDescent="0.45">
      <c r="I44" t="s">
        <v>82</v>
      </c>
      <c r="J44" t="s">
        <v>198</v>
      </c>
      <c r="K44">
        <v>1.3329150491422007E-2</v>
      </c>
      <c r="L44" t="s">
        <v>84</v>
      </c>
      <c r="N44" t="s">
        <v>111</v>
      </c>
      <c r="O44" t="s">
        <v>198</v>
      </c>
      <c r="P44">
        <v>1.2111588318617911E-2</v>
      </c>
      <c r="Q44" t="s">
        <v>84</v>
      </c>
      <c r="S44" t="s">
        <v>126</v>
      </c>
      <c r="T44" t="s">
        <v>198</v>
      </c>
      <c r="U44">
        <v>1.1662432248625702E-2</v>
      </c>
      <c r="V44" t="s">
        <v>84</v>
      </c>
      <c r="X44">
        <v>1.0502283105022832E-2</v>
      </c>
      <c r="Y44">
        <v>2.0432754062766744E-2</v>
      </c>
      <c r="Z44" t="s">
        <v>198</v>
      </c>
      <c r="AA44" t="s">
        <v>239</v>
      </c>
      <c r="AC44" t="s">
        <v>240</v>
      </c>
      <c r="AD44" t="s">
        <v>198</v>
      </c>
      <c r="AE44">
        <v>8.6422361210374589E-3</v>
      </c>
      <c r="AG44" t="s">
        <v>27</v>
      </c>
      <c r="AH44" t="s">
        <v>198</v>
      </c>
      <c r="AI44">
        <v>9.6447294343016354E-2</v>
      </c>
      <c r="AK44">
        <v>2026</v>
      </c>
      <c r="AL44" t="s">
        <v>76</v>
      </c>
      <c r="AM44">
        <v>0.52190000000000003</v>
      </c>
      <c r="AN44" t="s">
        <v>168</v>
      </c>
    </row>
    <row r="45" spans="9:40" x14ac:dyDescent="0.45">
      <c r="I45" t="s">
        <v>82</v>
      </c>
      <c r="J45" t="s">
        <v>199</v>
      </c>
      <c r="K45">
        <v>5.3043927842254066E-3</v>
      </c>
      <c r="L45" t="s">
        <v>84</v>
      </c>
      <c r="N45" t="s">
        <v>111</v>
      </c>
      <c r="O45" t="s">
        <v>199</v>
      </c>
      <c r="P45">
        <v>1.2005859634772622E-2</v>
      </c>
      <c r="Q45" t="s">
        <v>84</v>
      </c>
      <c r="S45" t="s">
        <v>126</v>
      </c>
      <c r="T45" t="s">
        <v>199</v>
      </c>
      <c r="U45">
        <v>1.1522787252311709E-2</v>
      </c>
      <c r="V45" t="s">
        <v>84</v>
      </c>
      <c r="X45">
        <v>1.0502283105022832E-2</v>
      </c>
      <c r="Y45">
        <v>1.585825688453538E-2</v>
      </c>
      <c r="Z45" t="s">
        <v>199</v>
      </c>
      <c r="AA45" t="s">
        <v>239</v>
      </c>
      <c r="AC45" t="s">
        <v>240</v>
      </c>
      <c r="AD45" t="s">
        <v>199</v>
      </c>
      <c r="AE45">
        <v>1.0438979634436277E-2</v>
      </c>
      <c r="AG45" t="s">
        <v>27</v>
      </c>
      <c r="AH45" t="s">
        <v>199</v>
      </c>
      <c r="AI45">
        <v>0.16140739293698858</v>
      </c>
      <c r="AK45">
        <v>2026</v>
      </c>
      <c r="AL45" t="s">
        <v>78</v>
      </c>
      <c r="AM45">
        <v>0.40870000000000001</v>
      </c>
      <c r="AN45" t="s">
        <v>168</v>
      </c>
    </row>
    <row r="46" spans="9:40" x14ac:dyDescent="0.45">
      <c r="I46" t="s">
        <v>82</v>
      </c>
      <c r="J46" t="s">
        <v>200</v>
      </c>
      <c r="K46">
        <v>0</v>
      </c>
      <c r="L46" t="s">
        <v>84</v>
      </c>
      <c r="N46" t="s">
        <v>111</v>
      </c>
      <c r="O46" t="s">
        <v>200</v>
      </c>
      <c r="P46">
        <v>5.9431953987398638E-2</v>
      </c>
      <c r="Q46" t="s">
        <v>84</v>
      </c>
      <c r="S46" t="s">
        <v>126</v>
      </c>
      <c r="T46" t="s">
        <v>200</v>
      </c>
      <c r="U46">
        <v>5.7456466648824978E-2</v>
      </c>
      <c r="V46" t="s">
        <v>84</v>
      </c>
      <c r="X46">
        <v>5.2511415525114152E-2</v>
      </c>
      <c r="Y46">
        <v>3.9645642211338455E-2</v>
      </c>
      <c r="Z46" t="s">
        <v>200</v>
      </c>
      <c r="AA46" t="s">
        <v>239</v>
      </c>
      <c r="AC46" t="s">
        <v>240</v>
      </c>
      <c r="AD46" t="s">
        <v>200</v>
      </c>
      <c r="AE46">
        <v>6.2875831290163123E-2</v>
      </c>
      <c r="AG46" t="s">
        <v>27</v>
      </c>
      <c r="AH46" t="s">
        <v>200</v>
      </c>
      <c r="AI46">
        <v>0.22458105022480224</v>
      </c>
      <c r="AK46">
        <v>2026</v>
      </c>
      <c r="AL46" t="s">
        <v>80</v>
      </c>
      <c r="AM46">
        <v>0.4446</v>
      </c>
      <c r="AN46" t="s">
        <v>168</v>
      </c>
    </row>
    <row r="47" spans="9:40" x14ac:dyDescent="0.45">
      <c r="I47" t="s">
        <v>82</v>
      </c>
      <c r="J47" t="s">
        <v>201</v>
      </c>
      <c r="K47">
        <v>2.0006380832013108E-3</v>
      </c>
      <c r="L47" t="s">
        <v>84</v>
      </c>
      <c r="N47" t="s">
        <v>111</v>
      </c>
      <c r="O47" t="s">
        <v>201</v>
      </c>
      <c r="P47">
        <v>3.0534403276551065E-2</v>
      </c>
      <c r="Q47" t="s">
        <v>84</v>
      </c>
      <c r="S47" t="s">
        <v>126</v>
      </c>
      <c r="T47" t="s">
        <v>201</v>
      </c>
      <c r="U47">
        <v>1.5152803122201883E-2</v>
      </c>
      <c r="V47" t="s">
        <v>84</v>
      </c>
      <c r="X47">
        <v>2.4771689497716895E-2</v>
      </c>
      <c r="Y47">
        <v>9.7827942553597048E-3</v>
      </c>
      <c r="Z47" t="s">
        <v>201</v>
      </c>
      <c r="AA47" t="s">
        <v>239</v>
      </c>
      <c r="AC47" t="s">
        <v>240</v>
      </c>
      <c r="AD47" t="s">
        <v>201</v>
      </c>
      <c r="AE47">
        <v>2.8314003582872626E-2</v>
      </c>
      <c r="AG47" t="s">
        <v>27</v>
      </c>
      <c r="AH47" t="s">
        <v>201</v>
      </c>
      <c r="AI47">
        <v>0.13096952490386093</v>
      </c>
      <c r="AK47">
        <v>2026</v>
      </c>
      <c r="AL47" t="s">
        <v>171</v>
      </c>
      <c r="AM47">
        <v>0.55740000000000001</v>
      </c>
      <c r="AN47" t="s">
        <v>168</v>
      </c>
    </row>
    <row r="48" spans="9:40" x14ac:dyDescent="0.45">
      <c r="I48" t="s">
        <v>82</v>
      </c>
      <c r="J48" t="s">
        <v>202</v>
      </c>
      <c r="K48">
        <v>3.4055407361702324E-2</v>
      </c>
      <c r="L48" t="s">
        <v>84</v>
      </c>
      <c r="N48" t="s">
        <v>111</v>
      </c>
      <c r="O48" t="s">
        <v>202</v>
      </c>
      <c r="P48">
        <v>1.7072556389608334E-2</v>
      </c>
      <c r="Q48" t="s">
        <v>84</v>
      </c>
      <c r="S48" t="s">
        <v>126</v>
      </c>
      <c r="T48" t="s">
        <v>202</v>
      </c>
      <c r="U48">
        <v>9.0962652096434268E-3</v>
      </c>
      <c r="V48" t="s">
        <v>84</v>
      </c>
      <c r="X48">
        <v>1.4155251141552512E-2</v>
      </c>
      <c r="Y48">
        <v>1.9277859267914713E-2</v>
      </c>
      <c r="Z48" t="s">
        <v>202</v>
      </c>
      <c r="AA48" t="s">
        <v>239</v>
      </c>
      <c r="AC48" t="s">
        <v>240</v>
      </c>
      <c r="AD48" t="s">
        <v>202</v>
      </c>
      <c r="AE48">
        <v>1.4818060830846908E-2</v>
      </c>
      <c r="AG48" t="s">
        <v>27</v>
      </c>
      <c r="AH48" t="s">
        <v>202</v>
      </c>
      <c r="AI48">
        <v>0.16843617636631669</v>
      </c>
      <c r="AK48">
        <v>2026</v>
      </c>
      <c r="AL48" t="s">
        <v>173</v>
      </c>
      <c r="AM48">
        <v>0.54216666666666669</v>
      </c>
      <c r="AN48" t="s">
        <v>168</v>
      </c>
    </row>
    <row r="49" spans="9:40" x14ac:dyDescent="0.45">
      <c r="I49" t="s">
        <v>82</v>
      </c>
      <c r="J49" t="s">
        <v>203</v>
      </c>
      <c r="K49">
        <v>6.05767054327477E-2</v>
      </c>
      <c r="L49" t="s">
        <v>84</v>
      </c>
      <c r="N49" t="s">
        <v>111</v>
      </c>
      <c r="O49" t="s">
        <v>203</v>
      </c>
      <c r="P49">
        <v>2.875549337847335E-2</v>
      </c>
      <c r="Q49" t="s">
        <v>84</v>
      </c>
      <c r="S49" t="s">
        <v>126</v>
      </c>
      <c r="T49" t="s">
        <v>203</v>
      </c>
      <c r="U49">
        <v>1.4186505819508298E-2</v>
      </c>
      <c r="V49" t="s">
        <v>84</v>
      </c>
      <c r="X49">
        <v>2.1232876712328767E-2</v>
      </c>
      <c r="Y49">
        <v>3.0283502805194377E-2</v>
      </c>
      <c r="Z49" t="s">
        <v>203</v>
      </c>
      <c r="AA49" t="s">
        <v>239</v>
      </c>
      <c r="AC49" t="s">
        <v>240</v>
      </c>
      <c r="AD49" t="s">
        <v>203</v>
      </c>
      <c r="AE49">
        <v>1.4966255466988876E-2</v>
      </c>
      <c r="AG49" t="s">
        <v>27</v>
      </c>
      <c r="AH49" t="s">
        <v>203</v>
      </c>
      <c r="AI49">
        <v>7.7152130777014216E-2</v>
      </c>
      <c r="AK49">
        <v>2026</v>
      </c>
      <c r="AL49" t="s">
        <v>175</v>
      </c>
      <c r="AM49">
        <v>0.55249999999999999</v>
      </c>
      <c r="AN49" t="s">
        <v>168</v>
      </c>
    </row>
    <row r="50" spans="9:40" x14ac:dyDescent="0.45">
      <c r="I50" t="s">
        <v>82</v>
      </c>
      <c r="J50" t="s">
        <v>204</v>
      </c>
      <c r="K50">
        <v>8.1878257839807546E-3</v>
      </c>
      <c r="L50" t="s">
        <v>84</v>
      </c>
      <c r="N50" t="s">
        <v>111</v>
      </c>
      <c r="O50" t="s">
        <v>204</v>
      </c>
      <c r="P50">
        <v>4.7096517698128693E-3</v>
      </c>
      <c r="Q50" t="s">
        <v>84</v>
      </c>
      <c r="S50" t="s">
        <v>126</v>
      </c>
      <c r="T50" t="s">
        <v>204</v>
      </c>
      <c r="U50">
        <v>2.2999689373796044E-3</v>
      </c>
      <c r="V50" t="s">
        <v>84</v>
      </c>
      <c r="X50">
        <v>3.5388127853881279E-3</v>
      </c>
      <c r="Y50">
        <v>6.8849497385409693E-3</v>
      </c>
      <c r="Z50" t="s">
        <v>204</v>
      </c>
      <c r="AA50" t="s">
        <v>239</v>
      </c>
      <c r="AC50" t="s">
        <v>240</v>
      </c>
      <c r="AD50" t="s">
        <v>204</v>
      </c>
      <c r="AE50">
        <v>3.0611125595888921E-3</v>
      </c>
      <c r="AG50" t="s">
        <v>27</v>
      </c>
      <c r="AH50" t="s">
        <v>204</v>
      </c>
      <c r="AI50">
        <v>0.1241925313529042</v>
      </c>
      <c r="AK50">
        <v>2026</v>
      </c>
      <c r="AL50" t="s">
        <v>176</v>
      </c>
      <c r="AM50">
        <v>0.53075000000000006</v>
      </c>
      <c r="AN50" t="s">
        <v>168</v>
      </c>
    </row>
    <row r="51" spans="9:40" x14ac:dyDescent="0.45">
      <c r="I51" t="s">
        <v>82</v>
      </c>
      <c r="J51" t="s">
        <v>205</v>
      </c>
      <c r="K51">
        <v>6.0994303032090883E-3</v>
      </c>
      <c r="L51" t="s">
        <v>84</v>
      </c>
      <c r="N51" t="s">
        <v>111</v>
      </c>
      <c r="O51" t="s">
        <v>205</v>
      </c>
      <c r="P51">
        <v>4.7379416014815675E-3</v>
      </c>
      <c r="Q51" t="s">
        <v>84</v>
      </c>
      <c r="S51" t="s">
        <v>126</v>
      </c>
      <c r="T51" t="s">
        <v>205</v>
      </c>
      <c r="U51">
        <v>2.2090350543717994E-3</v>
      </c>
      <c r="V51" t="s">
        <v>84</v>
      </c>
      <c r="X51">
        <v>3.5388127853881279E-3</v>
      </c>
      <c r="Y51">
        <v>5.3435430806586613E-3</v>
      </c>
      <c r="Z51" t="s">
        <v>205</v>
      </c>
      <c r="AA51" t="s">
        <v>239</v>
      </c>
      <c r="AC51" t="s">
        <v>240</v>
      </c>
      <c r="AD51" t="s">
        <v>205</v>
      </c>
      <c r="AE51">
        <v>3.6574247928316634E-3</v>
      </c>
      <c r="AG51" t="s">
        <v>27</v>
      </c>
      <c r="AH51" t="s">
        <v>205</v>
      </c>
      <c r="AI51">
        <v>0.1429279183233203</v>
      </c>
      <c r="AK51">
        <v>2027</v>
      </c>
      <c r="AL51" t="s">
        <v>72</v>
      </c>
      <c r="AM51">
        <v>0.49230000000000002</v>
      </c>
      <c r="AN51" t="s">
        <v>168</v>
      </c>
    </row>
    <row r="52" spans="9:40" x14ac:dyDescent="0.45">
      <c r="I52" t="s">
        <v>82</v>
      </c>
      <c r="J52" t="s">
        <v>206</v>
      </c>
      <c r="K52">
        <v>8.9412695927761153E-4</v>
      </c>
      <c r="L52" t="s">
        <v>84</v>
      </c>
      <c r="N52" t="s">
        <v>111</v>
      </c>
      <c r="O52" t="s">
        <v>206</v>
      </c>
      <c r="P52">
        <v>2.3884268428013389E-2</v>
      </c>
      <c r="Q52" t="s">
        <v>84</v>
      </c>
      <c r="S52" t="s">
        <v>126</v>
      </c>
      <c r="T52" t="s">
        <v>206</v>
      </c>
      <c r="U52">
        <v>1.0047725128211334E-2</v>
      </c>
      <c r="V52" t="s">
        <v>84</v>
      </c>
      <c r="X52">
        <v>1.7694063926940638E-2</v>
      </c>
      <c r="Y52">
        <v>1.3358857701646654E-2</v>
      </c>
      <c r="Z52" t="s">
        <v>206</v>
      </c>
      <c r="AA52" t="s">
        <v>239</v>
      </c>
      <c r="AC52" t="s">
        <v>240</v>
      </c>
      <c r="AD52" t="s">
        <v>206</v>
      </c>
      <c r="AE52">
        <v>1.9663939326696311E-2</v>
      </c>
      <c r="AG52" t="s">
        <v>27</v>
      </c>
      <c r="AH52" t="s">
        <v>206</v>
      </c>
      <c r="AI52">
        <v>0.1361050731356015</v>
      </c>
      <c r="AK52">
        <v>2027</v>
      </c>
      <c r="AL52" t="s">
        <v>76</v>
      </c>
      <c r="AM52">
        <v>0.47570000000000001</v>
      </c>
      <c r="AN52" t="s">
        <v>168</v>
      </c>
    </row>
    <row r="53" spans="9:40" x14ac:dyDescent="0.45">
      <c r="I53" t="s">
        <v>82</v>
      </c>
      <c r="J53" t="s">
        <v>207</v>
      </c>
      <c r="K53">
        <v>7.4078848212524922E-3</v>
      </c>
      <c r="L53" t="s">
        <v>84</v>
      </c>
      <c r="N53" t="s">
        <v>111</v>
      </c>
      <c r="O53" t="s">
        <v>207</v>
      </c>
      <c r="P53">
        <v>4.2008123891141565E-2</v>
      </c>
      <c r="Q53" t="s">
        <v>84</v>
      </c>
      <c r="S53" t="s">
        <v>126</v>
      </c>
      <c r="T53" t="s">
        <v>207</v>
      </c>
      <c r="U53">
        <v>3.336468105807603E-2</v>
      </c>
      <c r="V53" t="s">
        <v>84</v>
      </c>
      <c r="X53">
        <v>4.8744292237442921E-2</v>
      </c>
      <c r="Y53">
        <v>1.9250014502482003E-2</v>
      </c>
      <c r="Z53" t="s">
        <v>207</v>
      </c>
      <c r="AA53" t="s">
        <v>239</v>
      </c>
      <c r="AC53" t="s">
        <v>240</v>
      </c>
      <c r="AD53" t="s">
        <v>207</v>
      </c>
      <c r="AE53">
        <v>5.2561570545679032E-2</v>
      </c>
      <c r="AG53" t="s">
        <v>27</v>
      </c>
      <c r="AH53" t="s">
        <v>207</v>
      </c>
      <c r="AI53">
        <v>7.8199338361619963E-2</v>
      </c>
      <c r="AK53">
        <v>2027</v>
      </c>
      <c r="AL53" t="s">
        <v>78</v>
      </c>
      <c r="AM53">
        <v>0.48230000000000001</v>
      </c>
      <c r="AN53" t="s">
        <v>168</v>
      </c>
    </row>
    <row r="54" spans="9:40" x14ac:dyDescent="0.45">
      <c r="I54" t="s">
        <v>82</v>
      </c>
      <c r="J54" t="s">
        <v>208</v>
      </c>
      <c r="K54">
        <v>7.1514676059219781E-2</v>
      </c>
      <c r="L54" t="s">
        <v>84</v>
      </c>
      <c r="N54" t="s">
        <v>111</v>
      </c>
      <c r="O54" t="s">
        <v>208</v>
      </c>
      <c r="P54">
        <v>2.5776406569542228E-2</v>
      </c>
      <c r="Q54" t="s">
        <v>84</v>
      </c>
      <c r="S54" t="s">
        <v>126</v>
      </c>
      <c r="T54" t="s">
        <v>208</v>
      </c>
      <c r="U54">
        <v>1.9072133142126975E-2</v>
      </c>
      <c r="V54" t="s">
        <v>84</v>
      </c>
      <c r="X54">
        <v>2.7853881278538814E-2</v>
      </c>
      <c r="Y54">
        <v>3.7933852107832171E-2</v>
      </c>
      <c r="Z54" t="s">
        <v>208</v>
      </c>
      <c r="AA54" t="s">
        <v>239</v>
      </c>
      <c r="AC54" t="s">
        <v>240</v>
      </c>
      <c r="AD54" t="s">
        <v>208</v>
      </c>
      <c r="AE54">
        <v>2.7357603947702952E-2</v>
      </c>
      <c r="AG54" t="s">
        <v>27</v>
      </c>
      <c r="AH54" t="s">
        <v>208</v>
      </c>
      <c r="AI54">
        <v>0.12010522854324246</v>
      </c>
      <c r="AK54">
        <v>2027</v>
      </c>
      <c r="AL54" t="s">
        <v>80</v>
      </c>
      <c r="AM54">
        <v>0.4355</v>
      </c>
      <c r="AN54" t="s">
        <v>168</v>
      </c>
    </row>
    <row r="55" spans="9:40" x14ac:dyDescent="0.45">
      <c r="I55" t="s">
        <v>82</v>
      </c>
      <c r="J55" t="s">
        <v>209</v>
      </c>
      <c r="K55">
        <v>0.12420596735607171</v>
      </c>
      <c r="L55" t="s">
        <v>84</v>
      </c>
      <c r="N55" t="s">
        <v>111</v>
      </c>
      <c r="O55" t="s">
        <v>209</v>
      </c>
      <c r="P55">
        <v>4.3959922383678574E-2</v>
      </c>
      <c r="Q55" t="s">
        <v>84</v>
      </c>
      <c r="S55" t="s">
        <v>126</v>
      </c>
      <c r="T55" t="s">
        <v>209</v>
      </c>
      <c r="U55">
        <v>2.7563334539383786E-2</v>
      </c>
      <c r="V55" t="s">
        <v>84</v>
      </c>
      <c r="X55">
        <v>4.1780821917808221E-2</v>
      </c>
      <c r="Y55">
        <v>5.9590118423124429E-2</v>
      </c>
      <c r="Z55" t="s">
        <v>209</v>
      </c>
      <c r="AA55" t="s">
        <v>239</v>
      </c>
      <c r="AC55" t="s">
        <v>240</v>
      </c>
      <c r="AD55" t="s">
        <v>209</v>
      </c>
      <c r="AE55">
        <v>2.8681535103392497E-2</v>
      </c>
      <c r="AG55" t="s">
        <v>27</v>
      </c>
      <c r="AH55" t="s">
        <v>209</v>
      </c>
      <c r="AI55">
        <v>5.9605579371265316E-2</v>
      </c>
      <c r="AK55">
        <v>2027</v>
      </c>
      <c r="AL55" t="s">
        <v>171</v>
      </c>
      <c r="AM55">
        <v>0.49099999999999999</v>
      </c>
      <c r="AN55" t="s">
        <v>168</v>
      </c>
    </row>
    <row r="56" spans="9:40" x14ac:dyDescent="0.45">
      <c r="I56" t="s">
        <v>82</v>
      </c>
      <c r="J56" t="s">
        <v>210</v>
      </c>
      <c r="K56">
        <v>1.6037170489253658E-2</v>
      </c>
      <c r="L56" t="s">
        <v>84</v>
      </c>
      <c r="N56" t="s">
        <v>111</v>
      </c>
      <c r="O56" t="s">
        <v>210</v>
      </c>
      <c r="P56">
        <v>7.1140787583909198E-3</v>
      </c>
      <c r="Q56" t="s">
        <v>84</v>
      </c>
      <c r="S56" t="s">
        <v>126</v>
      </c>
      <c r="T56" t="s">
        <v>210</v>
      </c>
      <c r="U56">
        <v>4.7713109685604905E-3</v>
      </c>
      <c r="V56" t="s">
        <v>84</v>
      </c>
      <c r="X56">
        <v>6.9634703196347035E-3</v>
      </c>
      <c r="Y56">
        <v>1.354780432422577E-2</v>
      </c>
      <c r="Z56" t="s">
        <v>210</v>
      </c>
      <c r="AA56" t="s">
        <v>239</v>
      </c>
      <c r="AC56" t="s">
        <v>240</v>
      </c>
      <c r="AD56" t="s">
        <v>210</v>
      </c>
      <c r="AE56">
        <v>5.6920132626679014E-3</v>
      </c>
      <c r="AG56" t="s">
        <v>27</v>
      </c>
      <c r="AH56" t="s">
        <v>210</v>
      </c>
      <c r="AI56">
        <v>6.2906150128901439E-2</v>
      </c>
      <c r="AK56">
        <v>2027</v>
      </c>
      <c r="AL56" t="s">
        <v>173</v>
      </c>
      <c r="AM56">
        <v>0.54346666666666665</v>
      </c>
      <c r="AN56" t="s">
        <v>168</v>
      </c>
    </row>
    <row r="57" spans="9:40" x14ac:dyDescent="0.45">
      <c r="I57" t="s">
        <v>82</v>
      </c>
      <c r="J57" t="s">
        <v>211</v>
      </c>
      <c r="K57">
        <v>1.328244919390386E-2</v>
      </c>
      <c r="L57" t="s">
        <v>84</v>
      </c>
      <c r="N57" t="s">
        <v>111</v>
      </c>
      <c r="O57" t="s">
        <v>211</v>
      </c>
      <c r="P57">
        <v>6.9675303450956226E-3</v>
      </c>
      <c r="Q57" t="s">
        <v>84</v>
      </c>
      <c r="S57" t="s">
        <v>126</v>
      </c>
      <c r="T57" t="s">
        <v>211</v>
      </c>
      <c r="U57">
        <v>4.8336229884877752E-3</v>
      </c>
      <c r="V57" t="s">
        <v>84</v>
      </c>
      <c r="X57">
        <v>6.9634703196347035E-3</v>
      </c>
      <c r="Y57">
        <v>1.0514713803876726E-2</v>
      </c>
      <c r="Z57" t="s">
        <v>211</v>
      </c>
      <c r="AA57" t="s">
        <v>239</v>
      </c>
      <c r="AC57" t="s">
        <v>240</v>
      </c>
      <c r="AD57" t="s">
        <v>211</v>
      </c>
      <c r="AE57">
        <v>6.6306489282295595E-3</v>
      </c>
      <c r="AG57" t="s">
        <v>27</v>
      </c>
      <c r="AH57" t="s">
        <v>211</v>
      </c>
      <c r="AI57">
        <v>0.10201043440940971</v>
      </c>
      <c r="AK57">
        <v>2027</v>
      </c>
      <c r="AL57" t="s">
        <v>175</v>
      </c>
      <c r="AM57">
        <v>0.51329999999999998</v>
      </c>
      <c r="AN57" t="s">
        <v>168</v>
      </c>
    </row>
    <row r="58" spans="9:40" x14ac:dyDescent="0.45">
      <c r="I58" t="s">
        <v>82</v>
      </c>
      <c r="J58" t="s">
        <v>212</v>
      </c>
      <c r="K58">
        <v>8.8775540467846258E-3</v>
      </c>
      <c r="L58" t="s">
        <v>84</v>
      </c>
      <c r="N58" t="s">
        <v>111</v>
      </c>
      <c r="O58" t="s">
        <v>212</v>
      </c>
      <c r="P58">
        <v>3.3086372862809667E-2</v>
      </c>
      <c r="Q58" t="s">
        <v>84</v>
      </c>
      <c r="S58" t="s">
        <v>126</v>
      </c>
      <c r="T58" t="s">
        <v>212</v>
      </c>
      <c r="U58">
        <v>2.3862695114008129E-2</v>
      </c>
      <c r="V58" t="s">
        <v>84</v>
      </c>
      <c r="X58">
        <v>3.4817351598173514E-2</v>
      </c>
      <c r="Y58">
        <v>2.6286784509691803E-2</v>
      </c>
      <c r="Z58" t="s">
        <v>212</v>
      </c>
      <c r="AA58" t="s">
        <v>239</v>
      </c>
      <c r="AC58" t="s">
        <v>240</v>
      </c>
      <c r="AD58" t="s">
        <v>212</v>
      </c>
      <c r="AE58">
        <v>3.6652443895532287E-2</v>
      </c>
      <c r="AG58" t="s">
        <v>27</v>
      </c>
      <c r="AH58" t="s">
        <v>212</v>
      </c>
      <c r="AI58">
        <v>0.10188180178320994</v>
      </c>
      <c r="AK58">
        <v>2027</v>
      </c>
      <c r="AL58" t="s">
        <v>176</v>
      </c>
      <c r="AM58">
        <v>0.52049999999999996</v>
      </c>
      <c r="AN58" t="s">
        <v>168</v>
      </c>
    </row>
    <row r="59" spans="9:40" x14ac:dyDescent="0.45">
      <c r="I59" t="s">
        <v>96</v>
      </c>
      <c r="J59" t="s">
        <v>83</v>
      </c>
      <c r="K59">
        <v>6.9219745079349797E-3</v>
      </c>
      <c r="L59" t="s">
        <v>84</v>
      </c>
      <c r="N59" t="s">
        <v>112</v>
      </c>
      <c r="O59" t="s">
        <v>83</v>
      </c>
      <c r="P59">
        <v>2.4946850305775467E-2</v>
      </c>
      <c r="Q59" t="s">
        <v>84</v>
      </c>
      <c r="S59" t="s">
        <v>127</v>
      </c>
      <c r="T59" t="s">
        <v>83</v>
      </c>
      <c r="U59">
        <v>2.7752226989257795E-2</v>
      </c>
      <c r="V59" t="s">
        <v>84</v>
      </c>
      <c r="AC59" t="s">
        <v>240</v>
      </c>
      <c r="AD59" t="s">
        <v>83</v>
      </c>
      <c r="AE59">
        <v>2.4984137855619697E-2</v>
      </c>
      <c r="AK59">
        <v>2028</v>
      </c>
      <c r="AL59" t="s">
        <v>72</v>
      </c>
      <c r="AM59">
        <v>0.47770000000000001</v>
      </c>
      <c r="AN59" t="s">
        <v>168</v>
      </c>
    </row>
    <row r="60" spans="9:40" x14ac:dyDescent="0.45">
      <c r="I60" t="s">
        <v>96</v>
      </c>
      <c r="J60" t="s">
        <v>85</v>
      </c>
      <c r="K60">
        <v>3.9238986507721216E-2</v>
      </c>
      <c r="L60" t="s">
        <v>84</v>
      </c>
      <c r="N60" t="s">
        <v>112</v>
      </c>
      <c r="O60" t="s">
        <v>85</v>
      </c>
      <c r="P60">
        <v>1.493433216301625E-2</v>
      </c>
      <c r="Q60" t="s">
        <v>84</v>
      </c>
      <c r="S60" t="s">
        <v>127</v>
      </c>
      <c r="T60" t="s">
        <v>85</v>
      </c>
      <c r="U60">
        <v>1.5934955719087724E-2</v>
      </c>
      <c r="V60" t="s">
        <v>84</v>
      </c>
      <c r="AC60" t="s">
        <v>240</v>
      </c>
      <c r="AD60" t="s">
        <v>85</v>
      </c>
      <c r="AE60">
        <v>1.41777010076897E-2</v>
      </c>
      <c r="AK60">
        <v>2028</v>
      </c>
      <c r="AL60" t="s">
        <v>76</v>
      </c>
      <c r="AM60">
        <v>0.44159999999999999</v>
      </c>
      <c r="AN60" t="s">
        <v>168</v>
      </c>
    </row>
    <row r="61" spans="9:40" x14ac:dyDescent="0.45">
      <c r="I61" t="s">
        <v>96</v>
      </c>
      <c r="J61" t="s">
        <v>86</v>
      </c>
      <c r="K61">
        <v>6.9974949651261095E-2</v>
      </c>
      <c r="L61" t="s">
        <v>84</v>
      </c>
      <c r="N61" t="s">
        <v>112</v>
      </c>
      <c r="O61" t="s">
        <v>86</v>
      </c>
      <c r="P61">
        <v>2.5092017743232862E-2</v>
      </c>
      <c r="Q61" t="s">
        <v>84</v>
      </c>
      <c r="S61" t="s">
        <v>127</v>
      </c>
      <c r="T61" t="s">
        <v>86</v>
      </c>
      <c r="U61">
        <v>2.3843764581817618E-2</v>
      </c>
      <c r="V61" t="s">
        <v>84</v>
      </c>
      <c r="AC61" t="s">
        <v>240</v>
      </c>
      <c r="AD61" t="s">
        <v>86</v>
      </c>
      <c r="AE61">
        <v>2.0881495828077575E-2</v>
      </c>
      <c r="AK61">
        <v>2028</v>
      </c>
      <c r="AL61" t="s">
        <v>78</v>
      </c>
      <c r="AM61">
        <v>0.44979999999999998</v>
      </c>
      <c r="AN61" t="s">
        <v>168</v>
      </c>
    </row>
    <row r="62" spans="9:40" x14ac:dyDescent="0.45">
      <c r="I62" t="s">
        <v>96</v>
      </c>
      <c r="J62" t="s">
        <v>177</v>
      </c>
      <c r="K62">
        <v>8.8912196111583849E-3</v>
      </c>
      <c r="L62" t="s">
        <v>84</v>
      </c>
      <c r="N62" t="s">
        <v>112</v>
      </c>
      <c r="O62" t="s">
        <v>177</v>
      </c>
      <c r="P62">
        <v>4.1736202292116656E-3</v>
      </c>
      <c r="Q62" t="s">
        <v>84</v>
      </c>
      <c r="S62" t="s">
        <v>127</v>
      </c>
      <c r="T62" t="s">
        <v>177</v>
      </c>
      <c r="U62">
        <v>4.2263185759843632E-3</v>
      </c>
      <c r="V62" t="s">
        <v>84</v>
      </c>
      <c r="AC62" t="s">
        <v>240</v>
      </c>
      <c r="AD62" t="s">
        <v>177</v>
      </c>
      <c r="AE62">
        <v>3.5080566338682533E-3</v>
      </c>
      <c r="AK62">
        <v>2028</v>
      </c>
      <c r="AL62" t="s">
        <v>80</v>
      </c>
      <c r="AM62">
        <v>0.46335000000000004</v>
      </c>
      <c r="AN62" t="s">
        <v>168</v>
      </c>
    </row>
    <row r="63" spans="9:40" x14ac:dyDescent="0.45">
      <c r="I63" t="s">
        <v>96</v>
      </c>
      <c r="J63" t="s">
        <v>178</v>
      </c>
      <c r="K63">
        <v>6.4664385476032463E-3</v>
      </c>
      <c r="L63" t="s">
        <v>84</v>
      </c>
      <c r="N63" t="s">
        <v>112</v>
      </c>
      <c r="O63" t="s">
        <v>178</v>
      </c>
      <c r="P63">
        <v>4.0339894527872105E-3</v>
      </c>
      <c r="Q63" t="s">
        <v>84</v>
      </c>
      <c r="S63" t="s">
        <v>127</v>
      </c>
      <c r="T63" t="s">
        <v>178</v>
      </c>
      <c r="U63">
        <v>4.2606251015598366E-3</v>
      </c>
      <c r="V63" t="s">
        <v>84</v>
      </c>
      <c r="AC63" t="s">
        <v>240</v>
      </c>
      <c r="AD63" t="s">
        <v>178</v>
      </c>
      <c r="AE63">
        <v>3.5374915543471578E-3</v>
      </c>
      <c r="AK63">
        <v>2028</v>
      </c>
      <c r="AL63" t="s">
        <v>171</v>
      </c>
      <c r="AM63">
        <v>0.4874</v>
      </c>
      <c r="AN63" t="s">
        <v>168</v>
      </c>
    </row>
    <row r="64" spans="9:40" x14ac:dyDescent="0.45">
      <c r="I64" t="s">
        <v>96</v>
      </c>
      <c r="J64" t="s">
        <v>179</v>
      </c>
      <c r="K64">
        <v>2.9512368234676047E-3</v>
      </c>
      <c r="L64" t="s">
        <v>84</v>
      </c>
      <c r="N64" t="s">
        <v>112</v>
      </c>
      <c r="O64" t="s">
        <v>179</v>
      </c>
      <c r="P64">
        <v>1.876750700753866E-2</v>
      </c>
      <c r="Q64" t="s">
        <v>84</v>
      </c>
      <c r="S64" t="s">
        <v>127</v>
      </c>
      <c r="T64" t="s">
        <v>179</v>
      </c>
      <c r="U64">
        <v>2.1567870696797279E-2</v>
      </c>
      <c r="V64" t="s">
        <v>84</v>
      </c>
      <c r="AC64" t="s">
        <v>240</v>
      </c>
      <c r="AD64" t="s">
        <v>179</v>
      </c>
      <c r="AE64">
        <v>1.7815522910931452E-2</v>
      </c>
      <c r="AK64">
        <v>2028</v>
      </c>
      <c r="AL64" t="s">
        <v>173</v>
      </c>
      <c r="AM64">
        <v>0.55059999999999998</v>
      </c>
      <c r="AN64" t="s">
        <v>168</v>
      </c>
    </row>
    <row r="65" spans="9:40" x14ac:dyDescent="0.45">
      <c r="I65" t="s">
        <v>96</v>
      </c>
      <c r="J65" t="s">
        <v>87</v>
      </c>
      <c r="K65">
        <v>4.3861475808091776E-3</v>
      </c>
      <c r="L65" t="s">
        <v>84</v>
      </c>
      <c r="N65" t="s">
        <v>112</v>
      </c>
      <c r="O65" t="s">
        <v>87</v>
      </c>
      <c r="P65">
        <v>1.2187610918374388E-2</v>
      </c>
      <c r="Q65" t="s">
        <v>84</v>
      </c>
      <c r="S65" t="s">
        <v>127</v>
      </c>
      <c r="T65" t="s">
        <v>87</v>
      </c>
      <c r="U65">
        <v>2.4453926296403288E-2</v>
      </c>
      <c r="V65" t="s">
        <v>84</v>
      </c>
      <c r="AC65" t="s">
        <v>240</v>
      </c>
      <c r="AD65" t="s">
        <v>87</v>
      </c>
      <c r="AE65">
        <v>2.2566134267185518E-2</v>
      </c>
      <c r="AK65">
        <v>2028</v>
      </c>
      <c r="AL65" t="s">
        <v>175</v>
      </c>
      <c r="AM65">
        <v>0.46960000000000002</v>
      </c>
      <c r="AN65" t="s">
        <v>168</v>
      </c>
    </row>
    <row r="66" spans="9:40" x14ac:dyDescent="0.45">
      <c r="I66" t="s">
        <v>96</v>
      </c>
      <c r="J66" t="s">
        <v>88</v>
      </c>
      <c r="K66">
        <v>3.2324256329938884E-2</v>
      </c>
      <c r="L66" t="s">
        <v>84</v>
      </c>
      <c r="N66" t="s">
        <v>112</v>
      </c>
      <c r="O66" t="s">
        <v>88</v>
      </c>
      <c r="P66">
        <v>6.6050792112240034E-3</v>
      </c>
      <c r="Q66" t="s">
        <v>84</v>
      </c>
      <c r="S66" t="s">
        <v>127</v>
      </c>
      <c r="T66" t="s">
        <v>88</v>
      </c>
      <c r="U66">
        <v>1.4606829460743237E-2</v>
      </c>
      <c r="V66" t="s">
        <v>84</v>
      </c>
      <c r="AC66" t="s">
        <v>240</v>
      </c>
      <c r="AD66" t="s">
        <v>88</v>
      </c>
      <c r="AE66">
        <v>1.2807774183680501E-2</v>
      </c>
      <c r="AK66">
        <v>2028</v>
      </c>
      <c r="AL66" t="s">
        <v>176</v>
      </c>
      <c r="AM66">
        <v>0.46905000000000002</v>
      </c>
      <c r="AN66" t="s">
        <v>168</v>
      </c>
    </row>
    <row r="67" spans="9:40" x14ac:dyDescent="0.45">
      <c r="I67" t="s">
        <v>96</v>
      </c>
      <c r="J67" t="s">
        <v>89</v>
      </c>
      <c r="K67">
        <v>5.5196523323726605E-2</v>
      </c>
      <c r="L67" t="s">
        <v>84</v>
      </c>
      <c r="N67" t="s">
        <v>112</v>
      </c>
      <c r="O67" t="s">
        <v>89</v>
      </c>
      <c r="P67">
        <v>1.2117109041099727E-2</v>
      </c>
      <c r="Q67" t="s">
        <v>84</v>
      </c>
      <c r="S67" t="s">
        <v>127</v>
      </c>
      <c r="T67" t="s">
        <v>89</v>
      </c>
      <c r="U67">
        <v>2.068465548134053E-2</v>
      </c>
      <c r="V67" t="s">
        <v>84</v>
      </c>
      <c r="AC67" t="s">
        <v>240</v>
      </c>
      <c r="AD67" t="s">
        <v>89</v>
      </c>
      <c r="AE67">
        <v>1.8861183973040686E-2</v>
      </c>
      <c r="AK67">
        <v>2029</v>
      </c>
      <c r="AL67" t="s">
        <v>72</v>
      </c>
      <c r="AM67">
        <v>0.50739999999999996</v>
      </c>
      <c r="AN67" t="s">
        <v>168</v>
      </c>
    </row>
    <row r="68" spans="9:40" x14ac:dyDescent="0.45">
      <c r="I68" t="s">
        <v>96</v>
      </c>
      <c r="J68" t="s">
        <v>180</v>
      </c>
      <c r="K68">
        <v>6.8005047787672145E-3</v>
      </c>
      <c r="L68" t="s">
        <v>84</v>
      </c>
      <c r="N68" t="s">
        <v>112</v>
      </c>
      <c r="O68" t="s">
        <v>180</v>
      </c>
      <c r="P68">
        <v>2.2974707075910069E-3</v>
      </c>
      <c r="Q68" t="s">
        <v>84</v>
      </c>
      <c r="S68" t="s">
        <v>127</v>
      </c>
      <c r="T68" t="s">
        <v>180</v>
      </c>
      <c r="U68">
        <v>3.4246628408206958E-3</v>
      </c>
      <c r="V68" t="s">
        <v>84</v>
      </c>
      <c r="AC68" t="s">
        <v>240</v>
      </c>
      <c r="AD68" t="s">
        <v>180</v>
      </c>
      <c r="AE68">
        <v>3.1682395985646789E-3</v>
      </c>
      <c r="AK68">
        <v>2029</v>
      </c>
      <c r="AL68" t="s">
        <v>76</v>
      </c>
      <c r="AM68">
        <v>0.53039999999999998</v>
      </c>
      <c r="AN68" t="s">
        <v>168</v>
      </c>
    </row>
    <row r="69" spans="9:40" x14ac:dyDescent="0.45">
      <c r="I69" t="s">
        <v>96</v>
      </c>
      <c r="J69" t="s">
        <v>181</v>
      </c>
      <c r="K69">
        <v>4.8577268531349227E-3</v>
      </c>
      <c r="L69" t="s">
        <v>84</v>
      </c>
      <c r="N69" t="s">
        <v>112</v>
      </c>
      <c r="O69" t="s">
        <v>181</v>
      </c>
      <c r="P69">
        <v>2.2293837873190434E-3</v>
      </c>
      <c r="Q69" t="s">
        <v>84</v>
      </c>
      <c r="S69" t="s">
        <v>127</v>
      </c>
      <c r="T69" t="s">
        <v>181</v>
      </c>
      <c r="U69">
        <v>3.3772045122079579E-3</v>
      </c>
      <c r="V69" t="s">
        <v>84</v>
      </c>
      <c r="AC69" t="s">
        <v>240</v>
      </c>
      <c r="AD69" t="s">
        <v>181</v>
      </c>
      <c r="AE69">
        <v>3.1947888314217392E-3</v>
      </c>
      <c r="AK69">
        <v>2029</v>
      </c>
      <c r="AL69" t="s">
        <v>78</v>
      </c>
      <c r="AM69">
        <v>0.50580000000000003</v>
      </c>
      <c r="AN69" t="s">
        <v>168</v>
      </c>
    </row>
    <row r="70" spans="9:40" x14ac:dyDescent="0.45">
      <c r="I70" t="s">
        <v>96</v>
      </c>
      <c r="J70" t="s">
        <v>182</v>
      </c>
      <c r="K70">
        <v>0</v>
      </c>
      <c r="L70" t="s">
        <v>84</v>
      </c>
      <c r="N70" t="s">
        <v>112</v>
      </c>
      <c r="O70" t="s">
        <v>182</v>
      </c>
      <c r="P70">
        <v>9.9134726091444653E-3</v>
      </c>
      <c r="Q70" t="s">
        <v>84</v>
      </c>
      <c r="S70" t="s">
        <v>127</v>
      </c>
      <c r="T70" t="s">
        <v>182</v>
      </c>
      <c r="U70">
        <v>1.5685610164785379E-2</v>
      </c>
      <c r="V70" t="s">
        <v>84</v>
      </c>
      <c r="AC70" t="s">
        <v>240</v>
      </c>
      <c r="AD70" t="s">
        <v>182</v>
      </c>
      <c r="AE70">
        <v>1.6089326325177719E-2</v>
      </c>
      <c r="AK70">
        <v>2029</v>
      </c>
      <c r="AL70" t="s">
        <v>80</v>
      </c>
      <c r="AM70">
        <v>0.53634999999999999</v>
      </c>
      <c r="AN70" t="s">
        <v>168</v>
      </c>
    </row>
    <row r="71" spans="9:40" x14ac:dyDescent="0.45">
      <c r="I71" t="s">
        <v>96</v>
      </c>
      <c r="J71" t="s">
        <v>90</v>
      </c>
      <c r="K71">
        <v>1.9474199826339808E-3</v>
      </c>
      <c r="L71" t="s">
        <v>84</v>
      </c>
      <c r="N71" t="s">
        <v>112</v>
      </c>
      <c r="O71" t="s">
        <v>90</v>
      </c>
      <c r="P71">
        <v>1.1559772947138548E-2</v>
      </c>
      <c r="Q71" t="s">
        <v>84</v>
      </c>
      <c r="S71" t="s">
        <v>127</v>
      </c>
      <c r="T71" t="s">
        <v>90</v>
      </c>
      <c r="U71">
        <v>2.3793868851271202E-2</v>
      </c>
      <c r="V71" t="s">
        <v>84</v>
      </c>
      <c r="AC71" t="s">
        <v>240</v>
      </c>
      <c r="AD71" t="s">
        <v>90</v>
      </c>
      <c r="AE71">
        <v>2.497661123764491E-2</v>
      </c>
      <c r="AK71">
        <v>2029</v>
      </c>
      <c r="AL71" t="s">
        <v>171</v>
      </c>
      <c r="AM71">
        <v>0.55200000000000005</v>
      </c>
      <c r="AN71" t="s">
        <v>168</v>
      </c>
    </row>
    <row r="72" spans="9:40" x14ac:dyDescent="0.45">
      <c r="I72" t="s">
        <v>96</v>
      </c>
      <c r="J72" t="s">
        <v>91</v>
      </c>
      <c r="K72">
        <v>3.0683717964864667E-2</v>
      </c>
      <c r="L72" t="s">
        <v>84</v>
      </c>
      <c r="N72" t="s">
        <v>112</v>
      </c>
      <c r="O72" t="s">
        <v>91</v>
      </c>
      <c r="P72">
        <v>8.2456140008480838E-3</v>
      </c>
      <c r="Q72" t="s">
        <v>84</v>
      </c>
      <c r="S72" t="s">
        <v>127</v>
      </c>
      <c r="T72" t="s">
        <v>91</v>
      </c>
      <c r="U72">
        <v>1.396357565508225E-2</v>
      </c>
      <c r="V72" t="s">
        <v>84</v>
      </c>
      <c r="AC72" t="s">
        <v>240</v>
      </c>
      <c r="AD72" t="s">
        <v>91</v>
      </c>
      <c r="AE72">
        <v>1.417904354382013E-2</v>
      </c>
      <c r="AK72">
        <v>2029</v>
      </c>
      <c r="AL72" t="s">
        <v>173</v>
      </c>
      <c r="AM72">
        <v>0.62453333333333338</v>
      </c>
      <c r="AN72" t="s">
        <v>168</v>
      </c>
    </row>
    <row r="73" spans="9:40" x14ac:dyDescent="0.45">
      <c r="I73" t="s">
        <v>96</v>
      </c>
      <c r="J73" t="s">
        <v>92</v>
      </c>
      <c r="K73">
        <v>5.3215741207007644E-2</v>
      </c>
      <c r="L73" t="s">
        <v>84</v>
      </c>
      <c r="N73" t="s">
        <v>112</v>
      </c>
      <c r="O73" t="s">
        <v>92</v>
      </c>
      <c r="P73">
        <v>1.3466531147174865E-2</v>
      </c>
      <c r="Q73" t="s">
        <v>84</v>
      </c>
      <c r="S73" t="s">
        <v>127</v>
      </c>
      <c r="T73" t="s">
        <v>92</v>
      </c>
      <c r="U73">
        <v>1.9908130930329587E-2</v>
      </c>
      <c r="V73" t="s">
        <v>84</v>
      </c>
      <c r="AC73" t="s">
        <v>240</v>
      </c>
      <c r="AD73" t="s">
        <v>92</v>
      </c>
      <c r="AE73">
        <v>2.0888593021504944E-2</v>
      </c>
      <c r="AK73">
        <v>2029</v>
      </c>
      <c r="AL73" t="s">
        <v>175</v>
      </c>
      <c r="AM73">
        <v>0.58279999999999998</v>
      </c>
      <c r="AN73" t="s">
        <v>168</v>
      </c>
    </row>
    <row r="74" spans="9:40" x14ac:dyDescent="0.45">
      <c r="I74" t="s">
        <v>96</v>
      </c>
      <c r="J74" t="s">
        <v>183</v>
      </c>
      <c r="K74">
        <v>6.2378250565083976E-3</v>
      </c>
      <c r="L74" t="s">
        <v>84</v>
      </c>
      <c r="N74" t="s">
        <v>112</v>
      </c>
      <c r="O74" t="s">
        <v>183</v>
      </c>
      <c r="P74">
        <v>2.1649568152047188E-3</v>
      </c>
      <c r="Q74" t="s">
        <v>84</v>
      </c>
      <c r="S74" t="s">
        <v>127</v>
      </c>
      <c r="T74" t="s">
        <v>183</v>
      </c>
      <c r="U74">
        <v>3.551234813782056E-3</v>
      </c>
      <c r="V74" t="s">
        <v>84</v>
      </c>
      <c r="AC74" t="s">
        <v>240</v>
      </c>
      <c r="AD74" t="s">
        <v>183</v>
      </c>
      <c r="AE74">
        <v>3.5085209110843167E-3</v>
      </c>
      <c r="AK74">
        <v>2029</v>
      </c>
      <c r="AL74" t="s">
        <v>176</v>
      </c>
      <c r="AM74">
        <v>0.54269999999999996</v>
      </c>
      <c r="AN74" t="s">
        <v>168</v>
      </c>
    </row>
    <row r="75" spans="9:40" x14ac:dyDescent="0.45">
      <c r="I75" t="s">
        <v>96</v>
      </c>
      <c r="J75" t="s">
        <v>184</v>
      </c>
      <c r="K75">
        <v>2.8681199608725488E-3</v>
      </c>
      <c r="L75" t="s">
        <v>84</v>
      </c>
      <c r="N75" t="s">
        <v>112</v>
      </c>
      <c r="O75" t="s">
        <v>184</v>
      </c>
      <c r="P75">
        <v>2.0348034359959203E-3</v>
      </c>
      <c r="Q75" t="s">
        <v>84</v>
      </c>
      <c r="S75" t="s">
        <v>127</v>
      </c>
      <c r="T75" t="s">
        <v>184</v>
      </c>
      <c r="U75">
        <v>3.6340153066660684E-3</v>
      </c>
      <c r="V75" t="s">
        <v>84</v>
      </c>
      <c r="AC75" t="s">
        <v>240</v>
      </c>
      <c r="AD75" t="s">
        <v>184</v>
      </c>
      <c r="AE75">
        <v>3.5373800541429949E-3</v>
      </c>
      <c r="AK75">
        <v>2030</v>
      </c>
      <c r="AL75" t="s">
        <v>72</v>
      </c>
      <c r="AM75">
        <v>0.56659999999999999</v>
      </c>
      <c r="AN75" t="s">
        <v>168</v>
      </c>
    </row>
    <row r="76" spans="9:40" x14ac:dyDescent="0.45">
      <c r="I76" t="s">
        <v>96</v>
      </c>
      <c r="J76" t="s">
        <v>185</v>
      </c>
      <c r="K76">
        <v>0</v>
      </c>
      <c r="L76" t="s">
        <v>84</v>
      </c>
      <c r="N76" t="s">
        <v>112</v>
      </c>
      <c r="O76" t="s">
        <v>185</v>
      </c>
      <c r="P76">
        <v>8.2567637139011572E-3</v>
      </c>
      <c r="Q76" t="s">
        <v>84</v>
      </c>
      <c r="S76" t="s">
        <v>127</v>
      </c>
      <c r="T76" t="s">
        <v>185</v>
      </c>
      <c r="U76">
        <v>1.7544191122849367E-2</v>
      </c>
      <c r="V76" t="s">
        <v>84</v>
      </c>
      <c r="AC76" t="s">
        <v>240</v>
      </c>
      <c r="AD76" t="s">
        <v>185</v>
      </c>
      <c r="AE76">
        <v>1.780834623641827E-2</v>
      </c>
      <c r="AK76">
        <v>2030</v>
      </c>
      <c r="AL76" t="s">
        <v>76</v>
      </c>
      <c r="AM76">
        <v>0.57250000000000001</v>
      </c>
      <c r="AN76" t="s">
        <v>168</v>
      </c>
    </row>
    <row r="77" spans="9:40" x14ac:dyDescent="0.45">
      <c r="I77" t="s">
        <v>96</v>
      </c>
      <c r="J77" t="s">
        <v>93</v>
      </c>
      <c r="K77">
        <v>0</v>
      </c>
      <c r="L77" t="s">
        <v>84</v>
      </c>
      <c r="N77" t="s">
        <v>112</v>
      </c>
      <c r="O77" t="s">
        <v>93</v>
      </c>
      <c r="P77">
        <v>4.6595477694152773E-2</v>
      </c>
      <c r="Q77" t="s">
        <v>84</v>
      </c>
      <c r="S77" t="s">
        <v>127</v>
      </c>
      <c r="T77" t="s">
        <v>93</v>
      </c>
      <c r="U77">
        <v>4.253969926083899E-2</v>
      </c>
      <c r="V77" t="s">
        <v>84</v>
      </c>
      <c r="AC77" t="s">
        <v>240</v>
      </c>
      <c r="AD77" t="s">
        <v>93</v>
      </c>
      <c r="AE77">
        <v>4.9178289155769474E-2</v>
      </c>
      <c r="AK77">
        <v>2030</v>
      </c>
      <c r="AL77" t="s">
        <v>78</v>
      </c>
      <c r="AM77">
        <v>0.53820000000000001</v>
      </c>
      <c r="AN77" t="s">
        <v>168</v>
      </c>
    </row>
    <row r="78" spans="9:40" x14ac:dyDescent="0.45">
      <c r="I78" t="s">
        <v>96</v>
      </c>
      <c r="J78" t="s">
        <v>94</v>
      </c>
      <c r="K78">
        <v>3.8346595497577469E-2</v>
      </c>
      <c r="L78" t="s">
        <v>84</v>
      </c>
      <c r="N78" t="s">
        <v>112</v>
      </c>
      <c r="O78" t="s">
        <v>94</v>
      </c>
      <c r="P78">
        <v>2.5401891762551223E-2</v>
      </c>
      <c r="Q78" t="s">
        <v>84</v>
      </c>
      <c r="S78" t="s">
        <v>127</v>
      </c>
      <c r="T78" t="s">
        <v>94</v>
      </c>
      <c r="U78">
        <v>2.3345369164968235E-2</v>
      </c>
      <c r="V78" t="s">
        <v>84</v>
      </c>
      <c r="AC78" t="s">
        <v>240</v>
      </c>
      <c r="AD78" t="s">
        <v>94</v>
      </c>
      <c r="AE78">
        <v>2.8038964338304457E-2</v>
      </c>
      <c r="AK78">
        <v>2030</v>
      </c>
      <c r="AL78" t="s">
        <v>80</v>
      </c>
      <c r="AM78">
        <v>0.50849999999999995</v>
      </c>
      <c r="AN78" t="s">
        <v>168</v>
      </c>
    </row>
    <row r="79" spans="9:40" x14ac:dyDescent="0.45">
      <c r="I79" t="s">
        <v>96</v>
      </c>
      <c r="J79" t="s">
        <v>95</v>
      </c>
      <c r="K79">
        <v>6.55829334742319E-2</v>
      </c>
      <c r="L79" t="s">
        <v>84</v>
      </c>
      <c r="N79" t="s">
        <v>112</v>
      </c>
      <c r="O79" t="s">
        <v>95</v>
      </c>
      <c r="P79">
        <v>4.1494214019041638E-2</v>
      </c>
      <c r="Q79" t="s">
        <v>84</v>
      </c>
      <c r="S79" t="s">
        <v>127</v>
      </c>
      <c r="T79" t="s">
        <v>95</v>
      </c>
      <c r="U79">
        <v>3.800001452443226E-2</v>
      </c>
      <c r="V79" t="s">
        <v>84</v>
      </c>
      <c r="AC79" t="s">
        <v>240</v>
      </c>
      <c r="AD79" t="s">
        <v>95</v>
      </c>
      <c r="AE79">
        <v>4.1095640119346757E-2</v>
      </c>
      <c r="AK79">
        <v>2030</v>
      </c>
      <c r="AL79" t="s">
        <v>171</v>
      </c>
      <c r="AM79">
        <v>0.57920000000000005</v>
      </c>
      <c r="AN79" t="s">
        <v>168</v>
      </c>
    </row>
    <row r="80" spans="9:40" x14ac:dyDescent="0.45">
      <c r="I80" t="s">
        <v>96</v>
      </c>
      <c r="J80" t="s">
        <v>186</v>
      </c>
      <c r="K80">
        <v>4.4319212206143151E-3</v>
      </c>
      <c r="L80" t="s">
        <v>84</v>
      </c>
      <c r="N80" t="s">
        <v>112</v>
      </c>
      <c r="O80" t="s">
        <v>186</v>
      </c>
      <c r="P80">
        <v>6.9091299697947896E-3</v>
      </c>
      <c r="Q80" t="s">
        <v>84</v>
      </c>
      <c r="S80" t="s">
        <v>127</v>
      </c>
      <c r="T80" t="s">
        <v>186</v>
      </c>
      <c r="U80">
        <v>6.3817841649166486E-3</v>
      </c>
      <c r="V80" t="s">
        <v>84</v>
      </c>
      <c r="AC80" t="s">
        <v>240</v>
      </c>
      <c r="AD80" t="s">
        <v>186</v>
      </c>
      <c r="AE80">
        <v>6.8582470181097746E-3</v>
      </c>
      <c r="AK80">
        <v>2030</v>
      </c>
      <c r="AL80" t="s">
        <v>173</v>
      </c>
      <c r="AM80">
        <v>0.58360000000000001</v>
      </c>
      <c r="AN80" t="s">
        <v>168</v>
      </c>
    </row>
    <row r="81" spans="9:40" x14ac:dyDescent="0.45">
      <c r="I81" t="s">
        <v>96</v>
      </c>
      <c r="J81" t="s">
        <v>187</v>
      </c>
      <c r="K81">
        <v>0</v>
      </c>
      <c r="L81" t="s">
        <v>84</v>
      </c>
      <c r="N81" t="s">
        <v>112</v>
      </c>
      <c r="O81" t="s">
        <v>187</v>
      </c>
      <c r="P81">
        <v>6.9301866225709415E-3</v>
      </c>
      <c r="Q81" t="s">
        <v>84</v>
      </c>
      <c r="S81" t="s">
        <v>127</v>
      </c>
      <c r="T81" t="s">
        <v>187</v>
      </c>
      <c r="U81">
        <v>6.3878509570138046E-3</v>
      </c>
      <c r="V81" t="s">
        <v>84</v>
      </c>
      <c r="AC81" t="s">
        <v>240</v>
      </c>
      <c r="AD81" t="s">
        <v>187</v>
      </c>
      <c r="AE81">
        <v>6.910858113172917E-3</v>
      </c>
      <c r="AK81">
        <v>2030</v>
      </c>
      <c r="AL81" t="s">
        <v>175</v>
      </c>
      <c r="AM81">
        <v>0.56559999999999999</v>
      </c>
      <c r="AN81" t="s">
        <v>168</v>
      </c>
    </row>
    <row r="82" spans="9:40" x14ac:dyDescent="0.45">
      <c r="I82" t="s">
        <v>96</v>
      </c>
      <c r="J82" t="s">
        <v>188</v>
      </c>
      <c r="K82">
        <v>0</v>
      </c>
      <c r="L82" t="s">
        <v>84</v>
      </c>
      <c r="N82" t="s">
        <v>112</v>
      </c>
      <c r="O82" t="s">
        <v>188</v>
      </c>
      <c r="P82">
        <v>3.3810008022765688E-2</v>
      </c>
      <c r="Q82" t="s">
        <v>84</v>
      </c>
      <c r="S82" t="s">
        <v>127</v>
      </c>
      <c r="T82" t="s">
        <v>188</v>
      </c>
      <c r="U82">
        <v>3.1403163712110348E-2</v>
      </c>
      <c r="V82" t="s">
        <v>84</v>
      </c>
      <c r="AC82" t="s">
        <v>240</v>
      </c>
      <c r="AD82" t="s">
        <v>188</v>
      </c>
      <c r="AE82">
        <v>3.5021051105407923E-2</v>
      </c>
      <c r="AK82">
        <v>2030</v>
      </c>
      <c r="AL82" t="s">
        <v>176</v>
      </c>
      <c r="AM82">
        <v>0.58745000000000003</v>
      </c>
      <c r="AN82" t="s">
        <v>168</v>
      </c>
    </row>
    <row r="83" spans="9:40" x14ac:dyDescent="0.45">
      <c r="I83" t="s">
        <v>96</v>
      </c>
      <c r="J83" t="s">
        <v>189</v>
      </c>
      <c r="K83">
        <v>0</v>
      </c>
      <c r="L83" t="s">
        <v>84</v>
      </c>
      <c r="N83" t="s">
        <v>112</v>
      </c>
      <c r="O83" t="s">
        <v>189</v>
      </c>
      <c r="P83">
        <v>2.3507056447395914E-2</v>
      </c>
      <c r="Q83" t="s">
        <v>84</v>
      </c>
      <c r="S83" t="s">
        <v>127</v>
      </c>
      <c r="T83" t="s">
        <v>189</v>
      </c>
      <c r="U83">
        <v>2.8551803080699663E-2</v>
      </c>
      <c r="V83" t="s">
        <v>84</v>
      </c>
      <c r="AC83" t="s">
        <v>240</v>
      </c>
      <c r="AD83" t="s">
        <v>189</v>
      </c>
      <c r="AE83">
        <v>2.418653675710929E-2</v>
      </c>
      <c r="AK83">
        <v>2031</v>
      </c>
      <c r="AL83" t="s">
        <v>72</v>
      </c>
      <c r="AM83">
        <v>0.53369999999999995</v>
      </c>
      <c r="AN83" t="s">
        <v>168</v>
      </c>
    </row>
    <row r="84" spans="9:40" x14ac:dyDescent="0.45">
      <c r="I84" t="s">
        <v>96</v>
      </c>
      <c r="J84" t="s">
        <v>190</v>
      </c>
      <c r="K84">
        <v>9.8029398944459636E-3</v>
      </c>
      <c r="L84" t="s">
        <v>84</v>
      </c>
      <c r="N84" t="s">
        <v>112</v>
      </c>
      <c r="O84" t="s">
        <v>190</v>
      </c>
      <c r="P84">
        <v>1.3263865204001595E-2</v>
      </c>
      <c r="Q84" t="s">
        <v>84</v>
      </c>
      <c r="S84" t="s">
        <v>127</v>
      </c>
      <c r="T84" t="s">
        <v>190</v>
      </c>
      <c r="U84">
        <v>1.5778690502046867E-2</v>
      </c>
      <c r="V84" t="s">
        <v>84</v>
      </c>
      <c r="AC84" t="s">
        <v>240</v>
      </c>
      <c r="AD84" t="s">
        <v>190</v>
      </c>
      <c r="AE84">
        <v>1.3812822768219856E-2</v>
      </c>
      <c r="AK84">
        <v>2031</v>
      </c>
      <c r="AL84" t="s">
        <v>76</v>
      </c>
      <c r="AM84">
        <v>0.53539999999999999</v>
      </c>
      <c r="AN84" t="s">
        <v>168</v>
      </c>
    </row>
    <row r="85" spans="9:40" x14ac:dyDescent="0.45">
      <c r="I85" t="s">
        <v>96</v>
      </c>
      <c r="J85" t="s">
        <v>191</v>
      </c>
      <c r="K85">
        <v>2.3146303187918257E-2</v>
      </c>
      <c r="L85" t="s">
        <v>84</v>
      </c>
      <c r="N85" t="s">
        <v>112</v>
      </c>
      <c r="O85" t="s">
        <v>191</v>
      </c>
      <c r="P85">
        <v>2.1589514455806091E-2</v>
      </c>
      <c r="Q85" t="s">
        <v>84</v>
      </c>
      <c r="S85" t="s">
        <v>127</v>
      </c>
      <c r="T85" t="s">
        <v>191</v>
      </c>
      <c r="U85">
        <v>2.3618781714178364E-2</v>
      </c>
      <c r="V85" t="s">
        <v>84</v>
      </c>
      <c r="AC85" t="s">
        <v>240</v>
      </c>
      <c r="AD85" t="s">
        <v>191</v>
      </c>
      <c r="AE85">
        <v>2.0180194278405998E-2</v>
      </c>
      <c r="AK85">
        <v>2031</v>
      </c>
      <c r="AL85" t="s">
        <v>78</v>
      </c>
      <c r="AM85">
        <v>0.46600000000000003</v>
      </c>
      <c r="AN85" t="s">
        <v>168</v>
      </c>
    </row>
    <row r="86" spans="9:40" x14ac:dyDescent="0.45">
      <c r="I86" t="s">
        <v>96</v>
      </c>
      <c r="J86" t="s">
        <v>192</v>
      </c>
      <c r="K86">
        <v>0</v>
      </c>
      <c r="L86" t="s">
        <v>84</v>
      </c>
      <c r="N86" t="s">
        <v>112</v>
      </c>
      <c r="O86" t="s">
        <v>192</v>
      </c>
      <c r="P86">
        <v>3.3198903663611357E-3</v>
      </c>
      <c r="Q86" t="s">
        <v>84</v>
      </c>
      <c r="S86" t="s">
        <v>127</v>
      </c>
      <c r="T86" t="s">
        <v>192</v>
      </c>
      <c r="U86">
        <v>3.740249304390585E-3</v>
      </c>
      <c r="V86" t="s">
        <v>84</v>
      </c>
      <c r="AC86" t="s">
        <v>240</v>
      </c>
      <c r="AD86" t="s">
        <v>192</v>
      </c>
      <c r="AE86">
        <v>3.3719377694243066E-3</v>
      </c>
      <c r="AK86">
        <v>2031</v>
      </c>
      <c r="AL86" t="s">
        <v>80</v>
      </c>
      <c r="AM86">
        <v>0.55759999999999998</v>
      </c>
      <c r="AN86" t="s">
        <v>168</v>
      </c>
    </row>
    <row r="87" spans="9:40" x14ac:dyDescent="0.45">
      <c r="I87" t="s">
        <v>96</v>
      </c>
      <c r="J87" t="s">
        <v>193</v>
      </c>
      <c r="K87">
        <v>0</v>
      </c>
      <c r="L87" t="s">
        <v>84</v>
      </c>
      <c r="N87" t="s">
        <v>112</v>
      </c>
      <c r="O87" t="s">
        <v>193</v>
      </c>
      <c r="P87">
        <v>3.2849922380741008E-3</v>
      </c>
      <c r="Q87" t="s">
        <v>84</v>
      </c>
      <c r="S87" t="s">
        <v>127</v>
      </c>
      <c r="T87" t="s">
        <v>193</v>
      </c>
      <c r="U87">
        <v>3.686710823219282E-3</v>
      </c>
      <c r="V87" t="s">
        <v>84</v>
      </c>
      <c r="AC87" t="s">
        <v>240</v>
      </c>
      <c r="AD87" t="s">
        <v>193</v>
      </c>
      <c r="AE87">
        <v>3.4117956213134538E-3</v>
      </c>
      <c r="AK87">
        <v>2031</v>
      </c>
      <c r="AL87" t="s">
        <v>171</v>
      </c>
      <c r="AM87">
        <v>0.64780000000000004</v>
      </c>
      <c r="AN87" t="s">
        <v>168</v>
      </c>
    </row>
    <row r="88" spans="9:40" x14ac:dyDescent="0.45">
      <c r="I88" t="s">
        <v>96</v>
      </c>
      <c r="J88" t="s">
        <v>194</v>
      </c>
      <c r="K88">
        <v>0</v>
      </c>
      <c r="L88" t="s">
        <v>84</v>
      </c>
      <c r="N88" t="s">
        <v>112</v>
      </c>
      <c r="O88" t="s">
        <v>194</v>
      </c>
      <c r="P88">
        <v>1.614879111639287E-2</v>
      </c>
      <c r="Q88" t="s">
        <v>84</v>
      </c>
      <c r="S88" t="s">
        <v>127</v>
      </c>
      <c r="T88" t="s">
        <v>194</v>
      </c>
      <c r="U88">
        <v>1.9385865860013531E-2</v>
      </c>
      <c r="V88" t="s">
        <v>84</v>
      </c>
      <c r="AC88" t="s">
        <v>240</v>
      </c>
      <c r="AD88" t="s">
        <v>194</v>
      </c>
      <c r="AE88">
        <v>1.7273332786228855E-2</v>
      </c>
      <c r="AK88">
        <v>2031</v>
      </c>
      <c r="AL88" t="s">
        <v>173</v>
      </c>
      <c r="AM88">
        <v>0.63496666666666668</v>
      </c>
      <c r="AN88" t="s">
        <v>168</v>
      </c>
    </row>
    <row r="89" spans="9:40" x14ac:dyDescent="0.45">
      <c r="I89" t="s">
        <v>96</v>
      </c>
      <c r="J89" t="s">
        <v>195</v>
      </c>
      <c r="K89">
        <v>1.3136516814202422E-3</v>
      </c>
      <c r="L89" t="s">
        <v>84</v>
      </c>
      <c r="N89" t="s">
        <v>112</v>
      </c>
      <c r="O89" t="s">
        <v>195</v>
      </c>
      <c r="P89">
        <v>8.6900087204080712E-2</v>
      </c>
      <c r="Q89" t="s">
        <v>84</v>
      </c>
      <c r="S89" t="s">
        <v>127</v>
      </c>
      <c r="T89" t="s">
        <v>195</v>
      </c>
      <c r="U89">
        <v>8.7877772678790267E-2</v>
      </c>
      <c r="V89" t="s">
        <v>84</v>
      </c>
      <c r="AC89" t="s">
        <v>240</v>
      </c>
      <c r="AD89" t="s">
        <v>195</v>
      </c>
      <c r="AE89">
        <v>7.4190235700681978E-2</v>
      </c>
      <c r="AK89">
        <v>2031</v>
      </c>
      <c r="AL89" t="s">
        <v>175</v>
      </c>
      <c r="AM89">
        <v>0.63090000000000002</v>
      </c>
      <c r="AN89" t="s">
        <v>168</v>
      </c>
    </row>
    <row r="90" spans="9:40" x14ac:dyDescent="0.45">
      <c r="I90" t="s">
        <v>96</v>
      </c>
      <c r="J90" t="s">
        <v>196</v>
      </c>
      <c r="K90">
        <v>5.406992861982951E-2</v>
      </c>
      <c r="L90" t="s">
        <v>84</v>
      </c>
      <c r="N90" t="s">
        <v>112</v>
      </c>
      <c r="O90" t="s">
        <v>196</v>
      </c>
      <c r="P90">
        <v>4.847962021359567E-2</v>
      </c>
      <c r="Q90" t="s">
        <v>84</v>
      </c>
      <c r="S90" t="s">
        <v>127</v>
      </c>
      <c r="T90" t="s">
        <v>196</v>
      </c>
      <c r="U90">
        <v>4.7581990841570956E-2</v>
      </c>
      <c r="V90" t="s">
        <v>84</v>
      </c>
      <c r="AC90" t="s">
        <v>240</v>
      </c>
      <c r="AD90" t="s">
        <v>196</v>
      </c>
      <c r="AE90">
        <v>4.2374902582113842E-2</v>
      </c>
      <c r="AK90">
        <v>2031</v>
      </c>
      <c r="AL90" t="s">
        <v>176</v>
      </c>
      <c r="AM90">
        <v>0.55754999999999999</v>
      </c>
      <c r="AN90" t="s">
        <v>168</v>
      </c>
    </row>
    <row r="91" spans="9:40" x14ac:dyDescent="0.45">
      <c r="I91" t="s">
        <v>96</v>
      </c>
      <c r="J91" t="s">
        <v>197</v>
      </c>
      <c r="K91">
        <v>9.9195330745736096E-2</v>
      </c>
      <c r="L91" t="s">
        <v>84</v>
      </c>
      <c r="N91" t="s">
        <v>112</v>
      </c>
      <c r="O91" t="s">
        <v>197</v>
      </c>
      <c r="P91">
        <v>8.1483656742213195E-2</v>
      </c>
      <c r="Q91" t="s">
        <v>84</v>
      </c>
      <c r="S91" t="s">
        <v>127</v>
      </c>
      <c r="T91" t="s">
        <v>197</v>
      </c>
      <c r="U91">
        <v>7.5566882491156576E-2</v>
      </c>
      <c r="V91" t="s">
        <v>84</v>
      </c>
      <c r="AC91" t="s">
        <v>240</v>
      </c>
      <c r="AD91" t="s">
        <v>197</v>
      </c>
      <c r="AE91">
        <v>6.1891133842300473E-2</v>
      </c>
      <c r="AK91">
        <v>2032</v>
      </c>
      <c r="AL91" t="s">
        <v>72</v>
      </c>
      <c r="AM91">
        <v>0.52590000000000003</v>
      </c>
      <c r="AN91" t="s">
        <v>168</v>
      </c>
    </row>
    <row r="92" spans="9:40" x14ac:dyDescent="0.45">
      <c r="I92" t="s">
        <v>96</v>
      </c>
      <c r="J92" t="s">
        <v>198</v>
      </c>
      <c r="K92">
        <v>7.2209578877565003E-3</v>
      </c>
      <c r="L92" t="s">
        <v>84</v>
      </c>
      <c r="N92" t="s">
        <v>112</v>
      </c>
      <c r="O92" t="s">
        <v>198</v>
      </c>
      <c r="P92">
        <v>1.2936079298975965E-2</v>
      </c>
      <c r="Q92" t="s">
        <v>84</v>
      </c>
      <c r="S92" t="s">
        <v>127</v>
      </c>
      <c r="T92" t="s">
        <v>198</v>
      </c>
      <c r="U92">
        <v>1.2857960492500568E-2</v>
      </c>
      <c r="V92" t="s">
        <v>84</v>
      </c>
      <c r="AC92" t="s">
        <v>240</v>
      </c>
      <c r="AD92" t="s">
        <v>198</v>
      </c>
      <c r="AE92">
        <v>1.0336503316852902E-2</v>
      </c>
      <c r="AK92">
        <v>2032</v>
      </c>
      <c r="AL92" t="s">
        <v>76</v>
      </c>
      <c r="AM92">
        <v>0.54579999999999995</v>
      </c>
      <c r="AN92" t="s">
        <v>168</v>
      </c>
    </row>
    <row r="93" spans="9:40" x14ac:dyDescent="0.45">
      <c r="I93" t="s">
        <v>96</v>
      </c>
      <c r="J93" t="s">
        <v>199</v>
      </c>
      <c r="K93">
        <v>0</v>
      </c>
      <c r="L93" t="s">
        <v>84</v>
      </c>
      <c r="N93" t="s">
        <v>112</v>
      </c>
      <c r="O93" t="s">
        <v>199</v>
      </c>
      <c r="P93">
        <v>1.2801309751284056E-2</v>
      </c>
      <c r="Q93" t="s">
        <v>84</v>
      </c>
      <c r="S93" t="s">
        <v>127</v>
      </c>
      <c r="T93" t="s">
        <v>199</v>
      </c>
      <c r="U93">
        <v>1.2795415303213382E-2</v>
      </c>
      <c r="V93" t="s">
        <v>84</v>
      </c>
      <c r="AC93" t="s">
        <v>240</v>
      </c>
      <c r="AD93" t="s">
        <v>199</v>
      </c>
      <c r="AE93">
        <v>1.0450758865324077E-2</v>
      </c>
      <c r="AK93">
        <v>2032</v>
      </c>
      <c r="AL93" t="s">
        <v>78</v>
      </c>
      <c r="AM93">
        <v>0.50609999999999999</v>
      </c>
      <c r="AN93" t="s">
        <v>168</v>
      </c>
    </row>
    <row r="94" spans="9:40" x14ac:dyDescent="0.45">
      <c r="I94" t="s">
        <v>96</v>
      </c>
      <c r="J94" t="s">
        <v>200</v>
      </c>
      <c r="K94">
        <v>0</v>
      </c>
      <c r="L94" t="s">
        <v>84</v>
      </c>
      <c r="N94" t="s">
        <v>112</v>
      </c>
      <c r="O94" t="s">
        <v>200</v>
      </c>
      <c r="P94">
        <v>6.3820815100491701E-2</v>
      </c>
      <c r="Q94" t="s">
        <v>84</v>
      </c>
      <c r="S94" t="s">
        <v>127</v>
      </c>
      <c r="T94" t="s">
        <v>200</v>
      </c>
      <c r="U94">
        <v>6.4831871917996442E-2</v>
      </c>
      <c r="V94" t="s">
        <v>84</v>
      </c>
      <c r="AC94" t="s">
        <v>240</v>
      </c>
      <c r="AD94" t="s">
        <v>200</v>
      </c>
      <c r="AE94">
        <v>5.2932998599505426E-2</v>
      </c>
      <c r="AK94">
        <v>2032</v>
      </c>
      <c r="AL94" t="s">
        <v>80</v>
      </c>
      <c r="AM94">
        <v>0.52315</v>
      </c>
      <c r="AN94" t="s">
        <v>168</v>
      </c>
    </row>
    <row r="95" spans="9:40" x14ac:dyDescent="0.45">
      <c r="I95" t="s">
        <v>96</v>
      </c>
      <c r="J95" t="s">
        <v>201</v>
      </c>
      <c r="K95">
        <v>5.9895939949357394E-3</v>
      </c>
      <c r="L95" t="s">
        <v>84</v>
      </c>
      <c r="N95" t="s">
        <v>112</v>
      </c>
      <c r="O95" t="s">
        <v>201</v>
      </c>
      <c r="P95">
        <v>3.2769439619879367E-2</v>
      </c>
      <c r="Q95" t="s">
        <v>84</v>
      </c>
      <c r="S95" t="s">
        <v>127</v>
      </c>
      <c r="T95" t="s">
        <v>201</v>
      </c>
      <c r="U95">
        <v>2.1186064460481283E-2</v>
      </c>
      <c r="V95" t="s">
        <v>84</v>
      </c>
      <c r="AC95" t="s">
        <v>240</v>
      </c>
      <c r="AD95" t="s">
        <v>201</v>
      </c>
      <c r="AE95">
        <v>2.5004499323017015E-2</v>
      </c>
      <c r="AK95">
        <v>2032</v>
      </c>
      <c r="AL95" t="s">
        <v>171</v>
      </c>
      <c r="AM95">
        <v>0.56499999999999995</v>
      </c>
      <c r="AN95" t="s">
        <v>168</v>
      </c>
    </row>
    <row r="96" spans="9:40" x14ac:dyDescent="0.45">
      <c r="I96" t="s">
        <v>96</v>
      </c>
      <c r="J96" t="s">
        <v>202</v>
      </c>
      <c r="K96">
        <v>3.8101832438477388E-2</v>
      </c>
      <c r="L96" t="s">
        <v>84</v>
      </c>
      <c r="N96" t="s">
        <v>112</v>
      </c>
      <c r="O96" t="s">
        <v>202</v>
      </c>
      <c r="P96">
        <v>1.9330334453392571E-2</v>
      </c>
      <c r="Q96" t="s">
        <v>84</v>
      </c>
      <c r="S96" t="s">
        <v>127</v>
      </c>
      <c r="T96" t="s">
        <v>202</v>
      </c>
      <c r="U96">
        <v>1.2538351493556648E-2</v>
      </c>
      <c r="V96" t="s">
        <v>84</v>
      </c>
      <c r="AC96" t="s">
        <v>240</v>
      </c>
      <c r="AD96" t="s">
        <v>202</v>
      </c>
      <c r="AE96">
        <v>1.4201715346451611E-2</v>
      </c>
      <c r="AK96">
        <v>2032</v>
      </c>
      <c r="AL96" t="s">
        <v>173</v>
      </c>
      <c r="AM96">
        <v>0.6277666666666667</v>
      </c>
      <c r="AN96" t="s">
        <v>168</v>
      </c>
    </row>
    <row r="97" spans="9:40" x14ac:dyDescent="0.45">
      <c r="I97" t="s">
        <v>96</v>
      </c>
      <c r="J97" t="s">
        <v>203</v>
      </c>
      <c r="K97">
        <v>6.1016267139762444E-2</v>
      </c>
      <c r="L97" t="s">
        <v>84</v>
      </c>
      <c r="N97" t="s">
        <v>112</v>
      </c>
      <c r="O97" t="s">
        <v>203</v>
      </c>
      <c r="P97">
        <v>3.3444802859639217E-2</v>
      </c>
      <c r="Q97" t="s">
        <v>84</v>
      </c>
      <c r="S97" t="s">
        <v>127</v>
      </c>
      <c r="T97" t="s">
        <v>203</v>
      </c>
      <c r="U97">
        <v>1.9815104805632595E-2</v>
      </c>
      <c r="V97" t="s">
        <v>84</v>
      </c>
      <c r="AC97" t="s">
        <v>240</v>
      </c>
      <c r="AD97" t="s">
        <v>203</v>
      </c>
      <c r="AE97">
        <v>2.0840853932821417E-2</v>
      </c>
      <c r="AK97">
        <v>2032</v>
      </c>
      <c r="AL97" t="s">
        <v>175</v>
      </c>
      <c r="AM97">
        <v>0.62039999999999995</v>
      </c>
      <c r="AN97" t="s">
        <v>168</v>
      </c>
    </row>
    <row r="98" spans="9:40" x14ac:dyDescent="0.45">
      <c r="I98" t="s">
        <v>96</v>
      </c>
      <c r="J98" t="s">
        <v>204</v>
      </c>
      <c r="K98">
        <v>6.5988569812469519E-3</v>
      </c>
      <c r="L98" t="s">
        <v>84</v>
      </c>
      <c r="N98" t="s">
        <v>112</v>
      </c>
      <c r="O98" t="s">
        <v>204</v>
      </c>
      <c r="P98">
        <v>5.340448820433585E-3</v>
      </c>
      <c r="Q98" t="s">
        <v>84</v>
      </c>
      <c r="S98" t="s">
        <v>127</v>
      </c>
      <c r="T98" t="s">
        <v>204</v>
      </c>
      <c r="U98">
        <v>3.3028108952673696E-3</v>
      </c>
      <c r="V98" t="s">
        <v>84</v>
      </c>
      <c r="AC98" t="s">
        <v>240</v>
      </c>
      <c r="AD98" t="s">
        <v>204</v>
      </c>
      <c r="AE98">
        <v>3.5095146371732612E-3</v>
      </c>
      <c r="AK98">
        <v>2032</v>
      </c>
      <c r="AL98" t="s">
        <v>176</v>
      </c>
      <c r="AM98">
        <v>0.59775</v>
      </c>
      <c r="AN98" t="s">
        <v>168</v>
      </c>
    </row>
    <row r="99" spans="9:40" x14ac:dyDescent="0.45">
      <c r="I99" t="s">
        <v>96</v>
      </c>
      <c r="J99" t="s">
        <v>205</v>
      </c>
      <c r="K99">
        <v>2.8425094941337643E-3</v>
      </c>
      <c r="L99" t="s">
        <v>84</v>
      </c>
      <c r="N99" t="s">
        <v>112</v>
      </c>
      <c r="O99" t="s">
        <v>205</v>
      </c>
      <c r="P99">
        <v>5.2605031345742993E-3</v>
      </c>
      <c r="Q99" t="s">
        <v>84</v>
      </c>
      <c r="S99" t="s">
        <v>127</v>
      </c>
      <c r="T99" t="s">
        <v>205</v>
      </c>
      <c r="U99">
        <v>3.2166197035459932E-3</v>
      </c>
      <c r="V99" t="s">
        <v>84</v>
      </c>
      <c r="AC99" t="s">
        <v>240</v>
      </c>
      <c r="AD99" t="s">
        <v>205</v>
      </c>
      <c r="AE99">
        <v>3.5474343406596775E-3</v>
      </c>
      <c r="AK99">
        <v>2033</v>
      </c>
      <c r="AL99" t="s">
        <v>72</v>
      </c>
      <c r="AM99">
        <v>0.59909999999999997</v>
      </c>
      <c r="AN99" t="s">
        <v>168</v>
      </c>
    </row>
    <row r="100" spans="9:40" x14ac:dyDescent="0.45">
      <c r="I100" t="s">
        <v>96</v>
      </c>
      <c r="J100" t="s">
        <v>206</v>
      </c>
      <c r="K100">
        <v>0</v>
      </c>
      <c r="L100" t="s">
        <v>84</v>
      </c>
      <c r="N100" t="s">
        <v>112</v>
      </c>
      <c r="O100" t="s">
        <v>206</v>
      </c>
      <c r="P100">
        <v>2.5742839356830246E-2</v>
      </c>
      <c r="Q100" t="s">
        <v>84</v>
      </c>
      <c r="S100" t="s">
        <v>127</v>
      </c>
      <c r="T100" t="s">
        <v>206</v>
      </c>
      <c r="U100">
        <v>1.5243894648657566E-2</v>
      </c>
      <c r="V100" t="s">
        <v>84</v>
      </c>
      <c r="AC100" t="s">
        <v>240</v>
      </c>
      <c r="AD100" t="s">
        <v>206</v>
      </c>
      <c r="AE100">
        <v>1.7824723873776378E-2</v>
      </c>
      <c r="AK100">
        <v>2033</v>
      </c>
      <c r="AL100" t="s">
        <v>76</v>
      </c>
      <c r="AM100">
        <v>0.60589999999999999</v>
      </c>
      <c r="AN100" t="s">
        <v>168</v>
      </c>
    </row>
    <row r="101" spans="9:40" x14ac:dyDescent="0.45">
      <c r="I101" t="s">
        <v>96</v>
      </c>
      <c r="J101" t="s">
        <v>207</v>
      </c>
      <c r="K101">
        <v>2.0455698100443696E-2</v>
      </c>
      <c r="L101" t="s">
        <v>84</v>
      </c>
      <c r="N101" t="s">
        <v>112</v>
      </c>
      <c r="O101" t="s">
        <v>207</v>
      </c>
      <c r="P101">
        <v>3.8940275456274077E-2</v>
      </c>
      <c r="Q101" t="s">
        <v>84</v>
      </c>
      <c r="S101" t="s">
        <v>127</v>
      </c>
      <c r="T101" t="s">
        <v>207</v>
      </c>
      <c r="U101">
        <v>3.5353436442136656E-2</v>
      </c>
      <c r="V101" t="s">
        <v>84</v>
      </c>
      <c r="AC101" t="s">
        <v>240</v>
      </c>
      <c r="AD101" t="s">
        <v>207</v>
      </c>
      <c r="AE101">
        <v>4.9147027247065968E-2</v>
      </c>
      <c r="AK101">
        <v>2033</v>
      </c>
      <c r="AL101" t="s">
        <v>78</v>
      </c>
      <c r="AM101">
        <v>0.50019999999999998</v>
      </c>
      <c r="AN101" t="s">
        <v>168</v>
      </c>
    </row>
    <row r="102" spans="9:40" x14ac:dyDescent="0.45">
      <c r="I102" t="s">
        <v>96</v>
      </c>
      <c r="J102" t="s">
        <v>208</v>
      </c>
      <c r="K102">
        <v>7.8638188947176432E-2</v>
      </c>
      <c r="L102" t="s">
        <v>84</v>
      </c>
      <c r="N102" t="s">
        <v>112</v>
      </c>
      <c r="O102" t="s">
        <v>208</v>
      </c>
      <c r="P102">
        <v>2.3635906581980181E-2</v>
      </c>
      <c r="Q102" t="s">
        <v>84</v>
      </c>
      <c r="S102" t="s">
        <v>127</v>
      </c>
      <c r="T102" t="s">
        <v>208</v>
      </c>
      <c r="U102">
        <v>1.845294745733677E-2</v>
      </c>
      <c r="V102" t="s">
        <v>84</v>
      </c>
      <c r="AC102" t="s">
        <v>240</v>
      </c>
      <c r="AD102" t="s">
        <v>208</v>
      </c>
      <c r="AE102">
        <v>2.7913747370524718E-2</v>
      </c>
      <c r="AK102">
        <v>2033</v>
      </c>
      <c r="AL102" t="s">
        <v>80</v>
      </c>
      <c r="AM102">
        <v>0.56074999999999997</v>
      </c>
      <c r="AN102" t="s">
        <v>168</v>
      </c>
    </row>
    <row r="103" spans="9:40" x14ac:dyDescent="0.45">
      <c r="I103" t="s">
        <v>96</v>
      </c>
      <c r="J103" t="s">
        <v>209</v>
      </c>
      <c r="K103">
        <v>0.12518989736932068</v>
      </c>
      <c r="L103" t="s">
        <v>84</v>
      </c>
      <c r="N103" t="s">
        <v>112</v>
      </c>
      <c r="O103" t="s">
        <v>209</v>
      </c>
      <c r="P103">
        <v>4.1177772702990972E-2</v>
      </c>
      <c r="Q103" t="s">
        <v>84</v>
      </c>
      <c r="S103" t="s">
        <v>127</v>
      </c>
      <c r="T103" t="s">
        <v>209</v>
      </c>
      <c r="U103">
        <v>2.8644721512792536E-2</v>
      </c>
      <c r="V103" t="s">
        <v>84</v>
      </c>
      <c r="AC103" t="s">
        <v>240</v>
      </c>
      <c r="AD103" t="s">
        <v>209</v>
      </c>
      <c r="AE103">
        <v>4.1084970499047711E-2</v>
      </c>
      <c r="AK103">
        <v>2033</v>
      </c>
      <c r="AL103" t="s">
        <v>171</v>
      </c>
      <c r="AM103">
        <v>0.67030000000000001</v>
      </c>
      <c r="AN103" t="s">
        <v>168</v>
      </c>
    </row>
    <row r="104" spans="9:40" x14ac:dyDescent="0.45">
      <c r="I104" t="s">
        <v>96</v>
      </c>
      <c r="J104" t="s">
        <v>210</v>
      </c>
      <c r="K104">
        <v>1.4548872721168338E-2</v>
      </c>
      <c r="L104" t="s">
        <v>84</v>
      </c>
      <c r="N104" t="s">
        <v>112</v>
      </c>
      <c r="O104" t="s">
        <v>210</v>
      </c>
      <c r="P104">
        <v>6.6459339742910156E-3</v>
      </c>
      <c r="Q104" t="s">
        <v>84</v>
      </c>
      <c r="S104" t="s">
        <v>127</v>
      </c>
      <c r="T104" t="s">
        <v>210</v>
      </c>
      <c r="U104">
        <v>5.2467123944751354E-3</v>
      </c>
      <c r="V104" t="s">
        <v>84</v>
      </c>
      <c r="AC104" t="s">
        <v>240</v>
      </c>
      <c r="AD104" t="s">
        <v>210</v>
      </c>
      <c r="AE104">
        <v>6.9054740559192432E-3</v>
      </c>
      <c r="AK104">
        <v>2033</v>
      </c>
      <c r="AL104" t="s">
        <v>173</v>
      </c>
      <c r="AM104">
        <v>0.64216666666666666</v>
      </c>
      <c r="AN104" t="s">
        <v>168</v>
      </c>
    </row>
    <row r="105" spans="9:40" x14ac:dyDescent="0.45">
      <c r="I105" t="s">
        <v>96</v>
      </c>
      <c r="J105" t="s">
        <v>211</v>
      </c>
      <c r="K105">
        <v>9.4630248387863446E-3</v>
      </c>
      <c r="L105" t="s">
        <v>84</v>
      </c>
      <c r="N105" t="s">
        <v>112</v>
      </c>
      <c r="O105" t="s">
        <v>211</v>
      </c>
      <c r="P105">
        <v>6.4116229874192918E-3</v>
      </c>
      <c r="Q105" t="s">
        <v>84</v>
      </c>
      <c r="S105" t="s">
        <v>127</v>
      </c>
      <c r="T105" t="s">
        <v>211</v>
      </c>
      <c r="U105">
        <v>5.3045576678170349E-3</v>
      </c>
      <c r="V105" t="s">
        <v>84</v>
      </c>
      <c r="AC105" t="s">
        <v>240</v>
      </c>
      <c r="AD105" t="s">
        <v>211</v>
      </c>
      <c r="AE105">
        <v>6.9651622262026491E-3</v>
      </c>
      <c r="AK105">
        <v>2033</v>
      </c>
      <c r="AL105" t="s">
        <v>175</v>
      </c>
      <c r="AM105">
        <v>0.62680000000000002</v>
      </c>
      <c r="AN105" t="s">
        <v>168</v>
      </c>
    </row>
    <row r="106" spans="9:40" x14ac:dyDescent="0.45">
      <c r="I106" t="s">
        <v>96</v>
      </c>
      <c r="J106" t="s">
        <v>212</v>
      </c>
      <c r="K106">
        <v>1.0819070776113837E-3</v>
      </c>
      <c r="L106" t="s">
        <v>84</v>
      </c>
      <c r="N106" t="s">
        <v>112</v>
      </c>
      <c r="O106" t="s">
        <v>212</v>
      </c>
      <c r="P106">
        <v>2.9596648586167736E-2</v>
      </c>
      <c r="Q106" t="s">
        <v>84</v>
      </c>
      <c r="S106" t="s">
        <v>127</v>
      </c>
      <c r="T106" t="s">
        <v>212</v>
      </c>
      <c r="U106">
        <v>2.5149234623461438E-2</v>
      </c>
      <c r="V106" t="s">
        <v>84</v>
      </c>
      <c r="AC106" t="s">
        <v>240</v>
      </c>
      <c r="AD106" t="s">
        <v>212</v>
      </c>
      <c r="AE106">
        <v>3.504832643552843E-2</v>
      </c>
      <c r="AK106">
        <v>2033</v>
      </c>
      <c r="AL106" t="s">
        <v>176</v>
      </c>
      <c r="AM106">
        <v>0.56835000000000002</v>
      </c>
      <c r="AN106" t="s">
        <v>168</v>
      </c>
    </row>
    <row r="107" spans="9:40" x14ac:dyDescent="0.45">
      <c r="I107" t="s">
        <v>97</v>
      </c>
      <c r="J107" t="s">
        <v>83</v>
      </c>
      <c r="K107">
        <v>9.2102711924524801E-3</v>
      </c>
      <c r="L107" t="s">
        <v>84</v>
      </c>
      <c r="N107" t="s">
        <v>113</v>
      </c>
      <c r="O107" t="s">
        <v>83</v>
      </c>
      <c r="P107">
        <v>2.7252826537809218E-2</v>
      </c>
      <c r="Q107" t="s">
        <v>84</v>
      </c>
      <c r="S107" t="s">
        <v>128</v>
      </c>
      <c r="T107" t="s">
        <v>83</v>
      </c>
      <c r="U107">
        <v>2.7072834220921597E-2</v>
      </c>
      <c r="V107" t="s">
        <v>84</v>
      </c>
      <c r="AK107">
        <v>2034</v>
      </c>
      <c r="AL107" t="s">
        <v>72</v>
      </c>
      <c r="AM107">
        <v>0.50349999999999995</v>
      </c>
      <c r="AN107" t="s">
        <v>168</v>
      </c>
    </row>
    <row r="108" spans="9:40" x14ac:dyDescent="0.45">
      <c r="I108" t="s">
        <v>97</v>
      </c>
      <c r="J108" t="s">
        <v>85</v>
      </c>
      <c r="K108">
        <v>4.1050953519614665E-2</v>
      </c>
      <c r="L108" t="s">
        <v>84</v>
      </c>
      <c r="N108" t="s">
        <v>113</v>
      </c>
      <c r="O108" t="s">
        <v>85</v>
      </c>
      <c r="P108">
        <v>1.6614597730509124E-2</v>
      </c>
      <c r="Q108" t="s">
        <v>84</v>
      </c>
      <c r="S108" t="s">
        <v>128</v>
      </c>
      <c r="T108" t="s">
        <v>85</v>
      </c>
      <c r="U108">
        <v>1.5266328368976642E-2</v>
      </c>
      <c r="V108" t="s">
        <v>84</v>
      </c>
      <c r="AK108">
        <v>2034</v>
      </c>
      <c r="AL108" t="s">
        <v>76</v>
      </c>
      <c r="AM108">
        <v>0.49840000000000001</v>
      </c>
      <c r="AN108" t="s">
        <v>168</v>
      </c>
    </row>
    <row r="109" spans="9:40" x14ac:dyDescent="0.45">
      <c r="I109" t="s">
        <v>97</v>
      </c>
      <c r="J109" t="s">
        <v>86</v>
      </c>
      <c r="K109">
        <v>6.9934590785569489E-2</v>
      </c>
      <c r="L109" t="s">
        <v>84</v>
      </c>
      <c r="N109" t="s">
        <v>113</v>
      </c>
      <c r="O109" t="s">
        <v>86</v>
      </c>
      <c r="P109">
        <v>2.6702116918147421E-2</v>
      </c>
      <c r="Q109" t="s">
        <v>84</v>
      </c>
      <c r="S109" t="s">
        <v>128</v>
      </c>
      <c r="T109" t="s">
        <v>86</v>
      </c>
      <c r="U109">
        <v>2.3446196801703914E-2</v>
      </c>
      <c r="V109" t="s">
        <v>84</v>
      </c>
      <c r="AK109">
        <v>2034</v>
      </c>
      <c r="AL109" t="s">
        <v>78</v>
      </c>
      <c r="AM109">
        <v>0.42399999999999999</v>
      </c>
      <c r="AN109" t="s">
        <v>168</v>
      </c>
    </row>
    <row r="110" spans="9:40" x14ac:dyDescent="0.45">
      <c r="I110" t="s">
        <v>97</v>
      </c>
      <c r="J110" t="s">
        <v>177</v>
      </c>
      <c r="K110">
        <v>8.8407027381123358E-3</v>
      </c>
      <c r="L110" t="s">
        <v>84</v>
      </c>
      <c r="N110" t="s">
        <v>113</v>
      </c>
      <c r="O110" t="s">
        <v>177</v>
      </c>
      <c r="P110">
        <v>4.6957658843603967E-3</v>
      </c>
      <c r="Q110" t="s">
        <v>84</v>
      </c>
      <c r="S110" t="s">
        <v>128</v>
      </c>
      <c r="T110" t="s">
        <v>177</v>
      </c>
      <c r="U110">
        <v>4.1387526357263499E-3</v>
      </c>
      <c r="V110" t="s">
        <v>84</v>
      </c>
      <c r="AK110">
        <v>2034</v>
      </c>
      <c r="AL110" t="s">
        <v>80</v>
      </c>
      <c r="AM110">
        <v>0.4763</v>
      </c>
      <c r="AN110" t="s">
        <v>168</v>
      </c>
    </row>
    <row r="111" spans="9:40" x14ac:dyDescent="0.45">
      <c r="I111" t="s">
        <v>97</v>
      </c>
      <c r="J111" t="s">
        <v>178</v>
      </c>
      <c r="K111">
        <v>6.578719552439322E-3</v>
      </c>
      <c r="L111" t="s">
        <v>84</v>
      </c>
      <c r="N111" t="s">
        <v>113</v>
      </c>
      <c r="O111" t="s">
        <v>178</v>
      </c>
      <c r="P111">
        <v>4.6544077180409316E-3</v>
      </c>
      <c r="Q111" t="s">
        <v>84</v>
      </c>
      <c r="S111" t="s">
        <v>128</v>
      </c>
      <c r="T111" t="s">
        <v>178</v>
      </c>
      <c r="U111">
        <v>4.2149223076914178E-3</v>
      </c>
      <c r="V111" t="s">
        <v>84</v>
      </c>
      <c r="AK111">
        <v>2034</v>
      </c>
      <c r="AL111" t="s">
        <v>171</v>
      </c>
      <c r="AM111">
        <v>0.495</v>
      </c>
      <c r="AN111" t="s">
        <v>168</v>
      </c>
    </row>
    <row r="112" spans="9:40" x14ac:dyDescent="0.45">
      <c r="I112" t="s">
        <v>97</v>
      </c>
      <c r="J112" t="s">
        <v>179</v>
      </c>
      <c r="K112">
        <v>1.9026290578419258E-3</v>
      </c>
      <c r="L112" t="s">
        <v>84</v>
      </c>
      <c r="N112" t="s">
        <v>113</v>
      </c>
      <c r="O112" t="s">
        <v>179</v>
      </c>
      <c r="P112">
        <v>2.1829564779610625E-2</v>
      </c>
      <c r="Q112" t="s">
        <v>84</v>
      </c>
      <c r="S112" t="s">
        <v>128</v>
      </c>
      <c r="T112" t="s">
        <v>179</v>
      </c>
      <c r="U112">
        <v>2.0703984880846505E-2</v>
      </c>
      <c r="V112" t="s">
        <v>84</v>
      </c>
      <c r="AK112">
        <v>2034</v>
      </c>
      <c r="AL112" t="s">
        <v>173</v>
      </c>
      <c r="AM112">
        <v>0.53783333333333327</v>
      </c>
      <c r="AN112" t="s">
        <v>168</v>
      </c>
    </row>
    <row r="113" spans="9:40" x14ac:dyDescent="0.45">
      <c r="I113" t="s">
        <v>97</v>
      </c>
      <c r="J113" t="s">
        <v>87</v>
      </c>
      <c r="K113">
        <v>4.8534997320340686E-3</v>
      </c>
      <c r="L113" t="s">
        <v>84</v>
      </c>
      <c r="N113" t="s">
        <v>113</v>
      </c>
      <c r="O113" t="s">
        <v>87</v>
      </c>
      <c r="P113">
        <v>1.5711083563746338E-2</v>
      </c>
      <c r="Q113" t="s">
        <v>84</v>
      </c>
      <c r="S113" t="s">
        <v>128</v>
      </c>
      <c r="T113" t="s">
        <v>87</v>
      </c>
      <c r="U113">
        <v>1.9874230975901089E-2</v>
      </c>
      <c r="V113" t="s">
        <v>84</v>
      </c>
      <c r="AK113">
        <v>2034</v>
      </c>
      <c r="AL113" t="s">
        <v>175</v>
      </c>
      <c r="AM113">
        <v>0.55210000000000004</v>
      </c>
      <c r="AN113" t="s">
        <v>168</v>
      </c>
    </row>
    <row r="114" spans="9:40" x14ac:dyDescent="0.45">
      <c r="I114" t="s">
        <v>97</v>
      </c>
      <c r="J114" t="s">
        <v>88</v>
      </c>
      <c r="K114">
        <v>3.5109743201726502E-2</v>
      </c>
      <c r="L114" t="s">
        <v>84</v>
      </c>
      <c r="N114" t="s">
        <v>113</v>
      </c>
      <c r="O114" t="s">
        <v>88</v>
      </c>
      <c r="P114">
        <v>9.9557976723854223E-3</v>
      </c>
      <c r="Q114" t="s">
        <v>84</v>
      </c>
      <c r="S114" t="s">
        <v>128</v>
      </c>
      <c r="T114" t="s">
        <v>88</v>
      </c>
      <c r="U114">
        <v>1.2495781482139619E-2</v>
      </c>
      <c r="V114" t="s">
        <v>84</v>
      </c>
      <c r="AK114">
        <v>2034</v>
      </c>
      <c r="AL114" t="s">
        <v>176</v>
      </c>
      <c r="AM114">
        <v>0.49629999999999996</v>
      </c>
      <c r="AN114" t="s">
        <v>168</v>
      </c>
    </row>
    <row r="115" spans="9:40" x14ac:dyDescent="0.45">
      <c r="I115" t="s">
        <v>97</v>
      </c>
      <c r="J115" t="s">
        <v>89</v>
      </c>
      <c r="K115">
        <v>6.0202868656817218E-2</v>
      </c>
      <c r="L115" t="s">
        <v>84</v>
      </c>
      <c r="N115" t="s">
        <v>113</v>
      </c>
      <c r="O115" t="s">
        <v>89</v>
      </c>
      <c r="P115">
        <v>1.5590799680582003E-2</v>
      </c>
      <c r="Q115" t="s">
        <v>84</v>
      </c>
      <c r="S115" t="s">
        <v>128</v>
      </c>
      <c r="T115" t="s">
        <v>89</v>
      </c>
      <c r="U115">
        <v>1.7900631935140621E-2</v>
      </c>
      <c r="V115" t="s">
        <v>84</v>
      </c>
      <c r="AK115">
        <v>2035</v>
      </c>
      <c r="AL115" t="s">
        <v>72</v>
      </c>
      <c r="AM115">
        <v>0.50539999999999996</v>
      </c>
      <c r="AN115" t="s">
        <v>168</v>
      </c>
    </row>
    <row r="116" spans="9:40" x14ac:dyDescent="0.45">
      <c r="I116" t="s">
        <v>97</v>
      </c>
      <c r="J116" t="s">
        <v>180</v>
      </c>
      <c r="K116">
        <v>7.890831182289745E-3</v>
      </c>
      <c r="L116" t="s">
        <v>84</v>
      </c>
      <c r="N116" t="s">
        <v>113</v>
      </c>
      <c r="O116" t="s">
        <v>180</v>
      </c>
      <c r="P116">
        <v>2.9185946736372727E-3</v>
      </c>
      <c r="Q116" t="s">
        <v>84</v>
      </c>
      <c r="S116" t="s">
        <v>128</v>
      </c>
      <c r="T116" t="s">
        <v>180</v>
      </c>
      <c r="U116">
        <v>2.9428778324078813E-3</v>
      </c>
      <c r="V116" t="s">
        <v>84</v>
      </c>
      <c r="AK116">
        <v>2035</v>
      </c>
      <c r="AL116" t="s">
        <v>76</v>
      </c>
      <c r="AM116">
        <v>0.57240000000000002</v>
      </c>
      <c r="AN116" t="s">
        <v>168</v>
      </c>
    </row>
    <row r="117" spans="9:40" x14ac:dyDescent="0.45">
      <c r="I117" t="s">
        <v>97</v>
      </c>
      <c r="J117" t="s">
        <v>181</v>
      </c>
      <c r="K117">
        <v>5.4523811081887454E-3</v>
      </c>
      <c r="L117" t="s">
        <v>84</v>
      </c>
      <c r="N117" t="s">
        <v>113</v>
      </c>
      <c r="O117" t="s">
        <v>181</v>
      </c>
      <c r="P117">
        <v>2.873679648135819E-3</v>
      </c>
      <c r="Q117" t="s">
        <v>84</v>
      </c>
      <c r="S117" t="s">
        <v>128</v>
      </c>
      <c r="T117" t="s">
        <v>181</v>
      </c>
      <c r="U117">
        <v>2.9557626130989056E-3</v>
      </c>
      <c r="V117" t="s">
        <v>84</v>
      </c>
      <c r="AK117">
        <v>2035</v>
      </c>
      <c r="AL117" t="s">
        <v>78</v>
      </c>
      <c r="AM117">
        <v>0.55720000000000003</v>
      </c>
      <c r="AN117" t="s">
        <v>168</v>
      </c>
    </row>
    <row r="118" spans="9:40" x14ac:dyDescent="0.45">
      <c r="I118" t="s">
        <v>97</v>
      </c>
      <c r="J118" t="s">
        <v>182</v>
      </c>
      <c r="K118">
        <v>0</v>
      </c>
      <c r="L118" t="s">
        <v>84</v>
      </c>
      <c r="N118" t="s">
        <v>113</v>
      </c>
      <c r="O118" t="s">
        <v>182</v>
      </c>
      <c r="P118">
        <v>1.2231943349907046E-2</v>
      </c>
      <c r="Q118" t="s">
        <v>84</v>
      </c>
      <c r="S118" t="s">
        <v>128</v>
      </c>
      <c r="T118" t="s">
        <v>182</v>
      </c>
      <c r="U118">
        <v>1.3925452167574426E-2</v>
      </c>
      <c r="V118" t="s">
        <v>84</v>
      </c>
      <c r="AK118">
        <v>2035</v>
      </c>
      <c r="AL118" t="s">
        <v>80</v>
      </c>
      <c r="AM118">
        <v>0.53374999999999995</v>
      </c>
      <c r="AN118" t="s">
        <v>168</v>
      </c>
    </row>
    <row r="119" spans="9:40" x14ac:dyDescent="0.45">
      <c r="I119" t="s">
        <v>97</v>
      </c>
      <c r="J119" t="s">
        <v>90</v>
      </c>
      <c r="K119">
        <v>3.3306356076633933E-3</v>
      </c>
      <c r="L119" t="s">
        <v>84</v>
      </c>
      <c r="N119" t="s">
        <v>113</v>
      </c>
      <c r="O119" t="s">
        <v>90</v>
      </c>
      <c r="P119">
        <v>1.6364913025833046E-2</v>
      </c>
      <c r="Q119" t="s">
        <v>84</v>
      </c>
      <c r="S119" t="s">
        <v>128</v>
      </c>
      <c r="T119" t="s">
        <v>90</v>
      </c>
      <c r="U119">
        <v>2.141091869781275E-2</v>
      </c>
      <c r="V119" t="s">
        <v>84</v>
      </c>
      <c r="AK119">
        <v>2035</v>
      </c>
      <c r="AL119" t="s">
        <v>171</v>
      </c>
      <c r="AM119">
        <v>0.60260000000000002</v>
      </c>
      <c r="AN119" t="s">
        <v>168</v>
      </c>
    </row>
    <row r="120" spans="9:40" x14ac:dyDescent="0.45">
      <c r="I120" t="s">
        <v>97</v>
      </c>
      <c r="J120" t="s">
        <v>91</v>
      </c>
      <c r="K120">
        <v>3.2437984675639443E-2</v>
      </c>
      <c r="L120" t="s">
        <v>84</v>
      </c>
      <c r="N120" t="s">
        <v>113</v>
      </c>
      <c r="O120" t="s">
        <v>91</v>
      </c>
      <c r="P120">
        <v>9.6086188550877083E-3</v>
      </c>
      <c r="Q120" t="s">
        <v>84</v>
      </c>
      <c r="S120" t="s">
        <v>128</v>
      </c>
      <c r="T120" t="s">
        <v>91</v>
      </c>
      <c r="U120">
        <v>1.3172925196087365E-2</v>
      </c>
      <c r="V120" t="s">
        <v>84</v>
      </c>
      <c r="AK120">
        <v>2035</v>
      </c>
      <c r="AL120" t="s">
        <v>173</v>
      </c>
      <c r="AM120">
        <v>0.62950000000000006</v>
      </c>
      <c r="AN120" t="s">
        <v>168</v>
      </c>
    </row>
    <row r="121" spans="9:40" x14ac:dyDescent="0.45">
      <c r="I121" t="s">
        <v>97</v>
      </c>
      <c r="J121" t="s">
        <v>92</v>
      </c>
      <c r="K121">
        <v>5.3501274068615538E-2</v>
      </c>
      <c r="L121" t="s">
        <v>84</v>
      </c>
      <c r="N121" t="s">
        <v>113</v>
      </c>
      <c r="O121" t="s">
        <v>92</v>
      </c>
      <c r="P121">
        <v>1.5978069950418158E-2</v>
      </c>
      <c r="Q121" t="s">
        <v>84</v>
      </c>
      <c r="S121" t="s">
        <v>128</v>
      </c>
      <c r="T121" t="s">
        <v>92</v>
      </c>
      <c r="U121">
        <v>2.0246810761676056E-2</v>
      </c>
      <c r="V121" t="s">
        <v>84</v>
      </c>
      <c r="AK121">
        <v>2035</v>
      </c>
      <c r="AL121" t="s">
        <v>175</v>
      </c>
      <c r="AM121">
        <v>0.6139</v>
      </c>
      <c r="AN121" t="s">
        <v>168</v>
      </c>
    </row>
    <row r="122" spans="9:40" x14ac:dyDescent="0.45">
      <c r="I122" t="s">
        <v>97</v>
      </c>
      <c r="J122" t="s">
        <v>183</v>
      </c>
      <c r="K122">
        <v>6.244183501480924E-3</v>
      </c>
      <c r="L122" t="s">
        <v>84</v>
      </c>
      <c r="N122" t="s">
        <v>113</v>
      </c>
      <c r="O122" t="s">
        <v>183</v>
      </c>
      <c r="P122">
        <v>3.0183687205830199E-3</v>
      </c>
      <c r="Q122" t="s">
        <v>84</v>
      </c>
      <c r="S122" t="s">
        <v>128</v>
      </c>
      <c r="T122" t="s">
        <v>183</v>
      </c>
      <c r="U122">
        <v>3.5816672446215788E-3</v>
      </c>
      <c r="V122" t="s">
        <v>84</v>
      </c>
      <c r="AK122">
        <v>2035</v>
      </c>
      <c r="AL122" t="s">
        <v>176</v>
      </c>
      <c r="AM122">
        <v>0.60055000000000003</v>
      </c>
      <c r="AN122" t="s">
        <v>168</v>
      </c>
    </row>
    <row r="123" spans="9:40" x14ac:dyDescent="0.45">
      <c r="I123" t="s">
        <v>97</v>
      </c>
      <c r="J123" t="s">
        <v>184</v>
      </c>
      <c r="K123">
        <v>2.4684788440562113E-3</v>
      </c>
      <c r="L123" t="s">
        <v>84</v>
      </c>
      <c r="N123" t="s">
        <v>113</v>
      </c>
      <c r="O123" t="s">
        <v>184</v>
      </c>
      <c r="P123">
        <v>2.9981109503593711E-3</v>
      </c>
      <c r="Q123" t="s">
        <v>84</v>
      </c>
      <c r="S123" t="s">
        <v>128</v>
      </c>
      <c r="T123" t="s">
        <v>184</v>
      </c>
      <c r="U123">
        <v>3.5496931278383962E-3</v>
      </c>
      <c r="V123" t="s">
        <v>84</v>
      </c>
      <c r="AK123">
        <v>2036</v>
      </c>
      <c r="AL123" t="s">
        <v>72</v>
      </c>
      <c r="AM123">
        <v>0.55369999999999997</v>
      </c>
      <c r="AN123" t="s">
        <v>168</v>
      </c>
    </row>
    <row r="124" spans="9:40" x14ac:dyDescent="0.45">
      <c r="I124" t="s">
        <v>97</v>
      </c>
      <c r="J124" t="s">
        <v>185</v>
      </c>
      <c r="K124">
        <v>0</v>
      </c>
      <c r="L124" t="s">
        <v>84</v>
      </c>
      <c r="N124" t="s">
        <v>113</v>
      </c>
      <c r="O124" t="s">
        <v>185</v>
      </c>
      <c r="P124">
        <v>1.3403099769151354E-2</v>
      </c>
      <c r="Q124" t="s">
        <v>84</v>
      </c>
      <c r="S124" t="s">
        <v>128</v>
      </c>
      <c r="T124" t="s">
        <v>185</v>
      </c>
      <c r="U124">
        <v>1.6698319884334716E-2</v>
      </c>
      <c r="V124" t="s">
        <v>84</v>
      </c>
      <c r="AK124">
        <v>2036</v>
      </c>
      <c r="AL124" t="s">
        <v>76</v>
      </c>
      <c r="AM124">
        <v>0.53100000000000003</v>
      </c>
      <c r="AN124" t="s">
        <v>168</v>
      </c>
    </row>
    <row r="125" spans="9:40" x14ac:dyDescent="0.45">
      <c r="I125" t="s">
        <v>97</v>
      </c>
      <c r="J125" t="s">
        <v>93</v>
      </c>
      <c r="K125">
        <v>0</v>
      </c>
      <c r="L125" t="s">
        <v>84</v>
      </c>
      <c r="N125" t="s">
        <v>113</v>
      </c>
      <c r="O125" t="s">
        <v>93</v>
      </c>
      <c r="P125">
        <v>4.5902471811865297E-2</v>
      </c>
      <c r="Q125" t="s">
        <v>84</v>
      </c>
      <c r="S125" t="s">
        <v>128</v>
      </c>
      <c r="T125" t="s">
        <v>93</v>
      </c>
      <c r="U125">
        <v>4.8523993853621342E-2</v>
      </c>
      <c r="V125" t="s">
        <v>84</v>
      </c>
      <c r="AK125">
        <v>2036</v>
      </c>
      <c r="AL125" t="s">
        <v>78</v>
      </c>
      <c r="AM125">
        <v>0.47049999999999997</v>
      </c>
      <c r="AN125" t="s">
        <v>168</v>
      </c>
    </row>
    <row r="126" spans="9:40" x14ac:dyDescent="0.45">
      <c r="I126" t="s">
        <v>97</v>
      </c>
      <c r="J126" t="s">
        <v>94</v>
      </c>
      <c r="K126">
        <v>3.7545137099075539E-2</v>
      </c>
      <c r="L126" t="s">
        <v>84</v>
      </c>
      <c r="N126" t="s">
        <v>113</v>
      </c>
      <c r="O126" t="s">
        <v>94</v>
      </c>
      <c r="P126">
        <v>2.3530301867670071E-2</v>
      </c>
      <c r="Q126" t="s">
        <v>84</v>
      </c>
      <c r="S126" t="s">
        <v>128</v>
      </c>
      <c r="T126" t="s">
        <v>94</v>
      </c>
      <c r="U126">
        <v>2.6998021825956273E-2</v>
      </c>
      <c r="V126" t="s">
        <v>84</v>
      </c>
      <c r="AK126">
        <v>2036</v>
      </c>
      <c r="AL126" t="s">
        <v>80</v>
      </c>
      <c r="AM126">
        <v>0.51100000000000001</v>
      </c>
      <c r="AN126" t="s">
        <v>168</v>
      </c>
    </row>
    <row r="127" spans="9:40" x14ac:dyDescent="0.45">
      <c r="I127" t="s">
        <v>97</v>
      </c>
      <c r="J127" t="s">
        <v>95</v>
      </c>
      <c r="K127">
        <v>6.3998786029758212E-2</v>
      </c>
      <c r="L127" t="s">
        <v>84</v>
      </c>
      <c r="N127" t="s">
        <v>113</v>
      </c>
      <c r="O127" t="s">
        <v>95</v>
      </c>
      <c r="P127">
        <v>4.0863467259062924E-2</v>
      </c>
      <c r="Q127" t="s">
        <v>84</v>
      </c>
      <c r="S127" t="s">
        <v>128</v>
      </c>
      <c r="T127" t="s">
        <v>95</v>
      </c>
      <c r="U127">
        <v>4.2467172687827369E-2</v>
      </c>
      <c r="V127" t="s">
        <v>84</v>
      </c>
      <c r="AK127">
        <v>2036</v>
      </c>
      <c r="AL127" t="s">
        <v>171</v>
      </c>
      <c r="AM127">
        <v>0.5716</v>
      </c>
      <c r="AN127" t="s">
        <v>168</v>
      </c>
    </row>
    <row r="128" spans="9:40" x14ac:dyDescent="0.45">
      <c r="I128" t="s">
        <v>97</v>
      </c>
      <c r="J128" t="s">
        <v>186</v>
      </c>
      <c r="K128">
        <v>3.117624891636805E-3</v>
      </c>
      <c r="L128" t="s">
        <v>84</v>
      </c>
      <c r="N128" t="s">
        <v>113</v>
      </c>
      <c r="O128" t="s">
        <v>186</v>
      </c>
      <c r="P128">
        <v>6.7786858604049153E-3</v>
      </c>
      <c r="Q128" t="s">
        <v>84</v>
      </c>
      <c r="S128" t="s">
        <v>128</v>
      </c>
      <c r="T128" t="s">
        <v>186</v>
      </c>
      <c r="U128">
        <v>6.7705992160926043E-3</v>
      </c>
      <c r="V128" t="s">
        <v>84</v>
      </c>
      <c r="AK128">
        <v>2036</v>
      </c>
      <c r="AL128" t="s">
        <v>173</v>
      </c>
      <c r="AM128">
        <v>0.64613333333333334</v>
      </c>
      <c r="AN128" t="s">
        <v>168</v>
      </c>
    </row>
    <row r="129" spans="9:40" x14ac:dyDescent="0.45">
      <c r="I129" t="s">
        <v>97</v>
      </c>
      <c r="J129" t="s">
        <v>187</v>
      </c>
      <c r="K129">
        <v>0</v>
      </c>
      <c r="L129" t="s">
        <v>84</v>
      </c>
      <c r="N129" t="s">
        <v>113</v>
      </c>
      <c r="O129" t="s">
        <v>187</v>
      </c>
      <c r="P129">
        <v>6.7149543242297624E-3</v>
      </c>
      <c r="Q129" t="s">
        <v>84</v>
      </c>
      <c r="S129" t="s">
        <v>128</v>
      </c>
      <c r="T129" t="s">
        <v>187</v>
      </c>
      <c r="U129">
        <v>6.5640969205077474E-3</v>
      </c>
      <c r="V129" t="s">
        <v>84</v>
      </c>
      <c r="AK129">
        <v>2036</v>
      </c>
      <c r="AL129" t="s">
        <v>175</v>
      </c>
      <c r="AM129">
        <v>0.60499999999999998</v>
      </c>
      <c r="AN129" t="s">
        <v>168</v>
      </c>
    </row>
    <row r="130" spans="9:40" x14ac:dyDescent="0.45">
      <c r="I130" t="s">
        <v>97</v>
      </c>
      <c r="J130" t="s">
        <v>188</v>
      </c>
      <c r="K130">
        <v>0</v>
      </c>
      <c r="L130" t="s">
        <v>84</v>
      </c>
      <c r="N130" t="s">
        <v>113</v>
      </c>
      <c r="O130" t="s">
        <v>188</v>
      </c>
      <c r="P130">
        <v>3.3402123393989624E-2</v>
      </c>
      <c r="Q130" t="s">
        <v>84</v>
      </c>
      <c r="S130" t="s">
        <v>128</v>
      </c>
      <c r="T130" t="s">
        <v>188</v>
      </c>
      <c r="U130">
        <v>3.2127331162418012E-2</v>
      </c>
      <c r="V130" t="s">
        <v>84</v>
      </c>
      <c r="AK130">
        <v>2036</v>
      </c>
      <c r="AL130" t="s">
        <v>176</v>
      </c>
      <c r="AM130">
        <v>0.58830000000000005</v>
      </c>
      <c r="AN130" t="s">
        <v>168</v>
      </c>
    </row>
    <row r="131" spans="9:40" x14ac:dyDescent="0.45">
      <c r="I131" t="s">
        <v>97</v>
      </c>
      <c r="J131" t="s">
        <v>189</v>
      </c>
      <c r="K131">
        <v>0</v>
      </c>
      <c r="L131" t="s">
        <v>84</v>
      </c>
      <c r="N131" t="s">
        <v>113</v>
      </c>
      <c r="O131" t="s">
        <v>189</v>
      </c>
      <c r="P131">
        <v>2.8348131347107331E-2</v>
      </c>
      <c r="Q131" t="s">
        <v>84</v>
      </c>
      <c r="S131" t="s">
        <v>128</v>
      </c>
      <c r="T131" t="s">
        <v>189</v>
      </c>
      <c r="U131">
        <v>2.9868125660650207E-2</v>
      </c>
      <c r="V131" t="s">
        <v>84</v>
      </c>
      <c r="AK131">
        <v>2037</v>
      </c>
      <c r="AL131" t="s">
        <v>72</v>
      </c>
      <c r="AM131">
        <v>0.3775</v>
      </c>
      <c r="AN131" t="s">
        <v>168</v>
      </c>
    </row>
    <row r="132" spans="9:40" x14ac:dyDescent="0.45">
      <c r="I132" t="s">
        <v>97</v>
      </c>
      <c r="J132" t="s">
        <v>190</v>
      </c>
      <c r="K132">
        <v>9.6984735435570891E-3</v>
      </c>
      <c r="L132" t="s">
        <v>84</v>
      </c>
      <c r="N132" t="s">
        <v>113</v>
      </c>
      <c r="O132" t="s">
        <v>190</v>
      </c>
      <c r="P132">
        <v>1.5404522905097556E-2</v>
      </c>
      <c r="Q132" t="s">
        <v>84</v>
      </c>
      <c r="S132" t="s">
        <v>128</v>
      </c>
      <c r="T132" t="s">
        <v>190</v>
      </c>
      <c r="U132">
        <v>1.7307674149033881E-2</v>
      </c>
      <c r="V132" t="s">
        <v>84</v>
      </c>
      <c r="AK132">
        <v>2037</v>
      </c>
      <c r="AL132" t="s">
        <v>76</v>
      </c>
      <c r="AM132">
        <v>0.44130000000000003</v>
      </c>
      <c r="AN132" t="s">
        <v>168</v>
      </c>
    </row>
    <row r="133" spans="9:40" x14ac:dyDescent="0.45">
      <c r="I133" t="s">
        <v>97</v>
      </c>
      <c r="J133" t="s">
        <v>191</v>
      </c>
      <c r="K133">
        <v>2.0493116930755208E-2</v>
      </c>
      <c r="L133" t="s">
        <v>84</v>
      </c>
      <c r="N133" t="s">
        <v>113</v>
      </c>
      <c r="O133" t="s">
        <v>191</v>
      </c>
      <c r="P133">
        <v>2.4795557654696633E-2</v>
      </c>
      <c r="Q133" t="s">
        <v>84</v>
      </c>
      <c r="S133" t="s">
        <v>128</v>
      </c>
      <c r="T133" t="s">
        <v>191</v>
      </c>
      <c r="U133">
        <v>2.5736364185520579E-2</v>
      </c>
      <c r="V133" t="s">
        <v>84</v>
      </c>
      <c r="AK133">
        <v>2037</v>
      </c>
      <c r="AL133" t="s">
        <v>78</v>
      </c>
      <c r="AM133">
        <v>0.39560000000000001</v>
      </c>
      <c r="AN133" t="s">
        <v>168</v>
      </c>
    </row>
    <row r="134" spans="9:40" x14ac:dyDescent="0.45">
      <c r="I134" t="s">
        <v>97</v>
      </c>
      <c r="J134" t="s">
        <v>192</v>
      </c>
      <c r="K134">
        <v>0</v>
      </c>
      <c r="L134" t="s">
        <v>84</v>
      </c>
      <c r="N134" t="s">
        <v>113</v>
      </c>
      <c r="O134" t="s">
        <v>192</v>
      </c>
      <c r="P134">
        <v>4.0287692821682451E-3</v>
      </c>
      <c r="Q134" t="s">
        <v>84</v>
      </c>
      <c r="S134" t="s">
        <v>128</v>
      </c>
      <c r="T134" t="s">
        <v>192</v>
      </c>
      <c r="U134">
        <v>4.1753514935250679E-3</v>
      </c>
      <c r="V134" t="s">
        <v>84</v>
      </c>
      <c r="AK134">
        <v>2037</v>
      </c>
      <c r="AL134" t="s">
        <v>80</v>
      </c>
      <c r="AM134">
        <v>0.41000000000000003</v>
      </c>
      <c r="AN134" t="s">
        <v>168</v>
      </c>
    </row>
    <row r="135" spans="9:40" x14ac:dyDescent="0.45">
      <c r="I135" t="s">
        <v>97</v>
      </c>
      <c r="J135" t="s">
        <v>193</v>
      </c>
      <c r="K135">
        <v>0</v>
      </c>
      <c r="L135" t="s">
        <v>84</v>
      </c>
      <c r="N135" t="s">
        <v>113</v>
      </c>
      <c r="O135" t="s">
        <v>193</v>
      </c>
      <c r="P135">
        <v>4.0028156298539709E-3</v>
      </c>
      <c r="Q135" t="s">
        <v>84</v>
      </c>
      <c r="S135" t="s">
        <v>128</v>
      </c>
      <c r="T135" t="s">
        <v>193</v>
      </c>
      <c r="U135">
        <v>4.1325409209915249E-3</v>
      </c>
      <c r="V135" t="s">
        <v>84</v>
      </c>
      <c r="AK135">
        <v>2037</v>
      </c>
      <c r="AL135" t="s">
        <v>171</v>
      </c>
      <c r="AM135">
        <v>0.4204</v>
      </c>
      <c r="AN135" t="s">
        <v>168</v>
      </c>
    </row>
    <row r="136" spans="9:40" x14ac:dyDescent="0.45">
      <c r="I136" t="s">
        <v>97</v>
      </c>
      <c r="J136" t="s">
        <v>194</v>
      </c>
      <c r="K136">
        <v>0</v>
      </c>
      <c r="L136" t="s">
        <v>84</v>
      </c>
      <c r="N136" t="s">
        <v>113</v>
      </c>
      <c r="O136" t="s">
        <v>194</v>
      </c>
      <c r="P136">
        <v>1.9440184681638922E-2</v>
      </c>
      <c r="Q136" t="s">
        <v>84</v>
      </c>
      <c r="S136" t="s">
        <v>128</v>
      </c>
      <c r="T136" t="s">
        <v>194</v>
      </c>
      <c r="U136">
        <v>2.0484286553762547E-2</v>
      </c>
      <c r="V136" t="s">
        <v>84</v>
      </c>
      <c r="AK136">
        <v>2037</v>
      </c>
      <c r="AL136" t="s">
        <v>173</v>
      </c>
      <c r="AM136">
        <v>0.45569999999999999</v>
      </c>
      <c r="AN136" t="s">
        <v>168</v>
      </c>
    </row>
    <row r="137" spans="9:40" x14ac:dyDescent="0.45">
      <c r="I137" t="s">
        <v>97</v>
      </c>
      <c r="J137" t="s">
        <v>195</v>
      </c>
      <c r="K137">
        <v>1.4742790685089886E-3</v>
      </c>
      <c r="L137" t="s">
        <v>84</v>
      </c>
      <c r="N137" t="s">
        <v>113</v>
      </c>
      <c r="O137" t="s">
        <v>195</v>
      </c>
      <c r="P137">
        <v>8.7496673510031694E-2</v>
      </c>
      <c r="Q137" t="s">
        <v>84</v>
      </c>
      <c r="S137" t="s">
        <v>128</v>
      </c>
      <c r="T137" t="s">
        <v>195</v>
      </c>
      <c r="U137">
        <v>8.585476419620465E-2</v>
      </c>
      <c r="V137" t="s">
        <v>84</v>
      </c>
      <c r="AK137">
        <v>2037</v>
      </c>
      <c r="AL137" t="s">
        <v>175</v>
      </c>
      <c r="AM137">
        <v>0.46860000000000002</v>
      </c>
      <c r="AN137" t="s">
        <v>168</v>
      </c>
    </row>
    <row r="138" spans="9:40" x14ac:dyDescent="0.45">
      <c r="I138" t="s">
        <v>97</v>
      </c>
      <c r="J138" t="s">
        <v>196</v>
      </c>
      <c r="K138">
        <v>5.3912158547294718E-2</v>
      </c>
      <c r="L138" t="s">
        <v>84</v>
      </c>
      <c r="N138" t="s">
        <v>113</v>
      </c>
      <c r="O138" t="s">
        <v>196</v>
      </c>
      <c r="P138">
        <v>4.7751715128503798E-2</v>
      </c>
      <c r="Q138" t="s">
        <v>84</v>
      </c>
      <c r="S138" t="s">
        <v>128</v>
      </c>
      <c r="T138" t="s">
        <v>196</v>
      </c>
      <c r="U138">
        <v>4.8021962778450888E-2</v>
      </c>
      <c r="V138" t="s">
        <v>84</v>
      </c>
      <c r="AK138">
        <v>2037</v>
      </c>
      <c r="AL138" t="s">
        <v>176</v>
      </c>
      <c r="AM138">
        <v>0.44240000000000002</v>
      </c>
      <c r="AN138" t="s">
        <v>168</v>
      </c>
    </row>
    <row r="139" spans="9:40" x14ac:dyDescent="0.45">
      <c r="I139" t="s">
        <v>97</v>
      </c>
      <c r="J139" t="s">
        <v>197</v>
      </c>
      <c r="K139">
        <v>9.6317784025762299E-2</v>
      </c>
      <c r="L139" t="s">
        <v>84</v>
      </c>
      <c r="N139" t="s">
        <v>113</v>
      </c>
      <c r="O139" t="s">
        <v>197</v>
      </c>
      <c r="P139">
        <v>7.7399095354675693E-2</v>
      </c>
      <c r="Q139" t="s">
        <v>84</v>
      </c>
      <c r="S139" t="s">
        <v>128</v>
      </c>
      <c r="T139" t="s">
        <v>197</v>
      </c>
      <c r="U139">
        <v>7.6704701512730913E-2</v>
      </c>
      <c r="V139" t="s">
        <v>84</v>
      </c>
      <c r="AK139">
        <v>2038</v>
      </c>
      <c r="AL139" t="s">
        <v>72</v>
      </c>
      <c r="AM139">
        <v>0.54530000000000001</v>
      </c>
      <c r="AN139" t="s">
        <v>168</v>
      </c>
    </row>
    <row r="140" spans="9:40" x14ac:dyDescent="0.45">
      <c r="I140" t="s">
        <v>97</v>
      </c>
      <c r="J140" t="s">
        <v>198</v>
      </c>
      <c r="K140">
        <v>5.7507873107750362E-3</v>
      </c>
      <c r="L140" t="s">
        <v>84</v>
      </c>
      <c r="N140" t="s">
        <v>113</v>
      </c>
      <c r="O140" t="s">
        <v>198</v>
      </c>
      <c r="P140">
        <v>1.2298230163012463E-2</v>
      </c>
      <c r="Q140" t="s">
        <v>84</v>
      </c>
      <c r="S140" t="s">
        <v>128</v>
      </c>
      <c r="T140" t="s">
        <v>198</v>
      </c>
      <c r="U140">
        <v>1.3132721788333402E-2</v>
      </c>
      <c r="V140" t="s">
        <v>84</v>
      </c>
      <c r="AK140">
        <v>2038</v>
      </c>
      <c r="AL140" t="s">
        <v>76</v>
      </c>
      <c r="AM140">
        <v>0.55520000000000003</v>
      </c>
      <c r="AN140" t="s">
        <v>168</v>
      </c>
    </row>
    <row r="141" spans="9:40" x14ac:dyDescent="0.45">
      <c r="I141" t="s">
        <v>97</v>
      </c>
      <c r="J141" t="s">
        <v>199</v>
      </c>
      <c r="K141">
        <v>0</v>
      </c>
      <c r="L141" t="s">
        <v>84</v>
      </c>
      <c r="N141" t="s">
        <v>113</v>
      </c>
      <c r="O141" t="s">
        <v>199</v>
      </c>
      <c r="P141">
        <v>1.2135316426031014E-2</v>
      </c>
      <c r="Q141" t="s">
        <v>84</v>
      </c>
      <c r="S141" t="s">
        <v>128</v>
      </c>
      <c r="T141" t="s">
        <v>199</v>
      </c>
      <c r="U141">
        <v>1.3043230480633321E-2</v>
      </c>
      <c r="V141" t="s">
        <v>84</v>
      </c>
      <c r="AK141">
        <v>2038</v>
      </c>
      <c r="AL141" t="s">
        <v>78</v>
      </c>
      <c r="AM141">
        <v>0.4753</v>
      </c>
      <c r="AN141" t="s">
        <v>168</v>
      </c>
    </row>
    <row r="142" spans="9:40" x14ac:dyDescent="0.45">
      <c r="I142" t="s">
        <v>97</v>
      </c>
      <c r="J142" t="s">
        <v>200</v>
      </c>
      <c r="K142">
        <v>0</v>
      </c>
      <c r="L142" t="s">
        <v>84</v>
      </c>
      <c r="N142" t="s">
        <v>113</v>
      </c>
      <c r="O142" t="s">
        <v>200</v>
      </c>
      <c r="P142">
        <v>6.2120124012242713E-2</v>
      </c>
      <c r="Q142" t="s">
        <v>84</v>
      </c>
      <c r="S142" t="s">
        <v>128</v>
      </c>
      <c r="T142" t="s">
        <v>200</v>
      </c>
      <c r="U142">
        <v>6.3506374289776346E-2</v>
      </c>
      <c r="V142" t="s">
        <v>84</v>
      </c>
      <c r="AK142">
        <v>2038</v>
      </c>
      <c r="AL142" t="s">
        <v>80</v>
      </c>
      <c r="AM142">
        <v>0.54735</v>
      </c>
      <c r="AN142" t="s">
        <v>168</v>
      </c>
    </row>
    <row r="143" spans="9:40" x14ac:dyDescent="0.45">
      <c r="I143" t="s">
        <v>97</v>
      </c>
      <c r="J143" t="s">
        <v>201</v>
      </c>
      <c r="K143">
        <v>6.9088655033801719E-3</v>
      </c>
      <c r="L143" t="s">
        <v>84</v>
      </c>
      <c r="N143" t="s">
        <v>113</v>
      </c>
      <c r="O143" t="s">
        <v>201</v>
      </c>
      <c r="P143">
        <v>2.4985811142429967E-2</v>
      </c>
      <c r="Q143" t="s">
        <v>84</v>
      </c>
      <c r="S143" t="s">
        <v>128</v>
      </c>
      <c r="T143" t="s">
        <v>201</v>
      </c>
      <c r="U143">
        <v>2.2645731601117252E-2</v>
      </c>
      <c r="V143" t="s">
        <v>84</v>
      </c>
      <c r="AK143">
        <v>2038</v>
      </c>
      <c r="AL143" t="s">
        <v>171</v>
      </c>
      <c r="AM143">
        <v>0.66739999999999999</v>
      </c>
      <c r="AN143" t="s">
        <v>168</v>
      </c>
    </row>
    <row r="144" spans="9:40" x14ac:dyDescent="0.45">
      <c r="I144" t="s">
        <v>97</v>
      </c>
      <c r="J144" t="s">
        <v>202</v>
      </c>
      <c r="K144">
        <v>3.6379868951542958E-2</v>
      </c>
      <c r="L144" t="s">
        <v>84</v>
      </c>
      <c r="N144" t="s">
        <v>113</v>
      </c>
      <c r="O144" t="s">
        <v>202</v>
      </c>
      <c r="P144">
        <v>1.5324281212456294E-2</v>
      </c>
      <c r="Q144" t="s">
        <v>84</v>
      </c>
      <c r="S144" t="s">
        <v>128</v>
      </c>
      <c r="T144" t="s">
        <v>202</v>
      </c>
      <c r="U144">
        <v>1.2350151447033093E-2</v>
      </c>
      <c r="V144" t="s">
        <v>84</v>
      </c>
      <c r="AK144">
        <v>2038</v>
      </c>
      <c r="AL144" t="s">
        <v>173</v>
      </c>
      <c r="AM144">
        <v>0.59783333333333344</v>
      </c>
      <c r="AN144" t="s">
        <v>168</v>
      </c>
    </row>
    <row r="145" spans="9:40" x14ac:dyDescent="0.45">
      <c r="I145" t="s">
        <v>97</v>
      </c>
      <c r="J145" t="s">
        <v>203</v>
      </c>
      <c r="K145">
        <v>5.7377316089166776E-2</v>
      </c>
      <c r="L145" t="s">
        <v>84</v>
      </c>
      <c r="N145" t="s">
        <v>113</v>
      </c>
      <c r="O145" t="s">
        <v>203</v>
      </c>
      <c r="P145">
        <v>2.7020763381087203E-2</v>
      </c>
      <c r="Q145" t="s">
        <v>84</v>
      </c>
      <c r="S145" t="s">
        <v>128</v>
      </c>
      <c r="T145" t="s">
        <v>203</v>
      </c>
      <c r="U145">
        <v>1.8787399702472087E-2</v>
      </c>
      <c r="V145" t="s">
        <v>84</v>
      </c>
      <c r="AK145">
        <v>2038</v>
      </c>
      <c r="AL145" t="s">
        <v>175</v>
      </c>
      <c r="AM145">
        <v>0.60189999999999999</v>
      </c>
      <c r="AN145" t="s">
        <v>168</v>
      </c>
    </row>
    <row r="146" spans="9:40" x14ac:dyDescent="0.45">
      <c r="I146" t="s">
        <v>97</v>
      </c>
      <c r="J146" t="s">
        <v>204</v>
      </c>
      <c r="K146">
        <v>6.0540292104993565E-3</v>
      </c>
      <c r="L146" t="s">
        <v>84</v>
      </c>
      <c r="N146" t="s">
        <v>113</v>
      </c>
      <c r="O146" t="s">
        <v>204</v>
      </c>
      <c r="P146">
        <v>4.3386193636784356E-3</v>
      </c>
      <c r="Q146" t="s">
        <v>84</v>
      </c>
      <c r="S146" t="s">
        <v>128</v>
      </c>
      <c r="T146" t="s">
        <v>204</v>
      </c>
      <c r="U146">
        <v>3.0755831884527432E-3</v>
      </c>
      <c r="V146" t="s">
        <v>84</v>
      </c>
      <c r="AK146">
        <v>2038</v>
      </c>
      <c r="AL146" t="s">
        <v>176</v>
      </c>
      <c r="AM146">
        <v>0.56969999999999998</v>
      </c>
      <c r="AN146" t="s">
        <v>168</v>
      </c>
    </row>
    <row r="147" spans="9:40" x14ac:dyDescent="0.45">
      <c r="I147" t="s">
        <v>97</v>
      </c>
      <c r="J147" t="s">
        <v>205</v>
      </c>
      <c r="K147">
        <v>1.8495652015111715E-3</v>
      </c>
      <c r="L147" t="s">
        <v>84</v>
      </c>
      <c r="N147" t="s">
        <v>113</v>
      </c>
      <c r="O147" t="s">
        <v>205</v>
      </c>
      <c r="P147">
        <v>4.1670719910647074E-3</v>
      </c>
      <c r="Q147" t="s">
        <v>84</v>
      </c>
      <c r="S147" t="s">
        <v>128</v>
      </c>
      <c r="T147" t="s">
        <v>205</v>
      </c>
      <c r="U147">
        <v>3.0136914857066409E-3</v>
      </c>
      <c r="V147" t="s">
        <v>84</v>
      </c>
      <c r="AK147">
        <v>2039</v>
      </c>
      <c r="AL147" t="s">
        <v>72</v>
      </c>
      <c r="AM147">
        <v>0.43109999999999998</v>
      </c>
      <c r="AN147" t="s">
        <v>168</v>
      </c>
    </row>
    <row r="148" spans="9:40" x14ac:dyDescent="0.45">
      <c r="I148" t="s">
        <v>97</v>
      </c>
      <c r="J148" t="s">
        <v>206</v>
      </c>
      <c r="K148">
        <v>0</v>
      </c>
      <c r="L148" t="s">
        <v>84</v>
      </c>
      <c r="N148" t="s">
        <v>113</v>
      </c>
      <c r="O148" t="s">
        <v>206</v>
      </c>
      <c r="P148">
        <v>1.8690407466519024E-2</v>
      </c>
      <c r="Q148" t="s">
        <v>84</v>
      </c>
      <c r="S148" t="s">
        <v>128</v>
      </c>
      <c r="T148" t="s">
        <v>206</v>
      </c>
      <c r="U148">
        <v>1.4202433158030981E-2</v>
      </c>
      <c r="V148" t="s">
        <v>84</v>
      </c>
      <c r="AK148">
        <v>2039</v>
      </c>
      <c r="AL148" t="s">
        <v>76</v>
      </c>
      <c r="AM148">
        <v>0.37430000000000002</v>
      </c>
      <c r="AN148" t="s">
        <v>168</v>
      </c>
    </row>
    <row r="149" spans="9:40" x14ac:dyDescent="0.45">
      <c r="I149" t="s">
        <v>97</v>
      </c>
      <c r="J149" t="s">
        <v>207</v>
      </c>
      <c r="K149">
        <v>2.1021324354044881E-2</v>
      </c>
      <c r="L149" t="s">
        <v>84</v>
      </c>
      <c r="N149" t="s">
        <v>113</v>
      </c>
      <c r="O149" t="s">
        <v>207</v>
      </c>
      <c r="P149">
        <v>3.5454886916611895E-2</v>
      </c>
      <c r="Q149" t="s">
        <v>84</v>
      </c>
      <c r="S149" t="s">
        <v>128</v>
      </c>
      <c r="T149" t="s">
        <v>207</v>
      </c>
      <c r="U149">
        <v>3.4690647384655243E-2</v>
      </c>
      <c r="V149" t="s">
        <v>84</v>
      </c>
      <c r="AK149">
        <v>2039</v>
      </c>
      <c r="AL149" t="s">
        <v>78</v>
      </c>
      <c r="AM149">
        <v>0.36890000000000001</v>
      </c>
      <c r="AN149" t="s">
        <v>168</v>
      </c>
    </row>
    <row r="150" spans="9:40" x14ac:dyDescent="0.45">
      <c r="I150" t="s">
        <v>97</v>
      </c>
      <c r="J150" t="s">
        <v>208</v>
      </c>
      <c r="K150">
        <v>7.9437596107474404E-2</v>
      </c>
      <c r="L150" t="s">
        <v>84</v>
      </c>
      <c r="N150" t="s">
        <v>113</v>
      </c>
      <c r="O150" t="s">
        <v>208</v>
      </c>
      <c r="P150">
        <v>2.0308936936926654E-2</v>
      </c>
      <c r="Q150" t="s">
        <v>84</v>
      </c>
      <c r="S150" t="s">
        <v>128</v>
      </c>
      <c r="T150" t="s">
        <v>208</v>
      </c>
      <c r="U150">
        <v>1.8335957000978391E-2</v>
      </c>
      <c r="V150" t="s">
        <v>84</v>
      </c>
      <c r="AK150">
        <v>2039</v>
      </c>
      <c r="AL150" t="s">
        <v>80</v>
      </c>
      <c r="AM150">
        <v>0.39454999999999996</v>
      </c>
      <c r="AN150" t="s">
        <v>168</v>
      </c>
    </row>
    <row r="151" spans="9:40" x14ac:dyDescent="0.45">
      <c r="I151" t="s">
        <v>97</v>
      </c>
      <c r="J151" t="s">
        <v>209</v>
      </c>
      <c r="K151">
        <v>0.12489891305684948</v>
      </c>
      <c r="L151" t="s">
        <v>84</v>
      </c>
      <c r="N151" t="s">
        <v>113</v>
      </c>
      <c r="O151" t="s">
        <v>209</v>
      </c>
      <c r="P151">
        <v>3.5428950553809277E-2</v>
      </c>
      <c r="Q151" t="s">
        <v>84</v>
      </c>
      <c r="S151" t="s">
        <v>128</v>
      </c>
      <c r="T151" t="s">
        <v>209</v>
      </c>
      <c r="U151">
        <v>3.050094813983829E-2</v>
      </c>
      <c r="V151" t="s">
        <v>84</v>
      </c>
      <c r="AK151">
        <v>2039</v>
      </c>
      <c r="AL151" t="s">
        <v>171</v>
      </c>
      <c r="AM151">
        <v>0.42709999999999998</v>
      </c>
      <c r="AN151" t="s">
        <v>168</v>
      </c>
    </row>
    <row r="152" spans="9:40" x14ac:dyDescent="0.45">
      <c r="I152" t="s">
        <v>97</v>
      </c>
      <c r="J152" t="s">
        <v>210</v>
      </c>
      <c r="K152">
        <v>1.4584084491767494E-2</v>
      </c>
      <c r="L152" t="s">
        <v>84</v>
      </c>
      <c r="N152" t="s">
        <v>113</v>
      </c>
      <c r="O152" t="s">
        <v>210</v>
      </c>
      <c r="P152">
        <v>6.2787075943437076E-3</v>
      </c>
      <c r="Q152" t="s">
        <v>84</v>
      </c>
      <c r="S152" t="s">
        <v>128</v>
      </c>
      <c r="T152" t="s">
        <v>210</v>
      </c>
      <c r="U152">
        <v>5.1370676217294816E-3</v>
      </c>
      <c r="V152" t="s">
        <v>84</v>
      </c>
      <c r="AK152">
        <v>2039</v>
      </c>
      <c r="AL152" t="s">
        <v>173</v>
      </c>
      <c r="AM152">
        <v>0.44466666666666671</v>
      </c>
      <c r="AN152" t="s">
        <v>168</v>
      </c>
    </row>
    <row r="153" spans="9:40" x14ac:dyDescent="0.45">
      <c r="I153" t="s">
        <v>97</v>
      </c>
      <c r="J153" t="s">
        <v>211</v>
      </c>
      <c r="K153">
        <v>9.4948967343256672E-3</v>
      </c>
      <c r="L153" t="s">
        <v>84</v>
      </c>
      <c r="N153" t="s">
        <v>113</v>
      </c>
      <c r="O153" t="s">
        <v>211</v>
      </c>
      <c r="P153">
        <v>6.0850608383989516E-3</v>
      </c>
      <c r="Q153" t="s">
        <v>84</v>
      </c>
      <c r="S153" t="s">
        <v>128</v>
      </c>
      <c r="T153" t="s">
        <v>211</v>
      </c>
      <c r="U153">
        <v>5.0320358210778201E-3</v>
      </c>
      <c r="V153" t="s">
        <v>84</v>
      </c>
      <c r="AK153">
        <v>2039</v>
      </c>
      <c r="AL153" t="s">
        <v>175</v>
      </c>
      <c r="AM153">
        <v>0.46970000000000001</v>
      </c>
      <c r="AN153" t="s">
        <v>168</v>
      </c>
    </row>
    <row r="154" spans="9:40" x14ac:dyDescent="0.45">
      <c r="I154" t="s">
        <v>97</v>
      </c>
      <c r="J154" t="s">
        <v>212</v>
      </c>
      <c r="K154">
        <v>6.7564542777169686E-4</v>
      </c>
      <c r="L154" t="s">
        <v>84</v>
      </c>
      <c r="N154" t="s">
        <v>113</v>
      </c>
      <c r="O154" t="s">
        <v>212</v>
      </c>
      <c r="P154">
        <v>2.7101002562088475E-2</v>
      </c>
      <c r="Q154" t="s">
        <v>84</v>
      </c>
      <c r="S154" t="s">
        <v>128</v>
      </c>
      <c r="T154" t="s">
        <v>212</v>
      </c>
      <c r="U154">
        <v>2.3210948638372208E-2</v>
      </c>
      <c r="V154" t="s">
        <v>84</v>
      </c>
      <c r="AK154">
        <v>2039</v>
      </c>
      <c r="AL154" t="s">
        <v>176</v>
      </c>
      <c r="AM154">
        <v>0.40334999999999999</v>
      </c>
      <c r="AN154" t="s">
        <v>168</v>
      </c>
    </row>
    <row r="155" spans="9:40" x14ac:dyDescent="0.45">
      <c r="I155" t="s">
        <v>98</v>
      </c>
      <c r="J155" t="s">
        <v>83</v>
      </c>
      <c r="K155">
        <v>1.162309918323419E-2</v>
      </c>
      <c r="L155" t="s">
        <v>84</v>
      </c>
      <c r="N155" t="s">
        <v>114</v>
      </c>
      <c r="O155" t="s">
        <v>83</v>
      </c>
      <c r="P155">
        <v>1.8501615045555128E-2</v>
      </c>
      <c r="Q155" t="s">
        <v>84</v>
      </c>
      <c r="S155" t="s">
        <v>129</v>
      </c>
      <c r="T155" t="s">
        <v>83</v>
      </c>
      <c r="U155">
        <v>2.7112727373636604E-2</v>
      </c>
      <c r="V155" t="s">
        <v>84</v>
      </c>
      <c r="AK155">
        <v>2040</v>
      </c>
      <c r="AL155" t="s">
        <v>72</v>
      </c>
      <c r="AM155">
        <v>0.43049999999999999</v>
      </c>
      <c r="AN155" t="s">
        <v>168</v>
      </c>
    </row>
    <row r="156" spans="9:40" x14ac:dyDescent="0.45">
      <c r="I156" t="s">
        <v>98</v>
      </c>
      <c r="J156" t="s">
        <v>85</v>
      </c>
      <c r="K156">
        <v>4.4729826554646288E-2</v>
      </c>
      <c r="L156" t="s">
        <v>84</v>
      </c>
      <c r="N156" t="s">
        <v>114</v>
      </c>
      <c r="O156" t="s">
        <v>85</v>
      </c>
      <c r="P156">
        <v>1.3828986343825228E-2</v>
      </c>
      <c r="Q156" t="s">
        <v>84</v>
      </c>
      <c r="S156" t="s">
        <v>129</v>
      </c>
      <c r="T156" t="s">
        <v>85</v>
      </c>
      <c r="U156">
        <v>1.3542254919538459E-2</v>
      </c>
      <c r="V156" t="s">
        <v>84</v>
      </c>
      <c r="AK156">
        <v>2040</v>
      </c>
      <c r="AL156" t="s">
        <v>76</v>
      </c>
      <c r="AM156">
        <v>0.4269</v>
      </c>
      <c r="AN156" t="s">
        <v>168</v>
      </c>
    </row>
    <row r="157" spans="9:40" x14ac:dyDescent="0.45">
      <c r="I157" t="s">
        <v>98</v>
      </c>
      <c r="J157" t="s">
        <v>86</v>
      </c>
      <c r="K157">
        <v>7.3278204891059573E-2</v>
      </c>
      <c r="L157" t="s">
        <v>84</v>
      </c>
      <c r="N157" t="s">
        <v>114</v>
      </c>
      <c r="O157" t="s">
        <v>86</v>
      </c>
      <c r="P157">
        <v>2.7157125674973862E-2</v>
      </c>
      <c r="Q157" t="s">
        <v>84</v>
      </c>
      <c r="S157" t="s">
        <v>129</v>
      </c>
      <c r="T157" t="s">
        <v>86</v>
      </c>
      <c r="U157">
        <v>2.3248529078826199E-2</v>
      </c>
      <c r="V157" t="s">
        <v>84</v>
      </c>
      <c r="AK157">
        <v>2040</v>
      </c>
      <c r="AL157" t="s">
        <v>78</v>
      </c>
      <c r="AM157">
        <v>0.40289999999999998</v>
      </c>
      <c r="AN157" t="s">
        <v>168</v>
      </c>
    </row>
    <row r="158" spans="9:40" x14ac:dyDescent="0.45">
      <c r="I158" t="s">
        <v>98</v>
      </c>
      <c r="J158" t="s">
        <v>177</v>
      </c>
      <c r="K158">
        <v>9.6031602425343341E-3</v>
      </c>
      <c r="L158" t="s">
        <v>84</v>
      </c>
      <c r="N158" t="s">
        <v>114</v>
      </c>
      <c r="O158" t="s">
        <v>177</v>
      </c>
      <c r="P158">
        <v>4.2661348924619433E-3</v>
      </c>
      <c r="Q158" t="s">
        <v>84</v>
      </c>
      <c r="S158" t="s">
        <v>129</v>
      </c>
      <c r="T158" t="s">
        <v>177</v>
      </c>
      <c r="U158">
        <v>4.2500997919655576E-3</v>
      </c>
      <c r="V158" t="s">
        <v>84</v>
      </c>
      <c r="AK158">
        <v>2040</v>
      </c>
      <c r="AL158" t="s">
        <v>80</v>
      </c>
      <c r="AM158">
        <v>0.3805</v>
      </c>
      <c r="AN158" t="s">
        <v>168</v>
      </c>
    </row>
    <row r="159" spans="9:40" x14ac:dyDescent="0.45">
      <c r="I159" t="s">
        <v>98</v>
      </c>
      <c r="J159" t="s">
        <v>178</v>
      </c>
      <c r="K159">
        <v>7.4626828620374553E-3</v>
      </c>
      <c r="L159" t="s">
        <v>84</v>
      </c>
      <c r="N159" t="s">
        <v>114</v>
      </c>
      <c r="O159" t="s">
        <v>178</v>
      </c>
      <c r="P159">
        <v>3.9640141464253025E-3</v>
      </c>
      <c r="Q159" t="s">
        <v>84</v>
      </c>
      <c r="S159" t="s">
        <v>129</v>
      </c>
      <c r="T159" t="s">
        <v>178</v>
      </c>
      <c r="U159">
        <v>4.2553851536171489E-3</v>
      </c>
      <c r="V159" t="s">
        <v>84</v>
      </c>
      <c r="AK159">
        <v>2040</v>
      </c>
      <c r="AL159" t="s">
        <v>171</v>
      </c>
      <c r="AM159">
        <v>0.42649999999999999</v>
      </c>
      <c r="AN159" t="s">
        <v>168</v>
      </c>
    </row>
    <row r="160" spans="9:40" x14ac:dyDescent="0.45">
      <c r="I160" t="s">
        <v>98</v>
      </c>
      <c r="J160" t="s">
        <v>179</v>
      </c>
      <c r="K160">
        <v>4.3572730919387535E-3</v>
      </c>
      <c r="L160" t="s">
        <v>84</v>
      </c>
      <c r="N160" t="s">
        <v>114</v>
      </c>
      <c r="O160" t="s">
        <v>179</v>
      </c>
      <c r="P160">
        <v>1.7140446717158402E-2</v>
      </c>
      <c r="Q160" t="s">
        <v>84</v>
      </c>
      <c r="S160" t="s">
        <v>129</v>
      </c>
      <c r="T160" t="s">
        <v>179</v>
      </c>
      <c r="U160">
        <v>2.0136122260948006E-2</v>
      </c>
      <c r="V160" t="s">
        <v>84</v>
      </c>
      <c r="AK160">
        <v>2040</v>
      </c>
      <c r="AL160" t="s">
        <v>173</v>
      </c>
      <c r="AM160">
        <v>0.46426666666666666</v>
      </c>
      <c r="AN160" t="s">
        <v>168</v>
      </c>
    </row>
    <row r="161" spans="9:40" x14ac:dyDescent="0.45">
      <c r="I161" t="s">
        <v>98</v>
      </c>
      <c r="J161" t="s">
        <v>87</v>
      </c>
      <c r="K161">
        <v>5.4252903017009916E-3</v>
      </c>
      <c r="L161" t="s">
        <v>84</v>
      </c>
      <c r="N161" t="s">
        <v>114</v>
      </c>
      <c r="O161" t="s">
        <v>87</v>
      </c>
      <c r="P161">
        <v>6.9514254577474855E-3</v>
      </c>
      <c r="Q161" t="s">
        <v>84</v>
      </c>
      <c r="S161" t="s">
        <v>129</v>
      </c>
      <c r="T161" t="s">
        <v>87</v>
      </c>
      <c r="U161">
        <v>1.8599547547463322E-2</v>
      </c>
      <c r="V161" t="s">
        <v>84</v>
      </c>
      <c r="AK161">
        <v>2040</v>
      </c>
      <c r="AL161" t="s">
        <v>175</v>
      </c>
      <c r="AM161">
        <v>0.44319999999999998</v>
      </c>
      <c r="AN161" t="s">
        <v>168</v>
      </c>
    </row>
    <row r="162" spans="9:40" x14ac:dyDescent="0.45">
      <c r="I162" t="s">
        <v>98</v>
      </c>
      <c r="J162" t="s">
        <v>88</v>
      </c>
      <c r="K162">
        <v>3.6218270821577879E-2</v>
      </c>
      <c r="L162" t="s">
        <v>84</v>
      </c>
      <c r="N162" t="s">
        <v>114</v>
      </c>
      <c r="O162" t="s">
        <v>88</v>
      </c>
      <c r="P162">
        <v>4.4006646936773685E-3</v>
      </c>
      <c r="Q162" t="s">
        <v>84</v>
      </c>
      <c r="S162" t="s">
        <v>129</v>
      </c>
      <c r="T162" t="s">
        <v>88</v>
      </c>
      <c r="U162">
        <v>1.1086265773029992E-2</v>
      </c>
      <c r="V162" t="s">
        <v>84</v>
      </c>
      <c r="AK162">
        <v>2040</v>
      </c>
      <c r="AL162" t="s">
        <v>176</v>
      </c>
      <c r="AM162">
        <v>0.43935000000000002</v>
      </c>
      <c r="AN162" t="s">
        <v>168</v>
      </c>
    </row>
    <row r="163" spans="9:40" x14ac:dyDescent="0.45">
      <c r="I163" t="s">
        <v>98</v>
      </c>
      <c r="J163" t="s">
        <v>89</v>
      </c>
      <c r="K163">
        <v>6.2628660651491738E-2</v>
      </c>
      <c r="L163" t="s">
        <v>84</v>
      </c>
      <c r="N163" t="s">
        <v>114</v>
      </c>
      <c r="O163" t="s">
        <v>89</v>
      </c>
      <c r="P163">
        <v>1.0613618604182178E-2</v>
      </c>
      <c r="Q163" t="s">
        <v>84</v>
      </c>
      <c r="S163" t="s">
        <v>129</v>
      </c>
      <c r="T163" t="s">
        <v>89</v>
      </c>
      <c r="U163">
        <v>1.9560576344195627E-2</v>
      </c>
      <c r="V163" t="s">
        <v>84</v>
      </c>
      <c r="AK163">
        <v>2041</v>
      </c>
      <c r="AL163" t="s">
        <v>72</v>
      </c>
      <c r="AM163">
        <v>0.3916</v>
      </c>
      <c r="AN163" t="s">
        <v>168</v>
      </c>
    </row>
    <row r="164" spans="9:40" x14ac:dyDescent="0.45">
      <c r="I164" t="s">
        <v>98</v>
      </c>
      <c r="J164" t="s">
        <v>180</v>
      </c>
      <c r="K164">
        <v>9.1174883437250293E-3</v>
      </c>
      <c r="L164" t="s">
        <v>84</v>
      </c>
      <c r="N164" t="s">
        <v>114</v>
      </c>
      <c r="O164" t="s">
        <v>180</v>
      </c>
      <c r="P164">
        <v>2.7474044361212777E-3</v>
      </c>
      <c r="Q164" t="s">
        <v>84</v>
      </c>
      <c r="S164" t="s">
        <v>129</v>
      </c>
      <c r="T164" t="s">
        <v>180</v>
      </c>
      <c r="U164">
        <v>3.5145882658315524E-3</v>
      </c>
      <c r="V164" t="s">
        <v>84</v>
      </c>
      <c r="AK164">
        <v>2041</v>
      </c>
      <c r="AL164" t="s">
        <v>76</v>
      </c>
      <c r="AM164">
        <v>0.40179999999999999</v>
      </c>
      <c r="AN164" t="s">
        <v>168</v>
      </c>
    </row>
    <row r="165" spans="9:40" x14ac:dyDescent="0.45">
      <c r="I165" t="s">
        <v>98</v>
      </c>
      <c r="J165" t="s">
        <v>181</v>
      </c>
      <c r="K165">
        <v>6.4922924025618955E-3</v>
      </c>
      <c r="L165" t="s">
        <v>84</v>
      </c>
      <c r="N165" t="s">
        <v>114</v>
      </c>
      <c r="O165" t="s">
        <v>181</v>
      </c>
      <c r="P165">
        <v>3.0711008144889197E-3</v>
      </c>
      <c r="Q165" t="s">
        <v>84</v>
      </c>
      <c r="S165" t="s">
        <v>129</v>
      </c>
      <c r="T165" t="s">
        <v>181</v>
      </c>
      <c r="U165">
        <v>3.5172360247878688E-3</v>
      </c>
      <c r="V165" t="s">
        <v>84</v>
      </c>
      <c r="AK165">
        <v>2041</v>
      </c>
      <c r="AL165" t="s">
        <v>78</v>
      </c>
      <c r="AM165">
        <v>0.3725</v>
      </c>
      <c r="AN165" t="s">
        <v>168</v>
      </c>
    </row>
    <row r="166" spans="9:40" x14ac:dyDescent="0.45">
      <c r="I166" t="s">
        <v>98</v>
      </c>
      <c r="J166" t="s">
        <v>182</v>
      </c>
      <c r="K166">
        <v>4.3237161635306144E-4</v>
      </c>
      <c r="L166" t="s">
        <v>84</v>
      </c>
      <c r="N166" t="s">
        <v>114</v>
      </c>
      <c r="O166" t="s">
        <v>182</v>
      </c>
      <c r="P166">
        <v>1.0297203062911625E-2</v>
      </c>
      <c r="Q166" t="s">
        <v>84</v>
      </c>
      <c r="S166" t="s">
        <v>129</v>
      </c>
      <c r="T166" t="s">
        <v>182</v>
      </c>
      <c r="U166">
        <v>1.6340360200889643E-2</v>
      </c>
      <c r="V166" t="s">
        <v>84</v>
      </c>
      <c r="AK166">
        <v>2041</v>
      </c>
      <c r="AL166" t="s">
        <v>80</v>
      </c>
      <c r="AM166">
        <v>0.4</v>
      </c>
      <c r="AN166" t="s">
        <v>168</v>
      </c>
    </row>
    <row r="167" spans="9:40" x14ac:dyDescent="0.45">
      <c r="I167" t="s">
        <v>98</v>
      </c>
      <c r="J167" t="s">
        <v>90</v>
      </c>
      <c r="K167">
        <v>2.6151972276476352E-3</v>
      </c>
      <c r="L167" t="s">
        <v>84</v>
      </c>
      <c r="N167" t="s">
        <v>114</v>
      </c>
      <c r="O167" t="s">
        <v>90</v>
      </c>
      <c r="P167">
        <v>8.8262493060485975E-3</v>
      </c>
      <c r="Q167" t="s">
        <v>84</v>
      </c>
      <c r="S167" t="s">
        <v>129</v>
      </c>
      <c r="T167" t="s">
        <v>90</v>
      </c>
      <c r="U167">
        <v>2.1335737603406364E-2</v>
      </c>
      <c r="V167" t="s">
        <v>84</v>
      </c>
      <c r="AK167">
        <v>2041</v>
      </c>
      <c r="AL167" t="s">
        <v>171</v>
      </c>
      <c r="AM167">
        <v>0.49469999999999997</v>
      </c>
      <c r="AN167" t="s">
        <v>168</v>
      </c>
    </row>
    <row r="168" spans="9:40" x14ac:dyDescent="0.45">
      <c r="I168" t="s">
        <v>98</v>
      </c>
      <c r="J168" t="s">
        <v>91</v>
      </c>
      <c r="K168">
        <v>3.0580884313108143E-2</v>
      </c>
      <c r="L168" t="s">
        <v>84</v>
      </c>
      <c r="N168" t="s">
        <v>114</v>
      </c>
      <c r="O168" t="s">
        <v>91</v>
      </c>
      <c r="P168">
        <v>6.8219269917929905E-3</v>
      </c>
      <c r="Q168" t="s">
        <v>84</v>
      </c>
      <c r="S168" t="s">
        <v>129</v>
      </c>
      <c r="T168" t="s">
        <v>91</v>
      </c>
      <c r="U168">
        <v>1.2273305498355763E-2</v>
      </c>
      <c r="V168" t="s">
        <v>84</v>
      </c>
      <c r="AK168">
        <v>2041</v>
      </c>
      <c r="AL168" t="s">
        <v>173</v>
      </c>
      <c r="AM168">
        <v>0.48100000000000004</v>
      </c>
      <c r="AN168" t="s">
        <v>168</v>
      </c>
    </row>
    <row r="169" spans="9:40" x14ac:dyDescent="0.45">
      <c r="I169" t="s">
        <v>98</v>
      </c>
      <c r="J169" t="s">
        <v>92</v>
      </c>
      <c r="K169">
        <v>5.3097146288299507E-2</v>
      </c>
      <c r="L169" t="s">
        <v>84</v>
      </c>
      <c r="N169" t="s">
        <v>114</v>
      </c>
      <c r="O169" t="s">
        <v>92</v>
      </c>
      <c r="P169">
        <v>1.2521062873371134E-2</v>
      </c>
      <c r="Q169" t="s">
        <v>84</v>
      </c>
      <c r="S169" t="s">
        <v>129</v>
      </c>
      <c r="T169" t="s">
        <v>92</v>
      </c>
      <c r="U169">
        <v>2.0745452238477645E-2</v>
      </c>
      <c r="V169" t="s">
        <v>84</v>
      </c>
      <c r="AK169">
        <v>2041</v>
      </c>
      <c r="AL169" t="s">
        <v>175</v>
      </c>
      <c r="AM169">
        <v>0.47310000000000002</v>
      </c>
      <c r="AN169" t="s">
        <v>168</v>
      </c>
    </row>
    <row r="170" spans="9:40" x14ac:dyDescent="0.45">
      <c r="I170" t="s">
        <v>98</v>
      </c>
      <c r="J170" t="s">
        <v>183</v>
      </c>
      <c r="K170">
        <v>6.7192712348037613E-3</v>
      </c>
      <c r="L170" t="s">
        <v>84</v>
      </c>
      <c r="N170" t="s">
        <v>114</v>
      </c>
      <c r="O170" t="s">
        <v>183</v>
      </c>
      <c r="P170">
        <v>2.4603213706034465E-3</v>
      </c>
      <c r="Q170" t="s">
        <v>84</v>
      </c>
      <c r="S170" t="s">
        <v>129</v>
      </c>
      <c r="T170" t="s">
        <v>183</v>
      </c>
      <c r="U170">
        <v>3.8036450704110681E-3</v>
      </c>
      <c r="V170" t="s">
        <v>84</v>
      </c>
      <c r="AK170">
        <v>2041</v>
      </c>
      <c r="AL170" t="s">
        <v>176</v>
      </c>
      <c r="AM170">
        <v>0.43785000000000002</v>
      </c>
      <c r="AN170" t="s">
        <v>168</v>
      </c>
    </row>
    <row r="171" spans="9:40" x14ac:dyDescent="0.45">
      <c r="I171" t="s">
        <v>98</v>
      </c>
      <c r="J171" t="s">
        <v>184</v>
      </c>
      <c r="K171">
        <v>2.6693580910309694E-3</v>
      </c>
      <c r="L171" t="s">
        <v>84</v>
      </c>
      <c r="N171" t="s">
        <v>114</v>
      </c>
      <c r="O171" t="s">
        <v>184</v>
      </c>
      <c r="P171">
        <v>2.4816309298888346E-3</v>
      </c>
      <c r="Q171" t="s">
        <v>84</v>
      </c>
      <c r="S171" t="s">
        <v>129</v>
      </c>
      <c r="T171" t="s">
        <v>184</v>
      </c>
      <c r="U171">
        <v>3.7946462864459477E-3</v>
      </c>
      <c r="V171" t="s">
        <v>84</v>
      </c>
      <c r="AK171">
        <v>2042</v>
      </c>
      <c r="AL171" t="s">
        <v>72</v>
      </c>
      <c r="AM171">
        <v>0.39169999999999999</v>
      </c>
      <c r="AN171" t="s">
        <v>168</v>
      </c>
    </row>
    <row r="172" spans="9:40" x14ac:dyDescent="0.45">
      <c r="I172" t="s">
        <v>98</v>
      </c>
      <c r="J172" t="s">
        <v>185</v>
      </c>
      <c r="K172">
        <v>0</v>
      </c>
      <c r="L172" t="s">
        <v>84</v>
      </c>
      <c r="N172" t="s">
        <v>114</v>
      </c>
      <c r="O172" t="s">
        <v>185</v>
      </c>
      <c r="P172">
        <v>8.0743192691315226E-3</v>
      </c>
      <c r="Q172" t="s">
        <v>84</v>
      </c>
      <c r="S172" t="s">
        <v>129</v>
      </c>
      <c r="T172" t="s">
        <v>185</v>
      </c>
      <c r="U172">
        <v>1.7223428584317965E-2</v>
      </c>
      <c r="V172" t="s">
        <v>84</v>
      </c>
      <c r="AK172">
        <v>2042</v>
      </c>
      <c r="AL172" t="s">
        <v>76</v>
      </c>
      <c r="AM172">
        <v>0.38500000000000001</v>
      </c>
      <c r="AN172" t="s">
        <v>168</v>
      </c>
    </row>
    <row r="173" spans="9:40" x14ac:dyDescent="0.45">
      <c r="I173" t="s">
        <v>98</v>
      </c>
      <c r="J173" t="s">
        <v>93</v>
      </c>
      <c r="K173">
        <v>0</v>
      </c>
      <c r="L173" t="s">
        <v>84</v>
      </c>
      <c r="N173" t="s">
        <v>114</v>
      </c>
      <c r="O173" t="s">
        <v>93</v>
      </c>
      <c r="P173">
        <v>4.61499157082269E-2</v>
      </c>
      <c r="Q173" t="s">
        <v>84</v>
      </c>
      <c r="S173" t="s">
        <v>129</v>
      </c>
      <c r="T173" t="s">
        <v>93</v>
      </c>
      <c r="U173">
        <v>4.8000509390643493E-2</v>
      </c>
      <c r="V173" t="s">
        <v>84</v>
      </c>
      <c r="AK173">
        <v>2042</v>
      </c>
      <c r="AL173" t="s">
        <v>78</v>
      </c>
      <c r="AM173">
        <v>0.3614</v>
      </c>
      <c r="AN173" t="s">
        <v>168</v>
      </c>
    </row>
    <row r="174" spans="9:40" x14ac:dyDescent="0.45">
      <c r="I174" t="s">
        <v>98</v>
      </c>
      <c r="J174" t="s">
        <v>94</v>
      </c>
      <c r="K174">
        <v>3.2241817019291324E-2</v>
      </c>
      <c r="L174" t="s">
        <v>84</v>
      </c>
      <c r="N174" t="s">
        <v>114</v>
      </c>
      <c r="O174" t="s">
        <v>94</v>
      </c>
      <c r="P174">
        <v>2.270496715328171E-2</v>
      </c>
      <c r="Q174" t="s">
        <v>84</v>
      </c>
      <c r="S174" t="s">
        <v>129</v>
      </c>
      <c r="T174" t="s">
        <v>94</v>
      </c>
      <c r="U174">
        <v>2.4361951750812232E-2</v>
      </c>
      <c r="V174" t="s">
        <v>84</v>
      </c>
      <c r="AK174">
        <v>2042</v>
      </c>
      <c r="AL174" t="s">
        <v>80</v>
      </c>
      <c r="AM174">
        <v>0.36654999999999999</v>
      </c>
      <c r="AN174" t="s">
        <v>168</v>
      </c>
    </row>
    <row r="175" spans="9:40" x14ac:dyDescent="0.45">
      <c r="I175" t="s">
        <v>98</v>
      </c>
      <c r="J175" t="s">
        <v>95</v>
      </c>
      <c r="K175">
        <v>5.9185546836007949E-2</v>
      </c>
      <c r="L175" t="s">
        <v>84</v>
      </c>
      <c r="N175" t="s">
        <v>114</v>
      </c>
      <c r="O175" t="s">
        <v>95</v>
      </c>
      <c r="P175">
        <v>4.3677221396781436E-2</v>
      </c>
      <c r="Q175" t="s">
        <v>84</v>
      </c>
      <c r="S175" t="s">
        <v>129</v>
      </c>
      <c r="T175" t="s">
        <v>95</v>
      </c>
      <c r="U175">
        <v>3.9166743248732962E-2</v>
      </c>
      <c r="V175" t="s">
        <v>84</v>
      </c>
      <c r="AK175">
        <v>2042</v>
      </c>
      <c r="AL175" t="s">
        <v>171</v>
      </c>
      <c r="AM175">
        <v>0.45750000000000002</v>
      </c>
      <c r="AN175" t="s">
        <v>168</v>
      </c>
    </row>
    <row r="176" spans="9:40" x14ac:dyDescent="0.45">
      <c r="I176" t="s">
        <v>98</v>
      </c>
      <c r="J176" t="s">
        <v>186</v>
      </c>
      <c r="K176">
        <v>2.4662382012910038E-3</v>
      </c>
      <c r="L176" t="s">
        <v>84</v>
      </c>
      <c r="N176" t="s">
        <v>114</v>
      </c>
      <c r="O176" t="s">
        <v>186</v>
      </c>
      <c r="P176">
        <v>6.5624601178513693E-3</v>
      </c>
      <c r="Q176" t="s">
        <v>84</v>
      </c>
      <c r="S176" t="s">
        <v>129</v>
      </c>
      <c r="T176" t="s">
        <v>186</v>
      </c>
      <c r="U176">
        <v>6.9678100232216343E-3</v>
      </c>
      <c r="V176" t="s">
        <v>84</v>
      </c>
      <c r="AK176">
        <v>2042</v>
      </c>
      <c r="AL176" t="s">
        <v>173</v>
      </c>
      <c r="AM176">
        <v>0.45033333333333331</v>
      </c>
      <c r="AN176" t="s">
        <v>168</v>
      </c>
    </row>
    <row r="177" spans="9:40" x14ac:dyDescent="0.45">
      <c r="I177" t="s">
        <v>98</v>
      </c>
      <c r="J177" t="s">
        <v>187</v>
      </c>
      <c r="K177">
        <v>0</v>
      </c>
      <c r="L177" t="s">
        <v>84</v>
      </c>
      <c r="N177" t="s">
        <v>114</v>
      </c>
      <c r="O177" t="s">
        <v>187</v>
      </c>
      <c r="P177">
        <v>6.727149091411519E-3</v>
      </c>
      <c r="Q177" t="s">
        <v>84</v>
      </c>
      <c r="S177" t="s">
        <v>129</v>
      </c>
      <c r="T177" t="s">
        <v>187</v>
      </c>
      <c r="U177">
        <v>6.9305859461600743E-3</v>
      </c>
      <c r="V177" t="s">
        <v>84</v>
      </c>
      <c r="AK177">
        <v>2042</v>
      </c>
      <c r="AL177" t="s">
        <v>175</v>
      </c>
      <c r="AM177">
        <v>0.42420000000000002</v>
      </c>
      <c r="AN177" t="s">
        <v>168</v>
      </c>
    </row>
    <row r="178" spans="9:40" x14ac:dyDescent="0.45">
      <c r="I178" t="s">
        <v>98</v>
      </c>
      <c r="J178" t="s">
        <v>188</v>
      </c>
      <c r="K178">
        <v>0</v>
      </c>
      <c r="L178" t="s">
        <v>84</v>
      </c>
      <c r="N178" t="s">
        <v>114</v>
      </c>
      <c r="O178" t="s">
        <v>188</v>
      </c>
      <c r="P178">
        <v>3.5943676689608128E-2</v>
      </c>
      <c r="Q178" t="s">
        <v>84</v>
      </c>
      <c r="S178" t="s">
        <v>129</v>
      </c>
      <c r="T178" t="s">
        <v>188</v>
      </c>
      <c r="U178">
        <v>3.4974555191805916E-2</v>
      </c>
      <c r="V178" t="s">
        <v>84</v>
      </c>
      <c r="AK178">
        <v>2042</v>
      </c>
      <c r="AL178" t="s">
        <v>176</v>
      </c>
      <c r="AM178">
        <v>0.39600000000000002</v>
      </c>
      <c r="AN178" t="s">
        <v>168</v>
      </c>
    </row>
    <row r="179" spans="9:40" x14ac:dyDescent="0.45">
      <c r="I179" t="s">
        <v>98</v>
      </c>
      <c r="J179" t="s">
        <v>189</v>
      </c>
      <c r="K179">
        <v>0</v>
      </c>
      <c r="L179" t="s">
        <v>84</v>
      </c>
      <c r="N179" t="s">
        <v>114</v>
      </c>
      <c r="O179" t="s">
        <v>189</v>
      </c>
      <c r="P179">
        <v>2.3295708279971596E-2</v>
      </c>
      <c r="Q179" t="s">
        <v>84</v>
      </c>
      <c r="S179" t="s">
        <v>129</v>
      </c>
      <c r="T179" t="s">
        <v>189</v>
      </c>
      <c r="U179">
        <v>2.5540044928806054E-2</v>
      </c>
      <c r="V179" t="s">
        <v>84</v>
      </c>
      <c r="AK179">
        <v>2043</v>
      </c>
      <c r="AL179" t="s">
        <v>72</v>
      </c>
      <c r="AM179">
        <v>0.42180000000000001</v>
      </c>
      <c r="AN179" t="s">
        <v>168</v>
      </c>
    </row>
    <row r="180" spans="9:40" x14ac:dyDescent="0.45">
      <c r="I180" t="s">
        <v>98</v>
      </c>
      <c r="J180" t="s">
        <v>190</v>
      </c>
      <c r="K180">
        <v>7.6358211769694505E-3</v>
      </c>
      <c r="L180" t="s">
        <v>84</v>
      </c>
      <c r="N180" t="s">
        <v>114</v>
      </c>
      <c r="O180" t="s">
        <v>190</v>
      </c>
      <c r="P180">
        <v>1.4159305877056071E-2</v>
      </c>
      <c r="Q180" t="s">
        <v>84</v>
      </c>
      <c r="S180" t="s">
        <v>129</v>
      </c>
      <c r="T180" t="s">
        <v>190</v>
      </c>
      <c r="U180">
        <v>1.3979920081420752E-2</v>
      </c>
      <c r="V180" t="s">
        <v>84</v>
      </c>
      <c r="AK180">
        <v>2043</v>
      </c>
      <c r="AL180" t="s">
        <v>76</v>
      </c>
      <c r="AM180">
        <v>0.41020000000000001</v>
      </c>
      <c r="AN180" t="s">
        <v>168</v>
      </c>
    </row>
    <row r="181" spans="9:40" x14ac:dyDescent="0.45">
      <c r="I181" t="s">
        <v>98</v>
      </c>
      <c r="J181" t="s">
        <v>191</v>
      </c>
      <c r="K181">
        <v>1.692895000936703E-2</v>
      </c>
      <c r="L181" t="s">
        <v>84</v>
      </c>
      <c r="N181" t="s">
        <v>114</v>
      </c>
      <c r="O181" t="s">
        <v>191</v>
      </c>
      <c r="P181">
        <v>2.5351872047457803E-2</v>
      </c>
      <c r="Q181" t="s">
        <v>84</v>
      </c>
      <c r="S181" t="s">
        <v>129</v>
      </c>
      <c r="T181" t="s">
        <v>191</v>
      </c>
      <c r="U181">
        <v>2.3994228999367477E-2</v>
      </c>
      <c r="V181" t="s">
        <v>84</v>
      </c>
      <c r="AK181">
        <v>2043</v>
      </c>
      <c r="AL181" t="s">
        <v>78</v>
      </c>
      <c r="AM181">
        <v>0.39419999999999999</v>
      </c>
      <c r="AN181" t="s">
        <v>168</v>
      </c>
    </row>
    <row r="182" spans="9:40" x14ac:dyDescent="0.45">
      <c r="I182" t="s">
        <v>98</v>
      </c>
      <c r="J182" t="s">
        <v>192</v>
      </c>
      <c r="K182">
        <v>0</v>
      </c>
      <c r="L182" t="s">
        <v>84</v>
      </c>
      <c r="N182" t="s">
        <v>114</v>
      </c>
      <c r="O182" t="s">
        <v>192</v>
      </c>
      <c r="P182">
        <v>3.7486557377215033E-3</v>
      </c>
      <c r="Q182" t="s">
        <v>84</v>
      </c>
      <c r="S182" t="s">
        <v>129</v>
      </c>
      <c r="T182" t="s">
        <v>192</v>
      </c>
      <c r="U182">
        <v>4.1430157032202129E-3</v>
      </c>
      <c r="V182" t="s">
        <v>84</v>
      </c>
      <c r="AK182">
        <v>2043</v>
      </c>
      <c r="AL182" t="s">
        <v>80</v>
      </c>
      <c r="AM182">
        <v>0.37014999999999998</v>
      </c>
      <c r="AN182" t="s">
        <v>168</v>
      </c>
    </row>
    <row r="183" spans="9:40" x14ac:dyDescent="0.45">
      <c r="I183" t="s">
        <v>98</v>
      </c>
      <c r="J183" t="s">
        <v>193</v>
      </c>
      <c r="K183">
        <v>0</v>
      </c>
      <c r="L183" t="s">
        <v>84</v>
      </c>
      <c r="N183" t="s">
        <v>114</v>
      </c>
      <c r="O183" t="s">
        <v>193</v>
      </c>
      <c r="P183">
        <v>3.4838971334120016E-3</v>
      </c>
      <c r="Q183" t="s">
        <v>84</v>
      </c>
      <c r="S183" t="s">
        <v>129</v>
      </c>
      <c r="T183" t="s">
        <v>193</v>
      </c>
      <c r="U183">
        <v>4.116610652861152E-3</v>
      </c>
      <c r="V183" t="s">
        <v>84</v>
      </c>
      <c r="AK183">
        <v>2043</v>
      </c>
      <c r="AL183" t="s">
        <v>171</v>
      </c>
      <c r="AM183">
        <v>0.4788</v>
      </c>
      <c r="AN183" t="s">
        <v>168</v>
      </c>
    </row>
    <row r="184" spans="9:40" x14ac:dyDescent="0.45">
      <c r="I184" t="s">
        <v>98</v>
      </c>
      <c r="J184" t="s">
        <v>194</v>
      </c>
      <c r="K184">
        <v>0</v>
      </c>
      <c r="L184" t="s">
        <v>84</v>
      </c>
      <c r="N184" t="s">
        <v>114</v>
      </c>
      <c r="O184" t="s">
        <v>194</v>
      </c>
      <c r="P184">
        <v>1.4655370584829403E-2</v>
      </c>
      <c r="Q184" t="s">
        <v>84</v>
      </c>
      <c r="S184" t="s">
        <v>129</v>
      </c>
      <c r="T184" t="s">
        <v>194</v>
      </c>
      <c r="U184">
        <v>1.9845331416987022E-2</v>
      </c>
      <c r="V184" t="s">
        <v>84</v>
      </c>
      <c r="AK184">
        <v>2043</v>
      </c>
      <c r="AL184" t="s">
        <v>173</v>
      </c>
      <c r="AM184">
        <v>0.46019999999999994</v>
      </c>
      <c r="AN184" t="s">
        <v>168</v>
      </c>
    </row>
    <row r="185" spans="9:40" x14ac:dyDescent="0.45">
      <c r="I185" t="s">
        <v>98</v>
      </c>
      <c r="J185" t="s">
        <v>195</v>
      </c>
      <c r="K185">
        <v>1.2934519299620524E-3</v>
      </c>
      <c r="L185" t="s">
        <v>84</v>
      </c>
      <c r="N185" t="s">
        <v>114</v>
      </c>
      <c r="O185" t="s">
        <v>195</v>
      </c>
      <c r="P185">
        <v>8.692733794209552E-2</v>
      </c>
      <c r="Q185" t="s">
        <v>84</v>
      </c>
      <c r="S185" t="s">
        <v>129</v>
      </c>
      <c r="T185" t="s">
        <v>195</v>
      </c>
      <c r="U185">
        <v>7.7809035202886706E-2</v>
      </c>
      <c r="V185" t="s">
        <v>84</v>
      </c>
      <c r="AK185">
        <v>2043</v>
      </c>
      <c r="AL185" t="s">
        <v>175</v>
      </c>
      <c r="AM185">
        <v>0.42549999999999999</v>
      </c>
      <c r="AN185" t="s">
        <v>168</v>
      </c>
    </row>
    <row r="186" spans="9:40" x14ac:dyDescent="0.45">
      <c r="I186" t="s">
        <v>98</v>
      </c>
      <c r="J186" t="s">
        <v>196</v>
      </c>
      <c r="K186">
        <v>5.1852491793907142E-2</v>
      </c>
      <c r="L186" t="s">
        <v>84</v>
      </c>
      <c r="N186" t="s">
        <v>114</v>
      </c>
      <c r="O186" t="s">
        <v>196</v>
      </c>
      <c r="P186">
        <v>5.0803640770573325E-2</v>
      </c>
      <c r="Q186" t="s">
        <v>84</v>
      </c>
      <c r="S186" t="s">
        <v>129</v>
      </c>
      <c r="T186" t="s">
        <v>196</v>
      </c>
      <c r="U186">
        <v>4.2938164746614937E-2</v>
      </c>
      <c r="V186" t="s">
        <v>84</v>
      </c>
      <c r="AK186">
        <v>2043</v>
      </c>
      <c r="AL186" t="s">
        <v>176</v>
      </c>
      <c r="AM186">
        <v>0.43049999999999999</v>
      </c>
      <c r="AN186" t="s">
        <v>168</v>
      </c>
    </row>
    <row r="187" spans="9:40" x14ac:dyDescent="0.45">
      <c r="I187" t="s">
        <v>98</v>
      </c>
      <c r="J187" t="s">
        <v>197</v>
      </c>
      <c r="K187">
        <v>9.8571684607712415E-2</v>
      </c>
      <c r="L187" t="s">
        <v>84</v>
      </c>
      <c r="N187" t="s">
        <v>114</v>
      </c>
      <c r="O187" t="s">
        <v>197</v>
      </c>
      <c r="P187">
        <v>9.1784089971325811E-2</v>
      </c>
      <c r="Q187" t="s">
        <v>84</v>
      </c>
      <c r="S187" t="s">
        <v>129</v>
      </c>
      <c r="T187" t="s">
        <v>197</v>
      </c>
      <c r="U187">
        <v>6.7256327663115942E-2</v>
      </c>
      <c r="V187" t="s">
        <v>84</v>
      </c>
      <c r="AK187">
        <v>2044</v>
      </c>
      <c r="AL187" t="s">
        <v>72</v>
      </c>
      <c r="AM187">
        <v>0.4073</v>
      </c>
      <c r="AN187" t="s">
        <v>168</v>
      </c>
    </row>
    <row r="188" spans="9:40" x14ac:dyDescent="0.45">
      <c r="I188" t="s">
        <v>98</v>
      </c>
      <c r="J188" t="s">
        <v>198</v>
      </c>
      <c r="K188">
        <v>6.4662219983677351E-3</v>
      </c>
      <c r="L188" t="s">
        <v>84</v>
      </c>
      <c r="N188" t="s">
        <v>114</v>
      </c>
      <c r="O188" t="s">
        <v>198</v>
      </c>
      <c r="P188">
        <v>1.2410854097756201E-2</v>
      </c>
      <c r="Q188" t="s">
        <v>84</v>
      </c>
      <c r="S188" t="s">
        <v>129</v>
      </c>
      <c r="T188" t="s">
        <v>198</v>
      </c>
      <c r="U188">
        <v>1.1106032909069669E-2</v>
      </c>
      <c r="V188" t="s">
        <v>84</v>
      </c>
      <c r="AK188">
        <v>2044</v>
      </c>
      <c r="AL188" t="s">
        <v>76</v>
      </c>
      <c r="AM188">
        <v>0.38979999999999998</v>
      </c>
      <c r="AN188" t="s">
        <v>168</v>
      </c>
    </row>
    <row r="189" spans="9:40" x14ac:dyDescent="0.45">
      <c r="I189" t="s">
        <v>98</v>
      </c>
      <c r="J189" t="s">
        <v>199</v>
      </c>
      <c r="K189">
        <v>0</v>
      </c>
      <c r="L189" t="s">
        <v>84</v>
      </c>
      <c r="N189" t="s">
        <v>114</v>
      </c>
      <c r="O189" t="s">
        <v>199</v>
      </c>
      <c r="P189">
        <v>1.1983264463288458E-2</v>
      </c>
      <c r="Q189" t="s">
        <v>84</v>
      </c>
      <c r="S189" t="s">
        <v>129</v>
      </c>
      <c r="T189" t="s">
        <v>199</v>
      </c>
      <c r="U189">
        <v>1.0967429296901025E-2</v>
      </c>
      <c r="V189" t="s">
        <v>84</v>
      </c>
      <c r="AK189">
        <v>2044</v>
      </c>
      <c r="AL189" t="s">
        <v>78</v>
      </c>
      <c r="AM189">
        <v>0.40560000000000002</v>
      </c>
      <c r="AN189" t="s">
        <v>168</v>
      </c>
    </row>
    <row r="190" spans="9:40" x14ac:dyDescent="0.45">
      <c r="I190" t="s">
        <v>98</v>
      </c>
      <c r="J190" t="s">
        <v>200</v>
      </c>
      <c r="K190">
        <v>0</v>
      </c>
      <c r="L190" t="s">
        <v>84</v>
      </c>
      <c r="N190" t="s">
        <v>114</v>
      </c>
      <c r="O190" t="s">
        <v>200</v>
      </c>
      <c r="P190">
        <v>6.0868334912103812E-2</v>
      </c>
      <c r="Q190" t="s">
        <v>84</v>
      </c>
      <c r="S190" t="s">
        <v>129</v>
      </c>
      <c r="T190" t="s">
        <v>200</v>
      </c>
      <c r="U190">
        <v>5.4429258797171025E-2</v>
      </c>
      <c r="V190" t="s">
        <v>84</v>
      </c>
      <c r="AK190">
        <v>2044</v>
      </c>
      <c r="AL190" t="s">
        <v>80</v>
      </c>
      <c r="AM190">
        <v>0.40500000000000003</v>
      </c>
      <c r="AN190" t="s">
        <v>168</v>
      </c>
    </row>
    <row r="191" spans="9:40" x14ac:dyDescent="0.45">
      <c r="I191" t="s">
        <v>98</v>
      </c>
      <c r="J191" t="s">
        <v>201</v>
      </c>
      <c r="K191">
        <v>6.7527313559942962E-3</v>
      </c>
      <c r="L191" t="s">
        <v>84</v>
      </c>
      <c r="N191" t="s">
        <v>114</v>
      </c>
      <c r="O191" t="s">
        <v>201</v>
      </c>
      <c r="P191">
        <v>2.9266503006062681E-2</v>
      </c>
      <c r="Q191" t="s">
        <v>84</v>
      </c>
      <c r="S191" t="s">
        <v>129</v>
      </c>
      <c r="T191" t="s">
        <v>201</v>
      </c>
      <c r="U191">
        <v>2.5224562894928835E-2</v>
      </c>
      <c r="V191" t="s">
        <v>84</v>
      </c>
      <c r="AK191">
        <v>2044</v>
      </c>
      <c r="AL191" t="s">
        <v>171</v>
      </c>
      <c r="AM191">
        <v>0.4738</v>
      </c>
      <c r="AN191" t="s">
        <v>168</v>
      </c>
    </row>
    <row r="192" spans="9:40" x14ac:dyDescent="0.45">
      <c r="I192" t="s">
        <v>98</v>
      </c>
      <c r="J192" t="s">
        <v>202</v>
      </c>
      <c r="K192">
        <v>3.4456788875640555E-2</v>
      </c>
      <c r="L192" t="s">
        <v>84</v>
      </c>
      <c r="N192" t="s">
        <v>114</v>
      </c>
      <c r="O192" t="s">
        <v>202</v>
      </c>
      <c r="P192">
        <v>2.3595530648478635E-2</v>
      </c>
      <c r="Q192" t="s">
        <v>84</v>
      </c>
      <c r="S192" t="s">
        <v>129</v>
      </c>
      <c r="T192" t="s">
        <v>202</v>
      </c>
      <c r="U192">
        <v>1.3253465641079799E-2</v>
      </c>
      <c r="V192" t="s">
        <v>84</v>
      </c>
      <c r="AK192">
        <v>2044</v>
      </c>
      <c r="AL192" t="s">
        <v>173</v>
      </c>
      <c r="AM192">
        <v>0.43969999999999998</v>
      </c>
      <c r="AN192" t="s">
        <v>168</v>
      </c>
    </row>
    <row r="193" spans="9:40" x14ac:dyDescent="0.45">
      <c r="I193" t="s">
        <v>98</v>
      </c>
      <c r="J193" t="s">
        <v>203</v>
      </c>
      <c r="K193">
        <v>5.5655162705388034E-2</v>
      </c>
      <c r="L193" t="s">
        <v>84</v>
      </c>
      <c r="N193" t="s">
        <v>114</v>
      </c>
      <c r="O193" t="s">
        <v>203</v>
      </c>
      <c r="P193">
        <v>4.4379791762065246E-2</v>
      </c>
      <c r="Q193" t="s">
        <v>84</v>
      </c>
      <c r="S193" t="s">
        <v>129</v>
      </c>
      <c r="T193" t="s">
        <v>203</v>
      </c>
      <c r="U193">
        <v>2.1472837659404904E-2</v>
      </c>
      <c r="V193" t="s">
        <v>84</v>
      </c>
      <c r="AK193">
        <v>2044</v>
      </c>
      <c r="AL193" t="s">
        <v>175</v>
      </c>
      <c r="AM193">
        <v>0.42349999999999999</v>
      </c>
      <c r="AN193" t="s">
        <v>168</v>
      </c>
    </row>
    <row r="194" spans="9:40" x14ac:dyDescent="0.45">
      <c r="I194" t="s">
        <v>98</v>
      </c>
      <c r="J194" t="s">
        <v>204</v>
      </c>
      <c r="K194">
        <v>6.1289934149500848E-3</v>
      </c>
      <c r="L194" t="s">
        <v>84</v>
      </c>
      <c r="N194" t="s">
        <v>114</v>
      </c>
      <c r="O194" t="s">
        <v>204</v>
      </c>
      <c r="P194">
        <v>6.1080070739713164E-3</v>
      </c>
      <c r="Q194" t="s">
        <v>84</v>
      </c>
      <c r="S194" t="s">
        <v>129</v>
      </c>
      <c r="T194" t="s">
        <v>204</v>
      </c>
      <c r="U194">
        <v>3.9285893317100393E-3</v>
      </c>
      <c r="V194" t="s">
        <v>84</v>
      </c>
      <c r="AK194">
        <v>2044</v>
      </c>
      <c r="AL194" t="s">
        <v>176</v>
      </c>
      <c r="AM194">
        <v>0.39300000000000002</v>
      </c>
      <c r="AN194" t="s">
        <v>168</v>
      </c>
    </row>
    <row r="195" spans="9:40" x14ac:dyDescent="0.45">
      <c r="I195" t="s">
        <v>98</v>
      </c>
      <c r="J195" t="s">
        <v>205</v>
      </c>
      <c r="K195">
        <v>2.6639276121120702E-3</v>
      </c>
      <c r="L195" t="s">
        <v>84</v>
      </c>
      <c r="N195" t="s">
        <v>114</v>
      </c>
      <c r="O195" t="s">
        <v>205</v>
      </c>
      <c r="P195">
        <v>5.6219524111589605E-3</v>
      </c>
      <c r="Q195" t="s">
        <v>84</v>
      </c>
      <c r="S195" t="s">
        <v>129</v>
      </c>
      <c r="T195" t="s">
        <v>205</v>
      </c>
      <c r="U195">
        <v>3.9619699842233999E-3</v>
      </c>
      <c r="V195" t="s">
        <v>84</v>
      </c>
      <c r="AK195">
        <v>2045</v>
      </c>
      <c r="AL195" t="s">
        <v>72</v>
      </c>
      <c r="AM195">
        <v>0.54359999999999997</v>
      </c>
      <c r="AN195" t="s">
        <v>168</v>
      </c>
    </row>
    <row r="196" spans="9:40" x14ac:dyDescent="0.45">
      <c r="I196" t="s">
        <v>98</v>
      </c>
      <c r="J196" t="s">
        <v>206</v>
      </c>
      <c r="K196">
        <v>0</v>
      </c>
      <c r="L196" t="s">
        <v>84</v>
      </c>
      <c r="N196" t="s">
        <v>114</v>
      </c>
      <c r="O196" t="s">
        <v>206</v>
      </c>
      <c r="P196">
        <v>2.3566527978050499E-2</v>
      </c>
      <c r="Q196" t="s">
        <v>84</v>
      </c>
      <c r="S196" t="s">
        <v>129</v>
      </c>
      <c r="T196" t="s">
        <v>206</v>
      </c>
      <c r="U196">
        <v>1.9610435903936581E-2</v>
      </c>
      <c r="V196" t="s">
        <v>84</v>
      </c>
      <c r="AK196">
        <v>2045</v>
      </c>
      <c r="AL196" t="s">
        <v>76</v>
      </c>
      <c r="AM196">
        <v>0.59030000000000005</v>
      </c>
      <c r="AN196" t="s">
        <v>168</v>
      </c>
    </row>
    <row r="197" spans="9:40" x14ac:dyDescent="0.45">
      <c r="I197" t="s">
        <v>98</v>
      </c>
      <c r="J197" t="s">
        <v>207</v>
      </c>
      <c r="K197">
        <v>2.1511440921896056E-2</v>
      </c>
      <c r="L197" t="s">
        <v>84</v>
      </c>
      <c r="N197" t="s">
        <v>114</v>
      </c>
      <c r="O197" t="s">
        <v>207</v>
      </c>
      <c r="P197">
        <v>3.2008533477595517E-2</v>
      </c>
      <c r="Q197" t="s">
        <v>84</v>
      </c>
      <c r="S197" t="s">
        <v>129</v>
      </c>
      <c r="T197" t="s">
        <v>207</v>
      </c>
      <c r="U197">
        <v>4.3593567701215946E-2</v>
      </c>
      <c r="V197" t="s">
        <v>84</v>
      </c>
      <c r="AK197">
        <v>2045</v>
      </c>
      <c r="AL197" t="s">
        <v>78</v>
      </c>
      <c r="AM197">
        <v>0.52100000000000002</v>
      </c>
      <c r="AN197" t="s">
        <v>168</v>
      </c>
    </row>
    <row r="198" spans="9:40" x14ac:dyDescent="0.45">
      <c r="I198" t="s">
        <v>98</v>
      </c>
      <c r="J198" t="s">
        <v>208</v>
      </c>
      <c r="K198">
        <v>7.7691975355620876E-2</v>
      </c>
      <c r="L198" t="s">
        <v>84</v>
      </c>
      <c r="N198" t="s">
        <v>114</v>
      </c>
      <c r="O198" t="s">
        <v>208</v>
      </c>
      <c r="P198">
        <v>2.4733755717555771E-2</v>
      </c>
      <c r="Q198" t="s">
        <v>84</v>
      </c>
      <c r="S198" t="s">
        <v>129</v>
      </c>
      <c r="T198" t="s">
        <v>208</v>
      </c>
      <c r="U198">
        <v>2.2696701422051262E-2</v>
      </c>
      <c r="V198" t="s">
        <v>84</v>
      </c>
      <c r="AK198">
        <v>2045</v>
      </c>
      <c r="AL198" t="s">
        <v>80</v>
      </c>
      <c r="AM198">
        <v>0.56214999999999993</v>
      </c>
      <c r="AN198" t="s">
        <v>168</v>
      </c>
    </row>
    <row r="199" spans="9:40" x14ac:dyDescent="0.45">
      <c r="I199" t="s">
        <v>98</v>
      </c>
      <c r="J199" t="s">
        <v>209</v>
      </c>
      <c r="K199">
        <v>0.12356021270678938</v>
      </c>
      <c r="L199" t="s">
        <v>84</v>
      </c>
      <c r="N199" t="s">
        <v>114</v>
      </c>
      <c r="O199" t="s">
        <v>209</v>
      </c>
      <c r="P199">
        <v>4.4947384251684284E-2</v>
      </c>
      <c r="Q199" t="s">
        <v>84</v>
      </c>
      <c r="S199" t="s">
        <v>129</v>
      </c>
      <c r="T199" t="s">
        <v>209</v>
      </c>
      <c r="U199">
        <v>3.90100749227087E-2</v>
      </c>
      <c r="V199" t="s">
        <v>84</v>
      </c>
      <c r="AK199">
        <v>2045</v>
      </c>
      <c r="AL199" t="s">
        <v>171</v>
      </c>
      <c r="AM199">
        <v>0.61639999999999995</v>
      </c>
      <c r="AN199" t="s">
        <v>168</v>
      </c>
    </row>
    <row r="200" spans="9:40" x14ac:dyDescent="0.45">
      <c r="I200" t="s">
        <v>98</v>
      </c>
      <c r="J200" t="s">
        <v>210</v>
      </c>
      <c r="K200">
        <v>1.4682887691022151E-2</v>
      </c>
      <c r="L200" t="s">
        <v>84</v>
      </c>
      <c r="N200" t="s">
        <v>114</v>
      </c>
      <c r="O200" t="s">
        <v>210</v>
      </c>
      <c r="P200">
        <v>7.2699687016120418E-3</v>
      </c>
      <c r="Q200" t="s">
        <v>84</v>
      </c>
      <c r="S200" t="s">
        <v>129</v>
      </c>
      <c r="T200" t="s">
        <v>210</v>
      </c>
      <c r="U200">
        <v>6.8126975092413933E-3</v>
      </c>
      <c r="V200" t="s">
        <v>84</v>
      </c>
      <c r="AK200">
        <v>2045</v>
      </c>
      <c r="AL200" t="s">
        <v>173</v>
      </c>
      <c r="AM200">
        <v>0.61373333333333335</v>
      </c>
      <c r="AN200" t="s">
        <v>168</v>
      </c>
    </row>
    <row r="201" spans="9:40" x14ac:dyDescent="0.45">
      <c r="I201" t="s">
        <v>98</v>
      </c>
      <c r="J201" t="s">
        <v>211</v>
      </c>
      <c r="K201">
        <v>1.0238874663108568E-2</v>
      </c>
      <c r="L201" t="s">
        <v>84</v>
      </c>
      <c r="N201" t="s">
        <v>114</v>
      </c>
      <c r="O201" t="s">
        <v>211</v>
      </c>
      <c r="P201">
        <v>6.7286308389672648E-3</v>
      </c>
      <c r="Q201" t="s">
        <v>84</v>
      </c>
      <c r="S201" t="s">
        <v>129</v>
      </c>
      <c r="T201" t="s">
        <v>211</v>
      </c>
      <c r="U201">
        <v>6.6828866109652288E-3</v>
      </c>
      <c r="V201" t="s">
        <v>84</v>
      </c>
      <c r="AK201">
        <v>2045</v>
      </c>
      <c r="AL201" t="s">
        <v>175</v>
      </c>
      <c r="AM201">
        <v>0.6048</v>
      </c>
      <c r="AN201" t="s">
        <v>168</v>
      </c>
    </row>
    <row r="202" spans="9:40" x14ac:dyDescent="0.45">
      <c r="I202" t="s">
        <v>98</v>
      </c>
      <c r="J202" t="s">
        <v>212</v>
      </c>
      <c r="K202">
        <v>2.9643030068524376E-3</v>
      </c>
      <c r="L202" t="s">
        <v>84</v>
      </c>
      <c r="N202" t="s">
        <v>114</v>
      </c>
      <c r="O202" t="s">
        <v>212</v>
      </c>
      <c r="P202">
        <v>2.641044152768016E-2</v>
      </c>
      <c r="Q202" t="s">
        <v>84</v>
      </c>
      <c r="S202" t="s">
        <v>129</v>
      </c>
      <c r="T202" t="s">
        <v>212</v>
      </c>
      <c r="U202">
        <v>3.2884746452590041E-2</v>
      </c>
      <c r="V202" t="s">
        <v>84</v>
      </c>
      <c r="AK202">
        <v>2045</v>
      </c>
      <c r="AL202" t="s">
        <v>176</v>
      </c>
      <c r="AM202">
        <v>0.59870000000000001</v>
      </c>
      <c r="AN202" t="s">
        <v>168</v>
      </c>
    </row>
    <row r="203" spans="9:40" x14ac:dyDescent="0.45">
      <c r="I203" t="s">
        <v>99</v>
      </c>
      <c r="J203" t="s">
        <v>83</v>
      </c>
      <c r="K203">
        <v>9.5101177234689169E-3</v>
      </c>
      <c r="L203" t="s">
        <v>84</v>
      </c>
      <c r="N203" t="s">
        <v>115</v>
      </c>
      <c r="O203" t="s">
        <v>83</v>
      </c>
      <c r="P203">
        <v>2.3383687306677142E-2</v>
      </c>
      <c r="Q203" t="s">
        <v>84</v>
      </c>
      <c r="S203" t="s">
        <v>130</v>
      </c>
      <c r="T203" t="s">
        <v>83</v>
      </c>
      <c r="U203">
        <v>2.1627076345128445E-2</v>
      </c>
      <c r="V203" t="s">
        <v>84</v>
      </c>
      <c r="AK203">
        <v>2046</v>
      </c>
      <c r="AL203" t="s">
        <v>72</v>
      </c>
      <c r="AM203">
        <v>0.50470000000000004</v>
      </c>
      <c r="AN203" t="s">
        <v>168</v>
      </c>
    </row>
    <row r="204" spans="9:40" x14ac:dyDescent="0.45">
      <c r="I204" t="s">
        <v>99</v>
      </c>
      <c r="J204" t="s">
        <v>85</v>
      </c>
      <c r="K204">
        <v>4.2605317220434119E-2</v>
      </c>
      <c r="L204" t="s">
        <v>84</v>
      </c>
      <c r="N204" t="s">
        <v>115</v>
      </c>
      <c r="O204" t="s">
        <v>85</v>
      </c>
      <c r="P204">
        <v>1.3248783017107378E-2</v>
      </c>
      <c r="Q204" t="s">
        <v>84</v>
      </c>
      <c r="S204" t="s">
        <v>130</v>
      </c>
      <c r="T204" t="s">
        <v>85</v>
      </c>
      <c r="U204">
        <v>1.079208936100693E-2</v>
      </c>
      <c r="V204" t="s">
        <v>84</v>
      </c>
      <c r="AK204">
        <v>2046</v>
      </c>
      <c r="AL204" t="s">
        <v>76</v>
      </c>
      <c r="AM204">
        <v>0.6038</v>
      </c>
      <c r="AN204" t="s">
        <v>168</v>
      </c>
    </row>
    <row r="205" spans="9:40" x14ac:dyDescent="0.45">
      <c r="I205" t="s">
        <v>99</v>
      </c>
      <c r="J205" t="s">
        <v>86</v>
      </c>
      <c r="K205">
        <v>7.4066765946739888E-2</v>
      </c>
      <c r="L205" t="s">
        <v>84</v>
      </c>
      <c r="N205" t="s">
        <v>115</v>
      </c>
      <c r="O205" t="s">
        <v>86</v>
      </c>
      <c r="P205">
        <v>2.4684314971702599E-2</v>
      </c>
      <c r="Q205" t="s">
        <v>84</v>
      </c>
      <c r="S205" t="s">
        <v>130</v>
      </c>
      <c r="T205" t="s">
        <v>86</v>
      </c>
      <c r="U205">
        <v>2.1264280617425711E-2</v>
      </c>
      <c r="V205" t="s">
        <v>84</v>
      </c>
      <c r="AK205">
        <v>2046</v>
      </c>
      <c r="AL205" t="s">
        <v>78</v>
      </c>
      <c r="AM205">
        <v>0.50800000000000001</v>
      </c>
      <c r="AN205" t="s">
        <v>168</v>
      </c>
    </row>
    <row r="206" spans="9:40" x14ac:dyDescent="0.45">
      <c r="I206" t="s">
        <v>99</v>
      </c>
      <c r="J206" t="s">
        <v>177</v>
      </c>
      <c r="K206">
        <v>9.6603050436452776E-3</v>
      </c>
      <c r="L206" t="s">
        <v>84</v>
      </c>
      <c r="N206" t="s">
        <v>115</v>
      </c>
      <c r="O206" t="s">
        <v>177</v>
      </c>
      <c r="P206">
        <v>4.4851988629479944E-3</v>
      </c>
      <c r="Q206" t="s">
        <v>84</v>
      </c>
      <c r="S206" t="s">
        <v>130</v>
      </c>
      <c r="T206" t="s">
        <v>177</v>
      </c>
      <c r="U206">
        <v>4.4269843976601359E-3</v>
      </c>
      <c r="V206" t="s">
        <v>84</v>
      </c>
      <c r="AK206">
        <v>2046</v>
      </c>
      <c r="AL206" t="s">
        <v>80</v>
      </c>
      <c r="AM206">
        <v>0.52899999999999991</v>
      </c>
      <c r="AN206" t="s">
        <v>168</v>
      </c>
    </row>
    <row r="207" spans="9:40" x14ac:dyDescent="0.45">
      <c r="I207" t="s">
        <v>99</v>
      </c>
      <c r="J207" t="s">
        <v>178</v>
      </c>
      <c r="K207">
        <v>7.8752351106753122E-3</v>
      </c>
      <c r="L207" t="s">
        <v>84</v>
      </c>
      <c r="N207" t="s">
        <v>115</v>
      </c>
      <c r="O207" t="s">
        <v>178</v>
      </c>
      <c r="P207">
        <v>4.238831715113826E-3</v>
      </c>
      <c r="Q207" t="s">
        <v>84</v>
      </c>
      <c r="S207" t="s">
        <v>130</v>
      </c>
      <c r="T207" t="s">
        <v>178</v>
      </c>
      <c r="U207">
        <v>4.246568387118144E-3</v>
      </c>
      <c r="V207" t="s">
        <v>84</v>
      </c>
      <c r="AK207">
        <v>2046</v>
      </c>
      <c r="AL207" t="s">
        <v>171</v>
      </c>
      <c r="AM207">
        <v>0.60919999999999996</v>
      </c>
      <c r="AN207" t="s">
        <v>168</v>
      </c>
    </row>
    <row r="208" spans="9:40" x14ac:dyDescent="0.45">
      <c r="I208" t="s">
        <v>99</v>
      </c>
      <c r="J208" t="s">
        <v>179</v>
      </c>
      <c r="K208">
        <v>3.7121104351803933E-3</v>
      </c>
      <c r="L208" t="s">
        <v>84</v>
      </c>
      <c r="N208" t="s">
        <v>115</v>
      </c>
      <c r="O208" t="s">
        <v>179</v>
      </c>
      <c r="P208">
        <v>1.856277792156677E-2</v>
      </c>
      <c r="Q208" t="s">
        <v>84</v>
      </c>
      <c r="S208" t="s">
        <v>130</v>
      </c>
      <c r="T208" t="s">
        <v>179</v>
      </c>
      <c r="U208">
        <v>1.9523146249040883E-2</v>
      </c>
      <c r="V208" t="s">
        <v>84</v>
      </c>
      <c r="AK208">
        <v>2046</v>
      </c>
      <c r="AL208" t="s">
        <v>173</v>
      </c>
      <c r="AM208">
        <v>0.63726666666666665</v>
      </c>
      <c r="AN208" t="s">
        <v>168</v>
      </c>
    </row>
    <row r="209" spans="9:40" x14ac:dyDescent="0.45">
      <c r="I209" t="s">
        <v>99</v>
      </c>
      <c r="J209" t="s">
        <v>87</v>
      </c>
      <c r="K209">
        <v>5.3613249508997944E-3</v>
      </c>
      <c r="L209" t="s">
        <v>84</v>
      </c>
      <c r="N209" t="s">
        <v>115</v>
      </c>
      <c r="O209" t="s">
        <v>87</v>
      </c>
      <c r="P209">
        <v>1.2822918741406345E-2</v>
      </c>
      <c r="Q209" t="s">
        <v>84</v>
      </c>
      <c r="S209" t="s">
        <v>130</v>
      </c>
      <c r="T209" t="s">
        <v>87</v>
      </c>
      <c r="U209">
        <v>1.3932097437982616E-2</v>
      </c>
      <c r="V209" t="s">
        <v>84</v>
      </c>
      <c r="AK209">
        <v>2046</v>
      </c>
      <c r="AL209" t="s">
        <v>175</v>
      </c>
      <c r="AM209">
        <v>0.56720000000000004</v>
      </c>
      <c r="AN209" t="s">
        <v>168</v>
      </c>
    </row>
    <row r="210" spans="9:40" x14ac:dyDescent="0.45">
      <c r="I210" t="s">
        <v>99</v>
      </c>
      <c r="J210" t="s">
        <v>88</v>
      </c>
      <c r="K210">
        <v>3.8297859062559864E-2</v>
      </c>
      <c r="L210" t="s">
        <v>84</v>
      </c>
      <c r="N210" t="s">
        <v>115</v>
      </c>
      <c r="O210" t="s">
        <v>88</v>
      </c>
      <c r="P210">
        <v>7.7167011766884593E-3</v>
      </c>
      <c r="Q210" t="s">
        <v>84</v>
      </c>
      <c r="S210" t="s">
        <v>130</v>
      </c>
      <c r="T210" t="s">
        <v>88</v>
      </c>
      <c r="U210">
        <v>8.5875707511694783E-3</v>
      </c>
      <c r="V210" t="s">
        <v>84</v>
      </c>
      <c r="AK210">
        <v>2046</v>
      </c>
      <c r="AL210" t="s">
        <v>176</v>
      </c>
      <c r="AM210">
        <v>0.58909999999999996</v>
      </c>
      <c r="AN210" t="s">
        <v>168</v>
      </c>
    </row>
    <row r="211" spans="9:40" x14ac:dyDescent="0.45">
      <c r="I211" t="s">
        <v>99</v>
      </c>
      <c r="J211" t="s">
        <v>89</v>
      </c>
      <c r="K211">
        <v>6.452898134109393E-2</v>
      </c>
      <c r="L211" t="s">
        <v>84</v>
      </c>
      <c r="N211" t="s">
        <v>115</v>
      </c>
      <c r="O211" t="s">
        <v>89</v>
      </c>
      <c r="P211">
        <v>1.5276298136331173E-2</v>
      </c>
      <c r="Q211" t="s">
        <v>84</v>
      </c>
      <c r="S211" t="s">
        <v>130</v>
      </c>
      <c r="T211" t="s">
        <v>89</v>
      </c>
      <c r="U211">
        <v>1.8661034563919314E-2</v>
      </c>
      <c r="V211" t="s">
        <v>84</v>
      </c>
      <c r="AK211">
        <v>2047</v>
      </c>
      <c r="AL211" t="s">
        <v>72</v>
      </c>
      <c r="AM211">
        <v>0.50749999999999995</v>
      </c>
      <c r="AN211" t="s">
        <v>168</v>
      </c>
    </row>
    <row r="212" spans="9:40" x14ac:dyDescent="0.45">
      <c r="I212" t="s">
        <v>99</v>
      </c>
      <c r="J212" t="s">
        <v>180</v>
      </c>
      <c r="K212">
        <v>9.2521145792464794E-3</v>
      </c>
      <c r="L212" t="s">
        <v>84</v>
      </c>
      <c r="N212" t="s">
        <v>115</v>
      </c>
      <c r="O212" t="s">
        <v>180</v>
      </c>
      <c r="P212">
        <v>3.1876116168918652E-3</v>
      </c>
      <c r="Q212" t="s">
        <v>84</v>
      </c>
      <c r="S212" t="s">
        <v>130</v>
      </c>
      <c r="T212" t="s">
        <v>180</v>
      </c>
      <c r="U212">
        <v>4.0778449176137668E-3</v>
      </c>
      <c r="V212" t="s">
        <v>84</v>
      </c>
      <c r="AK212">
        <v>2047</v>
      </c>
      <c r="AL212" t="s">
        <v>76</v>
      </c>
      <c r="AM212">
        <v>0.56620000000000004</v>
      </c>
      <c r="AN212" t="s">
        <v>168</v>
      </c>
    </row>
    <row r="213" spans="9:40" x14ac:dyDescent="0.45">
      <c r="I213" t="s">
        <v>99</v>
      </c>
      <c r="J213" t="s">
        <v>181</v>
      </c>
      <c r="K213">
        <v>6.6705349991273526E-3</v>
      </c>
      <c r="L213" t="s">
        <v>84</v>
      </c>
      <c r="N213" t="s">
        <v>115</v>
      </c>
      <c r="O213" t="s">
        <v>181</v>
      </c>
      <c r="P213">
        <v>3.0927405114769685E-3</v>
      </c>
      <c r="Q213" t="s">
        <v>84</v>
      </c>
      <c r="S213" t="s">
        <v>130</v>
      </c>
      <c r="T213" t="s">
        <v>181</v>
      </c>
      <c r="U213">
        <v>3.8745773153371667E-3</v>
      </c>
      <c r="V213" t="s">
        <v>84</v>
      </c>
      <c r="AK213">
        <v>2047</v>
      </c>
      <c r="AL213" t="s">
        <v>78</v>
      </c>
      <c r="AM213">
        <v>0.46360000000000001</v>
      </c>
      <c r="AN213" t="s">
        <v>168</v>
      </c>
    </row>
    <row r="214" spans="9:40" x14ac:dyDescent="0.45">
      <c r="I214" t="s">
        <v>99</v>
      </c>
      <c r="J214" t="s">
        <v>182</v>
      </c>
      <c r="K214">
        <v>0</v>
      </c>
      <c r="L214" t="s">
        <v>84</v>
      </c>
      <c r="N214" t="s">
        <v>115</v>
      </c>
      <c r="O214" t="s">
        <v>182</v>
      </c>
      <c r="P214">
        <v>1.2524095512485805E-2</v>
      </c>
      <c r="Q214" t="s">
        <v>84</v>
      </c>
      <c r="S214" t="s">
        <v>130</v>
      </c>
      <c r="T214" t="s">
        <v>182</v>
      </c>
      <c r="U214">
        <v>1.4627662402141816E-2</v>
      </c>
      <c r="V214" t="s">
        <v>84</v>
      </c>
      <c r="AK214">
        <v>2047</v>
      </c>
      <c r="AL214" t="s">
        <v>80</v>
      </c>
      <c r="AM214">
        <v>0.54994999999999994</v>
      </c>
      <c r="AN214" t="s">
        <v>168</v>
      </c>
    </row>
    <row r="215" spans="9:40" x14ac:dyDescent="0.45">
      <c r="I215" t="s">
        <v>99</v>
      </c>
      <c r="J215" t="s">
        <v>90</v>
      </c>
      <c r="K215">
        <v>3.2475431875624706E-3</v>
      </c>
      <c r="L215" t="s">
        <v>84</v>
      </c>
      <c r="N215" t="s">
        <v>115</v>
      </c>
      <c r="O215" t="s">
        <v>90</v>
      </c>
      <c r="P215">
        <v>1.4060479538189407E-2</v>
      </c>
      <c r="Q215" t="s">
        <v>84</v>
      </c>
      <c r="S215" t="s">
        <v>130</v>
      </c>
      <c r="T215" t="s">
        <v>90</v>
      </c>
      <c r="U215">
        <v>1.2123574377033481E-2</v>
      </c>
      <c r="V215" t="s">
        <v>84</v>
      </c>
      <c r="AK215">
        <v>2047</v>
      </c>
      <c r="AL215" t="s">
        <v>171</v>
      </c>
      <c r="AM215">
        <v>0.66120000000000001</v>
      </c>
      <c r="AN215" t="s">
        <v>168</v>
      </c>
    </row>
    <row r="216" spans="9:40" x14ac:dyDescent="0.45">
      <c r="I216" t="s">
        <v>99</v>
      </c>
      <c r="J216" t="s">
        <v>91</v>
      </c>
      <c r="K216">
        <v>3.3710644246441733E-2</v>
      </c>
      <c r="L216" t="s">
        <v>84</v>
      </c>
      <c r="N216" t="s">
        <v>115</v>
      </c>
      <c r="O216" t="s">
        <v>91</v>
      </c>
      <c r="P216">
        <v>9.4021137554810841E-3</v>
      </c>
      <c r="Q216" t="s">
        <v>84</v>
      </c>
      <c r="S216" t="s">
        <v>130</v>
      </c>
      <c r="T216" t="s">
        <v>91</v>
      </c>
      <c r="U216">
        <v>7.9581744748911873E-3</v>
      </c>
      <c r="V216" t="s">
        <v>84</v>
      </c>
      <c r="AK216">
        <v>2047</v>
      </c>
      <c r="AL216" t="s">
        <v>173</v>
      </c>
      <c r="AM216">
        <v>0.58140000000000003</v>
      </c>
      <c r="AN216" t="s">
        <v>168</v>
      </c>
    </row>
    <row r="217" spans="9:40" x14ac:dyDescent="0.45">
      <c r="I217" t="s">
        <v>99</v>
      </c>
      <c r="J217" t="s">
        <v>92</v>
      </c>
      <c r="K217">
        <v>5.4092080081807339E-2</v>
      </c>
      <c r="L217" t="s">
        <v>84</v>
      </c>
      <c r="N217" t="s">
        <v>115</v>
      </c>
      <c r="O217" t="s">
        <v>92</v>
      </c>
      <c r="P217">
        <v>1.6993576146493564E-2</v>
      </c>
      <c r="Q217" t="s">
        <v>84</v>
      </c>
      <c r="S217" t="s">
        <v>130</v>
      </c>
      <c r="T217" t="s">
        <v>92</v>
      </c>
      <c r="U217">
        <v>1.742235782482135E-2</v>
      </c>
      <c r="V217" t="s">
        <v>84</v>
      </c>
      <c r="AK217">
        <v>2047</v>
      </c>
      <c r="AL217" t="s">
        <v>175</v>
      </c>
      <c r="AM217">
        <v>0.62370000000000003</v>
      </c>
      <c r="AN217" t="s">
        <v>168</v>
      </c>
    </row>
    <row r="218" spans="9:40" x14ac:dyDescent="0.45">
      <c r="I218" t="s">
        <v>99</v>
      </c>
      <c r="J218" t="s">
        <v>183</v>
      </c>
      <c r="K218">
        <v>6.0375766559796771E-3</v>
      </c>
      <c r="L218" t="s">
        <v>84</v>
      </c>
      <c r="N218" t="s">
        <v>115</v>
      </c>
      <c r="O218" t="s">
        <v>183</v>
      </c>
      <c r="P218">
        <v>3.1059589187836184E-3</v>
      </c>
      <c r="Q218" t="s">
        <v>84</v>
      </c>
      <c r="S218" t="s">
        <v>130</v>
      </c>
      <c r="T218" t="s">
        <v>183</v>
      </c>
      <c r="U218">
        <v>3.5707361599799582E-3</v>
      </c>
      <c r="V218" t="s">
        <v>84</v>
      </c>
      <c r="AK218">
        <v>2047</v>
      </c>
      <c r="AL218" t="s">
        <v>176</v>
      </c>
      <c r="AM218">
        <v>0.55204999999999993</v>
      </c>
      <c r="AN218" t="s">
        <v>168</v>
      </c>
    </row>
    <row r="219" spans="9:40" x14ac:dyDescent="0.45">
      <c r="I219" t="s">
        <v>99</v>
      </c>
      <c r="J219" t="s">
        <v>184</v>
      </c>
      <c r="K219">
        <v>2.5506979058109412E-3</v>
      </c>
      <c r="L219" t="s">
        <v>84</v>
      </c>
      <c r="N219" t="s">
        <v>115</v>
      </c>
      <c r="O219" t="s">
        <v>184</v>
      </c>
      <c r="P219">
        <v>2.9685362002036969E-3</v>
      </c>
      <c r="Q219" t="s">
        <v>84</v>
      </c>
      <c r="S219" t="s">
        <v>130</v>
      </c>
      <c r="T219" t="s">
        <v>184</v>
      </c>
      <c r="U219">
        <v>3.5032419318293041E-3</v>
      </c>
      <c r="V219" t="s">
        <v>84</v>
      </c>
      <c r="AK219">
        <v>2048</v>
      </c>
      <c r="AL219" t="s">
        <v>72</v>
      </c>
      <c r="AM219">
        <v>0.5726</v>
      </c>
      <c r="AN219" t="s">
        <v>168</v>
      </c>
    </row>
    <row r="220" spans="9:40" x14ac:dyDescent="0.45">
      <c r="I220" t="s">
        <v>99</v>
      </c>
      <c r="J220" t="s">
        <v>185</v>
      </c>
      <c r="K220">
        <v>0</v>
      </c>
      <c r="L220" t="s">
        <v>84</v>
      </c>
      <c r="N220" t="s">
        <v>115</v>
      </c>
      <c r="O220" t="s">
        <v>185</v>
      </c>
      <c r="P220">
        <v>1.2067265788429954E-2</v>
      </c>
      <c r="Q220" t="s">
        <v>84</v>
      </c>
      <c r="S220" t="s">
        <v>130</v>
      </c>
      <c r="T220" t="s">
        <v>185</v>
      </c>
      <c r="U220">
        <v>1.2944594546721823E-2</v>
      </c>
      <c r="V220" t="s">
        <v>84</v>
      </c>
      <c r="AK220">
        <v>2048</v>
      </c>
      <c r="AL220" t="s">
        <v>76</v>
      </c>
      <c r="AM220">
        <v>0.60429999999999995</v>
      </c>
      <c r="AN220" t="s">
        <v>168</v>
      </c>
    </row>
    <row r="221" spans="9:40" x14ac:dyDescent="0.45">
      <c r="I221" t="s">
        <v>99</v>
      </c>
      <c r="J221" t="s">
        <v>93</v>
      </c>
      <c r="K221">
        <v>0</v>
      </c>
      <c r="L221" t="s">
        <v>84</v>
      </c>
      <c r="N221" t="s">
        <v>115</v>
      </c>
      <c r="O221" t="s">
        <v>93</v>
      </c>
      <c r="P221">
        <v>4.9189725579923703E-2</v>
      </c>
      <c r="Q221" t="s">
        <v>84</v>
      </c>
      <c r="S221" t="s">
        <v>130</v>
      </c>
      <c r="T221" t="s">
        <v>93</v>
      </c>
      <c r="U221">
        <v>4.8518339688895316E-2</v>
      </c>
      <c r="V221" t="s">
        <v>84</v>
      </c>
      <c r="AK221">
        <v>2048</v>
      </c>
      <c r="AL221" t="s">
        <v>78</v>
      </c>
      <c r="AM221">
        <v>0.49690000000000001</v>
      </c>
      <c r="AN221" t="s">
        <v>168</v>
      </c>
    </row>
    <row r="222" spans="9:40" x14ac:dyDescent="0.45">
      <c r="I222" t="s">
        <v>99</v>
      </c>
      <c r="J222" t="s">
        <v>94</v>
      </c>
      <c r="K222">
        <v>3.5319656661890325E-2</v>
      </c>
      <c r="L222" t="s">
        <v>84</v>
      </c>
      <c r="N222" t="s">
        <v>115</v>
      </c>
      <c r="O222" t="s">
        <v>94</v>
      </c>
      <c r="P222">
        <v>2.4035164558186644E-2</v>
      </c>
      <c r="Q222" t="s">
        <v>84</v>
      </c>
      <c r="S222" t="s">
        <v>130</v>
      </c>
      <c r="T222" t="s">
        <v>94</v>
      </c>
      <c r="U222">
        <v>2.3542230447725177E-2</v>
      </c>
      <c r="V222" t="s">
        <v>84</v>
      </c>
      <c r="AK222">
        <v>2048</v>
      </c>
      <c r="AL222" t="s">
        <v>80</v>
      </c>
      <c r="AM222">
        <v>0.50805</v>
      </c>
      <c r="AN222" t="s">
        <v>168</v>
      </c>
    </row>
    <row r="223" spans="9:40" x14ac:dyDescent="0.45">
      <c r="I223" t="s">
        <v>99</v>
      </c>
      <c r="J223" t="s">
        <v>95</v>
      </c>
      <c r="K223">
        <v>6.2449707266185921E-2</v>
      </c>
      <c r="L223" t="s">
        <v>84</v>
      </c>
      <c r="N223" t="s">
        <v>115</v>
      </c>
      <c r="O223" t="s">
        <v>95</v>
      </c>
      <c r="P223">
        <v>4.1264262411589862E-2</v>
      </c>
      <c r="Q223" t="s">
        <v>84</v>
      </c>
      <c r="S223" t="s">
        <v>130</v>
      </c>
      <c r="T223" t="s">
        <v>95</v>
      </c>
      <c r="U223">
        <v>4.0311023658764669E-2</v>
      </c>
      <c r="V223" t="s">
        <v>84</v>
      </c>
      <c r="AK223">
        <v>2048</v>
      </c>
      <c r="AL223" t="s">
        <v>171</v>
      </c>
      <c r="AM223">
        <v>0.54779999999999995</v>
      </c>
      <c r="AN223" t="s">
        <v>168</v>
      </c>
    </row>
    <row r="224" spans="9:40" x14ac:dyDescent="0.45">
      <c r="I224" t="s">
        <v>99</v>
      </c>
      <c r="J224" t="s">
        <v>186</v>
      </c>
      <c r="K224">
        <v>2.702868808296116E-3</v>
      </c>
      <c r="L224" t="s">
        <v>84</v>
      </c>
      <c r="N224" t="s">
        <v>115</v>
      </c>
      <c r="O224" t="s">
        <v>186</v>
      </c>
      <c r="P224">
        <v>6.491460652569744E-3</v>
      </c>
      <c r="Q224" t="s">
        <v>84</v>
      </c>
      <c r="S224" t="s">
        <v>130</v>
      </c>
      <c r="T224" t="s">
        <v>186</v>
      </c>
      <c r="U224">
        <v>6.7096023905300521E-3</v>
      </c>
      <c r="V224" t="s">
        <v>84</v>
      </c>
      <c r="AK224">
        <v>2048</v>
      </c>
      <c r="AL224" t="s">
        <v>173</v>
      </c>
      <c r="AM224">
        <v>0.60516666666666674</v>
      </c>
      <c r="AN224" t="s">
        <v>168</v>
      </c>
    </row>
    <row r="225" spans="9:40" x14ac:dyDescent="0.45">
      <c r="I225" t="s">
        <v>99</v>
      </c>
      <c r="J225" t="s">
        <v>187</v>
      </c>
      <c r="K225">
        <v>0</v>
      </c>
      <c r="L225" t="s">
        <v>84</v>
      </c>
      <c r="N225" t="s">
        <v>115</v>
      </c>
      <c r="O225" t="s">
        <v>187</v>
      </c>
      <c r="P225">
        <v>6.4394897012586055E-3</v>
      </c>
      <c r="Q225" t="s">
        <v>84</v>
      </c>
      <c r="S225" t="s">
        <v>130</v>
      </c>
      <c r="T225" t="s">
        <v>187</v>
      </c>
      <c r="U225">
        <v>6.6338084926887498E-3</v>
      </c>
      <c r="V225" t="s">
        <v>84</v>
      </c>
      <c r="AK225">
        <v>2048</v>
      </c>
      <c r="AL225" t="s">
        <v>175</v>
      </c>
      <c r="AM225">
        <v>0.5736</v>
      </c>
      <c r="AN225" t="s">
        <v>168</v>
      </c>
    </row>
    <row r="226" spans="9:40" x14ac:dyDescent="0.45">
      <c r="I226" t="s">
        <v>99</v>
      </c>
      <c r="J226" t="s">
        <v>188</v>
      </c>
      <c r="K226">
        <v>0</v>
      </c>
      <c r="L226" t="s">
        <v>84</v>
      </c>
      <c r="N226" t="s">
        <v>115</v>
      </c>
      <c r="O226" t="s">
        <v>188</v>
      </c>
      <c r="P226">
        <v>3.3796549580115687E-2</v>
      </c>
      <c r="Q226" t="s">
        <v>84</v>
      </c>
      <c r="S226" t="s">
        <v>130</v>
      </c>
      <c r="T226" t="s">
        <v>188</v>
      </c>
      <c r="U226">
        <v>3.4151972367308707E-2</v>
      </c>
      <c r="V226" t="s">
        <v>84</v>
      </c>
      <c r="AK226">
        <v>2048</v>
      </c>
      <c r="AL226" t="s">
        <v>176</v>
      </c>
      <c r="AM226">
        <v>0.60170000000000001</v>
      </c>
      <c r="AN226" t="s">
        <v>168</v>
      </c>
    </row>
    <row r="227" spans="9:40" x14ac:dyDescent="0.45">
      <c r="I227" t="s">
        <v>99</v>
      </c>
      <c r="J227" t="s">
        <v>189</v>
      </c>
      <c r="K227">
        <v>0</v>
      </c>
      <c r="L227" t="s">
        <v>84</v>
      </c>
      <c r="N227" t="s">
        <v>115</v>
      </c>
      <c r="O227" t="s">
        <v>189</v>
      </c>
      <c r="P227">
        <v>2.3802141761981459E-2</v>
      </c>
      <c r="Q227" t="s">
        <v>84</v>
      </c>
      <c r="S227" t="s">
        <v>130</v>
      </c>
      <c r="T227" t="s">
        <v>189</v>
      </c>
      <c r="U227">
        <v>2.5862402418812269E-2</v>
      </c>
      <c r="V227" t="s">
        <v>84</v>
      </c>
      <c r="AK227">
        <v>2049</v>
      </c>
      <c r="AL227" t="s">
        <v>72</v>
      </c>
      <c r="AM227">
        <v>0.49769999999999998</v>
      </c>
      <c r="AN227" t="s">
        <v>168</v>
      </c>
    </row>
    <row r="228" spans="9:40" x14ac:dyDescent="0.45">
      <c r="I228" t="s">
        <v>99</v>
      </c>
      <c r="J228" t="s">
        <v>190</v>
      </c>
      <c r="K228">
        <v>9.0408175380450352E-3</v>
      </c>
      <c r="L228" t="s">
        <v>84</v>
      </c>
      <c r="N228" t="s">
        <v>115</v>
      </c>
      <c r="O228" t="s">
        <v>190</v>
      </c>
      <c r="P228">
        <v>1.3454242422584188E-2</v>
      </c>
      <c r="Q228" t="s">
        <v>84</v>
      </c>
      <c r="S228" t="s">
        <v>130</v>
      </c>
      <c r="T228" t="s">
        <v>190</v>
      </c>
      <c r="U228">
        <v>1.4733755066782093E-2</v>
      </c>
      <c r="V228" t="s">
        <v>84</v>
      </c>
      <c r="AK228">
        <v>2049</v>
      </c>
      <c r="AL228" t="s">
        <v>76</v>
      </c>
      <c r="AM228">
        <v>0.49020000000000002</v>
      </c>
      <c r="AN228" t="s">
        <v>168</v>
      </c>
    </row>
    <row r="229" spans="9:40" x14ac:dyDescent="0.45">
      <c r="I229" t="s">
        <v>99</v>
      </c>
      <c r="J229" t="s">
        <v>191</v>
      </c>
      <c r="K229">
        <v>1.9962560936667682E-2</v>
      </c>
      <c r="L229" t="s">
        <v>84</v>
      </c>
      <c r="N229" t="s">
        <v>115</v>
      </c>
      <c r="O229" t="s">
        <v>191</v>
      </c>
      <c r="P229">
        <v>2.4095894006332441E-2</v>
      </c>
      <c r="Q229" t="s">
        <v>84</v>
      </c>
      <c r="S229" t="s">
        <v>130</v>
      </c>
      <c r="T229" t="s">
        <v>191</v>
      </c>
      <c r="U229">
        <v>2.5770892594080521E-2</v>
      </c>
      <c r="V229" t="s">
        <v>84</v>
      </c>
      <c r="AK229">
        <v>2049</v>
      </c>
      <c r="AL229" t="s">
        <v>78</v>
      </c>
      <c r="AM229">
        <v>0.46439999999999998</v>
      </c>
      <c r="AN229" t="s">
        <v>168</v>
      </c>
    </row>
    <row r="230" spans="9:40" x14ac:dyDescent="0.45">
      <c r="I230" t="s">
        <v>99</v>
      </c>
      <c r="J230" t="s">
        <v>192</v>
      </c>
      <c r="K230">
        <v>0</v>
      </c>
      <c r="L230" t="s">
        <v>84</v>
      </c>
      <c r="N230" t="s">
        <v>115</v>
      </c>
      <c r="O230" t="s">
        <v>192</v>
      </c>
      <c r="P230">
        <v>3.9387100143004321E-3</v>
      </c>
      <c r="Q230" t="s">
        <v>84</v>
      </c>
      <c r="S230" t="s">
        <v>130</v>
      </c>
      <c r="T230" t="s">
        <v>192</v>
      </c>
      <c r="U230">
        <v>4.3991013969563193E-3</v>
      </c>
      <c r="V230" t="s">
        <v>84</v>
      </c>
      <c r="AK230">
        <v>2049</v>
      </c>
      <c r="AL230" t="s">
        <v>80</v>
      </c>
      <c r="AM230">
        <v>0.4551</v>
      </c>
      <c r="AN230" t="s">
        <v>168</v>
      </c>
    </row>
    <row r="231" spans="9:40" x14ac:dyDescent="0.45">
      <c r="I231" t="s">
        <v>99</v>
      </c>
      <c r="J231" t="s">
        <v>193</v>
      </c>
      <c r="K231">
        <v>0</v>
      </c>
      <c r="L231" t="s">
        <v>84</v>
      </c>
      <c r="N231" t="s">
        <v>115</v>
      </c>
      <c r="O231" t="s">
        <v>193</v>
      </c>
      <c r="P231">
        <v>3.9067694662590028E-3</v>
      </c>
      <c r="Q231" t="s">
        <v>84</v>
      </c>
      <c r="S231" t="s">
        <v>130</v>
      </c>
      <c r="T231" t="s">
        <v>193</v>
      </c>
      <c r="U231">
        <v>4.4758321771525044E-3</v>
      </c>
      <c r="V231" t="s">
        <v>84</v>
      </c>
      <c r="AK231">
        <v>2049</v>
      </c>
      <c r="AL231" t="s">
        <v>171</v>
      </c>
      <c r="AM231">
        <v>0.53439999999999999</v>
      </c>
      <c r="AN231" t="s">
        <v>168</v>
      </c>
    </row>
    <row r="232" spans="9:40" x14ac:dyDescent="0.45">
      <c r="I232" t="s">
        <v>99</v>
      </c>
      <c r="J232" t="s">
        <v>194</v>
      </c>
      <c r="K232">
        <v>0</v>
      </c>
      <c r="L232" t="s">
        <v>84</v>
      </c>
      <c r="N232" t="s">
        <v>115</v>
      </c>
      <c r="O232" t="s">
        <v>194</v>
      </c>
      <c r="P232">
        <v>1.8625754195966453E-2</v>
      </c>
      <c r="Q232" t="s">
        <v>84</v>
      </c>
      <c r="S232" t="s">
        <v>130</v>
      </c>
      <c r="T232" t="s">
        <v>194</v>
      </c>
      <c r="U232">
        <v>2.124316109046679E-2</v>
      </c>
      <c r="V232" t="s">
        <v>84</v>
      </c>
      <c r="AK232">
        <v>2049</v>
      </c>
      <c r="AL232" t="s">
        <v>173</v>
      </c>
      <c r="AM232">
        <v>0.52436666666666676</v>
      </c>
      <c r="AN232" t="s">
        <v>168</v>
      </c>
    </row>
    <row r="233" spans="9:40" x14ac:dyDescent="0.45">
      <c r="I233" t="s">
        <v>99</v>
      </c>
      <c r="J233" t="s">
        <v>195</v>
      </c>
      <c r="K233">
        <v>1.2546812474976644E-3</v>
      </c>
      <c r="L233" t="s">
        <v>84</v>
      </c>
      <c r="N233" t="s">
        <v>115</v>
      </c>
      <c r="O233" t="s">
        <v>195</v>
      </c>
      <c r="P233">
        <v>8.7252406940059465E-2</v>
      </c>
      <c r="Q233" t="s">
        <v>84</v>
      </c>
      <c r="S233" t="s">
        <v>130</v>
      </c>
      <c r="T233" t="s">
        <v>195</v>
      </c>
      <c r="U233">
        <v>8.8963716403020296E-2</v>
      </c>
      <c r="V233" t="s">
        <v>84</v>
      </c>
      <c r="AK233">
        <v>2049</v>
      </c>
      <c r="AL233" t="s">
        <v>175</v>
      </c>
      <c r="AM233">
        <v>0.47099999999999997</v>
      </c>
      <c r="AN233" t="s">
        <v>168</v>
      </c>
    </row>
    <row r="234" spans="9:40" x14ac:dyDescent="0.45">
      <c r="I234" t="s">
        <v>99</v>
      </c>
      <c r="J234" t="s">
        <v>196</v>
      </c>
      <c r="K234">
        <v>4.9307007248273221E-2</v>
      </c>
      <c r="L234" t="s">
        <v>84</v>
      </c>
      <c r="N234" t="s">
        <v>115</v>
      </c>
      <c r="O234" t="s">
        <v>196</v>
      </c>
      <c r="P234">
        <v>4.7699357538494067E-2</v>
      </c>
      <c r="Q234" t="s">
        <v>84</v>
      </c>
      <c r="S234" t="s">
        <v>130</v>
      </c>
      <c r="T234" t="s">
        <v>196</v>
      </c>
      <c r="U234">
        <v>4.5652677554171864E-2</v>
      </c>
      <c r="V234" t="s">
        <v>84</v>
      </c>
      <c r="AK234">
        <v>2049</v>
      </c>
      <c r="AL234" t="s">
        <v>176</v>
      </c>
      <c r="AM234">
        <v>0.50319999999999998</v>
      </c>
      <c r="AN234" t="s">
        <v>168</v>
      </c>
    </row>
    <row r="235" spans="9:40" x14ac:dyDescent="0.45">
      <c r="I235" t="s">
        <v>99</v>
      </c>
      <c r="J235" t="s">
        <v>197</v>
      </c>
      <c r="K235">
        <v>9.490847389575674E-2</v>
      </c>
      <c r="L235" t="s">
        <v>84</v>
      </c>
      <c r="N235" t="s">
        <v>115</v>
      </c>
      <c r="O235" t="s">
        <v>197</v>
      </c>
      <c r="P235">
        <v>8.0344333061427672E-2</v>
      </c>
      <c r="Q235" t="s">
        <v>84</v>
      </c>
      <c r="S235" t="s">
        <v>130</v>
      </c>
      <c r="T235" t="s">
        <v>197</v>
      </c>
      <c r="U235">
        <v>7.5917217056808997E-2</v>
      </c>
      <c r="V235" t="s">
        <v>84</v>
      </c>
      <c r="AK235">
        <v>2050</v>
      </c>
      <c r="AL235" t="s">
        <v>72</v>
      </c>
      <c r="AM235">
        <v>0.48499999999999999</v>
      </c>
      <c r="AN235" t="s">
        <v>168</v>
      </c>
    </row>
    <row r="236" spans="9:40" x14ac:dyDescent="0.45">
      <c r="I236" t="s">
        <v>99</v>
      </c>
      <c r="J236" t="s">
        <v>198</v>
      </c>
      <c r="K236">
        <v>6.05103189536763E-3</v>
      </c>
      <c r="L236" t="s">
        <v>84</v>
      </c>
      <c r="N236" t="s">
        <v>115</v>
      </c>
      <c r="O236" t="s">
        <v>198</v>
      </c>
      <c r="P236">
        <v>1.2315182555443529E-2</v>
      </c>
      <c r="Q236" t="s">
        <v>84</v>
      </c>
      <c r="S236" t="s">
        <v>130</v>
      </c>
      <c r="T236" t="s">
        <v>198</v>
      </c>
      <c r="U236">
        <v>1.2133363248081178E-2</v>
      </c>
      <c r="V236" t="s">
        <v>84</v>
      </c>
      <c r="AK236">
        <v>2050</v>
      </c>
      <c r="AL236" t="s">
        <v>76</v>
      </c>
      <c r="AM236">
        <v>0.44850000000000001</v>
      </c>
      <c r="AN236" t="s">
        <v>168</v>
      </c>
    </row>
    <row r="237" spans="9:40" x14ac:dyDescent="0.45">
      <c r="I237" t="s">
        <v>99</v>
      </c>
      <c r="J237" t="s">
        <v>199</v>
      </c>
      <c r="K237">
        <v>0</v>
      </c>
      <c r="L237" t="s">
        <v>84</v>
      </c>
      <c r="N237" t="s">
        <v>115</v>
      </c>
      <c r="O237" t="s">
        <v>199</v>
      </c>
      <c r="P237">
        <v>1.2114323871480707E-2</v>
      </c>
      <c r="Q237" t="s">
        <v>84</v>
      </c>
      <c r="S237" t="s">
        <v>130</v>
      </c>
      <c r="T237" t="s">
        <v>199</v>
      </c>
      <c r="U237">
        <v>1.2161784432952495E-2</v>
      </c>
      <c r="V237" t="s">
        <v>84</v>
      </c>
      <c r="AK237">
        <v>2050</v>
      </c>
      <c r="AL237" t="s">
        <v>78</v>
      </c>
      <c r="AM237">
        <v>0.4259</v>
      </c>
      <c r="AN237" t="s">
        <v>168</v>
      </c>
    </row>
    <row r="238" spans="9:40" x14ac:dyDescent="0.45">
      <c r="I238" t="s">
        <v>99</v>
      </c>
      <c r="J238" t="s">
        <v>200</v>
      </c>
      <c r="K238">
        <v>0</v>
      </c>
      <c r="L238" t="s">
        <v>84</v>
      </c>
      <c r="N238" t="s">
        <v>115</v>
      </c>
      <c r="O238" t="s">
        <v>200</v>
      </c>
      <c r="P238">
        <v>6.0060442038396243E-2</v>
      </c>
      <c r="Q238" t="s">
        <v>84</v>
      </c>
      <c r="S238" t="s">
        <v>130</v>
      </c>
      <c r="T238" t="s">
        <v>200</v>
      </c>
      <c r="U238">
        <v>6.2703198806356067E-2</v>
      </c>
      <c r="V238" t="s">
        <v>84</v>
      </c>
      <c r="AK238">
        <v>2050</v>
      </c>
      <c r="AL238" t="s">
        <v>80</v>
      </c>
      <c r="AM238">
        <v>0.46199999999999997</v>
      </c>
      <c r="AN238" t="s">
        <v>168</v>
      </c>
    </row>
    <row r="239" spans="9:40" x14ac:dyDescent="0.45">
      <c r="I239" t="s">
        <v>99</v>
      </c>
      <c r="J239" t="s">
        <v>201</v>
      </c>
      <c r="K239">
        <v>5.5175389951111868E-3</v>
      </c>
      <c r="L239" t="s">
        <v>84</v>
      </c>
      <c r="N239" t="s">
        <v>115</v>
      </c>
      <c r="O239" t="s">
        <v>201</v>
      </c>
      <c r="P239">
        <v>3.0571391694049415E-2</v>
      </c>
      <c r="Q239" t="s">
        <v>84</v>
      </c>
      <c r="S239" t="s">
        <v>130</v>
      </c>
      <c r="T239" t="s">
        <v>201</v>
      </c>
      <c r="U239">
        <v>3.1921690598580771E-2</v>
      </c>
      <c r="V239" t="s">
        <v>84</v>
      </c>
      <c r="AK239">
        <v>2050</v>
      </c>
      <c r="AL239" t="s">
        <v>171</v>
      </c>
      <c r="AM239">
        <v>0.49049999999999999</v>
      </c>
      <c r="AN239" t="s">
        <v>168</v>
      </c>
    </row>
    <row r="240" spans="9:40" x14ac:dyDescent="0.45">
      <c r="I240" t="s">
        <v>99</v>
      </c>
      <c r="J240" t="s">
        <v>202</v>
      </c>
      <c r="K240">
        <v>3.135615021538582E-2</v>
      </c>
      <c r="L240" t="s">
        <v>84</v>
      </c>
      <c r="N240" t="s">
        <v>115</v>
      </c>
      <c r="O240" t="s">
        <v>202</v>
      </c>
      <c r="P240">
        <v>1.7393155181707649E-2</v>
      </c>
      <c r="Q240" t="s">
        <v>84</v>
      </c>
      <c r="S240" t="s">
        <v>130</v>
      </c>
      <c r="T240" t="s">
        <v>202</v>
      </c>
      <c r="U240">
        <v>1.7539265989237812E-2</v>
      </c>
      <c r="V240" t="s">
        <v>84</v>
      </c>
      <c r="AK240">
        <v>2050</v>
      </c>
      <c r="AL240" t="s">
        <v>173</v>
      </c>
      <c r="AM240">
        <v>0.51446666666666674</v>
      </c>
      <c r="AN240" t="s">
        <v>168</v>
      </c>
    </row>
    <row r="241" spans="9:40" x14ac:dyDescent="0.45">
      <c r="I241" t="s">
        <v>99</v>
      </c>
      <c r="J241" t="s">
        <v>203</v>
      </c>
      <c r="K241">
        <v>5.361507652256451E-2</v>
      </c>
      <c r="L241" t="s">
        <v>84</v>
      </c>
      <c r="N241" t="s">
        <v>115</v>
      </c>
      <c r="O241" t="s">
        <v>203</v>
      </c>
      <c r="P241">
        <v>3.0752923087790544E-2</v>
      </c>
      <c r="Q241" t="s">
        <v>84</v>
      </c>
      <c r="S241" t="s">
        <v>130</v>
      </c>
      <c r="T241" t="s">
        <v>203</v>
      </c>
      <c r="U241">
        <v>2.6683429416918338E-2</v>
      </c>
      <c r="V241" t="s">
        <v>84</v>
      </c>
      <c r="AK241">
        <v>2050</v>
      </c>
      <c r="AL241" t="s">
        <v>175</v>
      </c>
      <c r="AM241">
        <v>0.49030000000000001</v>
      </c>
      <c r="AN241" t="s">
        <v>168</v>
      </c>
    </row>
    <row r="242" spans="9:40" x14ac:dyDescent="0.45">
      <c r="I242" t="s">
        <v>99</v>
      </c>
      <c r="J242" t="s">
        <v>204</v>
      </c>
      <c r="K242">
        <v>6.1000126623460211E-3</v>
      </c>
      <c r="L242" t="s">
        <v>84</v>
      </c>
      <c r="N242" t="s">
        <v>115</v>
      </c>
      <c r="O242" t="s">
        <v>204</v>
      </c>
      <c r="P242">
        <v>5.0352749601516988E-3</v>
      </c>
      <c r="Q242" t="s">
        <v>84</v>
      </c>
      <c r="S242" t="s">
        <v>130</v>
      </c>
      <c r="T242" t="s">
        <v>204</v>
      </c>
      <c r="U242">
        <v>4.4916220037344492E-3</v>
      </c>
      <c r="V242" t="s">
        <v>84</v>
      </c>
      <c r="AK242">
        <v>2050</v>
      </c>
      <c r="AL242" t="s">
        <v>176</v>
      </c>
      <c r="AM242">
        <v>0.49924999999999997</v>
      </c>
      <c r="AN242" t="s">
        <v>168</v>
      </c>
    </row>
    <row r="243" spans="9:40" x14ac:dyDescent="0.45">
      <c r="I243" t="s">
        <v>99</v>
      </c>
      <c r="J243" t="s">
        <v>205</v>
      </c>
      <c r="K243">
        <v>1.7899603446025743E-3</v>
      </c>
      <c r="L243" t="s">
        <v>84</v>
      </c>
      <c r="N243" t="s">
        <v>115</v>
      </c>
      <c r="O243" t="s">
        <v>205</v>
      </c>
      <c r="P243">
        <v>4.8922864564847814E-3</v>
      </c>
      <c r="Q243" t="s">
        <v>84</v>
      </c>
      <c r="S243" t="s">
        <v>130</v>
      </c>
      <c r="T243" t="s">
        <v>205</v>
      </c>
      <c r="U243">
        <v>4.5450225321030735E-3</v>
      </c>
      <c r="V243" t="s">
        <v>84</v>
      </c>
    </row>
    <row r="244" spans="9:40" x14ac:dyDescent="0.45">
      <c r="I244" t="s">
        <v>99</v>
      </c>
      <c r="J244" t="s">
        <v>206</v>
      </c>
      <c r="K244">
        <v>0</v>
      </c>
      <c r="L244" t="s">
        <v>84</v>
      </c>
      <c r="N244" t="s">
        <v>115</v>
      </c>
      <c r="O244" t="s">
        <v>206</v>
      </c>
      <c r="P244">
        <v>2.3129983130521461E-2</v>
      </c>
      <c r="Q244" t="s">
        <v>84</v>
      </c>
      <c r="S244" t="s">
        <v>130</v>
      </c>
      <c r="T244" t="s">
        <v>206</v>
      </c>
      <c r="U244">
        <v>2.2763854156702752E-2</v>
      </c>
      <c r="V244" t="s">
        <v>84</v>
      </c>
    </row>
    <row r="245" spans="9:40" x14ac:dyDescent="0.45">
      <c r="I245" t="s">
        <v>99</v>
      </c>
      <c r="J245" t="s">
        <v>207</v>
      </c>
      <c r="K245">
        <v>2.0181483623169745E-2</v>
      </c>
      <c r="L245" t="s">
        <v>84</v>
      </c>
      <c r="N245" t="s">
        <v>115</v>
      </c>
      <c r="O245" t="s">
        <v>207</v>
      </c>
      <c r="P245">
        <v>3.7353684265707301E-2</v>
      </c>
      <c r="Q245" t="s">
        <v>84</v>
      </c>
      <c r="S245" t="s">
        <v>130</v>
      </c>
      <c r="T245" t="s">
        <v>207</v>
      </c>
      <c r="U245">
        <v>3.6351630269662552E-2</v>
      </c>
      <c r="V245" t="s">
        <v>84</v>
      </c>
    </row>
    <row r="246" spans="9:40" x14ac:dyDescent="0.45">
      <c r="I246" t="s">
        <v>99</v>
      </c>
      <c r="J246" t="s">
        <v>208</v>
      </c>
      <c r="K246">
        <v>8.1305000160776852E-2</v>
      </c>
      <c r="L246" t="s">
        <v>84</v>
      </c>
      <c r="N246" t="s">
        <v>115</v>
      </c>
      <c r="O246" t="s">
        <v>208</v>
      </c>
      <c r="P246">
        <v>2.0906945005780119E-2</v>
      </c>
      <c r="Q246" t="s">
        <v>84</v>
      </c>
      <c r="S246" t="s">
        <v>130</v>
      </c>
      <c r="T246" t="s">
        <v>208</v>
      </c>
      <c r="U246">
        <v>1.9642150113168604E-2</v>
      </c>
      <c r="V246" t="s">
        <v>84</v>
      </c>
    </row>
    <row r="247" spans="9:40" x14ac:dyDescent="0.45">
      <c r="I247" t="s">
        <v>99</v>
      </c>
      <c r="J247" t="s">
        <v>209</v>
      </c>
      <c r="K247">
        <v>0.12173109027414987</v>
      </c>
      <c r="L247" t="s">
        <v>84</v>
      </c>
      <c r="N247" t="s">
        <v>115</v>
      </c>
      <c r="O247" t="s">
        <v>209</v>
      </c>
      <c r="P247">
        <v>3.7742480797463701E-2</v>
      </c>
      <c r="Q247" t="s">
        <v>84</v>
      </c>
      <c r="S247" t="s">
        <v>130</v>
      </c>
      <c r="T247" t="s">
        <v>209</v>
      </c>
      <c r="U247">
        <v>3.5870189377399025E-2</v>
      </c>
      <c r="V247" t="s">
        <v>84</v>
      </c>
    </row>
    <row r="248" spans="9:40" x14ac:dyDescent="0.45">
      <c r="I248" t="s">
        <v>99</v>
      </c>
      <c r="J248" t="s">
        <v>210</v>
      </c>
      <c r="K248">
        <v>1.4726550693058728E-2</v>
      </c>
      <c r="L248" t="s">
        <v>84</v>
      </c>
      <c r="N248" t="s">
        <v>115</v>
      </c>
      <c r="O248" t="s">
        <v>210</v>
      </c>
      <c r="P248">
        <v>6.6641666611696147E-3</v>
      </c>
      <c r="Q248" t="s">
        <v>84</v>
      </c>
      <c r="S248" t="s">
        <v>130</v>
      </c>
      <c r="T248" t="s">
        <v>210</v>
      </c>
      <c r="U248">
        <v>6.9827336863397919E-3</v>
      </c>
      <c r="V248" t="s">
        <v>84</v>
      </c>
    </row>
    <row r="249" spans="9:40" x14ac:dyDescent="0.45">
      <c r="I249" t="s">
        <v>99</v>
      </c>
      <c r="J249" t="s">
        <v>211</v>
      </c>
      <c r="K249">
        <v>9.9236236333029217E-3</v>
      </c>
      <c r="L249" t="s">
        <v>84</v>
      </c>
      <c r="N249" t="s">
        <v>115</v>
      </c>
      <c r="O249" t="s">
        <v>211</v>
      </c>
      <c r="P249">
        <v>6.2477625118025409E-3</v>
      </c>
      <c r="Q249" t="s">
        <v>84</v>
      </c>
      <c r="S249" t="s">
        <v>130</v>
      </c>
      <c r="T249" t="s">
        <v>211</v>
      </c>
      <c r="U249">
        <v>6.6335175137877981E-3</v>
      </c>
      <c r="V249" t="s">
        <v>84</v>
      </c>
    </row>
    <row r="250" spans="9:40" x14ac:dyDescent="0.45">
      <c r="I250" t="s">
        <v>99</v>
      </c>
      <c r="J250" t="s">
        <v>212</v>
      </c>
      <c r="K250">
        <v>1.577498886878863E-3</v>
      </c>
      <c r="L250" t="s">
        <v>84</v>
      </c>
      <c r="N250" t="s">
        <v>115</v>
      </c>
      <c r="O250" t="s">
        <v>212</v>
      </c>
      <c r="P250">
        <v>2.8661846053025002E-2</v>
      </c>
      <c r="Q250" t="s">
        <v>84</v>
      </c>
      <c r="S250" t="s">
        <v>130</v>
      </c>
      <c r="T250" t="s">
        <v>212</v>
      </c>
      <c r="U250">
        <v>2.952720298999149E-2</v>
      </c>
      <c r="V250" t="s">
        <v>84</v>
      </c>
    </row>
    <row r="251" spans="9:40" x14ac:dyDescent="0.45">
      <c r="I251" t="s">
        <v>100</v>
      </c>
      <c r="J251" t="s">
        <v>83</v>
      </c>
      <c r="K251">
        <v>1.0211278190469646E-2</v>
      </c>
      <c r="L251" t="s">
        <v>84</v>
      </c>
      <c r="N251" t="s">
        <v>116</v>
      </c>
      <c r="O251" t="s">
        <v>83</v>
      </c>
      <c r="P251">
        <v>1.9741769052151765E-2</v>
      </c>
      <c r="Q251" t="s">
        <v>84</v>
      </c>
      <c r="S251" t="s">
        <v>131</v>
      </c>
      <c r="T251" t="s">
        <v>83</v>
      </c>
      <c r="U251">
        <v>2.0715861096833967E-2</v>
      </c>
      <c r="V251" t="s">
        <v>84</v>
      </c>
    </row>
    <row r="252" spans="9:40" x14ac:dyDescent="0.45">
      <c r="I252" t="s">
        <v>100</v>
      </c>
      <c r="J252" t="s">
        <v>85</v>
      </c>
      <c r="K252">
        <v>4.4155683513636003E-2</v>
      </c>
      <c r="L252" t="s">
        <v>84</v>
      </c>
      <c r="N252" t="s">
        <v>116</v>
      </c>
      <c r="O252" t="s">
        <v>85</v>
      </c>
      <c r="P252">
        <v>1.5228565049321692E-2</v>
      </c>
      <c r="Q252" t="s">
        <v>84</v>
      </c>
      <c r="S252" t="s">
        <v>131</v>
      </c>
      <c r="T252" t="s">
        <v>85</v>
      </c>
      <c r="U252">
        <v>1.0772884083674071E-2</v>
      </c>
      <c r="V252" t="s">
        <v>84</v>
      </c>
    </row>
    <row r="253" spans="9:40" x14ac:dyDescent="0.45">
      <c r="I253" t="s">
        <v>100</v>
      </c>
      <c r="J253" t="s">
        <v>86</v>
      </c>
      <c r="K253">
        <v>7.4869383510304158E-2</v>
      </c>
      <c r="L253" t="s">
        <v>84</v>
      </c>
      <c r="N253" t="s">
        <v>116</v>
      </c>
      <c r="O253" t="s">
        <v>86</v>
      </c>
      <c r="P253">
        <v>4.3902302719009655E-2</v>
      </c>
      <c r="Q253" t="s">
        <v>84</v>
      </c>
      <c r="S253" t="s">
        <v>131</v>
      </c>
      <c r="T253" t="s">
        <v>86</v>
      </c>
      <c r="U253">
        <v>1.7616027228734503E-2</v>
      </c>
      <c r="V253" t="s">
        <v>84</v>
      </c>
    </row>
    <row r="254" spans="9:40" x14ac:dyDescent="0.45">
      <c r="I254" t="s">
        <v>100</v>
      </c>
      <c r="J254" t="s">
        <v>177</v>
      </c>
      <c r="K254">
        <v>1.0141383277617344E-2</v>
      </c>
      <c r="L254" t="s">
        <v>84</v>
      </c>
      <c r="N254" t="s">
        <v>116</v>
      </c>
      <c r="O254" t="s">
        <v>177</v>
      </c>
      <c r="P254">
        <v>6.2597532319200238E-3</v>
      </c>
      <c r="Q254" t="s">
        <v>84</v>
      </c>
      <c r="S254" t="s">
        <v>131</v>
      </c>
      <c r="T254" t="s">
        <v>177</v>
      </c>
      <c r="U254">
        <v>3.5420357895074401E-3</v>
      </c>
      <c r="V254" t="s">
        <v>84</v>
      </c>
    </row>
    <row r="255" spans="9:40" x14ac:dyDescent="0.45">
      <c r="I255" t="s">
        <v>100</v>
      </c>
      <c r="J255" t="s">
        <v>178</v>
      </c>
      <c r="K255">
        <v>7.7762843675890734E-3</v>
      </c>
      <c r="L255" t="s">
        <v>84</v>
      </c>
      <c r="N255" t="s">
        <v>116</v>
      </c>
      <c r="O255" t="s">
        <v>178</v>
      </c>
      <c r="P255">
        <v>5.4836596558104876E-3</v>
      </c>
      <c r="Q255" t="s">
        <v>84</v>
      </c>
      <c r="S255" t="s">
        <v>131</v>
      </c>
      <c r="T255" t="s">
        <v>178</v>
      </c>
      <c r="U255">
        <v>3.6897266349954793E-3</v>
      </c>
      <c r="V255" t="s">
        <v>84</v>
      </c>
    </row>
    <row r="256" spans="9:40" x14ac:dyDescent="0.45">
      <c r="I256" t="s">
        <v>100</v>
      </c>
      <c r="J256" t="s">
        <v>179</v>
      </c>
      <c r="K256">
        <v>4.1283611276079924E-3</v>
      </c>
      <c r="L256" t="s">
        <v>84</v>
      </c>
      <c r="N256" t="s">
        <v>116</v>
      </c>
      <c r="O256" t="s">
        <v>179</v>
      </c>
      <c r="P256">
        <v>2.0371960429152635E-2</v>
      </c>
      <c r="Q256" t="s">
        <v>84</v>
      </c>
      <c r="S256" t="s">
        <v>131</v>
      </c>
      <c r="T256" t="s">
        <v>179</v>
      </c>
      <c r="U256">
        <v>1.899206222897919E-2</v>
      </c>
      <c r="V256" t="s">
        <v>84</v>
      </c>
    </row>
    <row r="257" spans="9:22" x14ac:dyDescent="0.45">
      <c r="I257" t="s">
        <v>100</v>
      </c>
      <c r="J257" t="s">
        <v>87</v>
      </c>
      <c r="K257">
        <v>5.2980520208854784E-3</v>
      </c>
      <c r="L257" t="s">
        <v>84</v>
      </c>
      <c r="N257" t="s">
        <v>116</v>
      </c>
      <c r="O257" t="s">
        <v>87</v>
      </c>
      <c r="P257">
        <v>6.6762059204228839E-3</v>
      </c>
      <c r="Q257" t="s">
        <v>84</v>
      </c>
      <c r="S257" t="s">
        <v>131</v>
      </c>
      <c r="T257" t="s">
        <v>87</v>
      </c>
      <c r="U257">
        <v>1.7180748679325026E-2</v>
      </c>
      <c r="V257" t="s">
        <v>84</v>
      </c>
    </row>
    <row r="258" spans="9:22" x14ac:dyDescent="0.45">
      <c r="I258" t="s">
        <v>100</v>
      </c>
      <c r="J258" t="s">
        <v>88</v>
      </c>
      <c r="K258">
        <v>3.7322135540583556E-2</v>
      </c>
      <c r="L258" t="s">
        <v>84</v>
      </c>
      <c r="N258" t="s">
        <v>116</v>
      </c>
      <c r="O258" t="s">
        <v>88</v>
      </c>
      <c r="P258">
        <v>5.8290615606294534E-3</v>
      </c>
      <c r="Q258" t="s">
        <v>84</v>
      </c>
      <c r="S258" t="s">
        <v>131</v>
      </c>
      <c r="T258" t="s">
        <v>88</v>
      </c>
      <c r="U258">
        <v>9.3412003904414995E-3</v>
      </c>
      <c r="V258" t="s">
        <v>84</v>
      </c>
    </row>
    <row r="259" spans="9:22" x14ac:dyDescent="0.45">
      <c r="I259" t="s">
        <v>100</v>
      </c>
      <c r="J259" t="s">
        <v>89</v>
      </c>
      <c r="K259">
        <v>6.4213454066030698E-2</v>
      </c>
      <c r="L259" t="s">
        <v>84</v>
      </c>
      <c r="N259" t="s">
        <v>116</v>
      </c>
      <c r="O259" t="s">
        <v>89</v>
      </c>
      <c r="P259">
        <v>1.4993770650169862E-2</v>
      </c>
      <c r="Q259" t="s">
        <v>84</v>
      </c>
      <c r="S259" t="s">
        <v>131</v>
      </c>
      <c r="T259" t="s">
        <v>89</v>
      </c>
      <c r="U259">
        <v>1.583361506294553E-2</v>
      </c>
      <c r="V259" t="s">
        <v>84</v>
      </c>
    </row>
    <row r="260" spans="9:22" x14ac:dyDescent="0.45">
      <c r="I260" t="s">
        <v>100</v>
      </c>
      <c r="J260" t="s">
        <v>180</v>
      </c>
      <c r="K260">
        <v>9.4677502968843214E-3</v>
      </c>
      <c r="L260" t="s">
        <v>84</v>
      </c>
      <c r="N260" t="s">
        <v>116</v>
      </c>
      <c r="O260" t="s">
        <v>180</v>
      </c>
      <c r="P260">
        <v>2.3217751114050578E-3</v>
      </c>
      <c r="Q260" t="s">
        <v>84</v>
      </c>
      <c r="S260" t="s">
        <v>131</v>
      </c>
      <c r="T260" t="s">
        <v>180</v>
      </c>
      <c r="U260">
        <v>3.2224295241393402E-3</v>
      </c>
      <c r="V260" t="s">
        <v>84</v>
      </c>
    </row>
    <row r="261" spans="9:22" x14ac:dyDescent="0.45">
      <c r="I261" t="s">
        <v>100</v>
      </c>
      <c r="J261" t="s">
        <v>181</v>
      </c>
      <c r="K261">
        <v>6.7116157450215434E-3</v>
      </c>
      <c r="L261" t="s">
        <v>84</v>
      </c>
      <c r="N261" t="s">
        <v>116</v>
      </c>
      <c r="O261" t="s">
        <v>181</v>
      </c>
      <c r="P261">
        <v>1.9348997697770278E-3</v>
      </c>
      <c r="Q261" t="s">
        <v>84</v>
      </c>
      <c r="S261" t="s">
        <v>131</v>
      </c>
      <c r="T261" t="s">
        <v>181</v>
      </c>
      <c r="U261">
        <v>3.2729684367624494E-3</v>
      </c>
      <c r="V261" t="s">
        <v>84</v>
      </c>
    </row>
    <row r="262" spans="9:22" x14ac:dyDescent="0.45">
      <c r="I262" t="s">
        <v>100</v>
      </c>
      <c r="J262" t="s">
        <v>182</v>
      </c>
      <c r="K262">
        <v>7.2629902051767604E-5</v>
      </c>
      <c r="L262" t="s">
        <v>84</v>
      </c>
      <c r="N262" t="s">
        <v>116</v>
      </c>
      <c r="O262" t="s">
        <v>182</v>
      </c>
      <c r="P262">
        <v>6.2594397658283559E-3</v>
      </c>
      <c r="Q262" t="s">
        <v>84</v>
      </c>
      <c r="S262" t="s">
        <v>131</v>
      </c>
      <c r="T262" t="s">
        <v>182</v>
      </c>
      <c r="U262">
        <v>1.4669656815972123E-2</v>
      </c>
      <c r="V262" t="s">
        <v>84</v>
      </c>
    </row>
    <row r="263" spans="9:22" x14ac:dyDescent="0.45">
      <c r="I263" t="s">
        <v>100</v>
      </c>
      <c r="J263" t="s">
        <v>90</v>
      </c>
      <c r="K263">
        <v>3.0487842387893153E-3</v>
      </c>
      <c r="L263" t="s">
        <v>84</v>
      </c>
      <c r="N263" t="s">
        <v>116</v>
      </c>
      <c r="O263" t="s">
        <v>90</v>
      </c>
      <c r="P263">
        <v>1.1111166710040041E-2</v>
      </c>
      <c r="Q263" t="s">
        <v>84</v>
      </c>
      <c r="S263" t="s">
        <v>131</v>
      </c>
      <c r="T263" t="s">
        <v>90</v>
      </c>
      <c r="U263">
        <v>1.5097457144227843E-2</v>
      </c>
      <c r="V263" t="s">
        <v>84</v>
      </c>
    </row>
    <row r="264" spans="9:22" x14ac:dyDescent="0.45">
      <c r="I264" t="s">
        <v>100</v>
      </c>
      <c r="J264" t="s">
        <v>91</v>
      </c>
      <c r="K264">
        <v>3.3519197439220966E-2</v>
      </c>
      <c r="L264" t="s">
        <v>84</v>
      </c>
      <c r="N264" t="s">
        <v>116</v>
      </c>
      <c r="O264" t="s">
        <v>91</v>
      </c>
      <c r="P264">
        <v>6.211505011855167E-3</v>
      </c>
      <c r="Q264" t="s">
        <v>84</v>
      </c>
      <c r="S264" t="s">
        <v>131</v>
      </c>
      <c r="T264" t="s">
        <v>91</v>
      </c>
      <c r="U264">
        <v>8.5667466939698591E-3</v>
      </c>
      <c r="V264" t="s">
        <v>84</v>
      </c>
    </row>
    <row r="265" spans="9:22" x14ac:dyDescent="0.45">
      <c r="I265" t="s">
        <v>100</v>
      </c>
      <c r="J265" t="s">
        <v>92</v>
      </c>
      <c r="K265">
        <v>5.6563032763629242E-2</v>
      </c>
      <c r="L265" t="s">
        <v>84</v>
      </c>
      <c r="N265" t="s">
        <v>116</v>
      </c>
      <c r="O265" t="s">
        <v>92</v>
      </c>
      <c r="P265">
        <v>1.6720221411525384E-2</v>
      </c>
      <c r="Q265" t="s">
        <v>84</v>
      </c>
      <c r="S265" t="s">
        <v>131</v>
      </c>
      <c r="T265" t="s">
        <v>92</v>
      </c>
      <c r="U265">
        <v>1.5400714563188674E-2</v>
      </c>
      <c r="V265" t="s">
        <v>84</v>
      </c>
    </row>
    <row r="266" spans="9:22" x14ac:dyDescent="0.45">
      <c r="I266" t="s">
        <v>100</v>
      </c>
      <c r="J266" t="s">
        <v>183</v>
      </c>
      <c r="K266">
        <v>6.9538362125866216E-3</v>
      </c>
      <c r="L266" t="s">
        <v>84</v>
      </c>
      <c r="N266" t="s">
        <v>116</v>
      </c>
      <c r="O266" t="s">
        <v>183</v>
      </c>
      <c r="P266">
        <v>2.2653375875328449E-3</v>
      </c>
      <c r="Q266" t="s">
        <v>84</v>
      </c>
      <c r="S266" t="s">
        <v>131</v>
      </c>
      <c r="T266" t="s">
        <v>183</v>
      </c>
      <c r="U266">
        <v>3.2540632317494332E-3</v>
      </c>
      <c r="V266" t="s">
        <v>84</v>
      </c>
    </row>
    <row r="267" spans="9:22" x14ac:dyDescent="0.45">
      <c r="I267" t="s">
        <v>100</v>
      </c>
      <c r="J267" t="s">
        <v>184</v>
      </c>
      <c r="K267">
        <v>2.8806826473205044E-3</v>
      </c>
      <c r="L267" t="s">
        <v>84</v>
      </c>
      <c r="N267" t="s">
        <v>116</v>
      </c>
      <c r="O267" t="s">
        <v>184</v>
      </c>
      <c r="P267">
        <v>1.8620031613444236E-3</v>
      </c>
      <c r="Q267" t="s">
        <v>84</v>
      </c>
      <c r="S267" t="s">
        <v>131</v>
      </c>
      <c r="T267" t="s">
        <v>184</v>
      </c>
      <c r="U267">
        <v>3.3623040950079897E-3</v>
      </c>
      <c r="V267" t="s">
        <v>84</v>
      </c>
    </row>
    <row r="268" spans="9:22" x14ac:dyDescent="0.45">
      <c r="I268" t="s">
        <v>100</v>
      </c>
      <c r="J268" t="s">
        <v>185</v>
      </c>
      <c r="K268">
        <v>0</v>
      </c>
      <c r="L268" t="s">
        <v>84</v>
      </c>
      <c r="N268" t="s">
        <v>116</v>
      </c>
      <c r="O268" t="s">
        <v>185</v>
      </c>
      <c r="P268">
        <v>7.1086165333800874E-3</v>
      </c>
      <c r="Q268" t="s">
        <v>84</v>
      </c>
      <c r="S268" t="s">
        <v>131</v>
      </c>
      <c r="T268" t="s">
        <v>185</v>
      </c>
      <c r="U268">
        <v>1.4759231539622657E-2</v>
      </c>
      <c r="V268" t="s">
        <v>84</v>
      </c>
    </row>
    <row r="269" spans="9:22" x14ac:dyDescent="0.45">
      <c r="I269" t="s">
        <v>100</v>
      </c>
      <c r="J269" t="s">
        <v>93</v>
      </c>
      <c r="K269">
        <v>0</v>
      </c>
      <c r="L269" t="s">
        <v>84</v>
      </c>
      <c r="N269" t="s">
        <v>116</v>
      </c>
      <c r="O269" t="s">
        <v>93</v>
      </c>
      <c r="P269">
        <v>4.3919511029525654E-2</v>
      </c>
      <c r="Q269" t="s">
        <v>84</v>
      </c>
      <c r="S269" t="s">
        <v>131</v>
      </c>
      <c r="T269" t="s">
        <v>93</v>
      </c>
      <c r="U269">
        <v>5.1379174945182793E-2</v>
      </c>
      <c r="V269" t="s">
        <v>84</v>
      </c>
    </row>
    <row r="270" spans="9:22" x14ac:dyDescent="0.45">
      <c r="I270" t="s">
        <v>100</v>
      </c>
      <c r="J270" t="s">
        <v>94</v>
      </c>
      <c r="K270">
        <v>3.4653975429448099E-2</v>
      </c>
      <c r="L270" t="s">
        <v>84</v>
      </c>
      <c r="N270" t="s">
        <v>116</v>
      </c>
      <c r="O270" t="s">
        <v>94</v>
      </c>
      <c r="P270">
        <v>2.0920008581771805E-2</v>
      </c>
      <c r="Q270" t="s">
        <v>84</v>
      </c>
      <c r="S270" t="s">
        <v>131</v>
      </c>
      <c r="T270" t="s">
        <v>94</v>
      </c>
      <c r="U270">
        <v>2.7365521741011617E-2</v>
      </c>
      <c r="V270" t="s">
        <v>84</v>
      </c>
    </row>
    <row r="271" spans="9:22" x14ac:dyDescent="0.45">
      <c r="I271" t="s">
        <v>100</v>
      </c>
      <c r="J271" t="s">
        <v>95</v>
      </c>
      <c r="K271">
        <v>6.0415898813314134E-2</v>
      </c>
      <c r="L271" t="s">
        <v>84</v>
      </c>
      <c r="N271" t="s">
        <v>116</v>
      </c>
      <c r="O271" t="s">
        <v>95</v>
      </c>
      <c r="P271">
        <v>4.8952972307437614E-2</v>
      </c>
      <c r="Q271" t="s">
        <v>84</v>
      </c>
      <c r="S271" t="s">
        <v>131</v>
      </c>
      <c r="T271" t="s">
        <v>95</v>
      </c>
      <c r="U271">
        <v>4.3217700220201827E-2</v>
      </c>
      <c r="V271" t="s">
        <v>84</v>
      </c>
    </row>
    <row r="272" spans="9:22" x14ac:dyDescent="0.45">
      <c r="I272" t="s">
        <v>100</v>
      </c>
      <c r="J272" t="s">
        <v>186</v>
      </c>
      <c r="K272">
        <v>2.4927121982627398E-3</v>
      </c>
      <c r="L272" t="s">
        <v>84</v>
      </c>
      <c r="N272" t="s">
        <v>116</v>
      </c>
      <c r="O272" t="s">
        <v>186</v>
      </c>
      <c r="P272">
        <v>7.5413793605986924E-3</v>
      </c>
      <c r="Q272" t="s">
        <v>84</v>
      </c>
      <c r="S272" t="s">
        <v>131</v>
      </c>
      <c r="T272" t="s">
        <v>186</v>
      </c>
      <c r="U272">
        <v>7.373274025704017E-3</v>
      </c>
      <c r="V272" t="s">
        <v>84</v>
      </c>
    </row>
    <row r="273" spans="9:22" x14ac:dyDescent="0.45">
      <c r="I273" t="s">
        <v>100</v>
      </c>
      <c r="J273" t="s">
        <v>187</v>
      </c>
      <c r="K273">
        <v>0</v>
      </c>
      <c r="L273" t="s">
        <v>84</v>
      </c>
      <c r="N273" t="s">
        <v>116</v>
      </c>
      <c r="O273" t="s">
        <v>187</v>
      </c>
      <c r="P273">
        <v>6.9535253165741266E-3</v>
      </c>
      <c r="Q273" t="s">
        <v>84</v>
      </c>
      <c r="S273" t="s">
        <v>131</v>
      </c>
      <c r="T273" t="s">
        <v>187</v>
      </c>
      <c r="U273">
        <v>7.4292784552217987E-3</v>
      </c>
      <c r="V273" t="s">
        <v>84</v>
      </c>
    </row>
    <row r="274" spans="9:22" x14ac:dyDescent="0.45">
      <c r="I274" t="s">
        <v>100</v>
      </c>
      <c r="J274" t="s">
        <v>188</v>
      </c>
      <c r="K274">
        <v>0</v>
      </c>
      <c r="L274" t="s">
        <v>84</v>
      </c>
      <c r="N274" t="s">
        <v>116</v>
      </c>
      <c r="O274" t="s">
        <v>188</v>
      </c>
      <c r="P274">
        <v>3.1210330802746659E-2</v>
      </c>
      <c r="Q274" t="s">
        <v>84</v>
      </c>
      <c r="S274" t="s">
        <v>131</v>
      </c>
      <c r="T274" t="s">
        <v>188</v>
      </c>
      <c r="U274">
        <v>3.8281238991089733E-2</v>
      </c>
      <c r="V274" t="s">
        <v>84</v>
      </c>
    </row>
    <row r="275" spans="9:22" x14ac:dyDescent="0.45">
      <c r="I275" t="s">
        <v>100</v>
      </c>
      <c r="J275" t="s">
        <v>189</v>
      </c>
      <c r="K275">
        <v>0</v>
      </c>
      <c r="L275" t="s">
        <v>84</v>
      </c>
      <c r="N275" t="s">
        <v>116</v>
      </c>
      <c r="O275" t="s">
        <v>189</v>
      </c>
      <c r="P275">
        <v>2.2554776102801065E-2</v>
      </c>
      <c r="Q275" t="s">
        <v>84</v>
      </c>
      <c r="S275" t="s">
        <v>131</v>
      </c>
      <c r="T275" t="s">
        <v>189</v>
      </c>
      <c r="U275">
        <v>2.8636925012728777E-2</v>
      </c>
      <c r="V275" t="s">
        <v>84</v>
      </c>
    </row>
    <row r="276" spans="9:22" x14ac:dyDescent="0.45">
      <c r="I276" t="s">
        <v>100</v>
      </c>
      <c r="J276" t="s">
        <v>190</v>
      </c>
      <c r="K276">
        <v>7.6005955892487747E-3</v>
      </c>
      <c r="L276" t="s">
        <v>84</v>
      </c>
      <c r="N276" t="s">
        <v>116</v>
      </c>
      <c r="O276" t="s">
        <v>190</v>
      </c>
      <c r="P276">
        <v>1.3951349259243446E-2</v>
      </c>
      <c r="Q276" t="s">
        <v>84</v>
      </c>
      <c r="S276" t="s">
        <v>131</v>
      </c>
      <c r="T276" t="s">
        <v>190</v>
      </c>
      <c r="U276">
        <v>1.6318610484094893E-2</v>
      </c>
      <c r="V276" t="s">
        <v>84</v>
      </c>
    </row>
    <row r="277" spans="9:22" x14ac:dyDescent="0.45">
      <c r="I277" t="s">
        <v>100</v>
      </c>
      <c r="J277" t="s">
        <v>191</v>
      </c>
      <c r="K277">
        <v>1.7958311822763487E-2</v>
      </c>
      <c r="L277" t="s">
        <v>84</v>
      </c>
      <c r="N277" t="s">
        <v>116</v>
      </c>
      <c r="O277" t="s">
        <v>191</v>
      </c>
      <c r="P277">
        <v>1.7950900716346887E-2</v>
      </c>
      <c r="Q277" t="s">
        <v>84</v>
      </c>
      <c r="S277" t="s">
        <v>131</v>
      </c>
      <c r="T277" t="s">
        <v>191</v>
      </c>
      <c r="U277">
        <v>2.4573040868900504E-2</v>
      </c>
      <c r="V277" t="s">
        <v>84</v>
      </c>
    </row>
    <row r="278" spans="9:22" x14ac:dyDescent="0.45">
      <c r="I278" t="s">
        <v>100</v>
      </c>
      <c r="J278" t="s">
        <v>192</v>
      </c>
      <c r="K278">
        <v>0</v>
      </c>
      <c r="L278" t="s">
        <v>84</v>
      </c>
      <c r="N278" t="s">
        <v>116</v>
      </c>
      <c r="O278" t="s">
        <v>192</v>
      </c>
      <c r="P278">
        <v>2.6523039913211649E-3</v>
      </c>
      <c r="Q278" t="s">
        <v>84</v>
      </c>
      <c r="S278" t="s">
        <v>131</v>
      </c>
      <c r="T278" t="s">
        <v>192</v>
      </c>
      <c r="U278">
        <v>4.2245064746677238E-3</v>
      </c>
      <c r="V278" t="s">
        <v>84</v>
      </c>
    </row>
    <row r="279" spans="9:22" x14ac:dyDescent="0.45">
      <c r="I279" t="s">
        <v>100</v>
      </c>
      <c r="J279" t="s">
        <v>193</v>
      </c>
      <c r="K279">
        <v>0</v>
      </c>
      <c r="L279" t="s">
        <v>84</v>
      </c>
      <c r="N279" t="s">
        <v>116</v>
      </c>
      <c r="O279" t="s">
        <v>193</v>
      </c>
      <c r="P279">
        <v>2.5669252905251359E-3</v>
      </c>
      <c r="Q279" t="s">
        <v>84</v>
      </c>
      <c r="S279" t="s">
        <v>131</v>
      </c>
      <c r="T279" t="s">
        <v>193</v>
      </c>
      <c r="U279">
        <v>4.1973844689553418E-3</v>
      </c>
      <c r="V279" t="s">
        <v>84</v>
      </c>
    </row>
    <row r="280" spans="9:22" x14ac:dyDescent="0.45">
      <c r="I280" t="s">
        <v>100</v>
      </c>
      <c r="J280" t="s">
        <v>194</v>
      </c>
      <c r="K280">
        <v>0</v>
      </c>
      <c r="L280" t="s">
        <v>84</v>
      </c>
      <c r="N280" t="s">
        <v>116</v>
      </c>
      <c r="O280" t="s">
        <v>194</v>
      </c>
      <c r="P280">
        <v>1.3656300954214929E-2</v>
      </c>
      <c r="Q280" t="s">
        <v>84</v>
      </c>
      <c r="S280" t="s">
        <v>131</v>
      </c>
      <c r="T280" t="s">
        <v>194</v>
      </c>
      <c r="U280">
        <v>2.0753529888391731E-2</v>
      </c>
      <c r="V280" t="s">
        <v>84</v>
      </c>
    </row>
    <row r="281" spans="9:22" x14ac:dyDescent="0.45">
      <c r="I281" t="s">
        <v>100</v>
      </c>
      <c r="J281" t="s">
        <v>195</v>
      </c>
      <c r="K281">
        <v>1.280861029964913E-3</v>
      </c>
      <c r="L281" t="s">
        <v>84</v>
      </c>
      <c r="N281" t="s">
        <v>116</v>
      </c>
      <c r="O281" t="s">
        <v>195</v>
      </c>
      <c r="P281">
        <v>7.5316907272894029E-2</v>
      </c>
      <c r="Q281" t="s">
        <v>84</v>
      </c>
      <c r="S281" t="s">
        <v>131</v>
      </c>
      <c r="T281" t="s">
        <v>195</v>
      </c>
      <c r="U281">
        <v>8.4253619238344957E-2</v>
      </c>
      <c r="V281" t="s">
        <v>84</v>
      </c>
    </row>
    <row r="282" spans="9:22" x14ac:dyDescent="0.45">
      <c r="I282" t="s">
        <v>100</v>
      </c>
      <c r="J282" t="s">
        <v>196</v>
      </c>
      <c r="K282">
        <v>5.0368057406216554E-2</v>
      </c>
      <c r="L282" t="s">
        <v>84</v>
      </c>
      <c r="N282" t="s">
        <v>116</v>
      </c>
      <c r="O282" t="s">
        <v>196</v>
      </c>
      <c r="P282">
        <v>3.8401987470134645E-2</v>
      </c>
      <c r="Q282" t="s">
        <v>84</v>
      </c>
      <c r="S282" t="s">
        <v>131</v>
      </c>
      <c r="T282" t="s">
        <v>196</v>
      </c>
      <c r="U282">
        <v>4.835082181540979E-2</v>
      </c>
      <c r="V282" t="s">
        <v>84</v>
      </c>
    </row>
    <row r="283" spans="9:22" x14ac:dyDescent="0.45">
      <c r="I283" t="s">
        <v>100</v>
      </c>
      <c r="J283" t="s">
        <v>197</v>
      </c>
      <c r="K283">
        <v>9.6429723884530263E-2</v>
      </c>
      <c r="L283" t="s">
        <v>84</v>
      </c>
      <c r="N283" t="s">
        <v>116</v>
      </c>
      <c r="O283" t="s">
        <v>197</v>
      </c>
      <c r="P283">
        <v>8.1322665515273507E-2</v>
      </c>
      <c r="Q283" t="s">
        <v>84</v>
      </c>
      <c r="S283" t="s">
        <v>131</v>
      </c>
      <c r="T283" t="s">
        <v>197</v>
      </c>
      <c r="U283">
        <v>6.9235055672531853E-2</v>
      </c>
      <c r="V283" t="s">
        <v>84</v>
      </c>
    </row>
    <row r="284" spans="9:22" x14ac:dyDescent="0.45">
      <c r="I284" t="s">
        <v>100</v>
      </c>
      <c r="J284" t="s">
        <v>198</v>
      </c>
      <c r="K284">
        <v>6.3788753602831436E-3</v>
      </c>
      <c r="L284" t="s">
        <v>84</v>
      </c>
      <c r="N284" t="s">
        <v>116</v>
      </c>
      <c r="O284" t="s">
        <v>198</v>
      </c>
      <c r="P284">
        <v>1.2037745057790263E-2</v>
      </c>
      <c r="Q284" t="s">
        <v>84</v>
      </c>
      <c r="S284" t="s">
        <v>131</v>
      </c>
      <c r="T284" t="s">
        <v>198</v>
      </c>
      <c r="U284">
        <v>1.0897152550447752E-2</v>
      </c>
      <c r="V284" t="s">
        <v>84</v>
      </c>
    </row>
    <row r="285" spans="9:22" x14ac:dyDescent="0.45">
      <c r="I285" t="s">
        <v>100</v>
      </c>
      <c r="J285" t="s">
        <v>199</v>
      </c>
      <c r="K285">
        <v>0</v>
      </c>
      <c r="L285" t="s">
        <v>84</v>
      </c>
      <c r="N285" t="s">
        <v>116</v>
      </c>
      <c r="O285" t="s">
        <v>199</v>
      </c>
      <c r="P285">
        <v>1.15044604818098E-2</v>
      </c>
      <c r="Q285" t="s">
        <v>84</v>
      </c>
      <c r="S285" t="s">
        <v>131</v>
      </c>
      <c r="T285" t="s">
        <v>199</v>
      </c>
      <c r="U285">
        <v>1.0948332604135294E-2</v>
      </c>
      <c r="V285" t="s">
        <v>84</v>
      </c>
    </row>
    <row r="286" spans="9:22" x14ac:dyDescent="0.45">
      <c r="I286" t="s">
        <v>100</v>
      </c>
      <c r="J286" t="s">
        <v>200</v>
      </c>
      <c r="K286">
        <v>0</v>
      </c>
      <c r="L286" t="s">
        <v>84</v>
      </c>
      <c r="N286" t="s">
        <v>116</v>
      </c>
      <c r="O286" t="s">
        <v>200</v>
      </c>
      <c r="P286">
        <v>5.8881189210960728E-2</v>
      </c>
      <c r="Q286" t="s">
        <v>84</v>
      </c>
      <c r="S286" t="s">
        <v>131</v>
      </c>
      <c r="T286" t="s">
        <v>200</v>
      </c>
      <c r="U286">
        <v>5.7896424948563542E-2</v>
      </c>
      <c r="V286" t="s">
        <v>84</v>
      </c>
    </row>
    <row r="287" spans="9:22" x14ac:dyDescent="0.45">
      <c r="I287" t="s">
        <v>100</v>
      </c>
      <c r="J287" t="s">
        <v>201</v>
      </c>
      <c r="K287">
        <v>5.3878455654019792E-3</v>
      </c>
      <c r="L287" t="s">
        <v>84</v>
      </c>
      <c r="N287" t="s">
        <v>116</v>
      </c>
      <c r="O287" t="s">
        <v>201</v>
      </c>
      <c r="P287">
        <v>4.0877210116652324E-2</v>
      </c>
      <c r="Q287" t="s">
        <v>84</v>
      </c>
      <c r="S287" t="s">
        <v>131</v>
      </c>
      <c r="T287" t="s">
        <v>201</v>
      </c>
      <c r="U287">
        <v>2.8220833266294296E-2</v>
      </c>
      <c r="V287" t="s">
        <v>84</v>
      </c>
    </row>
    <row r="288" spans="9:22" x14ac:dyDescent="0.45">
      <c r="I288" t="s">
        <v>100</v>
      </c>
      <c r="J288" t="s">
        <v>202</v>
      </c>
      <c r="K288">
        <v>3.0957510673183589E-2</v>
      </c>
      <c r="L288" t="s">
        <v>84</v>
      </c>
      <c r="N288" t="s">
        <v>116</v>
      </c>
      <c r="O288" t="s">
        <v>202</v>
      </c>
      <c r="P288">
        <v>2.4728326447725529E-2</v>
      </c>
      <c r="Q288" t="s">
        <v>84</v>
      </c>
      <c r="S288" t="s">
        <v>131</v>
      </c>
      <c r="T288" t="s">
        <v>202</v>
      </c>
      <c r="U288">
        <v>1.4672608821571717E-2</v>
      </c>
      <c r="V288" t="s">
        <v>84</v>
      </c>
    </row>
    <row r="289" spans="9:22" x14ac:dyDescent="0.45">
      <c r="I289" t="s">
        <v>100</v>
      </c>
      <c r="J289" t="s">
        <v>203</v>
      </c>
      <c r="K289">
        <v>5.3288328373863866E-2</v>
      </c>
      <c r="L289" t="s">
        <v>84</v>
      </c>
      <c r="N289" t="s">
        <v>116</v>
      </c>
      <c r="O289" t="s">
        <v>203</v>
      </c>
      <c r="P289">
        <v>6.2195559130510197E-2</v>
      </c>
      <c r="Q289" t="s">
        <v>84</v>
      </c>
      <c r="S289" t="s">
        <v>131</v>
      </c>
      <c r="T289" t="s">
        <v>203</v>
      </c>
      <c r="U289">
        <v>1.891938863931748E-2</v>
      </c>
      <c r="V289" t="s">
        <v>84</v>
      </c>
    </row>
    <row r="290" spans="9:22" x14ac:dyDescent="0.45">
      <c r="I290" t="s">
        <v>100</v>
      </c>
      <c r="J290" t="s">
        <v>204</v>
      </c>
      <c r="K290">
        <v>5.9211218804853223E-3</v>
      </c>
      <c r="L290" t="s">
        <v>84</v>
      </c>
      <c r="N290" t="s">
        <v>116</v>
      </c>
      <c r="O290" t="s">
        <v>204</v>
      </c>
      <c r="P290">
        <v>8.2395655768635195E-3</v>
      </c>
      <c r="Q290" t="s">
        <v>84</v>
      </c>
      <c r="S290" t="s">
        <v>131</v>
      </c>
      <c r="T290" t="s">
        <v>204</v>
      </c>
      <c r="U290">
        <v>3.4088892900252851E-3</v>
      </c>
      <c r="V290" t="s">
        <v>84</v>
      </c>
    </row>
    <row r="291" spans="9:22" x14ac:dyDescent="0.45">
      <c r="I291" t="s">
        <v>100</v>
      </c>
      <c r="J291" t="s">
        <v>205</v>
      </c>
      <c r="K291">
        <v>2.2550563160178031E-3</v>
      </c>
      <c r="L291" t="s">
        <v>84</v>
      </c>
      <c r="N291" t="s">
        <v>116</v>
      </c>
      <c r="O291" t="s">
        <v>205</v>
      </c>
      <c r="P291">
        <v>7.9481688385463854E-3</v>
      </c>
      <c r="Q291" t="s">
        <v>84</v>
      </c>
      <c r="S291" t="s">
        <v>131</v>
      </c>
      <c r="T291" t="s">
        <v>205</v>
      </c>
      <c r="U291">
        <v>3.5943896684184199E-3</v>
      </c>
      <c r="V291" t="s">
        <v>84</v>
      </c>
    </row>
    <row r="292" spans="9:22" x14ac:dyDescent="0.45">
      <c r="I292" t="s">
        <v>100</v>
      </c>
      <c r="J292" t="s">
        <v>206</v>
      </c>
      <c r="K292">
        <v>0</v>
      </c>
      <c r="L292" t="s">
        <v>84</v>
      </c>
      <c r="N292" t="s">
        <v>116</v>
      </c>
      <c r="O292" t="s">
        <v>206</v>
      </c>
      <c r="P292">
        <v>2.9774917227771786E-2</v>
      </c>
      <c r="Q292" t="s">
        <v>84</v>
      </c>
      <c r="S292" t="s">
        <v>131</v>
      </c>
      <c r="T292" t="s">
        <v>206</v>
      </c>
      <c r="U292">
        <v>1.9423640005496869E-2</v>
      </c>
      <c r="V292" t="s">
        <v>84</v>
      </c>
    </row>
    <row r="293" spans="9:22" x14ac:dyDescent="0.45">
      <c r="I293" t="s">
        <v>100</v>
      </c>
      <c r="J293" t="s">
        <v>207</v>
      </c>
      <c r="K293">
        <v>2.0472599915346838E-2</v>
      </c>
      <c r="L293" t="s">
        <v>84</v>
      </c>
      <c r="N293" t="s">
        <v>116</v>
      </c>
      <c r="O293" t="s">
        <v>207</v>
      </c>
      <c r="P293">
        <v>2.381744400324097E-2</v>
      </c>
      <c r="Q293" t="s">
        <v>84</v>
      </c>
      <c r="S293" t="s">
        <v>131</v>
      </c>
      <c r="T293" t="s">
        <v>207</v>
      </c>
      <c r="U293">
        <v>4.7169294909694494E-2</v>
      </c>
      <c r="V293" t="s">
        <v>84</v>
      </c>
    </row>
    <row r="294" spans="9:22" x14ac:dyDescent="0.45">
      <c r="I294" t="s">
        <v>100</v>
      </c>
      <c r="J294" t="s">
        <v>208</v>
      </c>
      <c r="K294">
        <v>7.8609837749471154E-2</v>
      </c>
      <c r="L294" t="s">
        <v>84</v>
      </c>
      <c r="N294" t="s">
        <v>116</v>
      </c>
      <c r="O294" t="s">
        <v>208</v>
      </c>
      <c r="P294">
        <v>1.7817785318580154E-2</v>
      </c>
      <c r="Q294" t="s">
        <v>84</v>
      </c>
      <c r="S294" t="s">
        <v>131</v>
      </c>
      <c r="T294" t="s">
        <v>208</v>
      </c>
      <c r="U294">
        <v>2.4965645234472339E-2</v>
      </c>
      <c r="V294" t="s">
        <v>84</v>
      </c>
    </row>
    <row r="295" spans="9:22" x14ac:dyDescent="0.45">
      <c r="I295" t="s">
        <v>100</v>
      </c>
      <c r="J295" t="s">
        <v>209</v>
      </c>
      <c r="K295">
        <v>0.12164330072815437</v>
      </c>
      <c r="L295" t="s">
        <v>84</v>
      </c>
      <c r="N295" t="s">
        <v>116</v>
      </c>
      <c r="O295" t="s">
        <v>209</v>
      </c>
      <c r="P295">
        <v>4.5111113904222191E-2</v>
      </c>
      <c r="Q295" t="s">
        <v>84</v>
      </c>
      <c r="S295" t="s">
        <v>131</v>
      </c>
      <c r="T295" t="s">
        <v>209</v>
      </c>
      <c r="U295">
        <v>3.6258604229691183E-2</v>
      </c>
      <c r="V295" t="s">
        <v>84</v>
      </c>
    </row>
    <row r="296" spans="9:22" x14ac:dyDescent="0.45">
      <c r="I296" t="s">
        <v>100</v>
      </c>
      <c r="J296" t="s">
        <v>210</v>
      </c>
      <c r="K296">
        <v>1.4303480356462646E-2</v>
      </c>
      <c r="L296" t="s">
        <v>84</v>
      </c>
      <c r="N296" t="s">
        <v>116</v>
      </c>
      <c r="O296" t="s">
        <v>210</v>
      </c>
      <c r="P296">
        <v>6.4882406635227144E-3</v>
      </c>
      <c r="Q296" t="s">
        <v>84</v>
      </c>
      <c r="S296" t="s">
        <v>131</v>
      </c>
      <c r="T296" t="s">
        <v>210</v>
      </c>
      <c r="U296">
        <v>6.8411037273796663E-3</v>
      </c>
      <c r="V296" t="s">
        <v>84</v>
      </c>
    </row>
    <row r="297" spans="9:22" x14ac:dyDescent="0.45">
      <c r="I297" t="s">
        <v>100</v>
      </c>
      <c r="J297" t="s">
        <v>211</v>
      </c>
      <c r="K297">
        <v>9.7406622653492016E-3</v>
      </c>
      <c r="L297" t="s">
        <v>84</v>
      </c>
      <c r="N297" t="s">
        <v>116</v>
      </c>
      <c r="O297" t="s">
        <v>211</v>
      </c>
      <c r="P297">
        <v>6.0172972353646553E-3</v>
      </c>
      <c r="Q297" t="s">
        <v>84</v>
      </c>
      <c r="S297" t="s">
        <v>131</v>
      </c>
      <c r="T297" t="s">
        <v>211</v>
      </c>
      <c r="U297">
        <v>6.9639150293167723E-3</v>
      </c>
      <c r="V297" t="s">
        <v>84</v>
      </c>
    </row>
    <row r="298" spans="9:22" x14ac:dyDescent="0.45">
      <c r="I298" t="s">
        <v>100</v>
      </c>
      <c r="J298" t="s">
        <v>212</v>
      </c>
      <c r="K298">
        <v>2.5076997820017728E-3</v>
      </c>
      <c r="L298" t="s">
        <v>84</v>
      </c>
      <c r="N298" t="s">
        <v>116</v>
      </c>
      <c r="O298" t="s">
        <v>212</v>
      </c>
      <c r="P298">
        <v>2.2407119483753634E-2</v>
      </c>
      <c r="Q298" t="s">
        <v>84</v>
      </c>
      <c r="S298" t="s">
        <v>131</v>
      </c>
      <c r="T298" t="s">
        <v>212</v>
      </c>
      <c r="U298">
        <v>3.4940361532661841E-2</v>
      </c>
      <c r="V298" t="s">
        <v>84</v>
      </c>
    </row>
    <row r="299" spans="9:22" x14ac:dyDescent="0.45">
      <c r="I299" t="s">
        <v>101</v>
      </c>
      <c r="J299" t="s">
        <v>83</v>
      </c>
      <c r="K299">
        <v>7.9943530471960674E-3</v>
      </c>
      <c r="L299" t="s">
        <v>84</v>
      </c>
      <c r="N299" t="s">
        <v>117</v>
      </c>
      <c r="O299" t="s">
        <v>83</v>
      </c>
      <c r="P299">
        <v>2.1748801051019579E-2</v>
      </c>
      <c r="Q299" t="s">
        <v>84</v>
      </c>
      <c r="S299" t="s">
        <v>132</v>
      </c>
      <c r="T299" t="s">
        <v>83</v>
      </c>
      <c r="U299">
        <v>2.6771106155210053E-2</v>
      </c>
      <c r="V299" t="s">
        <v>84</v>
      </c>
    </row>
    <row r="300" spans="9:22" x14ac:dyDescent="0.45">
      <c r="I300" t="s">
        <v>101</v>
      </c>
      <c r="J300" t="s">
        <v>85</v>
      </c>
      <c r="K300">
        <v>4.3016702687801535E-2</v>
      </c>
      <c r="L300" t="s">
        <v>84</v>
      </c>
      <c r="N300" t="s">
        <v>117</v>
      </c>
      <c r="O300" t="s">
        <v>85</v>
      </c>
      <c r="P300">
        <v>1.4147433565153045E-2</v>
      </c>
      <c r="Q300" t="s">
        <v>84</v>
      </c>
      <c r="S300" t="s">
        <v>132</v>
      </c>
      <c r="T300" t="s">
        <v>85</v>
      </c>
      <c r="U300">
        <v>1.3511131881731047E-2</v>
      </c>
      <c r="V300" t="s">
        <v>84</v>
      </c>
    </row>
    <row r="301" spans="9:22" x14ac:dyDescent="0.45">
      <c r="I301" t="s">
        <v>101</v>
      </c>
      <c r="J301" t="s">
        <v>86</v>
      </c>
      <c r="K301">
        <v>7.5378701720726762E-2</v>
      </c>
      <c r="L301" t="s">
        <v>84</v>
      </c>
      <c r="N301" t="s">
        <v>117</v>
      </c>
      <c r="O301" t="s">
        <v>86</v>
      </c>
      <c r="P301">
        <v>2.9129102472929966E-2</v>
      </c>
      <c r="Q301" t="s">
        <v>84</v>
      </c>
      <c r="S301" t="s">
        <v>132</v>
      </c>
      <c r="T301" t="s">
        <v>86</v>
      </c>
      <c r="U301">
        <v>2.1872322308024848E-2</v>
      </c>
      <c r="V301" t="s">
        <v>84</v>
      </c>
    </row>
    <row r="302" spans="9:22" x14ac:dyDescent="0.45">
      <c r="I302" t="s">
        <v>101</v>
      </c>
      <c r="J302" t="s">
        <v>177</v>
      </c>
      <c r="K302">
        <v>1.0142795998964199E-2</v>
      </c>
      <c r="L302" t="s">
        <v>84</v>
      </c>
      <c r="N302" t="s">
        <v>117</v>
      </c>
      <c r="O302" t="s">
        <v>177</v>
      </c>
      <c r="P302">
        <v>4.228890898407593E-3</v>
      </c>
      <c r="Q302" t="s">
        <v>84</v>
      </c>
      <c r="S302" t="s">
        <v>132</v>
      </c>
      <c r="T302" t="s">
        <v>177</v>
      </c>
      <c r="U302">
        <v>4.5880031787646682E-3</v>
      </c>
      <c r="V302" t="s">
        <v>84</v>
      </c>
    </row>
    <row r="303" spans="9:22" x14ac:dyDescent="0.45">
      <c r="I303" t="s">
        <v>101</v>
      </c>
      <c r="J303" t="s">
        <v>178</v>
      </c>
      <c r="K303">
        <v>8.7521249823289699E-3</v>
      </c>
      <c r="L303" t="s">
        <v>84</v>
      </c>
      <c r="N303" t="s">
        <v>117</v>
      </c>
      <c r="O303" t="s">
        <v>178</v>
      </c>
      <c r="P303">
        <v>3.8453558936236377E-3</v>
      </c>
      <c r="Q303" t="s">
        <v>84</v>
      </c>
      <c r="S303" t="s">
        <v>132</v>
      </c>
      <c r="T303" t="s">
        <v>178</v>
      </c>
      <c r="U303">
        <v>4.7784995401055595E-3</v>
      </c>
      <c r="V303" t="s">
        <v>84</v>
      </c>
    </row>
    <row r="304" spans="9:22" x14ac:dyDescent="0.45">
      <c r="I304" t="s">
        <v>101</v>
      </c>
      <c r="J304" t="s">
        <v>179</v>
      </c>
      <c r="K304">
        <v>5.8050739462003516E-3</v>
      </c>
      <c r="L304" t="s">
        <v>84</v>
      </c>
      <c r="N304" t="s">
        <v>117</v>
      </c>
      <c r="O304" t="s">
        <v>179</v>
      </c>
      <c r="P304">
        <v>1.6633785255125651E-2</v>
      </c>
      <c r="Q304" t="s">
        <v>84</v>
      </c>
      <c r="S304" t="s">
        <v>132</v>
      </c>
      <c r="T304" t="s">
        <v>179</v>
      </c>
      <c r="U304">
        <v>2.2954843986737652E-2</v>
      </c>
      <c r="V304" t="s">
        <v>84</v>
      </c>
    </row>
    <row r="305" spans="9:22" x14ac:dyDescent="0.45">
      <c r="I305" t="s">
        <v>101</v>
      </c>
      <c r="J305" t="s">
        <v>87</v>
      </c>
      <c r="K305">
        <v>4.6279090322790461E-3</v>
      </c>
      <c r="L305" t="s">
        <v>84</v>
      </c>
      <c r="N305" t="s">
        <v>117</v>
      </c>
      <c r="O305" t="s">
        <v>87</v>
      </c>
      <c r="P305">
        <v>1.3026134616738001E-2</v>
      </c>
      <c r="Q305" t="s">
        <v>84</v>
      </c>
      <c r="S305" t="s">
        <v>132</v>
      </c>
      <c r="T305" t="s">
        <v>87</v>
      </c>
      <c r="U305">
        <v>1.4453341954504173E-2</v>
      </c>
      <c r="V305" t="s">
        <v>84</v>
      </c>
    </row>
    <row r="306" spans="9:22" x14ac:dyDescent="0.45">
      <c r="I306" t="s">
        <v>101</v>
      </c>
      <c r="J306" t="s">
        <v>88</v>
      </c>
      <c r="K306">
        <v>3.8020572415616953E-2</v>
      </c>
      <c r="L306" t="s">
        <v>84</v>
      </c>
      <c r="N306" t="s">
        <v>117</v>
      </c>
      <c r="O306" t="s">
        <v>88</v>
      </c>
      <c r="P306">
        <v>8.2530557309266634E-3</v>
      </c>
      <c r="Q306" t="s">
        <v>84</v>
      </c>
      <c r="S306" t="s">
        <v>132</v>
      </c>
      <c r="T306" t="s">
        <v>88</v>
      </c>
      <c r="U306">
        <v>6.8540989214898092E-3</v>
      </c>
      <c r="V306" t="s">
        <v>84</v>
      </c>
    </row>
    <row r="307" spans="9:22" x14ac:dyDescent="0.45">
      <c r="I307" t="s">
        <v>101</v>
      </c>
      <c r="J307" t="s">
        <v>89</v>
      </c>
      <c r="K307">
        <v>6.3987618794694168E-2</v>
      </c>
      <c r="L307" t="s">
        <v>84</v>
      </c>
      <c r="N307" t="s">
        <v>117</v>
      </c>
      <c r="O307" t="s">
        <v>89</v>
      </c>
      <c r="P307">
        <v>1.6249851141001175E-2</v>
      </c>
      <c r="Q307" t="s">
        <v>84</v>
      </c>
      <c r="S307" t="s">
        <v>132</v>
      </c>
      <c r="T307" t="s">
        <v>89</v>
      </c>
      <c r="U307">
        <v>9.0054934561915496E-3</v>
      </c>
      <c r="V307" t="s">
        <v>84</v>
      </c>
    </row>
    <row r="308" spans="9:22" x14ac:dyDescent="0.45">
      <c r="I308" t="s">
        <v>101</v>
      </c>
      <c r="J308" t="s">
        <v>180</v>
      </c>
      <c r="K308">
        <v>9.1220088197462371E-3</v>
      </c>
      <c r="L308" t="s">
        <v>84</v>
      </c>
      <c r="N308" t="s">
        <v>117</v>
      </c>
      <c r="O308" t="s">
        <v>180</v>
      </c>
      <c r="P308">
        <v>2.6204717691620844E-3</v>
      </c>
      <c r="Q308" t="s">
        <v>84</v>
      </c>
      <c r="S308" t="s">
        <v>132</v>
      </c>
      <c r="T308" t="s">
        <v>180</v>
      </c>
      <c r="U308">
        <v>2.0607679165430934E-3</v>
      </c>
      <c r="V308" t="s">
        <v>84</v>
      </c>
    </row>
    <row r="309" spans="9:22" x14ac:dyDescent="0.45">
      <c r="I309" t="s">
        <v>101</v>
      </c>
      <c r="J309" t="s">
        <v>181</v>
      </c>
      <c r="K309">
        <v>7.6816152843127055E-3</v>
      </c>
      <c r="L309" t="s">
        <v>84</v>
      </c>
      <c r="N309" t="s">
        <v>117</v>
      </c>
      <c r="O309" t="s">
        <v>181</v>
      </c>
      <c r="P309">
        <v>2.2968932507751263E-3</v>
      </c>
      <c r="Q309" t="s">
        <v>84</v>
      </c>
      <c r="S309" t="s">
        <v>132</v>
      </c>
      <c r="T309" t="s">
        <v>181</v>
      </c>
      <c r="U309">
        <v>2.2833408739701935E-3</v>
      </c>
      <c r="V309" t="s">
        <v>84</v>
      </c>
    </row>
    <row r="310" spans="9:22" x14ac:dyDescent="0.45">
      <c r="I310" t="s">
        <v>101</v>
      </c>
      <c r="J310" t="s">
        <v>182</v>
      </c>
      <c r="K310">
        <v>4.1431286931757592E-3</v>
      </c>
      <c r="L310" t="s">
        <v>84</v>
      </c>
      <c r="N310" t="s">
        <v>117</v>
      </c>
      <c r="O310" t="s">
        <v>182</v>
      </c>
      <c r="P310">
        <v>9.5189914325364625E-3</v>
      </c>
      <c r="Q310" t="s">
        <v>84</v>
      </c>
      <c r="S310" t="s">
        <v>132</v>
      </c>
      <c r="T310" t="s">
        <v>182</v>
      </c>
      <c r="U310">
        <v>1.3355850839878976E-2</v>
      </c>
      <c r="V310" t="s">
        <v>84</v>
      </c>
    </row>
    <row r="311" spans="9:22" x14ac:dyDescent="0.45">
      <c r="I311" t="s">
        <v>101</v>
      </c>
      <c r="J311" t="s">
        <v>90</v>
      </c>
      <c r="K311">
        <v>2.6306639430922341E-4</v>
      </c>
      <c r="L311" t="s">
        <v>84</v>
      </c>
      <c r="N311" t="s">
        <v>117</v>
      </c>
      <c r="O311" t="s">
        <v>90</v>
      </c>
      <c r="P311">
        <v>1.4838842937922836E-2</v>
      </c>
      <c r="Q311" t="s">
        <v>84</v>
      </c>
      <c r="S311" t="s">
        <v>132</v>
      </c>
      <c r="T311" t="s">
        <v>90</v>
      </c>
      <c r="U311">
        <v>1.5086018099939945E-2</v>
      </c>
      <c r="V311" t="s">
        <v>84</v>
      </c>
    </row>
    <row r="312" spans="9:22" x14ac:dyDescent="0.45">
      <c r="I312" t="s">
        <v>101</v>
      </c>
      <c r="J312" t="s">
        <v>91</v>
      </c>
      <c r="K312">
        <v>2.5973200707368221E-2</v>
      </c>
      <c r="L312" t="s">
        <v>84</v>
      </c>
      <c r="N312" t="s">
        <v>117</v>
      </c>
      <c r="O312" t="s">
        <v>91</v>
      </c>
      <c r="P312">
        <v>8.1740984850994843E-3</v>
      </c>
      <c r="Q312" t="s">
        <v>84</v>
      </c>
      <c r="S312" t="s">
        <v>132</v>
      </c>
      <c r="T312" t="s">
        <v>91</v>
      </c>
      <c r="U312">
        <v>8.3527122726753562E-3</v>
      </c>
      <c r="V312" t="s">
        <v>84</v>
      </c>
    </row>
    <row r="313" spans="9:22" x14ac:dyDescent="0.45">
      <c r="I313" t="s">
        <v>101</v>
      </c>
      <c r="J313" t="s">
        <v>92</v>
      </c>
      <c r="K313">
        <v>5.0589744935721957E-2</v>
      </c>
      <c r="L313" t="s">
        <v>84</v>
      </c>
      <c r="N313" t="s">
        <v>117</v>
      </c>
      <c r="O313" t="s">
        <v>92</v>
      </c>
      <c r="P313">
        <v>1.5100289787780784E-2</v>
      </c>
      <c r="Q313" t="s">
        <v>84</v>
      </c>
      <c r="S313" t="s">
        <v>132</v>
      </c>
      <c r="T313" t="s">
        <v>92</v>
      </c>
      <c r="U313">
        <v>1.1267088460832487E-2</v>
      </c>
      <c r="V313" t="s">
        <v>84</v>
      </c>
    </row>
    <row r="314" spans="9:22" x14ac:dyDescent="0.45">
      <c r="I314" t="s">
        <v>101</v>
      </c>
      <c r="J314" t="s">
        <v>183</v>
      </c>
      <c r="K314">
        <v>6.5988622489403541E-3</v>
      </c>
      <c r="L314" t="s">
        <v>84</v>
      </c>
      <c r="N314" t="s">
        <v>117</v>
      </c>
      <c r="O314" t="s">
        <v>183</v>
      </c>
      <c r="P314">
        <v>2.4061813489722255E-3</v>
      </c>
      <c r="Q314" t="s">
        <v>84</v>
      </c>
      <c r="S314" t="s">
        <v>132</v>
      </c>
      <c r="T314" t="s">
        <v>183</v>
      </c>
      <c r="U314">
        <v>2.1968461375600043E-3</v>
      </c>
      <c r="V314" t="s">
        <v>84</v>
      </c>
    </row>
    <row r="315" spans="9:22" x14ac:dyDescent="0.45">
      <c r="I315" t="s">
        <v>101</v>
      </c>
      <c r="J315" t="s">
        <v>184</v>
      </c>
      <c r="K315">
        <v>4.3871784910376023E-3</v>
      </c>
      <c r="L315" t="s">
        <v>84</v>
      </c>
      <c r="N315" t="s">
        <v>117</v>
      </c>
      <c r="O315" t="s">
        <v>184</v>
      </c>
      <c r="P315">
        <v>2.2911617172421588E-3</v>
      </c>
      <c r="Q315" t="s">
        <v>84</v>
      </c>
      <c r="S315" t="s">
        <v>132</v>
      </c>
      <c r="T315" t="s">
        <v>184</v>
      </c>
      <c r="U315">
        <v>2.3663508543528768E-3</v>
      </c>
      <c r="V315" t="s">
        <v>84</v>
      </c>
    </row>
    <row r="316" spans="9:22" x14ac:dyDescent="0.45">
      <c r="I316" t="s">
        <v>101</v>
      </c>
      <c r="J316" t="s">
        <v>185</v>
      </c>
      <c r="K316">
        <v>0</v>
      </c>
      <c r="L316" t="s">
        <v>84</v>
      </c>
      <c r="N316" t="s">
        <v>117</v>
      </c>
      <c r="O316" t="s">
        <v>185</v>
      </c>
      <c r="P316">
        <v>1.0872639461743159E-2</v>
      </c>
      <c r="Q316" t="s">
        <v>84</v>
      </c>
      <c r="S316" t="s">
        <v>132</v>
      </c>
      <c r="T316" t="s">
        <v>185</v>
      </c>
      <c r="U316">
        <v>1.283508426263355E-2</v>
      </c>
      <c r="V316" t="s">
        <v>84</v>
      </c>
    </row>
    <row r="317" spans="9:22" x14ac:dyDescent="0.45">
      <c r="I317" t="s">
        <v>101</v>
      </c>
      <c r="J317" t="s">
        <v>93</v>
      </c>
      <c r="K317">
        <v>0</v>
      </c>
      <c r="L317" t="s">
        <v>84</v>
      </c>
      <c r="N317" t="s">
        <v>117</v>
      </c>
      <c r="O317" t="s">
        <v>93</v>
      </c>
      <c r="P317">
        <v>4.7129181417993812E-2</v>
      </c>
      <c r="Q317" t="s">
        <v>84</v>
      </c>
      <c r="S317" t="s">
        <v>132</v>
      </c>
      <c r="T317" t="s">
        <v>93</v>
      </c>
      <c r="U317">
        <v>5.0925549514566903E-2</v>
      </c>
      <c r="V317" t="s">
        <v>84</v>
      </c>
    </row>
    <row r="318" spans="9:22" x14ac:dyDescent="0.45">
      <c r="I318" t="s">
        <v>101</v>
      </c>
      <c r="J318" t="s">
        <v>94</v>
      </c>
      <c r="K318">
        <v>2.5408172778601995E-2</v>
      </c>
      <c r="L318" t="s">
        <v>84</v>
      </c>
      <c r="N318" t="s">
        <v>117</v>
      </c>
      <c r="O318" t="s">
        <v>94</v>
      </c>
      <c r="P318">
        <v>2.6269694726415192E-2</v>
      </c>
      <c r="Q318" t="s">
        <v>84</v>
      </c>
      <c r="S318" t="s">
        <v>132</v>
      </c>
      <c r="T318" t="s">
        <v>94</v>
      </c>
      <c r="U318">
        <v>2.4527926384777986E-2</v>
      </c>
      <c r="V318" t="s">
        <v>84</v>
      </c>
    </row>
    <row r="319" spans="9:22" x14ac:dyDescent="0.45">
      <c r="I319" t="s">
        <v>101</v>
      </c>
      <c r="J319" t="s">
        <v>95</v>
      </c>
      <c r="K319">
        <v>5.8560001887967526E-2</v>
      </c>
      <c r="L319" t="s">
        <v>84</v>
      </c>
      <c r="N319" t="s">
        <v>117</v>
      </c>
      <c r="O319" t="s">
        <v>95</v>
      </c>
      <c r="P319">
        <v>4.8455321386712158E-2</v>
      </c>
      <c r="Q319" t="s">
        <v>84</v>
      </c>
      <c r="S319" t="s">
        <v>132</v>
      </c>
      <c r="T319" t="s">
        <v>95</v>
      </c>
      <c r="U319">
        <v>3.7659815127222843E-2</v>
      </c>
      <c r="V319" t="s">
        <v>84</v>
      </c>
    </row>
    <row r="320" spans="9:22" x14ac:dyDescent="0.45">
      <c r="I320" t="s">
        <v>101</v>
      </c>
      <c r="J320" t="s">
        <v>186</v>
      </c>
      <c r="K320">
        <v>4.3013885163001074E-3</v>
      </c>
      <c r="L320" t="s">
        <v>84</v>
      </c>
      <c r="N320" t="s">
        <v>117</v>
      </c>
      <c r="O320" t="s">
        <v>186</v>
      </c>
      <c r="P320">
        <v>7.7157054130119725E-3</v>
      </c>
      <c r="Q320" t="s">
        <v>84</v>
      </c>
      <c r="S320" t="s">
        <v>132</v>
      </c>
      <c r="T320" t="s">
        <v>186</v>
      </c>
      <c r="U320">
        <v>6.8837822344948556E-3</v>
      </c>
      <c r="V320" t="s">
        <v>84</v>
      </c>
    </row>
    <row r="321" spans="9:22" x14ac:dyDescent="0.45">
      <c r="I321" t="s">
        <v>101</v>
      </c>
      <c r="J321" t="s">
        <v>187</v>
      </c>
      <c r="K321">
        <v>0</v>
      </c>
      <c r="L321" t="s">
        <v>84</v>
      </c>
      <c r="N321" t="s">
        <v>117</v>
      </c>
      <c r="O321" t="s">
        <v>187</v>
      </c>
      <c r="P321">
        <v>7.5718989843001358E-3</v>
      </c>
      <c r="Q321" t="s">
        <v>84</v>
      </c>
      <c r="S321" t="s">
        <v>132</v>
      </c>
      <c r="T321" t="s">
        <v>187</v>
      </c>
      <c r="U321">
        <v>6.9637851450353727E-3</v>
      </c>
      <c r="V321" t="s">
        <v>84</v>
      </c>
    </row>
    <row r="322" spans="9:22" x14ac:dyDescent="0.45">
      <c r="I322" t="s">
        <v>101</v>
      </c>
      <c r="J322" t="s">
        <v>188</v>
      </c>
      <c r="K322">
        <v>0</v>
      </c>
      <c r="L322" t="s">
        <v>84</v>
      </c>
      <c r="N322" t="s">
        <v>117</v>
      </c>
      <c r="O322" t="s">
        <v>188</v>
      </c>
      <c r="P322">
        <v>3.5800906390282723E-2</v>
      </c>
      <c r="Q322" t="s">
        <v>84</v>
      </c>
      <c r="S322" t="s">
        <v>132</v>
      </c>
      <c r="T322" t="s">
        <v>188</v>
      </c>
      <c r="U322">
        <v>3.5996743274993755E-2</v>
      </c>
      <c r="V322" t="s">
        <v>84</v>
      </c>
    </row>
    <row r="323" spans="9:22" x14ac:dyDescent="0.45">
      <c r="I323" t="s">
        <v>101</v>
      </c>
      <c r="J323" t="s">
        <v>189</v>
      </c>
      <c r="K323">
        <v>0</v>
      </c>
      <c r="L323" t="s">
        <v>84</v>
      </c>
      <c r="N323" t="s">
        <v>117</v>
      </c>
      <c r="O323" t="s">
        <v>189</v>
      </c>
      <c r="P323">
        <v>2.4011614611627256E-2</v>
      </c>
      <c r="Q323" t="s">
        <v>84</v>
      </c>
      <c r="S323" t="s">
        <v>132</v>
      </c>
      <c r="T323" t="s">
        <v>189</v>
      </c>
      <c r="U323">
        <v>2.5497521677904953E-2</v>
      </c>
      <c r="V323" t="s">
        <v>84</v>
      </c>
    </row>
    <row r="324" spans="9:22" x14ac:dyDescent="0.45">
      <c r="I324" t="s">
        <v>101</v>
      </c>
      <c r="J324" t="s">
        <v>190</v>
      </c>
      <c r="K324">
        <v>4.8017274426813477E-3</v>
      </c>
      <c r="L324" t="s">
        <v>84</v>
      </c>
      <c r="N324" t="s">
        <v>117</v>
      </c>
      <c r="O324" t="s">
        <v>190</v>
      </c>
      <c r="P324">
        <v>1.4218734477585036E-2</v>
      </c>
      <c r="Q324" t="s">
        <v>84</v>
      </c>
      <c r="S324" t="s">
        <v>132</v>
      </c>
      <c r="T324" t="s">
        <v>190</v>
      </c>
      <c r="U324">
        <v>1.3794589845748616E-2</v>
      </c>
      <c r="V324" t="s">
        <v>84</v>
      </c>
    </row>
    <row r="325" spans="9:22" x14ac:dyDescent="0.45">
      <c r="I325" t="s">
        <v>101</v>
      </c>
      <c r="J325" t="s">
        <v>191</v>
      </c>
      <c r="K325">
        <v>1.6622886940765851E-2</v>
      </c>
      <c r="L325" t="s">
        <v>84</v>
      </c>
      <c r="N325" t="s">
        <v>117</v>
      </c>
      <c r="O325" t="s">
        <v>191</v>
      </c>
      <c r="P325">
        <v>2.1230309747115875E-2</v>
      </c>
      <c r="Q325" t="s">
        <v>84</v>
      </c>
      <c r="S325" t="s">
        <v>132</v>
      </c>
      <c r="T325" t="s">
        <v>191</v>
      </c>
      <c r="U325">
        <v>2.2633088510285854E-2</v>
      </c>
      <c r="V325" t="s">
        <v>84</v>
      </c>
    </row>
    <row r="326" spans="9:22" x14ac:dyDescent="0.45">
      <c r="I326" t="s">
        <v>101</v>
      </c>
      <c r="J326" t="s">
        <v>192</v>
      </c>
      <c r="K326">
        <v>0</v>
      </c>
      <c r="L326" t="s">
        <v>84</v>
      </c>
      <c r="N326" t="s">
        <v>117</v>
      </c>
      <c r="O326" t="s">
        <v>192</v>
      </c>
      <c r="P326">
        <v>3.4153007824992425E-3</v>
      </c>
      <c r="Q326" t="s">
        <v>84</v>
      </c>
      <c r="S326" t="s">
        <v>132</v>
      </c>
      <c r="T326" t="s">
        <v>192</v>
      </c>
      <c r="U326">
        <v>4.1839476925415427E-3</v>
      </c>
      <c r="V326" t="s">
        <v>84</v>
      </c>
    </row>
    <row r="327" spans="9:22" x14ac:dyDescent="0.45">
      <c r="I327" t="s">
        <v>101</v>
      </c>
      <c r="J327" t="s">
        <v>193</v>
      </c>
      <c r="K327">
        <v>0</v>
      </c>
      <c r="L327" t="s">
        <v>84</v>
      </c>
      <c r="N327" t="s">
        <v>117</v>
      </c>
      <c r="O327" t="s">
        <v>193</v>
      </c>
      <c r="P327">
        <v>3.4700198220850081E-3</v>
      </c>
      <c r="Q327" t="s">
        <v>84</v>
      </c>
      <c r="S327" t="s">
        <v>132</v>
      </c>
      <c r="T327" t="s">
        <v>193</v>
      </c>
      <c r="U327">
        <v>4.1179660008672063E-3</v>
      </c>
      <c r="V327" t="s">
        <v>84</v>
      </c>
    </row>
    <row r="328" spans="9:22" x14ac:dyDescent="0.45">
      <c r="I328" t="s">
        <v>101</v>
      </c>
      <c r="J328" t="s">
        <v>194</v>
      </c>
      <c r="K328">
        <v>0</v>
      </c>
      <c r="L328" t="s">
        <v>84</v>
      </c>
      <c r="N328" t="s">
        <v>117</v>
      </c>
      <c r="O328" t="s">
        <v>194</v>
      </c>
      <c r="P328">
        <v>1.7108054822949168E-2</v>
      </c>
      <c r="Q328" t="s">
        <v>84</v>
      </c>
      <c r="S328" t="s">
        <v>132</v>
      </c>
      <c r="T328" t="s">
        <v>194</v>
      </c>
      <c r="U328">
        <v>1.9607610581620163E-2</v>
      </c>
      <c r="V328" t="s">
        <v>84</v>
      </c>
    </row>
    <row r="329" spans="9:22" x14ac:dyDescent="0.45">
      <c r="I329" t="s">
        <v>101</v>
      </c>
      <c r="J329" t="s">
        <v>195</v>
      </c>
      <c r="K329">
        <v>1.1620306686259321E-4</v>
      </c>
      <c r="L329" t="s">
        <v>84</v>
      </c>
      <c r="N329" t="s">
        <v>117</v>
      </c>
      <c r="O329" t="s">
        <v>195</v>
      </c>
      <c r="P329">
        <v>7.6493442431473491E-2</v>
      </c>
      <c r="Q329" t="s">
        <v>84</v>
      </c>
      <c r="S329" t="s">
        <v>132</v>
      </c>
      <c r="T329" t="s">
        <v>195</v>
      </c>
      <c r="U329">
        <v>8.8777753376816801E-2</v>
      </c>
      <c r="V329" t="s">
        <v>84</v>
      </c>
    </row>
    <row r="330" spans="9:22" x14ac:dyDescent="0.45">
      <c r="I330" t="s">
        <v>101</v>
      </c>
      <c r="J330" t="s">
        <v>196</v>
      </c>
      <c r="K330">
        <v>4.4130977315555868E-2</v>
      </c>
      <c r="L330" t="s">
        <v>84</v>
      </c>
      <c r="N330" t="s">
        <v>117</v>
      </c>
      <c r="O330" t="s">
        <v>196</v>
      </c>
      <c r="P330">
        <v>4.0824759951258283E-2</v>
      </c>
      <c r="Q330" t="s">
        <v>84</v>
      </c>
      <c r="S330" t="s">
        <v>132</v>
      </c>
      <c r="T330" t="s">
        <v>196</v>
      </c>
      <c r="U330">
        <v>4.9257792652321677E-2</v>
      </c>
      <c r="V330" t="s">
        <v>84</v>
      </c>
    </row>
    <row r="331" spans="9:22" x14ac:dyDescent="0.45">
      <c r="I331" t="s">
        <v>101</v>
      </c>
      <c r="J331" t="s">
        <v>197</v>
      </c>
      <c r="K331">
        <v>0.10309230314200243</v>
      </c>
      <c r="L331" t="s">
        <v>84</v>
      </c>
      <c r="N331" t="s">
        <v>117</v>
      </c>
      <c r="O331" t="s">
        <v>197</v>
      </c>
      <c r="P331">
        <v>7.6865815955039912E-2</v>
      </c>
      <c r="Q331" t="s">
        <v>84</v>
      </c>
      <c r="S331" t="s">
        <v>132</v>
      </c>
      <c r="T331" t="s">
        <v>197</v>
      </c>
      <c r="U331">
        <v>7.6960401049888758E-2</v>
      </c>
      <c r="V331" t="s">
        <v>84</v>
      </c>
    </row>
    <row r="332" spans="9:22" x14ac:dyDescent="0.45">
      <c r="I332" t="s">
        <v>101</v>
      </c>
      <c r="J332" t="s">
        <v>198</v>
      </c>
      <c r="K332">
        <v>9.0327774504613215E-3</v>
      </c>
      <c r="L332" t="s">
        <v>84</v>
      </c>
      <c r="N332" t="s">
        <v>117</v>
      </c>
      <c r="O332" t="s">
        <v>198</v>
      </c>
      <c r="P332">
        <v>1.2182775289180704E-2</v>
      </c>
      <c r="Q332" t="s">
        <v>84</v>
      </c>
      <c r="S332" t="s">
        <v>132</v>
      </c>
      <c r="T332" t="s">
        <v>198</v>
      </c>
      <c r="U332">
        <v>1.3003713999639812E-2</v>
      </c>
      <c r="V332" t="s">
        <v>84</v>
      </c>
    </row>
    <row r="333" spans="9:22" x14ac:dyDescent="0.45">
      <c r="I333" t="s">
        <v>101</v>
      </c>
      <c r="J333" t="s">
        <v>199</v>
      </c>
      <c r="K333">
        <v>1.0799001765970948E-3</v>
      </c>
      <c r="L333" t="s">
        <v>84</v>
      </c>
      <c r="N333" t="s">
        <v>117</v>
      </c>
      <c r="O333" t="s">
        <v>199</v>
      </c>
      <c r="P333">
        <v>1.180764414671945E-2</v>
      </c>
      <c r="Q333" t="s">
        <v>84</v>
      </c>
      <c r="S333" t="s">
        <v>132</v>
      </c>
      <c r="T333" t="s">
        <v>199</v>
      </c>
      <c r="U333">
        <v>1.2774296954059919E-2</v>
      </c>
      <c r="V333" t="s">
        <v>84</v>
      </c>
    </row>
    <row r="334" spans="9:22" x14ac:dyDescent="0.45">
      <c r="I334" t="s">
        <v>101</v>
      </c>
      <c r="J334" t="s">
        <v>200</v>
      </c>
      <c r="K334">
        <v>0</v>
      </c>
      <c r="L334" t="s">
        <v>84</v>
      </c>
      <c r="N334" t="s">
        <v>117</v>
      </c>
      <c r="O334" t="s">
        <v>200</v>
      </c>
      <c r="P334">
        <v>5.7326879388878142E-2</v>
      </c>
      <c r="Q334" t="s">
        <v>84</v>
      </c>
      <c r="S334" t="s">
        <v>132</v>
      </c>
      <c r="T334" t="s">
        <v>200</v>
      </c>
      <c r="U334">
        <v>6.2032882400304017E-2</v>
      </c>
      <c r="V334" t="s">
        <v>84</v>
      </c>
    </row>
    <row r="335" spans="9:22" x14ac:dyDescent="0.45">
      <c r="I335" t="s">
        <v>101</v>
      </c>
      <c r="J335" t="s">
        <v>201</v>
      </c>
      <c r="K335">
        <v>4.3776334114469968E-3</v>
      </c>
      <c r="L335" t="s">
        <v>84</v>
      </c>
      <c r="N335" t="s">
        <v>117</v>
      </c>
      <c r="O335" t="s">
        <v>201</v>
      </c>
      <c r="P335">
        <v>3.1581673688520502E-2</v>
      </c>
      <c r="Q335" t="s">
        <v>84</v>
      </c>
      <c r="S335" t="s">
        <v>132</v>
      </c>
      <c r="T335" t="s">
        <v>201</v>
      </c>
      <c r="U335">
        <v>2.7721383716178445E-2</v>
      </c>
      <c r="V335" t="s">
        <v>84</v>
      </c>
    </row>
    <row r="336" spans="9:22" x14ac:dyDescent="0.45">
      <c r="I336" t="s">
        <v>101</v>
      </c>
      <c r="J336" t="s">
        <v>202</v>
      </c>
      <c r="K336">
        <v>3.3685444980821926E-2</v>
      </c>
      <c r="L336" t="s">
        <v>84</v>
      </c>
      <c r="N336" t="s">
        <v>117</v>
      </c>
      <c r="O336" t="s">
        <v>202</v>
      </c>
      <c r="P336">
        <v>1.8998867125564169E-2</v>
      </c>
      <c r="Q336" t="s">
        <v>84</v>
      </c>
      <c r="S336" t="s">
        <v>132</v>
      </c>
      <c r="T336" t="s">
        <v>202</v>
      </c>
      <c r="U336">
        <v>1.4978036078522194E-2</v>
      </c>
      <c r="V336" t="s">
        <v>84</v>
      </c>
    </row>
    <row r="337" spans="9:22" x14ac:dyDescent="0.45">
      <c r="I337" t="s">
        <v>101</v>
      </c>
      <c r="J337" t="s">
        <v>203</v>
      </c>
      <c r="K337">
        <v>6.0343413963922739E-2</v>
      </c>
      <c r="L337" t="s">
        <v>84</v>
      </c>
      <c r="N337" t="s">
        <v>117</v>
      </c>
      <c r="O337" t="s">
        <v>203</v>
      </c>
      <c r="P337">
        <v>4.0509656580713364E-2</v>
      </c>
      <c r="Q337" t="s">
        <v>84</v>
      </c>
      <c r="S337" t="s">
        <v>132</v>
      </c>
      <c r="T337" t="s">
        <v>203</v>
      </c>
      <c r="U337">
        <v>2.6767129611846234E-2</v>
      </c>
      <c r="V337" t="s">
        <v>84</v>
      </c>
    </row>
    <row r="338" spans="9:22" x14ac:dyDescent="0.45">
      <c r="I338" t="s">
        <v>101</v>
      </c>
      <c r="J338" t="s">
        <v>204</v>
      </c>
      <c r="K338">
        <v>7.4475482695628183E-3</v>
      </c>
      <c r="L338" t="s">
        <v>84</v>
      </c>
      <c r="N338" t="s">
        <v>117</v>
      </c>
      <c r="O338" t="s">
        <v>204</v>
      </c>
      <c r="P338">
        <v>6.1400488377712711E-3</v>
      </c>
      <c r="Q338" t="s">
        <v>84</v>
      </c>
      <c r="S338" t="s">
        <v>132</v>
      </c>
      <c r="T338" t="s">
        <v>204</v>
      </c>
      <c r="U338">
        <v>5.3693008065180559E-3</v>
      </c>
      <c r="V338" t="s">
        <v>84</v>
      </c>
    </row>
    <row r="339" spans="9:22" x14ac:dyDescent="0.45">
      <c r="I339" t="s">
        <v>101</v>
      </c>
      <c r="J339" t="s">
        <v>205</v>
      </c>
      <c r="K339">
        <v>5.2622327635085666E-3</v>
      </c>
      <c r="L339" t="s">
        <v>84</v>
      </c>
      <c r="N339" t="s">
        <v>117</v>
      </c>
      <c r="O339" t="s">
        <v>205</v>
      </c>
      <c r="P339">
        <v>6.0268050591794943E-3</v>
      </c>
      <c r="Q339" t="s">
        <v>84</v>
      </c>
      <c r="S339" t="s">
        <v>132</v>
      </c>
      <c r="T339" t="s">
        <v>205</v>
      </c>
      <c r="U339">
        <v>5.4643057166340846E-3</v>
      </c>
      <c r="V339" t="s">
        <v>84</v>
      </c>
    </row>
    <row r="340" spans="9:22" x14ac:dyDescent="0.45">
      <c r="I340" t="s">
        <v>101</v>
      </c>
      <c r="J340" t="s">
        <v>206</v>
      </c>
      <c r="K340">
        <v>0</v>
      </c>
      <c r="L340" t="s">
        <v>84</v>
      </c>
      <c r="N340" t="s">
        <v>117</v>
      </c>
      <c r="O340" t="s">
        <v>206</v>
      </c>
      <c r="P340">
        <v>2.4206086535682927E-2</v>
      </c>
      <c r="Q340" t="s">
        <v>84</v>
      </c>
      <c r="S340" t="s">
        <v>132</v>
      </c>
      <c r="T340" t="s">
        <v>206</v>
      </c>
      <c r="U340">
        <v>2.5402626738500841E-2</v>
      </c>
      <c r="V340" t="s">
        <v>84</v>
      </c>
    </row>
    <row r="341" spans="9:22" x14ac:dyDescent="0.45">
      <c r="I341" t="s">
        <v>101</v>
      </c>
      <c r="J341" t="s">
        <v>207</v>
      </c>
      <c r="K341">
        <v>1.9122052708198299E-2</v>
      </c>
      <c r="L341" t="s">
        <v>84</v>
      </c>
      <c r="N341" t="s">
        <v>117</v>
      </c>
      <c r="O341" t="s">
        <v>207</v>
      </c>
      <c r="P341">
        <v>3.3718295123501635E-2</v>
      </c>
      <c r="Q341" t="s">
        <v>84</v>
      </c>
      <c r="S341" t="s">
        <v>132</v>
      </c>
      <c r="T341" t="s">
        <v>207</v>
      </c>
      <c r="U341">
        <v>4.1676938671042225E-2</v>
      </c>
      <c r="V341" t="s">
        <v>84</v>
      </c>
    </row>
    <row r="342" spans="9:22" x14ac:dyDescent="0.45">
      <c r="I342" t="s">
        <v>101</v>
      </c>
      <c r="J342" t="s">
        <v>208</v>
      </c>
      <c r="K342">
        <v>7.7621874911965746E-2</v>
      </c>
      <c r="L342" t="s">
        <v>84</v>
      </c>
      <c r="N342" t="s">
        <v>117</v>
      </c>
      <c r="O342" t="s">
        <v>208</v>
      </c>
      <c r="P342">
        <v>2.3180621064127469E-2</v>
      </c>
      <c r="Q342" t="s">
        <v>84</v>
      </c>
      <c r="S342" t="s">
        <v>132</v>
      </c>
      <c r="T342" t="s">
        <v>208</v>
      </c>
      <c r="U342">
        <v>2.1094259724393643E-2</v>
      </c>
      <c r="V342" t="s">
        <v>84</v>
      </c>
    </row>
    <row r="343" spans="9:22" x14ac:dyDescent="0.45">
      <c r="I343" t="s">
        <v>101</v>
      </c>
      <c r="J343" t="s">
        <v>209</v>
      </c>
      <c r="K343">
        <v>0.1227972529268966</v>
      </c>
      <c r="L343" t="s">
        <v>84</v>
      </c>
      <c r="N343" t="s">
        <v>117</v>
      </c>
      <c r="O343" t="s">
        <v>209</v>
      </c>
      <c r="P343">
        <v>4.5952837959619706E-2</v>
      </c>
      <c r="Q343" t="s">
        <v>84</v>
      </c>
      <c r="S343" t="s">
        <v>132</v>
      </c>
      <c r="T343" t="s">
        <v>209</v>
      </c>
      <c r="U343">
        <v>3.3586384609483766E-2</v>
      </c>
      <c r="V343" t="s">
        <v>84</v>
      </c>
    </row>
    <row r="344" spans="9:22" x14ac:dyDescent="0.45">
      <c r="I344" t="s">
        <v>101</v>
      </c>
      <c r="J344" t="s">
        <v>210</v>
      </c>
      <c r="K344">
        <v>1.5322877954733539E-2</v>
      </c>
      <c r="L344" t="s">
        <v>84</v>
      </c>
      <c r="N344" t="s">
        <v>117</v>
      </c>
      <c r="O344" t="s">
        <v>210</v>
      </c>
      <c r="P344">
        <v>7.3922064765882369E-3</v>
      </c>
      <c r="Q344" t="s">
        <v>84</v>
      </c>
      <c r="S344" t="s">
        <v>132</v>
      </c>
      <c r="T344" t="s">
        <v>210</v>
      </c>
      <c r="U344">
        <v>6.5198586979317514E-3</v>
      </c>
      <c r="V344" t="s">
        <v>84</v>
      </c>
    </row>
    <row r="345" spans="9:22" x14ac:dyDescent="0.45">
      <c r="I345" t="s">
        <v>101</v>
      </c>
      <c r="J345" t="s">
        <v>211</v>
      </c>
      <c r="K345">
        <v>1.2894979789697574E-2</v>
      </c>
      <c r="L345" t="s">
        <v>84</v>
      </c>
      <c r="N345" t="s">
        <v>117</v>
      </c>
      <c r="O345" t="s">
        <v>211</v>
      </c>
      <c r="P345">
        <v>6.8174038001423704E-3</v>
      </c>
      <c r="Q345" t="s">
        <v>84</v>
      </c>
      <c r="S345" t="s">
        <v>132</v>
      </c>
      <c r="T345" t="s">
        <v>211</v>
      </c>
      <c r="U345">
        <v>6.7131803140201727E-3</v>
      </c>
      <c r="V345" t="s">
        <v>84</v>
      </c>
    </row>
    <row r="346" spans="9:22" x14ac:dyDescent="0.45">
      <c r="I346" t="s">
        <v>101</v>
      </c>
      <c r="J346" t="s">
        <v>212</v>
      </c>
      <c r="K346">
        <v>7.4936914010323413E-3</v>
      </c>
      <c r="L346" t="s">
        <v>84</v>
      </c>
      <c r="N346" t="s">
        <v>117</v>
      </c>
      <c r="O346" t="s">
        <v>212</v>
      </c>
      <c r="P346">
        <v>2.8195457187299506E-2</v>
      </c>
      <c r="Q346" t="s">
        <v>84</v>
      </c>
      <c r="S346" t="s">
        <v>132</v>
      </c>
      <c r="T346" t="s">
        <v>212</v>
      </c>
      <c r="U346">
        <v>3.4514527790690787E-2</v>
      </c>
      <c r="V346" t="s">
        <v>84</v>
      </c>
    </row>
    <row r="347" spans="9:22" x14ac:dyDescent="0.45">
      <c r="I347" t="s">
        <v>102</v>
      </c>
      <c r="J347" t="s">
        <v>83</v>
      </c>
      <c r="K347">
        <v>8.7275638183257793E-3</v>
      </c>
      <c r="L347" t="s">
        <v>84</v>
      </c>
      <c r="N347" t="s">
        <v>118</v>
      </c>
      <c r="O347" t="s">
        <v>83</v>
      </c>
      <c r="P347">
        <v>2.6856037000953282E-2</v>
      </c>
      <c r="Q347" t="s">
        <v>84</v>
      </c>
      <c r="S347" t="s">
        <v>133</v>
      </c>
      <c r="T347" t="s">
        <v>83</v>
      </c>
      <c r="U347">
        <v>2.8776403260890874E-2</v>
      </c>
      <c r="V347" t="s">
        <v>84</v>
      </c>
    </row>
    <row r="348" spans="9:22" x14ac:dyDescent="0.45">
      <c r="I348" t="s">
        <v>102</v>
      </c>
      <c r="J348" t="s">
        <v>85</v>
      </c>
      <c r="K348">
        <v>4.4398380981876297E-2</v>
      </c>
      <c r="L348" t="s">
        <v>84</v>
      </c>
      <c r="N348" t="s">
        <v>118</v>
      </c>
      <c r="O348" t="s">
        <v>85</v>
      </c>
      <c r="P348">
        <v>1.721098787917414E-2</v>
      </c>
      <c r="Q348" t="s">
        <v>84</v>
      </c>
      <c r="S348" t="s">
        <v>133</v>
      </c>
      <c r="T348" t="s">
        <v>85</v>
      </c>
      <c r="U348">
        <v>1.5663439251264451E-2</v>
      </c>
      <c r="V348" t="s">
        <v>84</v>
      </c>
    </row>
    <row r="349" spans="9:22" x14ac:dyDescent="0.45">
      <c r="I349" t="s">
        <v>102</v>
      </c>
      <c r="J349" t="s">
        <v>86</v>
      </c>
      <c r="K349">
        <v>7.5468400665149274E-2</v>
      </c>
      <c r="L349" t="s">
        <v>84</v>
      </c>
      <c r="N349" t="s">
        <v>118</v>
      </c>
      <c r="O349" t="s">
        <v>86</v>
      </c>
      <c r="P349">
        <v>3.7376704024488609E-2</v>
      </c>
      <c r="Q349" t="s">
        <v>84</v>
      </c>
      <c r="S349" t="s">
        <v>133</v>
      </c>
      <c r="T349" t="s">
        <v>86</v>
      </c>
      <c r="U349">
        <v>2.4018859979941735E-2</v>
      </c>
      <c r="V349" t="s">
        <v>84</v>
      </c>
    </row>
    <row r="350" spans="9:22" x14ac:dyDescent="0.45">
      <c r="I350" t="s">
        <v>102</v>
      </c>
      <c r="J350" t="s">
        <v>177</v>
      </c>
      <c r="K350">
        <v>9.8507601668856287E-3</v>
      </c>
      <c r="L350" t="s">
        <v>84</v>
      </c>
      <c r="N350" t="s">
        <v>118</v>
      </c>
      <c r="O350" t="s">
        <v>177</v>
      </c>
      <c r="P350">
        <v>5.6574116204049481E-3</v>
      </c>
      <c r="Q350" t="s">
        <v>84</v>
      </c>
      <c r="S350" t="s">
        <v>133</v>
      </c>
      <c r="T350" t="s">
        <v>177</v>
      </c>
      <c r="U350">
        <v>4.2576248579844211E-3</v>
      </c>
      <c r="V350" t="s">
        <v>84</v>
      </c>
    </row>
    <row r="351" spans="9:22" x14ac:dyDescent="0.45">
      <c r="I351" t="s">
        <v>102</v>
      </c>
      <c r="J351" t="s">
        <v>178</v>
      </c>
      <c r="K351">
        <v>8.4471911576629918E-3</v>
      </c>
      <c r="L351" t="s">
        <v>84</v>
      </c>
      <c r="N351" t="s">
        <v>118</v>
      </c>
      <c r="O351" t="s">
        <v>178</v>
      </c>
      <c r="P351">
        <v>4.7912245924507648E-3</v>
      </c>
      <c r="Q351" t="s">
        <v>84</v>
      </c>
      <c r="S351" t="s">
        <v>133</v>
      </c>
      <c r="T351" t="s">
        <v>178</v>
      </c>
      <c r="U351">
        <v>4.3164016375702666E-3</v>
      </c>
      <c r="V351" t="s">
        <v>84</v>
      </c>
    </row>
    <row r="352" spans="9:22" x14ac:dyDescent="0.45">
      <c r="I352" t="s">
        <v>102</v>
      </c>
      <c r="J352" t="s">
        <v>179</v>
      </c>
      <c r="K352">
        <v>5.6581266569582615E-3</v>
      </c>
      <c r="L352" t="s">
        <v>84</v>
      </c>
      <c r="N352" t="s">
        <v>118</v>
      </c>
      <c r="O352" t="s">
        <v>179</v>
      </c>
      <c r="P352">
        <v>1.831171238796913E-2</v>
      </c>
      <c r="Q352" t="s">
        <v>84</v>
      </c>
      <c r="S352" t="s">
        <v>133</v>
      </c>
      <c r="T352" t="s">
        <v>179</v>
      </c>
      <c r="U352">
        <v>2.1959303922138691E-2</v>
      </c>
      <c r="V352" t="s">
        <v>84</v>
      </c>
    </row>
    <row r="353" spans="9:22" x14ac:dyDescent="0.45">
      <c r="I353" t="s">
        <v>102</v>
      </c>
      <c r="J353" t="s">
        <v>87</v>
      </c>
      <c r="K353">
        <v>3.6672106316072328E-3</v>
      </c>
      <c r="L353" t="s">
        <v>84</v>
      </c>
      <c r="N353" t="s">
        <v>118</v>
      </c>
      <c r="O353" t="s">
        <v>87</v>
      </c>
      <c r="P353">
        <v>1.215200608737574E-2</v>
      </c>
      <c r="Q353" t="s">
        <v>84</v>
      </c>
      <c r="S353" t="s">
        <v>133</v>
      </c>
      <c r="T353" t="s">
        <v>87</v>
      </c>
      <c r="U353">
        <v>2.0858983770134454E-2</v>
      </c>
      <c r="V353" t="s">
        <v>84</v>
      </c>
    </row>
    <row r="354" spans="9:22" x14ac:dyDescent="0.45">
      <c r="I354" t="s">
        <v>102</v>
      </c>
      <c r="J354" t="s">
        <v>88</v>
      </c>
      <c r="K354">
        <v>3.2627770548881913E-2</v>
      </c>
      <c r="L354" t="s">
        <v>84</v>
      </c>
      <c r="N354" t="s">
        <v>118</v>
      </c>
      <c r="O354" t="s">
        <v>88</v>
      </c>
      <c r="P354">
        <v>6.514315930501031E-3</v>
      </c>
      <c r="Q354" t="s">
        <v>84</v>
      </c>
      <c r="S354" t="s">
        <v>133</v>
      </c>
      <c r="T354" t="s">
        <v>88</v>
      </c>
      <c r="U354">
        <v>1.1450746127792275E-2</v>
      </c>
      <c r="V354" t="s">
        <v>84</v>
      </c>
    </row>
    <row r="355" spans="9:22" x14ac:dyDescent="0.45">
      <c r="I355" t="s">
        <v>102</v>
      </c>
      <c r="J355" t="s">
        <v>89</v>
      </c>
      <c r="K355">
        <v>6.0669828842021246E-2</v>
      </c>
      <c r="L355" t="s">
        <v>84</v>
      </c>
      <c r="N355" t="s">
        <v>118</v>
      </c>
      <c r="O355" t="s">
        <v>89</v>
      </c>
      <c r="P355">
        <v>1.9640406884432075E-2</v>
      </c>
      <c r="Q355" t="s">
        <v>84</v>
      </c>
      <c r="S355" t="s">
        <v>133</v>
      </c>
      <c r="T355" t="s">
        <v>89</v>
      </c>
      <c r="U355">
        <v>1.5521339355948674E-2</v>
      </c>
      <c r="V355" t="s">
        <v>84</v>
      </c>
    </row>
    <row r="356" spans="9:22" x14ac:dyDescent="0.45">
      <c r="I356" t="s">
        <v>102</v>
      </c>
      <c r="J356" t="s">
        <v>180</v>
      </c>
      <c r="K356">
        <v>8.1211084030270182E-3</v>
      </c>
      <c r="L356" t="s">
        <v>84</v>
      </c>
      <c r="N356" t="s">
        <v>118</v>
      </c>
      <c r="O356" t="s">
        <v>180</v>
      </c>
      <c r="P356">
        <v>3.0661585996678855E-3</v>
      </c>
      <c r="Q356" t="s">
        <v>84</v>
      </c>
      <c r="S356" t="s">
        <v>133</v>
      </c>
      <c r="T356" t="s">
        <v>180</v>
      </c>
      <c r="U356">
        <v>2.5656600545549638E-3</v>
      </c>
      <c r="V356" t="s">
        <v>84</v>
      </c>
    </row>
    <row r="357" spans="9:22" x14ac:dyDescent="0.45">
      <c r="I357" t="s">
        <v>102</v>
      </c>
      <c r="J357" t="s">
        <v>181</v>
      </c>
      <c r="K357">
        <v>6.4695472224673475E-3</v>
      </c>
      <c r="L357" t="s">
        <v>84</v>
      </c>
      <c r="N357" t="s">
        <v>118</v>
      </c>
      <c r="O357" t="s">
        <v>181</v>
      </c>
      <c r="P357">
        <v>2.6814900009083744E-3</v>
      </c>
      <c r="Q357" t="s">
        <v>84</v>
      </c>
      <c r="S357" t="s">
        <v>133</v>
      </c>
      <c r="T357" t="s">
        <v>181</v>
      </c>
      <c r="U357">
        <v>2.6703265903237025E-3</v>
      </c>
      <c r="V357" t="s">
        <v>84</v>
      </c>
    </row>
    <row r="358" spans="9:22" x14ac:dyDescent="0.45">
      <c r="I358" t="s">
        <v>102</v>
      </c>
      <c r="J358" t="s">
        <v>182</v>
      </c>
      <c r="K358">
        <v>3.4777146489418367E-3</v>
      </c>
      <c r="L358" t="s">
        <v>84</v>
      </c>
      <c r="N358" t="s">
        <v>118</v>
      </c>
      <c r="O358" t="s">
        <v>182</v>
      </c>
      <c r="P358">
        <v>1.0490434072342354E-2</v>
      </c>
      <c r="Q358" t="s">
        <v>84</v>
      </c>
      <c r="S358" t="s">
        <v>133</v>
      </c>
      <c r="T358" t="s">
        <v>182</v>
      </c>
      <c r="U358">
        <v>1.4901137729619585E-2</v>
      </c>
      <c r="V358" t="s">
        <v>84</v>
      </c>
    </row>
    <row r="359" spans="9:22" x14ac:dyDescent="0.45">
      <c r="I359" t="s">
        <v>102</v>
      </c>
      <c r="J359" t="s">
        <v>90</v>
      </c>
      <c r="K359">
        <v>8.1649006898680605E-5</v>
      </c>
      <c r="L359" t="s">
        <v>84</v>
      </c>
      <c r="N359" t="s">
        <v>118</v>
      </c>
      <c r="O359" t="s">
        <v>90</v>
      </c>
      <c r="P359">
        <v>1.6490744595713345E-2</v>
      </c>
      <c r="Q359" t="s">
        <v>84</v>
      </c>
      <c r="S359" t="s">
        <v>133</v>
      </c>
      <c r="T359" t="s">
        <v>90</v>
      </c>
      <c r="U359">
        <v>2.1203175900478727E-2</v>
      </c>
      <c r="V359" t="s">
        <v>84</v>
      </c>
    </row>
    <row r="360" spans="9:22" x14ac:dyDescent="0.45">
      <c r="I360" t="s">
        <v>102</v>
      </c>
      <c r="J360" t="s">
        <v>91</v>
      </c>
      <c r="K360">
        <v>2.4697346779570657E-2</v>
      </c>
      <c r="L360" t="s">
        <v>84</v>
      </c>
      <c r="N360" t="s">
        <v>118</v>
      </c>
      <c r="O360" t="s">
        <v>91</v>
      </c>
      <c r="P360">
        <v>7.7247997430791096E-3</v>
      </c>
      <c r="Q360" t="s">
        <v>84</v>
      </c>
      <c r="S360" t="s">
        <v>133</v>
      </c>
      <c r="T360" t="s">
        <v>91</v>
      </c>
      <c r="U360">
        <v>1.154266237059192E-2</v>
      </c>
      <c r="V360" t="s">
        <v>84</v>
      </c>
    </row>
    <row r="361" spans="9:22" x14ac:dyDescent="0.45">
      <c r="I361" t="s">
        <v>102</v>
      </c>
      <c r="J361" t="s">
        <v>92</v>
      </c>
      <c r="K361">
        <v>4.9015728574135997E-2</v>
      </c>
      <c r="L361" t="s">
        <v>84</v>
      </c>
      <c r="N361" t="s">
        <v>118</v>
      </c>
      <c r="O361" t="s">
        <v>92</v>
      </c>
      <c r="P361">
        <v>2.1087507571700984E-2</v>
      </c>
      <c r="Q361" t="s">
        <v>84</v>
      </c>
      <c r="S361" t="s">
        <v>133</v>
      </c>
      <c r="T361" t="s">
        <v>92</v>
      </c>
      <c r="U361">
        <v>1.7435636672508387E-2</v>
      </c>
      <c r="V361" t="s">
        <v>84</v>
      </c>
    </row>
    <row r="362" spans="9:22" x14ac:dyDescent="0.45">
      <c r="I362" t="s">
        <v>102</v>
      </c>
      <c r="J362" t="s">
        <v>183</v>
      </c>
      <c r="K362">
        <v>6.774290604326722E-3</v>
      </c>
      <c r="L362" t="s">
        <v>84</v>
      </c>
      <c r="N362" t="s">
        <v>118</v>
      </c>
      <c r="O362" t="s">
        <v>183</v>
      </c>
      <c r="P362">
        <v>2.9576242972505205E-3</v>
      </c>
      <c r="Q362" t="s">
        <v>84</v>
      </c>
      <c r="S362" t="s">
        <v>133</v>
      </c>
      <c r="T362" t="s">
        <v>183</v>
      </c>
      <c r="U362">
        <v>3.1159444894412404E-3</v>
      </c>
      <c r="V362" t="s">
        <v>84</v>
      </c>
    </row>
    <row r="363" spans="9:22" x14ac:dyDescent="0.45">
      <c r="I363" t="s">
        <v>102</v>
      </c>
      <c r="J363" t="s">
        <v>184</v>
      </c>
      <c r="K363">
        <v>4.4269768416731652E-3</v>
      </c>
      <c r="L363" t="s">
        <v>84</v>
      </c>
      <c r="N363" t="s">
        <v>118</v>
      </c>
      <c r="O363" t="s">
        <v>184</v>
      </c>
      <c r="P363">
        <v>2.9816912442353107E-3</v>
      </c>
      <c r="Q363" t="s">
        <v>84</v>
      </c>
      <c r="S363" t="s">
        <v>133</v>
      </c>
      <c r="T363" t="s">
        <v>184</v>
      </c>
      <c r="U363">
        <v>3.1884783142946843E-3</v>
      </c>
      <c r="V363" t="s">
        <v>84</v>
      </c>
    </row>
    <row r="364" spans="9:22" x14ac:dyDescent="0.45">
      <c r="I364" t="s">
        <v>102</v>
      </c>
      <c r="J364" t="s">
        <v>185</v>
      </c>
      <c r="K364">
        <v>0</v>
      </c>
      <c r="L364" t="s">
        <v>84</v>
      </c>
      <c r="N364" t="s">
        <v>118</v>
      </c>
      <c r="O364" t="s">
        <v>185</v>
      </c>
      <c r="P364">
        <v>1.3630293045085414E-2</v>
      </c>
      <c r="Q364" t="s">
        <v>84</v>
      </c>
      <c r="S364" t="s">
        <v>133</v>
      </c>
      <c r="T364" t="s">
        <v>185</v>
      </c>
      <c r="U364">
        <v>1.6683271086003794E-2</v>
      </c>
      <c r="V364" t="s">
        <v>84</v>
      </c>
    </row>
    <row r="365" spans="9:22" x14ac:dyDescent="0.45">
      <c r="I365" t="s">
        <v>102</v>
      </c>
      <c r="J365" t="s">
        <v>93</v>
      </c>
      <c r="K365">
        <v>0</v>
      </c>
      <c r="L365" t="s">
        <v>84</v>
      </c>
      <c r="N365" t="s">
        <v>118</v>
      </c>
      <c r="O365" t="s">
        <v>93</v>
      </c>
      <c r="P365">
        <v>4.4077305969373294E-2</v>
      </c>
      <c r="Q365" t="s">
        <v>84</v>
      </c>
      <c r="S365" t="s">
        <v>133</v>
      </c>
      <c r="T365" t="s">
        <v>93</v>
      </c>
      <c r="U365">
        <v>4.6103278698370241E-2</v>
      </c>
      <c r="V365" t="s">
        <v>84</v>
      </c>
    </row>
    <row r="366" spans="9:22" x14ac:dyDescent="0.45">
      <c r="I366" t="s">
        <v>102</v>
      </c>
      <c r="J366" t="s">
        <v>94</v>
      </c>
      <c r="K366">
        <v>2.8028790008895441E-2</v>
      </c>
      <c r="L366" t="s">
        <v>84</v>
      </c>
      <c r="N366" t="s">
        <v>118</v>
      </c>
      <c r="O366" t="s">
        <v>94</v>
      </c>
      <c r="P366">
        <v>2.5886227336375345E-2</v>
      </c>
      <c r="Q366" t="s">
        <v>84</v>
      </c>
      <c r="S366" t="s">
        <v>133</v>
      </c>
      <c r="T366" t="s">
        <v>94</v>
      </c>
      <c r="U366">
        <v>2.3847214482049905E-2</v>
      </c>
      <c r="V366" t="s">
        <v>84</v>
      </c>
    </row>
    <row r="367" spans="9:22" x14ac:dyDescent="0.45">
      <c r="I367" t="s">
        <v>102</v>
      </c>
      <c r="J367" t="s">
        <v>95</v>
      </c>
      <c r="K367">
        <v>5.5886570840875685E-2</v>
      </c>
      <c r="L367" t="s">
        <v>84</v>
      </c>
      <c r="N367" t="s">
        <v>118</v>
      </c>
      <c r="O367" t="s">
        <v>95</v>
      </c>
      <c r="P367">
        <v>5.1165817296527819E-2</v>
      </c>
      <c r="Q367" t="s">
        <v>84</v>
      </c>
      <c r="S367" t="s">
        <v>133</v>
      </c>
      <c r="T367" t="s">
        <v>95</v>
      </c>
      <c r="U367">
        <v>3.7473546558366932E-2</v>
      </c>
      <c r="V367" t="s">
        <v>84</v>
      </c>
    </row>
    <row r="368" spans="9:22" x14ac:dyDescent="0.45">
      <c r="I368" t="s">
        <v>102</v>
      </c>
      <c r="J368" t="s">
        <v>186</v>
      </c>
      <c r="K368">
        <v>3.6684165095946216E-3</v>
      </c>
      <c r="L368" t="s">
        <v>84</v>
      </c>
      <c r="N368" t="s">
        <v>118</v>
      </c>
      <c r="O368" t="s">
        <v>186</v>
      </c>
      <c r="P368">
        <v>7.0625921611514311E-3</v>
      </c>
      <c r="Q368" t="s">
        <v>84</v>
      </c>
      <c r="S368" t="s">
        <v>133</v>
      </c>
      <c r="T368" t="s">
        <v>186</v>
      </c>
      <c r="U368">
        <v>6.690115927944577E-3</v>
      </c>
      <c r="V368" t="s">
        <v>84</v>
      </c>
    </row>
    <row r="369" spans="9:22" x14ac:dyDescent="0.45">
      <c r="I369" t="s">
        <v>102</v>
      </c>
      <c r="J369" t="s">
        <v>187</v>
      </c>
      <c r="K369">
        <v>0</v>
      </c>
      <c r="L369" t="s">
        <v>84</v>
      </c>
      <c r="N369" t="s">
        <v>118</v>
      </c>
      <c r="O369" t="s">
        <v>187</v>
      </c>
      <c r="P369">
        <v>6.3203976863358277E-3</v>
      </c>
      <c r="Q369" t="s">
        <v>84</v>
      </c>
      <c r="S369" t="s">
        <v>133</v>
      </c>
      <c r="T369" t="s">
        <v>187</v>
      </c>
      <c r="U369">
        <v>6.7355825152887391E-3</v>
      </c>
      <c r="V369" t="s">
        <v>84</v>
      </c>
    </row>
    <row r="370" spans="9:22" x14ac:dyDescent="0.45">
      <c r="I370" t="s">
        <v>102</v>
      </c>
      <c r="J370" t="s">
        <v>188</v>
      </c>
      <c r="K370">
        <v>0</v>
      </c>
      <c r="L370" t="s">
        <v>84</v>
      </c>
      <c r="N370" t="s">
        <v>118</v>
      </c>
      <c r="O370" t="s">
        <v>188</v>
      </c>
      <c r="P370">
        <v>2.9223719510988646E-2</v>
      </c>
      <c r="Q370" t="s">
        <v>84</v>
      </c>
      <c r="S370" t="s">
        <v>133</v>
      </c>
      <c r="T370" t="s">
        <v>188</v>
      </c>
      <c r="U370">
        <v>3.3944618470622669E-2</v>
      </c>
      <c r="V370" t="s">
        <v>84</v>
      </c>
    </row>
    <row r="371" spans="9:22" x14ac:dyDescent="0.45">
      <c r="I371" t="s">
        <v>102</v>
      </c>
      <c r="J371" t="s">
        <v>189</v>
      </c>
      <c r="K371">
        <v>0</v>
      </c>
      <c r="L371" t="s">
        <v>84</v>
      </c>
      <c r="N371" t="s">
        <v>118</v>
      </c>
      <c r="O371" t="s">
        <v>189</v>
      </c>
      <c r="P371">
        <v>1.6530321766609079E-2</v>
      </c>
      <c r="Q371" t="s">
        <v>84</v>
      </c>
      <c r="S371" t="s">
        <v>133</v>
      </c>
      <c r="T371" t="s">
        <v>189</v>
      </c>
      <c r="U371">
        <v>2.8034463795117714E-2</v>
      </c>
      <c r="V371" t="s">
        <v>84</v>
      </c>
    </row>
    <row r="372" spans="9:22" x14ac:dyDescent="0.45">
      <c r="I372" t="s">
        <v>102</v>
      </c>
      <c r="J372" t="s">
        <v>190</v>
      </c>
      <c r="K372">
        <v>4.0578929898232698E-3</v>
      </c>
      <c r="L372" t="s">
        <v>84</v>
      </c>
      <c r="N372" t="s">
        <v>118</v>
      </c>
      <c r="O372" t="s">
        <v>190</v>
      </c>
      <c r="P372">
        <v>8.5075013232565454E-3</v>
      </c>
      <c r="Q372" t="s">
        <v>84</v>
      </c>
      <c r="S372" t="s">
        <v>133</v>
      </c>
      <c r="T372" t="s">
        <v>190</v>
      </c>
      <c r="U372">
        <v>1.5630155587733223E-2</v>
      </c>
      <c r="V372" t="s">
        <v>84</v>
      </c>
    </row>
    <row r="373" spans="9:22" x14ac:dyDescent="0.45">
      <c r="I373" t="s">
        <v>102</v>
      </c>
      <c r="J373" t="s">
        <v>191</v>
      </c>
      <c r="K373">
        <v>1.4918121959292744E-2</v>
      </c>
      <c r="L373" t="s">
        <v>84</v>
      </c>
      <c r="N373" t="s">
        <v>118</v>
      </c>
      <c r="O373" t="s">
        <v>191</v>
      </c>
      <c r="P373">
        <v>1.3583948443635908E-2</v>
      </c>
      <c r="Q373" t="s">
        <v>84</v>
      </c>
      <c r="S373" t="s">
        <v>133</v>
      </c>
      <c r="T373" t="s">
        <v>191</v>
      </c>
      <c r="U373">
        <v>2.265074749196978E-2</v>
      </c>
      <c r="V373" t="s">
        <v>84</v>
      </c>
    </row>
    <row r="374" spans="9:22" x14ac:dyDescent="0.45">
      <c r="I374" t="s">
        <v>102</v>
      </c>
      <c r="J374" t="s">
        <v>192</v>
      </c>
      <c r="K374">
        <v>0</v>
      </c>
      <c r="L374" t="s">
        <v>84</v>
      </c>
      <c r="N374" t="s">
        <v>118</v>
      </c>
      <c r="O374" t="s">
        <v>192</v>
      </c>
      <c r="P374">
        <v>2.4908632056733658E-3</v>
      </c>
      <c r="Q374" t="s">
        <v>84</v>
      </c>
      <c r="S374" t="s">
        <v>133</v>
      </c>
      <c r="T374" t="s">
        <v>192</v>
      </c>
      <c r="U374">
        <v>3.8642515978666455E-3</v>
      </c>
      <c r="V374" t="s">
        <v>84</v>
      </c>
    </row>
    <row r="375" spans="9:22" x14ac:dyDescent="0.45">
      <c r="I375" t="s">
        <v>102</v>
      </c>
      <c r="J375" t="s">
        <v>193</v>
      </c>
      <c r="K375">
        <v>0</v>
      </c>
      <c r="L375" t="s">
        <v>84</v>
      </c>
      <c r="N375" t="s">
        <v>118</v>
      </c>
      <c r="O375" t="s">
        <v>193</v>
      </c>
      <c r="P375">
        <v>2.404759079702664E-3</v>
      </c>
      <c r="Q375" t="s">
        <v>84</v>
      </c>
      <c r="S375" t="s">
        <v>133</v>
      </c>
      <c r="T375" t="s">
        <v>193</v>
      </c>
      <c r="U375">
        <v>3.9243834412455245E-3</v>
      </c>
      <c r="V375" t="s">
        <v>84</v>
      </c>
    </row>
    <row r="376" spans="9:22" x14ac:dyDescent="0.45">
      <c r="I376" t="s">
        <v>102</v>
      </c>
      <c r="J376" t="s">
        <v>194</v>
      </c>
      <c r="K376">
        <v>0</v>
      </c>
      <c r="L376" t="s">
        <v>84</v>
      </c>
      <c r="N376" t="s">
        <v>118</v>
      </c>
      <c r="O376" t="s">
        <v>194</v>
      </c>
      <c r="P376">
        <v>1.1876389951930915E-2</v>
      </c>
      <c r="Q376" t="s">
        <v>84</v>
      </c>
      <c r="S376" t="s">
        <v>133</v>
      </c>
      <c r="T376" t="s">
        <v>194</v>
      </c>
      <c r="U376">
        <v>1.963133964767089E-2</v>
      </c>
      <c r="V376" t="s">
        <v>84</v>
      </c>
    </row>
    <row r="377" spans="9:22" x14ac:dyDescent="0.45">
      <c r="I377" t="s">
        <v>102</v>
      </c>
      <c r="J377" t="s">
        <v>195</v>
      </c>
      <c r="K377">
        <v>2.5146919265714234E-4</v>
      </c>
      <c r="L377" t="s">
        <v>84</v>
      </c>
      <c r="N377" t="s">
        <v>118</v>
      </c>
      <c r="O377" t="s">
        <v>195</v>
      </c>
      <c r="P377">
        <v>7.3181701979415134E-2</v>
      </c>
      <c r="Q377" t="s">
        <v>84</v>
      </c>
      <c r="S377" t="s">
        <v>133</v>
      </c>
      <c r="T377" t="s">
        <v>195</v>
      </c>
      <c r="U377">
        <v>8.8337345183020041E-2</v>
      </c>
      <c r="V377" t="s">
        <v>84</v>
      </c>
    </row>
    <row r="378" spans="9:22" x14ac:dyDescent="0.45">
      <c r="I378" t="s">
        <v>102</v>
      </c>
      <c r="J378" t="s">
        <v>196</v>
      </c>
      <c r="K378">
        <v>5.0196319691144194E-2</v>
      </c>
      <c r="L378" t="s">
        <v>84</v>
      </c>
      <c r="N378" t="s">
        <v>118</v>
      </c>
      <c r="O378" t="s">
        <v>196</v>
      </c>
      <c r="P378">
        <v>4.0538157028628667E-2</v>
      </c>
      <c r="Q378" t="s">
        <v>84</v>
      </c>
      <c r="S378" t="s">
        <v>133</v>
      </c>
      <c r="T378" t="s">
        <v>196</v>
      </c>
      <c r="U378">
        <v>4.8539288927033873E-2</v>
      </c>
      <c r="V378" t="s">
        <v>84</v>
      </c>
    </row>
    <row r="379" spans="9:22" x14ac:dyDescent="0.45">
      <c r="I379" t="s">
        <v>102</v>
      </c>
      <c r="J379" t="s">
        <v>197</v>
      </c>
      <c r="K379">
        <v>0.10226761427041312</v>
      </c>
      <c r="L379" t="s">
        <v>84</v>
      </c>
      <c r="N379" t="s">
        <v>118</v>
      </c>
      <c r="O379" t="s">
        <v>197</v>
      </c>
      <c r="P379">
        <v>7.3513189433583537E-2</v>
      </c>
      <c r="Q379" t="s">
        <v>84</v>
      </c>
      <c r="S379" t="s">
        <v>133</v>
      </c>
      <c r="T379" t="s">
        <v>197</v>
      </c>
      <c r="U379">
        <v>7.2713957117199843E-2</v>
      </c>
      <c r="V379" t="s">
        <v>84</v>
      </c>
    </row>
    <row r="380" spans="9:22" x14ac:dyDescent="0.45">
      <c r="I380" t="s">
        <v>102</v>
      </c>
      <c r="J380" t="s">
        <v>198</v>
      </c>
      <c r="K380">
        <v>8.9294099143698517E-3</v>
      </c>
      <c r="L380" t="s">
        <v>84</v>
      </c>
      <c r="N380" t="s">
        <v>118</v>
      </c>
      <c r="O380" t="s">
        <v>198</v>
      </c>
      <c r="P380">
        <v>1.0743045084534851E-2</v>
      </c>
      <c r="Q380" t="s">
        <v>84</v>
      </c>
      <c r="S380" t="s">
        <v>133</v>
      </c>
      <c r="T380" t="s">
        <v>198</v>
      </c>
      <c r="U380">
        <v>1.2162215313917039E-2</v>
      </c>
      <c r="V380" t="s">
        <v>84</v>
      </c>
    </row>
    <row r="381" spans="9:22" x14ac:dyDescent="0.45">
      <c r="I381" t="s">
        <v>102</v>
      </c>
      <c r="J381" t="s">
        <v>199</v>
      </c>
      <c r="K381">
        <v>1.3576921646201816E-3</v>
      </c>
      <c r="L381" t="s">
        <v>84</v>
      </c>
      <c r="N381" t="s">
        <v>118</v>
      </c>
      <c r="O381" t="s">
        <v>199</v>
      </c>
      <c r="P381">
        <v>1.0423302720397513E-2</v>
      </c>
      <c r="Q381" t="s">
        <v>84</v>
      </c>
      <c r="S381" t="s">
        <v>133</v>
      </c>
      <c r="T381" t="s">
        <v>199</v>
      </c>
      <c r="U381">
        <v>1.2152098585984285E-2</v>
      </c>
      <c r="V381" t="s">
        <v>84</v>
      </c>
    </row>
    <row r="382" spans="9:22" x14ac:dyDescent="0.45">
      <c r="I382" t="s">
        <v>102</v>
      </c>
      <c r="J382" t="s">
        <v>200</v>
      </c>
      <c r="K382">
        <v>0</v>
      </c>
      <c r="L382" t="s">
        <v>84</v>
      </c>
      <c r="N382" t="s">
        <v>118</v>
      </c>
      <c r="O382" t="s">
        <v>200</v>
      </c>
      <c r="P382">
        <v>5.1211742200523158E-2</v>
      </c>
      <c r="Q382" t="s">
        <v>84</v>
      </c>
      <c r="S382" t="s">
        <v>133</v>
      </c>
      <c r="T382" t="s">
        <v>200</v>
      </c>
      <c r="U382">
        <v>6.0680234849871652E-2</v>
      </c>
      <c r="V382" t="s">
        <v>84</v>
      </c>
    </row>
    <row r="383" spans="9:22" x14ac:dyDescent="0.45">
      <c r="I383" t="s">
        <v>102</v>
      </c>
      <c r="J383" t="s">
        <v>201</v>
      </c>
      <c r="K383">
        <v>5.9708600217112185E-3</v>
      </c>
      <c r="L383" t="s">
        <v>84</v>
      </c>
      <c r="N383" t="s">
        <v>118</v>
      </c>
      <c r="O383" t="s">
        <v>201</v>
      </c>
      <c r="P383">
        <v>4.6429092779344823E-2</v>
      </c>
      <c r="Q383" t="s">
        <v>84</v>
      </c>
      <c r="S383" t="s">
        <v>133</v>
      </c>
      <c r="T383" t="s">
        <v>201</v>
      </c>
      <c r="U383">
        <v>2.4815310526927297E-2</v>
      </c>
      <c r="V383" t="s">
        <v>84</v>
      </c>
    </row>
    <row r="384" spans="9:22" x14ac:dyDescent="0.45">
      <c r="I384" t="s">
        <v>102</v>
      </c>
      <c r="J384" t="s">
        <v>202</v>
      </c>
      <c r="K384">
        <v>3.8396640869078055E-2</v>
      </c>
      <c r="L384" t="s">
        <v>84</v>
      </c>
      <c r="N384" t="s">
        <v>118</v>
      </c>
      <c r="O384" t="s">
        <v>202</v>
      </c>
      <c r="P384">
        <v>2.8750458687750682E-2</v>
      </c>
      <c r="Q384" t="s">
        <v>84</v>
      </c>
      <c r="S384" t="s">
        <v>133</v>
      </c>
      <c r="T384" t="s">
        <v>202</v>
      </c>
      <c r="U384">
        <v>1.3283938111835127E-2</v>
      </c>
      <c r="V384" t="s">
        <v>84</v>
      </c>
    </row>
    <row r="385" spans="9:22" x14ac:dyDescent="0.45">
      <c r="I385" t="s">
        <v>102</v>
      </c>
      <c r="J385" t="s">
        <v>203</v>
      </c>
      <c r="K385">
        <v>6.1741142750010081E-2</v>
      </c>
      <c r="L385" t="s">
        <v>84</v>
      </c>
      <c r="N385" t="s">
        <v>118</v>
      </c>
      <c r="O385" t="s">
        <v>203</v>
      </c>
      <c r="P385">
        <v>5.3915225522737843E-2</v>
      </c>
      <c r="Q385" t="s">
        <v>84</v>
      </c>
      <c r="S385" t="s">
        <v>133</v>
      </c>
      <c r="T385" t="s">
        <v>203</v>
      </c>
      <c r="U385">
        <v>2.2106651749587432E-2</v>
      </c>
      <c r="V385" t="s">
        <v>84</v>
      </c>
    </row>
    <row r="386" spans="9:22" x14ac:dyDescent="0.45">
      <c r="I386" t="s">
        <v>102</v>
      </c>
      <c r="J386" t="s">
        <v>204</v>
      </c>
      <c r="K386">
        <v>7.5273334577179631E-3</v>
      </c>
      <c r="L386" t="s">
        <v>84</v>
      </c>
      <c r="N386" t="s">
        <v>118</v>
      </c>
      <c r="O386" t="s">
        <v>204</v>
      </c>
      <c r="P386">
        <v>7.4482010419545646E-3</v>
      </c>
      <c r="Q386" t="s">
        <v>84</v>
      </c>
      <c r="S386" t="s">
        <v>133</v>
      </c>
      <c r="T386" t="s">
        <v>204</v>
      </c>
      <c r="U386">
        <v>3.9465986131940129E-3</v>
      </c>
      <c r="V386" t="s">
        <v>84</v>
      </c>
    </row>
    <row r="387" spans="9:22" x14ac:dyDescent="0.45">
      <c r="I387" t="s">
        <v>102</v>
      </c>
      <c r="J387" t="s">
        <v>205</v>
      </c>
      <c r="K387">
        <v>5.4209777018717096E-3</v>
      </c>
      <c r="L387" t="s">
        <v>84</v>
      </c>
      <c r="N387" t="s">
        <v>118</v>
      </c>
      <c r="O387" t="s">
        <v>205</v>
      </c>
      <c r="P387">
        <v>6.9000697247936808E-3</v>
      </c>
      <c r="Q387" t="s">
        <v>84</v>
      </c>
      <c r="S387" t="s">
        <v>133</v>
      </c>
      <c r="T387" t="s">
        <v>205</v>
      </c>
      <c r="U387">
        <v>3.9618059188946658E-3</v>
      </c>
      <c r="V387" t="s">
        <v>84</v>
      </c>
    </row>
    <row r="388" spans="9:22" x14ac:dyDescent="0.45">
      <c r="I388" t="s">
        <v>102</v>
      </c>
      <c r="J388" t="s">
        <v>206</v>
      </c>
      <c r="K388">
        <v>0</v>
      </c>
      <c r="L388" t="s">
        <v>84</v>
      </c>
      <c r="N388" t="s">
        <v>118</v>
      </c>
      <c r="O388" t="s">
        <v>206</v>
      </c>
      <c r="P388">
        <v>2.889275916870505E-2</v>
      </c>
      <c r="Q388" t="s">
        <v>84</v>
      </c>
      <c r="S388" t="s">
        <v>133</v>
      </c>
      <c r="T388" t="s">
        <v>206</v>
      </c>
      <c r="U388">
        <v>1.977058578875868E-2</v>
      </c>
      <c r="V388" t="s">
        <v>84</v>
      </c>
    </row>
    <row r="389" spans="9:22" x14ac:dyDescent="0.45">
      <c r="I389" t="s">
        <v>102</v>
      </c>
      <c r="J389" t="s">
        <v>207</v>
      </c>
      <c r="K389">
        <v>2.0494156987491491E-2</v>
      </c>
      <c r="L389" t="s">
        <v>84</v>
      </c>
      <c r="N389" t="s">
        <v>118</v>
      </c>
      <c r="O389" t="s">
        <v>207</v>
      </c>
      <c r="P389">
        <v>2.2996406081166737E-2</v>
      </c>
      <c r="Q389" t="s">
        <v>84</v>
      </c>
      <c r="S389" t="s">
        <v>133</v>
      </c>
      <c r="T389" t="s">
        <v>207</v>
      </c>
      <c r="U389">
        <v>3.9524144219753254E-2</v>
      </c>
      <c r="V389" t="s">
        <v>84</v>
      </c>
    </row>
    <row r="390" spans="9:22" x14ac:dyDescent="0.45">
      <c r="I390" t="s">
        <v>102</v>
      </c>
      <c r="J390" t="s">
        <v>208</v>
      </c>
      <c r="K390">
        <v>7.8851862714480858E-2</v>
      </c>
      <c r="L390" t="s">
        <v>84</v>
      </c>
      <c r="N390" t="s">
        <v>118</v>
      </c>
      <c r="O390" t="s">
        <v>208</v>
      </c>
      <c r="P390">
        <v>1.9850633932736516E-2</v>
      </c>
      <c r="Q390" t="s">
        <v>84</v>
      </c>
      <c r="S390" t="s">
        <v>133</v>
      </c>
      <c r="T390" t="s">
        <v>208</v>
      </c>
      <c r="U390">
        <v>2.0472879836511595E-2</v>
      </c>
      <c r="V390" t="s">
        <v>84</v>
      </c>
    </row>
    <row r="391" spans="9:22" x14ac:dyDescent="0.45">
      <c r="I391" t="s">
        <v>102</v>
      </c>
      <c r="J391" t="s">
        <v>209</v>
      </c>
      <c r="K391">
        <v>0.12643128192043476</v>
      </c>
      <c r="L391" t="s">
        <v>84</v>
      </c>
      <c r="N391" t="s">
        <v>118</v>
      </c>
      <c r="O391" t="s">
        <v>209</v>
      </c>
      <c r="P391">
        <v>4.7288475426810153E-2</v>
      </c>
      <c r="Q391" t="s">
        <v>84</v>
      </c>
      <c r="S391" t="s">
        <v>133</v>
      </c>
      <c r="T391" t="s">
        <v>209</v>
      </c>
      <c r="U391">
        <v>2.9181832473907227E-2</v>
      </c>
      <c r="V391" t="s">
        <v>84</v>
      </c>
    </row>
    <row r="392" spans="9:22" x14ac:dyDescent="0.45">
      <c r="I392" t="s">
        <v>102</v>
      </c>
      <c r="J392" t="s">
        <v>210</v>
      </c>
      <c r="K392">
        <v>1.4678844404184776E-2</v>
      </c>
      <c r="L392" t="s">
        <v>84</v>
      </c>
      <c r="N392" t="s">
        <v>118</v>
      </c>
      <c r="O392" t="s">
        <v>210</v>
      </c>
      <c r="P392">
        <v>6.0469374891290771E-3</v>
      </c>
      <c r="Q392" t="s">
        <v>84</v>
      </c>
      <c r="S392" t="s">
        <v>133</v>
      </c>
      <c r="T392" t="s">
        <v>210</v>
      </c>
      <c r="U392">
        <v>5.1820957763008902E-3</v>
      </c>
      <c r="V392" t="s">
        <v>84</v>
      </c>
    </row>
    <row r="393" spans="9:22" x14ac:dyDescent="0.45">
      <c r="I393" t="s">
        <v>102</v>
      </c>
      <c r="J393" t="s">
        <v>211</v>
      </c>
      <c r="K393">
        <v>1.1634432047109105E-2</v>
      </c>
      <c r="L393" t="s">
        <v>84</v>
      </c>
      <c r="N393" t="s">
        <v>118</v>
      </c>
      <c r="O393" t="s">
        <v>211</v>
      </c>
      <c r="P393">
        <v>5.0353490160051136E-3</v>
      </c>
      <c r="Q393" t="s">
        <v>84</v>
      </c>
      <c r="S393" t="s">
        <v>133</v>
      </c>
      <c r="T393" t="s">
        <v>211</v>
      </c>
      <c r="U393">
        <v>5.4306017294708424E-3</v>
      </c>
      <c r="V393" t="s">
        <v>84</v>
      </c>
    </row>
    <row r="394" spans="9:22" x14ac:dyDescent="0.45">
      <c r="I394" t="s">
        <v>102</v>
      </c>
      <c r="J394" t="s">
        <v>212</v>
      </c>
      <c r="K394">
        <v>6.7105740338128175E-3</v>
      </c>
      <c r="L394" t="s">
        <v>84</v>
      </c>
      <c r="N394" t="s">
        <v>118</v>
      </c>
      <c r="O394" t="s">
        <v>212</v>
      </c>
      <c r="P394">
        <v>1.8083859372486646E-2</v>
      </c>
      <c r="Q394" t="s">
        <v>84</v>
      </c>
      <c r="S394" t="s">
        <v>133</v>
      </c>
      <c r="T394" t="s">
        <v>212</v>
      </c>
      <c r="U394">
        <v>2.9079321692100611E-2</v>
      </c>
      <c r="V394" t="s">
        <v>84</v>
      </c>
    </row>
    <row r="395" spans="9:22" x14ac:dyDescent="0.45">
      <c r="I395" t="s">
        <v>103</v>
      </c>
      <c r="J395" t="s">
        <v>83</v>
      </c>
      <c r="K395">
        <v>5.3951592681080506E-3</v>
      </c>
      <c r="L395" t="s">
        <v>84</v>
      </c>
      <c r="N395" t="s">
        <v>119</v>
      </c>
      <c r="O395" t="s">
        <v>83</v>
      </c>
      <c r="P395">
        <v>2.6737397812918888E-2</v>
      </c>
      <c r="Q395" t="s">
        <v>84</v>
      </c>
      <c r="S395" t="s">
        <v>134</v>
      </c>
      <c r="T395" t="s">
        <v>83</v>
      </c>
      <c r="U395">
        <v>2.1566374664203341E-2</v>
      </c>
      <c r="V395" t="s">
        <v>84</v>
      </c>
    </row>
    <row r="396" spans="9:22" x14ac:dyDescent="0.45">
      <c r="I396" t="s">
        <v>103</v>
      </c>
      <c r="J396" t="s">
        <v>85</v>
      </c>
      <c r="K396">
        <v>4.0600756363833992E-2</v>
      </c>
      <c r="L396" t="s">
        <v>84</v>
      </c>
      <c r="N396" t="s">
        <v>119</v>
      </c>
      <c r="O396" t="s">
        <v>85</v>
      </c>
      <c r="P396">
        <v>1.4897958491951755E-2</v>
      </c>
      <c r="Q396" t="s">
        <v>84</v>
      </c>
      <c r="S396" t="s">
        <v>134</v>
      </c>
      <c r="T396" t="s">
        <v>85</v>
      </c>
      <c r="U396">
        <v>1.4058846291075943E-2</v>
      </c>
      <c r="V396" t="s">
        <v>84</v>
      </c>
    </row>
    <row r="397" spans="9:22" x14ac:dyDescent="0.45">
      <c r="I397" t="s">
        <v>103</v>
      </c>
      <c r="J397" t="s">
        <v>86</v>
      </c>
      <c r="K397">
        <v>7.6574385446251891E-2</v>
      </c>
      <c r="L397" t="s">
        <v>84</v>
      </c>
      <c r="N397" t="s">
        <v>119</v>
      </c>
      <c r="O397" t="s">
        <v>86</v>
      </c>
      <c r="P397">
        <v>2.5353490289798993E-2</v>
      </c>
      <c r="Q397" t="s">
        <v>84</v>
      </c>
      <c r="S397" t="s">
        <v>134</v>
      </c>
      <c r="T397" t="s">
        <v>86</v>
      </c>
      <c r="U397">
        <v>2.6615899101131962E-2</v>
      </c>
      <c r="V397" t="s">
        <v>84</v>
      </c>
    </row>
    <row r="398" spans="9:22" x14ac:dyDescent="0.45">
      <c r="I398" t="s">
        <v>103</v>
      </c>
      <c r="J398" t="s">
        <v>177</v>
      </c>
      <c r="K398">
        <v>1.0092617892724467E-2</v>
      </c>
      <c r="L398" t="s">
        <v>84</v>
      </c>
      <c r="N398" t="s">
        <v>119</v>
      </c>
      <c r="O398" t="s">
        <v>177</v>
      </c>
      <c r="P398">
        <v>3.9754543683521481E-3</v>
      </c>
      <c r="Q398" t="s">
        <v>84</v>
      </c>
      <c r="S398" t="s">
        <v>134</v>
      </c>
      <c r="T398" t="s">
        <v>177</v>
      </c>
      <c r="U398">
        <v>4.5236354471314914E-3</v>
      </c>
      <c r="V398" t="s">
        <v>84</v>
      </c>
    </row>
    <row r="399" spans="9:22" x14ac:dyDescent="0.45">
      <c r="I399" t="s">
        <v>103</v>
      </c>
      <c r="J399" t="s">
        <v>178</v>
      </c>
      <c r="K399">
        <v>9.0207585007907702E-3</v>
      </c>
      <c r="L399" t="s">
        <v>84</v>
      </c>
      <c r="N399" t="s">
        <v>119</v>
      </c>
      <c r="O399" t="s">
        <v>178</v>
      </c>
      <c r="P399">
        <v>3.7724867646274618E-3</v>
      </c>
      <c r="Q399" t="s">
        <v>84</v>
      </c>
      <c r="S399" t="s">
        <v>134</v>
      </c>
      <c r="T399" t="s">
        <v>178</v>
      </c>
      <c r="U399">
        <v>4.1952299940400213E-3</v>
      </c>
      <c r="V399" t="s">
        <v>84</v>
      </c>
    </row>
    <row r="400" spans="9:22" x14ac:dyDescent="0.45">
      <c r="I400" t="s">
        <v>103</v>
      </c>
      <c r="J400" t="s">
        <v>179</v>
      </c>
      <c r="K400">
        <v>5.9084145227329696E-3</v>
      </c>
      <c r="L400" t="s">
        <v>84</v>
      </c>
      <c r="N400" t="s">
        <v>119</v>
      </c>
      <c r="O400" t="s">
        <v>179</v>
      </c>
      <c r="P400">
        <v>1.7750284376316004E-2</v>
      </c>
      <c r="Q400" t="s">
        <v>84</v>
      </c>
      <c r="S400" t="s">
        <v>134</v>
      </c>
      <c r="T400" t="s">
        <v>179</v>
      </c>
      <c r="U400">
        <v>1.8487675227174458E-2</v>
      </c>
      <c r="V400" t="s">
        <v>84</v>
      </c>
    </row>
    <row r="401" spans="9:22" x14ac:dyDescent="0.45">
      <c r="I401" t="s">
        <v>103</v>
      </c>
      <c r="J401" t="s">
        <v>87</v>
      </c>
      <c r="K401">
        <v>3.4334230520037959E-3</v>
      </c>
      <c r="L401" t="s">
        <v>84</v>
      </c>
      <c r="N401" t="s">
        <v>119</v>
      </c>
      <c r="O401" t="s">
        <v>87</v>
      </c>
      <c r="P401">
        <v>1.6870108046944929E-2</v>
      </c>
      <c r="Q401" t="s">
        <v>84</v>
      </c>
      <c r="S401" t="s">
        <v>134</v>
      </c>
      <c r="T401" t="s">
        <v>87</v>
      </c>
      <c r="U401">
        <v>9.8747472173165117E-3</v>
      </c>
      <c r="V401" t="s">
        <v>84</v>
      </c>
    </row>
    <row r="402" spans="9:22" x14ac:dyDescent="0.45">
      <c r="I402" t="s">
        <v>103</v>
      </c>
      <c r="J402" t="s">
        <v>88</v>
      </c>
      <c r="K402">
        <v>3.3919394455076871E-2</v>
      </c>
      <c r="L402" t="s">
        <v>84</v>
      </c>
      <c r="N402" t="s">
        <v>119</v>
      </c>
      <c r="O402" t="s">
        <v>88</v>
      </c>
      <c r="P402">
        <v>9.0619712315647399E-3</v>
      </c>
      <c r="Q402" t="s">
        <v>84</v>
      </c>
      <c r="S402" t="s">
        <v>134</v>
      </c>
      <c r="T402" t="s">
        <v>88</v>
      </c>
      <c r="U402">
        <v>5.7468643223093138E-3</v>
      </c>
      <c r="V402" t="s">
        <v>84</v>
      </c>
    </row>
    <row r="403" spans="9:22" x14ac:dyDescent="0.45">
      <c r="I403" t="s">
        <v>103</v>
      </c>
      <c r="J403" t="s">
        <v>89</v>
      </c>
      <c r="K403">
        <v>6.5568484995961226E-2</v>
      </c>
      <c r="L403" t="s">
        <v>84</v>
      </c>
      <c r="N403" t="s">
        <v>119</v>
      </c>
      <c r="O403" t="s">
        <v>89</v>
      </c>
      <c r="P403">
        <v>1.7489149045311559E-2</v>
      </c>
      <c r="Q403" t="s">
        <v>84</v>
      </c>
      <c r="S403" t="s">
        <v>134</v>
      </c>
      <c r="T403" t="s">
        <v>89</v>
      </c>
      <c r="U403">
        <v>1.2719337068070569E-2</v>
      </c>
      <c r="V403" t="s">
        <v>84</v>
      </c>
    </row>
    <row r="404" spans="9:22" x14ac:dyDescent="0.45">
      <c r="I404" t="s">
        <v>103</v>
      </c>
      <c r="J404" t="s">
        <v>180</v>
      </c>
      <c r="K404">
        <v>9.3862786900528027E-3</v>
      </c>
      <c r="L404" t="s">
        <v>84</v>
      </c>
      <c r="N404" t="s">
        <v>119</v>
      </c>
      <c r="O404" t="s">
        <v>180</v>
      </c>
      <c r="P404">
        <v>2.9989376058822768E-3</v>
      </c>
      <c r="Q404" t="s">
        <v>84</v>
      </c>
      <c r="S404" t="s">
        <v>134</v>
      </c>
      <c r="T404" t="s">
        <v>180</v>
      </c>
      <c r="U404">
        <v>2.9043316693030778E-3</v>
      </c>
      <c r="V404" t="s">
        <v>84</v>
      </c>
    </row>
    <row r="405" spans="9:22" x14ac:dyDescent="0.45">
      <c r="I405" t="s">
        <v>103</v>
      </c>
      <c r="J405" t="s">
        <v>181</v>
      </c>
      <c r="K405">
        <v>7.9440768516049129E-3</v>
      </c>
      <c r="L405" t="s">
        <v>84</v>
      </c>
      <c r="N405" t="s">
        <v>119</v>
      </c>
      <c r="O405" t="s">
        <v>181</v>
      </c>
      <c r="P405">
        <v>3.0032376335479036E-3</v>
      </c>
      <c r="Q405" t="s">
        <v>84</v>
      </c>
      <c r="S405" t="s">
        <v>134</v>
      </c>
      <c r="T405" t="s">
        <v>181</v>
      </c>
      <c r="U405">
        <v>2.8661976899083852E-3</v>
      </c>
      <c r="V405" t="s">
        <v>84</v>
      </c>
    </row>
    <row r="406" spans="9:22" x14ac:dyDescent="0.45">
      <c r="I406" t="s">
        <v>103</v>
      </c>
      <c r="J406" t="s">
        <v>182</v>
      </c>
      <c r="K406">
        <v>4.9919323415890306E-3</v>
      </c>
      <c r="L406" t="s">
        <v>84</v>
      </c>
      <c r="N406" t="s">
        <v>119</v>
      </c>
      <c r="O406" t="s">
        <v>182</v>
      </c>
      <c r="P406">
        <v>1.3995465621526546E-2</v>
      </c>
      <c r="Q406" t="s">
        <v>84</v>
      </c>
      <c r="S406" t="s">
        <v>134</v>
      </c>
      <c r="T406" t="s">
        <v>182</v>
      </c>
      <c r="U406">
        <v>1.0409961139881232E-2</v>
      </c>
      <c r="V406" t="s">
        <v>84</v>
      </c>
    </row>
    <row r="407" spans="9:22" x14ac:dyDescent="0.45">
      <c r="I407" t="s">
        <v>103</v>
      </c>
      <c r="J407" t="s">
        <v>90</v>
      </c>
      <c r="K407">
        <v>0</v>
      </c>
      <c r="L407" t="s">
        <v>84</v>
      </c>
      <c r="N407" t="s">
        <v>119</v>
      </c>
      <c r="O407" t="s">
        <v>90</v>
      </c>
      <c r="P407">
        <v>1.7734138175326684E-2</v>
      </c>
      <c r="Q407" t="s">
        <v>84</v>
      </c>
      <c r="S407" t="s">
        <v>134</v>
      </c>
      <c r="T407" t="s">
        <v>90</v>
      </c>
      <c r="U407">
        <v>1.0544516593747172E-2</v>
      </c>
      <c r="V407" t="s">
        <v>84</v>
      </c>
    </row>
    <row r="408" spans="9:22" x14ac:dyDescent="0.45">
      <c r="I408" t="s">
        <v>103</v>
      </c>
      <c r="J408" t="s">
        <v>91</v>
      </c>
      <c r="K408">
        <v>2.4458056821217274E-2</v>
      </c>
      <c r="L408" t="s">
        <v>84</v>
      </c>
      <c r="N408" t="s">
        <v>119</v>
      </c>
      <c r="O408" t="s">
        <v>91</v>
      </c>
      <c r="P408">
        <v>8.8109869169107052E-3</v>
      </c>
      <c r="Q408" t="s">
        <v>84</v>
      </c>
      <c r="S408" t="s">
        <v>134</v>
      </c>
      <c r="T408" t="s">
        <v>91</v>
      </c>
      <c r="U408">
        <v>6.6776038431532831E-3</v>
      </c>
      <c r="V408" t="s">
        <v>84</v>
      </c>
    </row>
    <row r="409" spans="9:22" x14ac:dyDescent="0.45">
      <c r="I409" t="s">
        <v>103</v>
      </c>
      <c r="J409" t="s">
        <v>92</v>
      </c>
      <c r="K409">
        <v>5.1096700422266092E-2</v>
      </c>
      <c r="L409" t="s">
        <v>84</v>
      </c>
      <c r="N409" t="s">
        <v>119</v>
      </c>
      <c r="O409" t="s">
        <v>92</v>
      </c>
      <c r="P409">
        <v>1.6491542502155745E-2</v>
      </c>
      <c r="Q409" t="s">
        <v>84</v>
      </c>
      <c r="S409" t="s">
        <v>134</v>
      </c>
      <c r="T409" t="s">
        <v>92</v>
      </c>
      <c r="U409">
        <v>1.3440619449697643E-2</v>
      </c>
      <c r="V409" t="s">
        <v>84</v>
      </c>
    </row>
    <row r="410" spans="9:22" x14ac:dyDescent="0.45">
      <c r="I410" t="s">
        <v>103</v>
      </c>
      <c r="J410" t="s">
        <v>183</v>
      </c>
      <c r="K410">
        <v>7.0833692887296582E-3</v>
      </c>
      <c r="L410" t="s">
        <v>84</v>
      </c>
      <c r="N410" t="s">
        <v>119</v>
      </c>
      <c r="O410" t="s">
        <v>183</v>
      </c>
      <c r="P410">
        <v>2.8905129819456537E-3</v>
      </c>
      <c r="Q410" t="s">
        <v>84</v>
      </c>
      <c r="S410" t="s">
        <v>134</v>
      </c>
      <c r="T410" t="s">
        <v>183</v>
      </c>
      <c r="U410">
        <v>2.6834192108476668E-3</v>
      </c>
      <c r="V410" t="s">
        <v>84</v>
      </c>
    </row>
    <row r="411" spans="9:22" x14ac:dyDescent="0.45">
      <c r="I411" t="s">
        <v>103</v>
      </c>
      <c r="J411" t="s">
        <v>184</v>
      </c>
      <c r="K411">
        <v>5.4959725082033535E-3</v>
      </c>
      <c r="L411" t="s">
        <v>84</v>
      </c>
      <c r="N411" t="s">
        <v>119</v>
      </c>
      <c r="O411" t="s">
        <v>184</v>
      </c>
      <c r="P411">
        <v>2.9783718716865876E-3</v>
      </c>
      <c r="Q411" t="s">
        <v>84</v>
      </c>
      <c r="S411" t="s">
        <v>134</v>
      </c>
      <c r="T411" t="s">
        <v>184</v>
      </c>
      <c r="U411">
        <v>2.5912416120513564E-3</v>
      </c>
      <c r="V411" t="s">
        <v>84</v>
      </c>
    </row>
    <row r="412" spans="9:22" x14ac:dyDescent="0.45">
      <c r="I412" t="s">
        <v>103</v>
      </c>
      <c r="J412" t="s">
        <v>185</v>
      </c>
      <c r="K412">
        <v>0</v>
      </c>
      <c r="L412" t="s">
        <v>84</v>
      </c>
      <c r="N412" t="s">
        <v>119</v>
      </c>
      <c r="O412" t="s">
        <v>185</v>
      </c>
      <c r="P412">
        <v>1.4809099685823236E-2</v>
      </c>
      <c r="Q412" t="s">
        <v>84</v>
      </c>
      <c r="S412" t="s">
        <v>134</v>
      </c>
      <c r="T412" t="s">
        <v>185</v>
      </c>
      <c r="U412">
        <v>9.4380232853920523E-3</v>
      </c>
      <c r="V412" t="s">
        <v>84</v>
      </c>
    </row>
    <row r="413" spans="9:22" x14ac:dyDescent="0.45">
      <c r="I413" t="s">
        <v>103</v>
      </c>
      <c r="J413" t="s">
        <v>93</v>
      </c>
      <c r="K413">
        <v>0</v>
      </c>
      <c r="L413" t="s">
        <v>84</v>
      </c>
      <c r="N413" t="s">
        <v>119</v>
      </c>
      <c r="O413" t="s">
        <v>93</v>
      </c>
      <c r="P413">
        <v>5.2551990845177102E-2</v>
      </c>
      <c r="Q413" t="s">
        <v>84</v>
      </c>
      <c r="S413" t="s">
        <v>134</v>
      </c>
      <c r="T413" t="s">
        <v>93</v>
      </c>
      <c r="U413">
        <v>4.7175946438178122E-2</v>
      </c>
      <c r="V413" t="s">
        <v>84</v>
      </c>
    </row>
    <row r="414" spans="9:22" x14ac:dyDescent="0.45">
      <c r="I414" t="s">
        <v>103</v>
      </c>
      <c r="J414" t="s">
        <v>94</v>
      </c>
      <c r="K414">
        <v>2.5337374036576002E-2</v>
      </c>
      <c r="L414" t="s">
        <v>84</v>
      </c>
      <c r="N414" t="s">
        <v>119</v>
      </c>
      <c r="O414" t="s">
        <v>94</v>
      </c>
      <c r="P414">
        <v>2.9525760686179448E-2</v>
      </c>
      <c r="Q414" t="s">
        <v>84</v>
      </c>
      <c r="S414" t="s">
        <v>134</v>
      </c>
      <c r="T414" t="s">
        <v>94</v>
      </c>
      <c r="U414">
        <v>2.2664159999563383E-2</v>
      </c>
      <c r="V414" t="s">
        <v>84</v>
      </c>
    </row>
    <row r="415" spans="9:22" x14ac:dyDescent="0.45">
      <c r="I415" t="s">
        <v>103</v>
      </c>
      <c r="J415" t="s">
        <v>95</v>
      </c>
      <c r="K415">
        <v>5.9581209446498994E-2</v>
      </c>
      <c r="L415" t="s">
        <v>84</v>
      </c>
      <c r="N415" t="s">
        <v>119</v>
      </c>
      <c r="O415" t="s">
        <v>95</v>
      </c>
      <c r="P415">
        <v>4.7893694264945275E-2</v>
      </c>
      <c r="Q415" t="s">
        <v>84</v>
      </c>
      <c r="S415" t="s">
        <v>134</v>
      </c>
      <c r="T415" t="s">
        <v>95</v>
      </c>
      <c r="U415">
        <v>4.1153611984491661E-2</v>
      </c>
      <c r="V415" t="s">
        <v>84</v>
      </c>
    </row>
    <row r="416" spans="9:22" x14ac:dyDescent="0.45">
      <c r="I416" t="s">
        <v>103</v>
      </c>
      <c r="J416" t="s">
        <v>186</v>
      </c>
      <c r="K416">
        <v>4.809034222390529E-3</v>
      </c>
      <c r="L416" t="s">
        <v>84</v>
      </c>
      <c r="N416" t="s">
        <v>119</v>
      </c>
      <c r="O416" t="s">
        <v>186</v>
      </c>
      <c r="P416">
        <v>8.0150172609641055E-3</v>
      </c>
      <c r="Q416" t="s">
        <v>84</v>
      </c>
      <c r="S416" t="s">
        <v>134</v>
      </c>
      <c r="T416" t="s">
        <v>186</v>
      </c>
      <c r="U416">
        <v>6.7792481481870883E-3</v>
      </c>
      <c r="V416" t="s">
        <v>84</v>
      </c>
    </row>
    <row r="417" spans="9:22" x14ac:dyDescent="0.45">
      <c r="I417" t="s">
        <v>103</v>
      </c>
      <c r="J417" t="s">
        <v>187</v>
      </c>
      <c r="K417">
        <v>8.7079376234935778E-6</v>
      </c>
      <c r="L417" t="s">
        <v>84</v>
      </c>
      <c r="N417" t="s">
        <v>119</v>
      </c>
      <c r="O417" t="s">
        <v>187</v>
      </c>
      <c r="P417">
        <v>8.00505245204307E-3</v>
      </c>
      <c r="Q417" t="s">
        <v>84</v>
      </c>
      <c r="S417" t="s">
        <v>134</v>
      </c>
      <c r="T417" t="s">
        <v>187</v>
      </c>
      <c r="U417">
        <v>6.9625990318921841E-3</v>
      </c>
      <c r="V417" t="s">
        <v>84</v>
      </c>
    </row>
    <row r="418" spans="9:22" x14ac:dyDescent="0.45">
      <c r="I418" t="s">
        <v>103</v>
      </c>
      <c r="J418" t="s">
        <v>188</v>
      </c>
      <c r="K418">
        <v>0</v>
      </c>
      <c r="L418" t="s">
        <v>84</v>
      </c>
      <c r="N418" t="s">
        <v>119</v>
      </c>
      <c r="O418" t="s">
        <v>188</v>
      </c>
      <c r="P418">
        <v>3.8258365050309974E-2</v>
      </c>
      <c r="Q418" t="s">
        <v>84</v>
      </c>
      <c r="S418" t="s">
        <v>134</v>
      </c>
      <c r="T418" t="s">
        <v>188</v>
      </c>
      <c r="U418">
        <v>3.5636926425942531E-2</v>
      </c>
      <c r="V418" t="s">
        <v>84</v>
      </c>
    </row>
    <row r="419" spans="9:22" x14ac:dyDescent="0.45">
      <c r="I419" t="s">
        <v>103</v>
      </c>
      <c r="J419" t="s">
        <v>189</v>
      </c>
      <c r="K419">
        <v>0</v>
      </c>
      <c r="L419" t="s">
        <v>84</v>
      </c>
      <c r="N419" t="s">
        <v>119</v>
      </c>
      <c r="O419" t="s">
        <v>189</v>
      </c>
      <c r="P419">
        <v>2.2891213090244854E-2</v>
      </c>
      <c r="Q419" t="s">
        <v>84</v>
      </c>
      <c r="S419" t="s">
        <v>134</v>
      </c>
      <c r="T419" t="s">
        <v>189</v>
      </c>
      <c r="U419">
        <v>2.3483256315902482E-2</v>
      </c>
      <c r="V419" t="s">
        <v>84</v>
      </c>
    </row>
    <row r="420" spans="9:22" x14ac:dyDescent="0.45">
      <c r="I420" t="s">
        <v>103</v>
      </c>
      <c r="J420" t="s">
        <v>190</v>
      </c>
      <c r="K420">
        <v>5.2421829193682757E-3</v>
      </c>
      <c r="L420" t="s">
        <v>84</v>
      </c>
      <c r="N420" t="s">
        <v>119</v>
      </c>
      <c r="O420" t="s">
        <v>190</v>
      </c>
      <c r="P420">
        <v>1.22540742362561E-2</v>
      </c>
      <c r="Q420" t="s">
        <v>84</v>
      </c>
      <c r="S420" t="s">
        <v>134</v>
      </c>
      <c r="T420" t="s">
        <v>190</v>
      </c>
      <c r="U420">
        <v>1.4625557307105871E-2</v>
      </c>
      <c r="V420" t="s">
        <v>84</v>
      </c>
    </row>
    <row r="421" spans="9:22" x14ac:dyDescent="0.45">
      <c r="I421" t="s">
        <v>103</v>
      </c>
      <c r="J421" t="s">
        <v>191</v>
      </c>
      <c r="K421">
        <v>1.8754639795785816E-2</v>
      </c>
      <c r="L421" t="s">
        <v>84</v>
      </c>
      <c r="N421" t="s">
        <v>119</v>
      </c>
      <c r="O421" t="s">
        <v>191</v>
      </c>
      <c r="P421">
        <v>1.8488682589242956E-2</v>
      </c>
      <c r="Q421" t="s">
        <v>84</v>
      </c>
      <c r="S421" t="s">
        <v>134</v>
      </c>
      <c r="T421" t="s">
        <v>191</v>
      </c>
      <c r="U421">
        <v>2.5565764285149166E-2</v>
      </c>
      <c r="V421" t="s">
        <v>84</v>
      </c>
    </row>
    <row r="422" spans="9:22" x14ac:dyDescent="0.45">
      <c r="I422" t="s">
        <v>103</v>
      </c>
      <c r="J422" t="s">
        <v>192</v>
      </c>
      <c r="K422">
        <v>0</v>
      </c>
      <c r="L422" t="s">
        <v>84</v>
      </c>
      <c r="N422" t="s">
        <v>119</v>
      </c>
      <c r="O422" t="s">
        <v>192</v>
      </c>
      <c r="P422">
        <v>3.162596383689232E-3</v>
      </c>
      <c r="Q422" t="s">
        <v>84</v>
      </c>
      <c r="S422" t="s">
        <v>134</v>
      </c>
      <c r="T422" t="s">
        <v>192</v>
      </c>
      <c r="U422">
        <v>3.8525049719523303E-3</v>
      </c>
      <c r="V422" t="s">
        <v>84</v>
      </c>
    </row>
    <row r="423" spans="9:22" x14ac:dyDescent="0.45">
      <c r="I423" t="s">
        <v>103</v>
      </c>
      <c r="J423" t="s">
        <v>193</v>
      </c>
      <c r="K423">
        <v>0</v>
      </c>
      <c r="L423" t="s">
        <v>84</v>
      </c>
      <c r="N423" t="s">
        <v>119</v>
      </c>
      <c r="O423" t="s">
        <v>193</v>
      </c>
      <c r="P423">
        <v>3.2285340818708095E-3</v>
      </c>
      <c r="Q423" t="s">
        <v>84</v>
      </c>
      <c r="S423" t="s">
        <v>134</v>
      </c>
      <c r="T423" t="s">
        <v>193</v>
      </c>
      <c r="U423">
        <v>3.6671465749262078E-3</v>
      </c>
      <c r="V423" t="s">
        <v>84</v>
      </c>
    </row>
    <row r="424" spans="9:22" x14ac:dyDescent="0.45">
      <c r="I424" t="s">
        <v>103</v>
      </c>
      <c r="J424" t="s">
        <v>194</v>
      </c>
      <c r="K424">
        <v>0</v>
      </c>
      <c r="L424" t="s">
        <v>84</v>
      </c>
      <c r="N424" t="s">
        <v>119</v>
      </c>
      <c r="O424" t="s">
        <v>194</v>
      </c>
      <c r="P424">
        <v>1.6533581599300833E-2</v>
      </c>
      <c r="Q424" t="s">
        <v>84</v>
      </c>
      <c r="S424" t="s">
        <v>134</v>
      </c>
      <c r="T424" t="s">
        <v>194</v>
      </c>
      <c r="U424">
        <v>1.508832613004998E-2</v>
      </c>
      <c r="V424" t="s">
        <v>84</v>
      </c>
    </row>
    <row r="425" spans="9:22" x14ac:dyDescent="0.45">
      <c r="I425" t="s">
        <v>103</v>
      </c>
      <c r="J425" t="s">
        <v>195</v>
      </c>
      <c r="K425">
        <v>3.638748555392258E-6</v>
      </c>
      <c r="L425" t="s">
        <v>84</v>
      </c>
      <c r="N425" t="s">
        <v>119</v>
      </c>
      <c r="O425" t="s">
        <v>195</v>
      </c>
      <c r="P425">
        <v>7.3956819345248948E-2</v>
      </c>
      <c r="Q425" t="s">
        <v>84</v>
      </c>
      <c r="S425" t="s">
        <v>134</v>
      </c>
      <c r="T425" t="s">
        <v>195</v>
      </c>
      <c r="U425">
        <v>8.9956997130008265E-2</v>
      </c>
      <c r="V425" t="s">
        <v>84</v>
      </c>
    </row>
    <row r="426" spans="9:22" x14ac:dyDescent="0.45">
      <c r="I426" t="s">
        <v>103</v>
      </c>
      <c r="J426" t="s">
        <v>196</v>
      </c>
      <c r="K426">
        <v>4.3877847372907515E-2</v>
      </c>
      <c r="L426" t="s">
        <v>84</v>
      </c>
      <c r="N426" t="s">
        <v>119</v>
      </c>
      <c r="O426" t="s">
        <v>196</v>
      </c>
      <c r="P426">
        <v>4.1289444507265141E-2</v>
      </c>
      <c r="Q426" t="s">
        <v>84</v>
      </c>
      <c r="S426" t="s">
        <v>134</v>
      </c>
      <c r="T426" t="s">
        <v>196</v>
      </c>
      <c r="U426">
        <v>4.820518291528262E-2</v>
      </c>
      <c r="V426" t="s">
        <v>84</v>
      </c>
    </row>
    <row r="427" spans="9:22" x14ac:dyDescent="0.45">
      <c r="I427" t="s">
        <v>103</v>
      </c>
      <c r="J427" t="s">
        <v>197</v>
      </c>
      <c r="K427">
        <v>0.1021248492625698</v>
      </c>
      <c r="L427" t="s">
        <v>84</v>
      </c>
      <c r="N427" t="s">
        <v>119</v>
      </c>
      <c r="O427" t="s">
        <v>197</v>
      </c>
      <c r="P427">
        <v>6.5821699355129132E-2</v>
      </c>
      <c r="Q427" t="s">
        <v>84</v>
      </c>
      <c r="S427" t="s">
        <v>134</v>
      </c>
      <c r="T427" t="s">
        <v>197</v>
      </c>
      <c r="U427">
        <v>8.4404372711171557E-2</v>
      </c>
      <c r="V427" t="s">
        <v>84</v>
      </c>
    </row>
    <row r="428" spans="9:22" x14ac:dyDescent="0.45">
      <c r="I428" t="s">
        <v>103</v>
      </c>
      <c r="J428" t="s">
        <v>198</v>
      </c>
      <c r="K428">
        <v>9.3778440460033467E-3</v>
      </c>
      <c r="L428" t="s">
        <v>84</v>
      </c>
      <c r="N428" t="s">
        <v>119</v>
      </c>
      <c r="O428" t="s">
        <v>198</v>
      </c>
      <c r="P428">
        <v>1.0907116321902536E-2</v>
      </c>
      <c r="Q428" t="s">
        <v>84</v>
      </c>
      <c r="S428" t="s">
        <v>134</v>
      </c>
      <c r="T428" t="s">
        <v>198</v>
      </c>
      <c r="U428">
        <v>1.2343758856444257E-2</v>
      </c>
      <c r="V428" t="s">
        <v>84</v>
      </c>
    </row>
    <row r="429" spans="9:22" x14ac:dyDescent="0.45">
      <c r="I429" t="s">
        <v>103</v>
      </c>
      <c r="J429" t="s">
        <v>199</v>
      </c>
      <c r="K429">
        <v>1.8325513322048274E-3</v>
      </c>
      <c r="L429" t="s">
        <v>84</v>
      </c>
      <c r="N429" t="s">
        <v>119</v>
      </c>
      <c r="O429" t="s">
        <v>199</v>
      </c>
      <c r="P429">
        <v>1.0832293336517928E-2</v>
      </c>
      <c r="Q429" t="s">
        <v>84</v>
      </c>
      <c r="S429" t="s">
        <v>134</v>
      </c>
      <c r="T429" t="s">
        <v>199</v>
      </c>
      <c r="U429">
        <v>1.2178624216611566E-2</v>
      </c>
      <c r="V429" t="s">
        <v>84</v>
      </c>
    </row>
    <row r="430" spans="9:22" x14ac:dyDescent="0.45">
      <c r="I430" t="s">
        <v>103</v>
      </c>
      <c r="J430" t="s">
        <v>200</v>
      </c>
      <c r="K430">
        <v>0</v>
      </c>
      <c r="L430" t="s">
        <v>84</v>
      </c>
      <c r="N430" t="s">
        <v>119</v>
      </c>
      <c r="O430" t="s">
        <v>200</v>
      </c>
      <c r="P430">
        <v>5.3982225848233263E-2</v>
      </c>
      <c r="Q430" t="s">
        <v>84</v>
      </c>
      <c r="S430" t="s">
        <v>134</v>
      </c>
      <c r="T430" t="s">
        <v>200</v>
      </c>
      <c r="U430">
        <v>6.3207083602928871E-2</v>
      </c>
      <c r="V430" t="s">
        <v>84</v>
      </c>
    </row>
    <row r="431" spans="9:22" x14ac:dyDescent="0.45">
      <c r="I431" t="s">
        <v>103</v>
      </c>
      <c r="J431" t="s">
        <v>201</v>
      </c>
      <c r="K431">
        <v>2.6059346406185936E-3</v>
      </c>
      <c r="L431" t="s">
        <v>84</v>
      </c>
      <c r="N431" t="s">
        <v>119</v>
      </c>
      <c r="O431" t="s">
        <v>201</v>
      </c>
      <c r="P431">
        <v>3.6039238990891904E-2</v>
      </c>
      <c r="Q431" t="s">
        <v>84</v>
      </c>
      <c r="S431" t="s">
        <v>134</v>
      </c>
      <c r="T431" t="s">
        <v>201</v>
      </c>
      <c r="U431">
        <v>3.0927611018422434E-2</v>
      </c>
      <c r="V431" t="s">
        <v>84</v>
      </c>
    </row>
    <row r="432" spans="9:22" x14ac:dyDescent="0.45">
      <c r="I432" t="s">
        <v>103</v>
      </c>
      <c r="J432" t="s">
        <v>202</v>
      </c>
      <c r="K432">
        <v>2.81175246507336E-2</v>
      </c>
      <c r="L432" t="s">
        <v>84</v>
      </c>
      <c r="N432" t="s">
        <v>119</v>
      </c>
      <c r="O432" t="s">
        <v>202</v>
      </c>
      <c r="P432">
        <v>2.0342322261232809E-2</v>
      </c>
      <c r="Q432" t="s">
        <v>84</v>
      </c>
      <c r="S432" t="s">
        <v>134</v>
      </c>
      <c r="T432" t="s">
        <v>202</v>
      </c>
      <c r="U432">
        <v>2.1504624224803759E-2</v>
      </c>
      <c r="V432" t="s">
        <v>84</v>
      </c>
    </row>
    <row r="433" spans="9:22" x14ac:dyDescent="0.45">
      <c r="I433" t="s">
        <v>103</v>
      </c>
      <c r="J433" t="s">
        <v>203</v>
      </c>
      <c r="K433">
        <v>5.6222643760957564E-2</v>
      </c>
      <c r="L433" t="s">
        <v>84</v>
      </c>
      <c r="N433" t="s">
        <v>119</v>
      </c>
      <c r="O433" t="s">
        <v>203</v>
      </c>
      <c r="P433">
        <v>3.3774648279891982E-2</v>
      </c>
      <c r="Q433" t="s">
        <v>84</v>
      </c>
      <c r="S433" t="s">
        <v>134</v>
      </c>
      <c r="T433" t="s">
        <v>203</v>
      </c>
      <c r="U433">
        <v>3.9428538214683513E-2</v>
      </c>
      <c r="V433" t="s">
        <v>84</v>
      </c>
    </row>
    <row r="434" spans="9:22" x14ac:dyDescent="0.45">
      <c r="I434" t="s">
        <v>103</v>
      </c>
      <c r="J434" t="s">
        <v>204</v>
      </c>
      <c r="K434">
        <v>6.3934001151168254E-3</v>
      </c>
      <c r="L434" t="s">
        <v>84</v>
      </c>
      <c r="N434" t="s">
        <v>119</v>
      </c>
      <c r="O434" t="s">
        <v>204</v>
      </c>
      <c r="P434">
        <v>5.3308276753781785E-3</v>
      </c>
      <c r="Q434" t="s">
        <v>84</v>
      </c>
      <c r="S434" t="s">
        <v>134</v>
      </c>
      <c r="T434" t="s">
        <v>204</v>
      </c>
      <c r="U434">
        <v>5.6869820238452705E-3</v>
      </c>
      <c r="V434" t="s">
        <v>84</v>
      </c>
    </row>
    <row r="435" spans="9:22" x14ac:dyDescent="0.45">
      <c r="I435" t="s">
        <v>103</v>
      </c>
      <c r="J435" t="s">
        <v>205</v>
      </c>
      <c r="K435">
        <v>4.5137519173658507E-3</v>
      </c>
      <c r="L435" t="s">
        <v>84</v>
      </c>
      <c r="N435" t="s">
        <v>119</v>
      </c>
      <c r="O435" t="s">
        <v>205</v>
      </c>
      <c r="P435">
        <v>5.1572915100120834E-3</v>
      </c>
      <c r="Q435" t="s">
        <v>84</v>
      </c>
      <c r="S435" t="s">
        <v>134</v>
      </c>
      <c r="T435" t="s">
        <v>205</v>
      </c>
      <c r="U435">
        <v>5.3879018516007444E-3</v>
      </c>
      <c r="V435" t="s">
        <v>84</v>
      </c>
    </row>
    <row r="436" spans="9:22" x14ac:dyDescent="0.45">
      <c r="I436" t="s">
        <v>103</v>
      </c>
      <c r="J436" t="s">
        <v>206</v>
      </c>
      <c r="K436">
        <v>0</v>
      </c>
      <c r="L436" t="s">
        <v>84</v>
      </c>
      <c r="N436" t="s">
        <v>119</v>
      </c>
      <c r="O436" t="s">
        <v>206</v>
      </c>
      <c r="P436">
        <v>2.337073628720826E-2</v>
      </c>
      <c r="Q436" t="s">
        <v>84</v>
      </c>
      <c r="S436" t="s">
        <v>134</v>
      </c>
      <c r="T436" t="s">
        <v>206</v>
      </c>
      <c r="U436">
        <v>2.4082885601091068E-2</v>
      </c>
      <c r="V436" t="s">
        <v>84</v>
      </c>
    </row>
    <row r="437" spans="9:22" x14ac:dyDescent="0.45">
      <c r="I437" t="s">
        <v>103</v>
      </c>
      <c r="J437" t="s">
        <v>207</v>
      </c>
      <c r="K437">
        <v>1.6726073556446456E-2</v>
      </c>
      <c r="L437" t="s">
        <v>84</v>
      </c>
      <c r="N437" t="s">
        <v>119</v>
      </c>
      <c r="O437" t="s">
        <v>207</v>
      </c>
      <c r="P437">
        <v>3.6384021890880296E-2</v>
      </c>
      <c r="Q437" t="s">
        <v>84</v>
      </c>
      <c r="S437" t="s">
        <v>134</v>
      </c>
      <c r="T437" t="s">
        <v>207</v>
      </c>
      <c r="U437">
        <v>3.4348310335693709E-2</v>
      </c>
      <c r="V437" t="s">
        <v>84</v>
      </c>
    </row>
    <row r="438" spans="9:22" x14ac:dyDescent="0.45">
      <c r="I438" t="s">
        <v>103</v>
      </c>
      <c r="J438" t="s">
        <v>208</v>
      </c>
      <c r="K438">
        <v>7.798854401818435E-2</v>
      </c>
      <c r="L438" t="s">
        <v>84</v>
      </c>
      <c r="N438" t="s">
        <v>119</v>
      </c>
      <c r="O438" t="s">
        <v>208</v>
      </c>
      <c r="P438">
        <v>2.35796297081926E-2</v>
      </c>
      <c r="Q438" t="s">
        <v>84</v>
      </c>
      <c r="S438" t="s">
        <v>134</v>
      </c>
      <c r="T438" t="s">
        <v>208</v>
      </c>
      <c r="U438">
        <v>2.2268794308779417E-2</v>
      </c>
      <c r="V438" t="s">
        <v>84</v>
      </c>
    </row>
    <row r="439" spans="9:22" x14ac:dyDescent="0.45">
      <c r="I439" t="s">
        <v>103</v>
      </c>
      <c r="J439" t="s">
        <v>209</v>
      </c>
      <c r="K439">
        <v>0.13462620167734274</v>
      </c>
      <c r="L439" t="s">
        <v>84</v>
      </c>
      <c r="N439" t="s">
        <v>119</v>
      </c>
      <c r="O439" t="s">
        <v>209</v>
      </c>
      <c r="P439">
        <v>3.9961125128135822E-2</v>
      </c>
      <c r="Q439" t="s">
        <v>84</v>
      </c>
      <c r="S439" t="s">
        <v>134</v>
      </c>
      <c r="T439" t="s">
        <v>209</v>
      </c>
      <c r="U439">
        <v>3.9520917998404556E-2</v>
      </c>
      <c r="V439" t="s">
        <v>84</v>
      </c>
    </row>
    <row r="440" spans="9:22" x14ac:dyDescent="0.45">
      <c r="I440" t="s">
        <v>103</v>
      </c>
      <c r="J440" t="s">
        <v>210</v>
      </c>
      <c r="K440">
        <v>1.7237288238229665E-2</v>
      </c>
      <c r="L440" t="s">
        <v>84</v>
      </c>
      <c r="N440" t="s">
        <v>119</v>
      </c>
      <c r="O440" t="s">
        <v>210</v>
      </c>
      <c r="P440">
        <v>6.2813768233772414E-3</v>
      </c>
      <c r="Q440" t="s">
        <v>84</v>
      </c>
      <c r="S440" t="s">
        <v>134</v>
      </c>
      <c r="T440" t="s">
        <v>210</v>
      </c>
      <c r="U440">
        <v>6.7434624551525628E-3</v>
      </c>
      <c r="V440" t="s">
        <v>84</v>
      </c>
    </row>
    <row r="441" spans="9:22" x14ac:dyDescent="0.45">
      <c r="I441" t="s">
        <v>103</v>
      </c>
      <c r="J441" t="s">
        <v>211</v>
      </c>
      <c r="K441">
        <v>1.4595946110348925E-2</v>
      </c>
      <c r="L441" t="s">
        <v>84</v>
      </c>
      <c r="N441" t="s">
        <v>119</v>
      </c>
      <c r="O441" t="s">
        <v>211</v>
      </c>
      <c r="P441">
        <v>5.9354292472444375E-3</v>
      </c>
      <c r="Q441" t="s">
        <v>84</v>
      </c>
      <c r="S441" t="s">
        <v>134</v>
      </c>
      <c r="T441" t="s">
        <v>211</v>
      </c>
      <c r="U441">
        <v>6.4474431217434978E-3</v>
      </c>
      <c r="V441" t="s">
        <v>84</v>
      </c>
    </row>
    <row r="442" spans="9:22" x14ac:dyDescent="0.45">
      <c r="I442" t="s">
        <v>103</v>
      </c>
      <c r="J442" t="s">
        <v>212</v>
      </c>
      <c r="K442">
        <v>9.0530307730243859E-3</v>
      </c>
      <c r="L442" t="s">
        <v>84</v>
      </c>
      <c r="N442" t="s">
        <v>119</v>
      </c>
      <c r="O442" t="s">
        <v>212</v>
      </c>
      <c r="P442">
        <v>2.6624597520442141E-2</v>
      </c>
      <c r="Q442" t="s">
        <v>84</v>
      </c>
      <c r="S442" t="s">
        <v>134</v>
      </c>
      <c r="T442" t="s">
        <v>212</v>
      </c>
      <c r="U442">
        <v>2.7356937973557899E-2</v>
      </c>
      <c r="V442" t="s">
        <v>84</v>
      </c>
    </row>
    <row r="443" spans="9:22" x14ac:dyDescent="0.45">
      <c r="I443" t="s">
        <v>104</v>
      </c>
      <c r="J443" t="s">
        <v>83</v>
      </c>
      <c r="K443">
        <v>5.4810360802704534E-3</v>
      </c>
      <c r="L443" t="s">
        <v>84</v>
      </c>
      <c r="N443" t="s">
        <v>120</v>
      </c>
      <c r="O443" t="s">
        <v>83</v>
      </c>
      <c r="P443">
        <v>2.6298944304332321E-2</v>
      </c>
      <c r="Q443" t="s">
        <v>84</v>
      </c>
      <c r="S443" t="s">
        <v>135</v>
      </c>
      <c r="T443" t="s">
        <v>83</v>
      </c>
      <c r="U443">
        <v>2.7096631865888152E-2</v>
      </c>
      <c r="V443" t="s">
        <v>84</v>
      </c>
    </row>
    <row r="444" spans="9:22" x14ac:dyDescent="0.45">
      <c r="I444" t="s">
        <v>104</v>
      </c>
      <c r="J444" t="s">
        <v>85</v>
      </c>
      <c r="K444">
        <v>4.2257375949130829E-2</v>
      </c>
      <c r="L444" t="s">
        <v>84</v>
      </c>
      <c r="N444" t="s">
        <v>120</v>
      </c>
      <c r="O444" t="s">
        <v>85</v>
      </c>
      <c r="P444">
        <v>1.4599110728906987E-2</v>
      </c>
      <c r="Q444" t="s">
        <v>84</v>
      </c>
      <c r="S444" t="s">
        <v>135</v>
      </c>
      <c r="T444" t="s">
        <v>85</v>
      </c>
      <c r="U444">
        <v>1.4798103429585267E-2</v>
      </c>
      <c r="V444" t="s">
        <v>84</v>
      </c>
    </row>
    <row r="445" spans="9:22" x14ac:dyDescent="0.45">
      <c r="I445" t="s">
        <v>104</v>
      </c>
      <c r="J445" t="s">
        <v>86</v>
      </c>
      <c r="K445">
        <v>7.8901411001671348E-2</v>
      </c>
      <c r="L445" t="s">
        <v>84</v>
      </c>
      <c r="N445" t="s">
        <v>120</v>
      </c>
      <c r="O445" t="s">
        <v>86</v>
      </c>
      <c r="P445">
        <v>2.8797937605648742E-2</v>
      </c>
      <c r="Q445" t="s">
        <v>84</v>
      </c>
      <c r="S445" t="s">
        <v>135</v>
      </c>
      <c r="T445" t="s">
        <v>86</v>
      </c>
      <c r="U445">
        <v>2.1276095973441638E-2</v>
      </c>
      <c r="V445" t="s">
        <v>84</v>
      </c>
    </row>
    <row r="446" spans="9:22" x14ac:dyDescent="0.45">
      <c r="I446" t="s">
        <v>104</v>
      </c>
      <c r="J446" t="s">
        <v>177</v>
      </c>
      <c r="K446">
        <v>1.034257296855828E-2</v>
      </c>
      <c r="L446" t="s">
        <v>84</v>
      </c>
      <c r="N446" t="s">
        <v>120</v>
      </c>
      <c r="O446" t="s">
        <v>177</v>
      </c>
      <c r="P446">
        <v>4.446314591512862E-3</v>
      </c>
      <c r="Q446" t="s">
        <v>84</v>
      </c>
      <c r="S446" t="s">
        <v>135</v>
      </c>
      <c r="T446" t="s">
        <v>177</v>
      </c>
      <c r="U446">
        <v>3.9485148743854904E-3</v>
      </c>
      <c r="V446" t="s">
        <v>84</v>
      </c>
    </row>
    <row r="447" spans="9:22" x14ac:dyDescent="0.45">
      <c r="I447" t="s">
        <v>104</v>
      </c>
      <c r="J447" t="s">
        <v>178</v>
      </c>
      <c r="K447">
        <v>9.0868628331636798E-3</v>
      </c>
      <c r="L447" t="s">
        <v>84</v>
      </c>
      <c r="N447" t="s">
        <v>120</v>
      </c>
      <c r="O447" t="s">
        <v>178</v>
      </c>
      <c r="P447">
        <v>4.1547173969965013E-3</v>
      </c>
      <c r="Q447" t="s">
        <v>84</v>
      </c>
      <c r="S447" t="s">
        <v>135</v>
      </c>
      <c r="T447" t="s">
        <v>178</v>
      </c>
      <c r="U447">
        <v>3.9918682532394728E-3</v>
      </c>
      <c r="V447" t="s">
        <v>84</v>
      </c>
    </row>
    <row r="448" spans="9:22" x14ac:dyDescent="0.45">
      <c r="I448" t="s">
        <v>104</v>
      </c>
      <c r="J448" t="s">
        <v>179</v>
      </c>
      <c r="K448">
        <v>6.8819857248610047E-3</v>
      </c>
      <c r="L448" t="s">
        <v>84</v>
      </c>
      <c r="N448" t="s">
        <v>120</v>
      </c>
      <c r="O448" t="s">
        <v>179</v>
      </c>
      <c r="P448">
        <v>1.8483297995409289E-2</v>
      </c>
      <c r="Q448" t="s">
        <v>84</v>
      </c>
      <c r="S448" t="s">
        <v>135</v>
      </c>
      <c r="T448" t="s">
        <v>179</v>
      </c>
      <c r="U448">
        <v>1.9445521658160193E-2</v>
      </c>
      <c r="V448" t="s">
        <v>84</v>
      </c>
    </row>
    <row r="449" spans="9:22" x14ac:dyDescent="0.45">
      <c r="I449" t="s">
        <v>104</v>
      </c>
      <c r="J449" t="s">
        <v>87</v>
      </c>
      <c r="K449">
        <v>2.3946908398427631E-3</v>
      </c>
      <c r="L449" t="s">
        <v>84</v>
      </c>
      <c r="N449" t="s">
        <v>120</v>
      </c>
      <c r="O449" t="s">
        <v>87</v>
      </c>
      <c r="P449">
        <v>1.433338694179196E-2</v>
      </c>
      <c r="Q449" t="s">
        <v>84</v>
      </c>
      <c r="S449" t="s">
        <v>135</v>
      </c>
      <c r="T449" t="s">
        <v>87</v>
      </c>
      <c r="U449">
        <v>1.1721354460029329E-2</v>
      </c>
      <c r="V449" t="s">
        <v>84</v>
      </c>
    </row>
    <row r="450" spans="9:22" x14ac:dyDescent="0.45">
      <c r="I450" t="s">
        <v>104</v>
      </c>
      <c r="J450" t="s">
        <v>88</v>
      </c>
      <c r="K450">
        <v>3.1797288960364802E-2</v>
      </c>
      <c r="L450" t="s">
        <v>84</v>
      </c>
      <c r="N450" t="s">
        <v>120</v>
      </c>
      <c r="O450" t="s">
        <v>88</v>
      </c>
      <c r="P450">
        <v>8.692534788224196E-3</v>
      </c>
      <c r="Q450" t="s">
        <v>84</v>
      </c>
      <c r="S450" t="s">
        <v>135</v>
      </c>
      <c r="T450" t="s">
        <v>88</v>
      </c>
      <c r="U450">
        <v>6.1502461796275791E-3</v>
      </c>
      <c r="V450" t="s">
        <v>84</v>
      </c>
    </row>
    <row r="451" spans="9:22" x14ac:dyDescent="0.45">
      <c r="I451" t="s">
        <v>104</v>
      </c>
      <c r="J451" t="s">
        <v>89</v>
      </c>
      <c r="K451">
        <v>6.6053791580189425E-2</v>
      </c>
      <c r="L451" t="s">
        <v>84</v>
      </c>
      <c r="N451" t="s">
        <v>120</v>
      </c>
      <c r="O451" t="s">
        <v>89</v>
      </c>
      <c r="P451">
        <v>1.8027381498578771E-2</v>
      </c>
      <c r="Q451" t="s">
        <v>84</v>
      </c>
      <c r="S451" t="s">
        <v>135</v>
      </c>
      <c r="T451" t="s">
        <v>89</v>
      </c>
      <c r="U451">
        <v>1.007897744373668E-2</v>
      </c>
      <c r="V451" t="s">
        <v>84</v>
      </c>
    </row>
    <row r="452" spans="9:22" x14ac:dyDescent="0.45">
      <c r="I452" t="s">
        <v>104</v>
      </c>
      <c r="J452" t="s">
        <v>180</v>
      </c>
      <c r="K452">
        <v>8.7848650003079804E-3</v>
      </c>
      <c r="L452" t="s">
        <v>84</v>
      </c>
      <c r="N452" t="s">
        <v>120</v>
      </c>
      <c r="O452" t="s">
        <v>180</v>
      </c>
      <c r="P452">
        <v>3.0099031770532618E-3</v>
      </c>
      <c r="Q452" t="s">
        <v>84</v>
      </c>
      <c r="S452" t="s">
        <v>135</v>
      </c>
      <c r="T452" t="s">
        <v>180</v>
      </c>
      <c r="U452">
        <v>2.1937910098261217E-3</v>
      </c>
      <c r="V452" t="s">
        <v>84</v>
      </c>
    </row>
    <row r="453" spans="9:22" x14ac:dyDescent="0.45">
      <c r="I453" t="s">
        <v>104</v>
      </c>
      <c r="J453" t="s">
        <v>181</v>
      </c>
      <c r="K453">
        <v>7.0841371891588517E-3</v>
      </c>
      <c r="L453" t="s">
        <v>84</v>
      </c>
      <c r="N453" t="s">
        <v>120</v>
      </c>
      <c r="O453" t="s">
        <v>181</v>
      </c>
      <c r="P453">
        <v>2.7732986265369178E-3</v>
      </c>
      <c r="Q453" t="s">
        <v>84</v>
      </c>
      <c r="S453" t="s">
        <v>135</v>
      </c>
      <c r="T453" t="s">
        <v>181</v>
      </c>
      <c r="U453">
        <v>2.2693221543286864E-3</v>
      </c>
      <c r="V453" t="s">
        <v>84</v>
      </c>
    </row>
    <row r="454" spans="9:22" x14ac:dyDescent="0.45">
      <c r="I454" t="s">
        <v>104</v>
      </c>
      <c r="J454" t="s">
        <v>182</v>
      </c>
      <c r="K454">
        <v>4.405188835812977E-3</v>
      </c>
      <c r="L454" t="s">
        <v>84</v>
      </c>
      <c r="N454" t="s">
        <v>120</v>
      </c>
      <c r="O454" t="s">
        <v>182</v>
      </c>
      <c r="P454">
        <v>1.1589804666326671E-2</v>
      </c>
      <c r="Q454" t="s">
        <v>84</v>
      </c>
      <c r="S454" t="s">
        <v>135</v>
      </c>
      <c r="T454" t="s">
        <v>182</v>
      </c>
      <c r="U454">
        <v>1.0090398312237516E-2</v>
      </c>
      <c r="V454" t="s">
        <v>84</v>
      </c>
    </row>
    <row r="455" spans="9:22" x14ac:dyDescent="0.45">
      <c r="I455" t="s">
        <v>104</v>
      </c>
      <c r="J455" t="s">
        <v>90</v>
      </c>
      <c r="K455">
        <v>0</v>
      </c>
      <c r="L455" t="s">
        <v>84</v>
      </c>
      <c r="N455" t="s">
        <v>120</v>
      </c>
      <c r="O455" t="s">
        <v>90</v>
      </c>
      <c r="P455">
        <v>2.0585899374762549E-2</v>
      </c>
      <c r="Q455" t="s">
        <v>84</v>
      </c>
      <c r="S455" t="s">
        <v>135</v>
      </c>
      <c r="T455" t="s">
        <v>90</v>
      </c>
      <c r="U455">
        <v>1.4031061802012548E-2</v>
      </c>
      <c r="V455" t="s">
        <v>84</v>
      </c>
    </row>
    <row r="456" spans="9:22" x14ac:dyDescent="0.45">
      <c r="I456" t="s">
        <v>104</v>
      </c>
      <c r="J456" t="s">
        <v>91</v>
      </c>
      <c r="K456">
        <v>2.411405886929258E-2</v>
      </c>
      <c r="L456" t="s">
        <v>84</v>
      </c>
      <c r="N456" t="s">
        <v>120</v>
      </c>
      <c r="O456" t="s">
        <v>91</v>
      </c>
      <c r="P456">
        <v>1.080239660736901E-2</v>
      </c>
      <c r="Q456" t="s">
        <v>84</v>
      </c>
      <c r="S456" t="s">
        <v>135</v>
      </c>
      <c r="T456" t="s">
        <v>91</v>
      </c>
      <c r="U456">
        <v>7.0282174910019724E-3</v>
      </c>
      <c r="V456" t="s">
        <v>84</v>
      </c>
    </row>
    <row r="457" spans="9:22" x14ac:dyDescent="0.45">
      <c r="I457" t="s">
        <v>104</v>
      </c>
      <c r="J457" t="s">
        <v>92</v>
      </c>
      <c r="K457">
        <v>5.3891259546445539E-2</v>
      </c>
      <c r="L457" t="s">
        <v>84</v>
      </c>
      <c r="N457" t="s">
        <v>120</v>
      </c>
      <c r="O457" t="s">
        <v>92</v>
      </c>
      <c r="P457">
        <v>2.0097654608048243E-2</v>
      </c>
      <c r="Q457" t="s">
        <v>84</v>
      </c>
      <c r="S457" t="s">
        <v>135</v>
      </c>
      <c r="T457" t="s">
        <v>92</v>
      </c>
      <c r="U457">
        <v>1.2163233565380634E-2</v>
      </c>
      <c r="V457" t="s">
        <v>84</v>
      </c>
    </row>
    <row r="458" spans="9:22" x14ac:dyDescent="0.45">
      <c r="I458" t="s">
        <v>104</v>
      </c>
      <c r="J458" t="s">
        <v>183</v>
      </c>
      <c r="K458">
        <v>6.9335207898558685E-3</v>
      </c>
      <c r="L458" t="s">
        <v>84</v>
      </c>
      <c r="N458" t="s">
        <v>120</v>
      </c>
      <c r="O458" t="s">
        <v>183</v>
      </c>
      <c r="P458">
        <v>3.1735553293621944E-3</v>
      </c>
      <c r="Q458" t="s">
        <v>84</v>
      </c>
      <c r="S458" t="s">
        <v>135</v>
      </c>
      <c r="T458" t="s">
        <v>183</v>
      </c>
      <c r="U458">
        <v>2.6629295673722521E-3</v>
      </c>
      <c r="V458" t="s">
        <v>84</v>
      </c>
    </row>
    <row r="459" spans="9:22" x14ac:dyDescent="0.45">
      <c r="I459" t="s">
        <v>104</v>
      </c>
      <c r="J459" t="s">
        <v>184</v>
      </c>
      <c r="K459">
        <v>5.1256197124648507E-3</v>
      </c>
      <c r="L459" t="s">
        <v>84</v>
      </c>
      <c r="N459" t="s">
        <v>120</v>
      </c>
      <c r="O459" t="s">
        <v>184</v>
      </c>
      <c r="P459">
        <v>3.0876184378047394E-3</v>
      </c>
      <c r="Q459" t="s">
        <v>84</v>
      </c>
      <c r="S459" t="s">
        <v>135</v>
      </c>
      <c r="T459" t="s">
        <v>184</v>
      </c>
      <c r="U459">
        <v>2.7264976840545817E-3</v>
      </c>
      <c r="V459" t="s">
        <v>84</v>
      </c>
    </row>
    <row r="460" spans="9:22" x14ac:dyDescent="0.45">
      <c r="I460" t="s">
        <v>104</v>
      </c>
      <c r="J460" t="s">
        <v>185</v>
      </c>
      <c r="K460">
        <v>4.8718751896851696E-7</v>
      </c>
      <c r="L460" t="s">
        <v>84</v>
      </c>
      <c r="N460" t="s">
        <v>120</v>
      </c>
      <c r="O460" t="s">
        <v>185</v>
      </c>
      <c r="P460">
        <v>1.5385679085646429E-2</v>
      </c>
      <c r="Q460" t="s">
        <v>84</v>
      </c>
      <c r="S460" t="s">
        <v>135</v>
      </c>
      <c r="T460" t="s">
        <v>185</v>
      </c>
      <c r="U460">
        <v>1.2357229691437415E-2</v>
      </c>
      <c r="V460" t="s">
        <v>84</v>
      </c>
    </row>
    <row r="461" spans="9:22" x14ac:dyDescent="0.45">
      <c r="I461" t="s">
        <v>104</v>
      </c>
      <c r="J461" t="s">
        <v>93</v>
      </c>
      <c r="K461">
        <v>0</v>
      </c>
      <c r="L461" t="s">
        <v>84</v>
      </c>
      <c r="N461" t="s">
        <v>120</v>
      </c>
      <c r="O461" t="s">
        <v>93</v>
      </c>
      <c r="P461">
        <v>4.5644102638238829E-2</v>
      </c>
      <c r="Q461" t="s">
        <v>84</v>
      </c>
      <c r="S461" t="s">
        <v>135</v>
      </c>
      <c r="T461" t="s">
        <v>93</v>
      </c>
      <c r="U461">
        <v>5.2612719840430811E-2</v>
      </c>
      <c r="V461" t="s">
        <v>84</v>
      </c>
    </row>
    <row r="462" spans="9:22" x14ac:dyDescent="0.45">
      <c r="I462" t="s">
        <v>104</v>
      </c>
      <c r="J462" t="s">
        <v>94</v>
      </c>
      <c r="K462">
        <v>2.3015145900720121E-2</v>
      </c>
      <c r="L462" t="s">
        <v>84</v>
      </c>
      <c r="N462" t="s">
        <v>120</v>
      </c>
      <c r="O462" t="s">
        <v>94</v>
      </c>
      <c r="P462">
        <v>2.4639217328588196E-2</v>
      </c>
      <c r="Q462" t="s">
        <v>84</v>
      </c>
      <c r="S462" t="s">
        <v>135</v>
      </c>
      <c r="T462" t="s">
        <v>94</v>
      </c>
      <c r="U462">
        <v>2.7433757868646626E-2</v>
      </c>
      <c r="V462" t="s">
        <v>84</v>
      </c>
    </row>
    <row r="463" spans="9:22" x14ac:dyDescent="0.45">
      <c r="I463" t="s">
        <v>104</v>
      </c>
      <c r="J463" t="s">
        <v>95</v>
      </c>
      <c r="K463">
        <v>5.1385350151998951E-2</v>
      </c>
      <c r="L463" t="s">
        <v>84</v>
      </c>
      <c r="N463" t="s">
        <v>120</v>
      </c>
      <c r="O463" t="s">
        <v>95</v>
      </c>
      <c r="P463">
        <v>4.3215375066777841E-2</v>
      </c>
      <c r="Q463" t="s">
        <v>84</v>
      </c>
      <c r="S463" t="s">
        <v>135</v>
      </c>
      <c r="T463" t="s">
        <v>95</v>
      </c>
      <c r="U463">
        <v>4.116481284456007E-2</v>
      </c>
      <c r="V463" t="s">
        <v>84</v>
      </c>
    </row>
    <row r="464" spans="9:22" x14ac:dyDescent="0.45">
      <c r="I464" t="s">
        <v>104</v>
      </c>
      <c r="J464" t="s">
        <v>186</v>
      </c>
      <c r="K464">
        <v>4.1375581829691671E-3</v>
      </c>
      <c r="L464" t="s">
        <v>84</v>
      </c>
      <c r="N464" t="s">
        <v>120</v>
      </c>
      <c r="O464" t="s">
        <v>186</v>
      </c>
      <c r="P464">
        <v>6.8806710772194935E-3</v>
      </c>
      <c r="Q464" t="s">
        <v>84</v>
      </c>
      <c r="S464" t="s">
        <v>135</v>
      </c>
      <c r="T464" t="s">
        <v>186</v>
      </c>
      <c r="U464">
        <v>7.0063201973499635E-3</v>
      </c>
      <c r="V464" t="s">
        <v>84</v>
      </c>
    </row>
    <row r="465" spans="9:22" x14ac:dyDescent="0.45">
      <c r="I465" t="s">
        <v>104</v>
      </c>
      <c r="J465" t="s">
        <v>187</v>
      </c>
      <c r="K465">
        <v>1.3617096505845339E-4</v>
      </c>
      <c r="L465" t="s">
        <v>84</v>
      </c>
      <c r="N465" t="s">
        <v>120</v>
      </c>
      <c r="O465" t="s">
        <v>187</v>
      </c>
      <c r="P465">
        <v>6.5488401182963738E-3</v>
      </c>
      <c r="Q465" t="s">
        <v>84</v>
      </c>
      <c r="S465" t="s">
        <v>135</v>
      </c>
      <c r="T465" t="s">
        <v>187</v>
      </c>
      <c r="U465">
        <v>7.1617247156027519E-3</v>
      </c>
      <c r="V465" t="s">
        <v>84</v>
      </c>
    </row>
    <row r="466" spans="9:22" x14ac:dyDescent="0.45">
      <c r="I466" t="s">
        <v>104</v>
      </c>
      <c r="J466" t="s">
        <v>188</v>
      </c>
      <c r="K466">
        <v>0</v>
      </c>
      <c r="L466" t="s">
        <v>84</v>
      </c>
      <c r="N466" t="s">
        <v>120</v>
      </c>
      <c r="O466" t="s">
        <v>188</v>
      </c>
      <c r="P466">
        <v>3.1138887409747518E-2</v>
      </c>
      <c r="Q466" t="s">
        <v>84</v>
      </c>
      <c r="S466" t="s">
        <v>135</v>
      </c>
      <c r="T466" t="s">
        <v>188</v>
      </c>
      <c r="U466">
        <v>3.643573429957269E-2</v>
      </c>
      <c r="V466" t="s">
        <v>84</v>
      </c>
    </row>
    <row r="467" spans="9:22" x14ac:dyDescent="0.45">
      <c r="I467" t="s">
        <v>104</v>
      </c>
      <c r="J467" t="s">
        <v>189</v>
      </c>
      <c r="K467">
        <v>0</v>
      </c>
      <c r="L467" t="s">
        <v>84</v>
      </c>
      <c r="N467" t="s">
        <v>120</v>
      </c>
      <c r="O467" t="s">
        <v>189</v>
      </c>
      <c r="P467">
        <v>2.3754323343922305E-2</v>
      </c>
      <c r="Q467" t="s">
        <v>84</v>
      </c>
      <c r="S467" t="s">
        <v>135</v>
      </c>
      <c r="T467" t="s">
        <v>189</v>
      </c>
      <c r="U467">
        <v>3.3598059796341395E-2</v>
      </c>
      <c r="V467" t="s">
        <v>84</v>
      </c>
    </row>
    <row r="468" spans="9:22" x14ac:dyDescent="0.45">
      <c r="I468" t="s">
        <v>104</v>
      </c>
      <c r="J468" t="s">
        <v>190</v>
      </c>
      <c r="K468">
        <v>4.596299960005751E-3</v>
      </c>
      <c r="L468" t="s">
        <v>84</v>
      </c>
      <c r="N468" t="s">
        <v>120</v>
      </c>
      <c r="O468" t="s">
        <v>190</v>
      </c>
      <c r="P468">
        <v>1.384957236949369E-2</v>
      </c>
      <c r="Q468" t="s">
        <v>84</v>
      </c>
      <c r="S468" t="s">
        <v>135</v>
      </c>
      <c r="T468" t="s">
        <v>190</v>
      </c>
      <c r="U468">
        <v>1.7513553380436815E-2</v>
      </c>
      <c r="V468" t="s">
        <v>84</v>
      </c>
    </row>
    <row r="469" spans="9:22" x14ac:dyDescent="0.45">
      <c r="I469" t="s">
        <v>104</v>
      </c>
      <c r="J469" t="s">
        <v>191</v>
      </c>
      <c r="K469">
        <v>1.6352829205644834E-2</v>
      </c>
      <c r="L469" t="s">
        <v>84</v>
      </c>
      <c r="N469" t="s">
        <v>120</v>
      </c>
      <c r="O469" t="s">
        <v>191</v>
      </c>
      <c r="P469">
        <v>2.2525278538618399E-2</v>
      </c>
      <c r="Q469" t="s">
        <v>84</v>
      </c>
      <c r="S469" t="s">
        <v>135</v>
      </c>
      <c r="T469" t="s">
        <v>191</v>
      </c>
      <c r="U469">
        <v>2.6660419317233865E-2</v>
      </c>
      <c r="V469" t="s">
        <v>84</v>
      </c>
    </row>
    <row r="470" spans="9:22" x14ac:dyDescent="0.45">
      <c r="I470" t="s">
        <v>104</v>
      </c>
      <c r="J470" t="s">
        <v>192</v>
      </c>
      <c r="K470">
        <v>0</v>
      </c>
      <c r="L470" t="s">
        <v>84</v>
      </c>
      <c r="N470" t="s">
        <v>120</v>
      </c>
      <c r="O470" t="s">
        <v>192</v>
      </c>
      <c r="P470">
        <v>3.6612009584248992E-3</v>
      </c>
      <c r="Q470" t="s">
        <v>84</v>
      </c>
      <c r="S470" t="s">
        <v>135</v>
      </c>
      <c r="T470" t="s">
        <v>192</v>
      </c>
      <c r="U470">
        <v>4.3489495011924334E-3</v>
      </c>
      <c r="V470" t="s">
        <v>84</v>
      </c>
    </row>
    <row r="471" spans="9:22" x14ac:dyDescent="0.45">
      <c r="I471" t="s">
        <v>104</v>
      </c>
      <c r="J471" t="s">
        <v>193</v>
      </c>
      <c r="K471">
        <v>0</v>
      </c>
      <c r="L471" t="s">
        <v>84</v>
      </c>
      <c r="N471" t="s">
        <v>120</v>
      </c>
      <c r="O471" t="s">
        <v>193</v>
      </c>
      <c r="P471">
        <v>3.5486323989117894E-3</v>
      </c>
      <c r="Q471" t="s">
        <v>84</v>
      </c>
      <c r="S471" t="s">
        <v>135</v>
      </c>
      <c r="T471" t="s">
        <v>193</v>
      </c>
      <c r="U471">
        <v>4.3571221085741954E-3</v>
      </c>
      <c r="V471" t="s">
        <v>84</v>
      </c>
    </row>
    <row r="472" spans="9:22" x14ac:dyDescent="0.45">
      <c r="I472" t="s">
        <v>104</v>
      </c>
      <c r="J472" t="s">
        <v>194</v>
      </c>
      <c r="K472">
        <v>0</v>
      </c>
      <c r="L472" t="s">
        <v>84</v>
      </c>
      <c r="N472" t="s">
        <v>120</v>
      </c>
      <c r="O472" t="s">
        <v>194</v>
      </c>
      <c r="P472">
        <v>1.6407534767917731E-2</v>
      </c>
      <c r="Q472" t="s">
        <v>84</v>
      </c>
      <c r="S472" t="s">
        <v>135</v>
      </c>
      <c r="T472" t="s">
        <v>194</v>
      </c>
      <c r="U472">
        <v>2.1890592481761003E-2</v>
      </c>
      <c r="V472" t="s">
        <v>84</v>
      </c>
    </row>
    <row r="473" spans="9:22" x14ac:dyDescent="0.45">
      <c r="I473" t="s">
        <v>104</v>
      </c>
      <c r="J473" t="s">
        <v>195</v>
      </c>
      <c r="K473">
        <v>0</v>
      </c>
      <c r="L473" t="s">
        <v>84</v>
      </c>
      <c r="N473" t="s">
        <v>120</v>
      </c>
      <c r="O473" t="s">
        <v>195</v>
      </c>
      <c r="P473">
        <v>7.6810961611780776E-2</v>
      </c>
      <c r="Q473" t="s">
        <v>84</v>
      </c>
      <c r="S473" t="s">
        <v>135</v>
      </c>
      <c r="T473" t="s">
        <v>195</v>
      </c>
      <c r="U473">
        <v>9.2702847070353422E-2</v>
      </c>
      <c r="V473" t="s">
        <v>84</v>
      </c>
    </row>
    <row r="474" spans="9:22" x14ac:dyDescent="0.45">
      <c r="I474" t="s">
        <v>104</v>
      </c>
      <c r="J474" t="s">
        <v>196</v>
      </c>
      <c r="K474">
        <v>4.1659362870992034E-2</v>
      </c>
      <c r="L474" t="s">
        <v>84</v>
      </c>
      <c r="N474" t="s">
        <v>120</v>
      </c>
      <c r="O474" t="s">
        <v>196</v>
      </c>
      <c r="P474">
        <v>4.0725652962111773E-2</v>
      </c>
      <c r="Q474" t="s">
        <v>84</v>
      </c>
      <c r="S474" t="s">
        <v>135</v>
      </c>
      <c r="T474" t="s">
        <v>196</v>
      </c>
      <c r="U474">
        <v>4.876424877435135E-2</v>
      </c>
      <c r="V474" t="s">
        <v>84</v>
      </c>
    </row>
    <row r="475" spans="9:22" x14ac:dyDescent="0.45">
      <c r="I475" t="s">
        <v>104</v>
      </c>
      <c r="J475" t="s">
        <v>197</v>
      </c>
      <c r="K475">
        <v>9.4856725115775947E-2</v>
      </c>
      <c r="L475" t="s">
        <v>84</v>
      </c>
      <c r="N475" t="s">
        <v>120</v>
      </c>
      <c r="O475" t="s">
        <v>197</v>
      </c>
      <c r="P475">
        <v>7.0744441347115786E-2</v>
      </c>
      <c r="Q475" t="s">
        <v>84</v>
      </c>
      <c r="S475" t="s">
        <v>135</v>
      </c>
      <c r="T475" t="s">
        <v>197</v>
      </c>
      <c r="U475">
        <v>7.2943586234170243E-2</v>
      </c>
      <c r="V475" t="s">
        <v>84</v>
      </c>
    </row>
    <row r="476" spans="9:22" x14ac:dyDescent="0.45">
      <c r="I476" t="s">
        <v>104</v>
      </c>
      <c r="J476" t="s">
        <v>198</v>
      </c>
      <c r="K476">
        <v>9.2201555280243524E-3</v>
      </c>
      <c r="L476" t="s">
        <v>84</v>
      </c>
      <c r="N476" t="s">
        <v>120</v>
      </c>
      <c r="O476" t="s">
        <v>198</v>
      </c>
      <c r="P476">
        <v>1.1365680251801187E-2</v>
      </c>
      <c r="Q476" t="s">
        <v>84</v>
      </c>
      <c r="S476" t="s">
        <v>135</v>
      </c>
      <c r="T476" t="s">
        <v>198</v>
      </c>
      <c r="U476">
        <v>1.244929128496684E-2</v>
      </c>
      <c r="V476" t="s">
        <v>84</v>
      </c>
    </row>
    <row r="477" spans="9:22" x14ac:dyDescent="0.45">
      <c r="I477" t="s">
        <v>104</v>
      </c>
      <c r="J477" t="s">
        <v>199</v>
      </c>
      <c r="K477">
        <v>2.3344371037711956E-3</v>
      </c>
      <c r="L477" t="s">
        <v>84</v>
      </c>
      <c r="N477" t="s">
        <v>120</v>
      </c>
      <c r="O477" t="s">
        <v>199</v>
      </c>
      <c r="P477">
        <v>1.1158080869860292E-2</v>
      </c>
      <c r="Q477" t="s">
        <v>84</v>
      </c>
      <c r="S477" t="s">
        <v>135</v>
      </c>
      <c r="T477" t="s">
        <v>199</v>
      </c>
      <c r="U477">
        <v>1.2662625989308106E-2</v>
      </c>
      <c r="V477" t="s">
        <v>84</v>
      </c>
    </row>
    <row r="478" spans="9:22" x14ac:dyDescent="0.45">
      <c r="I478" t="s">
        <v>104</v>
      </c>
      <c r="J478" t="s">
        <v>200</v>
      </c>
      <c r="K478">
        <v>0</v>
      </c>
      <c r="L478" t="s">
        <v>84</v>
      </c>
      <c r="N478" t="s">
        <v>120</v>
      </c>
      <c r="O478" t="s">
        <v>200</v>
      </c>
      <c r="P478">
        <v>5.525200409659313E-2</v>
      </c>
      <c r="Q478" t="s">
        <v>84</v>
      </c>
      <c r="S478" t="s">
        <v>135</v>
      </c>
      <c r="T478" t="s">
        <v>200</v>
      </c>
      <c r="U478">
        <v>6.5537422001502699E-2</v>
      </c>
      <c r="V478" t="s">
        <v>84</v>
      </c>
    </row>
    <row r="479" spans="9:22" x14ac:dyDescent="0.45">
      <c r="I479" t="s">
        <v>104</v>
      </c>
      <c r="J479" t="s">
        <v>201</v>
      </c>
      <c r="K479">
        <v>3.1704906536423145E-3</v>
      </c>
      <c r="L479" t="s">
        <v>84</v>
      </c>
      <c r="N479" t="s">
        <v>120</v>
      </c>
      <c r="O479" t="s">
        <v>201</v>
      </c>
      <c r="P479">
        <v>3.3166430356322954E-2</v>
      </c>
      <c r="Q479" t="s">
        <v>84</v>
      </c>
      <c r="S479" t="s">
        <v>135</v>
      </c>
      <c r="T479" t="s">
        <v>201</v>
      </c>
      <c r="U479">
        <v>2.9723548158579072E-2</v>
      </c>
      <c r="V479" t="s">
        <v>84</v>
      </c>
    </row>
    <row r="480" spans="9:22" x14ac:dyDescent="0.45">
      <c r="I480" t="s">
        <v>104</v>
      </c>
      <c r="J480" t="s">
        <v>202</v>
      </c>
      <c r="K480">
        <v>2.8674416117201628E-2</v>
      </c>
      <c r="L480" t="s">
        <v>84</v>
      </c>
      <c r="N480" t="s">
        <v>120</v>
      </c>
      <c r="O480" t="s">
        <v>202</v>
      </c>
      <c r="P480">
        <v>2.1233074418298307E-2</v>
      </c>
      <c r="Q480" t="s">
        <v>84</v>
      </c>
      <c r="S480" t="s">
        <v>135</v>
      </c>
      <c r="T480" t="s">
        <v>202</v>
      </c>
      <c r="U480">
        <v>1.6439529333190567E-2</v>
      </c>
      <c r="V480" t="s">
        <v>84</v>
      </c>
    </row>
    <row r="481" spans="9:22" x14ac:dyDescent="0.45">
      <c r="I481" t="s">
        <v>104</v>
      </c>
      <c r="J481" t="s">
        <v>203</v>
      </c>
      <c r="K481">
        <v>5.9899728327068504E-2</v>
      </c>
      <c r="L481" t="s">
        <v>84</v>
      </c>
      <c r="N481" t="s">
        <v>120</v>
      </c>
      <c r="O481" t="s">
        <v>203</v>
      </c>
      <c r="P481">
        <v>3.4569113911047195E-2</v>
      </c>
      <c r="Q481" t="s">
        <v>84</v>
      </c>
      <c r="S481" t="s">
        <v>135</v>
      </c>
      <c r="T481" t="s">
        <v>203</v>
      </c>
      <c r="U481">
        <v>2.5732996552744754E-2</v>
      </c>
      <c r="V481" t="s">
        <v>84</v>
      </c>
    </row>
    <row r="482" spans="9:22" x14ac:dyDescent="0.45">
      <c r="I482" t="s">
        <v>104</v>
      </c>
      <c r="J482" t="s">
        <v>204</v>
      </c>
      <c r="K482">
        <v>7.3735128957192076E-3</v>
      </c>
      <c r="L482" t="s">
        <v>84</v>
      </c>
      <c r="N482" t="s">
        <v>120</v>
      </c>
      <c r="O482" t="s">
        <v>204</v>
      </c>
      <c r="P482">
        <v>5.1432486802389134E-3</v>
      </c>
      <c r="Q482" t="s">
        <v>84</v>
      </c>
      <c r="S482" t="s">
        <v>135</v>
      </c>
      <c r="T482" t="s">
        <v>204</v>
      </c>
      <c r="U482">
        <v>4.3303576243324199E-3</v>
      </c>
      <c r="V482" t="s">
        <v>84</v>
      </c>
    </row>
    <row r="483" spans="9:22" x14ac:dyDescent="0.45">
      <c r="I483" t="s">
        <v>104</v>
      </c>
      <c r="J483" t="s">
        <v>205</v>
      </c>
      <c r="K483">
        <v>5.1560614933850108E-3</v>
      </c>
      <c r="L483" t="s">
        <v>84</v>
      </c>
      <c r="N483" t="s">
        <v>120</v>
      </c>
      <c r="O483" t="s">
        <v>205</v>
      </c>
      <c r="P483">
        <v>4.7842912788210812E-3</v>
      </c>
      <c r="Q483" t="s">
        <v>84</v>
      </c>
      <c r="S483" t="s">
        <v>135</v>
      </c>
      <c r="T483" t="s">
        <v>205</v>
      </c>
      <c r="U483">
        <v>4.3283922598744903E-3</v>
      </c>
      <c r="V483" t="s">
        <v>84</v>
      </c>
    </row>
    <row r="484" spans="9:22" x14ac:dyDescent="0.45">
      <c r="I484" t="s">
        <v>104</v>
      </c>
      <c r="J484" t="s">
        <v>206</v>
      </c>
      <c r="K484">
        <v>1.7116198804172192E-4</v>
      </c>
      <c r="L484" t="s">
        <v>84</v>
      </c>
      <c r="N484" t="s">
        <v>120</v>
      </c>
      <c r="O484" t="s">
        <v>206</v>
      </c>
      <c r="P484">
        <v>2.0937023588950082E-2</v>
      </c>
      <c r="Q484" t="s">
        <v>84</v>
      </c>
      <c r="S484" t="s">
        <v>135</v>
      </c>
      <c r="T484" t="s">
        <v>206</v>
      </c>
      <c r="U484">
        <v>2.1343590075391487E-2</v>
      </c>
      <c r="V484" t="s">
        <v>84</v>
      </c>
    </row>
    <row r="485" spans="9:22" x14ac:dyDescent="0.45">
      <c r="I485" t="s">
        <v>104</v>
      </c>
      <c r="J485" t="s">
        <v>207</v>
      </c>
      <c r="K485">
        <v>1.7273012569314846E-2</v>
      </c>
      <c r="L485" t="s">
        <v>84</v>
      </c>
      <c r="N485" t="s">
        <v>120</v>
      </c>
      <c r="O485" t="s">
        <v>207</v>
      </c>
      <c r="P485">
        <v>3.5449875092470391E-2</v>
      </c>
      <c r="Q485" t="s">
        <v>84</v>
      </c>
      <c r="S485" t="s">
        <v>135</v>
      </c>
      <c r="T485" t="s">
        <v>207</v>
      </c>
      <c r="U485">
        <v>3.8227705409135983E-2</v>
      </c>
      <c r="V485" t="s">
        <v>84</v>
      </c>
    </row>
    <row r="486" spans="9:22" x14ac:dyDescent="0.45">
      <c r="I486" t="s">
        <v>104</v>
      </c>
      <c r="J486" t="s">
        <v>208</v>
      </c>
      <c r="K486">
        <v>8.3006031720868984E-2</v>
      </c>
      <c r="L486" t="s">
        <v>84</v>
      </c>
      <c r="N486" t="s">
        <v>120</v>
      </c>
      <c r="O486" t="s">
        <v>208</v>
      </c>
      <c r="P486">
        <v>2.3051760366313134E-2</v>
      </c>
      <c r="Q486" t="s">
        <v>84</v>
      </c>
      <c r="S486" t="s">
        <v>135</v>
      </c>
      <c r="T486" t="s">
        <v>208</v>
      </c>
      <c r="U486">
        <v>1.91189389653184E-2</v>
      </c>
      <c r="V486" t="s">
        <v>84</v>
      </c>
    </row>
    <row r="487" spans="9:22" x14ac:dyDescent="0.45">
      <c r="I487" t="s">
        <v>104</v>
      </c>
      <c r="J487" t="s">
        <v>209</v>
      </c>
      <c r="K487">
        <v>0.1416233333702776</v>
      </c>
      <c r="L487" t="s">
        <v>84</v>
      </c>
      <c r="N487" t="s">
        <v>120</v>
      </c>
      <c r="O487" t="s">
        <v>209</v>
      </c>
      <c r="P487">
        <v>4.4497332455093366E-2</v>
      </c>
      <c r="Q487" t="s">
        <v>84</v>
      </c>
      <c r="S487" t="s">
        <v>135</v>
      </c>
      <c r="T487" t="s">
        <v>209</v>
      </c>
      <c r="U487">
        <v>3.0204231667981338E-2</v>
      </c>
      <c r="V487" t="s">
        <v>84</v>
      </c>
    </row>
    <row r="488" spans="9:22" x14ac:dyDescent="0.45">
      <c r="I488" t="s">
        <v>104</v>
      </c>
      <c r="J488" t="s">
        <v>210</v>
      </c>
      <c r="K488">
        <v>1.79356328901875E-2</v>
      </c>
      <c r="L488" t="s">
        <v>84</v>
      </c>
      <c r="N488" t="s">
        <v>120</v>
      </c>
      <c r="O488" t="s">
        <v>210</v>
      </c>
      <c r="P488">
        <v>6.9915441203288065E-3</v>
      </c>
      <c r="Q488" t="s">
        <v>84</v>
      </c>
      <c r="S488" t="s">
        <v>135</v>
      </c>
      <c r="T488" t="s">
        <v>210</v>
      </c>
      <c r="U488">
        <v>5.8039289603464021E-3</v>
      </c>
      <c r="V488" t="s">
        <v>84</v>
      </c>
    </row>
    <row r="489" spans="9:22" x14ac:dyDescent="0.45">
      <c r="I489" t="s">
        <v>104</v>
      </c>
      <c r="J489" t="s">
        <v>211</v>
      </c>
      <c r="K489">
        <v>1.429257330959316E-2</v>
      </c>
      <c r="L489" t="s">
        <v>84</v>
      </c>
      <c r="N489" t="s">
        <v>120</v>
      </c>
      <c r="O489" t="s">
        <v>211</v>
      </c>
      <c r="P489">
        <v>6.4637679568531579E-3</v>
      </c>
      <c r="Q489" t="s">
        <v>84</v>
      </c>
      <c r="S489" t="s">
        <v>135</v>
      </c>
      <c r="T489" t="s">
        <v>211</v>
      </c>
      <c r="U489">
        <v>5.9214290658938769E-3</v>
      </c>
      <c r="V489" t="s">
        <v>84</v>
      </c>
    </row>
    <row r="490" spans="9:22" x14ac:dyDescent="0.45">
      <c r="I490" t="s">
        <v>104</v>
      </c>
      <c r="J490" t="s">
        <v>212</v>
      </c>
      <c r="K490">
        <v>1.0193856610830677E-2</v>
      </c>
      <c r="L490" t="s">
        <v>84</v>
      </c>
      <c r="N490" t="s">
        <v>120</v>
      </c>
      <c r="O490" t="s">
        <v>212</v>
      </c>
      <c r="P490">
        <v>2.7502644855531829E-2</v>
      </c>
      <c r="Q490" t="s">
        <v>84</v>
      </c>
      <c r="S490" t="s">
        <v>135</v>
      </c>
      <c r="T490" t="s">
        <v>212</v>
      </c>
      <c r="U490">
        <v>2.9551568805111641E-2</v>
      </c>
      <c r="V490" t="s">
        <v>84</v>
      </c>
    </row>
    <row r="491" spans="9:22" x14ac:dyDescent="0.45">
      <c r="I491" t="s">
        <v>105</v>
      </c>
      <c r="J491" t="s">
        <v>83</v>
      </c>
      <c r="K491">
        <v>7.4313291490238865E-3</v>
      </c>
      <c r="L491" t="s">
        <v>84</v>
      </c>
      <c r="N491" t="s">
        <v>121</v>
      </c>
      <c r="O491" t="s">
        <v>83</v>
      </c>
      <c r="P491">
        <v>2.6217419216599029E-2</v>
      </c>
      <c r="Q491" t="s">
        <v>84</v>
      </c>
      <c r="S491" t="s">
        <v>136</v>
      </c>
      <c r="T491" t="s">
        <v>83</v>
      </c>
      <c r="U491">
        <v>2.8655790058485137E-2</v>
      </c>
      <c r="V491" t="s">
        <v>84</v>
      </c>
    </row>
    <row r="492" spans="9:22" x14ac:dyDescent="0.45">
      <c r="I492" t="s">
        <v>105</v>
      </c>
      <c r="J492" t="s">
        <v>85</v>
      </c>
      <c r="K492">
        <v>4.3636616900282151E-2</v>
      </c>
      <c r="L492" t="s">
        <v>84</v>
      </c>
      <c r="N492" t="s">
        <v>121</v>
      </c>
      <c r="O492" t="s">
        <v>85</v>
      </c>
      <c r="P492">
        <v>1.3386232471581534E-2</v>
      </c>
      <c r="Q492" t="s">
        <v>84</v>
      </c>
      <c r="S492" t="s">
        <v>136</v>
      </c>
      <c r="T492" t="s">
        <v>85</v>
      </c>
      <c r="U492">
        <v>1.6600524445164088E-2</v>
      </c>
      <c r="V492" t="s">
        <v>84</v>
      </c>
    </row>
    <row r="493" spans="9:22" x14ac:dyDescent="0.45">
      <c r="I493" t="s">
        <v>105</v>
      </c>
      <c r="J493" t="s">
        <v>86</v>
      </c>
      <c r="K493">
        <v>7.851595897168076E-2</v>
      </c>
      <c r="L493" t="s">
        <v>84</v>
      </c>
      <c r="N493" t="s">
        <v>121</v>
      </c>
      <c r="O493" t="s">
        <v>86</v>
      </c>
      <c r="P493">
        <v>2.9252563508920262E-2</v>
      </c>
      <c r="Q493" t="s">
        <v>84</v>
      </c>
      <c r="S493" t="s">
        <v>136</v>
      </c>
      <c r="T493" t="s">
        <v>86</v>
      </c>
      <c r="U493">
        <v>2.6115957848483456E-2</v>
      </c>
      <c r="V493" t="s">
        <v>84</v>
      </c>
    </row>
    <row r="494" spans="9:22" x14ac:dyDescent="0.45">
      <c r="I494" t="s">
        <v>105</v>
      </c>
      <c r="J494" t="s">
        <v>177</v>
      </c>
      <c r="K494">
        <v>1.0445649491522655E-2</v>
      </c>
      <c r="L494" t="s">
        <v>84</v>
      </c>
      <c r="N494" t="s">
        <v>121</v>
      </c>
      <c r="O494" t="s">
        <v>177</v>
      </c>
      <c r="P494">
        <v>5.7664882034913264E-3</v>
      </c>
      <c r="Q494" t="s">
        <v>84</v>
      </c>
      <c r="S494" t="s">
        <v>136</v>
      </c>
      <c r="T494" t="s">
        <v>177</v>
      </c>
      <c r="U494">
        <v>4.7549478107384389E-3</v>
      </c>
      <c r="V494" t="s">
        <v>84</v>
      </c>
    </row>
    <row r="495" spans="9:22" x14ac:dyDescent="0.45">
      <c r="I495" t="s">
        <v>105</v>
      </c>
      <c r="J495" t="s">
        <v>178</v>
      </c>
      <c r="K495">
        <v>9.2555845114997808E-3</v>
      </c>
      <c r="L495" t="s">
        <v>84</v>
      </c>
      <c r="N495" t="s">
        <v>121</v>
      </c>
      <c r="O495" t="s">
        <v>178</v>
      </c>
      <c r="P495">
        <v>5.4619792971663502E-3</v>
      </c>
      <c r="Q495" t="s">
        <v>84</v>
      </c>
      <c r="S495" t="s">
        <v>136</v>
      </c>
      <c r="T495" t="s">
        <v>178</v>
      </c>
      <c r="U495">
        <v>4.7430689726686891E-3</v>
      </c>
      <c r="V495" t="s">
        <v>84</v>
      </c>
    </row>
    <row r="496" spans="9:22" x14ac:dyDescent="0.45">
      <c r="I496" t="s">
        <v>105</v>
      </c>
      <c r="J496" t="s">
        <v>179</v>
      </c>
      <c r="K496">
        <v>6.6087472309461675E-3</v>
      </c>
      <c r="L496" t="s">
        <v>84</v>
      </c>
      <c r="N496" t="s">
        <v>121</v>
      </c>
      <c r="O496" t="s">
        <v>179</v>
      </c>
      <c r="P496">
        <v>2.3826105509913299E-2</v>
      </c>
      <c r="Q496" t="s">
        <v>84</v>
      </c>
      <c r="S496" t="s">
        <v>136</v>
      </c>
      <c r="T496" t="s">
        <v>179</v>
      </c>
      <c r="U496">
        <v>2.2273221385129976E-2</v>
      </c>
      <c r="V496" t="s">
        <v>84</v>
      </c>
    </row>
    <row r="497" spans="9:22" x14ac:dyDescent="0.45">
      <c r="I497" t="s">
        <v>105</v>
      </c>
      <c r="J497" t="s">
        <v>87</v>
      </c>
      <c r="K497">
        <v>3.1158003007841551E-3</v>
      </c>
      <c r="L497" t="s">
        <v>84</v>
      </c>
      <c r="N497" t="s">
        <v>121</v>
      </c>
      <c r="O497" t="s">
        <v>87</v>
      </c>
      <c r="P497">
        <v>1.2478194946551691E-2</v>
      </c>
      <c r="Q497" t="s">
        <v>84</v>
      </c>
      <c r="S497" t="s">
        <v>136</v>
      </c>
      <c r="T497" t="s">
        <v>87</v>
      </c>
      <c r="U497">
        <v>1.2217242057196976E-2</v>
      </c>
      <c r="V497" t="s">
        <v>84</v>
      </c>
    </row>
    <row r="498" spans="9:22" x14ac:dyDescent="0.45">
      <c r="I498" t="s">
        <v>105</v>
      </c>
      <c r="J498" t="s">
        <v>88</v>
      </c>
      <c r="K498">
        <v>3.1470479768856655E-2</v>
      </c>
      <c r="L498" t="s">
        <v>84</v>
      </c>
      <c r="N498" t="s">
        <v>121</v>
      </c>
      <c r="O498" t="s">
        <v>88</v>
      </c>
      <c r="P498">
        <v>6.0520542883449931E-3</v>
      </c>
      <c r="Q498" t="s">
        <v>84</v>
      </c>
      <c r="S498" t="s">
        <v>136</v>
      </c>
      <c r="T498" t="s">
        <v>88</v>
      </c>
      <c r="U498">
        <v>8.0011802412825635E-3</v>
      </c>
      <c r="V498" t="s">
        <v>84</v>
      </c>
    </row>
    <row r="499" spans="9:22" x14ac:dyDescent="0.45">
      <c r="I499" t="s">
        <v>105</v>
      </c>
      <c r="J499" t="s">
        <v>89</v>
      </c>
      <c r="K499">
        <v>6.3008186838969374E-2</v>
      </c>
      <c r="L499" t="s">
        <v>84</v>
      </c>
      <c r="N499" t="s">
        <v>121</v>
      </c>
      <c r="O499" t="s">
        <v>89</v>
      </c>
      <c r="P499">
        <v>1.4851256362527992E-2</v>
      </c>
      <c r="Q499" t="s">
        <v>84</v>
      </c>
      <c r="S499" t="s">
        <v>136</v>
      </c>
      <c r="T499" t="s">
        <v>89</v>
      </c>
      <c r="U499">
        <v>1.3321415237507428E-2</v>
      </c>
      <c r="V499" t="s">
        <v>84</v>
      </c>
    </row>
    <row r="500" spans="9:22" x14ac:dyDescent="0.45">
      <c r="I500" t="s">
        <v>105</v>
      </c>
      <c r="J500" t="s">
        <v>180</v>
      </c>
      <c r="K500">
        <v>8.5961785156902486E-3</v>
      </c>
      <c r="L500" t="s">
        <v>84</v>
      </c>
      <c r="N500" t="s">
        <v>121</v>
      </c>
      <c r="O500" t="s">
        <v>180</v>
      </c>
      <c r="P500">
        <v>3.2252713980023251E-3</v>
      </c>
      <c r="Q500" t="s">
        <v>84</v>
      </c>
      <c r="S500" t="s">
        <v>136</v>
      </c>
      <c r="T500" t="s">
        <v>180</v>
      </c>
      <c r="U500">
        <v>2.5647492508883373E-3</v>
      </c>
      <c r="V500" t="s">
        <v>84</v>
      </c>
    </row>
    <row r="501" spans="9:22" x14ac:dyDescent="0.45">
      <c r="I501" t="s">
        <v>105</v>
      </c>
      <c r="J501" t="s">
        <v>181</v>
      </c>
      <c r="K501">
        <v>7.0712911517493461E-3</v>
      </c>
      <c r="L501" t="s">
        <v>84</v>
      </c>
      <c r="N501" t="s">
        <v>121</v>
      </c>
      <c r="O501" t="s">
        <v>181</v>
      </c>
      <c r="P501">
        <v>3.0885075581466278E-3</v>
      </c>
      <c r="Q501" t="s">
        <v>84</v>
      </c>
      <c r="S501" t="s">
        <v>136</v>
      </c>
      <c r="T501" t="s">
        <v>181</v>
      </c>
      <c r="U501">
        <v>2.4995451917439611E-3</v>
      </c>
      <c r="V501" t="s">
        <v>84</v>
      </c>
    </row>
    <row r="502" spans="9:22" x14ac:dyDescent="0.45">
      <c r="I502" t="s">
        <v>105</v>
      </c>
      <c r="J502" t="s">
        <v>182</v>
      </c>
      <c r="K502">
        <v>4.2367631049650698E-3</v>
      </c>
      <c r="L502" t="s">
        <v>84</v>
      </c>
      <c r="N502" t="s">
        <v>121</v>
      </c>
      <c r="O502" t="s">
        <v>182</v>
      </c>
      <c r="P502">
        <v>1.3044724090842244E-2</v>
      </c>
      <c r="Q502" t="s">
        <v>84</v>
      </c>
      <c r="S502" t="s">
        <v>136</v>
      </c>
      <c r="T502" t="s">
        <v>182</v>
      </c>
      <c r="U502">
        <v>1.0037398093766081E-2</v>
      </c>
      <c r="V502" t="s">
        <v>84</v>
      </c>
    </row>
    <row r="503" spans="9:22" x14ac:dyDescent="0.45">
      <c r="I503" t="s">
        <v>105</v>
      </c>
      <c r="J503" t="s">
        <v>90</v>
      </c>
      <c r="K503">
        <v>8.3612627583293689E-7</v>
      </c>
      <c r="L503" t="s">
        <v>84</v>
      </c>
      <c r="N503" t="s">
        <v>121</v>
      </c>
      <c r="O503" t="s">
        <v>90</v>
      </c>
      <c r="P503">
        <v>1.3233747263713517E-2</v>
      </c>
      <c r="Q503" t="s">
        <v>84</v>
      </c>
      <c r="S503" t="s">
        <v>136</v>
      </c>
      <c r="T503" t="s">
        <v>90</v>
      </c>
      <c r="U503">
        <v>1.4655081471141151E-2</v>
      </c>
      <c r="V503" t="s">
        <v>84</v>
      </c>
    </row>
    <row r="504" spans="9:22" x14ac:dyDescent="0.45">
      <c r="I504" t="s">
        <v>105</v>
      </c>
      <c r="J504" t="s">
        <v>91</v>
      </c>
      <c r="K504">
        <v>2.3967148864570749E-2</v>
      </c>
      <c r="L504" t="s">
        <v>84</v>
      </c>
      <c r="N504" t="s">
        <v>121</v>
      </c>
      <c r="O504" t="s">
        <v>91</v>
      </c>
      <c r="P504">
        <v>7.0380197369844279E-3</v>
      </c>
      <c r="Q504" t="s">
        <v>84</v>
      </c>
      <c r="S504" t="s">
        <v>136</v>
      </c>
      <c r="T504" t="s">
        <v>91</v>
      </c>
      <c r="U504">
        <v>8.2477659042895762E-3</v>
      </c>
      <c r="V504" t="s">
        <v>84</v>
      </c>
    </row>
    <row r="505" spans="9:22" x14ac:dyDescent="0.45">
      <c r="I505" t="s">
        <v>105</v>
      </c>
      <c r="J505" t="s">
        <v>92</v>
      </c>
      <c r="K505">
        <v>5.1354278716071337E-2</v>
      </c>
      <c r="L505" t="s">
        <v>84</v>
      </c>
      <c r="N505" t="s">
        <v>121</v>
      </c>
      <c r="O505" t="s">
        <v>92</v>
      </c>
      <c r="P505">
        <v>1.4750289007634736E-2</v>
      </c>
      <c r="Q505" t="s">
        <v>84</v>
      </c>
      <c r="S505" t="s">
        <v>136</v>
      </c>
      <c r="T505" t="s">
        <v>92</v>
      </c>
      <c r="U505">
        <v>1.3849733091287442E-2</v>
      </c>
      <c r="V505" t="s">
        <v>84</v>
      </c>
    </row>
    <row r="506" spans="9:22" x14ac:dyDescent="0.45">
      <c r="I506" t="s">
        <v>105</v>
      </c>
      <c r="J506" t="s">
        <v>183</v>
      </c>
      <c r="K506">
        <v>6.9641228690033976E-3</v>
      </c>
      <c r="L506" t="s">
        <v>84</v>
      </c>
      <c r="N506" t="s">
        <v>121</v>
      </c>
      <c r="O506" t="s">
        <v>183</v>
      </c>
      <c r="P506">
        <v>3.2866092664959098E-3</v>
      </c>
      <c r="Q506" t="s">
        <v>84</v>
      </c>
      <c r="S506" t="s">
        <v>136</v>
      </c>
      <c r="T506" t="s">
        <v>183</v>
      </c>
      <c r="U506">
        <v>2.8427125022976569E-3</v>
      </c>
      <c r="V506" t="s">
        <v>84</v>
      </c>
    </row>
    <row r="507" spans="9:22" x14ac:dyDescent="0.45">
      <c r="I507" t="s">
        <v>105</v>
      </c>
      <c r="J507" t="s">
        <v>184</v>
      </c>
      <c r="K507">
        <v>5.0193769566182957E-3</v>
      </c>
      <c r="L507" t="s">
        <v>84</v>
      </c>
      <c r="N507" t="s">
        <v>121</v>
      </c>
      <c r="O507" t="s">
        <v>184</v>
      </c>
      <c r="P507">
        <v>3.3997942397586247E-3</v>
      </c>
      <c r="Q507" t="s">
        <v>84</v>
      </c>
      <c r="S507" t="s">
        <v>136</v>
      </c>
      <c r="T507" t="s">
        <v>184</v>
      </c>
      <c r="U507">
        <v>2.8952807491155327E-3</v>
      </c>
      <c r="V507" t="s">
        <v>84</v>
      </c>
    </row>
    <row r="508" spans="9:22" x14ac:dyDescent="0.45">
      <c r="I508" t="s">
        <v>105</v>
      </c>
      <c r="J508" t="s">
        <v>185</v>
      </c>
      <c r="K508">
        <v>0</v>
      </c>
      <c r="L508" t="s">
        <v>84</v>
      </c>
      <c r="N508" t="s">
        <v>121</v>
      </c>
      <c r="O508" t="s">
        <v>185</v>
      </c>
      <c r="P508">
        <v>1.4978845609519132E-2</v>
      </c>
      <c r="Q508" t="s">
        <v>84</v>
      </c>
      <c r="S508" t="s">
        <v>136</v>
      </c>
      <c r="T508" t="s">
        <v>185</v>
      </c>
      <c r="U508">
        <v>1.2845521512559847E-2</v>
      </c>
      <c r="V508" t="s">
        <v>84</v>
      </c>
    </row>
    <row r="509" spans="9:22" x14ac:dyDescent="0.45">
      <c r="I509" t="s">
        <v>105</v>
      </c>
      <c r="J509" t="s">
        <v>93</v>
      </c>
      <c r="K509">
        <v>0</v>
      </c>
      <c r="L509" t="s">
        <v>84</v>
      </c>
      <c r="N509" t="s">
        <v>121</v>
      </c>
      <c r="O509" t="s">
        <v>93</v>
      </c>
      <c r="P509">
        <v>5.0527447965463351E-2</v>
      </c>
      <c r="Q509" t="s">
        <v>84</v>
      </c>
      <c r="S509" t="s">
        <v>136</v>
      </c>
      <c r="T509" t="s">
        <v>93</v>
      </c>
      <c r="U509">
        <v>4.754984389497053E-2</v>
      </c>
      <c r="V509" t="s">
        <v>84</v>
      </c>
    </row>
    <row r="510" spans="9:22" x14ac:dyDescent="0.45">
      <c r="I510" t="s">
        <v>105</v>
      </c>
      <c r="J510" t="s">
        <v>94</v>
      </c>
      <c r="K510">
        <v>2.3781214059691091E-2</v>
      </c>
      <c r="L510" t="s">
        <v>84</v>
      </c>
      <c r="N510" t="s">
        <v>121</v>
      </c>
      <c r="O510" t="s">
        <v>94</v>
      </c>
      <c r="P510">
        <v>2.4321929677503851E-2</v>
      </c>
      <c r="Q510" t="s">
        <v>84</v>
      </c>
      <c r="S510" t="s">
        <v>136</v>
      </c>
      <c r="T510" t="s">
        <v>94</v>
      </c>
      <c r="U510">
        <v>2.5479907216612138E-2</v>
      </c>
      <c r="V510" t="s">
        <v>84</v>
      </c>
    </row>
    <row r="511" spans="9:22" x14ac:dyDescent="0.45">
      <c r="I511" t="s">
        <v>105</v>
      </c>
      <c r="J511" t="s">
        <v>95</v>
      </c>
      <c r="K511">
        <v>5.279952479128263E-2</v>
      </c>
      <c r="L511" t="s">
        <v>84</v>
      </c>
      <c r="N511" t="s">
        <v>121</v>
      </c>
      <c r="O511" t="s">
        <v>95</v>
      </c>
      <c r="P511">
        <v>3.7712188710925368E-2</v>
      </c>
      <c r="Q511" t="s">
        <v>84</v>
      </c>
      <c r="S511" t="s">
        <v>136</v>
      </c>
      <c r="T511" t="s">
        <v>95</v>
      </c>
      <c r="U511">
        <v>4.3050318182027085E-2</v>
      </c>
      <c r="V511" t="s">
        <v>84</v>
      </c>
    </row>
    <row r="512" spans="9:22" x14ac:dyDescent="0.45">
      <c r="I512" t="s">
        <v>105</v>
      </c>
      <c r="J512" t="s">
        <v>186</v>
      </c>
      <c r="K512">
        <v>3.7940068906161927E-3</v>
      </c>
      <c r="L512" t="s">
        <v>84</v>
      </c>
      <c r="N512" t="s">
        <v>121</v>
      </c>
      <c r="O512" t="s">
        <v>186</v>
      </c>
      <c r="P512">
        <v>7.0929978113453539E-3</v>
      </c>
      <c r="Q512" t="s">
        <v>84</v>
      </c>
      <c r="S512" t="s">
        <v>136</v>
      </c>
      <c r="T512" t="s">
        <v>186</v>
      </c>
      <c r="U512">
        <v>6.9532029142235358E-3</v>
      </c>
      <c r="V512" t="s">
        <v>84</v>
      </c>
    </row>
    <row r="513" spans="9:22" x14ac:dyDescent="0.45">
      <c r="I513" t="s">
        <v>105</v>
      </c>
      <c r="J513" t="s">
        <v>187</v>
      </c>
      <c r="K513">
        <v>0</v>
      </c>
      <c r="L513" t="s">
        <v>84</v>
      </c>
      <c r="N513" t="s">
        <v>121</v>
      </c>
      <c r="O513" t="s">
        <v>187</v>
      </c>
      <c r="P513">
        <v>7.2332947459020826E-3</v>
      </c>
      <c r="Q513" t="s">
        <v>84</v>
      </c>
      <c r="S513" t="s">
        <v>136</v>
      </c>
      <c r="T513" t="s">
        <v>187</v>
      </c>
      <c r="U513">
        <v>6.8396473679706738E-3</v>
      </c>
      <c r="V513" t="s">
        <v>84</v>
      </c>
    </row>
    <row r="514" spans="9:22" x14ac:dyDescent="0.45">
      <c r="I514" t="s">
        <v>105</v>
      </c>
      <c r="J514" t="s">
        <v>188</v>
      </c>
      <c r="K514">
        <v>0</v>
      </c>
      <c r="L514" t="s">
        <v>84</v>
      </c>
      <c r="N514" t="s">
        <v>121</v>
      </c>
      <c r="O514" t="s">
        <v>188</v>
      </c>
      <c r="P514">
        <v>3.6263471539435273E-2</v>
      </c>
      <c r="Q514" t="s">
        <v>84</v>
      </c>
      <c r="S514" t="s">
        <v>136</v>
      </c>
      <c r="T514" t="s">
        <v>188</v>
      </c>
      <c r="U514">
        <v>3.367873428126774E-2</v>
      </c>
      <c r="V514" t="s">
        <v>84</v>
      </c>
    </row>
    <row r="515" spans="9:22" x14ac:dyDescent="0.45">
      <c r="I515" t="s">
        <v>105</v>
      </c>
      <c r="J515" t="s">
        <v>189</v>
      </c>
      <c r="K515">
        <v>0</v>
      </c>
      <c r="L515" t="s">
        <v>84</v>
      </c>
      <c r="N515" t="s">
        <v>121</v>
      </c>
      <c r="O515" t="s">
        <v>189</v>
      </c>
      <c r="P515">
        <v>2.2388871296472802E-2</v>
      </c>
      <c r="Q515" t="s">
        <v>84</v>
      </c>
      <c r="S515" t="s">
        <v>136</v>
      </c>
      <c r="T515" t="s">
        <v>189</v>
      </c>
      <c r="U515">
        <v>3.1711543811118438E-2</v>
      </c>
      <c r="V515" t="s">
        <v>84</v>
      </c>
    </row>
    <row r="516" spans="9:22" x14ac:dyDescent="0.45">
      <c r="I516" t="s">
        <v>105</v>
      </c>
      <c r="J516" t="s">
        <v>190</v>
      </c>
      <c r="K516">
        <v>3.9628298923690165E-3</v>
      </c>
      <c r="L516" t="s">
        <v>84</v>
      </c>
      <c r="N516" t="s">
        <v>121</v>
      </c>
      <c r="O516" t="s">
        <v>190</v>
      </c>
      <c r="P516">
        <v>1.2708251953238693E-2</v>
      </c>
      <c r="Q516" t="s">
        <v>84</v>
      </c>
      <c r="S516" t="s">
        <v>136</v>
      </c>
      <c r="T516" t="s">
        <v>190</v>
      </c>
      <c r="U516">
        <v>1.7531605309083011E-2</v>
      </c>
      <c r="V516" t="s">
        <v>84</v>
      </c>
    </row>
    <row r="517" spans="9:22" x14ac:dyDescent="0.45">
      <c r="I517" t="s">
        <v>105</v>
      </c>
      <c r="J517" t="s">
        <v>191</v>
      </c>
      <c r="K517">
        <v>1.5510550689622159E-2</v>
      </c>
      <c r="L517" t="s">
        <v>84</v>
      </c>
      <c r="N517" t="s">
        <v>121</v>
      </c>
      <c r="O517" t="s">
        <v>191</v>
      </c>
      <c r="P517">
        <v>1.989927069914953E-2</v>
      </c>
      <c r="Q517" t="s">
        <v>84</v>
      </c>
      <c r="S517" t="s">
        <v>136</v>
      </c>
      <c r="T517" t="s">
        <v>191</v>
      </c>
      <c r="U517">
        <v>2.6929896339791905E-2</v>
      </c>
      <c r="V517" t="s">
        <v>84</v>
      </c>
    </row>
    <row r="518" spans="9:22" x14ac:dyDescent="0.45">
      <c r="I518" t="s">
        <v>105</v>
      </c>
      <c r="J518" t="s">
        <v>192</v>
      </c>
      <c r="K518">
        <v>0</v>
      </c>
      <c r="L518" t="s">
        <v>84</v>
      </c>
      <c r="N518" t="s">
        <v>121</v>
      </c>
      <c r="O518" t="s">
        <v>192</v>
      </c>
      <c r="P518">
        <v>3.562002669943254E-3</v>
      </c>
      <c r="Q518" t="s">
        <v>84</v>
      </c>
      <c r="S518" t="s">
        <v>136</v>
      </c>
      <c r="T518" t="s">
        <v>192</v>
      </c>
      <c r="U518">
        <v>4.2920079553615776E-3</v>
      </c>
      <c r="V518" t="s">
        <v>84</v>
      </c>
    </row>
    <row r="519" spans="9:22" x14ac:dyDescent="0.45">
      <c r="I519" t="s">
        <v>105</v>
      </c>
      <c r="J519" t="s">
        <v>193</v>
      </c>
      <c r="K519">
        <v>0</v>
      </c>
      <c r="L519" t="s">
        <v>84</v>
      </c>
      <c r="N519" t="s">
        <v>121</v>
      </c>
      <c r="O519" t="s">
        <v>193</v>
      </c>
      <c r="P519">
        <v>3.5992642106557429E-3</v>
      </c>
      <c r="Q519" t="s">
        <v>84</v>
      </c>
      <c r="S519" t="s">
        <v>136</v>
      </c>
      <c r="T519" t="s">
        <v>193</v>
      </c>
      <c r="U519">
        <v>4.2394385848742678E-3</v>
      </c>
      <c r="V519" t="s">
        <v>84</v>
      </c>
    </row>
    <row r="520" spans="9:22" x14ac:dyDescent="0.45">
      <c r="I520" t="s">
        <v>105</v>
      </c>
      <c r="J520" t="s">
        <v>194</v>
      </c>
      <c r="K520">
        <v>0</v>
      </c>
      <c r="L520" t="s">
        <v>84</v>
      </c>
      <c r="N520" t="s">
        <v>121</v>
      </c>
      <c r="O520" t="s">
        <v>194</v>
      </c>
      <c r="P520">
        <v>1.7709639099583549E-2</v>
      </c>
      <c r="Q520" t="s">
        <v>84</v>
      </c>
      <c r="S520" t="s">
        <v>136</v>
      </c>
      <c r="T520" t="s">
        <v>194</v>
      </c>
      <c r="U520">
        <v>2.1358680405191708E-2</v>
      </c>
      <c r="V520" t="s">
        <v>84</v>
      </c>
    </row>
    <row r="521" spans="9:22" x14ac:dyDescent="0.45">
      <c r="I521" t="s">
        <v>105</v>
      </c>
      <c r="J521" t="s">
        <v>195</v>
      </c>
      <c r="K521">
        <v>4.5929808816063733E-5</v>
      </c>
      <c r="L521" t="s">
        <v>84</v>
      </c>
      <c r="N521" t="s">
        <v>121</v>
      </c>
      <c r="O521" t="s">
        <v>195</v>
      </c>
      <c r="P521">
        <v>8.9011914651969809E-2</v>
      </c>
      <c r="Q521" t="s">
        <v>84</v>
      </c>
      <c r="S521" t="s">
        <v>136</v>
      </c>
      <c r="T521" t="s">
        <v>195</v>
      </c>
      <c r="U521">
        <v>9.0760447580114367E-2</v>
      </c>
      <c r="V521" t="s">
        <v>84</v>
      </c>
    </row>
    <row r="522" spans="9:22" x14ac:dyDescent="0.45">
      <c r="I522" t="s">
        <v>105</v>
      </c>
      <c r="J522" t="s">
        <v>196</v>
      </c>
      <c r="K522">
        <v>4.421038568379998E-2</v>
      </c>
      <c r="L522" t="s">
        <v>84</v>
      </c>
      <c r="N522" t="s">
        <v>121</v>
      </c>
      <c r="O522" t="s">
        <v>196</v>
      </c>
      <c r="P522">
        <v>4.0420488145238583E-2</v>
      </c>
      <c r="Q522" t="s">
        <v>84</v>
      </c>
      <c r="S522" t="s">
        <v>136</v>
      </c>
      <c r="T522" t="s">
        <v>196</v>
      </c>
      <c r="U522">
        <v>4.9952366460510447E-2</v>
      </c>
      <c r="V522" t="s">
        <v>84</v>
      </c>
    </row>
    <row r="523" spans="9:22" x14ac:dyDescent="0.45">
      <c r="I523" t="s">
        <v>105</v>
      </c>
      <c r="J523" t="s">
        <v>197</v>
      </c>
      <c r="K523">
        <v>9.8469762718099679E-2</v>
      </c>
      <c r="L523" t="s">
        <v>84</v>
      </c>
      <c r="N523" t="s">
        <v>121</v>
      </c>
      <c r="O523" t="s">
        <v>197</v>
      </c>
      <c r="P523">
        <v>6.1283109672058189E-2</v>
      </c>
      <c r="Q523" t="s">
        <v>84</v>
      </c>
      <c r="S523" t="s">
        <v>136</v>
      </c>
      <c r="T523" t="s">
        <v>197</v>
      </c>
      <c r="U523">
        <v>7.8332793135388726E-2</v>
      </c>
      <c r="V523" t="s">
        <v>84</v>
      </c>
    </row>
    <row r="524" spans="9:22" x14ac:dyDescent="0.45">
      <c r="I524" t="s">
        <v>105</v>
      </c>
      <c r="J524" t="s">
        <v>198</v>
      </c>
      <c r="K524">
        <v>8.9843152419157961E-3</v>
      </c>
      <c r="L524" t="s">
        <v>84</v>
      </c>
      <c r="N524" t="s">
        <v>121</v>
      </c>
      <c r="O524" t="s">
        <v>198</v>
      </c>
      <c r="P524">
        <v>1.2039143570017447E-2</v>
      </c>
      <c r="Q524" t="s">
        <v>84</v>
      </c>
      <c r="S524" t="s">
        <v>136</v>
      </c>
      <c r="T524" t="s">
        <v>198</v>
      </c>
      <c r="U524">
        <v>1.2754899317041888E-2</v>
      </c>
      <c r="V524" t="s">
        <v>84</v>
      </c>
    </row>
    <row r="525" spans="9:22" x14ac:dyDescent="0.45">
      <c r="I525" t="s">
        <v>105</v>
      </c>
      <c r="J525" t="s">
        <v>199</v>
      </c>
      <c r="K525">
        <v>1.6616754787803509E-3</v>
      </c>
      <c r="L525" t="s">
        <v>84</v>
      </c>
      <c r="N525" t="s">
        <v>121</v>
      </c>
      <c r="O525" t="s">
        <v>199</v>
      </c>
      <c r="P525">
        <v>1.2414719054285773E-2</v>
      </c>
      <c r="Q525" t="s">
        <v>84</v>
      </c>
      <c r="S525" t="s">
        <v>136</v>
      </c>
      <c r="T525" t="s">
        <v>199</v>
      </c>
      <c r="U525">
        <v>1.2745071766745535E-2</v>
      </c>
      <c r="V525" t="s">
        <v>84</v>
      </c>
    </row>
    <row r="526" spans="9:22" x14ac:dyDescent="0.45">
      <c r="I526" t="s">
        <v>105</v>
      </c>
      <c r="J526" t="s">
        <v>200</v>
      </c>
      <c r="K526">
        <v>0</v>
      </c>
      <c r="L526" t="s">
        <v>84</v>
      </c>
      <c r="N526" t="s">
        <v>121</v>
      </c>
      <c r="O526" t="s">
        <v>200</v>
      </c>
      <c r="P526">
        <v>6.5656006055173272E-2</v>
      </c>
      <c r="Q526" t="s">
        <v>84</v>
      </c>
      <c r="S526" t="s">
        <v>136</v>
      </c>
      <c r="T526" t="s">
        <v>200</v>
      </c>
      <c r="U526">
        <v>6.4827850822728808E-2</v>
      </c>
      <c r="V526" t="s">
        <v>84</v>
      </c>
    </row>
    <row r="527" spans="9:22" x14ac:dyDescent="0.45">
      <c r="I527" t="s">
        <v>105</v>
      </c>
      <c r="J527" t="s">
        <v>201</v>
      </c>
      <c r="K527">
        <v>4.2960277786146918E-3</v>
      </c>
      <c r="L527" t="s">
        <v>84</v>
      </c>
      <c r="N527" t="s">
        <v>121</v>
      </c>
      <c r="O527" t="s">
        <v>201</v>
      </c>
      <c r="P527">
        <v>3.4098063053861094E-2</v>
      </c>
      <c r="Q527" t="s">
        <v>84</v>
      </c>
      <c r="S527" t="s">
        <v>136</v>
      </c>
      <c r="T527" t="s">
        <v>201</v>
      </c>
      <c r="U527">
        <v>2.7163701457744816E-2</v>
      </c>
      <c r="V527" t="s">
        <v>84</v>
      </c>
    </row>
    <row r="528" spans="9:22" x14ac:dyDescent="0.45">
      <c r="I528" t="s">
        <v>105</v>
      </c>
      <c r="J528" t="s">
        <v>202</v>
      </c>
      <c r="K528">
        <v>3.3625874408341951E-2</v>
      </c>
      <c r="L528" t="s">
        <v>84</v>
      </c>
      <c r="N528" t="s">
        <v>121</v>
      </c>
      <c r="O528" t="s">
        <v>202</v>
      </c>
      <c r="P528">
        <v>1.8365174225727549E-2</v>
      </c>
      <c r="Q528" t="s">
        <v>84</v>
      </c>
      <c r="S528" t="s">
        <v>136</v>
      </c>
      <c r="T528" t="s">
        <v>202</v>
      </c>
      <c r="U528">
        <v>1.5432876483805686E-2</v>
      </c>
      <c r="V528" t="s">
        <v>84</v>
      </c>
    </row>
    <row r="529" spans="9:22" x14ac:dyDescent="0.45">
      <c r="I529" t="s">
        <v>105</v>
      </c>
      <c r="J529" t="s">
        <v>203</v>
      </c>
      <c r="K529">
        <v>6.2191464533922547E-2</v>
      </c>
      <c r="L529" t="s">
        <v>84</v>
      </c>
      <c r="N529" t="s">
        <v>121</v>
      </c>
      <c r="O529" t="s">
        <v>203</v>
      </c>
      <c r="P529">
        <v>3.1922928994636716E-2</v>
      </c>
      <c r="Q529" t="s">
        <v>84</v>
      </c>
      <c r="S529" t="s">
        <v>136</v>
      </c>
      <c r="T529" t="s">
        <v>203</v>
      </c>
      <c r="U529">
        <v>2.6016476570710032E-2</v>
      </c>
      <c r="V529" t="s">
        <v>84</v>
      </c>
    </row>
    <row r="530" spans="9:22" x14ac:dyDescent="0.45">
      <c r="I530" t="s">
        <v>105</v>
      </c>
      <c r="J530" t="s">
        <v>204</v>
      </c>
      <c r="K530">
        <v>7.82319592783433E-3</v>
      </c>
      <c r="L530" t="s">
        <v>84</v>
      </c>
      <c r="N530" t="s">
        <v>121</v>
      </c>
      <c r="O530" t="s">
        <v>204</v>
      </c>
      <c r="P530">
        <v>5.6830429541787153E-3</v>
      </c>
      <c r="Q530" t="s">
        <v>84</v>
      </c>
      <c r="S530" t="s">
        <v>136</v>
      </c>
      <c r="T530" t="s">
        <v>204</v>
      </c>
      <c r="U530">
        <v>4.0956242913790701E-3</v>
      </c>
      <c r="V530" t="s">
        <v>84</v>
      </c>
    </row>
    <row r="531" spans="9:22" x14ac:dyDescent="0.45">
      <c r="I531" t="s">
        <v>105</v>
      </c>
      <c r="J531" t="s">
        <v>205</v>
      </c>
      <c r="K531">
        <v>5.8154038913764156E-3</v>
      </c>
      <c r="L531" t="s">
        <v>84</v>
      </c>
      <c r="N531" t="s">
        <v>121</v>
      </c>
      <c r="O531" t="s">
        <v>205</v>
      </c>
      <c r="P531">
        <v>5.7625121025661388E-3</v>
      </c>
      <c r="Q531" t="s">
        <v>84</v>
      </c>
      <c r="S531" t="s">
        <v>136</v>
      </c>
      <c r="T531" t="s">
        <v>205</v>
      </c>
      <c r="U531">
        <v>3.9623874020764992E-3</v>
      </c>
      <c r="V531" t="s">
        <v>84</v>
      </c>
    </row>
    <row r="532" spans="9:22" x14ac:dyDescent="0.45">
      <c r="I532" t="s">
        <v>105</v>
      </c>
      <c r="J532" t="s">
        <v>206</v>
      </c>
      <c r="K532">
        <v>2.9499727082831689E-5</v>
      </c>
      <c r="L532" t="s">
        <v>84</v>
      </c>
      <c r="N532" t="s">
        <v>121</v>
      </c>
      <c r="O532" t="s">
        <v>206</v>
      </c>
      <c r="P532">
        <v>2.8070952048314016E-2</v>
      </c>
      <c r="Q532" t="s">
        <v>84</v>
      </c>
      <c r="S532" t="s">
        <v>136</v>
      </c>
      <c r="T532" t="s">
        <v>206</v>
      </c>
      <c r="U532">
        <v>1.8798704123521796E-2</v>
      </c>
      <c r="V532" t="s">
        <v>84</v>
      </c>
    </row>
    <row r="533" spans="9:22" x14ac:dyDescent="0.45">
      <c r="I533" t="s">
        <v>105</v>
      </c>
      <c r="J533" t="s">
        <v>207</v>
      </c>
      <c r="K533">
        <v>1.8877185427288213E-2</v>
      </c>
      <c r="L533" t="s">
        <v>84</v>
      </c>
      <c r="N533" t="s">
        <v>121</v>
      </c>
      <c r="O533" t="s">
        <v>207</v>
      </c>
      <c r="P533">
        <v>3.7109024659178744E-2</v>
      </c>
      <c r="Q533" t="s">
        <v>84</v>
      </c>
      <c r="S533" t="s">
        <v>136</v>
      </c>
      <c r="T533" t="s">
        <v>207</v>
      </c>
      <c r="U533">
        <v>3.2591160643461098E-2</v>
      </c>
      <c r="V533" t="s">
        <v>84</v>
      </c>
    </row>
    <row r="534" spans="9:22" x14ac:dyDescent="0.45">
      <c r="I534" t="s">
        <v>105</v>
      </c>
      <c r="J534" t="s">
        <v>208</v>
      </c>
      <c r="K534">
        <v>8.0685371202061401E-2</v>
      </c>
      <c r="L534" t="s">
        <v>84</v>
      </c>
      <c r="N534" t="s">
        <v>121</v>
      </c>
      <c r="O534" t="s">
        <v>208</v>
      </c>
      <c r="P534">
        <v>1.6882012085657129E-2</v>
      </c>
      <c r="Q534" t="s">
        <v>84</v>
      </c>
      <c r="S534" t="s">
        <v>136</v>
      </c>
      <c r="T534" t="s">
        <v>208</v>
      </c>
      <c r="U534">
        <v>1.7857121055738015E-2</v>
      </c>
      <c r="V534" t="s">
        <v>84</v>
      </c>
    </row>
    <row r="535" spans="9:22" x14ac:dyDescent="0.45">
      <c r="I535" t="s">
        <v>105</v>
      </c>
      <c r="J535" t="s">
        <v>209</v>
      </c>
      <c r="K535">
        <v>0.13483129739711405</v>
      </c>
      <c r="L535" t="s">
        <v>84</v>
      </c>
      <c r="N535" t="s">
        <v>121</v>
      </c>
      <c r="O535" t="s">
        <v>209</v>
      </c>
      <c r="P535">
        <v>3.7490699487124163E-2</v>
      </c>
      <c r="Q535" t="s">
        <v>84</v>
      </c>
      <c r="S535" t="s">
        <v>136</v>
      </c>
      <c r="T535" t="s">
        <v>209</v>
      </c>
      <c r="U535">
        <v>3.1666231110146853E-2</v>
      </c>
      <c r="V535" t="s">
        <v>84</v>
      </c>
    </row>
    <row r="536" spans="9:22" x14ac:dyDescent="0.45">
      <c r="I536" t="s">
        <v>105</v>
      </c>
      <c r="J536" t="s">
        <v>210</v>
      </c>
      <c r="K536">
        <v>1.6209048220661739E-2</v>
      </c>
      <c r="L536" t="s">
        <v>84</v>
      </c>
      <c r="N536" t="s">
        <v>121</v>
      </c>
      <c r="O536" t="s">
        <v>210</v>
      </c>
      <c r="P536">
        <v>7.1713665363881953E-3</v>
      </c>
      <c r="Q536" t="s">
        <v>84</v>
      </c>
      <c r="S536" t="s">
        <v>136</v>
      </c>
      <c r="T536" t="s">
        <v>210</v>
      </c>
      <c r="U536">
        <v>5.6074783819856427E-3</v>
      </c>
      <c r="V536" t="s">
        <v>84</v>
      </c>
    </row>
    <row r="537" spans="9:22" x14ac:dyDescent="0.45">
      <c r="I537" t="s">
        <v>105</v>
      </c>
      <c r="J537" t="s">
        <v>211</v>
      </c>
      <c r="K537">
        <v>1.3223746575845217E-2</v>
      </c>
      <c r="L537" t="s">
        <v>84</v>
      </c>
      <c r="N537" t="s">
        <v>121</v>
      </c>
      <c r="O537" t="s">
        <v>211</v>
      </c>
      <c r="P537">
        <v>6.9424769392644921E-3</v>
      </c>
      <c r="Q537" t="s">
        <v>84</v>
      </c>
      <c r="S537" t="s">
        <v>136</v>
      </c>
      <c r="T537" t="s">
        <v>211</v>
      </c>
      <c r="U537">
        <v>5.5228650057575273E-3</v>
      </c>
      <c r="V537" t="s">
        <v>84</v>
      </c>
    </row>
    <row r="538" spans="9:22" x14ac:dyDescent="0.45">
      <c r="I538" t="s">
        <v>105</v>
      </c>
      <c r="J538" t="s">
        <v>212</v>
      </c>
      <c r="K538">
        <v>8.4733401863554721E-3</v>
      </c>
      <c r="L538" t="s">
        <v>84</v>
      </c>
      <c r="N538" t="s">
        <v>121</v>
      </c>
      <c r="O538" t="s">
        <v>212</v>
      </c>
      <c r="P538">
        <v>3.3319633408546413E-2</v>
      </c>
      <c r="Q538" t="s">
        <v>84</v>
      </c>
      <c r="S538" t="s">
        <v>136</v>
      </c>
      <c r="T538" t="s">
        <v>212</v>
      </c>
      <c r="U538">
        <v>2.5175982304905798E-2</v>
      </c>
      <c r="V538" t="s">
        <v>84</v>
      </c>
    </row>
    <row r="539" spans="9:22" x14ac:dyDescent="0.45">
      <c r="I539" t="s">
        <v>106</v>
      </c>
      <c r="J539" t="s">
        <v>83</v>
      </c>
      <c r="K539">
        <v>1.0569467710853648E-2</v>
      </c>
      <c r="L539" t="s">
        <v>84</v>
      </c>
      <c r="N539" t="s">
        <v>122</v>
      </c>
      <c r="O539" t="s">
        <v>83</v>
      </c>
      <c r="P539">
        <v>2.3692498832477864E-2</v>
      </c>
      <c r="Q539" t="s">
        <v>84</v>
      </c>
      <c r="S539" t="s">
        <v>137</v>
      </c>
      <c r="T539" t="s">
        <v>83</v>
      </c>
      <c r="U539">
        <v>2.6074265083958111E-2</v>
      </c>
      <c r="V539" t="s">
        <v>84</v>
      </c>
    </row>
    <row r="540" spans="9:22" x14ac:dyDescent="0.45">
      <c r="I540" t="s">
        <v>106</v>
      </c>
      <c r="J540" t="s">
        <v>85</v>
      </c>
      <c r="K540">
        <v>4.4280260446683636E-2</v>
      </c>
      <c r="L540" t="s">
        <v>84</v>
      </c>
      <c r="N540" t="s">
        <v>122</v>
      </c>
      <c r="O540" t="s">
        <v>85</v>
      </c>
      <c r="P540">
        <v>1.6641039972999948E-2</v>
      </c>
      <c r="Q540" t="s">
        <v>84</v>
      </c>
      <c r="S540" t="s">
        <v>137</v>
      </c>
      <c r="T540" t="s">
        <v>85</v>
      </c>
      <c r="U540">
        <v>1.3926704328176732E-2</v>
      </c>
      <c r="V540" t="s">
        <v>84</v>
      </c>
    </row>
    <row r="541" spans="9:22" x14ac:dyDescent="0.45">
      <c r="I541" t="s">
        <v>106</v>
      </c>
      <c r="J541" t="s">
        <v>86</v>
      </c>
      <c r="K541">
        <v>7.2832822396131175E-2</v>
      </c>
      <c r="L541" t="s">
        <v>84</v>
      </c>
      <c r="N541" t="s">
        <v>122</v>
      </c>
      <c r="O541" t="s">
        <v>86</v>
      </c>
      <c r="P541">
        <v>3.8812731897328881E-2</v>
      </c>
      <c r="Q541" t="s">
        <v>84</v>
      </c>
      <c r="S541" t="s">
        <v>137</v>
      </c>
      <c r="T541" t="s">
        <v>86</v>
      </c>
      <c r="U541">
        <v>2.2644682228604381E-2</v>
      </c>
      <c r="V541" t="s">
        <v>84</v>
      </c>
    </row>
    <row r="542" spans="9:22" x14ac:dyDescent="0.45">
      <c r="I542" t="s">
        <v>106</v>
      </c>
      <c r="J542" t="s">
        <v>177</v>
      </c>
      <c r="K542">
        <v>1.0307345103050685E-2</v>
      </c>
      <c r="L542" t="s">
        <v>84</v>
      </c>
      <c r="N542" t="s">
        <v>122</v>
      </c>
      <c r="O542" t="s">
        <v>177</v>
      </c>
      <c r="P542">
        <v>6.0916366873519168E-3</v>
      </c>
      <c r="Q542" t="s">
        <v>84</v>
      </c>
      <c r="S542" t="s">
        <v>137</v>
      </c>
      <c r="T542" t="s">
        <v>177</v>
      </c>
      <c r="U542">
        <v>3.6836937728957865E-3</v>
      </c>
      <c r="V542" t="s">
        <v>84</v>
      </c>
    </row>
    <row r="543" spans="9:22" x14ac:dyDescent="0.45">
      <c r="I543" t="s">
        <v>106</v>
      </c>
      <c r="J543" t="s">
        <v>178</v>
      </c>
      <c r="K543">
        <v>8.8141815352942143E-3</v>
      </c>
      <c r="L543" t="s">
        <v>84</v>
      </c>
      <c r="N543" t="s">
        <v>122</v>
      </c>
      <c r="O543" t="s">
        <v>178</v>
      </c>
      <c r="P543">
        <v>5.2567247068525929E-3</v>
      </c>
      <c r="Q543" t="s">
        <v>84</v>
      </c>
      <c r="S543" t="s">
        <v>137</v>
      </c>
      <c r="T543" t="s">
        <v>178</v>
      </c>
      <c r="U543">
        <v>3.4702893340075088E-3</v>
      </c>
      <c r="V543" t="s">
        <v>84</v>
      </c>
    </row>
    <row r="544" spans="9:22" x14ac:dyDescent="0.45">
      <c r="I544" t="s">
        <v>106</v>
      </c>
      <c r="J544" t="s">
        <v>179</v>
      </c>
      <c r="K544">
        <v>5.6117460445020192E-3</v>
      </c>
      <c r="L544" t="s">
        <v>84</v>
      </c>
      <c r="N544" t="s">
        <v>122</v>
      </c>
      <c r="O544" t="s">
        <v>179</v>
      </c>
      <c r="P544">
        <v>2.0472367229854564E-2</v>
      </c>
      <c r="Q544" t="s">
        <v>84</v>
      </c>
      <c r="S544" t="s">
        <v>137</v>
      </c>
      <c r="T544" t="s">
        <v>179</v>
      </c>
      <c r="U544">
        <v>1.6153868789769765E-2</v>
      </c>
      <c r="V544" t="s">
        <v>84</v>
      </c>
    </row>
    <row r="545" spans="9:22" x14ac:dyDescent="0.45">
      <c r="I545" t="s">
        <v>106</v>
      </c>
      <c r="J545" t="s">
        <v>87</v>
      </c>
      <c r="K545">
        <v>5.0897735822694233E-3</v>
      </c>
      <c r="L545" t="s">
        <v>84</v>
      </c>
      <c r="N545" t="s">
        <v>122</v>
      </c>
      <c r="O545" t="s">
        <v>87</v>
      </c>
      <c r="P545">
        <v>1.4435422794503733E-2</v>
      </c>
      <c r="Q545" t="s">
        <v>84</v>
      </c>
      <c r="S545" t="s">
        <v>137</v>
      </c>
      <c r="T545" t="s">
        <v>87</v>
      </c>
      <c r="U545">
        <v>1.6037244619754743E-2</v>
      </c>
      <c r="V545" t="s">
        <v>84</v>
      </c>
    </row>
    <row r="546" spans="9:22" x14ac:dyDescent="0.45">
      <c r="I546" t="s">
        <v>106</v>
      </c>
      <c r="J546" t="s">
        <v>88</v>
      </c>
      <c r="K546">
        <v>3.6789502648551575E-2</v>
      </c>
      <c r="L546" t="s">
        <v>84</v>
      </c>
      <c r="N546" t="s">
        <v>122</v>
      </c>
      <c r="O546" t="s">
        <v>88</v>
      </c>
      <c r="P546">
        <v>8.4562556919307655E-3</v>
      </c>
      <c r="Q546" t="s">
        <v>84</v>
      </c>
      <c r="S546" t="s">
        <v>137</v>
      </c>
      <c r="T546" t="s">
        <v>88</v>
      </c>
      <c r="U546">
        <v>8.1943243261623517E-3</v>
      </c>
      <c r="V546" t="s">
        <v>84</v>
      </c>
    </row>
    <row r="547" spans="9:22" x14ac:dyDescent="0.45">
      <c r="I547" t="s">
        <v>106</v>
      </c>
      <c r="J547" t="s">
        <v>89</v>
      </c>
      <c r="K547">
        <v>6.3150870421646424E-2</v>
      </c>
      <c r="L547" t="s">
        <v>84</v>
      </c>
      <c r="N547" t="s">
        <v>122</v>
      </c>
      <c r="O547" t="s">
        <v>89</v>
      </c>
      <c r="P547">
        <v>1.7856341236170709E-2</v>
      </c>
      <c r="Q547" t="s">
        <v>84</v>
      </c>
      <c r="S547" t="s">
        <v>137</v>
      </c>
      <c r="T547" t="s">
        <v>89</v>
      </c>
      <c r="U547">
        <v>1.401520977886251E-2</v>
      </c>
      <c r="V547" t="s">
        <v>84</v>
      </c>
    </row>
    <row r="548" spans="9:22" x14ac:dyDescent="0.45">
      <c r="I548" t="s">
        <v>106</v>
      </c>
      <c r="J548" t="s">
        <v>180</v>
      </c>
      <c r="K548">
        <v>8.8396283294991124E-3</v>
      </c>
      <c r="L548" t="s">
        <v>84</v>
      </c>
      <c r="N548" t="s">
        <v>122</v>
      </c>
      <c r="O548" t="s">
        <v>180</v>
      </c>
      <c r="P548">
        <v>2.9439813830411722E-3</v>
      </c>
      <c r="Q548" t="s">
        <v>84</v>
      </c>
      <c r="S548" t="s">
        <v>137</v>
      </c>
      <c r="T548" t="s">
        <v>180</v>
      </c>
      <c r="U548">
        <v>2.4916878240448439E-3</v>
      </c>
      <c r="V548" t="s">
        <v>84</v>
      </c>
    </row>
    <row r="549" spans="9:22" x14ac:dyDescent="0.45">
      <c r="I549" t="s">
        <v>106</v>
      </c>
      <c r="J549" t="s">
        <v>181</v>
      </c>
      <c r="K549">
        <v>6.8428999681725581E-3</v>
      </c>
      <c r="L549" t="s">
        <v>84</v>
      </c>
      <c r="N549" t="s">
        <v>122</v>
      </c>
      <c r="O549" t="s">
        <v>181</v>
      </c>
      <c r="P549">
        <v>2.6758019335911707E-3</v>
      </c>
      <c r="Q549" t="s">
        <v>84</v>
      </c>
      <c r="S549" t="s">
        <v>137</v>
      </c>
      <c r="T549" t="s">
        <v>181</v>
      </c>
      <c r="U549">
        <v>2.5560881943331362E-3</v>
      </c>
      <c r="V549" t="s">
        <v>84</v>
      </c>
    </row>
    <row r="550" spans="9:22" x14ac:dyDescent="0.45">
      <c r="I550" t="s">
        <v>106</v>
      </c>
      <c r="J550" t="s">
        <v>182</v>
      </c>
      <c r="K550">
        <v>1.956564565014684E-3</v>
      </c>
      <c r="L550" t="s">
        <v>84</v>
      </c>
      <c r="N550" t="s">
        <v>122</v>
      </c>
      <c r="O550" t="s">
        <v>182</v>
      </c>
      <c r="P550">
        <v>1.1041917446935728E-2</v>
      </c>
      <c r="Q550" t="s">
        <v>84</v>
      </c>
      <c r="S550" t="s">
        <v>137</v>
      </c>
      <c r="T550" t="s">
        <v>182</v>
      </c>
      <c r="U550">
        <v>1.2522229782680973E-2</v>
      </c>
      <c r="V550" t="s">
        <v>84</v>
      </c>
    </row>
    <row r="551" spans="9:22" x14ac:dyDescent="0.45">
      <c r="I551" t="s">
        <v>106</v>
      </c>
      <c r="J551" t="s">
        <v>90</v>
      </c>
      <c r="K551">
        <v>1.2382428885157957E-3</v>
      </c>
      <c r="L551" t="s">
        <v>84</v>
      </c>
      <c r="N551" t="s">
        <v>122</v>
      </c>
      <c r="O551" t="s">
        <v>90</v>
      </c>
      <c r="P551">
        <v>1.1175387851651669E-2</v>
      </c>
      <c r="Q551" t="s">
        <v>84</v>
      </c>
      <c r="S551" t="s">
        <v>137</v>
      </c>
      <c r="T551" t="s">
        <v>90</v>
      </c>
      <c r="U551">
        <v>1.6264522898314728E-2</v>
      </c>
      <c r="V551" t="s">
        <v>84</v>
      </c>
    </row>
    <row r="552" spans="9:22" x14ac:dyDescent="0.45">
      <c r="I552" t="s">
        <v>106</v>
      </c>
      <c r="J552" t="s">
        <v>91</v>
      </c>
      <c r="K552">
        <v>2.8667186472056686E-2</v>
      </c>
      <c r="L552" t="s">
        <v>84</v>
      </c>
      <c r="N552" t="s">
        <v>122</v>
      </c>
      <c r="O552" t="s">
        <v>91</v>
      </c>
      <c r="P552">
        <v>6.7407602532087848E-3</v>
      </c>
      <c r="Q552" t="s">
        <v>84</v>
      </c>
      <c r="S552" t="s">
        <v>137</v>
      </c>
      <c r="T552" t="s">
        <v>91</v>
      </c>
      <c r="U552">
        <v>8.2480648082283517E-3</v>
      </c>
      <c r="V552" t="s">
        <v>84</v>
      </c>
    </row>
    <row r="553" spans="9:22" x14ac:dyDescent="0.45">
      <c r="I553" t="s">
        <v>106</v>
      </c>
      <c r="J553" t="s">
        <v>92</v>
      </c>
      <c r="K553">
        <v>5.3183332318810381E-2</v>
      </c>
      <c r="L553" t="s">
        <v>84</v>
      </c>
      <c r="N553" t="s">
        <v>122</v>
      </c>
      <c r="O553" t="s">
        <v>92</v>
      </c>
      <c r="P553">
        <v>1.6285203915126122E-2</v>
      </c>
      <c r="Q553" t="s">
        <v>84</v>
      </c>
      <c r="S553" t="s">
        <v>137</v>
      </c>
      <c r="T553" t="s">
        <v>92</v>
      </c>
      <c r="U553">
        <v>1.3875300866793949E-2</v>
      </c>
      <c r="V553" t="s">
        <v>84</v>
      </c>
    </row>
    <row r="554" spans="9:22" x14ac:dyDescent="0.45">
      <c r="I554" t="s">
        <v>106</v>
      </c>
      <c r="J554" t="s">
        <v>183</v>
      </c>
      <c r="K554">
        <v>6.6404702118600294E-3</v>
      </c>
      <c r="L554" t="s">
        <v>84</v>
      </c>
      <c r="N554" t="s">
        <v>122</v>
      </c>
      <c r="O554" t="s">
        <v>183</v>
      </c>
      <c r="P554">
        <v>2.3917939972821515E-3</v>
      </c>
      <c r="Q554" t="s">
        <v>84</v>
      </c>
      <c r="S554" t="s">
        <v>137</v>
      </c>
      <c r="T554" t="s">
        <v>183</v>
      </c>
      <c r="U554">
        <v>2.5530173497557767E-3</v>
      </c>
      <c r="V554" t="s">
        <v>84</v>
      </c>
    </row>
    <row r="555" spans="9:22" x14ac:dyDescent="0.45">
      <c r="I555" t="s">
        <v>106</v>
      </c>
      <c r="J555" t="s">
        <v>184</v>
      </c>
      <c r="K555">
        <v>3.0812648175063688E-3</v>
      </c>
      <c r="L555" t="s">
        <v>84</v>
      </c>
      <c r="N555" t="s">
        <v>122</v>
      </c>
      <c r="O555" t="s">
        <v>184</v>
      </c>
      <c r="P555">
        <v>2.2622754965160715E-3</v>
      </c>
      <c r="Q555" t="s">
        <v>84</v>
      </c>
      <c r="S555" t="s">
        <v>137</v>
      </c>
      <c r="T555" t="s">
        <v>184</v>
      </c>
      <c r="U555">
        <v>2.6662144692009733E-3</v>
      </c>
      <c r="V555" t="s">
        <v>84</v>
      </c>
    </row>
    <row r="556" spans="9:22" x14ac:dyDescent="0.45">
      <c r="I556" t="s">
        <v>106</v>
      </c>
      <c r="J556" t="s">
        <v>185</v>
      </c>
      <c r="K556">
        <v>0</v>
      </c>
      <c r="L556" t="s">
        <v>84</v>
      </c>
      <c r="N556" t="s">
        <v>122</v>
      </c>
      <c r="O556" t="s">
        <v>185</v>
      </c>
      <c r="P556">
        <v>8.7641773920065277E-3</v>
      </c>
      <c r="Q556" t="s">
        <v>84</v>
      </c>
      <c r="S556" t="s">
        <v>137</v>
      </c>
      <c r="T556" t="s">
        <v>185</v>
      </c>
      <c r="U556">
        <v>1.3527246105237875E-2</v>
      </c>
      <c r="V556" t="s">
        <v>84</v>
      </c>
    </row>
    <row r="557" spans="9:22" x14ac:dyDescent="0.45">
      <c r="I557" t="s">
        <v>106</v>
      </c>
      <c r="J557" t="s">
        <v>93</v>
      </c>
      <c r="K557">
        <v>0</v>
      </c>
      <c r="L557" t="s">
        <v>84</v>
      </c>
      <c r="N557" t="s">
        <v>122</v>
      </c>
      <c r="O557" t="s">
        <v>93</v>
      </c>
      <c r="P557">
        <v>4.3105907991286302E-2</v>
      </c>
      <c r="Q557" t="s">
        <v>84</v>
      </c>
      <c r="S557" t="s">
        <v>137</v>
      </c>
      <c r="T557" t="s">
        <v>93</v>
      </c>
      <c r="U557">
        <v>5.555796142097754E-2</v>
      </c>
      <c r="V557" t="s">
        <v>84</v>
      </c>
    </row>
    <row r="558" spans="9:22" x14ac:dyDescent="0.45">
      <c r="I558" t="s">
        <v>106</v>
      </c>
      <c r="J558" t="s">
        <v>94</v>
      </c>
      <c r="K558">
        <v>2.8591516433526795E-2</v>
      </c>
      <c r="L558" t="s">
        <v>84</v>
      </c>
      <c r="N558" t="s">
        <v>122</v>
      </c>
      <c r="O558" t="s">
        <v>94</v>
      </c>
      <c r="P558">
        <v>2.4886392392217044E-2</v>
      </c>
      <c r="Q558" t="s">
        <v>84</v>
      </c>
      <c r="S558" t="s">
        <v>137</v>
      </c>
      <c r="T558" t="s">
        <v>94</v>
      </c>
      <c r="U558">
        <v>3.1312137459478265E-2</v>
      </c>
      <c r="V558" t="s">
        <v>84</v>
      </c>
    </row>
    <row r="559" spans="9:22" x14ac:dyDescent="0.45">
      <c r="I559" t="s">
        <v>106</v>
      </c>
      <c r="J559" t="s">
        <v>95</v>
      </c>
      <c r="K559">
        <v>5.7250622261700773E-2</v>
      </c>
      <c r="L559" t="s">
        <v>84</v>
      </c>
      <c r="N559" t="s">
        <v>122</v>
      </c>
      <c r="O559" t="s">
        <v>95</v>
      </c>
      <c r="P559">
        <v>4.1320079159233698E-2</v>
      </c>
      <c r="Q559" t="s">
        <v>84</v>
      </c>
      <c r="S559" t="s">
        <v>137</v>
      </c>
      <c r="T559" t="s">
        <v>95</v>
      </c>
      <c r="U559">
        <v>4.9870141855744878E-2</v>
      </c>
      <c r="V559" t="s">
        <v>84</v>
      </c>
    </row>
    <row r="560" spans="9:22" x14ac:dyDescent="0.45">
      <c r="I560" t="s">
        <v>106</v>
      </c>
      <c r="J560" t="s">
        <v>186</v>
      </c>
      <c r="K560">
        <v>3.0485399567326617E-3</v>
      </c>
      <c r="L560" t="s">
        <v>84</v>
      </c>
      <c r="N560" t="s">
        <v>122</v>
      </c>
      <c r="O560" t="s">
        <v>186</v>
      </c>
      <c r="P560">
        <v>6.2523635699188685E-3</v>
      </c>
      <c r="Q560" t="s">
        <v>84</v>
      </c>
      <c r="S560" t="s">
        <v>137</v>
      </c>
      <c r="T560" t="s">
        <v>186</v>
      </c>
      <c r="U560">
        <v>8.5024729154321785E-3</v>
      </c>
      <c r="V560" t="s">
        <v>84</v>
      </c>
    </row>
    <row r="561" spans="9:22" x14ac:dyDescent="0.45">
      <c r="I561" t="s">
        <v>106</v>
      </c>
      <c r="J561" t="s">
        <v>187</v>
      </c>
      <c r="K561">
        <v>0</v>
      </c>
      <c r="L561" t="s">
        <v>84</v>
      </c>
      <c r="N561" t="s">
        <v>122</v>
      </c>
      <c r="O561" t="s">
        <v>187</v>
      </c>
      <c r="P561">
        <v>5.9850686243967674E-3</v>
      </c>
      <c r="Q561" t="s">
        <v>84</v>
      </c>
      <c r="S561" t="s">
        <v>137</v>
      </c>
      <c r="T561" t="s">
        <v>187</v>
      </c>
      <c r="U561">
        <v>8.4868779773090534E-3</v>
      </c>
      <c r="V561" t="s">
        <v>84</v>
      </c>
    </row>
    <row r="562" spans="9:22" x14ac:dyDescent="0.45">
      <c r="I562" t="s">
        <v>106</v>
      </c>
      <c r="J562" t="s">
        <v>188</v>
      </c>
      <c r="K562">
        <v>0</v>
      </c>
      <c r="L562" t="s">
        <v>84</v>
      </c>
      <c r="N562" t="s">
        <v>122</v>
      </c>
      <c r="O562" t="s">
        <v>188</v>
      </c>
      <c r="P562">
        <v>2.9169235705118739E-2</v>
      </c>
      <c r="Q562" t="s">
        <v>84</v>
      </c>
      <c r="S562" t="s">
        <v>137</v>
      </c>
      <c r="T562" t="s">
        <v>188</v>
      </c>
      <c r="U562">
        <v>4.0807235024072311E-2</v>
      </c>
      <c r="V562" t="s">
        <v>84</v>
      </c>
    </row>
    <row r="563" spans="9:22" x14ac:dyDescent="0.45">
      <c r="I563" t="s">
        <v>106</v>
      </c>
      <c r="J563" t="s">
        <v>189</v>
      </c>
      <c r="K563">
        <v>0</v>
      </c>
      <c r="L563" t="s">
        <v>84</v>
      </c>
      <c r="N563" t="s">
        <v>122</v>
      </c>
      <c r="O563" t="s">
        <v>189</v>
      </c>
      <c r="P563">
        <v>3.0413577682965057E-2</v>
      </c>
      <c r="Q563" t="s">
        <v>84</v>
      </c>
      <c r="S563" t="s">
        <v>137</v>
      </c>
      <c r="T563" t="s">
        <v>189</v>
      </c>
      <c r="U563">
        <v>2.4491384466228033E-2</v>
      </c>
      <c r="V563" t="s">
        <v>84</v>
      </c>
    </row>
    <row r="564" spans="9:22" x14ac:dyDescent="0.45">
      <c r="I564" t="s">
        <v>106</v>
      </c>
      <c r="J564" t="s">
        <v>190</v>
      </c>
      <c r="K564">
        <v>7.5493227299475857E-3</v>
      </c>
      <c r="L564" t="s">
        <v>84</v>
      </c>
      <c r="N564" t="s">
        <v>122</v>
      </c>
      <c r="O564" t="s">
        <v>190</v>
      </c>
      <c r="P564">
        <v>1.4189002342011805E-2</v>
      </c>
      <c r="Q564" t="s">
        <v>84</v>
      </c>
      <c r="S564" t="s">
        <v>137</v>
      </c>
      <c r="T564" t="s">
        <v>190</v>
      </c>
      <c r="U564">
        <v>1.294739271561865E-2</v>
      </c>
      <c r="V564" t="s">
        <v>84</v>
      </c>
    </row>
    <row r="565" spans="9:22" x14ac:dyDescent="0.45">
      <c r="I565" t="s">
        <v>106</v>
      </c>
      <c r="J565" t="s">
        <v>191</v>
      </c>
      <c r="K565">
        <v>1.702736404507689E-2</v>
      </c>
      <c r="L565" t="s">
        <v>84</v>
      </c>
      <c r="N565" t="s">
        <v>122</v>
      </c>
      <c r="O565" t="s">
        <v>191</v>
      </c>
      <c r="P565">
        <v>2.3603645406903805E-2</v>
      </c>
      <c r="Q565" t="s">
        <v>84</v>
      </c>
      <c r="S565" t="s">
        <v>137</v>
      </c>
      <c r="T565" t="s">
        <v>191</v>
      </c>
      <c r="U565">
        <v>1.9355823600533603E-2</v>
      </c>
      <c r="V565" t="s">
        <v>84</v>
      </c>
    </row>
    <row r="566" spans="9:22" x14ac:dyDescent="0.45">
      <c r="I566" t="s">
        <v>106</v>
      </c>
      <c r="J566" t="s">
        <v>192</v>
      </c>
      <c r="K566">
        <v>0</v>
      </c>
      <c r="L566" t="s">
        <v>84</v>
      </c>
      <c r="N566" t="s">
        <v>122</v>
      </c>
      <c r="O566" t="s">
        <v>192</v>
      </c>
      <c r="P566">
        <v>4.5655382026745205E-3</v>
      </c>
      <c r="Q566" t="s">
        <v>84</v>
      </c>
      <c r="S566" t="s">
        <v>137</v>
      </c>
      <c r="T566" t="s">
        <v>192</v>
      </c>
      <c r="U566">
        <v>3.3504576840955869E-3</v>
      </c>
      <c r="V566" t="s">
        <v>84</v>
      </c>
    </row>
    <row r="567" spans="9:22" x14ac:dyDescent="0.45">
      <c r="I567" t="s">
        <v>106</v>
      </c>
      <c r="J567" t="s">
        <v>193</v>
      </c>
      <c r="K567">
        <v>0</v>
      </c>
      <c r="L567" t="s">
        <v>84</v>
      </c>
      <c r="N567" t="s">
        <v>122</v>
      </c>
      <c r="O567" t="s">
        <v>193</v>
      </c>
      <c r="P567">
        <v>4.6796569460688386E-3</v>
      </c>
      <c r="Q567" t="s">
        <v>84</v>
      </c>
      <c r="S567" t="s">
        <v>137</v>
      </c>
      <c r="T567" t="s">
        <v>193</v>
      </c>
      <c r="U567">
        <v>3.3921671058951752E-3</v>
      </c>
      <c r="V567" t="s">
        <v>84</v>
      </c>
    </row>
    <row r="568" spans="9:22" x14ac:dyDescent="0.45">
      <c r="I568" t="s">
        <v>106</v>
      </c>
      <c r="J568" t="s">
        <v>194</v>
      </c>
      <c r="K568">
        <v>0</v>
      </c>
      <c r="L568" t="s">
        <v>84</v>
      </c>
      <c r="N568" t="s">
        <v>122</v>
      </c>
      <c r="O568" t="s">
        <v>194</v>
      </c>
      <c r="P568">
        <v>2.3542446463128051E-2</v>
      </c>
      <c r="Q568" t="s">
        <v>84</v>
      </c>
      <c r="S568" t="s">
        <v>137</v>
      </c>
      <c r="T568" t="s">
        <v>194</v>
      </c>
      <c r="U568">
        <v>1.7278051159957623E-2</v>
      </c>
      <c r="V568" t="s">
        <v>84</v>
      </c>
    </row>
    <row r="569" spans="9:22" x14ac:dyDescent="0.45">
      <c r="I569" t="s">
        <v>106</v>
      </c>
      <c r="J569" t="s">
        <v>195</v>
      </c>
      <c r="K569">
        <v>5.3705299028858485E-4</v>
      </c>
      <c r="L569" t="s">
        <v>84</v>
      </c>
      <c r="N569" t="s">
        <v>122</v>
      </c>
      <c r="O569" t="s">
        <v>195</v>
      </c>
      <c r="P569">
        <v>7.8260730844081541E-2</v>
      </c>
      <c r="Q569" t="s">
        <v>84</v>
      </c>
      <c r="S569" t="s">
        <v>137</v>
      </c>
      <c r="T569" t="s">
        <v>195</v>
      </c>
      <c r="U569">
        <v>7.6824532962582612E-2</v>
      </c>
      <c r="V569" t="s">
        <v>84</v>
      </c>
    </row>
    <row r="570" spans="9:22" x14ac:dyDescent="0.45">
      <c r="I570" t="s">
        <v>106</v>
      </c>
      <c r="J570" t="s">
        <v>196</v>
      </c>
      <c r="K570">
        <v>4.9140152158142894E-2</v>
      </c>
      <c r="L570" t="s">
        <v>84</v>
      </c>
      <c r="N570" t="s">
        <v>122</v>
      </c>
      <c r="O570" t="s">
        <v>196</v>
      </c>
      <c r="P570">
        <v>4.2654547748789164E-2</v>
      </c>
      <c r="Q570" t="s">
        <v>84</v>
      </c>
      <c r="S570" t="s">
        <v>137</v>
      </c>
      <c r="T570" t="s">
        <v>196</v>
      </c>
      <c r="U570">
        <v>4.2348665016144184E-2</v>
      </c>
      <c r="V570" t="s">
        <v>84</v>
      </c>
    </row>
    <row r="571" spans="9:22" x14ac:dyDescent="0.45">
      <c r="I571" t="s">
        <v>106</v>
      </c>
      <c r="J571" t="s">
        <v>197</v>
      </c>
      <c r="K571">
        <v>0.10100859299780293</v>
      </c>
      <c r="L571" t="s">
        <v>84</v>
      </c>
      <c r="N571" t="s">
        <v>122</v>
      </c>
      <c r="O571" t="s">
        <v>197</v>
      </c>
      <c r="P571">
        <v>7.2838418629081178E-2</v>
      </c>
      <c r="Q571" t="s">
        <v>84</v>
      </c>
      <c r="S571" t="s">
        <v>137</v>
      </c>
      <c r="T571" t="s">
        <v>197</v>
      </c>
      <c r="U571">
        <v>6.6824847411718735E-2</v>
      </c>
      <c r="V571" t="s">
        <v>84</v>
      </c>
    </row>
    <row r="572" spans="9:22" x14ac:dyDescent="0.45">
      <c r="I572" t="s">
        <v>106</v>
      </c>
      <c r="J572" t="s">
        <v>198</v>
      </c>
      <c r="K572">
        <v>8.0455898049147431E-3</v>
      </c>
      <c r="L572" t="s">
        <v>84</v>
      </c>
      <c r="N572" t="s">
        <v>122</v>
      </c>
      <c r="O572" t="s">
        <v>198</v>
      </c>
      <c r="P572">
        <v>1.1399817878388153E-2</v>
      </c>
      <c r="Q572" t="s">
        <v>84</v>
      </c>
      <c r="S572" t="s">
        <v>137</v>
      </c>
      <c r="T572" t="s">
        <v>198</v>
      </c>
      <c r="U572">
        <v>1.1294845710458846E-2</v>
      </c>
      <c r="V572" t="s">
        <v>84</v>
      </c>
    </row>
    <row r="573" spans="9:22" x14ac:dyDescent="0.45">
      <c r="I573" t="s">
        <v>106</v>
      </c>
      <c r="J573" t="s">
        <v>199</v>
      </c>
      <c r="K573">
        <v>0</v>
      </c>
      <c r="L573" t="s">
        <v>84</v>
      </c>
      <c r="N573" t="s">
        <v>122</v>
      </c>
      <c r="O573" t="s">
        <v>199</v>
      </c>
      <c r="P573">
        <v>1.1318318400431465E-2</v>
      </c>
      <c r="Q573" t="s">
        <v>84</v>
      </c>
      <c r="S573" t="s">
        <v>137</v>
      </c>
      <c r="T573" t="s">
        <v>199</v>
      </c>
      <c r="U573">
        <v>1.1367588974145052E-2</v>
      </c>
      <c r="V573" t="s">
        <v>84</v>
      </c>
    </row>
    <row r="574" spans="9:22" x14ac:dyDescent="0.45">
      <c r="I574" t="s">
        <v>106</v>
      </c>
      <c r="J574" t="s">
        <v>200</v>
      </c>
      <c r="K574">
        <v>0</v>
      </c>
      <c r="L574" t="s">
        <v>84</v>
      </c>
      <c r="N574" t="s">
        <v>122</v>
      </c>
      <c r="O574" t="s">
        <v>200</v>
      </c>
      <c r="P574">
        <v>5.5469039948866351E-2</v>
      </c>
      <c r="Q574" t="s">
        <v>84</v>
      </c>
      <c r="S574" t="s">
        <v>137</v>
      </c>
      <c r="T574" t="s">
        <v>200</v>
      </c>
      <c r="U574">
        <v>5.6565964416525748E-2</v>
      </c>
      <c r="V574" t="s">
        <v>84</v>
      </c>
    </row>
    <row r="575" spans="9:22" x14ac:dyDescent="0.45">
      <c r="I575" t="s">
        <v>106</v>
      </c>
      <c r="J575" t="s">
        <v>201</v>
      </c>
      <c r="K575">
        <v>6.031559674484625E-3</v>
      </c>
      <c r="L575" t="s">
        <v>84</v>
      </c>
      <c r="N575" t="s">
        <v>122</v>
      </c>
      <c r="O575" t="s">
        <v>201</v>
      </c>
      <c r="P575">
        <v>2.7163182806202071E-2</v>
      </c>
      <c r="Q575" t="s">
        <v>84</v>
      </c>
      <c r="S575" t="s">
        <v>137</v>
      </c>
      <c r="T575" t="s">
        <v>201</v>
      </c>
      <c r="U575">
        <v>3.4948205247675279E-2</v>
      </c>
      <c r="V575" t="s">
        <v>84</v>
      </c>
    </row>
    <row r="576" spans="9:22" x14ac:dyDescent="0.45">
      <c r="I576" t="s">
        <v>106</v>
      </c>
      <c r="J576" t="s">
        <v>202</v>
      </c>
      <c r="K576">
        <v>3.516286729981527E-2</v>
      </c>
      <c r="L576" t="s">
        <v>84</v>
      </c>
      <c r="N576" t="s">
        <v>122</v>
      </c>
      <c r="O576" t="s">
        <v>202</v>
      </c>
      <c r="P576">
        <v>2.0087749990774308E-2</v>
      </c>
      <c r="Q576" t="s">
        <v>84</v>
      </c>
      <c r="S576" t="s">
        <v>137</v>
      </c>
      <c r="T576" t="s">
        <v>202</v>
      </c>
      <c r="U576">
        <v>1.9983878493963041E-2</v>
      </c>
      <c r="V576" t="s">
        <v>84</v>
      </c>
    </row>
    <row r="577" spans="9:22" x14ac:dyDescent="0.45">
      <c r="I577" t="s">
        <v>106</v>
      </c>
      <c r="J577" t="s">
        <v>203</v>
      </c>
      <c r="K577">
        <v>5.8391454744174627E-2</v>
      </c>
      <c r="L577" t="s">
        <v>84</v>
      </c>
      <c r="N577" t="s">
        <v>122</v>
      </c>
      <c r="O577" t="s">
        <v>203</v>
      </c>
      <c r="P577">
        <v>4.0267052949103072E-2</v>
      </c>
      <c r="Q577" t="s">
        <v>84</v>
      </c>
      <c r="S577" t="s">
        <v>137</v>
      </c>
      <c r="T577" t="s">
        <v>203</v>
      </c>
      <c r="U577">
        <v>3.1736738732596859E-2</v>
      </c>
      <c r="V577" t="s">
        <v>84</v>
      </c>
    </row>
    <row r="578" spans="9:22" x14ac:dyDescent="0.45">
      <c r="I578" t="s">
        <v>106</v>
      </c>
      <c r="J578" t="s">
        <v>204</v>
      </c>
      <c r="K578">
        <v>6.600559299367665E-3</v>
      </c>
      <c r="L578" t="s">
        <v>84</v>
      </c>
      <c r="N578" t="s">
        <v>122</v>
      </c>
      <c r="O578" t="s">
        <v>204</v>
      </c>
      <c r="P578">
        <v>5.2236582682863584E-3</v>
      </c>
      <c r="Q578" t="s">
        <v>84</v>
      </c>
      <c r="S578" t="s">
        <v>137</v>
      </c>
      <c r="T578" t="s">
        <v>204</v>
      </c>
      <c r="U578">
        <v>5.1459183833175992E-3</v>
      </c>
      <c r="V578" t="s">
        <v>84</v>
      </c>
    </row>
    <row r="579" spans="9:22" x14ac:dyDescent="0.45">
      <c r="I579" t="s">
        <v>106</v>
      </c>
      <c r="J579" t="s">
        <v>205</v>
      </c>
      <c r="K579">
        <v>3.8605911591348529E-3</v>
      </c>
      <c r="L579" t="s">
        <v>84</v>
      </c>
      <c r="N579" t="s">
        <v>122</v>
      </c>
      <c r="O579" t="s">
        <v>205</v>
      </c>
      <c r="P579">
        <v>4.6675364037311205E-3</v>
      </c>
      <c r="Q579" t="s">
        <v>84</v>
      </c>
      <c r="S579" t="s">
        <v>137</v>
      </c>
      <c r="T579" t="s">
        <v>205</v>
      </c>
      <c r="U579">
        <v>5.0273159863112506E-3</v>
      </c>
      <c r="V579" t="s">
        <v>84</v>
      </c>
    </row>
    <row r="580" spans="9:22" x14ac:dyDescent="0.45">
      <c r="I580" t="s">
        <v>106</v>
      </c>
      <c r="J580" t="s">
        <v>206</v>
      </c>
      <c r="K580">
        <v>0</v>
      </c>
      <c r="L580" t="s">
        <v>84</v>
      </c>
      <c r="N580" t="s">
        <v>122</v>
      </c>
      <c r="O580" t="s">
        <v>206</v>
      </c>
      <c r="P580">
        <v>2.1009554231722988E-2</v>
      </c>
      <c r="Q580" t="s">
        <v>84</v>
      </c>
      <c r="S580" t="s">
        <v>137</v>
      </c>
      <c r="T580" t="s">
        <v>206</v>
      </c>
      <c r="U580">
        <v>2.3062471056127978E-2</v>
      </c>
      <c r="V580" t="s">
        <v>84</v>
      </c>
    </row>
    <row r="581" spans="9:22" x14ac:dyDescent="0.45">
      <c r="I581" t="s">
        <v>106</v>
      </c>
      <c r="J581" t="s">
        <v>207</v>
      </c>
      <c r="K581">
        <v>1.9808088774423815E-2</v>
      </c>
      <c r="L581" t="s">
        <v>84</v>
      </c>
      <c r="N581" t="s">
        <v>122</v>
      </c>
      <c r="O581" t="s">
        <v>207</v>
      </c>
      <c r="P581">
        <v>3.4472999382024083E-2</v>
      </c>
      <c r="Q581" t="s">
        <v>84</v>
      </c>
      <c r="S581" t="s">
        <v>137</v>
      </c>
      <c r="T581" t="s">
        <v>207</v>
      </c>
      <c r="U581">
        <v>3.7923115182970799E-2</v>
      </c>
      <c r="V581" t="s">
        <v>84</v>
      </c>
    </row>
    <row r="582" spans="9:22" x14ac:dyDescent="0.45">
      <c r="I582" t="s">
        <v>106</v>
      </c>
      <c r="J582" t="s">
        <v>208</v>
      </c>
      <c r="K582">
        <v>7.6680914221898114E-2</v>
      </c>
      <c r="L582" t="s">
        <v>84</v>
      </c>
      <c r="N582" t="s">
        <v>122</v>
      </c>
      <c r="O582" t="s">
        <v>208</v>
      </c>
      <c r="P582">
        <v>2.217662512419764E-2</v>
      </c>
      <c r="Q582" t="s">
        <v>84</v>
      </c>
      <c r="S582" t="s">
        <v>137</v>
      </c>
      <c r="T582" t="s">
        <v>208</v>
      </c>
      <c r="U582">
        <v>2.4053169844634403E-2</v>
      </c>
      <c r="V582" t="s">
        <v>84</v>
      </c>
    </row>
    <row r="583" spans="9:22" x14ac:dyDescent="0.45">
      <c r="I583" t="s">
        <v>106</v>
      </c>
      <c r="J583" t="s">
        <v>209</v>
      </c>
      <c r="K583">
        <v>0.12392407001610239</v>
      </c>
      <c r="L583" t="s">
        <v>84</v>
      </c>
      <c r="N583" t="s">
        <v>122</v>
      </c>
      <c r="O583" t="s">
        <v>209</v>
      </c>
      <c r="P583">
        <v>4.8797769494153216E-2</v>
      </c>
      <c r="Q583" t="s">
        <v>84</v>
      </c>
      <c r="S583" t="s">
        <v>137</v>
      </c>
      <c r="T583" t="s">
        <v>209</v>
      </c>
      <c r="U583">
        <v>3.8252166143805236E-2</v>
      </c>
      <c r="V583" t="s">
        <v>84</v>
      </c>
    </row>
    <row r="584" spans="9:22" x14ac:dyDescent="0.45">
      <c r="I584" t="s">
        <v>106</v>
      </c>
      <c r="J584" t="s">
        <v>210</v>
      </c>
      <c r="K584">
        <v>1.4418531529876266E-2</v>
      </c>
      <c r="L584" t="s">
        <v>84</v>
      </c>
      <c r="N584" t="s">
        <v>122</v>
      </c>
      <c r="O584" t="s">
        <v>210</v>
      </c>
      <c r="P584">
        <v>6.4015860507597305E-3</v>
      </c>
      <c r="Q584" t="s">
        <v>84</v>
      </c>
      <c r="S584" t="s">
        <v>137</v>
      </c>
      <c r="T584" t="s">
        <v>210</v>
      </c>
      <c r="U584">
        <v>6.4291935185904082E-3</v>
      </c>
      <c r="V584" t="s">
        <v>84</v>
      </c>
    </row>
    <row r="585" spans="9:22" x14ac:dyDescent="0.45">
      <c r="I585" t="s">
        <v>106</v>
      </c>
      <c r="J585" t="s">
        <v>211</v>
      </c>
      <c r="K585">
        <v>1.0924727654186263E-2</v>
      </c>
      <c r="L585" t="s">
        <v>84</v>
      </c>
      <c r="N585" t="s">
        <v>122</v>
      </c>
      <c r="O585" t="s">
        <v>211</v>
      </c>
      <c r="P585">
        <v>5.682592370026363E-3</v>
      </c>
      <c r="Q585" t="s">
        <v>84</v>
      </c>
      <c r="S585" t="s">
        <v>137</v>
      </c>
      <c r="T585" t="s">
        <v>211</v>
      </c>
      <c r="U585">
        <v>6.0135221289521323E-3</v>
      </c>
      <c r="V585" t="s">
        <v>84</v>
      </c>
    </row>
    <row r="586" spans="9:22" x14ac:dyDescent="0.45">
      <c r="I586" t="s">
        <v>106</v>
      </c>
      <c r="J586" t="s">
        <v>212</v>
      </c>
      <c r="K586">
        <v>4.1023227879827973E-3</v>
      </c>
      <c r="L586" t="s">
        <v>84</v>
      </c>
      <c r="N586" t="s">
        <v>122</v>
      </c>
      <c r="O586" t="s">
        <v>212</v>
      </c>
      <c r="P586">
        <v>2.439958627462583E-2</v>
      </c>
      <c r="Q586" t="s">
        <v>84</v>
      </c>
      <c r="S586" t="s">
        <v>137</v>
      </c>
      <c r="T586" t="s">
        <v>212</v>
      </c>
      <c r="U586">
        <v>2.7941102843352775E-2</v>
      </c>
      <c r="V586" t="s">
        <v>84</v>
      </c>
    </row>
    <row r="587" spans="9:22" x14ac:dyDescent="0.45">
      <c r="I587" t="s">
        <v>107</v>
      </c>
      <c r="J587" t="s">
        <v>83</v>
      </c>
      <c r="K587">
        <v>9.8004702223207004E-3</v>
      </c>
      <c r="L587" t="s">
        <v>84</v>
      </c>
      <c r="N587" t="s">
        <v>123</v>
      </c>
      <c r="O587" t="s">
        <v>83</v>
      </c>
      <c r="P587">
        <v>3.084723282405985E-2</v>
      </c>
      <c r="Q587" t="s">
        <v>84</v>
      </c>
      <c r="S587" t="s">
        <v>138</v>
      </c>
      <c r="T587" t="s">
        <v>83</v>
      </c>
      <c r="U587">
        <v>2.4732841006062167E-2</v>
      </c>
      <c r="V587" t="s">
        <v>84</v>
      </c>
    </row>
    <row r="588" spans="9:22" x14ac:dyDescent="0.45">
      <c r="I588" t="s">
        <v>107</v>
      </c>
      <c r="J588" t="s">
        <v>85</v>
      </c>
      <c r="K588">
        <v>4.3949579347565527E-2</v>
      </c>
      <c r="L588" t="s">
        <v>84</v>
      </c>
      <c r="N588" t="s">
        <v>123</v>
      </c>
      <c r="O588" t="s">
        <v>85</v>
      </c>
      <c r="P588">
        <v>1.8884934122020677E-2</v>
      </c>
      <c r="Q588" t="s">
        <v>84</v>
      </c>
      <c r="S588" t="s">
        <v>138</v>
      </c>
      <c r="T588" t="s">
        <v>85</v>
      </c>
      <c r="U588">
        <v>1.3695981676393422E-2</v>
      </c>
      <c r="V588" t="s">
        <v>84</v>
      </c>
    </row>
    <row r="589" spans="9:22" x14ac:dyDescent="0.45">
      <c r="I589" t="s">
        <v>107</v>
      </c>
      <c r="J589" t="s">
        <v>86</v>
      </c>
      <c r="K589">
        <v>7.3410036099189113E-2</v>
      </c>
      <c r="L589" t="s">
        <v>84</v>
      </c>
      <c r="N589" t="s">
        <v>123</v>
      </c>
      <c r="O589" t="s">
        <v>86</v>
      </c>
      <c r="P589">
        <v>4.1715712211050603E-2</v>
      </c>
      <c r="Q589" t="s">
        <v>84</v>
      </c>
      <c r="S589" t="s">
        <v>138</v>
      </c>
      <c r="T589" t="s">
        <v>86</v>
      </c>
      <c r="U589">
        <v>1.9885578234954373E-2</v>
      </c>
      <c r="V589" t="s">
        <v>84</v>
      </c>
    </row>
    <row r="590" spans="9:22" x14ac:dyDescent="0.45">
      <c r="I590" t="s">
        <v>107</v>
      </c>
      <c r="J590" t="s">
        <v>177</v>
      </c>
      <c r="K590">
        <v>9.9997574550196866E-3</v>
      </c>
      <c r="L590" t="s">
        <v>84</v>
      </c>
      <c r="N590" t="s">
        <v>123</v>
      </c>
      <c r="O590" t="s">
        <v>177</v>
      </c>
      <c r="P590">
        <v>5.6096840386403541E-3</v>
      </c>
      <c r="Q590" t="s">
        <v>84</v>
      </c>
      <c r="S590" t="s">
        <v>138</v>
      </c>
      <c r="T590" t="s">
        <v>177</v>
      </c>
      <c r="U590">
        <v>3.3043183414472074E-3</v>
      </c>
      <c r="V590" t="s">
        <v>84</v>
      </c>
    </row>
    <row r="591" spans="9:22" x14ac:dyDescent="0.45">
      <c r="I591" t="s">
        <v>107</v>
      </c>
      <c r="J591" t="s">
        <v>178</v>
      </c>
      <c r="K591">
        <v>8.4357264821257501E-3</v>
      </c>
      <c r="L591" t="s">
        <v>84</v>
      </c>
      <c r="N591" t="s">
        <v>123</v>
      </c>
      <c r="O591" t="s">
        <v>178</v>
      </c>
      <c r="P591">
        <v>4.7523659010750485E-3</v>
      </c>
      <c r="Q591" t="s">
        <v>84</v>
      </c>
      <c r="S591" t="s">
        <v>138</v>
      </c>
      <c r="T591" t="s">
        <v>178</v>
      </c>
      <c r="U591">
        <v>3.2509584872203565E-3</v>
      </c>
      <c r="V591" t="s">
        <v>84</v>
      </c>
    </row>
    <row r="592" spans="9:22" x14ac:dyDescent="0.45">
      <c r="I592" t="s">
        <v>107</v>
      </c>
      <c r="J592" t="s">
        <v>179</v>
      </c>
      <c r="K592">
        <v>5.4410028281286112E-3</v>
      </c>
      <c r="L592" t="s">
        <v>84</v>
      </c>
      <c r="N592" t="s">
        <v>123</v>
      </c>
      <c r="O592" t="s">
        <v>179</v>
      </c>
      <c r="P592">
        <v>2.160416093003846E-2</v>
      </c>
      <c r="Q592" t="s">
        <v>84</v>
      </c>
      <c r="S592" t="s">
        <v>138</v>
      </c>
      <c r="T592" t="s">
        <v>179</v>
      </c>
      <c r="U592">
        <v>1.609055933664031E-2</v>
      </c>
      <c r="V592" t="s">
        <v>84</v>
      </c>
    </row>
    <row r="593" spans="9:22" x14ac:dyDescent="0.45">
      <c r="I593" t="s">
        <v>107</v>
      </c>
      <c r="J593" t="s">
        <v>87</v>
      </c>
      <c r="K593">
        <v>4.9621981549336641E-3</v>
      </c>
      <c r="L593" t="s">
        <v>84</v>
      </c>
      <c r="N593" t="s">
        <v>123</v>
      </c>
      <c r="O593" t="s">
        <v>87</v>
      </c>
      <c r="P593">
        <v>8.2758184535614478E-3</v>
      </c>
      <c r="Q593" t="s">
        <v>84</v>
      </c>
      <c r="S593" t="s">
        <v>138</v>
      </c>
      <c r="T593" t="s">
        <v>87</v>
      </c>
      <c r="U593">
        <v>1.9146016721932207E-2</v>
      </c>
      <c r="V593" t="s">
        <v>84</v>
      </c>
    </row>
    <row r="594" spans="9:22" x14ac:dyDescent="0.45">
      <c r="I594" t="s">
        <v>107</v>
      </c>
      <c r="J594" t="s">
        <v>88</v>
      </c>
      <c r="K594">
        <v>3.7149994041470305E-2</v>
      </c>
      <c r="L594" t="s">
        <v>84</v>
      </c>
      <c r="N594" t="s">
        <v>123</v>
      </c>
      <c r="O594" t="s">
        <v>88</v>
      </c>
      <c r="P594">
        <v>3.4715389835871381E-3</v>
      </c>
      <c r="Q594" t="s">
        <v>84</v>
      </c>
      <c r="S594" t="s">
        <v>138</v>
      </c>
      <c r="T594" t="s">
        <v>88</v>
      </c>
      <c r="U594">
        <v>1.0310761637381854E-2</v>
      </c>
      <c r="V594" t="s">
        <v>84</v>
      </c>
    </row>
    <row r="595" spans="9:22" x14ac:dyDescent="0.45">
      <c r="I595" t="s">
        <v>107</v>
      </c>
      <c r="J595" t="s">
        <v>89</v>
      </c>
      <c r="K595">
        <v>6.2133541738378713E-2</v>
      </c>
      <c r="L595" t="s">
        <v>84</v>
      </c>
      <c r="N595" t="s">
        <v>123</v>
      </c>
      <c r="O595" t="s">
        <v>89</v>
      </c>
      <c r="P595">
        <v>7.3490462503780123E-3</v>
      </c>
      <c r="Q595" t="s">
        <v>84</v>
      </c>
      <c r="S595" t="s">
        <v>138</v>
      </c>
      <c r="T595" t="s">
        <v>89</v>
      </c>
      <c r="U595">
        <v>1.6333535323388073E-2</v>
      </c>
      <c r="V595" t="s">
        <v>84</v>
      </c>
    </row>
    <row r="596" spans="9:22" x14ac:dyDescent="0.45">
      <c r="I596" t="s">
        <v>107</v>
      </c>
      <c r="J596" t="s">
        <v>180</v>
      </c>
      <c r="K596">
        <v>8.2902377758074988E-3</v>
      </c>
      <c r="L596" t="s">
        <v>84</v>
      </c>
      <c r="N596" t="s">
        <v>123</v>
      </c>
      <c r="O596" t="s">
        <v>180</v>
      </c>
      <c r="P596">
        <v>1.013319861896891E-3</v>
      </c>
      <c r="Q596" t="s">
        <v>84</v>
      </c>
      <c r="S596" t="s">
        <v>138</v>
      </c>
      <c r="T596" t="s">
        <v>180</v>
      </c>
      <c r="U596">
        <v>2.738239892841061E-3</v>
      </c>
      <c r="V596" t="s">
        <v>84</v>
      </c>
    </row>
    <row r="597" spans="9:22" x14ac:dyDescent="0.45">
      <c r="I597" t="s">
        <v>107</v>
      </c>
      <c r="J597" t="s">
        <v>181</v>
      </c>
      <c r="K597">
        <v>6.6326526502750996E-3</v>
      </c>
      <c r="L597" t="s">
        <v>84</v>
      </c>
      <c r="N597" t="s">
        <v>123</v>
      </c>
      <c r="O597" t="s">
        <v>181</v>
      </c>
      <c r="P597">
        <v>8.4314014699707904E-4</v>
      </c>
      <c r="Q597" t="s">
        <v>84</v>
      </c>
      <c r="S597" t="s">
        <v>138</v>
      </c>
      <c r="T597" t="s">
        <v>181</v>
      </c>
      <c r="U597">
        <v>2.8040924183898698E-3</v>
      </c>
      <c r="V597" t="s">
        <v>84</v>
      </c>
    </row>
    <row r="598" spans="9:22" x14ac:dyDescent="0.45">
      <c r="I598" t="s">
        <v>107</v>
      </c>
      <c r="J598" t="s">
        <v>182</v>
      </c>
      <c r="K598">
        <v>2.726933391547128E-3</v>
      </c>
      <c r="L598" t="s">
        <v>84</v>
      </c>
      <c r="N598" t="s">
        <v>123</v>
      </c>
      <c r="O598" t="s">
        <v>182</v>
      </c>
      <c r="P598">
        <v>4.8118704933755941E-3</v>
      </c>
      <c r="Q598" t="s">
        <v>84</v>
      </c>
      <c r="S598" t="s">
        <v>138</v>
      </c>
      <c r="T598" t="s">
        <v>182</v>
      </c>
      <c r="U598">
        <v>1.4104582678227161E-2</v>
      </c>
      <c r="V598" t="s">
        <v>84</v>
      </c>
    </row>
    <row r="599" spans="9:22" x14ac:dyDescent="0.45">
      <c r="I599" t="s">
        <v>107</v>
      </c>
      <c r="J599" t="s">
        <v>90</v>
      </c>
      <c r="K599">
        <v>4.8590255878886313E-4</v>
      </c>
      <c r="L599" t="s">
        <v>84</v>
      </c>
      <c r="N599" t="s">
        <v>123</v>
      </c>
      <c r="O599" t="s">
        <v>90</v>
      </c>
      <c r="P599">
        <v>1.1762497153529996E-2</v>
      </c>
      <c r="Q599" t="s">
        <v>84</v>
      </c>
      <c r="S599" t="s">
        <v>138</v>
      </c>
      <c r="T599" t="s">
        <v>90</v>
      </c>
      <c r="U599">
        <v>1.9313755126550199E-2</v>
      </c>
      <c r="V599" t="s">
        <v>84</v>
      </c>
    </row>
    <row r="600" spans="9:22" x14ac:dyDescent="0.45">
      <c r="I600" t="s">
        <v>107</v>
      </c>
      <c r="J600" t="s">
        <v>91</v>
      </c>
      <c r="K600">
        <v>2.578825539757176E-2</v>
      </c>
      <c r="L600" t="s">
        <v>84</v>
      </c>
      <c r="N600" t="s">
        <v>123</v>
      </c>
      <c r="O600" t="s">
        <v>91</v>
      </c>
      <c r="P600">
        <v>5.9759923457386663E-3</v>
      </c>
      <c r="Q600" t="s">
        <v>84</v>
      </c>
      <c r="S600" t="s">
        <v>138</v>
      </c>
      <c r="T600" t="s">
        <v>91</v>
      </c>
      <c r="U600">
        <v>9.9571666792329493E-3</v>
      </c>
      <c r="V600" t="s">
        <v>84</v>
      </c>
    </row>
    <row r="601" spans="9:22" x14ac:dyDescent="0.45">
      <c r="I601" t="s">
        <v>107</v>
      </c>
      <c r="J601" t="s">
        <v>92</v>
      </c>
      <c r="K601">
        <v>4.899911942339371E-2</v>
      </c>
      <c r="L601" t="s">
        <v>84</v>
      </c>
      <c r="N601" t="s">
        <v>123</v>
      </c>
      <c r="O601" t="s">
        <v>92</v>
      </c>
      <c r="P601">
        <v>1.4527748571235052E-2</v>
      </c>
      <c r="Q601" t="s">
        <v>84</v>
      </c>
      <c r="S601" t="s">
        <v>138</v>
      </c>
      <c r="T601" t="s">
        <v>92</v>
      </c>
      <c r="U601">
        <v>1.6558535796570892E-2</v>
      </c>
      <c r="V601" t="s">
        <v>84</v>
      </c>
    </row>
    <row r="602" spans="9:22" x14ac:dyDescent="0.45">
      <c r="I602" t="s">
        <v>107</v>
      </c>
      <c r="J602" t="s">
        <v>183</v>
      </c>
      <c r="K602">
        <v>5.9184543551179169E-3</v>
      </c>
      <c r="L602" t="s">
        <v>84</v>
      </c>
      <c r="N602" t="s">
        <v>123</v>
      </c>
      <c r="O602" t="s">
        <v>183</v>
      </c>
      <c r="P602">
        <v>1.9939480544942795E-3</v>
      </c>
      <c r="Q602" t="s">
        <v>84</v>
      </c>
      <c r="S602" t="s">
        <v>138</v>
      </c>
      <c r="T602" t="s">
        <v>183</v>
      </c>
      <c r="U602">
        <v>2.9780429108499026E-3</v>
      </c>
      <c r="V602" t="s">
        <v>84</v>
      </c>
    </row>
    <row r="603" spans="9:22" x14ac:dyDescent="0.45">
      <c r="I603" t="s">
        <v>107</v>
      </c>
      <c r="J603" t="s">
        <v>184</v>
      </c>
      <c r="K603">
        <v>3.0387328633165456E-3</v>
      </c>
      <c r="L603" t="s">
        <v>84</v>
      </c>
      <c r="N603" t="s">
        <v>123</v>
      </c>
      <c r="O603" t="s">
        <v>184</v>
      </c>
      <c r="P603">
        <v>1.8307440103109652E-3</v>
      </c>
      <c r="Q603" t="s">
        <v>84</v>
      </c>
      <c r="S603" t="s">
        <v>138</v>
      </c>
      <c r="T603" t="s">
        <v>184</v>
      </c>
      <c r="U603">
        <v>3.0561890233099208E-3</v>
      </c>
      <c r="V603" t="s">
        <v>84</v>
      </c>
    </row>
    <row r="604" spans="9:22" x14ac:dyDescent="0.45">
      <c r="I604" t="s">
        <v>107</v>
      </c>
      <c r="J604" t="s">
        <v>185</v>
      </c>
      <c r="K604">
        <v>0</v>
      </c>
      <c r="L604" t="s">
        <v>84</v>
      </c>
      <c r="N604" t="s">
        <v>123</v>
      </c>
      <c r="O604" t="s">
        <v>185</v>
      </c>
      <c r="P604">
        <v>8.7033896228036738E-3</v>
      </c>
      <c r="Q604" t="s">
        <v>84</v>
      </c>
      <c r="S604" t="s">
        <v>138</v>
      </c>
      <c r="T604" t="s">
        <v>185</v>
      </c>
      <c r="U604">
        <v>1.5120728516727577E-2</v>
      </c>
      <c r="V604" t="s">
        <v>84</v>
      </c>
    </row>
    <row r="605" spans="9:22" x14ac:dyDescent="0.45">
      <c r="I605" t="s">
        <v>107</v>
      </c>
      <c r="J605" t="s">
        <v>93</v>
      </c>
      <c r="K605">
        <v>0</v>
      </c>
      <c r="L605" t="s">
        <v>84</v>
      </c>
      <c r="N605" t="s">
        <v>123</v>
      </c>
      <c r="O605" t="s">
        <v>93</v>
      </c>
      <c r="P605">
        <v>4.8357674696335069E-2</v>
      </c>
      <c r="Q605" t="s">
        <v>84</v>
      </c>
      <c r="S605" t="s">
        <v>138</v>
      </c>
      <c r="T605" t="s">
        <v>93</v>
      </c>
      <c r="U605">
        <v>5.5643638174273799E-2</v>
      </c>
      <c r="V605" t="s">
        <v>84</v>
      </c>
    </row>
    <row r="606" spans="9:22" x14ac:dyDescent="0.45">
      <c r="I606" t="s">
        <v>107</v>
      </c>
      <c r="J606" t="s">
        <v>94</v>
      </c>
      <c r="K606">
        <v>2.8621555684472843E-2</v>
      </c>
      <c r="L606" t="s">
        <v>84</v>
      </c>
      <c r="N606" t="s">
        <v>123</v>
      </c>
      <c r="O606" t="s">
        <v>94</v>
      </c>
      <c r="P606">
        <v>2.239915664764771E-2</v>
      </c>
      <c r="Q606" t="s">
        <v>84</v>
      </c>
      <c r="S606" t="s">
        <v>138</v>
      </c>
      <c r="T606" t="s">
        <v>94</v>
      </c>
      <c r="U606">
        <v>3.1528023106814226E-2</v>
      </c>
      <c r="V606" t="s">
        <v>84</v>
      </c>
    </row>
    <row r="607" spans="9:22" x14ac:dyDescent="0.45">
      <c r="I607" t="s">
        <v>107</v>
      </c>
      <c r="J607" t="s">
        <v>95</v>
      </c>
      <c r="K607">
        <v>5.7294988543536221E-2</v>
      </c>
      <c r="L607" t="s">
        <v>84</v>
      </c>
      <c r="N607" t="s">
        <v>123</v>
      </c>
      <c r="O607" t="s">
        <v>95</v>
      </c>
      <c r="P607">
        <v>3.9664996995191923E-2</v>
      </c>
      <c r="Q607" t="s">
        <v>84</v>
      </c>
      <c r="S607" t="s">
        <v>138</v>
      </c>
      <c r="T607" t="s">
        <v>95</v>
      </c>
      <c r="U607">
        <v>4.5932441141495695E-2</v>
      </c>
      <c r="V607" t="s">
        <v>84</v>
      </c>
    </row>
    <row r="608" spans="9:22" x14ac:dyDescent="0.45">
      <c r="I608" t="s">
        <v>107</v>
      </c>
      <c r="J608" t="s">
        <v>186</v>
      </c>
      <c r="K608">
        <v>3.6162917425553412E-3</v>
      </c>
      <c r="L608" t="s">
        <v>84</v>
      </c>
      <c r="N608" t="s">
        <v>123</v>
      </c>
      <c r="O608" t="s">
        <v>186</v>
      </c>
      <c r="P608">
        <v>6.4013966897552149E-3</v>
      </c>
      <c r="Q608" t="s">
        <v>84</v>
      </c>
      <c r="S608" t="s">
        <v>138</v>
      </c>
      <c r="T608" t="s">
        <v>186</v>
      </c>
      <c r="U608">
        <v>7.6406380655779076E-3</v>
      </c>
      <c r="V608" t="s">
        <v>84</v>
      </c>
    </row>
    <row r="609" spans="9:22" x14ac:dyDescent="0.45">
      <c r="I609" t="s">
        <v>107</v>
      </c>
      <c r="J609" t="s">
        <v>187</v>
      </c>
      <c r="K609">
        <v>0</v>
      </c>
      <c r="L609" t="s">
        <v>84</v>
      </c>
      <c r="N609" t="s">
        <v>123</v>
      </c>
      <c r="O609" t="s">
        <v>187</v>
      </c>
      <c r="P609">
        <v>6.1956681011670692E-3</v>
      </c>
      <c r="Q609" t="s">
        <v>84</v>
      </c>
      <c r="S609" t="s">
        <v>138</v>
      </c>
      <c r="T609" t="s">
        <v>187</v>
      </c>
      <c r="U609">
        <v>7.6501272734189165E-3</v>
      </c>
      <c r="V609" t="s">
        <v>84</v>
      </c>
    </row>
    <row r="610" spans="9:22" x14ac:dyDescent="0.45">
      <c r="I610" t="s">
        <v>107</v>
      </c>
      <c r="J610" t="s">
        <v>188</v>
      </c>
      <c r="K610">
        <v>0</v>
      </c>
      <c r="L610" t="s">
        <v>84</v>
      </c>
      <c r="N610" t="s">
        <v>123</v>
      </c>
      <c r="O610" t="s">
        <v>188</v>
      </c>
      <c r="P610">
        <v>2.9798163842051067E-2</v>
      </c>
      <c r="Q610" t="s">
        <v>84</v>
      </c>
      <c r="S610" t="s">
        <v>138</v>
      </c>
      <c r="T610" t="s">
        <v>188</v>
      </c>
      <c r="U610">
        <v>3.8404881104856486E-2</v>
      </c>
      <c r="V610" t="s">
        <v>84</v>
      </c>
    </row>
    <row r="611" spans="9:22" x14ac:dyDescent="0.45">
      <c r="I611" t="s">
        <v>107</v>
      </c>
      <c r="J611" t="s">
        <v>189</v>
      </c>
      <c r="K611">
        <v>0</v>
      </c>
      <c r="L611" t="s">
        <v>84</v>
      </c>
      <c r="N611" t="s">
        <v>123</v>
      </c>
      <c r="O611" t="s">
        <v>189</v>
      </c>
      <c r="P611">
        <v>1.9325228665810452E-2</v>
      </c>
      <c r="Q611" t="s">
        <v>84</v>
      </c>
      <c r="S611" t="s">
        <v>138</v>
      </c>
      <c r="T611" t="s">
        <v>189</v>
      </c>
      <c r="U611">
        <v>2.3630493928983448E-2</v>
      </c>
      <c r="V611" t="s">
        <v>84</v>
      </c>
    </row>
    <row r="612" spans="9:22" x14ac:dyDescent="0.45">
      <c r="I612" t="s">
        <v>107</v>
      </c>
      <c r="J612" t="s">
        <v>190</v>
      </c>
      <c r="K612">
        <v>7.2316106539265824E-3</v>
      </c>
      <c r="L612" t="s">
        <v>84</v>
      </c>
      <c r="N612" t="s">
        <v>123</v>
      </c>
      <c r="O612" t="s">
        <v>190</v>
      </c>
      <c r="P612">
        <v>9.6656565830672315E-3</v>
      </c>
      <c r="Q612" t="s">
        <v>84</v>
      </c>
      <c r="S612" t="s">
        <v>138</v>
      </c>
      <c r="T612" t="s">
        <v>190</v>
      </c>
      <c r="U612">
        <v>1.3574065363552528E-2</v>
      </c>
      <c r="V612" t="s">
        <v>84</v>
      </c>
    </row>
    <row r="613" spans="9:22" x14ac:dyDescent="0.45">
      <c r="I613" t="s">
        <v>107</v>
      </c>
      <c r="J613" t="s">
        <v>191</v>
      </c>
      <c r="K613">
        <v>1.803533298447578E-2</v>
      </c>
      <c r="L613" t="s">
        <v>84</v>
      </c>
      <c r="N613" t="s">
        <v>123</v>
      </c>
      <c r="O613" t="s">
        <v>191</v>
      </c>
      <c r="P613">
        <v>1.8624563653044116E-2</v>
      </c>
      <c r="Q613" t="s">
        <v>84</v>
      </c>
      <c r="S613" t="s">
        <v>138</v>
      </c>
      <c r="T613" t="s">
        <v>191</v>
      </c>
      <c r="U613">
        <v>2.0767253631381599E-2</v>
      </c>
      <c r="V613" t="s">
        <v>84</v>
      </c>
    </row>
    <row r="614" spans="9:22" x14ac:dyDescent="0.45">
      <c r="I614" t="s">
        <v>107</v>
      </c>
      <c r="J614" t="s">
        <v>192</v>
      </c>
      <c r="K614">
        <v>0</v>
      </c>
      <c r="L614" t="s">
        <v>84</v>
      </c>
      <c r="N614" t="s">
        <v>123</v>
      </c>
      <c r="O614" t="s">
        <v>192</v>
      </c>
      <c r="P614">
        <v>3.2684298528021837E-3</v>
      </c>
      <c r="Q614" t="s">
        <v>84</v>
      </c>
      <c r="S614" t="s">
        <v>138</v>
      </c>
      <c r="T614" t="s">
        <v>192</v>
      </c>
      <c r="U614">
        <v>3.4348807402839617E-3</v>
      </c>
      <c r="V614" t="s">
        <v>84</v>
      </c>
    </row>
    <row r="615" spans="9:22" x14ac:dyDescent="0.45">
      <c r="I615" t="s">
        <v>107</v>
      </c>
      <c r="J615" t="s">
        <v>193</v>
      </c>
      <c r="K615">
        <v>0</v>
      </c>
      <c r="L615" t="s">
        <v>84</v>
      </c>
      <c r="N615" t="s">
        <v>123</v>
      </c>
      <c r="O615" t="s">
        <v>193</v>
      </c>
      <c r="P615">
        <v>3.3046339338901544E-3</v>
      </c>
      <c r="Q615" t="s">
        <v>84</v>
      </c>
      <c r="S615" t="s">
        <v>138</v>
      </c>
      <c r="T615" t="s">
        <v>193</v>
      </c>
      <c r="U615">
        <v>3.4268699040939971E-3</v>
      </c>
      <c r="V615" t="s">
        <v>84</v>
      </c>
    </row>
    <row r="616" spans="9:22" x14ac:dyDescent="0.45">
      <c r="I616" t="s">
        <v>107</v>
      </c>
      <c r="J616" t="s">
        <v>194</v>
      </c>
      <c r="K616">
        <v>0</v>
      </c>
      <c r="L616" t="s">
        <v>84</v>
      </c>
      <c r="N616" t="s">
        <v>123</v>
      </c>
      <c r="O616" t="s">
        <v>194</v>
      </c>
      <c r="P616">
        <v>1.5322500863095069E-2</v>
      </c>
      <c r="Q616" t="s">
        <v>84</v>
      </c>
      <c r="S616" t="s">
        <v>138</v>
      </c>
      <c r="T616" t="s">
        <v>194</v>
      </c>
      <c r="U616">
        <v>1.7375779880388287E-2</v>
      </c>
      <c r="V616" t="s">
        <v>84</v>
      </c>
    </row>
    <row r="617" spans="9:22" x14ac:dyDescent="0.45">
      <c r="I617" t="s">
        <v>107</v>
      </c>
      <c r="J617" t="s">
        <v>195</v>
      </c>
      <c r="K617">
        <v>4.5721840421858424E-4</v>
      </c>
      <c r="L617" t="s">
        <v>84</v>
      </c>
      <c r="N617" t="s">
        <v>123</v>
      </c>
      <c r="O617" t="s">
        <v>195</v>
      </c>
      <c r="P617">
        <v>9.015644568210765E-2</v>
      </c>
      <c r="Q617" t="s">
        <v>84</v>
      </c>
      <c r="S617" t="s">
        <v>138</v>
      </c>
      <c r="T617" t="s">
        <v>195</v>
      </c>
      <c r="U617">
        <v>8.0366998483211147E-2</v>
      </c>
      <c r="V617" t="s">
        <v>84</v>
      </c>
    </row>
    <row r="618" spans="9:22" x14ac:dyDescent="0.45">
      <c r="I618" t="s">
        <v>107</v>
      </c>
      <c r="J618" t="s">
        <v>196</v>
      </c>
      <c r="K618">
        <v>5.143943174393082E-2</v>
      </c>
      <c r="L618" t="s">
        <v>84</v>
      </c>
      <c r="N618" t="s">
        <v>123</v>
      </c>
      <c r="O618" t="s">
        <v>196</v>
      </c>
      <c r="P618">
        <v>4.3285976118008655E-2</v>
      </c>
      <c r="Q618" t="s">
        <v>84</v>
      </c>
      <c r="S618" t="s">
        <v>138</v>
      </c>
      <c r="T618" t="s">
        <v>196</v>
      </c>
      <c r="U618">
        <v>4.4618723639762131E-2</v>
      </c>
      <c r="V618" t="s">
        <v>84</v>
      </c>
    </row>
    <row r="619" spans="9:22" x14ac:dyDescent="0.45">
      <c r="I619" t="s">
        <v>107</v>
      </c>
      <c r="J619" t="s">
        <v>197</v>
      </c>
      <c r="K619">
        <v>0.10429951102834174</v>
      </c>
      <c r="L619" t="s">
        <v>84</v>
      </c>
      <c r="N619" t="s">
        <v>123</v>
      </c>
      <c r="O619" t="s">
        <v>197</v>
      </c>
      <c r="P619">
        <v>7.918965431207492E-2</v>
      </c>
      <c r="Q619" t="s">
        <v>84</v>
      </c>
      <c r="S619" t="s">
        <v>138</v>
      </c>
      <c r="T619" t="s">
        <v>197</v>
      </c>
      <c r="U619">
        <v>6.6242610569680269E-2</v>
      </c>
      <c r="V619" t="s">
        <v>84</v>
      </c>
    </row>
    <row r="620" spans="9:22" x14ac:dyDescent="0.45">
      <c r="I620" t="s">
        <v>107</v>
      </c>
      <c r="J620" t="s">
        <v>198</v>
      </c>
      <c r="K620">
        <v>8.3453891465247003E-3</v>
      </c>
      <c r="L620" t="s">
        <v>84</v>
      </c>
      <c r="N620" t="s">
        <v>123</v>
      </c>
      <c r="O620" t="s">
        <v>198</v>
      </c>
      <c r="P620">
        <v>1.2291101133543975E-2</v>
      </c>
      <c r="Q620" t="s">
        <v>84</v>
      </c>
      <c r="S620" t="s">
        <v>138</v>
      </c>
      <c r="T620" t="s">
        <v>198</v>
      </c>
      <c r="U620">
        <v>1.073518853018912E-2</v>
      </c>
      <c r="V620" t="s">
        <v>84</v>
      </c>
    </row>
    <row r="621" spans="9:22" x14ac:dyDescent="0.45">
      <c r="I621" t="s">
        <v>107</v>
      </c>
      <c r="J621" t="s">
        <v>199</v>
      </c>
      <c r="K621">
        <v>2.9362694483487745E-4</v>
      </c>
      <c r="L621" t="s">
        <v>84</v>
      </c>
      <c r="N621" t="s">
        <v>123</v>
      </c>
      <c r="O621" t="s">
        <v>199</v>
      </c>
      <c r="P621">
        <v>1.1666343379583314E-2</v>
      </c>
      <c r="Q621" t="s">
        <v>84</v>
      </c>
      <c r="S621" t="s">
        <v>138</v>
      </c>
      <c r="T621" t="s">
        <v>199</v>
      </c>
      <c r="U621">
        <v>1.0776218359796254E-2</v>
      </c>
      <c r="V621" t="s">
        <v>84</v>
      </c>
    </row>
    <row r="622" spans="9:22" x14ac:dyDescent="0.45">
      <c r="I622" t="s">
        <v>107</v>
      </c>
      <c r="J622" t="s">
        <v>200</v>
      </c>
      <c r="K622">
        <v>0</v>
      </c>
      <c r="L622" t="s">
        <v>84</v>
      </c>
      <c r="N622" t="s">
        <v>123</v>
      </c>
      <c r="O622" t="s">
        <v>200</v>
      </c>
      <c r="P622">
        <v>5.8968015009592062E-2</v>
      </c>
      <c r="Q622" t="s">
        <v>84</v>
      </c>
      <c r="S622" t="s">
        <v>138</v>
      </c>
      <c r="T622" t="s">
        <v>200</v>
      </c>
      <c r="U622">
        <v>5.5441462108522577E-2</v>
      </c>
      <c r="V622" t="s">
        <v>84</v>
      </c>
    </row>
    <row r="623" spans="9:22" x14ac:dyDescent="0.45">
      <c r="I623" t="s">
        <v>107</v>
      </c>
      <c r="J623" t="s">
        <v>201</v>
      </c>
      <c r="K623">
        <v>5.923476720890556E-3</v>
      </c>
      <c r="L623" t="s">
        <v>84</v>
      </c>
      <c r="N623" t="s">
        <v>123</v>
      </c>
      <c r="O623" t="s">
        <v>201</v>
      </c>
      <c r="P623">
        <v>4.3992627699099361E-2</v>
      </c>
      <c r="Q623" t="s">
        <v>84</v>
      </c>
      <c r="S623" t="s">
        <v>138</v>
      </c>
      <c r="T623" t="s">
        <v>201</v>
      </c>
      <c r="U623">
        <v>3.0935515394399409E-2</v>
      </c>
      <c r="V623" t="s">
        <v>84</v>
      </c>
    </row>
    <row r="624" spans="9:22" x14ac:dyDescent="0.45">
      <c r="I624" t="s">
        <v>107</v>
      </c>
      <c r="J624" t="s">
        <v>202</v>
      </c>
      <c r="K624">
        <v>3.7122875895711289E-2</v>
      </c>
      <c r="L624" t="s">
        <v>84</v>
      </c>
      <c r="N624" t="s">
        <v>123</v>
      </c>
      <c r="O624" t="s">
        <v>202</v>
      </c>
      <c r="P624">
        <v>2.5225488740595287E-2</v>
      </c>
      <c r="Q624" t="s">
        <v>84</v>
      </c>
      <c r="S624" t="s">
        <v>138</v>
      </c>
      <c r="T624" t="s">
        <v>202</v>
      </c>
      <c r="U624">
        <v>1.7572926631604521E-2</v>
      </c>
      <c r="V624" t="s">
        <v>84</v>
      </c>
    </row>
    <row r="625" spans="9:22" x14ac:dyDescent="0.45">
      <c r="I625" t="s">
        <v>107</v>
      </c>
      <c r="J625" t="s">
        <v>203</v>
      </c>
      <c r="K625">
        <v>5.8457494345351989E-2</v>
      </c>
      <c r="L625" t="s">
        <v>84</v>
      </c>
      <c r="N625" t="s">
        <v>123</v>
      </c>
      <c r="O625" t="s">
        <v>203</v>
      </c>
      <c r="P625">
        <v>4.9632320873343856E-2</v>
      </c>
      <c r="Q625" t="s">
        <v>84</v>
      </c>
      <c r="S625" t="s">
        <v>138</v>
      </c>
      <c r="T625" t="s">
        <v>203</v>
      </c>
      <c r="U625">
        <v>2.4849386402485421E-2</v>
      </c>
      <c r="V625" t="s">
        <v>84</v>
      </c>
    </row>
    <row r="626" spans="9:22" x14ac:dyDescent="0.45">
      <c r="I626" t="s">
        <v>107</v>
      </c>
      <c r="J626" t="s">
        <v>204</v>
      </c>
      <c r="K626">
        <v>6.9507673561605985E-3</v>
      </c>
      <c r="L626" t="s">
        <v>84</v>
      </c>
      <c r="N626" t="s">
        <v>123</v>
      </c>
      <c r="O626" t="s">
        <v>204</v>
      </c>
      <c r="P626">
        <v>7.3063462951719659E-3</v>
      </c>
      <c r="Q626" t="s">
        <v>84</v>
      </c>
      <c r="S626" t="s">
        <v>138</v>
      </c>
      <c r="T626" t="s">
        <v>204</v>
      </c>
      <c r="U626">
        <v>4.0081615066770914E-3</v>
      </c>
      <c r="V626" t="s">
        <v>84</v>
      </c>
    </row>
    <row r="627" spans="9:22" x14ac:dyDescent="0.45">
      <c r="I627" t="s">
        <v>107</v>
      </c>
      <c r="J627" t="s">
        <v>205</v>
      </c>
      <c r="K627">
        <v>4.7718450207092523E-3</v>
      </c>
      <c r="L627" t="s">
        <v>84</v>
      </c>
      <c r="N627" t="s">
        <v>123</v>
      </c>
      <c r="O627" t="s">
        <v>205</v>
      </c>
      <c r="P627">
        <v>7.3364372670507976E-3</v>
      </c>
      <c r="Q627" t="s">
        <v>84</v>
      </c>
      <c r="S627" t="s">
        <v>138</v>
      </c>
      <c r="T627" t="s">
        <v>205</v>
      </c>
      <c r="U627">
        <v>4.0095881548222285E-3</v>
      </c>
      <c r="V627" t="s">
        <v>84</v>
      </c>
    </row>
    <row r="628" spans="9:22" x14ac:dyDescent="0.45">
      <c r="I628" t="s">
        <v>107</v>
      </c>
      <c r="J628" t="s">
        <v>206</v>
      </c>
      <c r="K628">
        <v>0</v>
      </c>
      <c r="L628" t="s">
        <v>84</v>
      </c>
      <c r="N628" t="s">
        <v>123</v>
      </c>
      <c r="O628" t="s">
        <v>206</v>
      </c>
      <c r="P628">
        <v>3.2737632269379979E-2</v>
      </c>
      <c r="Q628" t="s">
        <v>84</v>
      </c>
      <c r="S628" t="s">
        <v>138</v>
      </c>
      <c r="T628" t="s">
        <v>206</v>
      </c>
      <c r="U628">
        <v>1.9782508073854871E-2</v>
      </c>
      <c r="V628" t="s">
        <v>84</v>
      </c>
    </row>
    <row r="629" spans="9:22" x14ac:dyDescent="0.45">
      <c r="I629" t="s">
        <v>107</v>
      </c>
      <c r="J629" t="s">
        <v>207</v>
      </c>
      <c r="K629">
        <v>1.8985846721786874E-2</v>
      </c>
      <c r="L629" t="s">
        <v>84</v>
      </c>
      <c r="N629" t="s">
        <v>123</v>
      </c>
      <c r="O629" t="s">
        <v>207</v>
      </c>
      <c r="P629">
        <v>2.9387869774383332E-2</v>
      </c>
      <c r="Q629" t="s">
        <v>84</v>
      </c>
      <c r="S629" t="s">
        <v>138</v>
      </c>
      <c r="T629" t="s">
        <v>207</v>
      </c>
      <c r="U629">
        <v>4.1785871737382053E-2</v>
      </c>
      <c r="V629" t="s">
        <v>84</v>
      </c>
    </row>
    <row r="630" spans="9:22" x14ac:dyDescent="0.45">
      <c r="I630" t="s">
        <v>107</v>
      </c>
      <c r="J630" t="s">
        <v>208</v>
      </c>
      <c r="K630">
        <v>7.6998722547808207E-2</v>
      </c>
      <c r="L630" t="s">
        <v>84</v>
      </c>
      <c r="N630" t="s">
        <v>123</v>
      </c>
      <c r="O630" t="s">
        <v>208</v>
      </c>
      <c r="P630">
        <v>2.0259789507420599E-2</v>
      </c>
      <c r="Q630" t="s">
        <v>84</v>
      </c>
      <c r="S630" t="s">
        <v>138</v>
      </c>
      <c r="T630" t="s">
        <v>208</v>
      </c>
      <c r="U630">
        <v>2.5335392081438143E-2</v>
      </c>
      <c r="V630" t="s">
        <v>84</v>
      </c>
    </row>
    <row r="631" spans="9:22" x14ac:dyDescent="0.45">
      <c r="I631" t="s">
        <v>107</v>
      </c>
      <c r="J631" t="s">
        <v>209</v>
      </c>
      <c r="K631">
        <v>0.12304060007140553</v>
      </c>
      <c r="L631" t="s">
        <v>84</v>
      </c>
      <c r="N631" t="s">
        <v>123</v>
      </c>
      <c r="O631" t="s">
        <v>209</v>
      </c>
      <c r="P631">
        <v>4.1262061428438183E-2</v>
      </c>
      <c r="Q631" t="s">
        <v>84</v>
      </c>
      <c r="S631" t="s">
        <v>138</v>
      </c>
      <c r="T631" t="s">
        <v>209</v>
      </c>
      <c r="U631">
        <v>3.85118802418047E-2</v>
      </c>
      <c r="V631" t="s">
        <v>84</v>
      </c>
    </row>
    <row r="632" spans="9:22" x14ac:dyDescent="0.45">
      <c r="I632" t="s">
        <v>107</v>
      </c>
      <c r="J632" t="s">
        <v>210</v>
      </c>
      <c r="K632">
        <v>1.4345273699341656E-2</v>
      </c>
      <c r="L632" t="s">
        <v>84</v>
      </c>
      <c r="N632" t="s">
        <v>123</v>
      </c>
      <c r="O632" t="s">
        <v>210</v>
      </c>
      <c r="P632">
        <v>5.3064123461391286E-3</v>
      </c>
      <c r="Q632" t="s">
        <v>84</v>
      </c>
      <c r="S632" t="s">
        <v>138</v>
      </c>
      <c r="T632" t="s">
        <v>210</v>
      </c>
      <c r="U632">
        <v>6.2426114266501548E-3</v>
      </c>
      <c r="V632" t="s">
        <v>84</v>
      </c>
    </row>
    <row r="633" spans="9:22" x14ac:dyDescent="0.45">
      <c r="I633" t="s">
        <v>107</v>
      </c>
      <c r="J633" t="s">
        <v>211</v>
      </c>
      <c r="K633">
        <v>1.1233169627808771E-2</v>
      </c>
      <c r="L633" t="s">
        <v>84</v>
      </c>
      <c r="N633" t="s">
        <v>123</v>
      </c>
      <c r="O633" t="s">
        <v>211</v>
      </c>
      <c r="P633">
        <v>4.7153378753077534E-3</v>
      </c>
      <c r="Q633" t="s">
        <v>84</v>
      </c>
      <c r="S633" t="s">
        <v>138</v>
      </c>
      <c r="T633" t="s">
        <v>211</v>
      </c>
      <c r="U633">
        <v>6.1208900653655328E-3</v>
      </c>
      <c r="V633" t="s">
        <v>84</v>
      </c>
    </row>
    <row r="634" spans="9:22" x14ac:dyDescent="0.45">
      <c r="I634" t="s">
        <v>107</v>
      </c>
      <c r="J634" t="s">
        <v>212</v>
      </c>
      <c r="K634">
        <v>5.3723763312593306E-3</v>
      </c>
      <c r="L634" t="s">
        <v>84</v>
      </c>
      <c r="N634" t="s">
        <v>123</v>
      </c>
      <c r="O634" t="s">
        <v>212</v>
      </c>
      <c r="P634">
        <v>2.0978925790106663E-2</v>
      </c>
      <c r="Q634" t="s">
        <v>84</v>
      </c>
      <c r="S634" t="s">
        <v>138</v>
      </c>
      <c r="T634" t="s">
        <v>212</v>
      </c>
      <c r="U634">
        <v>3.0273090469109358E-2</v>
      </c>
      <c r="V634" t="s">
        <v>84</v>
      </c>
    </row>
    <row r="635" spans="9:22" x14ac:dyDescent="0.45">
      <c r="I635" t="s">
        <v>108</v>
      </c>
      <c r="J635" t="s">
        <v>83</v>
      </c>
      <c r="K635">
        <v>7.8689247455969308E-3</v>
      </c>
      <c r="L635" t="s">
        <v>84</v>
      </c>
      <c r="N635" t="s">
        <v>124</v>
      </c>
      <c r="O635" t="s">
        <v>83</v>
      </c>
      <c r="P635">
        <v>3.0234411892928473E-2</v>
      </c>
      <c r="Q635" t="s">
        <v>84</v>
      </c>
      <c r="S635" t="s">
        <v>139</v>
      </c>
      <c r="T635" t="s">
        <v>83</v>
      </c>
      <c r="U635">
        <v>2.7622189813516242E-2</v>
      </c>
      <c r="V635" t="s">
        <v>84</v>
      </c>
    </row>
    <row r="636" spans="9:22" x14ac:dyDescent="0.45">
      <c r="I636" t="s">
        <v>108</v>
      </c>
      <c r="J636" t="s">
        <v>85</v>
      </c>
      <c r="K636">
        <v>4.2206940841194265E-2</v>
      </c>
      <c r="L636" t="s">
        <v>84</v>
      </c>
      <c r="N636" t="s">
        <v>124</v>
      </c>
      <c r="O636" t="s">
        <v>85</v>
      </c>
      <c r="P636">
        <v>1.8589164763721654E-2</v>
      </c>
      <c r="Q636" t="s">
        <v>84</v>
      </c>
      <c r="S636" t="s">
        <v>139</v>
      </c>
      <c r="T636" t="s">
        <v>85</v>
      </c>
      <c r="U636">
        <v>1.498690679321452E-2</v>
      </c>
      <c r="V636" t="s">
        <v>84</v>
      </c>
    </row>
    <row r="637" spans="9:22" x14ac:dyDescent="0.45">
      <c r="I637" t="s">
        <v>108</v>
      </c>
      <c r="J637" t="s">
        <v>86</v>
      </c>
      <c r="K637">
        <v>7.3063158657969168E-2</v>
      </c>
      <c r="L637" t="s">
        <v>84</v>
      </c>
      <c r="N637" t="s">
        <v>124</v>
      </c>
      <c r="O637" t="s">
        <v>86</v>
      </c>
      <c r="P637">
        <v>4.5955778777863041E-2</v>
      </c>
      <c r="Q637" t="s">
        <v>84</v>
      </c>
      <c r="S637" t="s">
        <v>139</v>
      </c>
      <c r="T637" t="s">
        <v>86</v>
      </c>
      <c r="U637">
        <v>2.3793434384621677E-2</v>
      </c>
      <c r="V637" t="s">
        <v>84</v>
      </c>
    </row>
    <row r="638" spans="9:22" x14ac:dyDescent="0.45">
      <c r="I638" t="s">
        <v>108</v>
      </c>
      <c r="J638" t="s">
        <v>177</v>
      </c>
      <c r="K638">
        <v>9.755589166489791E-3</v>
      </c>
      <c r="L638" t="s">
        <v>84</v>
      </c>
      <c r="N638" t="s">
        <v>124</v>
      </c>
      <c r="O638" t="s">
        <v>177</v>
      </c>
      <c r="P638">
        <v>6.2004279116260243E-3</v>
      </c>
      <c r="Q638" t="s">
        <v>84</v>
      </c>
      <c r="S638" t="s">
        <v>139</v>
      </c>
      <c r="T638" t="s">
        <v>177</v>
      </c>
      <c r="U638">
        <v>3.9796565796406938E-3</v>
      </c>
      <c r="V638" t="s">
        <v>84</v>
      </c>
    </row>
    <row r="639" spans="9:22" x14ac:dyDescent="0.45">
      <c r="I639" t="s">
        <v>108</v>
      </c>
      <c r="J639" t="s">
        <v>178</v>
      </c>
      <c r="K639">
        <v>7.8940946927161821E-3</v>
      </c>
      <c r="L639" t="s">
        <v>84</v>
      </c>
      <c r="N639" t="s">
        <v>124</v>
      </c>
      <c r="O639" t="s">
        <v>178</v>
      </c>
      <c r="P639">
        <v>5.2626427027845394E-3</v>
      </c>
      <c r="Q639" t="s">
        <v>84</v>
      </c>
      <c r="S639" t="s">
        <v>139</v>
      </c>
      <c r="T639" t="s">
        <v>178</v>
      </c>
      <c r="U639">
        <v>3.9365544851663247E-3</v>
      </c>
      <c r="V639" t="s">
        <v>84</v>
      </c>
    </row>
    <row r="640" spans="9:22" x14ac:dyDescent="0.45">
      <c r="I640" t="s">
        <v>108</v>
      </c>
      <c r="J640" t="s">
        <v>179</v>
      </c>
      <c r="K640">
        <v>5.0730033218508285E-3</v>
      </c>
      <c r="L640" t="s">
        <v>84</v>
      </c>
      <c r="N640" t="s">
        <v>124</v>
      </c>
      <c r="O640" t="s">
        <v>179</v>
      </c>
      <c r="P640">
        <v>2.0406927972919386E-2</v>
      </c>
      <c r="Q640" t="s">
        <v>84</v>
      </c>
      <c r="S640" t="s">
        <v>139</v>
      </c>
      <c r="T640" t="s">
        <v>179</v>
      </c>
      <c r="U640">
        <v>1.9386539854685317E-2</v>
      </c>
      <c r="V640" t="s">
        <v>84</v>
      </c>
    </row>
    <row r="641" spans="9:22" x14ac:dyDescent="0.45">
      <c r="I641" t="s">
        <v>108</v>
      </c>
      <c r="J641" t="s">
        <v>87</v>
      </c>
      <c r="K641">
        <v>4.8269881957877792E-3</v>
      </c>
      <c r="L641" t="s">
        <v>84</v>
      </c>
      <c r="N641" t="s">
        <v>124</v>
      </c>
      <c r="O641" t="s">
        <v>87</v>
      </c>
      <c r="P641">
        <v>7.9285091650605315E-3</v>
      </c>
      <c r="Q641" t="s">
        <v>84</v>
      </c>
      <c r="S641" t="s">
        <v>139</v>
      </c>
      <c r="T641" t="s">
        <v>87</v>
      </c>
      <c r="U641">
        <v>2.0763672095782029E-2</v>
      </c>
      <c r="V641" t="s">
        <v>84</v>
      </c>
    </row>
    <row r="642" spans="9:22" x14ac:dyDescent="0.45">
      <c r="I642" t="s">
        <v>108</v>
      </c>
      <c r="J642" t="s">
        <v>88</v>
      </c>
      <c r="K642">
        <v>3.8921361338752188E-2</v>
      </c>
      <c r="L642" t="s">
        <v>84</v>
      </c>
      <c r="N642" t="s">
        <v>124</v>
      </c>
      <c r="O642" t="s">
        <v>88</v>
      </c>
      <c r="P642">
        <v>3.6955113341145518E-3</v>
      </c>
      <c r="Q642" t="s">
        <v>84</v>
      </c>
      <c r="S642" t="s">
        <v>139</v>
      </c>
      <c r="T642" t="s">
        <v>88</v>
      </c>
      <c r="U642">
        <v>1.1944120965313266E-2</v>
      </c>
      <c r="V642" t="s">
        <v>84</v>
      </c>
    </row>
    <row r="643" spans="9:22" x14ac:dyDescent="0.45">
      <c r="I643" t="s">
        <v>108</v>
      </c>
      <c r="J643" t="s">
        <v>89</v>
      </c>
      <c r="K643">
        <v>6.686520301789671E-2</v>
      </c>
      <c r="L643" t="s">
        <v>84</v>
      </c>
      <c r="N643" t="s">
        <v>124</v>
      </c>
      <c r="O643" t="s">
        <v>89</v>
      </c>
      <c r="P643">
        <v>1.7089285986710692E-2</v>
      </c>
      <c r="Q643" t="s">
        <v>84</v>
      </c>
      <c r="S643" t="s">
        <v>139</v>
      </c>
      <c r="T643" t="s">
        <v>89</v>
      </c>
      <c r="U643">
        <v>2.0136322698289685E-2</v>
      </c>
      <c r="V643" t="s">
        <v>84</v>
      </c>
    </row>
    <row r="644" spans="9:22" x14ac:dyDescent="0.45">
      <c r="I644" t="s">
        <v>108</v>
      </c>
      <c r="J644" t="s">
        <v>180</v>
      </c>
      <c r="K644">
        <v>9.3215433900745749E-3</v>
      </c>
      <c r="L644" t="s">
        <v>84</v>
      </c>
      <c r="N644" t="s">
        <v>124</v>
      </c>
      <c r="O644" t="s">
        <v>180</v>
      </c>
      <c r="P644">
        <v>2.9653034046993503E-3</v>
      </c>
      <c r="Q644" t="s">
        <v>84</v>
      </c>
      <c r="S644" t="s">
        <v>139</v>
      </c>
      <c r="T644" t="s">
        <v>180</v>
      </c>
      <c r="U644">
        <v>3.380897543066533E-3</v>
      </c>
      <c r="V644" t="s">
        <v>84</v>
      </c>
    </row>
    <row r="645" spans="9:22" x14ac:dyDescent="0.45">
      <c r="I645" t="s">
        <v>108</v>
      </c>
      <c r="J645" t="s">
        <v>181</v>
      </c>
      <c r="K645">
        <v>7.1967942071195432E-3</v>
      </c>
      <c r="L645" t="s">
        <v>84</v>
      </c>
      <c r="N645" t="s">
        <v>124</v>
      </c>
      <c r="O645" t="s">
        <v>181</v>
      </c>
      <c r="P645">
        <v>2.4103870040889357E-3</v>
      </c>
      <c r="Q645" t="s">
        <v>84</v>
      </c>
      <c r="S645" t="s">
        <v>139</v>
      </c>
      <c r="T645" t="s">
        <v>181</v>
      </c>
      <c r="U645">
        <v>3.3107331865567255E-3</v>
      </c>
      <c r="V645" t="s">
        <v>84</v>
      </c>
    </row>
    <row r="646" spans="9:22" x14ac:dyDescent="0.45">
      <c r="I646" t="s">
        <v>108</v>
      </c>
      <c r="J646" t="s">
        <v>182</v>
      </c>
      <c r="K646">
        <v>1.9423651635141288E-3</v>
      </c>
      <c r="L646" t="s">
        <v>84</v>
      </c>
      <c r="N646" t="s">
        <v>124</v>
      </c>
      <c r="O646" t="s">
        <v>182</v>
      </c>
      <c r="P646">
        <v>6.681562102148219E-3</v>
      </c>
      <c r="Q646" t="s">
        <v>84</v>
      </c>
      <c r="S646" t="s">
        <v>139</v>
      </c>
      <c r="T646" t="s">
        <v>182</v>
      </c>
      <c r="U646">
        <v>1.5292488037663084E-2</v>
      </c>
      <c r="V646" t="s">
        <v>84</v>
      </c>
    </row>
    <row r="647" spans="9:22" x14ac:dyDescent="0.45">
      <c r="I647" t="s">
        <v>108</v>
      </c>
      <c r="J647" t="s">
        <v>90</v>
      </c>
      <c r="K647">
        <v>1.4619897285317383E-3</v>
      </c>
      <c r="L647" t="s">
        <v>84</v>
      </c>
      <c r="N647" t="s">
        <v>124</v>
      </c>
      <c r="O647" t="s">
        <v>90</v>
      </c>
      <c r="P647">
        <v>1.1598945932399846E-2</v>
      </c>
      <c r="Q647" t="s">
        <v>84</v>
      </c>
      <c r="S647" t="s">
        <v>139</v>
      </c>
      <c r="T647" t="s">
        <v>90</v>
      </c>
      <c r="U647">
        <v>1.9994821911606012E-2</v>
      </c>
      <c r="V647" t="s">
        <v>84</v>
      </c>
    </row>
    <row r="648" spans="9:22" x14ac:dyDescent="0.45">
      <c r="I648" t="s">
        <v>108</v>
      </c>
      <c r="J648" t="s">
        <v>91</v>
      </c>
      <c r="K648">
        <v>3.0434031224902125E-2</v>
      </c>
      <c r="L648" t="s">
        <v>84</v>
      </c>
      <c r="N648" t="s">
        <v>124</v>
      </c>
      <c r="O648" t="s">
        <v>91</v>
      </c>
      <c r="P648">
        <v>8.2828625262770933E-3</v>
      </c>
      <c r="Q648" t="s">
        <v>84</v>
      </c>
      <c r="S648" t="s">
        <v>139</v>
      </c>
      <c r="T648" t="s">
        <v>91</v>
      </c>
      <c r="U648">
        <v>1.1048670497596046E-2</v>
      </c>
      <c r="V648" t="s">
        <v>84</v>
      </c>
    </row>
    <row r="649" spans="9:22" x14ac:dyDescent="0.45">
      <c r="I649" t="s">
        <v>108</v>
      </c>
      <c r="J649" t="s">
        <v>92</v>
      </c>
      <c r="K649">
        <v>5.3570824399440137E-2</v>
      </c>
      <c r="L649" t="s">
        <v>84</v>
      </c>
      <c r="N649" t="s">
        <v>124</v>
      </c>
      <c r="O649" t="s">
        <v>92</v>
      </c>
      <c r="P649">
        <v>1.8319406349124181E-2</v>
      </c>
      <c r="Q649" t="s">
        <v>84</v>
      </c>
      <c r="S649" t="s">
        <v>139</v>
      </c>
      <c r="T649" t="s">
        <v>92</v>
      </c>
      <c r="U649">
        <v>1.9583103833294039E-2</v>
      </c>
      <c r="V649" t="s">
        <v>84</v>
      </c>
    </row>
    <row r="650" spans="9:22" x14ac:dyDescent="0.45">
      <c r="I650" t="s">
        <v>108</v>
      </c>
      <c r="J650" t="s">
        <v>183</v>
      </c>
      <c r="K650">
        <v>6.8592331785753942E-3</v>
      </c>
      <c r="L650" t="s">
        <v>84</v>
      </c>
      <c r="N650" t="s">
        <v>124</v>
      </c>
      <c r="O650" t="s">
        <v>183</v>
      </c>
      <c r="P650">
        <v>2.1069584718610311E-3</v>
      </c>
      <c r="Q650" t="s">
        <v>84</v>
      </c>
      <c r="S650" t="s">
        <v>139</v>
      </c>
      <c r="T650" t="s">
        <v>183</v>
      </c>
      <c r="U650">
        <v>3.4447618699712441E-3</v>
      </c>
      <c r="V650" t="s">
        <v>84</v>
      </c>
    </row>
    <row r="651" spans="9:22" x14ac:dyDescent="0.45">
      <c r="I651" t="s">
        <v>108</v>
      </c>
      <c r="J651" t="s">
        <v>184</v>
      </c>
      <c r="K651">
        <v>3.5103487080904959E-3</v>
      </c>
      <c r="L651" t="s">
        <v>84</v>
      </c>
      <c r="N651" t="s">
        <v>124</v>
      </c>
      <c r="O651" t="s">
        <v>184</v>
      </c>
      <c r="P651">
        <v>1.764171141508251E-3</v>
      </c>
      <c r="Q651" t="s">
        <v>84</v>
      </c>
      <c r="S651" t="s">
        <v>139</v>
      </c>
      <c r="T651" t="s">
        <v>184</v>
      </c>
      <c r="U651">
        <v>3.3940939008119588E-3</v>
      </c>
      <c r="V651" t="s">
        <v>84</v>
      </c>
    </row>
    <row r="652" spans="9:22" x14ac:dyDescent="0.45">
      <c r="I652" t="s">
        <v>108</v>
      </c>
      <c r="J652" t="s">
        <v>185</v>
      </c>
      <c r="K652">
        <v>0</v>
      </c>
      <c r="L652" t="s">
        <v>84</v>
      </c>
      <c r="N652" t="s">
        <v>124</v>
      </c>
      <c r="O652" t="s">
        <v>185</v>
      </c>
      <c r="P652">
        <v>6.8421414692288697E-3</v>
      </c>
      <c r="Q652" t="s">
        <v>84</v>
      </c>
      <c r="S652" t="s">
        <v>139</v>
      </c>
      <c r="T652" t="s">
        <v>185</v>
      </c>
      <c r="U652">
        <v>1.5826386824544084E-2</v>
      </c>
      <c r="V652" t="s">
        <v>84</v>
      </c>
    </row>
    <row r="653" spans="9:22" x14ac:dyDescent="0.45">
      <c r="I653" t="s">
        <v>108</v>
      </c>
      <c r="J653" t="s">
        <v>93</v>
      </c>
      <c r="K653">
        <v>0</v>
      </c>
      <c r="L653" t="s">
        <v>84</v>
      </c>
      <c r="N653" t="s">
        <v>124</v>
      </c>
      <c r="O653" t="s">
        <v>93</v>
      </c>
      <c r="P653">
        <v>4.4356652037910602E-2</v>
      </c>
      <c r="Q653" t="s">
        <v>84</v>
      </c>
      <c r="S653" t="s">
        <v>139</v>
      </c>
      <c r="T653" t="s">
        <v>93</v>
      </c>
      <c r="U653">
        <v>5.0491886516312666E-2</v>
      </c>
      <c r="V653" t="s">
        <v>84</v>
      </c>
    </row>
    <row r="654" spans="9:22" x14ac:dyDescent="0.45">
      <c r="I654" t="s">
        <v>108</v>
      </c>
      <c r="J654" t="s">
        <v>94</v>
      </c>
      <c r="K654">
        <v>2.8924237119134055E-2</v>
      </c>
      <c r="L654" t="s">
        <v>84</v>
      </c>
      <c r="N654" t="s">
        <v>124</v>
      </c>
      <c r="O654" t="s">
        <v>94</v>
      </c>
      <c r="P654">
        <v>2.0340725988062299E-2</v>
      </c>
      <c r="Q654" t="s">
        <v>84</v>
      </c>
      <c r="S654" t="s">
        <v>139</v>
      </c>
      <c r="T654" t="s">
        <v>94</v>
      </c>
      <c r="U654">
        <v>2.79471345419301E-2</v>
      </c>
      <c r="V654" t="s">
        <v>84</v>
      </c>
    </row>
    <row r="655" spans="9:22" x14ac:dyDescent="0.45">
      <c r="I655" t="s">
        <v>108</v>
      </c>
      <c r="J655" t="s">
        <v>95</v>
      </c>
      <c r="K655">
        <v>6.000054887558786E-2</v>
      </c>
      <c r="L655" t="s">
        <v>84</v>
      </c>
      <c r="N655" t="s">
        <v>124</v>
      </c>
      <c r="O655" t="s">
        <v>95</v>
      </c>
      <c r="P655">
        <v>3.3815906948483118E-2</v>
      </c>
      <c r="Q655" t="s">
        <v>84</v>
      </c>
      <c r="S655" t="s">
        <v>139</v>
      </c>
      <c r="T655" t="s">
        <v>95</v>
      </c>
      <c r="U655">
        <v>4.2844864978287156E-2</v>
      </c>
      <c r="V655" t="s">
        <v>84</v>
      </c>
    </row>
    <row r="656" spans="9:22" x14ac:dyDescent="0.45">
      <c r="I656" t="s">
        <v>108</v>
      </c>
      <c r="J656" t="s">
        <v>186</v>
      </c>
      <c r="K656">
        <v>3.5180478560695614E-3</v>
      </c>
      <c r="L656" t="s">
        <v>84</v>
      </c>
      <c r="N656" t="s">
        <v>124</v>
      </c>
      <c r="O656" t="s">
        <v>186</v>
      </c>
      <c r="P656">
        <v>5.7829502277545871E-3</v>
      </c>
      <c r="Q656" t="s">
        <v>84</v>
      </c>
      <c r="S656" t="s">
        <v>139</v>
      </c>
      <c r="T656" t="s">
        <v>186</v>
      </c>
      <c r="U656">
        <v>7.4766900643619214E-3</v>
      </c>
      <c r="V656" t="s">
        <v>84</v>
      </c>
    </row>
    <row r="657" spans="9:22" x14ac:dyDescent="0.45">
      <c r="I657" t="s">
        <v>108</v>
      </c>
      <c r="J657" t="s">
        <v>187</v>
      </c>
      <c r="K657">
        <v>0</v>
      </c>
      <c r="L657" t="s">
        <v>84</v>
      </c>
      <c r="N657" t="s">
        <v>124</v>
      </c>
      <c r="O657" t="s">
        <v>187</v>
      </c>
      <c r="P657">
        <v>5.4417490566023227E-3</v>
      </c>
      <c r="Q657" t="s">
        <v>84</v>
      </c>
      <c r="S657" t="s">
        <v>139</v>
      </c>
      <c r="T657" t="s">
        <v>187</v>
      </c>
      <c r="U657">
        <v>7.544162352915224E-3</v>
      </c>
      <c r="V657" t="s">
        <v>84</v>
      </c>
    </row>
    <row r="658" spans="9:22" x14ac:dyDescent="0.45">
      <c r="I658" t="s">
        <v>108</v>
      </c>
      <c r="J658" t="s">
        <v>188</v>
      </c>
      <c r="K658">
        <v>0</v>
      </c>
      <c r="L658" t="s">
        <v>84</v>
      </c>
      <c r="N658" t="s">
        <v>124</v>
      </c>
      <c r="O658" t="s">
        <v>188</v>
      </c>
      <c r="P658">
        <v>2.5078244752899586E-2</v>
      </c>
      <c r="Q658" t="s">
        <v>84</v>
      </c>
      <c r="S658" t="s">
        <v>139</v>
      </c>
      <c r="T658" t="s">
        <v>188</v>
      </c>
      <c r="U658">
        <v>3.6415847309771453E-2</v>
      </c>
      <c r="V658" t="s">
        <v>84</v>
      </c>
    </row>
    <row r="659" spans="9:22" x14ac:dyDescent="0.45">
      <c r="I659" t="s">
        <v>108</v>
      </c>
      <c r="J659" t="s">
        <v>189</v>
      </c>
      <c r="K659">
        <v>0</v>
      </c>
      <c r="L659" t="s">
        <v>84</v>
      </c>
      <c r="N659" t="s">
        <v>124</v>
      </c>
      <c r="O659" t="s">
        <v>189</v>
      </c>
      <c r="P659">
        <v>2.4773677081486617E-2</v>
      </c>
      <c r="Q659" t="s">
        <v>84</v>
      </c>
      <c r="S659" t="s">
        <v>139</v>
      </c>
      <c r="T659" t="s">
        <v>189</v>
      </c>
      <c r="U659">
        <v>2.5421454831915397E-2</v>
      </c>
      <c r="V659" t="s">
        <v>84</v>
      </c>
    </row>
    <row r="660" spans="9:22" x14ac:dyDescent="0.45">
      <c r="I660" t="s">
        <v>108</v>
      </c>
      <c r="J660" t="s">
        <v>190</v>
      </c>
      <c r="K660">
        <v>8.4780324640729501E-3</v>
      </c>
      <c r="L660" t="s">
        <v>84</v>
      </c>
      <c r="N660" t="s">
        <v>124</v>
      </c>
      <c r="O660" t="s">
        <v>190</v>
      </c>
      <c r="P660">
        <v>1.2796249944196611E-2</v>
      </c>
      <c r="Q660" t="s">
        <v>84</v>
      </c>
      <c r="S660" t="s">
        <v>139</v>
      </c>
      <c r="T660" t="s">
        <v>190</v>
      </c>
      <c r="U660">
        <v>1.4336406212466514E-2</v>
      </c>
      <c r="V660" t="s">
        <v>84</v>
      </c>
    </row>
    <row r="661" spans="9:22" x14ac:dyDescent="0.45">
      <c r="I661" t="s">
        <v>108</v>
      </c>
      <c r="J661" t="s">
        <v>191</v>
      </c>
      <c r="K661">
        <v>1.9470632344799354E-2</v>
      </c>
      <c r="L661" t="s">
        <v>84</v>
      </c>
      <c r="N661" t="s">
        <v>124</v>
      </c>
      <c r="O661" t="s">
        <v>191</v>
      </c>
      <c r="P661">
        <v>2.4262424167650558E-2</v>
      </c>
      <c r="Q661" t="s">
        <v>84</v>
      </c>
      <c r="S661" t="s">
        <v>139</v>
      </c>
      <c r="T661" t="s">
        <v>191</v>
      </c>
      <c r="U661">
        <v>2.1041391300447663E-2</v>
      </c>
      <c r="V661" t="s">
        <v>84</v>
      </c>
    </row>
    <row r="662" spans="9:22" x14ac:dyDescent="0.45">
      <c r="I662" t="s">
        <v>108</v>
      </c>
      <c r="J662" t="s">
        <v>192</v>
      </c>
      <c r="K662">
        <v>0</v>
      </c>
      <c r="L662" t="s">
        <v>84</v>
      </c>
      <c r="N662" t="s">
        <v>124</v>
      </c>
      <c r="O662" t="s">
        <v>192</v>
      </c>
      <c r="P662">
        <v>4.4558877720098566E-3</v>
      </c>
      <c r="Q662" t="s">
        <v>84</v>
      </c>
      <c r="S662" t="s">
        <v>139</v>
      </c>
      <c r="T662" t="s">
        <v>192</v>
      </c>
      <c r="U662">
        <v>3.4888047626839237E-3</v>
      </c>
      <c r="V662" t="s">
        <v>84</v>
      </c>
    </row>
    <row r="663" spans="9:22" x14ac:dyDescent="0.45">
      <c r="I663" t="s">
        <v>108</v>
      </c>
      <c r="J663" t="s">
        <v>193</v>
      </c>
      <c r="K663">
        <v>0</v>
      </c>
      <c r="L663" t="s">
        <v>84</v>
      </c>
      <c r="N663" t="s">
        <v>124</v>
      </c>
      <c r="O663" t="s">
        <v>193</v>
      </c>
      <c r="P663">
        <v>4.4812595989914463E-3</v>
      </c>
      <c r="Q663" t="s">
        <v>84</v>
      </c>
      <c r="S663" t="s">
        <v>139</v>
      </c>
      <c r="T663" t="s">
        <v>193</v>
      </c>
      <c r="U663">
        <v>3.5055799787997877E-3</v>
      </c>
      <c r="V663" t="s">
        <v>84</v>
      </c>
    </row>
    <row r="664" spans="9:22" x14ac:dyDescent="0.45">
      <c r="I664" t="s">
        <v>108</v>
      </c>
      <c r="J664" t="s">
        <v>194</v>
      </c>
      <c r="K664">
        <v>0</v>
      </c>
      <c r="L664" t="s">
        <v>84</v>
      </c>
      <c r="N664" t="s">
        <v>124</v>
      </c>
      <c r="O664" t="s">
        <v>194</v>
      </c>
      <c r="P664">
        <v>1.9821097378717178E-2</v>
      </c>
      <c r="Q664" t="s">
        <v>84</v>
      </c>
      <c r="S664" t="s">
        <v>139</v>
      </c>
      <c r="T664" t="s">
        <v>194</v>
      </c>
      <c r="U664">
        <v>1.7598034964049613E-2</v>
      </c>
      <c r="V664" t="s">
        <v>84</v>
      </c>
    </row>
    <row r="665" spans="9:22" x14ac:dyDescent="0.45">
      <c r="I665" t="s">
        <v>108</v>
      </c>
      <c r="J665" t="s">
        <v>195</v>
      </c>
      <c r="K665">
        <v>6.624241165516146E-4</v>
      </c>
      <c r="L665" t="s">
        <v>84</v>
      </c>
      <c r="N665" t="s">
        <v>124</v>
      </c>
      <c r="O665" t="s">
        <v>195</v>
      </c>
      <c r="P665">
        <v>7.7765129152561105E-2</v>
      </c>
      <c r="Q665" t="s">
        <v>84</v>
      </c>
      <c r="S665" t="s">
        <v>139</v>
      </c>
      <c r="T665" t="s">
        <v>195</v>
      </c>
      <c r="U665">
        <v>7.0992122690983553E-2</v>
      </c>
      <c r="V665" t="s">
        <v>84</v>
      </c>
    </row>
    <row r="666" spans="9:22" x14ac:dyDescent="0.45">
      <c r="I666" t="s">
        <v>108</v>
      </c>
      <c r="J666" t="s">
        <v>196</v>
      </c>
      <c r="K666">
        <v>4.7750787502385067E-2</v>
      </c>
      <c r="L666" t="s">
        <v>84</v>
      </c>
      <c r="N666" t="s">
        <v>124</v>
      </c>
      <c r="O666" t="s">
        <v>196</v>
      </c>
      <c r="P666">
        <v>3.8887723008755898E-2</v>
      </c>
      <c r="Q666" t="s">
        <v>84</v>
      </c>
      <c r="S666" t="s">
        <v>139</v>
      </c>
      <c r="T666" t="s">
        <v>196</v>
      </c>
      <c r="U666">
        <v>4.0061163927580676E-2</v>
      </c>
      <c r="V666" t="s">
        <v>84</v>
      </c>
    </row>
    <row r="667" spans="9:22" x14ac:dyDescent="0.45">
      <c r="I667" t="s">
        <v>108</v>
      </c>
      <c r="J667" t="s">
        <v>197</v>
      </c>
      <c r="K667">
        <v>9.9973587729481617E-2</v>
      </c>
      <c r="L667" t="s">
        <v>84</v>
      </c>
      <c r="N667" t="s">
        <v>124</v>
      </c>
      <c r="O667" t="s">
        <v>197</v>
      </c>
      <c r="P667">
        <v>7.8703181074602849E-2</v>
      </c>
      <c r="Q667" t="s">
        <v>84</v>
      </c>
      <c r="S667" t="s">
        <v>139</v>
      </c>
      <c r="T667" t="s">
        <v>197</v>
      </c>
      <c r="U667">
        <v>6.3016381617968603E-2</v>
      </c>
      <c r="V667" t="s">
        <v>84</v>
      </c>
    </row>
    <row r="668" spans="9:22" x14ac:dyDescent="0.45">
      <c r="I668" t="s">
        <v>108</v>
      </c>
      <c r="J668" t="s">
        <v>198</v>
      </c>
      <c r="K668">
        <v>7.3712706264163269E-3</v>
      </c>
      <c r="L668" t="s">
        <v>84</v>
      </c>
      <c r="N668" t="s">
        <v>124</v>
      </c>
      <c r="O668" t="s">
        <v>198</v>
      </c>
      <c r="P668">
        <v>1.1871887200903913E-2</v>
      </c>
      <c r="Q668" t="s">
        <v>84</v>
      </c>
      <c r="S668" t="s">
        <v>139</v>
      </c>
      <c r="T668" t="s">
        <v>198</v>
      </c>
      <c r="U668">
        <v>1.0549542744023341E-2</v>
      </c>
      <c r="V668" t="s">
        <v>84</v>
      </c>
    </row>
    <row r="669" spans="9:22" x14ac:dyDescent="0.45">
      <c r="I669" t="s">
        <v>108</v>
      </c>
      <c r="J669" t="s">
        <v>199</v>
      </c>
      <c r="K669">
        <v>0</v>
      </c>
      <c r="L669" t="s">
        <v>84</v>
      </c>
      <c r="N669" t="s">
        <v>124</v>
      </c>
      <c r="O669" t="s">
        <v>199</v>
      </c>
      <c r="P669">
        <v>1.075096764641667E-2</v>
      </c>
      <c r="Q669" t="s">
        <v>84</v>
      </c>
      <c r="S669" t="s">
        <v>139</v>
      </c>
      <c r="T669" t="s">
        <v>199</v>
      </c>
      <c r="U669">
        <v>1.0462410233181604E-2</v>
      </c>
      <c r="V669" t="s">
        <v>84</v>
      </c>
    </row>
    <row r="670" spans="9:22" x14ac:dyDescent="0.45">
      <c r="I670" t="s">
        <v>108</v>
      </c>
      <c r="J670" t="s">
        <v>200</v>
      </c>
      <c r="K670">
        <v>0</v>
      </c>
      <c r="L670" t="s">
        <v>84</v>
      </c>
      <c r="N670" t="s">
        <v>124</v>
      </c>
      <c r="O670" t="s">
        <v>200</v>
      </c>
      <c r="P670">
        <v>5.4143473130265005E-2</v>
      </c>
      <c r="Q670" t="s">
        <v>84</v>
      </c>
      <c r="S670" t="s">
        <v>139</v>
      </c>
      <c r="T670" t="s">
        <v>200</v>
      </c>
      <c r="U670">
        <v>5.1141287288163202E-2</v>
      </c>
      <c r="V670" t="s">
        <v>84</v>
      </c>
    </row>
    <row r="671" spans="9:22" x14ac:dyDescent="0.45">
      <c r="I671" t="s">
        <v>108</v>
      </c>
      <c r="J671" t="s">
        <v>201</v>
      </c>
      <c r="K671">
        <v>3.7805990652306025E-3</v>
      </c>
      <c r="L671" t="s">
        <v>84</v>
      </c>
      <c r="N671" t="s">
        <v>124</v>
      </c>
      <c r="O671" t="s">
        <v>201</v>
      </c>
      <c r="P671">
        <v>3.4865440743709418E-2</v>
      </c>
      <c r="Q671" t="s">
        <v>84</v>
      </c>
      <c r="S671" t="s">
        <v>139</v>
      </c>
      <c r="T671" t="s">
        <v>201</v>
      </c>
      <c r="U671">
        <v>3.0030360407989592E-2</v>
      </c>
      <c r="V671" t="s">
        <v>84</v>
      </c>
    </row>
    <row r="672" spans="9:22" x14ac:dyDescent="0.45">
      <c r="I672" t="s">
        <v>108</v>
      </c>
      <c r="J672" t="s">
        <v>202</v>
      </c>
      <c r="K672">
        <v>2.9294532773603995E-2</v>
      </c>
      <c r="L672" t="s">
        <v>84</v>
      </c>
      <c r="N672" t="s">
        <v>124</v>
      </c>
      <c r="O672" t="s">
        <v>202</v>
      </c>
      <c r="P672">
        <v>2.2366144649463897E-2</v>
      </c>
      <c r="Q672" t="s">
        <v>84</v>
      </c>
      <c r="S672" t="s">
        <v>139</v>
      </c>
      <c r="T672" t="s">
        <v>202</v>
      </c>
      <c r="U672">
        <v>1.7104142370135533E-2</v>
      </c>
      <c r="V672" t="s">
        <v>84</v>
      </c>
    </row>
    <row r="673" spans="9:22" x14ac:dyDescent="0.45">
      <c r="I673" t="s">
        <v>108</v>
      </c>
      <c r="J673" t="s">
        <v>203</v>
      </c>
      <c r="K673">
        <v>5.2241919962164624E-2</v>
      </c>
      <c r="L673" t="s">
        <v>84</v>
      </c>
      <c r="N673" t="s">
        <v>124</v>
      </c>
      <c r="O673" t="s">
        <v>203</v>
      </c>
      <c r="P673">
        <v>5.0771960089677486E-2</v>
      </c>
      <c r="Q673" t="s">
        <v>84</v>
      </c>
      <c r="S673" t="s">
        <v>139</v>
      </c>
      <c r="T673" t="s">
        <v>203</v>
      </c>
      <c r="U673">
        <v>2.5604832877953218E-2</v>
      </c>
      <c r="V673" t="s">
        <v>84</v>
      </c>
    </row>
    <row r="674" spans="9:22" x14ac:dyDescent="0.45">
      <c r="I674" t="s">
        <v>108</v>
      </c>
      <c r="J674" t="s">
        <v>204</v>
      </c>
      <c r="K674">
        <v>5.5943604774878718E-3</v>
      </c>
      <c r="L674" t="s">
        <v>84</v>
      </c>
      <c r="N674" t="s">
        <v>124</v>
      </c>
      <c r="O674" t="s">
        <v>204</v>
      </c>
      <c r="P674">
        <v>7.0999345981317043E-3</v>
      </c>
      <c r="Q674" t="s">
        <v>84</v>
      </c>
      <c r="S674" t="s">
        <v>139</v>
      </c>
      <c r="T674" t="s">
        <v>204</v>
      </c>
      <c r="U674">
        <v>4.1043811889370186E-3</v>
      </c>
      <c r="V674" t="s">
        <v>84</v>
      </c>
    </row>
    <row r="675" spans="9:22" x14ac:dyDescent="0.45">
      <c r="I675" t="s">
        <v>108</v>
      </c>
      <c r="J675" t="s">
        <v>205</v>
      </c>
      <c r="K675">
        <v>3.0123789268459741E-3</v>
      </c>
      <c r="L675" t="s">
        <v>84</v>
      </c>
      <c r="N675" t="s">
        <v>124</v>
      </c>
      <c r="O675" t="s">
        <v>205</v>
      </c>
      <c r="P675">
        <v>6.4077309297815811E-3</v>
      </c>
      <c r="Q675" t="s">
        <v>84</v>
      </c>
      <c r="S675" t="s">
        <v>139</v>
      </c>
      <c r="T675" t="s">
        <v>205</v>
      </c>
      <c r="U675">
        <v>4.0001504258168636E-3</v>
      </c>
      <c r="V675" t="s">
        <v>84</v>
      </c>
    </row>
    <row r="676" spans="9:22" x14ac:dyDescent="0.45">
      <c r="I676" t="s">
        <v>108</v>
      </c>
      <c r="J676" t="s">
        <v>206</v>
      </c>
      <c r="K676">
        <v>0</v>
      </c>
      <c r="L676" t="s">
        <v>84</v>
      </c>
      <c r="N676" t="s">
        <v>124</v>
      </c>
      <c r="O676" t="s">
        <v>206</v>
      </c>
      <c r="P676">
        <v>2.5224830631769449E-2</v>
      </c>
      <c r="Q676" t="s">
        <v>84</v>
      </c>
      <c r="S676" t="s">
        <v>139</v>
      </c>
      <c r="T676" t="s">
        <v>206</v>
      </c>
      <c r="U676">
        <v>1.9641040448424841E-2</v>
      </c>
      <c r="V676" t="s">
        <v>84</v>
      </c>
    </row>
    <row r="677" spans="9:22" x14ac:dyDescent="0.45">
      <c r="I677" t="s">
        <v>108</v>
      </c>
      <c r="J677" t="s">
        <v>207</v>
      </c>
      <c r="K677">
        <v>1.9668344742704812E-2</v>
      </c>
      <c r="L677" t="s">
        <v>84</v>
      </c>
      <c r="N677" t="s">
        <v>124</v>
      </c>
      <c r="O677" t="s">
        <v>207</v>
      </c>
      <c r="P677">
        <v>3.0183045257418613E-2</v>
      </c>
      <c r="Q677" t="s">
        <v>84</v>
      </c>
      <c r="S677" t="s">
        <v>139</v>
      </c>
      <c r="T677" t="s">
        <v>207</v>
      </c>
      <c r="U677">
        <v>4.4795528367682191E-2</v>
      </c>
      <c r="V677" t="s">
        <v>84</v>
      </c>
    </row>
    <row r="678" spans="9:22" x14ac:dyDescent="0.45">
      <c r="I678" t="s">
        <v>108</v>
      </c>
      <c r="J678" t="s">
        <v>208</v>
      </c>
      <c r="K678">
        <v>7.9856619077721888E-2</v>
      </c>
      <c r="L678" t="s">
        <v>84</v>
      </c>
      <c r="N678" t="s">
        <v>124</v>
      </c>
      <c r="O678" t="s">
        <v>208</v>
      </c>
      <c r="P678">
        <v>2.135009313213437E-2</v>
      </c>
      <c r="Q678" t="s">
        <v>84</v>
      </c>
      <c r="S678" t="s">
        <v>139</v>
      </c>
      <c r="T678" t="s">
        <v>208</v>
      </c>
      <c r="U678">
        <v>2.58591200459862E-2</v>
      </c>
      <c r="V678" t="s">
        <v>84</v>
      </c>
    </row>
    <row r="679" spans="9:22" x14ac:dyDescent="0.45">
      <c r="I679" t="s">
        <v>108</v>
      </c>
      <c r="J679" t="s">
        <v>209</v>
      </c>
      <c r="K679">
        <v>0.12862001426787459</v>
      </c>
      <c r="L679" t="s">
        <v>84</v>
      </c>
      <c r="N679" t="s">
        <v>124</v>
      </c>
      <c r="O679" t="s">
        <v>209</v>
      </c>
      <c r="P679">
        <v>4.8778025191433413E-2</v>
      </c>
      <c r="Q679" t="s">
        <v>84</v>
      </c>
      <c r="S679" t="s">
        <v>139</v>
      </c>
      <c r="T679" t="s">
        <v>209</v>
      </c>
      <c r="U679">
        <v>3.8526079442153985E-2</v>
      </c>
      <c r="V679" t="s">
        <v>84</v>
      </c>
    </row>
    <row r="680" spans="9:22" x14ac:dyDescent="0.45">
      <c r="I680" t="s">
        <v>108</v>
      </c>
      <c r="J680" t="s">
        <v>210</v>
      </c>
      <c r="K680">
        <v>1.5466572472763432E-2</v>
      </c>
      <c r="L680" t="s">
        <v>84</v>
      </c>
      <c r="N680" t="s">
        <v>124</v>
      </c>
      <c r="O680" t="s">
        <v>210</v>
      </c>
      <c r="P680">
        <v>7.0099708925841289E-3</v>
      </c>
      <c r="Q680" t="s">
        <v>84</v>
      </c>
      <c r="S680" t="s">
        <v>139</v>
      </c>
      <c r="T680" t="s">
        <v>210</v>
      </c>
      <c r="U680">
        <v>6.4233158406594298E-3</v>
      </c>
      <c r="V680" t="s">
        <v>84</v>
      </c>
    </row>
    <row r="681" spans="9:22" x14ac:dyDescent="0.45">
      <c r="I681" t="s">
        <v>108</v>
      </c>
      <c r="J681" t="s">
        <v>211</v>
      </c>
      <c r="K681">
        <v>1.1585168148437068E-2</v>
      </c>
      <c r="L681" t="s">
        <v>84</v>
      </c>
      <c r="N681" t="s">
        <v>124</v>
      </c>
      <c r="O681" t="s">
        <v>211</v>
      </c>
      <c r="P681">
        <v>6.2608958217227097E-3</v>
      </c>
      <c r="Q681" t="s">
        <v>84</v>
      </c>
      <c r="S681" t="s">
        <v>139</v>
      </c>
      <c r="T681" t="s">
        <v>211</v>
      </c>
      <c r="U681">
        <v>6.3877909448065368E-3</v>
      </c>
      <c r="V681" t="s">
        <v>84</v>
      </c>
    </row>
    <row r="682" spans="9:22" x14ac:dyDescent="0.45">
      <c r="I682" t="s">
        <v>108</v>
      </c>
      <c r="J682" t="s">
        <v>212</v>
      </c>
      <c r="K682">
        <v>3.9575274721653604E-3</v>
      </c>
      <c r="L682" t="s">
        <v>84</v>
      </c>
      <c r="N682" t="s">
        <v>124</v>
      </c>
      <c r="O682" t="s">
        <v>212</v>
      </c>
      <c r="P682">
        <v>2.5818342984832949E-2</v>
      </c>
      <c r="Q682" t="s">
        <v>84</v>
      </c>
      <c r="S682" t="s">
        <v>139</v>
      </c>
      <c r="T682" t="s">
        <v>212</v>
      </c>
      <c r="U682">
        <v>3.1362736048274151E-2</v>
      </c>
      <c r="V682" t="s">
        <v>84</v>
      </c>
    </row>
    <row r="683" spans="9:22" x14ac:dyDescent="0.45">
      <c r="I683" t="s">
        <v>109</v>
      </c>
      <c r="J683" t="s">
        <v>83</v>
      </c>
      <c r="K683">
        <v>6.4804943132863143E-3</v>
      </c>
      <c r="L683" t="s">
        <v>84</v>
      </c>
      <c r="N683" t="s">
        <v>125</v>
      </c>
      <c r="O683" t="s">
        <v>83</v>
      </c>
      <c r="P683">
        <v>2.7668691795904723E-2</v>
      </c>
      <c r="Q683" t="s">
        <v>84</v>
      </c>
      <c r="S683" t="s">
        <v>140</v>
      </c>
      <c r="T683" t="s">
        <v>83</v>
      </c>
      <c r="U683">
        <v>2.6394632723858773E-2</v>
      </c>
      <c r="V683" t="s">
        <v>84</v>
      </c>
    </row>
    <row r="684" spans="9:22" x14ac:dyDescent="0.45">
      <c r="I684" t="s">
        <v>109</v>
      </c>
      <c r="J684" t="s">
        <v>85</v>
      </c>
      <c r="K684">
        <v>4.0058575649439418E-2</v>
      </c>
      <c r="L684" t="s">
        <v>84</v>
      </c>
      <c r="N684" t="s">
        <v>125</v>
      </c>
      <c r="O684" t="s">
        <v>85</v>
      </c>
      <c r="P684">
        <v>1.7978264972615982E-2</v>
      </c>
      <c r="Q684" t="s">
        <v>84</v>
      </c>
      <c r="S684" t="s">
        <v>140</v>
      </c>
      <c r="T684" t="s">
        <v>85</v>
      </c>
      <c r="U684">
        <v>1.4733934385751763E-2</v>
      </c>
      <c r="V684" t="s">
        <v>84</v>
      </c>
    </row>
    <row r="685" spans="9:22" x14ac:dyDescent="0.45">
      <c r="I685" t="s">
        <v>109</v>
      </c>
      <c r="J685" t="s">
        <v>86</v>
      </c>
      <c r="K685">
        <v>7.3579785674152534E-2</v>
      </c>
      <c r="L685" t="s">
        <v>84</v>
      </c>
      <c r="N685" t="s">
        <v>125</v>
      </c>
      <c r="O685" t="s">
        <v>86</v>
      </c>
      <c r="P685">
        <v>3.8937232824128178E-2</v>
      </c>
      <c r="Q685" t="s">
        <v>84</v>
      </c>
      <c r="S685" t="s">
        <v>140</v>
      </c>
      <c r="T685" t="s">
        <v>86</v>
      </c>
      <c r="U685">
        <v>2.2172066205958345E-2</v>
      </c>
      <c r="V685" t="s">
        <v>84</v>
      </c>
    </row>
    <row r="686" spans="9:22" x14ac:dyDescent="0.45">
      <c r="I686" t="s">
        <v>109</v>
      </c>
      <c r="J686" t="s">
        <v>177</v>
      </c>
      <c r="K686">
        <v>1.0289303259231143E-2</v>
      </c>
      <c r="L686" t="s">
        <v>84</v>
      </c>
      <c r="N686" t="s">
        <v>125</v>
      </c>
      <c r="O686" t="s">
        <v>177</v>
      </c>
      <c r="P686">
        <v>5.9258829572101423E-3</v>
      </c>
      <c r="Q686" t="s">
        <v>84</v>
      </c>
      <c r="S686" t="s">
        <v>140</v>
      </c>
      <c r="T686" t="s">
        <v>177</v>
      </c>
      <c r="U686">
        <v>3.6481706473961584E-3</v>
      </c>
      <c r="V686" t="s">
        <v>84</v>
      </c>
    </row>
    <row r="687" spans="9:22" x14ac:dyDescent="0.45">
      <c r="I687" t="s">
        <v>109</v>
      </c>
      <c r="J687" t="s">
        <v>178</v>
      </c>
      <c r="K687">
        <v>8.6009385681431114E-3</v>
      </c>
      <c r="L687" t="s">
        <v>84</v>
      </c>
      <c r="N687" t="s">
        <v>125</v>
      </c>
      <c r="O687" t="s">
        <v>178</v>
      </c>
      <c r="P687">
        <v>5.2769975255166643E-3</v>
      </c>
      <c r="Q687" t="s">
        <v>84</v>
      </c>
      <c r="S687" t="s">
        <v>140</v>
      </c>
      <c r="T687" t="s">
        <v>178</v>
      </c>
      <c r="U687">
        <v>3.6030711146931055E-3</v>
      </c>
      <c r="V687" t="s">
        <v>84</v>
      </c>
    </row>
    <row r="688" spans="9:22" x14ac:dyDescent="0.45">
      <c r="I688" t="s">
        <v>109</v>
      </c>
      <c r="J688" t="s">
        <v>179</v>
      </c>
      <c r="K688">
        <v>5.6079484782675226E-3</v>
      </c>
      <c r="L688" t="s">
        <v>84</v>
      </c>
      <c r="N688" t="s">
        <v>125</v>
      </c>
      <c r="O688" t="s">
        <v>179</v>
      </c>
      <c r="P688">
        <v>1.9441252636168447E-2</v>
      </c>
      <c r="Q688" t="s">
        <v>84</v>
      </c>
      <c r="S688" t="s">
        <v>140</v>
      </c>
      <c r="T688" t="s">
        <v>179</v>
      </c>
      <c r="U688">
        <v>1.7781540464478593E-2</v>
      </c>
      <c r="V688" t="s">
        <v>84</v>
      </c>
    </row>
    <row r="689" spans="9:22" x14ac:dyDescent="0.45">
      <c r="I689" t="s">
        <v>109</v>
      </c>
      <c r="J689" t="s">
        <v>87</v>
      </c>
      <c r="K689">
        <v>4.8029504940799708E-3</v>
      </c>
      <c r="L689" t="s">
        <v>84</v>
      </c>
      <c r="N689" t="s">
        <v>125</v>
      </c>
      <c r="O689" t="s">
        <v>87</v>
      </c>
      <c r="P689">
        <v>9.6490747620266541E-3</v>
      </c>
      <c r="Q689" t="s">
        <v>84</v>
      </c>
      <c r="S689" t="s">
        <v>140</v>
      </c>
      <c r="T689" t="s">
        <v>87</v>
      </c>
      <c r="U689">
        <v>2.3004507480100175E-2</v>
      </c>
      <c r="V689" t="s">
        <v>84</v>
      </c>
    </row>
    <row r="690" spans="9:22" x14ac:dyDescent="0.45">
      <c r="I690" t="s">
        <v>109</v>
      </c>
      <c r="J690" t="s">
        <v>88</v>
      </c>
      <c r="K690">
        <v>3.9207349110897058E-2</v>
      </c>
      <c r="L690" t="s">
        <v>84</v>
      </c>
      <c r="N690" t="s">
        <v>125</v>
      </c>
      <c r="O690" t="s">
        <v>88</v>
      </c>
      <c r="P690">
        <v>5.5071113630654383E-3</v>
      </c>
      <c r="Q690" t="s">
        <v>84</v>
      </c>
      <c r="S690" t="s">
        <v>140</v>
      </c>
      <c r="T690" t="s">
        <v>88</v>
      </c>
      <c r="U690">
        <v>1.2807916322584774E-2</v>
      </c>
      <c r="V690" t="s">
        <v>84</v>
      </c>
    </row>
    <row r="691" spans="9:22" x14ac:dyDescent="0.45">
      <c r="I691" t="s">
        <v>109</v>
      </c>
      <c r="J691" t="s">
        <v>89</v>
      </c>
      <c r="K691">
        <v>6.6919098242915351E-2</v>
      </c>
      <c r="L691" t="s">
        <v>84</v>
      </c>
      <c r="N691" t="s">
        <v>125</v>
      </c>
      <c r="O691" t="s">
        <v>89</v>
      </c>
      <c r="P691">
        <v>1.4132430639370183E-2</v>
      </c>
      <c r="Q691" t="s">
        <v>84</v>
      </c>
      <c r="S691" t="s">
        <v>140</v>
      </c>
      <c r="T691" t="s">
        <v>89</v>
      </c>
      <c r="U691">
        <v>2.039562309359574E-2</v>
      </c>
      <c r="V691" t="s">
        <v>84</v>
      </c>
    </row>
    <row r="692" spans="9:22" x14ac:dyDescent="0.45">
      <c r="I692" t="s">
        <v>109</v>
      </c>
      <c r="J692" t="s">
        <v>180</v>
      </c>
      <c r="K692">
        <v>9.4067952679785429E-3</v>
      </c>
      <c r="L692" t="s">
        <v>84</v>
      </c>
      <c r="N692" t="s">
        <v>125</v>
      </c>
      <c r="O692" t="s">
        <v>180</v>
      </c>
      <c r="P692">
        <v>2.4108505660984589E-3</v>
      </c>
      <c r="Q692" t="s">
        <v>84</v>
      </c>
      <c r="S692" t="s">
        <v>140</v>
      </c>
      <c r="T692" t="s">
        <v>180</v>
      </c>
      <c r="U692">
        <v>3.4760003706426376E-3</v>
      </c>
      <c r="V692" t="s">
        <v>84</v>
      </c>
    </row>
    <row r="693" spans="9:22" x14ac:dyDescent="0.45">
      <c r="I693" t="s">
        <v>109</v>
      </c>
      <c r="J693" t="s">
        <v>181</v>
      </c>
      <c r="K693">
        <v>8.1676007960314548E-3</v>
      </c>
      <c r="L693" t="s">
        <v>84</v>
      </c>
      <c r="N693" t="s">
        <v>125</v>
      </c>
      <c r="O693" t="s">
        <v>181</v>
      </c>
      <c r="P693">
        <v>2.1719033433450332E-3</v>
      </c>
      <c r="Q693" t="s">
        <v>84</v>
      </c>
      <c r="S693" t="s">
        <v>140</v>
      </c>
      <c r="T693" t="s">
        <v>181</v>
      </c>
      <c r="U693">
        <v>3.4538346211941589E-3</v>
      </c>
      <c r="V693" t="s">
        <v>84</v>
      </c>
    </row>
    <row r="694" spans="9:22" x14ac:dyDescent="0.45">
      <c r="I694" t="s">
        <v>109</v>
      </c>
      <c r="J694" t="s">
        <v>182</v>
      </c>
      <c r="K694">
        <v>4.1092772446790892E-3</v>
      </c>
      <c r="L694" t="s">
        <v>84</v>
      </c>
      <c r="N694" t="s">
        <v>125</v>
      </c>
      <c r="O694" t="s">
        <v>182</v>
      </c>
      <c r="P694">
        <v>7.8921904814285467E-3</v>
      </c>
      <c r="Q694" t="s">
        <v>84</v>
      </c>
      <c r="S694" t="s">
        <v>140</v>
      </c>
      <c r="T694" t="s">
        <v>182</v>
      </c>
      <c r="U694">
        <v>1.6729887262114308E-2</v>
      </c>
      <c r="V694" t="s">
        <v>84</v>
      </c>
    </row>
    <row r="695" spans="9:22" x14ac:dyDescent="0.45">
      <c r="I695" t="s">
        <v>109</v>
      </c>
      <c r="J695" t="s">
        <v>90</v>
      </c>
      <c r="K695">
        <v>1.4619111061697998E-4</v>
      </c>
      <c r="L695" t="s">
        <v>84</v>
      </c>
      <c r="N695" t="s">
        <v>125</v>
      </c>
      <c r="O695" t="s">
        <v>90</v>
      </c>
      <c r="P695">
        <v>9.0180909127396281E-3</v>
      </c>
      <c r="Q695" t="s">
        <v>84</v>
      </c>
      <c r="S695" t="s">
        <v>140</v>
      </c>
      <c r="T695" t="s">
        <v>90</v>
      </c>
      <c r="U695">
        <v>1.9860478983530175E-2</v>
      </c>
      <c r="V695" t="s">
        <v>84</v>
      </c>
    </row>
    <row r="696" spans="9:22" x14ac:dyDescent="0.45">
      <c r="I696" t="s">
        <v>109</v>
      </c>
      <c r="J696" t="s">
        <v>91</v>
      </c>
      <c r="K696">
        <v>2.667485381696531E-2</v>
      </c>
      <c r="L696" t="s">
        <v>84</v>
      </c>
      <c r="N696" t="s">
        <v>125</v>
      </c>
      <c r="O696" t="s">
        <v>91</v>
      </c>
      <c r="P696">
        <v>7.3154980903954326E-3</v>
      </c>
      <c r="Q696" t="s">
        <v>84</v>
      </c>
      <c r="S696" t="s">
        <v>140</v>
      </c>
      <c r="T696" t="s">
        <v>91</v>
      </c>
      <c r="U696">
        <v>1.1803186568235032E-2</v>
      </c>
      <c r="V696" t="s">
        <v>84</v>
      </c>
    </row>
    <row r="697" spans="9:22" x14ac:dyDescent="0.45">
      <c r="I697" t="s">
        <v>109</v>
      </c>
      <c r="J697" t="s">
        <v>92</v>
      </c>
      <c r="K697">
        <v>5.1253332218843005E-2</v>
      </c>
      <c r="L697" t="s">
        <v>84</v>
      </c>
      <c r="N697" t="s">
        <v>125</v>
      </c>
      <c r="O697" t="s">
        <v>92</v>
      </c>
      <c r="P697">
        <v>1.6768209181046437E-2</v>
      </c>
      <c r="Q697" t="s">
        <v>84</v>
      </c>
      <c r="S697" t="s">
        <v>140</v>
      </c>
      <c r="T697" t="s">
        <v>92</v>
      </c>
      <c r="U697">
        <v>1.9485279214457293E-2</v>
      </c>
      <c r="V697" t="s">
        <v>84</v>
      </c>
    </row>
    <row r="698" spans="9:22" x14ac:dyDescent="0.45">
      <c r="I698" t="s">
        <v>109</v>
      </c>
      <c r="J698" t="s">
        <v>183</v>
      </c>
      <c r="K698">
        <v>6.3098007401626265E-3</v>
      </c>
      <c r="L698" t="s">
        <v>84</v>
      </c>
      <c r="N698" t="s">
        <v>125</v>
      </c>
      <c r="O698" t="s">
        <v>183</v>
      </c>
      <c r="P698">
        <v>2.0833136400649748E-3</v>
      </c>
      <c r="Q698" t="s">
        <v>84</v>
      </c>
      <c r="S698" t="s">
        <v>140</v>
      </c>
      <c r="T698" t="s">
        <v>183</v>
      </c>
      <c r="U698">
        <v>3.2589041935357508E-3</v>
      </c>
      <c r="V698" t="s">
        <v>84</v>
      </c>
    </row>
    <row r="699" spans="9:22" x14ac:dyDescent="0.45">
      <c r="I699" t="s">
        <v>109</v>
      </c>
      <c r="J699" t="s">
        <v>184</v>
      </c>
      <c r="K699">
        <v>4.0345837979169968E-3</v>
      </c>
      <c r="L699" t="s">
        <v>84</v>
      </c>
      <c r="N699" t="s">
        <v>125</v>
      </c>
      <c r="O699" t="s">
        <v>184</v>
      </c>
      <c r="P699">
        <v>1.6954496256347542E-3</v>
      </c>
      <c r="Q699" t="s">
        <v>84</v>
      </c>
      <c r="S699" t="s">
        <v>140</v>
      </c>
      <c r="T699" t="s">
        <v>184</v>
      </c>
      <c r="U699">
        <v>3.2084702485644738E-3</v>
      </c>
      <c r="V699" t="s">
        <v>84</v>
      </c>
    </row>
    <row r="700" spans="9:22" x14ac:dyDescent="0.45">
      <c r="I700" t="s">
        <v>109</v>
      </c>
      <c r="J700" t="s">
        <v>185</v>
      </c>
      <c r="K700">
        <v>0</v>
      </c>
      <c r="L700" t="s">
        <v>84</v>
      </c>
      <c r="N700" t="s">
        <v>125</v>
      </c>
      <c r="O700" t="s">
        <v>185</v>
      </c>
      <c r="P700">
        <v>5.1070034793149633E-3</v>
      </c>
      <c r="Q700" t="s">
        <v>84</v>
      </c>
      <c r="S700" t="s">
        <v>140</v>
      </c>
      <c r="T700" t="s">
        <v>185</v>
      </c>
      <c r="U700">
        <v>1.4868573809334389E-2</v>
      </c>
      <c r="V700" t="s">
        <v>84</v>
      </c>
    </row>
    <row r="701" spans="9:22" x14ac:dyDescent="0.45">
      <c r="I701" t="s">
        <v>109</v>
      </c>
      <c r="J701" t="s">
        <v>93</v>
      </c>
      <c r="K701">
        <v>0</v>
      </c>
      <c r="L701" t="s">
        <v>84</v>
      </c>
      <c r="N701" t="s">
        <v>125</v>
      </c>
      <c r="O701" t="s">
        <v>93</v>
      </c>
      <c r="P701">
        <v>3.7866747749738194E-2</v>
      </c>
      <c r="Q701" t="s">
        <v>84</v>
      </c>
      <c r="S701" t="s">
        <v>140</v>
      </c>
      <c r="T701" t="s">
        <v>93</v>
      </c>
      <c r="U701">
        <v>4.9652108277665849E-2</v>
      </c>
      <c r="V701" t="s">
        <v>84</v>
      </c>
    </row>
    <row r="702" spans="9:22" x14ac:dyDescent="0.45">
      <c r="I702" t="s">
        <v>109</v>
      </c>
      <c r="J702" t="s">
        <v>94</v>
      </c>
      <c r="K702">
        <v>2.715347293091849E-2</v>
      </c>
      <c r="L702" t="s">
        <v>84</v>
      </c>
      <c r="N702" t="s">
        <v>125</v>
      </c>
      <c r="O702" t="s">
        <v>94</v>
      </c>
      <c r="P702">
        <v>2.0214366801352975E-2</v>
      </c>
      <c r="Q702" t="s">
        <v>84</v>
      </c>
      <c r="S702" t="s">
        <v>140</v>
      </c>
      <c r="T702" t="s">
        <v>94</v>
      </c>
      <c r="U702">
        <v>2.748295998658104E-2</v>
      </c>
      <c r="V702" t="s">
        <v>84</v>
      </c>
    </row>
    <row r="703" spans="9:22" x14ac:dyDescent="0.45">
      <c r="I703" t="s">
        <v>109</v>
      </c>
      <c r="J703" t="s">
        <v>95</v>
      </c>
      <c r="K703">
        <v>5.9717619972053874E-2</v>
      </c>
      <c r="L703" t="s">
        <v>84</v>
      </c>
      <c r="N703" t="s">
        <v>125</v>
      </c>
      <c r="O703" t="s">
        <v>95</v>
      </c>
      <c r="P703">
        <v>3.7474258702978783E-2</v>
      </c>
      <c r="Q703" t="s">
        <v>84</v>
      </c>
      <c r="S703" t="s">
        <v>140</v>
      </c>
      <c r="T703" t="s">
        <v>95</v>
      </c>
      <c r="U703">
        <v>4.1763211432098143E-2</v>
      </c>
      <c r="V703" t="s">
        <v>84</v>
      </c>
    </row>
    <row r="704" spans="9:22" x14ac:dyDescent="0.45">
      <c r="I704" t="s">
        <v>109</v>
      </c>
      <c r="J704" t="s">
        <v>186</v>
      </c>
      <c r="K704">
        <v>4.4102043178563645E-3</v>
      </c>
      <c r="L704" t="s">
        <v>84</v>
      </c>
      <c r="N704" t="s">
        <v>125</v>
      </c>
      <c r="O704" t="s">
        <v>186</v>
      </c>
      <c r="P704">
        <v>6.1745714610533893E-3</v>
      </c>
      <c r="Q704" t="s">
        <v>84</v>
      </c>
      <c r="S704" t="s">
        <v>140</v>
      </c>
      <c r="T704" t="s">
        <v>186</v>
      </c>
      <c r="U704">
        <v>7.061961337650133E-3</v>
      </c>
      <c r="V704" t="s">
        <v>84</v>
      </c>
    </row>
    <row r="705" spans="9:22" x14ac:dyDescent="0.45">
      <c r="I705" t="s">
        <v>109</v>
      </c>
      <c r="J705" t="s">
        <v>187</v>
      </c>
      <c r="K705">
        <v>0</v>
      </c>
      <c r="L705" t="s">
        <v>84</v>
      </c>
      <c r="N705" t="s">
        <v>125</v>
      </c>
      <c r="O705" t="s">
        <v>187</v>
      </c>
      <c r="P705">
        <v>6.1147336470159432E-3</v>
      </c>
      <c r="Q705" t="s">
        <v>84</v>
      </c>
      <c r="S705" t="s">
        <v>140</v>
      </c>
      <c r="T705" t="s">
        <v>187</v>
      </c>
      <c r="U705">
        <v>7.0672524763113467E-3</v>
      </c>
      <c r="V705" t="s">
        <v>84</v>
      </c>
    </row>
    <row r="706" spans="9:22" x14ac:dyDescent="0.45">
      <c r="I706" t="s">
        <v>109</v>
      </c>
      <c r="J706" t="s">
        <v>188</v>
      </c>
      <c r="K706">
        <v>0</v>
      </c>
      <c r="L706" t="s">
        <v>84</v>
      </c>
      <c r="N706" t="s">
        <v>125</v>
      </c>
      <c r="O706" t="s">
        <v>188</v>
      </c>
      <c r="P706">
        <v>2.7382192396604794E-2</v>
      </c>
      <c r="Q706" t="s">
        <v>84</v>
      </c>
      <c r="S706" t="s">
        <v>140</v>
      </c>
      <c r="T706" t="s">
        <v>188</v>
      </c>
      <c r="U706">
        <v>3.4829133228465543E-2</v>
      </c>
      <c r="V706" t="s">
        <v>84</v>
      </c>
    </row>
    <row r="707" spans="9:22" x14ac:dyDescent="0.45">
      <c r="I707" t="s">
        <v>109</v>
      </c>
      <c r="J707" t="s">
        <v>189</v>
      </c>
      <c r="K707">
        <v>0</v>
      </c>
      <c r="L707" t="s">
        <v>84</v>
      </c>
      <c r="N707" t="s">
        <v>125</v>
      </c>
      <c r="O707" t="s">
        <v>189</v>
      </c>
      <c r="P707">
        <v>1.9566584485678516E-2</v>
      </c>
      <c r="Q707" t="s">
        <v>84</v>
      </c>
      <c r="S707" t="s">
        <v>140</v>
      </c>
      <c r="T707" t="s">
        <v>189</v>
      </c>
      <c r="U707">
        <v>2.2939933051683264E-2</v>
      </c>
      <c r="V707" t="s">
        <v>84</v>
      </c>
    </row>
    <row r="708" spans="9:22" x14ac:dyDescent="0.45">
      <c r="I708" t="s">
        <v>109</v>
      </c>
      <c r="J708" t="s">
        <v>190</v>
      </c>
      <c r="K708">
        <v>7.3575715268832838E-3</v>
      </c>
      <c r="L708" t="s">
        <v>84</v>
      </c>
      <c r="N708" t="s">
        <v>125</v>
      </c>
      <c r="O708" t="s">
        <v>190</v>
      </c>
      <c r="P708">
        <v>9.5915544996636407E-3</v>
      </c>
      <c r="Q708" t="s">
        <v>84</v>
      </c>
      <c r="S708" t="s">
        <v>140</v>
      </c>
      <c r="T708" t="s">
        <v>190</v>
      </c>
      <c r="U708">
        <v>1.3454504545124472E-2</v>
      </c>
      <c r="V708" t="s">
        <v>84</v>
      </c>
    </row>
    <row r="709" spans="9:22" x14ac:dyDescent="0.45">
      <c r="I709" t="s">
        <v>109</v>
      </c>
      <c r="J709" t="s">
        <v>191</v>
      </c>
      <c r="K709">
        <v>1.8646107846336926E-2</v>
      </c>
      <c r="L709" t="s">
        <v>84</v>
      </c>
      <c r="N709" t="s">
        <v>125</v>
      </c>
      <c r="O709" t="s">
        <v>191</v>
      </c>
      <c r="P709">
        <v>1.8461226946433627E-2</v>
      </c>
      <c r="Q709" t="s">
        <v>84</v>
      </c>
      <c r="S709" t="s">
        <v>140</v>
      </c>
      <c r="T709" t="s">
        <v>191</v>
      </c>
      <c r="U709">
        <v>2.0595512232079123E-2</v>
      </c>
      <c r="V709" t="s">
        <v>84</v>
      </c>
    </row>
    <row r="710" spans="9:22" x14ac:dyDescent="0.45">
      <c r="I710" t="s">
        <v>109</v>
      </c>
      <c r="J710" t="s">
        <v>192</v>
      </c>
      <c r="K710">
        <v>0</v>
      </c>
      <c r="L710" t="s">
        <v>84</v>
      </c>
      <c r="N710" t="s">
        <v>125</v>
      </c>
      <c r="O710" t="s">
        <v>192</v>
      </c>
      <c r="P710">
        <v>3.562856652647477E-3</v>
      </c>
      <c r="Q710" t="s">
        <v>84</v>
      </c>
      <c r="S710" t="s">
        <v>140</v>
      </c>
      <c r="T710" t="s">
        <v>192</v>
      </c>
      <c r="U710">
        <v>3.4306825574770368E-3</v>
      </c>
      <c r="V710" t="s">
        <v>84</v>
      </c>
    </row>
    <row r="711" spans="9:22" x14ac:dyDescent="0.45">
      <c r="I711" t="s">
        <v>109</v>
      </c>
      <c r="J711" t="s">
        <v>193</v>
      </c>
      <c r="K711">
        <v>0</v>
      </c>
      <c r="L711" t="s">
        <v>84</v>
      </c>
      <c r="N711" t="s">
        <v>125</v>
      </c>
      <c r="O711" t="s">
        <v>193</v>
      </c>
      <c r="P711">
        <v>3.6069548487003768E-3</v>
      </c>
      <c r="Q711" t="s">
        <v>84</v>
      </c>
      <c r="S711" t="s">
        <v>140</v>
      </c>
      <c r="T711" t="s">
        <v>193</v>
      </c>
      <c r="U711">
        <v>3.4232964571158397E-3</v>
      </c>
      <c r="V711" t="s">
        <v>84</v>
      </c>
    </row>
    <row r="712" spans="9:22" x14ac:dyDescent="0.45">
      <c r="I712" t="s">
        <v>109</v>
      </c>
      <c r="J712" t="s">
        <v>194</v>
      </c>
      <c r="K712">
        <v>0</v>
      </c>
      <c r="L712" t="s">
        <v>84</v>
      </c>
      <c r="N712" t="s">
        <v>125</v>
      </c>
      <c r="O712" t="s">
        <v>194</v>
      </c>
      <c r="P712">
        <v>1.7443412655984009E-2</v>
      </c>
      <c r="Q712" t="s">
        <v>84</v>
      </c>
      <c r="S712" t="s">
        <v>140</v>
      </c>
      <c r="T712" t="s">
        <v>194</v>
      </c>
      <c r="U712">
        <v>1.6784342995629538E-2</v>
      </c>
      <c r="V712" t="s">
        <v>84</v>
      </c>
    </row>
    <row r="713" spans="9:22" x14ac:dyDescent="0.45">
      <c r="I713" t="s">
        <v>109</v>
      </c>
      <c r="J713" t="s">
        <v>195</v>
      </c>
      <c r="K713">
        <v>2.0788978413507632E-4</v>
      </c>
      <c r="L713" t="s">
        <v>84</v>
      </c>
      <c r="N713" t="s">
        <v>125</v>
      </c>
      <c r="O713" t="s">
        <v>195</v>
      </c>
      <c r="P713">
        <v>7.9291429695622723E-2</v>
      </c>
      <c r="Q713" t="s">
        <v>84</v>
      </c>
      <c r="S713" t="s">
        <v>140</v>
      </c>
      <c r="T713" t="s">
        <v>195</v>
      </c>
      <c r="U713">
        <v>7.5903178081017916E-2</v>
      </c>
      <c r="V713" t="s">
        <v>84</v>
      </c>
    </row>
    <row r="714" spans="9:22" x14ac:dyDescent="0.45">
      <c r="I714" t="s">
        <v>109</v>
      </c>
      <c r="J714" t="s">
        <v>196</v>
      </c>
      <c r="K714">
        <v>4.6227692719839585E-2</v>
      </c>
      <c r="L714" t="s">
        <v>84</v>
      </c>
      <c r="N714" t="s">
        <v>125</v>
      </c>
      <c r="O714" t="s">
        <v>196</v>
      </c>
      <c r="P714">
        <v>4.2521325933070439E-2</v>
      </c>
      <c r="Q714" t="s">
        <v>84</v>
      </c>
      <c r="S714" t="s">
        <v>140</v>
      </c>
      <c r="T714" t="s">
        <v>196</v>
      </c>
      <c r="U714">
        <v>4.2262620475374851E-2</v>
      </c>
      <c r="V714" t="s">
        <v>84</v>
      </c>
    </row>
    <row r="715" spans="9:22" x14ac:dyDescent="0.45">
      <c r="I715" t="s">
        <v>109</v>
      </c>
      <c r="J715" t="s">
        <v>197</v>
      </c>
      <c r="K715">
        <v>0.10032524647841683</v>
      </c>
      <c r="L715" t="s">
        <v>84</v>
      </c>
      <c r="N715" t="s">
        <v>125</v>
      </c>
      <c r="O715" t="s">
        <v>197</v>
      </c>
      <c r="P715">
        <v>8.8201433945088573E-2</v>
      </c>
      <c r="Q715" t="s">
        <v>84</v>
      </c>
      <c r="S715" t="s">
        <v>140</v>
      </c>
      <c r="T715" t="s">
        <v>197</v>
      </c>
      <c r="U715">
        <v>6.3925473988822826E-2</v>
      </c>
      <c r="V715" t="s">
        <v>84</v>
      </c>
    </row>
    <row r="716" spans="9:22" x14ac:dyDescent="0.45">
      <c r="I716" t="s">
        <v>109</v>
      </c>
      <c r="J716" t="s">
        <v>198</v>
      </c>
      <c r="K716">
        <v>8.430882964640618E-3</v>
      </c>
      <c r="L716" t="s">
        <v>84</v>
      </c>
      <c r="N716" t="s">
        <v>125</v>
      </c>
      <c r="O716" t="s">
        <v>198</v>
      </c>
      <c r="P716">
        <v>1.4129549064022627E-2</v>
      </c>
      <c r="Q716" t="s">
        <v>84</v>
      </c>
      <c r="S716" t="s">
        <v>140</v>
      </c>
      <c r="T716" t="s">
        <v>198</v>
      </c>
      <c r="U716">
        <v>1.0558673029891155E-2</v>
      </c>
      <c r="V716" t="s">
        <v>84</v>
      </c>
    </row>
    <row r="717" spans="9:22" x14ac:dyDescent="0.45">
      <c r="I717" t="s">
        <v>109</v>
      </c>
      <c r="J717" t="s">
        <v>199</v>
      </c>
      <c r="K717">
        <v>1.0663499935002088E-3</v>
      </c>
      <c r="L717" t="s">
        <v>84</v>
      </c>
      <c r="N717" t="s">
        <v>125</v>
      </c>
      <c r="O717" t="s">
        <v>199</v>
      </c>
      <c r="P717">
        <v>1.3221892755380738E-2</v>
      </c>
      <c r="Q717" t="s">
        <v>84</v>
      </c>
      <c r="S717" t="s">
        <v>140</v>
      </c>
      <c r="T717" t="s">
        <v>199</v>
      </c>
      <c r="U717">
        <v>1.0519126648928036E-2</v>
      </c>
      <c r="V717" t="s">
        <v>84</v>
      </c>
    </row>
    <row r="718" spans="9:22" x14ac:dyDescent="0.45">
      <c r="I718" t="s">
        <v>109</v>
      </c>
      <c r="J718" t="s">
        <v>200</v>
      </c>
      <c r="K718">
        <v>0</v>
      </c>
      <c r="L718" t="s">
        <v>84</v>
      </c>
      <c r="N718" t="s">
        <v>125</v>
      </c>
      <c r="O718" t="s">
        <v>200</v>
      </c>
      <c r="P718">
        <v>5.9343709022926537E-2</v>
      </c>
      <c r="Q718" t="s">
        <v>84</v>
      </c>
      <c r="S718" t="s">
        <v>140</v>
      </c>
      <c r="T718" t="s">
        <v>200</v>
      </c>
      <c r="U718">
        <v>5.2693166585641889E-2</v>
      </c>
      <c r="V718" t="s">
        <v>84</v>
      </c>
    </row>
    <row r="719" spans="9:22" x14ac:dyDescent="0.45">
      <c r="I719" t="s">
        <v>109</v>
      </c>
      <c r="J719" t="s">
        <v>201</v>
      </c>
      <c r="K719">
        <v>2.7933404987983759E-3</v>
      </c>
      <c r="L719" t="s">
        <v>84</v>
      </c>
      <c r="N719" t="s">
        <v>125</v>
      </c>
      <c r="O719" t="s">
        <v>201</v>
      </c>
      <c r="P719">
        <v>3.7953039678333751E-2</v>
      </c>
      <c r="Q719" t="s">
        <v>84</v>
      </c>
      <c r="S719" t="s">
        <v>140</v>
      </c>
      <c r="T719" t="s">
        <v>201</v>
      </c>
      <c r="U719">
        <v>3.016743426856739E-2</v>
      </c>
      <c r="V719" t="s">
        <v>84</v>
      </c>
    </row>
    <row r="720" spans="9:22" x14ac:dyDescent="0.45">
      <c r="I720" t="s">
        <v>109</v>
      </c>
      <c r="J720" t="s">
        <v>202</v>
      </c>
      <c r="K720">
        <v>2.691086339741219E-2</v>
      </c>
      <c r="L720" t="s">
        <v>84</v>
      </c>
      <c r="N720" t="s">
        <v>125</v>
      </c>
      <c r="O720" t="s">
        <v>202</v>
      </c>
      <c r="P720">
        <v>2.2159494960901423E-2</v>
      </c>
      <c r="Q720" t="s">
        <v>84</v>
      </c>
      <c r="S720" t="s">
        <v>140</v>
      </c>
      <c r="T720" t="s">
        <v>202</v>
      </c>
      <c r="U720">
        <v>1.6840940872470504E-2</v>
      </c>
      <c r="V720" t="s">
        <v>84</v>
      </c>
    </row>
    <row r="721" spans="9:22" x14ac:dyDescent="0.45">
      <c r="I721" t="s">
        <v>109</v>
      </c>
      <c r="J721" t="s">
        <v>203</v>
      </c>
      <c r="K721">
        <v>5.2733831023632147E-2</v>
      </c>
      <c r="L721" t="s">
        <v>84</v>
      </c>
      <c r="N721" t="s">
        <v>125</v>
      </c>
      <c r="O721" t="s">
        <v>203</v>
      </c>
      <c r="P721">
        <v>4.6507655420957285E-2</v>
      </c>
      <c r="Q721" t="s">
        <v>84</v>
      </c>
      <c r="S721" t="s">
        <v>140</v>
      </c>
      <c r="T721" t="s">
        <v>203</v>
      </c>
      <c r="U721">
        <v>2.4543737737156124E-2</v>
      </c>
      <c r="V721" t="s">
        <v>84</v>
      </c>
    </row>
    <row r="722" spans="9:22" x14ac:dyDescent="0.45">
      <c r="I722" t="s">
        <v>109</v>
      </c>
      <c r="J722" t="s">
        <v>204</v>
      </c>
      <c r="K722">
        <v>5.66209130245499E-3</v>
      </c>
      <c r="L722" t="s">
        <v>84</v>
      </c>
      <c r="N722" t="s">
        <v>125</v>
      </c>
      <c r="O722" t="s">
        <v>204</v>
      </c>
      <c r="P722">
        <v>7.1073222339101162E-3</v>
      </c>
      <c r="Q722" t="s">
        <v>84</v>
      </c>
      <c r="S722" t="s">
        <v>140</v>
      </c>
      <c r="T722" t="s">
        <v>204</v>
      </c>
      <c r="U722">
        <v>3.9365162441579137E-3</v>
      </c>
      <c r="V722" t="s">
        <v>84</v>
      </c>
    </row>
    <row r="723" spans="9:22" x14ac:dyDescent="0.45">
      <c r="I723" t="s">
        <v>109</v>
      </c>
      <c r="J723" t="s">
        <v>205</v>
      </c>
      <c r="K723">
        <v>3.7676301819042548E-3</v>
      </c>
      <c r="L723" t="s">
        <v>84</v>
      </c>
      <c r="N723" t="s">
        <v>125</v>
      </c>
      <c r="O723" t="s">
        <v>205</v>
      </c>
      <c r="P723">
        <v>6.554789574602057E-3</v>
      </c>
      <c r="Q723" t="s">
        <v>84</v>
      </c>
      <c r="S723" t="s">
        <v>140</v>
      </c>
      <c r="T723" t="s">
        <v>205</v>
      </c>
      <c r="U723">
        <v>3.9002803021686398E-3</v>
      </c>
      <c r="V723" t="s">
        <v>84</v>
      </c>
    </row>
    <row r="724" spans="9:22" x14ac:dyDescent="0.45">
      <c r="I724" t="s">
        <v>109</v>
      </c>
      <c r="J724" t="s">
        <v>206</v>
      </c>
      <c r="K724">
        <v>0</v>
      </c>
      <c r="L724" t="s">
        <v>84</v>
      </c>
      <c r="N724" t="s">
        <v>125</v>
      </c>
      <c r="O724" t="s">
        <v>206</v>
      </c>
      <c r="P724">
        <v>2.9154091579073112E-2</v>
      </c>
      <c r="Q724" t="s">
        <v>84</v>
      </c>
      <c r="S724" t="s">
        <v>140</v>
      </c>
      <c r="T724" t="s">
        <v>206</v>
      </c>
      <c r="U724">
        <v>1.9643212263927349E-2</v>
      </c>
      <c r="V724" t="s">
        <v>84</v>
      </c>
    </row>
    <row r="725" spans="9:22" x14ac:dyDescent="0.45">
      <c r="I725" t="s">
        <v>109</v>
      </c>
      <c r="J725" t="s">
        <v>207</v>
      </c>
      <c r="K725">
        <v>1.8188394800587114E-2</v>
      </c>
      <c r="L725" t="s">
        <v>84</v>
      </c>
      <c r="N725" t="s">
        <v>125</v>
      </c>
      <c r="O725" t="s">
        <v>207</v>
      </c>
      <c r="P725">
        <v>3.3770963527989438E-2</v>
      </c>
      <c r="Q725" t="s">
        <v>84</v>
      </c>
      <c r="S725" t="s">
        <v>140</v>
      </c>
      <c r="T725" t="s">
        <v>207</v>
      </c>
      <c r="U725">
        <v>4.5487047697644403E-2</v>
      </c>
      <c r="V725" t="s">
        <v>84</v>
      </c>
    </row>
    <row r="726" spans="9:22" x14ac:dyDescent="0.45">
      <c r="I726" t="s">
        <v>109</v>
      </c>
      <c r="J726" t="s">
        <v>208</v>
      </c>
      <c r="K726">
        <v>8.063882828813497E-2</v>
      </c>
      <c r="L726" t="s">
        <v>84</v>
      </c>
      <c r="N726" t="s">
        <v>125</v>
      </c>
      <c r="O726" t="s">
        <v>208</v>
      </c>
      <c r="P726">
        <v>2.1217054835214091E-2</v>
      </c>
      <c r="Q726" t="s">
        <v>84</v>
      </c>
      <c r="S726" t="s">
        <v>140</v>
      </c>
      <c r="T726" t="s">
        <v>208</v>
      </c>
      <c r="U726">
        <v>2.6322411082306475E-2</v>
      </c>
      <c r="V726" t="s">
        <v>84</v>
      </c>
    </row>
    <row r="727" spans="9:22" x14ac:dyDescent="0.45">
      <c r="I727" t="s">
        <v>109</v>
      </c>
      <c r="J727" t="s">
        <v>209</v>
      </c>
      <c r="K727">
        <v>0.13042007628764443</v>
      </c>
      <c r="L727" t="s">
        <v>84</v>
      </c>
      <c r="N727" t="s">
        <v>125</v>
      </c>
      <c r="O727" t="s">
        <v>209</v>
      </c>
      <c r="P727">
        <v>5.2486495713267314E-2</v>
      </c>
      <c r="Q727" t="s">
        <v>84</v>
      </c>
      <c r="S727" t="s">
        <v>140</v>
      </c>
      <c r="T727" t="s">
        <v>209</v>
      </c>
      <c r="U727">
        <v>3.9439196780727631E-2</v>
      </c>
      <c r="V727" t="s">
        <v>84</v>
      </c>
    </row>
    <row r="728" spans="9:22" x14ac:dyDescent="0.45">
      <c r="I728" t="s">
        <v>109</v>
      </c>
      <c r="J728" t="s">
        <v>210</v>
      </c>
      <c r="K728">
        <v>1.7217069633659321E-2</v>
      </c>
      <c r="L728" t="s">
        <v>84</v>
      </c>
      <c r="N728" t="s">
        <v>125</v>
      </c>
      <c r="O728" t="s">
        <v>210</v>
      </c>
      <c r="P728">
        <v>7.3169986701222449E-3</v>
      </c>
      <c r="Q728" t="s">
        <v>84</v>
      </c>
      <c r="S728" t="s">
        <v>140</v>
      </c>
      <c r="T728" t="s">
        <v>210</v>
      </c>
      <c r="U728">
        <v>6.4344311402215497E-3</v>
      </c>
      <c r="V728" t="s">
        <v>84</v>
      </c>
    </row>
    <row r="729" spans="9:22" x14ac:dyDescent="0.45">
      <c r="I729" t="s">
        <v>109</v>
      </c>
      <c r="J729" t="s">
        <v>211</v>
      </c>
      <c r="K729">
        <v>1.4347854539440447E-2</v>
      </c>
      <c r="L729" t="s">
        <v>84</v>
      </c>
      <c r="N729" t="s">
        <v>125</v>
      </c>
      <c r="O729" t="s">
        <v>211</v>
      </c>
      <c r="P729">
        <v>6.5090673470589869E-3</v>
      </c>
      <c r="Q729" t="s">
        <v>84</v>
      </c>
      <c r="S729" t="s">
        <v>140</v>
      </c>
      <c r="T729" t="s">
        <v>211</v>
      </c>
      <c r="U729">
        <v>6.4222117161802355E-3</v>
      </c>
      <c r="V729" t="s">
        <v>84</v>
      </c>
    </row>
    <row r="730" spans="9:22" x14ac:dyDescent="0.45">
      <c r="I730" t="s">
        <v>109</v>
      </c>
      <c r="J730" t="s">
        <v>212</v>
      </c>
      <c r="K730">
        <v>8.1281027281435974E-3</v>
      </c>
      <c r="L730" t="s">
        <v>84</v>
      </c>
      <c r="N730" t="s">
        <v>125</v>
      </c>
      <c r="O730" t="s">
        <v>212</v>
      </c>
      <c r="P730">
        <v>2.6114776398533754E-2</v>
      </c>
      <c r="Q730" t="s">
        <v>84</v>
      </c>
      <c r="S730" t="s">
        <v>140</v>
      </c>
      <c r="T730" t="s">
        <v>212</v>
      </c>
      <c r="U730">
        <v>3.1829364796889609E-2</v>
      </c>
      <c r="V730" t="s">
        <v>84</v>
      </c>
    </row>
    <row r="731" spans="9:22" x14ac:dyDescent="0.45">
      <c r="I731" t="s">
        <v>110</v>
      </c>
      <c r="J731" t="s">
        <v>83</v>
      </c>
      <c r="K731">
        <v>6.4276849916241781E-3</v>
      </c>
      <c r="L731" t="s">
        <v>84</v>
      </c>
      <c r="S731" t="s">
        <v>141</v>
      </c>
      <c r="T731" t="s">
        <v>83</v>
      </c>
      <c r="U731">
        <v>2.2049689091509818E-2</v>
      </c>
      <c r="V731" t="s">
        <v>84</v>
      </c>
    </row>
    <row r="732" spans="9:22" x14ac:dyDescent="0.45">
      <c r="I732" t="s">
        <v>110</v>
      </c>
      <c r="J732" t="s">
        <v>85</v>
      </c>
      <c r="K732">
        <v>4.147887466624936E-2</v>
      </c>
      <c r="L732" t="s">
        <v>84</v>
      </c>
      <c r="S732" t="s">
        <v>141</v>
      </c>
      <c r="T732" t="s">
        <v>85</v>
      </c>
      <c r="U732">
        <v>1.3465027565648487E-2</v>
      </c>
      <c r="V732" t="s">
        <v>84</v>
      </c>
    </row>
    <row r="733" spans="9:22" x14ac:dyDescent="0.45">
      <c r="I733" t="s">
        <v>110</v>
      </c>
      <c r="J733" t="s">
        <v>86</v>
      </c>
      <c r="K733">
        <v>7.3884318110877589E-2</v>
      </c>
      <c r="L733" t="s">
        <v>84</v>
      </c>
      <c r="S733" t="s">
        <v>141</v>
      </c>
      <c r="T733" t="s">
        <v>86</v>
      </c>
      <c r="U733">
        <v>2.1464901821234228E-2</v>
      </c>
      <c r="V733" t="s">
        <v>84</v>
      </c>
    </row>
    <row r="734" spans="9:22" x14ac:dyDescent="0.45">
      <c r="I734" t="s">
        <v>110</v>
      </c>
      <c r="J734" t="s">
        <v>177</v>
      </c>
      <c r="K734">
        <v>1.0292166859735026E-2</v>
      </c>
      <c r="L734" t="s">
        <v>84</v>
      </c>
      <c r="S734" t="s">
        <v>141</v>
      </c>
      <c r="T734" t="s">
        <v>177</v>
      </c>
      <c r="U734">
        <v>3.49962770572795E-3</v>
      </c>
      <c r="V734" t="s">
        <v>84</v>
      </c>
    </row>
    <row r="735" spans="9:22" x14ac:dyDescent="0.45">
      <c r="I735" t="s">
        <v>110</v>
      </c>
      <c r="J735" t="s">
        <v>178</v>
      </c>
      <c r="K735">
        <v>8.5753385944452101E-3</v>
      </c>
      <c r="L735" t="s">
        <v>84</v>
      </c>
      <c r="S735" t="s">
        <v>141</v>
      </c>
      <c r="T735" t="s">
        <v>178</v>
      </c>
      <c r="U735">
        <v>3.4043622270621601E-3</v>
      </c>
      <c r="V735" t="s">
        <v>84</v>
      </c>
    </row>
    <row r="736" spans="9:22" x14ac:dyDescent="0.45">
      <c r="I736" t="s">
        <v>110</v>
      </c>
      <c r="J736" t="s">
        <v>179</v>
      </c>
      <c r="K736">
        <v>5.4685334404785133E-3</v>
      </c>
      <c r="L736" t="s">
        <v>84</v>
      </c>
      <c r="S736" t="s">
        <v>141</v>
      </c>
      <c r="T736" t="s">
        <v>179</v>
      </c>
      <c r="U736">
        <v>1.6000686821206735E-2</v>
      </c>
      <c r="V736" t="s">
        <v>84</v>
      </c>
    </row>
    <row r="737" spans="9:22" x14ac:dyDescent="0.45">
      <c r="I737" t="s">
        <v>110</v>
      </c>
      <c r="J737" t="s">
        <v>87</v>
      </c>
      <c r="K737">
        <v>4.8944185708726818E-3</v>
      </c>
      <c r="L737" t="s">
        <v>84</v>
      </c>
      <c r="S737" t="s">
        <v>141</v>
      </c>
      <c r="T737" t="s">
        <v>87</v>
      </c>
      <c r="U737">
        <v>2.2091178955590703E-2</v>
      </c>
      <c r="V737" t="s">
        <v>84</v>
      </c>
    </row>
    <row r="738" spans="9:22" x14ac:dyDescent="0.45">
      <c r="I738" t="s">
        <v>110</v>
      </c>
      <c r="J738" t="s">
        <v>88</v>
      </c>
      <c r="K738">
        <v>3.8973991528178473E-2</v>
      </c>
      <c r="L738" t="s">
        <v>84</v>
      </c>
      <c r="S738" t="s">
        <v>141</v>
      </c>
      <c r="T738" t="s">
        <v>88</v>
      </c>
      <c r="U738">
        <v>1.212921387077708E-2</v>
      </c>
      <c r="V738" t="s">
        <v>84</v>
      </c>
    </row>
    <row r="739" spans="9:22" x14ac:dyDescent="0.45">
      <c r="I739" t="s">
        <v>110</v>
      </c>
      <c r="J739" t="s">
        <v>89</v>
      </c>
      <c r="K739">
        <v>6.8155612913894659E-2</v>
      </c>
      <c r="L739" t="s">
        <v>84</v>
      </c>
      <c r="S739" t="s">
        <v>141</v>
      </c>
      <c r="T739" t="s">
        <v>89</v>
      </c>
      <c r="U739">
        <v>1.7780200925356638E-2</v>
      </c>
      <c r="V739" t="s">
        <v>84</v>
      </c>
    </row>
    <row r="740" spans="9:22" x14ac:dyDescent="0.45">
      <c r="I740" t="s">
        <v>110</v>
      </c>
      <c r="J740" t="s">
        <v>180</v>
      </c>
      <c r="K740">
        <v>9.1916298850652535E-3</v>
      </c>
      <c r="L740" t="s">
        <v>84</v>
      </c>
      <c r="S740" t="s">
        <v>141</v>
      </c>
      <c r="T740" t="s">
        <v>180</v>
      </c>
      <c r="U740">
        <v>3.0470461902388827E-3</v>
      </c>
      <c r="V740" t="s">
        <v>84</v>
      </c>
    </row>
    <row r="741" spans="9:22" x14ac:dyDescent="0.45">
      <c r="I741" t="s">
        <v>110</v>
      </c>
      <c r="J741" t="s">
        <v>181</v>
      </c>
      <c r="K741">
        <v>6.8737889462894752E-3</v>
      </c>
      <c r="L741" t="s">
        <v>84</v>
      </c>
      <c r="S741" t="s">
        <v>141</v>
      </c>
      <c r="T741" t="s">
        <v>181</v>
      </c>
      <c r="U741">
        <v>3.0495440925229229E-3</v>
      </c>
      <c r="V741" t="s">
        <v>84</v>
      </c>
    </row>
    <row r="742" spans="9:22" x14ac:dyDescent="0.45">
      <c r="I742" t="s">
        <v>110</v>
      </c>
      <c r="J742" t="s">
        <v>182</v>
      </c>
      <c r="K742">
        <v>2.5892200982822744E-3</v>
      </c>
      <c r="L742" t="s">
        <v>84</v>
      </c>
      <c r="S742" t="s">
        <v>141</v>
      </c>
      <c r="T742" t="s">
        <v>182</v>
      </c>
      <c r="U742">
        <v>1.5079569226618265E-2</v>
      </c>
      <c r="V742" t="s">
        <v>84</v>
      </c>
    </row>
    <row r="743" spans="9:22" x14ac:dyDescent="0.45">
      <c r="I743" t="s">
        <v>110</v>
      </c>
      <c r="J743" t="s">
        <v>90</v>
      </c>
      <c r="K743">
        <v>6.1671144346517011E-4</v>
      </c>
      <c r="L743" t="s">
        <v>84</v>
      </c>
      <c r="S743" t="s">
        <v>141</v>
      </c>
      <c r="T743" t="s">
        <v>90</v>
      </c>
      <c r="U743">
        <v>2.3653500972136931E-2</v>
      </c>
      <c r="V743" t="s">
        <v>84</v>
      </c>
    </row>
    <row r="744" spans="9:22" x14ac:dyDescent="0.45">
      <c r="I744" t="s">
        <v>110</v>
      </c>
      <c r="J744" t="s">
        <v>91</v>
      </c>
      <c r="K744">
        <v>2.6859068210673961E-2</v>
      </c>
      <c r="L744" t="s">
        <v>84</v>
      </c>
      <c r="S744" t="s">
        <v>141</v>
      </c>
      <c r="T744" t="s">
        <v>91</v>
      </c>
      <c r="U744">
        <v>1.2926675942886687E-2</v>
      </c>
      <c r="V744" t="s">
        <v>84</v>
      </c>
    </row>
    <row r="745" spans="9:22" x14ac:dyDescent="0.45">
      <c r="I745" t="s">
        <v>110</v>
      </c>
      <c r="J745" t="s">
        <v>92</v>
      </c>
      <c r="K745">
        <v>5.4637079238228227E-2</v>
      </c>
      <c r="L745" t="s">
        <v>84</v>
      </c>
      <c r="S745" t="s">
        <v>141</v>
      </c>
      <c r="T745" t="s">
        <v>92</v>
      </c>
      <c r="U745">
        <v>1.84738408064598E-2</v>
      </c>
      <c r="V745" t="s">
        <v>84</v>
      </c>
    </row>
    <row r="746" spans="9:22" x14ac:dyDescent="0.45">
      <c r="I746" t="s">
        <v>110</v>
      </c>
      <c r="J746" t="s">
        <v>183</v>
      </c>
      <c r="K746">
        <v>6.2275086777079909E-3</v>
      </c>
      <c r="L746" t="s">
        <v>84</v>
      </c>
      <c r="S746" t="s">
        <v>141</v>
      </c>
      <c r="T746" t="s">
        <v>183</v>
      </c>
      <c r="U746">
        <v>3.081843965751944E-3</v>
      </c>
      <c r="V746" t="s">
        <v>84</v>
      </c>
    </row>
    <row r="747" spans="9:22" x14ac:dyDescent="0.45">
      <c r="I747" t="s">
        <v>110</v>
      </c>
      <c r="J747" t="s">
        <v>184</v>
      </c>
      <c r="K747">
        <v>3.2984677016671712E-3</v>
      </c>
      <c r="L747" t="s">
        <v>84</v>
      </c>
      <c r="S747" t="s">
        <v>141</v>
      </c>
      <c r="T747" t="s">
        <v>184</v>
      </c>
      <c r="U747">
        <v>3.0905123684617968E-3</v>
      </c>
      <c r="V747" t="s">
        <v>84</v>
      </c>
    </row>
    <row r="748" spans="9:22" x14ac:dyDescent="0.45">
      <c r="I748" t="s">
        <v>110</v>
      </c>
      <c r="J748" t="s">
        <v>185</v>
      </c>
      <c r="K748">
        <v>0</v>
      </c>
      <c r="L748" t="s">
        <v>84</v>
      </c>
      <c r="S748" t="s">
        <v>141</v>
      </c>
      <c r="T748" t="s">
        <v>185</v>
      </c>
      <c r="U748">
        <v>1.5242624477238188E-2</v>
      </c>
      <c r="V748" t="s">
        <v>84</v>
      </c>
    </row>
    <row r="749" spans="9:22" x14ac:dyDescent="0.45">
      <c r="I749" t="s">
        <v>110</v>
      </c>
      <c r="J749" t="s">
        <v>93</v>
      </c>
      <c r="K749">
        <v>0</v>
      </c>
      <c r="L749" t="s">
        <v>84</v>
      </c>
      <c r="S749" t="s">
        <v>141</v>
      </c>
      <c r="T749" t="s">
        <v>93</v>
      </c>
      <c r="U749">
        <v>5.4311626179459192E-2</v>
      </c>
      <c r="V749" t="s">
        <v>84</v>
      </c>
    </row>
    <row r="750" spans="9:22" x14ac:dyDescent="0.45">
      <c r="I750" t="s">
        <v>110</v>
      </c>
      <c r="J750" t="s">
        <v>94</v>
      </c>
      <c r="K750">
        <v>2.7818356218960796E-2</v>
      </c>
      <c r="L750" t="s">
        <v>84</v>
      </c>
      <c r="S750" t="s">
        <v>141</v>
      </c>
      <c r="T750" t="s">
        <v>94</v>
      </c>
      <c r="U750">
        <v>3.1108436196796801E-2</v>
      </c>
      <c r="V750" t="s">
        <v>84</v>
      </c>
    </row>
    <row r="751" spans="9:22" x14ac:dyDescent="0.45">
      <c r="I751" t="s">
        <v>110</v>
      </c>
      <c r="J751" t="s">
        <v>95</v>
      </c>
      <c r="K751">
        <v>6.0807373631858425E-2</v>
      </c>
      <c r="L751" t="s">
        <v>84</v>
      </c>
      <c r="S751" t="s">
        <v>141</v>
      </c>
      <c r="T751" t="s">
        <v>95</v>
      </c>
      <c r="U751">
        <v>4.7587838561050033E-2</v>
      </c>
      <c r="V751" t="s">
        <v>84</v>
      </c>
    </row>
    <row r="752" spans="9:22" x14ac:dyDescent="0.45">
      <c r="I752" t="s">
        <v>110</v>
      </c>
      <c r="J752" t="s">
        <v>186</v>
      </c>
      <c r="K752">
        <v>3.6213291242344001E-3</v>
      </c>
      <c r="L752" t="s">
        <v>84</v>
      </c>
      <c r="S752" t="s">
        <v>141</v>
      </c>
      <c r="T752" t="s">
        <v>186</v>
      </c>
      <c r="U752">
        <v>7.7614280473061589E-3</v>
      </c>
      <c r="V752" t="s">
        <v>84</v>
      </c>
    </row>
    <row r="753" spans="9:22" x14ac:dyDescent="0.45">
      <c r="I753" t="s">
        <v>110</v>
      </c>
      <c r="J753" t="s">
        <v>187</v>
      </c>
      <c r="K753">
        <v>0</v>
      </c>
      <c r="L753" t="s">
        <v>84</v>
      </c>
      <c r="S753" t="s">
        <v>141</v>
      </c>
      <c r="T753" t="s">
        <v>187</v>
      </c>
      <c r="U753">
        <v>7.6742584402435714E-3</v>
      </c>
      <c r="V753" t="s">
        <v>84</v>
      </c>
    </row>
    <row r="754" spans="9:22" x14ac:dyDescent="0.45">
      <c r="I754" t="s">
        <v>110</v>
      </c>
      <c r="J754" t="s">
        <v>188</v>
      </c>
      <c r="K754">
        <v>0</v>
      </c>
      <c r="L754" t="s">
        <v>84</v>
      </c>
      <c r="S754" t="s">
        <v>141</v>
      </c>
      <c r="T754" t="s">
        <v>188</v>
      </c>
      <c r="U754">
        <v>3.8108460507939097E-2</v>
      </c>
      <c r="V754" t="s">
        <v>84</v>
      </c>
    </row>
    <row r="755" spans="9:22" x14ac:dyDescent="0.45">
      <c r="I755" t="s">
        <v>110</v>
      </c>
      <c r="J755" t="s">
        <v>189</v>
      </c>
      <c r="K755">
        <v>0</v>
      </c>
      <c r="L755" t="s">
        <v>84</v>
      </c>
      <c r="S755" t="s">
        <v>141</v>
      </c>
      <c r="T755" t="s">
        <v>189</v>
      </c>
      <c r="U755">
        <v>2.4629515039757733E-2</v>
      </c>
      <c r="V755" t="s">
        <v>84</v>
      </c>
    </row>
    <row r="756" spans="9:22" x14ac:dyDescent="0.45">
      <c r="I756" t="s">
        <v>110</v>
      </c>
      <c r="J756" t="s">
        <v>190</v>
      </c>
      <c r="K756">
        <v>8.0635740882116901E-3</v>
      </c>
      <c r="L756" t="s">
        <v>84</v>
      </c>
      <c r="S756" t="s">
        <v>141</v>
      </c>
      <c r="T756" t="s">
        <v>190</v>
      </c>
      <c r="U756">
        <v>1.3818425654338353E-2</v>
      </c>
      <c r="V756" t="s">
        <v>84</v>
      </c>
    </row>
    <row r="757" spans="9:22" x14ac:dyDescent="0.45">
      <c r="I757" t="s">
        <v>110</v>
      </c>
      <c r="J757" t="s">
        <v>191</v>
      </c>
      <c r="K757">
        <v>1.9238982279709337E-2</v>
      </c>
      <c r="L757" t="s">
        <v>84</v>
      </c>
      <c r="S757" t="s">
        <v>141</v>
      </c>
      <c r="T757" t="s">
        <v>191</v>
      </c>
      <c r="U757">
        <v>2.0406998966455273E-2</v>
      </c>
      <c r="V757" t="s">
        <v>84</v>
      </c>
    </row>
    <row r="758" spans="9:22" x14ac:dyDescent="0.45">
      <c r="I758" t="s">
        <v>110</v>
      </c>
      <c r="J758" t="s">
        <v>192</v>
      </c>
      <c r="K758">
        <v>0</v>
      </c>
      <c r="L758" t="s">
        <v>84</v>
      </c>
      <c r="S758" t="s">
        <v>141</v>
      </c>
      <c r="T758" t="s">
        <v>192</v>
      </c>
      <c r="U758">
        <v>3.335116739960444E-3</v>
      </c>
      <c r="V758" t="s">
        <v>84</v>
      </c>
    </row>
    <row r="759" spans="9:22" x14ac:dyDescent="0.45">
      <c r="I759" t="s">
        <v>110</v>
      </c>
      <c r="J759" t="s">
        <v>193</v>
      </c>
      <c r="K759">
        <v>0</v>
      </c>
      <c r="L759" t="s">
        <v>84</v>
      </c>
      <c r="S759" t="s">
        <v>141</v>
      </c>
      <c r="T759" t="s">
        <v>193</v>
      </c>
      <c r="U759">
        <v>3.3122329604672075E-3</v>
      </c>
      <c r="V759" t="s">
        <v>84</v>
      </c>
    </row>
    <row r="760" spans="9:22" x14ac:dyDescent="0.45">
      <c r="I760" t="s">
        <v>110</v>
      </c>
      <c r="J760" t="s">
        <v>194</v>
      </c>
      <c r="K760">
        <v>0</v>
      </c>
      <c r="L760" t="s">
        <v>84</v>
      </c>
      <c r="S760" t="s">
        <v>141</v>
      </c>
      <c r="T760" t="s">
        <v>194</v>
      </c>
      <c r="U760">
        <v>1.6603237325887584E-2</v>
      </c>
      <c r="V760" t="s">
        <v>84</v>
      </c>
    </row>
    <row r="761" spans="9:22" x14ac:dyDescent="0.45">
      <c r="I761" t="s">
        <v>110</v>
      </c>
      <c r="J761" t="s">
        <v>195</v>
      </c>
      <c r="K761">
        <v>3.2168942391322852E-4</v>
      </c>
      <c r="L761" t="s">
        <v>84</v>
      </c>
      <c r="S761" t="s">
        <v>141</v>
      </c>
      <c r="T761" t="s">
        <v>195</v>
      </c>
      <c r="U761">
        <v>7.5885200287561808E-2</v>
      </c>
      <c r="V761" t="s">
        <v>84</v>
      </c>
    </row>
    <row r="762" spans="9:22" x14ac:dyDescent="0.45">
      <c r="I762" t="s">
        <v>110</v>
      </c>
      <c r="J762" t="s">
        <v>196</v>
      </c>
      <c r="K762">
        <v>4.5924533067214508E-2</v>
      </c>
      <c r="L762" t="s">
        <v>84</v>
      </c>
      <c r="S762" t="s">
        <v>141</v>
      </c>
      <c r="T762" t="s">
        <v>196</v>
      </c>
      <c r="U762">
        <v>4.3800420161036142E-2</v>
      </c>
      <c r="V762" t="s">
        <v>84</v>
      </c>
    </row>
    <row r="763" spans="9:22" x14ac:dyDescent="0.45">
      <c r="I763" t="s">
        <v>110</v>
      </c>
      <c r="J763" t="s">
        <v>197</v>
      </c>
      <c r="K763">
        <v>0.10196187830761841</v>
      </c>
      <c r="L763" t="s">
        <v>84</v>
      </c>
      <c r="S763" t="s">
        <v>141</v>
      </c>
      <c r="T763" t="s">
        <v>197</v>
      </c>
      <c r="U763">
        <v>6.5763150085112396E-2</v>
      </c>
      <c r="V763" t="s">
        <v>84</v>
      </c>
    </row>
    <row r="764" spans="9:22" x14ac:dyDescent="0.45">
      <c r="I764" t="s">
        <v>110</v>
      </c>
      <c r="J764" t="s">
        <v>198</v>
      </c>
      <c r="K764">
        <v>7.5731879699763045E-3</v>
      </c>
      <c r="L764" t="s">
        <v>84</v>
      </c>
      <c r="S764" t="s">
        <v>141</v>
      </c>
      <c r="T764" t="s">
        <v>198</v>
      </c>
      <c r="U764">
        <v>1.0642513328365879E-2</v>
      </c>
      <c r="V764" t="s">
        <v>84</v>
      </c>
    </row>
    <row r="765" spans="9:22" x14ac:dyDescent="0.45">
      <c r="I765" t="s">
        <v>110</v>
      </c>
      <c r="J765" t="s">
        <v>199</v>
      </c>
      <c r="K765">
        <v>1.9658100114206033E-4</v>
      </c>
      <c r="L765" t="s">
        <v>84</v>
      </c>
      <c r="S765" t="s">
        <v>141</v>
      </c>
      <c r="T765" t="s">
        <v>199</v>
      </c>
      <c r="U765">
        <v>1.0446637668093912E-2</v>
      </c>
      <c r="V765" t="s">
        <v>84</v>
      </c>
    </row>
    <row r="766" spans="9:22" x14ac:dyDescent="0.45">
      <c r="I766" t="s">
        <v>110</v>
      </c>
      <c r="J766" t="s">
        <v>200</v>
      </c>
      <c r="K766">
        <v>0</v>
      </c>
      <c r="L766" t="s">
        <v>84</v>
      </c>
      <c r="S766" t="s">
        <v>141</v>
      </c>
      <c r="T766" t="s">
        <v>200</v>
      </c>
      <c r="U766">
        <v>5.2055092411284774E-2</v>
      </c>
      <c r="V766" t="s">
        <v>84</v>
      </c>
    </row>
    <row r="767" spans="9:22" x14ac:dyDescent="0.45">
      <c r="I767" t="s">
        <v>110</v>
      </c>
      <c r="J767" t="s">
        <v>201</v>
      </c>
      <c r="K767">
        <v>3.06498060806685E-3</v>
      </c>
      <c r="L767" t="s">
        <v>84</v>
      </c>
      <c r="S767" t="s">
        <v>141</v>
      </c>
      <c r="T767" t="s">
        <v>201</v>
      </c>
      <c r="U767">
        <v>2.6315276721014649E-2</v>
      </c>
      <c r="V767" t="s">
        <v>84</v>
      </c>
    </row>
    <row r="768" spans="9:22" x14ac:dyDescent="0.45">
      <c r="I768" t="s">
        <v>110</v>
      </c>
      <c r="J768" t="s">
        <v>202</v>
      </c>
      <c r="K768">
        <v>2.6736332755387216E-2</v>
      </c>
      <c r="L768" t="s">
        <v>84</v>
      </c>
      <c r="S768" t="s">
        <v>141</v>
      </c>
      <c r="T768" t="s">
        <v>202</v>
      </c>
      <c r="U768">
        <v>1.4666923614310297E-2</v>
      </c>
      <c r="V768" t="s">
        <v>84</v>
      </c>
    </row>
    <row r="769" spans="9:22" x14ac:dyDescent="0.45">
      <c r="I769" t="s">
        <v>110</v>
      </c>
      <c r="J769" t="s">
        <v>203</v>
      </c>
      <c r="K769">
        <v>5.1866046881593554E-2</v>
      </c>
      <c r="L769" t="s">
        <v>84</v>
      </c>
      <c r="S769" t="s">
        <v>141</v>
      </c>
      <c r="T769" t="s">
        <v>203</v>
      </c>
      <c r="U769">
        <v>2.4691935476992818E-2</v>
      </c>
      <c r="V769" t="s">
        <v>84</v>
      </c>
    </row>
    <row r="770" spans="9:22" x14ac:dyDescent="0.45">
      <c r="I770" t="s">
        <v>110</v>
      </c>
      <c r="J770" t="s">
        <v>204</v>
      </c>
      <c r="K770">
        <v>5.2342202025962526E-3</v>
      </c>
      <c r="L770" t="s">
        <v>84</v>
      </c>
      <c r="S770" t="s">
        <v>141</v>
      </c>
      <c r="T770" t="s">
        <v>204</v>
      </c>
      <c r="U770">
        <v>4.1086393299131279E-3</v>
      </c>
      <c r="V770" t="s">
        <v>84</v>
      </c>
    </row>
    <row r="771" spans="9:22" x14ac:dyDescent="0.45">
      <c r="I771" t="s">
        <v>110</v>
      </c>
      <c r="J771" t="s">
        <v>205</v>
      </c>
      <c r="K771">
        <v>3.2420761411008584E-3</v>
      </c>
      <c r="L771" t="s">
        <v>84</v>
      </c>
      <c r="S771" t="s">
        <v>141</v>
      </c>
      <c r="T771" t="s">
        <v>205</v>
      </c>
      <c r="U771">
        <v>4.0624053825827917E-3</v>
      </c>
      <c r="V771" t="s">
        <v>84</v>
      </c>
    </row>
    <row r="772" spans="9:22" x14ac:dyDescent="0.45">
      <c r="I772" t="s">
        <v>110</v>
      </c>
      <c r="J772" t="s">
        <v>206</v>
      </c>
      <c r="K772">
        <v>0</v>
      </c>
      <c r="L772" t="s">
        <v>84</v>
      </c>
      <c r="S772" t="s">
        <v>141</v>
      </c>
      <c r="T772" t="s">
        <v>206</v>
      </c>
      <c r="U772">
        <v>1.9603126405268755E-2</v>
      </c>
      <c r="V772" t="s">
        <v>84</v>
      </c>
    </row>
    <row r="773" spans="9:22" x14ac:dyDescent="0.45">
      <c r="I773" t="s">
        <v>110</v>
      </c>
      <c r="J773" t="s">
        <v>207</v>
      </c>
      <c r="K773">
        <v>1.807425184029721E-2</v>
      </c>
      <c r="L773" t="s">
        <v>84</v>
      </c>
      <c r="S773" t="s">
        <v>141</v>
      </c>
      <c r="T773" t="s">
        <v>207</v>
      </c>
      <c r="U773">
        <v>4.5313382338302649E-2</v>
      </c>
      <c r="V773" t="s">
        <v>84</v>
      </c>
    </row>
    <row r="774" spans="9:22" x14ac:dyDescent="0.45">
      <c r="I774" t="s">
        <v>110</v>
      </c>
      <c r="J774" t="s">
        <v>208</v>
      </c>
      <c r="K774">
        <v>8.1092223235852745E-2</v>
      </c>
      <c r="L774" t="s">
        <v>84</v>
      </c>
      <c r="S774" t="s">
        <v>141</v>
      </c>
      <c r="T774" t="s">
        <v>208</v>
      </c>
      <c r="U774">
        <v>2.4709814801712124E-2</v>
      </c>
      <c r="V774" t="s">
        <v>84</v>
      </c>
    </row>
    <row r="775" spans="9:22" x14ac:dyDescent="0.45">
      <c r="I775" t="s">
        <v>110</v>
      </c>
      <c r="J775" t="s">
        <v>209</v>
      </c>
      <c r="K775">
        <v>0.13305121991199678</v>
      </c>
      <c r="L775" t="s">
        <v>84</v>
      </c>
      <c r="S775" t="s">
        <v>141</v>
      </c>
      <c r="T775" t="s">
        <v>209</v>
      </c>
      <c r="U775">
        <v>3.7093015008160216E-2</v>
      </c>
      <c r="V775" t="s">
        <v>84</v>
      </c>
    </row>
    <row r="776" spans="9:22" x14ac:dyDescent="0.45">
      <c r="I776" t="s">
        <v>110</v>
      </c>
      <c r="J776" t="s">
        <v>210</v>
      </c>
      <c r="K776">
        <v>1.6304642025242368E-2</v>
      </c>
      <c r="L776" t="s">
        <v>84</v>
      </c>
      <c r="S776" t="s">
        <v>141</v>
      </c>
      <c r="T776" t="s">
        <v>210</v>
      </c>
      <c r="U776">
        <v>6.1185806654995931E-3</v>
      </c>
      <c r="V776" t="s">
        <v>84</v>
      </c>
    </row>
    <row r="777" spans="9:22" x14ac:dyDescent="0.45">
      <c r="I777" t="s">
        <v>110</v>
      </c>
      <c r="J777" t="s">
        <v>211</v>
      </c>
      <c r="K777">
        <v>1.2112531386220092E-2</v>
      </c>
      <c r="L777" t="s">
        <v>84</v>
      </c>
      <c r="S777" t="s">
        <v>141</v>
      </c>
      <c r="T777" t="s">
        <v>211</v>
      </c>
      <c r="U777">
        <v>6.0740817796130489E-3</v>
      </c>
      <c r="V777" t="s">
        <v>84</v>
      </c>
    </row>
    <row r="778" spans="9:22" x14ac:dyDescent="0.45">
      <c r="I778" t="s">
        <v>110</v>
      </c>
      <c r="J778" t="s">
        <v>212</v>
      </c>
      <c r="K778">
        <v>5.2495760210720917E-3</v>
      </c>
      <c r="L778" t="s">
        <v>84</v>
      </c>
      <c r="S778" t="s">
        <v>141</v>
      </c>
      <c r="T778" t="s">
        <v>212</v>
      </c>
      <c r="U778">
        <v>3.04621828890838E-2</v>
      </c>
      <c r="V778" t="s">
        <v>84</v>
      </c>
    </row>
    <row r="779" spans="9:22" x14ac:dyDescent="0.45">
      <c r="S779" t="s">
        <v>142</v>
      </c>
      <c r="T779" t="s">
        <v>83</v>
      </c>
      <c r="U779">
        <v>2.5474533656326737E-2</v>
      </c>
      <c r="V779" t="s">
        <v>84</v>
      </c>
    </row>
    <row r="780" spans="9:22" x14ac:dyDescent="0.45">
      <c r="S780" t="s">
        <v>142</v>
      </c>
      <c r="T780" t="s">
        <v>85</v>
      </c>
      <c r="U780">
        <v>1.446509170484573E-2</v>
      </c>
      <c r="V780" t="s">
        <v>84</v>
      </c>
    </row>
    <row r="781" spans="9:22" x14ac:dyDescent="0.45">
      <c r="S781" t="s">
        <v>142</v>
      </c>
      <c r="T781" t="s">
        <v>86</v>
      </c>
      <c r="U781">
        <v>2.2108148148490998E-2</v>
      </c>
      <c r="V781" t="s">
        <v>84</v>
      </c>
    </row>
    <row r="782" spans="9:22" x14ac:dyDescent="0.45">
      <c r="S782" t="s">
        <v>142</v>
      </c>
      <c r="T782" t="s">
        <v>177</v>
      </c>
      <c r="U782">
        <v>3.6276462248489953E-3</v>
      </c>
      <c r="V782" t="s">
        <v>84</v>
      </c>
    </row>
    <row r="783" spans="9:22" x14ac:dyDescent="0.45">
      <c r="S783" t="s">
        <v>142</v>
      </c>
      <c r="T783" t="s">
        <v>178</v>
      </c>
      <c r="U783">
        <v>3.5919023529771832E-3</v>
      </c>
      <c r="V783" t="s">
        <v>84</v>
      </c>
    </row>
    <row r="784" spans="9:22" x14ac:dyDescent="0.45">
      <c r="S784" t="s">
        <v>142</v>
      </c>
      <c r="T784" t="s">
        <v>179</v>
      </c>
      <c r="U784">
        <v>1.7619581837715524E-2</v>
      </c>
      <c r="V784" t="s">
        <v>84</v>
      </c>
    </row>
    <row r="785" spans="19:22" x14ac:dyDescent="0.45">
      <c r="S785" t="s">
        <v>142</v>
      </c>
      <c r="T785" t="s">
        <v>87</v>
      </c>
      <c r="U785">
        <v>2.4116301113774399E-2</v>
      </c>
      <c r="V785" t="s">
        <v>84</v>
      </c>
    </row>
    <row r="786" spans="19:22" x14ac:dyDescent="0.45">
      <c r="S786" t="s">
        <v>142</v>
      </c>
      <c r="T786" t="s">
        <v>88</v>
      </c>
      <c r="U786">
        <v>1.2862471464152852E-2</v>
      </c>
      <c r="V786" t="s">
        <v>84</v>
      </c>
    </row>
    <row r="787" spans="19:22" x14ac:dyDescent="0.45">
      <c r="S787" t="s">
        <v>142</v>
      </c>
      <c r="T787" t="s">
        <v>89</v>
      </c>
      <c r="U787">
        <v>2.0707293885964952E-2</v>
      </c>
      <c r="V787" t="s">
        <v>84</v>
      </c>
    </row>
    <row r="788" spans="19:22" x14ac:dyDescent="0.45">
      <c r="S788" t="s">
        <v>142</v>
      </c>
      <c r="T788" t="s">
        <v>180</v>
      </c>
      <c r="U788">
        <v>3.581219431081719E-3</v>
      </c>
      <c r="V788" t="s">
        <v>84</v>
      </c>
    </row>
    <row r="789" spans="19:22" x14ac:dyDescent="0.45">
      <c r="S789" t="s">
        <v>142</v>
      </c>
      <c r="T789" t="s">
        <v>181</v>
      </c>
      <c r="U789">
        <v>3.5952867323020212E-3</v>
      </c>
      <c r="V789" t="s">
        <v>84</v>
      </c>
    </row>
    <row r="790" spans="19:22" x14ac:dyDescent="0.45">
      <c r="S790" t="s">
        <v>142</v>
      </c>
      <c r="T790" t="s">
        <v>182</v>
      </c>
      <c r="U790">
        <v>1.7606775945335832E-2</v>
      </c>
      <c r="V790" t="s">
        <v>84</v>
      </c>
    </row>
    <row r="791" spans="19:22" x14ac:dyDescent="0.45">
      <c r="S791" t="s">
        <v>142</v>
      </c>
      <c r="T791" t="s">
        <v>90</v>
      </c>
      <c r="U791">
        <v>2.2524741987755205E-2</v>
      </c>
      <c r="V791" t="s">
        <v>84</v>
      </c>
    </row>
    <row r="792" spans="19:22" x14ac:dyDescent="0.45">
      <c r="S792" t="s">
        <v>142</v>
      </c>
      <c r="T792" t="s">
        <v>91</v>
      </c>
      <c r="U792">
        <v>1.3226460414293763E-2</v>
      </c>
      <c r="V792" t="s">
        <v>84</v>
      </c>
    </row>
    <row r="793" spans="19:22" x14ac:dyDescent="0.45">
      <c r="S793" t="s">
        <v>142</v>
      </c>
      <c r="T793" t="s">
        <v>92</v>
      </c>
      <c r="U793">
        <v>2.1263933707765234E-2</v>
      </c>
      <c r="V793" t="s">
        <v>84</v>
      </c>
    </row>
    <row r="794" spans="19:22" x14ac:dyDescent="0.45">
      <c r="S794" t="s">
        <v>142</v>
      </c>
      <c r="T794" t="s">
        <v>183</v>
      </c>
      <c r="U794">
        <v>3.4844936430500203E-3</v>
      </c>
      <c r="V794" t="s">
        <v>84</v>
      </c>
    </row>
    <row r="795" spans="19:22" x14ac:dyDescent="0.45">
      <c r="S795" t="s">
        <v>142</v>
      </c>
      <c r="T795" t="s">
        <v>184</v>
      </c>
      <c r="U795">
        <v>3.4085558118525216E-3</v>
      </c>
      <c r="V795" t="s">
        <v>84</v>
      </c>
    </row>
    <row r="796" spans="19:22" x14ac:dyDescent="0.45">
      <c r="S796" t="s">
        <v>142</v>
      </c>
      <c r="T796" t="s">
        <v>185</v>
      </c>
      <c r="U796">
        <v>1.6040793818139224E-2</v>
      </c>
      <c r="V796" t="s">
        <v>84</v>
      </c>
    </row>
    <row r="797" spans="19:22" x14ac:dyDescent="0.45">
      <c r="S797" t="s">
        <v>142</v>
      </c>
      <c r="T797" t="s">
        <v>93</v>
      </c>
      <c r="U797">
        <v>4.7346312025611549E-2</v>
      </c>
      <c r="V797" t="s">
        <v>84</v>
      </c>
    </row>
    <row r="798" spans="19:22" x14ac:dyDescent="0.45">
      <c r="S798" t="s">
        <v>142</v>
      </c>
      <c r="T798" t="s">
        <v>94</v>
      </c>
      <c r="U798">
        <v>2.6190776937151369E-2</v>
      </c>
      <c r="V798" t="s">
        <v>84</v>
      </c>
    </row>
    <row r="799" spans="19:22" x14ac:dyDescent="0.45">
      <c r="S799" t="s">
        <v>142</v>
      </c>
      <c r="T799" t="s">
        <v>95</v>
      </c>
      <c r="U799">
        <v>4.0143045279265994E-2</v>
      </c>
      <c r="V799" t="s">
        <v>84</v>
      </c>
    </row>
    <row r="800" spans="19:22" x14ac:dyDescent="0.45">
      <c r="S800" t="s">
        <v>142</v>
      </c>
      <c r="T800" t="s">
        <v>186</v>
      </c>
      <c r="U800">
        <v>6.7968966548542439E-3</v>
      </c>
      <c r="V800" t="s">
        <v>84</v>
      </c>
    </row>
    <row r="801" spans="19:22" x14ac:dyDescent="0.45">
      <c r="S801" t="s">
        <v>142</v>
      </c>
      <c r="T801" t="s">
        <v>187</v>
      </c>
      <c r="U801">
        <v>6.7260586403772278E-3</v>
      </c>
      <c r="V801" t="s">
        <v>84</v>
      </c>
    </row>
    <row r="802" spans="19:22" x14ac:dyDescent="0.45">
      <c r="S802" t="s">
        <v>142</v>
      </c>
      <c r="T802" t="s">
        <v>188</v>
      </c>
      <c r="U802">
        <v>3.3040604883288395E-2</v>
      </c>
      <c r="V802" t="s">
        <v>84</v>
      </c>
    </row>
    <row r="803" spans="19:22" x14ac:dyDescent="0.45">
      <c r="S803" t="s">
        <v>142</v>
      </c>
      <c r="T803" t="s">
        <v>189</v>
      </c>
      <c r="U803">
        <v>2.2219546563863771E-2</v>
      </c>
      <c r="V803" t="s">
        <v>84</v>
      </c>
    </row>
    <row r="804" spans="19:22" x14ac:dyDescent="0.45">
      <c r="S804" t="s">
        <v>142</v>
      </c>
      <c r="T804" t="s">
        <v>190</v>
      </c>
      <c r="U804">
        <v>1.2598240814496349E-2</v>
      </c>
      <c r="V804" t="s">
        <v>84</v>
      </c>
    </row>
    <row r="805" spans="19:22" x14ac:dyDescent="0.45">
      <c r="S805" t="s">
        <v>142</v>
      </c>
      <c r="T805" t="s">
        <v>191</v>
      </c>
      <c r="U805">
        <v>1.947784970253396E-2</v>
      </c>
      <c r="V805" t="s">
        <v>84</v>
      </c>
    </row>
    <row r="806" spans="19:22" x14ac:dyDescent="0.45">
      <c r="S806" t="s">
        <v>142</v>
      </c>
      <c r="T806" t="s">
        <v>192</v>
      </c>
      <c r="U806">
        <v>3.2532471979627941E-3</v>
      </c>
      <c r="V806" t="s">
        <v>84</v>
      </c>
    </row>
    <row r="807" spans="19:22" x14ac:dyDescent="0.45">
      <c r="S807" t="s">
        <v>142</v>
      </c>
      <c r="T807" t="s">
        <v>193</v>
      </c>
      <c r="U807">
        <v>3.2476699625790745E-3</v>
      </c>
      <c r="V807" t="s">
        <v>84</v>
      </c>
    </row>
    <row r="808" spans="19:22" x14ac:dyDescent="0.45">
      <c r="S808" t="s">
        <v>142</v>
      </c>
      <c r="T808" t="s">
        <v>194</v>
      </c>
      <c r="U808">
        <v>1.6157881896379296E-2</v>
      </c>
      <c r="V808" t="s">
        <v>84</v>
      </c>
    </row>
    <row r="809" spans="19:22" x14ac:dyDescent="0.45">
      <c r="S809" t="s">
        <v>142</v>
      </c>
      <c r="T809" t="s">
        <v>195</v>
      </c>
      <c r="U809">
        <v>7.7780566464727335E-2</v>
      </c>
      <c r="V809" t="s">
        <v>84</v>
      </c>
    </row>
    <row r="810" spans="19:22" x14ac:dyDescent="0.45">
      <c r="S810" t="s">
        <v>142</v>
      </c>
      <c r="T810" t="s">
        <v>196</v>
      </c>
      <c r="U810">
        <v>4.3925204997596272E-2</v>
      </c>
      <c r="V810" t="s">
        <v>84</v>
      </c>
    </row>
    <row r="811" spans="19:22" x14ac:dyDescent="0.45">
      <c r="S811" t="s">
        <v>142</v>
      </c>
      <c r="T811" t="s">
        <v>197</v>
      </c>
      <c r="U811">
        <v>6.4706321550345641E-2</v>
      </c>
      <c r="V811" t="s">
        <v>84</v>
      </c>
    </row>
    <row r="812" spans="19:22" x14ac:dyDescent="0.45">
      <c r="S812" t="s">
        <v>142</v>
      </c>
      <c r="T812" t="s">
        <v>198</v>
      </c>
      <c r="U812">
        <v>1.0657527093996109E-2</v>
      </c>
      <c r="V812" t="s">
        <v>84</v>
      </c>
    </row>
    <row r="813" spans="19:22" x14ac:dyDescent="0.45">
      <c r="S813" t="s">
        <v>142</v>
      </c>
      <c r="T813" t="s">
        <v>199</v>
      </c>
      <c r="U813">
        <v>1.0647354744786343E-2</v>
      </c>
      <c r="V813" t="s">
        <v>84</v>
      </c>
    </row>
    <row r="814" spans="19:22" x14ac:dyDescent="0.45">
      <c r="S814" t="s">
        <v>142</v>
      </c>
      <c r="T814" t="s">
        <v>200</v>
      </c>
      <c r="U814">
        <v>5.3402394787907925E-2</v>
      </c>
      <c r="V814" t="s">
        <v>84</v>
      </c>
    </row>
    <row r="815" spans="19:22" x14ac:dyDescent="0.45">
      <c r="S815" t="s">
        <v>142</v>
      </c>
      <c r="T815" t="s">
        <v>201</v>
      </c>
      <c r="U815">
        <v>2.8463567093822424E-2</v>
      </c>
      <c r="V815" t="s">
        <v>84</v>
      </c>
    </row>
    <row r="816" spans="19:22" x14ac:dyDescent="0.45">
      <c r="S816" t="s">
        <v>142</v>
      </c>
      <c r="T816" t="s">
        <v>202</v>
      </c>
      <c r="U816">
        <v>1.6626311595202094E-2</v>
      </c>
      <c r="V816" t="s">
        <v>84</v>
      </c>
    </row>
    <row r="817" spans="19:22" x14ac:dyDescent="0.45">
      <c r="S817" t="s">
        <v>142</v>
      </c>
      <c r="T817" t="s">
        <v>203</v>
      </c>
      <c r="U817">
        <v>2.4142573301363966E-2</v>
      </c>
      <c r="V817" t="s">
        <v>84</v>
      </c>
    </row>
    <row r="818" spans="19:22" x14ac:dyDescent="0.45">
      <c r="S818" t="s">
        <v>142</v>
      </c>
      <c r="T818" t="s">
        <v>204</v>
      </c>
      <c r="U818">
        <v>3.8404498421867974E-3</v>
      </c>
      <c r="V818" t="s">
        <v>84</v>
      </c>
    </row>
    <row r="819" spans="19:22" x14ac:dyDescent="0.45">
      <c r="S819" t="s">
        <v>142</v>
      </c>
      <c r="T819" t="s">
        <v>205</v>
      </c>
      <c r="U819">
        <v>3.763499479296929E-3</v>
      </c>
      <c r="V819" t="s">
        <v>84</v>
      </c>
    </row>
    <row r="820" spans="19:22" x14ac:dyDescent="0.45">
      <c r="S820" t="s">
        <v>142</v>
      </c>
      <c r="T820" t="s">
        <v>206</v>
      </c>
      <c r="U820">
        <v>1.9678129627018974E-2</v>
      </c>
      <c r="V820" t="s">
        <v>84</v>
      </c>
    </row>
    <row r="821" spans="19:22" x14ac:dyDescent="0.45">
      <c r="S821" t="s">
        <v>142</v>
      </c>
      <c r="T821" t="s">
        <v>207</v>
      </c>
      <c r="U821">
        <v>4.5546417605074524E-2</v>
      </c>
      <c r="V821" t="s">
        <v>84</v>
      </c>
    </row>
    <row r="822" spans="19:22" x14ac:dyDescent="0.45">
      <c r="S822" t="s">
        <v>142</v>
      </c>
      <c r="T822" t="s">
        <v>208</v>
      </c>
      <c r="U822">
        <v>2.6512339357207246E-2</v>
      </c>
      <c r="V822" t="s">
        <v>84</v>
      </c>
    </row>
    <row r="823" spans="19:22" x14ac:dyDescent="0.45">
      <c r="S823" t="s">
        <v>142</v>
      </c>
      <c r="T823" t="s">
        <v>209</v>
      </c>
      <c r="U823">
        <v>4.001562933343545E-2</v>
      </c>
      <c r="V823" t="s">
        <v>84</v>
      </c>
    </row>
    <row r="824" spans="19:22" x14ac:dyDescent="0.45">
      <c r="S824" t="s">
        <v>142</v>
      </c>
      <c r="T824" t="s">
        <v>210</v>
      </c>
      <c r="U824">
        <v>6.3482290239490749E-3</v>
      </c>
      <c r="V824" t="s">
        <v>84</v>
      </c>
    </row>
    <row r="825" spans="19:22" x14ac:dyDescent="0.45">
      <c r="S825" t="s">
        <v>142</v>
      </c>
      <c r="T825" t="s">
        <v>211</v>
      </c>
      <c r="U825">
        <v>6.250097531876918E-3</v>
      </c>
      <c r="V825" t="s">
        <v>84</v>
      </c>
    </row>
    <row r="826" spans="19:22" x14ac:dyDescent="0.45">
      <c r="S826" t="s">
        <v>142</v>
      </c>
      <c r="T826" t="s">
        <v>212</v>
      </c>
      <c r="U826">
        <v>3.1190024131170658E-2</v>
      </c>
      <c r="V826" t="s">
        <v>84</v>
      </c>
    </row>
    <row r="827" spans="19:22" x14ac:dyDescent="0.45">
      <c r="S827" t="s">
        <v>143</v>
      </c>
      <c r="T827" t="s">
        <v>83</v>
      </c>
      <c r="U827">
        <v>2.494529071906158E-2</v>
      </c>
      <c r="V827" t="s">
        <v>84</v>
      </c>
    </row>
    <row r="828" spans="19:22" x14ac:dyDescent="0.45">
      <c r="S828" t="s">
        <v>143</v>
      </c>
      <c r="T828" t="s">
        <v>85</v>
      </c>
      <c r="U828">
        <v>1.429684395232156E-2</v>
      </c>
      <c r="V828" t="s">
        <v>84</v>
      </c>
    </row>
    <row r="829" spans="19:22" x14ac:dyDescent="0.45">
      <c r="S829" t="s">
        <v>143</v>
      </c>
      <c r="T829" t="s">
        <v>86</v>
      </c>
      <c r="U829">
        <v>2.2076260671397712E-2</v>
      </c>
      <c r="V829" t="s">
        <v>84</v>
      </c>
    </row>
    <row r="830" spans="19:22" x14ac:dyDescent="0.45">
      <c r="S830" t="s">
        <v>143</v>
      </c>
      <c r="T830" t="s">
        <v>177</v>
      </c>
      <c r="U830">
        <v>3.6290267979997826E-3</v>
      </c>
      <c r="V830" t="s">
        <v>84</v>
      </c>
    </row>
    <row r="831" spans="19:22" x14ac:dyDescent="0.45">
      <c r="S831" t="s">
        <v>143</v>
      </c>
      <c r="T831" t="s">
        <v>178</v>
      </c>
      <c r="U831">
        <v>3.6240687181689811E-3</v>
      </c>
      <c r="V831" t="s">
        <v>84</v>
      </c>
    </row>
    <row r="832" spans="19:22" x14ac:dyDescent="0.45">
      <c r="S832" t="s">
        <v>143</v>
      </c>
      <c r="T832" t="s">
        <v>179</v>
      </c>
      <c r="U832">
        <v>1.778903103010878E-2</v>
      </c>
      <c r="V832" t="s">
        <v>84</v>
      </c>
    </row>
    <row r="833" spans="19:22" x14ac:dyDescent="0.45">
      <c r="S833" t="s">
        <v>143</v>
      </c>
      <c r="T833" t="s">
        <v>87</v>
      </c>
      <c r="U833">
        <v>2.3529503964305719E-2</v>
      </c>
      <c r="V833" t="s">
        <v>84</v>
      </c>
    </row>
    <row r="834" spans="19:22" x14ac:dyDescent="0.45">
      <c r="S834" t="s">
        <v>143</v>
      </c>
      <c r="T834" t="s">
        <v>88</v>
      </c>
      <c r="U834">
        <v>1.2296469893046173E-2</v>
      </c>
      <c r="V834" t="s">
        <v>84</v>
      </c>
    </row>
    <row r="835" spans="19:22" x14ac:dyDescent="0.45">
      <c r="S835" t="s">
        <v>143</v>
      </c>
      <c r="T835" t="s">
        <v>89</v>
      </c>
      <c r="U835">
        <v>2.0537739519580073E-2</v>
      </c>
      <c r="V835" t="s">
        <v>84</v>
      </c>
    </row>
    <row r="836" spans="19:22" x14ac:dyDescent="0.45">
      <c r="S836" t="s">
        <v>143</v>
      </c>
      <c r="T836" t="s">
        <v>180</v>
      </c>
      <c r="U836">
        <v>3.6045082862512655E-3</v>
      </c>
      <c r="V836" t="s">
        <v>84</v>
      </c>
    </row>
    <row r="837" spans="19:22" x14ac:dyDescent="0.45">
      <c r="S837" t="s">
        <v>143</v>
      </c>
      <c r="T837" t="s">
        <v>181</v>
      </c>
      <c r="U837">
        <v>3.6084910512459377E-3</v>
      </c>
      <c r="V837" t="s">
        <v>84</v>
      </c>
    </row>
    <row r="838" spans="19:22" x14ac:dyDescent="0.45">
      <c r="S838" t="s">
        <v>143</v>
      </c>
      <c r="T838" t="s">
        <v>182</v>
      </c>
      <c r="U838">
        <v>1.7555802738446129E-2</v>
      </c>
      <c r="V838" t="s">
        <v>84</v>
      </c>
    </row>
    <row r="839" spans="19:22" x14ac:dyDescent="0.45">
      <c r="S839" t="s">
        <v>143</v>
      </c>
      <c r="T839" t="s">
        <v>90</v>
      </c>
      <c r="U839">
        <v>2.4831204217913322E-2</v>
      </c>
      <c r="V839" t="s">
        <v>84</v>
      </c>
    </row>
    <row r="840" spans="19:22" x14ac:dyDescent="0.45">
      <c r="S840" t="s">
        <v>143</v>
      </c>
      <c r="T840" t="s">
        <v>91</v>
      </c>
      <c r="U840">
        <v>1.4150826278015782E-2</v>
      </c>
      <c r="V840" t="s">
        <v>84</v>
      </c>
    </row>
    <row r="841" spans="19:22" x14ac:dyDescent="0.45">
      <c r="S841" t="s">
        <v>143</v>
      </c>
      <c r="T841" t="s">
        <v>92</v>
      </c>
      <c r="U841">
        <v>2.2637954747045143E-2</v>
      </c>
      <c r="V841" t="s">
        <v>84</v>
      </c>
    </row>
    <row r="842" spans="19:22" x14ac:dyDescent="0.45">
      <c r="S842" t="s">
        <v>143</v>
      </c>
      <c r="T842" t="s">
        <v>183</v>
      </c>
      <c r="U842">
        <v>3.8046097647571218E-3</v>
      </c>
      <c r="V842" t="s">
        <v>84</v>
      </c>
    </row>
    <row r="843" spans="19:22" x14ac:dyDescent="0.45">
      <c r="S843" t="s">
        <v>143</v>
      </c>
      <c r="T843" t="s">
        <v>184</v>
      </c>
      <c r="U843">
        <v>3.7740599231396448E-3</v>
      </c>
      <c r="V843" t="s">
        <v>84</v>
      </c>
    </row>
    <row r="844" spans="19:22" x14ac:dyDescent="0.45">
      <c r="S844" t="s">
        <v>143</v>
      </c>
      <c r="T844" t="s">
        <v>185</v>
      </c>
      <c r="U844">
        <v>1.8254511517809689E-2</v>
      </c>
      <c r="V844" t="s">
        <v>84</v>
      </c>
    </row>
    <row r="845" spans="19:22" x14ac:dyDescent="0.45">
      <c r="S845" t="s">
        <v>143</v>
      </c>
      <c r="T845" t="s">
        <v>93</v>
      </c>
      <c r="U845">
        <v>4.6837301191992885E-2</v>
      </c>
      <c r="V845" t="s">
        <v>84</v>
      </c>
    </row>
    <row r="846" spans="19:22" x14ac:dyDescent="0.45">
      <c r="S846" t="s">
        <v>143</v>
      </c>
      <c r="T846" t="s">
        <v>94</v>
      </c>
      <c r="U846">
        <v>2.709882809992694E-2</v>
      </c>
      <c r="V846" t="s">
        <v>84</v>
      </c>
    </row>
    <row r="847" spans="19:22" x14ac:dyDescent="0.45">
      <c r="S847" t="s">
        <v>143</v>
      </c>
      <c r="T847" t="s">
        <v>95</v>
      </c>
      <c r="U847">
        <v>4.0401637310593437E-2</v>
      </c>
      <c r="V847" t="s">
        <v>84</v>
      </c>
    </row>
    <row r="848" spans="19:22" x14ac:dyDescent="0.45">
      <c r="S848" t="s">
        <v>143</v>
      </c>
      <c r="T848" t="s">
        <v>186</v>
      </c>
      <c r="U848">
        <v>6.7679910789795704E-3</v>
      </c>
      <c r="V848" t="s">
        <v>84</v>
      </c>
    </row>
    <row r="849" spans="19:22" x14ac:dyDescent="0.45">
      <c r="S849" t="s">
        <v>143</v>
      </c>
      <c r="T849" t="s">
        <v>187</v>
      </c>
      <c r="U849">
        <v>6.7580266839377132E-3</v>
      </c>
      <c r="V849" t="s">
        <v>84</v>
      </c>
    </row>
    <row r="850" spans="19:22" x14ac:dyDescent="0.45">
      <c r="S850" t="s">
        <v>143</v>
      </c>
      <c r="T850" t="s">
        <v>188</v>
      </c>
      <c r="U850">
        <v>3.3303829513806692E-2</v>
      </c>
      <c r="V850" t="s">
        <v>84</v>
      </c>
    </row>
    <row r="851" spans="19:22" x14ac:dyDescent="0.45">
      <c r="S851" t="s">
        <v>143</v>
      </c>
      <c r="T851" t="s">
        <v>189</v>
      </c>
      <c r="U851">
        <v>2.3784322694969013E-2</v>
      </c>
      <c r="V851" t="s">
        <v>84</v>
      </c>
    </row>
    <row r="852" spans="19:22" x14ac:dyDescent="0.45">
      <c r="S852" t="s">
        <v>143</v>
      </c>
      <c r="T852" t="s">
        <v>190</v>
      </c>
      <c r="U852">
        <v>1.3051614619414672E-2</v>
      </c>
      <c r="V852" t="s">
        <v>84</v>
      </c>
    </row>
    <row r="853" spans="19:22" x14ac:dyDescent="0.45">
      <c r="S853" t="s">
        <v>143</v>
      </c>
      <c r="T853" t="s">
        <v>191</v>
      </c>
      <c r="U853">
        <v>2.0325345599466874E-2</v>
      </c>
      <c r="V853" t="s">
        <v>84</v>
      </c>
    </row>
    <row r="854" spans="19:22" x14ac:dyDescent="0.45">
      <c r="S854" t="s">
        <v>143</v>
      </c>
      <c r="T854" t="s">
        <v>192</v>
      </c>
      <c r="U854">
        <v>3.3359392191194925E-3</v>
      </c>
      <c r="V854" t="s">
        <v>84</v>
      </c>
    </row>
    <row r="855" spans="19:22" x14ac:dyDescent="0.45">
      <c r="S855" t="s">
        <v>143</v>
      </c>
      <c r="T855" t="s">
        <v>193</v>
      </c>
      <c r="U855">
        <v>3.3020885812982941E-3</v>
      </c>
      <c r="V855" t="s">
        <v>84</v>
      </c>
    </row>
    <row r="856" spans="19:22" x14ac:dyDescent="0.45">
      <c r="S856" t="s">
        <v>143</v>
      </c>
      <c r="T856" t="s">
        <v>194</v>
      </c>
      <c r="U856">
        <v>1.6538879663990549E-2</v>
      </c>
      <c r="V856" t="s">
        <v>84</v>
      </c>
    </row>
    <row r="857" spans="19:22" x14ac:dyDescent="0.45">
      <c r="S857" t="s">
        <v>143</v>
      </c>
      <c r="T857" t="s">
        <v>195</v>
      </c>
      <c r="U857">
        <v>7.4003240729370687E-2</v>
      </c>
      <c r="V857" t="s">
        <v>84</v>
      </c>
    </row>
    <row r="858" spans="19:22" x14ac:dyDescent="0.45">
      <c r="S858" t="s">
        <v>143</v>
      </c>
      <c r="T858" t="s">
        <v>196</v>
      </c>
      <c r="U858">
        <v>4.3085957611343054E-2</v>
      </c>
      <c r="V858" t="s">
        <v>84</v>
      </c>
    </row>
    <row r="859" spans="19:22" x14ac:dyDescent="0.45">
      <c r="S859" t="s">
        <v>143</v>
      </c>
      <c r="T859" t="s">
        <v>197</v>
      </c>
      <c r="U859">
        <v>6.5661877903786831E-2</v>
      </c>
      <c r="V859" t="s">
        <v>84</v>
      </c>
    </row>
    <row r="860" spans="19:22" x14ac:dyDescent="0.45">
      <c r="S860" t="s">
        <v>143</v>
      </c>
      <c r="T860" t="s">
        <v>198</v>
      </c>
      <c r="U860">
        <v>1.070656124417497E-2</v>
      </c>
      <c r="V860" t="s">
        <v>84</v>
      </c>
    </row>
    <row r="861" spans="19:22" x14ac:dyDescent="0.45">
      <c r="S861" t="s">
        <v>143</v>
      </c>
      <c r="T861" t="s">
        <v>199</v>
      </c>
      <c r="U861">
        <v>1.0648005431450421E-2</v>
      </c>
      <c r="V861" t="s">
        <v>84</v>
      </c>
    </row>
    <row r="862" spans="19:22" x14ac:dyDescent="0.45">
      <c r="S862" t="s">
        <v>143</v>
      </c>
      <c r="T862" t="s">
        <v>200</v>
      </c>
      <c r="U862">
        <v>5.3094014331746771E-2</v>
      </c>
      <c r="V862" t="s">
        <v>84</v>
      </c>
    </row>
    <row r="863" spans="19:22" x14ac:dyDescent="0.45">
      <c r="S863" t="s">
        <v>143</v>
      </c>
      <c r="T863" t="s">
        <v>201</v>
      </c>
      <c r="U863">
        <v>2.6714886376334596E-2</v>
      </c>
      <c r="V863" t="s">
        <v>84</v>
      </c>
    </row>
    <row r="864" spans="19:22" x14ac:dyDescent="0.45">
      <c r="S864" t="s">
        <v>143</v>
      </c>
      <c r="T864" t="s">
        <v>202</v>
      </c>
      <c r="U864">
        <v>1.5289791757576991E-2</v>
      </c>
      <c r="V864" t="s">
        <v>84</v>
      </c>
    </row>
    <row r="865" spans="19:22" x14ac:dyDescent="0.45">
      <c r="S865" t="s">
        <v>143</v>
      </c>
      <c r="T865" t="s">
        <v>203</v>
      </c>
      <c r="U865">
        <v>2.4116155073442058E-2</v>
      </c>
      <c r="V865" t="s">
        <v>84</v>
      </c>
    </row>
    <row r="866" spans="19:22" x14ac:dyDescent="0.45">
      <c r="S866" t="s">
        <v>143</v>
      </c>
      <c r="T866" t="s">
        <v>204</v>
      </c>
      <c r="U866">
        <v>3.9700400205181785E-3</v>
      </c>
      <c r="V866" t="s">
        <v>84</v>
      </c>
    </row>
    <row r="867" spans="19:22" x14ac:dyDescent="0.45">
      <c r="S867" t="s">
        <v>143</v>
      </c>
      <c r="T867" t="s">
        <v>205</v>
      </c>
      <c r="U867">
        <v>3.8837644902701188E-3</v>
      </c>
      <c r="V867" t="s">
        <v>84</v>
      </c>
    </row>
    <row r="868" spans="19:22" x14ac:dyDescent="0.45">
      <c r="S868" t="s">
        <v>143</v>
      </c>
      <c r="T868" t="s">
        <v>206</v>
      </c>
      <c r="U868">
        <v>1.9158824475787917E-2</v>
      </c>
      <c r="V868" t="s">
        <v>84</v>
      </c>
    </row>
    <row r="869" spans="19:22" x14ac:dyDescent="0.45">
      <c r="S869" t="s">
        <v>143</v>
      </c>
      <c r="T869" t="s">
        <v>207</v>
      </c>
      <c r="U869">
        <v>4.2942925342579236E-2</v>
      </c>
      <c r="V869" t="s">
        <v>84</v>
      </c>
    </row>
    <row r="870" spans="19:22" x14ac:dyDescent="0.45">
      <c r="S870" t="s">
        <v>143</v>
      </c>
      <c r="T870" t="s">
        <v>208</v>
      </c>
      <c r="U870">
        <v>2.575632851398146E-2</v>
      </c>
      <c r="V870" t="s">
        <v>84</v>
      </c>
    </row>
    <row r="871" spans="19:22" x14ac:dyDescent="0.45">
      <c r="S871" t="s">
        <v>143</v>
      </c>
      <c r="T871" t="s">
        <v>209</v>
      </c>
      <c r="U871">
        <v>4.0524441988641684E-2</v>
      </c>
      <c r="V871" t="s">
        <v>84</v>
      </c>
    </row>
    <row r="872" spans="19:22" x14ac:dyDescent="0.45">
      <c r="S872" t="s">
        <v>143</v>
      </c>
      <c r="T872" t="s">
        <v>210</v>
      </c>
      <c r="U872">
        <v>6.5172290902900318E-3</v>
      </c>
      <c r="V872" t="s">
        <v>84</v>
      </c>
    </row>
    <row r="873" spans="19:22" x14ac:dyDescent="0.45">
      <c r="S873" t="s">
        <v>143</v>
      </c>
      <c r="T873" t="s">
        <v>211</v>
      </c>
      <c r="U873">
        <v>6.3918429727519771E-3</v>
      </c>
      <c r="V873" t="s">
        <v>84</v>
      </c>
    </row>
    <row r="874" spans="19:22" x14ac:dyDescent="0.45">
      <c r="S874" t="s">
        <v>143</v>
      </c>
      <c r="T874" t="s">
        <v>212</v>
      </c>
      <c r="U874">
        <v>3.108210459784164E-2</v>
      </c>
      <c r="V874" t="s">
        <v>84</v>
      </c>
    </row>
    <row r="875" spans="19:22" x14ac:dyDescent="0.45">
      <c r="S875" t="s">
        <v>144</v>
      </c>
      <c r="T875" t="s">
        <v>83</v>
      </c>
      <c r="U875">
        <v>2.4508498066552468E-2</v>
      </c>
      <c r="V875" t="s">
        <v>84</v>
      </c>
    </row>
    <row r="876" spans="19:22" x14ac:dyDescent="0.45">
      <c r="S876" t="s">
        <v>144</v>
      </c>
      <c r="T876" t="s">
        <v>85</v>
      </c>
      <c r="U876">
        <v>1.4190892395366654E-2</v>
      </c>
      <c r="V876" t="s">
        <v>84</v>
      </c>
    </row>
    <row r="877" spans="19:22" x14ac:dyDescent="0.45">
      <c r="S877" t="s">
        <v>144</v>
      </c>
      <c r="T877" t="s">
        <v>86</v>
      </c>
      <c r="U877">
        <v>2.2099047509457809E-2</v>
      </c>
      <c r="V877" t="s">
        <v>84</v>
      </c>
    </row>
    <row r="878" spans="19:22" x14ac:dyDescent="0.45">
      <c r="S878" t="s">
        <v>144</v>
      </c>
      <c r="T878" t="s">
        <v>177</v>
      </c>
      <c r="U878">
        <v>3.6471070697605946E-3</v>
      </c>
      <c r="V878" t="s">
        <v>84</v>
      </c>
    </row>
    <row r="879" spans="19:22" x14ac:dyDescent="0.45">
      <c r="S879" t="s">
        <v>144</v>
      </c>
      <c r="T879" t="s">
        <v>178</v>
      </c>
      <c r="U879">
        <v>3.6145609851626656E-3</v>
      </c>
      <c r="V879" t="s">
        <v>84</v>
      </c>
    </row>
    <row r="880" spans="19:22" x14ac:dyDescent="0.45">
      <c r="S880" t="s">
        <v>144</v>
      </c>
      <c r="T880" t="s">
        <v>179</v>
      </c>
      <c r="U880">
        <v>1.7672472913422839E-2</v>
      </c>
      <c r="V880" t="s">
        <v>84</v>
      </c>
    </row>
    <row r="881" spans="19:22" x14ac:dyDescent="0.45">
      <c r="S881" t="s">
        <v>144</v>
      </c>
      <c r="T881" t="s">
        <v>87</v>
      </c>
      <c r="U881">
        <v>2.3064599619820249E-2</v>
      </c>
      <c r="V881" t="s">
        <v>84</v>
      </c>
    </row>
    <row r="882" spans="19:22" x14ac:dyDescent="0.45">
      <c r="S882" t="s">
        <v>144</v>
      </c>
      <c r="T882" t="s">
        <v>88</v>
      </c>
      <c r="U882">
        <v>1.2756638713690543E-2</v>
      </c>
      <c r="V882" t="s">
        <v>84</v>
      </c>
    </row>
    <row r="883" spans="19:22" x14ac:dyDescent="0.45">
      <c r="S883" t="s">
        <v>144</v>
      </c>
      <c r="T883" t="s">
        <v>89</v>
      </c>
      <c r="U883">
        <v>2.0967989129106857E-2</v>
      </c>
      <c r="V883" t="s">
        <v>84</v>
      </c>
    </row>
    <row r="884" spans="19:22" x14ac:dyDescent="0.45">
      <c r="S884" t="s">
        <v>144</v>
      </c>
      <c r="T884" t="s">
        <v>180</v>
      </c>
      <c r="U884">
        <v>3.5832917548213562E-3</v>
      </c>
      <c r="V884" t="s">
        <v>84</v>
      </c>
    </row>
    <row r="885" spans="19:22" x14ac:dyDescent="0.45">
      <c r="S885" t="s">
        <v>144</v>
      </c>
      <c r="T885" t="s">
        <v>181</v>
      </c>
      <c r="U885">
        <v>3.5710995192548933E-3</v>
      </c>
      <c r="V885" t="s">
        <v>84</v>
      </c>
    </row>
    <row r="886" spans="19:22" x14ac:dyDescent="0.45">
      <c r="S886" t="s">
        <v>144</v>
      </c>
      <c r="T886" t="s">
        <v>182</v>
      </c>
      <c r="U886">
        <v>1.7028795513624177E-2</v>
      </c>
      <c r="V886" t="s">
        <v>84</v>
      </c>
    </row>
    <row r="887" spans="19:22" x14ac:dyDescent="0.45">
      <c r="S887" t="s">
        <v>144</v>
      </c>
      <c r="T887" t="s">
        <v>90</v>
      </c>
      <c r="U887">
        <v>2.5200867939279184E-2</v>
      </c>
      <c r="V887" t="s">
        <v>84</v>
      </c>
    </row>
    <row r="888" spans="19:22" x14ac:dyDescent="0.45">
      <c r="S888" t="s">
        <v>144</v>
      </c>
      <c r="T888" t="s">
        <v>91</v>
      </c>
      <c r="U888">
        <v>1.4629329222147833E-2</v>
      </c>
      <c r="V888" t="s">
        <v>84</v>
      </c>
    </row>
    <row r="889" spans="19:22" x14ac:dyDescent="0.45">
      <c r="S889" t="s">
        <v>144</v>
      </c>
      <c r="T889" t="s">
        <v>92</v>
      </c>
      <c r="U889">
        <v>2.2976964510061901E-2</v>
      </c>
      <c r="V889" t="s">
        <v>84</v>
      </c>
    </row>
    <row r="890" spans="19:22" x14ac:dyDescent="0.45">
      <c r="S890" t="s">
        <v>144</v>
      </c>
      <c r="T890" t="s">
        <v>183</v>
      </c>
      <c r="U890">
        <v>3.7592849113690934E-3</v>
      </c>
      <c r="V890" t="s">
        <v>84</v>
      </c>
    </row>
    <row r="891" spans="19:22" x14ac:dyDescent="0.45">
      <c r="S891" t="s">
        <v>144</v>
      </c>
      <c r="T891" t="s">
        <v>184</v>
      </c>
      <c r="U891">
        <v>3.702027756750222E-3</v>
      </c>
      <c r="V891" t="s">
        <v>84</v>
      </c>
    </row>
    <row r="892" spans="19:22" x14ac:dyDescent="0.45">
      <c r="S892" t="s">
        <v>144</v>
      </c>
      <c r="T892" t="s">
        <v>185</v>
      </c>
      <c r="U892">
        <v>1.7934303410219853E-2</v>
      </c>
      <c r="V892" t="s">
        <v>84</v>
      </c>
    </row>
    <row r="893" spans="19:22" x14ac:dyDescent="0.45">
      <c r="S893" t="s">
        <v>144</v>
      </c>
      <c r="T893" t="s">
        <v>93</v>
      </c>
      <c r="U893">
        <v>4.763245410024089E-2</v>
      </c>
      <c r="V893" t="s">
        <v>84</v>
      </c>
    </row>
    <row r="894" spans="19:22" x14ac:dyDescent="0.45">
      <c r="S894" t="s">
        <v>144</v>
      </c>
      <c r="T894" t="s">
        <v>94</v>
      </c>
      <c r="U894">
        <v>2.6891386813147612E-2</v>
      </c>
      <c r="V894" t="s">
        <v>84</v>
      </c>
    </row>
    <row r="895" spans="19:22" x14ac:dyDescent="0.45">
      <c r="S895" t="s">
        <v>144</v>
      </c>
      <c r="T895" t="s">
        <v>95</v>
      </c>
      <c r="U895">
        <v>4.1657872099081304E-2</v>
      </c>
      <c r="V895" t="s">
        <v>84</v>
      </c>
    </row>
    <row r="896" spans="19:22" x14ac:dyDescent="0.45">
      <c r="S896" t="s">
        <v>144</v>
      </c>
      <c r="T896" t="s">
        <v>186</v>
      </c>
      <c r="U896">
        <v>6.9434378240610271E-3</v>
      </c>
      <c r="V896" t="s">
        <v>84</v>
      </c>
    </row>
    <row r="897" spans="19:22" x14ac:dyDescent="0.45">
      <c r="S897" t="s">
        <v>144</v>
      </c>
      <c r="T897" t="s">
        <v>187</v>
      </c>
      <c r="U897">
        <v>6.8446629905231891E-3</v>
      </c>
      <c r="V897" t="s">
        <v>84</v>
      </c>
    </row>
    <row r="898" spans="19:22" x14ac:dyDescent="0.45">
      <c r="S898" t="s">
        <v>144</v>
      </c>
      <c r="T898" t="s">
        <v>188</v>
      </c>
      <c r="U898">
        <v>3.3365669153956057E-2</v>
      </c>
      <c r="V898" t="s">
        <v>84</v>
      </c>
    </row>
    <row r="899" spans="19:22" x14ac:dyDescent="0.45">
      <c r="S899" t="s">
        <v>144</v>
      </c>
      <c r="T899" t="s">
        <v>189</v>
      </c>
      <c r="U899">
        <v>2.3624181418198067E-2</v>
      </c>
      <c r="V899" t="s">
        <v>84</v>
      </c>
    </row>
    <row r="900" spans="19:22" x14ac:dyDescent="0.45">
      <c r="S900" t="s">
        <v>144</v>
      </c>
      <c r="T900" t="s">
        <v>190</v>
      </c>
      <c r="U900">
        <v>1.2683645900799741E-2</v>
      </c>
      <c r="V900" t="s">
        <v>84</v>
      </c>
    </row>
    <row r="901" spans="19:22" x14ac:dyDescent="0.45">
      <c r="S901" t="s">
        <v>144</v>
      </c>
      <c r="T901" t="s">
        <v>191</v>
      </c>
      <c r="U901">
        <v>1.9283609617131412E-2</v>
      </c>
      <c r="V901" t="s">
        <v>84</v>
      </c>
    </row>
    <row r="902" spans="19:22" x14ac:dyDescent="0.45">
      <c r="S902" t="s">
        <v>144</v>
      </c>
      <c r="T902" t="s">
        <v>192</v>
      </c>
      <c r="U902">
        <v>3.2499602089421788E-3</v>
      </c>
      <c r="V902" t="s">
        <v>84</v>
      </c>
    </row>
    <row r="903" spans="19:22" x14ac:dyDescent="0.45">
      <c r="S903" t="s">
        <v>144</v>
      </c>
      <c r="T903" t="s">
        <v>193</v>
      </c>
      <c r="U903">
        <v>3.278166146835809E-3</v>
      </c>
      <c r="V903" t="s">
        <v>84</v>
      </c>
    </row>
    <row r="904" spans="19:22" x14ac:dyDescent="0.45">
      <c r="S904" t="s">
        <v>144</v>
      </c>
      <c r="T904" t="s">
        <v>194</v>
      </c>
      <c r="U904">
        <v>1.6567132577049632E-2</v>
      </c>
      <c r="V904" t="s">
        <v>84</v>
      </c>
    </row>
    <row r="905" spans="19:22" x14ac:dyDescent="0.45">
      <c r="S905" t="s">
        <v>144</v>
      </c>
      <c r="T905" t="s">
        <v>195</v>
      </c>
      <c r="U905">
        <v>7.4037392621916873E-2</v>
      </c>
      <c r="V905" t="s">
        <v>84</v>
      </c>
    </row>
    <row r="906" spans="19:22" x14ac:dyDescent="0.45">
      <c r="S906" t="s">
        <v>144</v>
      </c>
      <c r="T906" t="s">
        <v>196</v>
      </c>
      <c r="U906">
        <v>4.2299637628592818E-2</v>
      </c>
      <c r="V906" t="s">
        <v>84</v>
      </c>
    </row>
    <row r="907" spans="19:22" x14ac:dyDescent="0.45">
      <c r="S907" t="s">
        <v>144</v>
      </c>
      <c r="T907" t="s">
        <v>197</v>
      </c>
      <c r="U907">
        <v>6.55173153991606E-2</v>
      </c>
      <c r="V907" t="s">
        <v>84</v>
      </c>
    </row>
    <row r="908" spans="19:22" x14ac:dyDescent="0.45">
      <c r="S908" t="s">
        <v>144</v>
      </c>
      <c r="T908" t="s">
        <v>198</v>
      </c>
      <c r="U908">
        <v>1.0906755496510585E-2</v>
      </c>
      <c r="V908" t="s">
        <v>84</v>
      </c>
    </row>
    <row r="909" spans="19:22" x14ac:dyDescent="0.45">
      <c r="S909" t="s">
        <v>144</v>
      </c>
      <c r="T909" t="s">
        <v>199</v>
      </c>
      <c r="U909">
        <v>1.0787067762076078E-2</v>
      </c>
      <c r="V909" t="s">
        <v>84</v>
      </c>
    </row>
    <row r="910" spans="19:22" x14ac:dyDescent="0.45">
      <c r="S910" t="s">
        <v>144</v>
      </c>
      <c r="T910" t="s">
        <v>200</v>
      </c>
      <c r="U910">
        <v>5.3260011160090444E-2</v>
      </c>
      <c r="V910" t="s">
        <v>84</v>
      </c>
    </row>
    <row r="911" spans="19:22" x14ac:dyDescent="0.45">
      <c r="S911" t="s">
        <v>144</v>
      </c>
      <c r="T911" t="s">
        <v>201</v>
      </c>
      <c r="U911">
        <v>2.6672260139000547E-2</v>
      </c>
      <c r="V911" t="s">
        <v>84</v>
      </c>
    </row>
    <row r="912" spans="19:22" x14ac:dyDescent="0.45">
      <c r="S912" t="s">
        <v>144</v>
      </c>
      <c r="T912" t="s">
        <v>202</v>
      </c>
      <c r="U912">
        <v>1.5355718239680103E-2</v>
      </c>
      <c r="V912" t="s">
        <v>84</v>
      </c>
    </row>
    <row r="913" spans="19:22" x14ac:dyDescent="0.45">
      <c r="S913" t="s">
        <v>144</v>
      </c>
      <c r="T913" t="s">
        <v>203</v>
      </c>
      <c r="U913">
        <v>2.3715349656692055E-2</v>
      </c>
      <c r="V913" t="s">
        <v>84</v>
      </c>
    </row>
    <row r="914" spans="19:22" x14ac:dyDescent="0.45">
      <c r="S914" t="s">
        <v>144</v>
      </c>
      <c r="T914" t="s">
        <v>204</v>
      </c>
      <c r="U914">
        <v>3.8037619566814868E-3</v>
      </c>
      <c r="V914" t="s">
        <v>84</v>
      </c>
    </row>
    <row r="915" spans="19:22" x14ac:dyDescent="0.45">
      <c r="S915" t="s">
        <v>144</v>
      </c>
      <c r="T915" t="s">
        <v>205</v>
      </c>
      <c r="U915">
        <v>3.755294938771375E-3</v>
      </c>
      <c r="V915" t="s">
        <v>84</v>
      </c>
    </row>
    <row r="916" spans="19:22" x14ac:dyDescent="0.45">
      <c r="S916" t="s">
        <v>144</v>
      </c>
      <c r="T916" t="s">
        <v>206</v>
      </c>
      <c r="U916">
        <v>1.8747745301259538E-2</v>
      </c>
      <c r="V916" t="s">
        <v>84</v>
      </c>
    </row>
    <row r="917" spans="19:22" x14ac:dyDescent="0.45">
      <c r="S917" t="s">
        <v>144</v>
      </c>
      <c r="T917" t="s">
        <v>207</v>
      </c>
      <c r="U917">
        <v>4.6064824452167315E-2</v>
      </c>
      <c r="V917" t="s">
        <v>84</v>
      </c>
    </row>
    <row r="918" spans="19:22" x14ac:dyDescent="0.45">
      <c r="S918" t="s">
        <v>144</v>
      </c>
      <c r="T918" t="s">
        <v>208</v>
      </c>
      <c r="U918">
        <v>2.6590804070888527E-2</v>
      </c>
      <c r="V918" t="s">
        <v>84</v>
      </c>
    </row>
    <row r="919" spans="19:22" x14ac:dyDescent="0.45">
      <c r="S919" t="s">
        <v>144</v>
      </c>
      <c r="T919" t="s">
        <v>209</v>
      </c>
      <c r="U919">
        <v>3.8708124107902739E-2</v>
      </c>
      <c r="V919" t="s">
        <v>84</v>
      </c>
    </row>
    <row r="920" spans="19:22" x14ac:dyDescent="0.45">
      <c r="S920" t="s">
        <v>144</v>
      </c>
      <c r="T920" t="s">
        <v>210</v>
      </c>
      <c r="U920">
        <v>6.1168634406170673E-3</v>
      </c>
      <c r="V920" t="s">
        <v>84</v>
      </c>
    </row>
    <row r="921" spans="19:22" x14ac:dyDescent="0.45">
      <c r="S921" t="s">
        <v>144</v>
      </c>
      <c r="T921" t="s">
        <v>211</v>
      </c>
      <c r="U921">
        <v>6.060705903286767E-3</v>
      </c>
      <c r="V921" t="s">
        <v>84</v>
      </c>
    </row>
    <row r="922" spans="19:22" x14ac:dyDescent="0.45">
      <c r="S922" t="s">
        <v>144</v>
      </c>
      <c r="T922" t="s">
        <v>212</v>
      </c>
      <c r="U922">
        <v>3.0670417934868435E-2</v>
      </c>
      <c r="V922" t="s">
        <v>84</v>
      </c>
    </row>
    <row r="923" spans="19:22" x14ac:dyDescent="0.45">
      <c r="S923" t="s">
        <v>145</v>
      </c>
      <c r="T923" t="s">
        <v>83</v>
      </c>
      <c r="U923">
        <v>2.6500612072736615E-2</v>
      </c>
      <c r="V923" t="s">
        <v>84</v>
      </c>
    </row>
    <row r="924" spans="19:22" x14ac:dyDescent="0.45">
      <c r="S924" t="s">
        <v>145</v>
      </c>
      <c r="T924" t="s">
        <v>85</v>
      </c>
      <c r="U924">
        <v>1.5189764766013057E-2</v>
      </c>
      <c r="V924" t="s">
        <v>84</v>
      </c>
    </row>
    <row r="925" spans="19:22" x14ac:dyDescent="0.45">
      <c r="S925" t="s">
        <v>145</v>
      </c>
      <c r="T925" t="s">
        <v>86</v>
      </c>
      <c r="U925">
        <v>2.2305298179390424E-2</v>
      </c>
      <c r="V925" t="s">
        <v>84</v>
      </c>
    </row>
    <row r="926" spans="19:22" x14ac:dyDescent="0.45">
      <c r="S926" t="s">
        <v>145</v>
      </c>
      <c r="T926" t="s">
        <v>177</v>
      </c>
      <c r="U926">
        <v>3.7541335457093798E-3</v>
      </c>
      <c r="V926" t="s">
        <v>84</v>
      </c>
    </row>
    <row r="927" spans="19:22" x14ac:dyDescent="0.45">
      <c r="S927" t="s">
        <v>145</v>
      </c>
      <c r="T927" t="s">
        <v>178</v>
      </c>
      <c r="U927">
        <v>3.7456977813468979E-3</v>
      </c>
      <c r="V927" t="s">
        <v>84</v>
      </c>
    </row>
    <row r="928" spans="19:22" x14ac:dyDescent="0.45">
      <c r="S928" t="s">
        <v>145</v>
      </c>
      <c r="T928" t="s">
        <v>179</v>
      </c>
      <c r="U928">
        <v>1.876827468411572E-2</v>
      </c>
      <c r="V928" t="s">
        <v>84</v>
      </c>
    </row>
    <row r="929" spans="19:22" x14ac:dyDescent="0.45">
      <c r="S929" t="s">
        <v>145</v>
      </c>
      <c r="T929" t="s">
        <v>87</v>
      </c>
      <c r="U929">
        <v>1.4992066566868533E-2</v>
      </c>
      <c r="V929" t="s">
        <v>84</v>
      </c>
    </row>
    <row r="930" spans="19:22" x14ac:dyDescent="0.45">
      <c r="S930" t="s">
        <v>145</v>
      </c>
      <c r="T930" t="s">
        <v>88</v>
      </c>
      <c r="U930">
        <v>7.1297212802718642E-3</v>
      </c>
      <c r="V930" t="s">
        <v>84</v>
      </c>
    </row>
    <row r="931" spans="19:22" x14ac:dyDescent="0.45">
      <c r="S931" t="s">
        <v>145</v>
      </c>
      <c r="T931" t="s">
        <v>89</v>
      </c>
      <c r="U931">
        <v>1.1662176202163707E-2</v>
      </c>
      <c r="V931" t="s">
        <v>84</v>
      </c>
    </row>
    <row r="932" spans="19:22" x14ac:dyDescent="0.45">
      <c r="S932" t="s">
        <v>145</v>
      </c>
      <c r="T932" t="s">
        <v>180</v>
      </c>
      <c r="U932">
        <v>2.3489433578469721E-3</v>
      </c>
      <c r="V932" t="s">
        <v>84</v>
      </c>
    </row>
    <row r="933" spans="19:22" x14ac:dyDescent="0.45">
      <c r="S933" t="s">
        <v>145</v>
      </c>
      <c r="T933" t="s">
        <v>181</v>
      </c>
      <c r="U933">
        <v>2.3619605516774461E-3</v>
      </c>
      <c r="V933" t="s">
        <v>84</v>
      </c>
    </row>
    <row r="934" spans="19:22" x14ac:dyDescent="0.45">
      <c r="S934" t="s">
        <v>145</v>
      </c>
      <c r="T934" t="s">
        <v>182</v>
      </c>
      <c r="U934">
        <v>1.1548884278119372E-2</v>
      </c>
      <c r="V934" t="s">
        <v>84</v>
      </c>
    </row>
    <row r="935" spans="19:22" x14ac:dyDescent="0.45">
      <c r="S935" t="s">
        <v>145</v>
      </c>
      <c r="T935" t="s">
        <v>90</v>
      </c>
      <c r="U935">
        <v>1.4919023157529115E-2</v>
      </c>
      <c r="V935" t="s">
        <v>84</v>
      </c>
    </row>
    <row r="936" spans="19:22" x14ac:dyDescent="0.45">
      <c r="S936" t="s">
        <v>145</v>
      </c>
      <c r="T936" t="s">
        <v>91</v>
      </c>
      <c r="U936">
        <v>8.5341397476291093E-3</v>
      </c>
      <c r="V936" t="s">
        <v>84</v>
      </c>
    </row>
    <row r="937" spans="19:22" x14ac:dyDescent="0.45">
      <c r="S937" t="s">
        <v>145</v>
      </c>
      <c r="T937" t="s">
        <v>92</v>
      </c>
      <c r="U937">
        <v>1.3699741898280318E-2</v>
      </c>
      <c r="V937" t="s">
        <v>84</v>
      </c>
    </row>
    <row r="938" spans="19:22" x14ac:dyDescent="0.45">
      <c r="S938" t="s">
        <v>145</v>
      </c>
      <c r="T938" t="s">
        <v>183</v>
      </c>
      <c r="U938">
        <v>2.6041948954755954E-3</v>
      </c>
      <c r="V938" t="s">
        <v>84</v>
      </c>
    </row>
    <row r="939" spans="19:22" x14ac:dyDescent="0.45">
      <c r="S939" t="s">
        <v>145</v>
      </c>
      <c r="T939" t="s">
        <v>184</v>
      </c>
      <c r="U939">
        <v>2.5453006974096E-3</v>
      </c>
      <c r="V939" t="s">
        <v>84</v>
      </c>
    </row>
    <row r="940" spans="19:22" x14ac:dyDescent="0.45">
      <c r="S940" t="s">
        <v>145</v>
      </c>
      <c r="T940" t="s">
        <v>185</v>
      </c>
      <c r="U940">
        <v>1.1115281812062295E-2</v>
      </c>
      <c r="V940" t="s">
        <v>84</v>
      </c>
    </row>
    <row r="941" spans="19:22" x14ac:dyDescent="0.45">
      <c r="S941" t="s">
        <v>145</v>
      </c>
      <c r="T941" t="s">
        <v>93</v>
      </c>
      <c r="U941">
        <v>4.8425474121216415E-2</v>
      </c>
      <c r="V941" t="s">
        <v>84</v>
      </c>
    </row>
    <row r="942" spans="19:22" x14ac:dyDescent="0.45">
      <c r="S942" t="s">
        <v>145</v>
      </c>
      <c r="T942" t="s">
        <v>94</v>
      </c>
      <c r="U942">
        <v>2.6769596788484069E-2</v>
      </c>
      <c r="V942" t="s">
        <v>84</v>
      </c>
    </row>
    <row r="943" spans="19:22" x14ac:dyDescent="0.45">
      <c r="S943" t="s">
        <v>145</v>
      </c>
      <c r="T943" t="s">
        <v>95</v>
      </c>
      <c r="U943">
        <v>4.0074408649799824E-2</v>
      </c>
      <c r="V943" t="s">
        <v>84</v>
      </c>
    </row>
    <row r="944" spans="19:22" x14ac:dyDescent="0.45">
      <c r="S944" t="s">
        <v>145</v>
      </c>
      <c r="T944" t="s">
        <v>186</v>
      </c>
      <c r="U944">
        <v>6.6850451205676146E-3</v>
      </c>
      <c r="V944" t="s">
        <v>84</v>
      </c>
    </row>
    <row r="945" spans="19:22" x14ac:dyDescent="0.45">
      <c r="S945" t="s">
        <v>145</v>
      </c>
      <c r="T945" t="s">
        <v>187</v>
      </c>
      <c r="U945">
        <v>6.8786752703308279E-3</v>
      </c>
      <c r="V945" t="s">
        <v>84</v>
      </c>
    </row>
    <row r="946" spans="19:22" x14ac:dyDescent="0.45">
      <c r="S946" t="s">
        <v>145</v>
      </c>
      <c r="T946" t="s">
        <v>188</v>
      </c>
      <c r="U946">
        <v>3.4674994569959601E-2</v>
      </c>
      <c r="V946" t="s">
        <v>84</v>
      </c>
    </row>
    <row r="947" spans="19:22" x14ac:dyDescent="0.45">
      <c r="S947" t="s">
        <v>145</v>
      </c>
      <c r="T947" t="s">
        <v>189</v>
      </c>
      <c r="U947">
        <v>2.877818013015547E-2</v>
      </c>
      <c r="V947" t="s">
        <v>84</v>
      </c>
    </row>
    <row r="948" spans="19:22" x14ac:dyDescent="0.45">
      <c r="S948" t="s">
        <v>145</v>
      </c>
      <c r="T948" t="s">
        <v>190</v>
      </c>
      <c r="U948">
        <v>1.6298701347892068E-2</v>
      </c>
      <c r="V948" t="s">
        <v>84</v>
      </c>
    </row>
    <row r="949" spans="19:22" x14ac:dyDescent="0.45">
      <c r="S949" t="s">
        <v>145</v>
      </c>
      <c r="T949" t="s">
        <v>191</v>
      </c>
      <c r="U949">
        <v>2.557803136663583E-2</v>
      </c>
      <c r="V949" t="s">
        <v>84</v>
      </c>
    </row>
    <row r="950" spans="19:22" x14ac:dyDescent="0.45">
      <c r="S950" t="s">
        <v>145</v>
      </c>
      <c r="T950" t="s">
        <v>192</v>
      </c>
      <c r="U950">
        <v>4.0043137236221212E-3</v>
      </c>
      <c r="V950" t="s">
        <v>84</v>
      </c>
    </row>
    <row r="951" spans="19:22" x14ac:dyDescent="0.45">
      <c r="S951" t="s">
        <v>145</v>
      </c>
      <c r="T951" t="s">
        <v>193</v>
      </c>
      <c r="U951">
        <v>3.7741682861387629E-3</v>
      </c>
      <c r="V951" t="s">
        <v>84</v>
      </c>
    </row>
    <row r="952" spans="19:22" x14ac:dyDescent="0.45">
      <c r="S952" t="s">
        <v>145</v>
      </c>
      <c r="T952" t="s">
        <v>194</v>
      </c>
      <c r="U952">
        <v>1.88003196015194E-2</v>
      </c>
      <c r="V952" t="s">
        <v>84</v>
      </c>
    </row>
    <row r="953" spans="19:22" x14ac:dyDescent="0.45">
      <c r="S953" t="s">
        <v>145</v>
      </c>
      <c r="T953" t="s">
        <v>195</v>
      </c>
      <c r="U953">
        <v>8.6665198448083638E-2</v>
      </c>
      <c r="V953" t="s">
        <v>84</v>
      </c>
    </row>
    <row r="954" spans="19:22" x14ac:dyDescent="0.45">
      <c r="S954" t="s">
        <v>145</v>
      </c>
      <c r="T954" t="s">
        <v>196</v>
      </c>
      <c r="U954">
        <v>4.6959944502796357E-2</v>
      </c>
      <c r="V954" t="s">
        <v>84</v>
      </c>
    </row>
    <row r="955" spans="19:22" x14ac:dyDescent="0.45">
      <c r="S955" t="s">
        <v>145</v>
      </c>
      <c r="T955" t="s">
        <v>197</v>
      </c>
      <c r="U955">
        <v>7.4669843297438615E-2</v>
      </c>
      <c r="V955" t="s">
        <v>84</v>
      </c>
    </row>
    <row r="956" spans="19:22" x14ac:dyDescent="0.45">
      <c r="S956" t="s">
        <v>145</v>
      </c>
      <c r="T956" t="s">
        <v>198</v>
      </c>
      <c r="U956">
        <v>1.2493223441992418E-2</v>
      </c>
      <c r="V956" t="s">
        <v>84</v>
      </c>
    </row>
    <row r="957" spans="19:22" x14ac:dyDescent="0.45">
      <c r="S957" t="s">
        <v>145</v>
      </c>
      <c r="T957" t="s">
        <v>199</v>
      </c>
      <c r="U957">
        <v>1.2649508180030189E-2</v>
      </c>
      <c r="V957" t="s">
        <v>84</v>
      </c>
    </row>
    <row r="958" spans="19:22" x14ac:dyDescent="0.45">
      <c r="S958" t="s">
        <v>145</v>
      </c>
      <c r="T958" t="s">
        <v>200</v>
      </c>
      <c r="U958">
        <v>6.4443355566265959E-2</v>
      </c>
      <c r="V958" t="s">
        <v>84</v>
      </c>
    </row>
    <row r="959" spans="19:22" x14ac:dyDescent="0.45">
      <c r="S959" t="s">
        <v>145</v>
      </c>
      <c r="T959" t="s">
        <v>201</v>
      </c>
      <c r="U959">
        <v>3.0202507215532557E-2</v>
      </c>
      <c r="V959" t="s">
        <v>84</v>
      </c>
    </row>
    <row r="960" spans="19:22" x14ac:dyDescent="0.45">
      <c r="S960" t="s">
        <v>145</v>
      </c>
      <c r="T960" t="s">
        <v>202</v>
      </c>
      <c r="U960">
        <v>1.7496863892937087E-2</v>
      </c>
      <c r="V960" t="s">
        <v>84</v>
      </c>
    </row>
    <row r="961" spans="19:22" x14ac:dyDescent="0.45">
      <c r="S961" t="s">
        <v>145</v>
      </c>
      <c r="T961" t="s">
        <v>203</v>
      </c>
      <c r="U961">
        <v>2.75772164896998E-2</v>
      </c>
      <c r="V961" t="s">
        <v>84</v>
      </c>
    </row>
    <row r="962" spans="19:22" x14ac:dyDescent="0.45">
      <c r="S962" t="s">
        <v>145</v>
      </c>
      <c r="T962" t="s">
        <v>204</v>
      </c>
      <c r="U962">
        <v>4.5398188791220912E-3</v>
      </c>
      <c r="V962" t="s">
        <v>84</v>
      </c>
    </row>
    <row r="963" spans="19:22" x14ac:dyDescent="0.45">
      <c r="S963" t="s">
        <v>145</v>
      </c>
      <c r="T963" t="s">
        <v>205</v>
      </c>
      <c r="U963">
        <v>4.5549382442355048E-3</v>
      </c>
      <c r="V963" t="s">
        <v>84</v>
      </c>
    </row>
    <row r="964" spans="19:22" x14ac:dyDescent="0.45">
      <c r="S964" t="s">
        <v>145</v>
      </c>
      <c r="T964" t="s">
        <v>206</v>
      </c>
      <c r="U964">
        <v>2.2736779922094184E-2</v>
      </c>
      <c r="V964" t="s">
        <v>84</v>
      </c>
    </row>
    <row r="965" spans="19:22" x14ac:dyDescent="0.45">
      <c r="S965" t="s">
        <v>145</v>
      </c>
      <c r="T965" t="s">
        <v>207</v>
      </c>
      <c r="U965">
        <v>4.1539019652968349E-2</v>
      </c>
      <c r="V965" t="s">
        <v>84</v>
      </c>
    </row>
    <row r="966" spans="19:22" x14ac:dyDescent="0.45">
      <c r="S966" t="s">
        <v>145</v>
      </c>
      <c r="T966" t="s">
        <v>208</v>
      </c>
      <c r="U966">
        <v>2.2023992157811055E-2</v>
      </c>
      <c r="V966" t="s">
        <v>84</v>
      </c>
    </row>
    <row r="967" spans="19:22" x14ac:dyDescent="0.45">
      <c r="S967" t="s">
        <v>145</v>
      </c>
      <c r="T967" t="s">
        <v>209</v>
      </c>
      <c r="U967">
        <v>3.4081911802757284E-2</v>
      </c>
      <c r="V967" t="s">
        <v>84</v>
      </c>
    </row>
    <row r="968" spans="19:22" x14ac:dyDescent="0.45">
      <c r="S968" t="s">
        <v>145</v>
      </c>
      <c r="T968" t="s">
        <v>210</v>
      </c>
      <c r="U968">
        <v>6.131333385374982E-3</v>
      </c>
      <c r="V968" t="s">
        <v>84</v>
      </c>
    </row>
    <row r="969" spans="19:22" x14ac:dyDescent="0.45">
      <c r="S969" t="s">
        <v>145</v>
      </c>
      <c r="T969" t="s">
        <v>211</v>
      </c>
      <c r="U969">
        <v>6.1740137941050889E-3</v>
      </c>
      <c r="V969" t="s">
        <v>84</v>
      </c>
    </row>
    <row r="970" spans="19:22" x14ac:dyDescent="0.45">
      <c r="S970" t="s">
        <v>145</v>
      </c>
      <c r="T970" t="s">
        <v>212</v>
      </c>
      <c r="U970">
        <v>3.0593406675783759E-2</v>
      </c>
      <c r="V970" t="s">
        <v>84</v>
      </c>
    </row>
    <row r="971" spans="19:22" x14ac:dyDescent="0.45">
      <c r="S971" t="s">
        <v>146</v>
      </c>
      <c r="T971" t="s">
        <v>83</v>
      </c>
      <c r="U971">
        <v>2.6512458161569184E-2</v>
      </c>
      <c r="V971" t="s">
        <v>84</v>
      </c>
    </row>
    <row r="972" spans="19:22" x14ac:dyDescent="0.45">
      <c r="S972" t="s">
        <v>146</v>
      </c>
      <c r="T972" t="s">
        <v>85</v>
      </c>
      <c r="U972">
        <v>1.5432552628767002E-2</v>
      </c>
      <c r="V972" t="s">
        <v>84</v>
      </c>
    </row>
    <row r="973" spans="19:22" x14ac:dyDescent="0.45">
      <c r="S973" t="s">
        <v>146</v>
      </c>
      <c r="T973" t="s">
        <v>86</v>
      </c>
      <c r="U973">
        <v>2.2952193774115639E-2</v>
      </c>
      <c r="V973" t="s">
        <v>84</v>
      </c>
    </row>
    <row r="974" spans="19:22" x14ac:dyDescent="0.45">
      <c r="S974" t="s">
        <v>146</v>
      </c>
      <c r="T974" t="s">
        <v>177</v>
      </c>
      <c r="U974">
        <v>3.6952676225862633E-3</v>
      </c>
      <c r="V974" t="s">
        <v>84</v>
      </c>
    </row>
    <row r="975" spans="19:22" x14ac:dyDescent="0.45">
      <c r="S975" t="s">
        <v>146</v>
      </c>
      <c r="T975" t="s">
        <v>178</v>
      </c>
      <c r="U975">
        <v>3.6713890043494541E-3</v>
      </c>
      <c r="V975" t="s">
        <v>84</v>
      </c>
    </row>
    <row r="976" spans="19:22" x14ac:dyDescent="0.45">
      <c r="S976" t="s">
        <v>146</v>
      </c>
      <c r="T976" t="s">
        <v>179</v>
      </c>
      <c r="U976">
        <v>1.7814784037243896E-2</v>
      </c>
      <c r="V976" t="s">
        <v>84</v>
      </c>
    </row>
    <row r="977" spans="19:22" x14ac:dyDescent="0.45">
      <c r="S977" t="s">
        <v>146</v>
      </c>
      <c r="T977" t="s">
        <v>87</v>
      </c>
      <c r="U977">
        <v>1.6076592138261049E-2</v>
      </c>
      <c r="V977" t="s">
        <v>84</v>
      </c>
    </row>
    <row r="978" spans="19:22" x14ac:dyDescent="0.45">
      <c r="S978" t="s">
        <v>146</v>
      </c>
      <c r="T978" t="s">
        <v>88</v>
      </c>
      <c r="U978">
        <v>8.1046854420020603E-3</v>
      </c>
      <c r="V978" t="s">
        <v>84</v>
      </c>
    </row>
    <row r="979" spans="19:22" x14ac:dyDescent="0.45">
      <c r="S979" t="s">
        <v>146</v>
      </c>
      <c r="T979" t="s">
        <v>89</v>
      </c>
      <c r="U979">
        <v>1.1410964308083528E-2</v>
      </c>
      <c r="V979" t="s">
        <v>84</v>
      </c>
    </row>
    <row r="980" spans="19:22" x14ac:dyDescent="0.45">
      <c r="S980" t="s">
        <v>146</v>
      </c>
      <c r="T980" t="s">
        <v>180</v>
      </c>
      <c r="U980">
        <v>2.0175170958295569E-3</v>
      </c>
      <c r="V980" t="s">
        <v>84</v>
      </c>
    </row>
    <row r="981" spans="19:22" x14ac:dyDescent="0.45">
      <c r="S981" t="s">
        <v>146</v>
      </c>
      <c r="T981" t="s">
        <v>181</v>
      </c>
      <c r="U981">
        <v>2.0598957968448349E-3</v>
      </c>
      <c r="V981" t="s">
        <v>84</v>
      </c>
    </row>
    <row r="982" spans="19:22" x14ac:dyDescent="0.45">
      <c r="S982" t="s">
        <v>146</v>
      </c>
      <c r="T982" t="s">
        <v>182</v>
      </c>
      <c r="U982">
        <v>1.108027413414517E-2</v>
      </c>
      <c r="V982" t="s">
        <v>84</v>
      </c>
    </row>
    <row r="983" spans="19:22" x14ac:dyDescent="0.45">
      <c r="S983" t="s">
        <v>146</v>
      </c>
      <c r="T983" t="s">
        <v>90</v>
      </c>
      <c r="U983">
        <v>1.7319717451448467E-2</v>
      </c>
      <c r="V983" t="s">
        <v>84</v>
      </c>
    </row>
    <row r="984" spans="19:22" x14ac:dyDescent="0.45">
      <c r="S984" t="s">
        <v>146</v>
      </c>
      <c r="T984" t="s">
        <v>91</v>
      </c>
      <c r="U984">
        <v>1.0000975876128779E-2</v>
      </c>
      <c r="V984" t="s">
        <v>84</v>
      </c>
    </row>
    <row r="985" spans="19:22" x14ac:dyDescent="0.45">
      <c r="S985" t="s">
        <v>146</v>
      </c>
      <c r="T985" t="s">
        <v>92</v>
      </c>
      <c r="U985">
        <v>1.409585664480489E-2</v>
      </c>
      <c r="V985" t="s">
        <v>84</v>
      </c>
    </row>
    <row r="986" spans="19:22" x14ac:dyDescent="0.45">
      <c r="S986" t="s">
        <v>146</v>
      </c>
      <c r="T986" t="s">
        <v>183</v>
      </c>
      <c r="U986">
        <v>2.2267398434667376E-3</v>
      </c>
      <c r="V986" t="s">
        <v>84</v>
      </c>
    </row>
    <row r="987" spans="19:22" x14ac:dyDescent="0.45">
      <c r="S987" t="s">
        <v>146</v>
      </c>
      <c r="T987" t="s">
        <v>184</v>
      </c>
      <c r="U987">
        <v>2.232631094852452E-3</v>
      </c>
      <c r="V987" t="s">
        <v>84</v>
      </c>
    </row>
    <row r="988" spans="19:22" x14ac:dyDescent="0.45">
      <c r="S988" t="s">
        <v>146</v>
      </c>
      <c r="T988" t="s">
        <v>185</v>
      </c>
      <c r="U988">
        <v>1.1161959842227964E-2</v>
      </c>
      <c r="V988" t="s">
        <v>84</v>
      </c>
    </row>
    <row r="989" spans="19:22" x14ac:dyDescent="0.45">
      <c r="S989" t="s">
        <v>146</v>
      </c>
      <c r="T989" t="s">
        <v>93</v>
      </c>
      <c r="U989">
        <v>4.5542929207358238E-2</v>
      </c>
      <c r="V989" t="s">
        <v>84</v>
      </c>
    </row>
    <row r="990" spans="19:22" x14ac:dyDescent="0.45">
      <c r="S990" t="s">
        <v>146</v>
      </c>
      <c r="T990" t="s">
        <v>94</v>
      </c>
      <c r="U990">
        <v>2.5384065884066349E-2</v>
      </c>
      <c r="V990" t="s">
        <v>84</v>
      </c>
    </row>
    <row r="991" spans="19:22" x14ac:dyDescent="0.45">
      <c r="S991" t="s">
        <v>146</v>
      </c>
      <c r="T991" t="s">
        <v>95</v>
      </c>
      <c r="U991">
        <v>3.8801322182294803E-2</v>
      </c>
      <c r="V991" t="s">
        <v>84</v>
      </c>
    </row>
    <row r="992" spans="19:22" x14ac:dyDescent="0.45">
      <c r="S992" t="s">
        <v>146</v>
      </c>
      <c r="T992" t="s">
        <v>186</v>
      </c>
      <c r="U992">
        <v>6.4182580711859005E-3</v>
      </c>
      <c r="V992" t="s">
        <v>84</v>
      </c>
    </row>
    <row r="993" spans="19:22" x14ac:dyDescent="0.45">
      <c r="S993" t="s">
        <v>146</v>
      </c>
      <c r="T993" t="s">
        <v>187</v>
      </c>
      <c r="U993">
        <v>6.3739624799317085E-3</v>
      </c>
      <c r="V993" t="s">
        <v>84</v>
      </c>
    </row>
    <row r="994" spans="19:22" x14ac:dyDescent="0.45">
      <c r="S994" t="s">
        <v>146</v>
      </c>
      <c r="T994" t="s">
        <v>188</v>
      </c>
      <c r="U994">
        <v>3.1411305274732945E-2</v>
      </c>
      <c r="V994" t="s">
        <v>84</v>
      </c>
    </row>
    <row r="995" spans="19:22" x14ac:dyDescent="0.45">
      <c r="S995" t="s">
        <v>146</v>
      </c>
      <c r="T995" t="s">
        <v>189</v>
      </c>
      <c r="U995">
        <v>2.6230343794476019E-2</v>
      </c>
      <c r="V995" t="s">
        <v>84</v>
      </c>
    </row>
    <row r="996" spans="19:22" x14ac:dyDescent="0.45">
      <c r="S996" t="s">
        <v>146</v>
      </c>
      <c r="T996" t="s">
        <v>190</v>
      </c>
      <c r="U996">
        <v>1.4423926933083996E-2</v>
      </c>
      <c r="V996" t="s">
        <v>84</v>
      </c>
    </row>
    <row r="997" spans="19:22" x14ac:dyDescent="0.45">
      <c r="S997" t="s">
        <v>146</v>
      </c>
      <c r="T997" t="s">
        <v>191</v>
      </c>
      <c r="U997">
        <v>2.2257112721761084E-2</v>
      </c>
      <c r="V997" t="s">
        <v>84</v>
      </c>
    </row>
    <row r="998" spans="19:22" x14ac:dyDescent="0.45">
      <c r="S998" t="s">
        <v>146</v>
      </c>
      <c r="T998" t="s">
        <v>192</v>
      </c>
      <c r="U998">
        <v>3.7697616318207155E-3</v>
      </c>
      <c r="V998" t="s">
        <v>84</v>
      </c>
    </row>
    <row r="999" spans="19:22" x14ac:dyDescent="0.45">
      <c r="S999" t="s">
        <v>146</v>
      </c>
      <c r="T999" t="s">
        <v>193</v>
      </c>
      <c r="U999">
        <v>3.7831127135947631E-3</v>
      </c>
      <c r="V999" t="s">
        <v>84</v>
      </c>
    </row>
    <row r="1000" spans="19:22" x14ac:dyDescent="0.45">
      <c r="S1000" t="s">
        <v>146</v>
      </c>
      <c r="T1000" t="s">
        <v>194</v>
      </c>
      <c r="U1000">
        <v>1.8452261811736204E-2</v>
      </c>
      <c r="V1000" t="s">
        <v>84</v>
      </c>
    </row>
    <row r="1001" spans="19:22" x14ac:dyDescent="0.45">
      <c r="S1001" t="s">
        <v>146</v>
      </c>
      <c r="T1001" t="s">
        <v>195</v>
      </c>
      <c r="U1001">
        <v>8.3834993780623368E-2</v>
      </c>
      <c r="V1001" t="s">
        <v>84</v>
      </c>
    </row>
    <row r="1002" spans="19:22" x14ac:dyDescent="0.45">
      <c r="S1002" t="s">
        <v>146</v>
      </c>
      <c r="T1002" t="s">
        <v>196</v>
      </c>
      <c r="U1002">
        <v>4.7298566731369736E-2</v>
      </c>
      <c r="V1002" t="s">
        <v>84</v>
      </c>
    </row>
    <row r="1003" spans="19:22" x14ac:dyDescent="0.45">
      <c r="S1003" t="s">
        <v>146</v>
      </c>
      <c r="T1003" t="s">
        <v>197</v>
      </c>
      <c r="U1003">
        <v>7.4124988879816139E-2</v>
      </c>
      <c r="V1003" t="s">
        <v>84</v>
      </c>
    </row>
    <row r="1004" spans="19:22" x14ac:dyDescent="0.45">
      <c r="S1004" t="s">
        <v>146</v>
      </c>
      <c r="T1004" t="s">
        <v>198</v>
      </c>
      <c r="U1004">
        <v>1.2330318039057467E-2</v>
      </c>
      <c r="V1004" t="s">
        <v>84</v>
      </c>
    </row>
    <row r="1005" spans="19:22" x14ac:dyDescent="0.45">
      <c r="S1005" t="s">
        <v>146</v>
      </c>
      <c r="T1005" t="s">
        <v>199</v>
      </c>
      <c r="U1005">
        <v>1.2377557612075242E-2</v>
      </c>
      <c r="V1005" t="s">
        <v>84</v>
      </c>
    </row>
    <row r="1006" spans="19:22" x14ac:dyDescent="0.45">
      <c r="S1006" t="s">
        <v>146</v>
      </c>
      <c r="T1006" t="s">
        <v>200</v>
      </c>
      <c r="U1006">
        <v>6.1249659762697993E-2</v>
      </c>
      <c r="V1006" t="s">
        <v>84</v>
      </c>
    </row>
    <row r="1007" spans="19:22" x14ac:dyDescent="0.45">
      <c r="S1007" t="s">
        <v>146</v>
      </c>
      <c r="T1007" t="s">
        <v>201</v>
      </c>
      <c r="U1007">
        <v>3.2184261385307202E-2</v>
      </c>
      <c r="V1007" t="s">
        <v>84</v>
      </c>
    </row>
    <row r="1008" spans="19:22" x14ac:dyDescent="0.45">
      <c r="S1008" t="s">
        <v>146</v>
      </c>
      <c r="T1008" t="s">
        <v>202</v>
      </c>
      <c r="U1008">
        <v>1.7367228247973685E-2</v>
      </c>
      <c r="V1008" t="s">
        <v>84</v>
      </c>
    </row>
    <row r="1009" spans="19:22" x14ac:dyDescent="0.45">
      <c r="S1009" t="s">
        <v>146</v>
      </c>
      <c r="T1009" t="s">
        <v>203</v>
      </c>
      <c r="U1009">
        <v>2.7972837512836163E-2</v>
      </c>
      <c r="V1009" t="s">
        <v>84</v>
      </c>
    </row>
    <row r="1010" spans="19:22" x14ac:dyDescent="0.45">
      <c r="S1010" t="s">
        <v>146</v>
      </c>
      <c r="T1010" t="s">
        <v>204</v>
      </c>
      <c r="U1010">
        <v>4.767858603554327E-3</v>
      </c>
      <c r="V1010" t="s">
        <v>84</v>
      </c>
    </row>
    <row r="1011" spans="19:22" x14ac:dyDescent="0.45">
      <c r="S1011" t="s">
        <v>146</v>
      </c>
      <c r="T1011" t="s">
        <v>205</v>
      </c>
      <c r="U1011">
        <v>4.7450749382669209E-3</v>
      </c>
      <c r="V1011" t="s">
        <v>84</v>
      </c>
    </row>
    <row r="1012" spans="19:22" x14ac:dyDescent="0.45">
      <c r="S1012" t="s">
        <v>146</v>
      </c>
      <c r="T1012" t="s">
        <v>206</v>
      </c>
      <c r="U1012">
        <v>2.3321327636558802E-2</v>
      </c>
      <c r="V1012" t="s">
        <v>84</v>
      </c>
    </row>
    <row r="1013" spans="19:22" x14ac:dyDescent="0.45">
      <c r="S1013" t="s">
        <v>146</v>
      </c>
      <c r="T1013" t="s">
        <v>207</v>
      </c>
      <c r="U1013">
        <v>4.537371758405391E-2</v>
      </c>
      <c r="V1013" t="s">
        <v>84</v>
      </c>
    </row>
    <row r="1014" spans="19:22" x14ac:dyDescent="0.45">
      <c r="S1014" t="s">
        <v>146</v>
      </c>
      <c r="T1014" t="s">
        <v>208</v>
      </c>
      <c r="U1014">
        <v>2.5281493924490087E-2</v>
      </c>
      <c r="V1014" t="s">
        <v>84</v>
      </c>
    </row>
    <row r="1015" spans="19:22" x14ac:dyDescent="0.45">
      <c r="S1015" t="s">
        <v>146</v>
      </c>
      <c r="T1015" t="s">
        <v>209</v>
      </c>
      <c r="U1015">
        <v>4.0313754578463756E-2</v>
      </c>
      <c r="V1015" t="s">
        <v>84</v>
      </c>
    </row>
    <row r="1016" spans="19:22" x14ac:dyDescent="0.45">
      <c r="S1016" t="s">
        <v>146</v>
      </c>
      <c r="T1016" t="s">
        <v>210</v>
      </c>
      <c r="U1016">
        <v>6.7714757428093564E-3</v>
      </c>
      <c r="V1016" t="s">
        <v>84</v>
      </c>
    </row>
    <row r="1017" spans="19:22" x14ac:dyDescent="0.45">
      <c r="S1017" t="s">
        <v>146</v>
      </c>
      <c r="T1017" t="s">
        <v>211</v>
      </c>
      <c r="U1017">
        <v>6.7683101795029729E-3</v>
      </c>
      <c r="V1017" t="s">
        <v>84</v>
      </c>
    </row>
    <row r="1018" spans="19:22" x14ac:dyDescent="0.45">
      <c r="S1018" t="s">
        <v>146</v>
      </c>
      <c r="T1018" t="s">
        <v>212</v>
      </c>
      <c r="U1018">
        <v>3.3201757257771088E-2</v>
      </c>
      <c r="V1018" t="s">
        <v>84</v>
      </c>
    </row>
    <row r="1019" spans="19:22" x14ac:dyDescent="0.45">
      <c r="S1019" t="s">
        <v>147</v>
      </c>
      <c r="T1019" t="s">
        <v>83</v>
      </c>
      <c r="U1019">
        <v>2.9278583012954603E-2</v>
      </c>
      <c r="V1019" t="s">
        <v>84</v>
      </c>
    </row>
    <row r="1020" spans="19:22" x14ac:dyDescent="0.45">
      <c r="S1020" t="s">
        <v>147</v>
      </c>
      <c r="T1020" t="s">
        <v>85</v>
      </c>
      <c r="U1020">
        <v>1.5469405196849313E-2</v>
      </c>
      <c r="V1020" t="s">
        <v>84</v>
      </c>
    </row>
    <row r="1021" spans="19:22" x14ac:dyDescent="0.45">
      <c r="S1021" t="s">
        <v>147</v>
      </c>
      <c r="T1021" t="s">
        <v>86</v>
      </c>
      <c r="U1021">
        <v>2.2015441758252794E-2</v>
      </c>
      <c r="V1021" t="s">
        <v>84</v>
      </c>
    </row>
    <row r="1022" spans="19:22" x14ac:dyDescent="0.45">
      <c r="S1022" t="s">
        <v>147</v>
      </c>
      <c r="T1022" t="s">
        <v>177</v>
      </c>
      <c r="U1022">
        <v>3.4478996565564827E-3</v>
      </c>
      <c r="V1022" t="s">
        <v>84</v>
      </c>
    </row>
    <row r="1023" spans="19:22" x14ac:dyDescent="0.45">
      <c r="S1023" t="s">
        <v>147</v>
      </c>
      <c r="T1023" t="s">
        <v>178</v>
      </c>
      <c r="U1023">
        <v>3.4025917992342729E-3</v>
      </c>
      <c r="V1023" t="s">
        <v>84</v>
      </c>
    </row>
    <row r="1024" spans="19:22" x14ac:dyDescent="0.45">
      <c r="S1024" t="s">
        <v>147</v>
      </c>
      <c r="T1024" t="s">
        <v>179</v>
      </c>
      <c r="U1024">
        <v>1.6581391876329354E-2</v>
      </c>
      <c r="V1024" t="s">
        <v>84</v>
      </c>
    </row>
    <row r="1025" spans="19:22" x14ac:dyDescent="0.45">
      <c r="S1025" t="s">
        <v>147</v>
      </c>
      <c r="T1025" t="s">
        <v>87</v>
      </c>
      <c r="U1025">
        <v>8.9904397065737225E-3</v>
      </c>
      <c r="V1025" t="s">
        <v>84</v>
      </c>
    </row>
    <row r="1026" spans="19:22" x14ac:dyDescent="0.45">
      <c r="S1026" t="s">
        <v>147</v>
      </c>
      <c r="T1026" t="s">
        <v>88</v>
      </c>
      <c r="U1026">
        <v>4.759399322352603E-3</v>
      </c>
      <c r="V1026" t="s">
        <v>84</v>
      </c>
    </row>
    <row r="1027" spans="19:22" x14ac:dyDescent="0.45">
      <c r="S1027" t="s">
        <v>147</v>
      </c>
      <c r="T1027" t="s">
        <v>89</v>
      </c>
      <c r="U1027">
        <v>7.0112102264071642E-3</v>
      </c>
      <c r="V1027" t="s">
        <v>84</v>
      </c>
    </row>
    <row r="1028" spans="19:22" x14ac:dyDescent="0.45">
      <c r="S1028" t="s">
        <v>147</v>
      </c>
      <c r="T1028" t="s">
        <v>180</v>
      </c>
      <c r="U1028">
        <v>1.502630816761721E-3</v>
      </c>
      <c r="V1028" t="s">
        <v>84</v>
      </c>
    </row>
    <row r="1029" spans="19:22" x14ac:dyDescent="0.45">
      <c r="S1029" t="s">
        <v>147</v>
      </c>
      <c r="T1029" t="s">
        <v>181</v>
      </c>
      <c r="U1029">
        <v>1.566816253832818E-3</v>
      </c>
      <c r="V1029" t="s">
        <v>84</v>
      </c>
    </row>
    <row r="1030" spans="19:22" x14ac:dyDescent="0.45">
      <c r="S1030" t="s">
        <v>147</v>
      </c>
      <c r="T1030" t="s">
        <v>182</v>
      </c>
      <c r="U1030">
        <v>7.065753273988575E-3</v>
      </c>
      <c r="V1030" t="s">
        <v>84</v>
      </c>
    </row>
    <row r="1031" spans="19:22" x14ac:dyDescent="0.45">
      <c r="S1031" t="s">
        <v>147</v>
      </c>
      <c r="T1031" t="s">
        <v>90</v>
      </c>
      <c r="U1031">
        <v>1.9258671651620308E-2</v>
      </c>
      <c r="V1031" t="s">
        <v>84</v>
      </c>
    </row>
    <row r="1032" spans="19:22" x14ac:dyDescent="0.45">
      <c r="S1032" t="s">
        <v>147</v>
      </c>
      <c r="T1032" t="s">
        <v>91</v>
      </c>
      <c r="U1032">
        <v>1.1024669437692433E-2</v>
      </c>
      <c r="V1032" t="s">
        <v>84</v>
      </c>
    </row>
    <row r="1033" spans="19:22" x14ac:dyDescent="0.45">
      <c r="S1033" t="s">
        <v>147</v>
      </c>
      <c r="T1033" t="s">
        <v>92</v>
      </c>
      <c r="U1033">
        <v>1.7121547548454984E-2</v>
      </c>
      <c r="V1033" t="s">
        <v>84</v>
      </c>
    </row>
    <row r="1034" spans="19:22" x14ac:dyDescent="0.45">
      <c r="S1034" t="s">
        <v>147</v>
      </c>
      <c r="T1034" t="s">
        <v>183</v>
      </c>
      <c r="U1034">
        <v>2.8053976748873607E-3</v>
      </c>
      <c r="V1034" t="s">
        <v>84</v>
      </c>
    </row>
    <row r="1035" spans="19:22" x14ac:dyDescent="0.45">
      <c r="S1035" t="s">
        <v>147</v>
      </c>
      <c r="T1035" t="s">
        <v>184</v>
      </c>
      <c r="U1035">
        <v>2.7093987270332479E-3</v>
      </c>
      <c r="V1035" t="s">
        <v>84</v>
      </c>
    </row>
    <row r="1036" spans="19:22" x14ac:dyDescent="0.45">
      <c r="S1036" t="s">
        <v>147</v>
      </c>
      <c r="T1036" t="s">
        <v>185</v>
      </c>
      <c r="U1036">
        <v>1.2713260082685262E-2</v>
      </c>
      <c r="V1036" t="s">
        <v>84</v>
      </c>
    </row>
    <row r="1037" spans="19:22" x14ac:dyDescent="0.45">
      <c r="S1037" t="s">
        <v>147</v>
      </c>
      <c r="T1037" t="s">
        <v>93</v>
      </c>
      <c r="U1037">
        <v>4.694824851713409E-2</v>
      </c>
      <c r="V1037" t="s">
        <v>84</v>
      </c>
    </row>
    <row r="1038" spans="19:22" x14ac:dyDescent="0.45">
      <c r="S1038" t="s">
        <v>147</v>
      </c>
      <c r="T1038" t="s">
        <v>94</v>
      </c>
      <c r="U1038">
        <v>2.4982535628929853E-2</v>
      </c>
      <c r="V1038" t="s">
        <v>84</v>
      </c>
    </row>
    <row r="1039" spans="19:22" x14ac:dyDescent="0.45">
      <c r="S1039" t="s">
        <v>147</v>
      </c>
      <c r="T1039" t="s">
        <v>95</v>
      </c>
      <c r="U1039">
        <v>4.0255566940714929E-2</v>
      </c>
      <c r="V1039" t="s">
        <v>84</v>
      </c>
    </row>
    <row r="1040" spans="19:22" x14ac:dyDescent="0.45">
      <c r="S1040" t="s">
        <v>147</v>
      </c>
      <c r="T1040" t="s">
        <v>186</v>
      </c>
      <c r="U1040">
        <v>6.6389168996704101E-3</v>
      </c>
      <c r="V1040" t="s">
        <v>84</v>
      </c>
    </row>
    <row r="1041" spans="19:22" x14ac:dyDescent="0.45">
      <c r="S1041" t="s">
        <v>147</v>
      </c>
      <c r="T1041" t="s">
        <v>187</v>
      </c>
      <c r="U1041">
        <v>6.585674082714728E-3</v>
      </c>
      <c r="V1041" t="s">
        <v>84</v>
      </c>
    </row>
    <row r="1042" spans="19:22" x14ac:dyDescent="0.45">
      <c r="S1042" t="s">
        <v>147</v>
      </c>
      <c r="T1042" t="s">
        <v>188</v>
      </c>
      <c r="U1042">
        <v>3.260670638073291E-2</v>
      </c>
      <c r="V1042" t="s">
        <v>84</v>
      </c>
    </row>
    <row r="1043" spans="19:22" x14ac:dyDescent="0.45">
      <c r="S1043" t="s">
        <v>147</v>
      </c>
      <c r="T1043" t="s">
        <v>189</v>
      </c>
      <c r="U1043">
        <v>2.6487182606477352E-2</v>
      </c>
      <c r="V1043" t="s">
        <v>84</v>
      </c>
    </row>
    <row r="1044" spans="19:22" x14ac:dyDescent="0.45">
      <c r="S1044" t="s">
        <v>147</v>
      </c>
      <c r="T1044" t="s">
        <v>190</v>
      </c>
      <c r="U1044">
        <v>1.4834273766639951E-2</v>
      </c>
      <c r="V1044" t="s">
        <v>84</v>
      </c>
    </row>
    <row r="1045" spans="19:22" x14ac:dyDescent="0.45">
      <c r="S1045" t="s">
        <v>147</v>
      </c>
      <c r="T1045" t="s">
        <v>191</v>
      </c>
      <c r="U1045">
        <v>2.3221049350699668E-2</v>
      </c>
      <c r="V1045" t="s">
        <v>84</v>
      </c>
    </row>
    <row r="1046" spans="19:22" x14ac:dyDescent="0.45">
      <c r="S1046" t="s">
        <v>147</v>
      </c>
      <c r="T1046" t="s">
        <v>192</v>
      </c>
      <c r="U1046">
        <v>4.1522766380632055E-3</v>
      </c>
      <c r="V1046" t="s">
        <v>84</v>
      </c>
    </row>
    <row r="1047" spans="19:22" x14ac:dyDescent="0.45">
      <c r="S1047" t="s">
        <v>147</v>
      </c>
      <c r="T1047" t="s">
        <v>193</v>
      </c>
      <c r="U1047">
        <v>4.1195441295635822E-3</v>
      </c>
      <c r="V1047" t="s">
        <v>84</v>
      </c>
    </row>
    <row r="1048" spans="19:22" x14ac:dyDescent="0.45">
      <c r="S1048" t="s">
        <v>147</v>
      </c>
      <c r="T1048" t="s">
        <v>194</v>
      </c>
      <c r="U1048">
        <v>1.9476147304489811E-2</v>
      </c>
      <c r="V1048" t="s">
        <v>84</v>
      </c>
    </row>
    <row r="1049" spans="19:22" x14ac:dyDescent="0.45">
      <c r="S1049" t="s">
        <v>147</v>
      </c>
      <c r="T1049" t="s">
        <v>195</v>
      </c>
      <c r="U1049">
        <v>8.5797609157057406E-2</v>
      </c>
      <c r="V1049" t="s">
        <v>84</v>
      </c>
    </row>
    <row r="1050" spans="19:22" x14ac:dyDescent="0.45">
      <c r="S1050" t="s">
        <v>147</v>
      </c>
      <c r="T1050" t="s">
        <v>196</v>
      </c>
      <c r="U1050">
        <v>4.7253174439879253E-2</v>
      </c>
      <c r="V1050" t="s">
        <v>84</v>
      </c>
    </row>
    <row r="1051" spans="19:22" x14ac:dyDescent="0.45">
      <c r="S1051" t="s">
        <v>147</v>
      </c>
      <c r="T1051" t="s">
        <v>197</v>
      </c>
      <c r="U1051">
        <v>7.5502539052037951E-2</v>
      </c>
      <c r="V1051" t="s">
        <v>84</v>
      </c>
    </row>
    <row r="1052" spans="19:22" x14ac:dyDescent="0.45">
      <c r="S1052" t="s">
        <v>147</v>
      </c>
      <c r="T1052" t="s">
        <v>198</v>
      </c>
      <c r="U1052">
        <v>1.2559911081305691E-2</v>
      </c>
      <c r="V1052" t="s">
        <v>84</v>
      </c>
    </row>
    <row r="1053" spans="19:22" x14ac:dyDescent="0.45">
      <c r="S1053" t="s">
        <v>147</v>
      </c>
      <c r="T1053" t="s">
        <v>199</v>
      </c>
      <c r="U1053">
        <v>1.2271937280137809E-2</v>
      </c>
      <c r="V1053" t="s">
        <v>84</v>
      </c>
    </row>
    <row r="1054" spans="19:22" x14ac:dyDescent="0.45">
      <c r="S1054" t="s">
        <v>147</v>
      </c>
      <c r="T1054" t="s">
        <v>200</v>
      </c>
      <c r="U1054">
        <v>5.9863085430768258E-2</v>
      </c>
      <c r="V1054" t="s">
        <v>84</v>
      </c>
    </row>
    <row r="1055" spans="19:22" x14ac:dyDescent="0.45">
      <c r="S1055" t="s">
        <v>147</v>
      </c>
      <c r="T1055" t="s">
        <v>201</v>
      </c>
      <c r="U1055">
        <v>3.2992262548643257E-2</v>
      </c>
      <c r="V1055" t="s">
        <v>84</v>
      </c>
    </row>
    <row r="1056" spans="19:22" x14ac:dyDescent="0.45">
      <c r="S1056" t="s">
        <v>147</v>
      </c>
      <c r="T1056" t="s">
        <v>202</v>
      </c>
      <c r="U1056">
        <v>1.7859291727406246E-2</v>
      </c>
      <c r="V1056" t="s">
        <v>84</v>
      </c>
    </row>
    <row r="1057" spans="19:22" x14ac:dyDescent="0.45">
      <c r="S1057" t="s">
        <v>147</v>
      </c>
      <c r="T1057" t="s">
        <v>203</v>
      </c>
      <c r="U1057">
        <v>2.9841768548328883E-2</v>
      </c>
      <c r="V1057" t="s">
        <v>84</v>
      </c>
    </row>
    <row r="1058" spans="19:22" x14ac:dyDescent="0.45">
      <c r="S1058" t="s">
        <v>147</v>
      </c>
      <c r="T1058" t="s">
        <v>204</v>
      </c>
      <c r="U1058">
        <v>5.0736251549123052E-3</v>
      </c>
      <c r="V1058" t="s">
        <v>84</v>
      </c>
    </row>
    <row r="1059" spans="19:22" x14ac:dyDescent="0.45">
      <c r="S1059" t="s">
        <v>147</v>
      </c>
      <c r="T1059" t="s">
        <v>205</v>
      </c>
      <c r="U1059">
        <v>5.0297010914300624E-3</v>
      </c>
      <c r="V1059" t="s">
        <v>84</v>
      </c>
    </row>
    <row r="1060" spans="19:22" x14ac:dyDescent="0.45">
      <c r="S1060" t="s">
        <v>147</v>
      </c>
      <c r="T1060" t="s">
        <v>206</v>
      </c>
      <c r="U1060">
        <v>2.4199964004920502E-2</v>
      </c>
      <c r="V1060" t="s">
        <v>84</v>
      </c>
    </row>
    <row r="1061" spans="19:22" x14ac:dyDescent="0.45">
      <c r="S1061" t="s">
        <v>147</v>
      </c>
      <c r="T1061" t="s">
        <v>207</v>
      </c>
      <c r="U1061">
        <v>4.3389673111405937E-2</v>
      </c>
      <c r="V1061" t="s">
        <v>84</v>
      </c>
    </row>
    <row r="1062" spans="19:22" x14ac:dyDescent="0.45">
      <c r="S1062" t="s">
        <v>147</v>
      </c>
      <c r="T1062" t="s">
        <v>208</v>
      </c>
      <c r="U1062">
        <v>2.4259505834746908E-2</v>
      </c>
      <c r="V1062" t="s">
        <v>84</v>
      </c>
    </row>
    <row r="1063" spans="19:22" x14ac:dyDescent="0.45">
      <c r="S1063" t="s">
        <v>147</v>
      </c>
      <c r="T1063" t="s">
        <v>209</v>
      </c>
      <c r="U1063">
        <v>4.0652534904063245E-2</v>
      </c>
      <c r="V1063" t="s">
        <v>84</v>
      </c>
    </row>
    <row r="1064" spans="19:22" x14ac:dyDescent="0.45">
      <c r="S1064" t="s">
        <v>147</v>
      </c>
      <c r="T1064" t="s">
        <v>210</v>
      </c>
      <c r="U1064">
        <v>6.7854060436085707E-3</v>
      </c>
      <c r="V1064" t="s">
        <v>84</v>
      </c>
    </row>
    <row r="1065" spans="19:22" x14ac:dyDescent="0.45">
      <c r="S1065" t="s">
        <v>147</v>
      </c>
      <c r="T1065" t="s">
        <v>211</v>
      </c>
      <c r="U1065">
        <v>6.76592155089056E-3</v>
      </c>
      <c r="V1065" t="s">
        <v>84</v>
      </c>
    </row>
    <row r="1066" spans="19:22" x14ac:dyDescent="0.45">
      <c r="S1066" t="s">
        <v>147</v>
      </c>
      <c r="T1066" t="s">
        <v>212</v>
      </c>
      <c r="U1066">
        <v>3.2869458770159829E-2</v>
      </c>
      <c r="V1066" t="s">
        <v>84</v>
      </c>
    </row>
    <row r="1067" spans="19:22" x14ac:dyDescent="0.45">
      <c r="S1067" t="s">
        <v>148</v>
      </c>
      <c r="T1067" t="s">
        <v>83</v>
      </c>
      <c r="U1067">
        <v>2.9607627552311076E-2</v>
      </c>
      <c r="V1067" t="s">
        <v>84</v>
      </c>
    </row>
    <row r="1068" spans="19:22" x14ac:dyDescent="0.45">
      <c r="S1068" t="s">
        <v>148</v>
      </c>
      <c r="T1068" t="s">
        <v>85</v>
      </c>
      <c r="U1068">
        <v>1.4989060220987255E-2</v>
      </c>
      <c r="V1068" t="s">
        <v>84</v>
      </c>
    </row>
    <row r="1069" spans="19:22" x14ac:dyDescent="0.45">
      <c r="S1069" t="s">
        <v>148</v>
      </c>
      <c r="T1069" t="s">
        <v>86</v>
      </c>
      <c r="U1069">
        <v>2.376892339256766E-2</v>
      </c>
      <c r="V1069" t="s">
        <v>84</v>
      </c>
    </row>
    <row r="1070" spans="19:22" x14ac:dyDescent="0.45">
      <c r="S1070" t="s">
        <v>148</v>
      </c>
      <c r="T1070" t="s">
        <v>177</v>
      </c>
      <c r="U1070">
        <v>3.9260451120261925E-3</v>
      </c>
      <c r="V1070" t="s">
        <v>84</v>
      </c>
    </row>
    <row r="1071" spans="19:22" x14ac:dyDescent="0.45">
      <c r="S1071" t="s">
        <v>148</v>
      </c>
      <c r="T1071" t="s">
        <v>178</v>
      </c>
      <c r="U1071">
        <v>3.8551854620589112E-3</v>
      </c>
      <c r="V1071" t="s">
        <v>84</v>
      </c>
    </row>
    <row r="1072" spans="19:22" x14ac:dyDescent="0.45">
      <c r="S1072" t="s">
        <v>148</v>
      </c>
      <c r="T1072" t="s">
        <v>179</v>
      </c>
      <c r="U1072">
        <v>1.8652934622815323E-2</v>
      </c>
      <c r="V1072" t="s">
        <v>84</v>
      </c>
    </row>
    <row r="1073" spans="19:22" x14ac:dyDescent="0.45">
      <c r="S1073" t="s">
        <v>148</v>
      </c>
      <c r="T1073" t="s">
        <v>87</v>
      </c>
      <c r="U1073">
        <v>1.2226665878055182E-2</v>
      </c>
      <c r="V1073" t="s">
        <v>84</v>
      </c>
    </row>
    <row r="1074" spans="19:22" x14ac:dyDescent="0.45">
      <c r="S1074" t="s">
        <v>148</v>
      </c>
      <c r="T1074" t="s">
        <v>88</v>
      </c>
      <c r="U1074">
        <v>6.2847631043517118E-3</v>
      </c>
      <c r="V1074" t="s">
        <v>84</v>
      </c>
    </row>
    <row r="1075" spans="19:22" x14ac:dyDescent="0.45">
      <c r="S1075" t="s">
        <v>148</v>
      </c>
      <c r="T1075" t="s">
        <v>89</v>
      </c>
      <c r="U1075">
        <v>1.21644792721451E-2</v>
      </c>
      <c r="V1075" t="s">
        <v>84</v>
      </c>
    </row>
    <row r="1076" spans="19:22" x14ac:dyDescent="0.45">
      <c r="S1076" t="s">
        <v>148</v>
      </c>
      <c r="T1076" t="s">
        <v>180</v>
      </c>
      <c r="U1076">
        <v>2.3115786542084165E-3</v>
      </c>
      <c r="V1076" t="s">
        <v>84</v>
      </c>
    </row>
    <row r="1077" spans="19:22" x14ac:dyDescent="0.45">
      <c r="S1077" t="s">
        <v>148</v>
      </c>
      <c r="T1077" t="s">
        <v>181</v>
      </c>
      <c r="U1077">
        <v>2.2416495429730633E-3</v>
      </c>
      <c r="V1077" t="s">
        <v>84</v>
      </c>
    </row>
    <row r="1078" spans="19:22" x14ac:dyDescent="0.45">
      <c r="S1078" t="s">
        <v>148</v>
      </c>
      <c r="T1078" t="s">
        <v>182</v>
      </c>
      <c r="U1078">
        <v>9.257966760745525E-3</v>
      </c>
      <c r="V1078" t="s">
        <v>84</v>
      </c>
    </row>
    <row r="1079" spans="19:22" x14ac:dyDescent="0.45">
      <c r="S1079" t="s">
        <v>148</v>
      </c>
      <c r="T1079" t="s">
        <v>90</v>
      </c>
      <c r="U1079">
        <v>2.1262066220882281E-2</v>
      </c>
      <c r="V1079" t="s">
        <v>84</v>
      </c>
    </row>
    <row r="1080" spans="19:22" x14ac:dyDescent="0.45">
      <c r="S1080" t="s">
        <v>148</v>
      </c>
      <c r="T1080" t="s">
        <v>91</v>
      </c>
      <c r="U1080">
        <v>1.2316390173335294E-2</v>
      </c>
      <c r="V1080" t="s">
        <v>84</v>
      </c>
    </row>
    <row r="1081" spans="19:22" x14ac:dyDescent="0.45">
      <c r="S1081" t="s">
        <v>148</v>
      </c>
      <c r="T1081" t="s">
        <v>92</v>
      </c>
      <c r="U1081">
        <v>1.8885574027826292E-2</v>
      </c>
      <c r="V1081" t="s">
        <v>84</v>
      </c>
    </row>
    <row r="1082" spans="19:22" x14ac:dyDescent="0.45">
      <c r="S1082" t="s">
        <v>148</v>
      </c>
      <c r="T1082" t="s">
        <v>183</v>
      </c>
      <c r="U1082">
        <v>3.0041479709089322E-3</v>
      </c>
      <c r="V1082" t="s">
        <v>84</v>
      </c>
    </row>
    <row r="1083" spans="19:22" x14ac:dyDescent="0.45">
      <c r="S1083" t="s">
        <v>148</v>
      </c>
      <c r="T1083" t="s">
        <v>184</v>
      </c>
      <c r="U1083">
        <v>2.8717562940985836E-3</v>
      </c>
      <c r="V1083" t="s">
        <v>84</v>
      </c>
    </row>
    <row r="1084" spans="19:22" x14ac:dyDescent="0.45">
      <c r="S1084" t="s">
        <v>148</v>
      </c>
      <c r="T1084" t="s">
        <v>185</v>
      </c>
      <c r="U1084">
        <v>1.4415244409072122E-2</v>
      </c>
      <c r="V1084" t="s">
        <v>84</v>
      </c>
    </row>
    <row r="1085" spans="19:22" x14ac:dyDescent="0.45">
      <c r="S1085" t="s">
        <v>148</v>
      </c>
      <c r="T1085" t="s">
        <v>93</v>
      </c>
      <c r="U1085">
        <v>4.061959784242531E-2</v>
      </c>
      <c r="V1085" t="s">
        <v>84</v>
      </c>
    </row>
    <row r="1086" spans="19:22" x14ac:dyDescent="0.45">
      <c r="S1086" t="s">
        <v>148</v>
      </c>
      <c r="T1086" t="s">
        <v>94</v>
      </c>
      <c r="U1086">
        <v>2.2714750380542804E-2</v>
      </c>
      <c r="V1086" t="s">
        <v>84</v>
      </c>
    </row>
    <row r="1087" spans="19:22" x14ac:dyDescent="0.45">
      <c r="S1087" t="s">
        <v>148</v>
      </c>
      <c r="T1087" t="s">
        <v>95</v>
      </c>
      <c r="U1087">
        <v>3.9747701738474826E-2</v>
      </c>
      <c r="V1087" t="s">
        <v>84</v>
      </c>
    </row>
    <row r="1088" spans="19:22" x14ac:dyDescent="0.45">
      <c r="S1088" t="s">
        <v>148</v>
      </c>
      <c r="T1088" t="s">
        <v>186</v>
      </c>
      <c r="U1088">
        <v>6.6375845212588314E-3</v>
      </c>
      <c r="V1088" t="s">
        <v>84</v>
      </c>
    </row>
    <row r="1089" spans="19:22" x14ac:dyDescent="0.45">
      <c r="S1089" t="s">
        <v>148</v>
      </c>
      <c r="T1089" t="s">
        <v>187</v>
      </c>
      <c r="U1089">
        <v>6.3955928435993886E-3</v>
      </c>
      <c r="V1089" t="s">
        <v>84</v>
      </c>
    </row>
    <row r="1090" spans="19:22" x14ac:dyDescent="0.45">
      <c r="S1090" t="s">
        <v>148</v>
      </c>
      <c r="T1090" t="s">
        <v>188</v>
      </c>
      <c r="U1090">
        <v>2.8751086674752024E-2</v>
      </c>
      <c r="V1090" t="s">
        <v>84</v>
      </c>
    </row>
    <row r="1091" spans="19:22" x14ac:dyDescent="0.45">
      <c r="S1091" t="s">
        <v>148</v>
      </c>
      <c r="T1091" t="s">
        <v>189</v>
      </c>
      <c r="U1091">
        <v>2.5817839940088978E-2</v>
      </c>
      <c r="V1091" t="s">
        <v>84</v>
      </c>
    </row>
    <row r="1092" spans="19:22" x14ac:dyDescent="0.45">
      <c r="S1092" t="s">
        <v>148</v>
      </c>
      <c r="T1092" t="s">
        <v>190</v>
      </c>
      <c r="U1092">
        <v>1.4469431525365711E-2</v>
      </c>
      <c r="V1092" t="s">
        <v>84</v>
      </c>
    </row>
    <row r="1093" spans="19:22" x14ac:dyDescent="0.45">
      <c r="S1093" t="s">
        <v>148</v>
      </c>
      <c r="T1093" t="s">
        <v>191</v>
      </c>
      <c r="U1093">
        <v>2.3255317881773655E-2</v>
      </c>
      <c r="V1093" t="s">
        <v>84</v>
      </c>
    </row>
    <row r="1094" spans="19:22" x14ac:dyDescent="0.45">
      <c r="S1094" t="s">
        <v>148</v>
      </c>
      <c r="T1094" t="s">
        <v>192</v>
      </c>
      <c r="U1094">
        <v>3.8741628979881721E-3</v>
      </c>
      <c r="V1094" t="s">
        <v>84</v>
      </c>
    </row>
    <row r="1095" spans="19:22" x14ac:dyDescent="0.45">
      <c r="S1095" t="s">
        <v>148</v>
      </c>
      <c r="T1095" t="s">
        <v>193</v>
      </c>
      <c r="U1095">
        <v>3.7323425546624445E-3</v>
      </c>
      <c r="V1095" t="s">
        <v>84</v>
      </c>
    </row>
    <row r="1096" spans="19:22" x14ac:dyDescent="0.45">
      <c r="S1096" t="s">
        <v>148</v>
      </c>
      <c r="T1096" t="s">
        <v>194</v>
      </c>
      <c r="U1096">
        <v>1.7742151999917317E-2</v>
      </c>
      <c r="V1096" t="s">
        <v>84</v>
      </c>
    </row>
    <row r="1097" spans="19:22" x14ac:dyDescent="0.45">
      <c r="S1097" t="s">
        <v>148</v>
      </c>
      <c r="T1097" t="s">
        <v>195</v>
      </c>
      <c r="U1097">
        <v>8.0687146835281817E-2</v>
      </c>
      <c r="V1097" t="s">
        <v>84</v>
      </c>
    </row>
    <row r="1098" spans="19:22" x14ac:dyDescent="0.45">
      <c r="S1098" t="s">
        <v>148</v>
      </c>
      <c r="T1098" t="s">
        <v>196</v>
      </c>
      <c r="U1098">
        <v>4.4416883971672337E-2</v>
      </c>
      <c r="V1098" t="s">
        <v>84</v>
      </c>
    </row>
    <row r="1099" spans="19:22" x14ac:dyDescent="0.45">
      <c r="S1099" t="s">
        <v>148</v>
      </c>
      <c r="T1099" t="s">
        <v>197</v>
      </c>
      <c r="U1099">
        <v>7.1637473372748867E-2</v>
      </c>
      <c r="V1099" t="s">
        <v>84</v>
      </c>
    </row>
    <row r="1100" spans="19:22" x14ac:dyDescent="0.45">
      <c r="S1100" t="s">
        <v>148</v>
      </c>
      <c r="T1100" t="s">
        <v>198</v>
      </c>
      <c r="U1100">
        <v>1.1656506667796471E-2</v>
      </c>
      <c r="V1100" t="s">
        <v>84</v>
      </c>
    </row>
    <row r="1101" spans="19:22" x14ac:dyDescent="0.45">
      <c r="S1101" t="s">
        <v>148</v>
      </c>
      <c r="T1101" t="s">
        <v>199</v>
      </c>
      <c r="U1101">
        <v>1.1588969739923436E-2</v>
      </c>
      <c r="V1101" t="s">
        <v>84</v>
      </c>
    </row>
    <row r="1102" spans="19:22" x14ac:dyDescent="0.45">
      <c r="S1102" t="s">
        <v>148</v>
      </c>
      <c r="T1102" t="s">
        <v>200</v>
      </c>
      <c r="U1102">
        <v>5.7041790212547537E-2</v>
      </c>
      <c r="V1102" t="s">
        <v>84</v>
      </c>
    </row>
    <row r="1103" spans="19:22" x14ac:dyDescent="0.45">
      <c r="S1103" t="s">
        <v>148</v>
      </c>
      <c r="T1103" t="s">
        <v>201</v>
      </c>
      <c r="U1103">
        <v>2.9666541457334446E-2</v>
      </c>
      <c r="V1103" t="s">
        <v>84</v>
      </c>
    </row>
    <row r="1104" spans="19:22" x14ac:dyDescent="0.45">
      <c r="S1104" t="s">
        <v>148</v>
      </c>
      <c r="T1104" t="s">
        <v>202</v>
      </c>
      <c r="U1104">
        <v>1.7112437304070832E-2</v>
      </c>
      <c r="V1104" t="s">
        <v>84</v>
      </c>
    </row>
    <row r="1105" spans="19:22" x14ac:dyDescent="0.45">
      <c r="S1105" t="s">
        <v>148</v>
      </c>
      <c r="T1105" t="s">
        <v>203</v>
      </c>
      <c r="U1105">
        <v>3.0224204877210083E-2</v>
      </c>
      <c r="V1105" t="s">
        <v>84</v>
      </c>
    </row>
    <row r="1106" spans="19:22" x14ac:dyDescent="0.45">
      <c r="S1106" t="s">
        <v>148</v>
      </c>
      <c r="T1106" t="s">
        <v>204</v>
      </c>
      <c r="U1106">
        <v>5.0233000606124314E-3</v>
      </c>
      <c r="V1106" t="s">
        <v>84</v>
      </c>
    </row>
    <row r="1107" spans="19:22" x14ac:dyDescent="0.45">
      <c r="S1107" t="s">
        <v>148</v>
      </c>
      <c r="T1107" t="s">
        <v>205</v>
      </c>
      <c r="U1107">
        <v>5.0168767179314807E-3</v>
      </c>
      <c r="V1107" t="s">
        <v>84</v>
      </c>
    </row>
    <row r="1108" spans="19:22" x14ac:dyDescent="0.45">
      <c r="S1108" t="s">
        <v>148</v>
      </c>
      <c r="T1108" t="s">
        <v>206</v>
      </c>
      <c r="U1108">
        <v>2.2702010577190259E-2</v>
      </c>
      <c r="V1108" t="s">
        <v>84</v>
      </c>
    </row>
    <row r="1109" spans="19:22" x14ac:dyDescent="0.45">
      <c r="S1109" t="s">
        <v>148</v>
      </c>
      <c r="T1109" t="s">
        <v>207</v>
      </c>
      <c r="U1109">
        <v>4.5087983044651787E-2</v>
      </c>
      <c r="V1109" t="s">
        <v>84</v>
      </c>
    </row>
    <row r="1110" spans="19:22" x14ac:dyDescent="0.45">
      <c r="S1110" t="s">
        <v>148</v>
      </c>
      <c r="T1110" t="s">
        <v>208</v>
      </c>
      <c r="U1110">
        <v>2.5614415694959623E-2</v>
      </c>
      <c r="V1110" t="s">
        <v>84</v>
      </c>
    </row>
    <row r="1111" spans="19:22" x14ac:dyDescent="0.45">
      <c r="S1111" t="s">
        <v>148</v>
      </c>
      <c r="T1111" t="s">
        <v>209</v>
      </c>
      <c r="U1111">
        <v>4.505849636383346E-2</v>
      </c>
      <c r="V1111" t="s">
        <v>84</v>
      </c>
    </row>
    <row r="1112" spans="19:22" x14ac:dyDescent="0.45">
      <c r="S1112" t="s">
        <v>148</v>
      </c>
      <c r="T1112" t="s">
        <v>210</v>
      </c>
      <c r="U1112">
        <v>7.8891361497414499E-3</v>
      </c>
      <c r="V1112" t="s">
        <v>84</v>
      </c>
    </row>
    <row r="1113" spans="19:22" x14ac:dyDescent="0.45">
      <c r="S1113" t="s">
        <v>148</v>
      </c>
      <c r="T1113" t="s">
        <v>211</v>
      </c>
      <c r="U1113">
        <v>7.9376693845624891E-3</v>
      </c>
      <c r="V1113" t="s">
        <v>84</v>
      </c>
    </row>
    <row r="1114" spans="19:22" x14ac:dyDescent="0.45">
      <c r="S1114" t="s">
        <v>148</v>
      </c>
      <c r="T1114" t="s">
        <v>212</v>
      </c>
      <c r="U1114">
        <v>3.5838538095709666E-2</v>
      </c>
      <c r="V1114" t="s">
        <v>84</v>
      </c>
    </row>
    <row r="1115" spans="19:22" x14ac:dyDescent="0.45">
      <c r="S1115" t="s">
        <v>149</v>
      </c>
      <c r="T1115" t="s">
        <v>83</v>
      </c>
      <c r="U1115">
        <v>2.9942925952436538E-2</v>
      </c>
      <c r="V1115" t="s">
        <v>84</v>
      </c>
    </row>
    <row r="1116" spans="19:22" x14ac:dyDescent="0.45">
      <c r="S1116" t="s">
        <v>149</v>
      </c>
      <c r="T1116" t="s">
        <v>85</v>
      </c>
      <c r="U1116">
        <v>1.6250298625849136E-2</v>
      </c>
      <c r="V1116" t="s">
        <v>84</v>
      </c>
    </row>
    <row r="1117" spans="19:22" x14ac:dyDescent="0.45">
      <c r="S1117" t="s">
        <v>149</v>
      </c>
      <c r="T1117" t="s">
        <v>86</v>
      </c>
      <c r="U1117">
        <v>2.5361219354488103E-2</v>
      </c>
      <c r="V1117" t="s">
        <v>84</v>
      </c>
    </row>
    <row r="1118" spans="19:22" x14ac:dyDescent="0.45">
      <c r="S1118" t="s">
        <v>149</v>
      </c>
      <c r="T1118" t="s">
        <v>177</v>
      </c>
      <c r="U1118">
        <v>4.0315431448914828E-3</v>
      </c>
      <c r="V1118" t="s">
        <v>84</v>
      </c>
    </row>
    <row r="1119" spans="19:22" x14ac:dyDescent="0.45">
      <c r="S1119" t="s">
        <v>149</v>
      </c>
      <c r="T1119" t="s">
        <v>178</v>
      </c>
      <c r="U1119">
        <v>3.9495235926494303E-3</v>
      </c>
      <c r="V1119" t="s">
        <v>84</v>
      </c>
    </row>
    <row r="1120" spans="19:22" x14ac:dyDescent="0.45">
      <c r="S1120" t="s">
        <v>149</v>
      </c>
      <c r="T1120" t="s">
        <v>179</v>
      </c>
      <c r="U1120">
        <v>1.8064703970164832E-2</v>
      </c>
      <c r="V1120" t="s">
        <v>84</v>
      </c>
    </row>
    <row r="1121" spans="19:22" x14ac:dyDescent="0.45">
      <c r="S1121" t="s">
        <v>149</v>
      </c>
      <c r="T1121" t="s">
        <v>87</v>
      </c>
      <c r="U1121">
        <v>1.2293990030033395E-2</v>
      </c>
      <c r="V1121" t="s">
        <v>84</v>
      </c>
    </row>
    <row r="1122" spans="19:22" x14ac:dyDescent="0.45">
      <c r="S1122" t="s">
        <v>149</v>
      </c>
      <c r="T1122" t="s">
        <v>88</v>
      </c>
      <c r="U1122">
        <v>6.2608541217559618E-3</v>
      </c>
      <c r="V1122" t="s">
        <v>84</v>
      </c>
    </row>
    <row r="1123" spans="19:22" x14ac:dyDescent="0.45">
      <c r="S1123" t="s">
        <v>149</v>
      </c>
      <c r="T1123" t="s">
        <v>89</v>
      </c>
      <c r="U1123">
        <v>1.1150569454895115E-2</v>
      </c>
      <c r="V1123" t="s">
        <v>84</v>
      </c>
    </row>
    <row r="1124" spans="19:22" x14ac:dyDescent="0.45">
      <c r="S1124" t="s">
        <v>149</v>
      </c>
      <c r="T1124" t="s">
        <v>180</v>
      </c>
      <c r="U1124">
        <v>2.4689835766802367E-3</v>
      </c>
      <c r="V1124" t="s">
        <v>84</v>
      </c>
    </row>
    <row r="1125" spans="19:22" x14ac:dyDescent="0.45">
      <c r="S1125" t="s">
        <v>149</v>
      </c>
      <c r="T1125" t="s">
        <v>181</v>
      </c>
      <c r="U1125">
        <v>2.5013819543712535E-3</v>
      </c>
      <c r="V1125" t="s">
        <v>84</v>
      </c>
    </row>
    <row r="1126" spans="19:22" x14ac:dyDescent="0.45">
      <c r="S1126" t="s">
        <v>149</v>
      </c>
      <c r="T1126" t="s">
        <v>182</v>
      </c>
      <c r="U1126">
        <v>1.0471035105853262E-2</v>
      </c>
      <c r="V1126" t="s">
        <v>84</v>
      </c>
    </row>
    <row r="1127" spans="19:22" x14ac:dyDescent="0.45">
      <c r="S1127" t="s">
        <v>149</v>
      </c>
      <c r="T1127" t="s">
        <v>90</v>
      </c>
      <c r="U1127">
        <v>1.5300147998922606E-2</v>
      </c>
      <c r="V1127" t="s">
        <v>84</v>
      </c>
    </row>
    <row r="1128" spans="19:22" x14ac:dyDescent="0.45">
      <c r="S1128" t="s">
        <v>149</v>
      </c>
      <c r="T1128" t="s">
        <v>91</v>
      </c>
      <c r="U1128">
        <v>1.0216817295533675E-2</v>
      </c>
      <c r="V1128" t="s">
        <v>84</v>
      </c>
    </row>
    <row r="1129" spans="19:22" x14ac:dyDescent="0.45">
      <c r="S1129" t="s">
        <v>149</v>
      </c>
      <c r="T1129" t="s">
        <v>92</v>
      </c>
      <c r="U1129">
        <v>1.6551674438201571E-2</v>
      </c>
      <c r="V1129" t="s">
        <v>84</v>
      </c>
    </row>
    <row r="1130" spans="19:22" x14ac:dyDescent="0.45">
      <c r="S1130" t="s">
        <v>149</v>
      </c>
      <c r="T1130" t="s">
        <v>183</v>
      </c>
      <c r="U1130">
        <v>2.7206048734835127E-3</v>
      </c>
      <c r="V1130" t="s">
        <v>84</v>
      </c>
    </row>
    <row r="1131" spans="19:22" x14ac:dyDescent="0.45">
      <c r="S1131" t="s">
        <v>149</v>
      </c>
      <c r="T1131" t="s">
        <v>184</v>
      </c>
      <c r="U1131">
        <v>2.619064347342426E-3</v>
      </c>
      <c r="V1131" t="s">
        <v>84</v>
      </c>
    </row>
    <row r="1132" spans="19:22" x14ac:dyDescent="0.45">
      <c r="S1132" t="s">
        <v>149</v>
      </c>
      <c r="T1132" t="s">
        <v>185</v>
      </c>
      <c r="U1132">
        <v>1.0761634501633303E-2</v>
      </c>
      <c r="V1132" t="s">
        <v>84</v>
      </c>
    </row>
    <row r="1133" spans="19:22" x14ac:dyDescent="0.45">
      <c r="S1133" t="s">
        <v>149</v>
      </c>
      <c r="T1133" t="s">
        <v>93</v>
      </c>
      <c r="U1133">
        <v>4.5039380613215302E-2</v>
      </c>
      <c r="V1133" t="s">
        <v>84</v>
      </c>
    </row>
    <row r="1134" spans="19:22" x14ac:dyDescent="0.45">
      <c r="S1134" t="s">
        <v>149</v>
      </c>
      <c r="T1134" t="s">
        <v>94</v>
      </c>
      <c r="U1134">
        <v>2.3286131156601754E-2</v>
      </c>
      <c r="V1134" t="s">
        <v>84</v>
      </c>
    </row>
    <row r="1135" spans="19:22" x14ac:dyDescent="0.45">
      <c r="S1135" t="s">
        <v>149</v>
      </c>
      <c r="T1135" t="s">
        <v>95</v>
      </c>
      <c r="U1135">
        <v>3.9837699136585282E-2</v>
      </c>
      <c r="V1135" t="s">
        <v>84</v>
      </c>
    </row>
    <row r="1136" spans="19:22" x14ac:dyDescent="0.45">
      <c r="S1136" t="s">
        <v>149</v>
      </c>
      <c r="T1136" t="s">
        <v>186</v>
      </c>
      <c r="U1136">
        <v>6.7531931558967228E-3</v>
      </c>
      <c r="V1136" t="s">
        <v>84</v>
      </c>
    </row>
    <row r="1137" spans="19:22" x14ac:dyDescent="0.45">
      <c r="S1137" t="s">
        <v>149</v>
      </c>
      <c r="T1137" t="s">
        <v>187</v>
      </c>
      <c r="U1137">
        <v>6.619791294585552E-3</v>
      </c>
      <c r="V1137" t="s">
        <v>84</v>
      </c>
    </row>
    <row r="1138" spans="19:22" x14ac:dyDescent="0.45">
      <c r="S1138" t="s">
        <v>149</v>
      </c>
      <c r="T1138" t="s">
        <v>188</v>
      </c>
      <c r="U1138">
        <v>3.1172317528666251E-2</v>
      </c>
      <c r="V1138" t="s">
        <v>84</v>
      </c>
    </row>
    <row r="1139" spans="19:22" x14ac:dyDescent="0.45">
      <c r="S1139" t="s">
        <v>149</v>
      </c>
      <c r="T1139" t="s">
        <v>189</v>
      </c>
      <c r="U1139">
        <v>2.3474973982582352E-2</v>
      </c>
      <c r="V1139" t="s">
        <v>84</v>
      </c>
    </row>
    <row r="1140" spans="19:22" x14ac:dyDescent="0.45">
      <c r="S1140" t="s">
        <v>149</v>
      </c>
      <c r="T1140" t="s">
        <v>190</v>
      </c>
      <c r="U1140">
        <v>1.3231960410697512E-2</v>
      </c>
      <c r="V1140" t="s">
        <v>84</v>
      </c>
    </row>
    <row r="1141" spans="19:22" x14ac:dyDescent="0.45">
      <c r="S1141" t="s">
        <v>149</v>
      </c>
      <c r="T1141" t="s">
        <v>191</v>
      </c>
      <c r="U1141">
        <v>2.1843734098485789E-2</v>
      </c>
      <c r="V1141" t="s">
        <v>84</v>
      </c>
    </row>
    <row r="1142" spans="19:22" x14ac:dyDescent="0.45">
      <c r="S1142" t="s">
        <v>149</v>
      </c>
      <c r="T1142" t="s">
        <v>192</v>
      </c>
      <c r="U1142">
        <v>3.9378580969778318E-3</v>
      </c>
      <c r="V1142" t="s">
        <v>84</v>
      </c>
    </row>
    <row r="1143" spans="19:22" x14ac:dyDescent="0.45">
      <c r="S1143" t="s">
        <v>149</v>
      </c>
      <c r="T1143" t="s">
        <v>193</v>
      </c>
      <c r="U1143">
        <v>3.9483420293632528E-3</v>
      </c>
      <c r="V1143" t="s">
        <v>84</v>
      </c>
    </row>
    <row r="1144" spans="19:22" x14ac:dyDescent="0.45">
      <c r="S1144" t="s">
        <v>149</v>
      </c>
      <c r="T1144" t="s">
        <v>194</v>
      </c>
      <c r="U1144">
        <v>1.8554195224809913E-2</v>
      </c>
      <c r="V1144" t="s">
        <v>84</v>
      </c>
    </row>
    <row r="1145" spans="19:22" x14ac:dyDescent="0.45">
      <c r="S1145" t="s">
        <v>149</v>
      </c>
      <c r="T1145" t="s">
        <v>195</v>
      </c>
      <c r="U1145">
        <v>8.3769252220796092E-2</v>
      </c>
      <c r="V1145" t="s">
        <v>84</v>
      </c>
    </row>
    <row r="1146" spans="19:22" x14ac:dyDescent="0.45">
      <c r="S1146" t="s">
        <v>149</v>
      </c>
      <c r="T1146" t="s">
        <v>196</v>
      </c>
      <c r="U1146">
        <v>4.4750690916740998E-2</v>
      </c>
      <c r="V1146" t="s">
        <v>84</v>
      </c>
    </row>
    <row r="1147" spans="19:22" x14ac:dyDescent="0.45">
      <c r="S1147" t="s">
        <v>149</v>
      </c>
      <c r="T1147" t="s">
        <v>197</v>
      </c>
      <c r="U1147">
        <v>7.3974614554666737E-2</v>
      </c>
      <c r="V1147" t="s">
        <v>84</v>
      </c>
    </row>
    <row r="1148" spans="19:22" x14ac:dyDescent="0.45">
      <c r="S1148" t="s">
        <v>149</v>
      </c>
      <c r="T1148" t="s">
        <v>198</v>
      </c>
      <c r="U1148">
        <v>1.2817853637925087E-2</v>
      </c>
      <c r="V1148" t="s">
        <v>84</v>
      </c>
    </row>
    <row r="1149" spans="19:22" x14ac:dyDescent="0.45">
      <c r="S1149" t="s">
        <v>149</v>
      </c>
      <c r="T1149" t="s">
        <v>199</v>
      </c>
      <c r="U1149">
        <v>1.2600497946250327E-2</v>
      </c>
      <c r="V1149" t="s">
        <v>84</v>
      </c>
    </row>
    <row r="1150" spans="19:22" x14ac:dyDescent="0.45">
      <c r="S1150" t="s">
        <v>149</v>
      </c>
      <c r="T1150" t="s">
        <v>200</v>
      </c>
      <c r="U1150">
        <v>6.1087966114483284E-2</v>
      </c>
      <c r="V1150" t="s">
        <v>84</v>
      </c>
    </row>
    <row r="1151" spans="19:22" x14ac:dyDescent="0.45">
      <c r="S1151" t="s">
        <v>149</v>
      </c>
      <c r="T1151" t="s">
        <v>201</v>
      </c>
      <c r="U1151">
        <v>3.4524018941776778E-2</v>
      </c>
      <c r="V1151" t="s">
        <v>84</v>
      </c>
    </row>
    <row r="1152" spans="19:22" x14ac:dyDescent="0.45">
      <c r="S1152" t="s">
        <v>149</v>
      </c>
      <c r="T1152" t="s">
        <v>202</v>
      </c>
      <c r="U1152">
        <v>1.795696640123947E-2</v>
      </c>
      <c r="V1152" t="s">
        <v>84</v>
      </c>
    </row>
    <row r="1153" spans="19:22" x14ac:dyDescent="0.45">
      <c r="S1153" t="s">
        <v>149</v>
      </c>
      <c r="T1153" t="s">
        <v>203</v>
      </c>
      <c r="U1153">
        <v>3.2575082727509884E-2</v>
      </c>
      <c r="V1153" t="s">
        <v>84</v>
      </c>
    </row>
    <row r="1154" spans="19:22" x14ac:dyDescent="0.45">
      <c r="S1154" t="s">
        <v>149</v>
      </c>
      <c r="T1154" t="s">
        <v>204</v>
      </c>
      <c r="U1154">
        <v>5.6352251562790338E-3</v>
      </c>
      <c r="V1154" t="s">
        <v>84</v>
      </c>
    </row>
    <row r="1155" spans="19:22" x14ac:dyDescent="0.45">
      <c r="S1155" t="s">
        <v>149</v>
      </c>
      <c r="T1155" t="s">
        <v>205</v>
      </c>
      <c r="U1155">
        <v>5.5406785175117455E-3</v>
      </c>
      <c r="V1155" t="s">
        <v>84</v>
      </c>
    </row>
    <row r="1156" spans="19:22" x14ac:dyDescent="0.45">
      <c r="S1156" t="s">
        <v>149</v>
      </c>
      <c r="T1156" t="s">
        <v>206</v>
      </c>
      <c r="U1156">
        <v>2.601784658171748E-2</v>
      </c>
      <c r="V1156" t="s">
        <v>84</v>
      </c>
    </row>
    <row r="1157" spans="19:22" x14ac:dyDescent="0.45">
      <c r="S1157" t="s">
        <v>149</v>
      </c>
      <c r="T1157" t="s">
        <v>207</v>
      </c>
      <c r="U1157">
        <v>4.1801583521848068E-2</v>
      </c>
      <c r="V1157" t="s">
        <v>84</v>
      </c>
    </row>
    <row r="1158" spans="19:22" x14ac:dyDescent="0.45">
      <c r="S1158" t="s">
        <v>149</v>
      </c>
      <c r="T1158" t="s">
        <v>208</v>
      </c>
      <c r="U1158">
        <v>2.2380417649645566E-2</v>
      </c>
      <c r="V1158" t="s">
        <v>84</v>
      </c>
    </row>
    <row r="1159" spans="19:22" x14ac:dyDescent="0.45">
      <c r="S1159" t="s">
        <v>149</v>
      </c>
      <c r="T1159" t="s">
        <v>209</v>
      </c>
      <c r="U1159">
        <v>3.9907328691497497E-2</v>
      </c>
      <c r="V1159" t="s">
        <v>84</v>
      </c>
    </row>
    <row r="1160" spans="19:22" x14ac:dyDescent="0.45">
      <c r="S1160" t="s">
        <v>149</v>
      </c>
      <c r="T1160" t="s">
        <v>210</v>
      </c>
      <c r="U1160">
        <v>7.0821090526812644E-3</v>
      </c>
      <c r="V1160" t="s">
        <v>84</v>
      </c>
    </row>
    <row r="1161" spans="19:22" x14ac:dyDescent="0.45">
      <c r="S1161" t="s">
        <v>149</v>
      </c>
      <c r="T1161" t="s">
        <v>211</v>
      </c>
      <c r="U1161">
        <v>7.0141229382533667E-3</v>
      </c>
      <c r="V1161" t="s">
        <v>84</v>
      </c>
    </row>
    <row r="1162" spans="19:22" x14ac:dyDescent="0.45">
      <c r="S1162" t="s">
        <v>149</v>
      </c>
      <c r="T1162" t="s">
        <v>212</v>
      </c>
      <c r="U1162">
        <v>3.1947195361524634E-2</v>
      </c>
      <c r="V1162" t="s">
        <v>84</v>
      </c>
    </row>
    <row r="1163" spans="19:22" x14ac:dyDescent="0.45">
      <c r="S1163" t="s">
        <v>150</v>
      </c>
      <c r="T1163" t="s">
        <v>83</v>
      </c>
      <c r="U1163">
        <v>2.8400550099104024E-2</v>
      </c>
      <c r="V1163" t="s">
        <v>84</v>
      </c>
    </row>
    <row r="1164" spans="19:22" x14ac:dyDescent="0.45">
      <c r="S1164" t="s">
        <v>150</v>
      </c>
      <c r="T1164" t="s">
        <v>85</v>
      </c>
      <c r="U1164">
        <v>1.5515498464924013E-2</v>
      </c>
      <c r="V1164" t="s">
        <v>84</v>
      </c>
    </row>
    <row r="1165" spans="19:22" x14ac:dyDescent="0.45">
      <c r="S1165" t="s">
        <v>150</v>
      </c>
      <c r="T1165" t="s">
        <v>86</v>
      </c>
      <c r="U1165">
        <v>2.6414493374647768E-2</v>
      </c>
      <c r="V1165" t="s">
        <v>84</v>
      </c>
    </row>
    <row r="1166" spans="19:22" x14ac:dyDescent="0.45">
      <c r="S1166" t="s">
        <v>150</v>
      </c>
      <c r="T1166" t="s">
        <v>177</v>
      </c>
      <c r="U1166">
        <v>4.7312654618126152E-3</v>
      </c>
      <c r="V1166" t="s">
        <v>84</v>
      </c>
    </row>
    <row r="1167" spans="19:22" x14ac:dyDescent="0.45">
      <c r="S1167" t="s">
        <v>150</v>
      </c>
      <c r="T1167" t="s">
        <v>178</v>
      </c>
      <c r="U1167">
        <v>4.704320686910856E-3</v>
      </c>
      <c r="V1167" t="s">
        <v>84</v>
      </c>
    </row>
    <row r="1168" spans="19:22" x14ac:dyDescent="0.45">
      <c r="S1168" t="s">
        <v>150</v>
      </c>
      <c r="T1168" t="s">
        <v>179</v>
      </c>
      <c r="U1168">
        <v>2.2566394308321573E-2</v>
      </c>
      <c r="V1168" t="s">
        <v>84</v>
      </c>
    </row>
    <row r="1169" spans="19:22" x14ac:dyDescent="0.45">
      <c r="S1169" t="s">
        <v>150</v>
      </c>
      <c r="T1169" t="s">
        <v>87</v>
      </c>
      <c r="U1169">
        <v>1.8944759689028211E-2</v>
      </c>
      <c r="V1169" t="s">
        <v>84</v>
      </c>
    </row>
    <row r="1170" spans="19:22" x14ac:dyDescent="0.45">
      <c r="S1170" t="s">
        <v>150</v>
      </c>
      <c r="T1170" t="s">
        <v>88</v>
      </c>
      <c r="U1170">
        <v>9.5032932992084231E-3</v>
      </c>
      <c r="V1170" t="s">
        <v>84</v>
      </c>
    </row>
    <row r="1171" spans="19:22" x14ac:dyDescent="0.45">
      <c r="S1171" t="s">
        <v>150</v>
      </c>
      <c r="T1171" t="s">
        <v>89</v>
      </c>
      <c r="U1171">
        <v>1.6216199348470142E-2</v>
      </c>
      <c r="V1171" t="s">
        <v>84</v>
      </c>
    </row>
    <row r="1172" spans="19:22" x14ac:dyDescent="0.45">
      <c r="S1172" t="s">
        <v>150</v>
      </c>
      <c r="T1172" t="s">
        <v>180</v>
      </c>
      <c r="U1172">
        <v>3.2483478935263414E-3</v>
      </c>
      <c r="V1172" t="s">
        <v>84</v>
      </c>
    </row>
    <row r="1173" spans="19:22" x14ac:dyDescent="0.45">
      <c r="S1173" t="s">
        <v>150</v>
      </c>
      <c r="T1173" t="s">
        <v>181</v>
      </c>
      <c r="U1173">
        <v>3.3369475726282593E-3</v>
      </c>
      <c r="V1173" t="s">
        <v>84</v>
      </c>
    </row>
    <row r="1174" spans="19:22" x14ac:dyDescent="0.45">
      <c r="S1174" t="s">
        <v>150</v>
      </c>
      <c r="T1174" t="s">
        <v>182</v>
      </c>
      <c r="U1174">
        <v>1.5678980534760328E-2</v>
      </c>
      <c r="V1174" t="s">
        <v>84</v>
      </c>
    </row>
    <row r="1175" spans="19:22" x14ac:dyDescent="0.45">
      <c r="S1175" t="s">
        <v>150</v>
      </c>
      <c r="T1175" t="s">
        <v>90</v>
      </c>
      <c r="U1175">
        <v>1.5213935404065088E-2</v>
      </c>
      <c r="V1175" t="s">
        <v>84</v>
      </c>
    </row>
    <row r="1176" spans="19:22" x14ac:dyDescent="0.45">
      <c r="S1176" t="s">
        <v>150</v>
      </c>
      <c r="T1176" t="s">
        <v>91</v>
      </c>
      <c r="U1176">
        <v>7.5257178440468926E-3</v>
      </c>
      <c r="V1176" t="s">
        <v>84</v>
      </c>
    </row>
    <row r="1177" spans="19:22" x14ac:dyDescent="0.45">
      <c r="S1177" t="s">
        <v>150</v>
      </c>
      <c r="T1177" t="s">
        <v>92</v>
      </c>
      <c r="U1177">
        <v>1.4204959590925581E-2</v>
      </c>
      <c r="V1177" t="s">
        <v>84</v>
      </c>
    </row>
    <row r="1178" spans="19:22" x14ac:dyDescent="0.45">
      <c r="S1178" t="s">
        <v>150</v>
      </c>
      <c r="T1178" t="s">
        <v>183</v>
      </c>
      <c r="U1178">
        <v>2.8939148618154632E-3</v>
      </c>
      <c r="V1178" t="s">
        <v>84</v>
      </c>
    </row>
    <row r="1179" spans="19:22" x14ac:dyDescent="0.45">
      <c r="S1179" t="s">
        <v>150</v>
      </c>
      <c r="T1179" t="s">
        <v>184</v>
      </c>
      <c r="U1179">
        <v>2.9640157999508907E-3</v>
      </c>
      <c r="V1179" t="s">
        <v>84</v>
      </c>
    </row>
    <row r="1180" spans="19:22" x14ac:dyDescent="0.45">
      <c r="S1180" t="s">
        <v>150</v>
      </c>
      <c r="T1180" t="s">
        <v>185</v>
      </c>
      <c r="U1180">
        <v>1.479445350442825E-2</v>
      </c>
      <c r="V1180" t="s">
        <v>84</v>
      </c>
    </row>
    <row r="1181" spans="19:22" x14ac:dyDescent="0.45">
      <c r="S1181" t="s">
        <v>150</v>
      </c>
      <c r="T1181" t="s">
        <v>93</v>
      </c>
      <c r="U1181">
        <v>5.0436702210071092E-2</v>
      </c>
      <c r="V1181" t="s">
        <v>84</v>
      </c>
    </row>
    <row r="1182" spans="19:22" x14ac:dyDescent="0.45">
      <c r="S1182" t="s">
        <v>150</v>
      </c>
      <c r="T1182" t="s">
        <v>94</v>
      </c>
      <c r="U1182">
        <v>2.7951551223525758E-2</v>
      </c>
      <c r="V1182" t="s">
        <v>84</v>
      </c>
    </row>
    <row r="1183" spans="19:22" x14ac:dyDescent="0.45">
      <c r="S1183" t="s">
        <v>150</v>
      </c>
      <c r="T1183" t="s">
        <v>95</v>
      </c>
      <c r="U1183">
        <v>3.8474177270510182E-2</v>
      </c>
      <c r="V1183" t="s">
        <v>84</v>
      </c>
    </row>
    <row r="1184" spans="19:22" x14ac:dyDescent="0.45">
      <c r="S1184" t="s">
        <v>150</v>
      </c>
      <c r="T1184" t="s">
        <v>186</v>
      </c>
      <c r="U1184">
        <v>6.3799969766751511E-3</v>
      </c>
      <c r="V1184" t="s">
        <v>84</v>
      </c>
    </row>
    <row r="1185" spans="19:22" x14ac:dyDescent="0.45">
      <c r="S1185" t="s">
        <v>150</v>
      </c>
      <c r="T1185" t="s">
        <v>187</v>
      </c>
      <c r="U1185">
        <v>6.6152080524219149E-3</v>
      </c>
      <c r="V1185" t="s">
        <v>84</v>
      </c>
    </row>
    <row r="1186" spans="19:22" x14ac:dyDescent="0.45">
      <c r="S1186" t="s">
        <v>150</v>
      </c>
      <c r="T1186" t="s">
        <v>188</v>
      </c>
      <c r="U1186">
        <v>3.4762383593384669E-2</v>
      </c>
      <c r="V1186" t="s">
        <v>84</v>
      </c>
    </row>
    <row r="1187" spans="19:22" x14ac:dyDescent="0.45">
      <c r="S1187" t="s">
        <v>150</v>
      </c>
      <c r="T1187" t="s">
        <v>189</v>
      </c>
      <c r="U1187">
        <v>2.7500207903589077E-2</v>
      </c>
      <c r="V1187" t="s">
        <v>84</v>
      </c>
    </row>
    <row r="1188" spans="19:22" x14ac:dyDescent="0.45">
      <c r="S1188" t="s">
        <v>150</v>
      </c>
      <c r="T1188" t="s">
        <v>190</v>
      </c>
      <c r="U1188">
        <v>1.450166952338342E-2</v>
      </c>
      <c r="V1188" t="s">
        <v>84</v>
      </c>
    </row>
    <row r="1189" spans="19:22" x14ac:dyDescent="0.45">
      <c r="S1189" t="s">
        <v>150</v>
      </c>
      <c r="T1189" t="s">
        <v>191</v>
      </c>
      <c r="U1189">
        <v>2.1737363073524266E-2</v>
      </c>
      <c r="V1189" t="s">
        <v>84</v>
      </c>
    </row>
    <row r="1190" spans="19:22" x14ac:dyDescent="0.45">
      <c r="S1190" t="s">
        <v>150</v>
      </c>
      <c r="T1190" t="s">
        <v>192</v>
      </c>
      <c r="U1190">
        <v>3.6263760265673743E-3</v>
      </c>
      <c r="V1190" t="s">
        <v>84</v>
      </c>
    </row>
    <row r="1191" spans="19:22" x14ac:dyDescent="0.45">
      <c r="S1191" t="s">
        <v>150</v>
      </c>
      <c r="T1191" t="s">
        <v>193</v>
      </c>
      <c r="U1191">
        <v>3.704593458630597E-3</v>
      </c>
      <c r="V1191" t="s">
        <v>84</v>
      </c>
    </row>
    <row r="1192" spans="19:22" x14ac:dyDescent="0.45">
      <c r="S1192" t="s">
        <v>150</v>
      </c>
      <c r="T1192" t="s">
        <v>194</v>
      </c>
      <c r="U1192">
        <v>1.9481327920363525E-2</v>
      </c>
      <c r="V1192" t="s">
        <v>84</v>
      </c>
    </row>
    <row r="1193" spans="19:22" x14ac:dyDescent="0.45">
      <c r="S1193" t="s">
        <v>150</v>
      </c>
      <c r="T1193" t="s">
        <v>195</v>
      </c>
      <c r="U1193">
        <v>8.3009389041046377E-2</v>
      </c>
      <c r="V1193" t="s">
        <v>84</v>
      </c>
    </row>
    <row r="1194" spans="19:22" x14ac:dyDescent="0.45">
      <c r="S1194" t="s">
        <v>150</v>
      </c>
      <c r="T1194" t="s">
        <v>196</v>
      </c>
      <c r="U1194">
        <v>4.3469026409882879E-2</v>
      </c>
      <c r="V1194" t="s">
        <v>84</v>
      </c>
    </row>
    <row r="1195" spans="19:22" x14ac:dyDescent="0.45">
      <c r="S1195" t="s">
        <v>150</v>
      </c>
      <c r="T1195" t="s">
        <v>197</v>
      </c>
      <c r="U1195">
        <v>6.0971319762754821E-2</v>
      </c>
      <c r="V1195" t="s">
        <v>84</v>
      </c>
    </row>
    <row r="1196" spans="19:22" x14ac:dyDescent="0.45">
      <c r="S1196" t="s">
        <v>150</v>
      </c>
      <c r="T1196" t="s">
        <v>198</v>
      </c>
      <c r="U1196">
        <v>1.0787207013965976E-2</v>
      </c>
      <c r="V1196" t="s">
        <v>84</v>
      </c>
    </row>
    <row r="1197" spans="19:22" x14ac:dyDescent="0.45">
      <c r="S1197" t="s">
        <v>150</v>
      </c>
      <c r="T1197" t="s">
        <v>199</v>
      </c>
      <c r="U1197">
        <v>1.1117551240810921E-2</v>
      </c>
      <c r="V1197" t="s">
        <v>84</v>
      </c>
    </row>
    <row r="1198" spans="19:22" x14ac:dyDescent="0.45">
      <c r="S1198" t="s">
        <v>150</v>
      </c>
      <c r="T1198" t="s">
        <v>200</v>
      </c>
      <c r="U1198">
        <v>5.811099553369186E-2</v>
      </c>
      <c r="V1198" t="s">
        <v>84</v>
      </c>
    </row>
    <row r="1199" spans="19:22" x14ac:dyDescent="0.45">
      <c r="S1199" t="s">
        <v>150</v>
      </c>
      <c r="T1199" t="s">
        <v>201</v>
      </c>
      <c r="U1199">
        <v>3.0672605226850485E-2</v>
      </c>
      <c r="V1199" t="s">
        <v>84</v>
      </c>
    </row>
    <row r="1200" spans="19:22" x14ac:dyDescent="0.45">
      <c r="S1200" t="s">
        <v>150</v>
      </c>
      <c r="T1200" t="s">
        <v>202</v>
      </c>
      <c r="U1200">
        <v>1.5257544163226805E-2</v>
      </c>
      <c r="V1200" t="s">
        <v>84</v>
      </c>
    </row>
    <row r="1201" spans="19:22" x14ac:dyDescent="0.45">
      <c r="S1201" t="s">
        <v>150</v>
      </c>
      <c r="T1201" t="s">
        <v>203</v>
      </c>
      <c r="U1201">
        <v>2.6332022926602014E-2</v>
      </c>
      <c r="V1201" t="s">
        <v>84</v>
      </c>
    </row>
    <row r="1202" spans="19:22" x14ac:dyDescent="0.45">
      <c r="S1202" t="s">
        <v>150</v>
      </c>
      <c r="T1202" t="s">
        <v>204</v>
      </c>
      <c r="U1202">
        <v>4.8944468850103647E-3</v>
      </c>
      <c r="V1202" t="s">
        <v>84</v>
      </c>
    </row>
    <row r="1203" spans="19:22" x14ac:dyDescent="0.45">
      <c r="S1203" t="s">
        <v>150</v>
      </c>
      <c r="T1203" t="s">
        <v>205</v>
      </c>
      <c r="U1203">
        <v>5.0339375786448972E-3</v>
      </c>
      <c r="V1203" t="s">
        <v>84</v>
      </c>
    </row>
    <row r="1204" spans="19:22" x14ac:dyDescent="0.45">
      <c r="S1204" t="s">
        <v>150</v>
      </c>
      <c r="T1204" t="s">
        <v>206</v>
      </c>
      <c r="U1204">
        <v>2.6122996287298254E-2</v>
      </c>
      <c r="V1204" t="s">
        <v>84</v>
      </c>
    </row>
    <row r="1205" spans="19:22" x14ac:dyDescent="0.45">
      <c r="S1205" t="s">
        <v>150</v>
      </c>
      <c r="T1205" t="s">
        <v>207</v>
      </c>
      <c r="U1205">
        <v>4.1790452286898573E-2</v>
      </c>
      <c r="V1205" t="s">
        <v>84</v>
      </c>
    </row>
    <row r="1206" spans="19:22" x14ac:dyDescent="0.45">
      <c r="S1206" t="s">
        <v>150</v>
      </c>
      <c r="T1206" t="s">
        <v>208</v>
      </c>
      <c r="U1206">
        <v>2.2462321290713232E-2</v>
      </c>
      <c r="V1206" t="s">
        <v>84</v>
      </c>
    </row>
    <row r="1207" spans="19:22" x14ac:dyDescent="0.45">
      <c r="S1207" t="s">
        <v>150</v>
      </c>
      <c r="T1207" t="s">
        <v>209</v>
      </c>
      <c r="U1207">
        <v>3.506381363506586E-2</v>
      </c>
      <c r="V1207" t="s">
        <v>84</v>
      </c>
    </row>
    <row r="1208" spans="19:22" x14ac:dyDescent="0.45">
      <c r="S1208" t="s">
        <v>150</v>
      </c>
      <c r="T1208" t="s">
        <v>210</v>
      </c>
      <c r="U1208">
        <v>5.9214600529898772E-3</v>
      </c>
      <c r="V1208" t="s">
        <v>84</v>
      </c>
    </row>
    <row r="1209" spans="19:22" x14ac:dyDescent="0.45">
      <c r="S1209" t="s">
        <v>150</v>
      </c>
      <c r="T1209" t="s">
        <v>211</v>
      </c>
      <c r="U1209">
        <v>6.0083064653814397E-3</v>
      </c>
      <c r="V1209" t="s">
        <v>84</v>
      </c>
    </row>
    <row r="1210" spans="19:22" x14ac:dyDescent="0.45">
      <c r="S1210" t="s">
        <v>150</v>
      </c>
      <c r="T1210" t="s">
        <v>212</v>
      </c>
      <c r="U1210">
        <v>3.0944999227942718E-2</v>
      </c>
      <c r="V1210" t="s">
        <v>84</v>
      </c>
    </row>
    <row r="1211" spans="19:22" x14ac:dyDescent="0.45">
      <c r="S1211" t="s">
        <v>151</v>
      </c>
      <c r="T1211" t="s">
        <v>83</v>
      </c>
      <c r="U1211">
        <v>2.6895554016757552E-2</v>
      </c>
      <c r="V1211" t="s">
        <v>84</v>
      </c>
    </row>
    <row r="1212" spans="19:22" x14ac:dyDescent="0.45">
      <c r="S1212" t="s">
        <v>151</v>
      </c>
      <c r="T1212" t="s">
        <v>85</v>
      </c>
      <c r="U1212">
        <v>1.4232863628264239E-2</v>
      </c>
      <c r="V1212" t="s">
        <v>84</v>
      </c>
    </row>
    <row r="1213" spans="19:22" x14ac:dyDescent="0.45">
      <c r="S1213" t="s">
        <v>151</v>
      </c>
      <c r="T1213" t="s">
        <v>86</v>
      </c>
      <c r="U1213">
        <v>2.531991992134526E-2</v>
      </c>
      <c r="V1213" t="s">
        <v>84</v>
      </c>
    </row>
    <row r="1214" spans="19:22" x14ac:dyDescent="0.45">
      <c r="S1214" t="s">
        <v>151</v>
      </c>
      <c r="T1214" t="s">
        <v>177</v>
      </c>
      <c r="U1214">
        <v>5.1505580673775631E-3</v>
      </c>
      <c r="V1214" t="s">
        <v>84</v>
      </c>
    </row>
    <row r="1215" spans="19:22" x14ac:dyDescent="0.45">
      <c r="S1215" t="s">
        <v>151</v>
      </c>
      <c r="T1215" t="s">
        <v>178</v>
      </c>
      <c r="U1215">
        <v>5.2016086007842461E-3</v>
      </c>
      <c r="V1215" t="s">
        <v>84</v>
      </c>
    </row>
    <row r="1216" spans="19:22" x14ac:dyDescent="0.45">
      <c r="S1216" t="s">
        <v>151</v>
      </c>
      <c r="T1216" t="s">
        <v>179</v>
      </c>
      <c r="U1216">
        <v>2.3730688751387286E-2</v>
      </c>
      <c r="V1216" t="s">
        <v>84</v>
      </c>
    </row>
    <row r="1217" spans="19:22" x14ac:dyDescent="0.45">
      <c r="S1217" t="s">
        <v>151</v>
      </c>
      <c r="T1217" t="s">
        <v>87</v>
      </c>
      <c r="U1217">
        <v>1.6247150158790084E-2</v>
      </c>
      <c r="V1217" t="s">
        <v>84</v>
      </c>
    </row>
    <row r="1218" spans="19:22" x14ac:dyDescent="0.45">
      <c r="S1218" t="s">
        <v>151</v>
      </c>
      <c r="T1218" t="s">
        <v>88</v>
      </c>
      <c r="U1218">
        <v>8.135465954668842E-3</v>
      </c>
      <c r="V1218" t="s">
        <v>84</v>
      </c>
    </row>
    <row r="1219" spans="19:22" x14ac:dyDescent="0.45">
      <c r="S1219" t="s">
        <v>151</v>
      </c>
      <c r="T1219" t="s">
        <v>89</v>
      </c>
      <c r="U1219">
        <v>1.6388294825545727E-2</v>
      </c>
      <c r="V1219" t="s">
        <v>84</v>
      </c>
    </row>
    <row r="1220" spans="19:22" x14ac:dyDescent="0.45">
      <c r="S1220" t="s">
        <v>151</v>
      </c>
      <c r="T1220" t="s">
        <v>180</v>
      </c>
      <c r="U1220">
        <v>3.2660451524068471E-3</v>
      </c>
      <c r="V1220" t="s">
        <v>84</v>
      </c>
    </row>
    <row r="1221" spans="19:22" x14ac:dyDescent="0.45">
      <c r="S1221" t="s">
        <v>151</v>
      </c>
      <c r="T1221" t="s">
        <v>181</v>
      </c>
      <c r="U1221">
        <v>3.2641557141727161E-3</v>
      </c>
      <c r="V1221" t="s">
        <v>84</v>
      </c>
    </row>
    <row r="1222" spans="19:22" x14ac:dyDescent="0.45">
      <c r="S1222" t="s">
        <v>151</v>
      </c>
      <c r="T1222" t="s">
        <v>182</v>
      </c>
      <c r="U1222">
        <v>1.518572202125539E-2</v>
      </c>
      <c r="V1222" t="s">
        <v>84</v>
      </c>
    </row>
    <row r="1223" spans="19:22" x14ac:dyDescent="0.45">
      <c r="S1223" t="s">
        <v>151</v>
      </c>
      <c r="T1223" t="s">
        <v>90</v>
      </c>
      <c r="U1223">
        <v>1.2624577668407648E-2</v>
      </c>
      <c r="V1223" t="s">
        <v>84</v>
      </c>
    </row>
    <row r="1224" spans="19:22" x14ac:dyDescent="0.45">
      <c r="S1224" t="s">
        <v>151</v>
      </c>
      <c r="T1224" t="s">
        <v>91</v>
      </c>
      <c r="U1224">
        <v>7.8374099863333137E-3</v>
      </c>
      <c r="V1224" t="s">
        <v>84</v>
      </c>
    </row>
    <row r="1225" spans="19:22" x14ac:dyDescent="0.45">
      <c r="S1225" t="s">
        <v>151</v>
      </c>
      <c r="T1225" t="s">
        <v>92</v>
      </c>
      <c r="U1225">
        <v>1.5068355144189555E-2</v>
      </c>
      <c r="V1225" t="s">
        <v>84</v>
      </c>
    </row>
    <row r="1226" spans="19:22" x14ac:dyDescent="0.45">
      <c r="S1226" t="s">
        <v>151</v>
      </c>
      <c r="T1226" t="s">
        <v>183</v>
      </c>
      <c r="U1226">
        <v>3.094022010039887E-3</v>
      </c>
      <c r="V1226" t="s">
        <v>84</v>
      </c>
    </row>
    <row r="1227" spans="19:22" x14ac:dyDescent="0.45">
      <c r="S1227" t="s">
        <v>151</v>
      </c>
      <c r="T1227" t="s">
        <v>184</v>
      </c>
      <c r="U1227">
        <v>3.3143144433662609E-3</v>
      </c>
      <c r="V1227" t="s">
        <v>84</v>
      </c>
    </row>
    <row r="1228" spans="19:22" x14ac:dyDescent="0.45">
      <c r="S1228" t="s">
        <v>151</v>
      </c>
      <c r="T1228" t="s">
        <v>185</v>
      </c>
      <c r="U1228">
        <v>1.5888081242753923E-2</v>
      </c>
      <c r="V1228" t="s">
        <v>84</v>
      </c>
    </row>
    <row r="1229" spans="19:22" x14ac:dyDescent="0.45">
      <c r="S1229" t="s">
        <v>151</v>
      </c>
      <c r="T1229" t="s">
        <v>93</v>
      </c>
      <c r="U1229">
        <v>5.2783719198087158E-2</v>
      </c>
      <c r="V1229" t="s">
        <v>84</v>
      </c>
    </row>
    <row r="1230" spans="19:22" x14ac:dyDescent="0.45">
      <c r="S1230" t="s">
        <v>151</v>
      </c>
      <c r="T1230" t="s">
        <v>94</v>
      </c>
      <c r="U1230">
        <v>2.6590565178669048E-2</v>
      </c>
      <c r="V1230" t="s">
        <v>84</v>
      </c>
    </row>
    <row r="1231" spans="19:22" x14ac:dyDescent="0.45">
      <c r="S1231" t="s">
        <v>151</v>
      </c>
      <c r="T1231" t="s">
        <v>95</v>
      </c>
      <c r="U1231">
        <v>3.7552980075654545E-2</v>
      </c>
      <c r="V1231" t="s">
        <v>84</v>
      </c>
    </row>
    <row r="1232" spans="19:22" x14ac:dyDescent="0.45">
      <c r="S1232" t="s">
        <v>151</v>
      </c>
      <c r="T1232" t="s">
        <v>186</v>
      </c>
      <c r="U1232">
        <v>6.8807516497120498E-3</v>
      </c>
      <c r="V1232" t="s">
        <v>84</v>
      </c>
    </row>
    <row r="1233" spans="19:22" x14ac:dyDescent="0.45">
      <c r="S1233" t="s">
        <v>151</v>
      </c>
      <c r="T1233" t="s">
        <v>187</v>
      </c>
      <c r="U1233">
        <v>7.006774329154722E-3</v>
      </c>
      <c r="V1233" t="s">
        <v>84</v>
      </c>
    </row>
    <row r="1234" spans="19:22" x14ac:dyDescent="0.45">
      <c r="S1234" t="s">
        <v>151</v>
      </c>
      <c r="T1234" t="s">
        <v>188</v>
      </c>
      <c r="U1234">
        <v>3.6133853800683333E-2</v>
      </c>
      <c r="V1234" t="s">
        <v>84</v>
      </c>
    </row>
    <row r="1235" spans="19:22" x14ac:dyDescent="0.45">
      <c r="S1235" t="s">
        <v>151</v>
      </c>
      <c r="T1235" t="s">
        <v>189</v>
      </c>
      <c r="U1235">
        <v>2.5587776246267905E-2</v>
      </c>
      <c r="V1235" t="s">
        <v>84</v>
      </c>
    </row>
    <row r="1236" spans="19:22" x14ac:dyDescent="0.45">
      <c r="S1236" t="s">
        <v>151</v>
      </c>
      <c r="T1236" t="s">
        <v>190</v>
      </c>
      <c r="U1236">
        <v>1.426876232778561E-2</v>
      </c>
      <c r="V1236" t="s">
        <v>84</v>
      </c>
    </row>
    <row r="1237" spans="19:22" x14ac:dyDescent="0.45">
      <c r="S1237" t="s">
        <v>151</v>
      </c>
      <c r="T1237" t="s">
        <v>191</v>
      </c>
      <c r="U1237">
        <v>2.2534427083970972E-2</v>
      </c>
      <c r="V1237" t="s">
        <v>84</v>
      </c>
    </row>
    <row r="1238" spans="19:22" x14ac:dyDescent="0.45">
      <c r="S1238" t="s">
        <v>151</v>
      </c>
      <c r="T1238" t="s">
        <v>192</v>
      </c>
      <c r="U1238">
        <v>3.9641345930332703E-3</v>
      </c>
      <c r="V1238" t="s">
        <v>84</v>
      </c>
    </row>
    <row r="1239" spans="19:22" x14ac:dyDescent="0.45">
      <c r="S1239" t="s">
        <v>151</v>
      </c>
      <c r="T1239" t="s">
        <v>193</v>
      </c>
      <c r="U1239">
        <v>3.998113487977583E-3</v>
      </c>
      <c r="V1239" t="s">
        <v>84</v>
      </c>
    </row>
    <row r="1240" spans="19:22" x14ac:dyDescent="0.45">
      <c r="S1240" t="s">
        <v>151</v>
      </c>
      <c r="T1240" t="s">
        <v>194</v>
      </c>
      <c r="U1240">
        <v>1.946949602285836E-2</v>
      </c>
      <c r="V1240" t="s">
        <v>84</v>
      </c>
    </row>
    <row r="1241" spans="19:22" x14ac:dyDescent="0.45">
      <c r="S1241" t="s">
        <v>151</v>
      </c>
      <c r="T1241" t="s">
        <v>195</v>
      </c>
      <c r="U1241">
        <v>8.2274854976525147E-2</v>
      </c>
      <c r="V1241" t="s">
        <v>84</v>
      </c>
    </row>
    <row r="1242" spans="19:22" x14ac:dyDescent="0.45">
      <c r="S1242" t="s">
        <v>151</v>
      </c>
      <c r="T1242" t="s">
        <v>196</v>
      </c>
      <c r="U1242">
        <v>3.9749641376974218E-2</v>
      </c>
      <c r="V1242" t="s">
        <v>84</v>
      </c>
    </row>
    <row r="1243" spans="19:22" x14ac:dyDescent="0.45">
      <c r="S1243" t="s">
        <v>151</v>
      </c>
      <c r="T1243" t="s">
        <v>197</v>
      </c>
      <c r="U1243">
        <v>6.1210788476002191E-2</v>
      </c>
      <c r="V1243" t="s">
        <v>84</v>
      </c>
    </row>
    <row r="1244" spans="19:22" x14ac:dyDescent="0.45">
      <c r="S1244" t="s">
        <v>151</v>
      </c>
      <c r="T1244" t="s">
        <v>198</v>
      </c>
      <c r="U1244">
        <v>1.1448432484874435E-2</v>
      </c>
      <c r="V1244" t="s">
        <v>84</v>
      </c>
    </row>
    <row r="1245" spans="19:22" x14ac:dyDescent="0.45">
      <c r="S1245" t="s">
        <v>151</v>
      </c>
      <c r="T1245" t="s">
        <v>199</v>
      </c>
      <c r="U1245">
        <v>1.1891689543328098E-2</v>
      </c>
      <c r="V1245" t="s">
        <v>84</v>
      </c>
    </row>
    <row r="1246" spans="19:22" x14ac:dyDescent="0.45">
      <c r="S1246" t="s">
        <v>151</v>
      </c>
      <c r="T1246" t="s">
        <v>200</v>
      </c>
      <c r="U1246">
        <v>6.167506767842032E-2</v>
      </c>
      <c r="V1246" t="s">
        <v>84</v>
      </c>
    </row>
    <row r="1247" spans="19:22" x14ac:dyDescent="0.45">
      <c r="S1247" t="s">
        <v>151</v>
      </c>
      <c r="T1247" t="s">
        <v>201</v>
      </c>
      <c r="U1247">
        <v>3.1173364333589741E-2</v>
      </c>
      <c r="V1247" t="s">
        <v>84</v>
      </c>
    </row>
    <row r="1248" spans="19:22" x14ac:dyDescent="0.45">
      <c r="S1248" t="s">
        <v>151</v>
      </c>
      <c r="T1248" t="s">
        <v>202</v>
      </c>
      <c r="U1248">
        <v>1.721291726661707E-2</v>
      </c>
      <c r="V1248" t="s">
        <v>84</v>
      </c>
    </row>
    <row r="1249" spans="19:22" x14ac:dyDescent="0.45">
      <c r="S1249" t="s">
        <v>151</v>
      </c>
      <c r="T1249" t="s">
        <v>203</v>
      </c>
      <c r="U1249">
        <v>2.5793729462523743E-2</v>
      </c>
      <c r="V1249" t="s">
        <v>84</v>
      </c>
    </row>
    <row r="1250" spans="19:22" x14ac:dyDescent="0.45">
      <c r="S1250" t="s">
        <v>151</v>
      </c>
      <c r="T1250" t="s">
        <v>204</v>
      </c>
      <c r="U1250">
        <v>4.6521026844416301E-3</v>
      </c>
      <c r="V1250" t="s">
        <v>84</v>
      </c>
    </row>
    <row r="1251" spans="19:22" x14ac:dyDescent="0.45">
      <c r="S1251" t="s">
        <v>151</v>
      </c>
      <c r="T1251" t="s">
        <v>205</v>
      </c>
      <c r="U1251">
        <v>4.7419320489958177E-3</v>
      </c>
      <c r="V1251" t="s">
        <v>84</v>
      </c>
    </row>
    <row r="1252" spans="19:22" x14ac:dyDescent="0.45">
      <c r="S1252" t="s">
        <v>151</v>
      </c>
      <c r="T1252" t="s">
        <v>206</v>
      </c>
      <c r="U1252">
        <v>2.6034677595789462E-2</v>
      </c>
      <c r="V1252" t="s">
        <v>84</v>
      </c>
    </row>
    <row r="1253" spans="19:22" x14ac:dyDescent="0.45">
      <c r="S1253" t="s">
        <v>151</v>
      </c>
      <c r="T1253" t="s">
        <v>207</v>
      </c>
      <c r="U1253">
        <v>4.0710779445219267E-2</v>
      </c>
      <c r="V1253" t="s">
        <v>84</v>
      </c>
    </row>
    <row r="1254" spans="19:22" x14ac:dyDescent="0.45">
      <c r="S1254" t="s">
        <v>151</v>
      </c>
      <c r="T1254" t="s">
        <v>208</v>
      </c>
      <c r="U1254">
        <v>1.984614389572438E-2</v>
      </c>
      <c r="V1254" t="s">
        <v>84</v>
      </c>
    </row>
    <row r="1255" spans="19:22" x14ac:dyDescent="0.45">
      <c r="S1255" t="s">
        <v>151</v>
      </c>
      <c r="T1255" t="s">
        <v>209</v>
      </c>
      <c r="U1255">
        <v>3.5546852578224014E-2</v>
      </c>
      <c r="V1255" t="s">
        <v>84</v>
      </c>
    </row>
    <row r="1256" spans="19:22" x14ac:dyDescent="0.45">
      <c r="S1256" t="s">
        <v>151</v>
      </c>
      <c r="T1256" t="s">
        <v>210</v>
      </c>
      <c r="U1256">
        <v>7.0931115870888212E-3</v>
      </c>
      <c r="V1256" t="s">
        <v>84</v>
      </c>
    </row>
    <row r="1257" spans="19:22" x14ac:dyDescent="0.45">
      <c r="S1257" t="s">
        <v>151</v>
      </c>
      <c r="T1257" t="s">
        <v>211</v>
      </c>
      <c r="U1257">
        <v>7.1250234959413031E-3</v>
      </c>
      <c r="V1257" t="s">
        <v>84</v>
      </c>
    </row>
    <row r="1258" spans="19:22" x14ac:dyDescent="0.45">
      <c r="S1258" t="s">
        <v>151</v>
      </c>
      <c r="T1258" t="s">
        <v>212</v>
      </c>
      <c r="U1258">
        <v>3.4202749768021151E-2</v>
      </c>
      <c r="V1258" t="s">
        <v>84</v>
      </c>
    </row>
    <row r="1259" spans="19:22" x14ac:dyDescent="0.45">
      <c r="S1259" t="s">
        <v>152</v>
      </c>
      <c r="T1259" t="s">
        <v>83</v>
      </c>
      <c r="U1259">
        <v>2.5544284166427119E-2</v>
      </c>
      <c r="V1259" t="s">
        <v>84</v>
      </c>
    </row>
    <row r="1260" spans="19:22" x14ac:dyDescent="0.45">
      <c r="S1260" t="s">
        <v>152</v>
      </c>
      <c r="T1260" t="s">
        <v>85</v>
      </c>
      <c r="U1260">
        <v>1.3622610103050185E-2</v>
      </c>
      <c r="V1260" t="s">
        <v>84</v>
      </c>
    </row>
    <row r="1261" spans="19:22" x14ac:dyDescent="0.45">
      <c r="S1261" t="s">
        <v>152</v>
      </c>
      <c r="T1261" t="s">
        <v>86</v>
      </c>
      <c r="U1261">
        <v>2.4243886890902577E-2</v>
      </c>
      <c r="V1261" t="s">
        <v>84</v>
      </c>
    </row>
    <row r="1262" spans="19:22" x14ac:dyDescent="0.45">
      <c r="S1262" t="s">
        <v>152</v>
      </c>
      <c r="T1262" t="s">
        <v>177</v>
      </c>
      <c r="U1262">
        <v>4.0443074539002859E-3</v>
      </c>
      <c r="V1262" t="s">
        <v>84</v>
      </c>
    </row>
    <row r="1263" spans="19:22" x14ac:dyDescent="0.45">
      <c r="S1263" t="s">
        <v>152</v>
      </c>
      <c r="T1263" t="s">
        <v>178</v>
      </c>
      <c r="U1263">
        <v>3.9325688670072377E-3</v>
      </c>
      <c r="V1263" t="s">
        <v>84</v>
      </c>
    </row>
    <row r="1264" spans="19:22" x14ac:dyDescent="0.45">
      <c r="S1264" t="s">
        <v>152</v>
      </c>
      <c r="T1264" t="s">
        <v>179</v>
      </c>
      <c r="U1264">
        <v>1.8439464612514937E-2</v>
      </c>
      <c r="V1264" t="s">
        <v>84</v>
      </c>
    </row>
    <row r="1265" spans="19:22" x14ac:dyDescent="0.45">
      <c r="S1265" t="s">
        <v>152</v>
      </c>
      <c r="T1265" t="s">
        <v>87</v>
      </c>
      <c r="U1265">
        <v>1.7401877689071733E-2</v>
      </c>
      <c r="V1265" t="s">
        <v>84</v>
      </c>
    </row>
    <row r="1266" spans="19:22" x14ac:dyDescent="0.45">
      <c r="S1266" t="s">
        <v>152</v>
      </c>
      <c r="T1266" t="s">
        <v>88</v>
      </c>
      <c r="U1266">
        <v>9.9417664431613786E-3</v>
      </c>
      <c r="V1266" t="s">
        <v>84</v>
      </c>
    </row>
    <row r="1267" spans="19:22" x14ac:dyDescent="0.45">
      <c r="S1267" t="s">
        <v>152</v>
      </c>
      <c r="T1267" t="s">
        <v>89</v>
      </c>
      <c r="U1267">
        <v>1.7342472105542676E-2</v>
      </c>
      <c r="V1267" t="s">
        <v>84</v>
      </c>
    </row>
    <row r="1268" spans="19:22" x14ac:dyDescent="0.45">
      <c r="S1268" t="s">
        <v>152</v>
      </c>
      <c r="T1268" t="s">
        <v>180</v>
      </c>
      <c r="U1268">
        <v>2.956491237273979E-3</v>
      </c>
      <c r="V1268" t="s">
        <v>84</v>
      </c>
    </row>
    <row r="1269" spans="19:22" x14ac:dyDescent="0.45">
      <c r="S1269" t="s">
        <v>152</v>
      </c>
      <c r="T1269" t="s">
        <v>181</v>
      </c>
      <c r="U1269">
        <v>2.9074674881909342E-3</v>
      </c>
      <c r="V1269" t="s">
        <v>84</v>
      </c>
    </row>
    <row r="1270" spans="19:22" x14ac:dyDescent="0.45">
      <c r="S1270" t="s">
        <v>152</v>
      </c>
      <c r="T1270" t="s">
        <v>182</v>
      </c>
      <c r="U1270">
        <v>1.3340731945957002E-2</v>
      </c>
      <c r="V1270" t="s">
        <v>84</v>
      </c>
    </row>
    <row r="1271" spans="19:22" x14ac:dyDescent="0.45">
      <c r="S1271" t="s">
        <v>152</v>
      </c>
      <c r="T1271" t="s">
        <v>90</v>
      </c>
      <c r="U1271">
        <v>2.325190362172206E-2</v>
      </c>
      <c r="V1271" t="s">
        <v>84</v>
      </c>
    </row>
    <row r="1272" spans="19:22" x14ac:dyDescent="0.45">
      <c r="S1272" t="s">
        <v>152</v>
      </c>
      <c r="T1272" t="s">
        <v>91</v>
      </c>
      <c r="U1272">
        <v>1.1484430482183706E-2</v>
      </c>
      <c r="V1272" t="s">
        <v>84</v>
      </c>
    </row>
    <row r="1273" spans="19:22" x14ac:dyDescent="0.45">
      <c r="S1273" t="s">
        <v>152</v>
      </c>
      <c r="T1273" t="s">
        <v>92</v>
      </c>
      <c r="U1273">
        <v>1.8669713460149923E-2</v>
      </c>
      <c r="V1273" t="s">
        <v>84</v>
      </c>
    </row>
    <row r="1274" spans="19:22" x14ac:dyDescent="0.45">
      <c r="S1274" t="s">
        <v>152</v>
      </c>
      <c r="T1274" t="s">
        <v>183</v>
      </c>
      <c r="U1274">
        <v>3.3284392242531944E-3</v>
      </c>
      <c r="V1274" t="s">
        <v>84</v>
      </c>
    </row>
    <row r="1275" spans="19:22" x14ac:dyDescent="0.45">
      <c r="S1275" t="s">
        <v>152</v>
      </c>
      <c r="T1275" t="s">
        <v>184</v>
      </c>
      <c r="U1275">
        <v>3.3875678046708731E-3</v>
      </c>
      <c r="V1275" t="s">
        <v>84</v>
      </c>
    </row>
    <row r="1276" spans="19:22" x14ac:dyDescent="0.45">
      <c r="S1276" t="s">
        <v>152</v>
      </c>
      <c r="T1276" t="s">
        <v>185</v>
      </c>
      <c r="U1276">
        <v>1.7252267071134576E-2</v>
      </c>
      <c r="V1276" t="s">
        <v>84</v>
      </c>
    </row>
    <row r="1277" spans="19:22" x14ac:dyDescent="0.45">
      <c r="S1277" t="s">
        <v>152</v>
      </c>
      <c r="T1277" t="s">
        <v>93</v>
      </c>
      <c r="U1277">
        <v>4.7255648297344077E-2</v>
      </c>
      <c r="V1277" t="s">
        <v>84</v>
      </c>
    </row>
    <row r="1278" spans="19:22" x14ac:dyDescent="0.45">
      <c r="S1278" t="s">
        <v>152</v>
      </c>
      <c r="T1278" t="s">
        <v>94</v>
      </c>
      <c r="U1278">
        <v>2.5433908972427699E-2</v>
      </c>
      <c r="V1278" t="s">
        <v>84</v>
      </c>
    </row>
    <row r="1279" spans="19:22" x14ac:dyDescent="0.45">
      <c r="S1279" t="s">
        <v>152</v>
      </c>
      <c r="T1279" t="s">
        <v>95</v>
      </c>
      <c r="U1279">
        <v>4.2105908191358357E-2</v>
      </c>
      <c r="V1279" t="s">
        <v>84</v>
      </c>
    </row>
    <row r="1280" spans="19:22" x14ac:dyDescent="0.45">
      <c r="S1280" t="s">
        <v>152</v>
      </c>
      <c r="T1280" t="s">
        <v>186</v>
      </c>
      <c r="U1280">
        <v>6.9473131213359483E-3</v>
      </c>
      <c r="V1280" t="s">
        <v>84</v>
      </c>
    </row>
    <row r="1281" spans="19:22" x14ac:dyDescent="0.45">
      <c r="S1281" t="s">
        <v>152</v>
      </c>
      <c r="T1281" t="s">
        <v>187</v>
      </c>
      <c r="U1281">
        <v>6.7394399697999798E-3</v>
      </c>
      <c r="V1281" t="s">
        <v>84</v>
      </c>
    </row>
    <row r="1282" spans="19:22" x14ac:dyDescent="0.45">
      <c r="S1282" t="s">
        <v>152</v>
      </c>
      <c r="T1282" t="s">
        <v>188</v>
      </c>
      <c r="U1282">
        <v>3.2256683290557087E-2</v>
      </c>
      <c r="V1282" t="s">
        <v>84</v>
      </c>
    </row>
    <row r="1283" spans="19:22" x14ac:dyDescent="0.45">
      <c r="S1283" t="s">
        <v>152</v>
      </c>
      <c r="T1283" t="s">
        <v>189</v>
      </c>
      <c r="U1283">
        <v>2.4341365072714085E-2</v>
      </c>
      <c r="V1283" t="s">
        <v>84</v>
      </c>
    </row>
    <row r="1284" spans="19:22" x14ac:dyDescent="0.45">
      <c r="S1284" t="s">
        <v>152</v>
      </c>
      <c r="T1284" t="s">
        <v>190</v>
      </c>
      <c r="U1284">
        <v>1.4270110249965081E-2</v>
      </c>
      <c r="V1284" t="s">
        <v>84</v>
      </c>
    </row>
    <row r="1285" spans="19:22" x14ac:dyDescent="0.45">
      <c r="S1285" t="s">
        <v>152</v>
      </c>
      <c r="T1285" t="s">
        <v>191</v>
      </c>
      <c r="U1285">
        <v>2.2554535635991066E-2</v>
      </c>
      <c r="V1285" t="s">
        <v>84</v>
      </c>
    </row>
    <row r="1286" spans="19:22" x14ac:dyDescent="0.45">
      <c r="S1286" t="s">
        <v>152</v>
      </c>
      <c r="T1286" t="s">
        <v>192</v>
      </c>
      <c r="U1286">
        <v>3.5725209969454342E-3</v>
      </c>
      <c r="V1286" t="s">
        <v>84</v>
      </c>
    </row>
    <row r="1287" spans="19:22" x14ac:dyDescent="0.45">
      <c r="S1287" t="s">
        <v>152</v>
      </c>
      <c r="T1287" t="s">
        <v>193</v>
      </c>
      <c r="U1287">
        <v>3.4785618956399067E-3</v>
      </c>
      <c r="V1287" t="s">
        <v>84</v>
      </c>
    </row>
    <row r="1288" spans="19:22" x14ac:dyDescent="0.45">
      <c r="S1288" t="s">
        <v>152</v>
      </c>
      <c r="T1288" t="s">
        <v>194</v>
      </c>
      <c r="U1288">
        <v>1.6401871955115423E-2</v>
      </c>
      <c r="V1288" t="s">
        <v>84</v>
      </c>
    </row>
    <row r="1289" spans="19:22" x14ac:dyDescent="0.45">
      <c r="S1289" t="s">
        <v>152</v>
      </c>
      <c r="T1289" t="s">
        <v>195</v>
      </c>
      <c r="U1289">
        <v>7.8766208390937481E-2</v>
      </c>
      <c r="V1289" t="s">
        <v>84</v>
      </c>
    </row>
    <row r="1290" spans="19:22" x14ac:dyDescent="0.45">
      <c r="S1290" t="s">
        <v>152</v>
      </c>
      <c r="T1290" t="s">
        <v>196</v>
      </c>
      <c r="U1290">
        <v>4.195333726803098E-2</v>
      </c>
      <c r="V1290" t="s">
        <v>84</v>
      </c>
    </row>
    <row r="1291" spans="19:22" x14ac:dyDescent="0.45">
      <c r="S1291" t="s">
        <v>152</v>
      </c>
      <c r="T1291" t="s">
        <v>197</v>
      </c>
      <c r="U1291">
        <v>6.8894532399261202E-2</v>
      </c>
      <c r="V1291" t="s">
        <v>84</v>
      </c>
    </row>
    <row r="1292" spans="19:22" x14ac:dyDescent="0.45">
      <c r="S1292" t="s">
        <v>152</v>
      </c>
      <c r="T1292" t="s">
        <v>198</v>
      </c>
      <c r="U1292">
        <v>1.1506959845928555E-2</v>
      </c>
      <c r="V1292" t="s">
        <v>84</v>
      </c>
    </row>
    <row r="1293" spans="19:22" x14ac:dyDescent="0.45">
      <c r="S1293" t="s">
        <v>152</v>
      </c>
      <c r="T1293" t="s">
        <v>199</v>
      </c>
      <c r="U1293">
        <v>1.1387307212917679E-2</v>
      </c>
      <c r="V1293" t="s">
        <v>84</v>
      </c>
    </row>
    <row r="1294" spans="19:22" x14ac:dyDescent="0.45">
      <c r="S1294" t="s">
        <v>152</v>
      </c>
      <c r="T1294" t="s">
        <v>200</v>
      </c>
      <c r="U1294">
        <v>5.6926325969376378E-2</v>
      </c>
      <c r="V1294" t="s">
        <v>84</v>
      </c>
    </row>
    <row r="1295" spans="19:22" x14ac:dyDescent="0.45">
      <c r="S1295" t="s">
        <v>152</v>
      </c>
      <c r="T1295" t="s">
        <v>201</v>
      </c>
      <c r="U1295">
        <v>3.0226195985660554E-2</v>
      </c>
      <c r="V1295" t="s">
        <v>84</v>
      </c>
    </row>
    <row r="1296" spans="19:22" x14ac:dyDescent="0.45">
      <c r="S1296" t="s">
        <v>152</v>
      </c>
      <c r="T1296" t="s">
        <v>202</v>
      </c>
      <c r="U1296">
        <v>1.8810810327122354E-2</v>
      </c>
      <c r="V1296" t="s">
        <v>84</v>
      </c>
    </row>
    <row r="1297" spans="19:22" x14ac:dyDescent="0.45">
      <c r="S1297" t="s">
        <v>152</v>
      </c>
      <c r="T1297" t="s">
        <v>203</v>
      </c>
      <c r="U1297">
        <v>2.8904148027289443E-2</v>
      </c>
      <c r="V1297" t="s">
        <v>84</v>
      </c>
    </row>
    <row r="1298" spans="19:22" x14ac:dyDescent="0.45">
      <c r="S1298" t="s">
        <v>152</v>
      </c>
      <c r="T1298" t="s">
        <v>204</v>
      </c>
      <c r="U1298">
        <v>4.6713245943815805E-3</v>
      </c>
      <c r="V1298" t="s">
        <v>84</v>
      </c>
    </row>
    <row r="1299" spans="19:22" x14ac:dyDescent="0.45">
      <c r="S1299" t="s">
        <v>152</v>
      </c>
      <c r="T1299" t="s">
        <v>205</v>
      </c>
      <c r="U1299">
        <v>4.4028824214508537E-3</v>
      </c>
      <c r="V1299" t="s">
        <v>84</v>
      </c>
    </row>
    <row r="1300" spans="19:22" x14ac:dyDescent="0.45">
      <c r="S1300" t="s">
        <v>152</v>
      </c>
      <c r="T1300" t="s">
        <v>206</v>
      </c>
      <c r="U1300">
        <v>1.9357789943601596E-2</v>
      </c>
      <c r="V1300" t="s">
        <v>84</v>
      </c>
    </row>
    <row r="1301" spans="19:22" x14ac:dyDescent="0.45">
      <c r="S1301" t="s">
        <v>152</v>
      </c>
      <c r="T1301" t="s">
        <v>207</v>
      </c>
      <c r="U1301">
        <v>3.9194261768879003E-2</v>
      </c>
      <c r="V1301" t="s">
        <v>84</v>
      </c>
    </row>
    <row r="1302" spans="19:22" x14ac:dyDescent="0.45">
      <c r="S1302" t="s">
        <v>152</v>
      </c>
      <c r="T1302" t="s">
        <v>208</v>
      </c>
      <c r="U1302">
        <v>2.3154401012330988E-2</v>
      </c>
      <c r="V1302" t="s">
        <v>84</v>
      </c>
    </row>
    <row r="1303" spans="19:22" x14ac:dyDescent="0.45">
      <c r="S1303" t="s">
        <v>152</v>
      </c>
      <c r="T1303" t="s">
        <v>209</v>
      </c>
      <c r="U1303">
        <v>4.1390124299569744E-2</v>
      </c>
      <c r="V1303" t="s">
        <v>84</v>
      </c>
    </row>
    <row r="1304" spans="19:22" x14ac:dyDescent="0.45">
      <c r="S1304" t="s">
        <v>152</v>
      </c>
      <c r="T1304" t="s">
        <v>210</v>
      </c>
      <c r="U1304">
        <v>6.892460058987044E-3</v>
      </c>
      <c r="V1304" t="s">
        <v>84</v>
      </c>
    </row>
    <row r="1305" spans="19:22" x14ac:dyDescent="0.45">
      <c r="S1305" t="s">
        <v>152</v>
      </c>
      <c r="T1305" t="s">
        <v>211</v>
      </c>
      <c r="U1305">
        <v>6.6423688801543618E-3</v>
      </c>
      <c r="V1305" t="s">
        <v>84</v>
      </c>
    </row>
    <row r="1306" spans="19:22" x14ac:dyDescent="0.45">
      <c r="S1306" t="s">
        <v>152</v>
      </c>
      <c r="T1306" t="s">
        <v>212</v>
      </c>
      <c r="U1306">
        <v>3.046844327780919E-2</v>
      </c>
      <c r="V1306" t="s">
        <v>84</v>
      </c>
    </row>
    <row r="1307" spans="19:22" x14ac:dyDescent="0.45">
      <c r="S1307" t="s">
        <v>153</v>
      </c>
      <c r="T1307" t="s">
        <v>83</v>
      </c>
      <c r="U1307">
        <v>2.4226014394910976E-2</v>
      </c>
      <c r="V1307" t="s">
        <v>84</v>
      </c>
    </row>
    <row r="1308" spans="19:22" x14ac:dyDescent="0.45">
      <c r="S1308" t="s">
        <v>153</v>
      </c>
      <c r="T1308" t="s">
        <v>85</v>
      </c>
      <c r="U1308">
        <v>1.3234136556708274E-2</v>
      </c>
      <c r="V1308" t="s">
        <v>84</v>
      </c>
    </row>
    <row r="1309" spans="19:22" x14ac:dyDescent="0.45">
      <c r="S1309" t="s">
        <v>153</v>
      </c>
      <c r="T1309" t="s">
        <v>86</v>
      </c>
      <c r="U1309">
        <v>2.1959460628016809E-2</v>
      </c>
      <c r="V1309" t="s">
        <v>84</v>
      </c>
    </row>
    <row r="1310" spans="19:22" x14ac:dyDescent="0.45">
      <c r="S1310" t="s">
        <v>153</v>
      </c>
      <c r="T1310" t="s">
        <v>177</v>
      </c>
      <c r="U1310">
        <v>3.8800846514455371E-3</v>
      </c>
      <c r="V1310" t="s">
        <v>84</v>
      </c>
    </row>
    <row r="1311" spans="19:22" x14ac:dyDescent="0.45">
      <c r="S1311" t="s">
        <v>153</v>
      </c>
      <c r="T1311" t="s">
        <v>178</v>
      </c>
      <c r="U1311">
        <v>3.9146071223843271E-3</v>
      </c>
      <c r="V1311" t="s">
        <v>84</v>
      </c>
    </row>
    <row r="1312" spans="19:22" x14ac:dyDescent="0.45">
      <c r="S1312" t="s">
        <v>153</v>
      </c>
      <c r="T1312" t="s">
        <v>179</v>
      </c>
      <c r="U1312">
        <v>1.8711335782279456E-2</v>
      </c>
      <c r="V1312" t="s">
        <v>84</v>
      </c>
    </row>
    <row r="1313" spans="19:22" x14ac:dyDescent="0.45">
      <c r="S1313" t="s">
        <v>153</v>
      </c>
      <c r="T1313" t="s">
        <v>87</v>
      </c>
      <c r="U1313">
        <v>1.5687929486143195E-2</v>
      </c>
      <c r="V1313" t="s">
        <v>84</v>
      </c>
    </row>
    <row r="1314" spans="19:22" x14ac:dyDescent="0.45">
      <c r="S1314" t="s">
        <v>153</v>
      </c>
      <c r="T1314" t="s">
        <v>88</v>
      </c>
      <c r="U1314">
        <v>8.9410035893877048E-3</v>
      </c>
      <c r="V1314" t="s">
        <v>84</v>
      </c>
    </row>
    <row r="1315" spans="19:22" x14ac:dyDescent="0.45">
      <c r="S1315" t="s">
        <v>153</v>
      </c>
      <c r="T1315" t="s">
        <v>89</v>
      </c>
      <c r="U1315">
        <v>1.5961360010187265E-2</v>
      </c>
      <c r="V1315" t="s">
        <v>84</v>
      </c>
    </row>
    <row r="1316" spans="19:22" x14ac:dyDescent="0.45">
      <c r="S1316" t="s">
        <v>153</v>
      </c>
      <c r="T1316" t="s">
        <v>180</v>
      </c>
      <c r="U1316">
        <v>2.8622461730338643E-3</v>
      </c>
      <c r="V1316" t="s">
        <v>84</v>
      </c>
    </row>
    <row r="1317" spans="19:22" x14ac:dyDescent="0.45">
      <c r="S1317" t="s">
        <v>153</v>
      </c>
      <c r="T1317" t="s">
        <v>181</v>
      </c>
      <c r="U1317">
        <v>2.7146395960228071E-3</v>
      </c>
      <c r="V1317" t="s">
        <v>84</v>
      </c>
    </row>
    <row r="1318" spans="19:22" x14ac:dyDescent="0.45">
      <c r="S1318" t="s">
        <v>153</v>
      </c>
      <c r="T1318" t="s">
        <v>182</v>
      </c>
      <c r="U1318">
        <v>1.2347302036750902E-2</v>
      </c>
      <c r="V1318" t="s">
        <v>84</v>
      </c>
    </row>
    <row r="1319" spans="19:22" x14ac:dyDescent="0.45">
      <c r="S1319" t="s">
        <v>153</v>
      </c>
      <c r="T1319" t="s">
        <v>90</v>
      </c>
      <c r="U1319">
        <v>1.577144333178512E-2</v>
      </c>
      <c r="V1319" t="s">
        <v>84</v>
      </c>
    </row>
    <row r="1320" spans="19:22" x14ac:dyDescent="0.45">
      <c r="S1320" t="s">
        <v>153</v>
      </c>
      <c r="T1320" t="s">
        <v>91</v>
      </c>
      <c r="U1320">
        <v>9.2096657151632053E-3</v>
      </c>
      <c r="V1320" t="s">
        <v>84</v>
      </c>
    </row>
    <row r="1321" spans="19:22" x14ac:dyDescent="0.45">
      <c r="S1321" t="s">
        <v>153</v>
      </c>
      <c r="T1321" t="s">
        <v>92</v>
      </c>
      <c r="U1321">
        <v>1.7064649623416101E-2</v>
      </c>
      <c r="V1321" t="s">
        <v>84</v>
      </c>
    </row>
    <row r="1322" spans="19:22" x14ac:dyDescent="0.45">
      <c r="S1322" t="s">
        <v>153</v>
      </c>
      <c r="T1322" t="s">
        <v>183</v>
      </c>
      <c r="U1322">
        <v>3.1501113143426649E-3</v>
      </c>
      <c r="V1322" t="s">
        <v>84</v>
      </c>
    </row>
    <row r="1323" spans="19:22" x14ac:dyDescent="0.45">
      <c r="S1323" t="s">
        <v>153</v>
      </c>
      <c r="T1323" t="s">
        <v>184</v>
      </c>
      <c r="U1323">
        <v>3.2251107039337561E-3</v>
      </c>
      <c r="V1323" t="s">
        <v>84</v>
      </c>
    </row>
    <row r="1324" spans="19:22" x14ac:dyDescent="0.45">
      <c r="S1324" t="s">
        <v>153</v>
      </c>
      <c r="T1324" t="s">
        <v>185</v>
      </c>
      <c r="U1324">
        <v>1.5259151244441353E-2</v>
      </c>
      <c r="V1324" t="s">
        <v>84</v>
      </c>
    </row>
    <row r="1325" spans="19:22" x14ac:dyDescent="0.45">
      <c r="S1325" t="s">
        <v>153</v>
      </c>
      <c r="T1325" t="s">
        <v>93</v>
      </c>
      <c r="U1325">
        <v>5.263110836892379E-2</v>
      </c>
      <c r="V1325" t="s">
        <v>84</v>
      </c>
    </row>
    <row r="1326" spans="19:22" x14ac:dyDescent="0.45">
      <c r="S1326" t="s">
        <v>153</v>
      </c>
      <c r="T1326" t="s">
        <v>94</v>
      </c>
      <c r="U1326">
        <v>2.9487512307287446E-2</v>
      </c>
      <c r="V1326" t="s">
        <v>84</v>
      </c>
    </row>
    <row r="1327" spans="19:22" x14ac:dyDescent="0.45">
      <c r="S1327" t="s">
        <v>153</v>
      </c>
      <c r="T1327" t="s">
        <v>95</v>
      </c>
      <c r="U1327">
        <v>4.4656507653960439E-2</v>
      </c>
      <c r="V1327" t="s">
        <v>84</v>
      </c>
    </row>
    <row r="1328" spans="19:22" x14ac:dyDescent="0.45">
      <c r="S1328" t="s">
        <v>153</v>
      </c>
      <c r="T1328" t="s">
        <v>186</v>
      </c>
      <c r="U1328">
        <v>7.5440017914388084E-3</v>
      </c>
      <c r="V1328" t="s">
        <v>84</v>
      </c>
    </row>
    <row r="1329" spans="19:22" x14ac:dyDescent="0.45">
      <c r="S1329" t="s">
        <v>153</v>
      </c>
      <c r="T1329" t="s">
        <v>187</v>
      </c>
      <c r="U1329">
        <v>7.6576468131310926E-3</v>
      </c>
      <c r="V1329" t="s">
        <v>84</v>
      </c>
    </row>
    <row r="1330" spans="19:22" x14ac:dyDescent="0.45">
      <c r="S1330" t="s">
        <v>153</v>
      </c>
      <c r="T1330" t="s">
        <v>188</v>
      </c>
      <c r="U1330">
        <v>3.9213002417985088E-2</v>
      </c>
      <c r="V1330" t="s">
        <v>84</v>
      </c>
    </row>
    <row r="1331" spans="19:22" x14ac:dyDescent="0.45">
      <c r="S1331" t="s">
        <v>153</v>
      </c>
      <c r="T1331" t="s">
        <v>189</v>
      </c>
      <c r="U1331">
        <v>2.5235010223122037E-2</v>
      </c>
      <c r="V1331" t="s">
        <v>84</v>
      </c>
    </row>
    <row r="1332" spans="19:22" x14ac:dyDescent="0.45">
      <c r="S1332" t="s">
        <v>153</v>
      </c>
      <c r="T1332" t="s">
        <v>190</v>
      </c>
      <c r="U1332">
        <v>1.4588224969392142E-2</v>
      </c>
      <c r="V1332" t="s">
        <v>84</v>
      </c>
    </row>
    <row r="1333" spans="19:22" x14ac:dyDescent="0.45">
      <c r="S1333" t="s">
        <v>153</v>
      </c>
      <c r="T1333" t="s">
        <v>191</v>
      </c>
      <c r="U1333">
        <v>2.2506139235191309E-2</v>
      </c>
      <c r="V1333" t="s">
        <v>84</v>
      </c>
    </row>
    <row r="1334" spans="19:22" x14ac:dyDescent="0.45">
      <c r="S1334" t="s">
        <v>153</v>
      </c>
      <c r="T1334" t="s">
        <v>192</v>
      </c>
      <c r="U1334">
        <v>3.7529664600985981E-3</v>
      </c>
      <c r="V1334" t="s">
        <v>84</v>
      </c>
    </row>
    <row r="1335" spans="19:22" x14ac:dyDescent="0.45">
      <c r="S1335" t="s">
        <v>153</v>
      </c>
      <c r="T1335" t="s">
        <v>193</v>
      </c>
      <c r="U1335">
        <v>3.7904413563442374E-3</v>
      </c>
      <c r="V1335" t="s">
        <v>84</v>
      </c>
    </row>
    <row r="1336" spans="19:22" x14ac:dyDescent="0.45">
      <c r="S1336" t="s">
        <v>153</v>
      </c>
      <c r="T1336" t="s">
        <v>194</v>
      </c>
      <c r="U1336">
        <v>1.8858187693232168E-2</v>
      </c>
      <c r="V1336" t="s">
        <v>84</v>
      </c>
    </row>
    <row r="1337" spans="19:22" x14ac:dyDescent="0.45">
      <c r="S1337" t="s">
        <v>153</v>
      </c>
      <c r="T1337" t="s">
        <v>195</v>
      </c>
      <c r="U1337">
        <v>7.4724737059402427E-2</v>
      </c>
      <c r="V1337" t="s">
        <v>84</v>
      </c>
    </row>
    <row r="1338" spans="19:22" x14ac:dyDescent="0.45">
      <c r="S1338" t="s">
        <v>153</v>
      </c>
      <c r="T1338" t="s">
        <v>196</v>
      </c>
      <c r="U1338">
        <v>4.050331549745867E-2</v>
      </c>
      <c r="V1338" t="s">
        <v>84</v>
      </c>
    </row>
    <row r="1339" spans="19:22" x14ac:dyDescent="0.45">
      <c r="S1339" t="s">
        <v>153</v>
      </c>
      <c r="T1339" t="s">
        <v>197</v>
      </c>
      <c r="U1339">
        <v>6.6875825084051793E-2</v>
      </c>
      <c r="V1339" t="s">
        <v>84</v>
      </c>
    </row>
    <row r="1340" spans="19:22" x14ac:dyDescent="0.45">
      <c r="S1340" t="s">
        <v>153</v>
      </c>
      <c r="T1340" t="s">
        <v>198</v>
      </c>
      <c r="U1340">
        <v>1.1644591130352171E-2</v>
      </c>
      <c r="V1340" t="s">
        <v>84</v>
      </c>
    </row>
    <row r="1341" spans="19:22" x14ac:dyDescent="0.45">
      <c r="S1341" t="s">
        <v>153</v>
      </c>
      <c r="T1341" t="s">
        <v>199</v>
      </c>
      <c r="U1341">
        <v>1.166210156247623E-2</v>
      </c>
      <c r="V1341" t="s">
        <v>84</v>
      </c>
    </row>
    <row r="1342" spans="19:22" x14ac:dyDescent="0.45">
      <c r="S1342" t="s">
        <v>153</v>
      </c>
      <c r="T1342" t="s">
        <v>200</v>
      </c>
      <c r="U1342">
        <v>5.7247906552296932E-2</v>
      </c>
      <c r="V1342" t="s">
        <v>84</v>
      </c>
    </row>
    <row r="1343" spans="19:22" x14ac:dyDescent="0.45">
      <c r="S1343" t="s">
        <v>153</v>
      </c>
      <c r="T1343" t="s">
        <v>201</v>
      </c>
      <c r="U1343">
        <v>2.8201055494579821E-2</v>
      </c>
      <c r="V1343" t="s">
        <v>84</v>
      </c>
    </row>
    <row r="1344" spans="19:22" x14ac:dyDescent="0.45">
      <c r="S1344" t="s">
        <v>153</v>
      </c>
      <c r="T1344" t="s">
        <v>202</v>
      </c>
      <c r="U1344">
        <v>1.6825077509397771E-2</v>
      </c>
      <c r="V1344" t="s">
        <v>84</v>
      </c>
    </row>
    <row r="1345" spans="19:22" x14ac:dyDescent="0.45">
      <c r="S1345" t="s">
        <v>153</v>
      </c>
      <c r="T1345" t="s">
        <v>203</v>
      </c>
      <c r="U1345">
        <v>2.519238397885418E-2</v>
      </c>
      <c r="V1345" t="s">
        <v>84</v>
      </c>
    </row>
    <row r="1346" spans="19:22" x14ac:dyDescent="0.45">
      <c r="S1346" t="s">
        <v>153</v>
      </c>
      <c r="T1346" t="s">
        <v>204</v>
      </c>
      <c r="U1346">
        <v>4.3555499092571117E-3</v>
      </c>
      <c r="V1346" t="s">
        <v>84</v>
      </c>
    </row>
    <row r="1347" spans="19:22" x14ac:dyDescent="0.45">
      <c r="S1347" t="s">
        <v>153</v>
      </c>
      <c r="T1347" t="s">
        <v>205</v>
      </c>
      <c r="U1347">
        <v>4.4414189438376425E-3</v>
      </c>
      <c r="V1347" t="s">
        <v>84</v>
      </c>
    </row>
    <row r="1348" spans="19:22" x14ac:dyDescent="0.45">
      <c r="S1348" t="s">
        <v>153</v>
      </c>
      <c r="T1348" t="s">
        <v>206</v>
      </c>
      <c r="U1348">
        <v>2.143219057255745E-2</v>
      </c>
      <c r="V1348" t="s">
        <v>84</v>
      </c>
    </row>
    <row r="1349" spans="19:22" x14ac:dyDescent="0.45">
      <c r="S1349" t="s">
        <v>153</v>
      </c>
      <c r="T1349" t="s">
        <v>207</v>
      </c>
      <c r="U1349">
        <v>4.2178863062442652E-2</v>
      </c>
      <c r="V1349" t="s">
        <v>84</v>
      </c>
    </row>
    <row r="1350" spans="19:22" x14ac:dyDescent="0.45">
      <c r="S1350" t="s">
        <v>153</v>
      </c>
      <c r="T1350" t="s">
        <v>208</v>
      </c>
      <c r="U1350">
        <v>2.4025052706632938E-2</v>
      </c>
      <c r="V1350" t="s">
        <v>84</v>
      </c>
    </row>
    <row r="1351" spans="19:22" x14ac:dyDescent="0.45">
      <c r="S1351" t="s">
        <v>153</v>
      </c>
      <c r="T1351" t="s">
        <v>209</v>
      </c>
      <c r="U1351">
        <v>4.3293997180636604E-2</v>
      </c>
      <c r="V1351" t="s">
        <v>84</v>
      </c>
    </row>
    <row r="1352" spans="19:22" x14ac:dyDescent="0.45">
      <c r="S1352" t="s">
        <v>153</v>
      </c>
      <c r="T1352" t="s">
        <v>210</v>
      </c>
      <c r="U1352">
        <v>7.5134162011625694E-3</v>
      </c>
      <c r="V1352" t="s">
        <v>84</v>
      </c>
    </row>
    <row r="1353" spans="19:22" x14ac:dyDescent="0.45">
      <c r="S1353" t="s">
        <v>153</v>
      </c>
      <c r="T1353" t="s">
        <v>211</v>
      </c>
      <c r="U1353">
        <v>7.3426117420660932E-3</v>
      </c>
      <c r="V1353" t="s">
        <v>84</v>
      </c>
    </row>
    <row r="1354" spans="19:22" x14ac:dyDescent="0.45">
      <c r="S1354" t="s">
        <v>153</v>
      </c>
      <c r="T1354" t="s">
        <v>212</v>
      </c>
      <c r="U1354">
        <v>3.449890456207845E-2</v>
      </c>
      <c r="V1354" t="s">
        <v>84</v>
      </c>
    </row>
    <row r="1355" spans="19:22" x14ac:dyDescent="0.45">
      <c r="S1355" t="s">
        <v>154</v>
      </c>
      <c r="T1355" t="s">
        <v>83</v>
      </c>
      <c r="U1355">
        <v>2.6220079474554178E-2</v>
      </c>
      <c r="V1355" t="s">
        <v>84</v>
      </c>
    </row>
    <row r="1356" spans="19:22" x14ac:dyDescent="0.45">
      <c r="S1356" t="s">
        <v>154</v>
      </c>
      <c r="T1356" t="s">
        <v>85</v>
      </c>
      <c r="U1356">
        <v>1.5073780082673717E-2</v>
      </c>
      <c r="V1356" t="s">
        <v>84</v>
      </c>
    </row>
    <row r="1357" spans="19:22" x14ac:dyDescent="0.45">
      <c r="S1357" t="s">
        <v>154</v>
      </c>
      <c r="T1357" t="s">
        <v>86</v>
      </c>
      <c r="U1357">
        <v>2.3104966176145915E-2</v>
      </c>
      <c r="V1357" t="s">
        <v>84</v>
      </c>
    </row>
    <row r="1358" spans="19:22" x14ac:dyDescent="0.45">
      <c r="S1358" t="s">
        <v>154</v>
      </c>
      <c r="T1358" t="s">
        <v>177</v>
      </c>
      <c r="U1358">
        <v>3.6934495084281625E-3</v>
      </c>
      <c r="V1358" t="s">
        <v>84</v>
      </c>
    </row>
    <row r="1359" spans="19:22" x14ac:dyDescent="0.45">
      <c r="S1359" t="s">
        <v>154</v>
      </c>
      <c r="T1359" t="s">
        <v>178</v>
      </c>
      <c r="U1359">
        <v>3.6520534057143889E-3</v>
      </c>
      <c r="V1359" t="s">
        <v>84</v>
      </c>
    </row>
    <row r="1360" spans="19:22" x14ac:dyDescent="0.45">
      <c r="S1360" t="s">
        <v>154</v>
      </c>
      <c r="T1360" t="s">
        <v>179</v>
      </c>
      <c r="U1360">
        <v>1.7564481588531775E-2</v>
      </c>
      <c r="V1360" t="s">
        <v>84</v>
      </c>
    </row>
    <row r="1361" spans="19:22" x14ac:dyDescent="0.45">
      <c r="S1361" t="s">
        <v>154</v>
      </c>
      <c r="T1361" t="s">
        <v>87</v>
      </c>
      <c r="U1361">
        <v>1.9129436508721242E-2</v>
      </c>
      <c r="V1361" t="s">
        <v>84</v>
      </c>
    </row>
    <row r="1362" spans="19:22" x14ac:dyDescent="0.45">
      <c r="S1362" t="s">
        <v>154</v>
      </c>
      <c r="T1362" t="s">
        <v>88</v>
      </c>
      <c r="U1362">
        <v>1.1399071697623338E-2</v>
      </c>
      <c r="V1362" t="s">
        <v>84</v>
      </c>
    </row>
    <row r="1363" spans="19:22" x14ac:dyDescent="0.45">
      <c r="S1363" t="s">
        <v>154</v>
      </c>
      <c r="T1363" t="s">
        <v>89</v>
      </c>
      <c r="U1363">
        <v>1.7037993711922435E-2</v>
      </c>
      <c r="V1363" t="s">
        <v>84</v>
      </c>
    </row>
    <row r="1364" spans="19:22" x14ac:dyDescent="0.45">
      <c r="S1364" t="s">
        <v>154</v>
      </c>
      <c r="T1364" t="s">
        <v>180</v>
      </c>
      <c r="U1364">
        <v>2.8069502996510027E-3</v>
      </c>
      <c r="V1364" t="s">
        <v>84</v>
      </c>
    </row>
    <row r="1365" spans="19:22" x14ac:dyDescent="0.45">
      <c r="S1365" t="s">
        <v>154</v>
      </c>
      <c r="T1365" t="s">
        <v>181</v>
      </c>
      <c r="U1365">
        <v>2.8376953101450246E-3</v>
      </c>
      <c r="V1365" t="s">
        <v>84</v>
      </c>
    </row>
    <row r="1366" spans="19:22" x14ac:dyDescent="0.45">
      <c r="S1366" t="s">
        <v>154</v>
      </c>
      <c r="T1366" t="s">
        <v>182</v>
      </c>
      <c r="U1366">
        <v>1.4421932617963474E-2</v>
      </c>
      <c r="V1366" t="s">
        <v>84</v>
      </c>
    </row>
    <row r="1367" spans="19:22" x14ac:dyDescent="0.45">
      <c r="S1367" t="s">
        <v>154</v>
      </c>
      <c r="T1367" t="s">
        <v>90</v>
      </c>
      <c r="U1367">
        <v>1.9410634496616775E-2</v>
      </c>
      <c r="V1367" t="s">
        <v>84</v>
      </c>
    </row>
    <row r="1368" spans="19:22" x14ac:dyDescent="0.45">
      <c r="S1368" t="s">
        <v>154</v>
      </c>
      <c r="T1368" t="s">
        <v>91</v>
      </c>
      <c r="U1368">
        <v>9.4602420648469739E-3</v>
      </c>
      <c r="V1368" t="s">
        <v>84</v>
      </c>
    </row>
    <row r="1369" spans="19:22" x14ac:dyDescent="0.45">
      <c r="S1369" t="s">
        <v>154</v>
      </c>
      <c r="T1369" t="s">
        <v>92</v>
      </c>
      <c r="U1369">
        <v>1.5168365631113035E-2</v>
      </c>
      <c r="V1369" t="s">
        <v>84</v>
      </c>
    </row>
    <row r="1370" spans="19:22" x14ac:dyDescent="0.45">
      <c r="S1370" t="s">
        <v>154</v>
      </c>
      <c r="T1370" t="s">
        <v>183</v>
      </c>
      <c r="U1370">
        <v>2.5823590016721101E-3</v>
      </c>
      <c r="V1370" t="s">
        <v>84</v>
      </c>
    </row>
    <row r="1371" spans="19:22" x14ac:dyDescent="0.45">
      <c r="S1371" t="s">
        <v>154</v>
      </c>
      <c r="T1371" t="s">
        <v>184</v>
      </c>
      <c r="U1371">
        <v>2.6144816593163625E-3</v>
      </c>
      <c r="V1371" t="s">
        <v>84</v>
      </c>
    </row>
    <row r="1372" spans="19:22" x14ac:dyDescent="0.45">
      <c r="S1372" t="s">
        <v>154</v>
      </c>
      <c r="T1372" t="s">
        <v>185</v>
      </c>
      <c r="U1372">
        <v>1.4280490271291671E-2</v>
      </c>
      <c r="V1372" t="s">
        <v>84</v>
      </c>
    </row>
    <row r="1373" spans="19:22" x14ac:dyDescent="0.45">
      <c r="S1373" t="s">
        <v>154</v>
      </c>
      <c r="T1373" t="s">
        <v>93</v>
      </c>
      <c r="U1373">
        <v>5.3604549267518516E-2</v>
      </c>
      <c r="V1373" t="s">
        <v>84</v>
      </c>
    </row>
    <row r="1374" spans="19:22" x14ac:dyDescent="0.45">
      <c r="S1374" t="s">
        <v>154</v>
      </c>
      <c r="T1374" t="s">
        <v>94</v>
      </c>
      <c r="U1374">
        <v>3.0756789046720929E-2</v>
      </c>
      <c r="V1374" t="s">
        <v>84</v>
      </c>
    </row>
    <row r="1375" spans="19:22" x14ac:dyDescent="0.45">
      <c r="S1375" t="s">
        <v>154</v>
      </c>
      <c r="T1375" t="s">
        <v>95</v>
      </c>
      <c r="U1375">
        <v>4.5110059645763048E-2</v>
      </c>
      <c r="V1375" t="s">
        <v>84</v>
      </c>
    </row>
    <row r="1376" spans="19:22" x14ac:dyDescent="0.45">
      <c r="S1376" t="s">
        <v>154</v>
      </c>
      <c r="T1376" t="s">
        <v>186</v>
      </c>
      <c r="U1376">
        <v>7.2161444874141688E-3</v>
      </c>
      <c r="V1376" t="s">
        <v>84</v>
      </c>
    </row>
    <row r="1377" spans="19:22" x14ac:dyDescent="0.45">
      <c r="S1377" t="s">
        <v>154</v>
      </c>
      <c r="T1377" t="s">
        <v>187</v>
      </c>
      <c r="U1377">
        <v>7.2223638824569459E-3</v>
      </c>
      <c r="V1377" t="s">
        <v>84</v>
      </c>
    </row>
    <row r="1378" spans="19:22" x14ac:dyDescent="0.45">
      <c r="S1378" t="s">
        <v>154</v>
      </c>
      <c r="T1378" t="s">
        <v>188</v>
      </c>
      <c r="U1378">
        <v>3.6683787965878289E-2</v>
      </c>
      <c r="V1378" t="s">
        <v>84</v>
      </c>
    </row>
    <row r="1379" spans="19:22" x14ac:dyDescent="0.45">
      <c r="S1379" t="s">
        <v>154</v>
      </c>
      <c r="T1379" t="s">
        <v>189</v>
      </c>
      <c r="U1379">
        <v>2.6359856558885866E-2</v>
      </c>
      <c r="V1379" t="s">
        <v>84</v>
      </c>
    </row>
    <row r="1380" spans="19:22" x14ac:dyDescent="0.45">
      <c r="S1380" t="s">
        <v>154</v>
      </c>
      <c r="T1380" t="s">
        <v>190</v>
      </c>
      <c r="U1380">
        <v>1.4871778679986404E-2</v>
      </c>
      <c r="V1380" t="s">
        <v>84</v>
      </c>
    </row>
    <row r="1381" spans="19:22" x14ac:dyDescent="0.45">
      <c r="S1381" t="s">
        <v>154</v>
      </c>
      <c r="T1381" t="s">
        <v>191</v>
      </c>
      <c r="U1381">
        <v>2.3456898872024467E-2</v>
      </c>
      <c r="V1381" t="s">
        <v>84</v>
      </c>
    </row>
    <row r="1382" spans="19:22" x14ac:dyDescent="0.45">
      <c r="S1382" t="s">
        <v>154</v>
      </c>
      <c r="T1382" t="s">
        <v>192</v>
      </c>
      <c r="U1382">
        <v>3.9398968950886569E-3</v>
      </c>
      <c r="V1382" t="s">
        <v>84</v>
      </c>
    </row>
    <row r="1383" spans="19:22" x14ac:dyDescent="0.45">
      <c r="S1383" t="s">
        <v>154</v>
      </c>
      <c r="T1383" t="s">
        <v>193</v>
      </c>
      <c r="U1383">
        <v>3.9028543122177359E-3</v>
      </c>
      <c r="V1383" t="s">
        <v>84</v>
      </c>
    </row>
    <row r="1384" spans="19:22" x14ac:dyDescent="0.45">
      <c r="S1384" t="s">
        <v>154</v>
      </c>
      <c r="T1384" t="s">
        <v>194</v>
      </c>
      <c r="U1384">
        <v>1.9587943805118874E-2</v>
      </c>
      <c r="V1384" t="s">
        <v>84</v>
      </c>
    </row>
    <row r="1385" spans="19:22" x14ac:dyDescent="0.45">
      <c r="S1385" t="s">
        <v>154</v>
      </c>
      <c r="T1385" t="s">
        <v>195</v>
      </c>
      <c r="U1385">
        <v>7.732533332570421E-2</v>
      </c>
      <c r="V1385" t="s">
        <v>84</v>
      </c>
    </row>
    <row r="1386" spans="19:22" x14ac:dyDescent="0.45">
      <c r="S1386" t="s">
        <v>154</v>
      </c>
      <c r="T1386" t="s">
        <v>196</v>
      </c>
      <c r="U1386">
        <v>4.2431457407399627E-2</v>
      </c>
      <c r="V1386" t="s">
        <v>84</v>
      </c>
    </row>
    <row r="1387" spans="19:22" x14ac:dyDescent="0.45">
      <c r="S1387" t="s">
        <v>154</v>
      </c>
      <c r="T1387" t="s">
        <v>197</v>
      </c>
      <c r="U1387">
        <v>6.2970077205678904E-2</v>
      </c>
      <c r="V1387" t="s">
        <v>84</v>
      </c>
    </row>
    <row r="1388" spans="19:22" x14ac:dyDescent="0.45">
      <c r="S1388" t="s">
        <v>154</v>
      </c>
      <c r="T1388" t="s">
        <v>198</v>
      </c>
      <c r="U1388">
        <v>1.0666802157642874E-2</v>
      </c>
      <c r="V1388" t="s">
        <v>84</v>
      </c>
    </row>
    <row r="1389" spans="19:22" x14ac:dyDescent="0.45">
      <c r="S1389" t="s">
        <v>154</v>
      </c>
      <c r="T1389" t="s">
        <v>199</v>
      </c>
      <c r="U1389">
        <v>1.0926775884186312E-2</v>
      </c>
      <c r="V1389" t="s">
        <v>84</v>
      </c>
    </row>
    <row r="1390" spans="19:22" x14ac:dyDescent="0.45">
      <c r="S1390" t="s">
        <v>154</v>
      </c>
      <c r="T1390" t="s">
        <v>200</v>
      </c>
      <c r="U1390">
        <v>5.7340447762328689E-2</v>
      </c>
      <c r="V1390" t="s">
        <v>84</v>
      </c>
    </row>
    <row r="1391" spans="19:22" x14ac:dyDescent="0.45">
      <c r="S1391" t="s">
        <v>154</v>
      </c>
      <c r="T1391" t="s">
        <v>201</v>
      </c>
      <c r="U1391">
        <v>3.085701737948569E-2</v>
      </c>
      <c r="V1391" t="s">
        <v>84</v>
      </c>
    </row>
    <row r="1392" spans="19:22" x14ac:dyDescent="0.45">
      <c r="S1392" t="s">
        <v>154</v>
      </c>
      <c r="T1392" t="s">
        <v>202</v>
      </c>
      <c r="U1392">
        <v>1.3901045120785761E-2</v>
      </c>
      <c r="V1392" t="s">
        <v>84</v>
      </c>
    </row>
    <row r="1393" spans="19:22" x14ac:dyDescent="0.45">
      <c r="S1393" t="s">
        <v>154</v>
      </c>
      <c r="T1393" t="s">
        <v>203</v>
      </c>
      <c r="U1393">
        <v>2.2090108734084513E-2</v>
      </c>
      <c r="V1393" t="s">
        <v>84</v>
      </c>
    </row>
    <row r="1394" spans="19:22" x14ac:dyDescent="0.45">
      <c r="S1394" t="s">
        <v>154</v>
      </c>
      <c r="T1394" t="s">
        <v>204</v>
      </c>
      <c r="U1394">
        <v>3.9868755514483375E-3</v>
      </c>
      <c r="V1394" t="s">
        <v>84</v>
      </c>
    </row>
    <row r="1395" spans="19:22" x14ac:dyDescent="0.45">
      <c r="S1395" t="s">
        <v>154</v>
      </c>
      <c r="T1395" t="s">
        <v>205</v>
      </c>
      <c r="U1395">
        <v>4.1026898016358875E-3</v>
      </c>
      <c r="V1395" t="s">
        <v>84</v>
      </c>
    </row>
    <row r="1396" spans="19:22" x14ac:dyDescent="0.45">
      <c r="S1396" t="s">
        <v>154</v>
      </c>
      <c r="T1396" t="s">
        <v>206</v>
      </c>
      <c r="U1396">
        <v>2.3226149467712221E-2</v>
      </c>
      <c r="V1396" t="s">
        <v>84</v>
      </c>
    </row>
    <row r="1397" spans="19:22" x14ac:dyDescent="0.45">
      <c r="S1397" t="s">
        <v>154</v>
      </c>
      <c r="T1397" t="s">
        <v>207</v>
      </c>
      <c r="U1397">
        <v>4.4240292174878154E-2</v>
      </c>
      <c r="V1397" t="s">
        <v>84</v>
      </c>
    </row>
    <row r="1398" spans="19:22" x14ac:dyDescent="0.45">
      <c r="S1398" t="s">
        <v>154</v>
      </c>
      <c r="T1398" t="s">
        <v>208</v>
      </c>
      <c r="U1398">
        <v>2.3588079424148305E-2</v>
      </c>
      <c r="V1398" t="s">
        <v>84</v>
      </c>
    </row>
    <row r="1399" spans="19:22" x14ac:dyDescent="0.45">
      <c r="S1399" t="s">
        <v>154</v>
      </c>
      <c r="T1399" t="s">
        <v>209</v>
      </c>
      <c r="U1399">
        <v>3.5870996406659493E-2</v>
      </c>
      <c r="V1399" t="s">
        <v>84</v>
      </c>
    </row>
    <row r="1400" spans="19:22" x14ac:dyDescent="0.45">
      <c r="S1400" t="s">
        <v>154</v>
      </c>
      <c r="T1400" t="s">
        <v>210</v>
      </c>
      <c r="U1400">
        <v>5.9739694031133083E-3</v>
      </c>
      <c r="V1400" t="s">
        <v>84</v>
      </c>
    </row>
    <row r="1401" spans="19:22" x14ac:dyDescent="0.45">
      <c r="S1401" t="s">
        <v>154</v>
      </c>
      <c r="T1401" t="s">
        <v>211</v>
      </c>
      <c r="U1401">
        <v>6.0758434012936485E-3</v>
      </c>
      <c r="V1401" t="s">
        <v>84</v>
      </c>
    </row>
    <row r="1402" spans="19:22" x14ac:dyDescent="0.45">
      <c r="S1402" t="s">
        <v>154</v>
      </c>
      <c r="T1402" t="s">
        <v>212</v>
      </c>
      <c r="U1402">
        <v>3.1254652465807616E-2</v>
      </c>
      <c r="V1402" t="s">
        <v>84</v>
      </c>
    </row>
    <row r="1403" spans="19:22" x14ac:dyDescent="0.45">
      <c r="S1403" t="s">
        <v>155</v>
      </c>
      <c r="T1403" t="s">
        <v>83</v>
      </c>
      <c r="U1403">
        <v>2.4812325751143283E-2</v>
      </c>
      <c r="V1403" t="s">
        <v>84</v>
      </c>
    </row>
    <row r="1404" spans="19:22" x14ac:dyDescent="0.45">
      <c r="S1404" t="s">
        <v>155</v>
      </c>
      <c r="T1404" t="s">
        <v>85</v>
      </c>
      <c r="U1404">
        <v>1.4611685760264644E-2</v>
      </c>
      <c r="V1404" t="s">
        <v>84</v>
      </c>
    </row>
    <row r="1405" spans="19:22" x14ac:dyDescent="0.45">
      <c r="S1405" t="s">
        <v>155</v>
      </c>
      <c r="T1405" t="s">
        <v>86</v>
      </c>
      <c r="U1405">
        <v>2.108136529541596E-2</v>
      </c>
      <c r="V1405" t="s">
        <v>84</v>
      </c>
    </row>
    <row r="1406" spans="19:22" x14ac:dyDescent="0.45">
      <c r="S1406" t="s">
        <v>155</v>
      </c>
      <c r="T1406" t="s">
        <v>177</v>
      </c>
      <c r="U1406">
        <v>3.5114775619794706E-3</v>
      </c>
      <c r="V1406" t="s">
        <v>84</v>
      </c>
    </row>
    <row r="1407" spans="19:22" x14ac:dyDescent="0.45">
      <c r="S1407" t="s">
        <v>155</v>
      </c>
      <c r="T1407" t="s">
        <v>178</v>
      </c>
      <c r="U1407">
        <v>3.4776176587867787E-3</v>
      </c>
      <c r="V1407" t="s">
        <v>84</v>
      </c>
    </row>
    <row r="1408" spans="19:22" x14ac:dyDescent="0.45">
      <c r="S1408" t="s">
        <v>155</v>
      </c>
      <c r="T1408" t="s">
        <v>179</v>
      </c>
      <c r="U1408">
        <v>1.7237061417176118E-2</v>
      </c>
      <c r="V1408" t="s">
        <v>84</v>
      </c>
    </row>
    <row r="1409" spans="19:22" x14ac:dyDescent="0.45">
      <c r="S1409" t="s">
        <v>155</v>
      </c>
      <c r="T1409" t="s">
        <v>87</v>
      </c>
      <c r="U1409">
        <v>1.9062687262754195E-2</v>
      </c>
      <c r="V1409" t="s">
        <v>84</v>
      </c>
    </row>
    <row r="1410" spans="19:22" x14ac:dyDescent="0.45">
      <c r="S1410" t="s">
        <v>155</v>
      </c>
      <c r="T1410" t="s">
        <v>88</v>
      </c>
      <c r="U1410">
        <v>1.0419755559716096E-2</v>
      </c>
      <c r="V1410" t="s">
        <v>84</v>
      </c>
    </row>
    <row r="1411" spans="19:22" x14ac:dyDescent="0.45">
      <c r="S1411" t="s">
        <v>155</v>
      </c>
      <c r="T1411" t="s">
        <v>89</v>
      </c>
      <c r="U1411">
        <v>1.5474494762123136E-2</v>
      </c>
      <c r="V1411" t="s">
        <v>84</v>
      </c>
    </row>
    <row r="1412" spans="19:22" x14ac:dyDescent="0.45">
      <c r="S1412" t="s">
        <v>155</v>
      </c>
      <c r="T1412" t="s">
        <v>180</v>
      </c>
      <c r="U1412">
        <v>2.5885972694523729E-3</v>
      </c>
      <c r="V1412" t="s">
        <v>84</v>
      </c>
    </row>
    <row r="1413" spans="19:22" x14ac:dyDescent="0.45">
      <c r="S1413" t="s">
        <v>155</v>
      </c>
      <c r="T1413" t="s">
        <v>181</v>
      </c>
      <c r="U1413">
        <v>2.6476849784754604E-3</v>
      </c>
      <c r="V1413" t="s">
        <v>84</v>
      </c>
    </row>
    <row r="1414" spans="19:22" x14ac:dyDescent="0.45">
      <c r="S1414" t="s">
        <v>155</v>
      </c>
      <c r="T1414" t="s">
        <v>182</v>
      </c>
      <c r="U1414">
        <v>1.4211659907103952E-2</v>
      </c>
      <c r="V1414" t="s">
        <v>84</v>
      </c>
    </row>
    <row r="1415" spans="19:22" x14ac:dyDescent="0.45">
      <c r="S1415" t="s">
        <v>155</v>
      </c>
      <c r="T1415" t="s">
        <v>90</v>
      </c>
      <c r="U1415">
        <v>2.0781531470710362E-2</v>
      </c>
      <c r="V1415" t="s">
        <v>84</v>
      </c>
    </row>
    <row r="1416" spans="19:22" x14ac:dyDescent="0.45">
      <c r="S1416" t="s">
        <v>155</v>
      </c>
      <c r="T1416" t="s">
        <v>91</v>
      </c>
      <c r="U1416">
        <v>1.055714064956279E-2</v>
      </c>
      <c r="V1416" t="s">
        <v>84</v>
      </c>
    </row>
    <row r="1417" spans="19:22" x14ac:dyDescent="0.45">
      <c r="S1417" t="s">
        <v>155</v>
      </c>
      <c r="T1417" t="s">
        <v>92</v>
      </c>
      <c r="U1417">
        <v>1.5342022180687425E-2</v>
      </c>
      <c r="V1417" t="s">
        <v>84</v>
      </c>
    </row>
    <row r="1418" spans="19:22" x14ac:dyDescent="0.45">
      <c r="S1418" t="s">
        <v>155</v>
      </c>
      <c r="T1418" t="s">
        <v>183</v>
      </c>
      <c r="U1418">
        <v>2.6928051193784597E-3</v>
      </c>
      <c r="V1418" t="s">
        <v>84</v>
      </c>
    </row>
    <row r="1419" spans="19:22" x14ac:dyDescent="0.45">
      <c r="S1419" t="s">
        <v>155</v>
      </c>
      <c r="T1419" t="s">
        <v>184</v>
      </c>
      <c r="U1419">
        <v>2.7749781611761796E-3</v>
      </c>
      <c r="V1419" t="s">
        <v>84</v>
      </c>
    </row>
    <row r="1420" spans="19:22" x14ac:dyDescent="0.45">
      <c r="S1420" t="s">
        <v>155</v>
      </c>
      <c r="T1420" t="s">
        <v>185</v>
      </c>
      <c r="U1420">
        <v>1.50268204503138E-2</v>
      </c>
      <c r="V1420" t="s">
        <v>84</v>
      </c>
    </row>
    <row r="1421" spans="19:22" x14ac:dyDescent="0.45">
      <c r="S1421" t="s">
        <v>155</v>
      </c>
      <c r="T1421" t="s">
        <v>93</v>
      </c>
      <c r="U1421">
        <v>5.0931985084596697E-2</v>
      </c>
      <c r="V1421" t="s">
        <v>84</v>
      </c>
    </row>
    <row r="1422" spans="19:22" x14ac:dyDescent="0.45">
      <c r="S1422" t="s">
        <v>155</v>
      </c>
      <c r="T1422" t="s">
        <v>94</v>
      </c>
      <c r="U1422">
        <v>2.8957230432636198E-2</v>
      </c>
      <c r="V1422" t="s">
        <v>84</v>
      </c>
    </row>
    <row r="1423" spans="19:22" x14ac:dyDescent="0.45">
      <c r="S1423" t="s">
        <v>155</v>
      </c>
      <c r="T1423" t="s">
        <v>95</v>
      </c>
      <c r="U1423">
        <v>4.2746570725511017E-2</v>
      </c>
      <c r="V1423" t="s">
        <v>84</v>
      </c>
    </row>
    <row r="1424" spans="19:22" x14ac:dyDescent="0.45">
      <c r="S1424" t="s">
        <v>155</v>
      </c>
      <c r="T1424" t="s">
        <v>186</v>
      </c>
      <c r="U1424">
        <v>6.7840540674209554E-3</v>
      </c>
      <c r="V1424" t="s">
        <v>84</v>
      </c>
    </row>
    <row r="1425" spans="19:22" x14ac:dyDescent="0.45">
      <c r="S1425" t="s">
        <v>155</v>
      </c>
      <c r="T1425" t="s">
        <v>187</v>
      </c>
      <c r="U1425">
        <v>6.8015824716204732E-3</v>
      </c>
      <c r="V1425" t="s">
        <v>84</v>
      </c>
    </row>
    <row r="1426" spans="19:22" x14ac:dyDescent="0.45">
      <c r="S1426" t="s">
        <v>155</v>
      </c>
      <c r="T1426" t="s">
        <v>188</v>
      </c>
      <c r="U1426">
        <v>3.4715546265090338E-2</v>
      </c>
      <c r="V1426" t="s">
        <v>84</v>
      </c>
    </row>
    <row r="1427" spans="19:22" x14ac:dyDescent="0.45">
      <c r="S1427" t="s">
        <v>155</v>
      </c>
      <c r="T1427" t="s">
        <v>189</v>
      </c>
      <c r="U1427">
        <v>2.7528145628086288E-2</v>
      </c>
      <c r="V1427" t="s">
        <v>84</v>
      </c>
    </row>
    <row r="1428" spans="19:22" x14ac:dyDescent="0.45">
      <c r="S1428" t="s">
        <v>155</v>
      </c>
      <c r="T1428" t="s">
        <v>190</v>
      </c>
      <c r="U1428">
        <v>1.4937675005518401E-2</v>
      </c>
      <c r="V1428" t="s">
        <v>84</v>
      </c>
    </row>
    <row r="1429" spans="19:22" x14ac:dyDescent="0.45">
      <c r="S1429" t="s">
        <v>155</v>
      </c>
      <c r="T1429" t="s">
        <v>191</v>
      </c>
      <c r="U1429">
        <v>2.2394066347488133E-2</v>
      </c>
      <c r="V1429" t="s">
        <v>84</v>
      </c>
    </row>
    <row r="1430" spans="19:22" x14ac:dyDescent="0.45">
      <c r="S1430" t="s">
        <v>155</v>
      </c>
      <c r="T1430" t="s">
        <v>192</v>
      </c>
      <c r="U1430">
        <v>3.7486972045539736E-3</v>
      </c>
      <c r="V1430" t="s">
        <v>84</v>
      </c>
    </row>
    <row r="1431" spans="19:22" x14ac:dyDescent="0.45">
      <c r="S1431" t="s">
        <v>155</v>
      </c>
      <c r="T1431" t="s">
        <v>193</v>
      </c>
      <c r="U1431">
        <v>3.816453644200947E-3</v>
      </c>
      <c r="V1431" t="s">
        <v>84</v>
      </c>
    </row>
    <row r="1432" spans="19:22" x14ac:dyDescent="0.45">
      <c r="S1432" t="s">
        <v>155</v>
      </c>
      <c r="T1432" t="s">
        <v>194</v>
      </c>
      <c r="U1432">
        <v>1.9707388892415318E-2</v>
      </c>
      <c r="V1432" t="s">
        <v>84</v>
      </c>
    </row>
    <row r="1433" spans="19:22" x14ac:dyDescent="0.45">
      <c r="S1433" t="s">
        <v>155</v>
      </c>
      <c r="T1433" t="s">
        <v>195</v>
      </c>
      <c r="U1433">
        <v>7.9183787384886059E-2</v>
      </c>
      <c r="V1433" t="s">
        <v>84</v>
      </c>
    </row>
    <row r="1434" spans="19:22" x14ac:dyDescent="0.45">
      <c r="S1434" t="s">
        <v>155</v>
      </c>
      <c r="T1434" t="s">
        <v>196</v>
      </c>
      <c r="U1434">
        <v>4.5183387961742212E-2</v>
      </c>
      <c r="V1434" t="s">
        <v>84</v>
      </c>
    </row>
    <row r="1435" spans="19:22" x14ac:dyDescent="0.45">
      <c r="S1435" t="s">
        <v>155</v>
      </c>
      <c r="T1435" t="s">
        <v>197</v>
      </c>
      <c r="U1435">
        <v>6.5532058604720264E-2</v>
      </c>
      <c r="V1435" t="s">
        <v>84</v>
      </c>
    </row>
    <row r="1436" spans="19:22" x14ac:dyDescent="0.45">
      <c r="S1436" t="s">
        <v>155</v>
      </c>
      <c r="T1436" t="s">
        <v>198</v>
      </c>
      <c r="U1436">
        <v>1.0706317487748531E-2</v>
      </c>
      <c r="V1436" t="s">
        <v>84</v>
      </c>
    </row>
    <row r="1437" spans="19:22" x14ac:dyDescent="0.45">
      <c r="S1437" t="s">
        <v>155</v>
      </c>
      <c r="T1437" t="s">
        <v>199</v>
      </c>
      <c r="U1437">
        <v>1.0830137548990659E-2</v>
      </c>
      <c r="V1437" t="s">
        <v>84</v>
      </c>
    </row>
    <row r="1438" spans="19:22" x14ac:dyDescent="0.45">
      <c r="S1438" t="s">
        <v>155</v>
      </c>
      <c r="T1438" t="s">
        <v>200</v>
      </c>
      <c r="U1438">
        <v>5.6437628130901911E-2</v>
      </c>
      <c r="V1438" t="s">
        <v>84</v>
      </c>
    </row>
    <row r="1439" spans="19:22" x14ac:dyDescent="0.45">
      <c r="S1439" t="s">
        <v>155</v>
      </c>
      <c r="T1439" t="s">
        <v>201</v>
      </c>
      <c r="U1439">
        <v>3.0937724620826949E-2</v>
      </c>
      <c r="V1439" t="s">
        <v>84</v>
      </c>
    </row>
    <row r="1440" spans="19:22" x14ac:dyDescent="0.45">
      <c r="S1440" t="s">
        <v>155</v>
      </c>
      <c r="T1440" t="s">
        <v>202</v>
      </c>
      <c r="U1440">
        <v>1.4936028944036447E-2</v>
      </c>
      <c r="V1440" t="s">
        <v>84</v>
      </c>
    </row>
    <row r="1441" spans="19:22" x14ac:dyDescent="0.45">
      <c r="S1441" t="s">
        <v>155</v>
      </c>
      <c r="T1441" t="s">
        <v>203</v>
      </c>
      <c r="U1441">
        <v>2.2328457540604311E-2</v>
      </c>
      <c r="V1441" t="s">
        <v>84</v>
      </c>
    </row>
    <row r="1442" spans="19:22" x14ac:dyDescent="0.45">
      <c r="S1442" t="s">
        <v>155</v>
      </c>
      <c r="T1442" t="s">
        <v>204</v>
      </c>
      <c r="U1442">
        <v>3.8952358460821465E-3</v>
      </c>
      <c r="V1442" t="s">
        <v>84</v>
      </c>
    </row>
    <row r="1443" spans="19:22" x14ac:dyDescent="0.45">
      <c r="S1443" t="s">
        <v>155</v>
      </c>
      <c r="T1443" t="s">
        <v>205</v>
      </c>
      <c r="U1443">
        <v>4.036849715600711E-3</v>
      </c>
      <c r="V1443" t="s">
        <v>84</v>
      </c>
    </row>
    <row r="1444" spans="19:22" x14ac:dyDescent="0.45">
      <c r="S1444" t="s">
        <v>155</v>
      </c>
      <c r="T1444" t="s">
        <v>206</v>
      </c>
      <c r="U1444">
        <v>2.2508558576710205E-2</v>
      </c>
      <c r="V1444" t="s">
        <v>84</v>
      </c>
    </row>
    <row r="1445" spans="19:22" x14ac:dyDescent="0.45">
      <c r="S1445" t="s">
        <v>155</v>
      </c>
      <c r="T1445" t="s">
        <v>207</v>
      </c>
      <c r="U1445">
        <v>4.5048723786864316E-2</v>
      </c>
      <c r="V1445" t="s">
        <v>84</v>
      </c>
    </row>
    <row r="1446" spans="19:22" x14ac:dyDescent="0.45">
      <c r="S1446" t="s">
        <v>155</v>
      </c>
      <c r="T1446" t="s">
        <v>208</v>
      </c>
      <c r="U1446">
        <v>2.6083296824427865E-2</v>
      </c>
      <c r="V1446" t="s">
        <v>84</v>
      </c>
    </row>
    <row r="1447" spans="19:22" x14ac:dyDescent="0.45">
      <c r="S1447" t="s">
        <v>155</v>
      </c>
      <c r="T1447" t="s">
        <v>209</v>
      </c>
      <c r="U1447">
        <v>3.8594422379129335E-2</v>
      </c>
      <c r="V1447" t="s">
        <v>84</v>
      </c>
    </row>
    <row r="1448" spans="19:22" x14ac:dyDescent="0.45">
      <c r="S1448" t="s">
        <v>155</v>
      </c>
      <c r="T1448" t="s">
        <v>210</v>
      </c>
      <c r="U1448">
        <v>6.2239764876832549E-3</v>
      </c>
      <c r="V1448" t="s">
        <v>84</v>
      </c>
    </row>
    <row r="1449" spans="19:22" x14ac:dyDescent="0.45">
      <c r="S1449" t="s">
        <v>155</v>
      </c>
      <c r="T1449" t="s">
        <v>211</v>
      </c>
      <c r="U1449">
        <v>6.3190391548187215E-3</v>
      </c>
      <c r="V1449" t="s">
        <v>84</v>
      </c>
    </row>
    <row r="1450" spans="19:22" x14ac:dyDescent="0.45">
      <c r="S1450" t="s">
        <v>155</v>
      </c>
      <c r="T1450" t="s">
        <v>212</v>
      </c>
      <c r="U1450">
        <v>3.1833262018863447E-2</v>
      </c>
      <c r="V1450" t="s">
        <v>84</v>
      </c>
    </row>
    <row r="1451" spans="19:22" x14ac:dyDescent="0.45">
      <c r="S1451" t="s">
        <v>156</v>
      </c>
      <c r="T1451" t="s">
        <v>83</v>
      </c>
      <c r="U1451">
        <v>2.5294604008084955E-2</v>
      </c>
      <c r="V1451" t="s">
        <v>84</v>
      </c>
    </row>
    <row r="1452" spans="19:22" x14ac:dyDescent="0.45">
      <c r="S1452" t="s">
        <v>156</v>
      </c>
      <c r="T1452" t="s">
        <v>85</v>
      </c>
      <c r="U1452">
        <v>1.3606736872655407E-2</v>
      </c>
      <c r="V1452" t="s">
        <v>84</v>
      </c>
    </row>
    <row r="1453" spans="19:22" x14ac:dyDescent="0.45">
      <c r="S1453" t="s">
        <v>156</v>
      </c>
      <c r="T1453" t="s">
        <v>86</v>
      </c>
      <c r="U1453">
        <v>2.0757684282782473E-2</v>
      </c>
      <c r="V1453" t="s">
        <v>84</v>
      </c>
    </row>
    <row r="1454" spans="19:22" x14ac:dyDescent="0.45">
      <c r="S1454" t="s">
        <v>156</v>
      </c>
      <c r="T1454" t="s">
        <v>177</v>
      </c>
      <c r="U1454">
        <v>3.6167396616984464E-3</v>
      </c>
      <c r="V1454" t="s">
        <v>84</v>
      </c>
    </row>
    <row r="1455" spans="19:22" x14ac:dyDescent="0.45">
      <c r="S1455" t="s">
        <v>156</v>
      </c>
      <c r="T1455" t="s">
        <v>178</v>
      </c>
      <c r="U1455">
        <v>3.6333312858649555E-3</v>
      </c>
      <c r="V1455" t="s">
        <v>84</v>
      </c>
    </row>
    <row r="1456" spans="19:22" x14ac:dyDescent="0.45">
      <c r="S1456" t="s">
        <v>156</v>
      </c>
      <c r="T1456" t="s">
        <v>179</v>
      </c>
      <c r="U1456">
        <v>1.8679563490549143E-2</v>
      </c>
      <c r="V1456" t="s">
        <v>84</v>
      </c>
    </row>
    <row r="1457" spans="19:22" x14ac:dyDescent="0.45">
      <c r="S1457" t="s">
        <v>156</v>
      </c>
      <c r="T1457" t="s">
        <v>87</v>
      </c>
      <c r="U1457">
        <v>1.5101709346343549E-2</v>
      </c>
      <c r="V1457" t="s">
        <v>84</v>
      </c>
    </row>
    <row r="1458" spans="19:22" x14ac:dyDescent="0.45">
      <c r="S1458" t="s">
        <v>156</v>
      </c>
      <c r="T1458" t="s">
        <v>88</v>
      </c>
      <c r="U1458">
        <v>7.6022803937684123E-3</v>
      </c>
      <c r="V1458" t="s">
        <v>84</v>
      </c>
    </row>
    <row r="1459" spans="19:22" x14ac:dyDescent="0.45">
      <c r="S1459" t="s">
        <v>156</v>
      </c>
      <c r="T1459" t="s">
        <v>89</v>
      </c>
      <c r="U1459">
        <v>1.2815019627985248E-2</v>
      </c>
      <c r="V1459" t="s">
        <v>84</v>
      </c>
    </row>
    <row r="1460" spans="19:22" x14ac:dyDescent="0.45">
      <c r="S1460" t="s">
        <v>156</v>
      </c>
      <c r="T1460" t="s">
        <v>180</v>
      </c>
      <c r="U1460">
        <v>2.5380294687575543E-3</v>
      </c>
      <c r="V1460" t="s">
        <v>84</v>
      </c>
    </row>
    <row r="1461" spans="19:22" x14ac:dyDescent="0.45">
      <c r="S1461" t="s">
        <v>156</v>
      </c>
      <c r="T1461" t="s">
        <v>181</v>
      </c>
      <c r="U1461">
        <v>2.5659175792831479E-3</v>
      </c>
      <c r="V1461" t="s">
        <v>84</v>
      </c>
    </row>
    <row r="1462" spans="19:22" x14ac:dyDescent="0.45">
      <c r="S1462" t="s">
        <v>156</v>
      </c>
      <c r="T1462" t="s">
        <v>182</v>
      </c>
      <c r="U1462">
        <v>1.2623265037974873E-2</v>
      </c>
      <c r="V1462" t="s">
        <v>84</v>
      </c>
    </row>
    <row r="1463" spans="19:22" x14ac:dyDescent="0.45">
      <c r="S1463" t="s">
        <v>156</v>
      </c>
      <c r="T1463" t="s">
        <v>90</v>
      </c>
      <c r="U1463">
        <v>1.2810096637175796E-2</v>
      </c>
      <c r="V1463" t="s">
        <v>84</v>
      </c>
    </row>
    <row r="1464" spans="19:22" x14ac:dyDescent="0.45">
      <c r="S1464" t="s">
        <v>156</v>
      </c>
      <c r="T1464" t="s">
        <v>91</v>
      </c>
      <c r="U1464">
        <v>7.6940646693333557E-3</v>
      </c>
      <c r="V1464" t="s">
        <v>84</v>
      </c>
    </row>
    <row r="1465" spans="19:22" x14ac:dyDescent="0.45">
      <c r="S1465" t="s">
        <v>156</v>
      </c>
      <c r="T1465" t="s">
        <v>92</v>
      </c>
      <c r="U1465">
        <v>1.2123037005670908E-2</v>
      </c>
      <c r="V1465" t="s">
        <v>84</v>
      </c>
    </row>
    <row r="1466" spans="19:22" x14ac:dyDescent="0.45">
      <c r="S1466" t="s">
        <v>156</v>
      </c>
      <c r="T1466" t="s">
        <v>183</v>
      </c>
      <c r="U1466">
        <v>2.2568899028568017E-3</v>
      </c>
      <c r="V1466" t="s">
        <v>84</v>
      </c>
    </row>
    <row r="1467" spans="19:22" x14ac:dyDescent="0.45">
      <c r="S1467" t="s">
        <v>156</v>
      </c>
      <c r="T1467" t="s">
        <v>184</v>
      </c>
      <c r="U1467">
        <v>2.3026818734518447E-3</v>
      </c>
      <c r="V1467" t="s">
        <v>84</v>
      </c>
    </row>
    <row r="1468" spans="19:22" x14ac:dyDescent="0.45">
      <c r="S1468" t="s">
        <v>156</v>
      </c>
      <c r="T1468" t="s">
        <v>185</v>
      </c>
      <c r="U1468">
        <v>1.1294134504950896E-2</v>
      </c>
      <c r="V1468" t="s">
        <v>84</v>
      </c>
    </row>
    <row r="1469" spans="19:22" x14ac:dyDescent="0.45">
      <c r="S1469" t="s">
        <v>156</v>
      </c>
      <c r="T1469" t="s">
        <v>93</v>
      </c>
      <c r="U1469">
        <v>5.1523581305705855E-2</v>
      </c>
      <c r="V1469" t="s">
        <v>84</v>
      </c>
    </row>
    <row r="1470" spans="19:22" x14ac:dyDescent="0.45">
      <c r="S1470" t="s">
        <v>156</v>
      </c>
      <c r="T1470" t="s">
        <v>94</v>
      </c>
      <c r="U1470">
        <v>2.9337503502530567E-2</v>
      </c>
      <c r="V1470" t="s">
        <v>84</v>
      </c>
    </row>
    <row r="1471" spans="19:22" x14ac:dyDescent="0.45">
      <c r="S1471" t="s">
        <v>156</v>
      </c>
      <c r="T1471" t="s">
        <v>95</v>
      </c>
      <c r="U1471">
        <v>4.5342297975397121E-2</v>
      </c>
      <c r="V1471" t="s">
        <v>84</v>
      </c>
    </row>
    <row r="1472" spans="19:22" x14ac:dyDescent="0.45">
      <c r="S1472" t="s">
        <v>156</v>
      </c>
      <c r="T1472" t="s">
        <v>186</v>
      </c>
      <c r="U1472">
        <v>7.4778783606094194E-3</v>
      </c>
      <c r="V1472" t="s">
        <v>84</v>
      </c>
    </row>
    <row r="1473" spans="19:22" x14ac:dyDescent="0.45">
      <c r="S1473" t="s">
        <v>156</v>
      </c>
      <c r="T1473" t="s">
        <v>187</v>
      </c>
      <c r="U1473">
        <v>7.5450896737188269E-3</v>
      </c>
      <c r="V1473" t="s">
        <v>84</v>
      </c>
    </row>
    <row r="1474" spans="19:22" x14ac:dyDescent="0.45">
      <c r="S1474" t="s">
        <v>156</v>
      </c>
      <c r="T1474" t="s">
        <v>188</v>
      </c>
      <c r="U1474">
        <v>3.7530290991920463E-2</v>
      </c>
      <c r="V1474" t="s">
        <v>84</v>
      </c>
    </row>
    <row r="1475" spans="19:22" x14ac:dyDescent="0.45">
      <c r="S1475" t="s">
        <v>156</v>
      </c>
      <c r="T1475" t="s">
        <v>189</v>
      </c>
      <c r="U1475">
        <v>2.541889249132542E-2</v>
      </c>
      <c r="V1475" t="s">
        <v>84</v>
      </c>
    </row>
    <row r="1476" spans="19:22" x14ac:dyDescent="0.45">
      <c r="S1476" t="s">
        <v>156</v>
      </c>
      <c r="T1476" t="s">
        <v>190</v>
      </c>
      <c r="U1476">
        <v>1.3867097263049888E-2</v>
      </c>
      <c r="V1476" t="s">
        <v>84</v>
      </c>
    </row>
    <row r="1477" spans="19:22" x14ac:dyDescent="0.45">
      <c r="S1477" t="s">
        <v>156</v>
      </c>
      <c r="T1477" t="s">
        <v>191</v>
      </c>
      <c r="U1477">
        <v>2.0652482188387358E-2</v>
      </c>
      <c r="V1477" t="s">
        <v>84</v>
      </c>
    </row>
    <row r="1478" spans="19:22" x14ac:dyDescent="0.45">
      <c r="S1478" t="s">
        <v>156</v>
      </c>
      <c r="T1478" t="s">
        <v>192</v>
      </c>
      <c r="U1478">
        <v>3.4145226418648405E-3</v>
      </c>
      <c r="V1478" t="s">
        <v>84</v>
      </c>
    </row>
    <row r="1479" spans="19:22" x14ac:dyDescent="0.45">
      <c r="S1479" t="s">
        <v>156</v>
      </c>
      <c r="T1479" t="s">
        <v>193</v>
      </c>
      <c r="U1479">
        <v>3.4246048142623133E-3</v>
      </c>
      <c r="V1479" t="s">
        <v>84</v>
      </c>
    </row>
    <row r="1480" spans="19:22" x14ac:dyDescent="0.45">
      <c r="S1480" t="s">
        <v>156</v>
      </c>
      <c r="T1480" t="s">
        <v>194</v>
      </c>
      <c r="U1480">
        <v>1.7567608956094251E-2</v>
      </c>
      <c r="V1480" t="s">
        <v>84</v>
      </c>
    </row>
    <row r="1481" spans="19:22" x14ac:dyDescent="0.45">
      <c r="S1481" t="s">
        <v>156</v>
      </c>
      <c r="T1481" t="s">
        <v>195</v>
      </c>
      <c r="U1481">
        <v>8.9322087895145799E-2</v>
      </c>
      <c r="V1481" t="s">
        <v>84</v>
      </c>
    </row>
    <row r="1482" spans="19:22" x14ac:dyDescent="0.45">
      <c r="S1482" t="s">
        <v>156</v>
      </c>
      <c r="T1482" t="s">
        <v>196</v>
      </c>
      <c r="U1482">
        <v>5.08432282566708E-2</v>
      </c>
      <c r="V1482" t="s">
        <v>84</v>
      </c>
    </row>
    <row r="1483" spans="19:22" x14ac:dyDescent="0.45">
      <c r="S1483" t="s">
        <v>156</v>
      </c>
      <c r="T1483" t="s">
        <v>197</v>
      </c>
      <c r="U1483">
        <v>7.2915730369331799E-2</v>
      </c>
      <c r="V1483" t="s">
        <v>84</v>
      </c>
    </row>
    <row r="1484" spans="19:22" x14ac:dyDescent="0.45">
      <c r="S1484" t="s">
        <v>156</v>
      </c>
      <c r="T1484" t="s">
        <v>198</v>
      </c>
      <c r="U1484">
        <v>1.140239845460043E-2</v>
      </c>
      <c r="V1484" t="s">
        <v>84</v>
      </c>
    </row>
    <row r="1485" spans="19:22" x14ac:dyDescent="0.45">
      <c r="S1485" t="s">
        <v>156</v>
      </c>
      <c r="T1485" t="s">
        <v>199</v>
      </c>
      <c r="U1485">
        <v>1.1340568510646312E-2</v>
      </c>
      <c r="V1485" t="s">
        <v>84</v>
      </c>
    </row>
    <row r="1486" spans="19:22" x14ac:dyDescent="0.45">
      <c r="S1486" t="s">
        <v>156</v>
      </c>
      <c r="T1486" t="s">
        <v>200</v>
      </c>
      <c r="U1486">
        <v>5.9270971170052721E-2</v>
      </c>
      <c r="V1486" t="s">
        <v>84</v>
      </c>
    </row>
    <row r="1487" spans="19:22" x14ac:dyDescent="0.45">
      <c r="S1487" t="s">
        <v>156</v>
      </c>
      <c r="T1487" t="s">
        <v>201</v>
      </c>
      <c r="U1487">
        <v>3.2442137884241079E-2</v>
      </c>
      <c r="V1487" t="s">
        <v>84</v>
      </c>
    </row>
    <row r="1488" spans="19:22" x14ac:dyDescent="0.45">
      <c r="S1488" t="s">
        <v>156</v>
      </c>
      <c r="T1488" t="s">
        <v>202</v>
      </c>
      <c r="U1488">
        <v>1.6267176137524906E-2</v>
      </c>
      <c r="V1488" t="s">
        <v>84</v>
      </c>
    </row>
    <row r="1489" spans="19:22" x14ac:dyDescent="0.45">
      <c r="S1489" t="s">
        <v>156</v>
      </c>
      <c r="T1489" t="s">
        <v>203</v>
      </c>
      <c r="U1489">
        <v>2.4610595878220336E-2</v>
      </c>
      <c r="V1489" t="s">
        <v>84</v>
      </c>
    </row>
    <row r="1490" spans="19:22" x14ac:dyDescent="0.45">
      <c r="S1490" t="s">
        <v>156</v>
      </c>
      <c r="T1490" t="s">
        <v>204</v>
      </c>
      <c r="U1490">
        <v>4.2475116390995925E-3</v>
      </c>
      <c r="V1490" t="s">
        <v>84</v>
      </c>
    </row>
    <row r="1491" spans="19:22" x14ac:dyDescent="0.45">
      <c r="S1491" t="s">
        <v>156</v>
      </c>
      <c r="T1491" t="s">
        <v>205</v>
      </c>
      <c r="U1491">
        <v>4.3190502234654749E-3</v>
      </c>
      <c r="V1491" t="s">
        <v>84</v>
      </c>
    </row>
    <row r="1492" spans="19:22" x14ac:dyDescent="0.45">
      <c r="S1492" t="s">
        <v>156</v>
      </c>
      <c r="T1492" t="s">
        <v>206</v>
      </c>
      <c r="U1492">
        <v>2.2878087639608247E-2</v>
      </c>
      <c r="V1492" t="s">
        <v>84</v>
      </c>
    </row>
    <row r="1493" spans="19:22" x14ac:dyDescent="0.45">
      <c r="S1493" t="s">
        <v>156</v>
      </c>
      <c r="T1493" t="s">
        <v>207</v>
      </c>
      <c r="U1493">
        <v>4.4129224031063799E-2</v>
      </c>
      <c r="V1493" t="s">
        <v>84</v>
      </c>
    </row>
    <row r="1494" spans="19:22" x14ac:dyDescent="0.45">
      <c r="S1494" t="s">
        <v>156</v>
      </c>
      <c r="T1494" t="s">
        <v>208</v>
      </c>
      <c r="U1494">
        <v>2.3912369038759252E-2</v>
      </c>
      <c r="V1494" t="s">
        <v>84</v>
      </c>
    </row>
    <row r="1495" spans="19:22" x14ac:dyDescent="0.45">
      <c r="S1495" t="s">
        <v>156</v>
      </c>
      <c r="T1495" t="s">
        <v>209</v>
      </c>
      <c r="U1495">
        <v>3.6536570740362394E-2</v>
      </c>
      <c r="V1495" t="s">
        <v>84</v>
      </c>
    </row>
    <row r="1496" spans="19:22" x14ac:dyDescent="0.45">
      <c r="S1496" t="s">
        <v>156</v>
      </c>
      <c r="T1496" t="s">
        <v>210</v>
      </c>
      <c r="U1496">
        <v>6.4442796693003025E-3</v>
      </c>
      <c r="V1496" t="s">
        <v>84</v>
      </c>
    </row>
    <row r="1497" spans="19:22" x14ac:dyDescent="0.45">
      <c r="S1497" t="s">
        <v>156</v>
      </c>
      <c r="T1497" t="s">
        <v>211</v>
      </c>
      <c r="U1497">
        <v>6.3913467866495727E-3</v>
      </c>
      <c r="V1497" t="s">
        <v>84</v>
      </c>
    </row>
    <row r="1498" spans="19:22" x14ac:dyDescent="0.45">
      <c r="S1498" t="s">
        <v>156</v>
      </c>
      <c r="T1498" t="s">
        <v>212</v>
      </c>
      <c r="U1498">
        <v>3.2309029861200121E-2</v>
      </c>
      <c r="V1498" t="s">
        <v>84</v>
      </c>
    </row>
    <row r="1499" spans="19:22" x14ac:dyDescent="0.45">
      <c r="S1499" t="s">
        <v>157</v>
      </c>
      <c r="T1499" t="s">
        <v>83</v>
      </c>
      <c r="U1499">
        <v>2.4658696813290779E-2</v>
      </c>
      <c r="V1499" t="s">
        <v>84</v>
      </c>
    </row>
    <row r="1500" spans="19:22" x14ac:dyDescent="0.45">
      <c r="S1500" t="s">
        <v>157</v>
      </c>
      <c r="T1500" t="s">
        <v>85</v>
      </c>
      <c r="U1500">
        <v>1.3683009222496484E-2</v>
      </c>
      <c r="V1500" t="s">
        <v>84</v>
      </c>
    </row>
    <row r="1501" spans="19:22" x14ac:dyDescent="0.45">
      <c r="S1501" t="s">
        <v>157</v>
      </c>
      <c r="T1501" t="s">
        <v>86</v>
      </c>
      <c r="U1501">
        <v>2.3033682570110077E-2</v>
      </c>
      <c r="V1501" t="s">
        <v>84</v>
      </c>
    </row>
    <row r="1502" spans="19:22" x14ac:dyDescent="0.45">
      <c r="S1502" t="s">
        <v>157</v>
      </c>
      <c r="T1502" t="s">
        <v>177</v>
      </c>
      <c r="U1502">
        <v>4.1590496159075799E-3</v>
      </c>
      <c r="V1502" t="s">
        <v>84</v>
      </c>
    </row>
    <row r="1503" spans="19:22" x14ac:dyDescent="0.45">
      <c r="S1503" t="s">
        <v>157</v>
      </c>
      <c r="T1503" t="s">
        <v>178</v>
      </c>
      <c r="U1503">
        <v>4.1077927194244669E-3</v>
      </c>
      <c r="V1503" t="s">
        <v>84</v>
      </c>
    </row>
    <row r="1504" spans="19:22" x14ac:dyDescent="0.45">
      <c r="S1504" t="s">
        <v>157</v>
      </c>
      <c r="T1504" t="s">
        <v>179</v>
      </c>
      <c r="U1504">
        <v>1.9474145890439484E-2</v>
      </c>
      <c r="V1504" t="s">
        <v>84</v>
      </c>
    </row>
    <row r="1505" spans="19:22" x14ac:dyDescent="0.45">
      <c r="S1505" t="s">
        <v>157</v>
      </c>
      <c r="T1505" t="s">
        <v>87</v>
      </c>
      <c r="U1505">
        <v>1.3831344073673786E-2</v>
      </c>
      <c r="V1505" t="s">
        <v>84</v>
      </c>
    </row>
    <row r="1506" spans="19:22" x14ac:dyDescent="0.45">
      <c r="S1506" t="s">
        <v>157</v>
      </c>
      <c r="T1506" t="s">
        <v>88</v>
      </c>
      <c r="U1506">
        <v>6.882499123445714E-3</v>
      </c>
      <c r="V1506" t="s">
        <v>84</v>
      </c>
    </row>
    <row r="1507" spans="19:22" x14ac:dyDescent="0.45">
      <c r="S1507" t="s">
        <v>157</v>
      </c>
      <c r="T1507" t="s">
        <v>89</v>
      </c>
      <c r="U1507">
        <v>1.1580131852347242E-2</v>
      </c>
      <c r="V1507" t="s">
        <v>84</v>
      </c>
    </row>
    <row r="1508" spans="19:22" x14ac:dyDescent="0.45">
      <c r="S1508" t="s">
        <v>157</v>
      </c>
      <c r="T1508" t="s">
        <v>180</v>
      </c>
      <c r="U1508">
        <v>2.3002828281472568E-3</v>
      </c>
      <c r="V1508" t="s">
        <v>84</v>
      </c>
    </row>
    <row r="1509" spans="19:22" x14ac:dyDescent="0.45">
      <c r="S1509" t="s">
        <v>157</v>
      </c>
      <c r="T1509" t="s">
        <v>181</v>
      </c>
      <c r="U1509">
        <v>2.3329219486919661E-3</v>
      </c>
      <c r="V1509" t="s">
        <v>84</v>
      </c>
    </row>
    <row r="1510" spans="19:22" x14ac:dyDescent="0.45">
      <c r="S1510" t="s">
        <v>157</v>
      </c>
      <c r="T1510" t="s">
        <v>182</v>
      </c>
      <c r="U1510">
        <v>1.1155571307811916E-2</v>
      </c>
      <c r="V1510" t="s">
        <v>84</v>
      </c>
    </row>
    <row r="1511" spans="19:22" x14ac:dyDescent="0.45">
      <c r="S1511" t="s">
        <v>157</v>
      </c>
      <c r="T1511" t="s">
        <v>90</v>
      </c>
      <c r="U1511">
        <v>1.5458530383876632E-2</v>
      </c>
      <c r="V1511" t="s">
        <v>84</v>
      </c>
    </row>
    <row r="1512" spans="19:22" x14ac:dyDescent="0.45">
      <c r="S1512" t="s">
        <v>157</v>
      </c>
      <c r="T1512" t="s">
        <v>91</v>
      </c>
      <c r="U1512">
        <v>9.120979999494367E-3</v>
      </c>
      <c r="V1512" t="s">
        <v>84</v>
      </c>
    </row>
    <row r="1513" spans="19:22" x14ac:dyDescent="0.45">
      <c r="S1513" t="s">
        <v>157</v>
      </c>
      <c r="T1513" t="s">
        <v>92</v>
      </c>
      <c r="U1513">
        <v>1.3577036089438579E-2</v>
      </c>
      <c r="V1513" t="s">
        <v>84</v>
      </c>
    </row>
    <row r="1514" spans="19:22" x14ac:dyDescent="0.45">
      <c r="S1514" t="s">
        <v>157</v>
      </c>
      <c r="T1514" t="s">
        <v>183</v>
      </c>
      <c r="U1514">
        <v>2.2357328591845263E-3</v>
      </c>
      <c r="V1514" t="s">
        <v>84</v>
      </c>
    </row>
    <row r="1515" spans="19:22" x14ac:dyDescent="0.45">
      <c r="S1515" t="s">
        <v>157</v>
      </c>
      <c r="T1515" t="s">
        <v>184</v>
      </c>
      <c r="U1515">
        <v>2.1800826071795136E-3</v>
      </c>
      <c r="V1515" t="s">
        <v>84</v>
      </c>
    </row>
    <row r="1516" spans="19:22" x14ac:dyDescent="0.45">
      <c r="S1516" t="s">
        <v>157</v>
      </c>
      <c r="T1516" t="s">
        <v>185</v>
      </c>
      <c r="U1516">
        <v>1.0224444449839857E-2</v>
      </c>
      <c r="V1516" t="s">
        <v>84</v>
      </c>
    </row>
    <row r="1517" spans="19:22" x14ac:dyDescent="0.45">
      <c r="S1517" t="s">
        <v>157</v>
      </c>
      <c r="T1517" t="s">
        <v>93</v>
      </c>
      <c r="U1517">
        <v>4.4636133878014857E-2</v>
      </c>
      <c r="V1517" t="s">
        <v>84</v>
      </c>
    </row>
    <row r="1518" spans="19:22" x14ac:dyDescent="0.45">
      <c r="S1518" t="s">
        <v>157</v>
      </c>
      <c r="T1518" t="s">
        <v>94</v>
      </c>
      <c r="U1518">
        <v>2.4809791283456718E-2</v>
      </c>
      <c r="V1518" t="s">
        <v>84</v>
      </c>
    </row>
    <row r="1519" spans="19:22" x14ac:dyDescent="0.45">
      <c r="S1519" t="s">
        <v>157</v>
      </c>
      <c r="T1519" t="s">
        <v>95</v>
      </c>
      <c r="U1519">
        <v>4.0508736539356716E-2</v>
      </c>
      <c r="V1519" t="s">
        <v>84</v>
      </c>
    </row>
    <row r="1520" spans="19:22" x14ac:dyDescent="0.45">
      <c r="S1520" t="s">
        <v>157</v>
      </c>
      <c r="T1520" t="s">
        <v>186</v>
      </c>
      <c r="U1520">
        <v>7.0389516700973499E-3</v>
      </c>
      <c r="V1520" t="s">
        <v>84</v>
      </c>
    </row>
    <row r="1521" spans="19:22" x14ac:dyDescent="0.45">
      <c r="S1521" t="s">
        <v>157</v>
      </c>
      <c r="T1521" t="s">
        <v>187</v>
      </c>
      <c r="U1521">
        <v>7.006937652096968E-3</v>
      </c>
      <c r="V1521" t="s">
        <v>84</v>
      </c>
    </row>
    <row r="1522" spans="19:22" x14ac:dyDescent="0.45">
      <c r="S1522" t="s">
        <v>157</v>
      </c>
      <c r="T1522" t="s">
        <v>188</v>
      </c>
      <c r="U1522">
        <v>3.3431116957982891E-2</v>
      </c>
      <c r="V1522" t="s">
        <v>84</v>
      </c>
    </row>
    <row r="1523" spans="19:22" x14ac:dyDescent="0.45">
      <c r="S1523" t="s">
        <v>157</v>
      </c>
      <c r="T1523" t="s">
        <v>189</v>
      </c>
      <c r="U1523">
        <v>2.3985553999268418E-2</v>
      </c>
      <c r="V1523" t="s">
        <v>84</v>
      </c>
    </row>
    <row r="1524" spans="19:22" x14ac:dyDescent="0.45">
      <c r="S1524" t="s">
        <v>157</v>
      </c>
      <c r="T1524" t="s">
        <v>190</v>
      </c>
      <c r="U1524">
        <v>1.2963506142766873E-2</v>
      </c>
      <c r="V1524" t="s">
        <v>84</v>
      </c>
    </row>
    <row r="1525" spans="19:22" x14ac:dyDescent="0.45">
      <c r="S1525" t="s">
        <v>157</v>
      </c>
      <c r="T1525" t="s">
        <v>191</v>
      </c>
      <c r="U1525">
        <v>1.9456062737823784E-2</v>
      </c>
      <c r="V1525" t="s">
        <v>84</v>
      </c>
    </row>
    <row r="1526" spans="19:22" x14ac:dyDescent="0.45">
      <c r="S1526" t="s">
        <v>157</v>
      </c>
      <c r="T1526" t="s">
        <v>192</v>
      </c>
      <c r="U1526">
        <v>3.1632890631877715E-3</v>
      </c>
      <c r="V1526" t="s">
        <v>84</v>
      </c>
    </row>
    <row r="1527" spans="19:22" x14ac:dyDescent="0.45">
      <c r="S1527" t="s">
        <v>157</v>
      </c>
      <c r="T1527" t="s">
        <v>193</v>
      </c>
      <c r="U1527">
        <v>3.1552056237871924E-3</v>
      </c>
      <c r="V1527" t="s">
        <v>84</v>
      </c>
    </row>
    <row r="1528" spans="19:22" x14ac:dyDescent="0.45">
      <c r="S1528" t="s">
        <v>157</v>
      </c>
      <c r="T1528" t="s">
        <v>194</v>
      </c>
      <c r="U1528">
        <v>1.5607782292554643E-2</v>
      </c>
      <c r="V1528" t="s">
        <v>84</v>
      </c>
    </row>
    <row r="1529" spans="19:22" x14ac:dyDescent="0.45">
      <c r="S1529" t="s">
        <v>157</v>
      </c>
      <c r="T1529" t="s">
        <v>195</v>
      </c>
      <c r="U1529">
        <v>8.3107935394587829E-2</v>
      </c>
      <c r="V1529" t="s">
        <v>84</v>
      </c>
    </row>
    <row r="1530" spans="19:22" x14ac:dyDescent="0.45">
      <c r="S1530" t="s">
        <v>157</v>
      </c>
      <c r="T1530" t="s">
        <v>196</v>
      </c>
      <c r="U1530">
        <v>4.7088325705265874E-2</v>
      </c>
      <c r="V1530" t="s">
        <v>84</v>
      </c>
    </row>
    <row r="1531" spans="19:22" x14ac:dyDescent="0.45">
      <c r="S1531" t="s">
        <v>157</v>
      </c>
      <c r="T1531" t="s">
        <v>197</v>
      </c>
      <c r="U1531">
        <v>7.655884111801245E-2</v>
      </c>
      <c r="V1531" t="s">
        <v>84</v>
      </c>
    </row>
    <row r="1532" spans="19:22" x14ac:dyDescent="0.45">
      <c r="S1532" t="s">
        <v>157</v>
      </c>
      <c r="T1532" t="s">
        <v>198</v>
      </c>
      <c r="U1532">
        <v>1.3297776955849617E-2</v>
      </c>
      <c r="V1532" t="s">
        <v>84</v>
      </c>
    </row>
    <row r="1533" spans="19:22" x14ac:dyDescent="0.45">
      <c r="S1533" t="s">
        <v>157</v>
      </c>
      <c r="T1533" t="s">
        <v>199</v>
      </c>
      <c r="U1533">
        <v>1.3285485458724504E-2</v>
      </c>
      <c r="V1533" t="s">
        <v>84</v>
      </c>
    </row>
    <row r="1534" spans="19:22" x14ac:dyDescent="0.45">
      <c r="S1534" t="s">
        <v>157</v>
      </c>
      <c r="T1534" t="s">
        <v>200</v>
      </c>
      <c r="U1534">
        <v>6.4204669303931428E-2</v>
      </c>
      <c r="V1534" t="s">
        <v>84</v>
      </c>
    </row>
    <row r="1535" spans="19:22" x14ac:dyDescent="0.45">
      <c r="S1535" t="s">
        <v>157</v>
      </c>
      <c r="T1535" t="s">
        <v>201</v>
      </c>
      <c r="U1535">
        <v>3.2173892933056204E-2</v>
      </c>
      <c r="V1535" t="s">
        <v>84</v>
      </c>
    </row>
    <row r="1536" spans="19:22" x14ac:dyDescent="0.45">
      <c r="S1536" t="s">
        <v>157</v>
      </c>
      <c r="T1536" t="s">
        <v>202</v>
      </c>
      <c r="U1536">
        <v>1.7655872330130377E-2</v>
      </c>
      <c r="V1536" t="s">
        <v>84</v>
      </c>
    </row>
    <row r="1537" spans="19:22" x14ac:dyDescent="0.45">
      <c r="S1537" t="s">
        <v>157</v>
      </c>
      <c r="T1537" t="s">
        <v>203</v>
      </c>
      <c r="U1537">
        <v>3.0132566826183413E-2</v>
      </c>
      <c r="V1537" t="s">
        <v>84</v>
      </c>
    </row>
    <row r="1538" spans="19:22" x14ac:dyDescent="0.45">
      <c r="S1538" t="s">
        <v>157</v>
      </c>
      <c r="T1538" t="s">
        <v>204</v>
      </c>
      <c r="U1538">
        <v>5.2318815646010238E-3</v>
      </c>
      <c r="V1538" t="s">
        <v>84</v>
      </c>
    </row>
    <row r="1539" spans="19:22" x14ac:dyDescent="0.45">
      <c r="S1539" t="s">
        <v>157</v>
      </c>
      <c r="T1539" t="s">
        <v>205</v>
      </c>
      <c r="U1539">
        <v>5.2430941116042512E-3</v>
      </c>
      <c r="V1539" t="s">
        <v>84</v>
      </c>
    </row>
    <row r="1540" spans="19:22" x14ac:dyDescent="0.45">
      <c r="S1540" t="s">
        <v>157</v>
      </c>
      <c r="T1540" t="s">
        <v>206</v>
      </c>
      <c r="U1540">
        <v>2.5502831771700901E-2</v>
      </c>
      <c r="V1540" t="s">
        <v>84</v>
      </c>
    </row>
    <row r="1541" spans="19:22" x14ac:dyDescent="0.45">
      <c r="S1541" t="s">
        <v>157</v>
      </c>
      <c r="T1541" t="s">
        <v>207</v>
      </c>
      <c r="U1541">
        <v>4.2613179035052406E-2</v>
      </c>
      <c r="V1541" t="s">
        <v>84</v>
      </c>
    </row>
    <row r="1542" spans="19:22" x14ac:dyDescent="0.45">
      <c r="S1542" t="s">
        <v>157</v>
      </c>
      <c r="T1542" t="s">
        <v>208</v>
      </c>
      <c r="U1542">
        <v>2.4503566142853535E-2</v>
      </c>
      <c r="V1542" t="s">
        <v>84</v>
      </c>
    </row>
    <row r="1543" spans="19:22" x14ac:dyDescent="0.45">
      <c r="S1543" t="s">
        <v>157</v>
      </c>
      <c r="T1543" t="s">
        <v>209</v>
      </c>
      <c r="U1543">
        <v>4.3087732218347455E-2</v>
      </c>
      <c r="V1543" t="s">
        <v>84</v>
      </c>
    </row>
    <row r="1544" spans="19:22" x14ac:dyDescent="0.45">
      <c r="S1544" t="s">
        <v>157</v>
      </c>
      <c r="T1544" t="s">
        <v>210</v>
      </c>
      <c r="U1544">
        <v>7.6023761663829743E-3</v>
      </c>
      <c r="V1544" t="s">
        <v>84</v>
      </c>
    </row>
    <row r="1545" spans="19:22" x14ac:dyDescent="0.45">
      <c r="S1545" t="s">
        <v>157</v>
      </c>
      <c r="T1545" t="s">
        <v>211</v>
      </c>
      <c r="U1545">
        <v>7.6003728073292748E-3</v>
      </c>
      <c r="V1545" t="s">
        <v>84</v>
      </c>
    </row>
    <row r="1546" spans="19:22" x14ac:dyDescent="0.45">
      <c r="S1546" t="s">
        <v>157</v>
      </c>
      <c r="T1546" t="s">
        <v>212</v>
      </c>
      <c r="U1546">
        <v>3.535059796119093E-2</v>
      </c>
      <c r="V1546" t="s">
        <v>84</v>
      </c>
    </row>
    <row r="1547" spans="19:22" x14ac:dyDescent="0.45">
      <c r="S1547" t="s">
        <v>158</v>
      </c>
      <c r="T1547" t="s">
        <v>83</v>
      </c>
      <c r="U1547">
        <v>2.5801865678963917E-2</v>
      </c>
      <c r="V1547" t="s">
        <v>84</v>
      </c>
    </row>
    <row r="1548" spans="19:22" x14ac:dyDescent="0.45">
      <c r="S1548" t="s">
        <v>158</v>
      </c>
      <c r="T1548" t="s">
        <v>85</v>
      </c>
      <c r="U1548">
        <v>1.3852015620518283E-2</v>
      </c>
      <c r="V1548" t="s">
        <v>84</v>
      </c>
    </row>
    <row r="1549" spans="19:22" x14ac:dyDescent="0.45">
      <c r="S1549" t="s">
        <v>158</v>
      </c>
      <c r="T1549" t="s">
        <v>86</v>
      </c>
      <c r="U1549">
        <v>2.5276816816870912E-2</v>
      </c>
      <c r="V1549" t="s">
        <v>84</v>
      </c>
    </row>
    <row r="1550" spans="19:22" x14ac:dyDescent="0.45">
      <c r="S1550" t="s">
        <v>158</v>
      </c>
      <c r="T1550" t="s">
        <v>177</v>
      </c>
      <c r="U1550">
        <v>4.5390553027110977E-3</v>
      </c>
      <c r="V1550" t="s">
        <v>84</v>
      </c>
    </row>
    <row r="1551" spans="19:22" x14ac:dyDescent="0.45">
      <c r="S1551" t="s">
        <v>158</v>
      </c>
      <c r="T1551" t="s">
        <v>178</v>
      </c>
      <c r="U1551">
        <v>4.445178084133557E-3</v>
      </c>
      <c r="V1551" t="s">
        <v>84</v>
      </c>
    </row>
    <row r="1552" spans="19:22" x14ac:dyDescent="0.45">
      <c r="S1552" t="s">
        <v>158</v>
      </c>
      <c r="T1552" t="s">
        <v>179</v>
      </c>
      <c r="U1552">
        <v>1.9698571848739761E-2</v>
      </c>
      <c r="V1552" t="s">
        <v>84</v>
      </c>
    </row>
    <row r="1553" spans="19:22" x14ac:dyDescent="0.45">
      <c r="S1553" t="s">
        <v>158</v>
      </c>
      <c r="T1553" t="s">
        <v>87</v>
      </c>
      <c r="U1553">
        <v>1.7586192614751795E-2</v>
      </c>
      <c r="V1553" t="s">
        <v>84</v>
      </c>
    </row>
    <row r="1554" spans="19:22" x14ac:dyDescent="0.45">
      <c r="S1554" t="s">
        <v>158</v>
      </c>
      <c r="T1554" t="s">
        <v>88</v>
      </c>
      <c r="U1554">
        <v>8.9848403212047928E-3</v>
      </c>
      <c r="V1554" t="s">
        <v>84</v>
      </c>
    </row>
    <row r="1555" spans="19:22" x14ac:dyDescent="0.45">
      <c r="S1555" t="s">
        <v>158</v>
      </c>
      <c r="T1555" t="s">
        <v>89</v>
      </c>
      <c r="U1555">
        <v>1.4972190011066764E-2</v>
      </c>
      <c r="V1555" t="s">
        <v>84</v>
      </c>
    </row>
    <row r="1556" spans="19:22" x14ac:dyDescent="0.45">
      <c r="S1556" t="s">
        <v>158</v>
      </c>
      <c r="T1556" t="s">
        <v>180</v>
      </c>
      <c r="U1556">
        <v>2.7569778216868629E-3</v>
      </c>
      <c r="V1556" t="s">
        <v>84</v>
      </c>
    </row>
    <row r="1557" spans="19:22" x14ac:dyDescent="0.45">
      <c r="S1557" t="s">
        <v>158</v>
      </c>
      <c r="T1557" t="s">
        <v>181</v>
      </c>
      <c r="U1557">
        <v>2.7180250587735297E-3</v>
      </c>
      <c r="V1557" t="s">
        <v>84</v>
      </c>
    </row>
    <row r="1558" spans="19:22" x14ac:dyDescent="0.45">
      <c r="S1558" t="s">
        <v>158</v>
      </c>
      <c r="T1558" t="s">
        <v>182</v>
      </c>
      <c r="U1558">
        <v>1.3399685909619426E-2</v>
      </c>
      <c r="V1558" t="s">
        <v>84</v>
      </c>
    </row>
    <row r="1559" spans="19:22" x14ac:dyDescent="0.45">
      <c r="S1559" t="s">
        <v>158</v>
      </c>
      <c r="T1559" t="s">
        <v>90</v>
      </c>
      <c r="U1559">
        <v>2.0158186321939432E-2</v>
      </c>
      <c r="V1559" t="s">
        <v>84</v>
      </c>
    </row>
    <row r="1560" spans="19:22" x14ac:dyDescent="0.45">
      <c r="S1560" t="s">
        <v>158</v>
      </c>
      <c r="T1560" t="s">
        <v>91</v>
      </c>
      <c r="U1560">
        <v>1.109844942169841E-2</v>
      </c>
      <c r="V1560" t="s">
        <v>84</v>
      </c>
    </row>
    <row r="1561" spans="19:22" x14ac:dyDescent="0.45">
      <c r="S1561" t="s">
        <v>158</v>
      </c>
      <c r="T1561" t="s">
        <v>92</v>
      </c>
      <c r="U1561">
        <v>1.7462176761291186E-2</v>
      </c>
      <c r="V1561" t="s">
        <v>84</v>
      </c>
    </row>
    <row r="1562" spans="19:22" x14ac:dyDescent="0.45">
      <c r="S1562" t="s">
        <v>158</v>
      </c>
      <c r="T1562" t="s">
        <v>183</v>
      </c>
      <c r="U1562">
        <v>2.9784128324946615E-3</v>
      </c>
      <c r="V1562" t="s">
        <v>84</v>
      </c>
    </row>
    <row r="1563" spans="19:22" x14ac:dyDescent="0.45">
      <c r="S1563" t="s">
        <v>158</v>
      </c>
      <c r="T1563" t="s">
        <v>184</v>
      </c>
      <c r="U1563">
        <v>2.984131993641552E-3</v>
      </c>
      <c r="V1563" t="s">
        <v>84</v>
      </c>
    </row>
    <row r="1564" spans="19:22" x14ac:dyDescent="0.45">
      <c r="S1564" t="s">
        <v>158</v>
      </c>
      <c r="T1564" t="s">
        <v>185</v>
      </c>
      <c r="U1564">
        <v>1.4604749544681781E-2</v>
      </c>
      <c r="V1564" t="s">
        <v>84</v>
      </c>
    </row>
    <row r="1565" spans="19:22" x14ac:dyDescent="0.45">
      <c r="S1565" t="s">
        <v>158</v>
      </c>
      <c r="T1565" t="s">
        <v>93</v>
      </c>
      <c r="U1565">
        <v>4.5817329696035261E-2</v>
      </c>
      <c r="V1565" t="s">
        <v>84</v>
      </c>
    </row>
    <row r="1566" spans="19:22" x14ac:dyDescent="0.45">
      <c r="S1566" t="s">
        <v>158</v>
      </c>
      <c r="T1566" t="s">
        <v>94</v>
      </c>
      <c r="U1566">
        <v>2.6536065890307541E-2</v>
      </c>
      <c r="V1566" t="s">
        <v>84</v>
      </c>
    </row>
    <row r="1567" spans="19:22" x14ac:dyDescent="0.45">
      <c r="S1567" t="s">
        <v>158</v>
      </c>
      <c r="T1567" t="s">
        <v>95</v>
      </c>
      <c r="U1567">
        <v>4.0737347174672596E-2</v>
      </c>
      <c r="V1567" t="s">
        <v>84</v>
      </c>
    </row>
    <row r="1568" spans="19:22" x14ac:dyDescent="0.45">
      <c r="S1568" t="s">
        <v>158</v>
      </c>
      <c r="T1568" t="s">
        <v>186</v>
      </c>
      <c r="U1568">
        <v>7.0516634787570007E-3</v>
      </c>
      <c r="V1568" t="s">
        <v>84</v>
      </c>
    </row>
    <row r="1569" spans="19:22" x14ac:dyDescent="0.45">
      <c r="S1569" t="s">
        <v>158</v>
      </c>
      <c r="T1569" t="s">
        <v>187</v>
      </c>
      <c r="U1569">
        <v>7.1060529246031673E-3</v>
      </c>
      <c r="V1569" t="s">
        <v>84</v>
      </c>
    </row>
    <row r="1570" spans="19:22" x14ac:dyDescent="0.45">
      <c r="S1570" t="s">
        <v>158</v>
      </c>
      <c r="T1570" t="s">
        <v>188</v>
      </c>
      <c r="U1570">
        <v>3.3563760795133527E-2</v>
      </c>
      <c r="V1570" t="s">
        <v>84</v>
      </c>
    </row>
    <row r="1571" spans="19:22" x14ac:dyDescent="0.45">
      <c r="S1571" t="s">
        <v>158</v>
      </c>
      <c r="T1571" t="s">
        <v>189</v>
      </c>
      <c r="U1571">
        <v>2.3215463517059293E-2</v>
      </c>
      <c r="V1571" t="s">
        <v>84</v>
      </c>
    </row>
    <row r="1572" spans="19:22" x14ac:dyDescent="0.45">
      <c r="S1572" t="s">
        <v>158</v>
      </c>
      <c r="T1572" t="s">
        <v>190</v>
      </c>
      <c r="U1572">
        <v>1.2575381571647467E-2</v>
      </c>
      <c r="V1572" t="s">
        <v>84</v>
      </c>
    </row>
    <row r="1573" spans="19:22" x14ac:dyDescent="0.45">
      <c r="S1573" t="s">
        <v>158</v>
      </c>
      <c r="T1573" t="s">
        <v>191</v>
      </c>
      <c r="U1573">
        <v>1.8210727645135837E-2</v>
      </c>
      <c r="V1573" t="s">
        <v>84</v>
      </c>
    </row>
    <row r="1574" spans="19:22" x14ac:dyDescent="0.45">
      <c r="S1574" t="s">
        <v>158</v>
      </c>
      <c r="T1574" t="s">
        <v>192</v>
      </c>
      <c r="U1574">
        <v>3.1356547066585627E-3</v>
      </c>
      <c r="V1574" t="s">
        <v>84</v>
      </c>
    </row>
    <row r="1575" spans="19:22" x14ac:dyDescent="0.45">
      <c r="S1575" t="s">
        <v>158</v>
      </c>
      <c r="T1575" t="s">
        <v>193</v>
      </c>
      <c r="U1575">
        <v>3.16959692512663E-3</v>
      </c>
      <c r="V1575" t="s">
        <v>84</v>
      </c>
    </row>
    <row r="1576" spans="19:22" x14ac:dyDescent="0.45">
      <c r="S1576" t="s">
        <v>158</v>
      </c>
      <c r="T1576" t="s">
        <v>194</v>
      </c>
      <c r="U1576">
        <v>1.6425904206870179E-2</v>
      </c>
      <c r="V1576" t="s">
        <v>84</v>
      </c>
    </row>
    <row r="1577" spans="19:22" x14ac:dyDescent="0.45">
      <c r="S1577" t="s">
        <v>158</v>
      </c>
      <c r="T1577" t="s">
        <v>195</v>
      </c>
      <c r="U1577">
        <v>7.7820576535690439E-2</v>
      </c>
      <c r="V1577" t="s">
        <v>84</v>
      </c>
    </row>
    <row r="1578" spans="19:22" x14ac:dyDescent="0.45">
      <c r="S1578" t="s">
        <v>158</v>
      </c>
      <c r="T1578" t="s">
        <v>196</v>
      </c>
      <c r="U1578">
        <v>4.5318439811669373E-2</v>
      </c>
      <c r="V1578" t="s">
        <v>84</v>
      </c>
    </row>
    <row r="1579" spans="19:22" x14ac:dyDescent="0.45">
      <c r="S1579" t="s">
        <v>158</v>
      </c>
      <c r="T1579" t="s">
        <v>197</v>
      </c>
      <c r="U1579">
        <v>6.8779061020250151E-2</v>
      </c>
      <c r="V1579" t="s">
        <v>84</v>
      </c>
    </row>
    <row r="1580" spans="19:22" x14ac:dyDescent="0.45">
      <c r="S1580" t="s">
        <v>158</v>
      </c>
      <c r="T1580" t="s">
        <v>198</v>
      </c>
      <c r="U1580">
        <v>1.1285759089851006E-2</v>
      </c>
      <c r="V1580" t="s">
        <v>84</v>
      </c>
    </row>
    <row r="1581" spans="19:22" x14ac:dyDescent="0.45">
      <c r="S1581" t="s">
        <v>158</v>
      </c>
      <c r="T1581" t="s">
        <v>199</v>
      </c>
      <c r="U1581">
        <v>1.1303485106378209E-2</v>
      </c>
      <c r="V1581" t="s">
        <v>84</v>
      </c>
    </row>
    <row r="1582" spans="19:22" x14ac:dyDescent="0.45">
      <c r="S1582" t="s">
        <v>158</v>
      </c>
      <c r="T1582" t="s">
        <v>200</v>
      </c>
      <c r="U1582">
        <v>5.6627708062076072E-2</v>
      </c>
      <c r="V1582" t="s">
        <v>84</v>
      </c>
    </row>
    <row r="1583" spans="19:22" x14ac:dyDescent="0.45">
      <c r="S1583" t="s">
        <v>158</v>
      </c>
      <c r="T1583" t="s">
        <v>201</v>
      </c>
      <c r="U1583">
        <v>2.9715139604622579E-2</v>
      </c>
      <c r="V1583" t="s">
        <v>84</v>
      </c>
    </row>
    <row r="1584" spans="19:22" x14ac:dyDescent="0.45">
      <c r="S1584" t="s">
        <v>158</v>
      </c>
      <c r="T1584" t="s">
        <v>202</v>
      </c>
      <c r="U1584">
        <v>1.6414584046587726E-2</v>
      </c>
      <c r="V1584" t="s">
        <v>84</v>
      </c>
    </row>
    <row r="1585" spans="19:22" x14ac:dyDescent="0.45">
      <c r="S1585" t="s">
        <v>158</v>
      </c>
      <c r="T1585" t="s">
        <v>203</v>
      </c>
      <c r="U1585">
        <v>2.6967898845489949E-2</v>
      </c>
      <c r="V1585" t="s">
        <v>84</v>
      </c>
    </row>
    <row r="1586" spans="19:22" x14ac:dyDescent="0.45">
      <c r="S1586" t="s">
        <v>158</v>
      </c>
      <c r="T1586" t="s">
        <v>204</v>
      </c>
      <c r="U1586">
        <v>4.5889534834661688E-3</v>
      </c>
      <c r="V1586" t="s">
        <v>84</v>
      </c>
    </row>
    <row r="1587" spans="19:22" x14ac:dyDescent="0.45">
      <c r="S1587" t="s">
        <v>158</v>
      </c>
      <c r="T1587" t="s">
        <v>205</v>
      </c>
      <c r="U1587">
        <v>4.6072014678667046E-3</v>
      </c>
      <c r="V1587" t="s">
        <v>84</v>
      </c>
    </row>
    <row r="1588" spans="19:22" x14ac:dyDescent="0.45">
      <c r="S1588" t="s">
        <v>158</v>
      </c>
      <c r="T1588" t="s">
        <v>206</v>
      </c>
      <c r="U1588">
        <v>2.3428309191068392E-2</v>
      </c>
      <c r="V1588" t="s">
        <v>84</v>
      </c>
    </row>
    <row r="1589" spans="19:22" x14ac:dyDescent="0.45">
      <c r="S1589" t="s">
        <v>158</v>
      </c>
      <c r="T1589" t="s">
        <v>207</v>
      </c>
      <c r="U1589">
        <v>4.4419579474073032E-2</v>
      </c>
      <c r="V1589" t="s">
        <v>84</v>
      </c>
    </row>
    <row r="1590" spans="19:22" x14ac:dyDescent="0.45">
      <c r="S1590" t="s">
        <v>158</v>
      </c>
      <c r="T1590" t="s">
        <v>208</v>
      </c>
      <c r="U1590">
        <v>2.6455303727801919E-2</v>
      </c>
      <c r="V1590" t="s">
        <v>84</v>
      </c>
    </row>
    <row r="1591" spans="19:22" x14ac:dyDescent="0.45">
      <c r="S1591" t="s">
        <v>158</v>
      </c>
      <c r="T1591" t="s">
        <v>209</v>
      </c>
      <c r="U1591">
        <v>4.3546854568294484E-2</v>
      </c>
      <c r="V1591" t="s">
        <v>84</v>
      </c>
    </row>
    <row r="1592" spans="19:22" x14ac:dyDescent="0.45">
      <c r="S1592" t="s">
        <v>158</v>
      </c>
      <c r="T1592" t="s">
        <v>210</v>
      </c>
      <c r="U1592">
        <v>7.1261136744982072E-3</v>
      </c>
      <c r="V1592" t="s">
        <v>84</v>
      </c>
    </row>
    <row r="1593" spans="19:22" x14ac:dyDescent="0.45">
      <c r="S1593" t="s">
        <v>158</v>
      </c>
      <c r="T1593" t="s">
        <v>211</v>
      </c>
      <c r="U1593">
        <v>7.0227219986547544E-3</v>
      </c>
      <c r="V1593" t="s">
        <v>84</v>
      </c>
    </row>
    <row r="1594" spans="19:22" x14ac:dyDescent="0.45">
      <c r="S1594" t="s">
        <v>158</v>
      </c>
      <c r="T1594" t="s">
        <v>212</v>
      </c>
      <c r="U1594">
        <v>3.3709839794860245E-2</v>
      </c>
      <c r="V1594" t="s">
        <v>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2618-7F2E-457F-A934-47BF5A8E643A}">
  <dimension ref="A9:AN43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37</v>
      </c>
      <c r="C10" t="s">
        <v>67</v>
      </c>
      <c r="D10" t="s">
        <v>68</v>
      </c>
      <c r="E10" t="s">
        <v>69</v>
      </c>
      <c r="F10" t="s">
        <v>70</v>
      </c>
      <c r="G10" t="s">
        <v>71</v>
      </c>
      <c r="I10" t="s">
        <v>6</v>
      </c>
      <c r="J10" t="s">
        <v>47</v>
      </c>
      <c r="K10" t="s">
        <v>81</v>
      </c>
      <c r="L10" t="s">
        <v>11</v>
      </c>
      <c r="N10" t="s">
        <v>6</v>
      </c>
      <c r="O10" t="s">
        <v>47</v>
      </c>
      <c r="P10" t="s">
        <v>81</v>
      </c>
      <c r="Q10" t="s">
        <v>11</v>
      </c>
      <c r="S10" t="s">
        <v>6</v>
      </c>
      <c r="T10" t="s">
        <v>47</v>
      </c>
      <c r="U10" t="s">
        <v>81</v>
      </c>
      <c r="V10" t="s">
        <v>11</v>
      </c>
      <c r="X10" t="s">
        <v>159</v>
      </c>
      <c r="Y10" t="s">
        <v>81</v>
      </c>
      <c r="Z10" t="s">
        <v>47</v>
      </c>
      <c r="AA10" t="s">
        <v>6</v>
      </c>
      <c r="AC10" t="s">
        <v>6</v>
      </c>
      <c r="AD10" t="s">
        <v>47</v>
      </c>
      <c r="AE10" t="s">
        <v>81</v>
      </c>
      <c r="AG10" t="s">
        <v>6</v>
      </c>
      <c r="AH10" t="s">
        <v>47</v>
      </c>
      <c r="AI10" t="s">
        <v>165</v>
      </c>
      <c r="AK10" t="s">
        <v>14</v>
      </c>
      <c r="AL10" t="s">
        <v>47</v>
      </c>
      <c r="AM10" t="s">
        <v>166</v>
      </c>
      <c r="AN10" t="s">
        <v>167</v>
      </c>
    </row>
    <row r="11" spans="1:40" x14ac:dyDescent="0.45">
      <c r="A11" t="str">
        <f>IFERROR(IF(Veda!D5=A10,"ok","x"),"")</f>
        <v>x</v>
      </c>
      <c r="C11" t="s">
        <v>215</v>
      </c>
      <c r="D11" t="s">
        <v>73</v>
      </c>
      <c r="E11" t="s">
        <v>216</v>
      </c>
      <c r="F11" t="s">
        <v>215</v>
      </c>
      <c r="G11" t="s">
        <v>73</v>
      </c>
      <c r="I11" t="s">
        <v>82</v>
      </c>
      <c r="J11" t="s">
        <v>217</v>
      </c>
      <c r="K11">
        <v>0.99999999999999833</v>
      </c>
      <c r="L11" t="s">
        <v>84</v>
      </c>
      <c r="N11" t="s">
        <v>111</v>
      </c>
      <c r="O11" t="s">
        <v>217</v>
      </c>
      <c r="P11">
        <v>1.0000000000000002</v>
      </c>
      <c r="Q11" t="s">
        <v>84</v>
      </c>
      <c r="S11" t="s">
        <v>126</v>
      </c>
      <c r="T11" t="s">
        <v>217</v>
      </c>
      <c r="U11">
        <v>1.0000000000000044</v>
      </c>
      <c r="V11" t="s">
        <v>84</v>
      </c>
      <c r="X11">
        <v>1</v>
      </c>
      <c r="Y11">
        <v>1.0000000000000002</v>
      </c>
      <c r="Z11" t="s">
        <v>217</v>
      </c>
      <c r="AA11" t="s">
        <v>10</v>
      </c>
      <c r="AC11" t="s">
        <v>9</v>
      </c>
      <c r="AD11" t="s">
        <v>217</v>
      </c>
      <c r="AE11">
        <v>1</v>
      </c>
      <c r="AG11" t="s">
        <v>27</v>
      </c>
      <c r="AH11" t="s">
        <v>217</v>
      </c>
      <c r="AI11">
        <v>0.37612616906334773</v>
      </c>
      <c r="AK11">
        <v>2020</v>
      </c>
      <c r="AL11" t="s">
        <v>215</v>
      </c>
      <c r="AM11">
        <v>0.48928256492932104</v>
      </c>
      <c r="AN11" t="s">
        <v>168</v>
      </c>
    </row>
    <row r="12" spans="1:40" x14ac:dyDescent="0.45">
      <c r="I12" t="s">
        <v>96</v>
      </c>
      <c r="J12" t="s">
        <v>217</v>
      </c>
      <c r="K12">
        <v>1.000000000000004</v>
      </c>
      <c r="L12" t="s">
        <v>84</v>
      </c>
      <c r="N12" t="s">
        <v>112</v>
      </c>
      <c r="O12" t="s">
        <v>217</v>
      </c>
      <c r="P12">
        <v>1.0000000000000007</v>
      </c>
      <c r="Q12" t="s">
        <v>84</v>
      </c>
      <c r="S12" t="s">
        <v>127</v>
      </c>
      <c r="T12" t="s">
        <v>217</v>
      </c>
      <c r="U12">
        <v>1.000000000000004</v>
      </c>
      <c r="V12" t="s">
        <v>84</v>
      </c>
      <c r="AC12" t="s">
        <v>8</v>
      </c>
      <c r="AD12" t="s">
        <v>217</v>
      </c>
      <c r="AE12">
        <v>1</v>
      </c>
      <c r="AK12">
        <v>2021</v>
      </c>
      <c r="AL12" t="s">
        <v>215</v>
      </c>
      <c r="AM12">
        <v>0.48782386778636183</v>
      </c>
      <c r="AN12" t="s">
        <v>168</v>
      </c>
    </row>
    <row r="13" spans="1:40" x14ac:dyDescent="0.45">
      <c r="I13" t="s">
        <v>97</v>
      </c>
      <c r="J13" t="s">
        <v>217</v>
      </c>
      <c r="K13">
        <v>1</v>
      </c>
      <c r="L13" t="s">
        <v>84</v>
      </c>
      <c r="N13" t="s">
        <v>113</v>
      </c>
      <c r="O13" t="s">
        <v>217</v>
      </c>
      <c r="P13">
        <v>1.0000000000000016</v>
      </c>
      <c r="Q13" t="s">
        <v>84</v>
      </c>
      <c r="S13" t="s">
        <v>128</v>
      </c>
      <c r="T13" t="s">
        <v>217</v>
      </c>
      <c r="U13">
        <v>1.0000000000000007</v>
      </c>
      <c r="V13" t="s">
        <v>84</v>
      </c>
      <c r="AK13">
        <v>2022</v>
      </c>
      <c r="AL13" t="s">
        <v>215</v>
      </c>
      <c r="AM13">
        <v>0.50609764846546423</v>
      </c>
      <c r="AN13" t="s">
        <v>168</v>
      </c>
    </row>
    <row r="14" spans="1:40" x14ac:dyDescent="0.45">
      <c r="I14" t="s">
        <v>98</v>
      </c>
      <c r="J14" t="s">
        <v>217</v>
      </c>
      <c r="K14">
        <v>1.0000000000000018</v>
      </c>
      <c r="L14" t="s">
        <v>84</v>
      </c>
      <c r="N14" t="s">
        <v>114</v>
      </c>
      <c r="O14" t="s">
        <v>217</v>
      </c>
      <c r="P14">
        <v>1.0000000000000002</v>
      </c>
      <c r="Q14" t="s">
        <v>84</v>
      </c>
      <c r="S14" t="s">
        <v>129</v>
      </c>
      <c r="T14" t="s">
        <v>217</v>
      </c>
      <c r="U14">
        <v>0.99999999999999911</v>
      </c>
      <c r="V14" t="s">
        <v>84</v>
      </c>
      <c r="AK14">
        <v>2025</v>
      </c>
      <c r="AL14" t="s">
        <v>215</v>
      </c>
      <c r="AM14">
        <v>0.50747500000000001</v>
      </c>
      <c r="AN14" t="s">
        <v>168</v>
      </c>
    </row>
    <row r="15" spans="1:40" x14ac:dyDescent="0.45">
      <c r="I15" t="s">
        <v>99</v>
      </c>
      <c r="J15" t="s">
        <v>217</v>
      </c>
      <c r="K15">
        <v>1.0000000000000009</v>
      </c>
      <c r="L15" t="s">
        <v>84</v>
      </c>
      <c r="N15" t="s">
        <v>115</v>
      </c>
      <c r="O15" t="s">
        <v>217</v>
      </c>
      <c r="P15">
        <v>1.0000000000000013</v>
      </c>
      <c r="Q15" t="s">
        <v>84</v>
      </c>
      <c r="S15" t="s">
        <v>130</v>
      </c>
      <c r="T15" t="s">
        <v>217</v>
      </c>
      <c r="U15">
        <v>1.000000000000002</v>
      </c>
      <c r="V15" t="s">
        <v>84</v>
      </c>
      <c r="AK15">
        <v>2026</v>
      </c>
      <c r="AL15" t="s">
        <v>215</v>
      </c>
      <c r="AM15">
        <v>0.50488333333333335</v>
      </c>
      <c r="AN15" t="s">
        <v>168</v>
      </c>
    </row>
    <row r="16" spans="1:40" x14ac:dyDescent="0.45">
      <c r="I16" t="s">
        <v>100</v>
      </c>
      <c r="J16" t="s">
        <v>217</v>
      </c>
      <c r="K16">
        <v>0.99999999999999889</v>
      </c>
      <c r="L16" t="s">
        <v>84</v>
      </c>
      <c r="N16" t="s">
        <v>116</v>
      </c>
      <c r="O16" t="s">
        <v>217</v>
      </c>
      <c r="P16">
        <v>1.0000000000000011</v>
      </c>
      <c r="Q16" t="s">
        <v>84</v>
      </c>
      <c r="S16" t="s">
        <v>131</v>
      </c>
      <c r="T16" t="s">
        <v>217</v>
      </c>
      <c r="U16">
        <v>1.0000000000000013</v>
      </c>
      <c r="V16" t="s">
        <v>84</v>
      </c>
      <c r="AK16">
        <v>2027</v>
      </c>
      <c r="AL16" t="s">
        <v>215</v>
      </c>
      <c r="AM16">
        <v>0.49974999999999997</v>
      </c>
      <c r="AN16" t="s">
        <v>168</v>
      </c>
    </row>
    <row r="17" spans="9:40" x14ac:dyDescent="0.45">
      <c r="I17" t="s">
        <v>101</v>
      </c>
      <c r="J17" t="s">
        <v>217</v>
      </c>
      <c r="K17">
        <v>1.0000000000000033</v>
      </c>
      <c r="L17" t="s">
        <v>84</v>
      </c>
      <c r="N17" t="s">
        <v>117</v>
      </c>
      <c r="O17" t="s">
        <v>217</v>
      </c>
      <c r="P17">
        <v>0.99999999999999789</v>
      </c>
      <c r="Q17" t="s">
        <v>84</v>
      </c>
      <c r="S17" t="s">
        <v>132</v>
      </c>
      <c r="T17" t="s">
        <v>217</v>
      </c>
      <c r="U17">
        <v>0.99999999999999911</v>
      </c>
      <c r="V17" t="s">
        <v>84</v>
      </c>
      <c r="AK17">
        <v>2028</v>
      </c>
      <c r="AL17" t="s">
        <v>215</v>
      </c>
      <c r="AM17">
        <v>0.48689166666666667</v>
      </c>
      <c r="AN17" t="s">
        <v>168</v>
      </c>
    </row>
    <row r="18" spans="9:40" x14ac:dyDescent="0.45">
      <c r="I18" t="s">
        <v>102</v>
      </c>
      <c r="J18" t="s">
        <v>217</v>
      </c>
      <c r="K18">
        <v>0.99999999999999911</v>
      </c>
      <c r="L18" t="s">
        <v>84</v>
      </c>
      <c r="N18" t="s">
        <v>118</v>
      </c>
      <c r="O18" t="s">
        <v>217</v>
      </c>
      <c r="P18">
        <v>0.99999999999999756</v>
      </c>
      <c r="Q18" t="s">
        <v>84</v>
      </c>
      <c r="S18" t="s">
        <v>133</v>
      </c>
      <c r="T18" t="s">
        <v>217</v>
      </c>
      <c r="U18">
        <v>0.99999999999999811</v>
      </c>
      <c r="V18" t="s">
        <v>84</v>
      </c>
      <c r="AK18">
        <v>2029</v>
      </c>
      <c r="AL18" t="s">
        <v>215</v>
      </c>
      <c r="AM18">
        <v>0.55917499999999998</v>
      </c>
      <c r="AN18" t="s">
        <v>168</v>
      </c>
    </row>
    <row r="19" spans="9:40" x14ac:dyDescent="0.45">
      <c r="I19" t="s">
        <v>103</v>
      </c>
      <c r="J19" t="s">
        <v>217</v>
      </c>
      <c r="K19">
        <v>1</v>
      </c>
      <c r="L19" t="s">
        <v>84</v>
      </c>
      <c r="N19" t="s">
        <v>119</v>
      </c>
      <c r="O19" t="s">
        <v>217</v>
      </c>
      <c r="P19">
        <v>1.0000000000000002</v>
      </c>
      <c r="Q19" t="s">
        <v>84</v>
      </c>
      <c r="S19" t="s">
        <v>134</v>
      </c>
      <c r="T19" t="s">
        <v>217</v>
      </c>
      <c r="U19">
        <v>1.000000000000002</v>
      </c>
      <c r="V19" t="s">
        <v>84</v>
      </c>
      <c r="AK19">
        <v>2030</v>
      </c>
      <c r="AL19" t="s">
        <v>215</v>
      </c>
      <c r="AM19">
        <v>0.56373333333333331</v>
      </c>
      <c r="AN19" t="s">
        <v>168</v>
      </c>
    </row>
    <row r="20" spans="9:40" x14ac:dyDescent="0.45">
      <c r="I20" t="s">
        <v>104</v>
      </c>
      <c r="J20" t="s">
        <v>217</v>
      </c>
      <c r="K20">
        <v>1.0000000000000022</v>
      </c>
      <c r="L20" t="s">
        <v>84</v>
      </c>
      <c r="N20" t="s">
        <v>120</v>
      </c>
      <c r="O20" t="s">
        <v>217</v>
      </c>
      <c r="P20">
        <v>1.0000000000000009</v>
      </c>
      <c r="Q20" t="s">
        <v>84</v>
      </c>
      <c r="S20" t="s">
        <v>135</v>
      </c>
      <c r="T20" t="s">
        <v>217</v>
      </c>
      <c r="U20">
        <v>1.0000000000000013</v>
      </c>
      <c r="V20" t="s">
        <v>84</v>
      </c>
      <c r="AK20">
        <v>2031</v>
      </c>
      <c r="AL20" t="s">
        <v>215</v>
      </c>
      <c r="AM20">
        <v>0.57908333333333328</v>
      </c>
      <c r="AN20" t="s">
        <v>168</v>
      </c>
    </row>
    <row r="21" spans="9:40" x14ac:dyDescent="0.45">
      <c r="I21" t="s">
        <v>105</v>
      </c>
      <c r="J21" t="s">
        <v>217</v>
      </c>
      <c r="K21">
        <v>1.0000000000000018</v>
      </c>
      <c r="L21" t="s">
        <v>84</v>
      </c>
      <c r="N21" t="s">
        <v>121</v>
      </c>
      <c r="O21" t="s">
        <v>217</v>
      </c>
      <c r="P21">
        <v>0.99999999999999933</v>
      </c>
      <c r="Q21" t="s">
        <v>84</v>
      </c>
      <c r="S21" t="s">
        <v>136</v>
      </c>
      <c r="T21" t="s">
        <v>217</v>
      </c>
      <c r="U21">
        <v>1.0000000000000016</v>
      </c>
      <c r="V21" t="s">
        <v>84</v>
      </c>
      <c r="AK21">
        <v>2032</v>
      </c>
      <c r="AL21" t="s">
        <v>215</v>
      </c>
      <c r="AM21">
        <v>0.57402500000000012</v>
      </c>
      <c r="AN21" t="s">
        <v>168</v>
      </c>
    </row>
    <row r="22" spans="9:40" x14ac:dyDescent="0.45">
      <c r="I22" t="s">
        <v>106</v>
      </c>
      <c r="J22" t="s">
        <v>217</v>
      </c>
      <c r="K22">
        <v>0.999999999999999</v>
      </c>
      <c r="L22" t="s">
        <v>84</v>
      </c>
      <c r="N22" t="s">
        <v>122</v>
      </c>
      <c r="O22" t="s">
        <v>217</v>
      </c>
      <c r="P22">
        <v>0.99999999999999845</v>
      </c>
      <c r="Q22" t="s">
        <v>84</v>
      </c>
      <c r="S22" t="s">
        <v>137</v>
      </c>
      <c r="T22" t="s">
        <v>217</v>
      </c>
      <c r="U22">
        <v>0.99999999999999833</v>
      </c>
      <c r="V22" t="s">
        <v>84</v>
      </c>
      <c r="AK22">
        <v>2033</v>
      </c>
      <c r="AL22" t="s">
        <v>215</v>
      </c>
      <c r="AM22">
        <v>0.59891666666666665</v>
      </c>
      <c r="AN22" t="s">
        <v>168</v>
      </c>
    </row>
    <row r="23" spans="9:40" x14ac:dyDescent="0.45">
      <c r="I23" t="s">
        <v>107</v>
      </c>
      <c r="J23" t="s">
        <v>217</v>
      </c>
      <c r="K23">
        <v>1.0000000000000022</v>
      </c>
      <c r="L23" t="s">
        <v>84</v>
      </c>
      <c r="N23" t="s">
        <v>123</v>
      </c>
      <c r="O23" t="s">
        <v>217</v>
      </c>
      <c r="P23">
        <v>0.99999999999999856</v>
      </c>
      <c r="Q23" t="s">
        <v>84</v>
      </c>
      <c r="S23" t="s">
        <v>138</v>
      </c>
      <c r="T23" t="s">
        <v>217</v>
      </c>
      <c r="U23">
        <v>0.99999999999999534</v>
      </c>
      <c r="V23" t="s">
        <v>84</v>
      </c>
      <c r="AK23">
        <v>2034</v>
      </c>
      <c r="AL23" t="s">
        <v>215</v>
      </c>
      <c r="AM23">
        <v>0.50264166666666665</v>
      </c>
      <c r="AN23" t="s">
        <v>168</v>
      </c>
    </row>
    <row r="24" spans="9:40" x14ac:dyDescent="0.45">
      <c r="I24" t="s">
        <v>108</v>
      </c>
      <c r="J24" t="s">
        <v>217</v>
      </c>
      <c r="K24">
        <v>1.0000000000000007</v>
      </c>
      <c r="L24" t="s">
        <v>84</v>
      </c>
      <c r="N24" t="s">
        <v>124</v>
      </c>
      <c r="O24" t="s">
        <v>217</v>
      </c>
      <c r="P24">
        <v>0.99999999999999456</v>
      </c>
      <c r="Q24" t="s">
        <v>84</v>
      </c>
      <c r="S24" t="s">
        <v>139</v>
      </c>
      <c r="T24" t="s">
        <v>217</v>
      </c>
      <c r="U24">
        <v>1.0000000000000013</v>
      </c>
      <c r="V24" t="s">
        <v>84</v>
      </c>
      <c r="AK24">
        <v>2035</v>
      </c>
      <c r="AL24" t="s">
        <v>215</v>
      </c>
      <c r="AM24">
        <v>0.58405000000000007</v>
      </c>
      <c r="AN24" t="s">
        <v>168</v>
      </c>
    </row>
    <row r="25" spans="9:40" x14ac:dyDescent="0.45">
      <c r="I25" t="s">
        <v>109</v>
      </c>
      <c r="J25" t="s">
        <v>217</v>
      </c>
      <c r="K25">
        <v>0.99999999999999944</v>
      </c>
      <c r="L25" t="s">
        <v>84</v>
      </c>
      <c r="N25" t="s">
        <v>125</v>
      </c>
      <c r="O25" t="s">
        <v>217</v>
      </c>
      <c r="P25">
        <v>1.0000000000000016</v>
      </c>
      <c r="Q25" t="s">
        <v>84</v>
      </c>
      <c r="S25" t="s">
        <v>140</v>
      </c>
      <c r="T25" t="s">
        <v>217</v>
      </c>
      <c r="U25">
        <v>1.0000000000000016</v>
      </c>
      <c r="V25" t="s">
        <v>84</v>
      </c>
      <c r="AK25">
        <v>2036</v>
      </c>
      <c r="AL25" t="s">
        <v>215</v>
      </c>
      <c r="AM25">
        <v>0.57240000000000002</v>
      </c>
      <c r="AN25" t="s">
        <v>168</v>
      </c>
    </row>
    <row r="26" spans="9:40" x14ac:dyDescent="0.45">
      <c r="I26" t="s">
        <v>110</v>
      </c>
      <c r="J26" t="s">
        <v>217</v>
      </c>
      <c r="K26">
        <v>1.0000000000000004</v>
      </c>
      <c r="L26" t="s">
        <v>84</v>
      </c>
      <c r="S26" t="s">
        <v>141</v>
      </c>
      <c r="T26" t="s">
        <v>217</v>
      </c>
      <c r="U26">
        <v>0.99999999999999944</v>
      </c>
      <c r="V26" t="s">
        <v>84</v>
      </c>
      <c r="AK26">
        <v>2037</v>
      </c>
      <c r="AL26" t="s">
        <v>215</v>
      </c>
      <c r="AM26">
        <v>0.43127500000000002</v>
      </c>
      <c r="AN26" t="s">
        <v>168</v>
      </c>
    </row>
    <row r="27" spans="9:40" x14ac:dyDescent="0.45">
      <c r="S27" t="s">
        <v>142</v>
      </c>
      <c r="T27" t="s">
        <v>217</v>
      </c>
      <c r="U27">
        <v>1.0000000000000016</v>
      </c>
      <c r="V27" t="s">
        <v>84</v>
      </c>
      <c r="AK27">
        <v>2038</v>
      </c>
      <c r="AL27" t="s">
        <v>215</v>
      </c>
      <c r="AM27">
        <v>0.57272499999999993</v>
      </c>
      <c r="AN27" t="s">
        <v>168</v>
      </c>
    </row>
    <row r="28" spans="9:40" x14ac:dyDescent="0.45">
      <c r="S28" t="s">
        <v>143</v>
      </c>
      <c r="T28" t="s">
        <v>217</v>
      </c>
      <c r="U28">
        <v>0.99999999999999911</v>
      </c>
      <c r="V28" t="s">
        <v>84</v>
      </c>
      <c r="AK28">
        <v>2039</v>
      </c>
      <c r="AL28" t="s">
        <v>215</v>
      </c>
      <c r="AM28">
        <v>0.41674166666666679</v>
      </c>
      <c r="AN28" t="s">
        <v>168</v>
      </c>
    </row>
    <row r="29" spans="9:40" x14ac:dyDescent="0.45">
      <c r="S29" t="s">
        <v>144</v>
      </c>
      <c r="T29" t="s">
        <v>217</v>
      </c>
      <c r="U29">
        <v>0.99999999999999944</v>
      </c>
      <c r="V29" t="s">
        <v>84</v>
      </c>
      <c r="AK29">
        <v>2040</v>
      </c>
      <c r="AL29" t="s">
        <v>215</v>
      </c>
      <c r="AM29">
        <v>0.43020833333333336</v>
      </c>
      <c r="AN29" t="s">
        <v>168</v>
      </c>
    </row>
    <row r="30" spans="9:40" x14ac:dyDescent="0.45">
      <c r="S30" t="s">
        <v>145</v>
      </c>
      <c r="T30" t="s">
        <v>217</v>
      </c>
      <c r="U30">
        <v>0.99999999999999689</v>
      </c>
      <c r="V30" t="s">
        <v>84</v>
      </c>
      <c r="AK30">
        <v>2041</v>
      </c>
      <c r="AL30" t="s">
        <v>215</v>
      </c>
      <c r="AM30">
        <v>0.43769999999999998</v>
      </c>
      <c r="AN30" t="s">
        <v>168</v>
      </c>
    </row>
    <row r="31" spans="9:40" x14ac:dyDescent="0.45">
      <c r="S31" t="s">
        <v>146</v>
      </c>
      <c r="T31" t="s">
        <v>217</v>
      </c>
      <c r="U31">
        <v>0.99999999999999789</v>
      </c>
      <c r="V31" t="s">
        <v>84</v>
      </c>
      <c r="AK31">
        <v>2042</v>
      </c>
      <c r="AL31" t="s">
        <v>215</v>
      </c>
      <c r="AM31">
        <v>0.4079916666666667</v>
      </c>
      <c r="AN31" t="s">
        <v>168</v>
      </c>
    </row>
    <row r="32" spans="9:40" x14ac:dyDescent="0.45">
      <c r="S32" t="s">
        <v>147</v>
      </c>
      <c r="T32" t="s">
        <v>217</v>
      </c>
      <c r="U32">
        <v>1.0000000000000002</v>
      </c>
      <c r="V32" t="s">
        <v>84</v>
      </c>
      <c r="AK32">
        <v>2043</v>
      </c>
      <c r="AL32" t="s">
        <v>215</v>
      </c>
      <c r="AM32">
        <v>0.42603333333333326</v>
      </c>
      <c r="AN32" t="s">
        <v>168</v>
      </c>
    </row>
    <row r="33" spans="19:40" x14ac:dyDescent="0.45">
      <c r="S33" t="s">
        <v>148</v>
      </c>
      <c r="T33" t="s">
        <v>217</v>
      </c>
      <c r="U33">
        <v>0.99999999999999689</v>
      </c>
      <c r="V33" t="s">
        <v>84</v>
      </c>
      <c r="AK33">
        <v>2044</v>
      </c>
      <c r="AL33" t="s">
        <v>215</v>
      </c>
      <c r="AM33">
        <v>0.41792499999999994</v>
      </c>
      <c r="AN33" t="s">
        <v>168</v>
      </c>
    </row>
    <row r="34" spans="19:40" x14ac:dyDescent="0.45">
      <c r="S34" t="s">
        <v>149</v>
      </c>
      <c r="T34" t="s">
        <v>217</v>
      </c>
      <c r="U34">
        <v>1.0000000000000007</v>
      </c>
      <c r="V34" t="s">
        <v>84</v>
      </c>
      <c r="AK34">
        <v>2045</v>
      </c>
      <c r="AL34" t="s">
        <v>215</v>
      </c>
      <c r="AM34">
        <v>0.58658333333333335</v>
      </c>
      <c r="AN34" t="s">
        <v>168</v>
      </c>
    </row>
    <row r="35" spans="19:40" x14ac:dyDescent="0.45">
      <c r="S35" t="s">
        <v>150</v>
      </c>
      <c r="T35" t="s">
        <v>217</v>
      </c>
      <c r="U35">
        <v>0.99999999999999911</v>
      </c>
      <c r="V35" t="s">
        <v>84</v>
      </c>
      <c r="AK35">
        <v>2046</v>
      </c>
      <c r="AL35" t="s">
        <v>215</v>
      </c>
      <c r="AM35">
        <v>0.5784083333333333</v>
      </c>
      <c r="AN35" t="s">
        <v>168</v>
      </c>
    </row>
    <row r="36" spans="19:40" x14ac:dyDescent="0.45">
      <c r="S36" t="s">
        <v>151</v>
      </c>
      <c r="T36" t="s">
        <v>217</v>
      </c>
      <c r="U36">
        <v>1.0000000000000018</v>
      </c>
      <c r="V36" t="s">
        <v>84</v>
      </c>
      <c r="AK36">
        <v>2047</v>
      </c>
      <c r="AL36" t="s">
        <v>215</v>
      </c>
      <c r="AM36">
        <v>0.56420000000000015</v>
      </c>
      <c r="AN36" t="s">
        <v>168</v>
      </c>
    </row>
    <row r="37" spans="19:40" x14ac:dyDescent="0.45">
      <c r="S37" t="s">
        <v>152</v>
      </c>
      <c r="T37" t="s">
        <v>217</v>
      </c>
      <c r="U37">
        <v>0.99999999999999756</v>
      </c>
      <c r="V37" t="s">
        <v>84</v>
      </c>
      <c r="AK37">
        <v>2048</v>
      </c>
      <c r="AL37" t="s">
        <v>215</v>
      </c>
      <c r="AM37">
        <v>0.56918333333333326</v>
      </c>
      <c r="AN37" t="s">
        <v>168</v>
      </c>
    </row>
    <row r="38" spans="19:40" x14ac:dyDescent="0.45">
      <c r="S38" t="s">
        <v>153</v>
      </c>
      <c r="T38" t="s">
        <v>217</v>
      </c>
      <c r="U38">
        <v>1.000000000000002</v>
      </c>
      <c r="V38" t="s">
        <v>84</v>
      </c>
      <c r="AK38">
        <v>2049</v>
      </c>
      <c r="AL38" t="s">
        <v>215</v>
      </c>
      <c r="AM38">
        <v>0.49561666666666665</v>
      </c>
      <c r="AN38" t="s">
        <v>168</v>
      </c>
    </row>
    <row r="39" spans="19:40" x14ac:dyDescent="0.45">
      <c r="S39" t="s">
        <v>154</v>
      </c>
      <c r="T39" t="s">
        <v>217</v>
      </c>
      <c r="U39">
        <v>0.999999999999999</v>
      </c>
      <c r="V39" t="s">
        <v>84</v>
      </c>
      <c r="AK39">
        <v>2050</v>
      </c>
      <c r="AL39" t="s">
        <v>215</v>
      </c>
      <c r="AM39">
        <v>0.48384166666666667</v>
      </c>
      <c r="AN39" t="s">
        <v>168</v>
      </c>
    </row>
    <row r="40" spans="19:40" x14ac:dyDescent="0.45">
      <c r="S40" t="s">
        <v>155</v>
      </c>
      <c r="T40" t="s">
        <v>217</v>
      </c>
      <c r="U40">
        <v>0.99999999999999656</v>
      </c>
      <c r="V40" t="s">
        <v>84</v>
      </c>
    </row>
    <row r="41" spans="19:40" x14ac:dyDescent="0.45">
      <c r="S41" t="s">
        <v>156</v>
      </c>
      <c r="T41" t="s">
        <v>217</v>
      </c>
      <c r="U41">
        <v>0.999999999999997</v>
      </c>
      <c r="V41" t="s">
        <v>84</v>
      </c>
    </row>
    <row r="42" spans="19:40" x14ac:dyDescent="0.45">
      <c r="S42" t="s">
        <v>157</v>
      </c>
      <c r="T42" t="s">
        <v>217</v>
      </c>
      <c r="U42">
        <v>0.99999999999999889</v>
      </c>
      <c r="V42" t="s">
        <v>84</v>
      </c>
    </row>
    <row r="43" spans="19:40" x14ac:dyDescent="0.45">
      <c r="S43" t="s">
        <v>158</v>
      </c>
      <c r="T43" t="s">
        <v>217</v>
      </c>
      <c r="U43">
        <v>0.99999999999999423</v>
      </c>
      <c r="V43" t="s">
        <v>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DB001-948B-49EA-85F1-39506BE8E98B}">
  <dimension ref="A9:AN40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57</v>
      </c>
      <c r="C10" t="s">
        <v>67</v>
      </c>
      <c r="D10" t="s">
        <v>68</v>
      </c>
      <c r="E10" t="s">
        <v>69</v>
      </c>
      <c r="F10" t="s">
        <v>70</v>
      </c>
      <c r="G10" t="s">
        <v>71</v>
      </c>
      <c r="I10" t="s">
        <v>6</v>
      </c>
      <c r="J10" t="s">
        <v>47</v>
      </c>
      <c r="K10" t="s">
        <v>81</v>
      </c>
      <c r="L10" t="s">
        <v>11</v>
      </c>
      <c r="N10" t="s">
        <v>6</v>
      </c>
      <c r="O10" t="s">
        <v>47</v>
      </c>
      <c r="P10" t="s">
        <v>81</v>
      </c>
      <c r="Q10" t="s">
        <v>11</v>
      </c>
      <c r="S10" t="s">
        <v>6</v>
      </c>
      <c r="T10" t="s">
        <v>47</v>
      </c>
      <c r="U10" t="s">
        <v>81</v>
      </c>
      <c r="V10" t="s">
        <v>11</v>
      </c>
      <c r="X10" t="s">
        <v>159</v>
      </c>
      <c r="Y10" t="s">
        <v>81</v>
      </c>
      <c r="Z10" t="s">
        <v>47</v>
      </c>
      <c r="AA10" t="s">
        <v>6</v>
      </c>
      <c r="AC10" t="s">
        <v>6</v>
      </c>
      <c r="AD10" t="s">
        <v>47</v>
      </c>
      <c r="AE10" t="s">
        <v>81</v>
      </c>
      <c r="AG10" t="s">
        <v>6</v>
      </c>
      <c r="AH10" t="s">
        <v>47</v>
      </c>
      <c r="AI10" t="s">
        <v>165</v>
      </c>
      <c r="AK10" t="s">
        <v>14</v>
      </c>
      <c r="AL10" t="s">
        <v>47</v>
      </c>
      <c r="AM10" t="s">
        <v>166</v>
      </c>
      <c r="AN10" t="s">
        <v>167</v>
      </c>
    </row>
    <row r="11" spans="1:40" x14ac:dyDescent="0.45">
      <c r="A11" t="str">
        <f>IFERROR(IF(Veda!D5=A10,"ok","x"),"")</f>
        <v>x</v>
      </c>
      <c r="C11" t="s">
        <v>218</v>
      </c>
      <c r="D11" t="s">
        <v>73</v>
      </c>
      <c r="E11" t="s">
        <v>161</v>
      </c>
      <c r="F11" t="s">
        <v>219</v>
      </c>
      <c r="G11" t="s">
        <v>73</v>
      </c>
      <c r="I11" t="s">
        <v>82</v>
      </c>
      <c r="J11" t="s">
        <v>224</v>
      </c>
      <c r="K11">
        <v>0.25547648309021947</v>
      </c>
      <c r="L11" t="s">
        <v>84</v>
      </c>
      <c r="N11" t="s">
        <v>111</v>
      </c>
      <c r="O11" t="s">
        <v>224</v>
      </c>
      <c r="P11">
        <v>0.13593918959374027</v>
      </c>
      <c r="Q11" t="s">
        <v>84</v>
      </c>
      <c r="S11" t="s">
        <v>126</v>
      </c>
      <c r="T11" t="s">
        <v>224</v>
      </c>
      <c r="U11">
        <v>9.8830018399223021E-2</v>
      </c>
      <c r="V11" t="s">
        <v>84</v>
      </c>
      <c r="X11">
        <v>0.11426940639269406</v>
      </c>
      <c r="Y11">
        <v>0.16087081189037786</v>
      </c>
      <c r="Z11" t="s">
        <v>224</v>
      </c>
      <c r="AA11" t="s">
        <v>10</v>
      </c>
      <c r="AC11" t="s">
        <v>9</v>
      </c>
      <c r="AD11" t="s">
        <v>224</v>
      </c>
      <c r="AE11">
        <v>0.10093429089532406</v>
      </c>
      <c r="AG11" t="s">
        <v>27</v>
      </c>
      <c r="AH11" t="s">
        <v>224</v>
      </c>
      <c r="AI11">
        <v>0.35998850027571061</v>
      </c>
      <c r="AK11">
        <v>2020</v>
      </c>
      <c r="AL11" t="s">
        <v>218</v>
      </c>
      <c r="AM11">
        <v>0.49906331260102599</v>
      </c>
      <c r="AN11" t="s">
        <v>168</v>
      </c>
    </row>
    <row r="12" spans="1:40" x14ac:dyDescent="0.45">
      <c r="C12" t="s">
        <v>220</v>
      </c>
      <c r="E12" t="s">
        <v>163</v>
      </c>
      <c r="G12" t="s">
        <v>73</v>
      </c>
      <c r="I12" t="s">
        <v>82</v>
      </c>
      <c r="J12" t="s">
        <v>225</v>
      </c>
      <c r="K12">
        <v>4.781184876310531E-3</v>
      </c>
      <c r="L12" t="s">
        <v>84</v>
      </c>
      <c r="N12" t="s">
        <v>111</v>
      </c>
      <c r="O12" t="s">
        <v>225</v>
      </c>
      <c r="P12">
        <v>0.12768991238936273</v>
      </c>
      <c r="Q12" t="s">
        <v>84</v>
      </c>
      <c r="S12" t="s">
        <v>126</v>
      </c>
      <c r="T12" t="s">
        <v>225</v>
      </c>
      <c r="U12">
        <v>9.2572220839080135E-2</v>
      </c>
      <c r="V12" t="s">
        <v>84</v>
      </c>
      <c r="X12">
        <v>0.11426940639269406</v>
      </c>
      <c r="Y12">
        <v>5.2547713165767528E-2</v>
      </c>
      <c r="Z12" t="s">
        <v>225</v>
      </c>
      <c r="AA12" t="s">
        <v>10</v>
      </c>
      <c r="AC12" t="s">
        <v>9</v>
      </c>
      <c r="AD12" t="s">
        <v>225</v>
      </c>
      <c r="AE12">
        <v>0.1272073915286048</v>
      </c>
      <c r="AG12" t="s">
        <v>27</v>
      </c>
      <c r="AH12" t="s">
        <v>225</v>
      </c>
      <c r="AI12">
        <v>0.17305801594904824</v>
      </c>
      <c r="AK12">
        <v>2020</v>
      </c>
      <c r="AL12" t="s">
        <v>220</v>
      </c>
      <c r="AM12">
        <v>0.46570823669969769</v>
      </c>
      <c r="AN12" t="s">
        <v>168</v>
      </c>
    </row>
    <row r="13" spans="1:40" x14ac:dyDescent="0.45">
      <c r="C13" t="s">
        <v>221</v>
      </c>
      <c r="E13" t="s">
        <v>222</v>
      </c>
      <c r="G13" t="s">
        <v>73</v>
      </c>
      <c r="I13" t="s">
        <v>82</v>
      </c>
      <c r="J13" t="s">
        <v>226</v>
      </c>
      <c r="K13">
        <v>3.7459964990117244E-2</v>
      </c>
      <c r="L13" t="s">
        <v>84</v>
      </c>
      <c r="N13" t="s">
        <v>111</v>
      </c>
      <c r="O13" t="s">
        <v>226</v>
      </c>
      <c r="P13">
        <v>2.4863295887677033E-2</v>
      </c>
      <c r="Q13" t="s">
        <v>84</v>
      </c>
      <c r="S13" t="s">
        <v>126</v>
      </c>
      <c r="T13" t="s">
        <v>226</v>
      </c>
      <c r="U13">
        <v>1.7833706309445547E-2</v>
      </c>
      <c r="V13" t="s">
        <v>84</v>
      </c>
      <c r="X13">
        <v>2.0776255707762557E-2</v>
      </c>
      <c r="Y13">
        <v>3.5896543437005365E-2</v>
      </c>
      <c r="Z13" t="s">
        <v>226</v>
      </c>
      <c r="AA13" t="s">
        <v>10</v>
      </c>
      <c r="AC13" t="s">
        <v>9</v>
      </c>
      <c r="AD13" t="s">
        <v>226</v>
      </c>
      <c r="AE13">
        <v>1.8718359963351857E-2</v>
      </c>
      <c r="AG13" t="s">
        <v>27</v>
      </c>
      <c r="AH13" t="s">
        <v>226</v>
      </c>
      <c r="AI13">
        <v>0.24560594736682795</v>
      </c>
      <c r="AK13">
        <v>2020</v>
      </c>
      <c r="AL13" t="s">
        <v>221</v>
      </c>
      <c r="AM13">
        <v>0.50076538231780165</v>
      </c>
      <c r="AN13" t="s">
        <v>168</v>
      </c>
    </row>
    <row r="14" spans="1:40" x14ac:dyDescent="0.45">
      <c r="C14" t="s">
        <v>223</v>
      </c>
      <c r="I14" t="s">
        <v>82</v>
      </c>
      <c r="J14" t="s">
        <v>227</v>
      </c>
      <c r="K14">
        <v>0.17289921939415251</v>
      </c>
      <c r="L14" t="s">
        <v>84</v>
      </c>
      <c r="N14" t="s">
        <v>111</v>
      </c>
      <c r="O14" t="s">
        <v>227</v>
      </c>
      <c r="P14">
        <v>0.10439394062836611</v>
      </c>
      <c r="Q14" t="s">
        <v>84</v>
      </c>
      <c r="S14" t="s">
        <v>126</v>
      </c>
      <c r="T14" t="s">
        <v>227</v>
      </c>
      <c r="U14">
        <v>0.11407016863122676</v>
      </c>
      <c r="V14" t="s">
        <v>84</v>
      </c>
      <c r="X14">
        <v>0.11552511415525114</v>
      </c>
      <c r="Y14">
        <v>0.16263862301005233</v>
      </c>
      <c r="Z14" t="s">
        <v>227</v>
      </c>
      <c r="AA14" t="s">
        <v>10</v>
      </c>
      <c r="AC14" t="s">
        <v>9</v>
      </c>
      <c r="AD14" t="s">
        <v>227</v>
      </c>
      <c r="AE14">
        <v>0.10078018080767256</v>
      </c>
      <c r="AG14" t="s">
        <v>27</v>
      </c>
      <c r="AH14" t="s">
        <v>227</v>
      </c>
      <c r="AI14">
        <v>0.39515618482074943</v>
      </c>
      <c r="AK14">
        <v>2020</v>
      </c>
      <c r="AL14" t="s">
        <v>223</v>
      </c>
      <c r="AM14">
        <v>0.49159332809875894</v>
      </c>
      <c r="AN14" t="s">
        <v>168</v>
      </c>
    </row>
    <row r="15" spans="1:40" x14ac:dyDescent="0.45">
      <c r="I15" t="s">
        <v>82</v>
      </c>
      <c r="J15" t="s">
        <v>228</v>
      </c>
      <c r="K15">
        <v>1.3351280726390463E-3</v>
      </c>
      <c r="L15" t="s">
        <v>84</v>
      </c>
      <c r="N15" t="s">
        <v>111</v>
      </c>
      <c r="O15" t="s">
        <v>228</v>
      </c>
      <c r="P15">
        <v>9.9913824567648038E-2</v>
      </c>
      <c r="Q15" t="s">
        <v>84</v>
      </c>
      <c r="S15" t="s">
        <v>126</v>
      </c>
      <c r="T15" t="s">
        <v>228</v>
      </c>
      <c r="U15">
        <v>0.11064685492897774</v>
      </c>
      <c r="V15" t="s">
        <v>84</v>
      </c>
      <c r="X15">
        <v>0.11552511415525114</v>
      </c>
      <c r="Y15">
        <v>5.3125160563193538E-2</v>
      </c>
      <c r="Z15" t="s">
        <v>228</v>
      </c>
      <c r="AA15" t="s">
        <v>10</v>
      </c>
      <c r="AC15" t="s">
        <v>9</v>
      </c>
      <c r="AD15" t="s">
        <v>228</v>
      </c>
      <c r="AE15">
        <v>0.12522570279593356</v>
      </c>
      <c r="AG15" t="s">
        <v>27</v>
      </c>
      <c r="AH15" t="s">
        <v>228</v>
      </c>
      <c r="AI15">
        <v>0.21556391233558636</v>
      </c>
      <c r="AK15">
        <v>2021</v>
      </c>
      <c r="AL15" t="s">
        <v>218</v>
      </c>
      <c r="AM15">
        <v>0.53952864748049756</v>
      </c>
      <c r="AN15" t="s">
        <v>168</v>
      </c>
    </row>
    <row r="16" spans="1:40" x14ac:dyDescent="0.45">
      <c r="I16" t="s">
        <v>82</v>
      </c>
      <c r="J16" t="s">
        <v>229</v>
      </c>
      <c r="K16">
        <v>2.3753683055994332E-2</v>
      </c>
      <c r="L16" t="s">
        <v>84</v>
      </c>
      <c r="N16" t="s">
        <v>111</v>
      </c>
      <c r="O16" t="s">
        <v>229</v>
      </c>
      <c r="P16">
        <v>1.9342934576303206E-2</v>
      </c>
      <c r="Q16" t="s">
        <v>84</v>
      </c>
      <c r="S16" t="s">
        <v>126</v>
      </c>
      <c r="T16" t="s">
        <v>229</v>
      </c>
      <c r="U16">
        <v>2.0780685239560056E-2</v>
      </c>
      <c r="V16" t="s">
        <v>84</v>
      </c>
      <c r="X16">
        <v>2.1004566210045664E-2</v>
      </c>
      <c r="Y16">
        <v>3.6291010947302131E-2</v>
      </c>
      <c r="Z16" t="s">
        <v>229</v>
      </c>
      <c r="AA16" t="s">
        <v>10</v>
      </c>
      <c r="AC16" t="s">
        <v>9</v>
      </c>
      <c r="AD16" t="s">
        <v>229</v>
      </c>
      <c r="AE16">
        <v>1.7370162062054217E-2</v>
      </c>
      <c r="AG16" t="s">
        <v>27</v>
      </c>
      <c r="AH16" t="s">
        <v>229</v>
      </c>
      <c r="AI16">
        <v>0.18511195114858991</v>
      </c>
      <c r="AK16">
        <v>2021</v>
      </c>
      <c r="AL16" t="s">
        <v>220</v>
      </c>
      <c r="AM16">
        <v>0.42609393667861406</v>
      </c>
      <c r="AN16" t="s">
        <v>168</v>
      </c>
    </row>
    <row r="17" spans="9:40" x14ac:dyDescent="0.45">
      <c r="I17" t="s">
        <v>82</v>
      </c>
      <c r="J17" t="s">
        <v>230</v>
      </c>
      <c r="K17">
        <v>0.10791067559763444</v>
      </c>
      <c r="L17" t="s">
        <v>84</v>
      </c>
      <c r="N17" t="s">
        <v>111</v>
      </c>
      <c r="O17" t="s">
        <v>230</v>
      </c>
      <c r="P17">
        <v>0.11903478178078167</v>
      </c>
      <c r="Q17" t="s">
        <v>84</v>
      </c>
      <c r="S17" t="s">
        <v>126</v>
      </c>
      <c r="T17" t="s">
        <v>230</v>
      </c>
      <c r="U17">
        <v>0.13691116307115334</v>
      </c>
      <c r="V17" t="s">
        <v>84</v>
      </c>
      <c r="X17">
        <v>0.11552511415525114</v>
      </c>
      <c r="Y17">
        <v>0.16263862301005233</v>
      </c>
      <c r="Z17" t="s">
        <v>230</v>
      </c>
      <c r="AA17" t="s">
        <v>10</v>
      </c>
      <c r="AC17" t="s">
        <v>9</v>
      </c>
      <c r="AD17" t="s">
        <v>230</v>
      </c>
      <c r="AE17">
        <v>0.11587542479796292</v>
      </c>
      <c r="AG17" t="s">
        <v>27</v>
      </c>
      <c r="AH17" t="s">
        <v>230</v>
      </c>
      <c r="AI17">
        <v>0.32459355126395217</v>
      </c>
      <c r="AK17">
        <v>2021</v>
      </c>
      <c r="AL17" t="s">
        <v>221</v>
      </c>
      <c r="AM17">
        <v>0.51814296507133317</v>
      </c>
      <c r="AN17" t="s">
        <v>168</v>
      </c>
    </row>
    <row r="18" spans="9:40" x14ac:dyDescent="0.45">
      <c r="I18" t="s">
        <v>82</v>
      </c>
      <c r="J18" t="s">
        <v>231</v>
      </c>
      <c r="K18">
        <v>0</v>
      </c>
      <c r="L18" t="s">
        <v>84</v>
      </c>
      <c r="N18" t="s">
        <v>111</v>
      </c>
      <c r="O18" t="s">
        <v>231</v>
      </c>
      <c r="P18">
        <v>0.11963104640158047</v>
      </c>
      <c r="Q18" t="s">
        <v>84</v>
      </c>
      <c r="S18" t="s">
        <v>126</v>
      </c>
      <c r="T18" t="s">
        <v>231</v>
      </c>
      <c r="U18">
        <v>0.13502948514178137</v>
      </c>
      <c r="V18" t="s">
        <v>84</v>
      </c>
      <c r="X18">
        <v>0.11552511415525114</v>
      </c>
      <c r="Y18">
        <v>5.3125160563193538E-2</v>
      </c>
      <c r="Z18" t="s">
        <v>231</v>
      </c>
      <c r="AA18" t="s">
        <v>10</v>
      </c>
      <c r="AC18" t="s">
        <v>9</v>
      </c>
      <c r="AD18" t="s">
        <v>231</v>
      </c>
      <c r="AE18">
        <v>0.14095344128373866</v>
      </c>
      <c r="AG18" t="s">
        <v>27</v>
      </c>
      <c r="AH18" t="s">
        <v>231</v>
      </c>
      <c r="AI18">
        <v>0.20944327214456826</v>
      </c>
      <c r="AK18">
        <v>2021</v>
      </c>
      <c r="AL18" t="s">
        <v>223</v>
      </c>
      <c r="AM18">
        <v>0.46752992191500248</v>
      </c>
      <c r="AN18" t="s">
        <v>168</v>
      </c>
    </row>
    <row r="19" spans="9:40" x14ac:dyDescent="0.45">
      <c r="I19" t="s">
        <v>82</v>
      </c>
      <c r="J19" t="s">
        <v>232</v>
      </c>
      <c r="K19">
        <v>1.1611904885723159E-2</v>
      </c>
      <c r="L19" t="s">
        <v>84</v>
      </c>
      <c r="N19" t="s">
        <v>111</v>
      </c>
      <c r="O19" t="s">
        <v>232</v>
      </c>
      <c r="P19">
        <v>2.1673462992642351E-2</v>
      </c>
      <c r="Q19" t="s">
        <v>84</v>
      </c>
      <c r="S19" t="s">
        <v>126</v>
      </c>
      <c r="T19" t="s">
        <v>232</v>
      </c>
      <c r="U19">
        <v>2.4423679115115608E-2</v>
      </c>
      <c r="V19" t="s">
        <v>84</v>
      </c>
      <c r="X19">
        <v>2.1004566210045664E-2</v>
      </c>
      <c r="Y19">
        <v>3.6291010947302131E-2</v>
      </c>
      <c r="Z19" t="s">
        <v>232</v>
      </c>
      <c r="AA19" t="s">
        <v>10</v>
      </c>
      <c r="AC19" t="s">
        <v>9</v>
      </c>
      <c r="AD19" t="s">
        <v>232</v>
      </c>
      <c r="AE19">
        <v>1.9499468666719314E-2</v>
      </c>
      <c r="AG19" t="s">
        <v>27</v>
      </c>
      <c r="AH19" t="s">
        <v>232</v>
      </c>
      <c r="AI19">
        <v>0.2127844276767763</v>
      </c>
      <c r="AK19">
        <v>2022</v>
      </c>
      <c r="AL19" t="s">
        <v>218</v>
      </c>
      <c r="AM19">
        <v>0.56858099012233498</v>
      </c>
      <c r="AN19" t="s">
        <v>168</v>
      </c>
    </row>
    <row r="20" spans="9:40" x14ac:dyDescent="0.45">
      <c r="I20" t="s">
        <v>82</v>
      </c>
      <c r="J20" t="s">
        <v>233</v>
      </c>
      <c r="K20">
        <v>0.31415461832130115</v>
      </c>
      <c r="L20" t="s">
        <v>84</v>
      </c>
      <c r="N20" t="s">
        <v>111</v>
      </c>
      <c r="O20" t="s">
        <v>233</v>
      </c>
      <c r="P20">
        <v>0.10375879740780816</v>
      </c>
      <c r="Q20" t="s">
        <v>84</v>
      </c>
      <c r="S20" t="s">
        <v>126</v>
      </c>
      <c r="T20" t="s">
        <v>233</v>
      </c>
      <c r="U20">
        <v>0.114312238393733</v>
      </c>
      <c r="V20" t="s">
        <v>84</v>
      </c>
      <c r="X20">
        <v>0.11301369863013698</v>
      </c>
      <c r="Y20">
        <v>0.15910300077070333</v>
      </c>
      <c r="Z20" t="s">
        <v>233</v>
      </c>
      <c r="AA20" t="s">
        <v>10</v>
      </c>
      <c r="AC20" t="s">
        <v>9</v>
      </c>
      <c r="AD20" t="s">
        <v>233</v>
      </c>
      <c r="AE20">
        <v>9.4110631049900001E-2</v>
      </c>
      <c r="AG20" t="s">
        <v>27</v>
      </c>
      <c r="AH20" t="s">
        <v>233</v>
      </c>
      <c r="AI20">
        <v>0.24183427011941916</v>
      </c>
      <c r="AK20">
        <v>2022</v>
      </c>
      <c r="AL20" t="s">
        <v>220</v>
      </c>
      <c r="AM20">
        <v>0.4239707961027816</v>
      </c>
      <c r="AN20" t="s">
        <v>168</v>
      </c>
    </row>
    <row r="21" spans="9:40" x14ac:dyDescent="0.45">
      <c r="I21" t="s">
        <v>82</v>
      </c>
      <c r="J21" t="s">
        <v>234</v>
      </c>
      <c r="K21">
        <v>1.8068806749469146E-2</v>
      </c>
      <c r="L21" t="s">
        <v>84</v>
      </c>
      <c r="N21" t="s">
        <v>111</v>
      </c>
      <c r="O21" t="s">
        <v>234</v>
      </c>
      <c r="P21">
        <v>0.1032195677407577</v>
      </c>
      <c r="Q21" t="s">
        <v>84</v>
      </c>
      <c r="S21" t="s">
        <v>126</v>
      </c>
      <c r="T21" t="s">
        <v>234</v>
      </c>
      <c r="U21">
        <v>0.11312750164918055</v>
      </c>
      <c r="V21" t="s">
        <v>84</v>
      </c>
      <c r="X21">
        <v>0.11301369863013698</v>
      </c>
      <c r="Y21">
        <v>5.197026576834151E-2</v>
      </c>
      <c r="Z21" t="s">
        <v>234</v>
      </c>
      <c r="AA21" t="s">
        <v>10</v>
      </c>
      <c r="AC21" t="s">
        <v>9</v>
      </c>
      <c r="AD21" t="s">
        <v>234</v>
      </c>
      <c r="AE21">
        <v>0.12119064964777208</v>
      </c>
      <c r="AG21" t="s">
        <v>27</v>
      </c>
      <c r="AH21" t="s">
        <v>234</v>
      </c>
      <c r="AI21">
        <v>6.6070848820160011E-2</v>
      </c>
      <c r="AK21">
        <v>2022</v>
      </c>
      <c r="AL21" t="s">
        <v>221</v>
      </c>
      <c r="AM21">
        <v>0.55059674053881225</v>
      </c>
      <c r="AN21" t="s">
        <v>168</v>
      </c>
    </row>
    <row r="22" spans="9:40" x14ac:dyDescent="0.45">
      <c r="I22" t="s">
        <v>82</v>
      </c>
      <c r="J22" t="s">
        <v>235</v>
      </c>
      <c r="K22">
        <v>5.2548330966437316E-2</v>
      </c>
      <c r="L22" t="s">
        <v>84</v>
      </c>
      <c r="N22" t="s">
        <v>111</v>
      </c>
      <c r="O22" t="s">
        <v>235</v>
      </c>
      <c r="P22">
        <v>2.0539246033332386E-2</v>
      </c>
      <c r="Q22" t="s">
        <v>84</v>
      </c>
      <c r="S22" t="s">
        <v>126</v>
      </c>
      <c r="T22" t="s">
        <v>235</v>
      </c>
      <c r="U22">
        <v>2.1462278281527299E-2</v>
      </c>
      <c r="V22" t="s">
        <v>84</v>
      </c>
      <c r="X22">
        <v>2.0547945205479451E-2</v>
      </c>
      <c r="Y22">
        <v>3.5502075926708607E-2</v>
      </c>
      <c r="Z22" t="s">
        <v>235</v>
      </c>
      <c r="AA22" t="s">
        <v>10</v>
      </c>
      <c r="AC22" t="s">
        <v>9</v>
      </c>
      <c r="AD22" t="s">
        <v>235</v>
      </c>
      <c r="AE22">
        <v>1.813429650096586E-2</v>
      </c>
      <c r="AG22" t="s">
        <v>27</v>
      </c>
      <c r="AH22" t="s">
        <v>235</v>
      </c>
      <c r="AI22">
        <v>0.14087646518096575</v>
      </c>
      <c r="AK22">
        <v>2022</v>
      </c>
      <c r="AL22" t="s">
        <v>223</v>
      </c>
      <c r="AM22">
        <v>0.48124206709792811</v>
      </c>
      <c r="AN22" t="s">
        <v>168</v>
      </c>
    </row>
    <row r="23" spans="9:40" x14ac:dyDescent="0.45">
      <c r="I23" t="s">
        <v>96</v>
      </c>
      <c r="J23" t="s">
        <v>224</v>
      </c>
      <c r="K23">
        <v>0.27668612014244931</v>
      </c>
      <c r="L23" t="s">
        <v>84</v>
      </c>
      <c r="N23" t="s">
        <v>112</v>
      </c>
      <c r="O23" t="s">
        <v>224</v>
      </c>
      <c r="P23">
        <v>0.14250599870897521</v>
      </c>
      <c r="Q23" t="s">
        <v>84</v>
      </c>
      <c r="S23" t="s">
        <v>127</v>
      </c>
      <c r="T23" t="s">
        <v>224</v>
      </c>
      <c r="U23">
        <v>0.12266939356576692</v>
      </c>
      <c r="V23" t="s">
        <v>84</v>
      </c>
      <c r="AC23" t="s">
        <v>8</v>
      </c>
      <c r="AD23" t="s">
        <v>224</v>
      </c>
      <c r="AE23">
        <v>0.11348607094128318</v>
      </c>
      <c r="AK23">
        <v>2025</v>
      </c>
      <c r="AL23" t="s">
        <v>218</v>
      </c>
      <c r="AM23">
        <v>0.53066666666666673</v>
      </c>
      <c r="AN23" t="s">
        <v>168</v>
      </c>
    </row>
    <row r="24" spans="9:40" x14ac:dyDescent="0.45">
      <c r="I24" t="s">
        <v>96</v>
      </c>
      <c r="J24" t="s">
        <v>225</v>
      </c>
      <c r="K24">
        <v>3.7387061122045066E-3</v>
      </c>
      <c r="L24" t="s">
        <v>84</v>
      </c>
      <c r="N24" t="s">
        <v>112</v>
      </c>
      <c r="O24" t="s">
        <v>225</v>
      </c>
      <c r="P24">
        <v>0.13530117161234326</v>
      </c>
      <c r="Q24" t="s">
        <v>84</v>
      </c>
      <c r="S24" t="s">
        <v>127</v>
      </c>
      <c r="T24" t="s">
        <v>225</v>
      </c>
      <c r="U24">
        <v>0.12248475790467496</v>
      </c>
      <c r="V24" t="s">
        <v>84</v>
      </c>
      <c r="AC24" t="s">
        <v>8</v>
      </c>
      <c r="AD24" t="s">
        <v>225</v>
      </c>
      <c r="AE24">
        <v>0.11515678660020072</v>
      </c>
      <c r="AK24">
        <v>2025</v>
      </c>
      <c r="AL24" t="s">
        <v>220</v>
      </c>
      <c r="AM24">
        <v>0.49390000000000001</v>
      </c>
      <c r="AN24" t="s">
        <v>168</v>
      </c>
    </row>
    <row r="25" spans="9:40" x14ac:dyDescent="0.45">
      <c r="I25" t="s">
        <v>96</v>
      </c>
      <c r="J25" t="s">
        <v>226</v>
      </c>
      <c r="K25">
        <v>2.2885884608326169E-2</v>
      </c>
      <c r="L25" t="s">
        <v>84</v>
      </c>
      <c r="N25" t="s">
        <v>112</v>
      </c>
      <c r="O25" t="s">
        <v>226</v>
      </c>
      <c r="P25">
        <v>2.6349682523041481E-2</v>
      </c>
      <c r="Q25" t="s">
        <v>84</v>
      </c>
      <c r="S25" t="s">
        <v>127</v>
      </c>
      <c r="T25" t="s">
        <v>226</v>
      </c>
      <c r="U25">
        <v>2.3184445017727144E-2</v>
      </c>
      <c r="V25" t="s">
        <v>84</v>
      </c>
      <c r="AC25" t="s">
        <v>8</v>
      </c>
      <c r="AD25" t="s">
        <v>226</v>
      </c>
      <c r="AE25">
        <v>2.0657147798912246E-2</v>
      </c>
      <c r="AK25">
        <v>2025</v>
      </c>
      <c r="AL25" t="s">
        <v>221</v>
      </c>
      <c r="AM25">
        <v>0.52786666666666671</v>
      </c>
      <c r="AN25" t="s">
        <v>168</v>
      </c>
    </row>
    <row r="26" spans="9:40" x14ac:dyDescent="0.45">
      <c r="I26" t="s">
        <v>96</v>
      </c>
      <c r="J26" t="s">
        <v>227</v>
      </c>
      <c r="K26">
        <v>0.18977640812631566</v>
      </c>
      <c r="L26" t="s">
        <v>84</v>
      </c>
      <c r="N26" t="s">
        <v>112</v>
      </c>
      <c r="O26" t="s">
        <v>227</v>
      </c>
      <c r="P26">
        <v>9.6934381042472942E-2</v>
      </c>
      <c r="Q26" t="s">
        <v>84</v>
      </c>
      <c r="S26" t="s">
        <v>127</v>
      </c>
      <c r="T26" t="s">
        <v>227</v>
      </c>
      <c r="U26">
        <v>0.10446510564456606</v>
      </c>
      <c r="V26" t="s">
        <v>84</v>
      </c>
      <c r="AC26" t="s">
        <v>8</v>
      </c>
      <c r="AD26" t="s">
        <v>227</v>
      </c>
      <c r="AE26">
        <v>0.11481601973228781</v>
      </c>
      <c r="AK26">
        <v>2025</v>
      </c>
      <c r="AL26" t="s">
        <v>223</v>
      </c>
      <c r="AM26">
        <v>0.47746666666666665</v>
      </c>
      <c r="AN26" t="s">
        <v>168</v>
      </c>
    </row>
    <row r="27" spans="9:40" x14ac:dyDescent="0.45">
      <c r="I27" t="s">
        <v>96</v>
      </c>
      <c r="J27" t="s">
        <v>228</v>
      </c>
      <c r="K27">
        <v>0</v>
      </c>
      <c r="L27" t="s">
        <v>84</v>
      </c>
      <c r="N27" t="s">
        <v>112</v>
      </c>
      <c r="O27" t="s">
        <v>228</v>
      </c>
      <c r="P27">
        <v>9.1895892265101031E-2</v>
      </c>
      <c r="Q27" t="s">
        <v>84</v>
      </c>
      <c r="S27" t="s">
        <v>127</v>
      </c>
      <c r="T27" t="s">
        <v>228</v>
      </c>
      <c r="U27">
        <v>0.10603290757731618</v>
      </c>
      <c r="V27" t="s">
        <v>84</v>
      </c>
      <c r="AC27" t="s">
        <v>8</v>
      </c>
      <c r="AD27" t="s">
        <v>228</v>
      </c>
      <c r="AE27">
        <v>0.11637051902592906</v>
      </c>
      <c r="AK27">
        <v>2026</v>
      </c>
      <c r="AL27" t="s">
        <v>218</v>
      </c>
      <c r="AM27">
        <v>0.52616666666666667</v>
      </c>
      <c r="AN27" t="s">
        <v>168</v>
      </c>
    </row>
    <row r="28" spans="9:40" x14ac:dyDescent="0.45">
      <c r="I28" t="s">
        <v>96</v>
      </c>
      <c r="J28" t="s">
        <v>229</v>
      </c>
      <c r="K28">
        <v>1.3537866237995261E-2</v>
      </c>
      <c r="L28" t="s">
        <v>84</v>
      </c>
      <c r="N28" t="s">
        <v>112</v>
      </c>
      <c r="O28" t="s">
        <v>229</v>
      </c>
      <c r="P28">
        <v>1.8039076843566371E-2</v>
      </c>
      <c r="Q28" t="s">
        <v>84</v>
      </c>
      <c r="S28" t="s">
        <v>127</v>
      </c>
      <c r="T28" t="s">
        <v>229</v>
      </c>
      <c r="U28">
        <v>1.9954885242378578E-2</v>
      </c>
      <c r="V28" t="s">
        <v>84</v>
      </c>
      <c r="AC28" t="s">
        <v>8</v>
      </c>
      <c r="AD28" t="s">
        <v>229</v>
      </c>
      <c r="AE28">
        <v>2.0815006096510005E-2</v>
      </c>
      <c r="AK28">
        <v>2026</v>
      </c>
      <c r="AL28" t="s">
        <v>220</v>
      </c>
      <c r="AM28">
        <v>0.43263333333333326</v>
      </c>
      <c r="AN28" t="s">
        <v>168</v>
      </c>
    </row>
    <row r="29" spans="9:40" x14ac:dyDescent="0.45">
      <c r="I29" t="s">
        <v>96</v>
      </c>
      <c r="J29" t="s">
        <v>230</v>
      </c>
      <c r="K29">
        <v>0.12254449146822453</v>
      </c>
      <c r="L29" t="s">
        <v>84</v>
      </c>
      <c r="N29" t="s">
        <v>112</v>
      </c>
      <c r="O29" t="s">
        <v>230</v>
      </c>
      <c r="P29">
        <v>0.12526860742492824</v>
      </c>
      <c r="Q29" t="s">
        <v>84</v>
      </c>
      <c r="S29" t="s">
        <v>127</v>
      </c>
      <c r="T29" t="s">
        <v>230</v>
      </c>
      <c r="U29">
        <v>0.12079966459192965</v>
      </c>
      <c r="V29" t="s">
        <v>84</v>
      </c>
      <c r="AC29" t="s">
        <v>8</v>
      </c>
      <c r="AD29" t="s">
        <v>230</v>
      </c>
      <c r="AE29">
        <v>0.11490818546102288</v>
      </c>
      <c r="AK29">
        <v>2026</v>
      </c>
      <c r="AL29" t="s">
        <v>221</v>
      </c>
      <c r="AM29">
        <v>0.56659999999999999</v>
      </c>
      <c r="AN29" t="s">
        <v>168</v>
      </c>
    </row>
    <row r="30" spans="9:40" x14ac:dyDescent="0.45">
      <c r="I30" t="s">
        <v>96</v>
      </c>
      <c r="J30" t="s">
        <v>231</v>
      </c>
      <c r="K30">
        <v>0</v>
      </c>
      <c r="L30" t="s">
        <v>84</v>
      </c>
      <c r="N30" t="s">
        <v>112</v>
      </c>
      <c r="O30" t="s">
        <v>231</v>
      </c>
      <c r="P30">
        <v>0.12238077843035124</v>
      </c>
      <c r="Q30" t="s">
        <v>84</v>
      </c>
      <c r="S30" t="s">
        <v>127</v>
      </c>
      <c r="T30" t="s">
        <v>231</v>
      </c>
      <c r="U30">
        <v>0.12463783302201828</v>
      </c>
      <c r="V30" t="s">
        <v>84</v>
      </c>
      <c r="AC30" t="s">
        <v>8</v>
      </c>
      <c r="AD30" t="s">
        <v>231</v>
      </c>
      <c r="AE30">
        <v>0.11650290530099121</v>
      </c>
      <c r="AK30">
        <v>2026</v>
      </c>
      <c r="AL30" t="s">
        <v>223</v>
      </c>
      <c r="AM30">
        <v>0.49413333333333331</v>
      </c>
      <c r="AN30" t="s">
        <v>168</v>
      </c>
    </row>
    <row r="31" spans="9:40" x14ac:dyDescent="0.45">
      <c r="I31" t="s">
        <v>96</v>
      </c>
      <c r="J31" t="s">
        <v>232</v>
      </c>
      <c r="K31">
        <v>3.7730383365889623E-3</v>
      </c>
      <c r="L31" t="s">
        <v>84</v>
      </c>
      <c r="N31" t="s">
        <v>112</v>
      </c>
      <c r="O31" t="s">
        <v>232</v>
      </c>
      <c r="P31">
        <v>2.2589988074960505E-2</v>
      </c>
      <c r="Q31" t="s">
        <v>84</v>
      </c>
      <c r="S31" t="s">
        <v>127</v>
      </c>
      <c r="T31" t="s">
        <v>232</v>
      </c>
      <c r="U31">
        <v>2.2316881873385486E-2</v>
      </c>
      <c r="V31" t="s">
        <v>84</v>
      </c>
      <c r="AC31" t="s">
        <v>8</v>
      </c>
      <c r="AD31" t="s">
        <v>232</v>
      </c>
      <c r="AE31">
        <v>2.0792637427089235E-2</v>
      </c>
      <c r="AK31">
        <v>2027</v>
      </c>
      <c r="AL31" t="s">
        <v>218</v>
      </c>
      <c r="AM31">
        <v>0.53036666666666665</v>
      </c>
      <c r="AN31" t="s">
        <v>168</v>
      </c>
    </row>
    <row r="32" spans="9:40" x14ac:dyDescent="0.45">
      <c r="I32" t="s">
        <v>96</v>
      </c>
      <c r="J32" t="s">
        <v>233</v>
      </c>
      <c r="K32">
        <v>0.31715193765554744</v>
      </c>
      <c r="L32" t="s">
        <v>84</v>
      </c>
      <c r="N32" t="s">
        <v>112</v>
      </c>
      <c r="O32" t="s">
        <v>233</v>
      </c>
      <c r="P32">
        <v>0.10308111831043165</v>
      </c>
      <c r="Q32" t="s">
        <v>84</v>
      </c>
      <c r="S32" t="s">
        <v>127</v>
      </c>
      <c r="T32" t="s">
        <v>233</v>
      </c>
      <c r="U32">
        <v>0.10538453774190838</v>
      </c>
      <c r="V32" t="s">
        <v>84</v>
      </c>
      <c r="AC32" t="s">
        <v>8</v>
      </c>
      <c r="AD32" t="s">
        <v>233</v>
      </c>
      <c r="AE32">
        <v>0.1121576607680895</v>
      </c>
      <c r="AK32">
        <v>2027</v>
      </c>
      <c r="AL32" t="s">
        <v>220</v>
      </c>
      <c r="AM32">
        <v>0.4511</v>
      </c>
      <c r="AN32" t="s">
        <v>168</v>
      </c>
    </row>
    <row r="33" spans="9:40" x14ac:dyDescent="0.45">
      <c r="I33" t="s">
        <v>96</v>
      </c>
      <c r="J33" t="s">
        <v>234</v>
      </c>
      <c r="K33">
        <v>8.8743585435116738E-3</v>
      </c>
      <c r="L33" t="s">
        <v>84</v>
      </c>
      <c r="N33" t="s">
        <v>112</v>
      </c>
      <c r="O33" t="s">
        <v>234</v>
      </c>
      <c r="P33">
        <v>9.5857730613508357E-2</v>
      </c>
      <c r="Q33" t="s">
        <v>84</v>
      </c>
      <c r="S33" t="s">
        <v>127</v>
      </c>
      <c r="T33" t="s">
        <v>234</v>
      </c>
      <c r="U33">
        <v>0.10813106709444283</v>
      </c>
      <c r="V33" t="s">
        <v>84</v>
      </c>
      <c r="AC33" t="s">
        <v>8</v>
      </c>
      <c r="AD33" t="s">
        <v>234</v>
      </c>
      <c r="AE33">
        <v>0.1138796886226143</v>
      </c>
      <c r="AK33">
        <v>2027</v>
      </c>
      <c r="AL33" t="s">
        <v>221</v>
      </c>
      <c r="AM33">
        <v>0.53220000000000001</v>
      </c>
      <c r="AN33" t="s">
        <v>168</v>
      </c>
    </row>
    <row r="34" spans="9:40" x14ac:dyDescent="0.45">
      <c r="I34" t="s">
        <v>96</v>
      </c>
      <c r="J34" t="s">
        <v>235</v>
      </c>
      <c r="K34">
        <v>4.1031188768840536E-2</v>
      </c>
      <c r="L34" t="s">
        <v>84</v>
      </c>
      <c r="N34" t="s">
        <v>112</v>
      </c>
      <c r="O34" t="s">
        <v>235</v>
      </c>
      <c r="P34">
        <v>1.9795574150320388E-2</v>
      </c>
      <c r="Q34" t="s">
        <v>84</v>
      </c>
      <c r="S34" t="s">
        <v>127</v>
      </c>
      <c r="T34" t="s">
        <v>235</v>
      </c>
      <c r="U34">
        <v>1.9938520723889575E-2</v>
      </c>
      <c r="V34" t="s">
        <v>84</v>
      </c>
      <c r="AC34" t="s">
        <v>8</v>
      </c>
      <c r="AD34" t="s">
        <v>235</v>
      </c>
      <c r="AE34">
        <v>2.0457372225069922E-2</v>
      </c>
      <c r="AK34">
        <v>2027</v>
      </c>
      <c r="AL34" t="s">
        <v>223</v>
      </c>
      <c r="AM34">
        <v>0.48533333333333334</v>
      </c>
      <c r="AN34" t="s">
        <v>168</v>
      </c>
    </row>
    <row r="35" spans="9:40" x14ac:dyDescent="0.45">
      <c r="I35" t="s">
        <v>97</v>
      </c>
      <c r="J35" t="s">
        <v>224</v>
      </c>
      <c r="K35">
        <v>0.2722278756385082</v>
      </c>
      <c r="L35" t="s">
        <v>84</v>
      </c>
      <c r="N35" t="s">
        <v>113</v>
      </c>
      <c r="O35" t="s">
        <v>224</v>
      </c>
      <c r="P35">
        <v>0.13540405349517362</v>
      </c>
      <c r="Q35" t="s">
        <v>84</v>
      </c>
      <c r="S35" t="s">
        <v>128</v>
      </c>
      <c r="T35" t="s">
        <v>224</v>
      </c>
      <c r="U35">
        <v>0.11922042192441656</v>
      </c>
      <c r="V35" t="s">
        <v>84</v>
      </c>
      <c r="AK35">
        <v>2028</v>
      </c>
      <c r="AL35" t="s">
        <v>218</v>
      </c>
      <c r="AM35">
        <v>0.48910000000000003</v>
      </c>
      <c r="AN35" t="s">
        <v>168</v>
      </c>
    </row>
    <row r="36" spans="9:40" x14ac:dyDescent="0.45">
      <c r="I36" t="s">
        <v>97</v>
      </c>
      <c r="J36" t="s">
        <v>225</v>
      </c>
      <c r="K36">
        <v>4.8561681473804144E-3</v>
      </c>
      <c r="L36" t="s">
        <v>84</v>
      </c>
      <c r="N36" t="s">
        <v>113</v>
      </c>
      <c r="O36" t="s">
        <v>225</v>
      </c>
      <c r="P36">
        <v>0.12572185347375198</v>
      </c>
      <c r="Q36" t="s">
        <v>84</v>
      </c>
      <c r="S36" t="s">
        <v>128</v>
      </c>
      <c r="T36" t="s">
        <v>225</v>
      </c>
      <c r="U36">
        <v>0.11609259984465099</v>
      </c>
      <c r="V36" t="s">
        <v>84</v>
      </c>
      <c r="AK36">
        <v>2028</v>
      </c>
      <c r="AL36" t="s">
        <v>220</v>
      </c>
      <c r="AM36">
        <v>0.45883333333333337</v>
      </c>
      <c r="AN36" t="s">
        <v>168</v>
      </c>
    </row>
    <row r="37" spans="9:40" x14ac:dyDescent="0.45">
      <c r="I37" t="s">
        <v>97</v>
      </c>
      <c r="J37" t="s">
        <v>226</v>
      </c>
      <c r="K37">
        <v>2.1619603090571298E-2</v>
      </c>
      <c r="L37" t="s">
        <v>84</v>
      </c>
      <c r="N37" t="s">
        <v>113</v>
      </c>
      <c r="O37" t="s">
        <v>226</v>
      </c>
      <c r="P37">
        <v>2.4130007893308741E-2</v>
      </c>
      <c r="Q37" t="s">
        <v>84</v>
      </c>
      <c r="S37" t="s">
        <v>128</v>
      </c>
      <c r="T37" t="s">
        <v>226</v>
      </c>
      <c r="U37">
        <v>2.191666625566047E-2</v>
      </c>
      <c r="V37" t="s">
        <v>84</v>
      </c>
      <c r="AK37">
        <v>2028</v>
      </c>
      <c r="AL37" t="s">
        <v>221</v>
      </c>
      <c r="AM37">
        <v>0.53853333333333342</v>
      </c>
      <c r="AN37" t="s">
        <v>168</v>
      </c>
    </row>
    <row r="38" spans="9:40" x14ac:dyDescent="0.45">
      <c r="I38" t="s">
        <v>97</v>
      </c>
      <c r="J38" t="s">
        <v>227</v>
      </c>
      <c r="K38">
        <v>0.19081381748075213</v>
      </c>
      <c r="L38" t="s">
        <v>84</v>
      </c>
      <c r="N38" t="s">
        <v>113</v>
      </c>
      <c r="O38" t="s">
        <v>227</v>
      </c>
      <c r="P38">
        <v>9.8261981742100532E-2</v>
      </c>
      <c r="Q38" t="s">
        <v>84</v>
      </c>
      <c r="S38" t="s">
        <v>128</v>
      </c>
      <c r="T38" t="s">
        <v>227</v>
      </c>
      <c r="U38">
        <v>0.11289737519571032</v>
      </c>
      <c r="V38" t="s">
        <v>84</v>
      </c>
      <c r="AK38">
        <v>2028</v>
      </c>
      <c r="AL38" t="s">
        <v>223</v>
      </c>
      <c r="AM38">
        <v>0.46110000000000001</v>
      </c>
      <c r="AN38" t="s">
        <v>168</v>
      </c>
    </row>
    <row r="39" spans="9:40" x14ac:dyDescent="0.45">
      <c r="I39" t="s">
        <v>97</v>
      </c>
      <c r="J39" t="s">
        <v>228</v>
      </c>
      <c r="K39">
        <v>0</v>
      </c>
      <c r="L39" t="s">
        <v>84</v>
      </c>
      <c r="N39" t="s">
        <v>113</v>
      </c>
      <c r="O39" t="s">
        <v>228</v>
      </c>
      <c r="P39">
        <v>0.10079108419097765</v>
      </c>
      <c r="Q39" t="s">
        <v>84</v>
      </c>
      <c r="S39" t="s">
        <v>128</v>
      </c>
      <c r="T39" t="s">
        <v>228</v>
      </c>
      <c r="U39">
        <v>0.10874811887402355</v>
      </c>
      <c r="V39" t="s">
        <v>84</v>
      </c>
      <c r="AK39">
        <v>2029</v>
      </c>
      <c r="AL39" t="s">
        <v>218</v>
      </c>
      <c r="AM39">
        <v>0.57289999999999996</v>
      </c>
      <c r="AN39" t="s">
        <v>168</v>
      </c>
    </row>
    <row r="40" spans="9:40" x14ac:dyDescent="0.45">
      <c r="I40" t="s">
        <v>97</v>
      </c>
      <c r="J40" t="s">
        <v>229</v>
      </c>
      <c r="K40">
        <v>1.183028723717394E-2</v>
      </c>
      <c r="L40" t="s">
        <v>84</v>
      </c>
      <c r="N40" t="s">
        <v>113</v>
      </c>
      <c r="O40" t="s">
        <v>229</v>
      </c>
      <c r="P40">
        <v>1.951011985557707E-2</v>
      </c>
      <c r="Q40" t="s">
        <v>84</v>
      </c>
      <c r="S40" t="s">
        <v>128</v>
      </c>
      <c r="T40" t="s">
        <v>229</v>
      </c>
      <c r="U40">
        <v>2.0466056509060325E-2</v>
      </c>
      <c r="V40" t="s">
        <v>84</v>
      </c>
      <c r="AK40">
        <v>2029</v>
      </c>
      <c r="AL40" t="s">
        <v>220</v>
      </c>
      <c r="AM40">
        <v>0.52616666666666667</v>
      </c>
      <c r="AN40" t="s">
        <v>168</v>
      </c>
    </row>
    <row r="41" spans="9:40" x14ac:dyDescent="0.45">
      <c r="I41" t="s">
        <v>97</v>
      </c>
      <c r="J41" t="s">
        <v>230</v>
      </c>
      <c r="K41">
        <v>0.11735984413477416</v>
      </c>
      <c r="L41" t="s">
        <v>84</v>
      </c>
      <c r="N41" t="s">
        <v>113</v>
      </c>
      <c r="O41" t="s">
        <v>230</v>
      </c>
      <c r="P41">
        <v>0.12046600387156894</v>
      </c>
      <c r="Q41" t="s">
        <v>84</v>
      </c>
      <c r="S41" t="s">
        <v>128</v>
      </c>
      <c r="T41" t="s">
        <v>230</v>
      </c>
      <c r="U41">
        <v>0.12772378838916232</v>
      </c>
      <c r="V41" t="s">
        <v>84</v>
      </c>
      <c r="AK41">
        <v>2029</v>
      </c>
      <c r="AL41" t="s">
        <v>221</v>
      </c>
      <c r="AM41">
        <v>0.62060000000000004</v>
      </c>
      <c r="AN41" t="s">
        <v>168</v>
      </c>
    </row>
    <row r="42" spans="9:40" x14ac:dyDescent="0.45">
      <c r="I42" t="s">
        <v>97</v>
      </c>
      <c r="J42" t="s">
        <v>231</v>
      </c>
      <c r="K42">
        <v>0</v>
      </c>
      <c r="L42" t="s">
        <v>84</v>
      </c>
      <c r="N42" t="s">
        <v>113</v>
      </c>
      <c r="O42" t="s">
        <v>231</v>
      </c>
      <c r="P42">
        <v>0.12186817304953318</v>
      </c>
      <c r="Q42" t="s">
        <v>84</v>
      </c>
      <c r="S42" t="s">
        <v>128</v>
      </c>
      <c r="T42" t="s">
        <v>231</v>
      </c>
      <c r="U42">
        <v>0.12686767781959823</v>
      </c>
      <c r="V42" t="s">
        <v>84</v>
      </c>
      <c r="AK42">
        <v>2029</v>
      </c>
      <c r="AL42" t="s">
        <v>223</v>
      </c>
      <c r="AM42">
        <v>0.51703333333333334</v>
      </c>
      <c r="AN42" t="s">
        <v>168</v>
      </c>
    </row>
    <row r="43" spans="9:40" x14ac:dyDescent="0.45">
      <c r="I43" t="s">
        <v>97</v>
      </c>
      <c r="J43" t="s">
        <v>232</v>
      </c>
      <c r="K43">
        <v>2.4143797882796173E-3</v>
      </c>
      <c r="L43" t="s">
        <v>84</v>
      </c>
      <c r="N43" t="s">
        <v>113</v>
      </c>
      <c r="O43" t="s">
        <v>232</v>
      </c>
      <c r="P43">
        <v>2.2352600238359468E-2</v>
      </c>
      <c r="Q43" t="s">
        <v>84</v>
      </c>
      <c r="S43" t="s">
        <v>128</v>
      </c>
      <c r="T43" t="s">
        <v>232</v>
      </c>
      <c r="U43">
        <v>2.3780612172458901E-2</v>
      </c>
      <c r="V43" t="s">
        <v>84</v>
      </c>
      <c r="AK43">
        <v>2030</v>
      </c>
      <c r="AL43" t="s">
        <v>218</v>
      </c>
      <c r="AM43">
        <v>0.59133333333333338</v>
      </c>
      <c r="AN43" t="s">
        <v>168</v>
      </c>
    </row>
    <row r="44" spans="9:40" x14ac:dyDescent="0.45">
      <c r="I44" t="s">
        <v>97</v>
      </c>
      <c r="J44" t="s">
        <v>233</v>
      </c>
      <c r="K44">
        <v>0.32751839358426466</v>
      </c>
      <c r="L44" t="s">
        <v>84</v>
      </c>
      <c r="N44" t="s">
        <v>113</v>
      </c>
      <c r="O44" t="s">
        <v>233</v>
      </c>
      <c r="P44">
        <v>0.10680844245925401</v>
      </c>
      <c r="Q44" t="s">
        <v>84</v>
      </c>
      <c r="S44" t="s">
        <v>128</v>
      </c>
      <c r="T44" t="s">
        <v>233</v>
      </c>
      <c r="U44">
        <v>0.10136378227372238</v>
      </c>
      <c r="V44" t="s">
        <v>84</v>
      </c>
      <c r="AK44">
        <v>2030</v>
      </c>
      <c r="AL44" t="s">
        <v>220</v>
      </c>
      <c r="AM44">
        <v>0.51839999999999997</v>
      </c>
      <c r="AN44" t="s">
        <v>168</v>
      </c>
    </row>
    <row r="45" spans="9:40" x14ac:dyDescent="0.45">
      <c r="I45" t="s">
        <v>97</v>
      </c>
      <c r="J45" t="s">
        <v>234</v>
      </c>
      <c r="K45">
        <v>8.8976162472376233E-3</v>
      </c>
      <c r="L45" t="s">
        <v>84</v>
      </c>
      <c r="N45" t="s">
        <v>113</v>
      </c>
      <c r="O45" t="s">
        <v>234</v>
      </c>
      <c r="P45">
        <v>0.1026912486493386</v>
      </c>
      <c r="Q45" t="s">
        <v>84</v>
      </c>
      <c r="S45" t="s">
        <v>128</v>
      </c>
      <c r="T45" t="s">
        <v>234</v>
      </c>
      <c r="U45">
        <v>0.10162564098028148</v>
      </c>
      <c r="V45" t="s">
        <v>84</v>
      </c>
      <c r="AK45">
        <v>2030</v>
      </c>
      <c r="AL45" t="s">
        <v>221</v>
      </c>
      <c r="AM45">
        <v>0.58833333333333337</v>
      </c>
      <c r="AN45" t="s">
        <v>168</v>
      </c>
    </row>
    <row r="46" spans="9:40" x14ac:dyDescent="0.45">
      <c r="I46" t="s">
        <v>97</v>
      </c>
      <c r="J46" t="s">
        <v>235</v>
      </c>
      <c r="K46">
        <v>4.2462014651057957E-2</v>
      </c>
      <c r="L46" t="s">
        <v>84</v>
      </c>
      <c r="N46" t="s">
        <v>113</v>
      </c>
      <c r="O46" t="s">
        <v>235</v>
      </c>
      <c r="P46">
        <v>2.1994431081057704E-2</v>
      </c>
      <c r="Q46" t="s">
        <v>84</v>
      </c>
      <c r="S46" t="s">
        <v>128</v>
      </c>
      <c r="T46" t="s">
        <v>235</v>
      </c>
      <c r="U46">
        <v>1.9297259761255181E-2</v>
      </c>
      <c r="V46" t="s">
        <v>84</v>
      </c>
      <c r="AK46">
        <v>2030</v>
      </c>
      <c r="AL46" t="s">
        <v>223</v>
      </c>
      <c r="AM46">
        <v>0.55686666666666673</v>
      </c>
      <c r="AN46" t="s">
        <v>168</v>
      </c>
    </row>
    <row r="47" spans="9:40" x14ac:dyDescent="0.45">
      <c r="I47" t="s">
        <v>98</v>
      </c>
      <c r="J47" t="s">
        <v>224</v>
      </c>
      <c r="K47">
        <v>0.26433874824012465</v>
      </c>
      <c r="L47" t="s">
        <v>84</v>
      </c>
      <c r="N47" t="s">
        <v>114</v>
      </c>
      <c r="O47" t="s">
        <v>224</v>
      </c>
      <c r="P47">
        <v>0.17686134375458351</v>
      </c>
      <c r="Q47" t="s">
        <v>84</v>
      </c>
      <c r="S47" t="s">
        <v>129</v>
      </c>
      <c r="T47" t="s">
        <v>224</v>
      </c>
      <c r="U47">
        <v>0.12265291149425023</v>
      </c>
      <c r="V47" t="s">
        <v>84</v>
      </c>
      <c r="AK47">
        <v>2031</v>
      </c>
      <c r="AL47" t="s">
        <v>218</v>
      </c>
      <c r="AM47">
        <v>0.60043333333333326</v>
      </c>
      <c r="AN47" t="s">
        <v>168</v>
      </c>
    </row>
    <row r="48" spans="9:40" x14ac:dyDescent="0.45">
      <c r="I48" t="s">
        <v>98</v>
      </c>
      <c r="J48" t="s">
        <v>225</v>
      </c>
      <c r="K48">
        <v>4.7693387553837552E-3</v>
      </c>
      <c r="L48" t="s">
        <v>84</v>
      </c>
      <c r="N48" t="s">
        <v>114</v>
      </c>
      <c r="O48" t="s">
        <v>225</v>
      </c>
      <c r="P48">
        <v>0.13404985727694241</v>
      </c>
      <c r="Q48" t="s">
        <v>84</v>
      </c>
      <c r="S48" t="s">
        <v>129</v>
      </c>
      <c r="T48" t="s">
        <v>225</v>
      </c>
      <c r="U48">
        <v>0.12444704263253271</v>
      </c>
      <c r="V48" t="s">
        <v>84</v>
      </c>
      <c r="AK48">
        <v>2031</v>
      </c>
      <c r="AL48" t="s">
        <v>220</v>
      </c>
      <c r="AM48">
        <v>0.52706666666666668</v>
      </c>
      <c r="AN48" t="s">
        <v>168</v>
      </c>
    </row>
    <row r="49" spans="9:40" x14ac:dyDescent="0.45">
      <c r="I49" t="s">
        <v>98</v>
      </c>
      <c r="J49" t="s">
        <v>226</v>
      </c>
      <c r="K49">
        <v>2.423999319711654E-2</v>
      </c>
      <c r="L49" t="s">
        <v>84</v>
      </c>
      <c r="N49" t="s">
        <v>114</v>
      </c>
      <c r="O49" t="s">
        <v>226</v>
      </c>
      <c r="P49">
        <v>2.7823505707599804E-2</v>
      </c>
      <c r="Q49" t="s">
        <v>84</v>
      </c>
      <c r="S49" t="s">
        <v>129</v>
      </c>
      <c r="T49" t="s">
        <v>226</v>
      </c>
      <c r="U49">
        <v>2.3095302102479266E-2</v>
      </c>
      <c r="V49" t="s">
        <v>84</v>
      </c>
      <c r="AK49">
        <v>2031</v>
      </c>
      <c r="AL49" t="s">
        <v>221</v>
      </c>
      <c r="AM49">
        <v>0.65939999999999999</v>
      </c>
      <c r="AN49" t="s">
        <v>168</v>
      </c>
    </row>
    <row r="50" spans="9:40" x14ac:dyDescent="0.45">
      <c r="I50" t="s">
        <v>98</v>
      </c>
      <c r="J50" t="s">
        <v>227</v>
      </c>
      <c r="K50">
        <v>0.17772059168435456</v>
      </c>
      <c r="L50" t="s">
        <v>84</v>
      </c>
      <c r="N50" t="s">
        <v>114</v>
      </c>
      <c r="O50" t="s">
        <v>227</v>
      </c>
      <c r="P50">
        <v>9.2917936968802711E-2</v>
      </c>
      <c r="Q50" t="s">
        <v>84</v>
      </c>
      <c r="S50" t="s">
        <v>129</v>
      </c>
      <c r="T50" t="s">
        <v>227</v>
      </c>
      <c r="U50">
        <v>0.10607398251458433</v>
      </c>
      <c r="V50" t="s">
        <v>84</v>
      </c>
      <c r="AK50">
        <v>2031</v>
      </c>
      <c r="AL50" t="s">
        <v>223</v>
      </c>
      <c r="AM50">
        <v>0.52943333333333331</v>
      </c>
      <c r="AN50" t="s">
        <v>168</v>
      </c>
    </row>
    <row r="51" spans="9:40" x14ac:dyDescent="0.45">
      <c r="I51" t="s">
        <v>98</v>
      </c>
      <c r="J51" t="s">
        <v>228</v>
      </c>
      <c r="K51">
        <v>0</v>
      </c>
      <c r="L51" t="s">
        <v>84</v>
      </c>
      <c r="N51" t="s">
        <v>114</v>
      </c>
      <c r="O51" t="s">
        <v>228</v>
      </c>
      <c r="P51">
        <v>9.1801402419439709E-2</v>
      </c>
      <c r="Q51" t="s">
        <v>84</v>
      </c>
      <c r="S51" t="s">
        <v>129</v>
      </c>
      <c r="T51" t="s">
        <v>228</v>
      </c>
      <c r="U51">
        <v>0.112007700991968</v>
      </c>
      <c r="V51" t="s">
        <v>84</v>
      </c>
      <c r="AK51">
        <v>2032</v>
      </c>
      <c r="AL51" t="s">
        <v>218</v>
      </c>
      <c r="AM51">
        <v>0.62006666666666665</v>
      </c>
      <c r="AN51" t="s">
        <v>168</v>
      </c>
    </row>
    <row r="52" spans="9:40" x14ac:dyDescent="0.45">
      <c r="I52" t="s">
        <v>98</v>
      </c>
      <c r="J52" t="s">
        <v>229</v>
      </c>
      <c r="K52">
        <v>1.1854867527125735E-2</v>
      </c>
      <c r="L52" t="s">
        <v>84</v>
      </c>
      <c r="N52" t="s">
        <v>114</v>
      </c>
      <c r="O52" t="s">
        <v>229</v>
      </c>
      <c r="P52">
        <v>1.8231561509755169E-2</v>
      </c>
      <c r="Q52" t="s">
        <v>84</v>
      </c>
      <c r="S52" t="s">
        <v>129</v>
      </c>
      <c r="T52" t="s">
        <v>229</v>
      </c>
      <c r="U52">
        <v>2.1496687326238724E-2</v>
      </c>
      <c r="V52" t="s">
        <v>84</v>
      </c>
      <c r="AK52">
        <v>2032</v>
      </c>
      <c r="AL52" t="s">
        <v>220</v>
      </c>
      <c r="AM52">
        <v>0.51746666666666663</v>
      </c>
      <c r="AN52" t="s">
        <v>168</v>
      </c>
    </row>
    <row r="53" spans="9:40" x14ac:dyDescent="0.45">
      <c r="I53" t="s">
        <v>98</v>
      </c>
      <c r="J53" t="s">
        <v>230</v>
      </c>
      <c r="K53">
        <v>0.10697353835196975</v>
      </c>
      <c r="L53" t="s">
        <v>84</v>
      </c>
      <c r="N53" t="s">
        <v>114</v>
      </c>
      <c r="O53" t="s">
        <v>230</v>
      </c>
      <c r="P53">
        <v>0.12365830642156361</v>
      </c>
      <c r="Q53" t="s">
        <v>84</v>
      </c>
      <c r="S53" t="s">
        <v>129</v>
      </c>
      <c r="T53" t="s">
        <v>230</v>
      </c>
      <c r="U53">
        <v>0.11156338867642487</v>
      </c>
      <c r="V53" t="s">
        <v>84</v>
      </c>
      <c r="AK53">
        <v>2032</v>
      </c>
      <c r="AL53" t="s">
        <v>221</v>
      </c>
      <c r="AM53">
        <v>0.6079</v>
      </c>
      <c r="AN53" t="s">
        <v>168</v>
      </c>
    </row>
    <row r="54" spans="9:40" x14ac:dyDescent="0.45">
      <c r="I54" t="s">
        <v>98</v>
      </c>
      <c r="J54" t="s">
        <v>231</v>
      </c>
      <c r="K54">
        <v>0</v>
      </c>
      <c r="L54" t="s">
        <v>84</v>
      </c>
      <c r="N54" t="s">
        <v>114</v>
      </c>
      <c r="O54" t="s">
        <v>231</v>
      </c>
      <c r="P54">
        <v>0.1094460233370475</v>
      </c>
      <c r="Q54" t="s">
        <v>84</v>
      </c>
      <c r="S54" t="s">
        <v>129</v>
      </c>
      <c r="T54" t="s">
        <v>231</v>
      </c>
      <c r="U54">
        <v>0.11560047206809534</v>
      </c>
      <c r="V54" t="s">
        <v>84</v>
      </c>
      <c r="AK54">
        <v>2032</v>
      </c>
      <c r="AL54" t="s">
        <v>223</v>
      </c>
      <c r="AM54">
        <v>0.55066666666666675</v>
      </c>
      <c r="AN54" t="s">
        <v>168</v>
      </c>
    </row>
    <row r="55" spans="9:40" x14ac:dyDescent="0.45">
      <c r="I55" t="s">
        <v>98</v>
      </c>
      <c r="J55" t="s">
        <v>232</v>
      </c>
      <c r="K55">
        <v>2.006749406554213E-3</v>
      </c>
      <c r="L55" t="s">
        <v>84</v>
      </c>
      <c r="N55" t="s">
        <v>114</v>
      </c>
      <c r="O55" t="s">
        <v>232</v>
      </c>
      <c r="P55">
        <v>2.1453312037626817E-2</v>
      </c>
      <c r="Q55" t="s">
        <v>84</v>
      </c>
      <c r="S55" t="s">
        <v>129</v>
      </c>
      <c r="T55" t="s">
        <v>232</v>
      </c>
      <c r="U55">
        <v>2.1539007286839017E-2</v>
      </c>
      <c r="V55" t="s">
        <v>84</v>
      </c>
      <c r="AK55">
        <v>2033</v>
      </c>
      <c r="AL55" t="s">
        <v>218</v>
      </c>
      <c r="AM55">
        <v>0.59503333333333341</v>
      </c>
      <c r="AN55" t="s">
        <v>168</v>
      </c>
    </row>
    <row r="56" spans="9:40" x14ac:dyDescent="0.45">
      <c r="I56" t="s">
        <v>98</v>
      </c>
      <c r="J56" t="s">
        <v>233</v>
      </c>
      <c r="K56">
        <v>0.34534820392590898</v>
      </c>
      <c r="L56" t="s">
        <v>84</v>
      </c>
      <c r="N56" t="s">
        <v>114</v>
      </c>
      <c r="O56" t="s">
        <v>233</v>
      </c>
      <c r="P56">
        <v>0.10182585608140048</v>
      </c>
      <c r="Q56" t="s">
        <v>84</v>
      </c>
      <c r="S56" t="s">
        <v>129</v>
      </c>
      <c r="T56" t="s">
        <v>233</v>
      </c>
      <c r="U56">
        <v>0.10733662585014352</v>
      </c>
      <c r="V56" t="s">
        <v>84</v>
      </c>
      <c r="AK56">
        <v>2033</v>
      </c>
      <c r="AL56" t="s">
        <v>220</v>
      </c>
      <c r="AM56">
        <v>0.54056666666666675</v>
      </c>
      <c r="AN56" t="s">
        <v>168</v>
      </c>
    </row>
    <row r="57" spans="9:40" x14ac:dyDescent="0.45">
      <c r="I57" t="s">
        <v>98</v>
      </c>
      <c r="J57" t="s">
        <v>234</v>
      </c>
      <c r="K57">
        <v>1.6138182284715065E-2</v>
      </c>
      <c r="L57" t="s">
        <v>84</v>
      </c>
      <c r="N57" t="s">
        <v>114</v>
      </c>
      <c r="O57" t="s">
        <v>234</v>
      </c>
      <c r="P57">
        <v>7.9803827483079903E-2</v>
      </c>
      <c r="Q57" t="s">
        <v>84</v>
      </c>
      <c r="S57" t="s">
        <v>129</v>
      </c>
      <c r="T57" t="s">
        <v>234</v>
      </c>
      <c r="U57">
        <v>0.11156464721136715</v>
      </c>
      <c r="V57" t="s">
        <v>84</v>
      </c>
      <c r="AK57">
        <v>2033</v>
      </c>
      <c r="AL57" t="s">
        <v>221</v>
      </c>
      <c r="AM57">
        <v>0.66796666666666671</v>
      </c>
      <c r="AN57" t="s">
        <v>168</v>
      </c>
    </row>
    <row r="58" spans="9:40" x14ac:dyDescent="0.45">
      <c r="I58" t="s">
        <v>98</v>
      </c>
      <c r="J58" t="s">
        <v>235</v>
      </c>
      <c r="K58">
        <v>4.660978662674857E-2</v>
      </c>
      <c r="L58" t="s">
        <v>84</v>
      </c>
      <c r="N58" t="s">
        <v>114</v>
      </c>
      <c r="O58" t="s">
        <v>235</v>
      </c>
      <c r="P58">
        <v>2.2127067002158569E-2</v>
      </c>
      <c r="Q58" t="s">
        <v>84</v>
      </c>
      <c r="S58" t="s">
        <v>129</v>
      </c>
      <c r="T58" t="s">
        <v>235</v>
      </c>
      <c r="U58">
        <v>2.2622231845075967E-2</v>
      </c>
      <c r="V58" t="s">
        <v>84</v>
      </c>
      <c r="AK58">
        <v>2033</v>
      </c>
      <c r="AL58" t="s">
        <v>223</v>
      </c>
      <c r="AM58">
        <v>0.59209999999999996</v>
      </c>
      <c r="AN58" t="s">
        <v>168</v>
      </c>
    </row>
    <row r="59" spans="9:40" x14ac:dyDescent="0.45">
      <c r="I59" t="s">
        <v>99</v>
      </c>
      <c r="J59" t="s">
        <v>224</v>
      </c>
      <c r="K59">
        <v>0.25962556581999541</v>
      </c>
      <c r="L59" t="s">
        <v>84</v>
      </c>
      <c r="N59" t="s">
        <v>115</v>
      </c>
      <c r="O59" t="s">
        <v>224</v>
      </c>
      <c r="P59">
        <v>0.14723521154919722</v>
      </c>
      <c r="Q59" t="s">
        <v>84</v>
      </c>
      <c r="S59" t="s">
        <v>130</v>
      </c>
      <c r="T59" t="s">
        <v>224</v>
      </c>
      <c r="U59">
        <v>0.14002022810409609</v>
      </c>
      <c r="V59" t="s">
        <v>84</v>
      </c>
      <c r="AK59">
        <v>2034</v>
      </c>
      <c r="AL59" t="s">
        <v>218</v>
      </c>
      <c r="AM59">
        <v>0.5255333333333333</v>
      </c>
      <c r="AN59" t="s">
        <v>168</v>
      </c>
    </row>
    <row r="60" spans="9:40" x14ac:dyDescent="0.45">
      <c r="I60" t="s">
        <v>99</v>
      </c>
      <c r="J60" t="s">
        <v>225</v>
      </c>
      <c r="K60">
        <v>4.8932772258143929E-3</v>
      </c>
      <c r="L60" t="s">
        <v>84</v>
      </c>
      <c r="N60" t="s">
        <v>115</v>
      </c>
      <c r="O60" t="s">
        <v>225</v>
      </c>
      <c r="P60">
        <v>0.13725287865164487</v>
      </c>
      <c r="Q60" t="s">
        <v>84</v>
      </c>
      <c r="S60" t="s">
        <v>130</v>
      </c>
      <c r="T60" t="s">
        <v>225</v>
      </c>
      <c r="U60">
        <v>0.13888939512172779</v>
      </c>
      <c r="V60" t="s">
        <v>84</v>
      </c>
      <c r="AK60">
        <v>2034</v>
      </c>
      <c r="AL60" t="s">
        <v>220</v>
      </c>
      <c r="AM60">
        <v>0.4588666666666667</v>
      </c>
      <c r="AN60" t="s">
        <v>168</v>
      </c>
    </row>
    <row r="61" spans="9:40" x14ac:dyDescent="0.45">
      <c r="I61" t="s">
        <v>99</v>
      </c>
      <c r="J61" t="s">
        <v>226</v>
      </c>
      <c r="K61">
        <v>2.2694778185729621E-2</v>
      </c>
      <c r="L61" t="s">
        <v>84</v>
      </c>
      <c r="N61" t="s">
        <v>115</v>
      </c>
      <c r="O61" t="s">
        <v>226</v>
      </c>
      <c r="P61">
        <v>2.6397191043605953E-2</v>
      </c>
      <c r="Q61" t="s">
        <v>84</v>
      </c>
      <c r="S61" t="s">
        <v>130</v>
      </c>
      <c r="T61" t="s">
        <v>226</v>
      </c>
      <c r="U61">
        <v>2.5579892432579458E-2</v>
      </c>
      <c r="V61" t="s">
        <v>84</v>
      </c>
      <c r="AK61">
        <v>2034</v>
      </c>
      <c r="AL61" t="s">
        <v>221</v>
      </c>
      <c r="AM61">
        <v>0.5278666666666666</v>
      </c>
      <c r="AN61" t="s">
        <v>168</v>
      </c>
    </row>
    <row r="62" spans="9:40" x14ac:dyDescent="0.45">
      <c r="I62" t="s">
        <v>99</v>
      </c>
      <c r="J62" t="s">
        <v>227</v>
      </c>
      <c r="K62">
        <v>0.18881963144388778</v>
      </c>
      <c r="L62" t="s">
        <v>84</v>
      </c>
      <c r="N62" t="s">
        <v>115</v>
      </c>
      <c r="O62" t="s">
        <v>227</v>
      </c>
      <c r="P62">
        <v>0.10026671134944008</v>
      </c>
      <c r="Q62" t="s">
        <v>84</v>
      </c>
      <c r="S62" t="s">
        <v>130</v>
      </c>
      <c r="T62" t="s">
        <v>227</v>
      </c>
      <c r="U62">
        <v>9.7215553844337305E-2</v>
      </c>
      <c r="V62" t="s">
        <v>84</v>
      </c>
      <c r="AK62">
        <v>2034</v>
      </c>
      <c r="AL62" t="s">
        <v>223</v>
      </c>
      <c r="AM62">
        <v>0.49829999999999997</v>
      </c>
      <c r="AN62" t="s">
        <v>168</v>
      </c>
    </row>
    <row r="63" spans="9:40" x14ac:dyDescent="0.45">
      <c r="I63" t="s">
        <v>99</v>
      </c>
      <c r="J63" t="s">
        <v>228</v>
      </c>
      <c r="K63">
        <v>0</v>
      </c>
      <c r="L63" t="s">
        <v>84</v>
      </c>
      <c r="N63" t="s">
        <v>115</v>
      </c>
      <c r="O63" t="s">
        <v>228</v>
      </c>
      <c r="P63">
        <v>0.10054242600896983</v>
      </c>
      <c r="Q63" t="s">
        <v>84</v>
      </c>
      <c r="S63" t="s">
        <v>130</v>
      </c>
      <c r="T63" t="s">
        <v>228</v>
      </c>
      <c r="U63">
        <v>9.9756713541824402E-2</v>
      </c>
      <c r="V63" t="s">
        <v>84</v>
      </c>
      <c r="AK63">
        <v>2035</v>
      </c>
      <c r="AL63" t="s">
        <v>218</v>
      </c>
      <c r="AM63">
        <v>0.62619999999999998</v>
      </c>
      <c r="AN63" t="s">
        <v>168</v>
      </c>
    </row>
    <row r="64" spans="9:40" x14ac:dyDescent="0.45">
      <c r="I64" t="s">
        <v>99</v>
      </c>
      <c r="J64" t="s">
        <v>229</v>
      </c>
      <c r="K64">
        <v>1.1291143370086736E-2</v>
      </c>
      <c r="L64" t="s">
        <v>84</v>
      </c>
      <c r="N64" t="s">
        <v>115</v>
      </c>
      <c r="O64" t="s">
        <v>229</v>
      </c>
      <c r="P64">
        <v>1.9005445472815664E-2</v>
      </c>
      <c r="Q64" t="s">
        <v>84</v>
      </c>
      <c r="S64" t="s">
        <v>130</v>
      </c>
      <c r="T64" t="s">
        <v>229</v>
      </c>
      <c r="U64">
        <v>2.0417388975028063E-2</v>
      </c>
      <c r="V64" t="s">
        <v>84</v>
      </c>
      <c r="AK64">
        <v>2035</v>
      </c>
      <c r="AL64" t="s">
        <v>220</v>
      </c>
      <c r="AM64">
        <v>0.54156666666666675</v>
      </c>
      <c r="AN64" t="s">
        <v>168</v>
      </c>
    </row>
    <row r="65" spans="9:40" x14ac:dyDescent="0.45">
      <c r="I65" t="s">
        <v>99</v>
      </c>
      <c r="J65" t="s">
        <v>230</v>
      </c>
      <c r="K65">
        <v>0.11060029910645229</v>
      </c>
      <c r="L65" t="s">
        <v>84</v>
      </c>
      <c r="N65" t="s">
        <v>115</v>
      </c>
      <c r="O65" t="s">
        <v>230</v>
      </c>
      <c r="P65">
        <v>0.11815585083772709</v>
      </c>
      <c r="Q65" t="s">
        <v>84</v>
      </c>
      <c r="S65" t="s">
        <v>130</v>
      </c>
      <c r="T65" t="s">
        <v>230</v>
      </c>
      <c r="U65">
        <v>0.11951751934353141</v>
      </c>
      <c r="V65" t="s">
        <v>84</v>
      </c>
      <c r="AK65">
        <v>2035</v>
      </c>
      <c r="AL65" t="s">
        <v>221</v>
      </c>
      <c r="AM65">
        <v>0.61399999999999999</v>
      </c>
      <c r="AN65" t="s">
        <v>168</v>
      </c>
    </row>
    <row r="66" spans="9:40" x14ac:dyDescent="0.45">
      <c r="I66" t="s">
        <v>99</v>
      </c>
      <c r="J66" t="s">
        <v>231</v>
      </c>
      <c r="K66">
        <v>0</v>
      </c>
      <c r="L66" t="s">
        <v>84</v>
      </c>
      <c r="N66" t="s">
        <v>115</v>
      </c>
      <c r="O66" t="s">
        <v>231</v>
      </c>
      <c r="P66">
        <v>0.11698554247598096</v>
      </c>
      <c r="Q66" t="s">
        <v>84</v>
      </c>
      <c r="S66" t="s">
        <v>130</v>
      </c>
      <c r="T66" t="s">
        <v>231</v>
      </c>
      <c r="U66">
        <v>0.1253227774585117</v>
      </c>
      <c r="V66" t="s">
        <v>84</v>
      </c>
      <c r="AK66">
        <v>2035</v>
      </c>
      <c r="AL66" t="s">
        <v>223</v>
      </c>
      <c r="AM66">
        <v>0.55443333333333333</v>
      </c>
      <c r="AN66" t="s">
        <v>168</v>
      </c>
    </row>
    <row r="67" spans="9:40" x14ac:dyDescent="0.45">
      <c r="I67" t="s">
        <v>99</v>
      </c>
      <c r="J67" t="s">
        <v>232</v>
      </c>
      <c r="K67">
        <v>2.0399334111934485E-3</v>
      </c>
      <c r="L67" t="s">
        <v>84</v>
      </c>
      <c r="N67" t="s">
        <v>115</v>
      </c>
      <c r="O67" t="s">
        <v>232</v>
      </c>
      <c r="P67">
        <v>2.2144592760079355E-2</v>
      </c>
      <c r="Q67" t="s">
        <v>84</v>
      </c>
      <c r="S67" t="s">
        <v>130</v>
      </c>
      <c r="T67" t="s">
        <v>232</v>
      </c>
      <c r="U67">
        <v>2.3511981107075797E-2</v>
      </c>
      <c r="V67" t="s">
        <v>84</v>
      </c>
      <c r="AK67">
        <v>2036</v>
      </c>
      <c r="AL67" t="s">
        <v>218</v>
      </c>
      <c r="AM67">
        <v>0.62753333333333339</v>
      </c>
      <c r="AN67" t="s">
        <v>168</v>
      </c>
    </row>
    <row r="68" spans="9:40" x14ac:dyDescent="0.45">
      <c r="I68" t="s">
        <v>99</v>
      </c>
      <c r="J68" t="s">
        <v>233</v>
      </c>
      <c r="K68">
        <v>0.34126387563776878</v>
      </c>
      <c r="L68" t="s">
        <v>84</v>
      </c>
      <c r="N68" t="s">
        <v>115</v>
      </c>
      <c r="O68" t="s">
        <v>233</v>
      </c>
      <c r="P68">
        <v>9.7068103028311092E-2</v>
      </c>
      <c r="Q68" t="s">
        <v>84</v>
      </c>
      <c r="S68" t="s">
        <v>130</v>
      </c>
      <c r="T68" t="s">
        <v>233</v>
      </c>
      <c r="U68">
        <v>9.0513508339704438E-2</v>
      </c>
      <c r="V68" t="s">
        <v>84</v>
      </c>
      <c r="AK68">
        <v>2036</v>
      </c>
      <c r="AL68" t="s">
        <v>220</v>
      </c>
      <c r="AM68">
        <v>0.4975</v>
      </c>
      <c r="AN68" t="s">
        <v>168</v>
      </c>
    </row>
    <row r="69" spans="9:40" x14ac:dyDescent="0.45">
      <c r="I69" t="s">
        <v>99</v>
      </c>
      <c r="J69" t="s">
        <v>234</v>
      </c>
      <c r="K69">
        <v>1.1456838434623272E-2</v>
      </c>
      <c r="L69" t="s">
        <v>84</v>
      </c>
      <c r="N69" t="s">
        <v>115</v>
      </c>
      <c r="O69" t="s">
        <v>234</v>
      </c>
      <c r="P69">
        <v>9.3368971422391631E-2</v>
      </c>
      <c r="Q69" t="s">
        <v>84</v>
      </c>
      <c r="S69" t="s">
        <v>130</v>
      </c>
      <c r="T69" t="s">
        <v>234</v>
      </c>
      <c r="U69">
        <v>9.5897963262404032E-2</v>
      </c>
      <c r="V69" t="s">
        <v>84</v>
      </c>
      <c r="AK69">
        <v>2036</v>
      </c>
      <c r="AL69" t="s">
        <v>221</v>
      </c>
      <c r="AM69">
        <v>0.61986666666666668</v>
      </c>
      <c r="AN69" t="s">
        <v>168</v>
      </c>
    </row>
    <row r="70" spans="9:40" x14ac:dyDescent="0.45">
      <c r="I70" t="s">
        <v>99</v>
      </c>
      <c r="J70" t="s">
        <v>235</v>
      </c>
      <c r="K70">
        <v>4.7314657364449224E-2</v>
      </c>
      <c r="L70" t="s">
        <v>84</v>
      </c>
      <c r="N70" t="s">
        <v>115</v>
      </c>
      <c r="O70" t="s">
        <v>235</v>
      </c>
      <c r="P70">
        <v>2.1577075399837654E-2</v>
      </c>
      <c r="Q70" t="s">
        <v>84</v>
      </c>
      <c r="S70" t="s">
        <v>130</v>
      </c>
      <c r="T70" t="s">
        <v>235</v>
      </c>
      <c r="U70">
        <v>2.3357078469181568E-2</v>
      </c>
      <c r="V70" t="s">
        <v>84</v>
      </c>
      <c r="AK70">
        <v>2036</v>
      </c>
      <c r="AL70" t="s">
        <v>223</v>
      </c>
      <c r="AM70">
        <v>0.54470000000000007</v>
      </c>
      <c r="AN70" t="s">
        <v>168</v>
      </c>
    </row>
    <row r="71" spans="9:40" x14ac:dyDescent="0.45">
      <c r="I71" t="s">
        <v>100</v>
      </c>
      <c r="J71" t="s">
        <v>224</v>
      </c>
      <c r="K71">
        <v>0.25962718685144087</v>
      </c>
      <c r="L71" t="s">
        <v>84</v>
      </c>
      <c r="N71" t="s">
        <v>116</v>
      </c>
      <c r="O71" t="s">
        <v>224</v>
      </c>
      <c r="P71">
        <v>0.17500080334423165</v>
      </c>
      <c r="Q71" t="s">
        <v>84</v>
      </c>
      <c r="S71" t="s">
        <v>131</v>
      </c>
      <c r="T71" t="s">
        <v>224</v>
      </c>
      <c r="U71">
        <v>0.11881460925486406</v>
      </c>
      <c r="V71" t="s">
        <v>84</v>
      </c>
      <c r="AK71">
        <v>2037</v>
      </c>
      <c r="AL71" t="s">
        <v>218</v>
      </c>
      <c r="AM71">
        <v>0.45226666666666665</v>
      </c>
      <c r="AN71" t="s">
        <v>168</v>
      </c>
    </row>
    <row r="72" spans="9:40" x14ac:dyDescent="0.45">
      <c r="I72" t="s">
        <v>100</v>
      </c>
      <c r="J72" t="s">
        <v>225</v>
      </c>
      <c r="K72">
        <v>4.3325373328162373E-3</v>
      </c>
      <c r="L72" t="s">
        <v>84</v>
      </c>
      <c r="N72" t="s">
        <v>116</v>
      </c>
      <c r="O72" t="s">
        <v>225</v>
      </c>
      <c r="P72">
        <v>0.12272530307958461</v>
      </c>
      <c r="Q72" t="s">
        <v>84</v>
      </c>
      <c r="S72" t="s">
        <v>131</v>
      </c>
      <c r="T72" t="s">
        <v>225</v>
      </c>
      <c r="U72">
        <v>0.12523126000957849</v>
      </c>
      <c r="V72" t="s">
        <v>84</v>
      </c>
      <c r="AK72">
        <v>2037</v>
      </c>
      <c r="AL72" t="s">
        <v>220</v>
      </c>
      <c r="AM72">
        <v>0.4052</v>
      </c>
      <c r="AN72" t="s">
        <v>168</v>
      </c>
    </row>
    <row r="73" spans="9:40" x14ac:dyDescent="0.45">
      <c r="I73" t="s">
        <v>100</v>
      </c>
      <c r="J73" t="s">
        <v>226</v>
      </c>
      <c r="K73">
        <v>2.3493515172876619E-2</v>
      </c>
      <c r="L73" t="s">
        <v>84</v>
      </c>
      <c r="N73" t="s">
        <v>116</v>
      </c>
      <c r="O73" t="s">
        <v>226</v>
      </c>
      <c r="P73">
        <v>3.3605907064450061E-2</v>
      </c>
      <c r="Q73" t="s">
        <v>84</v>
      </c>
      <c r="S73" t="s">
        <v>131</v>
      </c>
      <c r="T73" t="s">
        <v>226</v>
      </c>
      <c r="U73">
        <v>2.07105497440171E-2</v>
      </c>
      <c r="V73" t="s">
        <v>84</v>
      </c>
      <c r="AK73">
        <v>2037</v>
      </c>
      <c r="AL73" t="s">
        <v>221</v>
      </c>
      <c r="AM73">
        <v>0.44523333333333331</v>
      </c>
      <c r="AN73" t="s">
        <v>168</v>
      </c>
    </row>
    <row r="74" spans="9:40" x14ac:dyDescent="0.45">
      <c r="I74" t="s">
        <v>100</v>
      </c>
      <c r="J74" t="s">
        <v>227</v>
      </c>
      <c r="K74">
        <v>0.18820088868440177</v>
      </c>
      <c r="L74" t="s">
        <v>84</v>
      </c>
      <c r="N74" t="s">
        <v>116</v>
      </c>
      <c r="O74" t="s">
        <v>227</v>
      </c>
      <c r="P74">
        <v>0.10073112970486089</v>
      </c>
      <c r="Q74" t="s">
        <v>84</v>
      </c>
      <c r="S74" t="s">
        <v>131</v>
      </c>
      <c r="T74" t="s">
        <v>227</v>
      </c>
      <c r="U74">
        <v>0.10355083684998459</v>
      </c>
      <c r="V74" t="s">
        <v>84</v>
      </c>
      <c r="AK74">
        <v>2037</v>
      </c>
      <c r="AL74" t="s">
        <v>223</v>
      </c>
      <c r="AM74">
        <v>0.42240000000000005</v>
      </c>
      <c r="AN74" t="s">
        <v>168</v>
      </c>
    </row>
    <row r="75" spans="9:40" x14ac:dyDescent="0.45">
      <c r="I75" t="s">
        <v>100</v>
      </c>
      <c r="J75" t="s">
        <v>228</v>
      </c>
      <c r="K75">
        <v>0</v>
      </c>
      <c r="L75" t="s">
        <v>84</v>
      </c>
      <c r="N75" t="s">
        <v>116</v>
      </c>
      <c r="O75" t="s">
        <v>228</v>
      </c>
      <c r="P75">
        <v>8.5423202683421517E-2</v>
      </c>
      <c r="Q75" t="s">
        <v>84</v>
      </c>
      <c r="S75" t="s">
        <v>131</v>
      </c>
      <c r="T75" t="s">
        <v>228</v>
      </c>
      <c r="U75">
        <v>0.11051694898851042</v>
      </c>
      <c r="V75" t="s">
        <v>84</v>
      </c>
      <c r="AK75">
        <v>2038</v>
      </c>
      <c r="AL75" t="s">
        <v>218</v>
      </c>
      <c r="AM75">
        <v>0.6064666666666666</v>
      </c>
      <c r="AN75" t="s">
        <v>168</v>
      </c>
    </row>
    <row r="76" spans="9:40" x14ac:dyDescent="0.45">
      <c r="I76" t="s">
        <v>100</v>
      </c>
      <c r="J76" t="s">
        <v>229</v>
      </c>
      <c r="K76">
        <v>1.2327231058169866E-2</v>
      </c>
      <c r="L76" t="s">
        <v>84</v>
      </c>
      <c r="N76" t="s">
        <v>116</v>
      </c>
      <c r="O76" t="s">
        <v>229</v>
      </c>
      <c r="P76">
        <v>1.8622245426050087E-2</v>
      </c>
      <c r="Q76" t="s">
        <v>84</v>
      </c>
      <c r="S76" t="s">
        <v>131</v>
      </c>
      <c r="T76" t="s">
        <v>229</v>
      </c>
      <c r="U76">
        <v>2.1418919807683238E-2</v>
      </c>
      <c r="V76" t="s">
        <v>84</v>
      </c>
      <c r="AK76">
        <v>2038</v>
      </c>
      <c r="AL76" t="s">
        <v>220</v>
      </c>
      <c r="AM76">
        <v>0.52333333333333332</v>
      </c>
      <c r="AN76" t="s">
        <v>168</v>
      </c>
    </row>
    <row r="77" spans="9:40" x14ac:dyDescent="0.45">
      <c r="I77" t="s">
        <v>100</v>
      </c>
      <c r="J77" t="s">
        <v>230</v>
      </c>
      <c r="K77">
        <v>0.10658507698933796</v>
      </c>
      <c r="L77" t="s">
        <v>84</v>
      </c>
      <c r="N77" t="s">
        <v>116</v>
      </c>
      <c r="O77" t="s">
        <v>230</v>
      </c>
      <c r="P77">
        <v>0.11556721715272397</v>
      </c>
      <c r="Q77" t="s">
        <v>84</v>
      </c>
      <c r="S77" t="s">
        <v>131</v>
      </c>
      <c r="T77" t="s">
        <v>230</v>
      </c>
      <c r="U77">
        <v>0.12561656520094061</v>
      </c>
      <c r="V77" t="s">
        <v>84</v>
      </c>
      <c r="AK77">
        <v>2038</v>
      </c>
      <c r="AL77" t="s">
        <v>221</v>
      </c>
      <c r="AM77">
        <v>0.61836666666666662</v>
      </c>
      <c r="AN77" t="s">
        <v>168</v>
      </c>
    </row>
    <row r="78" spans="9:40" x14ac:dyDescent="0.45">
      <c r="I78" t="s">
        <v>100</v>
      </c>
      <c r="J78" t="s">
        <v>231</v>
      </c>
      <c r="K78">
        <v>0</v>
      </c>
      <c r="L78" t="s">
        <v>84</v>
      </c>
      <c r="N78" t="s">
        <v>116</v>
      </c>
      <c r="O78" t="s">
        <v>231</v>
      </c>
      <c r="P78">
        <v>0.11818905151163669</v>
      </c>
      <c r="Q78" t="s">
        <v>84</v>
      </c>
      <c r="S78" t="s">
        <v>131</v>
      </c>
      <c r="T78" t="s">
        <v>231</v>
      </c>
      <c r="U78">
        <v>0.1285213790736377</v>
      </c>
      <c r="V78" t="s">
        <v>84</v>
      </c>
      <c r="AK78">
        <v>2038</v>
      </c>
      <c r="AL78" t="s">
        <v>223</v>
      </c>
      <c r="AM78">
        <v>0.5427333333333334</v>
      </c>
      <c r="AN78" t="s">
        <v>168</v>
      </c>
    </row>
    <row r="79" spans="9:40" x14ac:dyDescent="0.45">
      <c r="I79" t="s">
        <v>100</v>
      </c>
      <c r="J79" t="s">
        <v>232</v>
      </c>
      <c r="K79">
        <v>2.116124060565501E-3</v>
      </c>
      <c r="L79" t="s">
        <v>84</v>
      </c>
      <c r="N79" t="s">
        <v>116</v>
      </c>
      <c r="O79" t="s">
        <v>232</v>
      </c>
      <c r="P79">
        <v>1.8169529600923395E-2</v>
      </c>
      <c r="Q79" t="s">
        <v>84</v>
      </c>
      <c r="S79" t="s">
        <v>131</v>
      </c>
      <c r="T79" t="s">
        <v>232</v>
      </c>
      <c r="U79">
        <v>2.2984174393516712E-2</v>
      </c>
      <c r="V79" t="s">
        <v>84</v>
      </c>
      <c r="AK79">
        <v>2039</v>
      </c>
      <c r="AL79" t="s">
        <v>218</v>
      </c>
      <c r="AM79">
        <v>0.44546666666666668</v>
      </c>
      <c r="AN79" t="s">
        <v>168</v>
      </c>
    </row>
    <row r="80" spans="9:40" x14ac:dyDescent="0.45">
      <c r="I80" t="s">
        <v>100</v>
      </c>
      <c r="J80" t="s">
        <v>233</v>
      </c>
      <c r="K80">
        <v>0.3425155017473635</v>
      </c>
      <c r="L80" t="s">
        <v>84</v>
      </c>
      <c r="N80" t="s">
        <v>116</v>
      </c>
      <c r="O80" t="s">
        <v>233</v>
      </c>
      <c r="P80">
        <v>0.11630745182833205</v>
      </c>
      <c r="Q80" t="s">
        <v>84</v>
      </c>
      <c r="S80" t="s">
        <v>131</v>
      </c>
      <c r="T80" t="s">
        <v>233</v>
      </c>
      <c r="U80">
        <v>9.3955560997958265E-2</v>
      </c>
      <c r="V80" t="s">
        <v>84</v>
      </c>
      <c r="AK80">
        <v>2039</v>
      </c>
      <c r="AL80" t="s">
        <v>220</v>
      </c>
      <c r="AM80">
        <v>0.38599999999999995</v>
      </c>
      <c r="AN80" t="s">
        <v>168</v>
      </c>
    </row>
    <row r="81" spans="9:40" x14ac:dyDescent="0.45">
      <c r="I81" t="s">
        <v>100</v>
      </c>
      <c r="J81" t="s">
        <v>234</v>
      </c>
      <c r="K81">
        <v>1.3715347470758268E-2</v>
      </c>
      <c r="L81" t="s">
        <v>84</v>
      </c>
      <c r="N81" t="s">
        <v>116</v>
      </c>
      <c r="O81" t="s">
        <v>234</v>
      </c>
      <c r="P81">
        <v>7.3978800364503328E-2</v>
      </c>
      <c r="Q81" t="s">
        <v>84</v>
      </c>
      <c r="S81" t="s">
        <v>131</v>
      </c>
      <c r="T81" t="s">
        <v>234</v>
      </c>
      <c r="U81">
        <v>0.10757108561809306</v>
      </c>
      <c r="V81" t="s">
        <v>84</v>
      </c>
      <c r="AK81">
        <v>2039</v>
      </c>
      <c r="AL81" t="s">
        <v>221</v>
      </c>
      <c r="AM81">
        <v>0.43286666666666668</v>
      </c>
      <c r="AN81" t="s">
        <v>168</v>
      </c>
    </row>
    <row r="82" spans="9:40" x14ac:dyDescent="0.45">
      <c r="I82" t="s">
        <v>100</v>
      </c>
      <c r="J82" t="s">
        <v>235</v>
      </c>
      <c r="K82">
        <v>4.7086590632268277E-2</v>
      </c>
      <c r="L82" t="s">
        <v>84</v>
      </c>
      <c r="N82" t="s">
        <v>116</v>
      </c>
      <c r="O82" t="s">
        <v>235</v>
      </c>
      <c r="P82">
        <v>2.167935823928278E-2</v>
      </c>
      <c r="Q82" t="s">
        <v>84</v>
      </c>
      <c r="S82" t="s">
        <v>131</v>
      </c>
      <c r="T82" t="s">
        <v>235</v>
      </c>
      <c r="U82">
        <v>2.1108110061217149E-2</v>
      </c>
      <c r="V82" t="s">
        <v>84</v>
      </c>
      <c r="AK82">
        <v>2039</v>
      </c>
      <c r="AL82" t="s">
        <v>223</v>
      </c>
      <c r="AM82">
        <v>0.40263333333333334</v>
      </c>
      <c r="AN82" t="s">
        <v>168</v>
      </c>
    </row>
    <row r="83" spans="9:40" x14ac:dyDescent="0.45">
      <c r="I83" t="s">
        <v>101</v>
      </c>
      <c r="J83" t="s">
        <v>224</v>
      </c>
      <c r="K83">
        <v>0.27461372585796834</v>
      </c>
      <c r="L83" t="s">
        <v>84</v>
      </c>
      <c r="N83" t="s">
        <v>117</v>
      </c>
      <c r="O83" t="s">
        <v>224</v>
      </c>
      <c r="P83">
        <v>0.14373333418641887</v>
      </c>
      <c r="Q83" t="s">
        <v>84</v>
      </c>
      <c r="S83" t="s">
        <v>132</v>
      </c>
      <c r="T83" t="s">
        <v>224</v>
      </c>
      <c r="U83">
        <v>0.13631191197382164</v>
      </c>
      <c r="V83" t="s">
        <v>84</v>
      </c>
      <c r="AK83">
        <v>2040</v>
      </c>
      <c r="AL83" t="s">
        <v>218</v>
      </c>
      <c r="AM83">
        <v>0.44496666666666668</v>
      </c>
      <c r="AN83" t="s">
        <v>168</v>
      </c>
    </row>
    <row r="84" spans="9:40" x14ac:dyDescent="0.45">
      <c r="I84" t="s">
        <v>101</v>
      </c>
      <c r="J84" t="s">
        <v>225</v>
      </c>
      <c r="K84">
        <v>6.1839077683512999E-3</v>
      </c>
      <c r="L84" t="s">
        <v>84</v>
      </c>
      <c r="N84" t="s">
        <v>117</v>
      </c>
      <c r="O84" t="s">
        <v>225</v>
      </c>
      <c r="P84">
        <v>0.11597156258059318</v>
      </c>
      <c r="Q84" t="s">
        <v>84</v>
      </c>
      <c r="S84" t="s">
        <v>132</v>
      </c>
      <c r="T84" t="s">
        <v>225</v>
      </c>
      <c r="U84">
        <v>0.14181727449016915</v>
      </c>
      <c r="V84" t="s">
        <v>84</v>
      </c>
      <c r="AK84">
        <v>2040</v>
      </c>
      <c r="AL84" t="s">
        <v>220</v>
      </c>
      <c r="AM84">
        <v>0.38796666666666663</v>
      </c>
      <c r="AN84" t="s">
        <v>168</v>
      </c>
    </row>
    <row r="85" spans="9:40" x14ac:dyDescent="0.45">
      <c r="I85" t="s">
        <v>101</v>
      </c>
      <c r="J85" t="s">
        <v>226</v>
      </c>
      <c r="K85">
        <v>3.2866783087845984E-2</v>
      </c>
      <c r="L85" t="s">
        <v>84</v>
      </c>
      <c r="N85" t="s">
        <v>117</v>
      </c>
      <c r="O85" t="s">
        <v>226</v>
      </c>
      <c r="P85">
        <v>2.8876529678247814E-2</v>
      </c>
      <c r="Q85" t="s">
        <v>84</v>
      </c>
      <c r="S85" t="s">
        <v>132</v>
      </c>
      <c r="T85" t="s">
        <v>226</v>
      </c>
      <c r="U85">
        <v>2.755403429748637E-2</v>
      </c>
      <c r="V85" t="s">
        <v>84</v>
      </c>
      <c r="AK85">
        <v>2040</v>
      </c>
      <c r="AL85" t="s">
        <v>221</v>
      </c>
      <c r="AM85">
        <v>0.45436666666666675</v>
      </c>
      <c r="AN85" t="s">
        <v>168</v>
      </c>
    </row>
    <row r="86" spans="9:40" x14ac:dyDescent="0.45">
      <c r="I86" t="s">
        <v>101</v>
      </c>
      <c r="J86" t="s">
        <v>227</v>
      </c>
      <c r="K86">
        <v>0.16079418670396892</v>
      </c>
      <c r="L86" t="s">
        <v>84</v>
      </c>
      <c r="N86" t="s">
        <v>117</v>
      </c>
      <c r="O86" t="s">
        <v>227</v>
      </c>
      <c r="P86">
        <v>0.10701414856999941</v>
      </c>
      <c r="Q86" t="s">
        <v>84</v>
      </c>
      <c r="S86" t="s">
        <v>132</v>
      </c>
      <c r="T86" t="s">
        <v>227</v>
      </c>
      <c r="U86">
        <v>9.0616383788179128E-2</v>
      </c>
      <c r="V86" t="s">
        <v>84</v>
      </c>
      <c r="AK86">
        <v>2040</v>
      </c>
      <c r="AL86" t="s">
        <v>223</v>
      </c>
      <c r="AM86">
        <v>0.43353333333333333</v>
      </c>
      <c r="AN86" t="s">
        <v>168</v>
      </c>
    </row>
    <row r="87" spans="9:40" x14ac:dyDescent="0.45">
      <c r="I87" t="s">
        <v>101</v>
      </c>
      <c r="J87" t="s">
        <v>228</v>
      </c>
      <c r="K87">
        <v>0</v>
      </c>
      <c r="L87" t="s">
        <v>84</v>
      </c>
      <c r="N87" t="s">
        <v>117</v>
      </c>
      <c r="O87" t="s">
        <v>228</v>
      </c>
      <c r="P87">
        <v>9.9626826023950732E-2</v>
      </c>
      <c r="Q87" t="s">
        <v>84</v>
      </c>
      <c r="S87" t="s">
        <v>132</v>
      </c>
      <c r="T87" t="s">
        <v>228</v>
      </c>
      <c r="U87">
        <v>0.10603455360946369</v>
      </c>
      <c r="V87" t="s">
        <v>84</v>
      </c>
      <c r="AK87">
        <v>2041</v>
      </c>
      <c r="AL87" t="s">
        <v>218</v>
      </c>
      <c r="AM87">
        <v>0.45800000000000002</v>
      </c>
      <c r="AN87" t="s">
        <v>168</v>
      </c>
    </row>
    <row r="88" spans="9:40" x14ac:dyDescent="0.45">
      <c r="I88" t="s">
        <v>101</v>
      </c>
      <c r="J88" t="s">
        <v>229</v>
      </c>
      <c r="K88">
        <v>1.5287429256278065E-2</v>
      </c>
      <c r="L88" t="s">
        <v>84</v>
      </c>
      <c r="N88" t="s">
        <v>117</v>
      </c>
      <c r="O88" t="s">
        <v>229</v>
      </c>
      <c r="P88">
        <v>1.9984947463526494E-2</v>
      </c>
      <c r="Q88" t="s">
        <v>84</v>
      </c>
      <c r="S88" t="s">
        <v>132</v>
      </c>
      <c r="T88" t="s">
        <v>229</v>
      </c>
      <c r="U88">
        <v>1.8410764371443109E-2</v>
      </c>
      <c r="V88" t="s">
        <v>84</v>
      </c>
      <c r="AK88">
        <v>2041</v>
      </c>
      <c r="AL88" t="s">
        <v>220</v>
      </c>
      <c r="AM88">
        <v>0.39083333333333331</v>
      </c>
      <c r="AN88" t="s">
        <v>168</v>
      </c>
    </row>
    <row r="89" spans="9:40" x14ac:dyDescent="0.45">
      <c r="I89" t="s">
        <v>101</v>
      </c>
      <c r="J89" t="s">
        <v>230</v>
      </c>
      <c r="K89">
        <v>9.5153152816126851E-2</v>
      </c>
      <c r="L89" t="s">
        <v>84</v>
      </c>
      <c r="N89" t="s">
        <v>117</v>
      </c>
      <c r="O89" t="s">
        <v>230</v>
      </c>
      <c r="P89">
        <v>0.11905610565840651</v>
      </c>
      <c r="Q89" t="s">
        <v>84</v>
      </c>
      <c r="S89" t="s">
        <v>132</v>
      </c>
      <c r="T89" t="s">
        <v>230</v>
      </c>
      <c r="U89">
        <v>0.11712571449555187</v>
      </c>
      <c r="V89" t="s">
        <v>84</v>
      </c>
      <c r="AK89">
        <v>2041</v>
      </c>
      <c r="AL89" t="s">
        <v>221</v>
      </c>
      <c r="AM89">
        <v>0.48833333333333329</v>
      </c>
      <c r="AN89" t="s">
        <v>168</v>
      </c>
    </row>
    <row r="90" spans="9:40" x14ac:dyDescent="0.45">
      <c r="I90" t="s">
        <v>101</v>
      </c>
      <c r="J90" t="s">
        <v>231</v>
      </c>
      <c r="K90">
        <v>0</v>
      </c>
      <c r="L90" t="s">
        <v>84</v>
      </c>
      <c r="N90" t="s">
        <v>117</v>
      </c>
      <c r="O90" t="s">
        <v>231</v>
      </c>
      <c r="P90">
        <v>0.12090440527940445</v>
      </c>
      <c r="Q90" t="s">
        <v>84</v>
      </c>
      <c r="S90" t="s">
        <v>132</v>
      </c>
      <c r="T90" t="s">
        <v>231</v>
      </c>
      <c r="U90">
        <v>0.12149479363245422</v>
      </c>
      <c r="V90" t="s">
        <v>84</v>
      </c>
      <c r="AK90">
        <v>2041</v>
      </c>
      <c r="AL90" t="s">
        <v>223</v>
      </c>
      <c r="AM90">
        <v>0.4136333333333333</v>
      </c>
      <c r="AN90" t="s">
        <v>168</v>
      </c>
    </row>
    <row r="91" spans="9:40" x14ac:dyDescent="0.45">
      <c r="I91" t="s">
        <v>101</v>
      </c>
      <c r="J91" t="s">
        <v>232</v>
      </c>
      <c r="K91">
        <v>3.1582745762005864E-3</v>
      </c>
      <c r="L91" t="s">
        <v>84</v>
      </c>
      <c r="N91" t="s">
        <v>117</v>
      </c>
      <c r="O91" t="s">
        <v>232</v>
      </c>
      <c r="P91">
        <v>2.1570585381189521E-2</v>
      </c>
      <c r="Q91" t="s">
        <v>84</v>
      </c>
      <c r="S91" t="s">
        <v>132</v>
      </c>
      <c r="T91" t="s">
        <v>232</v>
      </c>
      <c r="U91">
        <v>2.3759366554526117E-2</v>
      </c>
      <c r="V91" t="s">
        <v>84</v>
      </c>
      <c r="AK91">
        <v>2042</v>
      </c>
      <c r="AL91" t="s">
        <v>218</v>
      </c>
      <c r="AM91">
        <v>0.42106666666666664</v>
      </c>
      <c r="AN91" t="s">
        <v>168</v>
      </c>
    </row>
    <row r="92" spans="9:40" x14ac:dyDescent="0.45">
      <c r="I92" t="s">
        <v>101</v>
      </c>
      <c r="J92" t="s">
        <v>233</v>
      </c>
      <c r="K92">
        <v>0.34117959643753909</v>
      </c>
      <c r="L92" t="s">
        <v>84</v>
      </c>
      <c r="N92" t="s">
        <v>117</v>
      </c>
      <c r="O92" t="s">
        <v>233</v>
      </c>
      <c r="P92">
        <v>0.114856659216511</v>
      </c>
      <c r="Q92" t="s">
        <v>84</v>
      </c>
      <c r="S92" t="s">
        <v>132</v>
      </c>
      <c r="T92" t="s">
        <v>233</v>
      </c>
      <c r="U92">
        <v>8.7637318044870141E-2</v>
      </c>
      <c r="V92" t="s">
        <v>84</v>
      </c>
      <c r="AK92">
        <v>2042</v>
      </c>
      <c r="AL92" t="s">
        <v>220</v>
      </c>
      <c r="AM92">
        <v>0.36483333333333334</v>
      </c>
      <c r="AN92" t="s">
        <v>168</v>
      </c>
    </row>
    <row r="93" spans="9:40" x14ac:dyDescent="0.45">
      <c r="I93" t="s">
        <v>101</v>
      </c>
      <c r="J93" t="s">
        <v>234</v>
      </c>
      <c r="K93">
        <v>2.0049139669857819E-2</v>
      </c>
      <c r="L93" t="s">
        <v>84</v>
      </c>
      <c r="N93" t="s">
        <v>117</v>
      </c>
      <c r="O93" t="s">
        <v>234</v>
      </c>
      <c r="P93">
        <v>8.8608194995052972E-2</v>
      </c>
      <c r="Q93" t="s">
        <v>84</v>
      </c>
      <c r="S93" t="s">
        <v>132</v>
      </c>
      <c r="T93" t="s">
        <v>234</v>
      </c>
      <c r="U93">
        <v>0.10869410390245007</v>
      </c>
      <c r="V93" t="s">
        <v>84</v>
      </c>
      <c r="AK93">
        <v>2042</v>
      </c>
      <c r="AL93" t="s">
        <v>221</v>
      </c>
      <c r="AM93">
        <v>0.45966666666666667</v>
      </c>
      <c r="AN93" t="s">
        <v>168</v>
      </c>
    </row>
    <row r="94" spans="9:40" x14ac:dyDescent="0.45">
      <c r="I94" t="s">
        <v>101</v>
      </c>
      <c r="J94" t="s">
        <v>235</v>
      </c>
      <c r="K94">
        <v>5.071380382586646E-2</v>
      </c>
      <c r="L94" t="s">
        <v>84</v>
      </c>
      <c r="N94" t="s">
        <v>117</v>
      </c>
      <c r="O94" t="s">
        <v>235</v>
      </c>
      <c r="P94">
        <v>1.9796700966696883E-2</v>
      </c>
      <c r="Q94" t="s">
        <v>84</v>
      </c>
      <c r="S94" t="s">
        <v>132</v>
      </c>
      <c r="T94" t="s">
        <v>235</v>
      </c>
      <c r="U94">
        <v>2.054378083958357E-2</v>
      </c>
      <c r="V94" t="s">
        <v>84</v>
      </c>
      <c r="AK94">
        <v>2042</v>
      </c>
      <c r="AL94" t="s">
        <v>223</v>
      </c>
      <c r="AM94">
        <v>0.38640000000000002</v>
      </c>
      <c r="AN94" t="s">
        <v>168</v>
      </c>
    </row>
    <row r="95" spans="9:40" x14ac:dyDescent="0.45">
      <c r="I95" t="s">
        <v>102</v>
      </c>
      <c r="J95" t="s">
        <v>224</v>
      </c>
      <c r="K95">
        <v>0.28700096944428827</v>
      </c>
      <c r="L95" t="s">
        <v>84</v>
      </c>
      <c r="N95" t="s">
        <v>118</v>
      </c>
      <c r="O95" t="s">
        <v>224</v>
      </c>
      <c r="P95">
        <v>0.16662737823144463</v>
      </c>
      <c r="Q95" t="s">
        <v>84</v>
      </c>
      <c r="S95" t="s">
        <v>133</v>
      </c>
      <c r="T95" t="s">
        <v>224</v>
      </c>
      <c r="U95">
        <v>0.12773282981347808</v>
      </c>
      <c r="V95" t="s">
        <v>84</v>
      </c>
      <c r="AK95">
        <v>2043</v>
      </c>
      <c r="AL95" t="s">
        <v>218</v>
      </c>
      <c r="AM95">
        <v>0.44046666666666673</v>
      </c>
      <c r="AN95" t="s">
        <v>168</v>
      </c>
    </row>
    <row r="96" spans="9:40" x14ac:dyDescent="0.45">
      <c r="I96" t="s">
        <v>102</v>
      </c>
      <c r="J96" t="s">
        <v>225</v>
      </c>
      <c r="K96">
        <v>6.302506030660634E-3</v>
      </c>
      <c r="L96" t="s">
        <v>84</v>
      </c>
      <c r="N96" t="s">
        <v>118</v>
      </c>
      <c r="O96" t="s">
        <v>225</v>
      </c>
      <c r="P96">
        <v>0.11872809207699352</v>
      </c>
      <c r="Q96" t="s">
        <v>84</v>
      </c>
      <c r="S96" t="s">
        <v>133</v>
      </c>
      <c r="T96" t="s">
        <v>225</v>
      </c>
      <c r="U96">
        <v>0.13342783544551989</v>
      </c>
      <c r="V96" t="s">
        <v>84</v>
      </c>
      <c r="AK96">
        <v>2043</v>
      </c>
      <c r="AL96" t="s">
        <v>220</v>
      </c>
      <c r="AM96">
        <v>0.37816666666666671</v>
      </c>
      <c r="AN96" t="s">
        <v>168</v>
      </c>
    </row>
    <row r="97" spans="9:40" x14ac:dyDescent="0.45">
      <c r="I97" t="s">
        <v>102</v>
      </c>
      <c r="J97" t="s">
        <v>226</v>
      </c>
      <c r="K97">
        <v>3.2281139865930737E-2</v>
      </c>
      <c r="L97" t="s">
        <v>84</v>
      </c>
      <c r="N97" t="s">
        <v>118</v>
      </c>
      <c r="O97" t="s">
        <v>226</v>
      </c>
      <c r="P97">
        <v>2.8009701740302283E-2</v>
      </c>
      <c r="Q97" t="s">
        <v>84</v>
      </c>
      <c r="S97" t="s">
        <v>133</v>
      </c>
      <c r="T97" t="s">
        <v>226</v>
      </c>
      <c r="U97">
        <v>2.3586290961507272E-2</v>
      </c>
      <c r="V97" t="s">
        <v>84</v>
      </c>
      <c r="AK97">
        <v>2043</v>
      </c>
      <c r="AL97" t="s">
        <v>221</v>
      </c>
      <c r="AM97">
        <v>0.46423333333333333</v>
      </c>
      <c r="AN97" t="s">
        <v>168</v>
      </c>
    </row>
    <row r="98" spans="9:40" x14ac:dyDescent="0.45">
      <c r="I98" t="s">
        <v>102</v>
      </c>
      <c r="J98" t="s">
        <v>227</v>
      </c>
      <c r="K98">
        <v>0.15771008521037647</v>
      </c>
      <c r="L98" t="s">
        <v>84</v>
      </c>
      <c r="N98" t="s">
        <v>118</v>
      </c>
      <c r="O98" t="s">
        <v>227</v>
      </c>
      <c r="P98">
        <v>0.1141958403167343</v>
      </c>
      <c r="Q98" t="s">
        <v>84</v>
      </c>
      <c r="S98" t="s">
        <v>133</v>
      </c>
      <c r="T98" t="s">
        <v>227</v>
      </c>
      <c r="U98">
        <v>9.9426599264382423E-2</v>
      </c>
      <c r="V98" t="s">
        <v>84</v>
      </c>
      <c r="AK98">
        <v>2043</v>
      </c>
      <c r="AL98" t="s">
        <v>223</v>
      </c>
      <c r="AM98">
        <v>0.42126666666666668</v>
      </c>
      <c r="AN98" t="s">
        <v>168</v>
      </c>
    </row>
    <row r="99" spans="9:40" x14ac:dyDescent="0.45">
      <c r="I99" t="s">
        <v>102</v>
      </c>
      <c r="J99" t="s">
        <v>228</v>
      </c>
      <c r="K99">
        <v>0</v>
      </c>
      <c r="L99" t="s">
        <v>84</v>
      </c>
      <c r="N99" t="s">
        <v>118</v>
      </c>
      <c r="O99" t="s">
        <v>228</v>
      </c>
      <c r="P99">
        <v>9.5090574752109663E-2</v>
      </c>
      <c r="Q99" t="s">
        <v>84</v>
      </c>
      <c r="S99" t="s">
        <v>133</v>
      </c>
      <c r="T99" t="s">
        <v>228</v>
      </c>
      <c r="U99">
        <v>0.10880680497461016</v>
      </c>
      <c r="V99" t="s">
        <v>84</v>
      </c>
      <c r="AK99">
        <v>2044</v>
      </c>
      <c r="AL99" t="s">
        <v>218</v>
      </c>
      <c r="AM99">
        <v>0.41699999999999998</v>
      </c>
      <c r="AN99" t="s">
        <v>168</v>
      </c>
    </row>
    <row r="100" spans="9:40" x14ac:dyDescent="0.45">
      <c r="I100" t="s">
        <v>102</v>
      </c>
      <c r="J100" t="s">
        <v>229</v>
      </c>
      <c r="K100">
        <v>1.4869683955594508E-2</v>
      </c>
      <c r="L100" t="s">
        <v>84</v>
      </c>
      <c r="N100" t="s">
        <v>118</v>
      </c>
      <c r="O100" t="s">
        <v>229</v>
      </c>
      <c r="P100">
        <v>1.9322305388973091E-2</v>
      </c>
      <c r="Q100" t="s">
        <v>84</v>
      </c>
      <c r="S100" t="s">
        <v>133</v>
      </c>
      <c r="T100" t="s">
        <v>229</v>
      </c>
      <c r="U100">
        <v>1.973012124696924E-2</v>
      </c>
      <c r="V100" t="s">
        <v>84</v>
      </c>
      <c r="AK100">
        <v>2044</v>
      </c>
      <c r="AL100" t="s">
        <v>220</v>
      </c>
      <c r="AM100">
        <v>0.4052</v>
      </c>
      <c r="AN100" t="s">
        <v>168</v>
      </c>
    </row>
    <row r="101" spans="9:40" x14ac:dyDescent="0.45">
      <c r="I101" t="s">
        <v>102</v>
      </c>
      <c r="J101" t="s">
        <v>230</v>
      </c>
      <c r="K101">
        <v>9.6711741806306414E-2</v>
      </c>
      <c r="L101" t="s">
        <v>84</v>
      </c>
      <c r="N101" t="s">
        <v>118</v>
      </c>
      <c r="O101" t="s">
        <v>230</v>
      </c>
      <c r="P101">
        <v>0.10650599521569565</v>
      </c>
      <c r="Q101" t="s">
        <v>84</v>
      </c>
      <c r="S101" t="s">
        <v>133</v>
      </c>
      <c r="T101" t="s">
        <v>230</v>
      </c>
      <c r="U101">
        <v>0.11700620103246892</v>
      </c>
      <c r="V101" t="s">
        <v>84</v>
      </c>
      <c r="AK101">
        <v>2044</v>
      </c>
      <c r="AL101" t="s">
        <v>221</v>
      </c>
      <c r="AM101">
        <v>0.45683333333333326</v>
      </c>
      <c r="AN101" t="s">
        <v>168</v>
      </c>
    </row>
    <row r="102" spans="9:40" x14ac:dyDescent="0.45">
      <c r="I102" t="s">
        <v>102</v>
      </c>
      <c r="J102" t="s">
        <v>231</v>
      </c>
      <c r="K102">
        <v>0</v>
      </c>
      <c r="L102" t="s">
        <v>84</v>
      </c>
      <c r="N102" t="s">
        <v>118</v>
      </c>
      <c r="O102" t="s">
        <v>231</v>
      </c>
      <c r="P102">
        <v>0.10913196764547575</v>
      </c>
      <c r="Q102" t="s">
        <v>84</v>
      </c>
      <c r="S102" t="s">
        <v>133</v>
      </c>
      <c r="T102" t="s">
        <v>231</v>
      </c>
      <c r="U102">
        <v>0.12117924725533027</v>
      </c>
      <c r="V102" t="s">
        <v>84</v>
      </c>
      <c r="AK102">
        <v>2044</v>
      </c>
      <c r="AL102" t="s">
        <v>223</v>
      </c>
      <c r="AM102">
        <v>0.39266666666666666</v>
      </c>
      <c r="AN102" t="s">
        <v>168</v>
      </c>
    </row>
    <row r="103" spans="9:40" x14ac:dyDescent="0.45">
      <c r="I103" t="s">
        <v>102</v>
      </c>
      <c r="J103" t="s">
        <v>232</v>
      </c>
      <c r="K103">
        <v>3.6791826204073913E-3</v>
      </c>
      <c r="L103" t="s">
        <v>84</v>
      </c>
      <c r="N103" t="s">
        <v>118</v>
      </c>
      <c r="O103" t="s">
        <v>232</v>
      </c>
      <c r="P103">
        <v>1.8349756142875904E-2</v>
      </c>
      <c r="Q103" t="s">
        <v>84</v>
      </c>
      <c r="S103" t="s">
        <v>133</v>
      </c>
      <c r="T103" t="s">
        <v>232</v>
      </c>
      <c r="U103">
        <v>2.2086701925901647E-2</v>
      </c>
      <c r="V103" t="s">
        <v>84</v>
      </c>
      <c r="AK103">
        <v>2045</v>
      </c>
      <c r="AL103" t="s">
        <v>218</v>
      </c>
      <c r="AM103">
        <v>0.59743333333333337</v>
      </c>
      <c r="AN103" t="s">
        <v>168</v>
      </c>
    </row>
    <row r="104" spans="9:40" x14ac:dyDescent="0.45">
      <c r="I104" t="s">
        <v>102</v>
      </c>
      <c r="J104" t="s">
        <v>233</v>
      </c>
      <c r="K104">
        <v>0.33564952973724849</v>
      </c>
      <c r="L104" t="s">
        <v>84</v>
      </c>
      <c r="N104" t="s">
        <v>118</v>
      </c>
      <c r="O104" t="s">
        <v>233</v>
      </c>
      <c r="P104">
        <v>0.12112141815603571</v>
      </c>
      <c r="Q104" t="s">
        <v>84</v>
      </c>
      <c r="S104" t="s">
        <v>133</v>
      </c>
      <c r="T104" t="s">
        <v>233</v>
      </c>
      <c r="U104">
        <v>9.8926217953389156E-2</v>
      </c>
      <c r="V104" t="s">
        <v>84</v>
      </c>
      <c r="AK104">
        <v>2045</v>
      </c>
      <c r="AL104" t="s">
        <v>220</v>
      </c>
      <c r="AM104">
        <v>0.54843333333333333</v>
      </c>
      <c r="AN104" t="s">
        <v>168</v>
      </c>
    </row>
    <row r="105" spans="9:40" x14ac:dyDescent="0.45">
      <c r="I105" t="s">
        <v>102</v>
      </c>
      <c r="J105" t="s">
        <v>234</v>
      </c>
      <c r="K105">
        <v>1.9318187175607803E-2</v>
      </c>
      <c r="L105" t="s">
        <v>84</v>
      </c>
      <c r="N105" t="s">
        <v>118</v>
      </c>
      <c r="O105" t="s">
        <v>234</v>
      </c>
      <c r="P105">
        <v>8.1587616040912497E-2</v>
      </c>
      <c r="Q105" t="s">
        <v>84</v>
      </c>
      <c r="S105" t="s">
        <v>133</v>
      </c>
      <c r="T105" t="s">
        <v>234</v>
      </c>
      <c r="U105">
        <v>0.10933007889654263</v>
      </c>
      <c r="V105" t="s">
        <v>84</v>
      </c>
      <c r="AK105">
        <v>2045</v>
      </c>
      <c r="AL105" t="s">
        <v>221</v>
      </c>
      <c r="AM105">
        <v>0.62136666666666662</v>
      </c>
      <c r="AN105" t="s">
        <v>168</v>
      </c>
    </row>
    <row r="106" spans="9:40" x14ac:dyDescent="0.45">
      <c r="I106" t="s">
        <v>102</v>
      </c>
      <c r="J106" t="s">
        <v>235</v>
      </c>
      <c r="K106">
        <v>4.6476974153578439E-2</v>
      </c>
      <c r="L106" t="s">
        <v>84</v>
      </c>
      <c r="N106" t="s">
        <v>118</v>
      </c>
      <c r="O106" t="s">
        <v>235</v>
      </c>
      <c r="P106">
        <v>2.1329354292444615E-2</v>
      </c>
      <c r="Q106" t="s">
        <v>84</v>
      </c>
      <c r="S106" t="s">
        <v>133</v>
      </c>
      <c r="T106" t="s">
        <v>235</v>
      </c>
      <c r="U106">
        <v>1.8761071229898337E-2</v>
      </c>
      <c r="V106" t="s">
        <v>84</v>
      </c>
      <c r="AK106">
        <v>2045</v>
      </c>
      <c r="AL106" t="s">
        <v>223</v>
      </c>
      <c r="AM106">
        <v>0.57910000000000006</v>
      </c>
      <c r="AN106" t="s">
        <v>168</v>
      </c>
    </row>
    <row r="107" spans="9:40" x14ac:dyDescent="0.45">
      <c r="I107" t="s">
        <v>103</v>
      </c>
      <c r="J107" t="s">
        <v>224</v>
      </c>
      <c r="K107">
        <v>0.27798884602119778</v>
      </c>
      <c r="L107" t="s">
        <v>84</v>
      </c>
      <c r="N107" t="s">
        <v>119</v>
      </c>
      <c r="O107" t="s">
        <v>224</v>
      </c>
      <c r="P107">
        <v>0.12848498578110407</v>
      </c>
      <c r="Q107" t="s">
        <v>84</v>
      </c>
      <c r="S107" t="s">
        <v>134</v>
      </c>
      <c r="T107" t="s">
        <v>224</v>
      </c>
      <c r="U107">
        <v>0.16133811998607031</v>
      </c>
      <c r="V107" t="s">
        <v>84</v>
      </c>
      <c r="AK107">
        <v>2046</v>
      </c>
      <c r="AL107" t="s">
        <v>218</v>
      </c>
      <c r="AM107">
        <v>0.59093333333333342</v>
      </c>
      <c r="AN107" t="s">
        <v>168</v>
      </c>
    </row>
    <row r="108" spans="9:40" x14ac:dyDescent="0.45">
      <c r="I108" t="s">
        <v>103</v>
      </c>
      <c r="J108" t="s">
        <v>225</v>
      </c>
      <c r="K108">
        <v>6.7956282059667998E-3</v>
      </c>
      <c r="L108" t="s">
        <v>84</v>
      </c>
      <c r="N108" t="s">
        <v>119</v>
      </c>
      <c r="O108" t="s">
        <v>225</v>
      </c>
      <c r="P108">
        <v>0.11479264962850468</v>
      </c>
      <c r="Q108" t="s">
        <v>84</v>
      </c>
      <c r="S108" t="s">
        <v>134</v>
      </c>
      <c r="T108" t="s">
        <v>225</v>
      </c>
      <c r="U108">
        <v>0.1396863053744824</v>
      </c>
      <c r="V108" t="s">
        <v>84</v>
      </c>
      <c r="AK108">
        <v>2046</v>
      </c>
      <c r="AL108" t="s">
        <v>220</v>
      </c>
      <c r="AM108">
        <v>0.52200000000000002</v>
      </c>
      <c r="AN108" t="s">
        <v>168</v>
      </c>
    </row>
    <row r="109" spans="9:40" x14ac:dyDescent="0.45">
      <c r="I109" t="s">
        <v>103</v>
      </c>
      <c r="J109" t="s">
        <v>226</v>
      </c>
      <c r="K109">
        <v>3.4690461565282382E-2</v>
      </c>
      <c r="L109" t="s">
        <v>84</v>
      </c>
      <c r="N109" t="s">
        <v>119</v>
      </c>
      <c r="O109" t="s">
        <v>226</v>
      </c>
      <c r="P109">
        <v>2.3609265224149384E-2</v>
      </c>
      <c r="Q109" t="s">
        <v>84</v>
      </c>
      <c r="S109" t="s">
        <v>134</v>
      </c>
      <c r="T109" t="s">
        <v>226</v>
      </c>
      <c r="U109">
        <v>2.6147508845605936E-2</v>
      </c>
      <c r="V109" t="s">
        <v>84</v>
      </c>
      <c r="AK109">
        <v>2046</v>
      </c>
      <c r="AL109" t="s">
        <v>221</v>
      </c>
      <c r="AM109">
        <v>0.63519999999999999</v>
      </c>
      <c r="AN109" t="s">
        <v>168</v>
      </c>
    </row>
    <row r="110" spans="9:40" x14ac:dyDescent="0.45">
      <c r="I110" t="s">
        <v>103</v>
      </c>
      <c r="J110" t="s">
        <v>227</v>
      </c>
      <c r="K110">
        <v>0.16047334072655836</v>
      </c>
      <c r="L110" t="s">
        <v>84</v>
      </c>
      <c r="N110" t="s">
        <v>119</v>
      </c>
      <c r="O110" t="s">
        <v>227</v>
      </c>
      <c r="P110">
        <v>0.11255175815170487</v>
      </c>
      <c r="Q110" t="s">
        <v>84</v>
      </c>
      <c r="S110" t="s">
        <v>134</v>
      </c>
      <c r="T110" t="s">
        <v>227</v>
      </c>
      <c r="U110">
        <v>9.1271659083217244E-2</v>
      </c>
      <c r="V110" t="s">
        <v>84</v>
      </c>
      <c r="AK110">
        <v>2046</v>
      </c>
      <c r="AL110" t="s">
        <v>223</v>
      </c>
      <c r="AM110">
        <v>0.5655</v>
      </c>
      <c r="AN110" t="s">
        <v>168</v>
      </c>
    </row>
    <row r="111" spans="9:40" x14ac:dyDescent="0.45">
      <c r="I111" t="s">
        <v>103</v>
      </c>
      <c r="J111" t="s">
        <v>228</v>
      </c>
      <c r="K111">
        <v>0</v>
      </c>
      <c r="L111" t="s">
        <v>84</v>
      </c>
      <c r="N111" t="s">
        <v>119</v>
      </c>
      <c r="O111" t="s">
        <v>228</v>
      </c>
      <c r="P111">
        <v>0.11352381997512329</v>
      </c>
      <c r="Q111" t="s">
        <v>84</v>
      </c>
      <c r="S111" t="s">
        <v>134</v>
      </c>
      <c r="T111" t="s">
        <v>228</v>
      </c>
      <c r="U111">
        <v>9.5459748936948613E-2</v>
      </c>
      <c r="V111" t="s">
        <v>84</v>
      </c>
      <c r="AK111">
        <v>2047</v>
      </c>
      <c r="AL111" t="s">
        <v>218</v>
      </c>
      <c r="AM111">
        <v>0.59033333333333327</v>
      </c>
      <c r="AN111" t="s">
        <v>168</v>
      </c>
    </row>
    <row r="112" spans="9:40" x14ac:dyDescent="0.45">
      <c r="I112" t="s">
        <v>103</v>
      </c>
      <c r="J112" t="s">
        <v>229</v>
      </c>
      <c r="K112">
        <v>1.7397083956947033E-2</v>
      </c>
      <c r="L112" t="s">
        <v>84</v>
      </c>
      <c r="N112" t="s">
        <v>119</v>
      </c>
      <c r="O112" t="s">
        <v>229</v>
      </c>
      <c r="P112">
        <v>2.1888954566639415E-2</v>
      </c>
      <c r="Q112" t="s">
        <v>84</v>
      </c>
      <c r="S112" t="s">
        <v>134</v>
      </c>
      <c r="T112" t="s">
        <v>229</v>
      </c>
      <c r="U112">
        <v>1.9016508002978296E-2</v>
      </c>
      <c r="V112" t="s">
        <v>84</v>
      </c>
      <c r="AK112">
        <v>2047</v>
      </c>
      <c r="AL112" t="s">
        <v>220</v>
      </c>
      <c r="AM112">
        <v>0.52116666666666667</v>
      </c>
      <c r="AN112" t="s">
        <v>168</v>
      </c>
    </row>
    <row r="113" spans="9:40" x14ac:dyDescent="0.45">
      <c r="I113" t="s">
        <v>103</v>
      </c>
      <c r="J113" t="s">
        <v>230</v>
      </c>
      <c r="K113">
        <v>9.2940517838097675E-2</v>
      </c>
      <c r="L113" t="s">
        <v>84</v>
      </c>
      <c r="N113" t="s">
        <v>119</v>
      </c>
      <c r="O113" t="s">
        <v>230</v>
      </c>
      <c r="P113">
        <v>0.11138731951314058</v>
      </c>
      <c r="Q113" t="s">
        <v>84</v>
      </c>
      <c r="S113" t="s">
        <v>134</v>
      </c>
      <c r="T113" t="s">
        <v>230</v>
      </c>
      <c r="U113">
        <v>0.11896745967975597</v>
      </c>
      <c r="V113" t="s">
        <v>84</v>
      </c>
      <c r="AK113">
        <v>2047</v>
      </c>
      <c r="AL113" t="s">
        <v>221</v>
      </c>
      <c r="AM113">
        <v>0.61473333333333324</v>
      </c>
      <c r="AN113" t="s">
        <v>168</v>
      </c>
    </row>
    <row r="114" spans="9:40" x14ac:dyDescent="0.45">
      <c r="I114" t="s">
        <v>103</v>
      </c>
      <c r="J114" t="s">
        <v>231</v>
      </c>
      <c r="K114">
        <v>0</v>
      </c>
      <c r="L114" t="s">
        <v>84</v>
      </c>
      <c r="N114" t="s">
        <v>119</v>
      </c>
      <c r="O114" t="s">
        <v>231</v>
      </c>
      <c r="P114">
        <v>0.11732310618820274</v>
      </c>
      <c r="Q114" t="s">
        <v>84</v>
      </c>
      <c r="S114" t="s">
        <v>134</v>
      </c>
      <c r="T114" t="s">
        <v>231</v>
      </c>
      <c r="U114">
        <v>0.11222649839474506</v>
      </c>
      <c r="V114" t="s">
        <v>84</v>
      </c>
      <c r="AK114">
        <v>2047</v>
      </c>
      <c r="AL114" t="s">
        <v>223</v>
      </c>
      <c r="AM114">
        <v>0.53056666666666674</v>
      </c>
      <c r="AN114" t="s">
        <v>168</v>
      </c>
    </row>
    <row r="115" spans="9:40" x14ac:dyDescent="0.45">
      <c r="I115" t="s">
        <v>103</v>
      </c>
      <c r="J115" t="s">
        <v>232</v>
      </c>
      <c r="K115">
        <v>3.4623582809782658E-3</v>
      </c>
      <c r="L115" t="s">
        <v>84</v>
      </c>
      <c r="N115" t="s">
        <v>119</v>
      </c>
      <c r="O115" t="s">
        <v>232</v>
      </c>
      <c r="P115">
        <v>2.0493732605007531E-2</v>
      </c>
      <c r="Q115" t="s">
        <v>84</v>
      </c>
      <c r="S115" t="s">
        <v>134</v>
      </c>
      <c r="T115" t="s">
        <v>232</v>
      </c>
      <c r="U115">
        <v>2.2089762478229597E-2</v>
      </c>
      <c r="V115" t="s">
        <v>84</v>
      </c>
      <c r="AK115">
        <v>2048</v>
      </c>
      <c r="AL115" t="s">
        <v>218</v>
      </c>
      <c r="AM115">
        <v>0.57643333333333324</v>
      </c>
      <c r="AN115" t="s">
        <v>168</v>
      </c>
    </row>
    <row r="116" spans="9:40" x14ac:dyDescent="0.45">
      <c r="I116" t="s">
        <v>103</v>
      </c>
      <c r="J116" t="s">
        <v>233</v>
      </c>
      <c r="K116">
        <v>0.33421604994028226</v>
      </c>
      <c r="L116" t="s">
        <v>84</v>
      </c>
      <c r="N116" t="s">
        <v>119</v>
      </c>
      <c r="O116" t="s">
        <v>233</v>
      </c>
      <c r="P116">
        <v>0.1120922117980208</v>
      </c>
      <c r="Q116" t="s">
        <v>84</v>
      </c>
      <c r="S116" t="s">
        <v>134</v>
      </c>
      <c r="T116" t="s">
        <v>233</v>
      </c>
      <c r="U116">
        <v>0.10258804022213562</v>
      </c>
      <c r="V116" t="s">
        <v>84</v>
      </c>
      <c r="AK116">
        <v>2048</v>
      </c>
      <c r="AL116" t="s">
        <v>220</v>
      </c>
      <c r="AM116">
        <v>0.5043333333333333</v>
      </c>
      <c r="AN116" t="s">
        <v>168</v>
      </c>
    </row>
    <row r="117" spans="9:40" x14ac:dyDescent="0.45">
      <c r="I117" t="s">
        <v>103</v>
      </c>
      <c r="J117" t="s">
        <v>234</v>
      </c>
      <c r="K117">
        <v>1.9794019616507751E-2</v>
      </c>
      <c r="L117" t="s">
        <v>84</v>
      </c>
      <c r="N117" t="s">
        <v>119</v>
      </c>
      <c r="O117" t="s">
        <v>234</v>
      </c>
      <c r="P117">
        <v>0.10336961264515757</v>
      </c>
      <c r="Q117" t="s">
        <v>84</v>
      </c>
      <c r="S117" t="s">
        <v>134</v>
      </c>
      <c r="T117" t="s">
        <v>234</v>
      </c>
      <c r="U117">
        <v>8.8648441447009133E-2</v>
      </c>
      <c r="V117" t="s">
        <v>84</v>
      </c>
      <c r="AK117">
        <v>2048</v>
      </c>
      <c r="AL117" t="s">
        <v>221</v>
      </c>
      <c r="AM117">
        <v>0.60070000000000001</v>
      </c>
      <c r="AN117" t="s">
        <v>168</v>
      </c>
    </row>
    <row r="118" spans="9:40" x14ac:dyDescent="0.45">
      <c r="I118" t="s">
        <v>103</v>
      </c>
      <c r="J118" t="s">
        <v>235</v>
      </c>
      <c r="K118">
        <v>5.2241693848181746E-2</v>
      </c>
      <c r="L118" t="s">
        <v>84</v>
      </c>
      <c r="N118" t="s">
        <v>119</v>
      </c>
      <c r="O118" t="s">
        <v>235</v>
      </c>
      <c r="P118">
        <v>2.0482583923245323E-2</v>
      </c>
      <c r="Q118" t="s">
        <v>84</v>
      </c>
      <c r="S118" t="s">
        <v>134</v>
      </c>
      <c r="T118" t="s">
        <v>235</v>
      </c>
      <c r="U118">
        <v>2.2559947548823883E-2</v>
      </c>
      <c r="V118" t="s">
        <v>84</v>
      </c>
      <c r="AK118">
        <v>2048</v>
      </c>
      <c r="AL118" t="s">
        <v>223</v>
      </c>
      <c r="AM118">
        <v>0.59526666666666672</v>
      </c>
      <c r="AN118" t="s">
        <v>168</v>
      </c>
    </row>
    <row r="119" spans="9:40" x14ac:dyDescent="0.45">
      <c r="I119" t="s">
        <v>104</v>
      </c>
      <c r="J119" t="s">
        <v>224</v>
      </c>
      <c r="K119">
        <v>0.28397258371456807</v>
      </c>
      <c r="L119" t="s">
        <v>84</v>
      </c>
      <c r="N119" t="s">
        <v>120</v>
      </c>
      <c r="O119" t="s">
        <v>224</v>
      </c>
      <c r="P119">
        <v>0.13286627855673874</v>
      </c>
      <c r="Q119" t="s">
        <v>84</v>
      </c>
      <c r="S119" t="s">
        <v>135</v>
      </c>
      <c r="T119" t="s">
        <v>224</v>
      </c>
      <c r="U119">
        <v>0.12502175555162487</v>
      </c>
      <c r="V119" t="s">
        <v>84</v>
      </c>
      <c r="AK119">
        <v>2049</v>
      </c>
      <c r="AL119" t="s">
        <v>218</v>
      </c>
      <c r="AM119">
        <v>0.49713333333333337</v>
      </c>
      <c r="AN119" t="s">
        <v>168</v>
      </c>
    </row>
    <row r="120" spans="9:40" x14ac:dyDescent="0.45">
      <c r="I120" t="s">
        <v>104</v>
      </c>
      <c r="J120" t="s">
        <v>225</v>
      </c>
      <c r="K120">
        <v>7.4721517721241726E-3</v>
      </c>
      <c r="L120" t="s">
        <v>84</v>
      </c>
      <c r="N120" t="s">
        <v>120</v>
      </c>
      <c r="O120" t="s">
        <v>225</v>
      </c>
      <c r="P120">
        <v>0.11262631980776817</v>
      </c>
      <c r="Q120" t="s">
        <v>84</v>
      </c>
      <c r="S120" t="s">
        <v>135</v>
      </c>
      <c r="T120" t="s">
        <v>225</v>
      </c>
      <c r="U120">
        <v>0.13347037295505365</v>
      </c>
      <c r="V120" t="s">
        <v>84</v>
      </c>
      <c r="AK120">
        <v>2049</v>
      </c>
      <c r="AL120" t="s">
        <v>220</v>
      </c>
      <c r="AM120">
        <v>0.4582</v>
      </c>
      <c r="AN120" t="s">
        <v>168</v>
      </c>
    </row>
    <row r="121" spans="9:40" x14ac:dyDescent="0.45">
      <c r="I121" t="s">
        <v>104</v>
      </c>
      <c r="J121" t="s">
        <v>226</v>
      </c>
      <c r="K121">
        <v>3.6363017620193921E-2</v>
      </c>
      <c r="L121" t="s">
        <v>84</v>
      </c>
      <c r="N121" t="s">
        <v>120</v>
      </c>
      <c r="O121" t="s">
        <v>226</v>
      </c>
      <c r="P121">
        <v>2.4159662756514898E-2</v>
      </c>
      <c r="Q121" t="s">
        <v>84</v>
      </c>
      <c r="S121" t="s">
        <v>135</v>
      </c>
      <c r="T121" t="s">
        <v>226</v>
      </c>
      <c r="U121">
        <v>2.3969808401932566E-2</v>
      </c>
      <c r="V121" t="s">
        <v>84</v>
      </c>
      <c r="AK121">
        <v>2049</v>
      </c>
      <c r="AL121" t="s">
        <v>221</v>
      </c>
      <c r="AM121">
        <v>0.53663333333333341</v>
      </c>
      <c r="AN121" t="s">
        <v>168</v>
      </c>
    </row>
    <row r="122" spans="9:40" x14ac:dyDescent="0.45">
      <c r="I122" t="s">
        <v>104</v>
      </c>
      <c r="J122" t="s">
        <v>227</v>
      </c>
      <c r="K122">
        <v>0.15240581446845719</v>
      </c>
      <c r="L122" t="s">
        <v>84</v>
      </c>
      <c r="N122" t="s">
        <v>120</v>
      </c>
      <c r="O122" t="s">
        <v>227</v>
      </c>
      <c r="P122">
        <v>0.10782305904572316</v>
      </c>
      <c r="Q122" t="s">
        <v>84</v>
      </c>
      <c r="S122" t="s">
        <v>135</v>
      </c>
      <c r="T122" t="s">
        <v>227</v>
      </c>
      <c r="U122">
        <v>9.6588180491829184E-2</v>
      </c>
      <c r="V122" t="s">
        <v>84</v>
      </c>
      <c r="AK122">
        <v>2049</v>
      </c>
      <c r="AL122" t="s">
        <v>223</v>
      </c>
      <c r="AM122">
        <v>0.49049999999999999</v>
      </c>
      <c r="AN122" t="s">
        <v>168</v>
      </c>
    </row>
    <row r="123" spans="9:40" x14ac:dyDescent="0.45">
      <c r="I123" t="s">
        <v>104</v>
      </c>
      <c r="J123" t="s">
        <v>228</v>
      </c>
      <c r="K123">
        <v>4.8718751896851696E-7</v>
      </c>
      <c r="L123" t="s">
        <v>84</v>
      </c>
      <c r="N123" t="s">
        <v>120</v>
      </c>
      <c r="O123" t="s">
        <v>228</v>
      </c>
      <c r="P123">
        <v>0.10368615307345545</v>
      </c>
      <c r="Q123" t="s">
        <v>84</v>
      </c>
      <c r="S123" t="s">
        <v>135</v>
      </c>
      <c r="T123" t="s">
        <v>228</v>
      </c>
      <c r="U123">
        <v>0.10663858691121358</v>
      </c>
      <c r="V123" t="s">
        <v>84</v>
      </c>
      <c r="AK123">
        <v>2050</v>
      </c>
      <c r="AL123" t="s">
        <v>218</v>
      </c>
      <c r="AM123">
        <v>0.47846666666666665</v>
      </c>
      <c r="AN123" t="s">
        <v>168</v>
      </c>
    </row>
    <row r="124" spans="9:40" x14ac:dyDescent="0.45">
      <c r="I124" t="s">
        <v>104</v>
      </c>
      <c r="J124" t="s">
        <v>229</v>
      </c>
      <c r="K124">
        <v>1.6332869650348341E-2</v>
      </c>
      <c r="L124" t="s">
        <v>84</v>
      </c>
      <c r="N124" t="s">
        <v>120</v>
      </c>
      <c r="O124" t="s">
        <v>229</v>
      </c>
      <c r="P124">
        <v>1.9690684962682801E-2</v>
      </c>
      <c r="Q124" t="s">
        <v>84</v>
      </c>
      <c r="S124" t="s">
        <v>135</v>
      </c>
      <c r="T124" t="s">
        <v>229</v>
      </c>
      <c r="U124">
        <v>1.9557472164379548E-2</v>
      </c>
      <c r="V124" t="s">
        <v>84</v>
      </c>
      <c r="AK124">
        <v>2050</v>
      </c>
      <c r="AL124" t="s">
        <v>220</v>
      </c>
      <c r="AM124">
        <v>0.44996666666666668</v>
      </c>
      <c r="AN124" t="s">
        <v>168</v>
      </c>
    </row>
    <row r="125" spans="9:40" x14ac:dyDescent="0.45">
      <c r="I125" t="s">
        <v>104</v>
      </c>
      <c r="J125" t="s">
        <v>230</v>
      </c>
      <c r="K125">
        <v>8.524656938506503E-2</v>
      </c>
      <c r="L125" t="s">
        <v>84</v>
      </c>
      <c r="N125" t="s">
        <v>120</v>
      </c>
      <c r="O125" t="s">
        <v>230</v>
      </c>
      <c r="P125">
        <v>0.12345319245248329</v>
      </c>
      <c r="Q125" t="s">
        <v>84</v>
      </c>
      <c r="S125" t="s">
        <v>135</v>
      </c>
      <c r="T125" t="s">
        <v>230</v>
      </c>
      <c r="U125">
        <v>0.12565731536232858</v>
      </c>
      <c r="V125" t="s">
        <v>84</v>
      </c>
      <c r="AK125">
        <v>2050</v>
      </c>
      <c r="AL125" t="s">
        <v>221</v>
      </c>
      <c r="AM125">
        <v>0.52190000000000003</v>
      </c>
      <c r="AN125" t="s">
        <v>168</v>
      </c>
    </row>
    <row r="126" spans="9:40" x14ac:dyDescent="0.45">
      <c r="I126" t="s">
        <v>104</v>
      </c>
      <c r="J126" t="s">
        <v>231</v>
      </c>
      <c r="K126">
        <v>0</v>
      </c>
      <c r="L126" t="s">
        <v>84</v>
      </c>
      <c r="N126" t="s">
        <v>120</v>
      </c>
      <c r="O126" t="s">
        <v>231</v>
      </c>
      <c r="P126">
        <v>0.12260287779964589</v>
      </c>
      <c r="Q126" t="s">
        <v>84</v>
      </c>
      <c r="S126" t="s">
        <v>135</v>
      </c>
      <c r="T126" t="s">
        <v>231</v>
      </c>
      <c r="U126">
        <v>0.13451321919780354</v>
      </c>
      <c r="V126" t="s">
        <v>84</v>
      </c>
      <c r="AK126">
        <v>2050</v>
      </c>
      <c r="AL126" t="s">
        <v>223</v>
      </c>
      <c r="AM126">
        <v>0.48503333333333326</v>
      </c>
      <c r="AN126" t="s">
        <v>168</v>
      </c>
    </row>
    <row r="127" spans="9:40" x14ac:dyDescent="0.45">
      <c r="I127" t="s">
        <v>104</v>
      </c>
      <c r="J127" t="s">
        <v>232</v>
      </c>
      <c r="K127">
        <v>3.8685158405756485E-3</v>
      </c>
      <c r="L127" t="s">
        <v>84</v>
      </c>
      <c r="N127" t="s">
        <v>120</v>
      </c>
      <c r="O127" t="s">
        <v>232</v>
      </c>
      <c r="P127">
        <v>2.2037437831977577E-2</v>
      </c>
      <c r="Q127" t="s">
        <v>84</v>
      </c>
      <c r="S127" t="s">
        <v>135</v>
      </c>
      <c r="T127" t="s">
        <v>232</v>
      </c>
      <c r="U127">
        <v>2.307585753203353E-2</v>
      </c>
      <c r="V127" t="s">
        <v>84</v>
      </c>
    </row>
    <row r="128" spans="9:40" x14ac:dyDescent="0.45">
      <c r="I128" t="s">
        <v>104</v>
      </c>
      <c r="J128" t="s">
        <v>233</v>
      </c>
      <c r="K128">
        <v>0.34215413393615213</v>
      </c>
      <c r="L128" t="s">
        <v>84</v>
      </c>
      <c r="N128" t="s">
        <v>120</v>
      </c>
      <c r="O128" t="s">
        <v>233</v>
      </c>
      <c r="P128">
        <v>0.11448694592407581</v>
      </c>
      <c r="Q128" t="s">
        <v>84</v>
      </c>
      <c r="S128" t="s">
        <v>135</v>
      </c>
      <c r="T128" t="s">
        <v>233</v>
      </c>
      <c r="U128">
        <v>9.097216217228625E-2</v>
      </c>
      <c r="V128" t="s">
        <v>84</v>
      </c>
    </row>
    <row r="129" spans="9:22" x14ac:dyDescent="0.45">
      <c r="I129" t="s">
        <v>104</v>
      </c>
      <c r="J129" t="s">
        <v>234</v>
      </c>
      <c r="K129">
        <v>2.0804578673899073E-2</v>
      </c>
      <c r="L129" t="s">
        <v>84</v>
      </c>
      <c r="N129" t="s">
        <v>120</v>
      </c>
      <c r="O129" t="s">
        <v>234</v>
      </c>
      <c r="P129">
        <v>9.5263808070087871E-2</v>
      </c>
      <c r="Q129" t="s">
        <v>84</v>
      </c>
      <c r="S129" t="s">
        <v>135</v>
      </c>
      <c r="T129" t="s">
        <v>234</v>
      </c>
      <c r="U129">
        <v>0.10097534210721347</v>
      </c>
      <c r="V129" t="s">
        <v>84</v>
      </c>
    </row>
    <row r="130" spans="9:22" x14ac:dyDescent="0.45">
      <c r="I130" t="s">
        <v>104</v>
      </c>
      <c r="J130" t="s">
        <v>235</v>
      </c>
      <c r="K130">
        <v>5.1379277751099649E-2</v>
      </c>
      <c r="L130" t="s">
        <v>84</v>
      </c>
      <c r="N130" t="s">
        <v>120</v>
      </c>
      <c r="O130" t="s">
        <v>235</v>
      </c>
      <c r="P130">
        <v>2.1303579718847193E-2</v>
      </c>
      <c r="Q130" t="s">
        <v>84</v>
      </c>
      <c r="S130" t="s">
        <v>135</v>
      </c>
      <c r="T130" t="s">
        <v>235</v>
      </c>
      <c r="U130">
        <v>1.9559927152302439E-2</v>
      </c>
      <c r="V130" t="s">
        <v>84</v>
      </c>
    </row>
    <row r="131" spans="9:22" x14ac:dyDescent="0.45">
      <c r="I131" t="s">
        <v>105</v>
      </c>
      <c r="J131" t="s">
        <v>224</v>
      </c>
      <c r="K131">
        <v>0.28551821114776343</v>
      </c>
      <c r="L131" t="s">
        <v>84</v>
      </c>
      <c r="N131" t="s">
        <v>121</v>
      </c>
      <c r="O131" t="s">
        <v>224</v>
      </c>
      <c r="P131">
        <v>0.11809394947645199</v>
      </c>
      <c r="Q131" t="s">
        <v>84</v>
      </c>
      <c r="S131" t="s">
        <v>136</v>
      </c>
      <c r="T131" t="s">
        <v>224</v>
      </c>
      <c r="U131">
        <v>0.13214741822124029</v>
      </c>
      <c r="V131" t="s">
        <v>84</v>
      </c>
    </row>
    <row r="132" spans="9:22" x14ac:dyDescent="0.45">
      <c r="I132" t="s">
        <v>105</v>
      </c>
      <c r="J132" t="s">
        <v>225</v>
      </c>
      <c r="K132">
        <v>6.754664158782054E-3</v>
      </c>
      <c r="L132" t="s">
        <v>84</v>
      </c>
      <c r="N132" t="s">
        <v>121</v>
      </c>
      <c r="O132" t="s">
        <v>225</v>
      </c>
      <c r="P132">
        <v>0.13721374238607262</v>
      </c>
      <c r="Q132" t="s">
        <v>84</v>
      </c>
      <c r="S132" t="s">
        <v>136</v>
      </c>
      <c r="T132" t="s">
        <v>225</v>
      </c>
      <c r="U132">
        <v>0.12582557912179268</v>
      </c>
      <c r="V132" t="s">
        <v>84</v>
      </c>
    </row>
    <row r="133" spans="9:22" x14ac:dyDescent="0.45">
      <c r="I133" t="s">
        <v>105</v>
      </c>
      <c r="J133" t="s">
        <v>226</v>
      </c>
      <c r="K133">
        <v>3.4937975306536265E-2</v>
      </c>
      <c r="L133" t="s">
        <v>84</v>
      </c>
      <c r="N133" t="s">
        <v>121</v>
      </c>
      <c r="O133" t="s">
        <v>226</v>
      </c>
      <c r="P133">
        <v>2.7145076683810485E-2</v>
      </c>
      <c r="Q133" t="s">
        <v>84</v>
      </c>
      <c r="S133" t="s">
        <v>136</v>
      </c>
      <c r="T133" t="s">
        <v>226</v>
      </c>
      <c r="U133">
        <v>2.3570986388426064E-2</v>
      </c>
      <c r="V133" t="s">
        <v>84</v>
      </c>
    </row>
    <row r="134" spans="9:22" x14ac:dyDescent="0.45">
      <c r="I134" t="s">
        <v>105</v>
      </c>
      <c r="J134" t="s">
        <v>227</v>
      </c>
      <c r="K134">
        <v>0.15190300255789163</v>
      </c>
      <c r="L134" t="s">
        <v>84</v>
      </c>
      <c r="N134" t="s">
        <v>121</v>
      </c>
      <c r="O134" t="s">
        <v>227</v>
      </c>
      <c r="P134">
        <v>9.2458027719119262E-2</v>
      </c>
      <c r="Q134" t="s">
        <v>84</v>
      </c>
      <c r="S134" t="s">
        <v>136</v>
      </c>
      <c r="T134" t="s">
        <v>227</v>
      </c>
      <c r="U134">
        <v>9.9019214299809116E-2</v>
      </c>
      <c r="V134" t="s">
        <v>84</v>
      </c>
    </row>
    <row r="135" spans="9:22" x14ac:dyDescent="0.45">
      <c r="I135" t="s">
        <v>105</v>
      </c>
      <c r="J135" t="s">
        <v>228</v>
      </c>
      <c r="K135">
        <v>0</v>
      </c>
      <c r="L135" t="s">
        <v>84</v>
      </c>
      <c r="N135" t="s">
        <v>121</v>
      </c>
      <c r="O135" t="s">
        <v>228</v>
      </c>
      <c r="P135">
        <v>0.10636791179206039</v>
      </c>
      <c r="Q135" t="s">
        <v>84</v>
      </c>
      <c r="S135" t="s">
        <v>136</v>
      </c>
      <c r="T135" t="s">
        <v>228</v>
      </c>
      <c r="U135">
        <v>0.10033769125434638</v>
      </c>
      <c r="V135" t="s">
        <v>84</v>
      </c>
    </row>
    <row r="136" spans="9:22" x14ac:dyDescent="0.45">
      <c r="I136" t="s">
        <v>105</v>
      </c>
      <c r="J136" t="s">
        <v>229</v>
      </c>
      <c r="K136">
        <v>1.5777506716237885E-2</v>
      </c>
      <c r="L136" t="s">
        <v>84</v>
      </c>
      <c r="N136" t="s">
        <v>121</v>
      </c>
      <c r="O136" t="s">
        <v>229</v>
      </c>
      <c r="P136">
        <v>2.1012696063501972E-2</v>
      </c>
      <c r="Q136" t="s">
        <v>84</v>
      </c>
      <c r="S136" t="s">
        <v>136</v>
      </c>
      <c r="T136" t="s">
        <v>229</v>
      </c>
      <c r="U136">
        <v>1.95308435336074E-2</v>
      </c>
      <c r="V136" t="s">
        <v>84</v>
      </c>
    </row>
    <row r="137" spans="9:22" x14ac:dyDescent="0.45">
      <c r="I137" t="s">
        <v>105</v>
      </c>
      <c r="J137" t="s">
        <v>230</v>
      </c>
      <c r="K137">
        <v>8.9683447998822177E-2</v>
      </c>
      <c r="L137" t="s">
        <v>84</v>
      </c>
      <c r="N137" t="s">
        <v>121</v>
      </c>
      <c r="O137" t="s">
        <v>230</v>
      </c>
      <c r="P137">
        <v>0.1151918287393387</v>
      </c>
      <c r="Q137" t="s">
        <v>84</v>
      </c>
      <c r="S137" t="s">
        <v>136</v>
      </c>
      <c r="T137" t="s">
        <v>230</v>
      </c>
      <c r="U137">
        <v>0.12698469074424817</v>
      </c>
      <c r="V137" t="s">
        <v>84</v>
      </c>
    </row>
    <row r="138" spans="9:22" x14ac:dyDescent="0.45">
      <c r="I138" t="s">
        <v>105</v>
      </c>
      <c r="J138" t="s">
        <v>231</v>
      </c>
      <c r="K138">
        <v>0</v>
      </c>
      <c r="L138" t="s">
        <v>84</v>
      </c>
      <c r="N138" t="s">
        <v>121</v>
      </c>
      <c r="O138" t="s">
        <v>231</v>
      </c>
      <c r="P138">
        <v>0.13188048341782552</v>
      </c>
      <c r="Q138" t="s">
        <v>84</v>
      </c>
      <c r="S138" t="s">
        <v>136</v>
      </c>
      <c r="T138" t="s">
        <v>231</v>
      </c>
      <c r="U138">
        <v>0.12892216592086073</v>
      </c>
      <c r="V138" t="s">
        <v>84</v>
      </c>
    </row>
    <row r="139" spans="9:22" x14ac:dyDescent="0.45">
      <c r="I139" t="s">
        <v>105</v>
      </c>
      <c r="J139" t="s">
        <v>232</v>
      </c>
      <c r="K139">
        <v>3.6690562273884886E-3</v>
      </c>
      <c r="L139" t="s">
        <v>84</v>
      </c>
      <c r="N139" t="s">
        <v>121</v>
      </c>
      <c r="O139" t="s">
        <v>232</v>
      </c>
      <c r="P139">
        <v>2.3546023673927899E-2</v>
      </c>
      <c r="Q139" t="s">
        <v>84</v>
      </c>
      <c r="S139" t="s">
        <v>136</v>
      </c>
      <c r="T139" t="s">
        <v>232</v>
      </c>
      <c r="U139">
        <v>2.3078424834862145E-2</v>
      </c>
      <c r="V139" t="s">
        <v>84</v>
      </c>
    </row>
    <row r="140" spans="9:22" x14ac:dyDescent="0.45">
      <c r="I140" t="s">
        <v>105</v>
      </c>
      <c r="J140" t="s">
        <v>233</v>
      </c>
      <c r="K140">
        <v>0.3403922013897509</v>
      </c>
      <c r="L140" t="s">
        <v>84</v>
      </c>
      <c r="N140" t="s">
        <v>121</v>
      </c>
      <c r="O140" t="s">
        <v>233</v>
      </c>
      <c r="P140">
        <v>9.8167878237529177E-2</v>
      </c>
      <c r="Q140" t="s">
        <v>84</v>
      </c>
      <c r="S140" t="s">
        <v>136</v>
      </c>
      <c r="T140" t="s">
        <v>233</v>
      </c>
      <c r="U140">
        <v>9.9542573410940652E-2</v>
      </c>
      <c r="V140" t="s">
        <v>84</v>
      </c>
    </row>
    <row r="141" spans="9:22" x14ac:dyDescent="0.45">
      <c r="I141" t="s">
        <v>105</v>
      </c>
      <c r="J141" t="s">
        <v>234</v>
      </c>
      <c r="K141">
        <v>2.0884877023877771E-2</v>
      </c>
      <c r="L141" t="s">
        <v>84</v>
      </c>
      <c r="N141" t="s">
        <v>121</v>
      </c>
      <c r="O141" t="s">
        <v>234</v>
      </c>
      <c r="P141">
        <v>0.10489670767399328</v>
      </c>
      <c r="Q141" t="s">
        <v>84</v>
      </c>
      <c r="S141" t="s">
        <v>136</v>
      </c>
      <c r="T141" t="s">
        <v>234</v>
      </c>
      <c r="U141">
        <v>9.9907739561894679E-2</v>
      </c>
      <c r="V141" t="s">
        <v>84</v>
      </c>
    </row>
    <row r="142" spans="9:22" x14ac:dyDescent="0.45">
      <c r="I142" t="s">
        <v>105</v>
      </c>
      <c r="J142" t="s">
        <v>235</v>
      </c>
      <c r="K142">
        <v>5.047905747295113E-2</v>
      </c>
      <c r="L142" t="s">
        <v>84</v>
      </c>
      <c r="N142" t="s">
        <v>121</v>
      </c>
      <c r="O142" t="s">
        <v>235</v>
      </c>
      <c r="P142">
        <v>2.4025674136368001E-2</v>
      </c>
      <c r="Q142" t="s">
        <v>84</v>
      </c>
      <c r="S142" t="s">
        <v>136</v>
      </c>
      <c r="T142" t="s">
        <v>235</v>
      </c>
      <c r="U142">
        <v>2.1132672707973223E-2</v>
      </c>
      <c r="V142" t="s">
        <v>84</v>
      </c>
    </row>
    <row r="143" spans="9:22" x14ac:dyDescent="0.45">
      <c r="I143" t="s">
        <v>106</v>
      </c>
      <c r="J143" t="s">
        <v>224</v>
      </c>
      <c r="K143">
        <v>0.26660204348289346</v>
      </c>
      <c r="L143" t="s">
        <v>84</v>
      </c>
      <c r="N143" t="s">
        <v>122</v>
      </c>
      <c r="O143" t="s">
        <v>224</v>
      </c>
      <c r="P143">
        <v>0.14880802324391099</v>
      </c>
      <c r="Q143" t="s">
        <v>84</v>
      </c>
      <c r="S143" t="s">
        <v>137</v>
      </c>
      <c r="T143" t="s">
        <v>224</v>
      </c>
      <c r="U143">
        <v>0.12570593867518287</v>
      </c>
      <c r="V143" t="s">
        <v>84</v>
      </c>
    </row>
    <row r="144" spans="9:22" x14ac:dyDescent="0.45">
      <c r="I144" t="s">
        <v>106</v>
      </c>
      <c r="J144" t="s">
        <v>225</v>
      </c>
      <c r="K144">
        <v>4.6652170479392066E-3</v>
      </c>
      <c r="L144" t="s">
        <v>84</v>
      </c>
      <c r="N144" t="s">
        <v>122</v>
      </c>
      <c r="O144" t="s">
        <v>225</v>
      </c>
      <c r="P144">
        <v>0.11926227619030701</v>
      </c>
      <c r="Q144" t="s">
        <v>84</v>
      </c>
      <c r="S144" t="s">
        <v>137</v>
      </c>
      <c r="T144" t="s">
        <v>225</v>
      </c>
      <c r="U144">
        <v>0.11685318686515586</v>
      </c>
      <c r="V144" t="s">
        <v>84</v>
      </c>
    </row>
    <row r="145" spans="9:22" x14ac:dyDescent="0.45">
      <c r="I145" t="s">
        <v>106</v>
      </c>
      <c r="J145" t="s">
        <v>226</v>
      </c>
      <c r="K145">
        <v>2.7498925736001243E-2</v>
      </c>
      <c r="L145" t="s">
        <v>84</v>
      </c>
      <c r="N145" t="s">
        <v>122</v>
      </c>
      <c r="O145" t="s">
        <v>226</v>
      </c>
      <c r="P145">
        <v>2.4987853192681528E-2</v>
      </c>
      <c r="Q145" t="s">
        <v>84</v>
      </c>
      <c r="S145" t="s">
        <v>137</v>
      </c>
      <c r="T145" t="s">
        <v>226</v>
      </c>
      <c r="U145">
        <v>2.3646225384714732E-2</v>
      </c>
      <c r="V145" t="s">
        <v>84</v>
      </c>
    </row>
    <row r="146" spans="9:22" x14ac:dyDescent="0.45">
      <c r="I146" t="s">
        <v>106</v>
      </c>
      <c r="J146" t="s">
        <v>227</v>
      </c>
      <c r="K146">
        <v>0.16893090037461042</v>
      </c>
      <c r="L146" t="s">
        <v>84</v>
      </c>
      <c r="N146" t="s">
        <v>122</v>
      </c>
      <c r="O146" t="s">
        <v>227</v>
      </c>
      <c r="P146">
        <v>9.7009275428601174E-2</v>
      </c>
      <c r="Q146" t="s">
        <v>84</v>
      </c>
      <c r="S146" t="s">
        <v>137</v>
      </c>
      <c r="T146" t="s">
        <v>227</v>
      </c>
      <c r="U146">
        <v>0.11343841805927886</v>
      </c>
      <c r="V146" t="s">
        <v>84</v>
      </c>
    </row>
    <row r="147" spans="9:22" x14ac:dyDescent="0.45">
      <c r="I147" t="s">
        <v>106</v>
      </c>
      <c r="J147" t="s">
        <v>228</v>
      </c>
      <c r="K147">
        <v>0</v>
      </c>
      <c r="L147" t="s">
        <v>84</v>
      </c>
      <c r="N147" t="s">
        <v>122</v>
      </c>
      <c r="O147" t="s">
        <v>228</v>
      </c>
      <c r="P147">
        <v>8.44378692312477E-2</v>
      </c>
      <c r="Q147" t="s">
        <v>84</v>
      </c>
      <c r="S147" t="s">
        <v>137</v>
      </c>
      <c r="T147" t="s">
        <v>228</v>
      </c>
      <c r="U147">
        <v>0.11602419237956904</v>
      </c>
      <c r="V147" t="s">
        <v>84</v>
      </c>
    </row>
    <row r="148" spans="9:22" x14ac:dyDescent="0.45">
      <c r="I148" t="s">
        <v>106</v>
      </c>
      <c r="J148" t="s">
        <v>229</v>
      </c>
      <c r="K148">
        <v>1.277027498609906E-2</v>
      </c>
      <c r="L148" t="s">
        <v>84</v>
      </c>
      <c r="N148" t="s">
        <v>122</v>
      </c>
      <c r="O148" t="s">
        <v>229</v>
      </c>
      <c r="P148">
        <v>1.6891501688113857E-2</v>
      </c>
      <c r="Q148" t="s">
        <v>84</v>
      </c>
      <c r="S148" t="s">
        <v>137</v>
      </c>
      <c r="T148" t="s">
        <v>229</v>
      </c>
      <c r="U148">
        <v>2.2208582711697983E-2</v>
      </c>
      <c r="V148" t="s">
        <v>84</v>
      </c>
    </row>
    <row r="149" spans="9:22" x14ac:dyDescent="0.45">
      <c r="I149" t="s">
        <v>106</v>
      </c>
      <c r="J149" t="s">
        <v>230</v>
      </c>
      <c r="K149">
        <v>0.10691863494778024</v>
      </c>
      <c r="L149" t="s">
        <v>84</v>
      </c>
      <c r="N149" t="s">
        <v>122</v>
      </c>
      <c r="O149" t="s">
        <v>230</v>
      </c>
      <c r="P149">
        <v>0.11914529444312602</v>
      </c>
      <c r="Q149" t="s">
        <v>84</v>
      </c>
      <c r="S149" t="s">
        <v>137</v>
      </c>
      <c r="T149" t="s">
        <v>230</v>
      </c>
      <c r="U149">
        <v>0.1135808369294366</v>
      </c>
      <c r="V149" t="s">
        <v>84</v>
      </c>
    </row>
    <row r="150" spans="9:22" x14ac:dyDescent="0.45">
      <c r="I150" t="s">
        <v>106</v>
      </c>
      <c r="J150" t="s">
        <v>231</v>
      </c>
      <c r="K150">
        <v>0</v>
      </c>
      <c r="L150" t="s">
        <v>84</v>
      </c>
      <c r="N150" t="s">
        <v>122</v>
      </c>
      <c r="O150" t="s">
        <v>231</v>
      </c>
      <c r="P150">
        <v>0.12565805124580121</v>
      </c>
      <c r="Q150" t="s">
        <v>84</v>
      </c>
      <c r="S150" t="s">
        <v>137</v>
      </c>
      <c r="T150" t="s">
        <v>231</v>
      </c>
      <c r="U150">
        <v>0.12094497161339182</v>
      </c>
      <c r="V150" t="s">
        <v>84</v>
      </c>
    </row>
    <row r="151" spans="9:22" x14ac:dyDescent="0.45">
      <c r="I151" t="s">
        <v>106</v>
      </c>
      <c r="J151" t="s">
        <v>232</v>
      </c>
      <c r="K151">
        <v>2.8628119491509512E-3</v>
      </c>
      <c r="L151" t="s">
        <v>84</v>
      </c>
      <c r="N151" t="s">
        <v>122</v>
      </c>
      <c r="O151" t="s">
        <v>232</v>
      </c>
      <c r="P151">
        <v>2.2621647129153252E-2</v>
      </c>
      <c r="Q151" t="s">
        <v>84</v>
      </c>
      <c r="S151" t="s">
        <v>137</v>
      </c>
      <c r="T151" t="s">
        <v>232</v>
      </c>
      <c r="U151">
        <v>2.1231330861400374E-2</v>
      </c>
      <c r="V151" t="s">
        <v>84</v>
      </c>
    </row>
    <row r="152" spans="9:22" x14ac:dyDescent="0.45">
      <c r="I152" t="s">
        <v>106</v>
      </c>
      <c r="J152" t="s">
        <v>233</v>
      </c>
      <c r="K152">
        <v>0.34288666601225504</v>
      </c>
      <c r="L152" t="s">
        <v>84</v>
      </c>
      <c r="N152" t="s">
        <v>122</v>
      </c>
      <c r="O152" t="s">
        <v>233</v>
      </c>
      <c r="P152">
        <v>0.12670396353370994</v>
      </c>
      <c r="Q152" t="s">
        <v>84</v>
      </c>
      <c r="S152" t="s">
        <v>137</v>
      </c>
      <c r="T152" t="s">
        <v>233</v>
      </c>
      <c r="U152">
        <v>0.10519978349707913</v>
      </c>
      <c r="V152" t="s">
        <v>84</v>
      </c>
    </row>
    <row r="153" spans="9:22" x14ac:dyDescent="0.45">
      <c r="I153" t="s">
        <v>106</v>
      </c>
      <c r="J153" t="s">
        <v>234</v>
      </c>
      <c r="K153">
        <v>1.8572208764925147E-2</v>
      </c>
      <c r="L153" t="s">
        <v>84</v>
      </c>
      <c r="N153" t="s">
        <v>122</v>
      </c>
      <c r="O153" t="s">
        <v>234</v>
      </c>
      <c r="P153">
        <v>9.1176895763977195E-2</v>
      </c>
      <c r="Q153" t="s">
        <v>84</v>
      </c>
      <c r="S153" t="s">
        <v>137</v>
      </c>
      <c r="T153" t="s">
        <v>234</v>
      </c>
      <c r="U153">
        <v>0.10182132065215885</v>
      </c>
      <c r="V153" t="s">
        <v>84</v>
      </c>
    </row>
    <row r="154" spans="9:22" x14ac:dyDescent="0.45">
      <c r="I154" t="s">
        <v>106</v>
      </c>
      <c r="J154" t="s">
        <v>235</v>
      </c>
      <c r="K154">
        <v>4.8292316698344162E-2</v>
      </c>
      <c r="L154" t="s">
        <v>84</v>
      </c>
      <c r="N154" t="s">
        <v>122</v>
      </c>
      <c r="O154" t="s">
        <v>235</v>
      </c>
      <c r="P154">
        <v>2.3297348909368621E-2</v>
      </c>
      <c r="Q154" t="s">
        <v>84</v>
      </c>
      <c r="S154" t="s">
        <v>137</v>
      </c>
      <c r="T154" t="s">
        <v>235</v>
      </c>
      <c r="U154">
        <v>1.9345212370932219E-2</v>
      </c>
      <c r="V154" t="s">
        <v>84</v>
      </c>
    </row>
    <row r="155" spans="9:22" x14ac:dyDescent="0.45">
      <c r="I155" t="s">
        <v>107</v>
      </c>
      <c r="J155" t="s">
        <v>224</v>
      </c>
      <c r="K155">
        <v>0.27476334058255053</v>
      </c>
      <c r="L155" t="s">
        <v>84</v>
      </c>
      <c r="N155" t="s">
        <v>123</v>
      </c>
      <c r="O155" t="s">
        <v>224</v>
      </c>
      <c r="P155">
        <v>0.15521711963463317</v>
      </c>
      <c r="Q155" t="s">
        <v>84</v>
      </c>
      <c r="S155" t="s">
        <v>138</v>
      </c>
      <c r="T155" t="s">
        <v>224</v>
      </c>
      <c r="U155">
        <v>0.11595011304877945</v>
      </c>
      <c r="V155" t="s">
        <v>84</v>
      </c>
    </row>
    <row r="156" spans="9:22" x14ac:dyDescent="0.45">
      <c r="I156" t="s">
        <v>107</v>
      </c>
      <c r="J156" t="s">
        <v>225</v>
      </c>
      <c r="K156">
        <v>5.2257085455021651E-3</v>
      </c>
      <c r="L156" t="s">
        <v>84</v>
      </c>
      <c r="N156" t="s">
        <v>123</v>
      </c>
      <c r="O156" t="s">
        <v>225</v>
      </c>
      <c r="P156">
        <v>0.14250243178141883</v>
      </c>
      <c r="Q156" t="s">
        <v>84</v>
      </c>
      <c r="S156" t="s">
        <v>138</v>
      </c>
      <c r="T156" t="s">
        <v>225</v>
      </c>
      <c r="U156">
        <v>0.1157121245245868</v>
      </c>
      <c r="V156" t="s">
        <v>84</v>
      </c>
    </row>
    <row r="157" spans="9:22" x14ac:dyDescent="0.45">
      <c r="I157" t="s">
        <v>107</v>
      </c>
      <c r="J157" t="s">
        <v>226</v>
      </c>
      <c r="K157">
        <v>2.9484591994977494E-2</v>
      </c>
      <c r="L157" t="s">
        <v>84</v>
      </c>
      <c r="N157" t="s">
        <v>123</v>
      </c>
      <c r="O157" t="s">
        <v>226</v>
      </c>
      <c r="P157">
        <v>2.8300712555839286E-2</v>
      </c>
      <c r="Q157" t="s">
        <v>84</v>
      </c>
      <c r="S157" t="s">
        <v>138</v>
      </c>
      <c r="T157" t="s">
        <v>226</v>
      </c>
      <c r="U157">
        <v>2.0577132450377972E-2</v>
      </c>
      <c r="V157" t="s">
        <v>84</v>
      </c>
    </row>
    <row r="158" spans="9:22" x14ac:dyDescent="0.45">
      <c r="I158" t="s">
        <v>107</v>
      </c>
      <c r="J158" t="s">
        <v>227</v>
      </c>
      <c r="K158">
        <v>0.16118982160776341</v>
      </c>
      <c r="L158" t="s">
        <v>84</v>
      </c>
      <c r="N158" t="s">
        <v>123</v>
      </c>
      <c r="O158" t="s">
        <v>227</v>
      </c>
      <c r="P158">
        <v>9.0921065116291597E-2</v>
      </c>
      <c r="Q158" t="s">
        <v>84</v>
      </c>
      <c r="S158" t="s">
        <v>138</v>
      </c>
      <c r="T158" t="s">
        <v>227</v>
      </c>
      <c r="U158">
        <v>0.11454250479779184</v>
      </c>
      <c r="V158" t="s">
        <v>84</v>
      </c>
    </row>
    <row r="159" spans="9:22" x14ac:dyDescent="0.45">
      <c r="I159" t="s">
        <v>107</v>
      </c>
      <c r="J159" t="s">
        <v>228</v>
      </c>
      <c r="K159">
        <v>0</v>
      </c>
      <c r="L159" t="s">
        <v>84</v>
      </c>
      <c r="N159" t="s">
        <v>123</v>
      </c>
      <c r="O159" t="s">
        <v>228</v>
      </c>
      <c r="P159">
        <v>9.0268554758241568E-2</v>
      </c>
      <c r="Q159" t="s">
        <v>84</v>
      </c>
      <c r="S159" t="s">
        <v>138</v>
      </c>
      <c r="T159" t="s">
        <v>228</v>
      </c>
      <c r="U159">
        <v>0.11791666484872999</v>
      </c>
      <c r="V159" t="s">
        <v>84</v>
      </c>
    </row>
    <row r="160" spans="9:22" x14ac:dyDescent="0.45">
      <c r="I160" t="s">
        <v>107</v>
      </c>
      <c r="J160" t="s">
        <v>229</v>
      </c>
      <c r="K160">
        <v>1.2573478960989804E-2</v>
      </c>
      <c r="L160" t="s">
        <v>84</v>
      </c>
      <c r="N160" t="s">
        <v>123</v>
      </c>
      <c r="O160" t="s">
        <v>229</v>
      </c>
      <c r="P160">
        <v>1.642175685572753E-2</v>
      </c>
      <c r="Q160" t="s">
        <v>84</v>
      </c>
      <c r="S160" t="s">
        <v>138</v>
      </c>
      <c r="T160" t="s">
        <v>229</v>
      </c>
      <c r="U160">
        <v>2.1324997273156648E-2</v>
      </c>
      <c r="V160" t="s">
        <v>84</v>
      </c>
    </row>
    <row r="161" spans="9:22" x14ac:dyDescent="0.45">
      <c r="I161" t="s">
        <v>107</v>
      </c>
      <c r="J161" t="s">
        <v>230</v>
      </c>
      <c r="K161">
        <v>0.10880105209420594</v>
      </c>
      <c r="L161" t="s">
        <v>84</v>
      </c>
      <c r="N161" t="s">
        <v>123</v>
      </c>
      <c r="O161" t="s">
        <v>230</v>
      </c>
      <c r="P161">
        <v>0.12045502765785455</v>
      </c>
      <c r="Q161" t="s">
        <v>84</v>
      </c>
      <c r="S161" t="s">
        <v>138</v>
      </c>
      <c r="T161" t="s">
        <v>230</v>
      </c>
      <c r="U161">
        <v>0.12078390756784424</v>
      </c>
      <c r="V161" t="s">
        <v>84</v>
      </c>
    </row>
    <row r="162" spans="9:22" x14ac:dyDescent="0.45">
      <c r="I162" t="s">
        <v>107</v>
      </c>
      <c r="J162" t="s">
        <v>231</v>
      </c>
      <c r="K162">
        <v>0</v>
      </c>
      <c r="L162" t="s">
        <v>84</v>
      </c>
      <c r="N162" t="s">
        <v>123</v>
      </c>
      <c r="O162" t="s">
        <v>231</v>
      </c>
      <c r="P162">
        <v>0.11719687754315855</v>
      </c>
      <c r="Q162" t="s">
        <v>84</v>
      </c>
      <c r="S162" t="s">
        <v>138</v>
      </c>
      <c r="T162" t="s">
        <v>231</v>
      </c>
      <c r="U162">
        <v>0.12111024622003952</v>
      </c>
      <c r="V162" t="s">
        <v>84</v>
      </c>
    </row>
    <row r="163" spans="9:22" x14ac:dyDescent="0.45">
      <c r="I163" t="s">
        <v>107</v>
      </c>
      <c r="J163" t="s">
        <v>232</v>
      </c>
      <c r="K163">
        <v>3.1211073502269999E-3</v>
      </c>
      <c r="L163" t="s">
        <v>84</v>
      </c>
      <c r="N163" t="s">
        <v>123</v>
      </c>
      <c r="O163" t="s">
        <v>232</v>
      </c>
      <c r="P163">
        <v>2.1535536947590663E-2</v>
      </c>
      <c r="Q163" t="s">
        <v>84</v>
      </c>
      <c r="S163" t="s">
        <v>138</v>
      </c>
      <c r="T163" t="s">
        <v>232</v>
      </c>
      <c r="U163">
        <v>2.1448303267540273E-2</v>
      </c>
      <c r="V163" t="s">
        <v>84</v>
      </c>
    </row>
    <row r="164" spans="9:22" x14ac:dyDescent="0.45">
      <c r="I164" t="s">
        <v>107</v>
      </c>
      <c r="J164" t="s">
        <v>233</v>
      </c>
      <c r="K164">
        <v>0.34010326061731633</v>
      </c>
      <c r="L164" t="s">
        <v>84</v>
      </c>
      <c r="N164" t="s">
        <v>123</v>
      </c>
      <c r="O164" t="s">
        <v>233</v>
      </c>
      <c r="P164">
        <v>0.11238858785628497</v>
      </c>
      <c r="Q164" t="s">
        <v>84</v>
      </c>
      <c r="S164" t="s">
        <v>138</v>
      </c>
      <c r="T164" t="s">
        <v>233</v>
      </c>
      <c r="U164">
        <v>0.10638376087462231</v>
      </c>
      <c r="V164" t="s">
        <v>84</v>
      </c>
    </row>
    <row r="165" spans="9:22" x14ac:dyDescent="0.45">
      <c r="I165" t="s">
        <v>107</v>
      </c>
      <c r="J165" t="s">
        <v>234</v>
      </c>
      <c r="K165">
        <v>1.8044891433066108E-2</v>
      </c>
      <c r="L165" t="s">
        <v>84</v>
      </c>
      <c r="N165" t="s">
        <v>123</v>
      </c>
      <c r="O165" t="s">
        <v>234</v>
      </c>
      <c r="P165">
        <v>8.7215026764289119E-2</v>
      </c>
      <c r="Q165" t="s">
        <v>84</v>
      </c>
      <c r="S165" t="s">
        <v>138</v>
      </c>
      <c r="T165" t="s">
        <v>234</v>
      </c>
      <c r="U165">
        <v>0.10542366301666771</v>
      </c>
      <c r="V165" t="s">
        <v>84</v>
      </c>
    </row>
    <row r="166" spans="9:22" x14ac:dyDescent="0.45">
      <c r="I166" t="s">
        <v>107</v>
      </c>
      <c r="J166" t="s">
        <v>235</v>
      </c>
      <c r="K166">
        <v>4.66927468134034E-2</v>
      </c>
      <c r="L166" t="s">
        <v>84</v>
      </c>
      <c r="N166" t="s">
        <v>123</v>
      </c>
      <c r="O166" t="s">
        <v>235</v>
      </c>
      <c r="P166">
        <v>1.7577302528668695E-2</v>
      </c>
      <c r="Q166" t="s">
        <v>84</v>
      </c>
      <c r="S166" t="s">
        <v>138</v>
      </c>
      <c r="T166" t="s">
        <v>235</v>
      </c>
      <c r="U166">
        <v>1.8826582109858589E-2</v>
      </c>
      <c r="V166" t="s">
        <v>84</v>
      </c>
    </row>
    <row r="167" spans="9:22" x14ac:dyDescent="0.45">
      <c r="I167" t="s">
        <v>108</v>
      </c>
      <c r="J167" t="s">
        <v>224</v>
      </c>
      <c r="K167">
        <v>0.25884274943475183</v>
      </c>
      <c r="L167" t="s">
        <v>84</v>
      </c>
      <c r="N167" t="s">
        <v>124</v>
      </c>
      <c r="O167" t="s">
        <v>224</v>
      </c>
      <c r="P167">
        <v>0.15928092240426012</v>
      </c>
      <c r="Q167" t="s">
        <v>84</v>
      </c>
      <c r="S167" t="s">
        <v>139</v>
      </c>
      <c r="T167" t="s">
        <v>224</v>
      </c>
      <c r="U167">
        <v>0.11338252416013357</v>
      </c>
      <c r="V167" t="s">
        <v>84</v>
      </c>
    </row>
    <row r="168" spans="9:22" x14ac:dyDescent="0.45">
      <c r="I168" t="s">
        <v>108</v>
      </c>
      <c r="J168" t="s">
        <v>225</v>
      </c>
      <c r="K168">
        <v>4.0271433498258492E-3</v>
      </c>
      <c r="L168" t="s">
        <v>84</v>
      </c>
      <c r="N168" t="s">
        <v>124</v>
      </c>
      <c r="O168" t="s">
        <v>225</v>
      </c>
      <c r="P168">
        <v>0.12574050435016337</v>
      </c>
      <c r="Q168" t="s">
        <v>84</v>
      </c>
      <c r="S168" t="s">
        <v>139</v>
      </c>
      <c r="T168" t="s">
        <v>225</v>
      </c>
      <c r="U168">
        <v>0.10948874226163639</v>
      </c>
      <c r="V168" t="s">
        <v>84</v>
      </c>
    </row>
    <row r="169" spans="9:22" x14ac:dyDescent="0.45">
      <c r="I169" t="s">
        <v>108</v>
      </c>
      <c r="J169" t="s">
        <v>226</v>
      </c>
      <c r="K169">
        <v>2.5974928027664653E-2</v>
      </c>
      <c r="L169" t="s">
        <v>84</v>
      </c>
      <c r="N169" t="s">
        <v>124</v>
      </c>
      <c r="O169" t="s">
        <v>226</v>
      </c>
      <c r="P169">
        <v>2.8873121295525595E-2</v>
      </c>
      <c r="Q169" t="s">
        <v>84</v>
      </c>
      <c r="S169" t="s">
        <v>139</v>
      </c>
      <c r="T169" t="s">
        <v>226</v>
      </c>
      <c r="U169">
        <v>2.0065759728602313E-2</v>
      </c>
      <c r="V169" t="s">
        <v>84</v>
      </c>
    </row>
    <row r="170" spans="9:22" x14ac:dyDescent="0.45">
      <c r="I170" t="s">
        <v>108</v>
      </c>
      <c r="J170" t="s">
        <v>227</v>
      </c>
      <c r="K170">
        <v>0.17439163134759592</v>
      </c>
      <c r="L170" t="s">
        <v>84</v>
      </c>
      <c r="N170" t="s">
        <v>124</v>
      </c>
      <c r="O170" t="s">
        <v>227</v>
      </c>
      <c r="P170">
        <v>8.8686083994127599E-2</v>
      </c>
      <c r="Q170" t="s">
        <v>84</v>
      </c>
      <c r="S170" t="s">
        <v>139</v>
      </c>
      <c r="T170" t="s">
        <v>227</v>
      </c>
      <c r="U170">
        <v>0.11128292209570376</v>
      </c>
      <c r="V170" t="s">
        <v>84</v>
      </c>
    </row>
    <row r="171" spans="9:22" x14ac:dyDescent="0.45">
      <c r="I171" t="s">
        <v>108</v>
      </c>
      <c r="J171" t="s">
        <v>228</v>
      </c>
      <c r="K171">
        <v>0</v>
      </c>
      <c r="L171" t="s">
        <v>84</v>
      </c>
      <c r="N171" t="s">
        <v>124</v>
      </c>
      <c r="O171" t="s">
        <v>228</v>
      </c>
      <c r="P171">
        <v>7.9948802010258002E-2</v>
      </c>
      <c r="Q171" t="s">
        <v>84</v>
      </c>
      <c r="S171" t="s">
        <v>139</v>
      </c>
      <c r="T171" t="s">
        <v>228</v>
      </c>
      <c r="U171">
        <v>0.1128697943176378</v>
      </c>
      <c r="V171" t="s">
        <v>84</v>
      </c>
    </row>
    <row r="172" spans="9:22" x14ac:dyDescent="0.45">
      <c r="I172" t="s">
        <v>108</v>
      </c>
      <c r="J172" t="s">
        <v>229</v>
      </c>
      <c r="K172">
        <v>1.3887629742735452E-2</v>
      </c>
      <c r="L172" t="s">
        <v>84</v>
      </c>
      <c r="N172" t="s">
        <v>124</v>
      </c>
      <c r="O172" t="s">
        <v>229</v>
      </c>
      <c r="P172">
        <v>1.5095828897726192E-2</v>
      </c>
      <c r="Q172" t="s">
        <v>84</v>
      </c>
      <c r="S172" t="s">
        <v>139</v>
      </c>
      <c r="T172" t="s">
        <v>229</v>
      </c>
      <c r="U172">
        <v>2.1859708188060347E-2</v>
      </c>
      <c r="V172" t="s">
        <v>84</v>
      </c>
    </row>
    <row r="173" spans="9:22" x14ac:dyDescent="0.45">
      <c r="I173" t="s">
        <v>108</v>
      </c>
      <c r="J173" t="s">
        <v>230</v>
      </c>
      <c r="K173">
        <v>0.10880847881611726</v>
      </c>
      <c r="L173" t="s">
        <v>84</v>
      </c>
      <c r="N173" t="s">
        <v>124</v>
      </c>
      <c r="O173" t="s">
        <v>230</v>
      </c>
      <c r="P173">
        <v>0.12052507233819465</v>
      </c>
      <c r="Q173" t="s">
        <v>84</v>
      </c>
      <c r="S173" t="s">
        <v>139</v>
      </c>
      <c r="T173" t="s">
        <v>230</v>
      </c>
      <c r="U173">
        <v>0.11803192109380267</v>
      </c>
      <c r="V173" t="s">
        <v>84</v>
      </c>
    </row>
    <row r="174" spans="9:22" x14ac:dyDescent="0.45">
      <c r="I174" t="s">
        <v>108</v>
      </c>
      <c r="J174" t="s">
        <v>231</v>
      </c>
      <c r="K174">
        <v>0</v>
      </c>
      <c r="L174" t="s">
        <v>84</v>
      </c>
      <c r="N174" t="s">
        <v>124</v>
      </c>
      <c r="O174" t="s">
        <v>231</v>
      </c>
      <c r="P174">
        <v>0.11699595318326189</v>
      </c>
      <c r="Q174" t="s">
        <v>84</v>
      </c>
      <c r="S174" t="s">
        <v>139</v>
      </c>
      <c r="T174" t="s">
        <v>231</v>
      </c>
      <c r="U174">
        <v>0.11722100769266709</v>
      </c>
      <c r="V174" t="s">
        <v>84</v>
      </c>
    </row>
    <row r="175" spans="9:22" x14ac:dyDescent="0.45">
      <c r="I175" t="s">
        <v>108</v>
      </c>
      <c r="J175" t="s">
        <v>232</v>
      </c>
      <c r="K175">
        <v>2.8810792348718684E-3</v>
      </c>
      <c r="L175" t="s">
        <v>84</v>
      </c>
      <c r="N175" t="s">
        <v>124</v>
      </c>
      <c r="O175" t="s">
        <v>232</v>
      </c>
      <c r="P175">
        <v>2.1882137845158311E-2</v>
      </c>
      <c r="Q175" t="s">
        <v>84</v>
      </c>
      <c r="S175" t="s">
        <v>139</v>
      </c>
      <c r="T175" t="s">
        <v>232</v>
      </c>
      <c r="U175">
        <v>2.1674995532828454E-2</v>
      </c>
      <c r="V175" t="s">
        <v>84</v>
      </c>
    </row>
    <row r="176" spans="9:22" x14ac:dyDescent="0.45">
      <c r="I176" t="s">
        <v>108</v>
      </c>
      <c r="J176" t="s">
        <v>233</v>
      </c>
      <c r="K176">
        <v>0.34651858772401506</v>
      </c>
      <c r="L176" t="s">
        <v>84</v>
      </c>
      <c r="N176" t="s">
        <v>124</v>
      </c>
      <c r="O176" t="s">
        <v>233</v>
      </c>
      <c r="P176">
        <v>0.13143959623631774</v>
      </c>
      <c r="Q176" t="s">
        <v>84</v>
      </c>
      <c r="S176" t="s">
        <v>139</v>
      </c>
      <c r="T176" t="s">
        <v>233</v>
      </c>
      <c r="U176">
        <v>0.11620197659949118</v>
      </c>
      <c r="V176" t="s">
        <v>84</v>
      </c>
    </row>
    <row r="177" spans="9:22" x14ac:dyDescent="0.45">
      <c r="I177" t="s">
        <v>108</v>
      </c>
      <c r="J177" t="s">
        <v>234</v>
      </c>
      <c r="K177">
        <v>1.6326007476608461E-2</v>
      </c>
      <c r="L177" t="s">
        <v>84</v>
      </c>
      <c r="N177" t="s">
        <v>124</v>
      </c>
      <c r="O177" t="s">
        <v>234</v>
      </c>
      <c r="P177">
        <v>8.7109941101944172E-2</v>
      </c>
      <c r="Q177" t="s">
        <v>84</v>
      </c>
      <c r="S177" t="s">
        <v>139</v>
      </c>
      <c r="T177" t="s">
        <v>234</v>
      </c>
      <c r="U177">
        <v>0.11613158567752985</v>
      </c>
      <c r="V177" t="s">
        <v>84</v>
      </c>
    </row>
    <row r="178" spans="9:22" x14ac:dyDescent="0.45">
      <c r="I178" t="s">
        <v>108</v>
      </c>
      <c r="J178" t="s">
        <v>235</v>
      </c>
      <c r="K178">
        <v>4.834176484581424E-2</v>
      </c>
      <c r="L178" t="s">
        <v>84</v>
      </c>
      <c r="N178" t="s">
        <v>124</v>
      </c>
      <c r="O178" t="s">
        <v>235</v>
      </c>
      <c r="P178">
        <v>2.4422036343056952E-2</v>
      </c>
      <c r="Q178" t="s">
        <v>84</v>
      </c>
      <c r="S178" t="s">
        <v>139</v>
      </c>
      <c r="T178" t="s">
        <v>235</v>
      </c>
      <c r="U178">
        <v>2.1789062651908019E-2</v>
      </c>
      <c r="V178" t="s">
        <v>84</v>
      </c>
    </row>
    <row r="179" spans="9:22" x14ac:dyDescent="0.45">
      <c r="I179" t="s">
        <v>109</v>
      </c>
      <c r="J179" t="s">
        <v>224</v>
      </c>
      <c r="K179">
        <v>0.26474982115375623</v>
      </c>
      <c r="L179" t="s">
        <v>84</v>
      </c>
      <c r="N179" t="s">
        <v>125</v>
      </c>
      <c r="O179" t="s">
        <v>224</v>
      </c>
      <c r="P179">
        <v>0.16172901523958175</v>
      </c>
      <c r="Q179" t="s">
        <v>84</v>
      </c>
      <c r="S179" t="s">
        <v>140</v>
      </c>
      <c r="T179" t="s">
        <v>224</v>
      </c>
      <c r="U179">
        <v>0.11515348265432834</v>
      </c>
      <c r="V179" t="s">
        <v>84</v>
      </c>
    </row>
    <row r="180" spans="9:22" x14ac:dyDescent="0.45">
      <c r="I180" t="s">
        <v>109</v>
      </c>
      <c r="J180" t="s">
        <v>225</v>
      </c>
      <c r="K180">
        <v>6.2692153599431663E-3</v>
      </c>
      <c r="L180" t="s">
        <v>84</v>
      </c>
      <c r="N180" t="s">
        <v>125</v>
      </c>
      <c r="O180" t="s">
        <v>225</v>
      </c>
      <c r="P180">
        <v>0.13460255786326661</v>
      </c>
      <c r="Q180" t="s">
        <v>84</v>
      </c>
      <c r="S180" t="s">
        <v>140</v>
      </c>
      <c r="T180" t="s">
        <v>225</v>
      </c>
      <c r="U180">
        <v>0.11365181181133856</v>
      </c>
      <c r="V180" t="s">
        <v>84</v>
      </c>
    </row>
    <row r="181" spans="9:22" x14ac:dyDescent="0.45">
      <c r="I181" t="s">
        <v>109</v>
      </c>
      <c r="J181" t="s">
        <v>226</v>
      </c>
      <c r="K181">
        <v>3.1476735552928424E-2</v>
      </c>
      <c r="L181" t="s">
        <v>84</v>
      </c>
      <c r="N181" t="s">
        <v>125</v>
      </c>
      <c r="O181" t="s">
        <v>226</v>
      </c>
      <c r="P181">
        <v>3.1257232184870018E-2</v>
      </c>
      <c r="Q181" t="s">
        <v>84</v>
      </c>
      <c r="S181" t="s">
        <v>140</v>
      </c>
      <c r="T181" t="s">
        <v>226</v>
      </c>
      <c r="U181">
        <v>2.0329023613229514E-2</v>
      </c>
      <c r="V181" t="s">
        <v>84</v>
      </c>
    </row>
    <row r="182" spans="9:22" x14ac:dyDescent="0.45">
      <c r="I182" t="s">
        <v>109</v>
      </c>
      <c r="J182" t="s">
        <v>227</v>
      </c>
      <c r="K182">
        <v>0.16494547004939766</v>
      </c>
      <c r="L182" t="s">
        <v>84</v>
      </c>
      <c r="N182" t="s">
        <v>125</v>
      </c>
      <c r="O182" t="s">
        <v>227</v>
      </c>
      <c r="P182">
        <v>8.8916137896206782E-2</v>
      </c>
      <c r="Q182" t="s">
        <v>84</v>
      </c>
      <c r="S182" t="s">
        <v>140</v>
      </c>
      <c r="T182" t="s">
        <v>227</v>
      </c>
      <c r="U182">
        <v>0.11041657491780597</v>
      </c>
      <c r="V182" t="s">
        <v>84</v>
      </c>
    </row>
    <row r="183" spans="9:22" x14ac:dyDescent="0.45">
      <c r="I183" t="s">
        <v>109</v>
      </c>
      <c r="J183" t="s">
        <v>228</v>
      </c>
      <c r="K183">
        <v>0</v>
      </c>
      <c r="L183" t="s">
        <v>84</v>
      </c>
      <c r="N183" t="s">
        <v>125</v>
      </c>
      <c r="O183" t="s">
        <v>228</v>
      </c>
      <c r="P183">
        <v>7.223022941796442E-2</v>
      </c>
      <c r="Q183" t="s">
        <v>84</v>
      </c>
      <c r="S183" t="s">
        <v>140</v>
      </c>
      <c r="T183" t="s">
        <v>228</v>
      </c>
      <c r="U183">
        <v>0.10932835658256149</v>
      </c>
      <c r="V183" t="s">
        <v>84</v>
      </c>
    </row>
    <row r="184" spans="9:22" x14ac:dyDescent="0.45">
      <c r="I184" t="s">
        <v>109</v>
      </c>
      <c r="J184" t="s">
        <v>229</v>
      </c>
      <c r="K184">
        <v>1.4754588855935988E-2</v>
      </c>
      <c r="L184" t="s">
        <v>84</v>
      </c>
      <c r="N184" t="s">
        <v>125</v>
      </c>
      <c r="O184" t="s">
        <v>229</v>
      </c>
      <c r="P184">
        <v>1.6068068373769062E-2</v>
      </c>
      <c r="Q184" t="s">
        <v>84</v>
      </c>
      <c r="S184" t="s">
        <v>140</v>
      </c>
      <c r="T184" t="s">
        <v>229</v>
      </c>
      <c r="U184">
        <v>2.0596588256061706E-2</v>
      </c>
      <c r="V184" t="s">
        <v>84</v>
      </c>
    </row>
    <row r="185" spans="9:22" x14ac:dyDescent="0.45">
      <c r="I185" t="s">
        <v>109</v>
      </c>
      <c r="J185" t="s">
        <v>230</v>
      </c>
      <c r="K185">
        <v>0.10006370030436722</v>
      </c>
      <c r="L185" t="s">
        <v>84</v>
      </c>
      <c r="N185" t="s">
        <v>125</v>
      </c>
      <c r="O185" t="s">
        <v>230</v>
      </c>
      <c r="P185">
        <v>0.11724666903987105</v>
      </c>
      <c r="Q185" t="s">
        <v>84</v>
      </c>
      <c r="S185" t="s">
        <v>140</v>
      </c>
      <c r="T185" t="s">
        <v>230</v>
      </c>
      <c r="U185">
        <v>0.11720570572105228</v>
      </c>
      <c r="V185" t="s">
        <v>84</v>
      </c>
    </row>
    <row r="186" spans="9:22" x14ac:dyDescent="0.45">
      <c r="I186" t="s">
        <v>109</v>
      </c>
      <c r="J186" t="s">
        <v>231</v>
      </c>
      <c r="K186">
        <v>0</v>
      </c>
      <c r="L186" t="s">
        <v>84</v>
      </c>
      <c r="N186" t="s">
        <v>125</v>
      </c>
      <c r="O186" t="s">
        <v>231</v>
      </c>
      <c r="P186">
        <v>0.11137664234451572</v>
      </c>
      <c r="Q186" t="s">
        <v>84</v>
      </c>
      <c r="S186" t="s">
        <v>140</v>
      </c>
      <c r="T186" t="s">
        <v>231</v>
      </c>
      <c r="U186">
        <v>0.11706514489089401</v>
      </c>
      <c r="V186" t="s">
        <v>84</v>
      </c>
    </row>
    <row r="187" spans="9:22" x14ac:dyDescent="0.45">
      <c r="I187" t="s">
        <v>109</v>
      </c>
      <c r="J187" t="s">
        <v>232</v>
      </c>
      <c r="K187">
        <v>2.8836025457267878E-3</v>
      </c>
      <c r="L187" t="s">
        <v>84</v>
      </c>
      <c r="N187" t="s">
        <v>125</v>
      </c>
      <c r="O187" t="s">
        <v>232</v>
      </c>
      <c r="P187">
        <v>2.2734519012808971E-2</v>
      </c>
      <c r="Q187" t="s">
        <v>84</v>
      </c>
      <c r="S187" t="s">
        <v>140</v>
      </c>
      <c r="T187" t="s">
        <v>232</v>
      </c>
      <c r="U187">
        <v>2.131599926589501E-2</v>
      </c>
      <c r="V187" t="s">
        <v>84</v>
      </c>
    </row>
    <row r="188" spans="9:22" x14ac:dyDescent="0.45">
      <c r="I188" t="s">
        <v>109</v>
      </c>
      <c r="J188" t="s">
        <v>233</v>
      </c>
      <c r="K188">
        <v>0.34308926576028892</v>
      </c>
      <c r="L188" t="s">
        <v>84</v>
      </c>
      <c r="N188" t="s">
        <v>125</v>
      </c>
      <c r="O188" t="s">
        <v>233</v>
      </c>
      <c r="P188">
        <v>0.12732433639650115</v>
      </c>
      <c r="Q188" t="s">
        <v>84</v>
      </c>
      <c r="S188" t="s">
        <v>140</v>
      </c>
      <c r="T188" t="s">
        <v>233</v>
      </c>
      <c r="U188">
        <v>0.11698875325871361</v>
      </c>
      <c r="V188" t="s">
        <v>84</v>
      </c>
    </row>
    <row r="189" spans="9:22" x14ac:dyDescent="0.45">
      <c r="I189" t="s">
        <v>109</v>
      </c>
      <c r="J189" t="s">
        <v>234</v>
      </c>
      <c r="K189">
        <v>1.9171422009326221E-2</v>
      </c>
      <c r="L189" t="s">
        <v>84</v>
      </c>
      <c r="N189" t="s">
        <v>125</v>
      </c>
      <c r="O189" t="s">
        <v>234</v>
      </c>
      <c r="P189">
        <v>9.271127788971012E-2</v>
      </c>
      <c r="Q189" t="s">
        <v>84</v>
      </c>
      <c r="S189" t="s">
        <v>140</v>
      </c>
      <c r="T189" t="s">
        <v>234</v>
      </c>
      <c r="U189">
        <v>0.11678728705717903</v>
      </c>
      <c r="V189" t="s">
        <v>84</v>
      </c>
    </row>
    <row r="190" spans="9:22" x14ac:dyDescent="0.45">
      <c r="I190" t="s">
        <v>109</v>
      </c>
      <c r="J190" t="s">
        <v>235</v>
      </c>
      <c r="K190">
        <v>5.2596178408328878E-2</v>
      </c>
      <c r="L190" t="s">
        <v>84</v>
      </c>
      <c r="N190" t="s">
        <v>125</v>
      </c>
      <c r="O190" t="s">
        <v>235</v>
      </c>
      <c r="P190">
        <v>2.3803314340935935E-2</v>
      </c>
      <c r="Q190" t="s">
        <v>84</v>
      </c>
      <c r="S190" t="s">
        <v>140</v>
      </c>
      <c r="T190" t="s">
        <v>235</v>
      </c>
      <c r="U190">
        <v>2.1161271970941944E-2</v>
      </c>
      <c r="V190" t="s">
        <v>84</v>
      </c>
    </row>
    <row r="191" spans="9:22" x14ac:dyDescent="0.45">
      <c r="I191" t="s">
        <v>110</v>
      </c>
      <c r="J191" t="s">
        <v>224</v>
      </c>
      <c r="K191">
        <v>0.26157996351616103</v>
      </c>
      <c r="L191" t="s">
        <v>84</v>
      </c>
      <c r="S191" t="s">
        <v>141</v>
      </c>
      <c r="T191" t="s">
        <v>224</v>
      </c>
      <c r="U191">
        <v>0.11393794803189934</v>
      </c>
      <c r="V191" t="s">
        <v>84</v>
      </c>
    </row>
    <row r="192" spans="9:22" x14ac:dyDescent="0.45">
      <c r="I192" t="s">
        <v>110</v>
      </c>
      <c r="J192" t="s">
        <v>225</v>
      </c>
      <c r="K192">
        <v>4.8391511968053913E-3</v>
      </c>
      <c r="L192" t="s">
        <v>84</v>
      </c>
      <c r="S192" t="s">
        <v>141</v>
      </c>
      <c r="T192" t="s">
        <v>225</v>
      </c>
      <c r="U192">
        <v>0.11061795275094871</v>
      </c>
      <c r="V192" t="s">
        <v>84</v>
      </c>
    </row>
    <row r="193" spans="9:22" x14ac:dyDescent="0.45">
      <c r="I193" t="s">
        <v>110</v>
      </c>
      <c r="J193" t="s">
        <v>226</v>
      </c>
      <c r="K193">
        <v>2.7793659581838277E-2</v>
      </c>
      <c r="L193" t="s">
        <v>84</v>
      </c>
      <c r="S193" t="s">
        <v>141</v>
      </c>
      <c r="T193" t="s">
        <v>226</v>
      </c>
      <c r="U193">
        <v>2.0364919987033148E-2</v>
      </c>
      <c r="V193" t="s">
        <v>84</v>
      </c>
    </row>
    <row r="194" spans="9:22" x14ac:dyDescent="0.45">
      <c r="I194" t="s">
        <v>110</v>
      </c>
      <c r="J194" t="s">
        <v>227</v>
      </c>
      <c r="K194">
        <v>0.17073858874318656</v>
      </c>
      <c r="L194" t="s">
        <v>84</v>
      </c>
      <c r="S194" t="s">
        <v>141</v>
      </c>
      <c r="T194" t="s">
        <v>227</v>
      </c>
      <c r="U194">
        <v>0.12126109058927055</v>
      </c>
      <c r="V194" t="s">
        <v>84</v>
      </c>
    </row>
    <row r="195" spans="9:22" x14ac:dyDescent="0.45">
      <c r="I195" t="s">
        <v>110</v>
      </c>
      <c r="J195" t="s">
        <v>228</v>
      </c>
      <c r="K195">
        <v>0</v>
      </c>
      <c r="L195" t="s">
        <v>84</v>
      </c>
      <c r="S195" t="s">
        <v>141</v>
      </c>
      <c r="T195" t="s">
        <v>228</v>
      </c>
      <c r="U195">
        <v>0.12015191305469618</v>
      </c>
      <c r="V195" t="s">
        <v>84</v>
      </c>
    </row>
    <row r="196" spans="9:22" x14ac:dyDescent="0.45">
      <c r="I196" t="s">
        <v>110</v>
      </c>
      <c r="J196" t="s">
        <v>229</v>
      </c>
      <c r="K196">
        <v>1.3147305503609562E-2</v>
      </c>
      <c r="L196" t="s">
        <v>84</v>
      </c>
      <c r="S196" t="s">
        <v>141</v>
      </c>
      <c r="T196" t="s">
        <v>229</v>
      </c>
      <c r="U196">
        <v>2.1608042821763471E-2</v>
      </c>
      <c r="V196" t="s">
        <v>84</v>
      </c>
    </row>
    <row r="197" spans="9:22" x14ac:dyDescent="0.45">
      <c r="I197" t="s">
        <v>110</v>
      </c>
      <c r="J197" t="s">
        <v>230</v>
      </c>
      <c r="K197">
        <v>0.10663352429038594</v>
      </c>
      <c r="L197" t="s">
        <v>84</v>
      </c>
      <c r="S197" t="s">
        <v>141</v>
      </c>
      <c r="T197" t="s">
        <v>230</v>
      </c>
      <c r="U197">
        <v>0.11853615424464042</v>
      </c>
      <c r="V197" t="s">
        <v>84</v>
      </c>
    </row>
    <row r="198" spans="9:22" x14ac:dyDescent="0.45">
      <c r="I198" t="s">
        <v>110</v>
      </c>
      <c r="J198" t="s">
        <v>231</v>
      </c>
      <c r="K198">
        <v>0</v>
      </c>
      <c r="L198" t="s">
        <v>84</v>
      </c>
      <c r="S198" t="s">
        <v>141</v>
      </c>
      <c r="T198" t="s">
        <v>231</v>
      </c>
      <c r="U198">
        <v>0.11752270383128273</v>
      </c>
      <c r="V198" t="s">
        <v>84</v>
      </c>
    </row>
    <row r="199" spans="9:22" x14ac:dyDescent="0.45">
      <c r="I199" t="s">
        <v>110</v>
      </c>
      <c r="J199" t="s">
        <v>232</v>
      </c>
      <c r="K199">
        <v>2.8619890404803922E-3</v>
      </c>
      <c r="L199" t="s">
        <v>84</v>
      </c>
      <c r="S199" t="s">
        <v>141</v>
      </c>
      <c r="T199" t="s">
        <v>232</v>
      </c>
      <c r="U199">
        <v>2.0767175877751041E-2</v>
      </c>
      <c r="V199" t="s">
        <v>84</v>
      </c>
    </row>
    <row r="200" spans="9:22" x14ac:dyDescent="0.45">
      <c r="I200" t="s">
        <v>110</v>
      </c>
      <c r="J200" t="s">
        <v>233</v>
      </c>
      <c r="K200">
        <v>0.34748181341344159</v>
      </c>
      <c r="L200" t="s">
        <v>84</v>
      </c>
      <c r="S200" t="s">
        <v>141</v>
      </c>
      <c r="T200" t="s">
        <v>233</v>
      </c>
      <c r="U200">
        <v>0.10819354788906041</v>
      </c>
      <c r="V200" t="s">
        <v>84</v>
      </c>
    </row>
    <row r="201" spans="9:22" x14ac:dyDescent="0.45">
      <c r="I201" t="s">
        <v>110</v>
      </c>
      <c r="J201" t="s">
        <v>234</v>
      </c>
      <c r="K201">
        <v>1.5983490324597411E-2</v>
      </c>
      <c r="L201" t="s">
        <v>84</v>
      </c>
      <c r="S201" t="s">
        <v>141</v>
      </c>
      <c r="T201" t="s">
        <v>234</v>
      </c>
      <c r="U201">
        <v>0.10706985871638972</v>
      </c>
      <c r="V201" t="s">
        <v>84</v>
      </c>
    </row>
    <row r="202" spans="9:22" x14ac:dyDescent="0.45">
      <c r="I202" t="s">
        <v>110</v>
      </c>
      <c r="J202" t="s">
        <v>235</v>
      </c>
      <c r="K202">
        <v>4.8940514389494226E-2</v>
      </c>
      <c r="L202" t="s">
        <v>84</v>
      </c>
      <c r="S202" t="s">
        <v>141</v>
      </c>
      <c r="T202" t="s">
        <v>235</v>
      </c>
      <c r="U202">
        <v>1.9968692205263729E-2</v>
      </c>
      <c r="V202" t="s">
        <v>84</v>
      </c>
    </row>
    <row r="203" spans="9:22" x14ac:dyDescent="0.45">
      <c r="S203" t="s">
        <v>142</v>
      </c>
      <c r="T203" t="s">
        <v>224</v>
      </c>
      <c r="U203">
        <v>0.1178839863663107</v>
      </c>
      <c r="V203" t="s">
        <v>84</v>
      </c>
    </row>
    <row r="204" spans="9:22" x14ac:dyDescent="0.45">
      <c r="S204" t="s">
        <v>142</v>
      </c>
      <c r="T204" t="s">
        <v>225</v>
      </c>
      <c r="U204">
        <v>0.11568047826019931</v>
      </c>
      <c r="V204" t="s">
        <v>84</v>
      </c>
    </row>
    <row r="205" spans="9:22" x14ac:dyDescent="0.45">
      <c r="S205" t="s">
        <v>142</v>
      </c>
      <c r="T205" t="s">
        <v>226</v>
      </c>
      <c r="U205">
        <v>2.0641236147966542E-2</v>
      </c>
      <c r="V205" t="s">
        <v>84</v>
      </c>
    </row>
    <row r="206" spans="9:22" x14ac:dyDescent="0.45">
      <c r="S206" t="s">
        <v>142</v>
      </c>
      <c r="T206" t="s">
        <v>227</v>
      </c>
      <c r="U206">
        <v>0.11076503489442305</v>
      </c>
      <c r="V206" t="s">
        <v>84</v>
      </c>
    </row>
    <row r="207" spans="9:22" x14ac:dyDescent="0.45">
      <c r="S207" t="s">
        <v>142</v>
      </c>
      <c r="T207" t="s">
        <v>228</v>
      </c>
      <c r="U207">
        <v>0.10901163415884768</v>
      </c>
      <c r="V207" t="s">
        <v>84</v>
      </c>
    </row>
    <row r="208" spans="9:22" x14ac:dyDescent="0.45">
      <c r="S208" t="s">
        <v>142</v>
      </c>
      <c r="T208" t="s">
        <v>229</v>
      </c>
      <c r="U208">
        <v>2.0416004750134012E-2</v>
      </c>
      <c r="V208" t="s">
        <v>84</v>
      </c>
    </row>
    <row r="209" spans="19:22" x14ac:dyDescent="0.45">
      <c r="S209" t="s">
        <v>142</v>
      </c>
      <c r="T209" t="s">
        <v>230</v>
      </c>
      <c r="U209">
        <v>0.11526149743839011</v>
      </c>
      <c r="V209" t="s">
        <v>84</v>
      </c>
    </row>
    <row r="210" spans="19:22" x14ac:dyDescent="0.45">
      <c r="S210" t="s">
        <v>142</v>
      </c>
      <c r="T210" t="s">
        <v>231</v>
      </c>
      <c r="U210">
        <v>0.1159244280317643</v>
      </c>
      <c r="V210" t="s">
        <v>84</v>
      </c>
    </row>
    <row r="211" spans="19:22" x14ac:dyDescent="0.45">
      <c r="S211" t="s">
        <v>142</v>
      </c>
      <c r="T211" t="s">
        <v>232</v>
      </c>
      <c r="U211">
        <v>2.0723463706586204E-2</v>
      </c>
      <c r="V211" t="s">
        <v>84</v>
      </c>
    </row>
    <row r="212" spans="19:22" x14ac:dyDescent="0.45">
      <c r="S212" t="s">
        <v>142</v>
      </c>
      <c r="T212" t="s">
        <v>233</v>
      </c>
      <c r="U212">
        <v>0.11671044423035851</v>
      </c>
      <c r="V212" t="s">
        <v>84</v>
      </c>
    </row>
    <row r="213" spans="19:22" x14ac:dyDescent="0.45">
      <c r="S213" t="s">
        <v>142</v>
      </c>
      <c r="T213" t="s">
        <v>234</v>
      </c>
      <c r="U213">
        <v>0.11594236225172999</v>
      </c>
      <c r="V213" t="s">
        <v>84</v>
      </c>
    </row>
    <row r="214" spans="19:22" x14ac:dyDescent="0.45">
      <c r="S214" t="s">
        <v>142</v>
      </c>
      <c r="T214" t="s">
        <v>235</v>
      </c>
      <c r="U214">
        <v>2.103942976329121E-2</v>
      </c>
      <c r="V214" t="s">
        <v>84</v>
      </c>
    </row>
    <row r="215" spans="19:22" x14ac:dyDescent="0.45">
      <c r="S215" t="s">
        <v>143</v>
      </c>
      <c r="T215" t="s">
        <v>224</v>
      </c>
      <c r="U215">
        <v>0.11570459014628633</v>
      </c>
      <c r="V215" t="s">
        <v>84</v>
      </c>
    </row>
    <row r="216" spans="19:22" x14ac:dyDescent="0.45">
      <c r="S216" t="s">
        <v>143</v>
      </c>
      <c r="T216" t="s">
        <v>225</v>
      </c>
      <c r="U216">
        <v>0.11254747366701257</v>
      </c>
      <c r="V216" t="s">
        <v>84</v>
      </c>
    </row>
    <row r="217" spans="19:22" x14ac:dyDescent="0.45">
      <c r="S217" t="s">
        <v>143</v>
      </c>
      <c r="T217" t="s">
        <v>226</v>
      </c>
      <c r="U217">
        <v>2.0999502006816169E-2</v>
      </c>
      <c r="V217" t="s">
        <v>84</v>
      </c>
    </row>
    <row r="218" spans="19:22" x14ac:dyDescent="0.45">
      <c r="S218" t="s">
        <v>143</v>
      </c>
      <c r="T218" t="s">
        <v>227</v>
      </c>
      <c r="U218">
        <v>0.11462160059890976</v>
      </c>
      <c r="V218" t="s">
        <v>84</v>
      </c>
    </row>
    <row r="219" spans="19:22" x14ac:dyDescent="0.45">
      <c r="S219" t="s">
        <v>143</v>
      </c>
      <c r="T219" t="s">
        <v>228</v>
      </c>
      <c r="U219">
        <v>0.11289449227819413</v>
      </c>
      <c r="V219" t="s">
        <v>84</v>
      </c>
    </row>
    <row r="220" spans="19:22" x14ac:dyDescent="0.45">
      <c r="S220" t="s">
        <v>143</v>
      </c>
      <c r="T220" t="s">
        <v>229</v>
      </c>
      <c r="U220">
        <v>2.110468745081405E-2</v>
      </c>
      <c r="V220" t="s">
        <v>84</v>
      </c>
    </row>
    <row r="221" spans="19:22" x14ac:dyDescent="0.45">
      <c r="S221" t="s">
        <v>143</v>
      </c>
      <c r="T221" t="s">
        <v>230</v>
      </c>
      <c r="U221">
        <v>0.11833961558207363</v>
      </c>
      <c r="V221" t="s">
        <v>84</v>
      </c>
    </row>
    <row r="222" spans="19:22" x14ac:dyDescent="0.45">
      <c r="S222" t="s">
        <v>143</v>
      </c>
      <c r="T222" t="s">
        <v>231</v>
      </c>
      <c r="U222">
        <v>0.11589775469949855</v>
      </c>
      <c r="V222" t="s">
        <v>84</v>
      </c>
    </row>
    <row r="223" spans="19:22" x14ac:dyDescent="0.45">
      <c r="S223" t="s">
        <v>143</v>
      </c>
      <c r="T223" t="s">
        <v>232</v>
      </c>
      <c r="U223">
        <v>2.1134836168632022E-2</v>
      </c>
      <c r="V223" t="s">
        <v>84</v>
      </c>
    </row>
    <row r="224" spans="19:22" x14ac:dyDescent="0.45">
      <c r="S224" t="s">
        <v>143</v>
      </c>
      <c r="T224" t="s">
        <v>233</v>
      </c>
      <c r="U224">
        <v>0.11346313307527689</v>
      </c>
      <c r="V224" t="s">
        <v>84</v>
      </c>
    </row>
    <row r="225" spans="19:22" x14ac:dyDescent="0.45">
      <c r="S225" t="s">
        <v>143</v>
      </c>
      <c r="T225" t="s">
        <v>234</v>
      </c>
      <c r="U225">
        <v>0.11220508659839382</v>
      </c>
      <c r="V225" t="s">
        <v>84</v>
      </c>
    </row>
    <row r="226" spans="19:22" x14ac:dyDescent="0.45">
      <c r="S226" t="s">
        <v>143</v>
      </c>
      <c r="T226" t="s">
        <v>235</v>
      </c>
      <c r="U226">
        <v>2.1087227728091257E-2</v>
      </c>
      <c r="V226" t="s">
        <v>84</v>
      </c>
    </row>
    <row r="227" spans="19:22" x14ac:dyDescent="0.45">
      <c r="S227" t="s">
        <v>144</v>
      </c>
      <c r="T227" t="s">
        <v>224</v>
      </c>
      <c r="U227">
        <v>0.11605390933722523</v>
      </c>
      <c r="V227" t="s">
        <v>84</v>
      </c>
    </row>
    <row r="228" spans="19:22" x14ac:dyDescent="0.45">
      <c r="S228" t="s">
        <v>144</v>
      </c>
      <c r="T228" t="s">
        <v>225</v>
      </c>
      <c r="U228">
        <v>0.11331972978618253</v>
      </c>
      <c r="V228" t="s">
        <v>84</v>
      </c>
    </row>
    <row r="229" spans="19:22" x14ac:dyDescent="0.45">
      <c r="S229" t="s">
        <v>144</v>
      </c>
      <c r="T229" t="s">
        <v>226</v>
      </c>
      <c r="U229">
        <v>2.0558475972854078E-2</v>
      </c>
      <c r="V229" t="s">
        <v>84</v>
      </c>
    </row>
    <row r="230" spans="19:22" x14ac:dyDescent="0.45">
      <c r="S230" t="s">
        <v>144</v>
      </c>
      <c r="T230" t="s">
        <v>227</v>
      </c>
      <c r="U230">
        <v>0.11639741823799485</v>
      </c>
      <c r="V230" t="s">
        <v>84</v>
      </c>
    </row>
    <row r="231" spans="19:22" x14ac:dyDescent="0.45">
      <c r="S231" t="s">
        <v>144</v>
      </c>
      <c r="T231" t="s">
        <v>228</v>
      </c>
      <c r="U231">
        <v>0.11389142901013978</v>
      </c>
      <c r="V231" t="s">
        <v>84</v>
      </c>
    </row>
    <row r="232" spans="19:22" x14ac:dyDescent="0.45">
      <c r="S232" t="s">
        <v>144</v>
      </c>
      <c r="T232" t="s">
        <v>229</v>
      </c>
      <c r="U232">
        <v>2.1249413482703532E-2</v>
      </c>
      <c r="V232" t="s">
        <v>84</v>
      </c>
    </row>
    <row r="233" spans="19:22" x14ac:dyDescent="0.45">
      <c r="S233" t="s">
        <v>144</v>
      </c>
      <c r="T233" t="s">
        <v>230</v>
      </c>
      <c r="U233">
        <v>0.114485879951083</v>
      </c>
      <c r="V233" t="s">
        <v>84</v>
      </c>
    </row>
    <row r="234" spans="19:22" x14ac:dyDescent="0.45">
      <c r="S234" t="s">
        <v>144</v>
      </c>
      <c r="T234" t="s">
        <v>231</v>
      </c>
      <c r="U234">
        <v>0.11487966274147915</v>
      </c>
      <c r="V234" t="s">
        <v>84</v>
      </c>
    </row>
    <row r="235" spans="19:22" x14ac:dyDescent="0.45">
      <c r="S235" t="s">
        <v>144</v>
      </c>
      <c r="T235" t="s">
        <v>232</v>
      </c>
      <c r="U235">
        <v>2.104033777372288E-2</v>
      </c>
      <c r="V235" t="s">
        <v>84</v>
      </c>
    </row>
    <row r="236" spans="19:22" x14ac:dyDescent="0.45">
      <c r="S236" t="s">
        <v>144</v>
      </c>
      <c r="T236" t="s">
        <v>233</v>
      </c>
      <c r="U236">
        <v>0.11453027060842653</v>
      </c>
      <c r="V236" t="s">
        <v>84</v>
      </c>
    </row>
    <row r="237" spans="19:22" x14ac:dyDescent="0.45">
      <c r="S237" t="s">
        <v>144</v>
      </c>
      <c r="T237" t="s">
        <v>234</v>
      </c>
      <c r="U237">
        <v>0.11281765166204398</v>
      </c>
      <c r="V237" t="s">
        <v>84</v>
      </c>
    </row>
    <row r="238" spans="19:22" x14ac:dyDescent="0.45">
      <c r="S238" t="s">
        <v>144</v>
      </c>
      <c r="T238" t="s">
        <v>235</v>
      </c>
      <c r="U238">
        <v>2.0775821436143899E-2</v>
      </c>
      <c r="V238" t="s">
        <v>84</v>
      </c>
    </row>
    <row r="239" spans="19:22" x14ac:dyDescent="0.45">
      <c r="S239" t="s">
        <v>145</v>
      </c>
      <c r="T239" t="s">
        <v>224</v>
      </c>
      <c r="U239">
        <v>0.12527235774831438</v>
      </c>
      <c r="V239" t="s">
        <v>84</v>
      </c>
    </row>
    <row r="240" spans="19:22" x14ac:dyDescent="0.45">
      <c r="S240" t="s">
        <v>145</v>
      </c>
      <c r="T240" t="s">
        <v>225</v>
      </c>
      <c r="U240">
        <v>0.13358696460894479</v>
      </c>
      <c r="V240" t="s">
        <v>84</v>
      </c>
    </row>
    <row r="241" spans="19:22" x14ac:dyDescent="0.45">
      <c r="S241" t="s">
        <v>145</v>
      </c>
      <c r="T241" t="s">
        <v>226</v>
      </c>
      <c r="U241">
        <v>2.4458377310024822E-2</v>
      </c>
      <c r="V241" t="s">
        <v>84</v>
      </c>
    </row>
    <row r="242" spans="19:22" x14ac:dyDescent="0.45">
      <c r="S242" t="s">
        <v>145</v>
      </c>
      <c r="T242" t="s">
        <v>227</v>
      </c>
      <c r="U242">
        <v>9.7841885933528897E-2</v>
      </c>
      <c r="V242" t="s">
        <v>84</v>
      </c>
    </row>
    <row r="243" spans="19:22" x14ac:dyDescent="0.45">
      <c r="S243" t="s">
        <v>145</v>
      </c>
      <c r="T243" t="s">
        <v>228</v>
      </c>
      <c r="U243">
        <v>0.10037077481143185</v>
      </c>
      <c r="V243" t="s">
        <v>84</v>
      </c>
    </row>
    <row r="244" spans="19:22" x14ac:dyDescent="0.45">
      <c r="S244" t="s">
        <v>145</v>
      </c>
      <c r="T244" t="s">
        <v>229</v>
      </c>
      <c r="U244">
        <v>1.8713215983783636E-2</v>
      </c>
      <c r="V244" t="s">
        <v>84</v>
      </c>
    </row>
    <row r="245" spans="19:22" x14ac:dyDescent="0.45">
      <c r="S245" t="s">
        <v>145</v>
      </c>
      <c r="T245" t="s">
        <v>230</v>
      </c>
      <c r="U245">
        <v>0.12755399451929539</v>
      </c>
      <c r="V245" t="s">
        <v>84</v>
      </c>
    </row>
    <row r="246" spans="19:22" x14ac:dyDescent="0.45">
      <c r="S246" t="s">
        <v>145</v>
      </c>
      <c r="T246" t="s">
        <v>231</v>
      </c>
      <c r="U246">
        <v>0.12784690512719718</v>
      </c>
      <c r="V246" t="s">
        <v>84</v>
      </c>
    </row>
    <row r="247" spans="19:22" x14ac:dyDescent="0.45">
      <c r="S247" t="s">
        <v>145</v>
      </c>
      <c r="T247" t="s">
        <v>232</v>
      </c>
      <c r="U247">
        <v>2.2885951549423567E-2</v>
      </c>
      <c r="V247" t="s">
        <v>84</v>
      </c>
    </row>
    <row r="248" spans="19:22" x14ac:dyDescent="0.45">
      <c r="S248" t="s">
        <v>145</v>
      </c>
      <c r="T248" t="s">
        <v>233</v>
      </c>
      <c r="U248">
        <v>9.9166866083796545E-2</v>
      </c>
      <c r="V248" t="s">
        <v>84</v>
      </c>
    </row>
    <row r="249" spans="19:22" x14ac:dyDescent="0.45">
      <c r="S249" t="s">
        <v>145</v>
      </c>
      <c r="T249" t="s">
        <v>234</v>
      </c>
      <c r="U249">
        <v>0.10311498201250245</v>
      </c>
      <c r="V249" t="s">
        <v>84</v>
      </c>
    </row>
    <row r="250" spans="19:22" x14ac:dyDescent="0.45">
      <c r="S250" t="s">
        <v>145</v>
      </c>
      <c r="T250" t="s">
        <v>235</v>
      </c>
      <c r="U250">
        <v>1.9187724311753467E-2</v>
      </c>
      <c r="V250" t="s">
        <v>84</v>
      </c>
    </row>
    <row r="251" spans="19:22" x14ac:dyDescent="0.45">
      <c r="S251" t="s">
        <v>146</v>
      </c>
      <c r="T251" t="s">
        <v>224</v>
      </c>
      <c r="U251">
        <v>0.12995156799097099</v>
      </c>
      <c r="V251" t="s">
        <v>84</v>
      </c>
    </row>
    <row r="252" spans="19:22" x14ac:dyDescent="0.45">
      <c r="S252" t="s">
        <v>146</v>
      </c>
      <c r="T252" t="s">
        <v>225</v>
      </c>
      <c r="U252">
        <v>0.13231622126289075</v>
      </c>
      <c r="V252" t="s">
        <v>84</v>
      </c>
    </row>
    <row r="253" spans="19:22" x14ac:dyDescent="0.45">
      <c r="S253" t="s">
        <v>146</v>
      </c>
      <c r="T253" t="s">
        <v>226</v>
      </c>
      <c r="U253">
        <v>2.4848496996174967E-2</v>
      </c>
      <c r="V253" t="s">
        <v>84</v>
      </c>
    </row>
    <row r="254" spans="19:22" x14ac:dyDescent="0.45">
      <c r="S254" t="s">
        <v>146</v>
      </c>
      <c r="T254" t="s">
        <v>227</v>
      </c>
      <c r="U254">
        <v>9.7356100043753599E-2</v>
      </c>
      <c r="V254" t="s">
        <v>84</v>
      </c>
    </row>
    <row r="255" spans="19:22" x14ac:dyDescent="0.45">
      <c r="S255" t="s">
        <v>146</v>
      </c>
      <c r="T255" t="s">
        <v>228</v>
      </c>
      <c r="U255">
        <v>9.6362032319308843E-2</v>
      </c>
      <c r="V255" t="s">
        <v>84</v>
      </c>
    </row>
    <row r="256" spans="19:22" x14ac:dyDescent="0.45">
      <c r="S256" t="s">
        <v>146</v>
      </c>
      <c r="T256" t="s">
        <v>229</v>
      </c>
      <c r="U256">
        <v>1.72515914894368E-2</v>
      </c>
      <c r="V256" t="s">
        <v>84</v>
      </c>
    </row>
    <row r="257" spans="19:22" x14ac:dyDescent="0.45">
      <c r="S257" t="s">
        <v>146</v>
      </c>
      <c r="T257" t="s">
        <v>230</v>
      </c>
      <c r="U257">
        <v>0.12658433562577551</v>
      </c>
      <c r="V257" t="s">
        <v>84</v>
      </c>
    </row>
    <row r="258" spans="19:22" x14ac:dyDescent="0.45">
      <c r="S258" t="s">
        <v>146</v>
      </c>
      <c r="T258" t="s">
        <v>231</v>
      </c>
      <c r="U258">
        <v>0.12704269055694484</v>
      </c>
      <c r="V258" t="s">
        <v>84</v>
      </c>
    </row>
    <row r="259" spans="19:22" x14ac:dyDescent="0.45">
      <c r="S259" t="s">
        <v>146</v>
      </c>
      <c r="T259" t="s">
        <v>232</v>
      </c>
      <c r="U259">
        <v>2.3391861215414481E-2</v>
      </c>
      <c r="V259" t="s">
        <v>84</v>
      </c>
    </row>
    <row r="260" spans="19:22" x14ac:dyDescent="0.45">
      <c r="S260" t="s">
        <v>146</v>
      </c>
      <c r="T260" t="s">
        <v>233</v>
      </c>
      <c r="U260">
        <v>0.10256470545630264</v>
      </c>
      <c r="V260" t="s">
        <v>84</v>
      </c>
    </row>
    <row r="261" spans="19:22" x14ac:dyDescent="0.45">
      <c r="S261" t="s">
        <v>146</v>
      </c>
      <c r="T261" t="s">
        <v>234</v>
      </c>
      <c r="U261">
        <v>0.10381321627432204</v>
      </c>
      <c r="V261" t="s">
        <v>84</v>
      </c>
    </row>
    <row r="262" spans="19:22" x14ac:dyDescent="0.45">
      <c r="S262" t="s">
        <v>146</v>
      </c>
      <c r="T262" t="s">
        <v>235</v>
      </c>
      <c r="U262">
        <v>1.8517180768702426E-2</v>
      </c>
      <c r="V262" t="s">
        <v>84</v>
      </c>
    </row>
    <row r="263" spans="19:22" x14ac:dyDescent="0.45">
      <c r="S263" t="s">
        <v>147</v>
      </c>
      <c r="T263" t="s">
        <v>224</v>
      </c>
      <c r="U263">
        <v>0.1289425974613902</v>
      </c>
      <c r="V263" t="s">
        <v>84</v>
      </c>
    </row>
    <row r="264" spans="19:22" x14ac:dyDescent="0.45">
      <c r="S264" t="s">
        <v>147</v>
      </c>
      <c r="T264" t="s">
        <v>225</v>
      </c>
      <c r="U264">
        <v>0.13096324137967172</v>
      </c>
      <c r="V264" t="s">
        <v>84</v>
      </c>
    </row>
    <row r="265" spans="19:22" x14ac:dyDescent="0.45">
      <c r="S265" t="s">
        <v>147</v>
      </c>
      <c r="T265" t="s">
        <v>226</v>
      </c>
      <c r="U265">
        <v>2.4460559801278172E-2</v>
      </c>
      <c r="V265" t="s">
        <v>84</v>
      </c>
    </row>
    <row r="266" spans="19:22" x14ac:dyDescent="0.45">
      <c r="S266" t="s">
        <v>147</v>
      </c>
      <c r="T266" t="s">
        <v>227</v>
      </c>
      <c r="U266">
        <v>0.10274889460974623</v>
      </c>
      <c r="V266" t="s">
        <v>84</v>
      </c>
    </row>
    <row r="267" spans="19:22" x14ac:dyDescent="0.45">
      <c r="S267" t="s">
        <v>147</v>
      </c>
      <c r="T267" t="s">
        <v>228</v>
      </c>
      <c r="U267">
        <v>0.10216231157821853</v>
      </c>
      <c r="V267" t="s">
        <v>84</v>
      </c>
    </row>
    <row r="268" spans="19:22" x14ac:dyDescent="0.45">
      <c r="S268" t="s">
        <v>147</v>
      </c>
      <c r="T268" t="s">
        <v>229</v>
      </c>
      <c r="U268">
        <v>1.8739387384305747E-2</v>
      </c>
      <c r="V268" t="s">
        <v>84</v>
      </c>
    </row>
    <row r="269" spans="19:22" x14ac:dyDescent="0.45">
      <c r="S269" t="s">
        <v>147</v>
      </c>
      <c r="T269" t="s">
        <v>230</v>
      </c>
      <c r="U269">
        <v>0.13072649076476148</v>
      </c>
      <c r="V269" t="s">
        <v>84</v>
      </c>
    </row>
    <row r="270" spans="19:22" x14ac:dyDescent="0.45">
      <c r="S270" t="s">
        <v>147</v>
      </c>
      <c r="T270" t="s">
        <v>231</v>
      </c>
      <c r="U270">
        <v>0.12752256597528819</v>
      </c>
      <c r="V270" t="s">
        <v>84</v>
      </c>
    </row>
    <row r="271" spans="19:22" x14ac:dyDescent="0.45">
      <c r="S271" t="s">
        <v>147</v>
      </c>
      <c r="T271" t="s">
        <v>232</v>
      </c>
      <c r="U271">
        <v>2.4726025466516689E-2</v>
      </c>
      <c r="V271" t="s">
        <v>84</v>
      </c>
    </row>
    <row r="272" spans="19:22" x14ac:dyDescent="0.45">
      <c r="S272" t="s">
        <v>147</v>
      </c>
      <c r="T272" t="s">
        <v>233</v>
      </c>
      <c r="U272">
        <v>9.5206994995879188E-2</v>
      </c>
      <c r="V272" t="s">
        <v>84</v>
      </c>
    </row>
    <row r="273" spans="19:22" x14ac:dyDescent="0.45">
      <c r="S273" t="s">
        <v>147</v>
      </c>
      <c r="T273" t="s">
        <v>234</v>
      </c>
      <c r="U273">
        <v>9.6309254354441834E-2</v>
      </c>
      <c r="V273" t="s">
        <v>84</v>
      </c>
    </row>
    <row r="274" spans="19:22" x14ac:dyDescent="0.45">
      <c r="S274" t="s">
        <v>147</v>
      </c>
      <c r="T274" t="s">
        <v>235</v>
      </c>
      <c r="U274">
        <v>1.7491676228502222E-2</v>
      </c>
      <c r="V274" t="s">
        <v>84</v>
      </c>
    </row>
    <row r="275" spans="19:22" x14ac:dyDescent="0.45">
      <c r="S275" t="s">
        <v>148</v>
      </c>
      <c r="T275" t="s">
        <v>224</v>
      </c>
      <c r="U275">
        <v>0.12617054340742223</v>
      </c>
      <c r="V275" t="s">
        <v>84</v>
      </c>
    </row>
    <row r="276" spans="19:22" x14ac:dyDescent="0.45">
      <c r="S276" t="s">
        <v>148</v>
      </c>
      <c r="T276" t="s">
        <v>225</v>
      </c>
      <c r="U276">
        <v>0.1263751994102113</v>
      </c>
      <c r="V276" t="s">
        <v>84</v>
      </c>
    </row>
    <row r="277" spans="19:22" x14ac:dyDescent="0.45">
      <c r="S277" t="s">
        <v>148</v>
      </c>
      <c r="T277" t="s">
        <v>226</v>
      </c>
      <c r="U277">
        <v>2.5945998336484786E-2</v>
      </c>
      <c r="V277" t="s">
        <v>84</v>
      </c>
    </row>
    <row r="278" spans="19:22" x14ac:dyDescent="0.45">
      <c r="S278" t="s">
        <v>148</v>
      </c>
      <c r="T278" t="s">
        <v>227</v>
      </c>
      <c r="U278">
        <v>0.10252853611930449</v>
      </c>
      <c r="V278" t="s">
        <v>84</v>
      </c>
    </row>
    <row r="279" spans="19:22" x14ac:dyDescent="0.45">
      <c r="S279" t="s">
        <v>148</v>
      </c>
      <c r="T279" t="s">
        <v>228</v>
      </c>
      <c r="U279">
        <v>9.6183875348006473E-2</v>
      </c>
      <c r="V279" t="s">
        <v>84</v>
      </c>
    </row>
    <row r="280" spans="19:22" x14ac:dyDescent="0.45">
      <c r="S280" t="s">
        <v>148</v>
      </c>
      <c r="T280" t="s">
        <v>229</v>
      </c>
      <c r="U280">
        <v>1.8909081629865737E-2</v>
      </c>
      <c r="V280" t="s">
        <v>84</v>
      </c>
    </row>
    <row r="281" spans="19:22" x14ac:dyDescent="0.45">
      <c r="S281" t="s">
        <v>148</v>
      </c>
      <c r="T281" t="s">
        <v>230</v>
      </c>
      <c r="U281">
        <v>0.12840401264955414</v>
      </c>
      <c r="V281" t="s">
        <v>84</v>
      </c>
    </row>
    <row r="282" spans="19:22" x14ac:dyDescent="0.45">
      <c r="S282" t="s">
        <v>148</v>
      </c>
      <c r="T282" t="s">
        <v>231</v>
      </c>
      <c r="U282">
        <v>0.12195240483296638</v>
      </c>
      <c r="V282" t="s">
        <v>84</v>
      </c>
    </row>
    <row r="283" spans="19:22" x14ac:dyDescent="0.45">
      <c r="S283" t="s">
        <v>148</v>
      </c>
      <c r="T283" t="s">
        <v>232</v>
      </c>
      <c r="U283">
        <v>2.2223234259536047E-2</v>
      </c>
      <c r="V283" t="s">
        <v>84</v>
      </c>
    </row>
    <row r="284" spans="19:22" x14ac:dyDescent="0.45">
      <c r="S284" t="s">
        <v>148</v>
      </c>
      <c r="T284" t="s">
        <v>233</v>
      </c>
      <c r="U284">
        <v>0.10549334213602923</v>
      </c>
      <c r="V284" t="s">
        <v>84</v>
      </c>
    </row>
    <row r="285" spans="19:22" x14ac:dyDescent="0.45">
      <c r="S285" t="s">
        <v>148</v>
      </c>
      <c r="T285" t="s">
        <v>234</v>
      </c>
      <c r="U285">
        <v>0.10492958152215191</v>
      </c>
      <c r="V285" t="s">
        <v>84</v>
      </c>
    </row>
    <row r="286" spans="19:22" x14ac:dyDescent="0.45">
      <c r="S286" t="s">
        <v>148</v>
      </c>
      <c r="T286" t="s">
        <v>235</v>
      </c>
      <c r="U286">
        <v>2.0884190348464123E-2</v>
      </c>
      <c r="V286" t="s">
        <v>84</v>
      </c>
    </row>
    <row r="287" spans="19:22" x14ac:dyDescent="0.45">
      <c r="S287" t="s">
        <v>149</v>
      </c>
      <c r="T287" t="s">
        <v>224</v>
      </c>
      <c r="U287">
        <v>0.12882894193252725</v>
      </c>
      <c r="V287" t="s">
        <v>84</v>
      </c>
    </row>
    <row r="288" spans="19:22" x14ac:dyDescent="0.45">
      <c r="S288" t="s">
        <v>149</v>
      </c>
      <c r="T288" t="s">
        <v>225</v>
      </c>
      <c r="U288">
        <v>0.13207094895892707</v>
      </c>
      <c r="V288" t="s">
        <v>84</v>
      </c>
    </row>
    <row r="289" spans="19:22" x14ac:dyDescent="0.45">
      <c r="S289" t="s">
        <v>149</v>
      </c>
      <c r="T289" t="s">
        <v>226</v>
      </c>
      <c r="U289">
        <v>2.6329094048233255E-2</v>
      </c>
      <c r="V289" t="s">
        <v>84</v>
      </c>
    </row>
    <row r="290" spans="19:22" x14ac:dyDescent="0.45">
      <c r="S290" t="s">
        <v>149</v>
      </c>
      <c r="T290" t="s">
        <v>227</v>
      </c>
      <c r="U290">
        <v>9.864502205228913E-2</v>
      </c>
      <c r="V290" t="s">
        <v>84</v>
      </c>
    </row>
    <row r="291" spans="19:22" x14ac:dyDescent="0.45">
      <c r="S291" t="s">
        <v>149</v>
      </c>
      <c r="T291" t="s">
        <v>228</v>
      </c>
      <c r="U291">
        <v>9.3520780617070615E-2</v>
      </c>
      <c r="V291" t="s">
        <v>84</v>
      </c>
    </row>
    <row r="292" spans="19:22" x14ac:dyDescent="0.45">
      <c r="S292" t="s">
        <v>149</v>
      </c>
      <c r="T292" t="s">
        <v>229</v>
      </c>
      <c r="U292">
        <v>1.8712653671308213E-2</v>
      </c>
      <c r="V292" t="s">
        <v>84</v>
      </c>
    </row>
    <row r="293" spans="19:22" x14ac:dyDescent="0.45">
      <c r="S293" t="s">
        <v>149</v>
      </c>
      <c r="T293" t="s">
        <v>230</v>
      </c>
      <c r="U293">
        <v>0.12285436253289124</v>
      </c>
      <c r="V293" t="s">
        <v>84</v>
      </c>
    </row>
    <row r="294" spans="19:22" x14ac:dyDescent="0.45">
      <c r="S294" t="s">
        <v>149</v>
      </c>
      <c r="T294" t="s">
        <v>231</v>
      </c>
      <c r="U294">
        <v>0.12343650544769084</v>
      </c>
      <c r="V294" t="s">
        <v>84</v>
      </c>
    </row>
    <row r="295" spans="19:22" x14ac:dyDescent="0.45">
      <c r="S295" t="s">
        <v>149</v>
      </c>
      <c r="T295" t="s">
        <v>232</v>
      </c>
      <c r="U295">
        <v>2.3940226813495811E-2</v>
      </c>
      <c r="V295" t="s">
        <v>84</v>
      </c>
    </row>
    <row r="296" spans="19:22" x14ac:dyDescent="0.45">
      <c r="S296" t="s">
        <v>149</v>
      </c>
      <c r="T296" t="s">
        <v>233</v>
      </c>
      <c r="U296">
        <v>0.10551767238588855</v>
      </c>
      <c r="V296" t="s">
        <v>84</v>
      </c>
    </row>
    <row r="297" spans="19:22" x14ac:dyDescent="0.45">
      <c r="S297" t="s">
        <v>149</v>
      </c>
      <c r="T297" t="s">
        <v>234</v>
      </c>
      <c r="U297">
        <v>0.10488499275757343</v>
      </c>
      <c r="V297" t="s">
        <v>84</v>
      </c>
    </row>
    <row r="298" spans="19:22" x14ac:dyDescent="0.45">
      <c r="S298" t="s">
        <v>149</v>
      </c>
      <c r="T298" t="s">
        <v>235</v>
      </c>
      <c r="U298">
        <v>2.1258798782105248E-2</v>
      </c>
      <c r="V298" t="s">
        <v>84</v>
      </c>
    </row>
    <row r="299" spans="19:22" x14ac:dyDescent="0.45">
      <c r="S299" t="s">
        <v>150</v>
      </c>
      <c r="T299" t="s">
        <v>224</v>
      </c>
      <c r="U299">
        <v>0.10934642865360546</v>
      </c>
      <c r="V299" t="s">
        <v>84</v>
      </c>
    </row>
    <row r="300" spans="19:22" x14ac:dyDescent="0.45">
      <c r="S300" t="s">
        <v>150</v>
      </c>
      <c r="T300" t="s">
        <v>225</v>
      </c>
      <c r="U300">
        <v>0.12906703784140394</v>
      </c>
      <c r="V300" t="s">
        <v>84</v>
      </c>
    </row>
    <row r="301" spans="19:22" x14ac:dyDescent="0.45">
      <c r="S301" t="s">
        <v>150</v>
      </c>
      <c r="T301" t="s">
        <v>226</v>
      </c>
      <c r="U301">
        <v>2.2332851763372283E-2</v>
      </c>
      <c r="V301" t="s">
        <v>84</v>
      </c>
    </row>
    <row r="302" spans="19:22" x14ac:dyDescent="0.45">
      <c r="S302" t="s">
        <v>150</v>
      </c>
      <c r="T302" t="s">
        <v>227</v>
      </c>
      <c r="U302">
        <v>9.7149889651328744E-2</v>
      </c>
      <c r="V302" t="s">
        <v>84</v>
      </c>
    </row>
    <row r="303" spans="19:22" x14ac:dyDescent="0.45">
      <c r="S303" t="s">
        <v>150</v>
      </c>
      <c r="T303" t="s">
        <v>228</v>
      </c>
      <c r="U303">
        <v>0.10621399098962876</v>
      </c>
      <c r="V303" t="s">
        <v>84</v>
      </c>
    </row>
    <row r="304" spans="19:22" x14ac:dyDescent="0.45">
      <c r="S304" t="s">
        <v>150</v>
      </c>
      <c r="T304" t="s">
        <v>229</v>
      </c>
      <c r="U304">
        <v>1.8853135690863422E-2</v>
      </c>
      <c r="V304" t="s">
        <v>84</v>
      </c>
    </row>
    <row r="305" spans="19:22" x14ac:dyDescent="0.45">
      <c r="S305" t="s">
        <v>150</v>
      </c>
      <c r="T305" t="s">
        <v>230</v>
      </c>
      <c r="U305">
        <v>0.11957063822316191</v>
      </c>
      <c r="V305" t="s">
        <v>84</v>
      </c>
    </row>
    <row r="306" spans="19:22" x14ac:dyDescent="0.45">
      <c r="S306" t="s">
        <v>150</v>
      </c>
      <c r="T306" t="s">
        <v>231</v>
      </c>
      <c r="U306">
        <v>0.12934833355648881</v>
      </c>
      <c r="V306" t="s">
        <v>84</v>
      </c>
    </row>
    <row r="307" spans="19:22" x14ac:dyDescent="0.45">
      <c r="S307" t="s">
        <v>150</v>
      </c>
      <c r="T307" t="s">
        <v>232</v>
      </c>
      <c r="U307">
        <v>2.2601765932593398E-2</v>
      </c>
      <c r="V307" t="s">
        <v>84</v>
      </c>
    </row>
    <row r="308" spans="19:22" x14ac:dyDescent="0.45">
      <c r="S308" t="s">
        <v>150</v>
      </c>
      <c r="T308" t="s">
        <v>233</v>
      </c>
      <c r="U308">
        <v>0.10949521022487475</v>
      </c>
      <c r="V308" t="s">
        <v>84</v>
      </c>
    </row>
    <row r="309" spans="19:22" x14ac:dyDescent="0.45">
      <c r="S309" t="s">
        <v>150</v>
      </c>
      <c r="T309" t="s">
        <v>234</v>
      </c>
      <c r="U309">
        <v>0.11384057483176378</v>
      </c>
      <c r="V309" t="s">
        <v>84</v>
      </c>
    </row>
    <row r="310" spans="19:22" x14ac:dyDescent="0.45">
      <c r="S310" t="s">
        <v>150</v>
      </c>
      <c r="T310" t="s">
        <v>235</v>
      </c>
      <c r="U310">
        <v>2.2180142640913839E-2</v>
      </c>
      <c r="V310" t="s">
        <v>84</v>
      </c>
    </row>
    <row r="311" spans="19:22" x14ac:dyDescent="0.45">
      <c r="S311" t="s">
        <v>151</v>
      </c>
      <c r="T311" t="s">
        <v>224</v>
      </c>
      <c r="U311">
        <v>0.1054496799299806</v>
      </c>
      <c r="V311" t="s">
        <v>84</v>
      </c>
    </row>
    <row r="312" spans="19:22" x14ac:dyDescent="0.45">
      <c r="S312" t="s">
        <v>151</v>
      </c>
      <c r="T312" t="s">
        <v>225</v>
      </c>
      <c r="U312">
        <v>0.12926907665100112</v>
      </c>
      <c r="V312" t="s">
        <v>84</v>
      </c>
    </row>
    <row r="313" spans="19:22" x14ac:dyDescent="0.45">
      <c r="S313" t="s">
        <v>151</v>
      </c>
      <c r="T313" t="s">
        <v>226</v>
      </c>
      <c r="U313">
        <v>2.4096593871932265E-2</v>
      </c>
      <c r="V313" t="s">
        <v>84</v>
      </c>
    </row>
    <row r="314" spans="19:22" x14ac:dyDescent="0.45">
      <c r="S314" t="s">
        <v>151</v>
      </c>
      <c r="T314" t="s">
        <v>227</v>
      </c>
      <c r="U314">
        <v>9.5892776870824273E-2</v>
      </c>
      <c r="V314" t="s">
        <v>84</v>
      </c>
    </row>
    <row r="315" spans="19:22" x14ac:dyDescent="0.45">
      <c r="S315" t="s">
        <v>151</v>
      </c>
      <c r="T315" t="s">
        <v>228</v>
      </c>
      <c r="U315">
        <v>0.10858676542395425</v>
      </c>
      <c r="V315" t="s">
        <v>84</v>
      </c>
    </row>
    <row r="316" spans="19:22" x14ac:dyDescent="0.45">
      <c r="S316" t="s">
        <v>151</v>
      </c>
      <c r="T316" t="s">
        <v>229</v>
      </c>
      <c r="U316">
        <v>2.029586243227292E-2</v>
      </c>
      <c r="V316" t="s">
        <v>84</v>
      </c>
    </row>
    <row r="317" spans="19:22" x14ac:dyDescent="0.45">
      <c r="S317" t="s">
        <v>151</v>
      </c>
      <c r="T317" t="s">
        <v>230</v>
      </c>
      <c r="U317">
        <v>0.12072524680229703</v>
      </c>
      <c r="V317" t="s">
        <v>84</v>
      </c>
    </row>
    <row r="318" spans="19:22" x14ac:dyDescent="0.45">
      <c r="S318" t="s">
        <v>151</v>
      </c>
      <c r="T318" t="s">
        <v>231</v>
      </c>
      <c r="U318">
        <v>0.1312983423168281</v>
      </c>
      <c r="V318" t="s">
        <v>84</v>
      </c>
    </row>
    <row r="319" spans="19:22" x14ac:dyDescent="0.45">
      <c r="S319" t="s">
        <v>151</v>
      </c>
      <c r="T319" t="s">
        <v>232</v>
      </c>
      <c r="U319">
        <v>2.4022920954296704E-2</v>
      </c>
      <c r="V319" t="s">
        <v>84</v>
      </c>
    </row>
    <row r="320" spans="19:22" x14ac:dyDescent="0.45">
      <c r="S320" t="s">
        <v>151</v>
      </c>
      <c r="T320" t="s">
        <v>233</v>
      </c>
      <c r="U320">
        <v>0.1039632014312722</v>
      </c>
      <c r="V320" t="s">
        <v>84</v>
      </c>
    </row>
    <row r="321" spans="19:22" x14ac:dyDescent="0.45">
      <c r="S321" t="s">
        <v>151</v>
      </c>
      <c r="T321" t="s">
        <v>234</v>
      </c>
      <c r="U321">
        <v>0.11272214068114883</v>
      </c>
      <c r="V321" t="s">
        <v>84</v>
      </c>
    </row>
    <row r="322" spans="19:22" x14ac:dyDescent="0.45">
      <c r="S322" t="s">
        <v>151</v>
      </c>
      <c r="T322" t="s">
        <v>235</v>
      </c>
      <c r="U322">
        <v>2.367739263419336E-2</v>
      </c>
      <c r="V322" t="s">
        <v>84</v>
      </c>
    </row>
    <row r="323" spans="19:22" x14ac:dyDescent="0.45">
      <c r="S323" t="s">
        <v>152</v>
      </c>
      <c r="T323" t="s">
        <v>224</v>
      </c>
      <c r="U323">
        <v>0.12448536922453196</v>
      </c>
      <c r="V323" t="s">
        <v>84</v>
      </c>
    </row>
    <row r="324" spans="19:22" x14ac:dyDescent="0.45">
      <c r="S324" t="s">
        <v>152</v>
      </c>
      <c r="T324" t="s">
        <v>225</v>
      </c>
      <c r="U324">
        <v>0.11351604290456345</v>
      </c>
      <c r="V324" t="s">
        <v>84</v>
      </c>
    </row>
    <row r="325" spans="19:22" x14ac:dyDescent="0.45">
      <c r="S325" t="s">
        <v>152</v>
      </c>
      <c r="T325" t="s">
        <v>226</v>
      </c>
      <c r="U325">
        <v>2.314777885919065E-2</v>
      </c>
      <c r="V325" t="s">
        <v>84</v>
      </c>
    </row>
    <row r="326" spans="19:22" x14ac:dyDescent="0.45">
      <c r="S326" t="s">
        <v>152</v>
      </c>
      <c r="T326" t="s">
        <v>227</v>
      </c>
      <c r="U326">
        <v>0.10743356419581157</v>
      </c>
      <c r="V326" t="s">
        <v>84</v>
      </c>
    </row>
    <row r="327" spans="19:22" x14ac:dyDescent="0.45">
      <c r="S327" t="s">
        <v>152</v>
      </c>
      <c r="T327" t="s">
        <v>228</v>
      </c>
      <c r="U327">
        <v>0.11027689919106591</v>
      </c>
      <c r="V327" t="s">
        <v>84</v>
      </c>
    </row>
    <row r="328" spans="19:22" x14ac:dyDescent="0.45">
      <c r="S328" t="s">
        <v>152</v>
      </c>
      <c r="T328" t="s">
        <v>229</v>
      </c>
      <c r="U328">
        <v>2.0402760120059996E-2</v>
      </c>
      <c r="V328" t="s">
        <v>84</v>
      </c>
    </row>
    <row r="329" spans="19:22" x14ac:dyDescent="0.45">
      <c r="S329" t="s">
        <v>152</v>
      </c>
      <c r="T329" t="s">
        <v>230</v>
      </c>
      <c r="U329">
        <v>0.12328106157560799</v>
      </c>
      <c r="V329" t="s">
        <v>84</v>
      </c>
    </row>
    <row r="330" spans="19:22" x14ac:dyDescent="0.45">
      <c r="S330" t="s">
        <v>152</v>
      </c>
      <c r="T330" t="s">
        <v>231</v>
      </c>
      <c r="U330">
        <v>0.12461965990300593</v>
      </c>
      <c r="V330" t="s">
        <v>84</v>
      </c>
    </row>
    <row r="331" spans="19:22" x14ac:dyDescent="0.45">
      <c r="S331" t="s">
        <v>152</v>
      </c>
      <c r="T331" t="s">
        <v>232</v>
      </c>
      <c r="U331">
        <v>2.2606686170476776E-2</v>
      </c>
      <c r="V331" t="s">
        <v>84</v>
      </c>
    </row>
    <row r="332" spans="19:22" x14ac:dyDescent="0.45">
      <c r="S332" t="s">
        <v>152</v>
      </c>
      <c r="T332" t="s">
        <v>233</v>
      </c>
      <c r="U332">
        <v>0.10782118842021329</v>
      </c>
      <c r="V332" t="s">
        <v>84</v>
      </c>
    </row>
    <row r="333" spans="19:22" x14ac:dyDescent="0.45">
      <c r="S333" t="s">
        <v>152</v>
      </c>
      <c r="T333" t="s">
        <v>234</v>
      </c>
      <c r="U333">
        <v>0.10176823351235954</v>
      </c>
      <c r="V333" t="s">
        <v>84</v>
      </c>
    </row>
    <row r="334" spans="19:22" x14ac:dyDescent="0.45">
      <c r="S334" t="s">
        <v>152</v>
      </c>
      <c r="T334" t="s">
        <v>235</v>
      </c>
      <c r="U334">
        <v>2.0640755923110429E-2</v>
      </c>
      <c r="V334" t="s">
        <v>84</v>
      </c>
    </row>
    <row r="335" spans="19:22" x14ac:dyDescent="0.45">
      <c r="S335" t="s">
        <v>153</v>
      </c>
      <c r="T335" t="s">
        <v>224</v>
      </c>
      <c r="U335">
        <v>0.11763431210609618</v>
      </c>
      <c r="V335" t="s">
        <v>84</v>
      </c>
    </row>
    <row r="336" spans="19:22" x14ac:dyDescent="0.45">
      <c r="S336" t="s">
        <v>153</v>
      </c>
      <c r="T336" t="s">
        <v>225</v>
      </c>
      <c r="U336">
        <v>0.1203234673977573</v>
      </c>
      <c r="V336" t="s">
        <v>84</v>
      </c>
    </row>
    <row r="337" spans="19:22" x14ac:dyDescent="0.45">
      <c r="S337" t="s">
        <v>153</v>
      </c>
      <c r="T337" t="s">
        <v>226</v>
      </c>
      <c r="U337">
        <v>2.447745299790317E-2</v>
      </c>
      <c r="V337" t="s">
        <v>84</v>
      </c>
    </row>
    <row r="338" spans="19:22" x14ac:dyDescent="0.45">
      <c r="S338" t="s">
        <v>153</v>
      </c>
      <c r="T338" t="s">
        <v>227</v>
      </c>
      <c r="U338">
        <v>0.10987794175253715</v>
      </c>
      <c r="V338" t="s">
        <v>84</v>
      </c>
    </row>
    <row r="339" spans="19:22" x14ac:dyDescent="0.45">
      <c r="S339" t="s">
        <v>153</v>
      </c>
      <c r="T339" t="s">
        <v>228</v>
      </c>
      <c r="U339">
        <v>0.11341509891042538</v>
      </c>
      <c r="V339" t="s">
        <v>84</v>
      </c>
    </row>
    <row r="340" spans="19:22" x14ac:dyDescent="0.45">
      <c r="S340" t="s">
        <v>153</v>
      </c>
      <c r="T340" t="s">
        <v>229</v>
      </c>
      <c r="U340">
        <v>2.1576870622846321E-2</v>
      </c>
      <c r="V340" t="s">
        <v>84</v>
      </c>
    </row>
    <row r="341" spans="19:22" x14ac:dyDescent="0.45">
      <c r="S341" t="s">
        <v>153</v>
      </c>
      <c r="T341" t="s">
        <v>230</v>
      </c>
      <c r="U341">
        <v>0.12178213844281963</v>
      </c>
      <c r="V341" t="s">
        <v>84</v>
      </c>
    </row>
    <row r="342" spans="19:22" x14ac:dyDescent="0.45">
      <c r="S342" t="s">
        <v>153</v>
      </c>
      <c r="T342" t="s">
        <v>231</v>
      </c>
      <c r="U342">
        <v>0.12242404469213866</v>
      </c>
      <c r="V342" t="s">
        <v>84</v>
      </c>
    </row>
    <row r="343" spans="19:22" x14ac:dyDescent="0.45">
      <c r="S343" t="s">
        <v>153</v>
      </c>
      <c r="T343" t="s">
        <v>232</v>
      </c>
      <c r="U343">
        <v>2.3454982965141227E-2</v>
      </c>
      <c r="V343" t="s">
        <v>84</v>
      </c>
    </row>
    <row r="344" spans="19:22" x14ac:dyDescent="0.45">
      <c r="S344" t="s">
        <v>153</v>
      </c>
      <c r="T344" t="s">
        <v>233</v>
      </c>
      <c r="U344">
        <v>0.10406043685697461</v>
      </c>
      <c r="V344" t="s">
        <v>84</v>
      </c>
    </row>
    <row r="345" spans="19:22" x14ac:dyDescent="0.45">
      <c r="S345" t="s">
        <v>153</v>
      </c>
      <c r="T345" t="s">
        <v>234</v>
      </c>
      <c r="U345">
        <v>0.10103101436992554</v>
      </c>
      <c r="V345" t="s">
        <v>84</v>
      </c>
    </row>
    <row r="346" spans="19:22" x14ac:dyDescent="0.45">
      <c r="S346" t="s">
        <v>153</v>
      </c>
      <c r="T346" t="s">
        <v>235</v>
      </c>
      <c r="U346">
        <v>1.9942238885436787E-2</v>
      </c>
      <c r="V346" t="s">
        <v>84</v>
      </c>
    </row>
    <row r="347" spans="19:22" x14ac:dyDescent="0.45">
      <c r="S347" t="s">
        <v>154</v>
      </c>
      <c r="T347" t="s">
        <v>224</v>
      </c>
      <c r="U347">
        <v>9.8836166490462382E-2</v>
      </c>
      <c r="V347" t="s">
        <v>84</v>
      </c>
    </row>
    <row r="348" spans="19:22" x14ac:dyDescent="0.45">
      <c r="S348" t="s">
        <v>154</v>
      </c>
      <c r="T348" t="s">
        <v>225</v>
      </c>
      <c r="U348">
        <v>0.12066860219860735</v>
      </c>
      <c r="V348" t="s">
        <v>84</v>
      </c>
    </row>
    <row r="349" spans="19:22" x14ac:dyDescent="0.45">
      <c r="S349" t="s">
        <v>154</v>
      </c>
      <c r="T349" t="s">
        <v>226</v>
      </c>
      <c r="U349">
        <v>1.9469831077335326E-2</v>
      </c>
      <c r="V349" t="s">
        <v>84</v>
      </c>
    </row>
    <row r="350" spans="19:22" x14ac:dyDescent="0.45">
      <c r="S350" t="s">
        <v>154</v>
      </c>
      <c r="T350" t="s">
        <v>227</v>
      </c>
      <c r="U350">
        <v>0.11066616686766956</v>
      </c>
      <c r="V350" t="s">
        <v>84</v>
      </c>
    </row>
    <row r="351" spans="19:22" x14ac:dyDescent="0.45">
      <c r="S351" t="s">
        <v>154</v>
      </c>
      <c r="T351" t="s">
        <v>228</v>
      </c>
      <c r="U351">
        <v>0.11380875152207968</v>
      </c>
      <c r="V351" t="s">
        <v>84</v>
      </c>
    </row>
    <row r="352" spans="19:22" x14ac:dyDescent="0.45">
      <c r="S352" t="s">
        <v>154</v>
      </c>
      <c r="T352" t="s">
        <v>229</v>
      </c>
      <c r="U352">
        <v>1.9635349030859589E-2</v>
      </c>
      <c r="V352" t="s">
        <v>84</v>
      </c>
    </row>
    <row r="353" spans="19:22" x14ac:dyDescent="0.45">
      <c r="S353" t="s">
        <v>154</v>
      </c>
      <c r="T353" t="s">
        <v>230</v>
      </c>
      <c r="U353">
        <v>0.12449081179928249</v>
      </c>
      <c r="V353" t="s">
        <v>84</v>
      </c>
    </row>
    <row r="354" spans="19:22" x14ac:dyDescent="0.45">
      <c r="S354" t="s">
        <v>154</v>
      </c>
      <c r="T354" t="s">
        <v>231</v>
      </c>
      <c r="U354">
        <v>0.1268626086834829</v>
      </c>
      <c r="V354" t="s">
        <v>84</v>
      </c>
    </row>
    <row r="355" spans="19:22" x14ac:dyDescent="0.45">
      <c r="S355" t="s">
        <v>154</v>
      </c>
      <c r="T355" t="s">
        <v>232</v>
      </c>
      <c r="U355">
        <v>2.3089069773450561E-2</v>
      </c>
      <c r="V355" t="s">
        <v>84</v>
      </c>
    </row>
    <row r="356" spans="19:22" x14ac:dyDescent="0.45">
      <c r="S356" t="s">
        <v>154</v>
      </c>
      <c r="T356" t="s">
        <v>233</v>
      </c>
      <c r="U356">
        <v>0.11339871525903476</v>
      </c>
      <c r="V356" t="s">
        <v>84</v>
      </c>
    </row>
    <row r="357" spans="19:22" x14ac:dyDescent="0.45">
      <c r="S357" t="s">
        <v>154</v>
      </c>
      <c r="T357" t="s">
        <v>234</v>
      </c>
      <c r="U357">
        <v>0.10906697221795497</v>
      </c>
      <c r="V357" t="s">
        <v>84</v>
      </c>
    </row>
    <row r="358" spans="19:22" x14ac:dyDescent="0.45">
      <c r="S358" t="s">
        <v>154</v>
      </c>
      <c r="T358" t="s">
        <v>235</v>
      </c>
      <c r="U358">
        <v>2.0006955079779454E-2</v>
      </c>
      <c r="V358" t="s">
        <v>84</v>
      </c>
    </row>
    <row r="359" spans="19:22" x14ac:dyDescent="0.45">
      <c r="S359" t="s">
        <v>155</v>
      </c>
      <c r="T359" t="s">
        <v>224</v>
      </c>
      <c r="U359">
        <v>0.11375978564095607</v>
      </c>
      <c r="V359" t="s">
        <v>84</v>
      </c>
    </row>
    <row r="360" spans="19:22" x14ac:dyDescent="0.45">
      <c r="S360" t="s">
        <v>155</v>
      </c>
      <c r="T360" t="s">
        <v>225</v>
      </c>
      <c r="U360">
        <v>0.12221889818308286</v>
      </c>
      <c r="V360" t="s">
        <v>84</v>
      </c>
    </row>
    <row r="361" spans="19:22" x14ac:dyDescent="0.45">
      <c r="S361" t="s">
        <v>155</v>
      </c>
      <c r="T361" t="s">
        <v>226</v>
      </c>
      <c r="U361">
        <v>2.0083765112268951E-2</v>
      </c>
      <c r="V361" t="s">
        <v>84</v>
      </c>
    </row>
    <row r="362" spans="19:22" x14ac:dyDescent="0.45">
      <c r="S362" t="s">
        <v>155</v>
      </c>
      <c r="T362" t="s">
        <v>227</v>
      </c>
      <c r="U362">
        <v>0.10768378398079843</v>
      </c>
      <c r="V362" t="s">
        <v>84</v>
      </c>
    </row>
    <row r="363" spans="19:22" x14ac:dyDescent="0.45">
      <c r="S363" t="s">
        <v>155</v>
      </c>
      <c r="T363" t="s">
        <v>228</v>
      </c>
      <c r="U363">
        <v>0.11137506327831019</v>
      </c>
      <c r="V363" t="s">
        <v>84</v>
      </c>
    </row>
    <row r="364" spans="19:22" x14ac:dyDescent="0.45">
      <c r="S364" t="s">
        <v>155</v>
      </c>
      <c r="T364" t="s">
        <v>229</v>
      </c>
      <c r="U364">
        <v>1.9053419819596067E-2</v>
      </c>
      <c r="V364" t="s">
        <v>84</v>
      </c>
    </row>
    <row r="365" spans="19:22" x14ac:dyDescent="0.45">
      <c r="S365" t="s">
        <v>155</v>
      </c>
      <c r="T365" t="s">
        <v>230</v>
      </c>
      <c r="U365">
        <v>0.1231603463811822</v>
      </c>
      <c r="V365" t="s">
        <v>84</v>
      </c>
    </row>
    <row r="366" spans="19:22" x14ac:dyDescent="0.45">
      <c r="S366" t="s">
        <v>155</v>
      </c>
      <c r="T366" t="s">
        <v>231</v>
      </c>
      <c r="U366">
        <v>0.12829246465487545</v>
      </c>
      <c r="V366" t="s">
        <v>84</v>
      </c>
    </row>
    <row r="367" spans="19:22" x14ac:dyDescent="0.45">
      <c r="S367" t="s">
        <v>155</v>
      </c>
      <c r="T367" t="s">
        <v>232</v>
      </c>
      <c r="U367">
        <v>2.2807034991517577E-2</v>
      </c>
      <c r="V367" t="s">
        <v>84</v>
      </c>
    </row>
    <row r="368" spans="19:22" x14ac:dyDescent="0.45">
      <c r="S368" t="s">
        <v>155</v>
      </c>
      <c r="T368" t="s">
        <v>233</v>
      </c>
      <c r="U368">
        <v>0.10648821446666115</v>
      </c>
      <c r="V368" t="s">
        <v>84</v>
      </c>
    </row>
    <row r="369" spans="19:22" x14ac:dyDescent="0.45">
      <c r="S369" t="s">
        <v>155</v>
      </c>
      <c r="T369" t="s">
        <v>234</v>
      </c>
      <c r="U369">
        <v>0.1061659390361611</v>
      </c>
      <c r="V369" t="s">
        <v>84</v>
      </c>
    </row>
    <row r="370" spans="19:22" x14ac:dyDescent="0.45">
      <c r="S370" t="s">
        <v>155</v>
      </c>
      <c r="T370" t="s">
        <v>235</v>
      </c>
      <c r="U370">
        <v>1.8911284454586497E-2</v>
      </c>
      <c r="V370" t="s">
        <v>84</v>
      </c>
    </row>
    <row r="371" spans="19:22" x14ac:dyDescent="0.45">
      <c r="S371" t="s">
        <v>156</v>
      </c>
      <c r="T371" t="s">
        <v>224</v>
      </c>
      <c r="U371">
        <v>0.12410705123386702</v>
      </c>
      <c r="V371" t="s">
        <v>84</v>
      </c>
    </row>
    <row r="372" spans="19:22" x14ac:dyDescent="0.45">
      <c r="S372" t="s">
        <v>156</v>
      </c>
      <c r="T372" t="s">
        <v>225</v>
      </c>
      <c r="U372">
        <v>0.12944192455092618</v>
      </c>
      <c r="V372" t="s">
        <v>84</v>
      </c>
    </row>
    <row r="373" spans="19:22" x14ac:dyDescent="0.45">
      <c r="S373" t="s">
        <v>156</v>
      </c>
      <c r="T373" t="s">
        <v>226</v>
      </c>
      <c r="U373">
        <v>2.1778649065768162E-2</v>
      </c>
      <c r="V373" t="s">
        <v>84</v>
      </c>
    </row>
    <row r="374" spans="19:22" x14ac:dyDescent="0.45">
      <c r="S374" t="s">
        <v>156</v>
      </c>
      <c r="T374" t="s">
        <v>227</v>
      </c>
      <c r="U374">
        <v>0.10352260452379709</v>
      </c>
      <c r="V374" t="s">
        <v>84</v>
      </c>
    </row>
    <row r="375" spans="19:22" x14ac:dyDescent="0.45">
      <c r="S375" t="s">
        <v>156</v>
      </c>
      <c r="T375" t="s">
        <v>228</v>
      </c>
      <c r="U375">
        <v>0.10413240206888788</v>
      </c>
      <c r="V375" t="s">
        <v>84</v>
      </c>
    </row>
    <row r="376" spans="19:22" x14ac:dyDescent="0.45">
      <c r="S376" t="s">
        <v>156</v>
      </c>
      <c r="T376" t="s">
        <v>229</v>
      </c>
      <c r="U376">
        <v>1.9582539810636894E-2</v>
      </c>
      <c r="V376" t="s">
        <v>84</v>
      </c>
    </row>
    <row r="377" spans="19:22" x14ac:dyDescent="0.45">
      <c r="S377" t="s">
        <v>156</v>
      </c>
      <c r="T377" t="s">
        <v>230</v>
      </c>
      <c r="U377">
        <v>0.1274397380955464</v>
      </c>
      <c r="V377" t="s">
        <v>84</v>
      </c>
    </row>
    <row r="378" spans="19:22" x14ac:dyDescent="0.45">
      <c r="S378" t="s">
        <v>156</v>
      </c>
      <c r="T378" t="s">
        <v>231</v>
      </c>
      <c r="U378">
        <v>0.12943128057264744</v>
      </c>
      <c r="V378" t="s">
        <v>84</v>
      </c>
    </row>
    <row r="379" spans="19:22" x14ac:dyDescent="0.45">
      <c r="S379" t="s">
        <v>156</v>
      </c>
      <c r="T379" t="s">
        <v>232</v>
      </c>
      <c r="U379">
        <v>2.2665736868761648E-2</v>
      </c>
      <c r="V379" t="s">
        <v>84</v>
      </c>
    </row>
    <row r="380" spans="19:22" x14ac:dyDescent="0.45">
      <c r="S380" t="s">
        <v>156</v>
      </c>
      <c r="T380" t="s">
        <v>233</v>
      </c>
      <c r="U380">
        <v>9.4991087532311974E-2</v>
      </c>
      <c r="V380" t="s">
        <v>84</v>
      </c>
    </row>
    <row r="381" spans="19:22" x14ac:dyDescent="0.45">
      <c r="S381" t="s">
        <v>156</v>
      </c>
      <c r="T381" t="s">
        <v>234</v>
      </c>
      <c r="U381">
        <v>0.10401307087588325</v>
      </c>
      <c r="V381" t="s">
        <v>84</v>
      </c>
    </row>
    <row r="382" spans="19:22" x14ac:dyDescent="0.45">
      <c r="S382" t="s">
        <v>156</v>
      </c>
      <c r="T382" t="s">
        <v>235</v>
      </c>
      <c r="U382">
        <v>1.889391480096313E-2</v>
      </c>
      <c r="V382" t="s">
        <v>84</v>
      </c>
    </row>
    <row r="383" spans="19:22" x14ac:dyDescent="0.45">
      <c r="S383" t="s">
        <v>157</v>
      </c>
      <c r="T383" t="s">
        <v>224</v>
      </c>
      <c r="U383">
        <v>0.13787935340451626</v>
      </c>
      <c r="V383" t="s">
        <v>84</v>
      </c>
    </row>
    <row r="384" spans="19:22" x14ac:dyDescent="0.45">
      <c r="S384" t="s">
        <v>157</v>
      </c>
      <c r="T384" t="s">
        <v>225</v>
      </c>
      <c r="U384">
        <v>0.13532130613941329</v>
      </c>
      <c r="V384" t="s">
        <v>84</v>
      </c>
    </row>
    <row r="385" spans="19:22" x14ac:dyDescent="0.45">
      <c r="S385" t="s">
        <v>157</v>
      </c>
      <c r="T385" t="s">
        <v>226</v>
      </c>
      <c r="U385">
        <v>2.7659005594295728E-2</v>
      </c>
      <c r="V385" t="s">
        <v>84</v>
      </c>
    </row>
    <row r="386" spans="19:22" x14ac:dyDescent="0.45">
      <c r="S386" t="s">
        <v>157</v>
      </c>
      <c r="T386" t="s">
        <v>227</v>
      </c>
      <c r="U386">
        <v>9.6566794836813477E-2</v>
      </c>
      <c r="V386" t="s">
        <v>84</v>
      </c>
    </row>
    <row r="387" spans="19:22" x14ac:dyDescent="0.45">
      <c r="S387" t="s">
        <v>157</v>
      </c>
      <c r="T387" t="s">
        <v>228</v>
      </c>
      <c r="U387">
        <v>9.5199974744647142E-2</v>
      </c>
      <c r="V387" t="s">
        <v>84</v>
      </c>
    </row>
    <row r="388" spans="19:22" x14ac:dyDescent="0.45">
      <c r="S388" t="s">
        <v>157</v>
      </c>
      <c r="T388" t="s">
        <v>229</v>
      </c>
      <c r="U388">
        <v>1.846170478855836E-2</v>
      </c>
      <c r="V388" t="s">
        <v>84</v>
      </c>
    </row>
    <row r="389" spans="19:22" x14ac:dyDescent="0.45">
      <c r="S389" t="s">
        <v>157</v>
      </c>
      <c r="T389" t="s">
        <v>230</v>
      </c>
      <c r="U389">
        <v>0.12089493717642846</v>
      </c>
      <c r="V389" t="s">
        <v>84</v>
      </c>
    </row>
    <row r="390" spans="19:22" x14ac:dyDescent="0.45">
      <c r="S390" t="s">
        <v>157</v>
      </c>
      <c r="T390" t="s">
        <v>231</v>
      </c>
      <c r="U390">
        <v>0.12343710110190614</v>
      </c>
      <c r="V390" t="s">
        <v>84</v>
      </c>
    </row>
    <row r="391" spans="19:22" x14ac:dyDescent="0.45">
      <c r="S391" t="s">
        <v>157</v>
      </c>
      <c r="T391" t="s">
        <v>232</v>
      </c>
      <c r="U391">
        <v>2.3009658713639594E-2</v>
      </c>
      <c r="V391" t="s">
        <v>84</v>
      </c>
    </row>
    <row r="392" spans="19:22" x14ac:dyDescent="0.45">
      <c r="S392" t="s">
        <v>157</v>
      </c>
      <c r="T392" t="s">
        <v>233</v>
      </c>
      <c r="U392">
        <v>9.8119292100332683E-2</v>
      </c>
      <c r="V392" t="s">
        <v>84</v>
      </c>
    </row>
    <row r="393" spans="19:22" x14ac:dyDescent="0.45">
      <c r="S393" t="s">
        <v>157</v>
      </c>
      <c r="T393" t="s">
        <v>234</v>
      </c>
      <c r="U393">
        <v>0.10264000684374516</v>
      </c>
      <c r="V393" t="s">
        <v>84</v>
      </c>
    </row>
    <row r="394" spans="19:22" x14ac:dyDescent="0.45">
      <c r="S394" t="s">
        <v>157</v>
      </c>
      <c r="T394" t="s">
        <v>235</v>
      </c>
      <c r="U394">
        <v>2.0810864555702555E-2</v>
      </c>
      <c r="V394" t="s">
        <v>84</v>
      </c>
    </row>
    <row r="395" spans="19:22" x14ac:dyDescent="0.45">
      <c r="S395" t="s">
        <v>158</v>
      </c>
      <c r="T395" t="s">
        <v>224</v>
      </c>
      <c r="U395">
        <v>0.12991707634764427</v>
      </c>
      <c r="V395" t="s">
        <v>84</v>
      </c>
    </row>
    <row r="396" spans="19:22" x14ac:dyDescent="0.45">
      <c r="S396" t="s">
        <v>158</v>
      </c>
      <c r="T396" t="s">
        <v>225</v>
      </c>
      <c r="U396">
        <v>0.12540959269875013</v>
      </c>
      <c r="V396" t="s">
        <v>84</v>
      </c>
    </row>
    <row r="397" spans="19:22" x14ac:dyDescent="0.45">
      <c r="S397" t="s">
        <v>158</v>
      </c>
      <c r="T397" t="s">
        <v>226</v>
      </c>
      <c r="U397">
        <v>2.39722436118989E-2</v>
      </c>
      <c r="V397" t="s">
        <v>84</v>
      </c>
    </row>
    <row r="398" spans="19:22" x14ac:dyDescent="0.45">
      <c r="S398" t="s">
        <v>158</v>
      </c>
      <c r="T398" t="s">
        <v>227</v>
      </c>
      <c r="U398">
        <v>0.10539268647178159</v>
      </c>
      <c r="V398" t="s">
        <v>84</v>
      </c>
    </row>
    <row r="399" spans="19:22" x14ac:dyDescent="0.45">
      <c r="S399" t="s">
        <v>158</v>
      </c>
      <c r="T399" t="s">
        <v>228</v>
      </c>
      <c r="U399">
        <v>0.10458537913397814</v>
      </c>
      <c r="V399" t="s">
        <v>84</v>
      </c>
    </row>
    <row r="400" spans="19:22" x14ac:dyDescent="0.45">
      <c r="S400" t="s">
        <v>158</v>
      </c>
      <c r="T400" t="s">
        <v>229</v>
      </c>
      <c r="U400">
        <v>2.0120261229496381E-2</v>
      </c>
      <c r="V400" t="s">
        <v>84</v>
      </c>
    </row>
    <row r="401" spans="19:22" x14ac:dyDescent="0.45">
      <c r="S401" t="s">
        <v>158</v>
      </c>
      <c r="T401" t="s">
        <v>230</v>
      </c>
      <c r="U401">
        <v>0.11396276265193385</v>
      </c>
      <c r="V401" t="s">
        <v>84</v>
      </c>
    </row>
    <row r="402" spans="19:22" x14ac:dyDescent="0.45">
      <c r="S402" t="s">
        <v>158</v>
      </c>
      <c r="T402" t="s">
        <v>231</v>
      </c>
      <c r="U402">
        <v>0.11701108862156309</v>
      </c>
      <c r="V402" t="s">
        <v>84</v>
      </c>
    </row>
    <row r="403" spans="19:22" x14ac:dyDescent="0.45">
      <c r="S403" t="s">
        <v>158</v>
      </c>
      <c r="T403" t="s">
        <v>232</v>
      </c>
      <c r="U403">
        <v>2.0812851671103486E-2</v>
      </c>
      <c r="V403" t="s">
        <v>84</v>
      </c>
    </row>
    <row r="404" spans="19:22" x14ac:dyDescent="0.45">
      <c r="S404" t="s">
        <v>158</v>
      </c>
      <c r="T404" t="s">
        <v>233</v>
      </c>
      <c r="U404">
        <v>0.10807638094363586</v>
      </c>
      <c r="V404" t="s">
        <v>84</v>
      </c>
    </row>
    <row r="405" spans="19:22" x14ac:dyDescent="0.45">
      <c r="S405" t="s">
        <v>158</v>
      </c>
      <c r="T405" t="s">
        <v>234</v>
      </c>
      <c r="U405">
        <v>0.10882604918140559</v>
      </c>
      <c r="V405" t="s">
        <v>84</v>
      </c>
    </row>
    <row r="406" spans="19:22" x14ac:dyDescent="0.45">
      <c r="S406" t="s">
        <v>158</v>
      </c>
      <c r="T406" t="s">
        <v>235</v>
      </c>
      <c r="U406">
        <v>2.1913627436802904E-2</v>
      </c>
      <c r="V406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Veda</vt:lpstr>
      <vt:lpstr>kea-tui</vt:lpstr>
      <vt:lpstr>car demand</vt:lpstr>
      <vt:lpstr>transport</vt:lpstr>
      <vt:lpstr>co2 budget</vt:lpstr>
      <vt:lpstr>ev_charging_uc</vt:lpstr>
      <vt:lpstr>ts_012</vt:lpstr>
      <vt:lpstr>ts_048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2026-04-01T08:30:15Z</dcterms:modified>
</cp:coreProperties>
</file>